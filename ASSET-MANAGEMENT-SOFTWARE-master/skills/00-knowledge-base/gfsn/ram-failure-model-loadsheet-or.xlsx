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oldfieldsltd.sharepoint.com/sites/TSTRegionalTeam/Shared Documents/Superintendencia de Mantenimiento Planta/03 Planificación/Analisis RAM/"/>
    </mc:Choice>
  </mc:AlternateContent>
  <xr:revisionPtr revIDLastSave="2" documentId="13_ncr:1_{6D55E308-D868-4445-989E-3DECF3F042AC}" xr6:coauthVersionLast="47" xr6:coauthVersionMax="47" xr10:uidLastSave="{9501BC2B-DA37-47E3-A01B-2000E543A7F7}"/>
  <bookViews>
    <workbookView xWindow="-110" yWindow="-110" windowWidth="19420" windowHeight="10420" xr2:uid="{00000000-000D-0000-FFFF-FFFF00000000}"/>
  </bookViews>
  <sheets>
    <sheet name="RBD-Programa Mntto Anual" sheetId="1" r:id="rId1"/>
    <sheet name="FailureModelCorrectiveTasks" sheetId="8" r:id="rId2"/>
    <sheet name="Programa Mntto Anual" sheetId="12" r:id="rId3"/>
    <sheet name="PM_SCOPE" sheetId="2" r:id="rId4"/>
  </sheets>
  <externalReferences>
    <externalReference r:id="rId5"/>
    <externalReference r:id="rId6"/>
  </externalReferences>
  <definedNames>
    <definedName name="_xlnm._FilterDatabase" localSheetId="1" hidden="1">FailureModelCorrectiveTasks!$A$1:$G$287</definedName>
    <definedName name="_xlnm._FilterDatabase" localSheetId="3" hidden="1">PM_SCOPE!$A$1:$B$183</definedName>
    <definedName name="_xlnm._FilterDatabase" localSheetId="2" hidden="1">'Programa Mntto Anual'!$A$1:$H$61</definedName>
    <definedName name="_xlnm._FilterDatabase" localSheetId="0" hidden="1">'RBD-Programa Mntto Anual'!$A$2:$BC$310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7" i="8" l="1"/>
  <c r="F287" i="8"/>
  <c r="G286" i="8"/>
  <c r="F286" i="8"/>
  <c r="G285" i="8"/>
  <c r="F285" i="8"/>
  <c r="G284" i="8"/>
  <c r="F284" i="8"/>
  <c r="G283" i="8"/>
  <c r="F283" i="8"/>
  <c r="G282" i="8"/>
  <c r="F282" i="8"/>
  <c r="G281" i="8"/>
  <c r="F281" i="8"/>
  <c r="G280" i="8"/>
  <c r="F280" i="8"/>
  <c r="G279" i="8"/>
  <c r="F279" i="8"/>
  <c r="G278" i="8"/>
  <c r="F278" i="8"/>
  <c r="G277" i="8"/>
  <c r="F277" i="8"/>
  <c r="G276" i="8"/>
  <c r="F276" i="8"/>
  <c r="G275" i="8"/>
  <c r="F275" i="8"/>
  <c r="G274" i="8"/>
  <c r="F274" i="8"/>
  <c r="G273" i="8"/>
  <c r="F273" i="8"/>
  <c r="G272" i="8"/>
  <c r="F272" i="8"/>
  <c r="G271" i="8"/>
  <c r="F271" i="8"/>
  <c r="G270" i="8"/>
  <c r="F270" i="8"/>
  <c r="G269" i="8"/>
  <c r="F269" i="8"/>
  <c r="G268" i="8"/>
  <c r="F268" i="8"/>
  <c r="G267" i="8"/>
  <c r="F267" i="8"/>
  <c r="G266" i="8"/>
  <c r="F266" i="8"/>
  <c r="G265" i="8"/>
  <c r="F265" i="8"/>
  <c r="G264" i="8"/>
  <c r="F264" i="8"/>
  <c r="G263" i="8"/>
  <c r="F263" i="8"/>
  <c r="G262" i="8"/>
  <c r="F262" i="8"/>
  <c r="G261" i="8"/>
  <c r="F261" i="8"/>
  <c r="G260" i="8"/>
  <c r="F260" i="8"/>
  <c r="G259" i="8"/>
  <c r="F259" i="8"/>
  <c r="G258" i="8"/>
  <c r="F258" i="8"/>
  <c r="G257" i="8"/>
  <c r="F257" i="8"/>
  <c r="G256" i="8"/>
  <c r="F256" i="8"/>
  <c r="G255" i="8"/>
  <c r="F255" i="8"/>
  <c r="G254" i="8"/>
  <c r="F254" i="8"/>
  <c r="G253" i="8"/>
  <c r="F253" i="8"/>
  <c r="G252" i="8"/>
  <c r="F252" i="8"/>
  <c r="G251" i="8"/>
  <c r="F251" i="8"/>
  <c r="G250" i="8"/>
  <c r="F250" i="8"/>
  <c r="G249" i="8"/>
  <c r="F249" i="8"/>
  <c r="G248" i="8"/>
  <c r="F248" i="8"/>
  <c r="G247" i="8"/>
  <c r="F247" i="8"/>
  <c r="G246" i="8"/>
  <c r="F246" i="8"/>
  <c r="G245" i="8"/>
  <c r="F245" i="8"/>
  <c r="G244" i="8"/>
  <c r="F244" i="8"/>
  <c r="G243" i="8"/>
  <c r="F243" i="8"/>
  <c r="G242" i="8"/>
  <c r="F242" i="8"/>
  <c r="G241" i="8"/>
  <c r="F241" i="8"/>
  <c r="G240" i="8"/>
  <c r="F240" i="8"/>
  <c r="G239" i="8"/>
  <c r="F239" i="8"/>
  <c r="G238" i="8"/>
  <c r="F238" i="8"/>
  <c r="G237" i="8"/>
  <c r="F237" i="8"/>
  <c r="G236" i="8"/>
  <c r="F236" i="8"/>
  <c r="G235" i="8"/>
  <c r="F235" i="8"/>
  <c r="G234" i="8"/>
  <c r="F234" i="8"/>
  <c r="G233" i="8"/>
  <c r="F233" i="8"/>
  <c r="G232" i="8"/>
  <c r="F232" i="8"/>
  <c r="G231" i="8"/>
  <c r="F231" i="8"/>
  <c r="G230" i="8"/>
  <c r="F230" i="8"/>
  <c r="G229" i="8"/>
  <c r="F229" i="8"/>
  <c r="G228" i="8"/>
  <c r="F228" i="8"/>
  <c r="G227" i="8"/>
  <c r="F227" i="8"/>
  <c r="G226" i="8"/>
  <c r="F226" i="8"/>
  <c r="G225" i="8"/>
  <c r="F225" i="8"/>
  <c r="G224" i="8"/>
  <c r="F224" i="8"/>
  <c r="G223" i="8"/>
  <c r="F223" i="8"/>
  <c r="G222" i="8"/>
  <c r="F222" i="8"/>
  <c r="G221" i="8"/>
  <c r="F221" i="8"/>
  <c r="G220" i="8"/>
  <c r="F220" i="8"/>
  <c r="G219" i="8"/>
  <c r="F219" i="8"/>
  <c r="G218" i="8"/>
  <c r="F218" i="8"/>
  <c r="G217" i="8"/>
  <c r="F217" i="8"/>
  <c r="G216" i="8"/>
  <c r="F216" i="8"/>
  <c r="G215" i="8"/>
  <c r="F215" i="8"/>
  <c r="G214" i="8"/>
  <c r="F214" i="8"/>
  <c r="G213" i="8"/>
  <c r="F213" i="8"/>
  <c r="G212" i="8"/>
  <c r="F212" i="8"/>
  <c r="G211" i="8"/>
  <c r="F211" i="8"/>
  <c r="G210" i="8"/>
  <c r="F210" i="8"/>
  <c r="G209" i="8"/>
  <c r="F209" i="8"/>
  <c r="G208" i="8"/>
  <c r="F208" i="8"/>
  <c r="G207" i="8"/>
  <c r="F207" i="8"/>
  <c r="G206" i="8"/>
  <c r="F206" i="8"/>
  <c r="G205" i="8"/>
  <c r="F205" i="8"/>
  <c r="G204" i="8"/>
  <c r="F204" i="8"/>
  <c r="G203" i="8"/>
  <c r="F203" i="8"/>
  <c r="G202" i="8"/>
  <c r="F202" i="8"/>
  <c r="G201" i="8"/>
  <c r="F201" i="8"/>
  <c r="G200" i="8"/>
  <c r="F200" i="8"/>
  <c r="G199" i="8"/>
  <c r="F199" i="8"/>
  <c r="G198" i="8"/>
  <c r="F198" i="8"/>
  <c r="G197" i="8"/>
  <c r="F197" i="8"/>
  <c r="G196" i="8"/>
  <c r="F196" i="8"/>
  <c r="G195" i="8"/>
  <c r="F195" i="8"/>
  <c r="G194" i="8"/>
  <c r="F194" i="8"/>
  <c r="G193" i="8"/>
  <c r="F193" i="8"/>
  <c r="G192" i="8"/>
  <c r="F192" i="8"/>
  <c r="G191" i="8"/>
  <c r="F191" i="8"/>
  <c r="G190" i="8"/>
  <c r="F190" i="8"/>
  <c r="G189" i="8"/>
  <c r="F189" i="8"/>
  <c r="G188" i="8"/>
  <c r="F188" i="8"/>
  <c r="G187" i="8"/>
  <c r="F187" i="8"/>
  <c r="G186" i="8"/>
  <c r="F186" i="8"/>
  <c r="G185" i="8"/>
  <c r="F185" i="8"/>
  <c r="G184" i="8"/>
  <c r="F184" i="8"/>
  <c r="G183" i="8"/>
  <c r="F183" i="8"/>
  <c r="G182" i="8"/>
  <c r="F182" i="8"/>
  <c r="G181" i="8"/>
  <c r="F181" i="8"/>
  <c r="G180" i="8"/>
  <c r="F180" i="8"/>
  <c r="G179" i="8"/>
  <c r="F179" i="8"/>
  <c r="G178" i="8"/>
  <c r="F178" i="8"/>
  <c r="G177" i="8"/>
  <c r="F177" i="8"/>
  <c r="G176" i="8"/>
  <c r="F176" i="8"/>
  <c r="G175" i="8"/>
  <c r="F175" i="8"/>
  <c r="G174" i="8"/>
  <c r="F174" i="8"/>
  <c r="G173" i="8"/>
  <c r="F173" i="8"/>
  <c r="G172" i="8"/>
  <c r="F172" i="8"/>
  <c r="G171" i="8"/>
  <c r="F171" i="8"/>
  <c r="G170" i="8"/>
  <c r="F170" i="8"/>
  <c r="G169" i="8"/>
  <c r="F169" i="8"/>
  <c r="G168" i="8"/>
  <c r="F168" i="8"/>
  <c r="G167" i="8"/>
  <c r="F167" i="8"/>
  <c r="G166" i="8"/>
  <c r="F166" i="8"/>
  <c r="G165" i="8"/>
  <c r="F165" i="8"/>
  <c r="G164" i="8"/>
  <c r="F164" i="8"/>
  <c r="G163" i="8"/>
  <c r="F163" i="8"/>
  <c r="G162" i="8"/>
  <c r="F162" i="8"/>
  <c r="G161" i="8"/>
  <c r="F161" i="8"/>
  <c r="G160" i="8"/>
  <c r="F160" i="8"/>
  <c r="G159" i="8"/>
  <c r="F159" i="8"/>
  <c r="G158" i="8"/>
  <c r="F158" i="8"/>
  <c r="G157" i="8"/>
  <c r="F157" i="8"/>
  <c r="G156" i="8"/>
  <c r="F156" i="8"/>
  <c r="G155" i="8"/>
  <c r="F155" i="8"/>
  <c r="G154" i="8"/>
  <c r="F154" i="8"/>
  <c r="G153" i="8"/>
  <c r="F153" i="8"/>
  <c r="G152" i="8"/>
  <c r="F152" i="8"/>
  <c r="G151" i="8"/>
  <c r="F151" i="8"/>
  <c r="G150" i="8"/>
  <c r="F150" i="8"/>
  <c r="G149" i="8"/>
  <c r="F149" i="8"/>
  <c r="G148" i="8"/>
  <c r="F148" i="8"/>
  <c r="G147" i="8"/>
  <c r="F147" i="8"/>
  <c r="G146" i="8"/>
  <c r="F146" i="8"/>
  <c r="G145" i="8"/>
  <c r="F145" i="8"/>
  <c r="G144" i="8"/>
  <c r="F144" i="8"/>
  <c r="G143" i="8"/>
  <c r="F143" i="8"/>
  <c r="G142" i="8"/>
  <c r="F142" i="8"/>
  <c r="G141" i="8"/>
  <c r="F141" i="8"/>
  <c r="G140" i="8"/>
  <c r="F140" i="8"/>
  <c r="G139" i="8"/>
  <c r="F139" i="8"/>
  <c r="G138" i="8"/>
  <c r="F138" i="8"/>
  <c r="G137" i="8"/>
  <c r="F137" i="8"/>
  <c r="G136" i="8"/>
  <c r="F136" i="8"/>
  <c r="G135" i="8"/>
  <c r="F135" i="8"/>
  <c r="G134" i="8"/>
  <c r="F134" i="8"/>
  <c r="G133" i="8"/>
  <c r="F133" i="8"/>
  <c r="G132" i="8"/>
  <c r="F132" i="8"/>
  <c r="G131" i="8"/>
  <c r="F131" i="8"/>
  <c r="G130" i="8"/>
  <c r="F130" i="8"/>
  <c r="G129" i="8"/>
  <c r="F129" i="8"/>
  <c r="G128" i="8"/>
  <c r="F128" i="8"/>
  <c r="G127" i="8"/>
  <c r="F127" i="8"/>
  <c r="G126" i="8"/>
  <c r="F126" i="8"/>
  <c r="G125" i="8"/>
  <c r="F125" i="8"/>
  <c r="G124" i="8"/>
  <c r="F124" i="8"/>
  <c r="G123" i="8"/>
  <c r="F123" i="8"/>
  <c r="G122" i="8"/>
  <c r="F122" i="8"/>
  <c r="G121" i="8"/>
  <c r="F121" i="8"/>
  <c r="G120" i="8"/>
  <c r="F120" i="8"/>
  <c r="G119" i="8"/>
  <c r="F119" i="8"/>
  <c r="G118" i="8"/>
  <c r="F118" i="8"/>
  <c r="G117" i="8"/>
  <c r="F117" i="8"/>
  <c r="G116" i="8"/>
  <c r="F116" i="8"/>
  <c r="G115" i="8"/>
  <c r="F115" i="8"/>
  <c r="G114" i="8"/>
  <c r="F114" i="8"/>
  <c r="G113" i="8"/>
  <c r="F113" i="8"/>
  <c r="G112" i="8"/>
  <c r="F112" i="8"/>
  <c r="G111" i="8"/>
  <c r="F111" i="8"/>
  <c r="G110" i="8"/>
  <c r="F110" i="8"/>
  <c r="G109" i="8"/>
  <c r="F109" i="8"/>
  <c r="G108" i="8"/>
  <c r="F108" i="8"/>
  <c r="G107" i="8"/>
  <c r="F107" i="8"/>
  <c r="G106" i="8"/>
  <c r="F106" i="8"/>
  <c r="G105" i="8"/>
  <c r="F105" i="8"/>
  <c r="G104" i="8"/>
  <c r="F104" i="8"/>
  <c r="G103" i="8"/>
  <c r="F103" i="8"/>
  <c r="G102" i="8"/>
  <c r="F102" i="8"/>
  <c r="G101" i="8"/>
  <c r="F101" i="8"/>
  <c r="G100" i="8"/>
  <c r="F100" i="8"/>
  <c r="G99" i="8"/>
  <c r="F99" i="8"/>
  <c r="G98" i="8"/>
  <c r="F98" i="8"/>
  <c r="G97" i="8"/>
  <c r="F97" i="8"/>
  <c r="G96" i="8"/>
  <c r="F96" i="8"/>
  <c r="G95" i="8"/>
  <c r="F95" i="8"/>
  <c r="G94" i="8"/>
  <c r="F94" i="8"/>
  <c r="G93" i="8"/>
  <c r="F93" i="8"/>
  <c r="G92" i="8"/>
  <c r="F92" i="8"/>
  <c r="G91" i="8"/>
  <c r="F91" i="8"/>
  <c r="G90" i="8"/>
  <c r="F90" i="8"/>
  <c r="G89" i="8"/>
  <c r="F89" i="8"/>
  <c r="G88" i="8"/>
  <c r="F88" i="8"/>
  <c r="G87" i="8"/>
  <c r="F87" i="8"/>
  <c r="G86" i="8"/>
  <c r="F86" i="8"/>
  <c r="G85" i="8"/>
  <c r="F85" i="8"/>
  <c r="G84" i="8"/>
  <c r="F84" i="8"/>
  <c r="G83" i="8"/>
  <c r="F83" i="8"/>
  <c r="G82" i="8"/>
  <c r="F82" i="8"/>
  <c r="G81" i="8"/>
  <c r="F81" i="8"/>
  <c r="G80" i="8"/>
  <c r="F80" i="8"/>
  <c r="G79" i="8"/>
  <c r="F79" i="8"/>
  <c r="G78" i="8"/>
  <c r="F78" i="8"/>
  <c r="G77" i="8"/>
  <c r="F77" i="8"/>
  <c r="G76" i="8"/>
  <c r="F76" i="8"/>
  <c r="G75" i="8"/>
  <c r="F75" i="8"/>
  <c r="G74" i="8"/>
  <c r="F74" i="8"/>
  <c r="G73" i="8"/>
  <c r="F73" i="8"/>
  <c r="G72" i="8"/>
  <c r="F72" i="8"/>
  <c r="G71" i="8"/>
  <c r="F71" i="8"/>
  <c r="G70" i="8"/>
  <c r="F70" i="8"/>
  <c r="G69" i="8"/>
  <c r="F69" i="8"/>
  <c r="G68" i="8"/>
  <c r="F68" i="8"/>
  <c r="G67" i="8"/>
  <c r="F67" i="8"/>
  <c r="G66" i="8"/>
  <c r="F66" i="8"/>
  <c r="G65" i="8"/>
  <c r="F65" i="8"/>
  <c r="G64" i="8"/>
  <c r="F64" i="8"/>
  <c r="G63" i="8"/>
  <c r="F63" i="8"/>
  <c r="G62" i="8"/>
  <c r="F62" i="8"/>
  <c r="G61" i="8"/>
  <c r="F61" i="8"/>
  <c r="G60" i="8"/>
  <c r="F60" i="8"/>
  <c r="G59" i="8"/>
  <c r="F59" i="8"/>
  <c r="G58" i="8"/>
  <c r="F58" i="8"/>
  <c r="G57" i="8"/>
  <c r="F57" i="8"/>
  <c r="G56" i="8"/>
  <c r="F56" i="8"/>
  <c r="G55" i="8"/>
  <c r="F55" i="8"/>
  <c r="G54" i="8"/>
  <c r="F54" i="8"/>
  <c r="G53" i="8"/>
  <c r="F53" i="8"/>
  <c r="G52" i="8"/>
  <c r="F52" i="8"/>
  <c r="G51" i="8"/>
  <c r="F51" i="8"/>
  <c r="G50" i="8"/>
  <c r="F50" i="8"/>
  <c r="G49" i="8"/>
  <c r="F49" i="8"/>
  <c r="G48" i="8"/>
  <c r="F48" i="8"/>
  <c r="G47" i="8"/>
  <c r="F47" i="8"/>
  <c r="G46" i="8"/>
  <c r="F46" i="8"/>
  <c r="G45" i="8"/>
  <c r="F45" i="8"/>
  <c r="G44" i="8"/>
  <c r="F44" i="8"/>
  <c r="G43" i="8"/>
  <c r="F43" i="8"/>
  <c r="G42" i="8"/>
  <c r="F42" i="8"/>
  <c r="G41" i="8"/>
  <c r="F41" i="8"/>
  <c r="G40" i="8"/>
  <c r="F40" i="8"/>
  <c r="G39" i="8"/>
  <c r="F39" i="8"/>
  <c r="G38" i="8"/>
  <c r="F38" i="8"/>
  <c r="G37" i="8"/>
  <c r="F37" i="8"/>
  <c r="G36" i="8"/>
  <c r="F36" i="8"/>
  <c r="G35" i="8"/>
  <c r="F35" i="8"/>
  <c r="G34" i="8"/>
  <c r="F34" i="8"/>
  <c r="G33" i="8"/>
  <c r="F33" i="8"/>
  <c r="G32" i="8"/>
  <c r="F32" i="8"/>
  <c r="G31" i="8"/>
  <c r="F31" i="8"/>
  <c r="G30" i="8"/>
  <c r="F30" i="8"/>
  <c r="G29" i="8"/>
  <c r="F29" i="8"/>
  <c r="G28" i="8"/>
  <c r="F28" i="8"/>
  <c r="G27" i="8"/>
  <c r="F27" i="8"/>
  <c r="G26" i="8"/>
  <c r="F26" i="8"/>
  <c r="G25" i="8"/>
  <c r="F25" i="8"/>
  <c r="G24" i="8"/>
  <c r="F24" i="8"/>
  <c r="G23" i="8"/>
  <c r="F23" i="8"/>
  <c r="G22" i="8"/>
  <c r="F22" i="8"/>
  <c r="G21" i="8"/>
  <c r="F21" i="8"/>
  <c r="G20" i="8"/>
  <c r="F20" i="8"/>
  <c r="G19" i="8"/>
  <c r="F19" i="8"/>
  <c r="G18" i="8"/>
  <c r="F18" i="8"/>
  <c r="G17" i="8"/>
  <c r="F17" i="8"/>
  <c r="G16" i="8"/>
  <c r="F16" i="8"/>
  <c r="G15" i="8"/>
  <c r="F15" i="8"/>
  <c r="G14" i="8"/>
  <c r="F14" i="8"/>
  <c r="G13" i="8"/>
  <c r="F13" i="8"/>
  <c r="G12" i="8"/>
  <c r="F12" i="8"/>
  <c r="G11" i="8"/>
  <c r="F11" i="8"/>
  <c r="G10" i="8"/>
  <c r="F10" i="8"/>
  <c r="G9" i="8"/>
  <c r="F9" i="8"/>
  <c r="G8" i="8"/>
  <c r="F8" i="8"/>
  <c r="G7" i="8"/>
  <c r="F7" i="8"/>
  <c r="G6" i="8"/>
  <c r="F6" i="8"/>
  <c r="G5" i="8"/>
  <c r="F5" i="8"/>
  <c r="G4" i="8"/>
  <c r="F4" i="8"/>
  <c r="G3" i="8"/>
  <c r="F3" i="8"/>
  <c r="G2" i="8"/>
  <c r="F2" i="8"/>
  <c r="B206" i="2" l="1"/>
  <c r="BC209" i="1" l="1"/>
  <c r="BC211" i="1"/>
  <c r="BC181" i="1"/>
  <c r="BC182" i="1"/>
  <c r="BC183" i="1"/>
  <c r="E4" i="1" l="1"/>
  <c r="F4" i="1"/>
  <c r="BC4" i="1"/>
  <c r="E5" i="1"/>
  <c r="F5" i="1"/>
  <c r="BC5" i="1"/>
  <c r="F6" i="1"/>
  <c r="BC6" i="1"/>
  <c r="E7" i="1"/>
  <c r="F7" i="1"/>
  <c r="BC7" i="1"/>
  <c r="E8" i="1"/>
  <c r="F8" i="1"/>
  <c r="BC8" i="1"/>
  <c r="E9" i="1"/>
  <c r="F9" i="1"/>
  <c r="BC9" i="1"/>
  <c r="G10" i="1"/>
  <c r="H10" i="1"/>
  <c r="H3" i="1" s="1"/>
  <c r="I10" i="1"/>
  <c r="I3" i="1" s="1"/>
  <c r="J10" i="1"/>
  <c r="J3" i="1" s="1"/>
  <c r="K10" i="1"/>
  <c r="K3" i="1" s="1"/>
  <c r="L10" i="1"/>
  <c r="L3" i="1" s="1"/>
  <c r="M10" i="1"/>
  <c r="M3" i="1" s="1"/>
  <c r="N10" i="1"/>
  <c r="N3" i="1" s="1"/>
  <c r="O10" i="1"/>
  <c r="O3" i="1" s="1"/>
  <c r="P10" i="1"/>
  <c r="P3" i="1" s="1"/>
  <c r="Q10" i="1"/>
  <c r="Q3" i="1" s="1"/>
  <c r="R10" i="1"/>
  <c r="R3" i="1" s="1"/>
  <c r="S10" i="1"/>
  <c r="S3" i="1" s="1"/>
  <c r="T10" i="1"/>
  <c r="T3" i="1" s="1"/>
  <c r="U10" i="1"/>
  <c r="U3" i="1" s="1"/>
  <c r="V10" i="1"/>
  <c r="V3" i="1" s="1"/>
  <c r="W10" i="1"/>
  <c r="W3" i="1" s="1"/>
  <c r="X10" i="1"/>
  <c r="X3" i="1" s="1"/>
  <c r="Y10" i="1"/>
  <c r="Y3" i="1" s="1"/>
  <c r="Z10" i="1"/>
  <c r="Z3" i="1" s="1"/>
  <c r="AA10" i="1"/>
  <c r="AA3" i="1" s="1"/>
  <c r="AB10" i="1"/>
  <c r="AB3" i="1" s="1"/>
  <c r="AC10" i="1"/>
  <c r="AC3" i="1" s="1"/>
  <c r="AD10" i="1"/>
  <c r="AD3" i="1" s="1"/>
  <c r="AE10" i="1"/>
  <c r="AE3" i="1" s="1"/>
  <c r="AF10" i="1"/>
  <c r="AF3" i="1" s="1"/>
  <c r="AG10" i="1"/>
  <c r="AG3" i="1" s="1"/>
  <c r="AH10" i="1"/>
  <c r="AH3" i="1" s="1"/>
  <c r="AI10" i="1"/>
  <c r="AI3" i="1" s="1"/>
  <c r="AJ10" i="1"/>
  <c r="AJ3" i="1" s="1"/>
  <c r="AK10" i="1"/>
  <c r="AK3" i="1" s="1"/>
  <c r="AL10" i="1"/>
  <c r="AL3" i="1" s="1"/>
  <c r="AM10" i="1"/>
  <c r="AM3" i="1" s="1"/>
  <c r="AN10" i="1"/>
  <c r="AN3" i="1" s="1"/>
  <c r="AO10" i="1"/>
  <c r="AO3" i="1" s="1"/>
  <c r="AP10" i="1"/>
  <c r="AP3" i="1" s="1"/>
  <c r="AQ10" i="1"/>
  <c r="AQ3" i="1" s="1"/>
  <c r="AR10" i="1"/>
  <c r="AR3" i="1" s="1"/>
  <c r="AS10" i="1"/>
  <c r="AS3" i="1" s="1"/>
  <c r="AT10" i="1"/>
  <c r="AT3" i="1" s="1"/>
  <c r="AU10" i="1"/>
  <c r="AU3" i="1" s="1"/>
  <c r="AV10" i="1"/>
  <c r="AV3" i="1" s="1"/>
  <c r="AW10" i="1"/>
  <c r="AW3" i="1" s="1"/>
  <c r="AX10" i="1"/>
  <c r="AX3" i="1" s="1"/>
  <c r="AY10" i="1"/>
  <c r="AY3" i="1" s="1"/>
  <c r="AZ10" i="1"/>
  <c r="AZ3" i="1" s="1"/>
  <c r="BA10" i="1"/>
  <c r="BA3" i="1" s="1"/>
  <c r="BB10" i="1"/>
  <c r="BB3" i="1" s="1"/>
  <c r="E11" i="1"/>
  <c r="F11" i="1"/>
  <c r="BC11" i="1"/>
  <c r="E12" i="1"/>
  <c r="F12" i="1"/>
  <c r="BC12" i="1"/>
  <c r="E13" i="1"/>
  <c r="F13" i="1"/>
  <c r="BC13" i="1"/>
  <c r="E14" i="1"/>
  <c r="F14" i="1"/>
  <c r="BC14" i="1"/>
  <c r="E15" i="1"/>
  <c r="F15" i="1"/>
  <c r="BC15" i="1"/>
  <c r="E16" i="1"/>
  <c r="F16" i="1"/>
  <c r="BC16" i="1"/>
  <c r="E17" i="1"/>
  <c r="F17" i="1"/>
  <c r="BC17" i="1"/>
  <c r="E18" i="1"/>
  <c r="F18" i="1"/>
  <c r="BC18" i="1"/>
  <c r="E19" i="1"/>
  <c r="F19" i="1"/>
  <c r="BC19" i="1"/>
  <c r="E20" i="1"/>
  <c r="F20" i="1"/>
  <c r="BC20" i="1"/>
  <c r="E21" i="1"/>
  <c r="F21" i="1"/>
  <c r="BC21" i="1"/>
  <c r="E22" i="1"/>
  <c r="F22" i="1"/>
  <c r="BC22" i="1"/>
  <c r="E23" i="1"/>
  <c r="F23" i="1"/>
  <c r="BC23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E25" i="1"/>
  <c r="F25" i="1"/>
  <c r="BC25" i="1"/>
  <c r="E26" i="1"/>
  <c r="F26" i="1"/>
  <c r="BC26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E28" i="1"/>
  <c r="F28" i="1"/>
  <c r="BC28" i="1"/>
  <c r="E29" i="1"/>
  <c r="F29" i="1"/>
  <c r="BC29" i="1"/>
  <c r="E30" i="1"/>
  <c r="F30" i="1"/>
  <c r="BC30" i="1"/>
  <c r="E31" i="1"/>
  <c r="F31" i="1"/>
  <c r="BC31" i="1"/>
  <c r="E32" i="1"/>
  <c r="F32" i="1"/>
  <c r="BC32" i="1"/>
  <c r="E33" i="1"/>
  <c r="F33" i="1"/>
  <c r="BC33" i="1"/>
  <c r="E34" i="1"/>
  <c r="F34" i="1"/>
  <c r="BC34" i="1"/>
  <c r="E35" i="1"/>
  <c r="F35" i="1"/>
  <c r="BC35" i="1"/>
  <c r="E36" i="1"/>
  <c r="F36" i="1"/>
  <c r="BC36" i="1"/>
  <c r="E37" i="1"/>
  <c r="F37" i="1"/>
  <c r="BC37" i="1"/>
  <c r="E38" i="1"/>
  <c r="F38" i="1"/>
  <c r="BC38" i="1"/>
  <c r="E39" i="1"/>
  <c r="F39" i="1"/>
  <c r="BC39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E41" i="1"/>
  <c r="F41" i="1"/>
  <c r="BC41" i="1"/>
  <c r="E42" i="1"/>
  <c r="F42" i="1"/>
  <c r="BC42" i="1"/>
  <c r="E43" i="1"/>
  <c r="F43" i="1"/>
  <c r="BC43" i="1"/>
  <c r="E44" i="1"/>
  <c r="F44" i="1"/>
  <c r="BC44" i="1"/>
  <c r="E45" i="1"/>
  <c r="F45" i="1"/>
  <c r="BC45" i="1"/>
  <c r="E46" i="1"/>
  <c r="F46" i="1"/>
  <c r="BC46" i="1"/>
  <c r="E47" i="1"/>
  <c r="F47" i="1"/>
  <c r="BC47" i="1"/>
  <c r="E48" i="1"/>
  <c r="F48" i="1"/>
  <c r="BC48" i="1"/>
  <c r="E49" i="1"/>
  <c r="F49" i="1"/>
  <c r="BC49" i="1"/>
  <c r="E50" i="1"/>
  <c r="F50" i="1"/>
  <c r="BC50" i="1"/>
  <c r="E51" i="1"/>
  <c r="F51" i="1"/>
  <c r="BC51" i="1"/>
  <c r="E52" i="1"/>
  <c r="F52" i="1"/>
  <c r="BC52" i="1"/>
  <c r="E53" i="1"/>
  <c r="F53" i="1"/>
  <c r="BC53" i="1"/>
  <c r="E54" i="1"/>
  <c r="F54" i="1"/>
  <c r="BC54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E56" i="1"/>
  <c r="F56" i="1"/>
  <c r="BC56" i="1"/>
  <c r="E57" i="1"/>
  <c r="F57" i="1"/>
  <c r="BC57" i="1"/>
  <c r="E58" i="1"/>
  <c r="F58" i="1"/>
  <c r="BC58" i="1"/>
  <c r="E59" i="1"/>
  <c r="F59" i="1"/>
  <c r="BC59" i="1"/>
  <c r="E60" i="1"/>
  <c r="F60" i="1"/>
  <c r="BC60" i="1"/>
  <c r="E61" i="1"/>
  <c r="F61" i="1"/>
  <c r="BC61" i="1"/>
  <c r="E62" i="1"/>
  <c r="F62" i="1"/>
  <c r="BC62" i="1"/>
  <c r="E63" i="1"/>
  <c r="F63" i="1"/>
  <c r="BC63" i="1"/>
  <c r="E64" i="1"/>
  <c r="F64" i="1"/>
  <c r="BC64" i="1"/>
  <c r="E65" i="1"/>
  <c r="F65" i="1"/>
  <c r="BC65" i="1"/>
  <c r="E66" i="1"/>
  <c r="F66" i="1"/>
  <c r="BC66" i="1"/>
  <c r="E67" i="1"/>
  <c r="F67" i="1"/>
  <c r="BC67" i="1"/>
  <c r="E68" i="1"/>
  <c r="F68" i="1"/>
  <c r="BC68" i="1"/>
  <c r="E69" i="1"/>
  <c r="F69" i="1"/>
  <c r="BC69" i="1"/>
  <c r="E70" i="1"/>
  <c r="F70" i="1"/>
  <c r="BC70" i="1"/>
  <c r="E71" i="1"/>
  <c r="F71" i="1"/>
  <c r="BC71" i="1"/>
  <c r="E72" i="1"/>
  <c r="F72" i="1"/>
  <c r="BC72" i="1"/>
  <c r="E73" i="1"/>
  <c r="F73" i="1"/>
  <c r="BC73" i="1"/>
  <c r="E74" i="1"/>
  <c r="F74" i="1"/>
  <c r="BC74" i="1"/>
  <c r="E75" i="1"/>
  <c r="F75" i="1"/>
  <c r="BC75" i="1"/>
  <c r="E76" i="1"/>
  <c r="F76" i="1"/>
  <c r="BC76" i="1"/>
  <c r="E77" i="1"/>
  <c r="F77" i="1"/>
  <c r="BC77" i="1"/>
  <c r="E78" i="1"/>
  <c r="F78" i="1"/>
  <c r="BC78" i="1"/>
  <c r="E79" i="1"/>
  <c r="F79" i="1"/>
  <c r="BC79" i="1"/>
  <c r="E80" i="1"/>
  <c r="F80" i="1"/>
  <c r="BC80" i="1"/>
  <c r="E81" i="1"/>
  <c r="F81" i="1"/>
  <c r="BC81" i="1"/>
  <c r="E82" i="1"/>
  <c r="F82" i="1"/>
  <c r="BC82" i="1"/>
  <c r="E83" i="1"/>
  <c r="F83" i="1"/>
  <c r="BC83" i="1"/>
  <c r="E84" i="1"/>
  <c r="F84" i="1"/>
  <c r="BC84" i="1"/>
  <c r="E85" i="1"/>
  <c r="F85" i="1"/>
  <c r="BC85" i="1"/>
  <c r="E86" i="1"/>
  <c r="F86" i="1"/>
  <c r="BC86" i="1"/>
  <c r="E87" i="1"/>
  <c r="F87" i="1"/>
  <c r="BC87" i="1"/>
  <c r="E88" i="1"/>
  <c r="F88" i="1"/>
  <c r="BC88" i="1"/>
  <c r="E89" i="1"/>
  <c r="F89" i="1"/>
  <c r="BC89" i="1"/>
  <c r="E90" i="1"/>
  <c r="F90" i="1"/>
  <c r="BC90" i="1"/>
  <c r="E91" i="1"/>
  <c r="F91" i="1"/>
  <c r="BC91" i="1"/>
  <c r="E92" i="1"/>
  <c r="F92" i="1"/>
  <c r="BC92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E94" i="1"/>
  <c r="F94" i="1"/>
  <c r="BC94" i="1"/>
  <c r="E95" i="1"/>
  <c r="F95" i="1"/>
  <c r="BC95" i="1"/>
  <c r="E96" i="1"/>
  <c r="F96" i="1"/>
  <c r="BC96" i="1"/>
  <c r="E97" i="1"/>
  <c r="F97" i="1"/>
  <c r="BC97" i="1"/>
  <c r="E98" i="1"/>
  <c r="F98" i="1"/>
  <c r="BC98" i="1"/>
  <c r="E99" i="1"/>
  <c r="F99" i="1"/>
  <c r="BC99" i="1"/>
  <c r="E100" i="1"/>
  <c r="F100" i="1"/>
  <c r="BC100" i="1"/>
  <c r="E101" i="1"/>
  <c r="F101" i="1"/>
  <c r="BC101" i="1"/>
  <c r="E102" i="1"/>
  <c r="F102" i="1"/>
  <c r="BC102" i="1"/>
  <c r="E103" i="1"/>
  <c r="F103" i="1"/>
  <c r="BC103" i="1"/>
  <c r="E104" i="1"/>
  <c r="F104" i="1"/>
  <c r="BC104" i="1"/>
  <c r="E105" i="1"/>
  <c r="F105" i="1"/>
  <c r="BC105" i="1"/>
  <c r="E106" i="1"/>
  <c r="F106" i="1"/>
  <c r="BC106" i="1"/>
  <c r="E107" i="1"/>
  <c r="F107" i="1"/>
  <c r="BC107" i="1"/>
  <c r="E108" i="1"/>
  <c r="F108" i="1"/>
  <c r="BC108" i="1"/>
  <c r="E109" i="1"/>
  <c r="F109" i="1"/>
  <c r="BC109" i="1"/>
  <c r="E110" i="1"/>
  <c r="F110" i="1"/>
  <c r="BC110" i="1"/>
  <c r="E111" i="1"/>
  <c r="F111" i="1"/>
  <c r="BC111" i="1"/>
  <c r="E112" i="1"/>
  <c r="F112" i="1"/>
  <c r="BC112" i="1"/>
  <c r="E113" i="1"/>
  <c r="F113" i="1"/>
  <c r="BC113" i="1"/>
  <c r="E114" i="1"/>
  <c r="F114" i="1"/>
  <c r="BC114" i="1"/>
  <c r="E115" i="1"/>
  <c r="F115" i="1"/>
  <c r="BC115" i="1"/>
  <c r="E116" i="1"/>
  <c r="F116" i="1"/>
  <c r="BC116" i="1"/>
  <c r="E117" i="1"/>
  <c r="F117" i="1"/>
  <c r="BC117" i="1"/>
  <c r="E118" i="1"/>
  <c r="F118" i="1"/>
  <c r="BC118" i="1"/>
  <c r="E119" i="1"/>
  <c r="F119" i="1"/>
  <c r="BC119" i="1"/>
  <c r="E120" i="1"/>
  <c r="F120" i="1"/>
  <c r="BC120" i="1"/>
  <c r="E121" i="1"/>
  <c r="F121" i="1"/>
  <c r="BC121" i="1"/>
  <c r="E122" i="1"/>
  <c r="F122" i="1"/>
  <c r="BC122" i="1"/>
  <c r="E124" i="1"/>
  <c r="F124" i="1"/>
  <c r="BC124" i="1"/>
  <c r="E125" i="1"/>
  <c r="F125" i="1"/>
  <c r="BC125" i="1"/>
  <c r="E126" i="1"/>
  <c r="F126" i="1"/>
  <c r="BC126" i="1"/>
  <c r="E127" i="1"/>
  <c r="F127" i="1"/>
  <c r="BC127" i="1"/>
  <c r="E128" i="1"/>
  <c r="F128" i="1"/>
  <c r="BC128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E130" i="1"/>
  <c r="F130" i="1"/>
  <c r="BC130" i="1"/>
  <c r="E131" i="1"/>
  <c r="F131" i="1"/>
  <c r="BC131" i="1"/>
  <c r="E132" i="1"/>
  <c r="F132" i="1"/>
  <c r="BC132" i="1"/>
  <c r="E133" i="1"/>
  <c r="F133" i="1"/>
  <c r="BC133" i="1"/>
  <c r="E134" i="1"/>
  <c r="F134" i="1"/>
  <c r="BC134" i="1"/>
  <c r="E135" i="1"/>
  <c r="F135" i="1"/>
  <c r="BC135" i="1"/>
  <c r="E136" i="1"/>
  <c r="F136" i="1"/>
  <c r="BC136" i="1"/>
  <c r="E137" i="1"/>
  <c r="F137" i="1"/>
  <c r="BC137" i="1"/>
  <c r="E138" i="1"/>
  <c r="F138" i="1"/>
  <c r="BC138" i="1"/>
  <c r="E139" i="1"/>
  <c r="F139" i="1"/>
  <c r="BC139" i="1"/>
  <c r="E140" i="1"/>
  <c r="F140" i="1"/>
  <c r="BC140" i="1"/>
  <c r="E141" i="1"/>
  <c r="F141" i="1"/>
  <c r="BC141" i="1"/>
  <c r="E142" i="1"/>
  <c r="F142" i="1"/>
  <c r="BC142" i="1"/>
  <c r="E143" i="1"/>
  <c r="F143" i="1"/>
  <c r="BC143" i="1"/>
  <c r="E144" i="1"/>
  <c r="F144" i="1"/>
  <c r="BC144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E146" i="1"/>
  <c r="F146" i="1"/>
  <c r="BC146" i="1"/>
  <c r="E147" i="1"/>
  <c r="F147" i="1"/>
  <c r="BC147" i="1"/>
  <c r="E148" i="1"/>
  <c r="F148" i="1"/>
  <c r="BC148" i="1"/>
  <c r="E149" i="1"/>
  <c r="F149" i="1"/>
  <c r="BC149" i="1"/>
  <c r="E150" i="1"/>
  <c r="F150" i="1"/>
  <c r="BC150" i="1"/>
  <c r="E151" i="1"/>
  <c r="F151" i="1"/>
  <c r="BC151" i="1"/>
  <c r="E152" i="1"/>
  <c r="F152" i="1"/>
  <c r="BC152" i="1"/>
  <c r="E153" i="1"/>
  <c r="F153" i="1"/>
  <c r="BC153" i="1"/>
  <c r="E154" i="1"/>
  <c r="F154" i="1"/>
  <c r="BC154" i="1"/>
  <c r="E155" i="1"/>
  <c r="F155" i="1"/>
  <c r="BC155" i="1"/>
  <c r="E156" i="1"/>
  <c r="F156" i="1"/>
  <c r="BC156" i="1"/>
  <c r="E157" i="1"/>
  <c r="F157" i="1"/>
  <c r="BC157" i="1"/>
  <c r="F158" i="1"/>
  <c r="BC158" i="1"/>
  <c r="F159" i="1"/>
  <c r="BC159" i="1"/>
  <c r="E160" i="1"/>
  <c r="F160" i="1"/>
  <c r="BC160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E162" i="1"/>
  <c r="F162" i="1"/>
  <c r="BC162" i="1"/>
  <c r="E163" i="1"/>
  <c r="F163" i="1"/>
  <c r="BC163" i="1"/>
  <c r="E164" i="1"/>
  <c r="F164" i="1"/>
  <c r="BC164" i="1"/>
  <c r="E165" i="1"/>
  <c r="F165" i="1"/>
  <c r="BC165" i="1"/>
  <c r="E166" i="1"/>
  <c r="F166" i="1"/>
  <c r="BC166" i="1"/>
  <c r="E167" i="1"/>
  <c r="F167" i="1"/>
  <c r="BC167" i="1"/>
  <c r="E168" i="1"/>
  <c r="F168" i="1"/>
  <c r="BC168" i="1"/>
  <c r="E169" i="1"/>
  <c r="F169" i="1"/>
  <c r="BC169" i="1"/>
  <c r="E170" i="1"/>
  <c r="F170" i="1"/>
  <c r="BC170" i="1"/>
  <c r="E171" i="1"/>
  <c r="F171" i="1"/>
  <c r="BC171" i="1"/>
  <c r="E172" i="1"/>
  <c r="F172" i="1"/>
  <c r="BC172" i="1"/>
  <c r="E173" i="1"/>
  <c r="F173" i="1"/>
  <c r="BC173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F175" i="1"/>
  <c r="BC175" i="1"/>
  <c r="E176" i="1"/>
  <c r="F176" i="1"/>
  <c r="BC176" i="1"/>
  <c r="E177" i="1"/>
  <c r="F177" i="1"/>
  <c r="BC177" i="1"/>
  <c r="E178" i="1"/>
  <c r="F178" i="1"/>
  <c r="BC178" i="1"/>
  <c r="E179" i="1"/>
  <c r="F179" i="1"/>
  <c r="BC179" i="1"/>
  <c r="E180" i="1"/>
  <c r="F180" i="1"/>
  <c r="BC180" i="1"/>
  <c r="E181" i="1"/>
  <c r="F181" i="1"/>
  <c r="E182" i="1"/>
  <c r="F182" i="1"/>
  <c r="E183" i="1"/>
  <c r="F183" i="1"/>
  <c r="E184" i="1"/>
  <c r="F184" i="1"/>
  <c r="BC184" i="1"/>
  <c r="E185" i="1"/>
  <c r="F185" i="1"/>
  <c r="BC185" i="1"/>
  <c r="E186" i="1"/>
  <c r="F186" i="1"/>
  <c r="BC186" i="1"/>
  <c r="E187" i="1"/>
  <c r="F187" i="1"/>
  <c r="BC187" i="1"/>
  <c r="E188" i="1"/>
  <c r="F188" i="1"/>
  <c r="BC188" i="1"/>
  <c r="E189" i="1"/>
  <c r="F189" i="1"/>
  <c r="BC189" i="1"/>
  <c r="E190" i="1"/>
  <c r="F190" i="1"/>
  <c r="BC190" i="1"/>
  <c r="E191" i="1"/>
  <c r="F191" i="1"/>
  <c r="BC191" i="1"/>
  <c r="E192" i="1"/>
  <c r="F192" i="1"/>
  <c r="BC192" i="1"/>
  <c r="E193" i="1"/>
  <c r="F193" i="1"/>
  <c r="BC193" i="1"/>
  <c r="E194" i="1"/>
  <c r="F194" i="1"/>
  <c r="BC194" i="1"/>
  <c r="E195" i="1"/>
  <c r="F195" i="1"/>
  <c r="BC195" i="1"/>
  <c r="E196" i="1"/>
  <c r="F196" i="1"/>
  <c r="BC196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E198" i="1"/>
  <c r="F198" i="1"/>
  <c r="BC198" i="1"/>
  <c r="E199" i="1"/>
  <c r="F199" i="1"/>
  <c r="BC199" i="1"/>
  <c r="E200" i="1"/>
  <c r="F200" i="1"/>
  <c r="BC200" i="1"/>
  <c r="E201" i="1"/>
  <c r="F201" i="1"/>
  <c r="BC201" i="1"/>
  <c r="E202" i="1"/>
  <c r="F202" i="1"/>
  <c r="BC202" i="1"/>
  <c r="E203" i="1"/>
  <c r="F203" i="1"/>
  <c r="BC203" i="1"/>
  <c r="E204" i="1"/>
  <c r="F204" i="1"/>
  <c r="BC204" i="1"/>
  <c r="E205" i="1"/>
  <c r="F205" i="1"/>
  <c r="BC205" i="1"/>
  <c r="E206" i="1"/>
  <c r="F206" i="1"/>
  <c r="BC206" i="1"/>
  <c r="E207" i="1"/>
  <c r="F207" i="1"/>
  <c r="BC207" i="1"/>
  <c r="E208" i="1"/>
  <c r="F208" i="1"/>
  <c r="BC208" i="1"/>
  <c r="E209" i="1"/>
  <c r="F209" i="1"/>
  <c r="E211" i="1"/>
  <c r="F211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E213" i="1"/>
  <c r="F213" i="1"/>
  <c r="BC213" i="1"/>
  <c r="E214" i="1"/>
  <c r="F214" i="1"/>
  <c r="BC214" i="1"/>
  <c r="E215" i="1"/>
  <c r="F215" i="1"/>
  <c r="BC215" i="1"/>
  <c r="E216" i="1"/>
  <c r="F216" i="1"/>
  <c r="BC216" i="1"/>
  <c r="E217" i="1"/>
  <c r="F217" i="1"/>
  <c r="BC217" i="1"/>
  <c r="E218" i="1"/>
  <c r="F218" i="1"/>
  <c r="BC218" i="1"/>
  <c r="E219" i="1"/>
  <c r="F219" i="1"/>
  <c r="BC219" i="1"/>
  <c r="E220" i="1"/>
  <c r="F220" i="1"/>
  <c r="BC220" i="1"/>
  <c r="E221" i="1"/>
  <c r="F221" i="1"/>
  <c r="BC221" i="1"/>
  <c r="E222" i="1"/>
  <c r="F222" i="1"/>
  <c r="BC222" i="1"/>
  <c r="E223" i="1"/>
  <c r="F223" i="1"/>
  <c r="BC223" i="1"/>
  <c r="E224" i="1"/>
  <c r="F224" i="1"/>
  <c r="BC224" i="1"/>
  <c r="E225" i="1"/>
  <c r="F225" i="1"/>
  <c r="BC225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E227" i="1"/>
  <c r="F227" i="1"/>
  <c r="BC227" i="1"/>
  <c r="E228" i="1"/>
  <c r="F228" i="1"/>
  <c r="BC228" i="1"/>
  <c r="E229" i="1"/>
  <c r="F229" i="1"/>
  <c r="BC229" i="1"/>
  <c r="E230" i="1"/>
  <c r="F230" i="1"/>
  <c r="BC230" i="1"/>
  <c r="E231" i="1"/>
  <c r="F231" i="1"/>
  <c r="BC231" i="1"/>
  <c r="E232" i="1"/>
  <c r="F232" i="1"/>
  <c r="BC232" i="1"/>
  <c r="E233" i="1"/>
  <c r="F233" i="1"/>
  <c r="BC233" i="1"/>
  <c r="E234" i="1"/>
  <c r="F234" i="1"/>
  <c r="BC234" i="1"/>
  <c r="E235" i="1"/>
  <c r="F235" i="1"/>
  <c r="BC235" i="1"/>
  <c r="E236" i="1"/>
  <c r="F236" i="1"/>
  <c r="BC236" i="1"/>
  <c r="E237" i="1"/>
  <c r="F237" i="1"/>
  <c r="BC237" i="1"/>
  <c r="E238" i="1"/>
  <c r="F238" i="1"/>
  <c r="BC238" i="1"/>
  <c r="E239" i="1"/>
  <c r="F239" i="1"/>
  <c r="BC239" i="1"/>
  <c r="E240" i="1"/>
  <c r="F240" i="1"/>
  <c r="BC240" i="1"/>
  <c r="E241" i="1"/>
  <c r="F241" i="1"/>
  <c r="BC241" i="1"/>
  <c r="E242" i="1"/>
  <c r="F242" i="1"/>
  <c r="BC242" i="1"/>
  <c r="E243" i="1"/>
  <c r="F243" i="1"/>
  <c r="BC243" i="1"/>
  <c r="E244" i="1"/>
  <c r="F244" i="1"/>
  <c r="BC244" i="1"/>
  <c r="E245" i="1"/>
  <c r="F245" i="1"/>
  <c r="BC245" i="1"/>
  <c r="E246" i="1"/>
  <c r="F246" i="1"/>
  <c r="BC246" i="1"/>
  <c r="E248" i="1"/>
  <c r="F248" i="1"/>
  <c r="BC248" i="1"/>
  <c r="E249" i="1"/>
  <c r="F249" i="1"/>
  <c r="BC249" i="1"/>
  <c r="E250" i="1"/>
  <c r="F250" i="1"/>
  <c r="BC250" i="1"/>
  <c r="E251" i="1"/>
  <c r="F251" i="1"/>
  <c r="BC251" i="1"/>
  <c r="E252" i="1"/>
  <c r="F252" i="1"/>
  <c r="BC252" i="1"/>
  <c r="E253" i="1"/>
  <c r="F253" i="1"/>
  <c r="BC253" i="1"/>
  <c r="E254" i="1"/>
  <c r="F254" i="1"/>
  <c r="BC254" i="1"/>
  <c r="E255" i="1"/>
  <c r="F255" i="1"/>
  <c r="BC255" i="1"/>
  <c r="E256" i="1"/>
  <c r="F256" i="1"/>
  <c r="BC256" i="1"/>
  <c r="E257" i="1"/>
  <c r="F257" i="1"/>
  <c r="BC257" i="1"/>
  <c r="E258" i="1"/>
  <c r="F258" i="1"/>
  <c r="BC258" i="1"/>
  <c r="E259" i="1"/>
  <c r="F259" i="1"/>
  <c r="BC259" i="1"/>
  <c r="E260" i="1"/>
  <c r="F260" i="1"/>
  <c r="BC260" i="1"/>
  <c r="E261" i="1"/>
  <c r="F261" i="1"/>
  <c r="BC261" i="1"/>
  <c r="E262" i="1"/>
  <c r="F262" i="1"/>
  <c r="BC262" i="1"/>
  <c r="E263" i="1"/>
  <c r="F263" i="1"/>
  <c r="BC263" i="1"/>
  <c r="G264" i="1"/>
  <c r="G247" i="1" s="1"/>
  <c r="H264" i="1"/>
  <c r="H247" i="1" s="1"/>
  <c r="I264" i="1"/>
  <c r="I247" i="1" s="1"/>
  <c r="J264" i="1"/>
  <c r="J247" i="1" s="1"/>
  <c r="K264" i="1"/>
  <c r="K247" i="1" s="1"/>
  <c r="L264" i="1"/>
  <c r="L247" i="1" s="1"/>
  <c r="M264" i="1"/>
  <c r="M247" i="1" s="1"/>
  <c r="N264" i="1"/>
  <c r="N247" i="1" s="1"/>
  <c r="O264" i="1"/>
  <c r="O247" i="1" s="1"/>
  <c r="P264" i="1"/>
  <c r="P247" i="1" s="1"/>
  <c r="Q264" i="1"/>
  <c r="Q247" i="1" s="1"/>
  <c r="R264" i="1"/>
  <c r="R247" i="1" s="1"/>
  <c r="S264" i="1"/>
  <c r="S247" i="1" s="1"/>
  <c r="T264" i="1"/>
  <c r="T247" i="1" s="1"/>
  <c r="U264" i="1"/>
  <c r="U247" i="1" s="1"/>
  <c r="V264" i="1"/>
  <c r="V247" i="1" s="1"/>
  <c r="W264" i="1"/>
  <c r="W247" i="1" s="1"/>
  <c r="X264" i="1"/>
  <c r="X247" i="1" s="1"/>
  <c r="Y264" i="1"/>
  <c r="Y247" i="1" s="1"/>
  <c r="Z264" i="1"/>
  <c r="Z247" i="1" s="1"/>
  <c r="AA264" i="1"/>
  <c r="AA247" i="1" s="1"/>
  <c r="AB264" i="1"/>
  <c r="AB247" i="1" s="1"/>
  <c r="AC264" i="1"/>
  <c r="AC247" i="1" s="1"/>
  <c r="AD264" i="1"/>
  <c r="AD247" i="1" s="1"/>
  <c r="AE264" i="1"/>
  <c r="AE247" i="1" s="1"/>
  <c r="AF264" i="1"/>
  <c r="AF247" i="1" s="1"/>
  <c r="AG264" i="1"/>
  <c r="AG247" i="1" s="1"/>
  <c r="AH264" i="1"/>
  <c r="AH247" i="1" s="1"/>
  <c r="AI264" i="1"/>
  <c r="AI247" i="1" s="1"/>
  <c r="AJ264" i="1"/>
  <c r="AJ247" i="1" s="1"/>
  <c r="AK264" i="1"/>
  <c r="AK247" i="1" s="1"/>
  <c r="AL264" i="1"/>
  <c r="AL247" i="1" s="1"/>
  <c r="AM264" i="1"/>
  <c r="AM247" i="1" s="1"/>
  <c r="AN264" i="1"/>
  <c r="AN247" i="1" s="1"/>
  <c r="AO264" i="1"/>
  <c r="AO247" i="1" s="1"/>
  <c r="AP264" i="1"/>
  <c r="AP247" i="1" s="1"/>
  <c r="AQ264" i="1"/>
  <c r="AQ247" i="1" s="1"/>
  <c r="AR264" i="1"/>
  <c r="AR247" i="1" s="1"/>
  <c r="AS264" i="1"/>
  <c r="AS247" i="1" s="1"/>
  <c r="AT264" i="1"/>
  <c r="AT247" i="1" s="1"/>
  <c r="AU264" i="1"/>
  <c r="AU247" i="1" s="1"/>
  <c r="AV264" i="1"/>
  <c r="AV247" i="1" s="1"/>
  <c r="AW264" i="1"/>
  <c r="AW247" i="1" s="1"/>
  <c r="AX264" i="1"/>
  <c r="AX247" i="1" s="1"/>
  <c r="AY264" i="1"/>
  <c r="AY247" i="1" s="1"/>
  <c r="AZ264" i="1"/>
  <c r="AZ247" i="1" s="1"/>
  <c r="BA264" i="1"/>
  <c r="BA247" i="1" s="1"/>
  <c r="BB264" i="1"/>
  <c r="BB247" i="1" s="1"/>
  <c r="E265" i="1"/>
  <c r="F265" i="1"/>
  <c r="BC265" i="1"/>
  <c r="E266" i="1"/>
  <c r="F266" i="1"/>
  <c r="BC266" i="1"/>
  <c r="E267" i="1"/>
  <c r="F267" i="1"/>
  <c r="BC267" i="1"/>
  <c r="E268" i="1"/>
  <c r="F268" i="1"/>
  <c r="BC268" i="1"/>
  <c r="E269" i="1"/>
  <c r="F269" i="1"/>
  <c r="BC269" i="1"/>
  <c r="E270" i="1"/>
  <c r="F270" i="1"/>
  <c r="BC270" i="1"/>
  <c r="E271" i="1"/>
  <c r="F271" i="1"/>
  <c r="BC271" i="1"/>
  <c r="E272" i="1"/>
  <c r="F272" i="1"/>
  <c r="BC272" i="1"/>
  <c r="E273" i="1"/>
  <c r="F273" i="1"/>
  <c r="BC273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E275" i="1"/>
  <c r="F275" i="1"/>
  <c r="BC275" i="1"/>
  <c r="E276" i="1"/>
  <c r="F276" i="1"/>
  <c r="BC276" i="1"/>
  <c r="E277" i="1"/>
  <c r="F277" i="1"/>
  <c r="BC277" i="1"/>
  <c r="E278" i="1"/>
  <c r="F278" i="1"/>
  <c r="BC278" i="1"/>
  <c r="E279" i="1"/>
  <c r="F279" i="1"/>
  <c r="BC279" i="1"/>
  <c r="E280" i="1"/>
  <c r="F280" i="1"/>
  <c r="BC280" i="1"/>
  <c r="E281" i="1"/>
  <c r="F281" i="1"/>
  <c r="BC281" i="1"/>
  <c r="E282" i="1"/>
  <c r="F282" i="1"/>
  <c r="BC282" i="1"/>
  <c r="E283" i="1"/>
  <c r="F283" i="1"/>
  <c r="BC283" i="1"/>
  <c r="E284" i="1"/>
  <c r="F284" i="1"/>
  <c r="BC284" i="1"/>
  <c r="E285" i="1"/>
  <c r="F285" i="1"/>
  <c r="BC285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E287" i="1"/>
  <c r="F287" i="1"/>
  <c r="BC287" i="1"/>
  <c r="E288" i="1"/>
  <c r="F288" i="1"/>
  <c r="BC288" i="1"/>
  <c r="E289" i="1"/>
  <c r="F289" i="1"/>
  <c r="BC289" i="1"/>
  <c r="E290" i="1"/>
  <c r="F290" i="1"/>
  <c r="BC290" i="1"/>
  <c r="E291" i="1"/>
  <c r="F291" i="1"/>
  <c r="BC291" i="1"/>
  <c r="E292" i="1"/>
  <c r="F292" i="1"/>
  <c r="BC292" i="1"/>
  <c r="E293" i="1"/>
  <c r="F293" i="1"/>
  <c r="BC293" i="1"/>
  <c r="E294" i="1"/>
  <c r="F294" i="1"/>
  <c r="BC294" i="1"/>
  <c r="E295" i="1"/>
  <c r="F295" i="1"/>
  <c r="BC295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E297" i="1"/>
  <c r="F297" i="1"/>
  <c r="BC297" i="1"/>
  <c r="E298" i="1"/>
  <c r="F298" i="1"/>
  <c r="BC298" i="1"/>
  <c r="E299" i="1"/>
  <c r="F299" i="1"/>
  <c r="BC299" i="1"/>
  <c r="E300" i="1"/>
  <c r="F300" i="1"/>
  <c r="BC300" i="1"/>
  <c r="E301" i="1"/>
  <c r="F301" i="1"/>
  <c r="BC301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V302" i="1"/>
  <c r="AW302" i="1"/>
  <c r="AX302" i="1"/>
  <c r="AY302" i="1"/>
  <c r="AZ302" i="1"/>
  <c r="BA302" i="1"/>
  <c r="BB302" i="1"/>
  <c r="E303" i="1"/>
  <c r="F303" i="1"/>
  <c r="BC303" i="1"/>
  <c r="E304" i="1"/>
  <c r="F304" i="1"/>
  <c r="BC304" i="1"/>
  <c r="E305" i="1"/>
  <c r="F305" i="1"/>
  <c r="BC305" i="1"/>
  <c r="E306" i="1"/>
  <c r="F306" i="1"/>
  <c r="BC306" i="1"/>
  <c r="E307" i="1"/>
  <c r="F307" i="1"/>
  <c r="BC307" i="1"/>
  <c r="E308" i="1"/>
  <c r="F308" i="1"/>
  <c r="BC308" i="1"/>
  <c r="E309" i="1"/>
  <c r="F309" i="1"/>
  <c r="BC309" i="1"/>
  <c r="E310" i="1"/>
  <c r="F310" i="1"/>
  <c r="BC310" i="1"/>
  <c r="BC212" i="1" l="1"/>
  <c r="BC24" i="1"/>
  <c r="BA123" i="1"/>
  <c r="AW123" i="1"/>
  <c r="AS123" i="1"/>
  <c r="AO123" i="1"/>
  <c r="AK123" i="1"/>
  <c r="AG123" i="1"/>
  <c r="AC123" i="1"/>
  <c r="Y123" i="1"/>
  <c r="U123" i="1"/>
  <c r="Q123" i="1"/>
  <c r="M123" i="1"/>
  <c r="I123" i="1"/>
  <c r="BC296" i="1"/>
  <c r="F296" i="1"/>
  <c r="F174" i="1"/>
  <c r="BC145" i="1"/>
  <c r="F145" i="1"/>
  <c r="BC27" i="1"/>
  <c r="F27" i="1"/>
  <c r="F10" i="1"/>
  <c r="F3" i="1" s="1"/>
  <c r="BC274" i="1"/>
  <c r="F274" i="1"/>
  <c r="F212" i="1"/>
  <c r="BC174" i="1"/>
  <c r="F129" i="1"/>
  <c r="AZ123" i="1"/>
  <c r="AV123" i="1"/>
  <c r="AR123" i="1"/>
  <c r="AN123" i="1"/>
  <c r="AJ123" i="1"/>
  <c r="AF123" i="1"/>
  <c r="AB123" i="1"/>
  <c r="X123" i="1"/>
  <c r="T123" i="1"/>
  <c r="P123" i="1"/>
  <c r="L123" i="1"/>
  <c r="H123" i="1"/>
  <c r="BC302" i="1"/>
  <c r="F302" i="1"/>
  <c r="BC286" i="1"/>
  <c r="F286" i="1"/>
  <c r="BC264" i="1"/>
  <c r="BC247" i="1" s="1"/>
  <c r="F264" i="1"/>
  <c r="F247" i="1" s="1"/>
  <c r="BC226" i="1"/>
  <c r="F226" i="1"/>
  <c r="BC197" i="1"/>
  <c r="F197" i="1"/>
  <c r="BC161" i="1"/>
  <c r="F161" i="1"/>
  <c r="BC129" i="1"/>
  <c r="AY123" i="1"/>
  <c r="AU123" i="1"/>
  <c r="AQ123" i="1"/>
  <c r="AM123" i="1"/>
  <c r="AI123" i="1"/>
  <c r="AE123" i="1"/>
  <c r="AA123" i="1"/>
  <c r="W123" i="1"/>
  <c r="S123" i="1"/>
  <c r="O123" i="1"/>
  <c r="K123" i="1"/>
  <c r="G123" i="1"/>
  <c r="BC40" i="1"/>
  <c r="F40" i="1"/>
  <c r="F24" i="1"/>
  <c r="G3" i="1"/>
  <c r="BB123" i="1"/>
  <c r="AX123" i="1"/>
  <c r="AT123" i="1"/>
  <c r="AP123" i="1"/>
  <c r="AL123" i="1"/>
  <c r="AH123" i="1"/>
  <c r="AD123" i="1"/>
  <c r="Z123" i="1"/>
  <c r="V123" i="1"/>
  <c r="R123" i="1"/>
  <c r="N123" i="1"/>
  <c r="J123" i="1"/>
  <c r="BC10" i="1"/>
  <c r="BC3" i="1" s="1"/>
  <c r="F93" i="1"/>
  <c r="BC93" i="1"/>
  <c r="BC55" i="1"/>
  <c r="F55" i="1"/>
  <c r="F123" i="1" l="1"/>
  <c r="BC1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Cortinat</author>
  </authors>
  <commentList>
    <comment ref="D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correa de sacrificio; MTBF más corto que la CV002</t>
        </r>
      </text>
    </comment>
    <comment ref="AD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chutes</t>
        </r>
      </text>
    </comment>
    <comment ref="BB8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cambio correa
</t>
        </r>
      </text>
    </comment>
    <comment ref="AD25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chutes</t>
        </r>
      </text>
    </comment>
    <comment ref="D28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Ver programa de mntto de espesadores más abajo</t>
        </r>
      </text>
    </comment>
    <comment ref="AD28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Solo se mantiene 1 espesador en cada parada mayor -24W-. De tal modo que cada 2.5 años, el mismo espesador se vuelve a mantener. Ver tabla de más abajo para identificar secuencia.</t>
        </r>
      </text>
    </comment>
    <comment ref="BB32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Se mantiene cada 5 años. 1 Tanque y agitador cada año</t>
        </r>
      </text>
    </comment>
    <comment ref="BB33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Se mantiene cada 5 años</t>
        </r>
      </text>
    </comment>
    <comment ref="BB34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Se mantiene cada 5 años</t>
        </r>
      </text>
    </comment>
    <comment ref="BB35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Se mantiene cada 5 años</t>
        </r>
      </text>
    </comment>
    <comment ref="BB36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Se mantiene cada 5 años. 1 Tanque y agitador cada año</t>
        </r>
      </text>
    </comment>
    <comment ref="BB37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Se mantiene cada 5 años</t>
        </r>
      </text>
    </comment>
    <comment ref="BB38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Se mantiene cada 5 años</t>
        </r>
      </text>
    </comment>
    <comment ref="BB39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Se mantiene cada 5 años</t>
        </r>
      </text>
    </comment>
    <comment ref="AD42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años, el mismo espesador se vuelve a mantener. Ver tabla de más abajo para identificar secuencia.</t>
        </r>
      </text>
    </comment>
    <comment ref="BB42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Solo se mantiene 1 espesador en cada parada mayor -24W-. De tal modo que cada 2.5 años, el mismo espesador se vuelve a mantener. Ver tabla de más abajo para identificar secuencia.</t>
        </r>
      </text>
    </comment>
    <comment ref="AD46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años, el mismo espesador se vuelve a mantener. Ver tabla de más abajo para identificar secuencia.</t>
        </r>
      </text>
    </comment>
    <comment ref="BB46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años, el mismo espesador se vuelve a mantener. Ver tabla de más abajo para identificar secuencia.</t>
        </r>
      </text>
    </comment>
    <comment ref="AD49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años, el mismo espesador se vuelve a mantener. Ver tabla de más abajo para identificar secuencia.</t>
        </r>
      </text>
    </comment>
    <comment ref="BB49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años, el mismo espesador se vuelve a mantener. Ver tabla de más abajo para identificar secuencia.</t>
        </r>
      </text>
    </comment>
    <comment ref="AD57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BB57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AD58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BB58" authorId="0" shapeId="0" xr:uid="{00000000-0006-0000-0200-000018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AD59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BB59" authorId="0" shapeId="0" xr:uid="{00000000-0006-0000-0200-00001A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AD60" authorId="0" shapeId="0" xr:uid="{00000000-0006-0000-0200-00001B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BB60" authorId="0" shapeId="0" xr:uid="{00000000-0006-0000-0200-00001C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AD61" authorId="0" shapeId="0" xr:uid="{00000000-0006-0000-0200-00001D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BB61" authorId="0" shapeId="0" xr:uid="{00000000-0006-0000-0200-00001E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AD62" authorId="0" shapeId="0" xr:uid="{00000000-0006-0000-0200-00001F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BB62" authorId="0" shapeId="0" xr:uid="{00000000-0006-0000-0200-000020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AD63" authorId="0" shapeId="0" xr:uid="{00000000-0006-0000-0200-000021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BB63" authorId="0" shapeId="0" xr:uid="{00000000-0006-0000-0200-000022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AD64" authorId="0" shapeId="0" xr:uid="{00000000-0006-0000-0200-000023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BB64" authorId="0" shapeId="0" xr:uid="{00000000-0006-0000-0200-000024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AD65" authorId="0" shapeId="0" xr:uid="{00000000-0006-0000-0200-000025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BB65" authorId="0" shapeId="0" xr:uid="{00000000-0006-0000-0200-000026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AD66" authorId="0" shapeId="0" xr:uid="{00000000-0006-0000-0200-000027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BB66" authorId="0" shapeId="0" xr:uid="{00000000-0006-0000-0200-000028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AD67" authorId="0" shapeId="0" xr:uid="{00000000-0006-0000-0200-000029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BB67" authorId="0" shapeId="0" xr:uid="{00000000-0006-0000-0200-00002A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AD68" authorId="0" shapeId="0" xr:uid="{00000000-0006-0000-0200-00002B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BB68" authorId="0" shapeId="0" xr:uid="{00000000-0006-0000-0200-00002C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AD69" authorId="0" shapeId="0" xr:uid="{00000000-0006-0000-0200-00002D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BB69" authorId="0" shapeId="0" xr:uid="{00000000-0006-0000-0200-00002E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AD70" authorId="0" shapeId="0" xr:uid="{00000000-0006-0000-0200-00002F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BB70" authorId="0" shapeId="0" xr:uid="{00000000-0006-0000-0200-000030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AD71" authorId="0" shapeId="0" xr:uid="{00000000-0006-0000-0200-000031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BB71" authorId="0" shapeId="0" xr:uid="{00000000-0006-0000-0200-000032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D72" authorId="0" shapeId="0" xr:uid="{00000000-0006-0000-0200-000033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hasta aquí
</t>
        </r>
      </text>
    </comment>
    <comment ref="AD72" authorId="0" shapeId="0" xr:uid="{00000000-0006-0000-0200-000034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BB72" authorId="0" shapeId="0" xr:uid="{00000000-0006-0000-0200-000035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shutdown -24W-se mantiene uno de los estanques y agitador del CIP. El mismo estanque y agitador se mantiene cada 5 años</t>
        </r>
      </text>
    </comment>
    <comment ref="D73" authorId="0" shapeId="0" xr:uid="{00000000-0006-0000-0200-000036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No operan continuamente</t>
        </r>
      </text>
    </comment>
    <comment ref="D81" authorId="0" shapeId="0" xr:uid="{00000000-0006-0000-0200-000037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funcionamiento continuo, contiene un agitador, tira pulpa a canaleta. Tiene una especie de arnero</t>
        </r>
      </text>
    </comment>
    <comment ref="D89" authorId="0" shapeId="0" xr:uid="{00000000-0006-0000-0200-000038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Harnero</t>
        </r>
      </text>
    </comment>
    <comment ref="H91" authorId="0" shapeId="0" xr:uid="{00000000-0006-0000-0200-000039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Cada 12W mantenimiento de 6 horas. No debe coincidir con Shutdowns. Lo mismo para todas las bombas</t>
        </r>
      </text>
    </comment>
    <comment ref="AD165" authorId="0" shapeId="0" xr:uid="{00000000-0006-0000-0200-00003A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años, el mismo espesador se vuelve a mantener. Ver tabla de más abajo para identificar secuencia.</t>
        </r>
      </text>
    </comment>
    <comment ref="BB165" authorId="0" shapeId="0" xr:uid="{00000000-0006-0000-0200-00003B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años, el mismo espesador se vuelve a mantener. Ver tabla de más abajo para identificar secuencia.</t>
        </r>
      </text>
    </comment>
    <comment ref="D171" authorId="0" shapeId="0" xr:uid="{00000000-0006-0000-0200-00003C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Dentro del plan de los espesadores
</t>
        </r>
      </text>
    </comment>
    <comment ref="AD171" authorId="0" shapeId="0" xr:uid="{00000000-0006-0000-0200-00003D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Se mantenien junto con el MC Clarifier, en la misma parada mayor</t>
        </r>
      </text>
    </comment>
    <comment ref="BB171" authorId="0" shapeId="0" xr:uid="{00000000-0006-0000-0200-00003E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años, el mismo espesador se vuelve a mantener. Ver tabla de más abajo para identificar secuencia.</t>
        </r>
      </text>
    </comment>
    <comment ref="G199" authorId="0" shapeId="0" xr:uid="{00000000-0006-0000-0200-00003F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ELIMINAR!!!!</t>
        </r>
      </text>
    </comment>
    <comment ref="S209" authorId="0" shapeId="0" xr:uid="{00000000-0006-0000-0200-000040000000}">
      <text>
        <r>
          <rPr>
            <b/>
            <sz val="9"/>
            <color indexed="81"/>
            <rFont val="Tahoma"/>
            <family val="2"/>
          </rPr>
          <t>Jose Cortinat:</t>
        </r>
      </text>
    </comment>
    <comment ref="D280" authorId="0" shapeId="0" xr:uid="{00000000-0006-0000-0200-000041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Bombas del SAR Gould 3600. Desacopladas de parada mayor</t>
        </r>
      </text>
    </comment>
    <comment ref="D288" authorId="0" shapeId="0" xr:uid="{00000000-0006-0000-0200-000042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Misma estrategia cada 3 meses, igual que anteriores</t>
        </r>
      </text>
    </comment>
    <comment ref="B302" authorId="0" shapeId="0" xr:uid="{00000000-0006-0000-0200-000043000000}">
      <text>
        <r>
          <rPr>
            <b/>
            <sz val="9"/>
            <color indexed="81"/>
            <rFont val="Tahoma"/>
            <family val="2"/>
          </rPr>
          <t>Jose Cortinat:</t>
        </r>
        <r>
          <rPr>
            <sz val="9"/>
            <color indexed="81"/>
            <rFont val="Tahoma"/>
            <family val="2"/>
          </rPr>
          <t xml:space="preserve">
Contrato de servicio</t>
        </r>
      </text>
    </comment>
  </commentList>
</comments>
</file>

<file path=xl/sharedStrings.xml><?xml version="1.0" encoding="utf-8"?>
<sst xmlns="http://schemas.openxmlformats.org/spreadsheetml/2006/main" count="3016" uniqueCount="706">
  <si>
    <t>Week (number of hours per week)</t>
  </si>
  <si>
    <t>Item</t>
  </si>
  <si>
    <t>Process Area</t>
  </si>
  <si>
    <t>Equipment Code</t>
  </si>
  <si>
    <t>Equipment Name</t>
  </si>
  <si>
    <t>Failure Model Number</t>
  </si>
  <si>
    <t>DT</t>
  </si>
  <si>
    <t>Total</t>
  </si>
  <si>
    <t>1 PrimaryCrushing</t>
  </si>
  <si>
    <t>2110-BN-001</t>
  </si>
  <si>
    <t>Rom Bin 80 t</t>
  </si>
  <si>
    <t>2110-GZ-0001</t>
  </si>
  <si>
    <t>Grizzly Feeder</t>
  </si>
  <si>
    <t>2110-RK-0001</t>
  </si>
  <si>
    <t>Rock Breaker</t>
  </si>
  <si>
    <t>2110-CR-0001</t>
  </si>
  <si>
    <t>Jaw Crusher</t>
  </si>
  <si>
    <t>2110-CV-0001</t>
  </si>
  <si>
    <t>Crusher Discharge Conveyor</t>
  </si>
  <si>
    <t>2120-CV-0002</t>
  </si>
  <si>
    <t>Stockpile Feed Conveyor</t>
  </si>
  <si>
    <t>2 Grinding</t>
  </si>
  <si>
    <t>2210-FE-0001</t>
  </si>
  <si>
    <t>Apron Feeder</t>
  </si>
  <si>
    <t>2210-FE-0002</t>
  </si>
  <si>
    <t>2210-CV-0003</t>
  </si>
  <si>
    <t>SAG Feed Conveyor</t>
  </si>
  <si>
    <t>3110-MI-0001</t>
  </si>
  <si>
    <t>SAG Mill</t>
  </si>
  <si>
    <t>3110-BX-0026</t>
  </si>
  <si>
    <t>Cyclone Feed Box</t>
  </si>
  <si>
    <t>3110-PU-0061</t>
  </si>
  <si>
    <t>Cyclone Feed Pump</t>
  </si>
  <si>
    <t>3110-PU-0062</t>
  </si>
  <si>
    <t>3120-CY-0001</t>
  </si>
  <si>
    <t>Grinding Cyclone Cluster</t>
  </si>
  <si>
    <t>3120-MI-0002</t>
  </si>
  <si>
    <t>Ball Mill</t>
  </si>
  <si>
    <t>3120-SN-0008</t>
  </si>
  <si>
    <t>Trash Screen</t>
  </si>
  <si>
    <t>3120-SN-0009</t>
  </si>
  <si>
    <t>3120-BX-0003</t>
  </si>
  <si>
    <t>Screen Discharge Box</t>
  </si>
  <si>
    <t>3120-BX-0004</t>
  </si>
  <si>
    <t>3 Pebble</t>
  </si>
  <si>
    <t>3110-CV-0004</t>
  </si>
  <si>
    <t>Pebbles Transfer Conveyor</t>
  </si>
  <si>
    <t>3110-CV-0005</t>
  </si>
  <si>
    <t>Pebbles Return Conveyor</t>
  </si>
  <si>
    <t>4 Leaching</t>
  </si>
  <si>
    <t>3210-TH-0001</t>
  </si>
  <si>
    <t>Leaching Thickener</t>
  </si>
  <si>
    <t>3210-PU-0081</t>
  </si>
  <si>
    <t>Thickener Underflow Pump</t>
  </si>
  <si>
    <t>3210-PU-0082</t>
  </si>
  <si>
    <t>3220-BX-0002</t>
  </si>
  <si>
    <t>Leach Feed Box</t>
  </si>
  <si>
    <t>3220-AG-0001</t>
  </si>
  <si>
    <t>Leach Tank Agitator</t>
  </si>
  <si>
    <t>3220-AG-0002</t>
  </si>
  <si>
    <t>3220-AG-0003</t>
  </si>
  <si>
    <t>3220-AG-0004</t>
  </si>
  <si>
    <t>3220-TA-0001</t>
  </si>
  <si>
    <t>Leach Tank</t>
  </si>
  <si>
    <t>3220-TA-0002</t>
  </si>
  <si>
    <t>3220-TA-0003</t>
  </si>
  <si>
    <t>3220-TA-0004</t>
  </si>
  <si>
    <t>5 CCD</t>
  </si>
  <si>
    <t>3310-BX-0006</t>
  </si>
  <si>
    <t>Thicken Feed Box</t>
  </si>
  <si>
    <t>3310-TH-0003</t>
  </si>
  <si>
    <t>MC CCD Thickener</t>
  </si>
  <si>
    <t>3310-PU-0103</t>
  </si>
  <si>
    <t>CCD Underflow Pump</t>
  </si>
  <si>
    <t>3310-PU-0104</t>
  </si>
  <si>
    <t>CCD Underflow Pump Stby</t>
  </si>
  <si>
    <t>3310-BX-0005</t>
  </si>
  <si>
    <t>3310-TH-0002</t>
  </si>
  <si>
    <t>3310-PU-0101</t>
  </si>
  <si>
    <t>3310-PU-0102</t>
  </si>
  <si>
    <t>3330-TH-0004</t>
  </si>
  <si>
    <t>MC Clarifier</t>
  </si>
  <si>
    <t>3330-TK-0074</t>
  </si>
  <si>
    <t>MC Clarifier Overflow Tank</t>
  </si>
  <si>
    <t>3330-PU-0150</t>
  </si>
  <si>
    <t>MC Clarifier Overflow Pump</t>
  </si>
  <si>
    <t>3330-PU-0151</t>
  </si>
  <si>
    <t>3330-PU-0119</t>
  </si>
  <si>
    <t>MC Clarifier Underflow Pump</t>
  </si>
  <si>
    <t>3330-PU-0120</t>
  </si>
  <si>
    <t>6 CIP</t>
  </si>
  <si>
    <t>3320-BX-0007</t>
  </si>
  <si>
    <t>CIP Feed Box</t>
  </si>
  <si>
    <t>3320-AG-0007</t>
  </si>
  <si>
    <t>CIP Tank Agitator</t>
  </si>
  <si>
    <t>3320-AG-0008</t>
  </si>
  <si>
    <t>3320-AG-0009</t>
  </si>
  <si>
    <t>3320-AG-0010</t>
  </si>
  <si>
    <t>3320-AG-0011</t>
  </si>
  <si>
    <t>3320-AG-0012</t>
  </si>
  <si>
    <t>3320-AG-0013</t>
  </si>
  <si>
    <t>3320-AG-0014</t>
  </si>
  <si>
    <t>3320-TA-0007</t>
  </si>
  <si>
    <t>CIP Tank</t>
  </si>
  <si>
    <t>3320-TA-0008</t>
  </si>
  <si>
    <t>3320-TA-0009</t>
  </si>
  <si>
    <t>3320-TA-0010</t>
  </si>
  <si>
    <t>3320-TA-0011</t>
  </si>
  <si>
    <t>3320-TA-0012</t>
  </si>
  <si>
    <t>3320-TA-0013</t>
  </si>
  <si>
    <t>3320-TA-0014</t>
  </si>
  <si>
    <t>3320-PU-0107</t>
  </si>
  <si>
    <t>Carbon Transfer Pump</t>
  </si>
  <si>
    <t>3320-PU-0108</t>
  </si>
  <si>
    <t>3320-PU-0109</t>
  </si>
  <si>
    <t>3320-PU-0110</t>
  </si>
  <si>
    <t>3320-PU-0111</t>
  </si>
  <si>
    <t>3320-PU-0112</t>
  </si>
  <si>
    <t>3320-PU-0113</t>
  </si>
  <si>
    <t>3320-PU-0114</t>
  </si>
  <si>
    <t>3320-SN-0013</t>
  </si>
  <si>
    <t>Interstage pump Screen</t>
  </si>
  <si>
    <t>3320-SN-0014</t>
  </si>
  <si>
    <t>3320-SN-0015</t>
  </si>
  <si>
    <t>3320-SN-0016</t>
  </si>
  <si>
    <t>3320-SN-0017</t>
  </si>
  <si>
    <t>3320-SN-0018</t>
  </si>
  <si>
    <t>3320-SN-0019</t>
  </si>
  <si>
    <t>3320-SN-0020</t>
  </si>
  <si>
    <t>3320-SN-0022</t>
  </si>
  <si>
    <t>Loaded Carbon Screen</t>
  </si>
  <si>
    <t>3320-BX-0024</t>
  </si>
  <si>
    <t>Loaded Carbon Screen Oversize Box</t>
  </si>
  <si>
    <t>3320-PU-0117</t>
  </si>
  <si>
    <t>Loaded Carbon Screen Oversize Pump</t>
  </si>
  <si>
    <t>3320-PU-0118</t>
  </si>
  <si>
    <t>7 Merril Crowe</t>
  </si>
  <si>
    <t>3330-TK-0011</t>
  </si>
  <si>
    <t>Pregnant Solution Tank</t>
  </si>
  <si>
    <t>3330-PU-0121</t>
  </si>
  <si>
    <t>Filter Feed Pump</t>
  </si>
  <si>
    <t>3330-PU-0122</t>
  </si>
  <si>
    <t>3330-PU-0123</t>
  </si>
  <si>
    <t>Filter Feed Pump Stby</t>
  </si>
  <si>
    <t>3330-FL-0001</t>
  </si>
  <si>
    <t>Clarifier Filter</t>
  </si>
  <si>
    <t>3330-FL-0002</t>
  </si>
  <si>
    <t>3330-FL-0003</t>
  </si>
  <si>
    <t>3330-VE-0001</t>
  </si>
  <si>
    <t>Deaeration Column</t>
  </si>
  <si>
    <t>3330-PU-0125</t>
  </si>
  <si>
    <t>Vacuum Pump</t>
  </si>
  <si>
    <t>3330-PU-0126</t>
  </si>
  <si>
    <t>3330-TK-0012</t>
  </si>
  <si>
    <t>Vacuum Seal Tank</t>
  </si>
  <si>
    <t>3330-TA-0018</t>
  </si>
  <si>
    <t>Zinc Cone Tank</t>
  </si>
  <si>
    <t>3330-AG-0018</t>
  </si>
  <si>
    <t>Zinc Tank Agitator</t>
  </si>
  <si>
    <t>3330-PU-0127</t>
  </si>
  <si>
    <t>Gold Precipitate Pump</t>
  </si>
  <si>
    <t>3330-PU-0128</t>
  </si>
  <si>
    <t>3330-PU-0129</t>
  </si>
  <si>
    <t>Gold Precipitate Pump Standby</t>
  </si>
  <si>
    <t>3330-TK-0014</t>
  </si>
  <si>
    <t>Cloth Wash Tank</t>
  </si>
  <si>
    <t>3330-PU-0133</t>
  </si>
  <si>
    <t>Cloth Wash Pump</t>
  </si>
  <si>
    <t>3330-PU-0134</t>
  </si>
  <si>
    <t>3330-FL-0004</t>
  </si>
  <si>
    <t>Precipitate Filter</t>
  </si>
  <si>
    <t>3330-FL-0005</t>
  </si>
  <si>
    <t>3330-FL-0006</t>
  </si>
  <si>
    <t>3330-FE-0005</t>
  </si>
  <si>
    <t>Precipitate Screw Feeder</t>
  </si>
  <si>
    <t>3330-FE-0006</t>
  </si>
  <si>
    <t>3330-FE-0007</t>
  </si>
  <si>
    <t>3330-ME-0035</t>
  </si>
  <si>
    <t>Idler Table</t>
  </si>
  <si>
    <t>3330-TK-0013</t>
  </si>
  <si>
    <t>Barren Solution Tank</t>
  </si>
  <si>
    <t>3330-PU-0130</t>
  </si>
  <si>
    <t>Barren Solution Pump</t>
  </si>
  <si>
    <t>3330-PU-0131</t>
  </si>
  <si>
    <t>Barren Solution Pump Stby</t>
  </si>
  <si>
    <t>8 Elution</t>
  </si>
  <si>
    <t>3410-VE-0002</t>
  </si>
  <si>
    <t>Acid Wash Vessel</t>
  </si>
  <si>
    <t>3410-PU-0173</t>
  </si>
  <si>
    <t>Acid Wash Transfer Pump</t>
  </si>
  <si>
    <t>3420-VE-0003</t>
  </si>
  <si>
    <t>Elution Vessel</t>
  </si>
  <si>
    <t>3420-HX-0004</t>
  </si>
  <si>
    <t>Recovery Heat Exchanger</t>
  </si>
  <si>
    <t>3420-HX-0005</t>
  </si>
  <si>
    <t>Warming Heat Exchanger</t>
  </si>
  <si>
    <t>9 Carbon Reg</t>
  </si>
  <si>
    <t>3450-SN-0031</t>
  </si>
  <si>
    <t>Stripped Carbon Screen</t>
  </si>
  <si>
    <t>3450-HO-0013</t>
  </si>
  <si>
    <t>Kiln Feed Hopper</t>
  </si>
  <si>
    <t>3450-FE-0010</t>
  </si>
  <si>
    <t>Kiln Screw Feeder</t>
  </si>
  <si>
    <t>3450-KI-0001</t>
  </si>
  <si>
    <t>Carbon Reactivation Kiln</t>
  </si>
  <si>
    <t>3450-SK-0001</t>
  </si>
  <si>
    <t>Kiln Scrubber</t>
  </si>
  <si>
    <t>3330-VE-0005</t>
  </si>
  <si>
    <t>Carbon Column</t>
  </si>
  <si>
    <t>3450-FA-0012</t>
  </si>
  <si>
    <t>Kiln Exhaust Fan</t>
  </si>
  <si>
    <t>3450-SN-0032</t>
  </si>
  <si>
    <t>Carbon Fines Screen</t>
  </si>
  <si>
    <t>3450-BN-0031</t>
  </si>
  <si>
    <t>Carbon Bin</t>
  </si>
  <si>
    <t>3450-PU-0185</t>
  </si>
  <si>
    <t>3450-TK-0021</t>
  </si>
  <si>
    <t>Carbon Fines Collection Tank</t>
  </si>
  <si>
    <t>3450-PU-0182</t>
  </si>
  <si>
    <t>Carbon Fines Pump</t>
  </si>
  <si>
    <t>3450-FL-0009</t>
  </si>
  <si>
    <t>Carbon Fines Filter Press</t>
  </si>
  <si>
    <t>3450-TK-0023</t>
  </si>
  <si>
    <t>Carbon Fines Filtrate Tank</t>
  </si>
  <si>
    <t>3450-PU-0183</t>
  </si>
  <si>
    <t>Filtrate Pump</t>
  </si>
  <si>
    <t>10Refinery</t>
  </si>
  <si>
    <t>10 Refinery</t>
  </si>
  <si>
    <t>3500-FU-0001</t>
  </si>
  <si>
    <t>Mercury Retort</t>
  </si>
  <si>
    <t>3500-FU-0002</t>
  </si>
  <si>
    <t>3500-HX-0008</t>
  </si>
  <si>
    <t>Condenser</t>
  </si>
  <si>
    <t>3500-HX-0009</t>
  </si>
  <si>
    <t>3500-CO-0001</t>
  </si>
  <si>
    <t>Mercury Cooler</t>
  </si>
  <si>
    <t>3500-CO-0004</t>
  </si>
  <si>
    <t>3500-BN-0036</t>
  </si>
  <si>
    <t>Mercury Bin</t>
  </si>
  <si>
    <t>3500-TK-0024</t>
  </si>
  <si>
    <t>Mercury Collecting Tank</t>
  </si>
  <si>
    <t>3500-VE-0004</t>
  </si>
  <si>
    <t>3500-FE-0011</t>
  </si>
  <si>
    <t>Flexwall Precipitate Feeder</t>
  </si>
  <si>
    <t>3500-FE-0013</t>
  </si>
  <si>
    <t>Flux Screw Conveyor</t>
  </si>
  <si>
    <t>3500-MX-0001</t>
  </si>
  <si>
    <t>Precipitate &amp; Flux Ribbon Mixer</t>
  </si>
  <si>
    <t>3500-FE-0014/15</t>
  </si>
  <si>
    <t>Flexwall Feeder</t>
  </si>
  <si>
    <t>3500-FU-0003/4</t>
  </si>
  <si>
    <t>Smelting Furnace</t>
  </si>
  <si>
    <t>3500-LN-0018</t>
  </si>
  <si>
    <t>Slag Granulation Launder</t>
  </si>
  <si>
    <t>11 Detox-Thick</t>
  </si>
  <si>
    <t>3610-AG-0022</t>
  </si>
  <si>
    <t>Cyanide Detox Tank Agitator</t>
  </si>
  <si>
    <t>3610-TA-0022</t>
  </si>
  <si>
    <t>Cyanide Detox Tank</t>
  </si>
  <si>
    <t>3610-SN-0037</t>
  </si>
  <si>
    <t>Detox Screen</t>
  </si>
  <si>
    <t>3620-TH-0006</t>
  </si>
  <si>
    <t>Tails Thickener</t>
  </si>
  <si>
    <t>3620-PU-0238</t>
  </si>
  <si>
    <t>Tails Thickener Underflow Pump</t>
  </si>
  <si>
    <t>3620-PU-0239</t>
  </si>
  <si>
    <t>Tails Thickener Underflow Pump Stby</t>
  </si>
  <si>
    <t>3620-TK-0053</t>
  </si>
  <si>
    <t>Taillings Thincker Overflow Tank</t>
  </si>
  <si>
    <t>3620-PU-0253</t>
  </si>
  <si>
    <t>Tails Thickener Overflow Pump</t>
  </si>
  <si>
    <t>3620-PU-0254</t>
  </si>
  <si>
    <t>Tails Thickener Overflow Pump Stby</t>
  </si>
  <si>
    <t>3620-TH-0007</t>
  </si>
  <si>
    <t>Detox Solution Clarifier</t>
  </si>
  <si>
    <t>3620-PU-0265</t>
  </si>
  <si>
    <t>Clarifier Underflow Pump</t>
  </si>
  <si>
    <t>3620-PU-0266</t>
  </si>
  <si>
    <t xml:space="preserve">Clarifier Underflow Pump </t>
  </si>
  <si>
    <t>12 Filtration</t>
  </si>
  <si>
    <t>3630-SA-0011</t>
  </si>
  <si>
    <t>Tails Sampler</t>
  </si>
  <si>
    <t>3630-BX-0023</t>
  </si>
  <si>
    <t>Filtration Distribution Box</t>
  </si>
  <si>
    <t>3630-AG-0025</t>
  </si>
  <si>
    <t>Filtration Tank Agitator</t>
  </si>
  <si>
    <t>3630-AG-0026</t>
  </si>
  <si>
    <t>3630-TA-0025</t>
  </si>
  <si>
    <t>Filtration Tank</t>
  </si>
  <si>
    <t>3630-TA-0026</t>
  </si>
  <si>
    <t>3630-PU-0240</t>
  </si>
  <si>
    <t>Tails Filtration Feed Pump</t>
  </si>
  <si>
    <t>3630-PU-0242</t>
  </si>
  <si>
    <t>3630-PU-0244</t>
  </si>
  <si>
    <t>3630-FL-0010</t>
  </si>
  <si>
    <t>Tails Filter</t>
  </si>
  <si>
    <t>3630-FL-0011</t>
  </si>
  <si>
    <t>3630-FL-0012</t>
  </si>
  <si>
    <t>3630-AG-0037</t>
  </si>
  <si>
    <t>Filtrate Tank Agitator</t>
  </si>
  <si>
    <t>3630-TA-0037</t>
  </si>
  <si>
    <t>Filtrate Tank</t>
  </si>
  <si>
    <t>3630-PU-0251</t>
  </si>
  <si>
    <t>3630-PU-0252</t>
  </si>
  <si>
    <t>3630-CP-0005</t>
  </si>
  <si>
    <t>Tails Filter Compressor</t>
  </si>
  <si>
    <t>3630-CP-0006</t>
  </si>
  <si>
    <t>3630-CP-0007</t>
  </si>
  <si>
    <t>3630-AR-0009</t>
  </si>
  <si>
    <t>Air Receiver</t>
  </si>
  <si>
    <t>3630-AR-0010</t>
  </si>
  <si>
    <t>3630-AR-0011</t>
  </si>
  <si>
    <t>13 Lime</t>
  </si>
  <si>
    <t>3810-SO-0001</t>
  </si>
  <si>
    <t>Lime Silo</t>
  </si>
  <si>
    <t>3810-FE-0012</t>
  </si>
  <si>
    <t>Lime Screw Feeder</t>
  </si>
  <si>
    <t>3810-BE-0001</t>
  </si>
  <si>
    <t>Lime Bucket Elevator Conveyor</t>
  </si>
  <si>
    <t>3810-XM-0060</t>
  </si>
  <si>
    <t>Slaker</t>
  </si>
  <si>
    <t>3810-BX-0025</t>
  </si>
  <si>
    <t>Milk of Lime Box</t>
  </si>
  <si>
    <t>3810-PU-0395</t>
  </si>
  <si>
    <t>Milk of Lime Pump</t>
  </si>
  <si>
    <t>3810-PU-0396</t>
  </si>
  <si>
    <t>3810-TA-0027</t>
  </si>
  <si>
    <t>Milk of Lime Distribution Tank</t>
  </si>
  <si>
    <t>3810-TA-0028</t>
  </si>
  <si>
    <t>3810-AG-0027</t>
  </si>
  <si>
    <t>Lime Tank Agitator</t>
  </si>
  <si>
    <t>3810-AG-0028</t>
  </si>
  <si>
    <t>3810-PU-0301</t>
  </si>
  <si>
    <t>Lime Distribution Pump</t>
  </si>
  <si>
    <t>DEFINIR</t>
  </si>
  <si>
    <t>Lime Distribution Loop</t>
  </si>
  <si>
    <t>3810-PU-0302</t>
  </si>
  <si>
    <t>14 Cyanide</t>
  </si>
  <si>
    <t>3820-TA-0031</t>
  </si>
  <si>
    <t>NaOH Tank</t>
  </si>
  <si>
    <t>3820-PU-0304</t>
  </si>
  <si>
    <t>NaOH Pump</t>
  </si>
  <si>
    <t>3820-SK-0005</t>
  </si>
  <si>
    <t>NaOH Scrubber System</t>
  </si>
  <si>
    <t>3820-PU-0305</t>
  </si>
  <si>
    <t>NaOH Scrubber System Pump</t>
  </si>
  <si>
    <t>3820-HO-0029</t>
  </si>
  <si>
    <t>Sodium Cyanide Hopper</t>
  </si>
  <si>
    <t>3820-TA-0029</t>
  </si>
  <si>
    <t>Cyanide Preparation Tank</t>
  </si>
  <si>
    <t>3820-AG-0029</t>
  </si>
  <si>
    <t>Cyanide Tank Agitator</t>
  </si>
  <si>
    <t>3820-PU-0307</t>
  </si>
  <si>
    <t>Cyanide Transfer Pump</t>
  </si>
  <si>
    <t>3820-TA-0030</t>
  </si>
  <si>
    <t>Cyanide Distribution Tank</t>
  </si>
  <si>
    <t>3820-AG-0030</t>
  </si>
  <si>
    <t>3820-PU-0308</t>
  </si>
  <si>
    <t>Cyanide Pump</t>
  </si>
  <si>
    <t>3820-PU-0309</t>
  </si>
  <si>
    <t>3820-PU-0310</t>
  </si>
  <si>
    <t>15 Flocculant</t>
  </si>
  <si>
    <t>3830-HO-0024</t>
  </si>
  <si>
    <t>Flocculant Hopper</t>
  </si>
  <si>
    <t>3830-FE-0020</t>
  </si>
  <si>
    <t>Flocculant Screw Feeder</t>
  </si>
  <si>
    <t>3830-BL-0001</t>
  </si>
  <si>
    <t>Flocculant System Blower</t>
  </si>
  <si>
    <t>3830-XM-0068</t>
  </si>
  <si>
    <t>Flocculant Venturi</t>
  </si>
  <si>
    <t>3830-AG-0039</t>
  </si>
  <si>
    <t>Flocculant Tank Agitator</t>
  </si>
  <si>
    <t>3830-TA-0039</t>
  </si>
  <si>
    <t>Flocculant Tank</t>
  </si>
  <si>
    <t>3830-PU-0456</t>
  </si>
  <si>
    <t>Flocculant Transfer Pump</t>
  </si>
  <si>
    <t>3830-TK-0031</t>
  </si>
  <si>
    <t>3830-PU-0312</t>
  </si>
  <si>
    <t>Flocculant Pump</t>
  </si>
  <si>
    <t>3830-PU-0313</t>
  </si>
  <si>
    <t>3830-PU-0314</t>
  </si>
  <si>
    <t>3830-PU-0315</t>
  </si>
  <si>
    <t>3830-PU-0316</t>
  </si>
  <si>
    <t>3830-PU-0317</t>
  </si>
  <si>
    <t>3830-MX-0005</t>
  </si>
  <si>
    <t>Flocculant Mixer</t>
  </si>
  <si>
    <t>3830-MX-0006</t>
  </si>
  <si>
    <t>3830-MX-0007</t>
  </si>
  <si>
    <t>3830-MX-0008</t>
  </si>
  <si>
    <t>3830-MX-0009</t>
  </si>
  <si>
    <t>3830-MX-0010</t>
  </si>
  <si>
    <t>16 SMBS</t>
  </si>
  <si>
    <t>3840-HO-0028</t>
  </si>
  <si>
    <t>SMBS Hopper</t>
  </si>
  <si>
    <t>3840-FE-0019</t>
  </si>
  <si>
    <t>SMBS Screw Feeder</t>
  </si>
  <si>
    <t>3840-TA-0032</t>
  </si>
  <si>
    <t>SMBS Preparation Tank</t>
  </si>
  <si>
    <t>3840-AG-0032</t>
  </si>
  <si>
    <t>SMBS Tank Agitator</t>
  </si>
  <si>
    <t>3840-PU-0321</t>
  </si>
  <si>
    <t>SMBS Transfer Pump</t>
  </si>
  <si>
    <t>3840-TK-0035</t>
  </si>
  <si>
    <t>SMBS Distribution Tank</t>
  </si>
  <si>
    <t>3840-PU-0322</t>
  </si>
  <si>
    <t>SMBS Distribution Pump</t>
  </si>
  <si>
    <t>3840-PU-0323</t>
  </si>
  <si>
    <t>SMBS Distribution Pump Spare</t>
  </si>
  <si>
    <t>3840-HO-0026</t>
  </si>
  <si>
    <t>Cu Sulphate Hopper</t>
  </si>
  <si>
    <t>3840-FE-0018</t>
  </si>
  <si>
    <t>Cu Sulphate Screw Feeder</t>
  </si>
  <si>
    <t>3840-TA-0034</t>
  </si>
  <si>
    <t>Cu Sulphate Preparation Tank</t>
  </si>
  <si>
    <t>3840-AG-0034</t>
  </si>
  <si>
    <t>Cu Sulphate Tank Agitator</t>
  </si>
  <si>
    <t>3840-PU-0320</t>
  </si>
  <si>
    <t>Cu Sulphate Transfer Pump</t>
  </si>
  <si>
    <t>3840-TK-0036</t>
  </si>
  <si>
    <t>Cu Sulphate Distribution Tank</t>
  </si>
  <si>
    <t>3840-PU-0318</t>
  </si>
  <si>
    <t>Cu Sulphate Pump</t>
  </si>
  <si>
    <t>3840-PU-0319</t>
  </si>
  <si>
    <t>Cu Sulphate Pump Spare</t>
  </si>
  <si>
    <t>17 Oxygen</t>
  </si>
  <si>
    <t>3850-CP-0013</t>
  </si>
  <si>
    <t>Air Compressor</t>
  </si>
  <si>
    <t>3850-CQ-0002</t>
  </si>
  <si>
    <t>Air Cooler</t>
  </si>
  <si>
    <t>3850-AR-0006</t>
  </si>
  <si>
    <t>3850-FL-0020</t>
  </si>
  <si>
    <t>Air Filter</t>
  </si>
  <si>
    <t>3850-DR-0004</t>
  </si>
  <si>
    <t>Air Dryer</t>
  </si>
  <si>
    <t>3850-VE-0007</t>
  </si>
  <si>
    <t>Adsorption Column</t>
  </si>
  <si>
    <t>3850-VE-0008</t>
  </si>
  <si>
    <t>3850-AQ-0004</t>
  </si>
  <si>
    <t>Enriched Air Accumulator</t>
  </si>
  <si>
    <t>3850-HX-0010</t>
  </si>
  <si>
    <t>Cooling Heat Exchanger</t>
  </si>
  <si>
    <t>19 Raw Water</t>
  </si>
  <si>
    <t>7200-PU-0422</t>
  </si>
  <si>
    <t>Well Water Pump</t>
  </si>
  <si>
    <t>7200-PU-0426</t>
  </si>
  <si>
    <t>7200-FL-0016</t>
  </si>
  <si>
    <t>Raw Water Strainer Filter</t>
  </si>
  <si>
    <t>7200-FL-0019</t>
  </si>
  <si>
    <t>7200-TK-0052</t>
  </si>
  <si>
    <t>Raw Water Tank</t>
  </si>
  <si>
    <t>7200-PU-0423</t>
  </si>
  <si>
    <t>Raw Water Pump</t>
  </si>
  <si>
    <t>7200-PU-0424</t>
  </si>
  <si>
    <t>7200-PU-0427</t>
  </si>
  <si>
    <t>Raw Water Pump Stby</t>
  </si>
  <si>
    <t>4100-TK-0042</t>
  </si>
  <si>
    <t>4100-WT-0002</t>
  </si>
  <si>
    <t>Potabilization Unit</t>
  </si>
  <si>
    <t>4100-TK-0044</t>
  </si>
  <si>
    <t>Potable Water Tank</t>
  </si>
  <si>
    <t>20 Proc Water</t>
  </si>
  <si>
    <t>3700-TK-0028</t>
  </si>
  <si>
    <t>Detox Solution Tank</t>
  </si>
  <si>
    <t>3700-PU-0271</t>
  </si>
  <si>
    <t>Detox Solution Pump</t>
  </si>
  <si>
    <t>3700-PU-0272</t>
  </si>
  <si>
    <t>Detox Solution Pump Stby</t>
  </si>
  <si>
    <t>3700-TK-0029</t>
  </si>
  <si>
    <t>Mill Water Tank</t>
  </si>
  <si>
    <t>3700-PU-0274</t>
  </si>
  <si>
    <t>Mill Water Pump</t>
  </si>
  <si>
    <t>3700-PU-0275</t>
  </si>
  <si>
    <t>Mill Water Pump Stby</t>
  </si>
  <si>
    <t>3700-TK-0062</t>
  </si>
  <si>
    <t>Clarified Solution Tank</t>
  </si>
  <si>
    <t>3700-PU-0263</t>
  </si>
  <si>
    <t>Clarified Solution Pump</t>
  </si>
  <si>
    <t>3700-PU-0264</t>
  </si>
  <si>
    <t>Clarified Solution Pump Stby</t>
  </si>
  <si>
    <t>21 Compressed Air</t>
  </si>
  <si>
    <t>4300-CP-0011</t>
  </si>
  <si>
    <t>4300-CP-0012</t>
  </si>
  <si>
    <t>4300-AR-0004</t>
  </si>
  <si>
    <t>Plant Air Receiver</t>
  </si>
  <si>
    <t>4300-DR-0003</t>
  </si>
  <si>
    <t>Instrumentation Air Dryer</t>
  </si>
  <si>
    <t>4300-AR-0005</t>
  </si>
  <si>
    <t>Instrumentation Air Receiver</t>
  </si>
  <si>
    <t>22 Diesel</t>
  </si>
  <si>
    <t>4500-PU-0391</t>
  </si>
  <si>
    <t>Diesel Supply Pump</t>
  </si>
  <si>
    <t>4500-TK-0067</t>
  </si>
  <si>
    <t>Diesel Storage Tank</t>
  </si>
  <si>
    <t>4500-TK-0068</t>
  </si>
  <si>
    <t>4500-PU-0392</t>
  </si>
  <si>
    <t>Diesel Pump</t>
  </si>
  <si>
    <t>4500-PU-0393</t>
  </si>
  <si>
    <t>Diesel Pump Stby</t>
  </si>
  <si>
    <t>4500-TK-0048</t>
  </si>
  <si>
    <t>Carbon Regeneration Diesel Daily Tank</t>
  </si>
  <si>
    <t>4500-TK-0049</t>
  </si>
  <si>
    <t>Refinery Diesel Daily Tank</t>
  </si>
  <si>
    <t>4500-TK-0050</t>
  </si>
  <si>
    <t>Elution Diesel Daily Tank</t>
  </si>
  <si>
    <t>Mantención Espesadores</t>
  </si>
  <si>
    <t>Y1S1</t>
  </si>
  <si>
    <t>Y1S2</t>
  </si>
  <si>
    <t>Y2S1</t>
  </si>
  <si>
    <t>Y2S2</t>
  </si>
  <si>
    <t>Y3S1</t>
  </si>
  <si>
    <t>Y3S2</t>
  </si>
  <si>
    <t>Y1</t>
  </si>
  <si>
    <t>Y2</t>
  </si>
  <si>
    <t>Y3</t>
  </si>
  <si>
    <t>Y4</t>
  </si>
  <si>
    <t>Y4S1</t>
  </si>
  <si>
    <t>Y4S2</t>
  </si>
  <si>
    <t>El Detxo Screen se puede bypasear</t>
  </si>
  <si>
    <t>Se extiende la vida util de los componentes de una, y se echa a andar la otra</t>
  </si>
  <si>
    <t>FailureModel</t>
  </si>
  <si>
    <t>Taskid</t>
  </si>
  <si>
    <t>Description</t>
  </si>
  <si>
    <t>Task duration</t>
  </si>
  <si>
    <t>01 PrimaryCrushing</t>
  </si>
  <si>
    <t>Corrective Maintenace</t>
  </si>
  <si>
    <t>02 Grinding</t>
  </si>
  <si>
    <t>3500-FU-0003</t>
  </si>
  <si>
    <t>3500-FU-0003/0004</t>
  </si>
  <si>
    <t>3500-FU-0004</t>
  </si>
  <si>
    <t>09 Carbon Reg</t>
  </si>
  <si>
    <t>06 CIP</t>
  </si>
  <si>
    <t>07 Merril Crowe</t>
  </si>
  <si>
    <t>03 Pebble</t>
  </si>
  <si>
    <t>04 Leaching</t>
  </si>
  <si>
    <t>05 CCD</t>
  </si>
  <si>
    <t>08 Elution</t>
  </si>
  <si>
    <t>3500-FE-0014</t>
  </si>
  <si>
    <t>3500-FE-0014/0015</t>
  </si>
  <si>
    <t>3500-FE-0015</t>
  </si>
  <si>
    <t>Failure Mode</t>
  </si>
  <si>
    <t>Task Id</t>
  </si>
  <si>
    <t>Type</t>
  </si>
  <si>
    <t>Sub Index</t>
  </si>
  <si>
    <t>Interval (hrs)</t>
  </si>
  <si>
    <t>Fixed maintenance interval</t>
  </si>
  <si>
    <t>Non-Operational during maintenance</t>
  </si>
  <si>
    <t>PM1</t>
  </si>
  <si>
    <t>Planned</t>
  </si>
  <si>
    <t>X</t>
  </si>
  <si>
    <t>PM2</t>
  </si>
  <si>
    <t>PM3</t>
  </si>
  <si>
    <t>PM4</t>
  </si>
  <si>
    <t>PM5</t>
  </si>
  <si>
    <t>PM6</t>
  </si>
  <si>
    <t>PM58</t>
  </si>
  <si>
    <t>Stockpile feed conveyor</t>
  </si>
  <si>
    <t>PM7</t>
  </si>
  <si>
    <t>Kiln / Smelting Furnace</t>
  </si>
  <si>
    <t>PM8</t>
  </si>
  <si>
    <t>Grinding cyclone</t>
  </si>
  <si>
    <t>PM9</t>
  </si>
  <si>
    <t>Hopper</t>
  </si>
  <si>
    <t>PM10</t>
  </si>
  <si>
    <t>Interstage pump screen</t>
  </si>
  <si>
    <t>PM11</t>
  </si>
  <si>
    <t>Trash screen</t>
  </si>
  <si>
    <t>PM12</t>
  </si>
  <si>
    <t>Grizzly feeder</t>
  </si>
  <si>
    <t>PM13</t>
  </si>
  <si>
    <t>SAG feed conveyor</t>
  </si>
  <si>
    <t>PM14</t>
  </si>
  <si>
    <t>PM15</t>
  </si>
  <si>
    <t>Idler table</t>
  </si>
  <si>
    <t>PM16</t>
  </si>
  <si>
    <t>PM17</t>
  </si>
  <si>
    <t>Lime conveyor</t>
  </si>
  <si>
    <t>PM18</t>
  </si>
  <si>
    <t>Pebble conveyor</t>
  </si>
  <si>
    <t>PM19</t>
  </si>
  <si>
    <t>Thickener</t>
  </si>
  <si>
    <t>PM61</t>
  </si>
  <si>
    <t>Clarifier</t>
  </si>
  <si>
    <t>PM60</t>
  </si>
  <si>
    <t>Centrifugal pump, slurry</t>
  </si>
  <si>
    <t>PM22</t>
  </si>
  <si>
    <t>PM59</t>
  </si>
  <si>
    <t>Centrifugal pump, stdby</t>
  </si>
  <si>
    <t>IN1</t>
  </si>
  <si>
    <t>Inspection</t>
  </si>
  <si>
    <t>Column</t>
  </si>
  <si>
    <t>PM23</t>
  </si>
  <si>
    <t>Pump</t>
  </si>
  <si>
    <t>PM24</t>
  </si>
  <si>
    <t>Filter</t>
  </si>
  <si>
    <t>PM25</t>
  </si>
  <si>
    <t>Slag granulation launder</t>
  </si>
  <si>
    <t>PM26</t>
  </si>
  <si>
    <t>Carbon transfer pump</t>
  </si>
  <si>
    <t>PM27</t>
  </si>
  <si>
    <t>Centrifugal pump</t>
  </si>
  <si>
    <t>PM28</t>
  </si>
  <si>
    <t>Strainer filter</t>
  </si>
  <si>
    <t>PM29</t>
  </si>
  <si>
    <t>Agitator</t>
  </si>
  <si>
    <t>PM30</t>
  </si>
  <si>
    <t>Tank</t>
  </si>
  <si>
    <t>PM31</t>
  </si>
  <si>
    <t>PM32</t>
  </si>
  <si>
    <t>Vessel</t>
  </si>
  <si>
    <t>PM33</t>
  </si>
  <si>
    <t>PM34</t>
  </si>
  <si>
    <t>Mercury retort</t>
  </si>
  <si>
    <t>PM35</t>
  </si>
  <si>
    <t>Compressor</t>
  </si>
  <si>
    <t>PM36</t>
  </si>
  <si>
    <t>Air receiver</t>
  </si>
  <si>
    <t>PM37</t>
  </si>
  <si>
    <t>Condenser / Dryer</t>
  </si>
  <si>
    <t>PM38</t>
  </si>
  <si>
    <t>Feed box</t>
  </si>
  <si>
    <t>PM39</t>
  </si>
  <si>
    <t>Heat exchanger</t>
  </si>
  <si>
    <t>PM40</t>
  </si>
  <si>
    <t>Barren solution pump</t>
  </si>
  <si>
    <t>PM41</t>
  </si>
  <si>
    <t>Cooler</t>
  </si>
  <si>
    <t>PM42</t>
  </si>
  <si>
    <t>PM43</t>
  </si>
  <si>
    <t>Water/Diesel pump</t>
  </si>
  <si>
    <t>PM44</t>
  </si>
  <si>
    <t>Blower</t>
  </si>
  <si>
    <t>PM45</t>
  </si>
  <si>
    <t>Feeder</t>
  </si>
  <si>
    <t>PM46</t>
  </si>
  <si>
    <t>Vacuum pump</t>
  </si>
  <si>
    <t>PM47</t>
  </si>
  <si>
    <t>Screw feeder</t>
  </si>
  <si>
    <t>PM48</t>
  </si>
  <si>
    <t>Bin</t>
  </si>
  <si>
    <t>PM49</t>
  </si>
  <si>
    <t>Carbon column</t>
  </si>
  <si>
    <t>PM50</t>
  </si>
  <si>
    <t>PM51</t>
  </si>
  <si>
    <t>Carbon bin</t>
  </si>
  <si>
    <t>PM52</t>
  </si>
  <si>
    <t>Crusher discharge conveyor</t>
  </si>
  <si>
    <t>PM53</t>
  </si>
  <si>
    <t>Screen</t>
  </si>
  <si>
    <t>PM54</t>
  </si>
  <si>
    <t>Detox screen</t>
  </si>
  <si>
    <t>PM55</t>
  </si>
  <si>
    <t>Trigger Mnto 4W SAG Mill</t>
  </si>
  <si>
    <t>PM57</t>
  </si>
  <si>
    <t>Trigger Ovh 6M SAG</t>
  </si>
  <si>
    <t>PM56</t>
  </si>
  <si>
    <t>Equipment</t>
  </si>
  <si>
    <t>Scheduled Maintenance strategy</t>
  </si>
  <si>
    <t>4W: Cleaning, transmision belts inspection; 24W: Lubricat, staffin box, suction plate replacement and inspections, motor preventive maintenance</t>
  </si>
  <si>
    <t>4W: Looseness, cracks, wear and corrosion inspection; general cleaning</t>
  </si>
  <si>
    <t>12W: Preventive maintenance</t>
  </si>
  <si>
    <t>Air compressor</t>
  </si>
  <si>
    <t>4W: Cooler cleaning and general inspection; 24W: Filters and oil replacement, cleaning; 42W: greasing motor and looseness of components; 48W: valves overhaul, valve seals replacement</t>
  </si>
  <si>
    <t>12W: piping leakage and wear, components wear inspection, cleaning: 24W: Corrosion</t>
  </si>
  <si>
    <t>Air dryer</t>
  </si>
  <si>
    <t>12W: Filter elements replacement, oil replacement, cleaning, bolts looneseness and component wear inspection</t>
  </si>
  <si>
    <t>12W: Cleaning, filters replacement, wear and corrosion inpection, leakage and looseness of connections</t>
  </si>
  <si>
    <t>8W: scrappers, belt splice, pulleys and high speed coupling, belt thickness measure; 48W: hidraulic oil and filter replacement</t>
  </si>
  <si>
    <t>Ball mill</t>
  </si>
  <si>
    <t>12W: Liners ultrasound inspection, leakages, trunion cane wear; 26W: Liners replacement</t>
  </si>
  <si>
    <t>12W: Cleaning, tank wear and corrosion inpection, leakage and looseness of connections</t>
  </si>
  <si>
    <t>12W: Inspection of lifters, structure and loose bolts</t>
  </si>
  <si>
    <t>12W: inspection; 24W: screen replacement and standby preventive maintenance execution</t>
  </si>
  <si>
    <t xml:space="preserve">12W: cleaning, general inspection; 24W: cleaning, general inspection; </t>
  </si>
  <si>
    <t>4W: Coupling inspection and pump cleaning; 24W: Motor preventive maintenance</t>
  </si>
  <si>
    <t>12W: Box wear and bolts looseness, general cleaning</t>
  </si>
  <si>
    <t>12W: Filter elements replacement, oil replacement, cleaning, bolts looneseness and component wear inspection; 24W: corrosion and wear</t>
  </si>
  <si>
    <t>4W: inspection; 24W: cleaning and component replacement</t>
  </si>
  <si>
    <t>12W: Inspection; 24W: replacement</t>
  </si>
  <si>
    <t>4W: Drive system inspection, belt, rollers and scrappers inspection, chutes  lifters wear and general bolts looseness, counterweigh inspection, rollers replacement; 12W: Belt thickness, Splice inspection, lube, pulley rubber wea, hydraulic checks and inspections; 24W: Magnet belt replacement</t>
  </si>
  <si>
    <t>12W: wear, corrosion, looseness and leakage inspection; 24W: components replacement and general cleaning</t>
  </si>
  <si>
    <t>48W: Overhaul</t>
  </si>
  <si>
    <t>12W: Cleaning, tank wear and corrosion inpection, leakage and looseness of connections; agitator blades wear and loosenes inspection</t>
  </si>
  <si>
    <t>12W (2000hr): Inspections and components replacement (jacket, impeller ring, lighting ring); 24W (4000hr): Wet end components inspection and/or replacement</t>
  </si>
  <si>
    <t>12W: Oil replacement, cleaning, bolts looneseness and component wear&amp;corrosion inspection; reparations</t>
  </si>
  <si>
    <t>12W: Inspection; 24W: seals replacement</t>
  </si>
  <si>
    <t>12W: Cleaning, functional test, wear corrosion inspection</t>
  </si>
  <si>
    <t>12W: Drain line air, check structure and piping, cleaning</t>
  </si>
  <si>
    <t>12W: Cleaning, check structure and piping, wear inspection</t>
  </si>
  <si>
    <t>4W: Weightmeter maintenance, cleaning and inspection of belt componnents, rollers replacement; 12W: Instrumentation, pulleys cleaning and seals wear; 24W: Motor maintenance</t>
  </si>
  <si>
    <t>2W: belt cleaning and drive gearbox oil level and breather inspection; 4W: scrappers, belt splice, pulleys and high speed coupling, belt thickness measure; 48W: hidraulic oil and filter replacement</t>
  </si>
  <si>
    <t>4W: Wear inspection and replacements; general cleaning</t>
  </si>
  <si>
    <t>24W: Cleaning, connections tightening and functional test</t>
  </si>
  <si>
    <t>2W: Inspections, crushing checks, oil samples, leakages and cleaning</t>
  </si>
  <si>
    <t>12W: Fan cleaning, blades wear an looseness, structure for cracks and looseness</t>
  </si>
  <si>
    <t>12W; 24W: preventive Maintenance</t>
  </si>
  <si>
    <t>120W: cleaning, wear inspection and components loosse, corrosion inspection and components replacement; Lubricate; drive system preventive maintenance</t>
  </si>
  <si>
    <t>24W: Wear and cracks structural inspection</t>
  </si>
  <si>
    <t>4W: Cleaning, functionality check; 24W: Lubricat, staffin box, suction plate replacement and inspections, motor preventive maintenance</t>
  </si>
  <si>
    <t>4W: Belt splice inspection, roller tables cleaning, chute lifters wear and general bolts looseness, rollers replacement; 12W: pulleys lubricant replacement</t>
  </si>
  <si>
    <t>4W: belt and belt splice inspection, roller tables cleaning , rollers replacement; 20W: drive system coupling inspection, pulleys cleaning and wear</t>
  </si>
  <si>
    <t>24W: Cleaning, connections tightening, wear inspection, components repair/replacements</t>
  </si>
  <si>
    <t>12W: Cleaning, filters replacement, tank wear and corrosion inpection, leakage and looseness of connections</t>
  </si>
  <si>
    <t>4W: Inspection; trommel; 24W: Liners replacement</t>
  </si>
  <si>
    <t>24W: Electrical components inspection</t>
  </si>
  <si>
    <t>24W: Cleaning,  Lubricate; drive system preventive maintenance; 96W: cleaning, wear inspection and components loosse, corrosion inspection and components replacement</t>
  </si>
  <si>
    <t>24W: Pulleys, transmission belt, coupling and pump seals inspection; 48W: Wet end components inspection and/or replacement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</si>
</sst>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* #,##0_ ;_ &quot;$&quot;* \-#,##0_ ;_ &quot;$&quot;* &quot;-&quot;_ ;_ @_ "/>
    <numFmt numFmtId="165" formatCode="_ * #,##0_ ;_ * \-#,##0_ ;_ * &quot;-&quot;_ ;_ @_ "/>
    <numFmt numFmtId="166" formatCode="_-&quot;$&quot;\ * #,##0.00_-;\-&quot;$&quot;\ * #,##0.00_-;_-&quot;$&quot;\ * &quot;-&quot;??_-;_-@_-"/>
    <numFmt numFmtId="167" formatCode="_-* #,##0.00_-;\-* #,##0.00_-;_-* &quot;-&quot;??_-;_-@_-"/>
    <numFmt numFmtId="168" formatCode="0.0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">
    <xf numFmtId="0" fontId="0" fillId="0" borderId="0"/>
    <xf numFmtId="0" fontId="1" fillId="0" borderId="0"/>
    <xf numFmtId="165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1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9" fillId="0" borderId="0"/>
  </cellStyleXfs>
  <cellXfs count="64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3" fillId="0" borderId="0" xfId="1" applyFont="1"/>
    <xf numFmtId="0" fontId="1" fillId="0" borderId="1" xfId="1" applyBorder="1" applyAlignment="1">
      <alignment horizontal="left"/>
    </xf>
    <xf numFmtId="0" fontId="1" fillId="0" borderId="1" xfId="1" applyBorder="1"/>
    <xf numFmtId="0" fontId="1" fillId="0" borderId="1" xfId="1" applyBorder="1" applyAlignment="1">
      <alignment horizontal="center"/>
    </xf>
    <xf numFmtId="0" fontId="1" fillId="2" borderId="1" xfId="1" applyFill="1" applyBorder="1"/>
    <xf numFmtId="0" fontId="1" fillId="3" borderId="2" xfId="1" applyFill="1" applyBorder="1" applyAlignment="1">
      <alignment horizontal="center"/>
    </xf>
    <xf numFmtId="0" fontId="1" fillId="0" borderId="2" xfId="1" applyBorder="1"/>
    <xf numFmtId="0" fontId="1" fillId="4" borderId="2" xfId="1" applyFill="1" applyBorder="1"/>
    <xf numFmtId="0" fontId="4" fillId="3" borderId="2" xfId="1" applyFont="1" applyFill="1" applyBorder="1" applyAlignment="1">
      <alignment horizontal="center"/>
    </xf>
    <xf numFmtId="0" fontId="1" fillId="3" borderId="2" xfId="1" applyFill="1" applyBorder="1"/>
    <xf numFmtId="0" fontId="1" fillId="3" borderId="1" xfId="1" applyFill="1" applyBorder="1"/>
    <xf numFmtId="0" fontId="1" fillId="4" borderId="2" xfId="1" applyFill="1" applyBorder="1" applyAlignment="1">
      <alignment wrapText="1"/>
    </xf>
    <xf numFmtId="0" fontId="1" fillId="0" borderId="1" xfId="1" applyBorder="1" applyAlignment="1">
      <alignment wrapText="1"/>
    </xf>
    <xf numFmtId="0" fontId="1" fillId="0" borderId="2" xfId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1" fillId="0" borderId="2" xfId="1" applyBorder="1" applyAlignment="1">
      <alignment wrapText="1"/>
    </xf>
    <xf numFmtId="0" fontId="1" fillId="5" borderId="1" xfId="1" applyFill="1" applyBorder="1" applyAlignment="1">
      <alignment wrapText="1"/>
    </xf>
    <xf numFmtId="0" fontId="1" fillId="5" borderId="2" xfId="1" applyFill="1" applyBorder="1"/>
    <xf numFmtId="0" fontId="1" fillId="5" borderId="1" xfId="1" applyFill="1" applyBorder="1"/>
    <xf numFmtId="0" fontId="1" fillId="0" borderId="2" xfId="1" applyBorder="1" applyAlignment="1">
      <alignment horizontal="left"/>
    </xf>
    <xf numFmtId="0" fontId="4" fillId="0" borderId="2" xfId="1" applyFont="1" applyBorder="1"/>
    <xf numFmtId="0" fontId="4" fillId="0" borderId="1" xfId="1" applyFont="1" applyBorder="1"/>
    <xf numFmtId="0" fontId="2" fillId="6" borderId="1" xfId="1" applyFont="1" applyFill="1" applyBorder="1" applyAlignment="1">
      <alignment horizontal="left"/>
    </xf>
    <xf numFmtId="0" fontId="5" fillId="7" borderId="1" xfId="1" applyFont="1" applyFill="1" applyBorder="1" applyAlignment="1">
      <alignment horizontal="left"/>
    </xf>
    <xf numFmtId="0" fontId="1" fillId="0" borderId="0" xfId="1" applyAlignment="1">
      <alignment horizontal="right"/>
    </xf>
    <xf numFmtId="0" fontId="1" fillId="0" borderId="3" xfId="1" applyBorder="1" applyAlignment="1">
      <alignment horizontal="left"/>
    </xf>
    <xf numFmtId="0" fontId="2" fillId="6" borderId="4" xfId="1" applyFont="1" applyFill="1" applyBorder="1"/>
    <xf numFmtId="0" fontId="2" fillId="6" borderId="5" xfId="1" applyFont="1" applyFill="1" applyBorder="1"/>
    <xf numFmtId="0" fontId="2" fillId="6" borderId="1" xfId="29" applyFont="1" applyFill="1" applyBorder="1"/>
    <xf numFmtId="0" fontId="1" fillId="0" borderId="0" xfId="29"/>
    <xf numFmtId="0" fontId="1" fillId="0" borderId="1" xfId="29" applyBorder="1"/>
    <xf numFmtId="0" fontId="4" fillId="0" borderId="1" xfId="29" applyFont="1" applyBorder="1"/>
    <xf numFmtId="0" fontId="8" fillId="0" borderId="1" xfId="29" applyFont="1" applyBorder="1"/>
    <xf numFmtId="3" fontId="1" fillId="0" borderId="1" xfId="29" applyNumberFormat="1" applyBorder="1"/>
    <xf numFmtId="0" fontId="1" fillId="0" borderId="1" xfId="29" applyBorder="1" applyAlignment="1">
      <alignment wrapText="1"/>
    </xf>
    <xf numFmtId="0" fontId="1" fillId="5" borderId="1" xfId="29" applyFill="1" applyBorder="1"/>
    <xf numFmtId="0" fontId="4" fillId="0" borderId="2" xfId="29" applyFont="1" applyBorder="1"/>
    <xf numFmtId="0" fontId="4" fillId="0" borderId="0" xfId="29" applyFont="1"/>
    <xf numFmtId="0" fontId="1" fillId="0" borderId="2" xfId="29" applyBorder="1"/>
    <xf numFmtId="0" fontId="1" fillId="0" borderId="6" xfId="29" applyBorder="1"/>
    <xf numFmtId="0" fontId="0" fillId="0" borderId="1" xfId="1" applyFont="1" applyBorder="1"/>
    <xf numFmtId="0" fontId="1" fillId="8" borderId="1" xfId="1" applyFill="1" applyBorder="1"/>
    <xf numFmtId="0" fontId="1" fillId="8" borderId="2" xfId="1" applyFill="1" applyBorder="1"/>
    <xf numFmtId="0" fontId="1" fillId="8" borderId="2" xfId="1" applyFill="1" applyBorder="1" applyAlignment="1">
      <alignment horizontal="center"/>
    </xf>
    <xf numFmtId="167" fontId="1" fillId="3" borderId="1" xfId="32" applyFill="1" applyBorder="1"/>
    <xf numFmtId="0" fontId="0" fillId="0" borderId="1" xfId="29" applyFont="1" applyBorder="1"/>
    <xf numFmtId="0" fontId="0" fillId="0" borderId="0" xfId="29" applyFont="1"/>
    <xf numFmtId="0" fontId="0" fillId="0" borderId="2" xfId="29" applyFont="1" applyBorder="1"/>
    <xf numFmtId="0" fontId="0" fillId="0" borderId="0" xfId="0" applyAlignment="1">
      <alignment vertical="center"/>
    </xf>
    <xf numFmtId="0" fontId="9" fillId="0" borderId="0" xfId="34"/>
    <xf numFmtId="0" fontId="4" fillId="0" borderId="1" xfId="26" applyFont="1" applyBorder="1"/>
    <xf numFmtId="0" fontId="12" fillId="0" borderId="1" xfId="34" applyFont="1" applyBorder="1"/>
    <xf numFmtId="0" fontId="8" fillId="7" borderId="1" xfId="34" applyFont="1" applyFill="1" applyBorder="1"/>
    <xf numFmtId="0" fontId="8" fillId="0" borderId="1" xfId="34" applyFont="1" applyBorder="1"/>
    <xf numFmtId="168" fontId="8" fillId="0" borderId="1" xfId="34" applyNumberFormat="1" applyFont="1" applyBorder="1"/>
    <xf numFmtId="0" fontId="4" fillId="0" borderId="1" xfId="26" applyFont="1" applyBorder="1" applyAlignment="1">
      <alignment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</cellXfs>
  <cellStyles count="35">
    <cellStyle name="Comma [0] 2" xfId="2" xr:uid="{00000000-0005-0000-0000-000001000000}"/>
    <cellStyle name="Comma [0] 3" xfId="3" xr:uid="{00000000-0005-0000-0000-000002000000}"/>
    <cellStyle name="Comma [0] 3 2" xfId="33" xr:uid="{00000000-0005-0000-0000-000003000000}"/>
    <cellStyle name="Comma 2" xfId="4" xr:uid="{00000000-0005-0000-0000-000004000000}"/>
    <cellStyle name="Currency [0] 2" xfId="5" xr:uid="{00000000-0005-0000-0000-000005000000}"/>
    <cellStyle name="Currency 10" xfId="6" xr:uid="{00000000-0005-0000-0000-000006000000}"/>
    <cellStyle name="Currency 11" xfId="7" xr:uid="{00000000-0005-0000-0000-000007000000}"/>
    <cellStyle name="Currency 12" xfId="8" xr:uid="{00000000-0005-0000-0000-000008000000}"/>
    <cellStyle name="Currency 13" xfId="9" xr:uid="{00000000-0005-0000-0000-000009000000}"/>
    <cellStyle name="Currency 14" xfId="10" xr:uid="{00000000-0005-0000-0000-00000A000000}"/>
    <cellStyle name="Currency 15" xfId="11" xr:uid="{00000000-0005-0000-0000-00000B000000}"/>
    <cellStyle name="Currency 16" xfId="12" xr:uid="{00000000-0005-0000-0000-00000C000000}"/>
    <cellStyle name="Currency 17" xfId="13" xr:uid="{00000000-0005-0000-0000-00000D000000}"/>
    <cellStyle name="Currency 18" xfId="14" xr:uid="{00000000-0005-0000-0000-00000E000000}"/>
    <cellStyle name="Currency 2" xfId="15" xr:uid="{00000000-0005-0000-0000-00000F000000}"/>
    <cellStyle name="Currency 3" xfId="16" xr:uid="{00000000-0005-0000-0000-000010000000}"/>
    <cellStyle name="Currency 4" xfId="17" xr:uid="{00000000-0005-0000-0000-000011000000}"/>
    <cellStyle name="Currency 5" xfId="18" xr:uid="{00000000-0005-0000-0000-000012000000}"/>
    <cellStyle name="Currency 6" xfId="19" xr:uid="{00000000-0005-0000-0000-000013000000}"/>
    <cellStyle name="Currency 7" xfId="20" xr:uid="{00000000-0005-0000-0000-000014000000}"/>
    <cellStyle name="Currency 8" xfId="21" xr:uid="{00000000-0005-0000-0000-000015000000}"/>
    <cellStyle name="Currency 9" xfId="22" xr:uid="{00000000-0005-0000-0000-000016000000}"/>
    <cellStyle name="Millares" xfId="32" builtinId="3"/>
    <cellStyle name="Normal" xfId="0" builtinId="0"/>
    <cellStyle name="Normal 2" xfId="23" xr:uid="{00000000-0005-0000-0000-000018000000}"/>
    <cellStyle name="Normal 2 2" xfId="24" xr:uid="{00000000-0005-0000-0000-000019000000}"/>
    <cellStyle name="Normal 2 3" xfId="25" xr:uid="{00000000-0005-0000-0000-00001A000000}"/>
    <cellStyle name="Normal 3" xfId="26" xr:uid="{00000000-0005-0000-0000-00001B000000}"/>
    <cellStyle name="Normal 3 2" xfId="27" xr:uid="{00000000-0005-0000-0000-00001C000000}"/>
    <cellStyle name="Normal 4" xfId="28" xr:uid="{00000000-0005-0000-0000-00001D000000}"/>
    <cellStyle name="Normal 5" xfId="1" xr:uid="{00000000-0005-0000-0000-00001E000000}"/>
    <cellStyle name="Normal 5 2" xfId="29" xr:uid="{00000000-0005-0000-0000-00001F000000}"/>
    <cellStyle name="Normal 5 3" xfId="31" xr:uid="{00000000-0005-0000-0000-000020000000}"/>
    <cellStyle name="Normal 6" xfId="34" xr:uid="{9D7C1CFB-CAB7-4C69-98D2-FF90396CD3B7}"/>
    <cellStyle name="Percent 2" xfId="30" xr:uid="{00000000-0005-0000-0000-00002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se.cortinat\AppData\Local\Microsoft\Windows\INetCache\Content.Outlook\1EUQ4HTD\AWB_FM_LoadSheet%20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WB_FM_LoadSheet%204%20v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able"/>
      <sheetName val="FailureModels"/>
      <sheetName val="FailureModelCorrectiveTasks"/>
      <sheetName val="FailureModelScheduledTasks"/>
      <sheetName val="Programa Mntto Anual"/>
      <sheetName val="PM_SCOPE"/>
      <sheetName val="Sheet1"/>
      <sheetName val="Sheet2"/>
      <sheetName val="RBD-FailureModels"/>
      <sheetName val="RBD-FailureModelCorrectiveTasks"/>
      <sheetName val="RBD-FailureModelScheduledTasks"/>
      <sheetName val="RBD-Programa Mntto Anual"/>
      <sheetName val="Sheet4"/>
      <sheetName val="RBD-Programa Mntto Anual (2)"/>
    </sheetNames>
    <sheetDataSet>
      <sheetData sheetId="0">
        <row r="2">
          <cell r="C2" t="str">
            <v>2110-CR-0001</v>
          </cell>
          <cell r="D2" t="str">
            <v>Jaw Crusher</v>
          </cell>
          <cell r="E2" t="str">
            <v>Jaw Crusher</v>
          </cell>
          <cell r="F2" t="str">
            <v>Jaw Crusher</v>
          </cell>
          <cell r="G2">
            <v>1</v>
          </cell>
        </row>
        <row r="3">
          <cell r="C3" t="str">
            <v>2210-FE-0001</v>
          </cell>
          <cell r="D3" t="str">
            <v>Apron Feeder</v>
          </cell>
          <cell r="E3" t="str">
            <v>Apron Feeder</v>
          </cell>
          <cell r="F3" t="str">
            <v>Apron Feeder</v>
          </cell>
          <cell r="G3">
            <v>4</v>
          </cell>
        </row>
        <row r="4">
          <cell r="C4" t="str">
            <v>2210-FE-0002</v>
          </cell>
          <cell r="D4" t="str">
            <v>Apron Feeder</v>
          </cell>
          <cell r="E4" t="str">
            <v>Apron Feeder</v>
          </cell>
          <cell r="F4" t="str">
            <v>Apron Feeder</v>
          </cell>
          <cell r="G4">
            <v>4</v>
          </cell>
        </row>
        <row r="5">
          <cell r="C5" t="str">
            <v>2120-CV-0002</v>
          </cell>
          <cell r="D5" t="str">
            <v>Stockpile Feed Conveyor</v>
          </cell>
          <cell r="E5" t="str">
            <v>Conveyor</v>
          </cell>
          <cell r="F5" t="str">
            <v>Conveyor, Stockpile Feed</v>
          </cell>
          <cell r="G5">
            <v>5</v>
          </cell>
        </row>
        <row r="6">
          <cell r="C6" t="str">
            <v>2110-GZ-0001</v>
          </cell>
          <cell r="D6" t="str">
            <v>Grizzly Feeder</v>
          </cell>
          <cell r="E6" t="str">
            <v>Grizzly Feeder</v>
          </cell>
          <cell r="F6" t="str">
            <v>Grizzly Feeder</v>
          </cell>
          <cell r="G6">
            <v>11</v>
          </cell>
        </row>
        <row r="7">
          <cell r="C7" t="str">
            <v>2210-CV-0003</v>
          </cell>
          <cell r="D7" t="str">
            <v>SAG Feed Conveyor</v>
          </cell>
          <cell r="E7" t="str">
            <v>Conveyor</v>
          </cell>
          <cell r="F7" t="str">
            <v>Conveyor, SAG Feed</v>
          </cell>
          <cell r="G7">
            <v>12</v>
          </cell>
        </row>
        <row r="8">
          <cell r="C8" t="str">
            <v>2110-BN-001</v>
          </cell>
          <cell r="D8" t="str">
            <v>Rom Bin 80 t</v>
          </cell>
          <cell r="E8" t="str">
            <v>Bin</v>
          </cell>
          <cell r="F8" t="str">
            <v>Bin</v>
          </cell>
          <cell r="G8">
            <v>45</v>
          </cell>
        </row>
        <row r="9">
          <cell r="C9" t="str">
            <v>2110-CV-0001</v>
          </cell>
          <cell r="D9" t="str">
            <v>Crusher Discharge Conveyor</v>
          </cell>
          <cell r="E9" t="str">
            <v>Conveyor</v>
          </cell>
          <cell r="F9" t="str">
            <v>Conveyor, Crusher Discharge</v>
          </cell>
          <cell r="G9">
            <v>49</v>
          </cell>
        </row>
        <row r="10">
          <cell r="C10" t="str">
            <v>3110-MI-0001</v>
          </cell>
          <cell r="D10" t="str">
            <v>SAG Mill</v>
          </cell>
          <cell r="E10" t="str">
            <v>SAG</v>
          </cell>
          <cell r="F10" t="str">
            <v>SAG</v>
          </cell>
          <cell r="G10">
            <v>2</v>
          </cell>
        </row>
        <row r="11">
          <cell r="C11" t="str">
            <v>3120-MI-0002</v>
          </cell>
          <cell r="D11" t="str">
            <v>Ball Mill</v>
          </cell>
          <cell r="E11" t="str">
            <v>Ball Mill</v>
          </cell>
          <cell r="F11" t="str">
            <v>Ball Mill</v>
          </cell>
          <cell r="G11">
            <v>3</v>
          </cell>
        </row>
        <row r="12">
          <cell r="C12" t="str">
            <v>3120-CY-0001</v>
          </cell>
          <cell r="D12" t="str">
            <v>Grinding Cyclone Cluster</v>
          </cell>
          <cell r="E12" t="str">
            <v>Cyclone Cluster</v>
          </cell>
          <cell r="F12" t="str">
            <v>Cyclone Cluster</v>
          </cell>
          <cell r="G12">
            <v>7</v>
          </cell>
        </row>
        <row r="13">
          <cell r="C13" t="str">
            <v>3120-SN-0008</v>
          </cell>
          <cell r="D13" t="str">
            <v>Trash Screen</v>
          </cell>
          <cell r="E13" t="str">
            <v>Trash Screen</v>
          </cell>
          <cell r="F13" t="str">
            <v>Trash Screen</v>
          </cell>
          <cell r="G13">
            <v>10</v>
          </cell>
        </row>
        <row r="14">
          <cell r="C14" t="str">
            <v>3120-SN-0009</v>
          </cell>
          <cell r="D14" t="str">
            <v>Trash Screen</v>
          </cell>
          <cell r="E14" t="str">
            <v>Trash Screen</v>
          </cell>
          <cell r="F14" t="str">
            <v>Trash Screen</v>
          </cell>
          <cell r="G14">
            <v>10</v>
          </cell>
        </row>
        <row r="15">
          <cell r="C15" t="str">
            <v>3110-PU-0061</v>
          </cell>
          <cell r="D15" t="str">
            <v>Cyclone Feed Pump</v>
          </cell>
          <cell r="E15" t="str">
            <v>Pump</v>
          </cell>
          <cell r="F15" t="str">
            <v>Pump, centrifugal, slurry</v>
          </cell>
          <cell r="G15">
            <v>18</v>
          </cell>
        </row>
        <row r="16">
          <cell r="C16" t="str">
            <v>3110-PU-0062</v>
          </cell>
          <cell r="D16" t="str">
            <v>Cyclone Feed Pump</v>
          </cell>
          <cell r="E16" t="str">
            <v>Pump</v>
          </cell>
          <cell r="F16" t="str">
            <v>Pump, centrifugal, slurry</v>
          </cell>
          <cell r="G16">
            <v>18</v>
          </cell>
        </row>
        <row r="17">
          <cell r="C17" t="str">
            <v>3110-BX-0026</v>
          </cell>
          <cell r="D17" t="str">
            <v>Cyclone Feed Box</v>
          </cell>
          <cell r="E17" t="str">
            <v>Feed Box</v>
          </cell>
          <cell r="F17" t="str">
            <v>Feed Box</v>
          </cell>
          <cell r="G17">
            <v>35</v>
          </cell>
        </row>
        <row r="18">
          <cell r="C18" t="str">
            <v>3120-BX-0003</v>
          </cell>
          <cell r="D18" t="str">
            <v>Screen Discharge Box</v>
          </cell>
          <cell r="E18" t="str">
            <v>Feed Box</v>
          </cell>
          <cell r="F18" t="str">
            <v>Feed Box</v>
          </cell>
          <cell r="G18">
            <v>35</v>
          </cell>
        </row>
        <row r="19">
          <cell r="C19" t="str">
            <v>3120-BX-0004</v>
          </cell>
          <cell r="D19" t="str">
            <v>Screen Discharge Box</v>
          </cell>
          <cell r="E19" t="str">
            <v>Feed Box</v>
          </cell>
          <cell r="F19" t="str">
            <v>Feed Box</v>
          </cell>
          <cell r="G19">
            <v>35</v>
          </cell>
        </row>
        <row r="20">
          <cell r="C20" t="str">
            <v>3110-CV-0005</v>
          </cell>
          <cell r="D20" t="str">
            <v>Pebbles Return Conveyor</v>
          </cell>
          <cell r="E20" t="str">
            <v>Conveyor</v>
          </cell>
          <cell r="F20" t="str">
            <v>Conveyor, Pebbles</v>
          </cell>
          <cell r="G20">
            <v>15</v>
          </cell>
        </row>
        <row r="21">
          <cell r="C21" t="str">
            <v>3110-CV-0004</v>
          </cell>
          <cell r="D21" t="str">
            <v>Pebbles Transfer Conveyor</v>
          </cell>
          <cell r="E21" t="str">
            <v>Conveyor</v>
          </cell>
          <cell r="F21" t="str">
            <v>Conveyor, Pebbles</v>
          </cell>
          <cell r="G21">
            <v>15</v>
          </cell>
        </row>
        <row r="22">
          <cell r="C22" t="str">
            <v>3210-TH-0001</v>
          </cell>
          <cell r="D22" t="str">
            <v>Leaching Thickener</v>
          </cell>
          <cell r="E22" t="str">
            <v>Thickener</v>
          </cell>
          <cell r="F22" t="str">
            <v>Thickener</v>
          </cell>
          <cell r="G22">
            <v>16</v>
          </cell>
        </row>
        <row r="23">
          <cell r="C23" t="str">
            <v>3210-PU-0081</v>
          </cell>
          <cell r="D23" t="str">
            <v>Thickener Underflow Pump</v>
          </cell>
          <cell r="E23" t="str">
            <v>Pump</v>
          </cell>
          <cell r="F23" t="str">
            <v>Pump, centrifugal, slurry</v>
          </cell>
          <cell r="G23">
            <v>18</v>
          </cell>
        </row>
        <row r="24">
          <cell r="C24" t="str">
            <v>3210-PU-0082</v>
          </cell>
          <cell r="D24" t="str">
            <v>Thickener Underflow Pump</v>
          </cell>
          <cell r="E24" t="str">
            <v>Pump</v>
          </cell>
          <cell r="F24" t="str">
            <v>Pump, centrifugal, slurry</v>
          </cell>
          <cell r="G24">
            <v>18</v>
          </cell>
        </row>
        <row r="25">
          <cell r="C25" t="str">
            <v>3220-AG-0001</v>
          </cell>
          <cell r="D25" t="str">
            <v>Leach Tank Agitator</v>
          </cell>
          <cell r="E25" t="str">
            <v>Agitator</v>
          </cell>
          <cell r="F25" t="str">
            <v>Agitator</v>
          </cell>
          <cell r="G25">
            <v>26</v>
          </cell>
        </row>
        <row r="26">
          <cell r="C26" t="str">
            <v>3220-AG-0002</v>
          </cell>
          <cell r="D26" t="str">
            <v>Leach Tank Agitator</v>
          </cell>
          <cell r="E26" t="str">
            <v>Agitator</v>
          </cell>
          <cell r="F26" t="str">
            <v>Agitator</v>
          </cell>
          <cell r="G26">
            <v>26</v>
          </cell>
        </row>
        <row r="27">
          <cell r="C27" t="str">
            <v>3220-AG-0003</v>
          </cell>
          <cell r="D27" t="str">
            <v>Leach Tank Agitator</v>
          </cell>
          <cell r="E27" t="str">
            <v>Agitator</v>
          </cell>
          <cell r="F27" t="str">
            <v>Agitator</v>
          </cell>
          <cell r="G27">
            <v>26</v>
          </cell>
        </row>
        <row r="28">
          <cell r="C28" t="str">
            <v>3220-AG-0004</v>
          </cell>
          <cell r="D28" t="str">
            <v>Leach Tank Agitator</v>
          </cell>
          <cell r="E28" t="str">
            <v>Agitator</v>
          </cell>
          <cell r="F28" t="str">
            <v>Agitator</v>
          </cell>
          <cell r="G28">
            <v>26</v>
          </cell>
        </row>
        <row r="29">
          <cell r="C29" t="str">
            <v>3220-TA-0001</v>
          </cell>
          <cell r="D29" t="str">
            <v>Leach Tank</v>
          </cell>
          <cell r="E29" t="str">
            <v>Tank</v>
          </cell>
          <cell r="F29" t="str">
            <v>Tank</v>
          </cell>
          <cell r="G29">
            <v>27</v>
          </cell>
        </row>
        <row r="30">
          <cell r="C30" t="str">
            <v>3220-TA-0002</v>
          </cell>
          <cell r="D30" t="str">
            <v>Leach Tank</v>
          </cell>
          <cell r="E30" t="str">
            <v>Tank</v>
          </cell>
          <cell r="F30" t="str">
            <v>Tank</v>
          </cell>
          <cell r="G30">
            <v>27</v>
          </cell>
        </row>
        <row r="31">
          <cell r="C31" t="str">
            <v>3220-TA-0003</v>
          </cell>
          <cell r="D31" t="str">
            <v>Leach Tank</v>
          </cell>
          <cell r="E31" t="str">
            <v>Tank</v>
          </cell>
          <cell r="F31" t="str">
            <v>Tank</v>
          </cell>
          <cell r="G31">
            <v>27</v>
          </cell>
        </row>
        <row r="32">
          <cell r="C32" t="str">
            <v>3220-TA-0004</v>
          </cell>
          <cell r="D32" t="str">
            <v>Leach Tank</v>
          </cell>
          <cell r="E32" t="str">
            <v>Tank</v>
          </cell>
          <cell r="F32" t="str">
            <v>Tank</v>
          </cell>
          <cell r="G32">
            <v>27</v>
          </cell>
        </row>
        <row r="33">
          <cell r="C33" t="str">
            <v>3220-BX-0002</v>
          </cell>
          <cell r="D33" t="str">
            <v>Leach Feed Box</v>
          </cell>
          <cell r="E33" t="str">
            <v>Feed Box</v>
          </cell>
          <cell r="F33" t="str">
            <v>Feed Box</v>
          </cell>
          <cell r="G33">
            <v>35</v>
          </cell>
        </row>
        <row r="34">
          <cell r="C34" t="str">
            <v>3310-TH-0003</v>
          </cell>
          <cell r="D34" t="str">
            <v>MC CCD Thickener</v>
          </cell>
          <cell r="E34" t="str">
            <v>Thickener</v>
          </cell>
          <cell r="F34" t="str">
            <v>MC Thickener</v>
          </cell>
          <cell r="G34">
            <v>17</v>
          </cell>
        </row>
        <row r="35">
          <cell r="C35" t="str">
            <v>3310-TH-0002</v>
          </cell>
          <cell r="D35" t="str">
            <v>MC CCD Thickener</v>
          </cell>
          <cell r="E35" t="str">
            <v>Thickener</v>
          </cell>
          <cell r="F35" t="str">
            <v>MC Thickener</v>
          </cell>
          <cell r="G35">
            <v>17</v>
          </cell>
        </row>
        <row r="36">
          <cell r="C36" t="str">
            <v>3310-PU-0103</v>
          </cell>
          <cell r="D36" t="str">
            <v>CCD Underflow Pump</v>
          </cell>
          <cell r="E36" t="str">
            <v>Pump</v>
          </cell>
          <cell r="F36" t="str">
            <v>Pump, centrifugal, slurry</v>
          </cell>
          <cell r="G36">
            <v>18</v>
          </cell>
        </row>
        <row r="37">
          <cell r="C37" t="str">
            <v>3310-PU-0101</v>
          </cell>
          <cell r="D37" t="str">
            <v>CCD Underflow Pump</v>
          </cell>
          <cell r="E37" t="str">
            <v>Pump</v>
          </cell>
          <cell r="F37" t="str">
            <v>Pump, centrifugal, slurry</v>
          </cell>
          <cell r="G37">
            <v>18</v>
          </cell>
        </row>
        <row r="38">
          <cell r="C38" t="str">
            <v>3310-PU-0104</v>
          </cell>
          <cell r="D38" t="str">
            <v>CCD Underflow Pump Stby</v>
          </cell>
          <cell r="E38" t="str">
            <v>Pump</v>
          </cell>
          <cell r="F38" t="str">
            <v>Pump, centrifugal, slurry</v>
          </cell>
          <cell r="G38">
            <v>18</v>
          </cell>
        </row>
        <row r="39">
          <cell r="C39" t="str">
            <v>3310-PU-0102</v>
          </cell>
          <cell r="D39" t="str">
            <v>CCD Underflow Pump Stby</v>
          </cell>
          <cell r="E39" t="str">
            <v>Pump</v>
          </cell>
          <cell r="F39" t="str">
            <v>Pump, centrifugal, slurry</v>
          </cell>
          <cell r="G39">
            <v>18</v>
          </cell>
        </row>
        <row r="40">
          <cell r="C40" t="str">
            <v>3330-PU-0150</v>
          </cell>
          <cell r="D40" t="str">
            <v>MC Clarifier Overflow Pump</v>
          </cell>
          <cell r="E40" t="str">
            <v>Pump</v>
          </cell>
          <cell r="F40" t="str">
            <v>Pump, Centrifugal</v>
          </cell>
          <cell r="G40">
            <v>24</v>
          </cell>
        </row>
        <row r="41">
          <cell r="C41" t="str">
            <v>3330-PU-0151</v>
          </cell>
          <cell r="D41" t="str">
            <v>MC Clarifier Overflow Pump</v>
          </cell>
          <cell r="E41" t="str">
            <v>Pump</v>
          </cell>
          <cell r="F41" t="str">
            <v>Pump, Centrifugal</v>
          </cell>
          <cell r="G41">
            <v>24</v>
          </cell>
        </row>
        <row r="42">
          <cell r="C42" t="str">
            <v>3330-PU-0119</v>
          </cell>
          <cell r="D42" t="str">
            <v>MC Clarifier Underflow Pump</v>
          </cell>
          <cell r="E42" t="str">
            <v>Pump</v>
          </cell>
          <cell r="F42" t="str">
            <v>Pump, Centrifugal</v>
          </cell>
          <cell r="G42">
            <v>24</v>
          </cell>
        </row>
        <row r="43">
          <cell r="C43" t="str">
            <v>3330-PU-0120</v>
          </cell>
          <cell r="D43" t="str">
            <v>MC Clarifier Underflow Pump</v>
          </cell>
          <cell r="E43" t="str">
            <v>Pump</v>
          </cell>
          <cell r="F43" t="str">
            <v>Pump, Centrifugal</v>
          </cell>
          <cell r="G43">
            <v>24</v>
          </cell>
        </row>
        <row r="44">
          <cell r="C44" t="str">
            <v>3330-TK-0074</v>
          </cell>
          <cell r="D44" t="str">
            <v>MC Clarifier Overflow Tank</v>
          </cell>
          <cell r="E44" t="str">
            <v>Tank</v>
          </cell>
          <cell r="F44" t="str">
            <v>Tank</v>
          </cell>
          <cell r="G44">
            <v>27</v>
          </cell>
        </row>
        <row r="45">
          <cell r="C45" t="str">
            <v>3330-TH-0004</v>
          </cell>
          <cell r="D45" t="str">
            <v>MC Clarifier</v>
          </cell>
          <cell r="E45" t="str">
            <v>Clarifier</v>
          </cell>
          <cell r="F45" t="str">
            <v>Clarifier</v>
          </cell>
          <cell r="G45">
            <v>17</v>
          </cell>
        </row>
        <row r="46">
          <cell r="C46" t="str">
            <v>3310-BX-0006</v>
          </cell>
          <cell r="D46" t="str">
            <v>Thicken Feed Box</v>
          </cell>
          <cell r="E46" t="str">
            <v>Feed Box</v>
          </cell>
          <cell r="F46" t="str">
            <v>Feed Box</v>
          </cell>
          <cell r="G46">
            <v>35</v>
          </cell>
        </row>
        <row r="47">
          <cell r="C47" t="str">
            <v>3310-BX-0005</v>
          </cell>
          <cell r="D47" t="str">
            <v>Thicken Feed Box</v>
          </cell>
          <cell r="E47" t="str">
            <v>Feed Box</v>
          </cell>
          <cell r="F47" t="str">
            <v>Feed Box</v>
          </cell>
          <cell r="G47">
            <v>35</v>
          </cell>
        </row>
        <row r="48">
          <cell r="C48" t="str">
            <v>3320-SN-0013</v>
          </cell>
          <cell r="D48" t="str">
            <v>Interstage pump Screen</v>
          </cell>
          <cell r="E48" t="str">
            <v>Screen</v>
          </cell>
          <cell r="F48" t="str">
            <v>Interstage pump Screen</v>
          </cell>
          <cell r="G48">
            <v>9</v>
          </cell>
        </row>
        <row r="49">
          <cell r="C49" t="str">
            <v>3320-SN-0014</v>
          </cell>
          <cell r="D49" t="str">
            <v>Interstage pump Screen</v>
          </cell>
          <cell r="E49" t="str">
            <v>Screen</v>
          </cell>
          <cell r="F49" t="str">
            <v>Interstage pump Screen</v>
          </cell>
          <cell r="G49">
            <v>9</v>
          </cell>
        </row>
        <row r="50">
          <cell r="C50" t="str">
            <v>3320-SN-0015</v>
          </cell>
          <cell r="D50" t="str">
            <v>Interstage pump Screen</v>
          </cell>
          <cell r="E50" t="str">
            <v>Screen</v>
          </cell>
          <cell r="F50" t="str">
            <v>Interstage pump Screen</v>
          </cell>
          <cell r="G50">
            <v>9</v>
          </cell>
        </row>
        <row r="51">
          <cell r="C51" t="str">
            <v>3320-SN-0016</v>
          </cell>
          <cell r="D51" t="str">
            <v>Interstage pump Screen</v>
          </cell>
          <cell r="E51" t="str">
            <v>Screen</v>
          </cell>
          <cell r="F51" t="str">
            <v>Interstage pump Screen</v>
          </cell>
          <cell r="G51">
            <v>9</v>
          </cell>
        </row>
        <row r="52">
          <cell r="C52" t="str">
            <v>3320-SN-0017</v>
          </cell>
          <cell r="D52" t="str">
            <v>Interstage pump Screen</v>
          </cell>
          <cell r="E52" t="str">
            <v>Screen</v>
          </cell>
          <cell r="F52" t="str">
            <v>Interstage pump Screen</v>
          </cell>
          <cell r="G52">
            <v>9</v>
          </cell>
        </row>
        <row r="53">
          <cell r="C53" t="str">
            <v>3320-SN-0018</v>
          </cell>
          <cell r="D53" t="str">
            <v>Interstage pump Screen</v>
          </cell>
          <cell r="E53" t="str">
            <v>Screen</v>
          </cell>
          <cell r="F53" t="str">
            <v>Interstage pump Screen</v>
          </cell>
          <cell r="G53">
            <v>9</v>
          </cell>
        </row>
        <row r="54">
          <cell r="C54" t="str">
            <v>3320-SN-0019</v>
          </cell>
          <cell r="D54" t="str">
            <v>Interstage pump Screen</v>
          </cell>
          <cell r="E54" t="str">
            <v>Screen</v>
          </cell>
          <cell r="F54" t="str">
            <v>Interstage pump Screen</v>
          </cell>
          <cell r="G54">
            <v>9</v>
          </cell>
        </row>
        <row r="55">
          <cell r="C55" t="str">
            <v>3320-SN-0020</v>
          </cell>
          <cell r="D55" t="str">
            <v>Interstage pump Screen</v>
          </cell>
          <cell r="E55" t="str">
            <v>Screen</v>
          </cell>
          <cell r="F55" t="str">
            <v>Interstage pump Screen</v>
          </cell>
          <cell r="G55">
            <v>9</v>
          </cell>
        </row>
        <row r="56">
          <cell r="C56" t="str">
            <v>3320-PU-0117</v>
          </cell>
          <cell r="D56" t="str">
            <v>Loaded Carbon Screen Oversize Pump</v>
          </cell>
          <cell r="E56" t="str">
            <v>Pump</v>
          </cell>
          <cell r="F56" t="str">
            <v>Pump, centrifugal, slurry</v>
          </cell>
          <cell r="G56">
            <v>18</v>
          </cell>
        </row>
        <row r="57">
          <cell r="C57" t="str">
            <v>3320-PU-0118</v>
          </cell>
          <cell r="D57" t="str">
            <v>Loaded Carbon Screen Oversize Pump</v>
          </cell>
          <cell r="E57" t="str">
            <v>Pump</v>
          </cell>
          <cell r="F57" t="str">
            <v>Pump, centrifugal, slurry</v>
          </cell>
          <cell r="G57">
            <v>18</v>
          </cell>
        </row>
        <row r="58">
          <cell r="C58" t="str">
            <v>3320-PU-0107</v>
          </cell>
          <cell r="D58" t="str">
            <v>Carbon Transfer Pump</v>
          </cell>
          <cell r="E58" t="str">
            <v>Pump</v>
          </cell>
          <cell r="F58" t="str">
            <v>Pump, Carbon Transfer</v>
          </cell>
          <cell r="G58">
            <v>23</v>
          </cell>
        </row>
        <row r="59">
          <cell r="C59" t="str">
            <v>3320-PU-0108</v>
          </cell>
          <cell r="D59" t="str">
            <v>Carbon Transfer Pump</v>
          </cell>
          <cell r="E59" t="str">
            <v>Pump</v>
          </cell>
          <cell r="F59" t="str">
            <v>Pump, Carbon Transfer</v>
          </cell>
          <cell r="G59">
            <v>23</v>
          </cell>
        </row>
        <row r="60">
          <cell r="C60" t="str">
            <v>3320-PU-0109</v>
          </cell>
          <cell r="D60" t="str">
            <v>Carbon Transfer Pump</v>
          </cell>
          <cell r="E60" t="str">
            <v>Pump</v>
          </cell>
          <cell r="F60" t="str">
            <v>Pump, Carbon Transfer</v>
          </cell>
          <cell r="G60">
            <v>23</v>
          </cell>
        </row>
        <row r="61">
          <cell r="C61" t="str">
            <v>3320-PU-0110</v>
          </cell>
          <cell r="D61" t="str">
            <v>Carbon Transfer Pump</v>
          </cell>
          <cell r="E61" t="str">
            <v>Pump</v>
          </cell>
          <cell r="F61" t="str">
            <v>Pump, Carbon Transfer</v>
          </cell>
          <cell r="G61">
            <v>23</v>
          </cell>
        </row>
        <row r="62">
          <cell r="C62" t="str">
            <v>3320-PU-0111</v>
          </cell>
          <cell r="D62" t="str">
            <v>Carbon Transfer Pump</v>
          </cell>
          <cell r="E62" t="str">
            <v>Pump</v>
          </cell>
          <cell r="F62" t="str">
            <v>Pump, Carbon Transfer</v>
          </cell>
          <cell r="G62">
            <v>23</v>
          </cell>
        </row>
        <row r="63">
          <cell r="C63" t="str">
            <v>3320-PU-0112</v>
          </cell>
          <cell r="D63" t="str">
            <v>Carbon Transfer Pump</v>
          </cell>
          <cell r="E63" t="str">
            <v>Pump</v>
          </cell>
          <cell r="F63" t="str">
            <v>Pump, Carbon Transfer</v>
          </cell>
          <cell r="G63">
            <v>23</v>
          </cell>
        </row>
        <row r="64">
          <cell r="C64" t="str">
            <v>3320-PU-0113</v>
          </cell>
          <cell r="D64" t="str">
            <v>Carbon Transfer Pump</v>
          </cell>
          <cell r="E64" t="str">
            <v>Pump</v>
          </cell>
          <cell r="F64" t="str">
            <v>Pump, Carbon Transfer</v>
          </cell>
          <cell r="G64">
            <v>23</v>
          </cell>
        </row>
        <row r="65">
          <cell r="C65" t="str">
            <v>3320-PU-0114</v>
          </cell>
          <cell r="D65" t="str">
            <v>Carbon Transfer Pump</v>
          </cell>
          <cell r="E65" t="str">
            <v>Pump</v>
          </cell>
          <cell r="F65" t="str">
            <v>Pump, Carbon Transfer</v>
          </cell>
          <cell r="G65">
            <v>23</v>
          </cell>
        </row>
        <row r="66">
          <cell r="C66" t="str">
            <v>3320-AG-0007</v>
          </cell>
          <cell r="D66" t="str">
            <v>CIP Tank Agitator</v>
          </cell>
          <cell r="E66" t="str">
            <v>Agitator</v>
          </cell>
          <cell r="F66" t="str">
            <v>Agitator</v>
          </cell>
          <cell r="G66">
            <v>26</v>
          </cell>
        </row>
        <row r="67">
          <cell r="C67" t="str">
            <v>3320-AG-0008</v>
          </cell>
          <cell r="D67" t="str">
            <v>CIP Tank Agitator</v>
          </cell>
          <cell r="E67" t="str">
            <v>Agitator</v>
          </cell>
          <cell r="F67" t="str">
            <v>Agitator</v>
          </cell>
          <cell r="G67">
            <v>26</v>
          </cell>
        </row>
        <row r="68">
          <cell r="C68" t="str">
            <v>3320-AG-0009</v>
          </cell>
          <cell r="D68" t="str">
            <v>CIP Tank Agitator</v>
          </cell>
          <cell r="E68" t="str">
            <v>Agitator</v>
          </cell>
          <cell r="F68" t="str">
            <v>Agitator</v>
          </cell>
          <cell r="G68">
            <v>26</v>
          </cell>
        </row>
        <row r="69">
          <cell r="C69" t="str">
            <v>3320-AG-0010</v>
          </cell>
          <cell r="D69" t="str">
            <v>CIP Tank Agitator</v>
          </cell>
          <cell r="E69" t="str">
            <v>Agitator</v>
          </cell>
          <cell r="F69" t="str">
            <v>Agitator</v>
          </cell>
          <cell r="G69">
            <v>26</v>
          </cell>
        </row>
        <row r="70">
          <cell r="C70" t="str">
            <v>3320-AG-0011</v>
          </cell>
          <cell r="D70" t="str">
            <v>CIP Tank Agitator</v>
          </cell>
          <cell r="E70" t="str">
            <v>Agitator</v>
          </cell>
          <cell r="F70" t="str">
            <v>Agitator</v>
          </cell>
          <cell r="G70">
            <v>26</v>
          </cell>
        </row>
        <row r="71">
          <cell r="C71" t="str">
            <v>3320-AG-0012</v>
          </cell>
          <cell r="D71" t="str">
            <v>CIP Tank Agitator</v>
          </cell>
          <cell r="E71" t="str">
            <v>Agitator</v>
          </cell>
          <cell r="F71" t="str">
            <v>Agitator</v>
          </cell>
          <cell r="G71">
            <v>26</v>
          </cell>
        </row>
        <row r="72">
          <cell r="C72" t="str">
            <v>3320-AG-0013</v>
          </cell>
          <cell r="D72" t="str">
            <v>CIP Tank Agitator</v>
          </cell>
          <cell r="E72" t="str">
            <v>Agitator</v>
          </cell>
          <cell r="F72" t="str">
            <v>Agitator</v>
          </cell>
          <cell r="G72">
            <v>26</v>
          </cell>
        </row>
        <row r="73">
          <cell r="C73" t="str">
            <v>3320-AG-0014</v>
          </cell>
          <cell r="D73" t="str">
            <v>CIP Tank Agitator</v>
          </cell>
          <cell r="E73" t="str">
            <v>Agitator</v>
          </cell>
          <cell r="F73" t="str">
            <v>Agitator</v>
          </cell>
          <cell r="G73">
            <v>26</v>
          </cell>
        </row>
        <row r="74">
          <cell r="C74" t="str">
            <v>3320-TA-0007</v>
          </cell>
          <cell r="D74" t="str">
            <v>CIP Tank</v>
          </cell>
          <cell r="E74" t="str">
            <v>Tank</v>
          </cell>
          <cell r="F74" t="str">
            <v>Tank</v>
          </cell>
          <cell r="G74">
            <v>27</v>
          </cell>
        </row>
        <row r="75">
          <cell r="C75" t="str">
            <v>3320-TA-0008</v>
          </cell>
          <cell r="D75" t="str">
            <v>CIP Tank</v>
          </cell>
          <cell r="E75" t="str">
            <v>Tank</v>
          </cell>
          <cell r="F75" t="str">
            <v>Tank</v>
          </cell>
          <cell r="G75">
            <v>27</v>
          </cell>
        </row>
        <row r="76">
          <cell r="C76" t="str">
            <v>3320-TA-0009</v>
          </cell>
          <cell r="D76" t="str">
            <v>CIP Tank</v>
          </cell>
          <cell r="E76" t="str">
            <v>Tank</v>
          </cell>
          <cell r="F76" t="str">
            <v>Tank</v>
          </cell>
          <cell r="G76">
            <v>27</v>
          </cell>
        </row>
        <row r="77">
          <cell r="C77" t="str">
            <v>3320-TA-0010</v>
          </cell>
          <cell r="D77" t="str">
            <v>CIP Tank</v>
          </cell>
          <cell r="E77" t="str">
            <v>Tank</v>
          </cell>
          <cell r="F77" t="str">
            <v>Tank</v>
          </cell>
          <cell r="G77">
            <v>27</v>
          </cell>
        </row>
        <row r="78">
          <cell r="C78" t="str">
            <v>3320-TA-0011</v>
          </cell>
          <cell r="D78" t="str">
            <v>CIP Tank</v>
          </cell>
          <cell r="E78" t="str">
            <v>Tank</v>
          </cell>
          <cell r="F78" t="str">
            <v>Tank</v>
          </cell>
          <cell r="G78">
            <v>27</v>
          </cell>
        </row>
        <row r="79">
          <cell r="C79" t="str">
            <v>3320-TA-0012</v>
          </cell>
          <cell r="D79" t="str">
            <v>CIP Tank</v>
          </cell>
          <cell r="E79" t="str">
            <v>Tank</v>
          </cell>
          <cell r="F79" t="str">
            <v>Tank</v>
          </cell>
          <cell r="G79">
            <v>27</v>
          </cell>
        </row>
        <row r="80">
          <cell r="C80" t="str">
            <v>3320-TA-0013</v>
          </cell>
          <cell r="D80" t="str">
            <v>CIP Tank</v>
          </cell>
          <cell r="E80" t="str">
            <v>Tank</v>
          </cell>
          <cell r="F80" t="str">
            <v>Tank</v>
          </cell>
          <cell r="G80">
            <v>27</v>
          </cell>
        </row>
        <row r="81">
          <cell r="C81" t="str">
            <v>3320-TA-0014</v>
          </cell>
          <cell r="D81" t="str">
            <v>CIP Tank</v>
          </cell>
          <cell r="E81" t="str">
            <v>Tank</v>
          </cell>
          <cell r="F81" t="str">
            <v>Tank</v>
          </cell>
          <cell r="G81">
            <v>27</v>
          </cell>
        </row>
        <row r="82">
          <cell r="C82" t="str">
            <v>3320-BX-0007</v>
          </cell>
          <cell r="D82" t="str">
            <v>CIP Feed Box</v>
          </cell>
          <cell r="E82" t="str">
            <v>Bin</v>
          </cell>
          <cell r="F82" t="str">
            <v>Bin</v>
          </cell>
          <cell r="G82">
            <v>45</v>
          </cell>
        </row>
        <row r="83">
          <cell r="C83" t="str">
            <v>3320-BX-0024</v>
          </cell>
          <cell r="D83" t="str">
            <v>Loaded Carbon Screen Oversize Box</v>
          </cell>
          <cell r="E83" t="str">
            <v>Bin</v>
          </cell>
          <cell r="F83" t="str">
            <v>Bin</v>
          </cell>
          <cell r="G83">
            <v>45</v>
          </cell>
        </row>
        <row r="84">
          <cell r="C84" t="str">
            <v>3320-SN-0022</v>
          </cell>
          <cell r="D84" t="str">
            <v>Loaded Carbon Screen</v>
          </cell>
          <cell r="E84" t="str">
            <v>Screen</v>
          </cell>
          <cell r="F84" t="str">
            <v>Screen</v>
          </cell>
          <cell r="G84">
            <v>50</v>
          </cell>
        </row>
        <row r="85">
          <cell r="C85" t="str">
            <v>3330-ME-0035</v>
          </cell>
          <cell r="D85" t="str">
            <v>Idler Table</v>
          </cell>
          <cell r="E85" t="str">
            <v>Idler Table</v>
          </cell>
          <cell r="F85" t="str">
            <v>Idler Table</v>
          </cell>
          <cell r="G85">
            <v>13</v>
          </cell>
        </row>
        <row r="86">
          <cell r="C86" t="str">
            <v>3330-VE-0001</v>
          </cell>
          <cell r="D86" t="str">
            <v>Deaeration Column</v>
          </cell>
          <cell r="E86" t="str">
            <v>Column</v>
          </cell>
          <cell r="F86" t="str">
            <v>Column</v>
          </cell>
          <cell r="G86">
            <v>19</v>
          </cell>
        </row>
        <row r="87">
          <cell r="C87" t="str">
            <v>3330-FL-0001</v>
          </cell>
          <cell r="D87" t="str">
            <v>Clarifier Filter</v>
          </cell>
          <cell r="E87" t="str">
            <v>Filter</v>
          </cell>
          <cell r="F87" t="str">
            <v>Filter</v>
          </cell>
          <cell r="G87">
            <v>21</v>
          </cell>
        </row>
        <row r="88">
          <cell r="C88" t="str">
            <v>3330-FL-0002</v>
          </cell>
          <cell r="D88" t="str">
            <v>Clarifier Filter</v>
          </cell>
          <cell r="E88" t="str">
            <v>Filter</v>
          </cell>
          <cell r="F88" t="str">
            <v>Filter</v>
          </cell>
          <cell r="G88">
            <v>21</v>
          </cell>
        </row>
        <row r="89">
          <cell r="C89" t="str">
            <v>3330-FL-0003</v>
          </cell>
          <cell r="D89" t="str">
            <v>Clarifier Filter</v>
          </cell>
          <cell r="E89" t="str">
            <v>Filter</v>
          </cell>
          <cell r="F89" t="str">
            <v>Filter</v>
          </cell>
          <cell r="G89">
            <v>21</v>
          </cell>
        </row>
        <row r="90">
          <cell r="C90" t="str">
            <v>3330-FL-0004</v>
          </cell>
          <cell r="D90" t="str">
            <v>Precipitate Filter</v>
          </cell>
          <cell r="E90" t="str">
            <v>Filter</v>
          </cell>
          <cell r="F90" t="str">
            <v>Filter</v>
          </cell>
          <cell r="G90">
            <v>21</v>
          </cell>
        </row>
        <row r="91">
          <cell r="C91" t="str">
            <v>3330-FL-0005</v>
          </cell>
          <cell r="D91" t="str">
            <v>Precipitate Filter</v>
          </cell>
          <cell r="E91" t="str">
            <v>Filter</v>
          </cell>
          <cell r="F91" t="str">
            <v>Filter</v>
          </cell>
          <cell r="G91">
            <v>21</v>
          </cell>
        </row>
        <row r="92">
          <cell r="C92" t="str">
            <v>3330-FL-0006</v>
          </cell>
          <cell r="D92" t="str">
            <v>Precipitate Filter</v>
          </cell>
          <cell r="E92" t="str">
            <v>Filter</v>
          </cell>
          <cell r="F92" t="str">
            <v>Filter</v>
          </cell>
          <cell r="G92">
            <v>21</v>
          </cell>
        </row>
        <row r="93">
          <cell r="C93" t="str">
            <v>3330-PU-0121</v>
          </cell>
          <cell r="D93" t="str">
            <v>Filter Feed Pump</v>
          </cell>
          <cell r="E93" t="str">
            <v>Pump</v>
          </cell>
          <cell r="F93" t="str">
            <v>Pump, Centrifugal</v>
          </cell>
          <cell r="G93">
            <v>24</v>
          </cell>
        </row>
        <row r="94">
          <cell r="C94" t="str">
            <v>3330-PU-0122</v>
          </cell>
          <cell r="D94" t="str">
            <v>Filter Feed Pump</v>
          </cell>
          <cell r="E94" t="str">
            <v>Pump</v>
          </cell>
          <cell r="F94" t="str">
            <v>Pump, Centrifugal</v>
          </cell>
          <cell r="G94">
            <v>24</v>
          </cell>
        </row>
        <row r="95">
          <cell r="C95" t="str">
            <v>3330-PU-0123</v>
          </cell>
          <cell r="D95" t="str">
            <v>Filter Feed Pump Stby</v>
          </cell>
          <cell r="E95" t="str">
            <v>Pump</v>
          </cell>
          <cell r="F95" t="str">
            <v>Pump, Centrifugal</v>
          </cell>
          <cell r="G95">
            <v>24</v>
          </cell>
        </row>
        <row r="96">
          <cell r="C96" t="str">
            <v>3330-PU-0127</v>
          </cell>
          <cell r="D96" t="str">
            <v>Gold Precipitate Pump</v>
          </cell>
          <cell r="E96" t="str">
            <v>Pump</v>
          </cell>
          <cell r="F96" t="str">
            <v>Pump, Centrifugal</v>
          </cell>
          <cell r="G96">
            <v>24</v>
          </cell>
        </row>
        <row r="97">
          <cell r="C97" t="str">
            <v>3330-PU-0128</v>
          </cell>
          <cell r="D97" t="str">
            <v>Gold Precipitate Pump</v>
          </cell>
          <cell r="E97" t="str">
            <v>Pump</v>
          </cell>
          <cell r="F97" t="str">
            <v>Pump, Centrifugal</v>
          </cell>
          <cell r="G97">
            <v>24</v>
          </cell>
        </row>
        <row r="98">
          <cell r="C98" t="str">
            <v>3330-PU-0129</v>
          </cell>
          <cell r="D98" t="str">
            <v>Gold Precipitate Pump</v>
          </cell>
          <cell r="E98" t="str">
            <v>Pump</v>
          </cell>
          <cell r="F98" t="str">
            <v>Pump, Centrifugal</v>
          </cell>
          <cell r="G98">
            <v>24</v>
          </cell>
        </row>
        <row r="99">
          <cell r="C99" t="str">
            <v>3330-AG-0018</v>
          </cell>
          <cell r="D99" t="str">
            <v>Zinc Tank Agitator</v>
          </cell>
          <cell r="E99" t="str">
            <v>Agitator</v>
          </cell>
          <cell r="F99" t="str">
            <v>Agitator</v>
          </cell>
          <cell r="G99">
            <v>26</v>
          </cell>
        </row>
        <row r="100">
          <cell r="C100" t="str">
            <v>3330-TA-0018</v>
          </cell>
          <cell r="D100" t="str">
            <v>Zinc Cone Tank</v>
          </cell>
          <cell r="E100" t="str">
            <v>Tank</v>
          </cell>
          <cell r="F100" t="str">
            <v>Tank</v>
          </cell>
          <cell r="G100">
            <v>27</v>
          </cell>
        </row>
        <row r="101">
          <cell r="C101" t="str">
            <v>3330-TK-0011</v>
          </cell>
          <cell r="D101" t="str">
            <v>Pregnant Solution Tank</v>
          </cell>
          <cell r="E101" t="str">
            <v>Tank</v>
          </cell>
          <cell r="F101" t="str">
            <v>Tank</v>
          </cell>
          <cell r="G101">
            <v>27</v>
          </cell>
        </row>
        <row r="102">
          <cell r="C102" t="str">
            <v>3330-TK-0012</v>
          </cell>
          <cell r="D102" t="str">
            <v>Vacuum Seal Tank</v>
          </cell>
          <cell r="E102" t="str">
            <v>Tank</v>
          </cell>
          <cell r="F102" t="str">
            <v>Tank</v>
          </cell>
          <cell r="G102">
            <v>27</v>
          </cell>
        </row>
        <row r="103">
          <cell r="C103" t="str">
            <v>3330-TK-0013</v>
          </cell>
          <cell r="D103" t="str">
            <v>Barren Solution Tank</v>
          </cell>
          <cell r="E103" t="str">
            <v>Tank</v>
          </cell>
          <cell r="F103" t="str">
            <v>Tank</v>
          </cell>
          <cell r="G103">
            <v>27</v>
          </cell>
        </row>
        <row r="104">
          <cell r="C104" t="str">
            <v>3330-TK-0014</v>
          </cell>
          <cell r="D104" t="str">
            <v>Cloth Wash Tank</v>
          </cell>
          <cell r="E104" t="str">
            <v>Tank</v>
          </cell>
          <cell r="F104" t="str">
            <v>Tank</v>
          </cell>
          <cell r="G104">
            <v>27</v>
          </cell>
        </row>
        <row r="105">
          <cell r="C105" t="str">
            <v>3330-PU-0130</v>
          </cell>
          <cell r="D105" t="str">
            <v>Barren Solution Pump</v>
          </cell>
          <cell r="E105" t="str">
            <v>Pump</v>
          </cell>
          <cell r="F105" t="str">
            <v>Pump, Barrel</v>
          </cell>
          <cell r="G105">
            <v>37</v>
          </cell>
        </row>
        <row r="106">
          <cell r="C106" t="str">
            <v>3330-PU-0131</v>
          </cell>
          <cell r="D106" t="str">
            <v>Barren Solution Pump Stby</v>
          </cell>
          <cell r="E106" t="str">
            <v>Pump</v>
          </cell>
          <cell r="F106" t="str">
            <v>Pump, Barrel</v>
          </cell>
          <cell r="G106">
            <v>37</v>
          </cell>
        </row>
        <row r="107">
          <cell r="C107" t="str">
            <v>3330-PU-0133</v>
          </cell>
          <cell r="D107" t="str">
            <v>Cloth Wash Pump</v>
          </cell>
          <cell r="E107" t="str">
            <v>Pump</v>
          </cell>
          <cell r="F107" t="str">
            <v>Pump, Water</v>
          </cell>
          <cell r="G107">
            <v>40</v>
          </cell>
        </row>
        <row r="108">
          <cell r="C108" t="str">
            <v>3330-PU-0134</v>
          </cell>
          <cell r="D108" t="str">
            <v>Cloth Wash Pump</v>
          </cell>
          <cell r="E108" t="str">
            <v>Pump</v>
          </cell>
          <cell r="F108" t="str">
            <v>Pump, Water</v>
          </cell>
          <cell r="G108">
            <v>40</v>
          </cell>
        </row>
        <row r="109">
          <cell r="C109" t="str">
            <v>3330-PU-0125</v>
          </cell>
          <cell r="D109" t="str">
            <v>Vacuum Pump</v>
          </cell>
          <cell r="E109" t="str">
            <v>Pump</v>
          </cell>
          <cell r="F109" t="str">
            <v>Pump, Vacuum</v>
          </cell>
          <cell r="G109">
            <v>43</v>
          </cell>
        </row>
        <row r="110">
          <cell r="C110" t="str">
            <v>3330-PU-0126</v>
          </cell>
          <cell r="D110" t="str">
            <v>Vacuum Pump</v>
          </cell>
          <cell r="E110" t="str">
            <v>Pump</v>
          </cell>
          <cell r="F110" t="str">
            <v>Pump, Vacuum</v>
          </cell>
          <cell r="G110">
            <v>43</v>
          </cell>
        </row>
        <row r="111">
          <cell r="C111" t="str">
            <v>3330-FE-0005</v>
          </cell>
          <cell r="D111" t="str">
            <v>Precipitate Screw Feeder</v>
          </cell>
          <cell r="E111" t="str">
            <v>Feeder, Screw</v>
          </cell>
          <cell r="F111" t="str">
            <v>Feeder, Screw</v>
          </cell>
          <cell r="G111">
            <v>44</v>
          </cell>
        </row>
        <row r="112">
          <cell r="C112" t="str">
            <v>3330-FE-0006</v>
          </cell>
          <cell r="D112" t="str">
            <v>Precipitate Screw Feeder</v>
          </cell>
          <cell r="E112" t="str">
            <v>Feeder, Screw</v>
          </cell>
          <cell r="F112" t="str">
            <v>Feeder, Screw</v>
          </cell>
          <cell r="G112">
            <v>44</v>
          </cell>
        </row>
        <row r="113">
          <cell r="C113" t="str">
            <v>3330-FE-0007</v>
          </cell>
          <cell r="D113" t="str">
            <v>Precipitate Screw Feeder</v>
          </cell>
          <cell r="E113" t="str">
            <v>Feeder, Screw</v>
          </cell>
          <cell r="F113" t="str">
            <v>Feeder, Screw</v>
          </cell>
          <cell r="G113">
            <v>44</v>
          </cell>
        </row>
        <row r="114">
          <cell r="C114" t="str">
            <v>3410-PU-0173</v>
          </cell>
          <cell r="D114" t="str">
            <v>Acid Wash Transfer Pump</v>
          </cell>
          <cell r="E114" t="str">
            <v>Pump</v>
          </cell>
          <cell r="F114" t="str">
            <v>Pump</v>
          </cell>
          <cell r="G114">
            <v>20</v>
          </cell>
        </row>
        <row r="115">
          <cell r="C115" t="str">
            <v>3410-VE-0002</v>
          </cell>
          <cell r="D115" t="str">
            <v>Acid Wash Vessel</v>
          </cell>
          <cell r="E115" t="str">
            <v>Vessel</v>
          </cell>
          <cell r="F115" t="str">
            <v>Vessel</v>
          </cell>
          <cell r="G115">
            <v>29</v>
          </cell>
        </row>
        <row r="116">
          <cell r="C116" t="str">
            <v>3420-VE-0003</v>
          </cell>
          <cell r="D116" t="str">
            <v>Elution Vessel</v>
          </cell>
          <cell r="E116" t="str">
            <v>Vessel</v>
          </cell>
          <cell r="F116" t="str">
            <v>Vessel</v>
          </cell>
          <cell r="G116">
            <v>29</v>
          </cell>
        </row>
        <row r="117">
          <cell r="C117" t="str">
            <v>3420-HX-0004</v>
          </cell>
          <cell r="D117" t="str">
            <v>Recovery Heat Exchanger</v>
          </cell>
          <cell r="E117" t="str">
            <v>Heat Exchanger</v>
          </cell>
          <cell r="F117" t="str">
            <v>Heat Exchanger</v>
          </cell>
          <cell r="G117">
            <v>36</v>
          </cell>
        </row>
        <row r="118">
          <cell r="C118" t="str">
            <v>3420-HX-0005</v>
          </cell>
          <cell r="D118" t="str">
            <v>Warming Heat Exchanger</v>
          </cell>
          <cell r="E118" t="str">
            <v>Heat Exchanger</v>
          </cell>
          <cell r="F118" t="str">
            <v>Heat Exchanger</v>
          </cell>
          <cell r="G118">
            <v>36</v>
          </cell>
        </row>
        <row r="119">
          <cell r="C119" t="str">
            <v>3450-KI-0001</v>
          </cell>
          <cell r="D119" t="str">
            <v>Carbon Reactivation Kiln</v>
          </cell>
          <cell r="E119" t="str">
            <v>Carbon Reactivation Kiln</v>
          </cell>
          <cell r="F119" t="str">
            <v>Carbon Reactivation Kiln</v>
          </cell>
          <cell r="G119">
            <v>6</v>
          </cell>
        </row>
        <row r="120">
          <cell r="C120" t="str">
            <v>3450-FA-0012</v>
          </cell>
          <cell r="D120" t="str">
            <v>Kiln Exhaust Fan</v>
          </cell>
          <cell r="E120" t="str">
            <v>Kiln Exhaust Fan</v>
          </cell>
          <cell r="F120" t="str">
            <v>Kiln Exhaust Fan</v>
          </cell>
          <cell r="G120">
            <v>41</v>
          </cell>
        </row>
        <row r="121">
          <cell r="C121" t="str">
            <v>3450-HO-0013</v>
          </cell>
          <cell r="D121" t="str">
            <v>Kiln Feed Hopper</v>
          </cell>
          <cell r="E121" t="str">
            <v>Hopper</v>
          </cell>
          <cell r="F121" t="str">
            <v>Hopper</v>
          </cell>
          <cell r="G121">
            <v>8</v>
          </cell>
        </row>
        <row r="122">
          <cell r="C122" t="str">
            <v>3450-SN-0032</v>
          </cell>
          <cell r="D122" t="str">
            <v>Carbon Fines Screen</v>
          </cell>
          <cell r="E122" t="str">
            <v>Trash Screen</v>
          </cell>
          <cell r="F122" t="str">
            <v>Trash Screen</v>
          </cell>
          <cell r="G122">
            <v>10</v>
          </cell>
        </row>
        <row r="123">
          <cell r="C123" t="str">
            <v>3450-SN-0031</v>
          </cell>
          <cell r="D123" t="str">
            <v>Stripped Carbon Screen</v>
          </cell>
          <cell r="E123" t="str">
            <v>Trash Screen</v>
          </cell>
          <cell r="F123" t="str">
            <v>Trash Screen</v>
          </cell>
          <cell r="G123">
            <v>10</v>
          </cell>
        </row>
        <row r="124">
          <cell r="C124" t="str">
            <v>3330-VE-0005</v>
          </cell>
          <cell r="D124" t="str">
            <v>Carbon Column</v>
          </cell>
          <cell r="E124" t="str">
            <v>Column</v>
          </cell>
          <cell r="F124" t="str">
            <v>Carbon Column</v>
          </cell>
          <cell r="G124">
            <v>46</v>
          </cell>
        </row>
        <row r="125">
          <cell r="C125" t="str">
            <v>3450-PU-0182</v>
          </cell>
          <cell r="D125" t="str">
            <v>Carbon Fines Pump</v>
          </cell>
          <cell r="E125" t="str">
            <v>Pump</v>
          </cell>
          <cell r="F125" t="str">
            <v>Pump</v>
          </cell>
          <cell r="G125">
            <v>20</v>
          </cell>
        </row>
        <row r="126">
          <cell r="C126" t="str">
            <v>3450-PU-0183</v>
          </cell>
          <cell r="D126" t="str">
            <v>Filtrate Pump</v>
          </cell>
          <cell r="E126" t="str">
            <v>Pump</v>
          </cell>
          <cell r="F126" t="str">
            <v>Pump</v>
          </cell>
          <cell r="G126">
            <v>20</v>
          </cell>
        </row>
        <row r="127">
          <cell r="C127" t="str">
            <v>3450-FL-0009</v>
          </cell>
          <cell r="D127" t="str">
            <v>Carbon Fines Filter Press</v>
          </cell>
          <cell r="E127" t="str">
            <v>Filter</v>
          </cell>
          <cell r="F127" t="str">
            <v>Filter</v>
          </cell>
          <cell r="G127">
            <v>21</v>
          </cell>
        </row>
        <row r="128">
          <cell r="C128" t="str">
            <v>3450-TK-0021</v>
          </cell>
          <cell r="D128" t="str">
            <v>Carbon Fines Collection Tank</v>
          </cell>
          <cell r="E128" t="str">
            <v>Tank</v>
          </cell>
          <cell r="F128" t="str">
            <v>Tank</v>
          </cell>
          <cell r="G128">
            <v>27</v>
          </cell>
        </row>
        <row r="129">
          <cell r="C129" t="str">
            <v>3450-TK-0023</v>
          </cell>
          <cell r="D129" t="str">
            <v>Carbon Fines Filtrate Tank</v>
          </cell>
          <cell r="E129" t="str">
            <v>Tank</v>
          </cell>
          <cell r="F129" t="str">
            <v>Tank</v>
          </cell>
          <cell r="G129">
            <v>27</v>
          </cell>
        </row>
        <row r="130">
          <cell r="C130" t="str">
            <v>3450-SK-0001</v>
          </cell>
          <cell r="D130" t="str">
            <v>Kiln Scrubber</v>
          </cell>
          <cell r="E130" t="str">
            <v>Kiln Scrubber</v>
          </cell>
          <cell r="F130" t="str">
            <v>Kiln Scrubber</v>
          </cell>
          <cell r="G130">
            <v>34</v>
          </cell>
        </row>
        <row r="131">
          <cell r="C131" t="str">
            <v>3450-FE-0010</v>
          </cell>
          <cell r="D131" t="str">
            <v>Kiln Screw Feeder</v>
          </cell>
          <cell r="E131" t="str">
            <v>Feeder</v>
          </cell>
          <cell r="F131" t="str">
            <v>Feeder</v>
          </cell>
          <cell r="G131">
            <v>42</v>
          </cell>
        </row>
        <row r="132">
          <cell r="C132" t="str">
            <v>3450-PU-0185</v>
          </cell>
          <cell r="D132" t="str">
            <v>Carbon Transfer Pump</v>
          </cell>
          <cell r="E132" t="str">
            <v>Pump</v>
          </cell>
          <cell r="F132" t="str">
            <v>Pump, Carbon Transfer</v>
          </cell>
          <cell r="G132">
            <v>47</v>
          </cell>
        </row>
        <row r="133">
          <cell r="C133" t="str">
            <v>3450-BN-0031</v>
          </cell>
          <cell r="D133" t="str">
            <v>Carbon Bin</v>
          </cell>
          <cell r="E133" t="str">
            <v>Bin</v>
          </cell>
          <cell r="F133" t="str">
            <v>Bin</v>
          </cell>
          <cell r="G133">
            <v>48</v>
          </cell>
        </row>
        <row r="134">
          <cell r="C134" t="str">
            <v>3500-FU-0003</v>
          </cell>
          <cell r="D134" t="str">
            <v>Smelting Furnace</v>
          </cell>
          <cell r="E134" t="str">
            <v>Smelting Furnace</v>
          </cell>
          <cell r="F134" t="str">
            <v>Smelting Furnace</v>
          </cell>
          <cell r="G134">
            <v>6</v>
          </cell>
        </row>
        <row r="135">
          <cell r="C135" t="str">
            <v>3500-FU-0004</v>
          </cell>
          <cell r="D135" t="str">
            <v>Smelting Furnace</v>
          </cell>
          <cell r="E135" t="str">
            <v>Smelting Furnace</v>
          </cell>
          <cell r="F135" t="str">
            <v>Smelting Furnace</v>
          </cell>
          <cell r="G135">
            <v>6</v>
          </cell>
        </row>
        <row r="136">
          <cell r="C136" t="str">
            <v>3500-MX-0001</v>
          </cell>
          <cell r="D136" t="str">
            <v>Precipitate &amp; Flux Ribbon Mixer</v>
          </cell>
          <cell r="E136" t="str">
            <v>Hopper</v>
          </cell>
          <cell r="F136" t="str">
            <v>Hopper</v>
          </cell>
          <cell r="G136">
            <v>8</v>
          </cell>
        </row>
        <row r="137">
          <cell r="C137" t="str">
            <v>3500-LN-0018</v>
          </cell>
          <cell r="D137" t="str">
            <v>Slag Granulation Launder</v>
          </cell>
          <cell r="E137" t="str">
            <v>Slag Granulation Launder</v>
          </cell>
          <cell r="F137" t="str">
            <v>Slag Granulation Launder</v>
          </cell>
          <cell r="G137">
            <v>22</v>
          </cell>
        </row>
        <row r="138">
          <cell r="C138" t="str">
            <v>3500-TK-0024</v>
          </cell>
          <cell r="D138" t="str">
            <v>Mercury Collecting Tank</v>
          </cell>
          <cell r="E138" t="str">
            <v>Tank</v>
          </cell>
          <cell r="F138" t="str">
            <v>Tank</v>
          </cell>
          <cell r="G138">
            <v>27</v>
          </cell>
        </row>
        <row r="139">
          <cell r="C139" t="str">
            <v>3500-FU-0001</v>
          </cell>
          <cell r="D139" t="str">
            <v>Mercury Retort</v>
          </cell>
          <cell r="E139" t="str">
            <v>Mercury Retort</v>
          </cell>
          <cell r="F139" t="str">
            <v>Mercury Retort</v>
          </cell>
          <cell r="G139">
            <v>31</v>
          </cell>
        </row>
        <row r="140">
          <cell r="C140" t="str">
            <v>3500-FU-0002</v>
          </cell>
          <cell r="D140" t="str">
            <v>Mercury Retort</v>
          </cell>
          <cell r="E140" t="str">
            <v>Mercury Retort</v>
          </cell>
          <cell r="F140" t="str">
            <v>Mercury Retort</v>
          </cell>
          <cell r="G140">
            <v>31</v>
          </cell>
        </row>
        <row r="141">
          <cell r="C141" t="str">
            <v>3500-HX-0008</v>
          </cell>
          <cell r="D141" t="str">
            <v>Condenser</v>
          </cell>
          <cell r="E141" t="str">
            <v>Condenser</v>
          </cell>
          <cell r="F141" t="str">
            <v>Condenser</v>
          </cell>
          <cell r="G141">
            <v>34</v>
          </cell>
        </row>
        <row r="142">
          <cell r="C142" t="str">
            <v>3500-HX-0009</v>
          </cell>
          <cell r="D142" t="str">
            <v>Condenser</v>
          </cell>
          <cell r="E142" t="str">
            <v>Condenser</v>
          </cell>
          <cell r="F142" t="str">
            <v>Condenser</v>
          </cell>
          <cell r="G142">
            <v>34</v>
          </cell>
        </row>
        <row r="143">
          <cell r="C143" t="str">
            <v>3500-CO-0001</v>
          </cell>
          <cell r="D143" t="str">
            <v>Mercury Cooler</v>
          </cell>
          <cell r="E143" t="str">
            <v>Cooler</v>
          </cell>
          <cell r="F143" t="str">
            <v>Cooler</v>
          </cell>
          <cell r="G143">
            <v>38</v>
          </cell>
        </row>
        <row r="144">
          <cell r="C144" t="str">
            <v>3500-CO-0004</v>
          </cell>
          <cell r="D144" t="str">
            <v>Mercury Cooler</v>
          </cell>
          <cell r="E144" t="str">
            <v>Cooler</v>
          </cell>
          <cell r="F144" t="str">
            <v>Cooler</v>
          </cell>
          <cell r="G144">
            <v>38</v>
          </cell>
        </row>
        <row r="145">
          <cell r="C145" t="str">
            <v>3500-FE-0014</v>
          </cell>
          <cell r="D145" t="str">
            <v>Flexwall Feeder</v>
          </cell>
          <cell r="E145" t="str">
            <v>Feeder, Screw</v>
          </cell>
          <cell r="F145" t="str">
            <v>Feeder, Screw</v>
          </cell>
          <cell r="G145">
            <v>44</v>
          </cell>
        </row>
        <row r="146">
          <cell r="C146" t="str">
            <v>3500-FE-0015</v>
          </cell>
          <cell r="D146" t="str">
            <v>Flexwall Feeder</v>
          </cell>
          <cell r="E146" t="str">
            <v>Feeder, Screw</v>
          </cell>
          <cell r="F146" t="str">
            <v>Feeder, Screw</v>
          </cell>
          <cell r="G146">
            <v>44</v>
          </cell>
        </row>
        <row r="147">
          <cell r="C147" t="str">
            <v>3500-FE-0013</v>
          </cell>
          <cell r="D147" t="str">
            <v>Flux Screw Conveyor</v>
          </cell>
          <cell r="E147" t="str">
            <v>Feeder, Screw</v>
          </cell>
          <cell r="F147" t="str">
            <v>Feeder, Screw</v>
          </cell>
          <cell r="G147">
            <v>44</v>
          </cell>
        </row>
        <row r="148">
          <cell r="C148" t="str">
            <v>3500-FE-0011</v>
          </cell>
          <cell r="D148" t="str">
            <v>Flexwall Precipitate Feeder</v>
          </cell>
          <cell r="E148" t="str">
            <v>Feeder, Screw</v>
          </cell>
          <cell r="F148" t="str">
            <v>Feeder, Screw</v>
          </cell>
          <cell r="G148">
            <v>44</v>
          </cell>
        </row>
        <row r="149">
          <cell r="C149" t="str">
            <v>3500-BN-0036</v>
          </cell>
          <cell r="D149" t="str">
            <v>Mercury Bin</v>
          </cell>
          <cell r="E149" t="str">
            <v>Bin</v>
          </cell>
          <cell r="F149" t="str">
            <v>Bin</v>
          </cell>
          <cell r="G149">
            <v>45</v>
          </cell>
        </row>
        <row r="150">
          <cell r="C150" t="str">
            <v>3500-VE-0004</v>
          </cell>
          <cell r="D150" t="str">
            <v>Carbon Column</v>
          </cell>
          <cell r="E150" t="str">
            <v>Column</v>
          </cell>
          <cell r="F150" t="str">
            <v>Carbon Column</v>
          </cell>
          <cell r="G150">
            <v>46</v>
          </cell>
        </row>
        <row r="151">
          <cell r="C151" t="str">
            <v>3620-TH-0007</v>
          </cell>
          <cell r="D151" t="str">
            <v>Detox Solution Clarifier</v>
          </cell>
          <cell r="E151" t="str">
            <v>Thickener</v>
          </cell>
          <cell r="F151" t="str">
            <v>Thickener</v>
          </cell>
          <cell r="G151">
            <v>16</v>
          </cell>
        </row>
        <row r="152">
          <cell r="C152" t="str">
            <v>3620-TH-0006</v>
          </cell>
          <cell r="D152" t="str">
            <v>Tails Thickener</v>
          </cell>
          <cell r="E152" t="str">
            <v>Thickener</v>
          </cell>
          <cell r="F152" t="str">
            <v>Thickener</v>
          </cell>
          <cell r="G152">
            <v>16</v>
          </cell>
        </row>
        <row r="153">
          <cell r="C153" t="str">
            <v>3620-PU-0265</v>
          </cell>
          <cell r="D153" t="str">
            <v xml:space="preserve">Clarifier Underflow Pump </v>
          </cell>
          <cell r="E153" t="str">
            <v>Pump</v>
          </cell>
          <cell r="F153" t="str">
            <v>Pump, Centrifugal</v>
          </cell>
          <cell r="G153">
            <v>24</v>
          </cell>
        </row>
        <row r="154">
          <cell r="C154" t="str">
            <v>3620-PU-0266</v>
          </cell>
          <cell r="D154" t="str">
            <v xml:space="preserve">Clarifier Underflow Pump </v>
          </cell>
          <cell r="E154" t="str">
            <v>Pump</v>
          </cell>
          <cell r="F154" t="str">
            <v>Pump, Centrifugal</v>
          </cell>
          <cell r="G154">
            <v>24</v>
          </cell>
        </row>
        <row r="155">
          <cell r="C155" t="str">
            <v>3620-PU-0253</v>
          </cell>
          <cell r="D155" t="str">
            <v>Tails Thickener Overflow Pump</v>
          </cell>
          <cell r="E155" t="str">
            <v>Pump</v>
          </cell>
          <cell r="F155" t="str">
            <v>Pump, Centrifugal</v>
          </cell>
          <cell r="G155">
            <v>24</v>
          </cell>
        </row>
        <row r="156">
          <cell r="C156" t="str">
            <v>3620-PU-0254</v>
          </cell>
          <cell r="D156" t="str">
            <v>Tails Thickener Overflow Pump Stby</v>
          </cell>
          <cell r="E156" t="str">
            <v>Pump</v>
          </cell>
          <cell r="F156" t="str">
            <v>Pump, Centrifugal</v>
          </cell>
          <cell r="G156">
            <v>24</v>
          </cell>
        </row>
        <row r="157">
          <cell r="C157" t="str">
            <v>3620-PU-0238</v>
          </cell>
          <cell r="D157" t="str">
            <v>Tails Thickener Underflow Pump</v>
          </cell>
          <cell r="E157" t="str">
            <v>Pump</v>
          </cell>
          <cell r="F157" t="str">
            <v>Pump, Centrifugal</v>
          </cell>
          <cell r="G157">
            <v>24</v>
          </cell>
        </row>
        <row r="158">
          <cell r="C158" t="str">
            <v>3620-PU-0239</v>
          </cell>
          <cell r="D158" t="str">
            <v>Tails Thickener Underflow Pump Stby</v>
          </cell>
          <cell r="E158" t="str">
            <v>Pump</v>
          </cell>
          <cell r="F158" t="str">
            <v>Pump, Centrifugal</v>
          </cell>
          <cell r="G158">
            <v>24</v>
          </cell>
        </row>
        <row r="159">
          <cell r="C159" t="str">
            <v>3620-TK-0053</v>
          </cell>
          <cell r="D159" t="str">
            <v>Taillings Thincker Overflow Tank</v>
          </cell>
          <cell r="E159" t="str">
            <v>Tank</v>
          </cell>
          <cell r="F159" t="str">
            <v>Tank</v>
          </cell>
          <cell r="G159">
            <v>27</v>
          </cell>
        </row>
        <row r="160">
          <cell r="C160" t="str">
            <v>3610-AG-0022</v>
          </cell>
          <cell r="D160" t="str">
            <v>Cyanide Detox Tank Agitator</v>
          </cell>
          <cell r="E160" t="str">
            <v>Agitator</v>
          </cell>
          <cell r="F160" t="str">
            <v>Agitator</v>
          </cell>
          <cell r="G160">
            <v>28</v>
          </cell>
        </row>
        <row r="161">
          <cell r="C161" t="str">
            <v>3610-TA-0022</v>
          </cell>
          <cell r="D161" t="str">
            <v>Cyanide Detox Tank</v>
          </cell>
          <cell r="E161" t="str">
            <v>Tank</v>
          </cell>
          <cell r="F161" t="str">
            <v>Tank</v>
          </cell>
          <cell r="G161">
            <v>30</v>
          </cell>
        </row>
        <row r="162">
          <cell r="C162" t="str">
            <v>3610-SN-0037</v>
          </cell>
          <cell r="D162" t="str">
            <v>Detox Screen</v>
          </cell>
          <cell r="E162" t="str">
            <v>Screen</v>
          </cell>
          <cell r="F162" t="str">
            <v>Screen</v>
          </cell>
          <cell r="G162">
            <v>50</v>
          </cell>
        </row>
        <row r="163">
          <cell r="C163" t="str">
            <v>3630-PU-0251</v>
          </cell>
          <cell r="D163" t="str">
            <v>Filtrate Pump</v>
          </cell>
          <cell r="E163" t="str">
            <v>Pump</v>
          </cell>
          <cell r="F163" t="str">
            <v>Pump, Centrifugal</v>
          </cell>
          <cell r="G163">
            <v>24</v>
          </cell>
        </row>
        <row r="164">
          <cell r="C164" t="str">
            <v>3630-PU-0252</v>
          </cell>
          <cell r="D164" t="str">
            <v>Filtrate Pump</v>
          </cell>
          <cell r="E164" t="str">
            <v>Pump</v>
          </cell>
          <cell r="F164" t="str">
            <v>Pump, Centrifugal</v>
          </cell>
          <cell r="G164">
            <v>24</v>
          </cell>
        </row>
        <row r="165">
          <cell r="C165" t="str">
            <v>3630-PU-0240</v>
          </cell>
          <cell r="D165" t="str">
            <v>Tails Filtration Feed Pump</v>
          </cell>
          <cell r="E165" t="str">
            <v>Pump</v>
          </cell>
          <cell r="F165" t="str">
            <v>Pump, Centrifugal</v>
          </cell>
          <cell r="G165">
            <v>24</v>
          </cell>
        </row>
        <row r="166">
          <cell r="C166" t="str">
            <v>3630-PU-0242</v>
          </cell>
          <cell r="D166" t="str">
            <v>Tails Filtration Feed Pump</v>
          </cell>
          <cell r="E166" t="str">
            <v>Pump</v>
          </cell>
          <cell r="F166" t="str">
            <v>Pump, Centrifugal</v>
          </cell>
          <cell r="G166">
            <v>24</v>
          </cell>
        </row>
        <row r="167">
          <cell r="C167" t="str">
            <v>3630-PU-0244</v>
          </cell>
          <cell r="D167" t="str">
            <v>Tails Filtration Feed Pump</v>
          </cell>
          <cell r="E167" t="str">
            <v>Pump</v>
          </cell>
          <cell r="F167" t="str">
            <v>Pump, Centrifugal</v>
          </cell>
          <cell r="G167">
            <v>24</v>
          </cell>
        </row>
        <row r="168">
          <cell r="C168" t="str">
            <v>3630-AG-0037</v>
          </cell>
          <cell r="D168" t="str">
            <v>Filtrate Tank Agitator</v>
          </cell>
          <cell r="E168" t="str">
            <v>Agitator</v>
          </cell>
          <cell r="F168" t="str">
            <v>Agitator</v>
          </cell>
          <cell r="G168">
            <v>28</v>
          </cell>
        </row>
        <row r="169">
          <cell r="C169" t="str">
            <v>3630-AG-0025</v>
          </cell>
          <cell r="D169" t="str">
            <v>Filtration Tank Agitator</v>
          </cell>
          <cell r="E169" t="str">
            <v>Agitator</v>
          </cell>
          <cell r="F169" t="str">
            <v>Agitator</v>
          </cell>
          <cell r="G169">
            <v>28</v>
          </cell>
        </row>
        <row r="170">
          <cell r="C170" t="str">
            <v>3630-AG-0026</v>
          </cell>
          <cell r="D170" t="str">
            <v>Filtration Tank Agitator</v>
          </cell>
          <cell r="E170" t="str">
            <v>Agitator</v>
          </cell>
          <cell r="F170" t="str">
            <v>Agitator</v>
          </cell>
          <cell r="G170">
            <v>28</v>
          </cell>
        </row>
        <row r="171">
          <cell r="C171" t="str">
            <v>3630-TA-0025</v>
          </cell>
          <cell r="D171" t="str">
            <v>Filtration Tank</v>
          </cell>
          <cell r="E171" t="str">
            <v>Tank</v>
          </cell>
          <cell r="F171" t="str">
            <v>Tank</v>
          </cell>
          <cell r="G171">
            <v>30</v>
          </cell>
        </row>
        <row r="172">
          <cell r="C172" t="str">
            <v>3630-TA-0026</v>
          </cell>
          <cell r="D172" t="str">
            <v>Filtration Tank</v>
          </cell>
          <cell r="E172" t="str">
            <v>Tank</v>
          </cell>
          <cell r="F172" t="str">
            <v>Tank</v>
          </cell>
          <cell r="G172">
            <v>30</v>
          </cell>
        </row>
        <row r="173">
          <cell r="C173" t="str">
            <v>3630-TA-0037</v>
          </cell>
          <cell r="D173" t="str">
            <v>Filtrate Tank</v>
          </cell>
          <cell r="E173" t="str">
            <v>Tank</v>
          </cell>
          <cell r="F173" t="str">
            <v>Tank</v>
          </cell>
          <cell r="G173">
            <v>30</v>
          </cell>
        </row>
        <row r="174">
          <cell r="C174" t="str">
            <v>3630-CP-0005</v>
          </cell>
          <cell r="D174" t="str">
            <v>Tails Filter Compressor</v>
          </cell>
          <cell r="E174" t="str">
            <v>Compressor</v>
          </cell>
          <cell r="F174" t="str">
            <v>Compressor</v>
          </cell>
          <cell r="G174">
            <v>32</v>
          </cell>
        </row>
        <row r="175">
          <cell r="C175" t="str">
            <v>3630-CP-0006</v>
          </cell>
          <cell r="D175" t="str">
            <v>Tails Filter Compressor</v>
          </cell>
          <cell r="E175" t="str">
            <v>Compressor</v>
          </cell>
          <cell r="F175" t="str">
            <v>Compressor</v>
          </cell>
          <cell r="G175">
            <v>32</v>
          </cell>
        </row>
        <row r="176">
          <cell r="C176" t="str">
            <v>3630-CP-0007</v>
          </cell>
          <cell r="D176" t="str">
            <v>Tails Filter Compressor</v>
          </cell>
          <cell r="E176" t="str">
            <v>Compressor</v>
          </cell>
          <cell r="F176" t="str">
            <v>Compressor</v>
          </cell>
          <cell r="G176">
            <v>32</v>
          </cell>
        </row>
        <row r="177">
          <cell r="C177" t="str">
            <v>3630-AR-0009</v>
          </cell>
          <cell r="D177" t="str">
            <v>Air Receiver</v>
          </cell>
          <cell r="E177" t="str">
            <v>Air Receiver</v>
          </cell>
          <cell r="F177" t="str">
            <v>Air Receiver</v>
          </cell>
          <cell r="G177">
            <v>33</v>
          </cell>
        </row>
        <row r="178">
          <cell r="C178" t="str">
            <v>3630-AR-0010</v>
          </cell>
          <cell r="D178" t="str">
            <v>Air Receiver</v>
          </cell>
          <cell r="E178" t="str">
            <v>Air Receiver</v>
          </cell>
          <cell r="F178" t="str">
            <v>Air Receiver</v>
          </cell>
          <cell r="G178">
            <v>33</v>
          </cell>
        </row>
        <row r="179">
          <cell r="C179" t="str">
            <v>3630-AR-0011</v>
          </cell>
          <cell r="D179" t="str">
            <v>Air Receiver</v>
          </cell>
          <cell r="E179" t="str">
            <v>Air Receiver</v>
          </cell>
          <cell r="F179" t="str">
            <v>Air Receiver</v>
          </cell>
          <cell r="G179">
            <v>33</v>
          </cell>
        </row>
        <row r="180">
          <cell r="C180" t="str">
            <v>3630-FL-0010</v>
          </cell>
          <cell r="D180" t="str">
            <v>Tails Filter</v>
          </cell>
          <cell r="E180" t="str">
            <v>Filter</v>
          </cell>
          <cell r="F180" t="str">
            <v>Filter</v>
          </cell>
          <cell r="G180">
            <v>39</v>
          </cell>
        </row>
        <row r="181">
          <cell r="C181" t="str">
            <v>3630-FL-0011</v>
          </cell>
          <cell r="D181" t="str">
            <v>Tails Filter</v>
          </cell>
          <cell r="E181" t="str">
            <v>Filter</v>
          </cell>
          <cell r="F181" t="str">
            <v>Filter</v>
          </cell>
          <cell r="G181">
            <v>39</v>
          </cell>
        </row>
        <row r="182">
          <cell r="C182" t="str">
            <v>3630-FL-0012</v>
          </cell>
          <cell r="D182" t="str">
            <v>Tails Filter</v>
          </cell>
          <cell r="E182" t="str">
            <v>Filter</v>
          </cell>
          <cell r="F182" t="str">
            <v>Filter</v>
          </cell>
          <cell r="G182">
            <v>39</v>
          </cell>
        </row>
        <row r="183">
          <cell r="C183" t="str">
            <v>3630-BX-0023</v>
          </cell>
          <cell r="D183" t="str">
            <v>Filtration Distribution Box</v>
          </cell>
          <cell r="E183" t="str">
            <v>Bin</v>
          </cell>
          <cell r="F183" t="str">
            <v>Bin</v>
          </cell>
          <cell r="G183">
            <v>45</v>
          </cell>
        </row>
        <row r="184">
          <cell r="C184" t="str">
            <v>3810-BX-0025</v>
          </cell>
          <cell r="D184" t="str">
            <v>Milk of Lime Box</v>
          </cell>
          <cell r="E184" t="str">
            <v>Box</v>
          </cell>
          <cell r="F184" t="str">
            <v>Hopper</v>
          </cell>
          <cell r="G184">
            <v>8</v>
          </cell>
        </row>
        <row r="185">
          <cell r="C185" t="str">
            <v>3810-BE-0001</v>
          </cell>
          <cell r="D185" t="str">
            <v>Lime Bucket Elevator Conveyor</v>
          </cell>
          <cell r="E185" t="str">
            <v>Conveyor</v>
          </cell>
          <cell r="F185" t="str">
            <v>Conveyor, Lime</v>
          </cell>
          <cell r="G185">
            <v>14</v>
          </cell>
        </row>
        <row r="186">
          <cell r="C186" t="str">
            <v>3810-PU-0301</v>
          </cell>
          <cell r="D186" t="str">
            <v>Lime Distribution Pump</v>
          </cell>
          <cell r="E186" t="str">
            <v>Pump</v>
          </cell>
          <cell r="F186" t="str">
            <v>Pump, centrifugal, slurry</v>
          </cell>
          <cell r="G186">
            <v>18</v>
          </cell>
        </row>
        <row r="187">
          <cell r="C187" t="str">
            <v>3810-PU-0302</v>
          </cell>
          <cell r="D187" t="str">
            <v>Lime Distribution Pump</v>
          </cell>
          <cell r="E187" t="str">
            <v>Pump</v>
          </cell>
          <cell r="F187" t="str">
            <v>Pump, centrifugal, slurry</v>
          </cell>
          <cell r="G187">
            <v>18</v>
          </cell>
        </row>
        <row r="188">
          <cell r="C188" t="str">
            <v>3810-PU-0395</v>
          </cell>
          <cell r="D188" t="str">
            <v>Milk of Lime Pump</v>
          </cell>
          <cell r="E188" t="str">
            <v>Pump</v>
          </cell>
          <cell r="F188" t="str">
            <v>Pump, centrifugal, slurry</v>
          </cell>
          <cell r="G188">
            <v>18</v>
          </cell>
        </row>
        <row r="189">
          <cell r="C189" t="str">
            <v>3810-PU-0396</v>
          </cell>
          <cell r="D189" t="str">
            <v>Milk of Lime Pump</v>
          </cell>
          <cell r="E189" t="str">
            <v>Pump</v>
          </cell>
          <cell r="F189" t="str">
            <v>Pump, centrifugal, slurry</v>
          </cell>
          <cell r="G189">
            <v>18</v>
          </cell>
        </row>
        <row r="190">
          <cell r="C190" t="str">
            <v>3810-AG-0027</v>
          </cell>
          <cell r="D190" t="str">
            <v>Lime Tank Agitator</v>
          </cell>
          <cell r="E190" t="str">
            <v>Agitator</v>
          </cell>
          <cell r="F190" t="str">
            <v>Agitator</v>
          </cell>
          <cell r="G190">
            <v>26</v>
          </cell>
        </row>
        <row r="191">
          <cell r="C191" t="str">
            <v>3810-AG-0028</v>
          </cell>
          <cell r="D191" t="str">
            <v>Lime Tank Agitator</v>
          </cell>
          <cell r="E191" t="str">
            <v>Agitator</v>
          </cell>
          <cell r="F191" t="str">
            <v>Agitator</v>
          </cell>
          <cell r="G191">
            <v>26</v>
          </cell>
        </row>
        <row r="192">
          <cell r="C192" t="str">
            <v>3810-XM-0060</v>
          </cell>
          <cell r="D192" t="str">
            <v>Slaker</v>
          </cell>
          <cell r="E192" t="str">
            <v>Slaker</v>
          </cell>
          <cell r="F192" t="str">
            <v>Slaker</v>
          </cell>
          <cell r="G192">
            <v>27</v>
          </cell>
        </row>
        <row r="193">
          <cell r="C193" t="str">
            <v>3810-SO-0001</v>
          </cell>
          <cell r="D193" t="str">
            <v>Lime Silo</v>
          </cell>
          <cell r="E193" t="str">
            <v>Silo</v>
          </cell>
          <cell r="F193" t="str">
            <v>Silo</v>
          </cell>
          <cell r="G193">
            <v>27</v>
          </cell>
        </row>
        <row r="194">
          <cell r="C194" t="str">
            <v>3810-TA-0027</v>
          </cell>
          <cell r="D194" t="str">
            <v>Milk of Lime Distribution Tank</v>
          </cell>
          <cell r="E194" t="str">
            <v>Tank</v>
          </cell>
          <cell r="F194" t="str">
            <v>Tank</v>
          </cell>
          <cell r="G194">
            <v>27</v>
          </cell>
        </row>
        <row r="195">
          <cell r="C195" t="str">
            <v>3810-TA-0028</v>
          </cell>
          <cell r="D195" t="str">
            <v>Milk of Lime Distribution Tank</v>
          </cell>
          <cell r="E195" t="str">
            <v>Tank</v>
          </cell>
          <cell r="F195" t="str">
            <v>Tank</v>
          </cell>
          <cell r="G195">
            <v>27</v>
          </cell>
        </row>
        <row r="196">
          <cell r="C196" t="str">
            <v>3810-FE-0012</v>
          </cell>
          <cell r="D196" t="str">
            <v>Lime Screw Feeder</v>
          </cell>
          <cell r="E196" t="str">
            <v>Feeder, Screw</v>
          </cell>
          <cell r="F196" t="str">
            <v>Feeder, Screw</v>
          </cell>
          <cell r="G196">
            <v>44</v>
          </cell>
        </row>
        <row r="197">
          <cell r="C197" t="str">
            <v>3820-HO-0029</v>
          </cell>
          <cell r="D197" t="str">
            <v>Sodium Cyanide Hopper</v>
          </cell>
          <cell r="E197" t="str">
            <v>Hopper</v>
          </cell>
          <cell r="F197" t="str">
            <v>Hopper</v>
          </cell>
          <cell r="G197">
            <v>8</v>
          </cell>
        </row>
        <row r="198">
          <cell r="C198" t="str">
            <v>3820-SK-0005</v>
          </cell>
          <cell r="D198" t="str">
            <v>NaOH Scrubber System</v>
          </cell>
          <cell r="E198" t="str">
            <v>Column</v>
          </cell>
          <cell r="F198" t="str">
            <v>Column</v>
          </cell>
          <cell r="G198">
            <v>19</v>
          </cell>
        </row>
        <row r="199">
          <cell r="C199" t="str">
            <v>3820-PU-0308</v>
          </cell>
          <cell r="D199" t="str">
            <v>Cyanide Pump</v>
          </cell>
          <cell r="E199" t="str">
            <v>Pump</v>
          </cell>
          <cell r="F199" t="str">
            <v>Pump, Centrifugal</v>
          </cell>
          <cell r="G199">
            <v>24</v>
          </cell>
        </row>
        <row r="200">
          <cell r="C200" t="str">
            <v>3820-PU-0309</v>
          </cell>
          <cell r="D200" t="str">
            <v>Cyanide Pump</v>
          </cell>
          <cell r="E200" t="str">
            <v>Pump</v>
          </cell>
          <cell r="F200" t="str">
            <v>Pump, Centrifugal</v>
          </cell>
          <cell r="G200">
            <v>24</v>
          </cell>
        </row>
        <row r="201">
          <cell r="C201" t="str">
            <v>3820-PU-0310</v>
          </cell>
          <cell r="D201" t="str">
            <v>Cyanide Pump</v>
          </cell>
          <cell r="E201" t="str">
            <v>Pump</v>
          </cell>
          <cell r="F201" t="str">
            <v>Pump, Centrifugal</v>
          </cell>
          <cell r="G201">
            <v>24</v>
          </cell>
        </row>
        <row r="202">
          <cell r="C202" t="str">
            <v>3820-PU-0307</v>
          </cell>
          <cell r="D202" t="str">
            <v>Cyanide Transfer Pump</v>
          </cell>
          <cell r="E202" t="str">
            <v>Pump</v>
          </cell>
          <cell r="F202" t="str">
            <v>Pump, Centrifugal</v>
          </cell>
          <cell r="G202">
            <v>24</v>
          </cell>
        </row>
        <row r="203">
          <cell r="C203" t="str">
            <v>3820-PU-0304</v>
          </cell>
          <cell r="D203" t="str">
            <v>NaOH Pump</v>
          </cell>
          <cell r="E203" t="str">
            <v>Pump</v>
          </cell>
          <cell r="F203" t="str">
            <v>Pump, Centrifugal</v>
          </cell>
          <cell r="G203">
            <v>24</v>
          </cell>
        </row>
        <row r="204">
          <cell r="C204" t="str">
            <v>3820-PU-0305</v>
          </cell>
          <cell r="D204" t="str">
            <v>NaOH Scrubber System Pump</v>
          </cell>
          <cell r="E204" t="str">
            <v>Pump</v>
          </cell>
          <cell r="F204" t="str">
            <v>Pump, Centrifugal</v>
          </cell>
          <cell r="G204">
            <v>24</v>
          </cell>
        </row>
        <row r="205">
          <cell r="C205" t="str">
            <v>3820-AG-0029</v>
          </cell>
          <cell r="D205" t="str">
            <v>Cyanide Tank Agitator</v>
          </cell>
          <cell r="E205" t="str">
            <v>Agitator</v>
          </cell>
          <cell r="F205" t="str">
            <v>Agitator</v>
          </cell>
          <cell r="G205">
            <v>26</v>
          </cell>
        </row>
        <row r="206">
          <cell r="C206" t="str">
            <v>3820-AG-0030</v>
          </cell>
          <cell r="D206" t="str">
            <v>Cyanide Tank Agitator</v>
          </cell>
          <cell r="E206" t="str">
            <v>Agitator</v>
          </cell>
          <cell r="F206" t="str">
            <v>Agitator</v>
          </cell>
          <cell r="G206">
            <v>26</v>
          </cell>
        </row>
        <row r="207">
          <cell r="C207" t="str">
            <v>3820-TA-0029</v>
          </cell>
          <cell r="D207" t="str">
            <v>Cyanide Preparation Tank</v>
          </cell>
          <cell r="E207" t="str">
            <v>Tank</v>
          </cell>
          <cell r="F207" t="str">
            <v>Tank</v>
          </cell>
          <cell r="G207">
            <v>27</v>
          </cell>
        </row>
        <row r="208">
          <cell r="C208" t="str">
            <v>3820-TA-0030</v>
          </cell>
          <cell r="D208" t="str">
            <v>Cyanide Distribution Tank</v>
          </cell>
          <cell r="E208" t="str">
            <v>Tank</v>
          </cell>
          <cell r="F208" t="str">
            <v>Tank</v>
          </cell>
          <cell r="G208">
            <v>27</v>
          </cell>
        </row>
        <row r="209">
          <cell r="C209" t="str">
            <v>3820-TA-0031</v>
          </cell>
          <cell r="D209" t="str">
            <v>NaOH Tank</v>
          </cell>
          <cell r="E209" t="str">
            <v>Tank</v>
          </cell>
          <cell r="F209" t="str">
            <v>Tank</v>
          </cell>
          <cell r="G209">
            <v>27</v>
          </cell>
        </row>
        <row r="210">
          <cell r="C210" t="str">
            <v>3830-HO-0024</v>
          </cell>
          <cell r="D210" t="str">
            <v>Flocculant Hopper</v>
          </cell>
          <cell r="E210" t="str">
            <v>Hopper</v>
          </cell>
          <cell r="F210" t="str">
            <v>Hopper</v>
          </cell>
          <cell r="G210">
            <v>8</v>
          </cell>
        </row>
        <row r="211">
          <cell r="C211" t="str">
            <v>3830-MX-0005</v>
          </cell>
          <cell r="D211" t="str">
            <v>Flocculant Mixer</v>
          </cell>
          <cell r="E211" t="str">
            <v>Mixer</v>
          </cell>
          <cell r="F211" t="str">
            <v>Pump, centrifugal</v>
          </cell>
          <cell r="G211">
            <v>18</v>
          </cell>
        </row>
        <row r="212">
          <cell r="C212" t="str">
            <v>3830-MX-0006</v>
          </cell>
          <cell r="D212" t="str">
            <v>Flocculant Mixer</v>
          </cell>
          <cell r="E212" t="str">
            <v>Mixer</v>
          </cell>
          <cell r="F212" t="str">
            <v>Pump, centrifugal</v>
          </cell>
          <cell r="G212">
            <v>18</v>
          </cell>
        </row>
        <row r="213">
          <cell r="C213" t="str">
            <v>3830-MX-0007</v>
          </cell>
          <cell r="D213" t="str">
            <v>Flocculant Mixer</v>
          </cell>
          <cell r="E213" t="str">
            <v>Mixer</v>
          </cell>
          <cell r="F213" t="str">
            <v>Pump, centrifugal</v>
          </cell>
          <cell r="G213">
            <v>18</v>
          </cell>
        </row>
        <row r="214">
          <cell r="C214" t="str">
            <v>3830-MX-0008</v>
          </cell>
          <cell r="D214" t="str">
            <v>Flocculant Mixer</v>
          </cell>
          <cell r="E214" t="str">
            <v>Mixer</v>
          </cell>
          <cell r="F214" t="str">
            <v>Pump, centrifugal</v>
          </cell>
          <cell r="G214">
            <v>18</v>
          </cell>
        </row>
        <row r="215">
          <cell r="C215" t="str">
            <v>3830-MX-0009</v>
          </cell>
          <cell r="D215" t="str">
            <v>Flocculant Mixer</v>
          </cell>
          <cell r="E215" t="str">
            <v>Mixer</v>
          </cell>
          <cell r="F215" t="str">
            <v>Pump, centrifugal</v>
          </cell>
          <cell r="G215">
            <v>18</v>
          </cell>
        </row>
        <row r="216">
          <cell r="C216" t="str">
            <v>3830-MX-0010</v>
          </cell>
          <cell r="D216" t="str">
            <v>Flocculant Mixer</v>
          </cell>
          <cell r="E216" t="str">
            <v>Mixer</v>
          </cell>
          <cell r="F216" t="str">
            <v>Pump, centrifugal</v>
          </cell>
          <cell r="G216">
            <v>18</v>
          </cell>
        </row>
        <row r="217">
          <cell r="C217" t="str">
            <v>3830-PU-0312</v>
          </cell>
          <cell r="D217" t="str">
            <v>Flocculant Pump</v>
          </cell>
          <cell r="E217" t="str">
            <v>Pump</v>
          </cell>
          <cell r="F217" t="str">
            <v>Pump, centrifugal, slurry</v>
          </cell>
          <cell r="G217">
            <v>18</v>
          </cell>
        </row>
        <row r="218">
          <cell r="C218" t="str">
            <v>3830-PU-0313</v>
          </cell>
          <cell r="D218" t="str">
            <v>Flocculant Pump</v>
          </cell>
          <cell r="E218" t="str">
            <v>Pump</v>
          </cell>
          <cell r="F218" t="str">
            <v>Pump, centrifugal, slurry</v>
          </cell>
          <cell r="G218">
            <v>18</v>
          </cell>
        </row>
        <row r="219">
          <cell r="C219" t="str">
            <v>3830-PU-0314</v>
          </cell>
          <cell r="D219" t="str">
            <v>Flocculant Pump</v>
          </cell>
          <cell r="E219" t="str">
            <v>Pump</v>
          </cell>
          <cell r="F219" t="str">
            <v>Pump, centrifugal, slurry</v>
          </cell>
          <cell r="G219">
            <v>18</v>
          </cell>
        </row>
        <row r="220">
          <cell r="C220" t="str">
            <v>3830-PU-0315</v>
          </cell>
          <cell r="D220" t="str">
            <v>Flocculant Pump</v>
          </cell>
          <cell r="E220" t="str">
            <v>Pump</v>
          </cell>
          <cell r="F220" t="str">
            <v>Pump, centrifugal, slurry</v>
          </cell>
          <cell r="G220">
            <v>18</v>
          </cell>
        </row>
        <row r="221">
          <cell r="C221" t="str">
            <v>3830-PU-0316</v>
          </cell>
          <cell r="D221" t="str">
            <v>Flocculant Pump</v>
          </cell>
          <cell r="E221" t="str">
            <v>Pump</v>
          </cell>
          <cell r="F221" t="str">
            <v>Pump, centrifugal, slurry</v>
          </cell>
          <cell r="G221">
            <v>18</v>
          </cell>
        </row>
        <row r="222">
          <cell r="C222" t="str">
            <v>3830-PU-0317</v>
          </cell>
          <cell r="D222" t="str">
            <v>Flocculant Pump</v>
          </cell>
          <cell r="E222" t="str">
            <v>Pump</v>
          </cell>
          <cell r="F222" t="str">
            <v>Pump, centrifugal, slurry</v>
          </cell>
          <cell r="G222">
            <v>18</v>
          </cell>
        </row>
        <row r="223">
          <cell r="C223" t="str">
            <v>3830-PU-0456</v>
          </cell>
          <cell r="D223" t="str">
            <v>Flocculant Transfer Pump</v>
          </cell>
          <cell r="E223" t="str">
            <v>Pump</v>
          </cell>
          <cell r="F223" t="str">
            <v>Pump, centrifugal, slurry</v>
          </cell>
          <cell r="G223">
            <v>18</v>
          </cell>
        </row>
        <row r="224">
          <cell r="C224" t="str">
            <v>3830-AG-0039</v>
          </cell>
          <cell r="D224" t="str">
            <v>Flocculant Tank Agitator</v>
          </cell>
          <cell r="E224" t="str">
            <v>Agitator</v>
          </cell>
          <cell r="F224" t="str">
            <v>Agitator</v>
          </cell>
          <cell r="G224">
            <v>26</v>
          </cell>
        </row>
        <row r="225">
          <cell r="C225" t="str">
            <v>3830-TA-0039</v>
          </cell>
          <cell r="D225" t="str">
            <v>Flocculant Tank</v>
          </cell>
          <cell r="E225" t="str">
            <v>Tank</v>
          </cell>
          <cell r="F225" t="str">
            <v>Tank</v>
          </cell>
          <cell r="G225">
            <v>27</v>
          </cell>
        </row>
        <row r="226">
          <cell r="C226" t="str">
            <v>3830-TK-0031</v>
          </cell>
          <cell r="D226" t="str">
            <v>Flocculant Tank</v>
          </cell>
          <cell r="E226" t="str">
            <v>Tank</v>
          </cell>
          <cell r="F226" t="str">
            <v>Tank</v>
          </cell>
          <cell r="G226">
            <v>27</v>
          </cell>
        </row>
        <row r="227">
          <cell r="C227" t="str">
            <v>3830-BL-0001</v>
          </cell>
          <cell r="D227" t="str">
            <v>Flocculant System Blower</v>
          </cell>
          <cell r="E227" t="str">
            <v>Blower</v>
          </cell>
          <cell r="F227" t="str">
            <v>Blower</v>
          </cell>
          <cell r="G227">
            <v>41</v>
          </cell>
        </row>
        <row r="228">
          <cell r="C228" t="str">
            <v>3830-XM-0068</v>
          </cell>
          <cell r="D228" t="str">
            <v>Flocculant Venturi</v>
          </cell>
          <cell r="E228" t="str">
            <v>Flocculant Venturi</v>
          </cell>
          <cell r="F228" t="str">
            <v>Flocculant Venturi</v>
          </cell>
          <cell r="G228">
            <v>41</v>
          </cell>
        </row>
        <row r="229">
          <cell r="C229" t="str">
            <v>3830-FE-0020</v>
          </cell>
          <cell r="D229" t="str">
            <v>Flocculant Screw Feeder</v>
          </cell>
          <cell r="E229" t="str">
            <v>Feeder, Screw</v>
          </cell>
          <cell r="F229" t="str">
            <v>Feeder, Screw</v>
          </cell>
          <cell r="G229">
            <v>44</v>
          </cell>
        </row>
        <row r="230">
          <cell r="C230" t="str">
            <v>3840-HO-0026</v>
          </cell>
          <cell r="D230" t="str">
            <v>Cu Sulphate Hopper</v>
          </cell>
          <cell r="E230" t="str">
            <v>Hopper</v>
          </cell>
          <cell r="F230" t="str">
            <v>Hopper</v>
          </cell>
          <cell r="G230">
            <v>8</v>
          </cell>
        </row>
        <row r="231">
          <cell r="C231" t="str">
            <v>3840-HO-0028</v>
          </cell>
          <cell r="D231" t="str">
            <v>SMBS Hopper</v>
          </cell>
          <cell r="E231" t="str">
            <v>Hopper</v>
          </cell>
          <cell r="F231" t="str">
            <v>Hopper</v>
          </cell>
          <cell r="G231">
            <v>8</v>
          </cell>
        </row>
        <row r="232">
          <cell r="C232" t="str">
            <v>3840-PU-0318</v>
          </cell>
          <cell r="D232" t="str">
            <v>Cu Sulphate Pump</v>
          </cell>
          <cell r="E232" t="str">
            <v>Pump</v>
          </cell>
          <cell r="F232" t="str">
            <v>Pump, centrifugal, slurry</v>
          </cell>
          <cell r="G232">
            <v>18</v>
          </cell>
        </row>
        <row r="233">
          <cell r="C233" t="str">
            <v>3840-PU-0319</v>
          </cell>
          <cell r="D233" t="str">
            <v>Cu Sulphate Pump Spare</v>
          </cell>
          <cell r="E233" t="str">
            <v>Pump</v>
          </cell>
          <cell r="F233" t="str">
            <v>Pump, centrifugal, slurry</v>
          </cell>
          <cell r="G233">
            <v>18</v>
          </cell>
        </row>
        <row r="234">
          <cell r="C234" t="str">
            <v>3840-PU-0320</v>
          </cell>
          <cell r="D234" t="str">
            <v>Cu Sulphate Transfer Pump</v>
          </cell>
          <cell r="E234" t="str">
            <v>Pump</v>
          </cell>
          <cell r="F234" t="str">
            <v>Pump, centrifugal, slurry</v>
          </cell>
          <cell r="G234">
            <v>18</v>
          </cell>
        </row>
        <row r="235">
          <cell r="C235" t="str">
            <v>3840-PU-0322</v>
          </cell>
          <cell r="D235" t="str">
            <v>SMBS Distribution Pump</v>
          </cell>
          <cell r="E235" t="str">
            <v>Pump</v>
          </cell>
          <cell r="F235" t="str">
            <v>Pump, centrifugal, slurry</v>
          </cell>
          <cell r="G235">
            <v>18</v>
          </cell>
        </row>
        <row r="236">
          <cell r="C236" t="str">
            <v>3840-PU-0323</v>
          </cell>
          <cell r="D236" t="str">
            <v>SMBS Distribution Pump Spare</v>
          </cell>
          <cell r="E236" t="str">
            <v>Pump</v>
          </cell>
          <cell r="F236" t="str">
            <v>Pump, centrifugal, slurry</v>
          </cell>
          <cell r="G236">
            <v>18</v>
          </cell>
        </row>
        <row r="237">
          <cell r="C237" t="str">
            <v>3840-PU-0321</v>
          </cell>
          <cell r="D237" t="str">
            <v>SMBS Transfer Pump</v>
          </cell>
          <cell r="E237" t="str">
            <v>Pump</v>
          </cell>
          <cell r="F237" t="str">
            <v>Pump, centrifugal, slurry</v>
          </cell>
          <cell r="G237">
            <v>18</v>
          </cell>
        </row>
        <row r="238">
          <cell r="C238" t="str">
            <v>3840-AG-0034</v>
          </cell>
          <cell r="D238" t="str">
            <v>Cu Sulphate Tank Agitator</v>
          </cell>
          <cell r="E238" t="str">
            <v>Agitator</v>
          </cell>
          <cell r="F238" t="str">
            <v>Agitator</v>
          </cell>
          <cell r="G238">
            <v>26</v>
          </cell>
        </row>
        <row r="239">
          <cell r="C239" t="str">
            <v>3840-AG-0032</v>
          </cell>
          <cell r="D239" t="str">
            <v>SMBS Tank Agitator</v>
          </cell>
          <cell r="E239" t="str">
            <v>Agitator</v>
          </cell>
          <cell r="F239" t="str">
            <v>Agitator</v>
          </cell>
          <cell r="G239">
            <v>26</v>
          </cell>
        </row>
        <row r="240">
          <cell r="C240" t="str">
            <v>3840-TA-0032</v>
          </cell>
          <cell r="D240" t="str">
            <v>SMBS Preparation Tank</v>
          </cell>
          <cell r="E240" t="str">
            <v>Tank</v>
          </cell>
          <cell r="F240" t="str">
            <v>Tank</v>
          </cell>
          <cell r="G240">
            <v>27</v>
          </cell>
        </row>
        <row r="241">
          <cell r="C241" t="str">
            <v>3840-TA-0034</v>
          </cell>
          <cell r="D241" t="str">
            <v>Cu Sulphate Preparation Tank</v>
          </cell>
          <cell r="E241" t="str">
            <v>Tank</v>
          </cell>
          <cell r="F241" t="str">
            <v>Tank</v>
          </cell>
          <cell r="G241">
            <v>27</v>
          </cell>
        </row>
        <row r="242">
          <cell r="C242" t="str">
            <v>3840-TK-0035</v>
          </cell>
          <cell r="D242" t="str">
            <v>SMBS Distribution Tank</v>
          </cell>
          <cell r="E242" t="str">
            <v>Tank</v>
          </cell>
          <cell r="F242" t="str">
            <v>Tank</v>
          </cell>
          <cell r="G242">
            <v>27</v>
          </cell>
        </row>
        <row r="243">
          <cell r="C243" t="str">
            <v>3840-TK-0036</v>
          </cell>
          <cell r="D243" t="str">
            <v>Cu Sulphate Distribution Tank</v>
          </cell>
          <cell r="E243" t="str">
            <v>Tank</v>
          </cell>
          <cell r="F243" t="str">
            <v>Tank</v>
          </cell>
          <cell r="G243">
            <v>27</v>
          </cell>
        </row>
        <row r="244">
          <cell r="C244" t="str">
            <v>3840-FE-0019</v>
          </cell>
          <cell r="D244" t="str">
            <v>SMBS Screw Feeder</v>
          </cell>
          <cell r="E244" t="str">
            <v>Feeder</v>
          </cell>
          <cell r="F244" t="str">
            <v>Feeder</v>
          </cell>
          <cell r="G244">
            <v>42</v>
          </cell>
        </row>
        <row r="245">
          <cell r="C245" t="str">
            <v>3840-FE-0018</v>
          </cell>
          <cell r="D245" t="str">
            <v>Cu Sulphate Screw Feeder</v>
          </cell>
          <cell r="E245" t="str">
            <v>Feeder, Screw</v>
          </cell>
          <cell r="F245" t="str">
            <v>Feeder, Screw</v>
          </cell>
          <cell r="G245">
            <v>44</v>
          </cell>
        </row>
        <row r="246">
          <cell r="C246" t="str">
            <v>3850-CP-0013</v>
          </cell>
          <cell r="D246" t="str">
            <v>Air Compressor</v>
          </cell>
          <cell r="E246" t="str">
            <v>Air Compressor</v>
          </cell>
          <cell r="F246" t="str">
            <v>Air Compressor</v>
          </cell>
          <cell r="G246">
            <v>32</v>
          </cell>
        </row>
        <row r="247">
          <cell r="C247" t="str">
            <v>3850-AR-0006</v>
          </cell>
          <cell r="D247" t="str">
            <v>Air Receiver</v>
          </cell>
          <cell r="E247" t="str">
            <v>Air Receiver</v>
          </cell>
          <cell r="F247" t="str">
            <v>Air Receiver</v>
          </cell>
          <cell r="G247">
            <v>33</v>
          </cell>
        </row>
        <row r="248">
          <cell r="C248" t="str">
            <v>3850-VE-0007</v>
          </cell>
          <cell r="D248" t="str">
            <v>Adsorption Column</v>
          </cell>
          <cell r="E248" t="str">
            <v>Absorption Column</v>
          </cell>
          <cell r="F248" t="str">
            <v>Absorption Column</v>
          </cell>
          <cell r="G248">
            <v>34</v>
          </cell>
        </row>
        <row r="249">
          <cell r="C249" t="str">
            <v>3850-VE-0008</v>
          </cell>
          <cell r="D249" t="str">
            <v>Adsorption Column</v>
          </cell>
          <cell r="E249" t="str">
            <v>Absorption Column</v>
          </cell>
          <cell r="F249" t="str">
            <v>Absorption Column</v>
          </cell>
          <cell r="G249">
            <v>34</v>
          </cell>
        </row>
        <row r="250">
          <cell r="C250" t="str">
            <v>3850-DR-0004</v>
          </cell>
          <cell r="D250" t="str">
            <v>Air Dryer</v>
          </cell>
          <cell r="E250" t="str">
            <v>Air Dryer</v>
          </cell>
          <cell r="F250" t="str">
            <v>Air Dryer</v>
          </cell>
          <cell r="G250">
            <v>34</v>
          </cell>
        </row>
        <row r="251">
          <cell r="C251" t="str">
            <v>3850-FL-0020</v>
          </cell>
          <cell r="D251" t="str">
            <v>Air Filter</v>
          </cell>
          <cell r="E251" t="str">
            <v>Filter</v>
          </cell>
          <cell r="F251" t="str">
            <v>Filter</v>
          </cell>
          <cell r="G251">
            <v>34</v>
          </cell>
        </row>
        <row r="252">
          <cell r="C252" t="str">
            <v>3850-AQ-0004</v>
          </cell>
          <cell r="D252" t="str">
            <v>Enriched Air Accumulator</v>
          </cell>
          <cell r="E252" t="str">
            <v>Air Accumulator</v>
          </cell>
          <cell r="F252" t="str">
            <v>Air Accumulator</v>
          </cell>
          <cell r="G252">
            <v>34</v>
          </cell>
        </row>
        <row r="253">
          <cell r="C253" t="str">
            <v>3850-CQ-0002</v>
          </cell>
          <cell r="D253" t="str">
            <v>Air Cooler</v>
          </cell>
          <cell r="E253" t="str">
            <v>Cooler</v>
          </cell>
          <cell r="F253" t="str">
            <v>Cooler</v>
          </cell>
          <cell r="G253">
            <v>38</v>
          </cell>
        </row>
        <row r="254">
          <cell r="C254" t="str">
            <v>3850-HX-0010</v>
          </cell>
          <cell r="D254" t="str">
            <v>Cooling Heat Exchanger</v>
          </cell>
          <cell r="E254" t="str">
            <v>Heat Exchanger</v>
          </cell>
          <cell r="F254" t="str">
            <v>Heat Exchanger</v>
          </cell>
          <cell r="G254">
            <v>38</v>
          </cell>
        </row>
        <row r="255">
          <cell r="C255" t="str">
            <v>7200-FL-0016</v>
          </cell>
          <cell r="D255" t="str">
            <v>Raw Water Strainer Filter</v>
          </cell>
          <cell r="E255" t="str">
            <v>Pump</v>
          </cell>
          <cell r="F255" t="str">
            <v>Pump, Centrifugal</v>
          </cell>
          <cell r="G255">
            <v>25</v>
          </cell>
        </row>
        <row r="256">
          <cell r="C256" t="str">
            <v>7200-FL-0019</v>
          </cell>
          <cell r="D256" t="str">
            <v>Raw Water Strainer Filter</v>
          </cell>
          <cell r="E256" t="str">
            <v>Pump</v>
          </cell>
          <cell r="F256" t="str">
            <v>Pump, Centrifugal</v>
          </cell>
          <cell r="G256">
            <v>25</v>
          </cell>
        </row>
        <row r="257">
          <cell r="C257" t="str">
            <v>4100-TK-0042</v>
          </cell>
          <cell r="D257" t="str">
            <v>Raw Water Tank</v>
          </cell>
          <cell r="E257" t="str">
            <v>Tank</v>
          </cell>
          <cell r="F257" t="str">
            <v>Tank</v>
          </cell>
          <cell r="G257">
            <v>27</v>
          </cell>
        </row>
        <row r="258">
          <cell r="C258" t="str">
            <v>4100-TK-0044</v>
          </cell>
          <cell r="D258" t="str">
            <v>Potable Water Tank</v>
          </cell>
          <cell r="E258" t="str">
            <v>Tank</v>
          </cell>
          <cell r="F258" t="str">
            <v>Tank</v>
          </cell>
          <cell r="G258">
            <v>27</v>
          </cell>
        </row>
        <row r="259">
          <cell r="C259" t="str">
            <v>7200-TK-0052</v>
          </cell>
          <cell r="D259" t="str">
            <v>Raw Water Tank</v>
          </cell>
          <cell r="E259" t="str">
            <v>Tank</v>
          </cell>
          <cell r="F259" t="str">
            <v>Tank</v>
          </cell>
          <cell r="G259">
            <v>27</v>
          </cell>
        </row>
        <row r="260">
          <cell r="C260" t="str">
            <v>7200-PU-0423</v>
          </cell>
          <cell r="D260" t="str">
            <v>Raw Water Pump</v>
          </cell>
          <cell r="E260" t="str">
            <v>Pump</v>
          </cell>
          <cell r="F260" t="str">
            <v>Pump, Water</v>
          </cell>
          <cell r="G260">
            <v>40</v>
          </cell>
        </row>
        <row r="261">
          <cell r="C261" t="str">
            <v>7200-PU-0424</v>
          </cell>
          <cell r="D261" t="str">
            <v>Raw Water Pump</v>
          </cell>
          <cell r="E261" t="str">
            <v>Pump</v>
          </cell>
          <cell r="F261" t="str">
            <v>Pump, Water</v>
          </cell>
          <cell r="G261">
            <v>40</v>
          </cell>
        </row>
        <row r="262">
          <cell r="C262" t="str">
            <v>7200-PU-0427</v>
          </cell>
          <cell r="D262" t="str">
            <v>Raw Water Pump Stby</v>
          </cell>
          <cell r="E262" t="str">
            <v>Pump</v>
          </cell>
          <cell r="F262" t="str">
            <v>Pump, Water</v>
          </cell>
          <cell r="G262">
            <v>40</v>
          </cell>
        </row>
        <row r="263">
          <cell r="C263" t="str">
            <v>7200-PU-0422</v>
          </cell>
          <cell r="D263" t="str">
            <v>Well Water Pump</v>
          </cell>
          <cell r="E263" t="str">
            <v>Pump</v>
          </cell>
          <cell r="F263" t="str">
            <v>Pump, Water</v>
          </cell>
          <cell r="G263">
            <v>40</v>
          </cell>
        </row>
        <row r="264">
          <cell r="C264" t="str">
            <v>7200-PU-0426</v>
          </cell>
          <cell r="D264" t="str">
            <v>Well Water Pump</v>
          </cell>
          <cell r="E264" t="str">
            <v>Pump</v>
          </cell>
          <cell r="F264" t="str">
            <v>Pump, Water</v>
          </cell>
          <cell r="G264">
            <v>40</v>
          </cell>
        </row>
        <row r="265">
          <cell r="C265" t="str">
            <v>4100-WT-0002</v>
          </cell>
          <cell r="D265" t="str">
            <v>Potabilization Unit</v>
          </cell>
          <cell r="E265" t="str">
            <v>Potabilization Unit</v>
          </cell>
          <cell r="F265" t="str">
            <v>Pump, Water</v>
          </cell>
          <cell r="G265">
            <v>40</v>
          </cell>
        </row>
        <row r="266">
          <cell r="C266" t="str">
            <v>3700-TK-0028</v>
          </cell>
          <cell r="D266" t="str">
            <v>Detox Solution Tank</v>
          </cell>
          <cell r="E266" t="str">
            <v>Tank</v>
          </cell>
          <cell r="F266" t="str">
            <v>Tank</v>
          </cell>
          <cell r="G266">
            <v>27</v>
          </cell>
        </row>
        <row r="267">
          <cell r="C267" t="str">
            <v>3700-TK-0029</v>
          </cell>
          <cell r="D267" t="str">
            <v>Mill Water Tank</v>
          </cell>
          <cell r="E267" t="str">
            <v>Tank</v>
          </cell>
          <cell r="F267" t="str">
            <v>Tank</v>
          </cell>
          <cell r="G267">
            <v>27</v>
          </cell>
        </row>
        <row r="268">
          <cell r="C268" t="str">
            <v>3700-TK-0062</v>
          </cell>
          <cell r="D268" t="str">
            <v>Clarified Solution Tank</v>
          </cell>
          <cell r="E268" t="str">
            <v>Tank</v>
          </cell>
          <cell r="F268" t="str">
            <v>Tank</v>
          </cell>
          <cell r="G268">
            <v>27</v>
          </cell>
        </row>
        <row r="269">
          <cell r="C269" t="str">
            <v>3700-PU-0263</v>
          </cell>
          <cell r="D269" t="str">
            <v>Clarified Solution Pump</v>
          </cell>
          <cell r="E269" t="str">
            <v>Pump</v>
          </cell>
          <cell r="F269" t="str">
            <v>Pump, Water</v>
          </cell>
          <cell r="G269">
            <v>40</v>
          </cell>
        </row>
        <row r="270">
          <cell r="C270" t="str">
            <v>3700-PU-0264</v>
          </cell>
          <cell r="D270" t="str">
            <v>Clarified Solution Pump Stby</v>
          </cell>
          <cell r="E270" t="str">
            <v>Pump</v>
          </cell>
          <cell r="F270" t="str">
            <v>Pump, Water</v>
          </cell>
          <cell r="G270">
            <v>40</v>
          </cell>
        </row>
        <row r="271">
          <cell r="C271" t="str">
            <v>3700-PU-0271</v>
          </cell>
          <cell r="D271" t="str">
            <v>Detox Solution Pump</v>
          </cell>
          <cell r="E271" t="str">
            <v>Pump</v>
          </cell>
          <cell r="F271" t="str">
            <v>Pump, Water</v>
          </cell>
          <cell r="G271">
            <v>40</v>
          </cell>
        </row>
        <row r="272">
          <cell r="C272" t="str">
            <v>3700-PU-0272</v>
          </cell>
          <cell r="D272" t="str">
            <v>Detox Solution Pump Stby</v>
          </cell>
          <cell r="E272" t="str">
            <v>Pump</v>
          </cell>
          <cell r="F272" t="str">
            <v>Pump, Water</v>
          </cell>
          <cell r="G272">
            <v>40</v>
          </cell>
        </row>
        <row r="273">
          <cell r="C273" t="str">
            <v>3700-PU-0274</v>
          </cell>
          <cell r="D273" t="str">
            <v>Mill Water Pump</v>
          </cell>
          <cell r="E273" t="str">
            <v>Pump</v>
          </cell>
          <cell r="F273" t="str">
            <v>Pump, Water</v>
          </cell>
          <cell r="G273">
            <v>40</v>
          </cell>
        </row>
        <row r="274">
          <cell r="C274" t="str">
            <v>3700-PU-0275</v>
          </cell>
          <cell r="D274" t="str">
            <v>Mill Water Pump Stby</v>
          </cell>
          <cell r="E274" t="str">
            <v>Pump</v>
          </cell>
          <cell r="F274" t="str">
            <v>Pump, Water</v>
          </cell>
          <cell r="G274">
            <v>40</v>
          </cell>
        </row>
        <row r="275">
          <cell r="C275" t="str">
            <v>4300-CP-0011</v>
          </cell>
          <cell r="D275" t="str">
            <v>Air Compressor</v>
          </cell>
          <cell r="E275" t="str">
            <v>Air Compressor</v>
          </cell>
          <cell r="F275" t="str">
            <v>Air Compressor</v>
          </cell>
          <cell r="G275">
            <v>32</v>
          </cell>
        </row>
        <row r="276">
          <cell r="C276" t="str">
            <v>4300-CP-0012</v>
          </cell>
          <cell r="D276" t="str">
            <v>Air Compressor</v>
          </cell>
          <cell r="E276" t="str">
            <v>Air Compressor</v>
          </cell>
          <cell r="F276" t="str">
            <v>Air Compressor</v>
          </cell>
          <cell r="G276">
            <v>32</v>
          </cell>
        </row>
        <row r="277">
          <cell r="C277" t="str">
            <v>4300-DR-0003</v>
          </cell>
          <cell r="D277" t="str">
            <v>Instrumentation Air Dryer</v>
          </cell>
          <cell r="E277" t="str">
            <v>Instrumentation</v>
          </cell>
          <cell r="F277" t="str">
            <v>Instrumentation</v>
          </cell>
          <cell r="G277">
            <v>33</v>
          </cell>
        </row>
        <row r="278">
          <cell r="C278" t="str">
            <v>4300-AR-0005</v>
          </cell>
          <cell r="D278" t="str">
            <v>Instrumentation Air Receiver</v>
          </cell>
          <cell r="E278" t="str">
            <v>Instrumentation</v>
          </cell>
          <cell r="F278" t="str">
            <v>Instrumentation</v>
          </cell>
          <cell r="G278">
            <v>33</v>
          </cell>
        </row>
        <row r="279">
          <cell r="C279" t="str">
            <v>4300-AR-0004</v>
          </cell>
          <cell r="D279" t="str">
            <v>Plant Air Receiver</v>
          </cell>
          <cell r="E279" t="str">
            <v>Plant Air Receiver</v>
          </cell>
          <cell r="F279" t="str">
            <v>Plant Air Receiver</v>
          </cell>
          <cell r="G279">
            <v>33</v>
          </cell>
        </row>
        <row r="280">
          <cell r="C280" t="str">
            <v>4500-TK-0048</v>
          </cell>
          <cell r="D280" t="str">
            <v>Carbon Regeneration Diesel Daily Tank</v>
          </cell>
          <cell r="E280" t="str">
            <v>Tank</v>
          </cell>
          <cell r="F280" t="str">
            <v>Tank</v>
          </cell>
          <cell r="G280">
            <v>27</v>
          </cell>
        </row>
        <row r="281">
          <cell r="C281" t="str">
            <v>4500-TK-0049</v>
          </cell>
          <cell r="D281" t="str">
            <v>Refinery Diesel Daily Tank</v>
          </cell>
          <cell r="E281" t="str">
            <v>Tank</v>
          </cell>
          <cell r="F281" t="str">
            <v>Tank</v>
          </cell>
          <cell r="G281">
            <v>27</v>
          </cell>
        </row>
        <row r="282">
          <cell r="C282" t="str">
            <v>4500-TK-0050</v>
          </cell>
          <cell r="D282" t="str">
            <v>Elution Diesel Daily Tank</v>
          </cell>
          <cell r="E282" t="str">
            <v>Tank</v>
          </cell>
          <cell r="F282" t="str">
            <v>Tank</v>
          </cell>
          <cell r="G282">
            <v>27</v>
          </cell>
        </row>
        <row r="283">
          <cell r="C283" t="str">
            <v>4500-TK-0067</v>
          </cell>
          <cell r="D283" t="str">
            <v>Diesel Storage Tank</v>
          </cell>
          <cell r="E283" t="str">
            <v>Tank</v>
          </cell>
          <cell r="F283" t="str">
            <v>Tank</v>
          </cell>
          <cell r="G283">
            <v>27</v>
          </cell>
        </row>
        <row r="284">
          <cell r="C284" t="str">
            <v>4500-TK-0068</v>
          </cell>
          <cell r="D284" t="str">
            <v>Diesel Storage Tank</v>
          </cell>
          <cell r="E284" t="str">
            <v>Tank</v>
          </cell>
          <cell r="F284" t="str">
            <v>Tank</v>
          </cell>
          <cell r="G284">
            <v>27</v>
          </cell>
        </row>
        <row r="285">
          <cell r="C285" t="str">
            <v>4500-PU-0392</v>
          </cell>
          <cell r="D285" t="str">
            <v>Diesel Pump</v>
          </cell>
          <cell r="E285" t="str">
            <v>Pump</v>
          </cell>
          <cell r="F285" t="str">
            <v>Pump, Water</v>
          </cell>
          <cell r="G285">
            <v>40</v>
          </cell>
        </row>
        <row r="286">
          <cell r="C286" t="str">
            <v>4500-PU-0393</v>
          </cell>
          <cell r="D286" t="str">
            <v>Diesel Pump Stby</v>
          </cell>
          <cell r="E286" t="str">
            <v>Pump</v>
          </cell>
          <cell r="F286" t="str">
            <v>Pump, Water</v>
          </cell>
          <cell r="G286">
            <v>40</v>
          </cell>
        </row>
        <row r="287">
          <cell r="C287" t="str">
            <v>4500-PU-0391</v>
          </cell>
          <cell r="D287" t="str">
            <v>Diesel Supply Pump</v>
          </cell>
          <cell r="E287" t="str">
            <v>Pump</v>
          </cell>
          <cell r="F287" t="str">
            <v>Pump, Water</v>
          </cell>
          <cell r="G287">
            <v>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able"/>
      <sheetName val="FailureModels"/>
      <sheetName val="FailureModelCorrectiveTasks"/>
      <sheetName val="FailureModelScheduledTasks"/>
      <sheetName val="Programa Mntto Anual"/>
      <sheetName val="PM_SCOPE"/>
      <sheetName val="Sheet1"/>
      <sheetName val="Sheet2"/>
      <sheetName val="Sheet13"/>
    </sheetNames>
    <sheetDataSet>
      <sheetData sheetId="0">
        <row r="2">
          <cell r="C2" t="str">
            <v>2110-CR-0001</v>
          </cell>
          <cell r="D2" t="str">
            <v>Jaw Crusher</v>
          </cell>
          <cell r="E2" t="str">
            <v>Jaw Crusher</v>
          </cell>
          <cell r="F2" t="str">
            <v>Jaw Crusher</v>
          </cell>
          <cell r="G2">
            <v>1</v>
          </cell>
          <cell r="H2" t="str">
            <v>BHP</v>
          </cell>
          <cell r="I2">
            <v>195.33006</v>
          </cell>
          <cell r="J2">
            <v>0.88028231400000001</v>
          </cell>
        </row>
        <row r="3">
          <cell r="C3" t="str">
            <v>3110-MI-0001</v>
          </cell>
          <cell r="D3" t="str">
            <v>SAG Mill</v>
          </cell>
          <cell r="E3" t="str">
            <v>SAG</v>
          </cell>
          <cell r="F3" t="str">
            <v>SAG</v>
          </cell>
          <cell r="G3">
            <v>2</v>
          </cell>
          <cell r="H3" t="str">
            <v>GMC</v>
          </cell>
          <cell r="I3">
            <v>243.1463133</v>
          </cell>
          <cell r="J3">
            <v>1.0437785800000001</v>
          </cell>
        </row>
        <row r="4">
          <cell r="C4" t="str">
            <v>3120-MI-0002</v>
          </cell>
          <cell r="D4" t="str">
            <v>Ball Mill</v>
          </cell>
          <cell r="E4" t="str">
            <v>Ball Mill</v>
          </cell>
          <cell r="F4" t="str">
            <v>Ball Mill</v>
          </cell>
          <cell r="G4">
            <v>3</v>
          </cell>
          <cell r="H4" t="str">
            <v>GMC</v>
          </cell>
          <cell r="I4">
            <v>334.13881670000001</v>
          </cell>
          <cell r="J4">
            <v>0.62854693900000003</v>
          </cell>
        </row>
        <row r="5">
          <cell r="C5" t="str">
            <v>2210-FE-0001</v>
          </cell>
          <cell r="D5" t="str">
            <v>Apron Feeder</v>
          </cell>
          <cell r="E5" t="str">
            <v>Apron Feeder</v>
          </cell>
          <cell r="F5" t="str">
            <v>Apron Feeder</v>
          </cell>
          <cell r="G5">
            <v>4</v>
          </cell>
          <cell r="H5" t="str">
            <v>GMC</v>
          </cell>
          <cell r="I5">
            <v>643.75670000000002</v>
          </cell>
          <cell r="J5">
            <v>2.70268686</v>
          </cell>
        </row>
        <row r="6">
          <cell r="C6" t="str">
            <v>2210-FE-0002</v>
          </cell>
          <cell r="D6" t="str">
            <v>Apron Feeder</v>
          </cell>
          <cell r="E6" t="str">
            <v>Apron Feeder</v>
          </cell>
          <cell r="F6" t="str">
            <v>Apron Feeder</v>
          </cell>
          <cell r="G6">
            <v>4</v>
          </cell>
          <cell r="H6" t="str">
            <v>GMC</v>
          </cell>
          <cell r="I6">
            <v>643.75670000000002</v>
          </cell>
          <cell r="J6">
            <v>2.70268686</v>
          </cell>
        </row>
        <row r="7">
          <cell r="C7" t="str">
            <v>2120-CV-0002</v>
          </cell>
          <cell r="D7" t="str">
            <v>Stockpile Feed Conveyor</v>
          </cell>
          <cell r="E7" t="str">
            <v>Conveyor</v>
          </cell>
          <cell r="F7" t="str">
            <v>Conveyor, Stockpile Feed</v>
          </cell>
          <cell r="G7">
            <v>5</v>
          </cell>
          <cell r="H7" t="str">
            <v>GMC</v>
          </cell>
          <cell r="I7">
            <v>654.47891000000004</v>
          </cell>
          <cell r="J7">
            <v>1.343987195</v>
          </cell>
        </row>
        <row r="8">
          <cell r="C8" t="str">
            <v>3450-KI-0001</v>
          </cell>
          <cell r="D8" t="str">
            <v>Carbon Reactivation Kiln</v>
          </cell>
          <cell r="E8" t="str">
            <v>Carbon Reactivation Kiln</v>
          </cell>
          <cell r="F8" t="str">
            <v>Carbon Reactivation Kiln</v>
          </cell>
          <cell r="G8">
            <v>6</v>
          </cell>
          <cell r="H8" t="str">
            <v>GMC</v>
          </cell>
          <cell r="I8">
            <v>680.62862859999996</v>
          </cell>
          <cell r="J8">
            <v>1.6341088850000001</v>
          </cell>
        </row>
        <row r="9">
          <cell r="C9" t="str">
            <v>3450-FA-0012</v>
          </cell>
          <cell r="D9" t="str">
            <v>Kiln Exhaust Fan</v>
          </cell>
          <cell r="E9" t="str">
            <v>Kiln Exhaust Fan</v>
          </cell>
          <cell r="F9" t="str">
            <v>Kiln Exhaust Fan</v>
          </cell>
          <cell r="G9">
            <v>6</v>
          </cell>
          <cell r="H9" t="str">
            <v>GMC</v>
          </cell>
          <cell r="I9">
            <v>680.62862859999996</v>
          </cell>
          <cell r="J9">
            <v>1.6341088850000001</v>
          </cell>
        </row>
        <row r="10">
          <cell r="C10" t="str">
            <v>3500-FU-0003</v>
          </cell>
          <cell r="D10" t="str">
            <v>Smelting Furnace</v>
          </cell>
          <cell r="E10" t="str">
            <v>Smelting Furnace</v>
          </cell>
          <cell r="F10" t="str">
            <v>Smelting Furnace</v>
          </cell>
          <cell r="G10">
            <v>6</v>
          </cell>
          <cell r="H10" t="str">
            <v>GMC</v>
          </cell>
          <cell r="I10">
            <v>680.62862859999996</v>
          </cell>
          <cell r="J10">
            <v>1.6341088850000001</v>
          </cell>
        </row>
        <row r="11">
          <cell r="C11" t="str">
            <v>3500-FU-0004</v>
          </cell>
          <cell r="D11" t="str">
            <v>Smelting Furnace</v>
          </cell>
          <cell r="E11" t="str">
            <v>Smelting Furnace</v>
          </cell>
          <cell r="F11" t="str">
            <v>Smelting Furnace</v>
          </cell>
          <cell r="G11">
            <v>6</v>
          </cell>
          <cell r="H11" t="str">
            <v>GMC</v>
          </cell>
          <cell r="I11">
            <v>680.62862859999996</v>
          </cell>
          <cell r="J11">
            <v>1.6341088850000001</v>
          </cell>
        </row>
        <row r="12">
          <cell r="C12" t="str">
            <v>3120-CY-0001</v>
          </cell>
          <cell r="D12" t="str">
            <v>Grinding Cyclone Cluster</v>
          </cell>
          <cell r="E12" t="str">
            <v>Cyclone Cluster</v>
          </cell>
          <cell r="F12" t="str">
            <v>Cyclone Cluster</v>
          </cell>
          <cell r="G12">
            <v>7</v>
          </cell>
          <cell r="H12" t="str">
            <v>GMC</v>
          </cell>
          <cell r="I12">
            <v>722.90800590000003</v>
          </cell>
          <cell r="J12">
            <v>2.7236693650000006</v>
          </cell>
        </row>
        <row r="13">
          <cell r="C13" t="str">
            <v>3450-HO-0013</v>
          </cell>
          <cell r="D13" t="str">
            <v>Kiln Feed Hopper</v>
          </cell>
          <cell r="E13" t="str">
            <v>Hopper</v>
          </cell>
          <cell r="F13" t="str">
            <v>Hopper</v>
          </cell>
          <cell r="G13">
            <v>8</v>
          </cell>
          <cell r="H13" t="str">
            <v>BHP</v>
          </cell>
          <cell r="I13">
            <v>911.12139999999999</v>
          </cell>
          <cell r="J13">
            <v>1.0990249999999999</v>
          </cell>
        </row>
        <row r="14">
          <cell r="C14" t="str">
            <v>3500-MX-0001</v>
          </cell>
          <cell r="D14" t="str">
            <v>Precipitate &amp; Flux Ribbon Mixer</v>
          </cell>
          <cell r="E14" t="str">
            <v>Hopper</v>
          </cell>
          <cell r="F14" t="str">
            <v>Hopper</v>
          </cell>
          <cell r="G14">
            <v>8</v>
          </cell>
          <cell r="H14" t="str">
            <v>BHP</v>
          </cell>
          <cell r="I14">
            <v>911.12139999999999</v>
          </cell>
          <cell r="J14">
            <v>1.0990249999999999</v>
          </cell>
        </row>
        <row r="15">
          <cell r="C15" t="str">
            <v>3810-BX-0025</v>
          </cell>
          <cell r="D15" t="str">
            <v>Milk of Lime Box</v>
          </cell>
          <cell r="E15" t="str">
            <v>Box</v>
          </cell>
          <cell r="F15" t="str">
            <v>Hopper</v>
          </cell>
          <cell r="G15">
            <v>8</v>
          </cell>
          <cell r="H15" t="str">
            <v>GMC</v>
          </cell>
          <cell r="I15">
            <v>911.12139999999999</v>
          </cell>
          <cell r="J15">
            <v>1.0990249999999999</v>
          </cell>
        </row>
        <row r="16">
          <cell r="C16" t="str">
            <v>3820-HO-0029</v>
          </cell>
          <cell r="D16" t="str">
            <v>Sodium Cyanide Hopper</v>
          </cell>
          <cell r="E16" t="str">
            <v>Hopper</v>
          </cell>
          <cell r="F16" t="str">
            <v>Hopper</v>
          </cell>
          <cell r="G16">
            <v>8</v>
          </cell>
          <cell r="H16" t="str">
            <v>BHP</v>
          </cell>
          <cell r="I16">
            <v>911.12139999999999</v>
          </cell>
          <cell r="J16">
            <v>1.0990249999999999</v>
          </cell>
        </row>
        <row r="17">
          <cell r="C17" t="str">
            <v>3830-HO-0024</v>
          </cell>
          <cell r="D17" t="str">
            <v>Flocculant Hopper</v>
          </cell>
          <cell r="E17" t="str">
            <v>Hopper</v>
          </cell>
          <cell r="F17" t="str">
            <v>Hopper</v>
          </cell>
          <cell r="G17">
            <v>8</v>
          </cell>
          <cell r="H17" t="str">
            <v>BHP</v>
          </cell>
          <cell r="I17">
            <v>911.12139999999999</v>
          </cell>
          <cell r="J17">
            <v>1.0990249999999999</v>
          </cell>
        </row>
        <row r="18">
          <cell r="C18" t="str">
            <v>3840-HO-0026</v>
          </cell>
          <cell r="D18" t="str">
            <v>Cu Sulphate Hopper</v>
          </cell>
          <cell r="E18" t="str">
            <v>Hopper</v>
          </cell>
          <cell r="F18" t="str">
            <v>Hopper</v>
          </cell>
          <cell r="G18">
            <v>8</v>
          </cell>
          <cell r="H18" t="str">
            <v>BHP</v>
          </cell>
          <cell r="I18">
            <v>911.12139999999999</v>
          </cell>
          <cell r="J18">
            <v>1.0990249999999999</v>
          </cell>
        </row>
        <row r="19">
          <cell r="C19" t="str">
            <v>3840-HO-0028</v>
          </cell>
          <cell r="D19" t="str">
            <v>SMBS Hopper</v>
          </cell>
          <cell r="E19" t="str">
            <v>Hopper</v>
          </cell>
          <cell r="F19" t="str">
            <v>Hopper</v>
          </cell>
          <cell r="G19">
            <v>8</v>
          </cell>
          <cell r="H19" t="str">
            <v>BHP</v>
          </cell>
          <cell r="I19">
            <v>911.12139999999999</v>
          </cell>
          <cell r="J19">
            <v>1.0990249999999999</v>
          </cell>
        </row>
        <row r="20">
          <cell r="C20" t="str">
            <v>3320-SN-0013</v>
          </cell>
          <cell r="D20" t="str">
            <v>Interstage pump Screen</v>
          </cell>
          <cell r="E20" t="str">
            <v>Screen</v>
          </cell>
          <cell r="F20" t="str">
            <v>Interstage pump Screen</v>
          </cell>
          <cell r="G20">
            <v>9</v>
          </cell>
          <cell r="H20" t="str">
            <v>GMC</v>
          </cell>
          <cell r="I20">
            <v>1263.8579999999999</v>
          </cell>
          <cell r="J20">
            <v>0.57909999999999995</v>
          </cell>
        </row>
        <row r="21">
          <cell r="C21" t="str">
            <v>3320-SN-0014</v>
          </cell>
          <cell r="D21" t="str">
            <v>Interstage pump Screen</v>
          </cell>
          <cell r="E21" t="str">
            <v>Screen</v>
          </cell>
          <cell r="F21" t="str">
            <v>Interstage pump Screen</v>
          </cell>
          <cell r="G21">
            <v>9</v>
          </cell>
          <cell r="H21" t="str">
            <v>GMC</v>
          </cell>
          <cell r="I21">
            <v>1263.8579999999999</v>
          </cell>
          <cell r="J21">
            <v>0.57909999999999995</v>
          </cell>
        </row>
        <row r="22">
          <cell r="C22" t="str">
            <v>3320-SN-0015</v>
          </cell>
          <cell r="D22" t="str">
            <v>Interstage pump Screen</v>
          </cell>
          <cell r="E22" t="str">
            <v>Screen</v>
          </cell>
          <cell r="F22" t="str">
            <v>Interstage pump Screen</v>
          </cell>
          <cell r="G22">
            <v>9</v>
          </cell>
          <cell r="H22" t="str">
            <v>GMC</v>
          </cell>
          <cell r="I22">
            <v>1263.8579999999999</v>
          </cell>
          <cell r="J22">
            <v>0.57909999999999995</v>
          </cell>
        </row>
        <row r="23">
          <cell r="C23" t="str">
            <v>3320-SN-0016</v>
          </cell>
          <cell r="D23" t="str">
            <v>Interstage pump Screen</v>
          </cell>
          <cell r="E23" t="str">
            <v>Screen</v>
          </cell>
          <cell r="F23" t="str">
            <v>Interstage pump Screen</v>
          </cell>
          <cell r="G23">
            <v>9</v>
          </cell>
          <cell r="H23" t="str">
            <v>GMC</v>
          </cell>
          <cell r="I23">
            <v>1263.8579999999999</v>
          </cell>
          <cell r="J23">
            <v>0.57909999999999995</v>
          </cell>
        </row>
        <row r="24">
          <cell r="C24" t="str">
            <v>3320-SN-0017</v>
          </cell>
          <cell r="D24" t="str">
            <v>Interstage pump Screen</v>
          </cell>
          <cell r="E24" t="str">
            <v>Screen</v>
          </cell>
          <cell r="F24" t="str">
            <v>Interstage pump Screen</v>
          </cell>
          <cell r="G24">
            <v>9</v>
          </cell>
          <cell r="H24" t="str">
            <v>GMC</v>
          </cell>
          <cell r="I24">
            <v>1263.8579999999999</v>
          </cell>
          <cell r="J24">
            <v>0.57909999999999995</v>
          </cell>
        </row>
        <row r="25">
          <cell r="C25" t="str">
            <v>3320-SN-0018</v>
          </cell>
          <cell r="D25" t="str">
            <v>Interstage pump Screen</v>
          </cell>
          <cell r="E25" t="str">
            <v>Screen</v>
          </cell>
          <cell r="F25" t="str">
            <v>Interstage pump Screen</v>
          </cell>
          <cell r="G25">
            <v>9</v>
          </cell>
          <cell r="H25" t="str">
            <v>GMC</v>
          </cell>
          <cell r="I25">
            <v>1263.8579999999999</v>
          </cell>
          <cell r="J25">
            <v>0.57909999999999995</v>
          </cell>
        </row>
        <row r="26">
          <cell r="C26" t="str">
            <v>3320-SN-0019</v>
          </cell>
          <cell r="D26" t="str">
            <v>Interstage pump Screen</v>
          </cell>
          <cell r="E26" t="str">
            <v>Screen</v>
          </cell>
          <cell r="F26" t="str">
            <v>Interstage pump Screen</v>
          </cell>
          <cell r="G26">
            <v>9</v>
          </cell>
          <cell r="H26" t="str">
            <v>GMC</v>
          </cell>
          <cell r="I26">
            <v>1263.8579999999999</v>
          </cell>
          <cell r="J26">
            <v>0.57909999999999995</v>
          </cell>
        </row>
        <row r="27">
          <cell r="C27" t="str">
            <v>3320-SN-0020</v>
          </cell>
          <cell r="D27" t="str">
            <v>Interstage pump Screen</v>
          </cell>
          <cell r="E27" t="str">
            <v>Screen</v>
          </cell>
          <cell r="F27" t="str">
            <v>Interstage pump Screen</v>
          </cell>
          <cell r="G27">
            <v>9</v>
          </cell>
          <cell r="H27" t="str">
            <v>GMC</v>
          </cell>
          <cell r="I27">
            <v>1263.8579999999999</v>
          </cell>
          <cell r="J27">
            <v>0.57909999999999995</v>
          </cell>
        </row>
        <row r="28">
          <cell r="C28" t="str">
            <v>3120-SN-0008</v>
          </cell>
          <cell r="D28" t="str">
            <v>Trash Screen</v>
          </cell>
          <cell r="E28" t="str">
            <v>Trash Screen</v>
          </cell>
          <cell r="F28" t="str">
            <v>Trash Screen</v>
          </cell>
          <cell r="G28">
            <v>10</v>
          </cell>
          <cell r="H28" t="str">
            <v>GMC</v>
          </cell>
          <cell r="I28">
            <v>1275.861304</v>
          </cell>
          <cell r="J28">
            <v>1.3837707399999999</v>
          </cell>
        </row>
        <row r="29">
          <cell r="C29" t="str">
            <v>3120-SN-0009</v>
          </cell>
          <cell r="D29" t="str">
            <v>Trash Screen</v>
          </cell>
          <cell r="E29" t="str">
            <v>Trash Screen</v>
          </cell>
          <cell r="F29" t="str">
            <v>Trash Screen</v>
          </cell>
          <cell r="G29">
            <v>10</v>
          </cell>
          <cell r="H29" t="str">
            <v>GMC</v>
          </cell>
          <cell r="I29">
            <v>1275.861304</v>
          </cell>
          <cell r="J29">
            <v>1.3837707399999999</v>
          </cell>
        </row>
        <row r="30">
          <cell r="C30" t="str">
            <v>3450-SN-0032</v>
          </cell>
          <cell r="D30" t="str">
            <v>Carbon Fines Screen</v>
          </cell>
          <cell r="E30" t="str">
            <v>Trash Screen</v>
          </cell>
          <cell r="F30" t="str">
            <v>Trash Screen</v>
          </cell>
          <cell r="G30">
            <v>10</v>
          </cell>
          <cell r="H30" t="str">
            <v>GMC</v>
          </cell>
          <cell r="I30">
            <v>1275.861304</v>
          </cell>
          <cell r="J30">
            <v>1.3837707399999999</v>
          </cell>
        </row>
        <row r="31">
          <cell r="C31" t="str">
            <v>3450-SN-0031</v>
          </cell>
          <cell r="D31" t="str">
            <v>Stripped Carbon Screen</v>
          </cell>
          <cell r="E31" t="str">
            <v>Trash Screen</v>
          </cell>
          <cell r="F31" t="str">
            <v>Trash Screen</v>
          </cell>
          <cell r="G31">
            <v>10</v>
          </cell>
          <cell r="H31" t="str">
            <v>GMC</v>
          </cell>
          <cell r="I31">
            <v>1275.861304</v>
          </cell>
          <cell r="J31">
            <v>1.3837707399999999</v>
          </cell>
        </row>
        <row r="32">
          <cell r="C32" t="str">
            <v>2110-GZ-0001</v>
          </cell>
          <cell r="D32" t="str">
            <v>Grizzly Feeder</v>
          </cell>
          <cell r="E32" t="str">
            <v>Grizzly Feeder</v>
          </cell>
          <cell r="F32" t="str">
            <v>Grizzly Feeder</v>
          </cell>
          <cell r="G32">
            <v>11</v>
          </cell>
          <cell r="H32" t="str">
            <v>GMC</v>
          </cell>
          <cell r="I32">
            <v>1276.41902</v>
          </cell>
          <cell r="J32">
            <v>1.38324826</v>
          </cell>
        </row>
        <row r="33">
          <cell r="C33" t="str">
            <v>2210-CV-0003</v>
          </cell>
          <cell r="D33" t="str">
            <v>SAG Feed Conveyor</v>
          </cell>
          <cell r="E33" t="str">
            <v>Conveyor</v>
          </cell>
          <cell r="F33" t="str">
            <v>Conveyor, SAG Feed</v>
          </cell>
          <cell r="G33">
            <v>12</v>
          </cell>
          <cell r="H33" t="str">
            <v>GMC</v>
          </cell>
          <cell r="I33">
            <v>1449.2544</v>
          </cell>
          <cell r="J33">
            <v>0.81245922000000004</v>
          </cell>
        </row>
        <row r="34">
          <cell r="C34" t="str">
            <v>3330-ME-0035</v>
          </cell>
          <cell r="D34" t="str">
            <v>Idler Table</v>
          </cell>
          <cell r="E34" t="str">
            <v>Idler Table</v>
          </cell>
          <cell r="F34" t="str">
            <v>Idler Table</v>
          </cell>
          <cell r="G34">
            <v>13</v>
          </cell>
          <cell r="H34" t="str">
            <v>GMC</v>
          </cell>
          <cell r="I34">
            <v>1472.0060000000001</v>
          </cell>
          <cell r="J34">
            <v>0.70151799999999997</v>
          </cell>
        </row>
        <row r="35">
          <cell r="C35" t="str">
            <v>3810-BE-0001</v>
          </cell>
          <cell r="D35" t="str">
            <v>Lime Bucket Elevator Conveyor</v>
          </cell>
          <cell r="E35" t="str">
            <v>Conveyor</v>
          </cell>
          <cell r="F35" t="str">
            <v>Conveyor, Lime</v>
          </cell>
          <cell r="G35">
            <v>14</v>
          </cell>
          <cell r="H35" t="str">
            <v>GMC</v>
          </cell>
          <cell r="I35">
            <v>1482.453</v>
          </cell>
          <cell r="J35">
            <v>0.65320100000000003</v>
          </cell>
        </row>
        <row r="36">
          <cell r="C36" t="str">
            <v>3110-CV-0005</v>
          </cell>
          <cell r="D36" t="str">
            <v>Pebbles Return Conveyor</v>
          </cell>
          <cell r="E36" t="str">
            <v>Conveyor</v>
          </cell>
          <cell r="F36" t="str">
            <v>Conveyor, Pebbles</v>
          </cell>
          <cell r="G36">
            <v>15</v>
          </cell>
          <cell r="H36" t="str">
            <v>GMC</v>
          </cell>
          <cell r="I36">
            <v>1621.0350000000001</v>
          </cell>
          <cell r="J36">
            <v>0.92748793500000004</v>
          </cell>
        </row>
        <row r="37">
          <cell r="C37" t="str">
            <v>3110-CV-0004</v>
          </cell>
          <cell r="D37" t="str">
            <v>Pebbles Transfer Conveyor</v>
          </cell>
          <cell r="E37" t="str">
            <v>Conveyor</v>
          </cell>
          <cell r="F37" t="str">
            <v>Conveyor, Pebbles</v>
          </cell>
          <cell r="G37">
            <v>15</v>
          </cell>
          <cell r="H37" t="str">
            <v>GMC</v>
          </cell>
          <cell r="I37">
            <v>1621.0350000000001</v>
          </cell>
          <cell r="J37">
            <v>0.92748793500000004</v>
          </cell>
        </row>
        <row r="38">
          <cell r="C38" t="str">
            <v>3210-TH-0001</v>
          </cell>
          <cell r="D38" t="str">
            <v>Leaching Thickener</v>
          </cell>
          <cell r="E38" t="str">
            <v>Thickener</v>
          </cell>
          <cell r="F38" t="str">
            <v>Thickener</v>
          </cell>
          <cell r="G38">
            <v>16</v>
          </cell>
          <cell r="H38" t="str">
            <v>CMDC</v>
          </cell>
          <cell r="I38">
            <v>1731.6261999999999</v>
          </cell>
          <cell r="J38">
            <v>0.52109300000000003</v>
          </cell>
        </row>
        <row r="39">
          <cell r="C39" t="str">
            <v>3620-TH-0007</v>
          </cell>
          <cell r="D39" t="str">
            <v>Detox Solution Clarifier</v>
          </cell>
          <cell r="E39" t="str">
            <v>Thickener</v>
          </cell>
          <cell r="F39" t="str">
            <v>Thickener</v>
          </cell>
          <cell r="G39">
            <v>16</v>
          </cell>
          <cell r="H39" t="str">
            <v>CMDC</v>
          </cell>
          <cell r="I39">
            <v>1731.6261999999999</v>
          </cell>
          <cell r="J39">
            <v>0.52109300000000003</v>
          </cell>
        </row>
        <row r="40">
          <cell r="C40" t="str">
            <v>3620-TH-0006</v>
          </cell>
          <cell r="D40" t="str">
            <v>Tails Thickener</v>
          </cell>
          <cell r="E40" t="str">
            <v>Thickener</v>
          </cell>
          <cell r="F40" t="str">
            <v>Thickener</v>
          </cell>
          <cell r="G40">
            <v>16</v>
          </cell>
          <cell r="H40" t="str">
            <v>CMDC</v>
          </cell>
          <cell r="I40">
            <v>1731.6261999999999</v>
          </cell>
          <cell r="J40">
            <v>0.52109300000000003</v>
          </cell>
        </row>
        <row r="41">
          <cell r="C41" t="str">
            <v>3310-TH-0003</v>
          </cell>
          <cell r="D41" t="str">
            <v>MC CCD Thickener</v>
          </cell>
          <cell r="E41" t="str">
            <v>Thickener</v>
          </cell>
          <cell r="F41" t="str">
            <v>MC Thickener</v>
          </cell>
          <cell r="G41">
            <v>17</v>
          </cell>
          <cell r="H41" t="str">
            <v>BHP</v>
          </cell>
          <cell r="I41">
            <v>1906.0516520000001</v>
          </cell>
          <cell r="J41">
            <v>0.44500857999999999</v>
          </cell>
        </row>
        <row r="42">
          <cell r="C42" t="str">
            <v>3310-TH-0002</v>
          </cell>
          <cell r="D42" t="str">
            <v>MC CCD Thickener</v>
          </cell>
          <cell r="E42" t="str">
            <v>Thickener</v>
          </cell>
          <cell r="F42" t="str">
            <v>MC Thickener</v>
          </cell>
          <cell r="G42">
            <v>17</v>
          </cell>
          <cell r="H42" t="str">
            <v>BHP</v>
          </cell>
          <cell r="I42">
            <v>1906.0516520000001</v>
          </cell>
          <cell r="J42">
            <v>0.44500857999999999</v>
          </cell>
        </row>
        <row r="43">
          <cell r="C43" t="str">
            <v>3110-PU-0061</v>
          </cell>
          <cell r="D43" t="str">
            <v>Cyclone Feed Pump</v>
          </cell>
          <cell r="E43" t="str">
            <v>Pump</v>
          </cell>
          <cell r="F43" t="str">
            <v>Pump, centrifugal</v>
          </cell>
          <cell r="G43">
            <v>18</v>
          </cell>
          <cell r="H43" t="str">
            <v>GMC</v>
          </cell>
          <cell r="I43">
            <v>1967.0325350000001</v>
          </cell>
          <cell r="J43">
            <v>3.046246875</v>
          </cell>
        </row>
        <row r="44">
          <cell r="C44" t="str">
            <v>3110-PU-0062</v>
          </cell>
          <cell r="D44" t="str">
            <v>Cyclone Feed Pump</v>
          </cell>
          <cell r="E44" t="str">
            <v>Pump</v>
          </cell>
          <cell r="F44" t="str">
            <v>Pump, centrifugal</v>
          </cell>
          <cell r="G44">
            <v>18</v>
          </cell>
          <cell r="H44" t="str">
            <v>GMC</v>
          </cell>
          <cell r="I44">
            <v>1967.0325350000001</v>
          </cell>
          <cell r="J44">
            <v>3.046246875</v>
          </cell>
        </row>
        <row r="45">
          <cell r="C45" t="str">
            <v>3210-PU-0081</v>
          </cell>
          <cell r="D45" t="str">
            <v>Thickener Underflow Pump</v>
          </cell>
          <cell r="E45" t="str">
            <v>Pump</v>
          </cell>
          <cell r="F45" t="str">
            <v>Pump, centrifugal</v>
          </cell>
          <cell r="G45">
            <v>18</v>
          </cell>
          <cell r="H45" t="str">
            <v>GMC</v>
          </cell>
          <cell r="I45">
            <v>1967.0325350000001</v>
          </cell>
          <cell r="J45">
            <v>3.046246875</v>
          </cell>
        </row>
        <row r="46">
          <cell r="C46" t="str">
            <v>3210-PU-0082</v>
          </cell>
          <cell r="D46" t="str">
            <v>Thickener Underflow Pump</v>
          </cell>
          <cell r="E46" t="str">
            <v>Pump</v>
          </cell>
          <cell r="F46" t="str">
            <v>Pump, centrifugal</v>
          </cell>
          <cell r="G46">
            <v>18</v>
          </cell>
          <cell r="H46" t="str">
            <v>GMC</v>
          </cell>
          <cell r="I46">
            <v>1967.0325350000001</v>
          </cell>
          <cell r="J46">
            <v>3.046246875</v>
          </cell>
        </row>
        <row r="47">
          <cell r="C47" t="str">
            <v>3310-PU-0103</v>
          </cell>
          <cell r="D47" t="str">
            <v>CCD Underflow Pump</v>
          </cell>
          <cell r="E47" t="str">
            <v>Pump</v>
          </cell>
          <cell r="F47" t="str">
            <v>Pump, centrifugal</v>
          </cell>
          <cell r="G47">
            <v>18</v>
          </cell>
          <cell r="H47" t="str">
            <v>GMC</v>
          </cell>
          <cell r="I47">
            <v>1967.0325350000001</v>
          </cell>
          <cell r="J47">
            <v>3.046246875</v>
          </cell>
        </row>
        <row r="48">
          <cell r="C48" t="str">
            <v>3310-PU-0101</v>
          </cell>
          <cell r="D48" t="str">
            <v>CCD Underflow Pump</v>
          </cell>
          <cell r="E48" t="str">
            <v>Pump</v>
          </cell>
          <cell r="F48" t="str">
            <v>Pump, centrifugal</v>
          </cell>
          <cell r="G48">
            <v>18</v>
          </cell>
          <cell r="H48" t="str">
            <v>GMC</v>
          </cell>
          <cell r="I48">
            <v>1967.0325350000001</v>
          </cell>
          <cell r="J48">
            <v>3.046246875</v>
          </cell>
        </row>
        <row r="49">
          <cell r="C49" t="str">
            <v>3310-PU-0104</v>
          </cell>
          <cell r="D49" t="str">
            <v>CCD Underflow Pump Stby</v>
          </cell>
          <cell r="E49" t="str">
            <v>Pump</v>
          </cell>
          <cell r="F49" t="str">
            <v>Pump, centrifugal</v>
          </cell>
          <cell r="G49">
            <v>18</v>
          </cell>
          <cell r="H49" t="str">
            <v>GMC</v>
          </cell>
          <cell r="I49">
            <v>1967.0325350000001</v>
          </cell>
          <cell r="J49">
            <v>3.046246875</v>
          </cell>
        </row>
        <row r="50">
          <cell r="C50" t="str">
            <v>3310-PU-0102</v>
          </cell>
          <cell r="D50" t="str">
            <v>CCD Underflow Pump Stby</v>
          </cell>
          <cell r="E50" t="str">
            <v>Pump</v>
          </cell>
          <cell r="F50" t="str">
            <v>Pump, centrifugal</v>
          </cell>
          <cell r="G50">
            <v>18</v>
          </cell>
          <cell r="H50" t="str">
            <v>GMC</v>
          </cell>
          <cell r="I50">
            <v>1967.0325350000001</v>
          </cell>
          <cell r="J50">
            <v>3.046246875</v>
          </cell>
        </row>
        <row r="51">
          <cell r="C51" t="str">
            <v>3320-PU-0117</v>
          </cell>
          <cell r="D51" t="str">
            <v>Loaded Carbon Screen Oversize Pump</v>
          </cell>
          <cell r="E51" t="str">
            <v>Pump</v>
          </cell>
          <cell r="F51" t="str">
            <v>Pump, centrifugal</v>
          </cell>
          <cell r="G51">
            <v>18</v>
          </cell>
          <cell r="H51" t="str">
            <v>GMC</v>
          </cell>
          <cell r="I51">
            <v>1967.0325350000001</v>
          </cell>
          <cell r="J51">
            <v>3.046246875</v>
          </cell>
        </row>
        <row r="52">
          <cell r="C52" t="str">
            <v>3320-PU-0118</v>
          </cell>
          <cell r="D52" t="str">
            <v>Loaded Carbon Screen Oversize Pump</v>
          </cell>
          <cell r="E52" t="str">
            <v>Pump</v>
          </cell>
          <cell r="F52" t="str">
            <v>Pump, centrifugal</v>
          </cell>
          <cell r="G52">
            <v>18</v>
          </cell>
          <cell r="H52" t="str">
            <v>GMC</v>
          </cell>
          <cell r="I52">
            <v>1967.0325350000001</v>
          </cell>
          <cell r="J52">
            <v>3.046246875</v>
          </cell>
        </row>
        <row r="53">
          <cell r="C53" t="str">
            <v>3810-PU-0301</v>
          </cell>
          <cell r="D53" t="str">
            <v>Lime Distribution Pump</v>
          </cell>
          <cell r="E53" t="str">
            <v>Pump</v>
          </cell>
          <cell r="F53" t="str">
            <v>Pump, centrifugal</v>
          </cell>
          <cell r="G53">
            <v>18</v>
          </cell>
          <cell r="H53" t="str">
            <v>GMC</v>
          </cell>
          <cell r="I53">
            <v>1967.0325350000001</v>
          </cell>
          <cell r="J53">
            <v>3.046246875</v>
          </cell>
        </row>
        <row r="54">
          <cell r="C54" t="str">
            <v>3810-PU-0302</v>
          </cell>
          <cell r="D54" t="str">
            <v>Lime Distribution Pump</v>
          </cell>
          <cell r="E54" t="str">
            <v>Pump</v>
          </cell>
          <cell r="F54" t="str">
            <v>Pump, centrifugal</v>
          </cell>
          <cell r="G54">
            <v>18</v>
          </cell>
          <cell r="H54" t="str">
            <v>GMC</v>
          </cell>
          <cell r="I54">
            <v>1967.0325350000001</v>
          </cell>
          <cell r="J54">
            <v>3.046246875</v>
          </cell>
        </row>
        <row r="55">
          <cell r="C55" t="str">
            <v>3810-PU-0395</v>
          </cell>
          <cell r="D55" t="str">
            <v>Milk of Lime Pump</v>
          </cell>
          <cell r="E55" t="str">
            <v>Pump</v>
          </cell>
          <cell r="F55" t="str">
            <v>Pump, centrifugal</v>
          </cell>
          <cell r="G55">
            <v>18</v>
          </cell>
          <cell r="H55" t="str">
            <v>GMC</v>
          </cell>
          <cell r="I55">
            <v>1967.0325350000001</v>
          </cell>
          <cell r="J55">
            <v>3.046246875</v>
          </cell>
        </row>
        <row r="56">
          <cell r="C56" t="str">
            <v>3810-PU-0396</v>
          </cell>
          <cell r="D56" t="str">
            <v>Milk of Lime Pump</v>
          </cell>
          <cell r="E56" t="str">
            <v>Pump</v>
          </cell>
          <cell r="F56" t="str">
            <v>Pump, centrifugal</v>
          </cell>
          <cell r="G56">
            <v>18</v>
          </cell>
          <cell r="H56" t="str">
            <v>GMC</v>
          </cell>
          <cell r="I56">
            <v>1967.0325350000001</v>
          </cell>
          <cell r="J56">
            <v>3.046246875</v>
          </cell>
        </row>
        <row r="57">
          <cell r="C57" t="str">
            <v>3830-MX-0005</v>
          </cell>
          <cell r="D57" t="str">
            <v>Flocculant Mixer</v>
          </cell>
          <cell r="E57" t="str">
            <v>Mixer</v>
          </cell>
          <cell r="F57" t="str">
            <v>Pump, centrifugal</v>
          </cell>
          <cell r="G57">
            <v>18</v>
          </cell>
          <cell r="H57" t="str">
            <v>GMC</v>
          </cell>
          <cell r="I57">
            <v>1967.0325350000001</v>
          </cell>
          <cell r="J57">
            <v>3.046246875</v>
          </cell>
        </row>
        <row r="58">
          <cell r="C58" t="str">
            <v>3830-MX-0006</v>
          </cell>
          <cell r="D58" t="str">
            <v>Flocculant Mixer</v>
          </cell>
          <cell r="E58" t="str">
            <v>Mixer</v>
          </cell>
          <cell r="F58" t="str">
            <v>Pump, centrifugal</v>
          </cell>
          <cell r="G58">
            <v>18</v>
          </cell>
          <cell r="H58" t="str">
            <v>GMC</v>
          </cell>
          <cell r="I58">
            <v>1967.0325350000001</v>
          </cell>
          <cell r="J58">
            <v>3.046246875</v>
          </cell>
        </row>
        <row r="59">
          <cell r="C59" t="str">
            <v>3830-MX-0007</v>
          </cell>
          <cell r="D59" t="str">
            <v>Flocculant Mixer</v>
          </cell>
          <cell r="E59" t="str">
            <v>Mixer</v>
          </cell>
          <cell r="F59" t="str">
            <v>Pump, centrifugal</v>
          </cell>
          <cell r="G59">
            <v>18</v>
          </cell>
          <cell r="H59" t="str">
            <v>GMC</v>
          </cell>
          <cell r="I59">
            <v>1967.0325350000001</v>
          </cell>
          <cell r="J59">
            <v>3.046246875</v>
          </cell>
        </row>
        <row r="60">
          <cell r="C60" t="str">
            <v>3830-MX-0008</v>
          </cell>
          <cell r="D60" t="str">
            <v>Flocculant Mixer</v>
          </cell>
          <cell r="E60" t="str">
            <v>Mixer</v>
          </cell>
          <cell r="F60" t="str">
            <v>Pump, centrifugal</v>
          </cell>
          <cell r="G60">
            <v>18</v>
          </cell>
          <cell r="H60" t="str">
            <v>GMC</v>
          </cell>
          <cell r="I60">
            <v>1967.0325350000001</v>
          </cell>
          <cell r="J60">
            <v>3.046246875</v>
          </cell>
        </row>
        <row r="61">
          <cell r="C61" t="str">
            <v>3830-MX-0009</v>
          </cell>
          <cell r="D61" t="str">
            <v>Flocculant Mixer</v>
          </cell>
          <cell r="E61" t="str">
            <v>Mixer</v>
          </cell>
          <cell r="F61" t="str">
            <v>Pump, centrifugal</v>
          </cell>
          <cell r="G61">
            <v>18</v>
          </cell>
          <cell r="H61" t="str">
            <v>GMC</v>
          </cell>
          <cell r="I61">
            <v>1967.0325350000001</v>
          </cell>
          <cell r="J61">
            <v>3.046246875</v>
          </cell>
        </row>
        <row r="62">
          <cell r="C62" t="str">
            <v>3830-MX-0010</v>
          </cell>
          <cell r="D62" t="str">
            <v>Flocculant Mixer</v>
          </cell>
          <cell r="E62" t="str">
            <v>Mixer</v>
          </cell>
          <cell r="F62" t="str">
            <v>Pump, centrifugal</v>
          </cell>
          <cell r="G62">
            <v>18</v>
          </cell>
          <cell r="H62" t="str">
            <v>GMC</v>
          </cell>
          <cell r="I62">
            <v>1967.0325350000001</v>
          </cell>
          <cell r="J62">
            <v>3.046246875</v>
          </cell>
        </row>
        <row r="63">
          <cell r="C63" t="str">
            <v>3830-PU-0312</v>
          </cell>
          <cell r="D63" t="str">
            <v>Flocculant Pump</v>
          </cell>
          <cell r="E63" t="str">
            <v>Pump</v>
          </cell>
          <cell r="F63" t="str">
            <v>Pump, centrifugal</v>
          </cell>
          <cell r="G63">
            <v>18</v>
          </cell>
          <cell r="H63" t="str">
            <v>GMC</v>
          </cell>
          <cell r="I63">
            <v>1967.0325350000001</v>
          </cell>
          <cell r="J63">
            <v>3.046246875</v>
          </cell>
        </row>
        <row r="64">
          <cell r="C64" t="str">
            <v>3830-PU-0313</v>
          </cell>
          <cell r="D64" t="str">
            <v>Flocculant Pump</v>
          </cell>
          <cell r="E64" t="str">
            <v>Pump</v>
          </cell>
          <cell r="F64" t="str">
            <v>Pump, centrifugal</v>
          </cell>
          <cell r="G64">
            <v>18</v>
          </cell>
          <cell r="H64" t="str">
            <v>GMC</v>
          </cell>
          <cell r="I64">
            <v>1967.0325350000001</v>
          </cell>
          <cell r="J64">
            <v>3.046246875</v>
          </cell>
        </row>
        <row r="65">
          <cell r="C65" t="str">
            <v>3830-PU-0314</v>
          </cell>
          <cell r="D65" t="str">
            <v>Flocculant Pump</v>
          </cell>
          <cell r="E65" t="str">
            <v>Pump</v>
          </cell>
          <cell r="F65" t="str">
            <v>Pump, centrifugal</v>
          </cell>
          <cell r="G65">
            <v>18</v>
          </cell>
          <cell r="H65" t="str">
            <v>GMC</v>
          </cell>
          <cell r="I65">
            <v>1967.0325350000001</v>
          </cell>
          <cell r="J65">
            <v>3.046246875</v>
          </cell>
        </row>
        <row r="66">
          <cell r="C66" t="str">
            <v>3830-PU-0315</v>
          </cell>
          <cell r="D66" t="str">
            <v>Flocculant Pump</v>
          </cell>
          <cell r="E66" t="str">
            <v>Pump</v>
          </cell>
          <cell r="F66" t="str">
            <v>Pump, centrifugal</v>
          </cell>
          <cell r="G66">
            <v>18</v>
          </cell>
          <cell r="H66" t="str">
            <v>GMC</v>
          </cell>
          <cell r="I66">
            <v>1967.0325350000001</v>
          </cell>
          <cell r="J66">
            <v>3.046246875</v>
          </cell>
        </row>
        <row r="67">
          <cell r="C67" t="str">
            <v>3830-PU-0316</v>
          </cell>
          <cell r="D67" t="str">
            <v>Flocculant Pump</v>
          </cell>
          <cell r="E67" t="str">
            <v>Pump</v>
          </cell>
          <cell r="F67" t="str">
            <v>Pump, centrifugal</v>
          </cell>
          <cell r="G67">
            <v>18</v>
          </cell>
          <cell r="H67" t="str">
            <v>GMC</v>
          </cell>
          <cell r="I67">
            <v>1967.0325350000001</v>
          </cell>
          <cell r="J67">
            <v>3.046246875</v>
          </cell>
        </row>
        <row r="68">
          <cell r="C68" t="str">
            <v>3830-PU-0317</v>
          </cell>
          <cell r="D68" t="str">
            <v>Flocculant Pump</v>
          </cell>
          <cell r="E68" t="str">
            <v>Pump</v>
          </cell>
          <cell r="F68" t="str">
            <v>Pump, centrifugal</v>
          </cell>
          <cell r="G68">
            <v>18</v>
          </cell>
          <cell r="H68" t="str">
            <v>GMC</v>
          </cell>
          <cell r="I68">
            <v>1967.0325350000001</v>
          </cell>
          <cell r="J68">
            <v>3.046246875</v>
          </cell>
        </row>
        <row r="69">
          <cell r="C69" t="str">
            <v>3830-PU-0456</v>
          </cell>
          <cell r="D69" t="str">
            <v>Flocculant Transfer Pump</v>
          </cell>
          <cell r="E69" t="str">
            <v>Pump</v>
          </cell>
          <cell r="F69" t="str">
            <v>Pump, centrifugal</v>
          </cell>
          <cell r="G69">
            <v>18</v>
          </cell>
          <cell r="H69" t="str">
            <v>GMC</v>
          </cell>
          <cell r="I69">
            <v>1967.0325350000001</v>
          </cell>
          <cell r="J69">
            <v>3.046246875</v>
          </cell>
        </row>
        <row r="70">
          <cell r="C70" t="str">
            <v>3840-PU-0318</v>
          </cell>
          <cell r="D70" t="str">
            <v>Cu Sulphate Pump</v>
          </cell>
          <cell r="E70" t="str">
            <v>Pump</v>
          </cell>
          <cell r="F70" t="str">
            <v>Pump, centrifugal</v>
          </cell>
          <cell r="G70">
            <v>18</v>
          </cell>
          <cell r="H70" t="str">
            <v>GMC</v>
          </cell>
          <cell r="I70">
            <v>1967.0325350000001</v>
          </cell>
          <cell r="J70">
            <v>3.046246875</v>
          </cell>
        </row>
        <row r="71">
          <cell r="C71" t="str">
            <v>3840-PU-0319</v>
          </cell>
          <cell r="D71" t="str">
            <v>Cu Sulphate Pump Spare</v>
          </cell>
          <cell r="E71" t="str">
            <v>Pump</v>
          </cell>
          <cell r="F71" t="str">
            <v>Pump, centrifugal</v>
          </cell>
          <cell r="G71">
            <v>18</v>
          </cell>
          <cell r="H71" t="str">
            <v>GMC</v>
          </cell>
          <cell r="I71">
            <v>1967.0325350000001</v>
          </cell>
          <cell r="J71">
            <v>3.046246875</v>
          </cell>
        </row>
        <row r="72">
          <cell r="C72" t="str">
            <v>3840-PU-0320</v>
          </cell>
          <cell r="D72" t="str">
            <v>Cu Sulphate Transfer Pump</v>
          </cell>
          <cell r="E72" t="str">
            <v>Pump</v>
          </cell>
          <cell r="F72" t="str">
            <v>Pump, centrifugal</v>
          </cell>
          <cell r="G72">
            <v>18</v>
          </cell>
          <cell r="H72" t="str">
            <v>GMC</v>
          </cell>
          <cell r="I72">
            <v>1967.0325350000001</v>
          </cell>
          <cell r="J72">
            <v>3.046246875</v>
          </cell>
        </row>
        <row r="73">
          <cell r="C73" t="str">
            <v>3840-PU-0322</v>
          </cell>
          <cell r="D73" t="str">
            <v>SMBS Distribution Pump</v>
          </cell>
          <cell r="E73" t="str">
            <v>Pump</v>
          </cell>
          <cell r="F73" t="str">
            <v>Pump, centrifugal</v>
          </cell>
          <cell r="G73">
            <v>18</v>
          </cell>
          <cell r="H73" t="str">
            <v>GMC</v>
          </cell>
          <cell r="I73">
            <v>1967.0325350000001</v>
          </cell>
          <cell r="J73">
            <v>3.046246875</v>
          </cell>
        </row>
        <row r="74">
          <cell r="C74" t="str">
            <v>3840-PU-0323</v>
          </cell>
          <cell r="D74" t="str">
            <v>SMBS Distribution Pump Spare</v>
          </cell>
          <cell r="E74" t="str">
            <v>Pump</v>
          </cell>
          <cell r="F74" t="str">
            <v>Pump, centrifugal</v>
          </cell>
          <cell r="G74">
            <v>18</v>
          </cell>
          <cell r="H74" t="str">
            <v>GMC</v>
          </cell>
          <cell r="I74">
            <v>1967.0325350000001</v>
          </cell>
          <cell r="J74">
            <v>3.046246875</v>
          </cell>
        </row>
        <row r="75">
          <cell r="C75" t="str">
            <v>3840-PU-0321</v>
          </cell>
          <cell r="D75" t="str">
            <v>SMBS Transfer Pump</v>
          </cell>
          <cell r="E75" t="str">
            <v>Pump</v>
          </cell>
          <cell r="F75" t="str">
            <v>Pump, centrifugal</v>
          </cell>
          <cell r="G75">
            <v>18</v>
          </cell>
          <cell r="H75" t="str">
            <v>GMC</v>
          </cell>
          <cell r="I75">
            <v>1967.0325350000001</v>
          </cell>
          <cell r="J75">
            <v>3.046246875</v>
          </cell>
        </row>
        <row r="76">
          <cell r="C76" t="str">
            <v>3330-VE-0001</v>
          </cell>
          <cell r="D76" t="str">
            <v>Deaeration Column</v>
          </cell>
          <cell r="E76" t="str">
            <v>Column</v>
          </cell>
          <cell r="F76" t="str">
            <v>Column</v>
          </cell>
          <cell r="G76">
            <v>19</v>
          </cell>
          <cell r="H76" t="str">
            <v>GMC</v>
          </cell>
          <cell r="I76">
            <v>2081.0250000000001</v>
          </cell>
          <cell r="J76">
            <v>0.30965799999999999</v>
          </cell>
        </row>
        <row r="77">
          <cell r="C77" t="str">
            <v>3330-VE-0005</v>
          </cell>
          <cell r="D77" t="str">
            <v>Carbon Column</v>
          </cell>
          <cell r="E77" t="str">
            <v>Column</v>
          </cell>
          <cell r="F77" t="str">
            <v>Carbon Column</v>
          </cell>
          <cell r="G77">
            <v>46</v>
          </cell>
          <cell r="H77" t="str">
            <v>GMC</v>
          </cell>
          <cell r="I77">
            <v>2081.0250000000001</v>
          </cell>
          <cell r="J77">
            <v>0.19706099999999999</v>
          </cell>
        </row>
        <row r="78">
          <cell r="C78" t="str">
            <v>3820-SK-0005</v>
          </cell>
          <cell r="D78" t="str">
            <v>NaOH Scrubber System</v>
          </cell>
          <cell r="E78" t="str">
            <v>Column</v>
          </cell>
          <cell r="F78" t="str">
            <v>Column</v>
          </cell>
          <cell r="G78">
            <v>19</v>
          </cell>
          <cell r="H78" t="str">
            <v>GMC</v>
          </cell>
          <cell r="I78">
            <v>2081.0250000000001</v>
          </cell>
          <cell r="J78">
            <v>0.30965799999999999</v>
          </cell>
        </row>
        <row r="79">
          <cell r="C79" t="str">
            <v>3410-PU-0173</v>
          </cell>
          <cell r="D79" t="str">
            <v>Acid Wash Transfer Pump</v>
          </cell>
          <cell r="E79" t="str">
            <v>Pump</v>
          </cell>
          <cell r="F79" t="str">
            <v>Pump</v>
          </cell>
          <cell r="G79">
            <v>20</v>
          </cell>
          <cell r="H79" t="str">
            <v>BHP</v>
          </cell>
          <cell r="I79">
            <v>2272.9894519999998</v>
          </cell>
          <cell r="J79">
            <v>0.39627800000000002</v>
          </cell>
        </row>
        <row r="80">
          <cell r="C80" t="str">
            <v>3450-PU-0182</v>
          </cell>
          <cell r="D80" t="str">
            <v>Carbon Fines Pump</v>
          </cell>
          <cell r="E80" t="str">
            <v>Pump</v>
          </cell>
          <cell r="F80" t="str">
            <v>Pump</v>
          </cell>
          <cell r="G80">
            <v>20</v>
          </cell>
          <cell r="H80" t="str">
            <v>BHP</v>
          </cell>
          <cell r="I80">
            <v>2272.9894519999998</v>
          </cell>
          <cell r="J80">
            <v>0.39627800000000002</v>
          </cell>
        </row>
        <row r="81">
          <cell r="C81" t="str">
            <v>3450-PU-0183</v>
          </cell>
          <cell r="D81" t="str">
            <v>Filtrate Pump</v>
          </cell>
          <cell r="E81" t="str">
            <v>Pump</v>
          </cell>
          <cell r="F81" t="str">
            <v>Pump</v>
          </cell>
          <cell r="G81">
            <v>20</v>
          </cell>
          <cell r="H81" t="str">
            <v>BHP</v>
          </cell>
          <cell r="I81">
            <v>2272.9894519999998</v>
          </cell>
          <cell r="J81">
            <v>0.39627800000000002</v>
          </cell>
        </row>
        <row r="82">
          <cell r="C82" t="str">
            <v>3330-FL-0001</v>
          </cell>
          <cell r="D82" t="str">
            <v>Clarifier Filter</v>
          </cell>
          <cell r="E82" t="str">
            <v>Filter</v>
          </cell>
          <cell r="F82" t="str">
            <v>Filter</v>
          </cell>
          <cell r="G82">
            <v>21</v>
          </cell>
          <cell r="H82" t="str">
            <v>GMC</v>
          </cell>
          <cell r="I82">
            <v>2721.991</v>
          </cell>
          <cell r="J82">
            <v>0.93905000000000005</v>
          </cell>
        </row>
        <row r="83">
          <cell r="C83" t="str">
            <v>3330-FL-0002</v>
          </cell>
          <cell r="D83" t="str">
            <v>Clarifier Filter</v>
          </cell>
          <cell r="E83" t="str">
            <v>Filter</v>
          </cell>
          <cell r="F83" t="str">
            <v>Filter</v>
          </cell>
          <cell r="G83">
            <v>21</v>
          </cell>
          <cell r="H83" t="str">
            <v>GMC</v>
          </cell>
          <cell r="I83">
            <v>2721.991</v>
          </cell>
          <cell r="J83">
            <v>0.93905000000000005</v>
          </cell>
        </row>
        <row r="84">
          <cell r="C84" t="str">
            <v>3330-FL-0003</v>
          </cell>
          <cell r="D84" t="str">
            <v>Clarifier Filter</v>
          </cell>
          <cell r="E84" t="str">
            <v>Filter</v>
          </cell>
          <cell r="F84" t="str">
            <v>Filter</v>
          </cell>
          <cell r="G84">
            <v>21</v>
          </cell>
          <cell r="H84" t="str">
            <v>GMC</v>
          </cell>
          <cell r="I84">
            <v>2721.991</v>
          </cell>
          <cell r="J84">
            <v>0.93905000000000005</v>
          </cell>
        </row>
        <row r="85">
          <cell r="C85" t="str">
            <v>3330-FL-0004</v>
          </cell>
          <cell r="D85" t="str">
            <v>Precipitate Filter</v>
          </cell>
          <cell r="E85" t="str">
            <v>Filter</v>
          </cell>
          <cell r="F85" t="str">
            <v>Filter</v>
          </cell>
          <cell r="G85">
            <v>21</v>
          </cell>
          <cell r="H85" t="str">
            <v>GMC</v>
          </cell>
          <cell r="I85">
            <v>2721.991</v>
          </cell>
          <cell r="J85">
            <v>0.93905000000000005</v>
          </cell>
        </row>
        <row r="86">
          <cell r="C86" t="str">
            <v>3330-FL-0005</v>
          </cell>
          <cell r="D86" t="str">
            <v>Precipitate Filter</v>
          </cell>
          <cell r="E86" t="str">
            <v>Filter</v>
          </cell>
          <cell r="F86" t="str">
            <v>Filter</v>
          </cell>
          <cell r="G86">
            <v>21</v>
          </cell>
          <cell r="H86" t="str">
            <v>GMC</v>
          </cell>
          <cell r="I86">
            <v>2721.991</v>
          </cell>
          <cell r="J86">
            <v>0.93905000000000005</v>
          </cell>
        </row>
        <row r="87">
          <cell r="C87" t="str">
            <v>3330-FL-0006</v>
          </cell>
          <cell r="D87" t="str">
            <v>Precipitate Filter</v>
          </cell>
          <cell r="E87" t="str">
            <v>Filter</v>
          </cell>
          <cell r="F87" t="str">
            <v>Filter</v>
          </cell>
          <cell r="G87">
            <v>21</v>
          </cell>
          <cell r="H87" t="str">
            <v>GMC</v>
          </cell>
          <cell r="I87">
            <v>2721.991</v>
          </cell>
          <cell r="J87">
            <v>0.93905000000000005</v>
          </cell>
        </row>
        <row r="88">
          <cell r="C88" t="str">
            <v>3450-FL-0009</v>
          </cell>
          <cell r="D88" t="str">
            <v>Carbon Fines Filter Press</v>
          </cell>
          <cell r="E88" t="str">
            <v>Filter</v>
          </cell>
          <cell r="F88" t="str">
            <v>Filter</v>
          </cell>
          <cell r="G88">
            <v>21</v>
          </cell>
          <cell r="H88" t="str">
            <v>GMC</v>
          </cell>
          <cell r="I88">
            <v>2721.991</v>
          </cell>
          <cell r="J88">
            <v>0.93905000000000005</v>
          </cell>
        </row>
        <row r="89">
          <cell r="C89" t="str">
            <v>3500-LN-0018</v>
          </cell>
          <cell r="D89" t="str">
            <v>Slag Granulation Launder</v>
          </cell>
          <cell r="E89" t="str">
            <v>Slag Granulation Launder</v>
          </cell>
          <cell r="F89" t="str">
            <v>Slag Granulation Launder</v>
          </cell>
          <cell r="G89">
            <v>22</v>
          </cell>
          <cell r="H89" t="str">
            <v>BHP</v>
          </cell>
          <cell r="I89">
            <v>2971.4279999999999</v>
          </cell>
          <cell r="J89">
            <v>0.117744</v>
          </cell>
        </row>
        <row r="90">
          <cell r="C90" t="str">
            <v>3320-PU-0107</v>
          </cell>
          <cell r="D90" t="str">
            <v>Carbon Transfer Pump</v>
          </cell>
          <cell r="E90" t="str">
            <v>Pump</v>
          </cell>
          <cell r="F90" t="str">
            <v>Pump, Carbon Transfer</v>
          </cell>
          <cell r="G90">
            <v>23</v>
          </cell>
          <cell r="H90" t="str">
            <v>GMC</v>
          </cell>
          <cell r="I90">
            <v>3320.8029999999999</v>
          </cell>
          <cell r="J90">
            <v>0.30099999999999999</v>
          </cell>
        </row>
        <row r="91">
          <cell r="C91" t="str">
            <v>3320-PU-0108</v>
          </cell>
          <cell r="D91" t="str">
            <v>Carbon Transfer Pump</v>
          </cell>
          <cell r="E91" t="str">
            <v>Pump</v>
          </cell>
          <cell r="F91" t="str">
            <v>Pump, Carbon Transfer</v>
          </cell>
          <cell r="G91">
            <v>23</v>
          </cell>
          <cell r="H91" t="str">
            <v>GMC</v>
          </cell>
          <cell r="I91">
            <v>3320.8029999999999</v>
          </cell>
          <cell r="J91">
            <v>0.30099999999999999</v>
          </cell>
        </row>
        <row r="92">
          <cell r="C92" t="str">
            <v>3320-PU-0109</v>
          </cell>
          <cell r="D92" t="str">
            <v>Carbon Transfer Pump</v>
          </cell>
          <cell r="E92" t="str">
            <v>Pump</v>
          </cell>
          <cell r="F92" t="str">
            <v>Pump, Carbon Transfer</v>
          </cell>
          <cell r="G92">
            <v>23</v>
          </cell>
          <cell r="H92" t="str">
            <v>GMC</v>
          </cell>
          <cell r="I92">
            <v>3320.8029999999999</v>
          </cell>
          <cell r="J92">
            <v>0.30099999999999999</v>
          </cell>
        </row>
        <row r="93">
          <cell r="C93" t="str">
            <v>3320-PU-0110</v>
          </cell>
          <cell r="D93" t="str">
            <v>Carbon Transfer Pump</v>
          </cell>
          <cell r="E93" t="str">
            <v>Pump</v>
          </cell>
          <cell r="F93" t="str">
            <v>Pump, Carbon Transfer</v>
          </cell>
          <cell r="G93">
            <v>23</v>
          </cell>
          <cell r="H93" t="str">
            <v>GMC</v>
          </cell>
          <cell r="I93">
            <v>3320.8029999999999</v>
          </cell>
          <cell r="J93">
            <v>0.30099999999999999</v>
          </cell>
        </row>
        <row r="94">
          <cell r="C94" t="str">
            <v>3320-PU-0111</v>
          </cell>
          <cell r="D94" t="str">
            <v>Carbon Transfer Pump</v>
          </cell>
          <cell r="E94" t="str">
            <v>Pump</v>
          </cell>
          <cell r="F94" t="str">
            <v>Pump, Carbon Transfer</v>
          </cell>
          <cell r="G94">
            <v>23</v>
          </cell>
          <cell r="H94" t="str">
            <v>GMC</v>
          </cell>
          <cell r="I94">
            <v>3320.8029999999999</v>
          </cell>
          <cell r="J94">
            <v>0.30099999999999999</v>
          </cell>
        </row>
        <row r="95">
          <cell r="C95" t="str">
            <v>3320-PU-0112</v>
          </cell>
          <cell r="D95" t="str">
            <v>Carbon Transfer Pump</v>
          </cell>
          <cell r="E95" t="str">
            <v>Pump</v>
          </cell>
          <cell r="F95" t="str">
            <v>Pump, Carbon Transfer</v>
          </cell>
          <cell r="G95">
            <v>23</v>
          </cell>
          <cell r="H95" t="str">
            <v>GMC</v>
          </cell>
          <cell r="I95">
            <v>3320.8029999999999</v>
          </cell>
          <cell r="J95">
            <v>0.30099999999999999</v>
          </cell>
        </row>
        <row r="96">
          <cell r="C96" t="str">
            <v>3320-PU-0113</v>
          </cell>
          <cell r="D96" t="str">
            <v>Carbon Transfer Pump</v>
          </cell>
          <cell r="E96" t="str">
            <v>Pump</v>
          </cell>
          <cell r="F96" t="str">
            <v>Pump, Carbon Transfer</v>
          </cell>
          <cell r="G96">
            <v>23</v>
          </cell>
          <cell r="H96" t="str">
            <v>GMC</v>
          </cell>
          <cell r="I96">
            <v>3320.8029999999999</v>
          </cell>
          <cell r="J96">
            <v>0.30099999999999999</v>
          </cell>
        </row>
        <row r="97">
          <cell r="C97" t="str">
            <v>3320-PU-0114</v>
          </cell>
          <cell r="D97" t="str">
            <v>Carbon Transfer Pump</v>
          </cell>
          <cell r="E97" t="str">
            <v>Pump</v>
          </cell>
          <cell r="F97" t="str">
            <v>Pump, Carbon Transfer</v>
          </cell>
          <cell r="G97">
            <v>23</v>
          </cell>
          <cell r="H97" t="str">
            <v>GMC</v>
          </cell>
          <cell r="I97">
            <v>3320.8029999999999</v>
          </cell>
          <cell r="J97">
            <v>0.30099999999999999</v>
          </cell>
        </row>
        <row r="98">
          <cell r="C98" t="str">
            <v>3330-PU-0150</v>
          </cell>
          <cell r="D98" t="str">
            <v>MC Clarifier Overflow Pump</v>
          </cell>
          <cell r="E98" t="str">
            <v>Pump</v>
          </cell>
          <cell r="F98" t="str">
            <v>Pump, Centrifugal</v>
          </cell>
          <cell r="G98">
            <v>24</v>
          </cell>
          <cell r="H98" t="str">
            <v>GMC</v>
          </cell>
          <cell r="I98">
            <v>3363.704784</v>
          </cell>
          <cell r="J98">
            <v>0.89349466500000008</v>
          </cell>
        </row>
        <row r="99">
          <cell r="C99" t="str">
            <v>3330-PU-0151</v>
          </cell>
          <cell r="D99" t="str">
            <v>MC Clarifier Overflow Pump</v>
          </cell>
          <cell r="E99" t="str">
            <v>Pump</v>
          </cell>
          <cell r="F99" t="str">
            <v>Pump, Centrifugal</v>
          </cell>
          <cell r="G99">
            <v>24</v>
          </cell>
          <cell r="H99" t="str">
            <v>GMC</v>
          </cell>
          <cell r="I99">
            <v>3363.704784</v>
          </cell>
          <cell r="J99">
            <v>0.89349466500000008</v>
          </cell>
        </row>
        <row r="100">
          <cell r="C100" t="str">
            <v>3330-PU-0119</v>
          </cell>
          <cell r="D100" t="str">
            <v>MC Clarifier Underflow Pump</v>
          </cell>
          <cell r="E100" t="str">
            <v>Pump</v>
          </cell>
          <cell r="F100" t="str">
            <v>Pump, Centrifugal</v>
          </cell>
          <cell r="G100">
            <v>24</v>
          </cell>
          <cell r="H100" t="str">
            <v>GMC</v>
          </cell>
          <cell r="I100">
            <v>3363.704784</v>
          </cell>
          <cell r="J100">
            <v>0.89349466500000008</v>
          </cell>
        </row>
        <row r="101">
          <cell r="C101" t="str">
            <v>3330-PU-0120</v>
          </cell>
          <cell r="D101" t="str">
            <v>MC Clarifier Underflow Pump</v>
          </cell>
          <cell r="E101" t="str">
            <v>Pump</v>
          </cell>
          <cell r="F101" t="str">
            <v>Pump, Centrifugal</v>
          </cell>
          <cell r="G101">
            <v>24</v>
          </cell>
          <cell r="H101" t="str">
            <v>GMC</v>
          </cell>
          <cell r="I101">
            <v>3363.704784</v>
          </cell>
          <cell r="J101">
            <v>0.89349466500000008</v>
          </cell>
        </row>
        <row r="102">
          <cell r="C102" t="str">
            <v>3330-PU-0121</v>
          </cell>
          <cell r="D102" t="str">
            <v>Filter Feed Pump</v>
          </cell>
          <cell r="E102" t="str">
            <v>Pump</v>
          </cell>
          <cell r="F102" t="str">
            <v>Pump, Centrifugal</v>
          </cell>
          <cell r="G102">
            <v>24</v>
          </cell>
          <cell r="H102" t="str">
            <v>GMC</v>
          </cell>
          <cell r="I102">
            <v>3363.704784</v>
          </cell>
          <cell r="J102">
            <v>0.89349466500000008</v>
          </cell>
        </row>
        <row r="103">
          <cell r="C103" t="str">
            <v>3330-PU-0122</v>
          </cell>
          <cell r="D103" t="str">
            <v>Filter Feed Pump</v>
          </cell>
          <cell r="E103" t="str">
            <v>Pump</v>
          </cell>
          <cell r="F103" t="str">
            <v>Pump, Centrifugal</v>
          </cell>
          <cell r="G103">
            <v>24</v>
          </cell>
          <cell r="H103" t="str">
            <v>GMC</v>
          </cell>
          <cell r="I103">
            <v>3363.704784</v>
          </cell>
          <cell r="J103">
            <v>0.89349466500000008</v>
          </cell>
        </row>
        <row r="104">
          <cell r="C104" t="str">
            <v>3330-PU-0123</v>
          </cell>
          <cell r="D104" t="str">
            <v>Filter Feed Pump Stby</v>
          </cell>
          <cell r="E104" t="str">
            <v>Pump</v>
          </cell>
          <cell r="F104" t="str">
            <v>Pump, Centrifugal</v>
          </cell>
          <cell r="G104">
            <v>24</v>
          </cell>
          <cell r="H104" t="str">
            <v>GMC</v>
          </cell>
          <cell r="I104">
            <v>3363.704784</v>
          </cell>
          <cell r="J104">
            <v>0.89349466500000008</v>
          </cell>
        </row>
        <row r="105">
          <cell r="C105" t="str">
            <v>3330-PU-0127</v>
          </cell>
          <cell r="D105" t="str">
            <v>Gold Precipitate Pump</v>
          </cell>
          <cell r="E105" t="str">
            <v>Pump</v>
          </cell>
          <cell r="F105" t="str">
            <v>Pump, Centrifugal</v>
          </cell>
          <cell r="G105">
            <v>24</v>
          </cell>
          <cell r="H105" t="str">
            <v>GMC</v>
          </cell>
          <cell r="I105">
            <v>3363.704784</v>
          </cell>
          <cell r="J105">
            <v>0.89349466500000008</v>
          </cell>
        </row>
        <row r="106">
          <cell r="C106" t="str">
            <v>3330-PU-0128</v>
          </cell>
          <cell r="D106" t="str">
            <v>Gold Precipitate Pump</v>
          </cell>
          <cell r="E106" t="str">
            <v>Pump</v>
          </cell>
          <cell r="F106" t="str">
            <v>Pump, Centrifugal</v>
          </cell>
          <cell r="G106">
            <v>24</v>
          </cell>
          <cell r="H106" t="str">
            <v>GMC</v>
          </cell>
          <cell r="I106">
            <v>3363.704784</v>
          </cell>
          <cell r="J106">
            <v>0.89349466500000008</v>
          </cell>
        </row>
        <row r="107">
          <cell r="C107" t="str">
            <v>3330-PU-0129</v>
          </cell>
          <cell r="D107" t="str">
            <v>Gold Precipitate Pump</v>
          </cell>
          <cell r="E107" t="str">
            <v>Pump</v>
          </cell>
          <cell r="F107" t="str">
            <v>Pump, Centrifugal</v>
          </cell>
          <cell r="G107">
            <v>24</v>
          </cell>
          <cell r="H107" t="str">
            <v>GMC</v>
          </cell>
          <cell r="I107">
            <v>3363.704784</v>
          </cell>
          <cell r="J107">
            <v>0.89349466500000008</v>
          </cell>
        </row>
        <row r="108">
          <cell r="C108" t="str">
            <v>3620-PU-0265</v>
          </cell>
          <cell r="D108" t="str">
            <v xml:space="preserve">Clarifier Underflow Pump </v>
          </cell>
          <cell r="E108" t="str">
            <v>Pump</v>
          </cell>
          <cell r="F108" t="str">
            <v>Pump, Centrifugal</v>
          </cell>
          <cell r="G108">
            <v>24</v>
          </cell>
          <cell r="H108" t="str">
            <v>GMC</v>
          </cell>
          <cell r="I108">
            <v>3363.704784</v>
          </cell>
          <cell r="J108">
            <v>0.89349466500000008</v>
          </cell>
        </row>
        <row r="109">
          <cell r="C109" t="str">
            <v>3620-PU-0266</v>
          </cell>
          <cell r="D109" t="str">
            <v xml:space="preserve">Clarifier Underflow Pump </v>
          </cell>
          <cell r="E109" t="str">
            <v>Pump</v>
          </cell>
          <cell r="F109" t="str">
            <v>Pump, Centrifugal</v>
          </cell>
          <cell r="G109">
            <v>24</v>
          </cell>
          <cell r="H109" t="str">
            <v>GMC</v>
          </cell>
          <cell r="I109">
            <v>3363.704784</v>
          </cell>
          <cell r="J109">
            <v>0.89349466500000008</v>
          </cell>
        </row>
        <row r="110">
          <cell r="C110" t="str">
            <v>3620-PU-0253</v>
          </cell>
          <cell r="D110" t="str">
            <v>Tails Thickener Overflow Pump</v>
          </cell>
          <cell r="E110" t="str">
            <v>Pump</v>
          </cell>
          <cell r="F110" t="str">
            <v>Pump, Centrifugal</v>
          </cell>
          <cell r="G110">
            <v>24</v>
          </cell>
          <cell r="H110" t="str">
            <v>GMC</v>
          </cell>
          <cell r="I110">
            <v>3363.704784</v>
          </cell>
          <cell r="J110">
            <v>0.89349466500000008</v>
          </cell>
        </row>
        <row r="111">
          <cell r="C111" t="str">
            <v>3620-PU-0254</v>
          </cell>
          <cell r="D111" t="str">
            <v>Tails Thickener Overflow Pump Stby</v>
          </cell>
          <cell r="E111" t="str">
            <v>Pump</v>
          </cell>
          <cell r="F111" t="str">
            <v>Pump, Centrifugal</v>
          </cell>
          <cell r="G111">
            <v>24</v>
          </cell>
          <cell r="H111" t="str">
            <v>GMC</v>
          </cell>
          <cell r="I111">
            <v>3363.704784</v>
          </cell>
          <cell r="J111">
            <v>0.89349466500000008</v>
          </cell>
        </row>
        <row r="112">
          <cell r="C112" t="str">
            <v>3620-PU-0238</v>
          </cell>
          <cell r="D112" t="str">
            <v>Tails Thickener Underflow Pump</v>
          </cell>
          <cell r="E112" t="str">
            <v>Pump</v>
          </cell>
          <cell r="F112" t="str">
            <v>Pump, Centrifugal</v>
          </cell>
          <cell r="G112">
            <v>24</v>
          </cell>
          <cell r="H112" t="str">
            <v>GMC</v>
          </cell>
          <cell r="I112">
            <v>3363.704784</v>
          </cell>
          <cell r="J112">
            <v>0.89349466500000008</v>
          </cell>
        </row>
        <row r="113">
          <cell r="C113" t="str">
            <v>3620-PU-0239</v>
          </cell>
          <cell r="D113" t="str">
            <v>Tails Thickener Underflow Pump Stby</v>
          </cell>
          <cell r="E113" t="str">
            <v>Pump</v>
          </cell>
          <cell r="F113" t="str">
            <v>Pump, Centrifugal</v>
          </cell>
          <cell r="G113">
            <v>24</v>
          </cell>
          <cell r="H113" t="str">
            <v>GMC</v>
          </cell>
          <cell r="I113">
            <v>3363.704784</v>
          </cell>
          <cell r="J113">
            <v>0.89349466500000008</v>
          </cell>
        </row>
        <row r="114">
          <cell r="C114" t="str">
            <v>3630-PU-0251</v>
          </cell>
          <cell r="D114" t="str">
            <v>Filtrate Pump</v>
          </cell>
          <cell r="E114" t="str">
            <v>Pump</v>
          </cell>
          <cell r="F114" t="str">
            <v>Pump, Centrifugal</v>
          </cell>
          <cell r="G114">
            <v>24</v>
          </cell>
          <cell r="H114" t="str">
            <v>GMC</v>
          </cell>
          <cell r="I114">
            <v>3363.704784</v>
          </cell>
          <cell r="J114">
            <v>0.89349466500000008</v>
          </cell>
        </row>
        <row r="115">
          <cell r="C115" t="str">
            <v>3630-PU-0252</v>
          </cell>
          <cell r="D115" t="str">
            <v>Filtrate Pump</v>
          </cell>
          <cell r="E115" t="str">
            <v>Pump</v>
          </cell>
          <cell r="F115" t="str">
            <v>Pump, Centrifugal</v>
          </cell>
          <cell r="G115">
            <v>24</v>
          </cell>
          <cell r="H115" t="str">
            <v>GMC</v>
          </cell>
          <cell r="I115">
            <v>3363.704784</v>
          </cell>
          <cell r="J115">
            <v>0.89349466500000008</v>
          </cell>
        </row>
        <row r="116">
          <cell r="C116" t="str">
            <v>3630-PU-0240</v>
          </cell>
          <cell r="D116" t="str">
            <v>Tails Filtration Feed Pump</v>
          </cell>
          <cell r="E116" t="str">
            <v>Pump</v>
          </cell>
          <cell r="F116" t="str">
            <v>Pump, Centrifugal</v>
          </cell>
          <cell r="G116">
            <v>24</v>
          </cell>
          <cell r="H116" t="str">
            <v>GMC</v>
          </cell>
          <cell r="I116">
            <v>3363.704784</v>
          </cell>
          <cell r="J116">
            <v>0.89349466500000008</v>
          </cell>
        </row>
        <row r="117">
          <cell r="C117" t="str">
            <v>3630-PU-0242</v>
          </cell>
          <cell r="D117" t="str">
            <v>Tails Filtration Feed Pump</v>
          </cell>
          <cell r="E117" t="str">
            <v>Pump</v>
          </cell>
          <cell r="F117" t="str">
            <v>Pump, Centrifugal</v>
          </cell>
          <cell r="G117">
            <v>24</v>
          </cell>
          <cell r="H117" t="str">
            <v>GMC</v>
          </cell>
          <cell r="I117">
            <v>3363.704784</v>
          </cell>
          <cell r="J117">
            <v>0.89349466500000008</v>
          </cell>
        </row>
        <row r="118">
          <cell r="C118" t="str">
            <v>3630-PU-0244</v>
          </cell>
          <cell r="D118" t="str">
            <v>Tails Filtration Feed Pump</v>
          </cell>
          <cell r="E118" t="str">
            <v>Pump</v>
          </cell>
          <cell r="F118" t="str">
            <v>Pump, Centrifugal</v>
          </cell>
          <cell r="G118">
            <v>24</v>
          </cell>
          <cell r="H118" t="str">
            <v>GMC</v>
          </cell>
          <cell r="I118">
            <v>3363.704784</v>
          </cell>
          <cell r="J118">
            <v>0.89349466500000008</v>
          </cell>
        </row>
        <row r="119">
          <cell r="C119" t="str">
            <v>3820-PU-0308</v>
          </cell>
          <cell r="D119" t="str">
            <v>Cyanide Pump</v>
          </cell>
          <cell r="E119" t="str">
            <v>Pump</v>
          </cell>
          <cell r="F119" t="str">
            <v>Pump, Centrifugal</v>
          </cell>
          <cell r="G119">
            <v>24</v>
          </cell>
          <cell r="H119" t="str">
            <v>GMC</v>
          </cell>
          <cell r="I119">
            <v>3363.704784</v>
          </cell>
          <cell r="J119">
            <v>0.89349466500000008</v>
          </cell>
        </row>
        <row r="120">
          <cell r="C120" t="str">
            <v>3820-PU-0309</v>
          </cell>
          <cell r="D120" t="str">
            <v>Cyanide Pump</v>
          </cell>
          <cell r="E120" t="str">
            <v>Pump</v>
          </cell>
          <cell r="F120" t="str">
            <v>Pump, Centrifugal</v>
          </cell>
          <cell r="G120">
            <v>24</v>
          </cell>
          <cell r="H120" t="str">
            <v>GMC</v>
          </cell>
          <cell r="I120">
            <v>3363.704784</v>
          </cell>
          <cell r="J120">
            <v>0.89349466500000008</v>
          </cell>
        </row>
        <row r="121">
          <cell r="C121" t="str">
            <v>3820-PU-0310</v>
          </cell>
          <cell r="D121" t="str">
            <v>Cyanide Pump</v>
          </cell>
          <cell r="E121" t="str">
            <v>Pump</v>
          </cell>
          <cell r="F121" t="str">
            <v>Pump, Centrifugal</v>
          </cell>
          <cell r="G121">
            <v>24</v>
          </cell>
          <cell r="H121" t="str">
            <v>GMC</v>
          </cell>
          <cell r="I121">
            <v>3363.704784</v>
          </cell>
          <cell r="J121">
            <v>0.89349466500000008</v>
          </cell>
        </row>
        <row r="122">
          <cell r="C122" t="str">
            <v>3820-PU-0307</v>
          </cell>
          <cell r="D122" t="str">
            <v>Cyanide Transfer Pump</v>
          </cell>
          <cell r="E122" t="str">
            <v>Pump</v>
          </cell>
          <cell r="F122" t="str">
            <v>Pump, Centrifugal</v>
          </cell>
          <cell r="G122">
            <v>24</v>
          </cell>
          <cell r="H122" t="str">
            <v>GMC</v>
          </cell>
          <cell r="I122">
            <v>3363.704784</v>
          </cell>
          <cell r="J122">
            <v>0.89349466500000008</v>
          </cell>
        </row>
        <row r="123">
          <cell r="C123" t="str">
            <v>3820-PU-0304</v>
          </cell>
          <cell r="D123" t="str">
            <v>NaOH Pump</v>
          </cell>
          <cell r="E123" t="str">
            <v>Pump</v>
          </cell>
          <cell r="F123" t="str">
            <v>Pump, Centrifugal</v>
          </cell>
          <cell r="G123">
            <v>24</v>
          </cell>
          <cell r="H123" t="str">
            <v>GMC</v>
          </cell>
          <cell r="I123">
            <v>3363.704784</v>
          </cell>
          <cell r="J123">
            <v>0.89349466500000008</v>
          </cell>
        </row>
        <row r="124">
          <cell r="C124" t="str">
            <v>3820-PU-0305</v>
          </cell>
          <cell r="D124" t="str">
            <v>NaOH Scrubber System Pump</v>
          </cell>
          <cell r="E124" t="str">
            <v>Pump</v>
          </cell>
          <cell r="F124" t="str">
            <v>Pump, Centrifugal</v>
          </cell>
          <cell r="G124">
            <v>24</v>
          </cell>
          <cell r="H124" t="str">
            <v>GMC</v>
          </cell>
          <cell r="I124">
            <v>3363.704784</v>
          </cell>
          <cell r="J124">
            <v>0.89349466500000008</v>
          </cell>
        </row>
        <row r="125">
          <cell r="C125" t="str">
            <v>7200-FL-0016</v>
          </cell>
          <cell r="D125" t="str">
            <v>Raw Water Strainer Filter</v>
          </cell>
          <cell r="E125" t="str">
            <v>Pump</v>
          </cell>
          <cell r="F125" t="str">
            <v>Pump, Centrifugal</v>
          </cell>
          <cell r="G125">
            <v>25</v>
          </cell>
          <cell r="H125" t="str">
            <v>GMC</v>
          </cell>
          <cell r="I125">
            <v>3510.9969999999998</v>
          </cell>
          <cell r="J125">
            <v>1.0138480000000001</v>
          </cell>
        </row>
        <row r="126">
          <cell r="C126" t="str">
            <v>7200-FL-0019</v>
          </cell>
          <cell r="D126" t="str">
            <v>Raw Water Strainer Filter</v>
          </cell>
          <cell r="E126" t="str">
            <v>Pump</v>
          </cell>
          <cell r="F126" t="str">
            <v>Pump, Centrifugal</v>
          </cell>
          <cell r="G126">
            <v>25</v>
          </cell>
          <cell r="H126" t="str">
            <v>GMC</v>
          </cell>
          <cell r="I126">
            <v>3510.9969999999998</v>
          </cell>
          <cell r="J126">
            <v>1.0138480000000001</v>
          </cell>
        </row>
        <row r="127">
          <cell r="C127" t="str">
            <v>3220-AG-0001</v>
          </cell>
          <cell r="D127" t="str">
            <v>Leach Tank Agitator</v>
          </cell>
          <cell r="E127" t="str">
            <v>Agitator</v>
          </cell>
          <cell r="F127" t="str">
            <v>Agitator</v>
          </cell>
          <cell r="G127">
            <v>26</v>
          </cell>
          <cell r="H127" t="str">
            <v>GMC</v>
          </cell>
          <cell r="I127">
            <v>3584.9522000000002</v>
          </cell>
          <cell r="J127">
            <v>0.12943951729499997</v>
          </cell>
        </row>
        <row r="128">
          <cell r="C128" t="str">
            <v>3220-AG-0002</v>
          </cell>
          <cell r="D128" t="str">
            <v>Leach Tank Agitator</v>
          </cell>
          <cell r="E128" t="str">
            <v>Agitator</v>
          </cell>
          <cell r="F128" t="str">
            <v>Agitator</v>
          </cell>
          <cell r="G128">
            <v>26</v>
          </cell>
          <cell r="H128" t="str">
            <v>GMC</v>
          </cell>
          <cell r="I128">
            <v>3584.9522000000002</v>
          </cell>
          <cell r="J128">
            <v>0.12943951729499997</v>
          </cell>
        </row>
        <row r="129">
          <cell r="C129" t="str">
            <v>3220-AG-0003</v>
          </cell>
          <cell r="D129" t="str">
            <v>Leach Tank Agitator</v>
          </cell>
          <cell r="E129" t="str">
            <v>Agitator</v>
          </cell>
          <cell r="F129" t="str">
            <v>Agitator</v>
          </cell>
          <cell r="G129">
            <v>26</v>
          </cell>
          <cell r="H129" t="str">
            <v>GMC</v>
          </cell>
          <cell r="I129">
            <v>3584.9522000000002</v>
          </cell>
          <cell r="J129">
            <v>0.12943951729499997</v>
          </cell>
        </row>
        <row r="130">
          <cell r="C130" t="str">
            <v>3220-AG-0004</v>
          </cell>
          <cell r="D130" t="str">
            <v>Leach Tank Agitator</v>
          </cell>
          <cell r="E130" t="str">
            <v>Agitator</v>
          </cell>
          <cell r="F130" t="str">
            <v>Agitator</v>
          </cell>
          <cell r="G130">
            <v>26</v>
          </cell>
          <cell r="H130" t="str">
            <v>GMC</v>
          </cell>
          <cell r="I130">
            <v>3584.9522000000002</v>
          </cell>
          <cell r="J130">
            <v>0.12943951729499997</v>
          </cell>
        </row>
        <row r="131">
          <cell r="C131" t="str">
            <v>3320-AG-0007</v>
          </cell>
          <cell r="D131" t="str">
            <v>CIP Tank Agitator</v>
          </cell>
          <cell r="E131" t="str">
            <v>Agitator</v>
          </cell>
          <cell r="F131" t="str">
            <v>Agitator</v>
          </cell>
          <cell r="G131">
            <v>26</v>
          </cell>
          <cell r="H131" t="str">
            <v>GMC</v>
          </cell>
          <cell r="I131">
            <v>3584.9522000000002</v>
          </cell>
          <cell r="J131">
            <v>0.12943951729499997</v>
          </cell>
        </row>
        <row r="132">
          <cell r="C132" t="str">
            <v>3320-AG-0008</v>
          </cell>
          <cell r="D132" t="str">
            <v>CIP Tank Agitator</v>
          </cell>
          <cell r="E132" t="str">
            <v>Agitator</v>
          </cell>
          <cell r="F132" t="str">
            <v>Agitator</v>
          </cell>
          <cell r="G132">
            <v>26</v>
          </cell>
          <cell r="H132" t="str">
            <v>GMC</v>
          </cell>
          <cell r="I132">
            <v>3584.9522000000002</v>
          </cell>
          <cell r="J132">
            <v>0.12943951729499997</v>
          </cell>
        </row>
        <row r="133">
          <cell r="C133" t="str">
            <v>3320-AG-0009</v>
          </cell>
          <cell r="D133" t="str">
            <v>CIP Tank Agitator</v>
          </cell>
          <cell r="E133" t="str">
            <v>Agitator</v>
          </cell>
          <cell r="F133" t="str">
            <v>Agitator</v>
          </cell>
          <cell r="G133">
            <v>26</v>
          </cell>
          <cell r="H133" t="str">
            <v>GMC</v>
          </cell>
          <cell r="I133">
            <v>3584.9522000000002</v>
          </cell>
          <cell r="J133">
            <v>0.12943951729499997</v>
          </cell>
        </row>
        <row r="134">
          <cell r="C134" t="str">
            <v>3320-AG-0010</v>
          </cell>
          <cell r="D134" t="str">
            <v>CIP Tank Agitator</v>
          </cell>
          <cell r="E134" t="str">
            <v>Agitator</v>
          </cell>
          <cell r="F134" t="str">
            <v>Agitator</v>
          </cell>
          <cell r="G134">
            <v>26</v>
          </cell>
          <cell r="H134" t="str">
            <v>GMC</v>
          </cell>
          <cell r="I134">
            <v>3584.9522000000002</v>
          </cell>
          <cell r="J134">
            <v>0.12943951729499997</v>
          </cell>
        </row>
        <row r="135">
          <cell r="C135" t="str">
            <v>3320-AG-0011</v>
          </cell>
          <cell r="D135" t="str">
            <v>CIP Tank Agitator</v>
          </cell>
          <cell r="E135" t="str">
            <v>Agitator</v>
          </cell>
          <cell r="F135" t="str">
            <v>Agitator</v>
          </cell>
          <cell r="G135">
            <v>26</v>
          </cell>
          <cell r="H135" t="str">
            <v>GMC</v>
          </cell>
          <cell r="I135">
            <v>3584.9522000000002</v>
          </cell>
          <cell r="J135">
            <v>0.12943951729499997</v>
          </cell>
        </row>
        <row r="136">
          <cell r="C136" t="str">
            <v>3320-AG-0012</v>
          </cell>
          <cell r="D136" t="str">
            <v>CIP Tank Agitator</v>
          </cell>
          <cell r="E136" t="str">
            <v>Agitator</v>
          </cell>
          <cell r="F136" t="str">
            <v>Agitator</v>
          </cell>
          <cell r="G136">
            <v>26</v>
          </cell>
          <cell r="H136" t="str">
            <v>GMC</v>
          </cell>
          <cell r="I136">
            <v>3584.9522000000002</v>
          </cell>
          <cell r="J136">
            <v>0.12943951729499997</v>
          </cell>
        </row>
        <row r="137">
          <cell r="C137" t="str">
            <v>3320-AG-0013</v>
          </cell>
          <cell r="D137" t="str">
            <v>CIP Tank Agitator</v>
          </cell>
          <cell r="E137" t="str">
            <v>Agitator</v>
          </cell>
          <cell r="F137" t="str">
            <v>Agitator</v>
          </cell>
          <cell r="G137">
            <v>26</v>
          </cell>
          <cell r="H137" t="str">
            <v>GMC</v>
          </cell>
          <cell r="I137">
            <v>3584.9522000000002</v>
          </cell>
          <cell r="J137">
            <v>0.12943951729499997</v>
          </cell>
        </row>
        <row r="138">
          <cell r="C138" t="str">
            <v>3320-AG-0014</v>
          </cell>
          <cell r="D138" t="str">
            <v>CIP Tank Agitator</v>
          </cell>
          <cell r="E138" t="str">
            <v>Agitator</v>
          </cell>
          <cell r="F138" t="str">
            <v>Agitator</v>
          </cell>
          <cell r="G138">
            <v>26</v>
          </cell>
          <cell r="H138" t="str">
            <v>GMC</v>
          </cell>
          <cell r="I138">
            <v>3584.9522000000002</v>
          </cell>
          <cell r="J138">
            <v>0.12943951729499997</v>
          </cell>
        </row>
        <row r="139">
          <cell r="C139" t="str">
            <v>3330-AG-0018</v>
          </cell>
          <cell r="D139" t="str">
            <v>Zinc Tank Agitator</v>
          </cell>
          <cell r="E139" t="str">
            <v>Agitator</v>
          </cell>
          <cell r="F139" t="str">
            <v>Agitator</v>
          </cell>
          <cell r="G139">
            <v>26</v>
          </cell>
          <cell r="H139" t="str">
            <v>GMC</v>
          </cell>
          <cell r="I139">
            <v>3584.9522000000002</v>
          </cell>
          <cell r="J139">
            <v>0.12943951729499997</v>
          </cell>
        </row>
        <row r="140">
          <cell r="C140" t="str">
            <v>3810-AG-0027</v>
          </cell>
          <cell r="D140" t="str">
            <v>Lime Tank Agitator</v>
          </cell>
          <cell r="E140" t="str">
            <v>Agitator</v>
          </cell>
          <cell r="F140" t="str">
            <v>Agitator</v>
          </cell>
          <cell r="G140">
            <v>26</v>
          </cell>
          <cell r="H140" t="str">
            <v>GMC</v>
          </cell>
          <cell r="I140">
            <v>3584.9522000000002</v>
          </cell>
          <cell r="J140">
            <v>0.12943951729499997</v>
          </cell>
        </row>
        <row r="141">
          <cell r="C141" t="str">
            <v>3810-AG-0028</v>
          </cell>
          <cell r="D141" t="str">
            <v>Lime Tank Agitator</v>
          </cell>
          <cell r="E141" t="str">
            <v>Agitator</v>
          </cell>
          <cell r="F141" t="str">
            <v>Agitator</v>
          </cell>
          <cell r="G141">
            <v>26</v>
          </cell>
          <cell r="H141" t="str">
            <v>GMC</v>
          </cell>
          <cell r="I141">
            <v>3584.9522000000002</v>
          </cell>
          <cell r="J141">
            <v>0.12943951729499997</v>
          </cell>
        </row>
        <row r="142">
          <cell r="C142" t="str">
            <v>3820-AG-0029</v>
          </cell>
          <cell r="D142" t="str">
            <v>Cyanide Tank Agitator</v>
          </cell>
          <cell r="E142" t="str">
            <v>Agitator</v>
          </cell>
          <cell r="F142" t="str">
            <v>Agitator</v>
          </cell>
          <cell r="G142">
            <v>26</v>
          </cell>
          <cell r="H142" t="str">
            <v>GMC</v>
          </cell>
          <cell r="I142">
            <v>3584.9522000000002</v>
          </cell>
          <cell r="J142">
            <v>0.12943951729499997</v>
          </cell>
        </row>
        <row r="143">
          <cell r="C143" t="str">
            <v>3820-AG-0030</v>
          </cell>
          <cell r="D143" t="str">
            <v>Cyanide Tank Agitator</v>
          </cell>
          <cell r="E143" t="str">
            <v>Agitator</v>
          </cell>
          <cell r="F143" t="str">
            <v>Agitator</v>
          </cell>
          <cell r="G143">
            <v>26</v>
          </cell>
          <cell r="H143" t="str">
            <v>GMC</v>
          </cell>
          <cell r="I143">
            <v>3584.9522000000002</v>
          </cell>
          <cell r="J143">
            <v>0.12943951729499997</v>
          </cell>
        </row>
        <row r="144">
          <cell r="C144" t="str">
            <v>3830-AG-0039</v>
          </cell>
          <cell r="D144" t="str">
            <v>Flocculant Tank Agitator</v>
          </cell>
          <cell r="E144" t="str">
            <v>Agitator</v>
          </cell>
          <cell r="F144" t="str">
            <v>Agitator</v>
          </cell>
          <cell r="G144">
            <v>26</v>
          </cell>
          <cell r="H144" t="str">
            <v>GMC</v>
          </cell>
          <cell r="I144">
            <v>3584.9522000000002</v>
          </cell>
          <cell r="J144">
            <v>0.12943951729499997</v>
          </cell>
        </row>
        <row r="145">
          <cell r="C145" t="str">
            <v>3840-AG-0034</v>
          </cell>
          <cell r="D145" t="str">
            <v>Cu Sulphate Tank Agitator</v>
          </cell>
          <cell r="E145" t="str">
            <v>Agitator</v>
          </cell>
          <cell r="F145" t="str">
            <v>Agitator</v>
          </cell>
          <cell r="G145">
            <v>26</v>
          </cell>
          <cell r="H145" t="str">
            <v>GMC</v>
          </cell>
          <cell r="I145">
            <v>3584.9522000000002</v>
          </cell>
          <cell r="J145">
            <v>0.12943951729499997</v>
          </cell>
        </row>
        <row r="146">
          <cell r="C146" t="str">
            <v>3840-AG-0032</v>
          </cell>
          <cell r="D146" t="str">
            <v>SMBS Tank Agitator</v>
          </cell>
          <cell r="E146" t="str">
            <v>Agitator</v>
          </cell>
          <cell r="F146" t="str">
            <v>Agitator</v>
          </cell>
          <cell r="G146">
            <v>26</v>
          </cell>
          <cell r="H146" t="str">
            <v>GMC</v>
          </cell>
          <cell r="I146">
            <v>3584.9522000000002</v>
          </cell>
          <cell r="J146">
            <v>0.12943951729499997</v>
          </cell>
        </row>
        <row r="147">
          <cell r="C147" t="str">
            <v>3220-TA-0001</v>
          </cell>
          <cell r="D147" t="str">
            <v>Leach Tank</v>
          </cell>
          <cell r="E147" t="str">
            <v>Tank</v>
          </cell>
          <cell r="F147" t="str">
            <v>Tank</v>
          </cell>
          <cell r="G147">
            <v>27</v>
          </cell>
          <cell r="H147" t="str">
            <v>GMC</v>
          </cell>
          <cell r="I147">
            <v>9777.25</v>
          </cell>
          <cell r="J147">
            <v>0.13575785800000001</v>
          </cell>
        </row>
        <row r="148">
          <cell r="C148" t="str">
            <v>3220-TA-0002</v>
          </cell>
          <cell r="D148" t="str">
            <v>Leach Tank</v>
          </cell>
          <cell r="E148" t="str">
            <v>Tank</v>
          </cell>
          <cell r="F148" t="str">
            <v>Tank</v>
          </cell>
          <cell r="G148">
            <v>27</v>
          </cell>
          <cell r="H148" t="str">
            <v>GMC</v>
          </cell>
          <cell r="I148">
            <v>9777.25</v>
          </cell>
          <cell r="J148">
            <v>0.13575785800000001</v>
          </cell>
        </row>
        <row r="149">
          <cell r="C149" t="str">
            <v>3220-TA-0003</v>
          </cell>
          <cell r="D149" t="str">
            <v>Leach Tank</v>
          </cell>
          <cell r="E149" t="str">
            <v>Tank</v>
          </cell>
          <cell r="F149" t="str">
            <v>Tank</v>
          </cell>
          <cell r="G149">
            <v>27</v>
          </cell>
          <cell r="H149" t="str">
            <v>GMC</v>
          </cell>
          <cell r="I149">
            <v>9777.25</v>
          </cell>
          <cell r="J149">
            <v>0.13575785800000001</v>
          </cell>
        </row>
        <row r="150">
          <cell r="C150" t="str">
            <v>3220-TA-0004</v>
          </cell>
          <cell r="D150" t="str">
            <v>Leach Tank</v>
          </cell>
          <cell r="E150" t="str">
            <v>Tank</v>
          </cell>
          <cell r="F150" t="str">
            <v>Tank</v>
          </cell>
          <cell r="G150">
            <v>27</v>
          </cell>
          <cell r="H150" t="str">
            <v>GMC</v>
          </cell>
          <cell r="I150">
            <v>9777.25</v>
          </cell>
          <cell r="J150">
            <v>0.13575785800000001</v>
          </cell>
        </row>
        <row r="151">
          <cell r="C151" t="str">
            <v>3330-TK-0074</v>
          </cell>
          <cell r="D151" t="str">
            <v>MC Clarifier Overflow Tank</v>
          </cell>
          <cell r="E151" t="str">
            <v>Tank</v>
          </cell>
          <cell r="F151" t="str">
            <v>Tank</v>
          </cell>
          <cell r="G151">
            <v>27</v>
          </cell>
          <cell r="H151" t="str">
            <v>GMC</v>
          </cell>
          <cell r="I151">
            <v>9777.25</v>
          </cell>
          <cell r="J151">
            <v>0.13575785800000001</v>
          </cell>
        </row>
        <row r="152">
          <cell r="C152" t="str">
            <v>3330-TH-0004</v>
          </cell>
          <cell r="D152" t="str">
            <v>MC Clarifier</v>
          </cell>
          <cell r="E152" t="str">
            <v>Clarifier</v>
          </cell>
          <cell r="F152" t="str">
            <v>Clarifier</v>
          </cell>
          <cell r="G152">
            <v>27</v>
          </cell>
          <cell r="H152" t="str">
            <v>GMC</v>
          </cell>
          <cell r="I152">
            <v>9777.25</v>
          </cell>
          <cell r="J152">
            <v>0.13575785800000001</v>
          </cell>
        </row>
        <row r="153">
          <cell r="C153" t="str">
            <v>3320-TA-0007</v>
          </cell>
          <cell r="D153" t="str">
            <v>CIP Tank</v>
          </cell>
          <cell r="E153" t="str">
            <v>Tank</v>
          </cell>
          <cell r="F153" t="str">
            <v>Tank</v>
          </cell>
          <cell r="G153">
            <v>27</v>
          </cell>
          <cell r="H153" t="str">
            <v>GMC</v>
          </cell>
          <cell r="I153">
            <v>9777.25</v>
          </cell>
          <cell r="J153">
            <v>0.13575785800000001</v>
          </cell>
        </row>
        <row r="154">
          <cell r="C154" t="str">
            <v>3320-TA-0008</v>
          </cell>
          <cell r="D154" t="str">
            <v>CIP Tank</v>
          </cell>
          <cell r="E154" t="str">
            <v>Tank</v>
          </cell>
          <cell r="F154" t="str">
            <v>Tank</v>
          </cell>
          <cell r="G154">
            <v>27</v>
          </cell>
          <cell r="H154" t="str">
            <v>GMC</v>
          </cell>
          <cell r="I154">
            <v>9777.25</v>
          </cell>
          <cell r="J154">
            <v>0.13575785800000001</v>
          </cell>
        </row>
        <row r="155">
          <cell r="C155" t="str">
            <v>3320-TA-0009</v>
          </cell>
          <cell r="D155" t="str">
            <v>CIP Tank</v>
          </cell>
          <cell r="E155" t="str">
            <v>Tank</v>
          </cell>
          <cell r="F155" t="str">
            <v>Tank</v>
          </cell>
          <cell r="G155">
            <v>27</v>
          </cell>
          <cell r="H155" t="str">
            <v>GMC</v>
          </cell>
          <cell r="I155">
            <v>9777.25</v>
          </cell>
          <cell r="J155">
            <v>0.13575785800000001</v>
          </cell>
        </row>
        <row r="156">
          <cell r="C156" t="str">
            <v>3320-TA-0010</v>
          </cell>
          <cell r="D156" t="str">
            <v>CIP Tank</v>
          </cell>
          <cell r="E156" t="str">
            <v>Tank</v>
          </cell>
          <cell r="F156" t="str">
            <v>Tank</v>
          </cell>
          <cell r="G156">
            <v>27</v>
          </cell>
          <cell r="H156" t="str">
            <v>GMC</v>
          </cell>
          <cell r="I156">
            <v>9777.25</v>
          </cell>
          <cell r="J156">
            <v>0.13575785800000001</v>
          </cell>
        </row>
        <row r="157">
          <cell r="C157" t="str">
            <v>3320-TA-0011</v>
          </cell>
          <cell r="D157" t="str">
            <v>CIP Tank</v>
          </cell>
          <cell r="E157" t="str">
            <v>Tank</v>
          </cell>
          <cell r="F157" t="str">
            <v>Tank</v>
          </cell>
          <cell r="G157">
            <v>27</v>
          </cell>
          <cell r="H157" t="str">
            <v>GMC</v>
          </cell>
          <cell r="I157">
            <v>9777.25</v>
          </cell>
          <cell r="J157">
            <v>0.13575785800000001</v>
          </cell>
        </row>
        <row r="158">
          <cell r="C158" t="str">
            <v>3320-TA-0012</v>
          </cell>
          <cell r="D158" t="str">
            <v>CIP Tank</v>
          </cell>
          <cell r="E158" t="str">
            <v>Tank</v>
          </cell>
          <cell r="F158" t="str">
            <v>Tank</v>
          </cell>
          <cell r="G158">
            <v>27</v>
          </cell>
          <cell r="H158" t="str">
            <v>GMC</v>
          </cell>
          <cell r="I158">
            <v>9777.25</v>
          </cell>
          <cell r="J158">
            <v>0.13575785800000001</v>
          </cell>
        </row>
        <row r="159">
          <cell r="C159" t="str">
            <v>3320-TA-0013</v>
          </cell>
          <cell r="D159" t="str">
            <v>CIP Tank</v>
          </cell>
          <cell r="E159" t="str">
            <v>Tank</v>
          </cell>
          <cell r="F159" t="str">
            <v>Tank</v>
          </cell>
          <cell r="G159">
            <v>27</v>
          </cell>
          <cell r="H159" t="str">
            <v>GMC</v>
          </cell>
          <cell r="I159">
            <v>9777.25</v>
          </cell>
          <cell r="J159">
            <v>0.13575785800000001</v>
          </cell>
        </row>
        <row r="160">
          <cell r="C160" t="str">
            <v>3320-TA-0014</v>
          </cell>
          <cell r="D160" t="str">
            <v>CIP Tank</v>
          </cell>
          <cell r="E160" t="str">
            <v>Tank</v>
          </cell>
          <cell r="F160" t="str">
            <v>Tank</v>
          </cell>
          <cell r="G160">
            <v>27</v>
          </cell>
          <cell r="H160" t="str">
            <v>GMC</v>
          </cell>
          <cell r="I160">
            <v>9777.25</v>
          </cell>
          <cell r="J160">
            <v>0.13575785800000001</v>
          </cell>
        </row>
        <row r="161">
          <cell r="C161" t="str">
            <v>3330-TA-0018</v>
          </cell>
          <cell r="D161" t="str">
            <v>Zinc Cone Tank</v>
          </cell>
          <cell r="E161" t="str">
            <v>Tank</v>
          </cell>
          <cell r="F161" t="str">
            <v>Tank</v>
          </cell>
          <cell r="G161">
            <v>27</v>
          </cell>
          <cell r="H161" t="str">
            <v>GMC</v>
          </cell>
          <cell r="I161">
            <v>9777.25</v>
          </cell>
          <cell r="J161">
            <v>0.13575785800000001</v>
          </cell>
        </row>
        <row r="162">
          <cell r="C162" t="str">
            <v>3330-TK-0011</v>
          </cell>
          <cell r="D162" t="str">
            <v>Pregnant Solution Tank</v>
          </cell>
          <cell r="E162" t="str">
            <v>Tank</v>
          </cell>
          <cell r="F162" t="str">
            <v>Tank</v>
          </cell>
          <cell r="G162">
            <v>27</v>
          </cell>
          <cell r="H162" t="str">
            <v>GMC</v>
          </cell>
          <cell r="I162">
            <v>9777.25</v>
          </cell>
          <cell r="J162">
            <v>0.13575785800000001</v>
          </cell>
        </row>
        <row r="163">
          <cell r="C163" t="str">
            <v>3330-TK-0012</v>
          </cell>
          <cell r="D163" t="str">
            <v>Vacuum Seal Tank</v>
          </cell>
          <cell r="E163" t="str">
            <v>Tank</v>
          </cell>
          <cell r="F163" t="str">
            <v>Tank</v>
          </cell>
          <cell r="G163">
            <v>27</v>
          </cell>
          <cell r="H163" t="str">
            <v>GMC</v>
          </cell>
          <cell r="I163">
            <v>9777.25</v>
          </cell>
          <cell r="J163">
            <v>0.13575785800000001</v>
          </cell>
        </row>
        <row r="164">
          <cell r="C164" t="str">
            <v>3330-TK-0013</v>
          </cell>
          <cell r="D164" t="str">
            <v>Barren Solution Tank</v>
          </cell>
          <cell r="E164" t="str">
            <v>Tank</v>
          </cell>
          <cell r="F164" t="str">
            <v>Tank</v>
          </cell>
          <cell r="G164">
            <v>27</v>
          </cell>
          <cell r="H164" t="str">
            <v>GMC</v>
          </cell>
          <cell r="I164">
            <v>9777.25</v>
          </cell>
          <cell r="J164">
            <v>0.13575785800000001</v>
          </cell>
        </row>
        <row r="165">
          <cell r="C165" t="str">
            <v>3330-TK-0014</v>
          </cell>
          <cell r="D165" t="str">
            <v>Cloth Wash Tank</v>
          </cell>
          <cell r="E165" t="str">
            <v>Tank</v>
          </cell>
          <cell r="F165" t="str">
            <v>Tank</v>
          </cell>
          <cell r="G165">
            <v>27</v>
          </cell>
          <cell r="H165" t="str">
            <v>GMC</v>
          </cell>
          <cell r="I165">
            <v>9777.25</v>
          </cell>
          <cell r="J165">
            <v>0.13575785800000001</v>
          </cell>
        </row>
        <row r="166">
          <cell r="C166" t="str">
            <v>3450-TK-0021</v>
          </cell>
          <cell r="D166" t="str">
            <v>Carbon Fines Collection Tank</v>
          </cell>
          <cell r="E166" t="str">
            <v>Tank</v>
          </cell>
          <cell r="F166" t="str">
            <v>Tank</v>
          </cell>
          <cell r="G166">
            <v>27</v>
          </cell>
          <cell r="H166" t="str">
            <v>GMC</v>
          </cell>
          <cell r="I166">
            <v>9777.25</v>
          </cell>
          <cell r="J166">
            <v>0.13575785800000001</v>
          </cell>
        </row>
        <row r="167">
          <cell r="C167" t="str">
            <v>3450-TK-0023</v>
          </cell>
          <cell r="D167" t="str">
            <v>Carbon Fines Filtrate Tank</v>
          </cell>
          <cell r="E167" t="str">
            <v>Tank</v>
          </cell>
          <cell r="F167" t="str">
            <v>Tank</v>
          </cell>
          <cell r="G167">
            <v>27</v>
          </cell>
          <cell r="H167" t="str">
            <v>GMC</v>
          </cell>
          <cell r="I167">
            <v>9777.25</v>
          </cell>
          <cell r="J167">
            <v>0.13575785800000001</v>
          </cell>
        </row>
        <row r="168">
          <cell r="C168" t="str">
            <v>3500-TK-0024</v>
          </cell>
          <cell r="D168" t="str">
            <v>Mercury Collecting Tank</v>
          </cell>
          <cell r="E168" t="str">
            <v>Tank</v>
          </cell>
          <cell r="F168" t="str">
            <v>Tank</v>
          </cell>
          <cell r="G168">
            <v>27</v>
          </cell>
          <cell r="H168" t="str">
            <v>GMC</v>
          </cell>
          <cell r="I168">
            <v>9777.25</v>
          </cell>
          <cell r="J168">
            <v>0.13575785800000001</v>
          </cell>
        </row>
        <row r="169">
          <cell r="C169" t="str">
            <v>3620-TK-0053</v>
          </cell>
          <cell r="D169" t="str">
            <v>Taillings Thincker Overflow Tank</v>
          </cell>
          <cell r="E169" t="str">
            <v>Tank</v>
          </cell>
          <cell r="F169" t="str">
            <v>Tank</v>
          </cell>
          <cell r="G169">
            <v>27</v>
          </cell>
          <cell r="H169" t="str">
            <v>GMC</v>
          </cell>
          <cell r="I169">
            <v>9777.25</v>
          </cell>
          <cell r="J169">
            <v>0.13575785800000001</v>
          </cell>
        </row>
        <row r="170">
          <cell r="C170" t="str">
            <v>3810-XM-0060</v>
          </cell>
          <cell r="D170" t="str">
            <v>Slaker</v>
          </cell>
          <cell r="E170" t="str">
            <v>Slaker</v>
          </cell>
          <cell r="F170" t="str">
            <v>Slaker</v>
          </cell>
          <cell r="G170">
            <v>27</v>
          </cell>
          <cell r="H170" t="str">
            <v>BHP</v>
          </cell>
          <cell r="I170">
            <v>3910.9</v>
          </cell>
          <cell r="J170">
            <v>0.13575785800000001</v>
          </cell>
        </row>
        <row r="171">
          <cell r="C171" t="str">
            <v>3810-SO-0001</v>
          </cell>
          <cell r="D171" t="str">
            <v>Lime Silo</v>
          </cell>
          <cell r="E171" t="str">
            <v>Silo</v>
          </cell>
          <cell r="F171" t="str">
            <v>Silo</v>
          </cell>
          <cell r="G171">
            <v>27</v>
          </cell>
          <cell r="H171" t="str">
            <v>GMC</v>
          </cell>
          <cell r="I171">
            <v>9777.25</v>
          </cell>
          <cell r="J171">
            <v>0.13575785800000001</v>
          </cell>
        </row>
        <row r="172">
          <cell r="C172" t="str">
            <v>3810-TA-0027</v>
          </cell>
          <cell r="D172" t="str">
            <v>Milk of Lime Distribution Tank</v>
          </cell>
          <cell r="E172" t="str">
            <v>Tank</v>
          </cell>
          <cell r="F172" t="str">
            <v>Tank</v>
          </cell>
          <cell r="G172">
            <v>27</v>
          </cell>
          <cell r="H172" t="str">
            <v>GMC</v>
          </cell>
          <cell r="I172">
            <v>9777.25</v>
          </cell>
          <cell r="J172">
            <v>0.13575785800000001</v>
          </cell>
        </row>
        <row r="173">
          <cell r="C173" t="str">
            <v>3810-TA-0028</v>
          </cell>
          <cell r="D173" t="str">
            <v>Milk of Lime Distribution Tank</v>
          </cell>
          <cell r="E173" t="str">
            <v>Tank</v>
          </cell>
          <cell r="F173" t="str">
            <v>Tank</v>
          </cell>
          <cell r="G173">
            <v>27</v>
          </cell>
          <cell r="H173" t="str">
            <v>GMC</v>
          </cell>
          <cell r="I173">
            <v>9777.25</v>
          </cell>
          <cell r="J173">
            <v>0.13575785800000001</v>
          </cell>
        </row>
        <row r="174">
          <cell r="C174" t="str">
            <v>3820-TA-0029</v>
          </cell>
          <cell r="D174" t="str">
            <v>Cyanide Preparation Tank</v>
          </cell>
          <cell r="E174" t="str">
            <v>Tank</v>
          </cell>
          <cell r="F174" t="str">
            <v>Tank</v>
          </cell>
          <cell r="G174">
            <v>27</v>
          </cell>
          <cell r="H174" t="str">
            <v>GMC</v>
          </cell>
          <cell r="I174">
            <v>9777.25</v>
          </cell>
          <cell r="J174">
            <v>0.13575785800000001</v>
          </cell>
        </row>
        <row r="175">
          <cell r="C175" t="str">
            <v>3820-TA-0030</v>
          </cell>
          <cell r="D175" t="str">
            <v>Cyanide Distribution Tank</v>
          </cell>
          <cell r="E175" t="str">
            <v>Tank</v>
          </cell>
          <cell r="F175" t="str">
            <v>Tank</v>
          </cell>
          <cell r="G175">
            <v>27</v>
          </cell>
          <cell r="H175" t="str">
            <v>GMC</v>
          </cell>
          <cell r="I175">
            <v>9777.25</v>
          </cell>
          <cell r="J175">
            <v>0.13575785800000001</v>
          </cell>
        </row>
        <row r="176">
          <cell r="C176" t="str">
            <v>3820-TA-0031</v>
          </cell>
          <cell r="D176" t="str">
            <v>NaOH Tank</v>
          </cell>
          <cell r="E176" t="str">
            <v>Tank</v>
          </cell>
          <cell r="F176" t="str">
            <v>Tank</v>
          </cell>
          <cell r="G176">
            <v>27</v>
          </cell>
          <cell r="H176" t="str">
            <v>GMC</v>
          </cell>
          <cell r="I176">
            <v>9777.25</v>
          </cell>
          <cell r="J176">
            <v>0.13575785800000001</v>
          </cell>
        </row>
        <row r="177">
          <cell r="C177" t="str">
            <v>3830-TA-0039</v>
          </cell>
          <cell r="D177" t="str">
            <v>Flocculant Tank</v>
          </cell>
          <cell r="E177" t="str">
            <v>Tank</v>
          </cell>
          <cell r="F177" t="str">
            <v>Tank</v>
          </cell>
          <cell r="G177">
            <v>27</v>
          </cell>
          <cell r="H177" t="str">
            <v>GMC</v>
          </cell>
          <cell r="I177">
            <v>9777.25</v>
          </cell>
          <cell r="J177">
            <v>0.13575785800000001</v>
          </cell>
        </row>
        <row r="178">
          <cell r="C178" t="str">
            <v>3830-TK-0031</v>
          </cell>
          <cell r="D178" t="str">
            <v>Flocculant Tank</v>
          </cell>
          <cell r="E178" t="str">
            <v>Tank</v>
          </cell>
          <cell r="F178" t="str">
            <v>Tank</v>
          </cell>
          <cell r="G178">
            <v>27</v>
          </cell>
          <cell r="H178" t="str">
            <v>GMC</v>
          </cell>
          <cell r="I178">
            <v>9777.25</v>
          </cell>
          <cell r="J178">
            <v>0.13575785800000001</v>
          </cell>
        </row>
        <row r="179">
          <cell r="C179" t="str">
            <v>3840-TA-0032</v>
          </cell>
          <cell r="D179" t="str">
            <v>SMBS Preparation Tank</v>
          </cell>
          <cell r="E179" t="str">
            <v>Tank</v>
          </cell>
          <cell r="F179" t="str">
            <v>Tank</v>
          </cell>
          <cell r="G179">
            <v>27</v>
          </cell>
          <cell r="H179" t="str">
            <v>GMC</v>
          </cell>
          <cell r="I179">
            <v>9777.25</v>
          </cell>
          <cell r="J179">
            <v>0.13575785800000001</v>
          </cell>
        </row>
        <row r="180">
          <cell r="C180" t="str">
            <v>3840-TA-0034</v>
          </cell>
          <cell r="D180" t="str">
            <v>Cu Sulphate Preparation Tank</v>
          </cell>
          <cell r="E180" t="str">
            <v>Tank</v>
          </cell>
          <cell r="F180" t="str">
            <v>Tank</v>
          </cell>
          <cell r="G180">
            <v>27</v>
          </cell>
          <cell r="H180" t="str">
            <v>GMC</v>
          </cell>
          <cell r="I180">
            <v>9777.25</v>
          </cell>
          <cell r="J180">
            <v>0.13575785800000001</v>
          </cell>
        </row>
        <row r="181">
          <cell r="C181" t="str">
            <v>3840-TK-0035</v>
          </cell>
          <cell r="D181" t="str">
            <v>SMBS Distribution Tank</v>
          </cell>
          <cell r="E181" t="str">
            <v>Tank</v>
          </cell>
          <cell r="F181" t="str">
            <v>Tank</v>
          </cell>
          <cell r="G181">
            <v>27</v>
          </cell>
          <cell r="H181" t="str">
            <v>GMC</v>
          </cell>
          <cell r="I181">
            <v>9777.25</v>
          </cell>
          <cell r="J181">
            <v>0.13575785800000001</v>
          </cell>
        </row>
        <row r="182">
          <cell r="C182" t="str">
            <v>3840-TK-0036</v>
          </cell>
          <cell r="D182" t="str">
            <v>Cu Sulphate Distribution Tank</v>
          </cell>
          <cell r="E182" t="str">
            <v>Tank</v>
          </cell>
          <cell r="F182" t="str">
            <v>Tank</v>
          </cell>
          <cell r="G182">
            <v>27</v>
          </cell>
          <cell r="H182" t="str">
            <v>GMC</v>
          </cell>
          <cell r="I182">
            <v>9777.25</v>
          </cell>
          <cell r="J182">
            <v>0.13575785800000001</v>
          </cell>
        </row>
        <row r="183">
          <cell r="C183" t="str">
            <v>4100-TK-0042</v>
          </cell>
          <cell r="D183" t="str">
            <v>Raw Water Tank</v>
          </cell>
          <cell r="E183" t="str">
            <v>Tank</v>
          </cell>
          <cell r="F183" t="str">
            <v>Tank</v>
          </cell>
          <cell r="G183">
            <v>27</v>
          </cell>
          <cell r="H183" t="str">
            <v>GMC</v>
          </cell>
          <cell r="I183">
            <v>9777.25</v>
          </cell>
          <cell r="J183">
            <v>0.13575785800000001</v>
          </cell>
        </row>
        <row r="184">
          <cell r="C184" t="str">
            <v>4100-TK-0044</v>
          </cell>
          <cell r="D184" t="str">
            <v>Potable Water Tank</v>
          </cell>
          <cell r="E184" t="str">
            <v>Tank</v>
          </cell>
          <cell r="F184" t="str">
            <v>Tank</v>
          </cell>
          <cell r="G184">
            <v>27</v>
          </cell>
          <cell r="H184" t="str">
            <v>GMC</v>
          </cell>
          <cell r="I184">
            <v>9777.25</v>
          </cell>
          <cell r="J184">
            <v>0.13575785800000001</v>
          </cell>
        </row>
        <row r="185">
          <cell r="C185" t="str">
            <v>7200-TK-0052</v>
          </cell>
          <cell r="D185" t="str">
            <v>Raw Water Tank</v>
          </cell>
          <cell r="E185" t="str">
            <v>Tank</v>
          </cell>
          <cell r="F185" t="str">
            <v>Tank</v>
          </cell>
          <cell r="G185">
            <v>27</v>
          </cell>
          <cell r="H185" t="str">
            <v>GMC</v>
          </cell>
          <cell r="I185">
            <v>9777.25</v>
          </cell>
          <cell r="J185">
            <v>0.13575785800000001</v>
          </cell>
        </row>
        <row r="186">
          <cell r="C186" t="str">
            <v>3700-TK-0028</v>
          </cell>
          <cell r="D186" t="str">
            <v>Detox Solution Tank</v>
          </cell>
          <cell r="E186" t="str">
            <v>Tank</v>
          </cell>
          <cell r="F186" t="str">
            <v>Tank</v>
          </cell>
          <cell r="G186">
            <v>27</v>
          </cell>
          <cell r="H186" t="str">
            <v>GMC</v>
          </cell>
          <cell r="I186">
            <v>9777.25</v>
          </cell>
          <cell r="J186">
            <v>0.13575785800000001</v>
          </cell>
        </row>
        <row r="187">
          <cell r="C187" t="str">
            <v>3700-TK-0029</v>
          </cell>
          <cell r="D187" t="str">
            <v>Mill Water Tank</v>
          </cell>
          <cell r="E187" t="str">
            <v>Tank</v>
          </cell>
          <cell r="F187" t="str">
            <v>Tank</v>
          </cell>
          <cell r="G187">
            <v>27</v>
          </cell>
          <cell r="H187" t="str">
            <v>GMC</v>
          </cell>
          <cell r="I187">
            <v>9777.25</v>
          </cell>
          <cell r="J187">
            <v>0.13575785800000001</v>
          </cell>
        </row>
        <row r="188">
          <cell r="C188" t="str">
            <v>3700-TK-0062</v>
          </cell>
          <cell r="D188" t="str">
            <v>Clarified Solution Tank</v>
          </cell>
          <cell r="E188" t="str">
            <v>Tank</v>
          </cell>
          <cell r="F188" t="str">
            <v>Tank</v>
          </cell>
          <cell r="G188">
            <v>27</v>
          </cell>
          <cell r="H188" t="str">
            <v>GMC</v>
          </cell>
          <cell r="I188">
            <v>9777.25</v>
          </cell>
          <cell r="J188">
            <v>0.13575785800000001</v>
          </cell>
        </row>
        <row r="189">
          <cell r="C189" t="str">
            <v>4500-TK-0048</v>
          </cell>
          <cell r="D189" t="str">
            <v>Carbon Regeneration Diesel Daily Tank</v>
          </cell>
          <cell r="E189" t="str">
            <v>Tank</v>
          </cell>
          <cell r="F189" t="str">
            <v>Tank</v>
          </cell>
          <cell r="G189">
            <v>27</v>
          </cell>
          <cell r="H189" t="str">
            <v>GMC</v>
          </cell>
          <cell r="I189">
            <v>9777.25</v>
          </cell>
          <cell r="J189">
            <v>0.13575785800000001</v>
          </cell>
        </row>
        <row r="190">
          <cell r="C190" t="str">
            <v>4500-TK-0049</v>
          </cell>
          <cell r="D190" t="str">
            <v>Refinery Diesel Daily Tank</v>
          </cell>
          <cell r="E190" t="str">
            <v>Tank</v>
          </cell>
          <cell r="F190" t="str">
            <v>Tank</v>
          </cell>
          <cell r="G190">
            <v>27</v>
          </cell>
          <cell r="H190" t="str">
            <v>GMC</v>
          </cell>
          <cell r="I190">
            <v>9777.25</v>
          </cell>
          <cell r="J190">
            <v>0.13575785800000001</v>
          </cell>
        </row>
        <row r="191">
          <cell r="C191" t="str">
            <v>4500-TK-0050</v>
          </cell>
          <cell r="D191" t="str">
            <v>Elution Diesel Daily Tank</v>
          </cell>
          <cell r="E191" t="str">
            <v>Tank</v>
          </cell>
          <cell r="F191" t="str">
            <v>Tank</v>
          </cell>
          <cell r="G191">
            <v>27</v>
          </cell>
          <cell r="H191" t="str">
            <v>GMC</v>
          </cell>
          <cell r="I191">
            <v>9777.25</v>
          </cell>
          <cell r="J191">
            <v>0.13575785800000001</v>
          </cell>
        </row>
        <row r="192">
          <cell r="C192" t="str">
            <v>4500-TK-0067</v>
          </cell>
          <cell r="D192" t="str">
            <v>Diesel Storage Tank</v>
          </cell>
          <cell r="E192" t="str">
            <v>Tank</v>
          </cell>
          <cell r="F192" t="str">
            <v>Tank</v>
          </cell>
          <cell r="G192">
            <v>27</v>
          </cell>
          <cell r="H192" t="str">
            <v>GMC</v>
          </cell>
          <cell r="I192">
            <v>9777.25</v>
          </cell>
          <cell r="J192">
            <v>0.13575785800000001</v>
          </cell>
        </row>
        <row r="193">
          <cell r="C193" t="str">
            <v>4500-TK-0068</v>
          </cell>
          <cell r="D193" t="str">
            <v>Diesel Storage Tank</v>
          </cell>
          <cell r="E193" t="str">
            <v>Tank</v>
          </cell>
          <cell r="F193" t="str">
            <v>Tank</v>
          </cell>
          <cell r="G193">
            <v>27</v>
          </cell>
          <cell r="H193" t="str">
            <v>GMC</v>
          </cell>
          <cell r="I193">
            <v>9777.25</v>
          </cell>
          <cell r="J193">
            <v>0.13575785800000001</v>
          </cell>
        </row>
        <row r="194">
          <cell r="C194" t="str">
            <v>3610-AG-0022</v>
          </cell>
          <cell r="D194" t="str">
            <v>Cyanide Detox Tank Agitator</v>
          </cell>
          <cell r="E194" t="str">
            <v>Agitator</v>
          </cell>
          <cell r="F194" t="str">
            <v>Agitator</v>
          </cell>
          <cell r="G194">
            <v>28</v>
          </cell>
          <cell r="H194" t="str">
            <v>BHP</v>
          </cell>
          <cell r="I194">
            <v>4088.105</v>
          </cell>
          <cell r="J194">
            <v>0.11024299999999999</v>
          </cell>
        </row>
        <row r="195">
          <cell r="C195" t="str">
            <v>3630-AG-0037</v>
          </cell>
          <cell r="D195" t="str">
            <v>Filtrate Tank Agitator</v>
          </cell>
          <cell r="E195" t="str">
            <v>Agitator</v>
          </cell>
          <cell r="F195" t="str">
            <v>Agitator</v>
          </cell>
          <cell r="G195">
            <v>28</v>
          </cell>
          <cell r="H195" t="str">
            <v>BHP</v>
          </cell>
          <cell r="I195">
            <v>4088.105</v>
          </cell>
          <cell r="J195">
            <v>0.11024299999999999</v>
          </cell>
        </row>
        <row r="196">
          <cell r="C196" t="str">
            <v>3630-AG-0025</v>
          </cell>
          <cell r="D196" t="str">
            <v>Filtration Tank Agitator</v>
          </cell>
          <cell r="E196" t="str">
            <v>Agitator</v>
          </cell>
          <cell r="F196" t="str">
            <v>Agitator</v>
          </cell>
          <cell r="G196">
            <v>28</v>
          </cell>
          <cell r="H196" t="str">
            <v>BHP</v>
          </cell>
          <cell r="I196">
            <v>4088.105</v>
          </cell>
          <cell r="J196">
            <v>0.11024299999999999</v>
          </cell>
        </row>
        <row r="197">
          <cell r="C197" t="str">
            <v>3630-AG-0026</v>
          </cell>
          <cell r="D197" t="str">
            <v>Filtration Tank Agitator</v>
          </cell>
          <cell r="E197" t="str">
            <v>Agitator</v>
          </cell>
          <cell r="F197" t="str">
            <v>Agitator</v>
          </cell>
          <cell r="G197">
            <v>28</v>
          </cell>
          <cell r="H197" t="str">
            <v>BHP</v>
          </cell>
          <cell r="I197">
            <v>4088.105</v>
          </cell>
          <cell r="J197">
            <v>0.11024299999999999</v>
          </cell>
        </row>
        <row r="198">
          <cell r="C198" t="str">
            <v>3410-VE-0002</v>
          </cell>
          <cell r="D198" t="str">
            <v>Acid Wash Vessel</v>
          </cell>
          <cell r="E198" t="str">
            <v>Vessel</v>
          </cell>
          <cell r="F198" t="str">
            <v>Vessel</v>
          </cell>
          <cell r="G198">
            <v>29</v>
          </cell>
          <cell r="H198" t="str">
            <v>BHP</v>
          </cell>
          <cell r="I198">
            <v>4218.2439999999997</v>
          </cell>
          <cell r="J198">
            <v>0.117671</v>
          </cell>
        </row>
        <row r="199">
          <cell r="C199" t="str">
            <v>3420-VE-0003</v>
          </cell>
          <cell r="D199" t="str">
            <v>Elution Vessel</v>
          </cell>
          <cell r="E199" t="str">
            <v>Vessel</v>
          </cell>
          <cell r="F199" t="str">
            <v>Vessel</v>
          </cell>
          <cell r="G199">
            <v>29</v>
          </cell>
          <cell r="H199" t="str">
            <v>BHP</v>
          </cell>
          <cell r="I199">
            <v>4218.2439999999997</v>
          </cell>
          <cell r="J199">
            <v>0.117671</v>
          </cell>
        </row>
        <row r="200">
          <cell r="C200" t="str">
            <v>3610-TA-0022</v>
          </cell>
          <cell r="D200" t="str">
            <v>Cyanide Detox Tank</v>
          </cell>
          <cell r="E200" t="str">
            <v>Tank</v>
          </cell>
          <cell r="F200" t="str">
            <v>Tank</v>
          </cell>
          <cell r="G200">
            <v>30</v>
          </cell>
          <cell r="H200" t="str">
            <v>BHP</v>
          </cell>
          <cell r="I200">
            <v>10557.0975</v>
          </cell>
          <cell r="J200">
            <v>0.117577</v>
          </cell>
        </row>
        <row r="201">
          <cell r="C201" t="str">
            <v>3630-TA-0025</v>
          </cell>
          <cell r="D201" t="str">
            <v>Filtration Tank</v>
          </cell>
          <cell r="E201" t="str">
            <v>Tank</v>
          </cell>
          <cell r="F201" t="str">
            <v>Tank</v>
          </cell>
          <cell r="G201">
            <v>30</v>
          </cell>
          <cell r="H201" t="str">
            <v>BHP</v>
          </cell>
          <cell r="I201">
            <v>10557.0975</v>
          </cell>
          <cell r="J201">
            <v>0.117577</v>
          </cell>
        </row>
        <row r="202">
          <cell r="C202" t="str">
            <v>3630-TA-0026</v>
          </cell>
          <cell r="D202" t="str">
            <v>Filtration Tank</v>
          </cell>
          <cell r="E202" t="str">
            <v>Tank</v>
          </cell>
          <cell r="F202" t="str">
            <v>Tank</v>
          </cell>
          <cell r="G202">
            <v>30</v>
          </cell>
          <cell r="H202" t="str">
            <v>BHP</v>
          </cell>
          <cell r="I202">
            <v>10557.0975</v>
          </cell>
          <cell r="J202">
            <v>0.117577</v>
          </cell>
        </row>
        <row r="203">
          <cell r="C203" t="str">
            <v>3630-TA-0037</v>
          </cell>
          <cell r="D203" t="str">
            <v>Filtrate Tank</v>
          </cell>
          <cell r="E203" t="str">
            <v>Tank</v>
          </cell>
          <cell r="F203" t="str">
            <v>Tank</v>
          </cell>
          <cell r="G203">
            <v>30</v>
          </cell>
          <cell r="H203" t="str">
            <v>BHP</v>
          </cell>
          <cell r="I203">
            <v>10557.0975</v>
          </cell>
          <cell r="J203">
            <v>0.117577</v>
          </cell>
        </row>
        <row r="204">
          <cell r="C204" t="str">
            <v>3500-FU-0001</v>
          </cell>
          <cell r="D204" t="str">
            <v>Mercury Retort</v>
          </cell>
          <cell r="E204" t="str">
            <v>Mercury Retort</v>
          </cell>
          <cell r="F204" t="str">
            <v>Mercury Retort</v>
          </cell>
          <cell r="G204">
            <v>31</v>
          </cell>
          <cell r="H204" t="str">
            <v>BHP</v>
          </cell>
          <cell r="I204">
            <v>4649.3860000000004</v>
          </cell>
          <cell r="J204">
            <v>0.38291399999999998</v>
          </cell>
        </row>
        <row r="205">
          <cell r="C205" t="str">
            <v>3500-FU-0002</v>
          </cell>
          <cell r="D205" t="str">
            <v>Mercury Retort</v>
          </cell>
          <cell r="E205" t="str">
            <v>Mercury Retort</v>
          </cell>
          <cell r="F205" t="str">
            <v>Mercury Retort</v>
          </cell>
          <cell r="G205">
            <v>31</v>
          </cell>
          <cell r="H205" t="str">
            <v>BHP</v>
          </cell>
          <cell r="I205">
            <v>4649.3860000000004</v>
          </cell>
          <cell r="J205">
            <v>0.38291399999999998</v>
          </cell>
        </row>
        <row r="206">
          <cell r="C206" t="str">
            <v>3630-CP-0005</v>
          </cell>
          <cell r="D206" t="str">
            <v>Tails Filter Compressor</v>
          </cell>
          <cell r="E206" t="str">
            <v>Compressor</v>
          </cell>
          <cell r="F206" t="str">
            <v>Compressor</v>
          </cell>
          <cell r="G206">
            <v>32</v>
          </cell>
          <cell r="H206" t="str">
            <v>CMDC</v>
          </cell>
          <cell r="I206">
            <v>5337.9589999999998</v>
          </cell>
          <cell r="J206">
            <v>0.23022000000000001</v>
          </cell>
        </row>
        <row r="207">
          <cell r="C207" t="str">
            <v>3630-CP-0006</v>
          </cell>
          <cell r="D207" t="str">
            <v>Tails Filter Compressor</v>
          </cell>
          <cell r="E207" t="str">
            <v>Compressor</v>
          </cell>
          <cell r="F207" t="str">
            <v>Compressor</v>
          </cell>
          <cell r="G207">
            <v>32</v>
          </cell>
          <cell r="H207" t="str">
            <v>CMDC</v>
          </cell>
          <cell r="I207">
            <v>5337.9589999999998</v>
          </cell>
          <cell r="J207">
            <v>0.23022000000000001</v>
          </cell>
        </row>
        <row r="208">
          <cell r="C208" t="str">
            <v>3630-CP-0007</v>
          </cell>
          <cell r="D208" t="str">
            <v>Tails Filter Compressor</v>
          </cell>
          <cell r="E208" t="str">
            <v>Compressor</v>
          </cell>
          <cell r="F208" t="str">
            <v>Compressor</v>
          </cell>
          <cell r="G208">
            <v>32</v>
          </cell>
          <cell r="H208" t="str">
            <v>CMDC</v>
          </cell>
          <cell r="I208">
            <v>5337.9589999999998</v>
          </cell>
          <cell r="J208">
            <v>0.23022000000000001</v>
          </cell>
        </row>
        <row r="209">
          <cell r="C209" t="str">
            <v>3850-CP-0013</v>
          </cell>
          <cell r="D209" t="str">
            <v>Air Compressor</v>
          </cell>
          <cell r="E209" t="str">
            <v>Air Compressor</v>
          </cell>
          <cell r="F209" t="str">
            <v>Air Compressor</v>
          </cell>
          <cell r="G209">
            <v>32</v>
          </cell>
          <cell r="H209" t="str">
            <v>CMDC</v>
          </cell>
          <cell r="I209">
            <v>5337.9589999999998</v>
          </cell>
          <cell r="J209">
            <v>0.23022000000000001</v>
          </cell>
        </row>
        <row r="210">
          <cell r="C210" t="str">
            <v>4300-CP-0011</v>
          </cell>
          <cell r="D210" t="str">
            <v>Air Compressor</v>
          </cell>
          <cell r="E210" t="str">
            <v>Air Compressor</v>
          </cell>
          <cell r="F210" t="str">
            <v>Air Compressor</v>
          </cell>
          <cell r="G210">
            <v>32</v>
          </cell>
          <cell r="H210" t="str">
            <v>CMDC</v>
          </cell>
          <cell r="I210">
            <v>5337.9589999999998</v>
          </cell>
          <cell r="J210">
            <v>0.23022000000000001</v>
          </cell>
        </row>
        <row r="211">
          <cell r="C211" t="str">
            <v>4300-CP-0012</v>
          </cell>
          <cell r="D211" t="str">
            <v>Air Compressor</v>
          </cell>
          <cell r="E211" t="str">
            <v>Air Compressor</v>
          </cell>
          <cell r="F211" t="str">
            <v>Air Compressor</v>
          </cell>
          <cell r="G211">
            <v>32</v>
          </cell>
          <cell r="H211" t="str">
            <v>CMDC</v>
          </cell>
          <cell r="I211">
            <v>5337.9589999999998</v>
          </cell>
          <cell r="J211">
            <v>0.23022000000000001</v>
          </cell>
        </row>
        <row r="212">
          <cell r="C212" t="str">
            <v>3630-AR-0009</v>
          </cell>
          <cell r="D212" t="str">
            <v>Air Receiver</v>
          </cell>
          <cell r="E212" t="str">
            <v>Air Receiver</v>
          </cell>
          <cell r="F212" t="str">
            <v>Air Receiver</v>
          </cell>
          <cell r="G212">
            <v>33</v>
          </cell>
          <cell r="H212" t="str">
            <v>CMDC</v>
          </cell>
          <cell r="I212">
            <v>5340.5510000000004</v>
          </cell>
          <cell r="J212">
            <v>0.23046900000000001</v>
          </cell>
        </row>
        <row r="213">
          <cell r="C213" t="str">
            <v>3630-AR-0010</v>
          </cell>
          <cell r="D213" t="str">
            <v>Air Receiver</v>
          </cell>
          <cell r="E213" t="str">
            <v>Air Receiver</v>
          </cell>
          <cell r="F213" t="str">
            <v>Air Receiver</v>
          </cell>
          <cell r="G213">
            <v>33</v>
          </cell>
          <cell r="H213" t="str">
            <v>CMDC</v>
          </cell>
          <cell r="I213">
            <v>5340.5510000000004</v>
          </cell>
          <cell r="J213">
            <v>0.23046900000000001</v>
          </cell>
        </row>
        <row r="214">
          <cell r="C214" t="str">
            <v>3630-AR-0011</v>
          </cell>
          <cell r="D214" t="str">
            <v>Air Receiver</v>
          </cell>
          <cell r="E214" t="str">
            <v>Air Receiver</v>
          </cell>
          <cell r="F214" t="str">
            <v>Air Receiver</v>
          </cell>
          <cell r="G214">
            <v>33</v>
          </cell>
          <cell r="H214" t="str">
            <v>CMDC</v>
          </cell>
          <cell r="I214">
            <v>5340.5510000000004</v>
          </cell>
          <cell r="J214">
            <v>0.23046900000000001</v>
          </cell>
        </row>
        <row r="215">
          <cell r="C215" t="str">
            <v>3850-AR-0006</v>
          </cell>
          <cell r="D215" t="str">
            <v>Air Receiver</v>
          </cell>
          <cell r="E215" t="str">
            <v>Air Receiver</v>
          </cell>
          <cell r="F215" t="str">
            <v>Air Receiver</v>
          </cell>
          <cell r="G215">
            <v>33</v>
          </cell>
          <cell r="H215" t="str">
            <v>CMDC</v>
          </cell>
          <cell r="I215">
            <v>5340.5510000000004</v>
          </cell>
          <cell r="J215">
            <v>0.23046900000000001</v>
          </cell>
        </row>
        <row r="216">
          <cell r="C216" t="str">
            <v>4300-DR-0003</v>
          </cell>
          <cell r="D216" t="str">
            <v>Instrumentation Air Dryer</v>
          </cell>
          <cell r="E216" t="str">
            <v>Instrumentation</v>
          </cell>
          <cell r="F216" t="str">
            <v>Instrumentation</v>
          </cell>
          <cell r="G216">
            <v>33</v>
          </cell>
          <cell r="H216" t="str">
            <v>CMDC</v>
          </cell>
          <cell r="I216">
            <v>5340.5510000000004</v>
          </cell>
          <cell r="J216">
            <v>0.23046900000000001</v>
          </cell>
        </row>
        <row r="217">
          <cell r="C217" t="str">
            <v>4300-AR-0005</v>
          </cell>
          <cell r="D217" t="str">
            <v>Instrumentation Air Receiver</v>
          </cell>
          <cell r="E217" t="str">
            <v>Instrumentation</v>
          </cell>
          <cell r="F217" t="str">
            <v>Instrumentation</v>
          </cell>
          <cell r="G217">
            <v>33</v>
          </cell>
          <cell r="H217" t="str">
            <v>CMDC</v>
          </cell>
          <cell r="I217">
            <v>5340.5510000000004</v>
          </cell>
          <cell r="J217">
            <v>0.23046900000000001</v>
          </cell>
        </row>
        <row r="218">
          <cell r="C218" t="str">
            <v>4300-AR-0004</v>
          </cell>
          <cell r="D218" t="str">
            <v>Plant Air Receiver</v>
          </cell>
          <cell r="E218" t="str">
            <v>Plant Air Receiver</v>
          </cell>
          <cell r="F218" t="str">
            <v>Plant Air Receiver</v>
          </cell>
          <cell r="G218">
            <v>33</v>
          </cell>
          <cell r="H218" t="str">
            <v>CMDC</v>
          </cell>
          <cell r="I218">
            <v>5340.5510000000004</v>
          </cell>
          <cell r="J218">
            <v>0.23046900000000001</v>
          </cell>
        </row>
        <row r="219">
          <cell r="C219" t="str">
            <v>3450-SK-0001</v>
          </cell>
          <cell r="D219" t="str">
            <v>Kiln Scrubber</v>
          </cell>
          <cell r="E219" t="str">
            <v>Kiln Scrubber</v>
          </cell>
          <cell r="F219" t="str">
            <v>Kiln Scrubber</v>
          </cell>
          <cell r="G219">
            <v>34</v>
          </cell>
          <cell r="H219" t="str">
            <v>GMC</v>
          </cell>
          <cell r="I219">
            <v>5415.9449999999997</v>
          </cell>
          <cell r="J219">
            <v>0.19706099999999999</v>
          </cell>
        </row>
        <row r="220">
          <cell r="C220" t="str">
            <v>3500-HX-0008</v>
          </cell>
          <cell r="D220" t="str">
            <v>Condenser</v>
          </cell>
          <cell r="E220" t="str">
            <v>Condenser</v>
          </cell>
          <cell r="F220" t="str">
            <v>Condenser</v>
          </cell>
          <cell r="G220">
            <v>34</v>
          </cell>
          <cell r="H220" t="str">
            <v>GMC</v>
          </cell>
          <cell r="I220">
            <v>5415.9449999999997</v>
          </cell>
          <cell r="J220">
            <v>0.19706099999999999</v>
          </cell>
        </row>
        <row r="221">
          <cell r="C221" t="str">
            <v>3500-HX-0009</v>
          </cell>
          <cell r="D221" t="str">
            <v>Condenser</v>
          </cell>
          <cell r="E221" t="str">
            <v>Condenser</v>
          </cell>
          <cell r="F221" t="str">
            <v>Condenser</v>
          </cell>
          <cell r="G221">
            <v>34</v>
          </cell>
          <cell r="H221" t="str">
            <v>GMC</v>
          </cell>
          <cell r="I221">
            <v>5415.9449999999997</v>
          </cell>
          <cell r="J221">
            <v>0.19706099999999999</v>
          </cell>
        </row>
        <row r="222">
          <cell r="C222" t="str">
            <v>3850-VE-0007</v>
          </cell>
          <cell r="D222" t="str">
            <v>Adsorption Column</v>
          </cell>
          <cell r="E222" t="str">
            <v>Absorption Column</v>
          </cell>
          <cell r="F222" t="str">
            <v>Absorption Column</v>
          </cell>
          <cell r="G222">
            <v>34</v>
          </cell>
          <cell r="H222" t="str">
            <v>GMC</v>
          </cell>
          <cell r="I222">
            <v>5415.9449999999997</v>
          </cell>
          <cell r="J222">
            <v>0.19706099999999999</v>
          </cell>
        </row>
        <row r="223">
          <cell r="C223" t="str">
            <v>3850-VE-0008</v>
          </cell>
          <cell r="D223" t="str">
            <v>Adsorption Column</v>
          </cell>
          <cell r="E223" t="str">
            <v>Absorption Column</v>
          </cell>
          <cell r="F223" t="str">
            <v>Absorption Column</v>
          </cell>
          <cell r="G223">
            <v>34</v>
          </cell>
          <cell r="H223" t="str">
            <v>GMC</v>
          </cell>
          <cell r="I223">
            <v>5415.9449999999997</v>
          </cell>
          <cell r="J223">
            <v>0.19706099999999999</v>
          </cell>
        </row>
        <row r="224">
          <cell r="C224" t="str">
            <v>3850-DR-0004</v>
          </cell>
          <cell r="D224" t="str">
            <v>Air Dryer</v>
          </cell>
          <cell r="E224" t="str">
            <v>Air Dryer</v>
          </cell>
          <cell r="F224" t="str">
            <v>Air Dryer</v>
          </cell>
          <cell r="G224">
            <v>34</v>
          </cell>
          <cell r="H224" t="str">
            <v>GMC</v>
          </cell>
          <cell r="I224">
            <v>5415.9449999999997</v>
          </cell>
          <cell r="J224">
            <v>0.19706099999999999</v>
          </cell>
        </row>
        <row r="225">
          <cell r="C225" t="str">
            <v>3850-FL-0020</v>
          </cell>
          <cell r="D225" t="str">
            <v>Air Filter</v>
          </cell>
          <cell r="E225" t="str">
            <v>Filter</v>
          </cell>
          <cell r="F225" t="str">
            <v>Filter</v>
          </cell>
          <cell r="G225">
            <v>34</v>
          </cell>
          <cell r="H225" t="str">
            <v>GMC</v>
          </cell>
          <cell r="I225">
            <v>5415.9449999999997</v>
          </cell>
          <cell r="J225">
            <v>0.19706099999999999</v>
          </cell>
        </row>
        <row r="226">
          <cell r="C226" t="str">
            <v>3850-AQ-0004</v>
          </cell>
          <cell r="D226" t="str">
            <v>Enriched Air Accumulator</v>
          </cell>
          <cell r="E226" t="str">
            <v>Air Accumulator</v>
          </cell>
          <cell r="F226" t="str">
            <v>Air Accumulator</v>
          </cell>
          <cell r="G226">
            <v>34</v>
          </cell>
          <cell r="H226" t="str">
            <v>GMC</v>
          </cell>
          <cell r="I226">
            <v>5415.9449999999997</v>
          </cell>
          <cell r="J226">
            <v>0.19706099999999999</v>
          </cell>
        </row>
        <row r="227">
          <cell r="C227" t="str">
            <v>3110-BX-0026</v>
          </cell>
          <cell r="D227" t="str">
            <v>Cyclone Feed Box</v>
          </cell>
          <cell r="E227" t="str">
            <v>Feed Box</v>
          </cell>
          <cell r="F227" t="str">
            <v>Feed Box</v>
          </cell>
          <cell r="G227">
            <v>35</v>
          </cell>
          <cell r="H227" t="str">
            <v>GMC</v>
          </cell>
          <cell r="I227">
            <v>5764.8932409999998</v>
          </cell>
          <cell r="J227">
            <v>1.2779208</v>
          </cell>
        </row>
        <row r="228">
          <cell r="C228" t="str">
            <v>3120-BX-0003</v>
          </cell>
          <cell r="D228" t="str">
            <v>Screen Discharge Box</v>
          </cell>
          <cell r="E228" t="str">
            <v>Feed Box</v>
          </cell>
          <cell r="F228" t="str">
            <v>Feed Box</v>
          </cell>
          <cell r="G228">
            <v>35</v>
          </cell>
          <cell r="H228" t="str">
            <v>GMC</v>
          </cell>
          <cell r="I228">
            <v>5764.8932409999998</v>
          </cell>
          <cell r="J228">
            <v>1.2779208</v>
          </cell>
        </row>
        <row r="229">
          <cell r="C229" t="str">
            <v>3120-BX-0004</v>
          </cell>
          <cell r="D229" t="str">
            <v>Screen Discharge Box</v>
          </cell>
          <cell r="E229" t="str">
            <v>Feed Box</v>
          </cell>
          <cell r="F229" t="str">
            <v>Feed Box</v>
          </cell>
          <cell r="G229">
            <v>35</v>
          </cell>
          <cell r="H229" t="str">
            <v>GMC</v>
          </cell>
          <cell r="I229">
            <v>5764.8932409999998</v>
          </cell>
          <cell r="J229">
            <v>1.2779208</v>
          </cell>
        </row>
        <row r="230">
          <cell r="C230" t="str">
            <v>3220-BX-0002</v>
          </cell>
          <cell r="D230" t="str">
            <v>Leach Feed Box</v>
          </cell>
          <cell r="E230" t="str">
            <v>Feed Box</v>
          </cell>
          <cell r="F230" t="str">
            <v>Feed Box</v>
          </cell>
          <cell r="G230">
            <v>35</v>
          </cell>
          <cell r="H230" t="str">
            <v>GMC</v>
          </cell>
          <cell r="I230">
            <v>5764.8932409999998</v>
          </cell>
          <cell r="J230">
            <v>1.2779208</v>
          </cell>
        </row>
        <row r="231">
          <cell r="C231" t="str">
            <v>3310-BX-0006</v>
          </cell>
          <cell r="D231" t="str">
            <v>Thicken Feed Box</v>
          </cell>
          <cell r="E231" t="str">
            <v>Feed Box</v>
          </cell>
          <cell r="F231" t="str">
            <v>Feed Box</v>
          </cell>
          <cell r="G231">
            <v>35</v>
          </cell>
          <cell r="H231" t="str">
            <v>GMC</v>
          </cell>
          <cell r="I231">
            <v>5764.8932409999998</v>
          </cell>
          <cell r="J231">
            <v>1.2779208</v>
          </cell>
        </row>
        <row r="232">
          <cell r="C232" t="str">
            <v>3310-BX-0005</v>
          </cell>
          <cell r="D232" t="str">
            <v>Thicken Feed Box</v>
          </cell>
          <cell r="E232" t="str">
            <v>Feed Box</v>
          </cell>
          <cell r="F232" t="str">
            <v>Feed Box</v>
          </cell>
          <cell r="G232">
            <v>35</v>
          </cell>
          <cell r="H232" t="str">
            <v>GMC</v>
          </cell>
          <cell r="I232">
            <v>5764.8932409999998</v>
          </cell>
          <cell r="J232">
            <v>1.2779208</v>
          </cell>
        </row>
        <row r="233">
          <cell r="C233" t="str">
            <v>3420-HX-0004</v>
          </cell>
          <cell r="D233" t="str">
            <v>Recovery Heat Exchanger</v>
          </cell>
          <cell r="E233" t="str">
            <v>Heat Exchanger</v>
          </cell>
          <cell r="F233" t="str">
            <v>Heat Exchanger</v>
          </cell>
          <cell r="G233">
            <v>36</v>
          </cell>
          <cell r="H233" t="str">
            <v>BHP</v>
          </cell>
          <cell r="I233">
            <v>6204.415</v>
          </cell>
          <cell r="J233">
            <v>1.5790420000000001</v>
          </cell>
        </row>
        <row r="234">
          <cell r="C234" t="str">
            <v>3420-HX-0005</v>
          </cell>
          <cell r="D234" t="str">
            <v>Warming Heat Exchanger</v>
          </cell>
          <cell r="E234" t="str">
            <v>Heat Exchanger</v>
          </cell>
          <cell r="F234" t="str">
            <v>Heat Exchanger</v>
          </cell>
          <cell r="G234">
            <v>36</v>
          </cell>
          <cell r="H234" t="str">
            <v>BHP</v>
          </cell>
          <cell r="I234">
            <v>6204.415</v>
          </cell>
          <cell r="J234">
            <v>1.5790420000000001</v>
          </cell>
        </row>
        <row r="235">
          <cell r="C235" t="str">
            <v>3330-PU-0130</v>
          </cell>
          <cell r="D235" t="str">
            <v>Barren Solution Pump</v>
          </cell>
          <cell r="E235" t="str">
            <v>Pump</v>
          </cell>
          <cell r="F235" t="str">
            <v>Pump, Barrel</v>
          </cell>
          <cell r="G235">
            <v>37</v>
          </cell>
          <cell r="H235" t="str">
            <v>GMC</v>
          </cell>
          <cell r="I235">
            <v>6249.1940000000004</v>
          </cell>
          <cell r="J235">
            <v>0.28869499999999998</v>
          </cell>
        </row>
        <row r="236">
          <cell r="C236" t="str">
            <v>3330-PU-0131</v>
          </cell>
          <cell r="D236" t="str">
            <v>Barren Solution Pump Stby</v>
          </cell>
          <cell r="E236" t="str">
            <v>Pump</v>
          </cell>
          <cell r="F236" t="str">
            <v>Pump, Barrel</v>
          </cell>
          <cell r="G236">
            <v>37</v>
          </cell>
          <cell r="H236" t="str">
            <v>GMC</v>
          </cell>
          <cell r="I236">
            <v>6249.1940000000004</v>
          </cell>
          <cell r="J236">
            <v>0.28869499999999998</v>
          </cell>
        </row>
        <row r="237">
          <cell r="C237" t="str">
            <v>3500-CO-0001</v>
          </cell>
          <cell r="D237" t="str">
            <v>Mercury Cooler</v>
          </cell>
          <cell r="E237" t="str">
            <v>Cooler</v>
          </cell>
          <cell r="F237" t="str">
            <v>Cooler</v>
          </cell>
          <cell r="G237">
            <v>38</v>
          </cell>
          <cell r="H237" t="str">
            <v>GMC</v>
          </cell>
          <cell r="I237">
            <v>6505.7840489999999</v>
          </cell>
          <cell r="J237">
            <v>1.503376</v>
          </cell>
        </row>
        <row r="238">
          <cell r="C238" t="str">
            <v>3500-CO-0004</v>
          </cell>
          <cell r="D238" t="str">
            <v>Mercury Cooler</v>
          </cell>
          <cell r="E238" t="str">
            <v>Cooler</v>
          </cell>
          <cell r="F238" t="str">
            <v>Cooler</v>
          </cell>
          <cell r="G238">
            <v>38</v>
          </cell>
          <cell r="H238" t="str">
            <v>GMC</v>
          </cell>
          <cell r="I238">
            <v>6505.7840489999999</v>
          </cell>
          <cell r="J238">
            <v>1.503376</v>
          </cell>
        </row>
        <row r="239">
          <cell r="C239" t="str">
            <v>3850-CQ-0002</v>
          </cell>
          <cell r="D239" t="str">
            <v>Air Cooler</v>
          </cell>
          <cell r="E239" t="str">
            <v>Cooler</v>
          </cell>
          <cell r="F239" t="str">
            <v>Cooler</v>
          </cell>
          <cell r="G239">
            <v>38</v>
          </cell>
          <cell r="H239" t="str">
            <v>GMC</v>
          </cell>
          <cell r="I239">
            <v>6505.7840489999999</v>
          </cell>
          <cell r="J239">
            <v>1.503376</v>
          </cell>
        </row>
        <row r="240">
          <cell r="C240" t="str">
            <v>3850-HX-0010</v>
          </cell>
          <cell r="D240" t="str">
            <v>Cooling Heat Exchanger</v>
          </cell>
          <cell r="E240" t="str">
            <v>Heat Exchanger</v>
          </cell>
          <cell r="F240" t="str">
            <v>Heat Exchanger</v>
          </cell>
          <cell r="G240">
            <v>38</v>
          </cell>
          <cell r="H240" t="str">
            <v>GMC</v>
          </cell>
          <cell r="I240">
            <v>6505.7840489999999</v>
          </cell>
          <cell r="J240">
            <v>1.503376</v>
          </cell>
        </row>
        <row r="241">
          <cell r="C241" t="str">
            <v>3630-FL-0010</v>
          </cell>
          <cell r="D241" t="str">
            <v>Tails Filter</v>
          </cell>
          <cell r="E241" t="str">
            <v>Filter</v>
          </cell>
          <cell r="F241" t="str">
            <v>Filter</v>
          </cell>
          <cell r="G241">
            <v>39</v>
          </cell>
          <cell r="H241" t="str">
            <v>BHP</v>
          </cell>
          <cell r="I241">
            <v>8000</v>
          </cell>
          <cell r="J241">
            <v>1</v>
          </cell>
        </row>
        <row r="242">
          <cell r="C242" t="str">
            <v>3630-FL-0011</v>
          </cell>
          <cell r="D242" t="str">
            <v>Tails Filter</v>
          </cell>
          <cell r="E242" t="str">
            <v>Filter</v>
          </cell>
          <cell r="F242" t="str">
            <v>Filter</v>
          </cell>
          <cell r="G242">
            <v>39</v>
          </cell>
          <cell r="H242" t="str">
            <v>BHP</v>
          </cell>
          <cell r="I242">
            <v>8000</v>
          </cell>
          <cell r="J242">
            <v>1</v>
          </cell>
        </row>
        <row r="243">
          <cell r="C243" t="str">
            <v>3630-FL-0012</v>
          </cell>
          <cell r="D243" t="str">
            <v>Tails Filter</v>
          </cell>
          <cell r="E243" t="str">
            <v>Filter</v>
          </cell>
          <cell r="F243" t="str">
            <v>Filter</v>
          </cell>
          <cell r="G243">
            <v>39</v>
          </cell>
          <cell r="H243" t="str">
            <v>BHP</v>
          </cell>
          <cell r="I243">
            <v>8000</v>
          </cell>
          <cell r="J243">
            <v>1</v>
          </cell>
        </row>
        <row r="244">
          <cell r="C244" t="str">
            <v>3330-PU-0133</v>
          </cell>
          <cell r="D244" t="str">
            <v>Cloth Wash Pump</v>
          </cell>
          <cell r="E244" t="str">
            <v>Pump</v>
          </cell>
          <cell r="F244" t="str">
            <v>Pump, Water</v>
          </cell>
          <cell r="G244">
            <v>40</v>
          </cell>
          <cell r="H244" t="str">
            <v>GMC</v>
          </cell>
          <cell r="I244">
            <v>8048.7349999999997</v>
          </cell>
          <cell r="J244">
            <v>0.61584799999999995</v>
          </cell>
        </row>
        <row r="245">
          <cell r="C245" t="str">
            <v>3330-PU-0134</v>
          </cell>
          <cell r="D245" t="str">
            <v>Cloth Wash Pump</v>
          </cell>
          <cell r="E245" t="str">
            <v>Pump</v>
          </cell>
          <cell r="F245" t="str">
            <v>Pump, Water</v>
          </cell>
          <cell r="G245">
            <v>40</v>
          </cell>
          <cell r="H245" t="str">
            <v>GMC</v>
          </cell>
          <cell r="I245">
            <v>8048.7349999999997</v>
          </cell>
          <cell r="J245">
            <v>0.61584799999999995</v>
          </cell>
        </row>
        <row r="246">
          <cell r="C246" t="str">
            <v>7200-PU-0423</v>
          </cell>
          <cell r="D246" t="str">
            <v>Raw Water Pump</v>
          </cell>
          <cell r="E246" t="str">
            <v>Pump</v>
          </cell>
          <cell r="F246" t="str">
            <v>Pump, Water</v>
          </cell>
          <cell r="G246">
            <v>40</v>
          </cell>
          <cell r="H246" t="str">
            <v>GMC</v>
          </cell>
          <cell r="I246">
            <v>8048.7349999999997</v>
          </cell>
          <cell r="J246">
            <v>0.61584799999999995</v>
          </cell>
        </row>
        <row r="247">
          <cell r="C247" t="str">
            <v>7200-PU-0424</v>
          </cell>
          <cell r="D247" t="str">
            <v>Raw Water Pump</v>
          </cell>
          <cell r="E247" t="str">
            <v>Pump</v>
          </cell>
          <cell r="F247" t="str">
            <v>Pump, Water</v>
          </cell>
          <cell r="G247">
            <v>40</v>
          </cell>
          <cell r="H247" t="str">
            <v>GMC</v>
          </cell>
          <cell r="I247">
            <v>8048.7349999999997</v>
          </cell>
          <cell r="J247">
            <v>0.61584799999999995</v>
          </cell>
        </row>
        <row r="248">
          <cell r="C248" t="str">
            <v>7200-PU-0427</v>
          </cell>
          <cell r="D248" t="str">
            <v>Raw Water Pump Stby</v>
          </cell>
          <cell r="E248" t="str">
            <v>Pump</v>
          </cell>
          <cell r="F248" t="str">
            <v>Pump, Water</v>
          </cell>
          <cell r="G248">
            <v>40</v>
          </cell>
          <cell r="H248" t="str">
            <v>GMC</v>
          </cell>
          <cell r="I248">
            <v>8048.7349999999997</v>
          </cell>
          <cell r="J248">
            <v>0.61584799999999995</v>
          </cell>
        </row>
        <row r="249">
          <cell r="C249" t="str">
            <v>7200-PU-0422</v>
          </cell>
          <cell r="D249" t="str">
            <v>Well Water Pump</v>
          </cell>
          <cell r="E249" t="str">
            <v>Pump</v>
          </cell>
          <cell r="F249" t="str">
            <v>Pump, Water</v>
          </cell>
          <cell r="G249">
            <v>40</v>
          </cell>
          <cell r="H249" t="str">
            <v>GMC</v>
          </cell>
          <cell r="I249">
            <v>8048.7349999999997</v>
          </cell>
          <cell r="J249">
            <v>0.61584799999999995</v>
          </cell>
        </row>
        <row r="250">
          <cell r="C250" t="str">
            <v>7200-PU-0426</v>
          </cell>
          <cell r="D250" t="str">
            <v>Well Water Pump</v>
          </cell>
          <cell r="E250" t="str">
            <v>Pump</v>
          </cell>
          <cell r="F250" t="str">
            <v>Pump, Water</v>
          </cell>
          <cell r="G250">
            <v>40</v>
          </cell>
          <cell r="H250" t="str">
            <v>GMC</v>
          </cell>
          <cell r="I250">
            <v>8048.7349999999997</v>
          </cell>
          <cell r="J250">
            <v>0.61584799999999995</v>
          </cell>
        </row>
        <row r="251">
          <cell r="C251" t="str">
            <v>4100-WT-0002</v>
          </cell>
          <cell r="D251" t="str">
            <v>Potabilization Unit</v>
          </cell>
          <cell r="E251" t="str">
            <v>Potabilization Unit</v>
          </cell>
          <cell r="F251" t="str">
            <v>Pump, Water</v>
          </cell>
          <cell r="G251">
            <v>40</v>
          </cell>
          <cell r="H251" t="str">
            <v>GMC</v>
          </cell>
          <cell r="I251">
            <v>8048.7349999999997</v>
          </cell>
          <cell r="J251">
            <v>0.61584799999999995</v>
          </cell>
        </row>
        <row r="252">
          <cell r="C252" t="str">
            <v>3700-PU-0263</v>
          </cell>
          <cell r="D252" t="str">
            <v>Clarified Solution Pump</v>
          </cell>
          <cell r="E252" t="str">
            <v>Pump</v>
          </cell>
          <cell r="F252" t="str">
            <v>Pump, Water</v>
          </cell>
          <cell r="G252">
            <v>40</v>
          </cell>
          <cell r="H252" t="str">
            <v>GMC</v>
          </cell>
          <cell r="I252">
            <v>8048.7349999999997</v>
          </cell>
          <cell r="J252">
            <v>0.61584799999999995</v>
          </cell>
        </row>
        <row r="253">
          <cell r="C253" t="str">
            <v>3700-PU-0264</v>
          </cell>
          <cell r="D253" t="str">
            <v>Clarified Solution Pump Stby</v>
          </cell>
          <cell r="E253" t="str">
            <v>Pump</v>
          </cell>
          <cell r="F253" t="str">
            <v>Pump, Water</v>
          </cell>
          <cell r="G253">
            <v>40</v>
          </cell>
          <cell r="H253" t="str">
            <v>GMC</v>
          </cell>
          <cell r="I253">
            <v>8048.7349999999997</v>
          </cell>
          <cell r="J253">
            <v>0.61584799999999995</v>
          </cell>
        </row>
        <row r="254">
          <cell r="C254" t="str">
            <v>3700-PU-0271</v>
          </cell>
          <cell r="D254" t="str">
            <v>Detox Solution Pump</v>
          </cell>
          <cell r="E254" t="str">
            <v>Pump</v>
          </cell>
          <cell r="F254" t="str">
            <v>Pump, Water</v>
          </cell>
          <cell r="G254">
            <v>40</v>
          </cell>
          <cell r="H254" t="str">
            <v>GMC</v>
          </cell>
          <cell r="I254">
            <v>8048.7349999999997</v>
          </cell>
          <cell r="J254">
            <v>0.61584799999999995</v>
          </cell>
        </row>
        <row r="255">
          <cell r="C255" t="str">
            <v>3700-PU-0272</v>
          </cell>
          <cell r="D255" t="str">
            <v>Detox Solution Pump Stby</v>
          </cell>
          <cell r="E255" t="str">
            <v>Pump</v>
          </cell>
          <cell r="F255" t="str">
            <v>Pump, Water</v>
          </cell>
          <cell r="G255">
            <v>40</v>
          </cell>
          <cell r="H255" t="str">
            <v>GMC</v>
          </cell>
          <cell r="I255">
            <v>8048.7349999999997</v>
          </cell>
          <cell r="J255">
            <v>0.61584799999999995</v>
          </cell>
        </row>
        <row r="256">
          <cell r="C256" t="str">
            <v>3700-PU-0274</v>
          </cell>
          <cell r="D256" t="str">
            <v>Mill Water Pump</v>
          </cell>
          <cell r="E256" t="str">
            <v>Pump</v>
          </cell>
          <cell r="F256" t="str">
            <v>Pump, Water</v>
          </cell>
          <cell r="G256">
            <v>40</v>
          </cell>
          <cell r="H256" t="str">
            <v>GMC</v>
          </cell>
          <cell r="I256">
            <v>8048.7349999999997</v>
          </cell>
          <cell r="J256">
            <v>0.61584799999999995</v>
          </cell>
        </row>
        <row r="257">
          <cell r="C257" t="str">
            <v>3700-PU-0275</v>
          </cell>
          <cell r="D257" t="str">
            <v>Mill Water Pump Stby</v>
          </cell>
          <cell r="E257" t="str">
            <v>Pump</v>
          </cell>
          <cell r="F257" t="str">
            <v>Pump, Water</v>
          </cell>
          <cell r="G257">
            <v>40</v>
          </cell>
          <cell r="H257" t="str">
            <v>GMC</v>
          </cell>
          <cell r="I257">
            <v>8048.7349999999997</v>
          </cell>
          <cell r="J257">
            <v>0.61584799999999995</v>
          </cell>
        </row>
        <row r="258">
          <cell r="C258" t="str">
            <v>4500-PU-0392</v>
          </cell>
          <cell r="D258" t="str">
            <v>Diesel Pump</v>
          </cell>
          <cell r="E258" t="str">
            <v>Pump</v>
          </cell>
          <cell r="F258" t="str">
            <v>Pump, Water</v>
          </cell>
          <cell r="G258">
            <v>40</v>
          </cell>
          <cell r="H258" t="str">
            <v>GMC</v>
          </cell>
          <cell r="I258">
            <v>8048.7349999999997</v>
          </cell>
          <cell r="J258">
            <v>0.61584799999999995</v>
          </cell>
        </row>
        <row r="259">
          <cell r="C259" t="str">
            <v>4500-PU-0393</v>
          </cell>
          <cell r="D259" t="str">
            <v>Diesel Pump Stby</v>
          </cell>
          <cell r="E259" t="str">
            <v>Pump</v>
          </cell>
          <cell r="F259" t="str">
            <v>Pump, Water</v>
          </cell>
          <cell r="G259">
            <v>40</v>
          </cell>
          <cell r="H259" t="str">
            <v>GMC</v>
          </cell>
          <cell r="I259">
            <v>8048.7349999999997</v>
          </cell>
          <cell r="J259">
            <v>0.61584799999999995</v>
          </cell>
        </row>
        <row r="260">
          <cell r="C260" t="str">
            <v>4500-PU-0391</v>
          </cell>
          <cell r="D260" t="str">
            <v>Diesel Supply Pump</v>
          </cell>
          <cell r="E260" t="str">
            <v>Pump</v>
          </cell>
          <cell r="F260" t="str">
            <v>Pump, Water</v>
          </cell>
          <cell r="G260">
            <v>40</v>
          </cell>
          <cell r="H260" t="str">
            <v>GMC</v>
          </cell>
          <cell r="I260">
            <v>8048.7349999999997</v>
          </cell>
          <cell r="J260">
            <v>0.61584799999999995</v>
          </cell>
        </row>
        <row r="261">
          <cell r="C261" t="str">
            <v>3830-BL-0001</v>
          </cell>
          <cell r="D261" t="str">
            <v>Flocculant System Blower</v>
          </cell>
          <cell r="E261" t="str">
            <v>Blower</v>
          </cell>
          <cell r="F261" t="str">
            <v>Blower</v>
          </cell>
          <cell r="G261">
            <v>41</v>
          </cell>
          <cell r="H261" t="str">
            <v>GMC</v>
          </cell>
          <cell r="I261">
            <v>9275.6849999999995</v>
          </cell>
          <cell r="J261">
            <v>0.27855099999999999</v>
          </cell>
        </row>
        <row r="262">
          <cell r="C262" t="str">
            <v>3830-XM-0068</v>
          </cell>
          <cell r="D262" t="str">
            <v>Flocculant Venturi</v>
          </cell>
          <cell r="E262" t="str">
            <v>Flocculant Venturi</v>
          </cell>
          <cell r="F262" t="str">
            <v>Flocculant Venturi</v>
          </cell>
          <cell r="G262">
            <v>41</v>
          </cell>
          <cell r="H262" t="str">
            <v>GMC</v>
          </cell>
          <cell r="I262">
            <v>9275.6849999999995</v>
          </cell>
          <cell r="J262">
            <v>0.27855099999999999</v>
          </cell>
        </row>
        <row r="263">
          <cell r="C263" t="str">
            <v>3450-FE-0010</v>
          </cell>
          <cell r="D263" t="str">
            <v>Kiln Screw Feeder</v>
          </cell>
          <cell r="E263" t="str">
            <v>Feeder</v>
          </cell>
          <cell r="F263" t="str">
            <v>Feeder</v>
          </cell>
          <cell r="G263">
            <v>42</v>
          </cell>
          <cell r="H263" t="str">
            <v>BHP</v>
          </cell>
          <cell r="I263">
            <v>11661.1</v>
          </cell>
          <cell r="J263">
            <v>0.68679999999999997</v>
          </cell>
        </row>
        <row r="264">
          <cell r="C264" t="str">
            <v>3840-FE-0019</v>
          </cell>
          <cell r="D264" t="str">
            <v>SMBS Screw Feeder</v>
          </cell>
          <cell r="E264" t="str">
            <v>Feeder</v>
          </cell>
          <cell r="F264" t="str">
            <v>Feeder</v>
          </cell>
          <cell r="G264">
            <v>42</v>
          </cell>
          <cell r="H264" t="str">
            <v>BHP</v>
          </cell>
          <cell r="I264">
            <v>11661.1</v>
          </cell>
          <cell r="J264">
            <v>0.68679999999999997</v>
          </cell>
        </row>
        <row r="265">
          <cell r="C265" t="str">
            <v>3330-PU-0125</v>
          </cell>
          <cell r="D265" t="str">
            <v>Vacuum Pump</v>
          </cell>
          <cell r="E265" t="str">
            <v>Pump</v>
          </cell>
          <cell r="F265" t="str">
            <v>Pump, Vacuum</v>
          </cell>
          <cell r="G265">
            <v>43</v>
          </cell>
          <cell r="H265" t="str">
            <v>GMC</v>
          </cell>
          <cell r="I265">
            <v>12512.86</v>
          </cell>
          <cell r="J265">
            <v>0.50071299999999996</v>
          </cell>
        </row>
        <row r="266">
          <cell r="C266" t="str">
            <v>3330-PU-0126</v>
          </cell>
          <cell r="D266" t="str">
            <v>Vacuum Pump</v>
          </cell>
          <cell r="E266" t="str">
            <v>Pump</v>
          </cell>
          <cell r="F266" t="str">
            <v>Pump, Vacuum</v>
          </cell>
          <cell r="G266">
            <v>43</v>
          </cell>
          <cell r="H266" t="str">
            <v>GMC</v>
          </cell>
          <cell r="I266">
            <v>12512.86</v>
          </cell>
          <cell r="J266">
            <v>0.50071299999999996</v>
          </cell>
        </row>
        <row r="267">
          <cell r="C267" t="str">
            <v>3330-FE-0005</v>
          </cell>
          <cell r="D267" t="str">
            <v>Precipitate Screw Feeder</v>
          </cell>
          <cell r="E267" t="str">
            <v>Feeder, Screw</v>
          </cell>
          <cell r="F267" t="str">
            <v>Feeder, Screw</v>
          </cell>
          <cell r="G267">
            <v>44</v>
          </cell>
          <cell r="H267" t="str">
            <v>GMC</v>
          </cell>
          <cell r="I267">
            <v>13234.515509999999</v>
          </cell>
          <cell r="J267">
            <v>0.59665358400000001</v>
          </cell>
        </row>
        <row r="268">
          <cell r="C268" t="str">
            <v>3330-FE-0006</v>
          </cell>
          <cell r="D268" t="str">
            <v>Precipitate Screw Feeder</v>
          </cell>
          <cell r="E268" t="str">
            <v>Feeder, Screw</v>
          </cell>
          <cell r="F268" t="str">
            <v>Feeder, Screw</v>
          </cell>
          <cell r="G268">
            <v>44</v>
          </cell>
          <cell r="H268" t="str">
            <v>GMC</v>
          </cell>
          <cell r="I268">
            <v>13234.515509999999</v>
          </cell>
          <cell r="J268">
            <v>0.59665358400000001</v>
          </cell>
        </row>
        <row r="269">
          <cell r="C269" t="str">
            <v>3330-FE-0007</v>
          </cell>
          <cell r="D269" t="str">
            <v>Precipitate Screw Feeder</v>
          </cell>
          <cell r="E269" t="str">
            <v>Feeder, Screw</v>
          </cell>
          <cell r="F269" t="str">
            <v>Feeder, Screw</v>
          </cell>
          <cell r="G269">
            <v>44</v>
          </cell>
          <cell r="H269" t="str">
            <v>GMC</v>
          </cell>
          <cell r="I269">
            <v>13234.515509999999</v>
          </cell>
          <cell r="J269">
            <v>0.59665358400000001</v>
          </cell>
        </row>
        <row r="270">
          <cell r="C270" t="str">
            <v>3500-FE-0014</v>
          </cell>
          <cell r="D270" t="str">
            <v>Flexwall Feeder</v>
          </cell>
          <cell r="E270" t="str">
            <v>Feeder, Screw</v>
          </cell>
          <cell r="F270" t="str">
            <v>Feeder, Screw</v>
          </cell>
          <cell r="G270">
            <v>44</v>
          </cell>
          <cell r="H270" t="str">
            <v>GMC</v>
          </cell>
          <cell r="I270">
            <v>13234.515509999999</v>
          </cell>
          <cell r="J270">
            <v>0.59665358400000001</v>
          </cell>
        </row>
        <row r="271">
          <cell r="C271" t="str">
            <v>3500-FE-0015</v>
          </cell>
          <cell r="D271" t="str">
            <v>Flexwall Feeder</v>
          </cell>
          <cell r="E271" t="str">
            <v>Feeder, Screw</v>
          </cell>
          <cell r="F271" t="str">
            <v>Feeder, Screw</v>
          </cell>
          <cell r="G271">
            <v>44</v>
          </cell>
          <cell r="H271" t="str">
            <v>GMC</v>
          </cell>
          <cell r="I271">
            <v>13234.515509999999</v>
          </cell>
          <cell r="J271">
            <v>0.59665358400000001</v>
          </cell>
        </row>
        <row r="272">
          <cell r="C272" t="str">
            <v>3500-FE-0013</v>
          </cell>
          <cell r="D272" t="str">
            <v>Flux Screw Conveyor</v>
          </cell>
          <cell r="E272" t="str">
            <v>Feeder, Screw</v>
          </cell>
          <cell r="F272" t="str">
            <v>Feeder, Screw</v>
          </cell>
          <cell r="G272">
            <v>44</v>
          </cell>
          <cell r="H272" t="str">
            <v>GMC</v>
          </cell>
          <cell r="I272">
            <v>13234.515509999999</v>
          </cell>
          <cell r="J272">
            <v>0.59665358400000001</v>
          </cell>
        </row>
        <row r="273">
          <cell r="C273" t="str">
            <v>3500-FE-0011</v>
          </cell>
          <cell r="D273" t="str">
            <v>Flexwall Precipitate Feeder</v>
          </cell>
          <cell r="E273" t="str">
            <v>Feeder, Screw</v>
          </cell>
          <cell r="F273" t="str">
            <v>Feeder, Screw</v>
          </cell>
          <cell r="G273">
            <v>44</v>
          </cell>
          <cell r="H273" t="str">
            <v>GMC</v>
          </cell>
          <cell r="I273">
            <v>13234.515509999999</v>
          </cell>
          <cell r="J273">
            <v>0.59665358400000001</v>
          </cell>
        </row>
        <row r="274">
          <cell r="C274" t="str">
            <v>3810-FE-0012</v>
          </cell>
          <cell r="D274" t="str">
            <v>Lime Screw Feeder</v>
          </cell>
          <cell r="E274" t="str">
            <v>Feeder, Screw</v>
          </cell>
          <cell r="F274" t="str">
            <v>Feeder, Screw</v>
          </cell>
          <cell r="G274">
            <v>44</v>
          </cell>
          <cell r="H274" t="str">
            <v>GMC</v>
          </cell>
          <cell r="I274">
            <v>13234.515509999999</v>
          </cell>
          <cell r="J274">
            <v>0.59665358400000001</v>
          </cell>
        </row>
        <row r="275">
          <cell r="C275" t="str">
            <v>3830-FE-0020</v>
          </cell>
          <cell r="D275" t="str">
            <v>Flocculant Screw Feeder</v>
          </cell>
          <cell r="E275" t="str">
            <v>Feeder, Screw</v>
          </cell>
          <cell r="F275" t="str">
            <v>Feeder, Screw</v>
          </cell>
          <cell r="G275">
            <v>44</v>
          </cell>
          <cell r="H275" t="str">
            <v>GMC</v>
          </cell>
          <cell r="I275">
            <v>13234.515509999999</v>
          </cell>
          <cell r="J275">
            <v>0.59665358400000001</v>
          </cell>
        </row>
        <row r="276">
          <cell r="C276" t="str">
            <v>3840-FE-0018</v>
          </cell>
          <cell r="D276" t="str">
            <v>Cu Sulphate Screw Feeder</v>
          </cell>
          <cell r="E276" t="str">
            <v>Feeder, Screw</v>
          </cell>
          <cell r="F276" t="str">
            <v>Feeder, Screw</v>
          </cell>
          <cell r="G276">
            <v>44</v>
          </cell>
          <cell r="H276" t="str">
            <v>GMC</v>
          </cell>
          <cell r="I276">
            <v>13234.515509999999</v>
          </cell>
          <cell r="J276">
            <v>0.59665358400000001</v>
          </cell>
        </row>
        <row r="277">
          <cell r="C277" t="str">
            <v>2110-BN-001</v>
          </cell>
          <cell r="D277" t="str">
            <v>Rom Bin 80 t</v>
          </cell>
          <cell r="E277" t="str">
            <v>Bin</v>
          </cell>
          <cell r="F277" t="str">
            <v>Bin</v>
          </cell>
          <cell r="G277">
            <v>45</v>
          </cell>
          <cell r="H277" t="str">
            <v>GMC</v>
          </cell>
          <cell r="I277">
            <v>17287.952458130741</v>
          </cell>
          <cell r="J277">
            <v>4.6275000000000004</v>
          </cell>
        </row>
        <row r="278">
          <cell r="C278" t="str">
            <v>3320-BX-0007</v>
          </cell>
          <cell r="D278" t="str">
            <v>CIP Feed Box</v>
          </cell>
          <cell r="E278" t="str">
            <v>Bin</v>
          </cell>
          <cell r="F278" t="str">
            <v>Bin</v>
          </cell>
          <cell r="G278">
            <v>45</v>
          </cell>
          <cell r="H278" t="str">
            <v>GMC</v>
          </cell>
          <cell r="I278">
            <v>17287.952458130741</v>
          </cell>
          <cell r="J278">
            <v>4.6275000000000004</v>
          </cell>
        </row>
        <row r="279">
          <cell r="C279" t="str">
            <v>3320-BX-0024</v>
          </cell>
          <cell r="D279" t="str">
            <v>Loaded Carbon Screen Oversize Box</v>
          </cell>
          <cell r="E279" t="str">
            <v>Bin</v>
          </cell>
          <cell r="F279" t="str">
            <v>Bin</v>
          </cell>
          <cell r="G279">
            <v>45</v>
          </cell>
          <cell r="H279" t="str">
            <v>GMC</v>
          </cell>
          <cell r="I279">
            <v>17287.952458130741</v>
          </cell>
          <cell r="J279">
            <v>4.6275000000000004</v>
          </cell>
        </row>
        <row r="280">
          <cell r="C280" t="str">
            <v>3500-BN-0036</v>
          </cell>
          <cell r="D280" t="str">
            <v>Mercury Bin</v>
          </cell>
          <cell r="E280" t="str">
            <v>Bin</v>
          </cell>
          <cell r="F280" t="str">
            <v>Bin</v>
          </cell>
          <cell r="G280">
            <v>45</v>
          </cell>
          <cell r="H280" t="str">
            <v>GMC</v>
          </cell>
          <cell r="I280">
            <v>17287.952458130741</v>
          </cell>
          <cell r="J280">
            <v>4.6275000000000004</v>
          </cell>
        </row>
        <row r="281">
          <cell r="C281" t="str">
            <v>3630-BX-0023</v>
          </cell>
          <cell r="D281" t="str">
            <v>Filtration Distribution Box</v>
          </cell>
          <cell r="E281" t="str">
            <v>Bin</v>
          </cell>
          <cell r="F281" t="str">
            <v>Bin</v>
          </cell>
          <cell r="G281">
            <v>45</v>
          </cell>
          <cell r="H281" t="str">
            <v>GMC</v>
          </cell>
          <cell r="I281">
            <v>17287.952458130741</v>
          </cell>
          <cell r="J281">
            <v>4.6275000000000004</v>
          </cell>
        </row>
        <row r="282">
          <cell r="C282" t="str">
            <v>3500-VE-0004</v>
          </cell>
          <cell r="D282" t="str">
            <v>Carbon Column</v>
          </cell>
          <cell r="E282" t="str">
            <v>Column</v>
          </cell>
          <cell r="F282" t="str">
            <v>Carbon Column</v>
          </cell>
          <cell r="G282">
            <v>46</v>
          </cell>
          <cell r="H282" t="str">
            <v>GMC</v>
          </cell>
          <cell r="I282">
            <v>2081.0250000000001</v>
          </cell>
          <cell r="J282">
            <v>0.19706099999999999</v>
          </cell>
        </row>
        <row r="283">
          <cell r="C283" t="str">
            <v>3450-PU-0185</v>
          </cell>
          <cell r="D283" t="str">
            <v>Carbon Transfer Pump</v>
          </cell>
          <cell r="E283" t="str">
            <v>Pump</v>
          </cell>
          <cell r="F283" t="str">
            <v>Pump, Carbon Transfer</v>
          </cell>
          <cell r="G283">
            <v>47</v>
          </cell>
          <cell r="H283" t="str">
            <v>BHP</v>
          </cell>
          <cell r="I283">
            <v>3320.8029999999999</v>
          </cell>
          <cell r="J283">
            <v>0.39627800000000002</v>
          </cell>
        </row>
        <row r="284">
          <cell r="C284" t="str">
            <v>3450-BN-0031</v>
          </cell>
          <cell r="D284" t="str">
            <v>Carbon Bin</v>
          </cell>
          <cell r="E284" t="str">
            <v>Bin</v>
          </cell>
          <cell r="F284" t="str">
            <v>Bin</v>
          </cell>
          <cell r="G284">
            <v>48</v>
          </cell>
          <cell r="H284" t="str">
            <v>GMC</v>
          </cell>
          <cell r="I284">
            <v>5764.8932413832845</v>
          </cell>
          <cell r="J284">
            <v>0.99977837619382837</v>
          </cell>
        </row>
        <row r="285">
          <cell r="C285" t="str">
            <v>2110-CV-0001</v>
          </cell>
          <cell r="D285" t="str">
            <v>Crusher Discharge Conveyor</v>
          </cell>
          <cell r="E285" t="str">
            <v>Conveyor</v>
          </cell>
          <cell r="F285" t="str">
            <v>Conveyor, Crusher Discharge</v>
          </cell>
          <cell r="G285">
            <v>49</v>
          </cell>
          <cell r="H285" t="str">
            <v>GMC</v>
          </cell>
          <cell r="I285">
            <v>662.28264000000001</v>
          </cell>
          <cell r="J285">
            <v>3.4272770499999998</v>
          </cell>
        </row>
        <row r="286">
          <cell r="C286" t="str">
            <v>3320-SN-0022</v>
          </cell>
          <cell r="D286" t="str">
            <v>Loaded Carbon Screen</v>
          </cell>
          <cell r="E286" t="str">
            <v>Screen</v>
          </cell>
          <cell r="F286" t="str">
            <v>Screen</v>
          </cell>
          <cell r="G286">
            <v>50</v>
          </cell>
          <cell r="H286" t="str">
            <v>GMC</v>
          </cell>
          <cell r="I286">
            <v>1263.8579999999999</v>
          </cell>
          <cell r="J286">
            <v>1.5950960000000001</v>
          </cell>
        </row>
        <row r="287">
          <cell r="C287" t="str">
            <v>3610-SN-0037</v>
          </cell>
          <cell r="D287" t="str">
            <v>Detox Screen</v>
          </cell>
          <cell r="E287" t="str">
            <v>Screen</v>
          </cell>
          <cell r="F287" t="str">
            <v>Screen</v>
          </cell>
          <cell r="G287">
            <v>50</v>
          </cell>
          <cell r="H287" t="str">
            <v>GMC</v>
          </cell>
          <cell r="I287">
            <v>1263.8579999999999</v>
          </cell>
          <cell r="J287">
            <v>1.5950960000000001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351"/>
  <sheetViews>
    <sheetView tabSelected="1" topLeftCell="B1" zoomScale="90" zoomScaleNormal="90" workbookViewId="0">
      <pane xSplit="5" ySplit="3" topLeftCell="AB4" activePane="bottomRight" state="frozen"/>
      <selection pane="bottomRight" activeCell="AD19" sqref="AD19"/>
      <selection pane="bottomLeft" activeCell="B4" sqref="B4"/>
      <selection pane="topRight" activeCell="G1" sqref="G1"/>
    </sheetView>
  </sheetViews>
  <sheetFormatPr defaultColWidth="9.140625" defaultRowHeight="14.45"/>
  <cols>
    <col min="1" max="1" width="0.85546875" style="1" customWidth="1"/>
    <col min="2" max="2" width="21.140625" style="1" customWidth="1"/>
    <col min="3" max="3" width="17.42578125" style="1" bestFit="1" customWidth="1"/>
    <col min="4" max="4" width="28.42578125" style="1" customWidth="1"/>
    <col min="5" max="5" width="5.5703125" style="1" customWidth="1"/>
    <col min="6" max="6" width="6.85546875" style="2" customWidth="1"/>
    <col min="7" max="31" width="5.85546875" style="2" customWidth="1"/>
    <col min="32" max="32" width="8.7109375" style="2" customWidth="1"/>
    <col min="33" max="54" width="5.85546875" style="2" customWidth="1"/>
    <col min="55" max="55" width="6.85546875" style="2" customWidth="1"/>
    <col min="56" max="16384" width="9.140625" style="1"/>
  </cols>
  <sheetData>
    <row r="1" spans="1:55">
      <c r="G1" s="30" t="s">
        <v>0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8"/>
    </row>
    <row r="2" spans="1:55">
      <c r="A2" s="1" t="s">
        <v>1</v>
      </c>
      <c r="B2" s="1" t="s">
        <v>2</v>
      </c>
      <c r="C2" s="1" t="s">
        <v>3</v>
      </c>
      <c r="D2" s="1" t="s">
        <v>4</v>
      </c>
      <c r="E2" s="27" t="s">
        <v>5</v>
      </c>
      <c r="F2" s="26" t="s">
        <v>6</v>
      </c>
      <c r="G2" s="25">
        <v>1</v>
      </c>
      <c r="H2" s="25">
        <v>2</v>
      </c>
      <c r="I2" s="25">
        <v>3</v>
      </c>
      <c r="J2" s="25">
        <v>4</v>
      </c>
      <c r="K2" s="25">
        <v>5</v>
      </c>
      <c r="L2" s="25">
        <v>6</v>
      </c>
      <c r="M2" s="25">
        <v>7</v>
      </c>
      <c r="N2" s="25">
        <v>8</v>
      </c>
      <c r="O2" s="25">
        <v>9</v>
      </c>
      <c r="P2" s="25">
        <v>10</v>
      </c>
      <c r="Q2" s="25">
        <v>11</v>
      </c>
      <c r="R2" s="25">
        <v>12</v>
      </c>
      <c r="S2" s="25">
        <v>13</v>
      </c>
      <c r="T2" s="25">
        <v>14</v>
      </c>
      <c r="U2" s="25">
        <v>15</v>
      </c>
      <c r="V2" s="25">
        <v>16</v>
      </c>
      <c r="W2" s="25">
        <v>17</v>
      </c>
      <c r="X2" s="25">
        <v>18</v>
      </c>
      <c r="Y2" s="25">
        <v>19</v>
      </c>
      <c r="Z2" s="25">
        <v>20</v>
      </c>
      <c r="AA2" s="25">
        <v>21</v>
      </c>
      <c r="AB2" s="25">
        <v>22</v>
      </c>
      <c r="AC2" s="25">
        <v>23</v>
      </c>
      <c r="AD2" s="25">
        <v>24</v>
      </c>
      <c r="AE2" s="25">
        <v>25</v>
      </c>
      <c r="AF2" s="25">
        <v>26</v>
      </c>
      <c r="AG2" s="25">
        <v>27</v>
      </c>
      <c r="AH2" s="25">
        <v>28</v>
      </c>
      <c r="AI2" s="25">
        <v>29</v>
      </c>
      <c r="AJ2" s="25">
        <v>30</v>
      </c>
      <c r="AK2" s="25">
        <v>31</v>
      </c>
      <c r="AL2" s="25">
        <v>32</v>
      </c>
      <c r="AM2" s="25">
        <v>33</v>
      </c>
      <c r="AN2" s="25">
        <v>34</v>
      </c>
      <c r="AO2" s="25">
        <v>35</v>
      </c>
      <c r="AP2" s="25">
        <v>36</v>
      </c>
      <c r="AQ2" s="25">
        <v>37</v>
      </c>
      <c r="AR2" s="25">
        <v>38</v>
      </c>
      <c r="AS2" s="25">
        <v>39</v>
      </c>
      <c r="AT2" s="25">
        <v>40</v>
      </c>
      <c r="AU2" s="25">
        <v>41</v>
      </c>
      <c r="AV2" s="25">
        <v>42</v>
      </c>
      <c r="AW2" s="25">
        <v>43</v>
      </c>
      <c r="AX2" s="25">
        <v>44</v>
      </c>
      <c r="AY2" s="25">
        <v>45</v>
      </c>
      <c r="AZ2" s="25">
        <v>46</v>
      </c>
      <c r="BA2" s="25">
        <v>47</v>
      </c>
      <c r="BB2" s="25">
        <v>48</v>
      </c>
      <c r="BC2" s="25" t="s">
        <v>7</v>
      </c>
    </row>
    <row r="3" spans="1:55">
      <c r="A3" s="13">
        <v>1</v>
      </c>
      <c r="B3" s="13" t="s">
        <v>8</v>
      </c>
      <c r="C3" s="13"/>
      <c r="D3" s="13"/>
      <c r="E3" s="12"/>
      <c r="F3" s="11">
        <f>MAX(F4:F13)</f>
        <v>72</v>
      </c>
      <c r="G3" s="11">
        <f>MAX(G4:BB13)</f>
        <v>72</v>
      </c>
      <c r="H3" s="11">
        <f t="shared" ref="H3:BC3" si="0">MAX(H4:H13)</f>
        <v>8</v>
      </c>
      <c r="I3" s="11">
        <f t="shared" si="0"/>
        <v>1</v>
      </c>
      <c r="J3" s="11">
        <f t="shared" si="0"/>
        <v>12</v>
      </c>
      <c r="K3" s="11">
        <f t="shared" si="0"/>
        <v>1</v>
      </c>
      <c r="L3" s="11">
        <f t="shared" si="0"/>
        <v>8</v>
      </c>
      <c r="M3" s="11">
        <f t="shared" si="0"/>
        <v>1</v>
      </c>
      <c r="N3" s="11">
        <f t="shared" si="0"/>
        <v>12</v>
      </c>
      <c r="O3" s="11">
        <f t="shared" si="0"/>
        <v>8</v>
      </c>
      <c r="P3" s="11">
        <f t="shared" si="0"/>
        <v>8</v>
      </c>
      <c r="Q3" s="11">
        <f t="shared" si="0"/>
        <v>1</v>
      </c>
      <c r="R3" s="11">
        <f t="shared" si="0"/>
        <v>12</v>
      </c>
      <c r="S3" s="11">
        <f t="shared" si="0"/>
        <v>1</v>
      </c>
      <c r="T3" s="11">
        <f t="shared" si="0"/>
        <v>8</v>
      </c>
      <c r="U3" s="11">
        <f t="shared" si="0"/>
        <v>1</v>
      </c>
      <c r="V3" s="11">
        <f t="shared" si="0"/>
        <v>24</v>
      </c>
      <c r="W3" s="11">
        <f t="shared" si="0"/>
        <v>1</v>
      </c>
      <c r="X3" s="11">
        <f t="shared" si="0"/>
        <v>8</v>
      </c>
      <c r="Y3" s="11">
        <f t="shared" si="0"/>
        <v>1</v>
      </c>
      <c r="Z3" s="11">
        <f t="shared" si="0"/>
        <v>24</v>
      </c>
      <c r="AA3" s="11">
        <f t="shared" si="0"/>
        <v>8</v>
      </c>
      <c r="AB3" s="11">
        <f t="shared" si="0"/>
        <v>8</v>
      </c>
      <c r="AC3" s="11">
        <f t="shared" si="0"/>
        <v>1</v>
      </c>
      <c r="AD3" s="11">
        <f t="shared" si="0"/>
        <v>72</v>
      </c>
      <c r="AE3" s="11">
        <f t="shared" si="0"/>
        <v>1</v>
      </c>
      <c r="AF3" s="11">
        <f t="shared" si="0"/>
        <v>8</v>
      </c>
      <c r="AG3" s="11">
        <f t="shared" si="0"/>
        <v>1</v>
      </c>
      <c r="AH3" s="11">
        <f t="shared" si="0"/>
        <v>12</v>
      </c>
      <c r="AI3" s="11">
        <f t="shared" si="0"/>
        <v>1</v>
      </c>
      <c r="AJ3" s="11">
        <f t="shared" si="0"/>
        <v>8</v>
      </c>
      <c r="AK3" s="11">
        <f t="shared" si="0"/>
        <v>8</v>
      </c>
      <c r="AL3" s="11">
        <f t="shared" si="0"/>
        <v>12</v>
      </c>
      <c r="AM3" s="11">
        <f t="shared" si="0"/>
        <v>1</v>
      </c>
      <c r="AN3" s="11">
        <f t="shared" si="0"/>
        <v>8</v>
      </c>
      <c r="AO3" s="11">
        <f t="shared" si="0"/>
        <v>1</v>
      </c>
      <c r="AP3" s="11">
        <f t="shared" si="0"/>
        <v>12</v>
      </c>
      <c r="AQ3" s="11">
        <f t="shared" si="0"/>
        <v>1</v>
      </c>
      <c r="AR3" s="11">
        <f t="shared" si="0"/>
        <v>8</v>
      </c>
      <c r="AS3" s="11">
        <f t="shared" si="0"/>
        <v>1</v>
      </c>
      <c r="AT3" s="11">
        <f t="shared" si="0"/>
        <v>48</v>
      </c>
      <c r="AU3" s="11">
        <f t="shared" si="0"/>
        <v>1</v>
      </c>
      <c r="AV3" s="11">
        <f t="shared" si="0"/>
        <v>8</v>
      </c>
      <c r="AW3" s="11">
        <f t="shared" si="0"/>
        <v>8</v>
      </c>
      <c r="AX3" s="11">
        <f t="shared" si="0"/>
        <v>48</v>
      </c>
      <c r="AY3" s="11">
        <f t="shared" si="0"/>
        <v>1</v>
      </c>
      <c r="AZ3" s="11">
        <f t="shared" si="0"/>
        <v>8</v>
      </c>
      <c r="BA3" s="11">
        <f t="shared" si="0"/>
        <v>1</v>
      </c>
      <c r="BB3" s="11">
        <f t="shared" si="0"/>
        <v>60</v>
      </c>
      <c r="BC3" s="11">
        <f t="shared" si="0"/>
        <v>312</v>
      </c>
    </row>
    <row r="4" spans="1:55">
      <c r="A4" s="5">
        <v>2</v>
      </c>
      <c r="B4" s="5" t="s">
        <v>8</v>
      </c>
      <c r="C4" s="5" t="s">
        <v>9</v>
      </c>
      <c r="D4" s="5" t="s">
        <v>10</v>
      </c>
      <c r="E4" s="9">
        <f>+VLOOKUP(C4,'[1]Summary Table'!$C$2:$G$287,5,0)</f>
        <v>45</v>
      </c>
      <c r="F4" s="8">
        <f t="shared" ref="F4:F9" si="1">+MAX(G4:BB4)</f>
        <v>24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>
        <v>2</v>
      </c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>
        <v>24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>
        <v>2</v>
      </c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>
        <v>24</v>
      </c>
      <c r="BC4" s="6">
        <f t="shared" ref="BC4:BC9" si="2">+SUM(G4:BB4)</f>
        <v>52</v>
      </c>
    </row>
    <row r="5" spans="1:55">
      <c r="A5" s="5">
        <v>3</v>
      </c>
      <c r="B5" s="5" t="s">
        <v>8</v>
      </c>
      <c r="C5" s="5" t="s">
        <v>11</v>
      </c>
      <c r="D5" s="5" t="s">
        <v>12</v>
      </c>
      <c r="E5" s="9">
        <f>+VLOOKUP(C5,'[1]Summary Table'!$C$2:$G$287,5,0)</f>
        <v>11</v>
      </c>
      <c r="F5" s="8">
        <f t="shared" si="1"/>
        <v>36</v>
      </c>
      <c r="G5" s="6"/>
      <c r="H5" s="6"/>
      <c r="I5" s="6"/>
      <c r="J5" s="6">
        <v>6</v>
      </c>
      <c r="K5" s="6"/>
      <c r="L5" s="6"/>
      <c r="M5" s="6"/>
      <c r="N5" s="6">
        <v>6</v>
      </c>
      <c r="O5" s="6"/>
      <c r="P5" s="6"/>
      <c r="Q5" s="6"/>
      <c r="R5" s="6">
        <v>6</v>
      </c>
      <c r="S5" s="6"/>
      <c r="T5" s="6"/>
      <c r="U5" s="6"/>
      <c r="V5" s="6">
        <v>6</v>
      </c>
      <c r="W5" s="6"/>
      <c r="X5" s="6"/>
      <c r="Y5" s="6"/>
      <c r="Z5" s="6">
        <v>6</v>
      </c>
      <c r="AA5" s="6"/>
      <c r="AB5" s="6"/>
      <c r="AC5" s="6"/>
      <c r="AD5" s="6">
        <v>36</v>
      </c>
      <c r="AE5" s="6"/>
      <c r="AF5" s="6"/>
      <c r="AG5" s="6"/>
      <c r="AH5" s="6">
        <v>6</v>
      </c>
      <c r="AI5" s="6"/>
      <c r="AJ5" s="6"/>
      <c r="AK5" s="6"/>
      <c r="AL5" s="6">
        <v>6</v>
      </c>
      <c r="AM5" s="6"/>
      <c r="AN5" s="6"/>
      <c r="AO5" s="6"/>
      <c r="AP5" s="6">
        <v>6</v>
      </c>
      <c r="AQ5" s="6"/>
      <c r="AR5" s="6"/>
      <c r="AS5" s="6"/>
      <c r="AT5" s="6">
        <v>6</v>
      </c>
      <c r="AU5" s="6"/>
      <c r="AV5" s="6"/>
      <c r="AW5" s="6"/>
      <c r="AX5" s="6">
        <v>6</v>
      </c>
      <c r="AY5" s="6"/>
      <c r="AZ5" s="6"/>
      <c r="BA5" s="6"/>
      <c r="BB5" s="6">
        <v>6</v>
      </c>
      <c r="BC5" s="6">
        <f t="shared" si="2"/>
        <v>102</v>
      </c>
    </row>
    <row r="6" spans="1:55">
      <c r="A6" s="5">
        <v>4</v>
      </c>
      <c r="B6" s="5" t="s">
        <v>8</v>
      </c>
      <c r="C6" s="5" t="s">
        <v>13</v>
      </c>
      <c r="D6" s="5" t="s">
        <v>14</v>
      </c>
      <c r="E6" s="9"/>
      <c r="F6" s="8">
        <f t="shared" si="1"/>
        <v>20</v>
      </c>
      <c r="G6" s="6"/>
      <c r="H6" s="6"/>
      <c r="I6" s="6"/>
      <c r="J6" s="6">
        <v>11</v>
      </c>
      <c r="K6" s="6"/>
      <c r="L6" s="6"/>
      <c r="M6" s="6"/>
      <c r="N6" s="6">
        <v>11</v>
      </c>
      <c r="O6" s="6"/>
      <c r="P6" s="6"/>
      <c r="Q6" s="6"/>
      <c r="R6" s="6">
        <v>11</v>
      </c>
      <c r="S6" s="6"/>
      <c r="T6" s="6"/>
      <c r="U6" s="6"/>
      <c r="V6" s="6">
        <v>11</v>
      </c>
      <c r="W6" s="6"/>
      <c r="X6" s="6"/>
      <c r="Y6" s="6"/>
      <c r="Z6" s="6">
        <v>11</v>
      </c>
      <c r="AA6" s="6"/>
      <c r="AB6" s="6"/>
      <c r="AC6" s="6"/>
      <c r="AD6" s="6">
        <v>20</v>
      </c>
      <c r="AE6" s="6"/>
      <c r="AF6" s="6"/>
      <c r="AG6" s="6"/>
      <c r="AH6" s="6">
        <v>11</v>
      </c>
      <c r="AI6" s="6"/>
      <c r="AJ6" s="6"/>
      <c r="AK6" s="6"/>
      <c r="AL6" s="6">
        <v>11</v>
      </c>
      <c r="AM6" s="6"/>
      <c r="AN6" s="6"/>
      <c r="AO6" s="6"/>
      <c r="AP6" s="6">
        <v>11</v>
      </c>
      <c r="AQ6" s="6"/>
      <c r="AR6" s="6"/>
      <c r="AS6" s="6"/>
      <c r="AT6" s="6">
        <v>11</v>
      </c>
      <c r="AU6" s="6"/>
      <c r="AV6" s="6"/>
      <c r="AW6" s="6"/>
      <c r="AX6" s="6">
        <v>11</v>
      </c>
      <c r="AY6" s="6"/>
      <c r="AZ6" s="6"/>
      <c r="BA6" s="6"/>
      <c r="BB6" s="6">
        <v>20</v>
      </c>
      <c r="BC6" s="6">
        <f t="shared" si="2"/>
        <v>150</v>
      </c>
    </row>
    <row r="7" spans="1:55">
      <c r="A7" s="5">
        <v>5</v>
      </c>
      <c r="B7" s="5" t="s">
        <v>8</v>
      </c>
      <c r="C7" s="5" t="s">
        <v>15</v>
      </c>
      <c r="D7" s="24" t="s">
        <v>16</v>
      </c>
      <c r="E7" s="9">
        <f>+VLOOKUP(C7,'[1]Summary Table'!$C$2:$G$287,5,0)</f>
        <v>1</v>
      </c>
      <c r="F7" s="8">
        <f t="shared" si="1"/>
        <v>36</v>
      </c>
      <c r="G7" s="6">
        <v>1</v>
      </c>
      <c r="H7" s="6">
        <v>8</v>
      </c>
      <c r="I7" s="6">
        <v>1</v>
      </c>
      <c r="J7" s="6">
        <v>12</v>
      </c>
      <c r="K7" s="6">
        <v>1</v>
      </c>
      <c r="L7" s="6">
        <v>8</v>
      </c>
      <c r="M7" s="6">
        <v>1</v>
      </c>
      <c r="N7" s="6">
        <v>12</v>
      </c>
      <c r="O7" s="6">
        <v>1</v>
      </c>
      <c r="P7" s="6">
        <v>8</v>
      </c>
      <c r="Q7" s="6">
        <v>1</v>
      </c>
      <c r="R7" s="6">
        <v>12</v>
      </c>
      <c r="S7" s="6">
        <v>1</v>
      </c>
      <c r="T7" s="6">
        <v>8</v>
      </c>
      <c r="U7" s="6">
        <v>1</v>
      </c>
      <c r="V7" s="6">
        <v>12</v>
      </c>
      <c r="W7" s="6">
        <v>1</v>
      </c>
      <c r="X7" s="6">
        <v>8</v>
      </c>
      <c r="Y7" s="6">
        <v>1</v>
      </c>
      <c r="Z7" s="6">
        <v>12</v>
      </c>
      <c r="AA7" s="6">
        <v>1</v>
      </c>
      <c r="AB7" s="6">
        <v>8</v>
      </c>
      <c r="AC7" s="6">
        <v>1</v>
      </c>
      <c r="AD7" s="6">
        <v>36</v>
      </c>
      <c r="AE7" s="6">
        <v>1</v>
      </c>
      <c r="AF7" s="6">
        <v>8</v>
      </c>
      <c r="AG7" s="6">
        <v>1</v>
      </c>
      <c r="AH7" s="6">
        <v>12</v>
      </c>
      <c r="AI7" s="6">
        <v>1</v>
      </c>
      <c r="AJ7" s="6">
        <v>8</v>
      </c>
      <c r="AK7" s="6">
        <v>1</v>
      </c>
      <c r="AL7" s="6">
        <v>12</v>
      </c>
      <c r="AM7" s="6">
        <v>1</v>
      </c>
      <c r="AN7" s="6">
        <v>8</v>
      </c>
      <c r="AO7" s="6">
        <v>1</v>
      </c>
      <c r="AP7" s="6">
        <v>12</v>
      </c>
      <c r="AQ7" s="6">
        <v>1</v>
      </c>
      <c r="AR7" s="6">
        <v>8</v>
      </c>
      <c r="AS7" s="6">
        <v>1</v>
      </c>
      <c r="AT7" s="6">
        <v>12</v>
      </c>
      <c r="AU7" s="6">
        <v>1</v>
      </c>
      <c r="AV7" s="6">
        <v>8</v>
      </c>
      <c r="AW7" s="6">
        <v>1</v>
      </c>
      <c r="AX7" s="6">
        <v>12</v>
      </c>
      <c r="AY7" s="6">
        <v>1</v>
      </c>
      <c r="AZ7" s="6">
        <v>8</v>
      </c>
      <c r="BA7" s="6">
        <v>1</v>
      </c>
      <c r="BB7" s="6">
        <v>36</v>
      </c>
      <c r="BC7" s="6">
        <f t="shared" si="2"/>
        <v>312</v>
      </c>
    </row>
    <row r="8" spans="1:55">
      <c r="A8" s="5">
        <v>6</v>
      </c>
      <c r="B8" s="5" t="s">
        <v>8</v>
      </c>
      <c r="C8" s="5" t="s">
        <v>17</v>
      </c>
      <c r="D8" s="5" t="s">
        <v>18</v>
      </c>
      <c r="E8" s="9">
        <f>+VLOOKUP(C8,'[1]Summary Table'!$C$2:$G$287,5,0)</f>
        <v>49</v>
      </c>
      <c r="F8" s="8">
        <f t="shared" si="1"/>
        <v>36</v>
      </c>
      <c r="G8" s="6"/>
      <c r="H8" s="6"/>
      <c r="I8" s="6"/>
      <c r="J8" s="6">
        <v>12</v>
      </c>
      <c r="K8" s="6"/>
      <c r="L8" s="6"/>
      <c r="M8" s="6"/>
      <c r="N8" s="6">
        <v>12</v>
      </c>
      <c r="O8" s="6"/>
      <c r="P8" s="6"/>
      <c r="Q8" s="6"/>
      <c r="R8" s="6">
        <v>12</v>
      </c>
      <c r="S8" s="6"/>
      <c r="T8" s="6"/>
      <c r="U8" s="6"/>
      <c r="V8" s="6">
        <v>12</v>
      </c>
      <c r="W8" s="6"/>
      <c r="X8" s="6"/>
      <c r="Y8" s="6"/>
      <c r="Z8" s="6">
        <v>12</v>
      </c>
      <c r="AA8" s="6"/>
      <c r="AB8" s="6"/>
      <c r="AC8" s="6"/>
      <c r="AD8" s="6">
        <v>24</v>
      </c>
      <c r="AE8" s="6"/>
      <c r="AF8" s="6"/>
      <c r="AG8" s="6"/>
      <c r="AH8" s="6">
        <v>12</v>
      </c>
      <c r="AI8" s="6"/>
      <c r="AJ8" s="6"/>
      <c r="AK8" s="6"/>
      <c r="AL8" s="6">
        <v>12</v>
      </c>
      <c r="AM8" s="6"/>
      <c r="AN8" s="6"/>
      <c r="AO8" s="6"/>
      <c r="AP8" s="6">
        <v>12</v>
      </c>
      <c r="AQ8" s="6"/>
      <c r="AR8" s="6"/>
      <c r="AS8" s="6"/>
      <c r="AT8" s="6">
        <v>12</v>
      </c>
      <c r="AU8" s="6"/>
      <c r="AV8" s="6"/>
      <c r="AW8" s="6"/>
      <c r="AX8" s="6">
        <v>12</v>
      </c>
      <c r="AY8" s="6"/>
      <c r="AZ8" s="6"/>
      <c r="BA8" s="6"/>
      <c r="BB8" s="6">
        <v>36</v>
      </c>
      <c r="BC8" s="6">
        <f t="shared" si="2"/>
        <v>180</v>
      </c>
    </row>
    <row r="9" spans="1:55">
      <c r="A9" s="5">
        <v>7</v>
      </c>
      <c r="B9" s="5" t="s">
        <v>8</v>
      </c>
      <c r="C9" s="5" t="s">
        <v>19</v>
      </c>
      <c r="D9" s="5" t="s">
        <v>20</v>
      </c>
      <c r="E9" s="9">
        <f>+VLOOKUP(C9,'[1]Summary Table'!$C$2:$G$287,5,0)</f>
        <v>5</v>
      </c>
      <c r="F9" s="8">
        <f t="shared" si="1"/>
        <v>36</v>
      </c>
      <c r="G9" s="6"/>
      <c r="H9" s="6"/>
      <c r="I9" s="6"/>
      <c r="J9" s="6">
        <v>12</v>
      </c>
      <c r="K9" s="6"/>
      <c r="L9" s="6"/>
      <c r="M9" s="6"/>
      <c r="N9" s="6">
        <v>12</v>
      </c>
      <c r="O9" s="6"/>
      <c r="P9" s="6"/>
      <c r="Q9" s="6"/>
      <c r="R9" s="6">
        <v>12</v>
      </c>
      <c r="S9" s="6"/>
      <c r="T9" s="6"/>
      <c r="U9" s="6"/>
      <c r="V9" s="6">
        <v>12</v>
      </c>
      <c r="W9" s="6"/>
      <c r="X9" s="6"/>
      <c r="Y9" s="6"/>
      <c r="Z9" s="6">
        <v>12</v>
      </c>
      <c r="AA9" s="6"/>
      <c r="AB9" s="6"/>
      <c r="AC9" s="6"/>
      <c r="AD9" s="6">
        <v>24</v>
      </c>
      <c r="AE9" s="6"/>
      <c r="AF9" s="6"/>
      <c r="AG9" s="6"/>
      <c r="AH9" s="6">
        <v>12</v>
      </c>
      <c r="AI9" s="6"/>
      <c r="AJ9" s="6"/>
      <c r="AK9" s="6"/>
      <c r="AL9" s="6">
        <v>12</v>
      </c>
      <c r="AM9" s="6"/>
      <c r="AN9" s="6"/>
      <c r="AO9" s="6"/>
      <c r="AP9" s="6">
        <v>12</v>
      </c>
      <c r="AQ9" s="6"/>
      <c r="AR9" s="6"/>
      <c r="AS9" s="6"/>
      <c r="AT9" s="6">
        <v>12</v>
      </c>
      <c r="AU9" s="6"/>
      <c r="AV9" s="6"/>
      <c r="AW9" s="6"/>
      <c r="AX9" s="6">
        <v>12</v>
      </c>
      <c r="AY9" s="6"/>
      <c r="AZ9" s="6"/>
      <c r="BA9" s="6"/>
      <c r="BB9" s="6">
        <v>36</v>
      </c>
      <c r="BC9" s="6">
        <f t="shared" si="2"/>
        <v>180</v>
      </c>
    </row>
    <row r="10" spans="1:55">
      <c r="A10" s="13">
        <v>11</v>
      </c>
      <c r="B10" s="13" t="s">
        <v>21</v>
      </c>
      <c r="C10" s="13"/>
      <c r="D10" s="13"/>
      <c r="E10" s="12"/>
      <c r="F10" s="11">
        <f t="shared" ref="F10:AK10" si="3">MAX(F14:F23)</f>
        <v>72</v>
      </c>
      <c r="G10" s="11">
        <f t="shared" si="3"/>
        <v>0</v>
      </c>
      <c r="H10" s="11">
        <f t="shared" si="3"/>
        <v>0</v>
      </c>
      <c r="I10" s="11">
        <f t="shared" si="3"/>
        <v>0</v>
      </c>
      <c r="J10" s="11">
        <f t="shared" si="3"/>
        <v>8</v>
      </c>
      <c r="K10" s="11">
        <f t="shared" si="3"/>
        <v>0</v>
      </c>
      <c r="L10" s="11">
        <f t="shared" si="3"/>
        <v>0</v>
      </c>
      <c r="M10" s="11">
        <f t="shared" si="3"/>
        <v>0</v>
      </c>
      <c r="N10" s="11">
        <f t="shared" si="3"/>
        <v>8</v>
      </c>
      <c r="O10" s="11">
        <f t="shared" si="3"/>
        <v>8</v>
      </c>
      <c r="P10" s="11">
        <f t="shared" si="3"/>
        <v>8</v>
      </c>
      <c r="Q10" s="11">
        <f t="shared" si="3"/>
        <v>0</v>
      </c>
      <c r="R10" s="11">
        <f t="shared" si="3"/>
        <v>8</v>
      </c>
      <c r="S10" s="11">
        <f t="shared" si="3"/>
        <v>0</v>
      </c>
      <c r="T10" s="11">
        <f t="shared" si="3"/>
        <v>0</v>
      </c>
      <c r="U10" s="11">
        <f t="shared" si="3"/>
        <v>0</v>
      </c>
      <c r="V10" s="11">
        <f t="shared" si="3"/>
        <v>24</v>
      </c>
      <c r="W10" s="11">
        <f t="shared" si="3"/>
        <v>0</v>
      </c>
      <c r="X10" s="11">
        <f t="shared" si="3"/>
        <v>0</v>
      </c>
      <c r="Y10" s="11">
        <f t="shared" si="3"/>
        <v>0</v>
      </c>
      <c r="Z10" s="11">
        <f t="shared" si="3"/>
        <v>24</v>
      </c>
      <c r="AA10" s="11">
        <f t="shared" si="3"/>
        <v>8</v>
      </c>
      <c r="AB10" s="11">
        <f t="shared" si="3"/>
        <v>0</v>
      </c>
      <c r="AC10" s="11">
        <f t="shared" si="3"/>
        <v>0</v>
      </c>
      <c r="AD10" s="11">
        <f t="shared" si="3"/>
        <v>72</v>
      </c>
      <c r="AE10" s="11">
        <f t="shared" si="3"/>
        <v>0</v>
      </c>
      <c r="AF10" s="11">
        <f t="shared" si="3"/>
        <v>0</v>
      </c>
      <c r="AG10" s="11">
        <f t="shared" si="3"/>
        <v>0</v>
      </c>
      <c r="AH10" s="11">
        <f t="shared" si="3"/>
        <v>8</v>
      </c>
      <c r="AI10" s="11">
        <f t="shared" si="3"/>
        <v>0</v>
      </c>
      <c r="AJ10" s="11">
        <f t="shared" si="3"/>
        <v>0</v>
      </c>
      <c r="AK10" s="11">
        <f t="shared" si="3"/>
        <v>8</v>
      </c>
      <c r="AL10" s="11">
        <f t="shared" ref="AL10:BC10" si="4">MAX(AL14:AL23)</f>
        <v>8</v>
      </c>
      <c r="AM10" s="11">
        <f t="shared" si="4"/>
        <v>0</v>
      </c>
      <c r="AN10" s="11">
        <f t="shared" si="4"/>
        <v>0</v>
      </c>
      <c r="AO10" s="11">
        <f t="shared" si="4"/>
        <v>0</v>
      </c>
      <c r="AP10" s="11">
        <f t="shared" si="4"/>
        <v>8</v>
      </c>
      <c r="AQ10" s="11">
        <f t="shared" si="4"/>
        <v>0</v>
      </c>
      <c r="AR10" s="11">
        <f t="shared" si="4"/>
        <v>0</v>
      </c>
      <c r="AS10" s="11">
        <f t="shared" si="4"/>
        <v>0</v>
      </c>
      <c r="AT10" s="11">
        <f t="shared" si="4"/>
        <v>48</v>
      </c>
      <c r="AU10" s="11">
        <f t="shared" si="4"/>
        <v>0</v>
      </c>
      <c r="AV10" s="11">
        <f t="shared" si="4"/>
        <v>8</v>
      </c>
      <c r="AW10" s="11">
        <f t="shared" si="4"/>
        <v>8</v>
      </c>
      <c r="AX10" s="11">
        <f t="shared" si="4"/>
        <v>48</v>
      </c>
      <c r="AY10" s="11">
        <f t="shared" si="4"/>
        <v>0</v>
      </c>
      <c r="AZ10" s="11">
        <f t="shared" si="4"/>
        <v>0</v>
      </c>
      <c r="BA10" s="11">
        <f t="shared" si="4"/>
        <v>0</v>
      </c>
      <c r="BB10" s="11">
        <f t="shared" si="4"/>
        <v>60</v>
      </c>
      <c r="BC10" s="11">
        <f t="shared" si="4"/>
        <v>207</v>
      </c>
    </row>
    <row r="11" spans="1:55">
      <c r="A11" s="5">
        <v>8</v>
      </c>
      <c r="B11" s="5" t="s">
        <v>8</v>
      </c>
      <c r="C11" s="5" t="s">
        <v>22</v>
      </c>
      <c r="D11" s="5" t="s">
        <v>23</v>
      </c>
      <c r="E11" s="9">
        <f>+VLOOKUP(C11,'[1]Summary Table'!$C$2:$G$287,5,0)</f>
        <v>4</v>
      </c>
      <c r="F11" s="8">
        <f t="shared" ref="F11:F23" si="5">+MAX(G11:BB11)</f>
        <v>48</v>
      </c>
      <c r="G11" s="6"/>
      <c r="H11" s="6"/>
      <c r="I11" s="6"/>
      <c r="J11" s="6">
        <v>8</v>
      </c>
      <c r="K11" s="6"/>
      <c r="L11" s="6"/>
      <c r="M11" s="6"/>
      <c r="N11" s="6"/>
      <c r="O11" s="6"/>
      <c r="P11" s="6"/>
      <c r="Q11" s="6"/>
      <c r="R11" s="6">
        <v>8</v>
      </c>
      <c r="S11" s="6"/>
      <c r="T11" s="6"/>
      <c r="U11" s="6"/>
      <c r="V11" s="6"/>
      <c r="W11" s="6"/>
      <c r="X11" s="6"/>
      <c r="Y11" s="6"/>
      <c r="Z11" s="6">
        <v>8</v>
      </c>
      <c r="AA11" s="6"/>
      <c r="AB11" s="6"/>
      <c r="AC11" s="6"/>
      <c r="AD11" s="6"/>
      <c r="AE11" s="6"/>
      <c r="AF11" s="6"/>
      <c r="AG11" s="6"/>
      <c r="AH11" s="6">
        <v>8</v>
      </c>
      <c r="AI11" s="6"/>
      <c r="AJ11" s="6"/>
      <c r="AK11" s="6"/>
      <c r="AL11" s="6"/>
      <c r="AM11" s="6"/>
      <c r="AN11" s="6"/>
      <c r="AO11" s="6"/>
      <c r="AP11" s="6">
        <v>8</v>
      </c>
      <c r="AQ11" s="6"/>
      <c r="AR11" s="6"/>
      <c r="AS11" s="6"/>
      <c r="AT11" s="6"/>
      <c r="AU11" s="6"/>
      <c r="AV11" s="6"/>
      <c r="AW11" s="6"/>
      <c r="AX11" s="6">
        <v>8</v>
      </c>
      <c r="AY11" s="6"/>
      <c r="AZ11" s="6"/>
      <c r="BA11" s="6"/>
      <c r="BB11" s="6">
        <v>48</v>
      </c>
      <c r="BC11" s="6">
        <f t="shared" ref="BC11:BC23" si="6">+SUM(G11:BB11)</f>
        <v>96</v>
      </c>
    </row>
    <row r="12" spans="1:55">
      <c r="A12" s="5">
        <v>9</v>
      </c>
      <c r="B12" s="5" t="s">
        <v>8</v>
      </c>
      <c r="C12" s="5" t="s">
        <v>24</v>
      </c>
      <c r="D12" s="5" t="s">
        <v>23</v>
      </c>
      <c r="E12" s="9">
        <f>+VLOOKUP(C12,'[1]Summary Table'!$C$2:$G$287,5,0)</f>
        <v>4</v>
      </c>
      <c r="F12" s="8">
        <f t="shared" si="5"/>
        <v>48</v>
      </c>
      <c r="G12" s="6"/>
      <c r="H12" s="6"/>
      <c r="I12" s="6"/>
      <c r="J12" s="6"/>
      <c r="K12" s="6"/>
      <c r="L12" s="6"/>
      <c r="M12" s="6"/>
      <c r="N12" s="6">
        <v>8</v>
      </c>
      <c r="O12" s="6"/>
      <c r="P12" s="6"/>
      <c r="Q12" s="6"/>
      <c r="R12" s="6"/>
      <c r="S12" s="6"/>
      <c r="T12" s="6"/>
      <c r="U12" s="6"/>
      <c r="V12" s="6">
        <v>8</v>
      </c>
      <c r="W12" s="6"/>
      <c r="X12" s="6"/>
      <c r="Y12" s="6"/>
      <c r="Z12" s="6"/>
      <c r="AA12" s="6"/>
      <c r="AB12" s="6"/>
      <c r="AC12" s="6"/>
      <c r="AD12" s="6">
        <v>48</v>
      </c>
      <c r="AE12" s="6"/>
      <c r="AF12" s="6"/>
      <c r="AG12" s="6"/>
      <c r="AH12" s="6"/>
      <c r="AI12" s="6"/>
      <c r="AJ12" s="6"/>
      <c r="AK12" s="6"/>
      <c r="AL12" s="6">
        <v>8</v>
      </c>
      <c r="AM12" s="6"/>
      <c r="AN12" s="6"/>
      <c r="AO12" s="6"/>
      <c r="AP12" s="6"/>
      <c r="AQ12" s="6"/>
      <c r="AR12" s="6"/>
      <c r="AS12" s="6"/>
      <c r="AT12" s="6">
        <v>8</v>
      </c>
      <c r="AU12" s="6"/>
      <c r="AV12" s="6"/>
      <c r="AW12" s="6"/>
      <c r="AX12" s="6"/>
      <c r="AY12" s="6"/>
      <c r="AZ12" s="6"/>
      <c r="BA12" s="6"/>
      <c r="BB12" s="6">
        <v>8</v>
      </c>
      <c r="BC12" s="6">
        <f t="shared" si="6"/>
        <v>88</v>
      </c>
    </row>
    <row r="13" spans="1:55">
      <c r="A13" s="5">
        <v>10</v>
      </c>
      <c r="B13" s="5" t="s">
        <v>8</v>
      </c>
      <c r="C13" s="5" t="s">
        <v>25</v>
      </c>
      <c r="D13" s="24" t="s">
        <v>26</v>
      </c>
      <c r="E13" s="9">
        <f>+VLOOKUP(C13,'[1]Summary Table'!$C$2:$G$287,5,0)</f>
        <v>12</v>
      </c>
      <c r="F13" s="8">
        <f t="shared" si="5"/>
        <v>48</v>
      </c>
      <c r="G13" s="6"/>
      <c r="H13" s="6"/>
      <c r="I13" s="6"/>
      <c r="J13" s="6">
        <v>8</v>
      </c>
      <c r="K13" s="6"/>
      <c r="L13" s="6"/>
      <c r="M13" s="6"/>
      <c r="N13" s="6">
        <v>8</v>
      </c>
      <c r="O13" s="6"/>
      <c r="P13" s="6"/>
      <c r="Q13" s="6"/>
      <c r="R13" s="6">
        <v>8</v>
      </c>
      <c r="S13" s="6"/>
      <c r="T13" s="6"/>
      <c r="U13" s="6"/>
      <c r="V13" s="6">
        <v>8</v>
      </c>
      <c r="W13" s="6"/>
      <c r="X13" s="6"/>
      <c r="Y13" s="6"/>
      <c r="Z13" s="6">
        <v>8</v>
      </c>
      <c r="AA13" s="6"/>
      <c r="AB13" s="6"/>
      <c r="AC13" s="6"/>
      <c r="AD13" s="6">
        <v>48</v>
      </c>
      <c r="AE13" s="6"/>
      <c r="AF13" s="6"/>
      <c r="AG13" s="6"/>
      <c r="AH13" s="6">
        <v>8</v>
      </c>
      <c r="AI13" s="6"/>
      <c r="AJ13" s="6"/>
      <c r="AK13" s="6"/>
      <c r="AL13" s="6">
        <v>8</v>
      </c>
      <c r="AM13" s="6"/>
      <c r="AN13" s="6"/>
      <c r="AO13" s="6"/>
      <c r="AP13" s="6">
        <v>8</v>
      </c>
      <c r="AQ13" s="6"/>
      <c r="AR13" s="6"/>
      <c r="AS13" s="6"/>
      <c r="AT13" s="6">
        <v>8</v>
      </c>
      <c r="AU13" s="6"/>
      <c r="AV13" s="6"/>
      <c r="AW13" s="6"/>
      <c r="AX13" s="6">
        <v>8</v>
      </c>
      <c r="AY13" s="6"/>
      <c r="AZ13" s="6"/>
      <c r="BA13" s="6"/>
      <c r="BB13" s="6">
        <v>48</v>
      </c>
      <c r="BC13" s="6">
        <f t="shared" si="6"/>
        <v>176</v>
      </c>
    </row>
    <row r="14" spans="1:55">
      <c r="A14" s="5">
        <v>12</v>
      </c>
      <c r="B14" s="5" t="s">
        <v>21</v>
      </c>
      <c r="C14" s="5" t="s">
        <v>27</v>
      </c>
      <c r="D14" s="5" t="s">
        <v>28</v>
      </c>
      <c r="E14" s="9">
        <f>+VLOOKUP(C14,'[1]Summary Table'!$C$2:$G$287,5,0)</f>
        <v>2</v>
      </c>
      <c r="F14" s="8">
        <f t="shared" si="5"/>
        <v>72</v>
      </c>
      <c r="G14" s="6"/>
      <c r="H14" s="6"/>
      <c r="I14" s="6"/>
      <c r="J14" s="6">
        <v>8</v>
      </c>
      <c r="K14" s="6"/>
      <c r="L14" s="6"/>
      <c r="M14" s="6"/>
      <c r="N14" s="6">
        <v>8</v>
      </c>
      <c r="O14" s="6"/>
      <c r="P14" s="6"/>
      <c r="Q14" s="6"/>
      <c r="R14" s="6">
        <v>8</v>
      </c>
      <c r="S14" s="6"/>
      <c r="T14" s="6"/>
      <c r="U14" s="6"/>
      <c r="V14" s="6">
        <v>8</v>
      </c>
      <c r="W14" s="6"/>
      <c r="X14" s="6"/>
      <c r="Y14" s="6"/>
      <c r="Z14" s="6">
        <v>8</v>
      </c>
      <c r="AA14" s="6"/>
      <c r="AB14" s="6"/>
      <c r="AC14" s="6"/>
      <c r="AD14" s="6">
        <v>72</v>
      </c>
      <c r="AE14" s="6"/>
      <c r="AF14" s="6"/>
      <c r="AG14" s="6"/>
      <c r="AH14" s="6">
        <v>8</v>
      </c>
      <c r="AI14" s="6"/>
      <c r="AJ14" s="6"/>
      <c r="AK14" s="6"/>
      <c r="AL14" s="6">
        <v>8</v>
      </c>
      <c r="AM14" s="6"/>
      <c r="AN14" s="6"/>
      <c r="AO14" s="6"/>
      <c r="AP14" s="6">
        <v>8</v>
      </c>
      <c r="AQ14" s="6"/>
      <c r="AR14" s="6"/>
      <c r="AS14" s="6"/>
      <c r="AT14" s="6">
        <v>8</v>
      </c>
      <c r="AU14" s="6"/>
      <c r="AV14" s="6"/>
      <c r="AW14" s="6"/>
      <c r="AX14" s="6">
        <v>3</v>
      </c>
      <c r="AY14" s="6"/>
      <c r="AZ14" s="6"/>
      <c r="BA14" s="6"/>
      <c r="BB14" s="6">
        <v>60</v>
      </c>
      <c r="BC14" s="6">
        <f t="shared" si="6"/>
        <v>207</v>
      </c>
    </row>
    <row r="15" spans="1:55">
      <c r="A15" s="5">
        <v>13</v>
      </c>
      <c r="B15" s="5" t="s">
        <v>21</v>
      </c>
      <c r="C15" s="5" t="s">
        <v>29</v>
      </c>
      <c r="D15" s="5" t="s">
        <v>30</v>
      </c>
      <c r="E15" s="9">
        <f>+VLOOKUP(C15,'[1]Summary Table'!$C$2:$G$287,5,0)</f>
        <v>35</v>
      </c>
      <c r="F15" s="8">
        <f t="shared" si="5"/>
        <v>24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>
        <v>24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2</v>
      </c>
      <c r="BC15" s="6">
        <f t="shared" si="6"/>
        <v>26</v>
      </c>
    </row>
    <row r="16" spans="1:55">
      <c r="A16" s="5">
        <v>14</v>
      </c>
      <c r="B16" s="5" t="s">
        <v>21</v>
      </c>
      <c r="C16" s="5" t="s">
        <v>31</v>
      </c>
      <c r="D16" s="5" t="s">
        <v>32</v>
      </c>
      <c r="E16" s="10">
        <f>+VLOOKUP(C16,'[1]Summary Table'!$C$2:$G$287,5,0)</f>
        <v>18</v>
      </c>
      <c r="F16" s="8">
        <f t="shared" si="5"/>
        <v>48</v>
      </c>
      <c r="G16" s="6"/>
      <c r="H16" s="6"/>
      <c r="I16" s="6"/>
      <c r="J16" s="6"/>
      <c r="K16" s="6"/>
      <c r="L16" s="6"/>
      <c r="M16" s="6"/>
      <c r="N16" s="6">
        <v>8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>
        <v>24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>
        <v>8</v>
      </c>
      <c r="AM16" s="6"/>
      <c r="AN16" s="6"/>
      <c r="AO16" s="6"/>
      <c r="AQ16" s="6"/>
      <c r="AR16" s="6"/>
      <c r="AS16" s="6"/>
      <c r="AT16" s="6"/>
      <c r="AU16" s="6"/>
      <c r="AV16" s="6"/>
      <c r="AW16" s="6"/>
      <c r="AX16" s="6">
        <v>48</v>
      </c>
      <c r="AY16" s="6"/>
      <c r="AZ16" s="6"/>
      <c r="BA16" s="6"/>
      <c r="BB16" s="6"/>
      <c r="BC16" s="6">
        <f t="shared" si="6"/>
        <v>88</v>
      </c>
    </row>
    <row r="17" spans="1:55">
      <c r="A17" s="5">
        <v>15</v>
      </c>
      <c r="B17" s="5" t="s">
        <v>21</v>
      </c>
      <c r="C17" s="5" t="s">
        <v>33</v>
      </c>
      <c r="D17" s="5" t="s">
        <v>32</v>
      </c>
      <c r="E17" s="10">
        <f>+VLOOKUP(C17,'[1]Summary Table'!$C$2:$G$287,5,0)</f>
        <v>18</v>
      </c>
      <c r="F17" s="8">
        <f t="shared" si="5"/>
        <v>48</v>
      </c>
      <c r="G17" s="6"/>
      <c r="H17" s="6"/>
      <c r="I17" s="6"/>
      <c r="J17" s="6">
        <v>8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24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8</v>
      </c>
      <c r="AI17" s="6"/>
      <c r="AJ17" s="6"/>
      <c r="AK17" s="6"/>
      <c r="AM17" s="6"/>
      <c r="AN17" s="6"/>
      <c r="AO17" s="6"/>
      <c r="AP17" s="6"/>
      <c r="AQ17" s="6"/>
      <c r="AR17" s="6"/>
      <c r="AS17" s="6"/>
      <c r="AT17" s="6">
        <v>48</v>
      </c>
      <c r="AU17" s="6"/>
      <c r="AV17" s="6"/>
      <c r="AW17" s="6"/>
      <c r="AX17" s="6"/>
      <c r="AY17" s="6"/>
      <c r="AZ17" s="6"/>
      <c r="BA17" s="6"/>
      <c r="BB17" s="6"/>
      <c r="BC17" s="6">
        <f t="shared" si="6"/>
        <v>88</v>
      </c>
    </row>
    <row r="18" spans="1:55">
      <c r="A18" s="5">
        <v>16</v>
      </c>
      <c r="B18" s="5" t="s">
        <v>21</v>
      </c>
      <c r="C18" s="5" t="s">
        <v>34</v>
      </c>
      <c r="D18" s="5" t="s">
        <v>35</v>
      </c>
      <c r="E18" s="9">
        <f>+VLOOKUP(C18,'[1]Summary Table'!$C$2:$G$287,5,0)</f>
        <v>7</v>
      </c>
      <c r="F18" s="8">
        <f t="shared" si="5"/>
        <v>48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>
        <v>48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>
        <v>48</v>
      </c>
      <c r="BC18" s="6">
        <f t="shared" si="6"/>
        <v>96</v>
      </c>
    </row>
    <row r="19" spans="1:55">
      <c r="A19" s="5">
        <v>17</v>
      </c>
      <c r="B19" s="5" t="s">
        <v>21</v>
      </c>
      <c r="C19" s="5" t="s">
        <v>36</v>
      </c>
      <c r="D19" s="5" t="s">
        <v>37</v>
      </c>
      <c r="E19" s="9">
        <f>+VLOOKUP(C19,'[1]Summary Table'!$C$2:$G$287,5,0)</f>
        <v>3</v>
      </c>
      <c r="F19" s="8">
        <f t="shared" si="5"/>
        <v>60</v>
      </c>
      <c r="G19" s="6"/>
      <c r="H19" s="6"/>
      <c r="I19" s="6"/>
      <c r="J19" s="6"/>
      <c r="K19" s="6"/>
      <c r="L19" s="6"/>
      <c r="M19" s="6"/>
      <c r="N19" s="6">
        <v>8</v>
      </c>
      <c r="O19" s="6"/>
      <c r="P19" s="6"/>
      <c r="Q19" s="6"/>
      <c r="R19" s="6"/>
      <c r="S19" s="6"/>
      <c r="T19" s="6"/>
      <c r="U19" s="6"/>
      <c r="V19" s="6">
        <v>8</v>
      </c>
      <c r="W19" s="6"/>
      <c r="X19" s="6"/>
      <c r="Y19" s="6"/>
      <c r="Z19" s="6"/>
      <c r="AA19" s="6"/>
      <c r="AB19" s="6"/>
      <c r="AC19" s="6"/>
      <c r="AD19" s="6">
        <v>24</v>
      </c>
      <c r="AE19" s="6"/>
      <c r="AF19" s="6"/>
      <c r="AG19" s="6"/>
      <c r="AH19" s="6"/>
      <c r="AI19" s="6"/>
      <c r="AJ19" s="6"/>
      <c r="AK19" s="6"/>
      <c r="AL19" s="6">
        <v>8</v>
      </c>
      <c r="AM19" s="6"/>
      <c r="AN19" s="6"/>
      <c r="AO19" s="6"/>
      <c r="AP19" s="6"/>
      <c r="AQ19" s="6"/>
      <c r="AR19" s="6"/>
      <c r="AS19" s="6"/>
      <c r="AT19" s="6">
        <v>8</v>
      </c>
      <c r="AU19" s="6"/>
      <c r="AV19" s="6"/>
      <c r="AW19" s="6"/>
      <c r="AX19" s="6"/>
      <c r="AY19" s="6"/>
      <c r="AZ19" s="6"/>
      <c r="BA19" s="6"/>
      <c r="BB19" s="6">
        <v>60</v>
      </c>
      <c r="BC19" s="6">
        <f t="shared" si="6"/>
        <v>116</v>
      </c>
    </row>
    <row r="20" spans="1:55">
      <c r="A20" s="5">
        <v>18</v>
      </c>
      <c r="B20" s="5" t="s">
        <v>21</v>
      </c>
      <c r="C20" s="5" t="s">
        <v>38</v>
      </c>
      <c r="D20" s="24" t="s">
        <v>39</v>
      </c>
      <c r="E20" s="23">
        <f>+VLOOKUP(C20,'[1]Summary Table'!$C$2:$G$287,5,0)</f>
        <v>10</v>
      </c>
      <c r="F20" s="8">
        <f t="shared" si="5"/>
        <v>8</v>
      </c>
      <c r="G20" s="6"/>
      <c r="H20" s="6"/>
      <c r="I20" s="6"/>
      <c r="J20" s="6"/>
      <c r="K20" s="6"/>
      <c r="L20" s="6"/>
      <c r="M20" s="6"/>
      <c r="N20" s="6"/>
      <c r="O20" s="6"/>
      <c r="P20" s="6">
        <v>8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8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>
        <v>8</v>
      </c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>
        <v>8</v>
      </c>
      <c r="AY20" s="6"/>
      <c r="AZ20" s="6"/>
      <c r="BA20" s="6"/>
      <c r="BB20" s="6"/>
      <c r="BC20" s="6">
        <f t="shared" si="6"/>
        <v>32</v>
      </c>
    </row>
    <row r="21" spans="1:55">
      <c r="A21" s="5">
        <v>19</v>
      </c>
      <c r="B21" s="5" t="s">
        <v>21</v>
      </c>
      <c r="C21" s="5" t="s">
        <v>40</v>
      </c>
      <c r="D21" s="24" t="s">
        <v>39</v>
      </c>
      <c r="E21" s="23">
        <f>+VLOOKUP(C21,'[1]Summary Table'!$C$2:$G$287,5,0)</f>
        <v>10</v>
      </c>
      <c r="F21" s="8">
        <f t="shared" si="5"/>
        <v>8</v>
      </c>
      <c r="G21" s="6"/>
      <c r="H21" s="6"/>
      <c r="I21" s="6"/>
      <c r="J21" s="6"/>
      <c r="K21" s="6"/>
      <c r="L21" s="6"/>
      <c r="M21" s="6"/>
      <c r="N21" s="6"/>
      <c r="O21" s="6">
        <v>8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>
        <v>8</v>
      </c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>
        <v>8</v>
      </c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8</v>
      </c>
      <c r="AW21" s="6"/>
      <c r="AX21" s="6"/>
      <c r="AY21" s="6"/>
      <c r="AZ21" s="6"/>
      <c r="BA21" s="6"/>
      <c r="BB21" s="6"/>
      <c r="BC21" s="6">
        <f t="shared" si="6"/>
        <v>32</v>
      </c>
    </row>
    <row r="22" spans="1:55">
      <c r="A22" s="5">
        <v>20</v>
      </c>
      <c r="B22" s="5" t="s">
        <v>21</v>
      </c>
      <c r="C22" s="5" t="s">
        <v>41</v>
      </c>
      <c r="D22" s="24" t="s">
        <v>42</v>
      </c>
      <c r="E22" s="23">
        <f>+VLOOKUP(C22,'[1]Summary Table'!$C$2:$G$287,5,0)</f>
        <v>35</v>
      </c>
      <c r="F22" s="8">
        <f t="shared" si="5"/>
        <v>1</v>
      </c>
      <c r="G22" s="6"/>
      <c r="H22" s="6"/>
      <c r="I22" s="6"/>
      <c r="J22" s="6"/>
      <c r="K22" s="6"/>
      <c r="L22" s="6"/>
      <c r="M22" s="6"/>
      <c r="N22" s="6"/>
      <c r="O22" s="6"/>
      <c r="P22" s="6">
        <v>1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1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>
        <v>1</v>
      </c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>
        <v>1</v>
      </c>
      <c r="AX22" s="6"/>
      <c r="AY22" s="6"/>
      <c r="AZ22" s="6"/>
      <c r="BA22" s="6"/>
      <c r="BB22" s="6"/>
      <c r="BC22" s="6">
        <f t="shared" si="6"/>
        <v>4</v>
      </c>
    </row>
    <row r="23" spans="1:55">
      <c r="A23" s="5">
        <v>21</v>
      </c>
      <c r="B23" s="5" t="s">
        <v>21</v>
      </c>
      <c r="C23" s="5" t="s">
        <v>43</v>
      </c>
      <c r="D23" s="24" t="s">
        <v>42</v>
      </c>
      <c r="E23" s="23">
        <f>+VLOOKUP(C23,'[1]Summary Table'!$C$2:$G$287,5,0)</f>
        <v>35</v>
      </c>
      <c r="F23" s="8">
        <f t="shared" si="5"/>
        <v>1</v>
      </c>
      <c r="G23" s="6"/>
      <c r="H23" s="6"/>
      <c r="I23" s="6"/>
      <c r="J23" s="6"/>
      <c r="K23" s="6"/>
      <c r="L23" s="6"/>
      <c r="M23" s="6"/>
      <c r="N23" s="6"/>
      <c r="O23" s="6">
        <v>1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>
        <v>1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>
        <v>1</v>
      </c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</v>
      </c>
      <c r="AW23" s="6"/>
      <c r="AX23" s="6"/>
      <c r="AY23" s="6"/>
      <c r="AZ23" s="6"/>
      <c r="BA23" s="6"/>
      <c r="BB23" s="6"/>
      <c r="BC23" s="6">
        <f t="shared" si="6"/>
        <v>4</v>
      </c>
    </row>
    <row r="24" spans="1:55">
      <c r="A24" s="13">
        <v>23</v>
      </c>
      <c r="B24" s="13" t="s">
        <v>44</v>
      </c>
      <c r="C24" s="13"/>
      <c r="D24" s="13"/>
      <c r="E24" s="12"/>
      <c r="F24" s="11">
        <f t="shared" ref="F24:AK24" si="7">MAX(F25:F26)</f>
        <v>24</v>
      </c>
      <c r="G24" s="17">
        <f t="shared" si="7"/>
        <v>0</v>
      </c>
      <c r="H24" s="17">
        <f t="shared" si="7"/>
        <v>0</v>
      </c>
      <c r="I24" s="17">
        <f t="shared" si="7"/>
        <v>0</v>
      </c>
      <c r="J24" s="17">
        <f t="shared" si="7"/>
        <v>6</v>
      </c>
      <c r="K24" s="17">
        <f t="shared" si="7"/>
        <v>0</v>
      </c>
      <c r="L24" s="17">
        <f t="shared" si="7"/>
        <v>0</v>
      </c>
      <c r="M24" s="17">
        <f t="shared" si="7"/>
        <v>0</v>
      </c>
      <c r="N24" s="17">
        <f t="shared" si="7"/>
        <v>6</v>
      </c>
      <c r="O24" s="17">
        <f t="shared" si="7"/>
        <v>0</v>
      </c>
      <c r="P24" s="17">
        <f t="shared" si="7"/>
        <v>0</v>
      </c>
      <c r="Q24" s="17">
        <f t="shared" si="7"/>
        <v>0</v>
      </c>
      <c r="R24" s="17">
        <f t="shared" si="7"/>
        <v>6</v>
      </c>
      <c r="S24" s="17">
        <f t="shared" si="7"/>
        <v>0</v>
      </c>
      <c r="T24" s="17">
        <f t="shared" si="7"/>
        <v>0</v>
      </c>
      <c r="U24" s="17">
        <f t="shared" si="7"/>
        <v>0</v>
      </c>
      <c r="V24" s="17">
        <f t="shared" si="7"/>
        <v>6</v>
      </c>
      <c r="W24" s="17">
        <f t="shared" si="7"/>
        <v>0</v>
      </c>
      <c r="X24" s="17">
        <f t="shared" si="7"/>
        <v>0</v>
      </c>
      <c r="Y24" s="17">
        <f t="shared" si="7"/>
        <v>0</v>
      </c>
      <c r="Z24" s="17">
        <f t="shared" si="7"/>
        <v>6</v>
      </c>
      <c r="AA24" s="17">
        <f t="shared" si="7"/>
        <v>0</v>
      </c>
      <c r="AB24" s="17">
        <f t="shared" si="7"/>
        <v>0</v>
      </c>
      <c r="AC24" s="17">
        <f t="shared" si="7"/>
        <v>0</v>
      </c>
      <c r="AD24" s="17">
        <f t="shared" si="7"/>
        <v>24</v>
      </c>
      <c r="AE24" s="17">
        <f t="shared" si="7"/>
        <v>0</v>
      </c>
      <c r="AF24" s="17">
        <f t="shared" si="7"/>
        <v>0</v>
      </c>
      <c r="AG24" s="17">
        <f t="shared" si="7"/>
        <v>0</v>
      </c>
      <c r="AH24" s="17">
        <f t="shared" si="7"/>
        <v>6</v>
      </c>
      <c r="AI24" s="17">
        <f t="shared" si="7"/>
        <v>0</v>
      </c>
      <c r="AJ24" s="17">
        <f t="shared" si="7"/>
        <v>0</v>
      </c>
      <c r="AK24" s="17">
        <f t="shared" si="7"/>
        <v>0</v>
      </c>
      <c r="AL24" s="17">
        <f t="shared" ref="AL24:BC24" si="8">MAX(AL25:AL26)</f>
        <v>6</v>
      </c>
      <c r="AM24" s="17">
        <f t="shared" si="8"/>
        <v>0</v>
      </c>
      <c r="AN24" s="17">
        <f t="shared" si="8"/>
        <v>0</v>
      </c>
      <c r="AO24" s="17">
        <f t="shared" si="8"/>
        <v>0</v>
      </c>
      <c r="AP24" s="17">
        <f t="shared" si="8"/>
        <v>6</v>
      </c>
      <c r="AQ24" s="17">
        <f t="shared" si="8"/>
        <v>0</v>
      </c>
      <c r="AR24" s="17">
        <f t="shared" si="8"/>
        <v>0</v>
      </c>
      <c r="AS24" s="17">
        <f t="shared" si="8"/>
        <v>0</v>
      </c>
      <c r="AT24" s="17">
        <f t="shared" si="8"/>
        <v>6</v>
      </c>
      <c r="AU24" s="17">
        <f t="shared" si="8"/>
        <v>0</v>
      </c>
      <c r="AV24" s="17">
        <f t="shared" si="8"/>
        <v>0</v>
      </c>
      <c r="AW24" s="17">
        <f t="shared" si="8"/>
        <v>0</v>
      </c>
      <c r="AX24" s="17">
        <f t="shared" si="8"/>
        <v>6</v>
      </c>
      <c r="AY24" s="17">
        <f t="shared" si="8"/>
        <v>0</v>
      </c>
      <c r="AZ24" s="17">
        <f t="shared" si="8"/>
        <v>0</v>
      </c>
      <c r="BA24" s="17">
        <f t="shared" si="8"/>
        <v>0</v>
      </c>
      <c r="BB24" s="17">
        <f t="shared" si="8"/>
        <v>24</v>
      </c>
      <c r="BC24" s="17">
        <f t="shared" si="8"/>
        <v>108</v>
      </c>
    </row>
    <row r="25" spans="1:55">
      <c r="A25" s="5">
        <v>24</v>
      </c>
      <c r="B25" s="5" t="s">
        <v>44</v>
      </c>
      <c r="C25" s="5" t="s">
        <v>45</v>
      </c>
      <c r="D25" s="5" t="s">
        <v>46</v>
      </c>
      <c r="E25" s="9">
        <f>+VLOOKUP(C25,'[1]Summary Table'!$C$2:$G$287,5,0)</f>
        <v>15</v>
      </c>
      <c r="F25" s="8">
        <f>+MAX(G25:BB25)</f>
        <v>24</v>
      </c>
      <c r="G25" s="6"/>
      <c r="H25" s="6"/>
      <c r="I25" s="6"/>
      <c r="J25" s="6">
        <v>6</v>
      </c>
      <c r="K25" s="6"/>
      <c r="L25" s="6"/>
      <c r="M25" s="6"/>
      <c r="N25" s="6">
        <v>6</v>
      </c>
      <c r="O25" s="6"/>
      <c r="P25" s="6"/>
      <c r="Q25" s="6"/>
      <c r="R25" s="6">
        <v>6</v>
      </c>
      <c r="S25" s="6"/>
      <c r="T25" s="6"/>
      <c r="U25" s="6"/>
      <c r="V25" s="6">
        <v>6</v>
      </c>
      <c r="W25" s="6"/>
      <c r="X25" s="6"/>
      <c r="Y25" s="6"/>
      <c r="Z25" s="6">
        <v>6</v>
      </c>
      <c r="AA25" s="6"/>
      <c r="AB25" s="6"/>
      <c r="AC25" s="6"/>
      <c r="AD25" s="6">
        <v>24</v>
      </c>
      <c r="AE25" s="6"/>
      <c r="AF25" s="6"/>
      <c r="AG25" s="6"/>
      <c r="AH25" s="6">
        <v>6</v>
      </c>
      <c r="AI25" s="6"/>
      <c r="AJ25" s="6"/>
      <c r="AK25" s="6"/>
      <c r="AL25" s="6">
        <v>6</v>
      </c>
      <c r="AM25" s="6"/>
      <c r="AN25" s="6"/>
      <c r="AO25" s="6"/>
      <c r="AP25" s="6">
        <v>6</v>
      </c>
      <c r="AQ25" s="6"/>
      <c r="AR25" s="6"/>
      <c r="AS25" s="6"/>
      <c r="AT25" s="6">
        <v>6</v>
      </c>
      <c r="AU25" s="6"/>
      <c r="AV25" s="6"/>
      <c r="AW25" s="6"/>
      <c r="AX25" s="6">
        <v>6</v>
      </c>
      <c r="AY25" s="6"/>
      <c r="AZ25" s="6"/>
      <c r="BA25" s="6"/>
      <c r="BB25" s="6">
        <v>24</v>
      </c>
      <c r="BC25" s="6">
        <f>+SUM(G25:BB25)</f>
        <v>108</v>
      </c>
    </row>
    <row r="26" spans="1:55">
      <c r="A26" s="5">
        <v>25</v>
      </c>
      <c r="B26" s="5" t="s">
        <v>44</v>
      </c>
      <c r="C26" s="5" t="s">
        <v>47</v>
      </c>
      <c r="D26" s="5" t="s">
        <v>48</v>
      </c>
      <c r="E26" s="9">
        <f>+VLOOKUP(C26,'[1]Summary Table'!$C$2:$G$287,5,0)</f>
        <v>15</v>
      </c>
      <c r="F26" s="8">
        <f>+MAX(G26:BB26)</f>
        <v>24</v>
      </c>
      <c r="G26" s="6"/>
      <c r="H26" s="6"/>
      <c r="I26" s="6"/>
      <c r="J26" s="6">
        <v>6</v>
      </c>
      <c r="K26" s="6"/>
      <c r="L26" s="6"/>
      <c r="M26" s="6"/>
      <c r="N26" s="6">
        <v>6</v>
      </c>
      <c r="O26" s="6"/>
      <c r="P26" s="6"/>
      <c r="Q26" s="6"/>
      <c r="R26" s="6">
        <v>6</v>
      </c>
      <c r="S26" s="6"/>
      <c r="T26" s="6"/>
      <c r="U26" s="6"/>
      <c r="V26" s="6">
        <v>6</v>
      </c>
      <c r="W26" s="6"/>
      <c r="X26" s="6"/>
      <c r="Y26" s="6"/>
      <c r="Z26" s="6">
        <v>6</v>
      </c>
      <c r="AA26" s="6"/>
      <c r="AB26" s="6"/>
      <c r="AC26" s="6"/>
      <c r="AD26" s="6">
        <v>24</v>
      </c>
      <c r="AE26" s="6"/>
      <c r="AF26" s="6"/>
      <c r="AG26" s="6"/>
      <c r="AH26" s="6">
        <v>6</v>
      </c>
      <c r="AI26" s="6"/>
      <c r="AJ26" s="6"/>
      <c r="AK26" s="6"/>
      <c r="AL26" s="6">
        <v>6</v>
      </c>
      <c r="AM26" s="6"/>
      <c r="AN26" s="6"/>
      <c r="AO26" s="6"/>
      <c r="AP26" s="6">
        <v>6</v>
      </c>
      <c r="AQ26" s="6"/>
      <c r="AR26" s="6"/>
      <c r="AS26" s="6"/>
      <c r="AT26" s="6">
        <v>6</v>
      </c>
      <c r="AU26" s="6"/>
      <c r="AV26" s="6"/>
      <c r="AW26" s="6"/>
      <c r="AX26" s="6">
        <v>6</v>
      </c>
      <c r="AY26" s="6"/>
      <c r="AZ26" s="6"/>
      <c r="BA26" s="6"/>
      <c r="BB26" s="6">
        <v>24</v>
      </c>
      <c r="BC26" s="6">
        <f>+SUM(G26:BB26)</f>
        <v>108</v>
      </c>
    </row>
    <row r="27" spans="1:55">
      <c r="A27" s="13">
        <v>26</v>
      </c>
      <c r="B27" s="13" t="s">
        <v>49</v>
      </c>
      <c r="C27" s="13"/>
      <c r="D27" s="13"/>
      <c r="E27" s="12"/>
      <c r="F27" s="11">
        <f t="shared" ref="F27:AK27" si="9">MAX(F28:F39)</f>
        <v>60</v>
      </c>
      <c r="G27" s="17">
        <f t="shared" si="9"/>
        <v>0</v>
      </c>
      <c r="H27" s="17">
        <f t="shared" si="9"/>
        <v>8</v>
      </c>
      <c r="I27" s="17">
        <f t="shared" si="9"/>
        <v>0</v>
      </c>
      <c r="J27" s="17">
        <f t="shared" si="9"/>
        <v>0</v>
      </c>
      <c r="K27" s="17">
        <f t="shared" si="9"/>
        <v>0</v>
      </c>
      <c r="L27" s="17">
        <f t="shared" si="9"/>
        <v>8</v>
      </c>
      <c r="M27" s="17">
        <f t="shared" si="9"/>
        <v>0</v>
      </c>
      <c r="N27" s="17">
        <f t="shared" si="9"/>
        <v>0</v>
      </c>
      <c r="O27" s="17">
        <f t="shared" si="9"/>
        <v>0</v>
      </c>
      <c r="P27" s="17">
        <f t="shared" si="9"/>
        <v>0</v>
      </c>
      <c r="Q27" s="17">
        <f t="shared" si="9"/>
        <v>0</v>
      </c>
      <c r="R27" s="17">
        <f t="shared" si="9"/>
        <v>2</v>
      </c>
      <c r="S27" s="17">
        <f t="shared" si="9"/>
        <v>0</v>
      </c>
      <c r="T27" s="17">
        <f t="shared" si="9"/>
        <v>12</v>
      </c>
      <c r="U27" s="17">
        <f t="shared" si="9"/>
        <v>0</v>
      </c>
      <c r="V27" s="17">
        <f t="shared" si="9"/>
        <v>0</v>
      </c>
      <c r="W27" s="17">
        <f t="shared" si="9"/>
        <v>0</v>
      </c>
      <c r="X27" s="17">
        <f t="shared" si="9"/>
        <v>12</v>
      </c>
      <c r="Y27" s="17">
        <f t="shared" si="9"/>
        <v>0</v>
      </c>
      <c r="Z27" s="17">
        <f t="shared" si="9"/>
        <v>0</v>
      </c>
      <c r="AA27" s="17">
        <f t="shared" si="9"/>
        <v>0</v>
      </c>
      <c r="AB27" s="17">
        <f t="shared" si="9"/>
        <v>0</v>
      </c>
      <c r="AC27" s="17">
        <f t="shared" si="9"/>
        <v>0</v>
      </c>
      <c r="AD27" s="17">
        <f t="shared" si="9"/>
        <v>60</v>
      </c>
      <c r="AE27" s="17">
        <f t="shared" si="9"/>
        <v>0</v>
      </c>
      <c r="AF27" s="17">
        <f t="shared" si="9"/>
        <v>8</v>
      </c>
      <c r="AG27" s="17">
        <f t="shared" si="9"/>
        <v>0</v>
      </c>
      <c r="AH27" s="17">
        <f t="shared" si="9"/>
        <v>0</v>
      </c>
      <c r="AI27" s="17">
        <f t="shared" si="9"/>
        <v>0</v>
      </c>
      <c r="AJ27" s="17">
        <f t="shared" si="9"/>
        <v>8</v>
      </c>
      <c r="AK27" s="17">
        <f t="shared" si="9"/>
        <v>0</v>
      </c>
      <c r="AL27" s="17">
        <f t="shared" ref="AL27:BC27" si="10">MAX(AL28:AL39)</f>
        <v>0</v>
      </c>
      <c r="AM27" s="17">
        <f t="shared" si="10"/>
        <v>0</v>
      </c>
      <c r="AN27" s="17">
        <f t="shared" si="10"/>
        <v>0</v>
      </c>
      <c r="AO27" s="17">
        <f t="shared" si="10"/>
        <v>0</v>
      </c>
      <c r="AP27" s="17">
        <f t="shared" si="10"/>
        <v>2</v>
      </c>
      <c r="AQ27" s="17">
        <f t="shared" si="10"/>
        <v>0</v>
      </c>
      <c r="AR27" s="17">
        <f t="shared" si="10"/>
        <v>24</v>
      </c>
      <c r="AS27" s="17">
        <f t="shared" si="10"/>
        <v>0</v>
      </c>
      <c r="AT27" s="17">
        <f t="shared" si="10"/>
        <v>0</v>
      </c>
      <c r="AU27" s="17">
        <f t="shared" si="10"/>
        <v>0</v>
      </c>
      <c r="AV27" s="17">
        <f t="shared" si="10"/>
        <v>24</v>
      </c>
      <c r="AW27" s="17">
        <f t="shared" si="10"/>
        <v>0</v>
      </c>
      <c r="AX27" s="17">
        <f t="shared" si="10"/>
        <v>0</v>
      </c>
      <c r="AY27" s="17">
        <f t="shared" si="10"/>
        <v>0</v>
      </c>
      <c r="AZ27" s="17">
        <f t="shared" si="10"/>
        <v>0</v>
      </c>
      <c r="BA27" s="17">
        <f t="shared" si="10"/>
        <v>0</v>
      </c>
      <c r="BB27" s="17">
        <f t="shared" si="10"/>
        <v>24</v>
      </c>
      <c r="BC27" s="17">
        <f t="shared" si="10"/>
        <v>72</v>
      </c>
    </row>
    <row r="28" spans="1:55" ht="16.5" customHeight="1">
      <c r="A28" s="5">
        <v>27</v>
      </c>
      <c r="B28" s="5" t="s">
        <v>49</v>
      </c>
      <c r="C28" s="5" t="s">
        <v>50</v>
      </c>
      <c r="D28" s="7" t="s">
        <v>51</v>
      </c>
      <c r="E28" s="9">
        <f>+VLOOKUP(C28,'[1]Summary Table'!$C$2:$G$287,5,0)</f>
        <v>16</v>
      </c>
      <c r="F28" s="8">
        <f>+MAX(G28:BB28)</f>
        <v>60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6"/>
      <c r="S28" s="6"/>
      <c r="T28" s="4"/>
      <c r="U28" s="4"/>
      <c r="V28" s="4"/>
      <c r="W28" s="4"/>
      <c r="X28" s="4"/>
      <c r="Y28" s="4"/>
      <c r="Z28" s="4"/>
      <c r="AA28" s="4"/>
      <c r="AB28" s="4"/>
      <c r="AC28" s="4"/>
      <c r="AD28" s="6">
        <v>60</v>
      </c>
      <c r="AE28" s="4"/>
      <c r="AF28" s="6"/>
      <c r="AG28" s="4"/>
      <c r="AH28" s="4"/>
      <c r="AI28" s="4"/>
      <c r="AJ28" s="4"/>
      <c r="AK28" s="4"/>
      <c r="AL28" s="4"/>
      <c r="AM28" s="4"/>
      <c r="AN28" s="4"/>
      <c r="AO28" s="4"/>
      <c r="AP28" s="6"/>
      <c r="AQ28" s="4"/>
      <c r="AR28" s="4"/>
      <c r="AS28" s="6"/>
      <c r="AT28" s="6"/>
      <c r="AU28" s="4"/>
      <c r="AV28" s="4"/>
      <c r="AW28" s="4"/>
      <c r="AX28" s="4"/>
      <c r="AY28" s="4"/>
      <c r="AZ28" s="4"/>
      <c r="BA28" s="4"/>
      <c r="BB28" s="6">
        <v>12</v>
      </c>
      <c r="BC28" s="6">
        <f>+SUM(G28:BB28)</f>
        <v>72</v>
      </c>
    </row>
    <row r="29" spans="1:55">
      <c r="A29" s="5">
        <v>28</v>
      </c>
      <c r="B29" s="5" t="s">
        <v>49</v>
      </c>
      <c r="C29" s="5" t="s">
        <v>52</v>
      </c>
      <c r="D29" s="5" t="s">
        <v>53</v>
      </c>
      <c r="E29" s="10">
        <f>+VLOOKUP(C29,'[1]Summary Table'!$C$2:$G$287,5,0)</f>
        <v>18</v>
      </c>
      <c r="F29" s="8">
        <f>+MAX(G29:AZ29)</f>
        <v>24</v>
      </c>
      <c r="G29" s="6"/>
      <c r="H29" s="6"/>
      <c r="I29" s="6"/>
      <c r="J29" s="6"/>
      <c r="K29" s="6"/>
      <c r="L29" s="6">
        <v>8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>
        <v>12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>
        <v>8</v>
      </c>
      <c r="AK29" s="6"/>
      <c r="AL29" s="6"/>
      <c r="AM29" s="6"/>
      <c r="AO29" s="6"/>
      <c r="AP29" s="6"/>
      <c r="AQ29" s="6"/>
      <c r="AR29" s="6"/>
      <c r="AS29" s="6"/>
      <c r="AT29" s="6"/>
      <c r="AU29" s="6"/>
      <c r="AV29" s="6">
        <v>24</v>
      </c>
      <c r="AW29" s="6"/>
      <c r="AX29" s="6"/>
      <c r="AY29" s="6"/>
      <c r="AZ29" s="6"/>
      <c r="BA29" s="4"/>
      <c r="BB29" s="4"/>
      <c r="BC29" s="6">
        <f>+SUM(G29:AZ29)</f>
        <v>52</v>
      </c>
    </row>
    <row r="30" spans="1:55">
      <c r="A30" s="5">
        <v>29</v>
      </c>
      <c r="B30" s="5" t="s">
        <v>49</v>
      </c>
      <c r="C30" s="5" t="s">
        <v>54</v>
      </c>
      <c r="D30" s="5" t="s">
        <v>53</v>
      </c>
      <c r="E30" s="10">
        <f>+VLOOKUP(C30,'[1]Summary Table'!$C$2:$G$287,5,0)</f>
        <v>18</v>
      </c>
      <c r="F30" s="8">
        <f>+MAX(G30:AZ30)</f>
        <v>24</v>
      </c>
      <c r="G30" s="6"/>
      <c r="H30" s="6">
        <v>8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>
        <v>12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>
        <v>8</v>
      </c>
      <c r="AG30" s="6"/>
      <c r="AH30" s="6"/>
      <c r="AI30" s="6"/>
      <c r="AK30" s="6"/>
      <c r="AL30" s="6"/>
      <c r="AM30" s="6"/>
      <c r="AN30" s="6"/>
      <c r="AO30" s="6"/>
      <c r="AP30" s="6"/>
      <c r="AQ30" s="6"/>
      <c r="AR30" s="6">
        <v>24</v>
      </c>
      <c r="AS30" s="6"/>
      <c r="AT30" s="6"/>
      <c r="AU30" s="6"/>
      <c r="AV30" s="6"/>
      <c r="AW30" s="6"/>
      <c r="AX30" s="6"/>
      <c r="AY30" s="6"/>
      <c r="AZ30" s="6"/>
      <c r="BA30" s="4"/>
      <c r="BB30" s="4"/>
      <c r="BC30" s="6">
        <f>+SUM(G30:AZ30)</f>
        <v>52</v>
      </c>
    </row>
    <row r="31" spans="1:55">
      <c r="A31" s="5">
        <v>30</v>
      </c>
      <c r="B31" s="5" t="s">
        <v>49</v>
      </c>
      <c r="C31" s="5" t="s">
        <v>55</v>
      </c>
      <c r="D31" s="5" t="s">
        <v>56</v>
      </c>
      <c r="E31" s="9">
        <f>+VLOOKUP(C31,'[1]Summary Table'!$C$2:$G$287,5,0)</f>
        <v>35</v>
      </c>
      <c r="F31" s="8">
        <f>+MAX(G31:BB31)</f>
        <v>2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>
        <v>2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>
        <v>2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>
        <v>2</v>
      </c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>
        <v>2</v>
      </c>
      <c r="BC31" s="6">
        <f>+SUM(G31:BB31)</f>
        <v>8</v>
      </c>
    </row>
    <row r="32" spans="1:55">
      <c r="A32" s="5">
        <v>31</v>
      </c>
      <c r="B32" s="5" t="s">
        <v>49</v>
      </c>
      <c r="C32" s="5" t="s">
        <v>57</v>
      </c>
      <c r="D32" s="5" t="s">
        <v>58</v>
      </c>
      <c r="E32" s="9">
        <f>+VLOOKUP(C32,'[1]Summary Table'!$C$2:$G$287,5,0)</f>
        <v>26</v>
      </c>
      <c r="F32" s="8">
        <f>+MAX(G32:BB32)</f>
        <v>24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>
        <v>24</v>
      </c>
      <c r="BC32" s="6">
        <f>+SUM(G32:BB32)</f>
        <v>24</v>
      </c>
    </row>
    <row r="33" spans="1:55">
      <c r="A33" s="5">
        <v>32</v>
      </c>
      <c r="B33" s="5" t="s">
        <v>49</v>
      </c>
      <c r="C33" s="5" t="s">
        <v>59</v>
      </c>
      <c r="D33" s="5" t="s">
        <v>58</v>
      </c>
      <c r="E33" s="9">
        <f>+VLOOKUP(C33,'[1]Summary Table'!$C$2:$G$287,5,0)</f>
        <v>26</v>
      </c>
      <c r="F33" s="8">
        <f>+MAX(G33:BB33)</f>
        <v>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4"/>
      <c r="BC33" s="6">
        <f>+SUM(G33:BB33)</f>
        <v>0</v>
      </c>
    </row>
    <row r="34" spans="1:55">
      <c r="A34" s="5">
        <v>33</v>
      </c>
      <c r="B34" s="5" t="s">
        <v>49</v>
      </c>
      <c r="C34" s="5" t="s">
        <v>60</v>
      </c>
      <c r="D34" s="5" t="s">
        <v>58</v>
      </c>
      <c r="E34" s="9">
        <f>+VLOOKUP(C34,'[1]Summary Table'!$C$2:$G$287,5,0)</f>
        <v>26</v>
      </c>
      <c r="F34" s="8">
        <f>+MAX(G34:BB34)</f>
        <v>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4"/>
      <c r="BC34" s="6">
        <f>+SUM(G34:BB34)</f>
        <v>0</v>
      </c>
    </row>
    <row r="35" spans="1:55">
      <c r="A35" s="5">
        <v>34</v>
      </c>
      <c r="B35" s="5" t="s">
        <v>49</v>
      </c>
      <c r="C35" s="5" t="s">
        <v>61</v>
      </c>
      <c r="D35" s="5" t="s">
        <v>58</v>
      </c>
      <c r="E35" s="9">
        <f>+VLOOKUP(C35,'[1]Summary Table'!$C$2:$G$287,5,0)</f>
        <v>26</v>
      </c>
      <c r="F35" s="8">
        <f>+MAX(G35:BB35)</f>
        <v>0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4"/>
      <c r="BC35" s="6">
        <f>+SUM(G35:BB35)</f>
        <v>0</v>
      </c>
    </row>
    <row r="36" spans="1:55">
      <c r="A36" s="5">
        <v>35</v>
      </c>
      <c r="B36" s="5" t="s">
        <v>49</v>
      </c>
      <c r="C36" s="5" t="s">
        <v>62</v>
      </c>
      <c r="D36" s="5" t="s">
        <v>63</v>
      </c>
      <c r="E36" s="9">
        <f>+VLOOKUP(C36,'[1]Summary Table'!$C$2:$G$287,5,0)</f>
        <v>27</v>
      </c>
      <c r="F36" s="8">
        <f>+MAX(G36:BA36)</f>
        <v>0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4"/>
      <c r="AZ36" s="6"/>
      <c r="BA36" s="6"/>
      <c r="BB36" s="4">
        <v>12</v>
      </c>
      <c r="BC36" s="6">
        <f>+SUM(G36:BA36)</f>
        <v>0</v>
      </c>
    </row>
    <row r="37" spans="1:55">
      <c r="A37" s="5">
        <v>36</v>
      </c>
      <c r="B37" s="5" t="s">
        <v>49</v>
      </c>
      <c r="C37" s="5" t="s">
        <v>64</v>
      </c>
      <c r="D37" s="5" t="s">
        <v>63</v>
      </c>
      <c r="E37" s="9">
        <f>+VLOOKUP(C37,'[1]Summary Table'!$C$2:$G$287,5,0)</f>
        <v>27</v>
      </c>
      <c r="F37" s="8">
        <f>+MAX(G37:BA37)</f>
        <v>0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4"/>
      <c r="AZ37" s="6"/>
      <c r="BA37" s="6"/>
      <c r="BB37" s="4"/>
      <c r="BC37" s="6">
        <f>+SUM(G37:BA37)</f>
        <v>0</v>
      </c>
    </row>
    <row r="38" spans="1:55">
      <c r="A38" s="5">
        <v>37</v>
      </c>
      <c r="B38" s="5" t="s">
        <v>49</v>
      </c>
      <c r="C38" s="5" t="s">
        <v>65</v>
      </c>
      <c r="D38" s="5" t="s">
        <v>63</v>
      </c>
      <c r="E38" s="9">
        <f>+VLOOKUP(C38,'[1]Summary Table'!$C$2:$G$287,5,0)</f>
        <v>27</v>
      </c>
      <c r="F38" s="8">
        <f>+MAX(G38:BA38)</f>
        <v>0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4"/>
      <c r="AZ38" s="6"/>
      <c r="BA38" s="6"/>
      <c r="BB38" s="4"/>
      <c r="BC38" s="6">
        <f>+SUM(G38:BA38)</f>
        <v>0</v>
      </c>
    </row>
    <row r="39" spans="1:55">
      <c r="A39" s="5">
        <v>38</v>
      </c>
      <c r="B39" s="5" t="s">
        <v>49</v>
      </c>
      <c r="C39" s="5" t="s">
        <v>66</v>
      </c>
      <c r="D39" s="5" t="s">
        <v>63</v>
      </c>
      <c r="E39" s="9">
        <f>+VLOOKUP(C39,'[1]Summary Table'!$C$2:$G$287,5,0)</f>
        <v>27</v>
      </c>
      <c r="F39" s="8">
        <f>+MAX(G39:BA39)</f>
        <v>0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6"/>
      <c r="AY39" s="4"/>
      <c r="AZ39" s="6"/>
      <c r="BA39" s="6"/>
      <c r="BB39" s="4"/>
      <c r="BC39" s="6">
        <f>+SUM(G39:BA39)</f>
        <v>0</v>
      </c>
    </row>
    <row r="40" spans="1:55">
      <c r="A40" s="13">
        <v>39</v>
      </c>
      <c r="B40" s="13" t="s">
        <v>67</v>
      </c>
      <c r="C40" s="13"/>
      <c r="D40" s="13"/>
      <c r="E40" s="12"/>
      <c r="F40" s="11">
        <f t="shared" ref="F40:AK40" si="11">MAX(F42:F54)</f>
        <v>60</v>
      </c>
      <c r="G40" s="17">
        <f t="shared" si="11"/>
        <v>0</v>
      </c>
      <c r="H40" s="17">
        <f t="shared" si="11"/>
        <v>0</v>
      </c>
      <c r="I40" s="17">
        <f t="shared" si="11"/>
        <v>0</v>
      </c>
      <c r="J40" s="17">
        <f t="shared" si="11"/>
        <v>1</v>
      </c>
      <c r="K40" s="17">
        <f t="shared" si="11"/>
        <v>0</v>
      </c>
      <c r="L40" s="17">
        <f t="shared" si="11"/>
        <v>0</v>
      </c>
      <c r="M40" s="17">
        <f t="shared" si="11"/>
        <v>0</v>
      </c>
      <c r="N40" s="17">
        <f t="shared" si="11"/>
        <v>1</v>
      </c>
      <c r="O40" s="17">
        <f t="shared" si="11"/>
        <v>0</v>
      </c>
      <c r="P40" s="17">
        <f t="shared" si="11"/>
        <v>0</v>
      </c>
      <c r="Q40" s="17">
        <f t="shared" si="11"/>
        <v>0</v>
      </c>
      <c r="R40" s="17">
        <f t="shared" si="11"/>
        <v>3</v>
      </c>
      <c r="S40" s="17">
        <f t="shared" si="11"/>
        <v>0</v>
      </c>
      <c r="T40" s="17">
        <f t="shared" si="11"/>
        <v>0</v>
      </c>
      <c r="U40" s="17">
        <f t="shared" si="11"/>
        <v>0</v>
      </c>
      <c r="V40" s="17">
        <f t="shared" si="11"/>
        <v>1</v>
      </c>
      <c r="W40" s="17">
        <f t="shared" si="11"/>
        <v>0</v>
      </c>
      <c r="X40" s="17">
        <f t="shared" si="11"/>
        <v>0</v>
      </c>
      <c r="Y40" s="17">
        <f t="shared" si="11"/>
        <v>0</v>
      </c>
      <c r="Z40" s="17">
        <f t="shared" si="11"/>
        <v>1</v>
      </c>
      <c r="AA40" s="17">
        <f t="shared" si="11"/>
        <v>0</v>
      </c>
      <c r="AB40" s="17">
        <f t="shared" si="11"/>
        <v>0</v>
      </c>
      <c r="AC40" s="17">
        <f t="shared" si="11"/>
        <v>0</v>
      </c>
      <c r="AD40" s="17">
        <f t="shared" si="11"/>
        <v>4</v>
      </c>
      <c r="AE40" s="17">
        <f t="shared" si="11"/>
        <v>0</v>
      </c>
      <c r="AF40" s="17">
        <f t="shared" si="11"/>
        <v>0</v>
      </c>
      <c r="AG40" s="17">
        <f t="shared" si="11"/>
        <v>0</v>
      </c>
      <c r="AH40" s="17">
        <f t="shared" si="11"/>
        <v>1</v>
      </c>
      <c r="AI40" s="17">
        <f t="shared" si="11"/>
        <v>0</v>
      </c>
      <c r="AJ40" s="17">
        <f t="shared" si="11"/>
        <v>0</v>
      </c>
      <c r="AK40" s="17">
        <f t="shared" si="11"/>
        <v>0</v>
      </c>
      <c r="AL40" s="17">
        <f t="shared" ref="AL40:BC40" si="12">MAX(AL42:AL54)</f>
        <v>1</v>
      </c>
      <c r="AM40" s="17">
        <f t="shared" si="12"/>
        <v>0</v>
      </c>
      <c r="AN40" s="17">
        <f t="shared" si="12"/>
        <v>0</v>
      </c>
      <c r="AO40" s="17">
        <f t="shared" si="12"/>
        <v>0</v>
      </c>
      <c r="AP40" s="17">
        <f t="shared" si="12"/>
        <v>3</v>
      </c>
      <c r="AQ40" s="17">
        <f t="shared" si="12"/>
        <v>0</v>
      </c>
      <c r="AR40" s="17">
        <f t="shared" si="12"/>
        <v>0</v>
      </c>
      <c r="AS40" s="17">
        <f t="shared" si="12"/>
        <v>0</v>
      </c>
      <c r="AT40" s="17">
        <f t="shared" si="12"/>
        <v>1</v>
      </c>
      <c r="AU40" s="17">
        <f t="shared" si="12"/>
        <v>0</v>
      </c>
      <c r="AV40" s="17">
        <f t="shared" si="12"/>
        <v>0</v>
      </c>
      <c r="AW40" s="17">
        <f t="shared" si="12"/>
        <v>0</v>
      </c>
      <c r="AX40" s="17">
        <f t="shared" si="12"/>
        <v>1</v>
      </c>
      <c r="AY40" s="17">
        <f t="shared" si="12"/>
        <v>0</v>
      </c>
      <c r="AZ40" s="17">
        <f t="shared" si="12"/>
        <v>0</v>
      </c>
      <c r="BA40" s="17">
        <f t="shared" si="12"/>
        <v>0</v>
      </c>
      <c r="BB40" s="17">
        <f t="shared" si="12"/>
        <v>60</v>
      </c>
      <c r="BC40" s="17">
        <f t="shared" si="12"/>
        <v>60</v>
      </c>
    </row>
    <row r="41" spans="1:55">
      <c r="A41" s="5">
        <v>40</v>
      </c>
      <c r="B41" s="5" t="s">
        <v>67</v>
      </c>
      <c r="C41" s="5" t="s">
        <v>68</v>
      </c>
      <c r="D41" s="5" t="s">
        <v>69</v>
      </c>
      <c r="E41" s="9">
        <f>+VLOOKUP(C41,'[1]Summary Table'!$C$2:$G$287,5,0)</f>
        <v>35</v>
      </c>
      <c r="F41" s="8">
        <f t="shared" ref="F41:F54" si="13">+MAX(G41:BB41)</f>
        <v>2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>
        <v>2</v>
      </c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>
        <v>2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>
        <v>2</v>
      </c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>
        <v>2</v>
      </c>
      <c r="BC41" s="6">
        <f t="shared" ref="BC41:BC54" si="14">+SUM(G41:BB41)</f>
        <v>8</v>
      </c>
    </row>
    <row r="42" spans="1:55">
      <c r="A42" s="5">
        <v>41</v>
      </c>
      <c r="B42" s="5" t="s">
        <v>67</v>
      </c>
      <c r="C42" s="5" t="s">
        <v>70</v>
      </c>
      <c r="D42" s="7" t="s">
        <v>71</v>
      </c>
      <c r="E42" s="9">
        <f>+VLOOKUP(C42,'[1]Summary Table'!$C$2:$G$287,5,0)</f>
        <v>17</v>
      </c>
      <c r="F42" s="8">
        <f t="shared" si="13"/>
        <v>60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6"/>
      <c r="S42" s="6"/>
      <c r="T42" s="4"/>
      <c r="U42" s="4"/>
      <c r="V42" s="4"/>
      <c r="W42" s="4"/>
      <c r="X42" s="4"/>
      <c r="Y42" s="4"/>
      <c r="Z42" s="4"/>
      <c r="AA42" s="4"/>
      <c r="AB42" s="4"/>
      <c r="AC42" s="4"/>
      <c r="AD42" s="6"/>
      <c r="AE42" s="4"/>
      <c r="AF42" s="6"/>
      <c r="AG42" s="4"/>
      <c r="AH42" s="4"/>
      <c r="AI42" s="4"/>
      <c r="AJ42" s="4"/>
      <c r="AK42" s="4"/>
      <c r="AL42" s="4"/>
      <c r="AM42" s="4"/>
      <c r="AN42" s="4"/>
      <c r="AO42" s="4"/>
      <c r="AP42" s="6"/>
      <c r="AQ42" s="4"/>
      <c r="AR42" s="4"/>
      <c r="AS42" s="6"/>
      <c r="AT42" s="6"/>
      <c r="AU42" s="4"/>
      <c r="AV42" s="4"/>
      <c r="AW42" s="4"/>
      <c r="AX42" s="4"/>
      <c r="AY42" s="4"/>
      <c r="AZ42" s="4"/>
      <c r="BA42" s="4"/>
      <c r="BB42" s="6">
        <v>60</v>
      </c>
      <c r="BC42" s="6">
        <f t="shared" si="14"/>
        <v>60</v>
      </c>
    </row>
    <row r="43" spans="1:55">
      <c r="A43" s="5">
        <v>42</v>
      </c>
      <c r="B43" s="5" t="s">
        <v>67</v>
      </c>
      <c r="C43" s="5" t="s">
        <v>72</v>
      </c>
      <c r="D43" s="5" t="s">
        <v>73</v>
      </c>
      <c r="E43" s="10">
        <f>+VLOOKUP(C43,'[1]Summary Table'!$C$2:$G$287,5,0)</f>
        <v>18</v>
      </c>
      <c r="F43" s="8">
        <f t="shared" si="13"/>
        <v>4</v>
      </c>
      <c r="G43" s="16"/>
      <c r="H43" s="16"/>
      <c r="I43" s="16"/>
      <c r="J43" s="16">
        <v>1</v>
      </c>
      <c r="K43" s="16"/>
      <c r="L43" s="16"/>
      <c r="M43" s="16"/>
      <c r="N43" s="16">
        <v>1</v>
      </c>
      <c r="O43" s="16"/>
      <c r="P43" s="16"/>
      <c r="Q43" s="16"/>
      <c r="R43" s="16">
        <v>1</v>
      </c>
      <c r="S43" s="16"/>
      <c r="T43" s="16"/>
      <c r="U43" s="16"/>
      <c r="V43" s="16">
        <v>1</v>
      </c>
      <c r="W43" s="16"/>
      <c r="X43" s="16"/>
      <c r="Y43" s="16"/>
      <c r="Z43" s="16">
        <v>1</v>
      </c>
      <c r="AA43" s="16"/>
      <c r="AB43" s="16"/>
      <c r="AC43" s="16"/>
      <c r="AD43" s="16">
        <v>4</v>
      </c>
      <c r="AE43" s="16"/>
      <c r="AF43" s="16"/>
      <c r="AG43" s="16"/>
      <c r="AH43" s="16">
        <v>1</v>
      </c>
      <c r="AI43" s="16"/>
      <c r="AJ43" s="16"/>
      <c r="AK43" s="16"/>
      <c r="AL43" s="16">
        <v>1</v>
      </c>
      <c r="AM43" s="16"/>
      <c r="AN43" s="16"/>
      <c r="AO43" s="16"/>
      <c r="AP43" s="16">
        <v>1</v>
      </c>
      <c r="AQ43" s="16"/>
      <c r="AR43" s="16"/>
      <c r="AS43" s="16"/>
      <c r="AT43" s="16">
        <v>1</v>
      </c>
      <c r="AU43" s="16"/>
      <c r="AV43" s="16"/>
      <c r="AW43" s="16"/>
      <c r="AX43" s="16">
        <v>1</v>
      </c>
      <c r="AY43" s="16"/>
      <c r="AZ43" s="16"/>
      <c r="BA43" s="16"/>
      <c r="BB43" s="16">
        <v>4</v>
      </c>
      <c r="BC43" s="6">
        <f t="shared" si="14"/>
        <v>18</v>
      </c>
    </row>
    <row r="44" spans="1:55">
      <c r="A44" s="5">
        <v>43</v>
      </c>
      <c r="B44" s="5" t="s">
        <v>67</v>
      </c>
      <c r="C44" s="5" t="s">
        <v>74</v>
      </c>
      <c r="D44" s="5" t="s">
        <v>75</v>
      </c>
      <c r="E44" s="10">
        <f>+VLOOKUP(C44,'[1]Summary Table'!$C$2:$G$287,5,0)</f>
        <v>18</v>
      </c>
      <c r="F44" s="8">
        <f t="shared" si="13"/>
        <v>0.5</v>
      </c>
      <c r="G44" s="16"/>
      <c r="H44" s="16"/>
      <c r="I44" s="16"/>
      <c r="J44" s="16">
        <v>0.5</v>
      </c>
      <c r="K44" s="16"/>
      <c r="L44" s="16"/>
      <c r="M44" s="16"/>
      <c r="N44" s="16">
        <v>0.5</v>
      </c>
      <c r="O44" s="16"/>
      <c r="P44" s="16"/>
      <c r="Q44" s="16"/>
      <c r="R44" s="16">
        <v>0.5</v>
      </c>
      <c r="S44" s="16"/>
      <c r="T44" s="16"/>
      <c r="U44" s="16"/>
      <c r="V44" s="16">
        <v>0.5</v>
      </c>
      <c r="W44" s="16"/>
      <c r="X44" s="16"/>
      <c r="Y44" s="16"/>
      <c r="Z44" s="16">
        <v>0.5</v>
      </c>
      <c r="AA44" s="16"/>
      <c r="AB44" s="16"/>
      <c r="AC44" s="16"/>
      <c r="AD44" s="16">
        <v>0.5</v>
      </c>
      <c r="AE44" s="16"/>
      <c r="AF44" s="16"/>
      <c r="AG44" s="16"/>
      <c r="AH44" s="16">
        <v>0.5</v>
      </c>
      <c r="AI44" s="16"/>
      <c r="AJ44" s="16"/>
      <c r="AK44" s="16"/>
      <c r="AL44" s="16">
        <v>0.5</v>
      </c>
      <c r="AM44" s="16"/>
      <c r="AN44" s="16"/>
      <c r="AO44" s="16"/>
      <c r="AP44" s="16">
        <v>0.5</v>
      </c>
      <c r="AQ44" s="16"/>
      <c r="AR44" s="16"/>
      <c r="AS44" s="16"/>
      <c r="AT44" s="16">
        <v>0.5</v>
      </c>
      <c r="AU44" s="16"/>
      <c r="AV44" s="16"/>
      <c r="AW44" s="16"/>
      <c r="AX44" s="16">
        <v>0.5</v>
      </c>
      <c r="AY44" s="16"/>
      <c r="AZ44" s="16"/>
      <c r="BA44" s="16"/>
      <c r="BB44" s="16">
        <v>0.5</v>
      </c>
      <c r="BC44" s="6">
        <f t="shared" si="14"/>
        <v>6</v>
      </c>
    </row>
    <row r="45" spans="1:55">
      <c r="A45" s="5">
        <v>44</v>
      </c>
      <c r="B45" s="5" t="s">
        <v>67</v>
      </c>
      <c r="C45" s="5" t="s">
        <v>76</v>
      </c>
      <c r="D45" s="5" t="s">
        <v>69</v>
      </c>
      <c r="E45" s="9">
        <f>+VLOOKUP(C45,'[1]Summary Table'!$C$2:$G$287,5,0)</f>
        <v>35</v>
      </c>
      <c r="F45" s="8">
        <f t="shared" si="13"/>
        <v>2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>
        <v>2</v>
      </c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>
        <v>2</v>
      </c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>
        <v>2</v>
      </c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>
        <v>2</v>
      </c>
      <c r="BC45" s="6">
        <f t="shared" si="14"/>
        <v>8</v>
      </c>
    </row>
    <row r="46" spans="1:55">
      <c r="A46" s="5">
        <v>45</v>
      </c>
      <c r="B46" s="5" t="s">
        <v>67</v>
      </c>
      <c r="C46" s="5" t="s">
        <v>77</v>
      </c>
      <c r="D46" s="7" t="s">
        <v>71</v>
      </c>
      <c r="E46" s="9">
        <f>+VLOOKUP(C46,'[1]Summary Table'!$C$2:$G$287,5,0)</f>
        <v>17</v>
      </c>
      <c r="F46" s="8">
        <f t="shared" si="13"/>
        <v>0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6"/>
      <c r="S46" s="16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6"/>
      <c r="AE46" s="22"/>
      <c r="AF46" s="16"/>
      <c r="AG46" s="22"/>
      <c r="AH46" s="22"/>
      <c r="AI46" s="22"/>
      <c r="AJ46" s="22"/>
      <c r="AK46" s="22"/>
      <c r="AL46" s="22"/>
      <c r="AM46" s="22"/>
      <c r="AN46" s="22"/>
      <c r="AO46" s="22"/>
      <c r="AP46" s="6"/>
      <c r="AQ46" s="22"/>
      <c r="AR46" s="22"/>
      <c r="AS46" s="16"/>
      <c r="AT46" s="16"/>
      <c r="AU46" s="22"/>
      <c r="AV46" s="22"/>
      <c r="AW46" s="22"/>
      <c r="AX46" s="22"/>
      <c r="AY46" s="22"/>
      <c r="AZ46" s="22"/>
      <c r="BA46" s="22"/>
      <c r="BB46" s="16"/>
      <c r="BC46" s="6">
        <f t="shared" si="14"/>
        <v>0</v>
      </c>
    </row>
    <row r="47" spans="1:55">
      <c r="A47" s="5">
        <v>46</v>
      </c>
      <c r="B47" s="5" t="s">
        <v>67</v>
      </c>
      <c r="C47" s="5" t="s">
        <v>78</v>
      </c>
      <c r="D47" s="5" t="s">
        <v>73</v>
      </c>
      <c r="E47" s="10">
        <f>+VLOOKUP(C47,'[1]Summary Table'!$C$2:$G$287,5,0)</f>
        <v>18</v>
      </c>
      <c r="F47" s="8">
        <f t="shared" si="13"/>
        <v>4</v>
      </c>
      <c r="G47" s="16"/>
      <c r="H47" s="16"/>
      <c r="I47" s="16"/>
      <c r="J47" s="16">
        <v>1</v>
      </c>
      <c r="K47" s="16"/>
      <c r="L47" s="16"/>
      <c r="M47" s="16"/>
      <c r="N47" s="16">
        <v>1</v>
      </c>
      <c r="O47" s="16"/>
      <c r="P47" s="16"/>
      <c r="Q47" s="16"/>
      <c r="R47" s="16">
        <v>1</v>
      </c>
      <c r="S47" s="16"/>
      <c r="T47" s="16"/>
      <c r="U47" s="16"/>
      <c r="V47" s="16">
        <v>1</v>
      </c>
      <c r="W47" s="16"/>
      <c r="X47" s="16"/>
      <c r="Y47" s="16"/>
      <c r="Z47" s="16">
        <v>1</v>
      </c>
      <c r="AA47" s="16"/>
      <c r="AB47" s="16"/>
      <c r="AC47" s="16"/>
      <c r="AD47" s="16">
        <v>4</v>
      </c>
      <c r="AE47" s="16"/>
      <c r="AF47" s="16"/>
      <c r="AG47" s="16"/>
      <c r="AH47" s="16">
        <v>1</v>
      </c>
      <c r="AI47" s="16"/>
      <c r="AJ47" s="16"/>
      <c r="AK47" s="16"/>
      <c r="AL47" s="16">
        <v>1</v>
      </c>
      <c r="AM47" s="16"/>
      <c r="AN47" s="16"/>
      <c r="AO47" s="16"/>
      <c r="AP47" s="16">
        <v>1</v>
      </c>
      <c r="AQ47" s="16"/>
      <c r="AR47" s="16"/>
      <c r="AS47" s="16"/>
      <c r="AT47" s="16">
        <v>1</v>
      </c>
      <c r="AU47" s="16"/>
      <c r="AV47" s="16"/>
      <c r="AW47" s="16"/>
      <c r="AX47" s="16">
        <v>1</v>
      </c>
      <c r="AY47" s="16"/>
      <c r="AZ47" s="16"/>
      <c r="BA47" s="16"/>
      <c r="BB47" s="16">
        <v>4</v>
      </c>
      <c r="BC47" s="6">
        <f t="shared" si="14"/>
        <v>18</v>
      </c>
    </row>
    <row r="48" spans="1:55">
      <c r="A48" s="5">
        <v>47</v>
      </c>
      <c r="B48" s="5" t="s">
        <v>67</v>
      </c>
      <c r="C48" s="5" t="s">
        <v>79</v>
      </c>
      <c r="D48" s="5" t="s">
        <v>75</v>
      </c>
      <c r="E48" s="10">
        <f>+VLOOKUP(C48,'[1]Summary Table'!$C$2:$G$287,5,0)</f>
        <v>18</v>
      </c>
      <c r="F48" s="8">
        <f t="shared" si="13"/>
        <v>0.5</v>
      </c>
      <c r="G48" s="16"/>
      <c r="H48" s="16"/>
      <c r="I48" s="16"/>
      <c r="J48" s="16">
        <v>0.5</v>
      </c>
      <c r="K48" s="16"/>
      <c r="L48" s="16"/>
      <c r="M48" s="16"/>
      <c r="N48" s="16">
        <v>0.5</v>
      </c>
      <c r="O48" s="16"/>
      <c r="P48" s="16"/>
      <c r="Q48" s="16"/>
      <c r="R48" s="16">
        <v>0.5</v>
      </c>
      <c r="S48" s="16"/>
      <c r="T48" s="16"/>
      <c r="U48" s="16"/>
      <c r="V48" s="16">
        <v>0.5</v>
      </c>
      <c r="W48" s="16"/>
      <c r="X48" s="16"/>
      <c r="Y48" s="16"/>
      <c r="Z48" s="16">
        <v>0.5</v>
      </c>
      <c r="AA48" s="16"/>
      <c r="AB48" s="16"/>
      <c r="AC48" s="16"/>
      <c r="AD48" s="16">
        <v>0.5</v>
      </c>
      <c r="AE48" s="16"/>
      <c r="AF48" s="16"/>
      <c r="AG48" s="16"/>
      <c r="AH48" s="16">
        <v>0.5</v>
      </c>
      <c r="AI48" s="16"/>
      <c r="AJ48" s="16"/>
      <c r="AK48" s="16"/>
      <c r="AL48" s="16">
        <v>0.5</v>
      </c>
      <c r="AM48" s="16"/>
      <c r="AN48" s="16"/>
      <c r="AO48" s="16"/>
      <c r="AP48" s="16">
        <v>0.5</v>
      </c>
      <c r="AQ48" s="16"/>
      <c r="AR48" s="16"/>
      <c r="AS48" s="16"/>
      <c r="AT48" s="16">
        <v>0.5</v>
      </c>
      <c r="AU48" s="16"/>
      <c r="AV48" s="16"/>
      <c r="AW48" s="16"/>
      <c r="AX48" s="16">
        <v>0.5</v>
      </c>
      <c r="AY48" s="16"/>
      <c r="AZ48" s="16"/>
      <c r="BA48" s="16"/>
      <c r="BB48" s="16">
        <v>0.5</v>
      </c>
      <c r="BC48" s="6">
        <f t="shared" si="14"/>
        <v>6</v>
      </c>
    </row>
    <row r="49" spans="1:55">
      <c r="A49" s="5">
        <v>48</v>
      </c>
      <c r="B49" s="5" t="s">
        <v>67</v>
      </c>
      <c r="C49" s="5" t="s">
        <v>80</v>
      </c>
      <c r="D49" s="5" t="s">
        <v>81</v>
      </c>
      <c r="E49" s="9">
        <f>+VLOOKUP(C49,'[1]Summary Table'!$C$2:$G$287,5,0)</f>
        <v>17</v>
      </c>
      <c r="F49" s="8">
        <f t="shared" si="13"/>
        <v>0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6">
        <f t="shared" si="14"/>
        <v>0</v>
      </c>
    </row>
    <row r="50" spans="1:55">
      <c r="A50" s="5">
        <v>49</v>
      </c>
      <c r="B50" s="5" t="s">
        <v>67</v>
      </c>
      <c r="C50" s="5" t="s">
        <v>82</v>
      </c>
      <c r="D50" s="5" t="s">
        <v>83</v>
      </c>
      <c r="E50" s="9">
        <f>+VLOOKUP(C50,'[1]Summary Table'!$C$2:$G$287,5,0)</f>
        <v>27</v>
      </c>
      <c r="F50" s="8">
        <f t="shared" si="13"/>
        <v>3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6">
        <v>3</v>
      </c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6">
        <v>3</v>
      </c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6">
        <v>3</v>
      </c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6">
        <v>3</v>
      </c>
      <c r="BC50" s="6">
        <f t="shared" si="14"/>
        <v>12</v>
      </c>
    </row>
    <row r="51" spans="1:55">
      <c r="A51" s="5">
        <v>50</v>
      </c>
      <c r="B51" s="5" t="s">
        <v>67</v>
      </c>
      <c r="C51" s="5" t="s">
        <v>84</v>
      </c>
      <c r="D51" s="5" t="s">
        <v>85</v>
      </c>
      <c r="E51" s="10">
        <f>+VLOOKUP(C51,'[1]Summary Table'!$C$2:$G$287,5,0)</f>
        <v>24</v>
      </c>
      <c r="F51" s="8">
        <f t="shared" si="13"/>
        <v>4</v>
      </c>
      <c r="G51" s="16"/>
      <c r="H51" s="16"/>
      <c r="I51" s="16"/>
      <c r="J51" s="16">
        <v>1</v>
      </c>
      <c r="K51" s="16"/>
      <c r="L51" s="16"/>
      <c r="M51" s="16"/>
      <c r="N51" s="16">
        <v>1</v>
      </c>
      <c r="O51" s="16"/>
      <c r="P51" s="16"/>
      <c r="Q51" s="16"/>
      <c r="R51" s="16">
        <v>1</v>
      </c>
      <c r="S51" s="16"/>
      <c r="T51" s="16"/>
      <c r="U51" s="16"/>
      <c r="V51" s="16">
        <v>1</v>
      </c>
      <c r="W51" s="16"/>
      <c r="X51" s="16"/>
      <c r="Y51" s="16"/>
      <c r="Z51" s="16">
        <v>1</v>
      </c>
      <c r="AA51" s="16"/>
      <c r="AB51" s="16"/>
      <c r="AC51" s="16"/>
      <c r="AD51" s="16">
        <v>4</v>
      </c>
      <c r="AE51" s="16"/>
      <c r="AF51" s="16"/>
      <c r="AG51" s="16"/>
      <c r="AH51" s="16">
        <v>1</v>
      </c>
      <c r="AI51" s="16"/>
      <c r="AJ51" s="16"/>
      <c r="AK51" s="16"/>
      <c r="AL51" s="16">
        <v>1</v>
      </c>
      <c r="AM51" s="16"/>
      <c r="AN51" s="16"/>
      <c r="AO51" s="16"/>
      <c r="AP51" s="16">
        <v>1</v>
      </c>
      <c r="AQ51" s="16"/>
      <c r="AR51" s="16"/>
      <c r="AS51" s="16"/>
      <c r="AT51" s="16">
        <v>1</v>
      </c>
      <c r="AU51" s="16"/>
      <c r="AV51" s="16"/>
      <c r="AW51" s="16"/>
      <c r="AX51" s="16">
        <v>1</v>
      </c>
      <c r="AY51" s="16"/>
      <c r="AZ51" s="16"/>
      <c r="BA51" s="16"/>
      <c r="BB51" s="16">
        <v>4</v>
      </c>
      <c r="BC51" s="6">
        <f t="shared" si="14"/>
        <v>18</v>
      </c>
    </row>
    <row r="52" spans="1:55">
      <c r="A52" s="5">
        <v>51</v>
      </c>
      <c r="B52" s="5" t="s">
        <v>67</v>
      </c>
      <c r="C52" s="5" t="s">
        <v>86</v>
      </c>
      <c r="D52" s="5" t="s">
        <v>85</v>
      </c>
      <c r="E52" s="10">
        <f>+VLOOKUP(C52,'[1]Summary Table'!$C$2:$G$287,5,0)</f>
        <v>24</v>
      </c>
      <c r="F52" s="8">
        <f t="shared" si="13"/>
        <v>4</v>
      </c>
      <c r="G52" s="16"/>
      <c r="H52" s="16"/>
      <c r="I52" s="16"/>
      <c r="J52" s="16">
        <v>1</v>
      </c>
      <c r="K52" s="16"/>
      <c r="L52" s="16"/>
      <c r="M52" s="16"/>
      <c r="N52" s="16">
        <v>1</v>
      </c>
      <c r="O52" s="16"/>
      <c r="P52" s="16"/>
      <c r="Q52" s="16"/>
      <c r="R52" s="16">
        <v>1</v>
      </c>
      <c r="S52" s="16"/>
      <c r="T52" s="16"/>
      <c r="U52" s="16"/>
      <c r="V52" s="16">
        <v>1</v>
      </c>
      <c r="W52" s="16"/>
      <c r="X52" s="16"/>
      <c r="Y52" s="16"/>
      <c r="Z52" s="16">
        <v>1</v>
      </c>
      <c r="AA52" s="16"/>
      <c r="AB52" s="16"/>
      <c r="AC52" s="16"/>
      <c r="AD52" s="16">
        <v>4</v>
      </c>
      <c r="AE52" s="16"/>
      <c r="AF52" s="16"/>
      <c r="AG52" s="16"/>
      <c r="AH52" s="16">
        <v>1</v>
      </c>
      <c r="AI52" s="16"/>
      <c r="AJ52" s="16"/>
      <c r="AK52" s="16"/>
      <c r="AL52" s="16">
        <v>1</v>
      </c>
      <c r="AM52" s="16"/>
      <c r="AN52" s="16"/>
      <c r="AO52" s="16"/>
      <c r="AP52" s="16">
        <v>1</v>
      </c>
      <c r="AQ52" s="16"/>
      <c r="AR52" s="16"/>
      <c r="AS52" s="16"/>
      <c r="AT52" s="16">
        <v>1</v>
      </c>
      <c r="AU52" s="16"/>
      <c r="AV52" s="16"/>
      <c r="AW52" s="16"/>
      <c r="AX52" s="16">
        <v>1</v>
      </c>
      <c r="AY52" s="16"/>
      <c r="AZ52" s="16"/>
      <c r="BA52" s="16"/>
      <c r="BB52" s="16">
        <v>4</v>
      </c>
      <c r="BC52" s="6">
        <f t="shared" si="14"/>
        <v>18</v>
      </c>
    </row>
    <row r="53" spans="1:55">
      <c r="A53" s="5">
        <v>52</v>
      </c>
      <c r="B53" s="5" t="s">
        <v>67</v>
      </c>
      <c r="C53" s="5" t="s">
        <v>87</v>
      </c>
      <c r="D53" s="5" t="s">
        <v>88</v>
      </c>
      <c r="E53" s="10">
        <f>+VLOOKUP(C53,'[1]Summary Table'!$C$2:$G$287,5,0)</f>
        <v>24</v>
      </c>
      <c r="F53" s="8">
        <f t="shared" si="13"/>
        <v>4</v>
      </c>
      <c r="G53" s="16"/>
      <c r="H53" s="16"/>
      <c r="I53" s="16"/>
      <c r="J53" s="16">
        <v>1</v>
      </c>
      <c r="K53" s="16"/>
      <c r="L53" s="16"/>
      <c r="M53" s="16"/>
      <c r="N53" s="16">
        <v>1</v>
      </c>
      <c r="O53" s="16"/>
      <c r="P53" s="16"/>
      <c r="Q53" s="16"/>
      <c r="R53" s="16">
        <v>1</v>
      </c>
      <c r="S53" s="16"/>
      <c r="T53" s="16"/>
      <c r="U53" s="16"/>
      <c r="V53" s="16">
        <v>1</v>
      </c>
      <c r="W53" s="16"/>
      <c r="X53" s="16"/>
      <c r="Y53" s="16"/>
      <c r="Z53" s="16">
        <v>1</v>
      </c>
      <c r="AA53" s="16"/>
      <c r="AB53" s="16"/>
      <c r="AC53" s="16"/>
      <c r="AD53" s="16">
        <v>4</v>
      </c>
      <c r="AE53" s="16"/>
      <c r="AF53" s="16"/>
      <c r="AG53" s="16"/>
      <c r="AH53" s="16">
        <v>1</v>
      </c>
      <c r="AI53" s="16"/>
      <c r="AJ53" s="16"/>
      <c r="AK53" s="16"/>
      <c r="AL53" s="16">
        <v>1</v>
      </c>
      <c r="AM53" s="16"/>
      <c r="AN53" s="16"/>
      <c r="AO53" s="16"/>
      <c r="AP53" s="16">
        <v>1</v>
      </c>
      <c r="AQ53" s="16"/>
      <c r="AR53" s="16"/>
      <c r="AS53" s="16"/>
      <c r="AT53" s="16">
        <v>1</v>
      </c>
      <c r="AU53" s="16"/>
      <c r="AV53" s="16"/>
      <c r="AW53" s="16"/>
      <c r="AX53" s="16">
        <v>1</v>
      </c>
      <c r="AY53" s="16"/>
      <c r="AZ53" s="16"/>
      <c r="BA53" s="16"/>
      <c r="BB53" s="16">
        <v>4</v>
      </c>
      <c r="BC53" s="6">
        <f t="shared" si="14"/>
        <v>18</v>
      </c>
    </row>
    <row r="54" spans="1:55">
      <c r="A54" s="5">
        <v>53</v>
      </c>
      <c r="B54" s="5" t="s">
        <v>67</v>
      </c>
      <c r="C54" s="5" t="s">
        <v>89</v>
      </c>
      <c r="D54" s="5" t="s">
        <v>88</v>
      </c>
      <c r="E54" s="10">
        <f>+VLOOKUP(C54,'[1]Summary Table'!$C$2:$G$287,5,0)</f>
        <v>24</v>
      </c>
      <c r="F54" s="8">
        <f t="shared" si="13"/>
        <v>4</v>
      </c>
      <c r="G54" s="6"/>
      <c r="H54" s="6"/>
      <c r="I54" s="6"/>
      <c r="J54" s="6">
        <v>1</v>
      </c>
      <c r="K54" s="6"/>
      <c r="L54" s="6"/>
      <c r="M54" s="6"/>
      <c r="N54" s="6">
        <v>1</v>
      </c>
      <c r="O54" s="6"/>
      <c r="P54" s="6"/>
      <c r="Q54" s="6"/>
      <c r="R54" s="6">
        <v>1</v>
      </c>
      <c r="S54" s="6"/>
      <c r="T54" s="6"/>
      <c r="U54" s="6"/>
      <c r="V54" s="6">
        <v>1</v>
      </c>
      <c r="W54" s="6"/>
      <c r="X54" s="6"/>
      <c r="Y54" s="6"/>
      <c r="Z54" s="6">
        <v>1</v>
      </c>
      <c r="AA54" s="6"/>
      <c r="AB54" s="6"/>
      <c r="AC54" s="6"/>
      <c r="AD54" s="6">
        <v>4</v>
      </c>
      <c r="AE54" s="6"/>
      <c r="AF54" s="6"/>
      <c r="AG54" s="6"/>
      <c r="AH54" s="6">
        <v>1</v>
      </c>
      <c r="AI54" s="6"/>
      <c r="AJ54" s="6"/>
      <c r="AK54" s="6"/>
      <c r="AL54" s="6">
        <v>1</v>
      </c>
      <c r="AM54" s="6"/>
      <c r="AN54" s="6"/>
      <c r="AO54" s="6"/>
      <c r="AP54" s="6">
        <v>1</v>
      </c>
      <c r="AQ54" s="6"/>
      <c r="AR54" s="6"/>
      <c r="AS54" s="6"/>
      <c r="AT54" s="6">
        <v>1</v>
      </c>
      <c r="AU54" s="6"/>
      <c r="AV54" s="6"/>
      <c r="AW54" s="6"/>
      <c r="AX54" s="6">
        <v>1</v>
      </c>
      <c r="AY54" s="6"/>
      <c r="AZ54" s="6"/>
      <c r="BA54" s="6"/>
      <c r="BB54" s="6">
        <v>4</v>
      </c>
      <c r="BC54" s="6">
        <f t="shared" si="14"/>
        <v>18</v>
      </c>
    </row>
    <row r="55" spans="1:55">
      <c r="A55" s="13">
        <v>54</v>
      </c>
      <c r="B55" s="13" t="s">
        <v>90</v>
      </c>
      <c r="C55" s="13"/>
      <c r="D55" s="13"/>
      <c r="E55" s="12"/>
      <c r="F55" s="11">
        <f t="shared" ref="F55:AK55" si="15">MAX(F56:F92)</f>
        <v>24</v>
      </c>
      <c r="G55" s="17">
        <f t="shared" si="15"/>
        <v>0</v>
      </c>
      <c r="H55" s="17">
        <f t="shared" si="15"/>
        <v>0</v>
      </c>
      <c r="I55" s="17">
        <f t="shared" si="15"/>
        <v>0</v>
      </c>
      <c r="J55" s="17">
        <f t="shared" si="15"/>
        <v>8</v>
      </c>
      <c r="K55" s="17">
        <f t="shared" si="15"/>
        <v>8</v>
      </c>
      <c r="L55" s="17">
        <f t="shared" si="15"/>
        <v>0</v>
      </c>
      <c r="M55" s="17">
        <f t="shared" si="15"/>
        <v>0</v>
      </c>
      <c r="N55" s="17">
        <f t="shared" si="15"/>
        <v>8</v>
      </c>
      <c r="O55" s="17">
        <f t="shared" si="15"/>
        <v>8</v>
      </c>
      <c r="P55" s="17">
        <f t="shared" si="15"/>
        <v>0</v>
      </c>
      <c r="Q55" s="17">
        <f t="shared" si="15"/>
        <v>0</v>
      </c>
      <c r="R55" s="17">
        <f t="shared" si="15"/>
        <v>8</v>
      </c>
      <c r="S55" s="17">
        <f t="shared" si="15"/>
        <v>8</v>
      </c>
      <c r="T55" s="17">
        <f t="shared" si="15"/>
        <v>0</v>
      </c>
      <c r="U55" s="17">
        <f t="shared" si="15"/>
        <v>0</v>
      </c>
      <c r="V55" s="17">
        <f t="shared" si="15"/>
        <v>8</v>
      </c>
      <c r="W55" s="17">
        <f t="shared" si="15"/>
        <v>8</v>
      </c>
      <c r="X55" s="17">
        <f t="shared" si="15"/>
        <v>0</v>
      </c>
      <c r="Y55" s="17">
        <f t="shared" si="15"/>
        <v>0</v>
      </c>
      <c r="Z55" s="17">
        <f t="shared" si="15"/>
        <v>0</v>
      </c>
      <c r="AA55" s="17">
        <f t="shared" si="15"/>
        <v>0</v>
      </c>
      <c r="AB55" s="17">
        <f t="shared" si="15"/>
        <v>0</v>
      </c>
      <c r="AC55" s="17">
        <f t="shared" si="15"/>
        <v>0</v>
      </c>
      <c r="AD55" s="17">
        <f t="shared" si="15"/>
        <v>24</v>
      </c>
      <c r="AE55" s="17">
        <f t="shared" si="15"/>
        <v>0</v>
      </c>
      <c r="AF55" s="17">
        <f t="shared" si="15"/>
        <v>0</v>
      </c>
      <c r="AG55" s="17">
        <f t="shared" si="15"/>
        <v>0</v>
      </c>
      <c r="AH55" s="17">
        <f t="shared" si="15"/>
        <v>8</v>
      </c>
      <c r="AI55" s="17">
        <f t="shared" si="15"/>
        <v>8</v>
      </c>
      <c r="AJ55" s="17">
        <f t="shared" si="15"/>
        <v>0</v>
      </c>
      <c r="AK55" s="17">
        <f t="shared" si="15"/>
        <v>0</v>
      </c>
      <c r="AL55" s="17">
        <f t="shared" ref="AL55:BC55" si="16">MAX(AL56:AL92)</f>
        <v>8</v>
      </c>
      <c r="AM55" s="17">
        <f t="shared" si="16"/>
        <v>8</v>
      </c>
      <c r="AN55" s="17">
        <f t="shared" si="16"/>
        <v>0</v>
      </c>
      <c r="AO55" s="17">
        <f t="shared" si="16"/>
        <v>0</v>
      </c>
      <c r="AP55" s="17">
        <f t="shared" si="16"/>
        <v>8</v>
      </c>
      <c r="AQ55" s="17">
        <f t="shared" si="16"/>
        <v>8</v>
      </c>
      <c r="AR55" s="17">
        <f t="shared" si="16"/>
        <v>0</v>
      </c>
      <c r="AS55" s="17">
        <f t="shared" si="16"/>
        <v>0</v>
      </c>
      <c r="AT55" s="17">
        <f t="shared" si="16"/>
        <v>8</v>
      </c>
      <c r="AU55" s="17">
        <f t="shared" si="16"/>
        <v>8</v>
      </c>
      <c r="AV55" s="17">
        <f t="shared" si="16"/>
        <v>0</v>
      </c>
      <c r="AW55" s="17">
        <f t="shared" si="16"/>
        <v>0</v>
      </c>
      <c r="AX55" s="17">
        <f t="shared" si="16"/>
        <v>0</v>
      </c>
      <c r="AY55" s="17">
        <f t="shared" si="16"/>
        <v>0</v>
      </c>
      <c r="AZ55" s="17">
        <f t="shared" si="16"/>
        <v>0</v>
      </c>
      <c r="BA55" s="17">
        <f t="shared" si="16"/>
        <v>0</v>
      </c>
      <c r="BB55" s="17">
        <f t="shared" si="16"/>
        <v>24</v>
      </c>
      <c r="BC55" s="17">
        <f t="shared" si="16"/>
        <v>64</v>
      </c>
    </row>
    <row r="56" spans="1:55">
      <c r="A56" s="5">
        <v>55</v>
      </c>
      <c r="B56" s="5" t="s">
        <v>90</v>
      </c>
      <c r="C56" s="5" t="s">
        <v>91</v>
      </c>
      <c r="D56" s="15" t="s">
        <v>92</v>
      </c>
      <c r="E56" s="18">
        <f>+VLOOKUP(C56,'[1]Summary Table'!$C$2:$G$287,5,0)</f>
        <v>45</v>
      </c>
      <c r="F56" s="8">
        <f t="shared" ref="F56:F92" si="17">+MAX(G56:BB56)</f>
        <v>2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>
        <v>2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>
        <v>2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>
        <v>2</v>
      </c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>
        <v>2</v>
      </c>
      <c r="BC56" s="6">
        <f t="shared" ref="BC56:BC92" si="18">+SUM(G56:BB56)</f>
        <v>8</v>
      </c>
    </row>
    <row r="57" spans="1:55">
      <c r="A57" s="5">
        <v>56</v>
      </c>
      <c r="B57" s="5" t="s">
        <v>90</v>
      </c>
      <c r="C57" s="5" t="s">
        <v>93</v>
      </c>
      <c r="D57" s="5" t="s">
        <v>94</v>
      </c>
      <c r="E57" s="9">
        <f>+VLOOKUP(C57,'[1]Summary Table'!$C$2:$G$287,5,0)</f>
        <v>26</v>
      </c>
      <c r="F57" s="8">
        <f t="shared" si="17"/>
        <v>24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>
        <v>24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>
        <f t="shared" si="18"/>
        <v>24</v>
      </c>
    </row>
    <row r="58" spans="1:55">
      <c r="A58" s="5">
        <v>57</v>
      </c>
      <c r="B58" s="5" t="s">
        <v>90</v>
      </c>
      <c r="C58" s="5" t="s">
        <v>95</v>
      </c>
      <c r="D58" s="5" t="s">
        <v>94</v>
      </c>
      <c r="E58" s="9">
        <f>+VLOOKUP(C58,'[1]Summary Table'!$C$2:$G$287,5,0)</f>
        <v>26</v>
      </c>
      <c r="F58" s="8">
        <f t="shared" si="17"/>
        <v>24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>
        <v>24</v>
      </c>
      <c r="BC58" s="6">
        <f t="shared" si="18"/>
        <v>24</v>
      </c>
    </row>
    <row r="59" spans="1:55">
      <c r="A59" s="5">
        <v>58</v>
      </c>
      <c r="B59" s="5" t="s">
        <v>90</v>
      </c>
      <c r="C59" s="5" t="s">
        <v>96</v>
      </c>
      <c r="D59" s="5" t="s">
        <v>94</v>
      </c>
      <c r="E59" s="9">
        <f>+VLOOKUP(C59,'[1]Summary Table'!$C$2:$G$287,5,0)</f>
        <v>26</v>
      </c>
      <c r="F59" s="8">
        <f t="shared" si="17"/>
        <v>0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>
        <f t="shared" si="18"/>
        <v>0</v>
      </c>
    </row>
    <row r="60" spans="1:55">
      <c r="A60" s="5">
        <v>59</v>
      </c>
      <c r="B60" s="5" t="s">
        <v>90</v>
      </c>
      <c r="C60" s="5" t="s">
        <v>97</v>
      </c>
      <c r="D60" s="5" t="s">
        <v>94</v>
      </c>
      <c r="E60" s="9">
        <f>+VLOOKUP(C60,'[1]Summary Table'!$C$2:$G$287,5,0)</f>
        <v>26</v>
      </c>
      <c r="F60" s="8">
        <f t="shared" si="17"/>
        <v>0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>
        <f t="shared" si="18"/>
        <v>0</v>
      </c>
    </row>
    <row r="61" spans="1:55">
      <c r="A61" s="5">
        <v>60</v>
      </c>
      <c r="B61" s="5" t="s">
        <v>90</v>
      </c>
      <c r="C61" s="5" t="s">
        <v>98</v>
      </c>
      <c r="D61" s="5" t="s">
        <v>94</v>
      </c>
      <c r="E61" s="9">
        <f>+VLOOKUP(C61,'[1]Summary Table'!$C$2:$G$287,5,0)</f>
        <v>26</v>
      </c>
      <c r="F61" s="8">
        <f t="shared" si="17"/>
        <v>0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>
        <f t="shared" si="18"/>
        <v>0</v>
      </c>
    </row>
    <row r="62" spans="1:55">
      <c r="A62" s="5">
        <v>61</v>
      </c>
      <c r="B62" s="5" t="s">
        <v>90</v>
      </c>
      <c r="C62" s="5" t="s">
        <v>99</v>
      </c>
      <c r="D62" s="5" t="s">
        <v>94</v>
      </c>
      <c r="E62" s="9">
        <f>+VLOOKUP(C62,'[1]Summary Table'!$C$2:$G$287,5,0)</f>
        <v>26</v>
      </c>
      <c r="F62" s="8">
        <f t="shared" si="17"/>
        <v>0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>
        <f t="shared" si="18"/>
        <v>0</v>
      </c>
    </row>
    <row r="63" spans="1:55">
      <c r="A63" s="5">
        <v>62</v>
      </c>
      <c r="B63" s="5" t="s">
        <v>90</v>
      </c>
      <c r="C63" s="5" t="s">
        <v>100</v>
      </c>
      <c r="D63" s="5" t="s">
        <v>94</v>
      </c>
      <c r="E63" s="9">
        <f>+VLOOKUP(C63,'[1]Summary Table'!$C$2:$G$287,5,0)</f>
        <v>26</v>
      </c>
      <c r="F63" s="8">
        <f t="shared" si="17"/>
        <v>0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>
        <f t="shared" si="18"/>
        <v>0</v>
      </c>
    </row>
    <row r="64" spans="1:55">
      <c r="A64" s="5">
        <v>63</v>
      </c>
      <c r="B64" s="5" t="s">
        <v>90</v>
      </c>
      <c r="C64" s="5" t="s">
        <v>101</v>
      </c>
      <c r="D64" s="5" t="s">
        <v>94</v>
      </c>
      <c r="E64" s="9">
        <f>+VLOOKUP(C64,'[1]Summary Table'!$C$2:$G$287,5,0)</f>
        <v>26</v>
      </c>
      <c r="F64" s="8">
        <f t="shared" si="17"/>
        <v>0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>
        <f t="shared" si="18"/>
        <v>0</v>
      </c>
    </row>
    <row r="65" spans="1:55">
      <c r="A65" s="5">
        <v>64</v>
      </c>
      <c r="B65" s="5" t="s">
        <v>90</v>
      </c>
      <c r="C65" s="5" t="s">
        <v>102</v>
      </c>
      <c r="D65" s="5" t="s">
        <v>103</v>
      </c>
      <c r="E65" s="9">
        <f>+VLOOKUP(C65,'[1]Summary Table'!$C$2:$G$287,5,0)</f>
        <v>27</v>
      </c>
      <c r="F65" s="8">
        <f t="shared" si="17"/>
        <v>12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>
        <v>12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>
        <f t="shared" si="18"/>
        <v>12</v>
      </c>
    </row>
    <row r="66" spans="1:55">
      <c r="A66" s="5">
        <v>65</v>
      </c>
      <c r="B66" s="5" t="s">
        <v>90</v>
      </c>
      <c r="C66" s="5" t="s">
        <v>104</v>
      </c>
      <c r="D66" s="5" t="s">
        <v>103</v>
      </c>
      <c r="E66" s="9">
        <f>+VLOOKUP(C66,'[1]Summary Table'!$C$2:$G$287,5,0)</f>
        <v>27</v>
      </c>
      <c r="F66" s="8">
        <f t="shared" si="17"/>
        <v>12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>
        <v>12</v>
      </c>
      <c r="BC66" s="6">
        <f t="shared" si="18"/>
        <v>12</v>
      </c>
    </row>
    <row r="67" spans="1:55">
      <c r="A67" s="5">
        <v>66</v>
      </c>
      <c r="B67" s="5" t="s">
        <v>90</v>
      </c>
      <c r="C67" s="5" t="s">
        <v>105</v>
      </c>
      <c r="D67" s="5" t="s">
        <v>103</v>
      </c>
      <c r="E67" s="9">
        <f>+VLOOKUP(C67,'[1]Summary Table'!$C$2:$G$287,5,0)</f>
        <v>27</v>
      </c>
      <c r="F67" s="8">
        <f t="shared" si="17"/>
        <v>0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>
        <f t="shared" si="18"/>
        <v>0</v>
      </c>
    </row>
    <row r="68" spans="1:55">
      <c r="A68" s="5">
        <v>67</v>
      </c>
      <c r="B68" s="5" t="s">
        <v>90</v>
      </c>
      <c r="C68" s="5" t="s">
        <v>106</v>
      </c>
      <c r="D68" s="5" t="s">
        <v>103</v>
      </c>
      <c r="E68" s="9">
        <f>+VLOOKUP(C68,'[1]Summary Table'!$C$2:$G$287,5,0)</f>
        <v>27</v>
      </c>
      <c r="F68" s="8">
        <f t="shared" si="17"/>
        <v>0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>
        <f t="shared" si="18"/>
        <v>0</v>
      </c>
    </row>
    <row r="69" spans="1:55">
      <c r="A69" s="5">
        <v>68</v>
      </c>
      <c r="B69" s="5" t="s">
        <v>90</v>
      </c>
      <c r="C69" s="5" t="s">
        <v>107</v>
      </c>
      <c r="D69" s="5" t="s">
        <v>103</v>
      </c>
      <c r="E69" s="9">
        <f>+VLOOKUP(C69,'[1]Summary Table'!$C$2:$G$287,5,0)</f>
        <v>27</v>
      </c>
      <c r="F69" s="8">
        <f t="shared" si="17"/>
        <v>0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>
        <f t="shared" si="18"/>
        <v>0</v>
      </c>
    </row>
    <row r="70" spans="1:55">
      <c r="A70" s="5">
        <v>69</v>
      </c>
      <c r="B70" s="5" t="s">
        <v>90</v>
      </c>
      <c r="C70" s="5" t="s">
        <v>108</v>
      </c>
      <c r="D70" s="5" t="s">
        <v>103</v>
      </c>
      <c r="E70" s="9">
        <f>+VLOOKUP(C70,'[1]Summary Table'!$C$2:$G$287,5,0)</f>
        <v>27</v>
      </c>
      <c r="F70" s="8">
        <f t="shared" si="17"/>
        <v>0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>
        <f t="shared" si="18"/>
        <v>0</v>
      </c>
    </row>
    <row r="71" spans="1:55">
      <c r="A71" s="5">
        <v>70</v>
      </c>
      <c r="B71" s="5" t="s">
        <v>90</v>
      </c>
      <c r="C71" s="5" t="s">
        <v>109</v>
      </c>
      <c r="D71" s="5" t="s">
        <v>103</v>
      </c>
      <c r="E71" s="9">
        <f>+VLOOKUP(C71,'[1]Summary Table'!$C$2:$G$287,5,0)</f>
        <v>27</v>
      </c>
      <c r="F71" s="8">
        <f t="shared" si="17"/>
        <v>0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>
        <f t="shared" si="18"/>
        <v>0</v>
      </c>
    </row>
    <row r="72" spans="1:55">
      <c r="A72" s="5">
        <v>71</v>
      </c>
      <c r="B72" s="5" t="s">
        <v>90</v>
      </c>
      <c r="C72" s="5" t="s">
        <v>110</v>
      </c>
      <c r="D72" s="5" t="s">
        <v>103</v>
      </c>
      <c r="E72" s="9">
        <f>+VLOOKUP(C72,'[1]Summary Table'!$C$2:$G$287,5,0)</f>
        <v>27</v>
      </c>
      <c r="F72" s="16">
        <f t="shared" si="17"/>
        <v>0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>
        <f t="shared" si="18"/>
        <v>0</v>
      </c>
    </row>
    <row r="73" spans="1:55">
      <c r="A73" s="5">
        <v>72</v>
      </c>
      <c r="B73" s="5" t="s">
        <v>90</v>
      </c>
      <c r="C73" s="5" t="s">
        <v>111</v>
      </c>
      <c r="D73" s="15" t="s">
        <v>112</v>
      </c>
      <c r="E73" s="18">
        <f>+VLOOKUP(C73,'[1]Summary Table'!$C$2:$G$287,5,0)</f>
        <v>23</v>
      </c>
      <c r="F73" s="8">
        <f t="shared" si="17"/>
        <v>8</v>
      </c>
      <c r="G73" s="6"/>
      <c r="H73" s="6"/>
      <c r="I73" s="6"/>
      <c r="J73" s="6">
        <v>8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8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>
        <f t="shared" si="18"/>
        <v>16</v>
      </c>
    </row>
    <row r="74" spans="1:55">
      <c r="A74" s="5">
        <v>73</v>
      </c>
      <c r="B74" s="5" t="s">
        <v>90</v>
      </c>
      <c r="C74" s="5" t="s">
        <v>113</v>
      </c>
      <c r="D74" s="15" t="s">
        <v>112</v>
      </c>
      <c r="E74" s="18">
        <f>+VLOOKUP(C74,'[1]Summary Table'!$C$2:$G$287,5,0)</f>
        <v>23</v>
      </c>
      <c r="F74" s="8">
        <f t="shared" si="17"/>
        <v>8</v>
      </c>
      <c r="G74" s="6"/>
      <c r="H74" s="6"/>
      <c r="I74" s="6"/>
      <c r="J74" s="6">
        <v>8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8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>
        <f t="shared" si="18"/>
        <v>16</v>
      </c>
    </row>
    <row r="75" spans="1:55">
      <c r="A75" s="5">
        <v>74</v>
      </c>
      <c r="B75" s="5" t="s">
        <v>90</v>
      </c>
      <c r="C75" s="5" t="s">
        <v>114</v>
      </c>
      <c r="D75" s="15" t="s">
        <v>112</v>
      </c>
      <c r="E75" s="18">
        <f>+VLOOKUP(C75,'[1]Summary Table'!$C$2:$G$287,5,0)</f>
        <v>23</v>
      </c>
      <c r="F75" s="8">
        <f t="shared" si="17"/>
        <v>8</v>
      </c>
      <c r="G75" s="6"/>
      <c r="H75" s="6"/>
      <c r="I75" s="6"/>
      <c r="J75" s="6"/>
      <c r="K75" s="6"/>
      <c r="L75" s="6"/>
      <c r="M75" s="6"/>
      <c r="N75" s="6">
        <v>8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>
        <v>8</v>
      </c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>
        <f t="shared" si="18"/>
        <v>16</v>
      </c>
    </row>
    <row r="76" spans="1:55">
      <c r="A76" s="5">
        <v>75</v>
      </c>
      <c r="B76" s="5" t="s">
        <v>90</v>
      </c>
      <c r="C76" s="5" t="s">
        <v>115</v>
      </c>
      <c r="D76" s="15" t="s">
        <v>112</v>
      </c>
      <c r="E76" s="18">
        <f>+VLOOKUP(C76,'[1]Summary Table'!$C$2:$G$287,5,0)</f>
        <v>23</v>
      </c>
      <c r="F76" s="8">
        <f t="shared" si="17"/>
        <v>8</v>
      </c>
      <c r="G76" s="6"/>
      <c r="H76" s="6"/>
      <c r="I76" s="6"/>
      <c r="J76" s="6"/>
      <c r="K76" s="6"/>
      <c r="L76" s="6"/>
      <c r="M76" s="6"/>
      <c r="N76" s="6">
        <v>8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>
        <v>8</v>
      </c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>
        <f t="shared" si="18"/>
        <v>16</v>
      </c>
    </row>
    <row r="77" spans="1:55">
      <c r="A77" s="5">
        <v>76</v>
      </c>
      <c r="B77" s="5" t="s">
        <v>90</v>
      </c>
      <c r="C77" s="5" t="s">
        <v>116</v>
      </c>
      <c r="D77" s="15" t="s">
        <v>112</v>
      </c>
      <c r="E77" s="18">
        <f>+VLOOKUP(C77,'[1]Summary Table'!$C$2:$G$287,5,0)</f>
        <v>23</v>
      </c>
      <c r="F77" s="8">
        <f t="shared" si="17"/>
        <v>8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>
        <v>8</v>
      </c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>
        <v>8</v>
      </c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>
        <f t="shared" si="18"/>
        <v>16</v>
      </c>
    </row>
    <row r="78" spans="1:55">
      <c r="A78" s="5">
        <v>77</v>
      </c>
      <c r="B78" s="5" t="s">
        <v>90</v>
      </c>
      <c r="C78" s="5" t="s">
        <v>117</v>
      </c>
      <c r="D78" s="15" t="s">
        <v>112</v>
      </c>
      <c r="E78" s="18">
        <f>+VLOOKUP(C78,'[1]Summary Table'!$C$2:$G$287,5,0)</f>
        <v>23</v>
      </c>
      <c r="F78" s="8">
        <f t="shared" si="17"/>
        <v>8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>
        <v>8</v>
      </c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>
        <v>8</v>
      </c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>
        <f t="shared" si="18"/>
        <v>16</v>
      </c>
    </row>
    <row r="79" spans="1:55">
      <c r="A79" s="5">
        <v>78</v>
      </c>
      <c r="B79" s="5" t="s">
        <v>90</v>
      </c>
      <c r="C79" s="5" t="s">
        <v>118</v>
      </c>
      <c r="D79" s="15" t="s">
        <v>112</v>
      </c>
      <c r="E79" s="18">
        <f>+VLOOKUP(C79,'[1]Summary Table'!$C$2:$G$287,5,0)</f>
        <v>23</v>
      </c>
      <c r="F79" s="8">
        <f t="shared" si="17"/>
        <v>8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8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>
        <v>8</v>
      </c>
      <c r="AU79" s="6"/>
      <c r="AV79" s="6"/>
      <c r="AW79" s="6"/>
      <c r="AX79" s="6"/>
      <c r="AY79" s="6"/>
      <c r="AZ79" s="6"/>
      <c r="BA79" s="6"/>
      <c r="BB79" s="6"/>
      <c r="BC79" s="6">
        <f t="shared" si="18"/>
        <v>16</v>
      </c>
    </row>
    <row r="80" spans="1:55">
      <c r="A80" s="5">
        <v>79</v>
      </c>
      <c r="B80" s="5" t="s">
        <v>90</v>
      </c>
      <c r="C80" s="5" t="s">
        <v>119</v>
      </c>
      <c r="D80" s="15" t="s">
        <v>112</v>
      </c>
      <c r="E80" s="18">
        <f>+VLOOKUP(C80,'[1]Summary Table'!$C$2:$G$287,5,0)</f>
        <v>23</v>
      </c>
      <c r="F80" s="8">
        <f t="shared" si="17"/>
        <v>8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8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>
        <v>8</v>
      </c>
      <c r="AU80" s="6"/>
      <c r="AV80" s="6"/>
      <c r="AW80" s="6"/>
      <c r="AX80" s="6"/>
      <c r="AY80" s="6"/>
      <c r="AZ80" s="6"/>
      <c r="BA80" s="6"/>
      <c r="BB80" s="6"/>
      <c r="BC80" s="6">
        <f t="shared" si="18"/>
        <v>16</v>
      </c>
    </row>
    <row r="81" spans="1:55">
      <c r="A81" s="5">
        <v>80</v>
      </c>
      <c r="B81" s="5" t="s">
        <v>90</v>
      </c>
      <c r="C81" s="5" t="s">
        <v>120</v>
      </c>
      <c r="D81" s="15" t="s">
        <v>121</v>
      </c>
      <c r="E81" s="18">
        <f>+VLOOKUP(C81,'[1]Summary Table'!$C$2:$G$287,5,0)</f>
        <v>9</v>
      </c>
      <c r="F81" s="8">
        <f t="shared" si="17"/>
        <v>8</v>
      </c>
      <c r="G81" s="6"/>
      <c r="H81" s="6"/>
      <c r="I81" s="6"/>
      <c r="J81" s="6"/>
      <c r="K81" s="6">
        <v>8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8</v>
      </c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>
        <f t="shared" si="18"/>
        <v>16</v>
      </c>
    </row>
    <row r="82" spans="1:55">
      <c r="A82" s="5">
        <v>81</v>
      </c>
      <c r="B82" s="5" t="s">
        <v>90</v>
      </c>
      <c r="C82" s="5" t="s">
        <v>122</v>
      </c>
      <c r="D82" s="15" t="s">
        <v>121</v>
      </c>
      <c r="E82" s="18">
        <f>+VLOOKUP(C82,'[1]Summary Table'!$C$2:$G$287,5,0)</f>
        <v>9</v>
      </c>
      <c r="F82" s="8">
        <f t="shared" si="17"/>
        <v>8</v>
      </c>
      <c r="G82" s="6"/>
      <c r="H82" s="6"/>
      <c r="I82" s="6"/>
      <c r="J82" s="6"/>
      <c r="K82" s="6">
        <v>8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>
        <v>8</v>
      </c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>
        <f t="shared" si="18"/>
        <v>16</v>
      </c>
    </row>
    <row r="83" spans="1:55">
      <c r="A83" s="5">
        <v>82</v>
      </c>
      <c r="B83" s="5" t="s">
        <v>90</v>
      </c>
      <c r="C83" s="5" t="s">
        <v>123</v>
      </c>
      <c r="D83" s="15" t="s">
        <v>121</v>
      </c>
      <c r="E83" s="18">
        <f>+VLOOKUP(C83,'[1]Summary Table'!$C$2:$G$287,5,0)</f>
        <v>9</v>
      </c>
      <c r="F83" s="8">
        <f t="shared" si="17"/>
        <v>8</v>
      </c>
      <c r="G83" s="6"/>
      <c r="H83" s="6"/>
      <c r="I83" s="6"/>
      <c r="J83" s="6"/>
      <c r="K83" s="6"/>
      <c r="L83" s="6"/>
      <c r="M83" s="6"/>
      <c r="N83" s="6"/>
      <c r="O83" s="6">
        <v>8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>
        <v>8</v>
      </c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>
        <f t="shared" si="18"/>
        <v>16</v>
      </c>
    </row>
    <row r="84" spans="1:55">
      <c r="A84" s="5">
        <v>83</v>
      </c>
      <c r="B84" s="5" t="s">
        <v>90</v>
      </c>
      <c r="C84" s="5" t="s">
        <v>124</v>
      </c>
      <c r="D84" s="15" t="s">
        <v>121</v>
      </c>
      <c r="E84" s="18">
        <f>+VLOOKUP(C84,'[1]Summary Table'!$C$2:$G$287,5,0)</f>
        <v>9</v>
      </c>
      <c r="F84" s="8">
        <f t="shared" si="17"/>
        <v>8</v>
      </c>
      <c r="G84" s="6"/>
      <c r="H84" s="6"/>
      <c r="I84" s="6"/>
      <c r="J84" s="6"/>
      <c r="K84" s="6"/>
      <c r="L84" s="6"/>
      <c r="M84" s="6"/>
      <c r="N84" s="6"/>
      <c r="O84" s="6">
        <v>8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>
        <v>8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>
        <f t="shared" si="18"/>
        <v>16</v>
      </c>
    </row>
    <row r="85" spans="1:55">
      <c r="A85" s="5">
        <v>84</v>
      </c>
      <c r="B85" s="5" t="s">
        <v>90</v>
      </c>
      <c r="C85" s="5" t="s">
        <v>125</v>
      </c>
      <c r="D85" s="15" t="s">
        <v>121</v>
      </c>
      <c r="E85" s="18">
        <f>+VLOOKUP(C85,'[1]Summary Table'!$C$2:$G$287,5,0)</f>
        <v>9</v>
      </c>
      <c r="F85" s="8">
        <f t="shared" si="17"/>
        <v>8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>
        <v>8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8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>
        <f t="shared" si="18"/>
        <v>16</v>
      </c>
    </row>
    <row r="86" spans="1:55">
      <c r="A86" s="5">
        <v>85</v>
      </c>
      <c r="B86" s="5" t="s">
        <v>90</v>
      </c>
      <c r="C86" s="5" t="s">
        <v>126</v>
      </c>
      <c r="D86" s="15" t="s">
        <v>121</v>
      </c>
      <c r="E86" s="18">
        <f>+VLOOKUP(C86,'[1]Summary Table'!$C$2:$G$287,5,0)</f>
        <v>9</v>
      </c>
      <c r="F86" s="8">
        <f t="shared" si="17"/>
        <v>8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>
        <v>8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8</v>
      </c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>
        <f t="shared" si="18"/>
        <v>16</v>
      </c>
    </row>
    <row r="87" spans="1:55">
      <c r="A87" s="5">
        <v>86</v>
      </c>
      <c r="B87" s="5" t="s">
        <v>90</v>
      </c>
      <c r="C87" s="5" t="s">
        <v>127</v>
      </c>
      <c r="D87" s="15" t="s">
        <v>121</v>
      </c>
      <c r="E87" s="18">
        <f>+VLOOKUP(C87,'[1]Summary Table'!$C$2:$G$287,5,0)</f>
        <v>9</v>
      </c>
      <c r="F87" s="8">
        <f t="shared" si="17"/>
        <v>8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>
        <v>8</v>
      </c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8</v>
      </c>
      <c r="AV87" s="6"/>
      <c r="AW87" s="6"/>
      <c r="AX87" s="6"/>
      <c r="AY87" s="6"/>
      <c r="AZ87" s="6"/>
      <c r="BA87" s="6"/>
      <c r="BB87" s="6"/>
      <c r="BC87" s="6">
        <f t="shared" si="18"/>
        <v>16</v>
      </c>
    </row>
    <row r="88" spans="1:55">
      <c r="A88" s="5">
        <v>87</v>
      </c>
      <c r="B88" s="5" t="s">
        <v>90</v>
      </c>
      <c r="C88" s="5" t="s">
        <v>128</v>
      </c>
      <c r="D88" s="15" t="s">
        <v>121</v>
      </c>
      <c r="E88" s="18">
        <f>+VLOOKUP(C88,'[1]Summary Table'!$C$2:$G$287,5,0)</f>
        <v>9</v>
      </c>
      <c r="F88" s="8">
        <f t="shared" si="17"/>
        <v>8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8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>
        <v>8</v>
      </c>
      <c r="AV88" s="6"/>
      <c r="AW88" s="6"/>
      <c r="AX88" s="6"/>
      <c r="AY88" s="6"/>
      <c r="AZ88" s="6"/>
      <c r="BA88" s="6"/>
      <c r="BB88" s="6"/>
      <c r="BC88" s="6">
        <f t="shared" si="18"/>
        <v>16</v>
      </c>
    </row>
    <row r="89" spans="1:55">
      <c r="A89" s="5">
        <v>88</v>
      </c>
      <c r="B89" s="5" t="s">
        <v>90</v>
      </c>
      <c r="C89" s="5" t="s">
        <v>129</v>
      </c>
      <c r="D89" s="15" t="s">
        <v>130</v>
      </c>
      <c r="E89" s="18">
        <f>+VLOOKUP(C89,'[1]Summary Table'!$C$2:$G$287,5,0)</f>
        <v>50</v>
      </c>
      <c r="F89" s="8">
        <f t="shared" si="17"/>
        <v>24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>
        <v>8</v>
      </c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>
        <v>24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>
        <v>8</v>
      </c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>
        <v>24</v>
      </c>
      <c r="BC89" s="6">
        <f t="shared" si="18"/>
        <v>64</v>
      </c>
    </row>
    <row r="90" spans="1:55" ht="29.1">
      <c r="A90" s="5">
        <v>89</v>
      </c>
      <c r="B90" s="5" t="s">
        <v>90</v>
      </c>
      <c r="C90" s="5" t="s">
        <v>131</v>
      </c>
      <c r="D90" s="15" t="s">
        <v>132</v>
      </c>
      <c r="E90" s="18">
        <f>+VLOOKUP(C90,'[1]Summary Table'!$C$2:$G$287,5,0)</f>
        <v>45</v>
      </c>
      <c r="F90" s="8">
        <f t="shared" si="17"/>
        <v>1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>
        <v>1</v>
      </c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>
        <v>1</v>
      </c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>
        <v>1</v>
      </c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1</v>
      </c>
      <c r="BC90" s="6">
        <f t="shared" si="18"/>
        <v>4</v>
      </c>
    </row>
    <row r="91" spans="1:55" ht="29.1">
      <c r="A91" s="5">
        <v>90</v>
      </c>
      <c r="B91" s="5" t="s">
        <v>90</v>
      </c>
      <c r="C91" s="5" t="s">
        <v>133</v>
      </c>
      <c r="D91" s="15" t="s">
        <v>134</v>
      </c>
      <c r="E91" s="14">
        <f>+VLOOKUP(C91,'[1]Summary Table'!$C$2:$G$287,5,0)</f>
        <v>18</v>
      </c>
      <c r="F91" s="8">
        <f t="shared" si="17"/>
        <v>0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>
        <f t="shared" si="18"/>
        <v>0</v>
      </c>
    </row>
    <row r="92" spans="1:55" ht="29.1">
      <c r="A92" s="5">
        <v>91</v>
      </c>
      <c r="B92" s="5" t="s">
        <v>90</v>
      </c>
      <c r="C92" s="5" t="s">
        <v>135</v>
      </c>
      <c r="D92" s="15" t="s">
        <v>134</v>
      </c>
      <c r="E92" s="14">
        <f>+VLOOKUP(C92,'[1]Summary Table'!$C$2:$G$287,5,0)</f>
        <v>18</v>
      </c>
      <c r="F92" s="8">
        <f t="shared" si="17"/>
        <v>0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>
        <f t="shared" si="18"/>
        <v>0</v>
      </c>
    </row>
    <row r="93" spans="1:55">
      <c r="A93" s="13">
        <v>92</v>
      </c>
      <c r="B93" s="13" t="s">
        <v>136</v>
      </c>
      <c r="C93" s="13"/>
      <c r="D93" s="13"/>
      <c r="E93" s="12"/>
      <c r="F93" s="11">
        <f t="shared" ref="F93:AK93" si="19">MAX(F98:F122)</f>
        <v>24</v>
      </c>
      <c r="G93" s="17">
        <f>MAX(G98:G122)</f>
        <v>0</v>
      </c>
      <c r="H93" s="17">
        <f>MAX(H98:H122)</f>
        <v>0</v>
      </c>
      <c r="I93" s="17">
        <f t="shared" si="19"/>
        <v>6</v>
      </c>
      <c r="J93" s="17">
        <f t="shared" si="19"/>
        <v>0</v>
      </c>
      <c r="K93" s="17">
        <f t="shared" si="19"/>
        <v>6</v>
      </c>
      <c r="L93" s="17">
        <f t="shared" si="19"/>
        <v>0</v>
      </c>
      <c r="M93" s="17">
        <f t="shared" si="19"/>
        <v>12</v>
      </c>
      <c r="N93" s="17">
        <f t="shared" si="19"/>
        <v>12</v>
      </c>
      <c r="O93" s="17">
        <f t="shared" si="19"/>
        <v>12</v>
      </c>
      <c r="P93" s="17">
        <f t="shared" si="19"/>
        <v>12</v>
      </c>
      <c r="Q93" s="17">
        <f t="shared" si="19"/>
        <v>12</v>
      </c>
      <c r="R93" s="17">
        <f t="shared" si="19"/>
        <v>12</v>
      </c>
      <c r="S93" s="17">
        <f t="shared" si="19"/>
        <v>0</v>
      </c>
      <c r="T93" s="17">
        <f t="shared" si="19"/>
        <v>1</v>
      </c>
      <c r="U93" s="17">
        <f t="shared" si="19"/>
        <v>0</v>
      </c>
      <c r="V93" s="17">
        <f t="shared" si="19"/>
        <v>0</v>
      </c>
      <c r="W93" s="17">
        <f t="shared" si="19"/>
        <v>0</v>
      </c>
      <c r="X93" s="17">
        <f t="shared" si="19"/>
        <v>0</v>
      </c>
      <c r="Y93" s="17">
        <f t="shared" si="19"/>
        <v>12</v>
      </c>
      <c r="Z93" s="17">
        <f t="shared" si="19"/>
        <v>12</v>
      </c>
      <c r="AA93" s="17">
        <f t="shared" si="19"/>
        <v>12</v>
      </c>
      <c r="AB93" s="17">
        <f t="shared" si="19"/>
        <v>12</v>
      </c>
      <c r="AC93" s="17">
        <f t="shared" si="19"/>
        <v>12</v>
      </c>
      <c r="AD93" s="17">
        <f t="shared" si="19"/>
        <v>12</v>
      </c>
      <c r="AE93" s="17">
        <f t="shared" si="19"/>
        <v>0</v>
      </c>
      <c r="AF93" s="17">
        <f t="shared" si="19"/>
        <v>1</v>
      </c>
      <c r="AG93" s="17">
        <f t="shared" si="19"/>
        <v>6</v>
      </c>
      <c r="AH93" s="17">
        <f t="shared" si="19"/>
        <v>0</v>
      </c>
      <c r="AI93" s="17">
        <f t="shared" si="19"/>
        <v>6</v>
      </c>
      <c r="AJ93" s="17">
        <f t="shared" si="19"/>
        <v>0</v>
      </c>
      <c r="AK93" s="17">
        <f t="shared" si="19"/>
        <v>12</v>
      </c>
      <c r="AL93" s="17">
        <f t="shared" ref="AL93:BC93" si="20">MAX(AL98:AL122)</f>
        <v>12</v>
      </c>
      <c r="AM93" s="17">
        <f t="shared" si="20"/>
        <v>12</v>
      </c>
      <c r="AN93" s="17">
        <f t="shared" si="20"/>
        <v>12</v>
      </c>
      <c r="AO93" s="17">
        <f t="shared" si="20"/>
        <v>12</v>
      </c>
      <c r="AP93" s="17">
        <f t="shared" si="20"/>
        <v>12</v>
      </c>
      <c r="AQ93" s="17">
        <f t="shared" si="20"/>
        <v>0</v>
      </c>
      <c r="AR93" s="17">
        <f t="shared" si="20"/>
        <v>1</v>
      </c>
      <c r="AS93" s="17">
        <f t="shared" si="20"/>
        <v>0</v>
      </c>
      <c r="AT93" s="17">
        <f t="shared" si="20"/>
        <v>0</v>
      </c>
      <c r="AU93" s="17">
        <f t="shared" si="20"/>
        <v>0</v>
      </c>
      <c r="AV93" s="17">
        <f t="shared" si="20"/>
        <v>0</v>
      </c>
      <c r="AW93" s="17">
        <f t="shared" si="20"/>
        <v>12</v>
      </c>
      <c r="AX93" s="17">
        <f t="shared" si="20"/>
        <v>12</v>
      </c>
      <c r="AY93" s="17">
        <f t="shared" si="20"/>
        <v>12</v>
      </c>
      <c r="AZ93" s="17">
        <f t="shared" si="20"/>
        <v>12</v>
      </c>
      <c r="BA93" s="17">
        <f t="shared" si="20"/>
        <v>12</v>
      </c>
      <c r="BB93" s="17">
        <f t="shared" si="20"/>
        <v>24</v>
      </c>
      <c r="BC93" s="17">
        <f t="shared" si="20"/>
        <v>48</v>
      </c>
    </row>
    <row r="94" spans="1:55">
      <c r="A94" s="5">
        <v>93</v>
      </c>
      <c r="B94" s="5" t="s">
        <v>136</v>
      </c>
      <c r="C94" s="5" t="s">
        <v>137</v>
      </c>
      <c r="D94" s="5" t="s">
        <v>138</v>
      </c>
      <c r="E94" s="9">
        <f>+VLOOKUP(C94,'[1]Summary Table'!$C$2:$G$287,5,0)</f>
        <v>27</v>
      </c>
      <c r="F94" s="8">
        <f t="shared" ref="F94:F122" si="21">+MAX(G94:BB94)</f>
        <v>3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>
        <v>3</v>
      </c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>
        <v>3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>
        <v>3</v>
      </c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>
        <v>3</v>
      </c>
      <c r="BC94" s="6">
        <f t="shared" ref="BC94:BC122" si="22">+SUM(G94:BB94)</f>
        <v>12</v>
      </c>
    </row>
    <row r="95" spans="1:55">
      <c r="A95" s="5">
        <v>94</v>
      </c>
      <c r="B95" s="5" t="s">
        <v>136</v>
      </c>
      <c r="C95" s="5" t="s">
        <v>139</v>
      </c>
      <c r="D95" s="21" t="s">
        <v>140</v>
      </c>
      <c r="E95" s="10">
        <f>+VLOOKUP(C95,'[1]Summary Table'!$C$2:$G$287,5,0)</f>
        <v>24</v>
      </c>
      <c r="F95" s="8">
        <f t="shared" si="21"/>
        <v>4</v>
      </c>
      <c r="G95" s="16"/>
      <c r="H95" s="16"/>
      <c r="I95" s="16"/>
      <c r="J95" s="16">
        <v>1</v>
      </c>
      <c r="K95" s="16"/>
      <c r="L95" s="16"/>
      <c r="M95" s="16"/>
      <c r="N95" s="16">
        <v>1</v>
      </c>
      <c r="O95" s="16"/>
      <c r="P95" s="16"/>
      <c r="Q95" s="16"/>
      <c r="R95" s="16">
        <v>1</v>
      </c>
      <c r="S95" s="16"/>
      <c r="T95" s="16"/>
      <c r="U95" s="16"/>
      <c r="V95" s="16">
        <v>1</v>
      </c>
      <c r="W95" s="16"/>
      <c r="X95" s="16"/>
      <c r="Y95" s="16"/>
      <c r="Z95" s="16">
        <v>1</v>
      </c>
      <c r="AA95" s="16"/>
      <c r="AB95" s="16"/>
      <c r="AC95" s="16"/>
      <c r="AD95" s="16">
        <v>4</v>
      </c>
      <c r="AE95" s="16"/>
      <c r="AF95" s="16"/>
      <c r="AG95" s="16"/>
      <c r="AH95" s="16">
        <v>1</v>
      </c>
      <c r="AI95" s="16"/>
      <c r="AJ95" s="16"/>
      <c r="AK95" s="16"/>
      <c r="AL95" s="16">
        <v>1</v>
      </c>
      <c r="AM95" s="16"/>
      <c r="AN95" s="16"/>
      <c r="AO95" s="16"/>
      <c r="AP95" s="16">
        <v>1</v>
      </c>
      <c r="AQ95" s="16"/>
      <c r="AR95" s="16"/>
      <c r="AS95" s="16"/>
      <c r="AT95" s="16">
        <v>1</v>
      </c>
      <c r="AU95" s="16"/>
      <c r="AV95" s="16"/>
      <c r="AW95" s="16"/>
      <c r="AX95" s="16">
        <v>1</v>
      </c>
      <c r="AY95" s="16"/>
      <c r="AZ95" s="16"/>
      <c r="BA95" s="16"/>
      <c r="BB95" s="16">
        <v>4</v>
      </c>
      <c r="BC95" s="6">
        <f t="shared" si="22"/>
        <v>18</v>
      </c>
    </row>
    <row r="96" spans="1:55">
      <c r="A96" s="5">
        <v>95</v>
      </c>
      <c r="B96" s="5" t="s">
        <v>136</v>
      </c>
      <c r="C96" s="5" t="s">
        <v>141</v>
      </c>
      <c r="D96" s="21" t="s">
        <v>140</v>
      </c>
      <c r="E96" s="10">
        <f>+VLOOKUP(C96,'[1]Summary Table'!$C$2:$G$287,5,0)</f>
        <v>24</v>
      </c>
      <c r="F96" s="8">
        <f t="shared" si="21"/>
        <v>4</v>
      </c>
      <c r="G96" s="6"/>
      <c r="H96" s="6"/>
      <c r="I96" s="6"/>
      <c r="J96" s="6">
        <v>1</v>
      </c>
      <c r="K96" s="6"/>
      <c r="L96" s="6"/>
      <c r="M96" s="6"/>
      <c r="N96" s="6">
        <v>1</v>
      </c>
      <c r="O96" s="6"/>
      <c r="P96" s="6"/>
      <c r="Q96" s="6"/>
      <c r="R96" s="6">
        <v>1</v>
      </c>
      <c r="S96" s="6"/>
      <c r="T96" s="6"/>
      <c r="U96" s="6"/>
      <c r="V96" s="6">
        <v>1</v>
      </c>
      <c r="W96" s="6"/>
      <c r="X96" s="6"/>
      <c r="Y96" s="6"/>
      <c r="Z96" s="6">
        <v>1</v>
      </c>
      <c r="AA96" s="6"/>
      <c r="AB96" s="6"/>
      <c r="AC96" s="6"/>
      <c r="AD96" s="6">
        <v>4</v>
      </c>
      <c r="AE96" s="6"/>
      <c r="AF96" s="6"/>
      <c r="AG96" s="6"/>
      <c r="AH96" s="6">
        <v>1</v>
      </c>
      <c r="AI96" s="6"/>
      <c r="AJ96" s="6"/>
      <c r="AK96" s="6"/>
      <c r="AL96" s="6">
        <v>1</v>
      </c>
      <c r="AM96" s="6"/>
      <c r="AN96" s="6"/>
      <c r="AO96" s="6"/>
      <c r="AP96" s="6">
        <v>1</v>
      </c>
      <c r="AQ96" s="6"/>
      <c r="AR96" s="6"/>
      <c r="AS96" s="6"/>
      <c r="AT96" s="6">
        <v>1</v>
      </c>
      <c r="AU96" s="6"/>
      <c r="AV96" s="6"/>
      <c r="AW96" s="6"/>
      <c r="AX96" s="6">
        <v>1</v>
      </c>
      <c r="AY96" s="6"/>
      <c r="AZ96" s="6"/>
      <c r="BA96" s="6"/>
      <c r="BB96" s="6">
        <v>4</v>
      </c>
      <c r="BC96" s="6">
        <f t="shared" si="22"/>
        <v>18</v>
      </c>
    </row>
    <row r="97" spans="1:55">
      <c r="A97" s="5">
        <v>96</v>
      </c>
      <c r="B97" s="5" t="s">
        <v>136</v>
      </c>
      <c r="C97" s="5" t="s">
        <v>142</v>
      </c>
      <c r="D97" s="21" t="s">
        <v>143</v>
      </c>
      <c r="E97" s="10">
        <f>+VLOOKUP(C97,'[1]Summary Table'!$C$2:$G$287,5,0)</f>
        <v>24</v>
      </c>
      <c r="F97" s="8">
        <f t="shared" si="21"/>
        <v>0.5</v>
      </c>
      <c r="G97" s="6"/>
      <c r="H97" s="6"/>
      <c r="I97" s="6"/>
      <c r="J97" s="6">
        <v>0.5</v>
      </c>
      <c r="K97" s="6"/>
      <c r="L97" s="6"/>
      <c r="M97" s="6"/>
      <c r="N97" s="6">
        <v>0.5</v>
      </c>
      <c r="O97" s="6"/>
      <c r="P97" s="6"/>
      <c r="Q97" s="6"/>
      <c r="R97" s="6">
        <v>0.5</v>
      </c>
      <c r="S97" s="6"/>
      <c r="T97" s="6"/>
      <c r="U97" s="6"/>
      <c r="V97" s="6">
        <v>0.5</v>
      </c>
      <c r="W97" s="6"/>
      <c r="X97" s="6"/>
      <c r="Y97" s="6"/>
      <c r="Z97" s="6">
        <v>0.5</v>
      </c>
      <c r="AA97" s="6"/>
      <c r="AB97" s="6"/>
      <c r="AC97" s="6"/>
      <c r="AD97" s="6">
        <v>0.5</v>
      </c>
      <c r="AE97" s="6"/>
      <c r="AF97" s="6"/>
      <c r="AG97" s="6"/>
      <c r="AH97" s="6">
        <v>0.5</v>
      </c>
      <c r="AI97" s="6"/>
      <c r="AJ97" s="6"/>
      <c r="AK97" s="6"/>
      <c r="AL97" s="6">
        <v>0.5</v>
      </c>
      <c r="AM97" s="6"/>
      <c r="AN97" s="6"/>
      <c r="AO97" s="6"/>
      <c r="AP97" s="6">
        <v>0.5</v>
      </c>
      <c r="AQ97" s="6"/>
      <c r="AR97" s="6"/>
      <c r="AS97" s="6"/>
      <c r="AT97" s="6">
        <v>0.5</v>
      </c>
      <c r="AU97" s="6"/>
      <c r="AV97" s="6"/>
      <c r="AW97" s="6"/>
      <c r="AX97" s="6">
        <v>0.5</v>
      </c>
      <c r="AY97" s="6"/>
      <c r="AZ97" s="6"/>
      <c r="BA97" s="6"/>
      <c r="BB97" s="6">
        <v>0.5</v>
      </c>
      <c r="BC97" s="6">
        <f t="shared" si="22"/>
        <v>6</v>
      </c>
    </row>
    <row r="98" spans="1:55">
      <c r="A98" s="5">
        <v>97</v>
      </c>
      <c r="B98" s="5" t="s">
        <v>136</v>
      </c>
      <c r="C98" s="5" t="s">
        <v>144</v>
      </c>
      <c r="D98" s="21" t="s">
        <v>145</v>
      </c>
      <c r="E98" s="20">
        <f>+VLOOKUP(C98,'[1]Summary Table'!$C$2:$G$287,5,0)</f>
        <v>21</v>
      </c>
      <c r="F98" s="8">
        <f>+MAX(G98:AZ98)</f>
        <v>12</v>
      </c>
      <c r="G98" s="6"/>
      <c r="H98" s="6"/>
      <c r="I98" s="6"/>
      <c r="J98" s="6"/>
      <c r="K98" s="6"/>
      <c r="L98" s="6"/>
      <c r="M98" s="6"/>
      <c r="N98" s="6"/>
      <c r="O98" s="6"/>
      <c r="P98" s="6">
        <v>12</v>
      </c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>
        <v>12</v>
      </c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>
        <v>12</v>
      </c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12</v>
      </c>
      <c r="BA98" s="6"/>
      <c r="BB98" s="6"/>
      <c r="BC98" s="6">
        <f>+SUM(G98:AZ98)</f>
        <v>48</v>
      </c>
    </row>
    <row r="99" spans="1:55">
      <c r="A99" s="5">
        <v>98</v>
      </c>
      <c r="B99" s="5" t="s">
        <v>136</v>
      </c>
      <c r="C99" s="5" t="s">
        <v>146</v>
      </c>
      <c r="D99" s="21" t="s">
        <v>145</v>
      </c>
      <c r="E99" s="20">
        <f>+VLOOKUP(C99,'[1]Summary Table'!$C$2:$G$287,5,0)</f>
        <v>21</v>
      </c>
      <c r="F99" s="8">
        <f>+MAX(G99:AZ99)</f>
        <v>12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>
        <v>12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12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>
        <v>12</v>
      </c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>
        <v>12</v>
      </c>
      <c r="BB99" s="6"/>
      <c r="BC99" s="6">
        <f>+SUM(G99:AZ99)</f>
        <v>36</v>
      </c>
    </row>
    <row r="100" spans="1:55">
      <c r="A100" s="5">
        <v>99</v>
      </c>
      <c r="B100" s="5" t="s">
        <v>136</v>
      </c>
      <c r="C100" s="5" t="s">
        <v>147</v>
      </c>
      <c r="D100" s="21" t="s">
        <v>145</v>
      </c>
      <c r="E100" s="20">
        <f>+VLOOKUP(C100,'[1]Summary Table'!$C$2:$G$287,5,0)</f>
        <v>21</v>
      </c>
      <c r="F100" s="8">
        <f>+MAX(G100:AZ100)</f>
        <v>12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>
        <v>12</v>
      </c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>
        <v>12</v>
      </c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>
        <v>12</v>
      </c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>
        <v>12</v>
      </c>
      <c r="BC100" s="6">
        <f>+SUM(G100:AZ100)</f>
        <v>36</v>
      </c>
    </row>
    <row r="101" spans="1:55">
      <c r="A101" s="5">
        <v>100</v>
      </c>
      <c r="B101" s="5" t="s">
        <v>136</v>
      </c>
      <c r="C101" s="5" t="s">
        <v>148</v>
      </c>
      <c r="D101" s="5" t="s">
        <v>149</v>
      </c>
      <c r="E101" s="9">
        <f>+VLOOKUP(C101,'[1]Summary Table'!$C$2:$G$287,5,0)</f>
        <v>19</v>
      </c>
      <c r="F101" s="8">
        <f t="shared" si="21"/>
        <v>6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>
        <v>6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>
        <v>6</v>
      </c>
      <c r="BC101" s="6">
        <f t="shared" si="22"/>
        <v>12</v>
      </c>
    </row>
    <row r="102" spans="1:55">
      <c r="A102" s="5">
        <v>101</v>
      </c>
      <c r="B102" s="5" t="s">
        <v>136</v>
      </c>
      <c r="C102" s="5" t="s">
        <v>150</v>
      </c>
      <c r="D102" s="5" t="s">
        <v>151</v>
      </c>
      <c r="E102" s="9">
        <f>+VLOOKUP(C102,'[1]Summary Table'!$C$2:$G$287,5,0)</f>
        <v>43</v>
      </c>
      <c r="F102" s="8">
        <f t="shared" si="21"/>
        <v>12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>
        <v>12</v>
      </c>
      <c r="AZ102" s="6"/>
      <c r="BA102" s="6"/>
      <c r="BB102" s="6"/>
      <c r="BC102" s="6">
        <f t="shared" si="22"/>
        <v>12</v>
      </c>
    </row>
    <row r="103" spans="1:55">
      <c r="A103" s="5">
        <v>102</v>
      </c>
      <c r="B103" s="5" t="s">
        <v>136</v>
      </c>
      <c r="C103" s="5" t="s">
        <v>152</v>
      </c>
      <c r="D103" s="5" t="s">
        <v>151</v>
      </c>
      <c r="E103" s="9">
        <f>+VLOOKUP(C103,'[1]Summary Table'!$C$2:$G$287,5,0)</f>
        <v>43</v>
      </c>
      <c r="F103" s="8">
        <f t="shared" si="21"/>
        <v>12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>
        <v>12</v>
      </c>
      <c r="AZ103" s="6"/>
      <c r="BA103" s="6"/>
      <c r="BB103" s="6"/>
      <c r="BC103" s="6">
        <f t="shared" si="22"/>
        <v>12</v>
      </c>
    </row>
    <row r="104" spans="1:55">
      <c r="A104" s="5">
        <v>103</v>
      </c>
      <c r="B104" s="5" t="s">
        <v>136</v>
      </c>
      <c r="C104" s="5" t="s">
        <v>153</v>
      </c>
      <c r="D104" s="5" t="s">
        <v>154</v>
      </c>
      <c r="E104" s="9">
        <f>+VLOOKUP(C104,'[1]Summary Table'!$C$2:$G$287,5,0)</f>
        <v>27</v>
      </c>
      <c r="F104" s="8">
        <f t="shared" si="21"/>
        <v>3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>
        <v>3</v>
      </c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>
        <v>3</v>
      </c>
      <c r="BC104" s="6">
        <f t="shared" si="22"/>
        <v>6</v>
      </c>
    </row>
    <row r="105" spans="1:55">
      <c r="A105" s="5">
        <v>104</v>
      </c>
      <c r="B105" s="5" t="s">
        <v>136</v>
      </c>
      <c r="C105" s="5" t="s">
        <v>155</v>
      </c>
      <c r="D105" s="5" t="s">
        <v>156</v>
      </c>
      <c r="E105" s="9">
        <f>+VLOOKUP(C105,'[1]Summary Table'!$C$2:$G$287,5,0)</f>
        <v>27</v>
      </c>
      <c r="F105" s="8">
        <f t="shared" si="21"/>
        <v>3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6">
        <v>3</v>
      </c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6">
        <v>3</v>
      </c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6">
        <v>3</v>
      </c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6">
        <v>3</v>
      </c>
      <c r="BC105" s="6">
        <f t="shared" si="22"/>
        <v>12</v>
      </c>
    </row>
    <row r="106" spans="1:55">
      <c r="A106" s="5">
        <v>105</v>
      </c>
      <c r="B106" s="5" t="s">
        <v>136</v>
      </c>
      <c r="C106" s="5" t="s">
        <v>157</v>
      </c>
      <c r="D106" s="5" t="s">
        <v>158</v>
      </c>
      <c r="E106" s="9">
        <f>+VLOOKUP(C106,'[1]Summary Table'!$C$2:$G$287,5,0)</f>
        <v>26</v>
      </c>
      <c r="F106" s="8">
        <f t="shared" si="21"/>
        <v>6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>
        <v>6</v>
      </c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>
        <v>6</v>
      </c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>
        <v>6</v>
      </c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>
        <v>6</v>
      </c>
      <c r="BC106" s="6">
        <f t="shared" si="22"/>
        <v>24</v>
      </c>
    </row>
    <row r="107" spans="1:55">
      <c r="A107" s="5">
        <v>106</v>
      </c>
      <c r="B107" s="5" t="s">
        <v>136</v>
      </c>
      <c r="C107" s="5" t="s">
        <v>159</v>
      </c>
      <c r="D107" s="5" t="s">
        <v>160</v>
      </c>
      <c r="E107" s="10">
        <f>+VLOOKUP(C107,'[1]Summary Table'!$C$2:$G$287,5,0)</f>
        <v>24</v>
      </c>
      <c r="F107" s="8">
        <f t="shared" si="21"/>
        <v>6</v>
      </c>
      <c r="G107" s="6"/>
      <c r="H107" s="6"/>
      <c r="I107" s="6">
        <v>6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>
        <v>6</v>
      </c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>
        <f t="shared" si="22"/>
        <v>12</v>
      </c>
    </row>
    <row r="108" spans="1:55">
      <c r="A108" s="5">
        <v>107</v>
      </c>
      <c r="B108" s="5" t="s">
        <v>136</v>
      </c>
      <c r="C108" s="5" t="s">
        <v>161</v>
      </c>
      <c r="D108" s="5" t="s">
        <v>160</v>
      </c>
      <c r="E108" s="10">
        <f>+VLOOKUP(C108,'[1]Summary Table'!$C$2:$G$287,5,0)</f>
        <v>24</v>
      </c>
      <c r="F108" s="8">
        <f t="shared" si="21"/>
        <v>6</v>
      </c>
      <c r="G108" s="6"/>
      <c r="H108" s="6"/>
      <c r="I108" s="6"/>
      <c r="J108" s="6"/>
      <c r="K108" s="6">
        <v>6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>
        <v>6</v>
      </c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>
        <f t="shared" si="22"/>
        <v>12</v>
      </c>
    </row>
    <row r="109" spans="1:55">
      <c r="A109" s="5">
        <v>108</v>
      </c>
      <c r="B109" s="5" t="s">
        <v>136</v>
      </c>
      <c r="C109" s="5" t="s">
        <v>162</v>
      </c>
      <c r="D109" s="43" t="s">
        <v>163</v>
      </c>
      <c r="E109" s="10">
        <f>+VLOOKUP(C109,'[1]Summary Table'!$C$2:$G$287,5,0)</f>
        <v>24</v>
      </c>
      <c r="F109" s="8">
        <f t="shared" si="21"/>
        <v>1</v>
      </c>
      <c r="G109" s="6"/>
      <c r="H109" s="6"/>
      <c r="I109" s="6">
        <v>1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>
        <v>1</v>
      </c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>
        <f t="shared" si="22"/>
        <v>2</v>
      </c>
    </row>
    <row r="110" spans="1:55">
      <c r="A110" s="5">
        <v>109</v>
      </c>
      <c r="B110" s="5" t="s">
        <v>136</v>
      </c>
      <c r="C110" s="5" t="s">
        <v>164</v>
      </c>
      <c r="D110" s="5" t="s">
        <v>165</v>
      </c>
      <c r="E110" s="9">
        <f>+VLOOKUP(C110,'[1]Summary Table'!$C$2:$G$287,5,0)</f>
        <v>27</v>
      </c>
      <c r="F110" s="8">
        <f t="shared" si="21"/>
        <v>3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>
        <v>3</v>
      </c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>
        <f t="shared" si="22"/>
        <v>3</v>
      </c>
    </row>
    <row r="111" spans="1:55">
      <c r="A111" s="5">
        <v>110</v>
      </c>
      <c r="B111" s="5" t="s">
        <v>136</v>
      </c>
      <c r="C111" s="5" t="s">
        <v>166</v>
      </c>
      <c r="D111" s="5" t="s">
        <v>167</v>
      </c>
      <c r="E111" s="10">
        <f>+VLOOKUP(C111,'[1]Summary Table'!$C$2:$G$287,5,0)</f>
        <v>40</v>
      </c>
      <c r="F111" s="8">
        <f t="shared" si="21"/>
        <v>0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>
        <f t="shared" si="22"/>
        <v>0</v>
      </c>
    </row>
    <row r="112" spans="1:55">
      <c r="A112" s="5">
        <v>111</v>
      </c>
      <c r="B112" s="5" t="s">
        <v>136</v>
      </c>
      <c r="C112" s="5" t="s">
        <v>168</v>
      </c>
      <c r="D112" s="5" t="s">
        <v>167</v>
      </c>
      <c r="E112" s="10">
        <f>+VLOOKUP(C112,'[1]Summary Table'!$C$2:$G$287,5,0)</f>
        <v>40</v>
      </c>
      <c r="F112" s="8">
        <f t="shared" si="21"/>
        <v>0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>
        <f t="shared" si="22"/>
        <v>0</v>
      </c>
    </row>
    <row r="113" spans="1:55">
      <c r="A113" s="5">
        <v>112</v>
      </c>
      <c r="B113" s="5" t="s">
        <v>136</v>
      </c>
      <c r="C113" s="5" t="s">
        <v>169</v>
      </c>
      <c r="D113" s="5" t="s">
        <v>170</v>
      </c>
      <c r="E113" s="9">
        <f>+VLOOKUP(C113,'[1]Summary Table'!$C$2:$G$287,5,0)</f>
        <v>21</v>
      </c>
      <c r="F113" s="8">
        <f t="shared" si="21"/>
        <v>12</v>
      </c>
      <c r="G113" s="6"/>
      <c r="H113" s="6"/>
      <c r="I113" s="6"/>
      <c r="J113" s="6"/>
      <c r="K113" s="6"/>
      <c r="L113" s="6"/>
      <c r="M113" s="6">
        <v>12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>
        <v>12</v>
      </c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>
        <v>12</v>
      </c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>
        <v>12</v>
      </c>
      <c r="AX113" s="6"/>
      <c r="AY113" s="6"/>
      <c r="AZ113" s="6"/>
      <c r="BA113" s="6"/>
      <c r="BB113" s="6"/>
      <c r="BC113" s="6">
        <f t="shared" si="22"/>
        <v>48</v>
      </c>
    </row>
    <row r="114" spans="1:55">
      <c r="A114" s="5">
        <v>113</v>
      </c>
      <c r="B114" s="5" t="s">
        <v>136</v>
      </c>
      <c r="C114" s="5" t="s">
        <v>171</v>
      </c>
      <c r="D114" s="5" t="s">
        <v>170</v>
      </c>
      <c r="E114" s="9">
        <f>+VLOOKUP(C114,'[1]Summary Table'!$C$2:$G$287,5,0)</f>
        <v>21</v>
      </c>
      <c r="F114" s="8">
        <f t="shared" si="21"/>
        <v>12</v>
      </c>
      <c r="G114" s="6"/>
      <c r="H114" s="6"/>
      <c r="I114" s="6"/>
      <c r="J114" s="6"/>
      <c r="K114" s="6"/>
      <c r="L114" s="6"/>
      <c r="M114" s="6"/>
      <c r="N114" s="6">
        <v>12</v>
      </c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>
        <v>12</v>
      </c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>
        <v>12</v>
      </c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16">
        <v>12</v>
      </c>
      <c r="AY114" s="16"/>
      <c r="AZ114" s="6"/>
      <c r="BA114" s="6"/>
      <c r="BB114" s="16"/>
      <c r="BC114" s="6">
        <f t="shared" si="22"/>
        <v>48</v>
      </c>
    </row>
    <row r="115" spans="1:55">
      <c r="A115" s="5">
        <v>114</v>
      </c>
      <c r="B115" s="5" t="s">
        <v>136</v>
      </c>
      <c r="C115" s="5" t="s">
        <v>172</v>
      </c>
      <c r="D115" s="5" t="s">
        <v>170</v>
      </c>
      <c r="E115" s="9">
        <f>+VLOOKUP(C115,'[1]Summary Table'!$C$2:$G$287,5,0)</f>
        <v>21</v>
      </c>
      <c r="F115" s="8">
        <f t="shared" si="21"/>
        <v>12</v>
      </c>
      <c r="G115" s="6"/>
      <c r="H115" s="6"/>
      <c r="I115" s="6"/>
      <c r="J115" s="6"/>
      <c r="K115" s="6"/>
      <c r="L115" s="6"/>
      <c r="M115" s="6"/>
      <c r="N115" s="6"/>
      <c r="O115" s="6">
        <v>12</v>
      </c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>
        <v>12</v>
      </c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>
        <v>12</v>
      </c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>
        <v>12</v>
      </c>
      <c r="AZ115" s="6"/>
      <c r="BA115" s="6"/>
      <c r="BB115" s="6"/>
      <c r="BC115" s="6">
        <f t="shared" si="22"/>
        <v>48</v>
      </c>
    </row>
    <row r="116" spans="1:55">
      <c r="A116" s="5">
        <v>115</v>
      </c>
      <c r="B116" s="5" t="s">
        <v>136</v>
      </c>
      <c r="C116" s="5" t="s">
        <v>173</v>
      </c>
      <c r="D116" s="15" t="s">
        <v>174</v>
      </c>
      <c r="E116" s="18">
        <f>+VLOOKUP(C116,'[1]Summary Table'!$C$2:$G$287,5,0)</f>
        <v>44</v>
      </c>
      <c r="F116" s="8">
        <f t="shared" si="21"/>
        <v>24</v>
      </c>
      <c r="G116" s="6"/>
      <c r="H116" s="6"/>
      <c r="I116" s="6"/>
      <c r="J116" s="6"/>
      <c r="K116" s="6"/>
      <c r="L116" s="6"/>
      <c r="M116" s="6">
        <v>3</v>
      </c>
      <c r="N116" s="6"/>
      <c r="O116" s="6"/>
      <c r="R116" s="6"/>
      <c r="S116" s="6"/>
      <c r="T116" s="6"/>
      <c r="U116" s="6"/>
      <c r="V116" s="6"/>
      <c r="W116" s="6"/>
      <c r="X116" s="6"/>
      <c r="Y116" s="6">
        <v>3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>
        <v>3</v>
      </c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>
        <v>3</v>
      </c>
      <c r="AX116" s="6"/>
      <c r="AY116" s="6"/>
      <c r="AZ116" s="6"/>
      <c r="BA116" s="6"/>
      <c r="BB116" s="6">
        <v>24</v>
      </c>
      <c r="BC116" s="6">
        <f t="shared" si="22"/>
        <v>36</v>
      </c>
    </row>
    <row r="117" spans="1:55">
      <c r="A117" s="5">
        <v>116</v>
      </c>
      <c r="B117" s="5" t="s">
        <v>136</v>
      </c>
      <c r="C117" s="5" t="s">
        <v>175</v>
      </c>
      <c r="D117" s="15" t="s">
        <v>174</v>
      </c>
      <c r="E117" s="18">
        <f>+VLOOKUP(C117,'[1]Summary Table'!$C$2:$G$287,5,0)</f>
        <v>44</v>
      </c>
      <c r="F117" s="8">
        <f t="shared" si="21"/>
        <v>24</v>
      </c>
      <c r="G117" s="6"/>
      <c r="H117" s="6"/>
      <c r="I117" s="6"/>
      <c r="J117" s="6"/>
      <c r="K117" s="6"/>
      <c r="L117" s="6"/>
      <c r="M117" s="6"/>
      <c r="N117" s="6">
        <v>3</v>
      </c>
      <c r="O117" s="6"/>
      <c r="R117" s="6"/>
      <c r="S117" s="6"/>
      <c r="T117" s="6"/>
      <c r="U117" s="6"/>
      <c r="V117" s="6"/>
      <c r="W117" s="6"/>
      <c r="X117" s="6"/>
      <c r="Y117" s="6"/>
      <c r="Z117" s="6">
        <v>3</v>
      </c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>
        <v>3</v>
      </c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>
        <v>3</v>
      </c>
      <c r="AY117" s="6"/>
      <c r="AZ117" s="6"/>
      <c r="BA117" s="6"/>
      <c r="BB117" s="6">
        <v>24</v>
      </c>
      <c r="BC117" s="6">
        <f t="shared" si="22"/>
        <v>36</v>
      </c>
    </row>
    <row r="118" spans="1:55">
      <c r="A118" s="5">
        <v>117</v>
      </c>
      <c r="B118" s="5" t="s">
        <v>136</v>
      </c>
      <c r="C118" s="5" t="s">
        <v>176</v>
      </c>
      <c r="D118" s="15" t="s">
        <v>174</v>
      </c>
      <c r="E118" s="18">
        <f>+VLOOKUP(C118,'[1]Summary Table'!$C$2:$G$287,5,0)</f>
        <v>44</v>
      </c>
      <c r="F118" s="8">
        <f t="shared" si="21"/>
        <v>24</v>
      </c>
      <c r="G118" s="6"/>
      <c r="H118" s="6"/>
      <c r="I118" s="6"/>
      <c r="J118" s="6"/>
      <c r="K118" s="6"/>
      <c r="L118" s="6"/>
      <c r="M118" s="6"/>
      <c r="N118" s="6"/>
      <c r="O118" s="6">
        <v>3</v>
      </c>
      <c r="R118" s="6"/>
      <c r="S118" s="6"/>
      <c r="T118" s="6"/>
      <c r="U118" s="6"/>
      <c r="V118" s="6"/>
      <c r="W118" s="6"/>
      <c r="X118" s="6"/>
      <c r="Y118" s="6"/>
      <c r="Z118" s="6"/>
      <c r="AA118" s="6">
        <v>3</v>
      </c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>
        <v>3</v>
      </c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>
        <v>3</v>
      </c>
      <c r="AZ118" s="6"/>
      <c r="BA118" s="6"/>
      <c r="BB118" s="6">
        <v>24</v>
      </c>
      <c r="BC118" s="6">
        <f t="shared" si="22"/>
        <v>36</v>
      </c>
    </row>
    <row r="119" spans="1:55">
      <c r="A119" s="5">
        <v>118</v>
      </c>
      <c r="B119" s="5" t="s">
        <v>136</v>
      </c>
      <c r="C119" s="5" t="s">
        <v>177</v>
      </c>
      <c r="D119" s="5" t="s">
        <v>178</v>
      </c>
      <c r="E119" s="9">
        <f>+VLOOKUP(C119,'[1]Summary Table'!$C$2:$G$287,5,0)</f>
        <v>13</v>
      </c>
      <c r="F119" s="8">
        <f t="shared" si="21"/>
        <v>1</v>
      </c>
      <c r="G119" s="6"/>
      <c r="H119" s="6"/>
      <c r="I119" s="6">
        <v>1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>
        <v>1</v>
      </c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>
        <v>1</v>
      </c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>
        <v>1</v>
      </c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>
        <f t="shared" si="22"/>
        <v>4</v>
      </c>
    </row>
    <row r="120" spans="1:55">
      <c r="A120" s="5">
        <v>120</v>
      </c>
      <c r="B120" s="5" t="s">
        <v>136</v>
      </c>
      <c r="C120" s="5" t="s">
        <v>179</v>
      </c>
      <c r="D120" s="5" t="s">
        <v>180</v>
      </c>
      <c r="E120" s="9">
        <f>+VLOOKUP(C120,'[1]Summary Table'!$C$2:$G$287,5,0)</f>
        <v>27</v>
      </c>
      <c r="F120" s="8">
        <f t="shared" si="21"/>
        <v>0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>
        <f t="shared" si="22"/>
        <v>0</v>
      </c>
    </row>
    <row r="121" spans="1:55">
      <c r="A121" s="5">
        <v>121</v>
      </c>
      <c r="B121" s="5" t="s">
        <v>136</v>
      </c>
      <c r="C121" s="5" t="s">
        <v>181</v>
      </c>
      <c r="D121" s="5" t="s">
        <v>182</v>
      </c>
      <c r="E121" s="9">
        <f>+VLOOKUP(C121,'[1]Summary Table'!$C$2:$G$287,5,0)</f>
        <v>37</v>
      </c>
      <c r="F121" s="8">
        <f t="shared" si="21"/>
        <v>8</v>
      </c>
      <c r="G121" s="6"/>
      <c r="H121" s="6"/>
      <c r="I121" s="6"/>
      <c r="J121" s="6"/>
      <c r="K121" s="6"/>
      <c r="L121" s="6"/>
      <c r="M121" s="6"/>
      <c r="N121" s="6"/>
      <c r="O121" s="6">
        <v>8</v>
      </c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>
        <v>8</v>
      </c>
      <c r="AB121" s="6"/>
      <c r="AC121" s="6"/>
      <c r="AD121" s="6">
        <v>3</v>
      </c>
      <c r="AE121" s="6"/>
      <c r="AF121" s="6"/>
      <c r="AG121" s="6"/>
      <c r="AH121" s="6"/>
      <c r="AI121" s="6"/>
      <c r="AJ121" s="6"/>
      <c r="AK121" s="6"/>
      <c r="AL121" s="6"/>
      <c r="AM121" s="6">
        <v>8</v>
      </c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>
        <v>8</v>
      </c>
      <c r="AZ121" s="6"/>
      <c r="BA121" s="6"/>
      <c r="BB121" s="6"/>
      <c r="BC121" s="6">
        <f t="shared" si="22"/>
        <v>35</v>
      </c>
    </row>
    <row r="122" spans="1:55">
      <c r="A122" s="5">
        <v>122</v>
      </c>
      <c r="B122" s="5" t="s">
        <v>136</v>
      </c>
      <c r="C122" s="5" t="s">
        <v>183</v>
      </c>
      <c r="D122" s="5" t="s">
        <v>184</v>
      </c>
      <c r="E122" s="9">
        <f>+VLOOKUP(C122,'[1]Summary Table'!$C$2:$G$287,5,0)</f>
        <v>37</v>
      </c>
      <c r="F122" s="8">
        <f t="shared" si="21"/>
        <v>3</v>
      </c>
      <c r="G122" s="6"/>
      <c r="H122" s="6"/>
      <c r="I122" s="6"/>
      <c r="J122" s="6"/>
      <c r="K122" s="6"/>
      <c r="L122" s="6"/>
      <c r="M122" s="6"/>
      <c r="N122" s="6"/>
      <c r="O122" s="6">
        <v>1</v>
      </c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>
        <v>1</v>
      </c>
      <c r="AB122" s="6"/>
      <c r="AC122" s="6"/>
      <c r="AD122" s="6">
        <v>3</v>
      </c>
      <c r="AE122" s="6"/>
      <c r="AF122" s="6"/>
      <c r="AG122" s="6"/>
      <c r="AH122" s="6"/>
      <c r="AI122" s="6"/>
      <c r="AJ122" s="6"/>
      <c r="AK122" s="6"/>
      <c r="AL122" s="6"/>
      <c r="AM122" s="6">
        <v>1</v>
      </c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>
        <v>1</v>
      </c>
      <c r="AZ122" s="6"/>
      <c r="BA122" s="6"/>
      <c r="BB122" s="6"/>
      <c r="BC122" s="6">
        <f t="shared" si="22"/>
        <v>7</v>
      </c>
    </row>
    <row r="123" spans="1:55">
      <c r="A123" s="13">
        <v>123</v>
      </c>
      <c r="B123" s="13" t="s">
        <v>185</v>
      </c>
      <c r="C123" s="13"/>
      <c r="D123" s="13"/>
      <c r="E123" s="12"/>
      <c r="F123" s="11">
        <f t="shared" ref="F123:AK123" si="23">MAX(F124:F172)</f>
        <v>48</v>
      </c>
      <c r="G123" s="11">
        <f t="shared" si="23"/>
        <v>1</v>
      </c>
      <c r="H123" s="11">
        <f t="shared" si="23"/>
        <v>1</v>
      </c>
      <c r="I123" s="11">
        <f t="shared" si="23"/>
        <v>1</v>
      </c>
      <c r="J123" s="11">
        <f t="shared" si="23"/>
        <v>1</v>
      </c>
      <c r="K123" s="11">
        <f t="shared" si="23"/>
        <v>1</v>
      </c>
      <c r="L123" s="11">
        <f t="shared" si="23"/>
        <v>1</v>
      </c>
      <c r="M123" s="11">
        <f t="shared" si="23"/>
        <v>1</v>
      </c>
      <c r="N123" s="11">
        <f t="shared" si="23"/>
        <v>1</v>
      </c>
      <c r="O123" s="11">
        <f t="shared" si="23"/>
        <v>12</v>
      </c>
      <c r="P123" s="11">
        <f t="shared" si="23"/>
        <v>12</v>
      </c>
      <c r="Q123" s="11">
        <f t="shared" si="23"/>
        <v>8</v>
      </c>
      <c r="R123" s="11">
        <f t="shared" si="23"/>
        <v>12</v>
      </c>
      <c r="S123" s="11">
        <f t="shared" si="23"/>
        <v>1</v>
      </c>
      <c r="T123" s="11">
        <f t="shared" si="23"/>
        <v>1</v>
      </c>
      <c r="U123" s="11">
        <f t="shared" si="23"/>
        <v>1</v>
      </c>
      <c r="V123" s="11">
        <f t="shared" si="23"/>
        <v>1</v>
      </c>
      <c r="W123" s="11">
        <f t="shared" si="23"/>
        <v>1</v>
      </c>
      <c r="X123" s="11">
        <f t="shared" si="23"/>
        <v>1</v>
      </c>
      <c r="Y123" s="11">
        <f t="shared" si="23"/>
        <v>1</v>
      </c>
      <c r="Z123" s="11">
        <f t="shared" si="23"/>
        <v>1</v>
      </c>
      <c r="AA123" s="11">
        <f t="shared" si="23"/>
        <v>24</v>
      </c>
      <c r="AB123" s="11">
        <f t="shared" si="23"/>
        <v>24</v>
      </c>
      <c r="AC123" s="11">
        <f t="shared" si="23"/>
        <v>24</v>
      </c>
      <c r="AD123" s="11">
        <f t="shared" si="23"/>
        <v>48</v>
      </c>
      <c r="AE123" s="11">
        <f t="shared" si="23"/>
        <v>1</v>
      </c>
      <c r="AF123" s="11">
        <f t="shared" si="23"/>
        <v>1</v>
      </c>
      <c r="AG123" s="11">
        <f t="shared" si="23"/>
        <v>1</v>
      </c>
      <c r="AH123" s="11">
        <f t="shared" si="23"/>
        <v>1</v>
      </c>
      <c r="AI123" s="11">
        <f t="shared" si="23"/>
        <v>1</v>
      </c>
      <c r="AJ123" s="11">
        <f t="shared" si="23"/>
        <v>1</v>
      </c>
      <c r="AK123" s="11">
        <f t="shared" si="23"/>
        <v>1</v>
      </c>
      <c r="AL123" s="11">
        <f t="shared" ref="AL123:BC123" si="24">MAX(AL124:AL172)</f>
        <v>1</v>
      </c>
      <c r="AM123" s="11">
        <f t="shared" si="24"/>
        <v>12</v>
      </c>
      <c r="AN123" s="11">
        <f t="shared" si="24"/>
        <v>12</v>
      </c>
      <c r="AO123" s="11">
        <f t="shared" si="24"/>
        <v>8</v>
      </c>
      <c r="AP123" s="11">
        <f t="shared" si="24"/>
        <v>12</v>
      </c>
      <c r="AQ123" s="11">
        <f t="shared" si="24"/>
        <v>1</v>
      </c>
      <c r="AR123" s="11">
        <f t="shared" si="24"/>
        <v>1</v>
      </c>
      <c r="AS123" s="11">
        <f t="shared" si="24"/>
        <v>1</v>
      </c>
      <c r="AT123" s="11">
        <f t="shared" si="24"/>
        <v>1</v>
      </c>
      <c r="AU123" s="11">
        <f t="shared" si="24"/>
        <v>1</v>
      </c>
      <c r="AV123" s="11">
        <f t="shared" si="24"/>
        <v>1</v>
      </c>
      <c r="AW123" s="11">
        <f t="shared" si="24"/>
        <v>1</v>
      </c>
      <c r="AX123" s="11">
        <f t="shared" si="24"/>
        <v>1</v>
      </c>
      <c r="AY123" s="11">
        <f t="shared" si="24"/>
        <v>14</v>
      </c>
      <c r="AZ123" s="11">
        <f t="shared" si="24"/>
        <v>24</v>
      </c>
      <c r="BA123" s="11">
        <f t="shared" si="24"/>
        <v>24</v>
      </c>
      <c r="BB123" s="11">
        <f t="shared" si="24"/>
        <v>24</v>
      </c>
      <c r="BC123" s="11">
        <f t="shared" si="24"/>
        <v>64</v>
      </c>
    </row>
    <row r="124" spans="1:55">
      <c r="A124" s="5">
        <v>124</v>
      </c>
      <c r="B124" s="5" t="s">
        <v>185</v>
      </c>
      <c r="C124" s="5" t="s">
        <v>186</v>
      </c>
      <c r="D124" s="5" t="s">
        <v>187</v>
      </c>
      <c r="E124" s="9">
        <f>+VLOOKUP(C124,'[1]Summary Table'!$C$2:$G$287,5,0)</f>
        <v>29</v>
      </c>
      <c r="F124" s="8">
        <f>+MAX(G124:BB124)</f>
        <v>6</v>
      </c>
      <c r="G124" s="6"/>
      <c r="H124" s="6"/>
      <c r="I124" s="6"/>
      <c r="J124" s="6">
        <v>1</v>
      </c>
      <c r="K124" s="6"/>
      <c r="L124" s="6"/>
      <c r="M124" s="6"/>
      <c r="N124" s="6">
        <v>1</v>
      </c>
      <c r="O124" s="6"/>
      <c r="P124" s="6"/>
      <c r="Q124" s="6"/>
      <c r="R124" s="6">
        <v>1</v>
      </c>
      <c r="S124" s="6"/>
      <c r="T124" s="6"/>
      <c r="U124" s="6"/>
      <c r="V124" s="6">
        <v>1</v>
      </c>
      <c r="W124" s="6"/>
      <c r="X124" s="6"/>
      <c r="Y124" s="6"/>
      <c r="Z124" s="6">
        <v>1</v>
      </c>
      <c r="AA124" s="6"/>
      <c r="AB124" s="6"/>
      <c r="AC124" s="6"/>
      <c r="AD124" s="6">
        <v>6</v>
      </c>
      <c r="AE124" s="6"/>
      <c r="AF124" s="6"/>
      <c r="AG124" s="6"/>
      <c r="AH124" s="6">
        <v>1</v>
      </c>
      <c r="AI124" s="6"/>
      <c r="AJ124" s="6"/>
      <c r="AK124" s="6"/>
      <c r="AL124" s="6">
        <v>1</v>
      </c>
      <c r="AM124" s="6"/>
      <c r="AN124" s="6"/>
      <c r="AO124" s="6"/>
      <c r="AP124" s="6">
        <v>1</v>
      </c>
      <c r="AQ124" s="6"/>
      <c r="AR124" s="6"/>
      <c r="AS124" s="6"/>
      <c r="AT124" s="6">
        <v>1</v>
      </c>
      <c r="AU124" s="6"/>
      <c r="AV124" s="6"/>
      <c r="AW124" s="6"/>
      <c r="AX124" s="6">
        <v>1</v>
      </c>
      <c r="AY124" s="6"/>
      <c r="AZ124" s="6"/>
      <c r="BA124" s="6"/>
      <c r="BB124" s="6">
        <v>6</v>
      </c>
      <c r="BC124" s="6">
        <f>+SUM(G124:BB124)</f>
        <v>22</v>
      </c>
    </row>
    <row r="125" spans="1:55">
      <c r="A125" s="5">
        <v>125</v>
      </c>
      <c r="B125" s="5" t="s">
        <v>185</v>
      </c>
      <c r="C125" s="5" t="s">
        <v>188</v>
      </c>
      <c r="D125" s="5" t="s">
        <v>189</v>
      </c>
      <c r="E125" s="9">
        <f>+VLOOKUP(C125,'[1]Summary Table'!$C$2:$G$287,5,0)</f>
        <v>20</v>
      </c>
      <c r="F125" s="8">
        <f>+MAX(G125:BB125)</f>
        <v>4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>
        <v>4</v>
      </c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>
        <v>4</v>
      </c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>
        <v>4</v>
      </c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>
        <v>4</v>
      </c>
      <c r="BC125" s="6">
        <f>+SUM(G125:BB125)</f>
        <v>16</v>
      </c>
    </row>
    <row r="126" spans="1:55">
      <c r="A126" s="5">
        <v>126</v>
      </c>
      <c r="B126" s="5" t="s">
        <v>185</v>
      </c>
      <c r="C126" s="5" t="s">
        <v>190</v>
      </c>
      <c r="D126" s="5" t="s">
        <v>191</v>
      </c>
      <c r="E126" s="9">
        <f>+VLOOKUP(C126,'[1]Summary Table'!$C$2:$G$287,5,0)</f>
        <v>29</v>
      </c>
      <c r="F126" s="8">
        <f>+MAX(G126:BB126)</f>
        <v>6</v>
      </c>
      <c r="G126" s="6"/>
      <c r="H126" s="6"/>
      <c r="I126" s="6"/>
      <c r="J126" s="6">
        <v>1</v>
      </c>
      <c r="K126" s="6"/>
      <c r="L126" s="6"/>
      <c r="M126" s="6"/>
      <c r="N126" s="6">
        <v>1</v>
      </c>
      <c r="O126" s="6"/>
      <c r="P126" s="6"/>
      <c r="Q126" s="6"/>
      <c r="R126" s="6">
        <v>1</v>
      </c>
      <c r="S126" s="6"/>
      <c r="T126" s="6"/>
      <c r="U126" s="6"/>
      <c r="V126" s="6">
        <v>1</v>
      </c>
      <c r="W126" s="6"/>
      <c r="X126" s="6"/>
      <c r="Y126" s="6"/>
      <c r="Z126" s="6">
        <v>1</v>
      </c>
      <c r="AA126" s="6"/>
      <c r="AB126" s="6"/>
      <c r="AC126" s="6"/>
      <c r="AD126" s="6">
        <v>6</v>
      </c>
      <c r="AE126" s="6"/>
      <c r="AF126" s="6"/>
      <c r="AG126" s="6"/>
      <c r="AH126" s="6">
        <v>1</v>
      </c>
      <c r="AI126" s="6"/>
      <c r="AJ126" s="6"/>
      <c r="AK126" s="6"/>
      <c r="AL126" s="6">
        <v>1</v>
      </c>
      <c r="AM126" s="6"/>
      <c r="AN126" s="6"/>
      <c r="AO126" s="6"/>
      <c r="AP126" s="6">
        <v>1</v>
      </c>
      <c r="AQ126" s="6"/>
      <c r="AR126" s="6"/>
      <c r="AS126" s="6"/>
      <c r="AT126" s="6">
        <v>1</v>
      </c>
      <c r="AU126" s="6"/>
      <c r="AV126" s="6"/>
      <c r="AW126" s="6"/>
      <c r="AX126" s="6">
        <v>1</v>
      </c>
      <c r="AY126" s="6"/>
      <c r="AZ126" s="6"/>
      <c r="BA126" s="6"/>
      <c r="BB126" s="6">
        <v>6</v>
      </c>
      <c r="BC126" s="6">
        <f>+SUM(G126:BB126)</f>
        <v>22</v>
      </c>
    </row>
    <row r="127" spans="1:55">
      <c r="A127" s="5">
        <v>127</v>
      </c>
      <c r="B127" s="5" t="s">
        <v>185</v>
      </c>
      <c r="C127" s="5" t="s">
        <v>192</v>
      </c>
      <c r="D127" s="5" t="s">
        <v>193</v>
      </c>
      <c r="E127" s="9">
        <f>+VLOOKUP(C127,'[1]Summary Table'!$C$2:$G$287,5,0)</f>
        <v>36</v>
      </c>
      <c r="F127" s="8">
        <f>+MAX(G127:BB127)</f>
        <v>12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>
        <v>12</v>
      </c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>
        <v>12</v>
      </c>
      <c r="BC127" s="6">
        <f>+SUM(G127:BB127)</f>
        <v>24</v>
      </c>
    </row>
    <row r="128" spans="1:55">
      <c r="A128" s="5">
        <v>128</v>
      </c>
      <c r="B128" s="5" t="s">
        <v>185</v>
      </c>
      <c r="C128" s="5" t="s">
        <v>194</v>
      </c>
      <c r="D128" s="5" t="s">
        <v>195</v>
      </c>
      <c r="E128" s="9">
        <f>+VLOOKUP(C128,'[1]Summary Table'!$C$2:$G$287,5,0)</f>
        <v>36</v>
      </c>
      <c r="F128" s="8">
        <f>+MAX(G128:BB128)</f>
        <v>12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>
        <v>12</v>
      </c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>
        <v>12</v>
      </c>
      <c r="BC128" s="6">
        <f>+SUM(G128:BB128)</f>
        <v>24</v>
      </c>
    </row>
    <row r="129" spans="1:55">
      <c r="A129" s="13">
        <v>222</v>
      </c>
      <c r="B129" s="13" t="s">
        <v>196</v>
      </c>
      <c r="C129" s="13"/>
      <c r="D129" s="13"/>
      <c r="E129" s="12"/>
      <c r="F129" s="11">
        <f t="shared" ref="F129:AK129" si="25">MAX(F130:F144)</f>
        <v>24</v>
      </c>
      <c r="G129" s="11">
        <f t="shared" si="25"/>
        <v>0</v>
      </c>
      <c r="H129" s="11">
        <f t="shared" si="25"/>
        <v>0</v>
      </c>
      <c r="I129" s="11">
        <f t="shared" si="25"/>
        <v>0</v>
      </c>
      <c r="J129" s="11">
        <f t="shared" si="25"/>
        <v>0</v>
      </c>
      <c r="K129" s="11">
        <f t="shared" si="25"/>
        <v>0</v>
      </c>
      <c r="L129" s="11">
        <f t="shared" si="25"/>
        <v>0</v>
      </c>
      <c r="M129" s="11">
        <f t="shared" si="25"/>
        <v>0</v>
      </c>
      <c r="N129" s="11">
        <f t="shared" si="25"/>
        <v>0</v>
      </c>
      <c r="O129" s="11">
        <f t="shared" si="25"/>
        <v>0</v>
      </c>
      <c r="P129" s="11">
        <f t="shared" si="25"/>
        <v>8</v>
      </c>
      <c r="Q129" s="11">
        <f t="shared" si="25"/>
        <v>8</v>
      </c>
      <c r="R129" s="11">
        <f t="shared" si="25"/>
        <v>12</v>
      </c>
      <c r="S129" s="11">
        <f t="shared" si="25"/>
        <v>0</v>
      </c>
      <c r="T129" s="11">
        <f t="shared" si="25"/>
        <v>0</v>
      </c>
      <c r="U129" s="11">
        <f t="shared" si="25"/>
        <v>0</v>
      </c>
      <c r="V129" s="11">
        <f t="shared" si="25"/>
        <v>0</v>
      </c>
      <c r="W129" s="11">
        <f t="shared" si="25"/>
        <v>0</v>
      </c>
      <c r="X129" s="11">
        <f t="shared" si="25"/>
        <v>0</v>
      </c>
      <c r="Y129" s="11">
        <f t="shared" si="25"/>
        <v>0</v>
      </c>
      <c r="Z129" s="11">
        <f t="shared" si="25"/>
        <v>0</v>
      </c>
      <c r="AA129" s="11">
        <f t="shared" si="25"/>
        <v>0</v>
      </c>
      <c r="AB129" s="11">
        <f t="shared" si="25"/>
        <v>24</v>
      </c>
      <c r="AC129" s="11">
        <f t="shared" si="25"/>
        <v>24</v>
      </c>
      <c r="AD129" s="11">
        <f t="shared" si="25"/>
        <v>12</v>
      </c>
      <c r="AE129" s="11">
        <f t="shared" si="25"/>
        <v>0</v>
      </c>
      <c r="AF129" s="11">
        <f t="shared" si="25"/>
        <v>0</v>
      </c>
      <c r="AG129" s="11">
        <f t="shared" si="25"/>
        <v>0</v>
      </c>
      <c r="AH129" s="11">
        <f t="shared" si="25"/>
        <v>0</v>
      </c>
      <c r="AI129" s="11">
        <f t="shared" si="25"/>
        <v>0</v>
      </c>
      <c r="AJ129" s="11">
        <f t="shared" si="25"/>
        <v>0</v>
      </c>
      <c r="AK129" s="11">
        <f t="shared" si="25"/>
        <v>0</v>
      </c>
      <c r="AL129" s="11">
        <f t="shared" ref="AL129:BC129" si="26">MAX(AL130:AL144)</f>
        <v>0</v>
      </c>
      <c r="AM129" s="11">
        <f t="shared" si="26"/>
        <v>0</v>
      </c>
      <c r="AN129" s="11">
        <f t="shared" si="26"/>
        <v>8</v>
      </c>
      <c r="AO129" s="11">
        <f t="shared" si="26"/>
        <v>8</v>
      </c>
      <c r="AP129" s="11">
        <f t="shared" si="26"/>
        <v>12</v>
      </c>
      <c r="AQ129" s="11">
        <f t="shared" si="26"/>
        <v>0</v>
      </c>
      <c r="AR129" s="11">
        <f t="shared" si="26"/>
        <v>0</v>
      </c>
      <c r="AS129" s="11">
        <f t="shared" si="26"/>
        <v>0</v>
      </c>
      <c r="AT129" s="11">
        <f t="shared" si="26"/>
        <v>0</v>
      </c>
      <c r="AU129" s="11">
        <f t="shared" si="26"/>
        <v>0</v>
      </c>
      <c r="AV129" s="11">
        <f t="shared" si="26"/>
        <v>0</v>
      </c>
      <c r="AW129" s="11">
        <f t="shared" si="26"/>
        <v>0</v>
      </c>
      <c r="AX129" s="11">
        <f t="shared" si="26"/>
        <v>0</v>
      </c>
      <c r="AY129" s="11">
        <f t="shared" si="26"/>
        <v>0</v>
      </c>
      <c r="AZ129" s="11">
        <f t="shared" si="26"/>
        <v>24</v>
      </c>
      <c r="BA129" s="11">
        <f t="shared" si="26"/>
        <v>24</v>
      </c>
      <c r="BB129" s="11">
        <f t="shared" si="26"/>
        <v>12</v>
      </c>
      <c r="BC129" s="11">
        <f t="shared" si="26"/>
        <v>64</v>
      </c>
    </row>
    <row r="130" spans="1:55">
      <c r="A130" s="5">
        <v>223</v>
      </c>
      <c r="B130" s="5" t="s">
        <v>196</v>
      </c>
      <c r="C130" s="5" t="s">
        <v>197</v>
      </c>
      <c r="D130" s="5" t="s">
        <v>198</v>
      </c>
      <c r="E130" s="9">
        <f>+VLOOKUP(C130,'[1]Summary Table'!$C$2:$G$287,5,0)</f>
        <v>10</v>
      </c>
      <c r="F130" s="8">
        <f t="shared" ref="F130:F144" si="27">+MAX(G130:BB130)</f>
        <v>24</v>
      </c>
      <c r="G130" s="6"/>
      <c r="H130" s="6"/>
      <c r="I130" s="6"/>
      <c r="J130" s="6"/>
      <c r="K130" s="6"/>
      <c r="L130" s="6"/>
      <c r="M130" s="6"/>
      <c r="N130" s="6"/>
      <c r="O130" s="6"/>
      <c r="P130" s="6">
        <v>8</v>
      </c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>
        <v>24</v>
      </c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>
        <v>8</v>
      </c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>
        <v>24</v>
      </c>
      <c r="BA130" s="6"/>
      <c r="BB130" s="6"/>
      <c r="BC130" s="6">
        <f t="shared" ref="BC130:BC144" si="28">+SUM(G130:BB130)</f>
        <v>64</v>
      </c>
    </row>
    <row r="131" spans="1:55">
      <c r="A131" s="5">
        <v>224</v>
      </c>
      <c r="B131" s="5" t="s">
        <v>196</v>
      </c>
      <c r="C131" s="5" t="s">
        <v>199</v>
      </c>
      <c r="D131" s="5" t="s">
        <v>200</v>
      </c>
      <c r="E131" s="9">
        <f>+VLOOKUP(C131,'[1]Summary Table'!$C$2:$G$287,5,0)</f>
        <v>8</v>
      </c>
      <c r="F131" s="8">
        <f t="shared" si="27"/>
        <v>2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>
        <v>2</v>
      </c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>
        <v>2</v>
      </c>
      <c r="BC131" s="6">
        <f t="shared" si="28"/>
        <v>4</v>
      </c>
    </row>
    <row r="132" spans="1:55">
      <c r="A132" s="5">
        <v>225</v>
      </c>
      <c r="B132" s="5" t="s">
        <v>196</v>
      </c>
      <c r="C132" s="5" t="s">
        <v>201</v>
      </c>
      <c r="D132" s="5" t="s">
        <v>202</v>
      </c>
      <c r="E132" s="9">
        <f>+VLOOKUP(C132,'[1]Summary Table'!$C$2:$G$287,5,0)</f>
        <v>42</v>
      </c>
      <c r="F132" s="8">
        <f t="shared" si="27"/>
        <v>12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>
        <v>12</v>
      </c>
      <c r="BC132" s="6">
        <f t="shared" si="28"/>
        <v>12</v>
      </c>
    </row>
    <row r="133" spans="1:55">
      <c r="A133" s="5">
        <v>226</v>
      </c>
      <c r="B133" s="5" t="s">
        <v>196</v>
      </c>
      <c r="C133" s="5" t="s">
        <v>203</v>
      </c>
      <c r="D133" s="5" t="s">
        <v>204</v>
      </c>
      <c r="E133" s="9">
        <f>+VLOOKUP(C133,'[1]Summary Table'!$C$2:$G$287,5,0)</f>
        <v>6</v>
      </c>
      <c r="F133" s="8">
        <f t="shared" si="27"/>
        <v>6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>
        <v>6</v>
      </c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>
        <v>6</v>
      </c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>
        <v>6</v>
      </c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>
        <v>6</v>
      </c>
      <c r="BC133" s="6">
        <f t="shared" si="28"/>
        <v>24</v>
      </c>
    </row>
    <row r="134" spans="1:55">
      <c r="A134" s="5">
        <v>227</v>
      </c>
      <c r="B134" s="5" t="s">
        <v>196</v>
      </c>
      <c r="C134" s="5" t="s">
        <v>205</v>
      </c>
      <c r="D134" s="5" t="s">
        <v>206</v>
      </c>
      <c r="E134" s="9">
        <f>+VLOOKUP(C134,'[1]Summary Table'!$C$2:$G$287,5,0)</f>
        <v>34</v>
      </c>
      <c r="F134" s="8">
        <f t="shared" si="27"/>
        <v>4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>
        <v>4</v>
      </c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>
        <v>4</v>
      </c>
      <c r="BC134" s="6">
        <f t="shared" si="28"/>
        <v>8</v>
      </c>
    </row>
    <row r="135" spans="1:55">
      <c r="A135" s="5">
        <v>228</v>
      </c>
      <c r="B135" s="5" t="s">
        <v>196</v>
      </c>
      <c r="C135" s="5" t="s">
        <v>207</v>
      </c>
      <c r="D135" s="5" t="s">
        <v>208</v>
      </c>
      <c r="E135" s="9">
        <f>+VLOOKUP(C135,'[1]Summary Table'!$C$2:$G$287,5,0)</f>
        <v>46</v>
      </c>
      <c r="F135" s="8">
        <f t="shared" si="27"/>
        <v>12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>
        <v>12</v>
      </c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>
        <v>12</v>
      </c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>
        <v>12</v>
      </c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>
        <v>12</v>
      </c>
      <c r="BC135" s="6">
        <f t="shared" si="28"/>
        <v>48</v>
      </c>
    </row>
    <row r="136" spans="1:55">
      <c r="A136" s="5">
        <v>229</v>
      </c>
      <c r="B136" s="5" t="s">
        <v>196</v>
      </c>
      <c r="C136" s="5" t="s">
        <v>209</v>
      </c>
      <c r="D136" s="5" t="s">
        <v>210</v>
      </c>
      <c r="E136" s="9">
        <f>+VLOOKUP(C136,'[1]Summary Table'!$C$2:$G$287,5,0)</f>
        <v>41</v>
      </c>
      <c r="F136" s="8">
        <f t="shared" si="27"/>
        <v>4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>
        <v>4</v>
      </c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>
        <v>4</v>
      </c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>
        <v>4</v>
      </c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>
        <v>4</v>
      </c>
      <c r="BC136" s="6">
        <f t="shared" si="28"/>
        <v>16</v>
      </c>
    </row>
    <row r="137" spans="1:55">
      <c r="A137" s="5">
        <v>230</v>
      </c>
      <c r="B137" s="5" t="s">
        <v>196</v>
      </c>
      <c r="C137" s="5" t="s">
        <v>211</v>
      </c>
      <c r="D137" s="5" t="s">
        <v>212</v>
      </c>
      <c r="E137" s="9">
        <f>+VLOOKUP(C137,'[1]Summary Table'!$C$2:$G$287,5,0)</f>
        <v>10</v>
      </c>
      <c r="F137" s="8">
        <f t="shared" si="27"/>
        <v>24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>
        <v>8</v>
      </c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>
        <v>24</v>
      </c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>
        <v>8</v>
      </c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>
        <v>24</v>
      </c>
      <c r="BB137" s="6"/>
      <c r="BC137" s="6">
        <f t="shared" si="28"/>
        <v>64</v>
      </c>
    </row>
    <row r="138" spans="1:55">
      <c r="A138" s="5">
        <v>231</v>
      </c>
      <c r="B138" s="5" t="s">
        <v>196</v>
      </c>
      <c r="C138" s="5" t="s">
        <v>213</v>
      </c>
      <c r="D138" s="5" t="s">
        <v>214</v>
      </c>
      <c r="E138" s="9">
        <f>+VLOOKUP(C138,'[1]Summary Table'!$C$2:$G$287,5,0)</f>
        <v>48</v>
      </c>
      <c r="F138" s="8">
        <f t="shared" si="27"/>
        <v>2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>
        <v>2</v>
      </c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>
        <v>2</v>
      </c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>
        <v>2</v>
      </c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>
        <v>2</v>
      </c>
      <c r="BC138" s="6">
        <f t="shared" si="28"/>
        <v>8</v>
      </c>
    </row>
    <row r="139" spans="1:55">
      <c r="A139" s="5">
        <v>232</v>
      </c>
      <c r="B139" s="5" t="s">
        <v>196</v>
      </c>
      <c r="C139" s="5" t="s">
        <v>215</v>
      </c>
      <c r="D139" s="5" t="s">
        <v>112</v>
      </c>
      <c r="E139" s="9">
        <f>+VLOOKUP(C139,'[1]Summary Table'!$C$2:$G$287,5,0)</f>
        <v>47</v>
      </c>
      <c r="F139" s="8">
        <f t="shared" si="27"/>
        <v>4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>
        <v>4</v>
      </c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>
        <v>4</v>
      </c>
      <c r="BC139" s="6">
        <f t="shared" si="28"/>
        <v>8</v>
      </c>
    </row>
    <row r="140" spans="1:55">
      <c r="A140" s="5">
        <v>233</v>
      </c>
      <c r="B140" s="5" t="s">
        <v>196</v>
      </c>
      <c r="C140" s="5" t="s">
        <v>216</v>
      </c>
      <c r="D140" s="5" t="s">
        <v>217</v>
      </c>
      <c r="E140" s="9">
        <f>+VLOOKUP(C140,'[1]Summary Table'!$C$2:$G$287,5,0)</f>
        <v>27</v>
      </c>
      <c r="F140" s="8">
        <f t="shared" si="27"/>
        <v>3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>
        <v>3</v>
      </c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>
        <v>3</v>
      </c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>
        <v>3</v>
      </c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>
        <v>3</v>
      </c>
      <c r="BC140" s="6">
        <f t="shared" si="28"/>
        <v>12</v>
      </c>
    </row>
    <row r="141" spans="1:55">
      <c r="A141" s="5">
        <v>234</v>
      </c>
      <c r="B141" s="5" t="s">
        <v>196</v>
      </c>
      <c r="C141" s="5" t="s">
        <v>218</v>
      </c>
      <c r="D141" s="5" t="s">
        <v>219</v>
      </c>
      <c r="E141" s="9">
        <f>+VLOOKUP(C141,'[1]Summary Table'!$C$2:$G$287,5,0)</f>
        <v>20</v>
      </c>
      <c r="F141" s="8">
        <f t="shared" si="27"/>
        <v>4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>
        <v>4</v>
      </c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>
        <v>4</v>
      </c>
      <c r="BC141" s="6">
        <f t="shared" si="28"/>
        <v>8</v>
      </c>
    </row>
    <row r="142" spans="1:55">
      <c r="A142" s="5">
        <v>235</v>
      </c>
      <c r="B142" s="5" t="s">
        <v>196</v>
      </c>
      <c r="C142" s="5" t="s">
        <v>220</v>
      </c>
      <c r="D142" s="5" t="s">
        <v>221</v>
      </c>
      <c r="E142" s="9">
        <f>+VLOOKUP(C142,'[1]Summary Table'!$C$2:$G$287,5,0)</f>
        <v>21</v>
      </c>
      <c r="F142" s="8">
        <f t="shared" si="27"/>
        <v>12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>
        <v>12</v>
      </c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>
        <v>12</v>
      </c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>
        <v>12</v>
      </c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>
        <v>12</v>
      </c>
      <c r="BC142" s="6">
        <f t="shared" si="28"/>
        <v>48</v>
      </c>
    </row>
    <row r="143" spans="1:55">
      <c r="A143" s="5">
        <v>236</v>
      </c>
      <c r="B143" s="5" t="s">
        <v>196</v>
      </c>
      <c r="C143" s="5" t="s">
        <v>222</v>
      </c>
      <c r="D143" s="5" t="s">
        <v>223</v>
      </c>
      <c r="E143" s="9">
        <f>+VLOOKUP(C143,'[1]Summary Table'!$C$2:$G$287,5,0)</f>
        <v>27</v>
      </c>
      <c r="F143" s="8">
        <f t="shared" si="27"/>
        <v>3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>
        <v>3</v>
      </c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>
        <v>3</v>
      </c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>
        <v>3</v>
      </c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>
        <v>3</v>
      </c>
      <c r="BC143" s="6">
        <f t="shared" si="28"/>
        <v>12</v>
      </c>
    </row>
    <row r="144" spans="1:55">
      <c r="A144" s="5">
        <v>237</v>
      </c>
      <c r="B144" s="5" t="s">
        <v>196</v>
      </c>
      <c r="C144" s="5" t="s">
        <v>224</v>
      </c>
      <c r="D144" s="5" t="s">
        <v>225</v>
      </c>
      <c r="E144" s="9">
        <f>+VLOOKUP(C144,'[1]Summary Table'!$C$2:$G$287,5,0)</f>
        <v>20</v>
      </c>
      <c r="F144" s="8">
        <f t="shared" si="27"/>
        <v>4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>
        <v>4</v>
      </c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>
        <v>4</v>
      </c>
      <c r="BC144" s="6">
        <f t="shared" si="28"/>
        <v>8</v>
      </c>
    </row>
    <row r="145" spans="1:55">
      <c r="A145" s="13">
        <v>239</v>
      </c>
      <c r="B145" s="13" t="s">
        <v>226</v>
      </c>
      <c r="C145" s="13"/>
      <c r="D145" s="13"/>
      <c r="E145" s="12"/>
      <c r="F145" s="11">
        <f t="shared" ref="F145:AK145" si="29">MAX(F146:F160)</f>
        <v>24</v>
      </c>
      <c r="G145" s="17">
        <f t="shared" si="29"/>
        <v>0</v>
      </c>
      <c r="H145" s="17">
        <f t="shared" si="29"/>
        <v>0</v>
      </c>
      <c r="I145" s="17">
        <f t="shared" si="29"/>
        <v>0</v>
      </c>
      <c r="J145" s="17">
        <f t="shared" si="29"/>
        <v>0</v>
      </c>
      <c r="K145" s="17">
        <f t="shared" si="29"/>
        <v>0</v>
      </c>
      <c r="L145" s="17">
        <f t="shared" si="29"/>
        <v>0</v>
      </c>
      <c r="M145" s="17">
        <f t="shared" si="29"/>
        <v>0</v>
      </c>
      <c r="N145" s="17">
        <f t="shared" si="29"/>
        <v>0</v>
      </c>
      <c r="O145" s="17">
        <f t="shared" si="29"/>
        <v>0</v>
      </c>
      <c r="P145" s="17">
        <f t="shared" si="29"/>
        <v>0</v>
      </c>
      <c r="Q145" s="17">
        <f t="shared" si="29"/>
        <v>0</v>
      </c>
      <c r="R145" s="17">
        <f t="shared" si="29"/>
        <v>12</v>
      </c>
      <c r="S145" s="17">
        <f t="shared" si="29"/>
        <v>0</v>
      </c>
      <c r="T145" s="17">
        <f t="shared" si="29"/>
        <v>0</v>
      </c>
      <c r="U145" s="17">
        <f t="shared" si="29"/>
        <v>0</v>
      </c>
      <c r="V145" s="17">
        <f t="shared" si="29"/>
        <v>0</v>
      </c>
      <c r="W145" s="17">
        <f t="shared" si="29"/>
        <v>0</v>
      </c>
      <c r="X145" s="17">
        <f t="shared" si="29"/>
        <v>0</v>
      </c>
      <c r="Y145" s="17">
        <f t="shared" si="29"/>
        <v>0</v>
      </c>
      <c r="Z145" s="17">
        <f t="shared" si="29"/>
        <v>0</v>
      </c>
      <c r="AA145" s="17">
        <f t="shared" si="29"/>
        <v>0</v>
      </c>
      <c r="AB145" s="17">
        <f t="shared" si="29"/>
        <v>0</v>
      </c>
      <c r="AC145" s="17">
        <f t="shared" si="29"/>
        <v>0</v>
      </c>
      <c r="AD145" s="17">
        <f t="shared" si="29"/>
        <v>12</v>
      </c>
      <c r="AE145" s="17">
        <f t="shared" si="29"/>
        <v>0</v>
      </c>
      <c r="AF145" s="17">
        <f t="shared" si="29"/>
        <v>0</v>
      </c>
      <c r="AG145" s="17">
        <f t="shared" si="29"/>
        <v>0</v>
      </c>
      <c r="AH145" s="17">
        <f t="shared" si="29"/>
        <v>0</v>
      </c>
      <c r="AI145" s="17">
        <f t="shared" si="29"/>
        <v>0</v>
      </c>
      <c r="AJ145" s="17">
        <f t="shared" si="29"/>
        <v>0</v>
      </c>
      <c r="AK145" s="17">
        <f t="shared" si="29"/>
        <v>0</v>
      </c>
      <c r="AL145" s="17">
        <f t="shared" ref="AL145:BC145" si="30">MAX(AL146:AL160)</f>
        <v>0</v>
      </c>
      <c r="AM145" s="17">
        <f t="shared" si="30"/>
        <v>0</v>
      </c>
      <c r="AN145" s="17">
        <f t="shared" si="30"/>
        <v>0</v>
      </c>
      <c r="AO145" s="17">
        <f t="shared" si="30"/>
        <v>0</v>
      </c>
      <c r="AP145" s="17">
        <f t="shared" si="30"/>
        <v>12</v>
      </c>
      <c r="AQ145" s="17">
        <f t="shared" si="30"/>
        <v>0</v>
      </c>
      <c r="AR145" s="17">
        <f t="shared" si="30"/>
        <v>0</v>
      </c>
      <c r="AS145" s="17">
        <f t="shared" si="30"/>
        <v>0</v>
      </c>
      <c r="AT145" s="17">
        <f t="shared" si="30"/>
        <v>0</v>
      </c>
      <c r="AU145" s="17">
        <f t="shared" si="30"/>
        <v>0</v>
      </c>
      <c r="AV145" s="17">
        <f t="shared" si="30"/>
        <v>0</v>
      </c>
      <c r="AW145" s="17">
        <f t="shared" si="30"/>
        <v>0</v>
      </c>
      <c r="AX145" s="17">
        <f t="shared" si="30"/>
        <v>0</v>
      </c>
      <c r="AY145" s="17">
        <f t="shared" si="30"/>
        <v>0</v>
      </c>
      <c r="AZ145" s="17">
        <f t="shared" si="30"/>
        <v>0</v>
      </c>
      <c r="BA145" s="17">
        <f t="shared" si="30"/>
        <v>0</v>
      </c>
      <c r="BB145" s="17">
        <f t="shared" si="30"/>
        <v>24</v>
      </c>
      <c r="BC145" s="17">
        <f t="shared" si="30"/>
        <v>48</v>
      </c>
    </row>
    <row r="146" spans="1:55">
      <c r="A146" s="5">
        <v>240</v>
      </c>
      <c r="B146" s="5" t="s">
        <v>227</v>
      </c>
      <c r="C146" s="5" t="s">
        <v>228</v>
      </c>
      <c r="D146" s="5" t="s">
        <v>229</v>
      </c>
      <c r="E146" s="9">
        <f>+VLOOKUP(C146,'[1]Summary Table'!$C$2:$G$287,5,0)</f>
        <v>31</v>
      </c>
      <c r="F146" s="8">
        <f t="shared" ref="F146:F160" si="31">+MAX(G146:BB146)</f>
        <v>5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>
        <v>5</v>
      </c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>
        <v>5</v>
      </c>
      <c r="BC146" s="6">
        <f t="shared" ref="BC146:BC160" si="32">+SUM(G146:BB146)</f>
        <v>10</v>
      </c>
    </row>
    <row r="147" spans="1:55">
      <c r="A147" s="5">
        <v>241</v>
      </c>
      <c r="B147" s="5" t="s">
        <v>227</v>
      </c>
      <c r="C147" s="5" t="s">
        <v>230</v>
      </c>
      <c r="D147" s="5" t="s">
        <v>229</v>
      </c>
      <c r="E147" s="9">
        <f>+VLOOKUP(C147,'[1]Summary Table'!$C$2:$G$287,5,0)</f>
        <v>31</v>
      </c>
      <c r="F147" s="8">
        <f t="shared" si="31"/>
        <v>5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>
        <v>5</v>
      </c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>
        <v>5</v>
      </c>
      <c r="BC147" s="6">
        <f t="shared" si="32"/>
        <v>10</v>
      </c>
    </row>
    <row r="148" spans="1:55">
      <c r="A148" s="5">
        <v>243</v>
      </c>
      <c r="B148" s="5" t="s">
        <v>227</v>
      </c>
      <c r="C148" s="5" t="s">
        <v>231</v>
      </c>
      <c r="D148" s="5" t="s">
        <v>232</v>
      </c>
      <c r="E148" s="9">
        <f>+VLOOKUP(C148,'[1]Summary Table'!$C$2:$G$287,5,0)</f>
        <v>34</v>
      </c>
      <c r="F148" s="8">
        <f t="shared" si="31"/>
        <v>12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>
        <v>12</v>
      </c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>
        <v>12</v>
      </c>
      <c r="BC148" s="6">
        <f t="shared" si="32"/>
        <v>24</v>
      </c>
    </row>
    <row r="149" spans="1:55">
      <c r="A149" s="5">
        <v>244</v>
      </c>
      <c r="B149" s="5" t="s">
        <v>227</v>
      </c>
      <c r="C149" s="5" t="s">
        <v>233</v>
      </c>
      <c r="D149" s="5" t="s">
        <v>232</v>
      </c>
      <c r="E149" s="9">
        <f>+VLOOKUP(C149,'[1]Summary Table'!$C$2:$G$287,5,0)</f>
        <v>34</v>
      </c>
      <c r="F149" s="8">
        <f t="shared" si="31"/>
        <v>12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>
        <v>12</v>
      </c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>
        <v>12</v>
      </c>
      <c r="BC149" s="6">
        <f t="shared" si="32"/>
        <v>24</v>
      </c>
    </row>
    <row r="150" spans="1:55">
      <c r="A150" s="5">
        <v>245</v>
      </c>
      <c r="B150" s="5" t="s">
        <v>227</v>
      </c>
      <c r="C150" s="5" t="s">
        <v>234</v>
      </c>
      <c r="D150" s="5" t="s">
        <v>235</v>
      </c>
      <c r="E150" s="9">
        <f>+VLOOKUP(C150,'[1]Summary Table'!$C$2:$G$287,5,0)</f>
        <v>38</v>
      </c>
      <c r="F150" s="8">
        <f t="shared" si="31"/>
        <v>12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>
        <v>12</v>
      </c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>
        <v>12</v>
      </c>
      <c r="BC150" s="6">
        <f t="shared" si="32"/>
        <v>24</v>
      </c>
    </row>
    <row r="151" spans="1:55">
      <c r="A151" s="5">
        <v>246</v>
      </c>
      <c r="B151" s="5" t="s">
        <v>227</v>
      </c>
      <c r="C151" s="5" t="s">
        <v>236</v>
      </c>
      <c r="D151" s="5" t="s">
        <v>235</v>
      </c>
      <c r="E151" s="9">
        <f>+VLOOKUP(C151,'[1]Summary Table'!$C$2:$G$287,5,0)</f>
        <v>38</v>
      </c>
      <c r="F151" s="8">
        <f t="shared" si="31"/>
        <v>12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>
        <v>12</v>
      </c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>
        <v>12</v>
      </c>
      <c r="BC151" s="6">
        <f t="shared" si="32"/>
        <v>24</v>
      </c>
    </row>
    <row r="152" spans="1:55">
      <c r="A152" s="5">
        <v>247</v>
      </c>
      <c r="B152" s="5" t="s">
        <v>227</v>
      </c>
      <c r="C152" s="5" t="s">
        <v>237</v>
      </c>
      <c r="D152" s="5" t="s">
        <v>238</v>
      </c>
      <c r="E152" s="9">
        <f>+VLOOKUP(C152,'[1]Summary Table'!$C$2:$G$287,5,0)</f>
        <v>45</v>
      </c>
      <c r="F152" s="8">
        <f t="shared" si="31"/>
        <v>2</v>
      </c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>
        <v>2</v>
      </c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>
        <v>2</v>
      </c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>
        <v>2</v>
      </c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>
        <v>2</v>
      </c>
      <c r="BC152" s="6">
        <f t="shared" si="32"/>
        <v>8</v>
      </c>
    </row>
    <row r="153" spans="1:55">
      <c r="A153" s="5">
        <v>248</v>
      </c>
      <c r="B153" s="5" t="s">
        <v>227</v>
      </c>
      <c r="C153" s="5" t="s">
        <v>239</v>
      </c>
      <c r="D153" s="5" t="s">
        <v>240</v>
      </c>
      <c r="E153" s="9">
        <f>+VLOOKUP(C153,'[1]Summary Table'!$C$2:$G$287,5,0)</f>
        <v>27</v>
      </c>
      <c r="F153" s="8">
        <f t="shared" si="31"/>
        <v>3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>
        <v>3</v>
      </c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>
        <v>3</v>
      </c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>
        <v>3</v>
      </c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>
        <v>3</v>
      </c>
      <c r="BC153" s="6">
        <f t="shared" si="32"/>
        <v>12</v>
      </c>
    </row>
    <row r="154" spans="1:55">
      <c r="A154" s="5">
        <v>249</v>
      </c>
      <c r="B154" s="5" t="s">
        <v>227</v>
      </c>
      <c r="C154" s="5" t="s">
        <v>241</v>
      </c>
      <c r="D154" s="5" t="s">
        <v>208</v>
      </c>
      <c r="E154" s="9">
        <f>+VLOOKUP(C154,'[1]Summary Table'!$C$2:$G$287,5,0)</f>
        <v>46</v>
      </c>
      <c r="F154" s="8">
        <f t="shared" si="31"/>
        <v>12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>
        <v>12</v>
      </c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>
        <v>12</v>
      </c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>
        <v>12</v>
      </c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>
        <v>12</v>
      </c>
      <c r="BC154" s="6">
        <f t="shared" si="32"/>
        <v>48</v>
      </c>
    </row>
    <row r="155" spans="1:55">
      <c r="A155" s="5">
        <v>250</v>
      </c>
      <c r="B155" s="5" t="s">
        <v>227</v>
      </c>
      <c r="C155" s="5" t="s">
        <v>242</v>
      </c>
      <c r="D155" s="5" t="s">
        <v>243</v>
      </c>
      <c r="E155" s="9">
        <f>+VLOOKUP(C155,'[1]Summary Table'!$C$2:$G$287,5,0)</f>
        <v>44</v>
      </c>
      <c r="F155" s="8">
        <f t="shared" si="31"/>
        <v>24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>
        <v>24</v>
      </c>
      <c r="BC155" s="6">
        <f t="shared" si="32"/>
        <v>24</v>
      </c>
    </row>
    <row r="156" spans="1:55">
      <c r="A156" s="5">
        <v>251</v>
      </c>
      <c r="B156" s="5" t="s">
        <v>227</v>
      </c>
      <c r="C156" s="5" t="s">
        <v>244</v>
      </c>
      <c r="D156" s="5" t="s">
        <v>245</v>
      </c>
      <c r="E156" s="9">
        <f>+VLOOKUP(C156,'[1]Summary Table'!$C$2:$G$287,5,0)</f>
        <v>44</v>
      </c>
      <c r="F156" s="8">
        <f t="shared" si="31"/>
        <v>24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>
        <v>24</v>
      </c>
      <c r="BC156" s="6">
        <f t="shared" si="32"/>
        <v>24</v>
      </c>
    </row>
    <row r="157" spans="1:55">
      <c r="A157" s="5">
        <v>252</v>
      </c>
      <c r="B157" s="5" t="s">
        <v>227</v>
      </c>
      <c r="C157" s="5" t="s">
        <v>246</v>
      </c>
      <c r="D157" s="15" t="s">
        <v>247</v>
      </c>
      <c r="E157" s="18">
        <f>+VLOOKUP(C157,'[1]Summary Table'!$C$2:$G$287,5,0)</f>
        <v>8</v>
      </c>
      <c r="F157" s="8">
        <f t="shared" si="31"/>
        <v>2</v>
      </c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6">
        <v>2</v>
      </c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6">
        <v>2</v>
      </c>
      <c r="BC157" s="6">
        <f t="shared" si="32"/>
        <v>4</v>
      </c>
    </row>
    <row r="158" spans="1:55">
      <c r="A158" s="5">
        <v>253</v>
      </c>
      <c r="B158" s="5" t="s">
        <v>227</v>
      </c>
      <c r="C158" s="5" t="s">
        <v>248</v>
      </c>
      <c r="D158" s="5" t="s">
        <v>249</v>
      </c>
      <c r="E158" s="18">
        <v>44</v>
      </c>
      <c r="F158" s="8">
        <f t="shared" si="31"/>
        <v>24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>
        <v>24</v>
      </c>
      <c r="BC158" s="6">
        <f t="shared" si="32"/>
        <v>24</v>
      </c>
    </row>
    <row r="159" spans="1:55">
      <c r="A159" s="5">
        <v>254</v>
      </c>
      <c r="B159" s="5" t="s">
        <v>227</v>
      </c>
      <c r="C159" s="43" t="s">
        <v>250</v>
      </c>
      <c r="D159" s="5" t="s">
        <v>251</v>
      </c>
      <c r="E159" s="18">
        <v>44</v>
      </c>
      <c r="F159" s="8">
        <f t="shared" si="31"/>
        <v>24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>
        <v>24</v>
      </c>
      <c r="BC159" s="6">
        <f t="shared" si="32"/>
        <v>24</v>
      </c>
    </row>
    <row r="160" spans="1:55">
      <c r="A160" s="5">
        <v>255</v>
      </c>
      <c r="B160" s="5" t="s">
        <v>227</v>
      </c>
      <c r="C160" s="5" t="s">
        <v>252</v>
      </c>
      <c r="D160" s="5" t="s">
        <v>253</v>
      </c>
      <c r="E160" s="9">
        <f>+VLOOKUP(C160,'[1]Summary Table'!$C$2:$G$287,5,0)</f>
        <v>22</v>
      </c>
      <c r="F160" s="8">
        <f t="shared" si="31"/>
        <v>4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>
        <v>4</v>
      </c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>
        <v>4</v>
      </c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>
        <v>4</v>
      </c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>
        <v>4</v>
      </c>
      <c r="BC160" s="6">
        <f t="shared" si="32"/>
        <v>16</v>
      </c>
    </row>
    <row r="161" spans="1:55">
      <c r="A161" s="13">
        <v>256</v>
      </c>
      <c r="B161" s="13" t="s">
        <v>254</v>
      </c>
      <c r="C161" s="13"/>
      <c r="D161" s="13"/>
      <c r="E161" s="12"/>
      <c r="F161" s="11">
        <f t="shared" ref="F161:AK161" si="33">MAX(F162:F173)</f>
        <v>48</v>
      </c>
      <c r="G161" s="17">
        <f t="shared" si="33"/>
        <v>1</v>
      </c>
      <c r="H161" s="17">
        <f t="shared" si="33"/>
        <v>1</v>
      </c>
      <c r="I161" s="17">
        <f t="shared" si="33"/>
        <v>1</v>
      </c>
      <c r="J161" s="17">
        <f t="shared" si="33"/>
        <v>0</v>
      </c>
      <c r="K161" s="17">
        <f t="shared" si="33"/>
        <v>1</v>
      </c>
      <c r="L161" s="17">
        <f t="shared" si="33"/>
        <v>1</v>
      </c>
      <c r="M161" s="17">
        <f t="shared" si="33"/>
        <v>1</v>
      </c>
      <c r="N161" s="17">
        <f t="shared" si="33"/>
        <v>0</v>
      </c>
      <c r="O161" s="17">
        <f t="shared" si="33"/>
        <v>12</v>
      </c>
      <c r="P161" s="17">
        <f t="shared" si="33"/>
        <v>12</v>
      </c>
      <c r="Q161" s="17">
        <f t="shared" si="33"/>
        <v>6</v>
      </c>
      <c r="R161" s="17">
        <f t="shared" si="33"/>
        <v>6</v>
      </c>
      <c r="S161" s="17">
        <f t="shared" si="33"/>
        <v>1</v>
      </c>
      <c r="T161" s="17">
        <f t="shared" si="33"/>
        <v>1</v>
      </c>
      <c r="U161" s="17">
        <f t="shared" si="33"/>
        <v>1</v>
      </c>
      <c r="V161" s="17">
        <f t="shared" si="33"/>
        <v>0</v>
      </c>
      <c r="W161" s="17">
        <f t="shared" si="33"/>
        <v>1</v>
      </c>
      <c r="X161" s="17">
        <f t="shared" si="33"/>
        <v>1</v>
      </c>
      <c r="Y161" s="17">
        <f t="shared" si="33"/>
        <v>1</v>
      </c>
      <c r="Z161" s="17">
        <f t="shared" si="33"/>
        <v>0</v>
      </c>
      <c r="AA161" s="17">
        <f t="shared" si="33"/>
        <v>24</v>
      </c>
      <c r="AB161" s="17">
        <f t="shared" si="33"/>
        <v>12</v>
      </c>
      <c r="AC161" s="17">
        <f t="shared" si="33"/>
        <v>6</v>
      </c>
      <c r="AD161" s="17">
        <f t="shared" si="33"/>
        <v>48</v>
      </c>
      <c r="AE161" s="17">
        <f t="shared" si="33"/>
        <v>1</v>
      </c>
      <c r="AF161" s="17">
        <f t="shared" si="33"/>
        <v>1</v>
      </c>
      <c r="AG161" s="17">
        <f t="shared" si="33"/>
        <v>1</v>
      </c>
      <c r="AH161" s="17">
        <f t="shared" si="33"/>
        <v>0</v>
      </c>
      <c r="AI161" s="17">
        <f t="shared" si="33"/>
        <v>1</v>
      </c>
      <c r="AJ161" s="17">
        <f t="shared" si="33"/>
        <v>1</v>
      </c>
      <c r="AK161" s="17">
        <f t="shared" si="33"/>
        <v>1</v>
      </c>
      <c r="AL161" s="17">
        <f t="shared" ref="AL161:BC161" si="34">MAX(AL162:AL173)</f>
        <v>0</v>
      </c>
      <c r="AM161" s="17">
        <f t="shared" si="34"/>
        <v>12</v>
      </c>
      <c r="AN161" s="17">
        <f t="shared" si="34"/>
        <v>12</v>
      </c>
      <c r="AO161" s="17">
        <f t="shared" si="34"/>
        <v>6</v>
      </c>
      <c r="AP161" s="17">
        <f t="shared" si="34"/>
        <v>6</v>
      </c>
      <c r="AQ161" s="17">
        <f t="shared" si="34"/>
        <v>1</v>
      </c>
      <c r="AR161" s="17">
        <f t="shared" si="34"/>
        <v>1</v>
      </c>
      <c r="AS161" s="17">
        <f t="shared" si="34"/>
        <v>1</v>
      </c>
      <c r="AT161" s="17">
        <f t="shared" si="34"/>
        <v>0</v>
      </c>
      <c r="AU161" s="17">
        <f t="shared" si="34"/>
        <v>1</v>
      </c>
      <c r="AV161" s="17">
        <f t="shared" si="34"/>
        <v>1</v>
      </c>
      <c r="AW161" s="17">
        <f t="shared" si="34"/>
        <v>1</v>
      </c>
      <c r="AX161" s="17">
        <f t="shared" si="34"/>
        <v>0</v>
      </c>
      <c r="AY161" s="17">
        <f t="shared" si="34"/>
        <v>14</v>
      </c>
      <c r="AZ161" s="17">
        <f t="shared" si="34"/>
        <v>12</v>
      </c>
      <c r="BA161" s="17">
        <f t="shared" si="34"/>
        <v>6</v>
      </c>
      <c r="BB161" s="17">
        <f t="shared" si="34"/>
        <v>6</v>
      </c>
      <c r="BC161" s="17">
        <f t="shared" si="34"/>
        <v>56</v>
      </c>
    </row>
    <row r="162" spans="1:55">
      <c r="A162" s="5">
        <v>257</v>
      </c>
      <c r="B162" s="5" t="s">
        <v>254</v>
      </c>
      <c r="C162" s="5" t="s">
        <v>255</v>
      </c>
      <c r="D162" s="5" t="s">
        <v>256</v>
      </c>
      <c r="E162" s="9">
        <f>+VLOOKUP(C162,'[1]Summary Table'!$C$2:$G$287,5,0)</f>
        <v>28</v>
      </c>
      <c r="F162" s="8">
        <f t="shared" ref="F162:F173" si="35">+MAX(G162:BB162)</f>
        <v>6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>
        <v>6</v>
      </c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>
        <v>6</v>
      </c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>
        <v>6</v>
      </c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>
        <v>6</v>
      </c>
      <c r="BC162" s="6">
        <f t="shared" ref="BC162:BC173" si="36">+SUM(G162:BB162)</f>
        <v>24</v>
      </c>
    </row>
    <row r="163" spans="1:55">
      <c r="A163" s="5">
        <v>258</v>
      </c>
      <c r="B163" s="5" t="s">
        <v>254</v>
      </c>
      <c r="C163" s="5" t="s">
        <v>257</v>
      </c>
      <c r="D163" s="5" t="s">
        <v>258</v>
      </c>
      <c r="E163" s="9">
        <f>+VLOOKUP(C163,'[1]Summary Table'!$C$2:$G$287,5,0)</f>
        <v>30</v>
      </c>
      <c r="F163" s="8">
        <f t="shared" si="35"/>
        <v>3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>
        <v>3</v>
      </c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>
        <v>3</v>
      </c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>
        <v>3</v>
      </c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>
        <v>3</v>
      </c>
      <c r="BC163" s="6">
        <f t="shared" si="36"/>
        <v>12</v>
      </c>
    </row>
    <row r="164" spans="1:55">
      <c r="A164" s="5">
        <v>259</v>
      </c>
      <c r="B164" s="5" t="s">
        <v>254</v>
      </c>
      <c r="C164" s="5" t="s">
        <v>259</v>
      </c>
      <c r="D164" s="5" t="s">
        <v>260</v>
      </c>
      <c r="E164" s="10">
        <f>+VLOOKUP(C164,'[1]Summary Table'!$C$2:$G$287,5,0)</f>
        <v>50</v>
      </c>
      <c r="F164" s="8">
        <f t="shared" si="35"/>
        <v>24</v>
      </c>
      <c r="G164" s="6"/>
      <c r="H164" s="6"/>
      <c r="I164" s="6"/>
      <c r="J164" s="6"/>
      <c r="K164" s="6"/>
      <c r="L164" s="6"/>
      <c r="M164" s="6"/>
      <c r="N164" s="6"/>
      <c r="O164" s="6">
        <v>8</v>
      </c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>
        <v>24</v>
      </c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>
        <v>8</v>
      </c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>
        <v>14</v>
      </c>
      <c r="AZ164" s="6"/>
      <c r="BA164" s="6"/>
      <c r="BB164" s="6"/>
      <c r="BC164" s="6">
        <f t="shared" si="36"/>
        <v>54</v>
      </c>
    </row>
    <row r="165" spans="1:55">
      <c r="A165" s="5">
        <v>260</v>
      </c>
      <c r="B165" s="5" t="s">
        <v>254</v>
      </c>
      <c r="C165" s="5" t="s">
        <v>261</v>
      </c>
      <c r="D165" s="7" t="s">
        <v>262</v>
      </c>
      <c r="E165" s="9">
        <f>+VLOOKUP(C165,'[1]Summary Table'!$C$2:$G$287,5,0)</f>
        <v>16</v>
      </c>
      <c r="F165" s="8">
        <f t="shared" si="35"/>
        <v>0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>
        <f t="shared" si="36"/>
        <v>0</v>
      </c>
    </row>
    <row r="166" spans="1:55">
      <c r="A166" s="5">
        <v>261</v>
      </c>
      <c r="B166" s="5" t="s">
        <v>254</v>
      </c>
      <c r="C166" s="5" t="s">
        <v>263</v>
      </c>
      <c r="D166" s="5" t="s">
        <v>264</v>
      </c>
      <c r="E166" s="10">
        <f>+VLOOKUP(C166,'[1]Summary Table'!$C$2:$G$287,5,0)</f>
        <v>24</v>
      </c>
      <c r="F166" s="8">
        <f>+MAX(G166:AZ166)</f>
        <v>12</v>
      </c>
      <c r="G166" s="6"/>
      <c r="H166" s="6">
        <v>1</v>
      </c>
      <c r="I166" s="6"/>
      <c r="J166" s="6"/>
      <c r="K166" s="6"/>
      <c r="L166" s="6">
        <v>1</v>
      </c>
      <c r="M166" s="6"/>
      <c r="N166" s="6"/>
      <c r="O166" s="6"/>
      <c r="P166" s="6">
        <v>12</v>
      </c>
      <c r="Q166" s="6"/>
      <c r="R166" s="6"/>
      <c r="S166" s="6"/>
      <c r="T166" s="6">
        <v>1</v>
      </c>
      <c r="U166" s="6"/>
      <c r="V166" s="6"/>
      <c r="W166" s="6"/>
      <c r="X166" s="6">
        <v>1</v>
      </c>
      <c r="Y166" s="6"/>
      <c r="Z166" s="6"/>
      <c r="AA166" s="6"/>
      <c r="AB166" s="6">
        <v>12</v>
      </c>
      <c r="AC166" s="6"/>
      <c r="AD166" s="6"/>
      <c r="AE166" s="6"/>
      <c r="AF166" s="6">
        <v>1</v>
      </c>
      <c r="AG166" s="6"/>
      <c r="AH166" s="6"/>
      <c r="AI166" s="6"/>
      <c r="AJ166" s="6">
        <v>1</v>
      </c>
      <c r="AK166" s="6"/>
      <c r="AL166" s="6"/>
      <c r="AM166" s="6"/>
      <c r="AN166" s="6">
        <v>12</v>
      </c>
      <c r="AO166" s="6"/>
      <c r="AP166" s="6"/>
      <c r="AQ166" s="6"/>
      <c r="AR166" s="6">
        <v>1</v>
      </c>
      <c r="AS166" s="6"/>
      <c r="AT166" s="6"/>
      <c r="AU166" s="6"/>
      <c r="AV166" s="6">
        <v>1</v>
      </c>
      <c r="AW166" s="6"/>
      <c r="AX166" s="6"/>
      <c r="AY166" s="6"/>
      <c r="AZ166" s="6">
        <v>12</v>
      </c>
      <c r="BA166" s="6"/>
      <c r="BB166" s="6"/>
      <c r="BC166" s="6">
        <f>+SUM(G166:AZ166)</f>
        <v>56</v>
      </c>
    </row>
    <row r="167" spans="1:55">
      <c r="A167" s="5">
        <v>262</v>
      </c>
      <c r="B167" s="5" t="s">
        <v>254</v>
      </c>
      <c r="C167" s="5" t="s">
        <v>265</v>
      </c>
      <c r="D167" s="5" t="s">
        <v>266</v>
      </c>
      <c r="E167" s="10">
        <f>+VLOOKUP(C167,'[1]Summary Table'!$C$2:$G$287,5,0)</f>
        <v>24</v>
      </c>
      <c r="F167" s="8">
        <f>+MAX(G167:AZ167)</f>
        <v>0.5</v>
      </c>
      <c r="G167" s="6"/>
      <c r="H167" s="6">
        <v>0.5</v>
      </c>
      <c r="I167" s="6"/>
      <c r="J167" s="6"/>
      <c r="K167" s="6"/>
      <c r="L167" s="6">
        <v>0.5</v>
      </c>
      <c r="M167" s="6"/>
      <c r="N167" s="6"/>
      <c r="O167" s="6"/>
      <c r="P167" s="6">
        <v>0.5</v>
      </c>
      <c r="Q167" s="6"/>
      <c r="R167" s="6"/>
      <c r="S167" s="6"/>
      <c r="T167" s="6">
        <v>0.5</v>
      </c>
      <c r="U167" s="6"/>
      <c r="V167" s="6"/>
      <c r="W167" s="6"/>
      <c r="X167" s="6">
        <v>0.5</v>
      </c>
      <c r="Y167" s="6"/>
      <c r="Z167" s="6"/>
      <c r="AA167" s="6"/>
      <c r="AB167" s="6">
        <v>0.5</v>
      </c>
      <c r="AC167" s="6"/>
      <c r="AD167" s="6"/>
      <c r="AE167" s="6"/>
      <c r="AF167" s="6">
        <v>0.5</v>
      </c>
      <c r="AG167" s="6"/>
      <c r="AH167" s="6"/>
      <c r="AI167" s="6"/>
      <c r="AJ167" s="6">
        <v>0.5</v>
      </c>
      <c r="AK167" s="6"/>
      <c r="AL167" s="6"/>
      <c r="AM167" s="6"/>
      <c r="AN167" s="6">
        <v>0.5</v>
      </c>
      <c r="AO167" s="6"/>
      <c r="AP167" s="6"/>
      <c r="AQ167" s="6"/>
      <c r="AR167" s="6">
        <v>0.5</v>
      </c>
      <c r="AS167" s="6"/>
      <c r="AT167" s="6"/>
      <c r="AU167" s="6"/>
      <c r="AV167" s="6">
        <v>0.5</v>
      </c>
      <c r="AW167" s="6"/>
      <c r="AX167" s="6"/>
      <c r="AY167" s="6"/>
      <c r="AZ167" s="6">
        <v>0.5</v>
      </c>
      <c r="BA167" s="6"/>
      <c r="BB167" s="6"/>
      <c r="BC167" s="6">
        <f>+SUM(G167:AZ167)</f>
        <v>6</v>
      </c>
    </row>
    <row r="168" spans="1:55">
      <c r="A168" s="5">
        <v>263</v>
      </c>
      <c r="B168" s="5" t="s">
        <v>254</v>
      </c>
      <c r="C168" s="5" t="s">
        <v>267</v>
      </c>
      <c r="D168" s="5" t="s">
        <v>268</v>
      </c>
      <c r="E168" s="9">
        <f>+VLOOKUP(C168,'[1]Summary Table'!$C$2:$G$287,5,0)</f>
        <v>27</v>
      </c>
      <c r="F168" s="8">
        <f t="shared" si="35"/>
        <v>1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>
        <v>1</v>
      </c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>
        <v>1</v>
      </c>
      <c r="BC168" s="6">
        <f t="shared" si="36"/>
        <v>2</v>
      </c>
    </row>
    <row r="169" spans="1:55">
      <c r="A169" s="5">
        <v>264</v>
      </c>
      <c r="B169" s="5" t="s">
        <v>254</v>
      </c>
      <c r="C169" s="5" t="s">
        <v>269</v>
      </c>
      <c r="D169" s="15" t="s">
        <v>270</v>
      </c>
      <c r="E169" s="14">
        <f>+VLOOKUP(C169,'[1]Summary Table'!$C$2:$G$287,5,0)</f>
        <v>24</v>
      </c>
      <c r="F169" s="8">
        <f t="shared" si="35"/>
        <v>12</v>
      </c>
      <c r="G169" s="6">
        <v>1</v>
      </c>
      <c r="H169" s="6"/>
      <c r="I169" s="6"/>
      <c r="J169" s="6"/>
      <c r="K169" s="6">
        <v>1</v>
      </c>
      <c r="L169" s="6"/>
      <c r="M169" s="6"/>
      <c r="N169" s="6"/>
      <c r="O169" s="6">
        <v>12</v>
      </c>
      <c r="P169" s="6"/>
      <c r="Q169" s="6"/>
      <c r="R169" s="6"/>
      <c r="S169" s="6">
        <v>1</v>
      </c>
      <c r="T169" s="6"/>
      <c r="U169" s="6"/>
      <c r="V169" s="6"/>
      <c r="W169" s="6">
        <v>1</v>
      </c>
      <c r="X169" s="6"/>
      <c r="Y169" s="6"/>
      <c r="Z169" s="6"/>
      <c r="AA169" s="6">
        <v>12</v>
      </c>
      <c r="AB169" s="6"/>
      <c r="AC169" s="6"/>
      <c r="AD169" s="6"/>
      <c r="AE169" s="6">
        <v>1</v>
      </c>
      <c r="AF169" s="6"/>
      <c r="AG169" s="6"/>
      <c r="AH169" s="6"/>
      <c r="AI169" s="6">
        <v>1</v>
      </c>
      <c r="AJ169" s="6"/>
      <c r="AK169" s="6"/>
      <c r="AL169" s="6"/>
      <c r="AM169" s="6">
        <v>12</v>
      </c>
      <c r="AN169" s="6"/>
      <c r="AO169" s="6"/>
      <c r="AP169" s="6"/>
      <c r="AQ169" s="6">
        <v>1</v>
      </c>
      <c r="AR169" s="6"/>
      <c r="AS169" s="6"/>
      <c r="AT169" s="6"/>
      <c r="AU169" s="6">
        <v>1</v>
      </c>
      <c r="AV169" s="6"/>
      <c r="AW169" s="6"/>
      <c r="AX169" s="6"/>
      <c r="AY169" s="6">
        <v>12</v>
      </c>
      <c r="AZ169" s="6"/>
      <c r="BA169" s="6"/>
      <c r="BB169" s="6"/>
      <c r="BC169" s="6">
        <f t="shared" si="36"/>
        <v>56</v>
      </c>
    </row>
    <row r="170" spans="1:55" ht="29.1">
      <c r="A170" s="5">
        <v>265</v>
      </c>
      <c r="B170" s="5" t="s">
        <v>254</v>
      </c>
      <c r="C170" s="5" t="s">
        <v>271</v>
      </c>
      <c r="D170" s="15" t="s">
        <v>272</v>
      </c>
      <c r="E170" s="14">
        <f>+VLOOKUP(C170,'[1]Summary Table'!$C$2:$G$287,5,0)</f>
        <v>24</v>
      </c>
      <c r="F170" s="8">
        <f t="shared" si="35"/>
        <v>0.5</v>
      </c>
      <c r="G170" s="6">
        <v>0.5</v>
      </c>
      <c r="H170" s="6"/>
      <c r="I170" s="6"/>
      <c r="J170" s="6"/>
      <c r="K170" s="6">
        <v>0.5</v>
      </c>
      <c r="L170" s="6"/>
      <c r="M170" s="6"/>
      <c r="N170" s="6"/>
      <c r="O170" s="6">
        <v>0.5</v>
      </c>
      <c r="P170" s="6"/>
      <c r="Q170" s="6"/>
      <c r="R170" s="6"/>
      <c r="S170" s="6">
        <v>0.5</v>
      </c>
      <c r="T170" s="6"/>
      <c r="U170" s="6"/>
      <c r="V170" s="6"/>
      <c r="W170" s="6">
        <v>0.5</v>
      </c>
      <c r="X170" s="6"/>
      <c r="Y170" s="6"/>
      <c r="Z170" s="6"/>
      <c r="AA170" s="6">
        <v>0.5</v>
      </c>
      <c r="AB170" s="6"/>
      <c r="AC170" s="6"/>
      <c r="AD170" s="6"/>
      <c r="AE170" s="6">
        <v>0.5</v>
      </c>
      <c r="AF170" s="6"/>
      <c r="AG170" s="6"/>
      <c r="AH170" s="6"/>
      <c r="AI170" s="6">
        <v>0.5</v>
      </c>
      <c r="AJ170" s="6"/>
      <c r="AK170" s="6"/>
      <c r="AL170" s="6"/>
      <c r="AM170" s="6">
        <v>0.5</v>
      </c>
      <c r="AN170" s="6"/>
      <c r="AO170" s="6"/>
      <c r="AP170" s="6"/>
      <c r="AQ170" s="6">
        <v>0.5</v>
      </c>
      <c r="AR170" s="6"/>
      <c r="AS170" s="6"/>
      <c r="AT170" s="6"/>
      <c r="AU170" s="6">
        <v>0.5</v>
      </c>
      <c r="AV170" s="6"/>
      <c r="AW170" s="6"/>
      <c r="AX170" s="6"/>
      <c r="AY170" s="6">
        <v>0.5</v>
      </c>
      <c r="AZ170" s="6"/>
      <c r="BA170" s="6"/>
      <c r="BB170" s="6"/>
      <c r="BC170" s="6">
        <f t="shared" si="36"/>
        <v>6</v>
      </c>
    </row>
    <row r="171" spans="1:55">
      <c r="A171" s="5">
        <v>266</v>
      </c>
      <c r="B171" s="5" t="s">
        <v>254</v>
      </c>
      <c r="C171" s="5" t="s">
        <v>273</v>
      </c>
      <c r="D171" s="5" t="s">
        <v>274</v>
      </c>
      <c r="E171" s="9">
        <f>+VLOOKUP(C171,'[1]Summary Table'!$C$2:$G$287,5,0)</f>
        <v>16</v>
      </c>
      <c r="F171" s="8">
        <f t="shared" si="35"/>
        <v>48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>
        <v>48</v>
      </c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>
        <f t="shared" si="36"/>
        <v>48</v>
      </c>
    </row>
    <row r="172" spans="1:55">
      <c r="A172" s="5">
        <v>267</v>
      </c>
      <c r="B172" s="5" t="s">
        <v>254</v>
      </c>
      <c r="C172" s="5" t="s">
        <v>275</v>
      </c>
      <c r="D172" s="19" t="s">
        <v>276</v>
      </c>
      <c r="E172" s="14">
        <f>+VLOOKUP(C172,'[1]Summary Table'!$C$2:$G$287,5,0)</f>
        <v>24</v>
      </c>
      <c r="F172" s="8">
        <f t="shared" si="35"/>
        <v>6</v>
      </c>
      <c r="G172" s="6"/>
      <c r="H172" s="6"/>
      <c r="I172" s="6">
        <v>1</v>
      </c>
      <c r="J172" s="6"/>
      <c r="K172" s="6"/>
      <c r="L172" s="6"/>
      <c r="M172" s="6">
        <v>1</v>
      </c>
      <c r="N172" s="6"/>
      <c r="O172" s="6"/>
      <c r="P172" s="6"/>
      <c r="Q172" s="6">
        <v>6</v>
      </c>
      <c r="R172" s="6"/>
      <c r="S172" s="6"/>
      <c r="T172" s="6"/>
      <c r="U172" s="6">
        <v>1</v>
      </c>
      <c r="V172" s="6"/>
      <c r="W172" s="6"/>
      <c r="X172" s="6"/>
      <c r="Y172" s="6">
        <v>1</v>
      </c>
      <c r="Z172" s="6"/>
      <c r="AA172" s="6"/>
      <c r="AB172" s="6"/>
      <c r="AC172" s="6">
        <v>6</v>
      </c>
      <c r="AD172" s="6"/>
      <c r="AE172" s="6"/>
      <c r="AF172" s="6"/>
      <c r="AG172" s="6">
        <v>1</v>
      </c>
      <c r="AH172" s="6"/>
      <c r="AI172" s="6"/>
      <c r="AJ172" s="6"/>
      <c r="AK172" s="6">
        <v>1</v>
      </c>
      <c r="AL172" s="6"/>
      <c r="AM172" s="6"/>
      <c r="AN172" s="6"/>
      <c r="AO172" s="6">
        <v>6</v>
      </c>
      <c r="AP172" s="6"/>
      <c r="AQ172" s="6"/>
      <c r="AR172" s="6"/>
      <c r="AS172" s="6">
        <v>1</v>
      </c>
      <c r="AT172" s="6"/>
      <c r="AU172" s="6"/>
      <c r="AV172" s="6"/>
      <c r="AW172" s="6">
        <v>1</v>
      </c>
      <c r="AX172" s="6"/>
      <c r="AY172" s="6"/>
      <c r="AZ172" s="6"/>
      <c r="BA172" s="6">
        <v>6</v>
      </c>
      <c r="BB172" s="6"/>
      <c r="BC172" s="6">
        <f t="shared" si="36"/>
        <v>32</v>
      </c>
    </row>
    <row r="173" spans="1:55">
      <c r="A173" s="5">
        <v>268</v>
      </c>
      <c r="B173" s="5" t="s">
        <v>254</v>
      </c>
      <c r="C173" s="5" t="s">
        <v>277</v>
      </c>
      <c r="D173" s="15" t="s">
        <v>278</v>
      </c>
      <c r="E173" s="14">
        <f>+VLOOKUP(C173,'[1]Summary Table'!$C$2:$G$287,5,0)</f>
        <v>24</v>
      </c>
      <c r="F173" s="8">
        <f t="shared" si="35"/>
        <v>0.5</v>
      </c>
      <c r="G173" s="6"/>
      <c r="H173" s="6"/>
      <c r="I173" s="6">
        <v>0.5</v>
      </c>
      <c r="J173" s="6"/>
      <c r="K173" s="6"/>
      <c r="L173" s="6"/>
      <c r="M173" s="6">
        <v>0.5</v>
      </c>
      <c r="N173" s="6"/>
      <c r="O173" s="6"/>
      <c r="P173" s="6"/>
      <c r="Q173" s="6">
        <v>0.5</v>
      </c>
      <c r="R173" s="6"/>
      <c r="S173" s="6"/>
      <c r="T173" s="6"/>
      <c r="U173" s="6">
        <v>0.5</v>
      </c>
      <c r="V173" s="6"/>
      <c r="W173" s="6"/>
      <c r="X173" s="6"/>
      <c r="Y173" s="6">
        <v>0.5</v>
      </c>
      <c r="Z173" s="6"/>
      <c r="AA173" s="6"/>
      <c r="AB173" s="6"/>
      <c r="AC173" s="6">
        <v>0.5</v>
      </c>
      <c r="AD173" s="6"/>
      <c r="AE173" s="6"/>
      <c r="AF173" s="6"/>
      <c r="AG173" s="6">
        <v>0.5</v>
      </c>
      <c r="AH173" s="6"/>
      <c r="AI173" s="6"/>
      <c r="AJ173" s="6"/>
      <c r="AK173" s="6">
        <v>0.5</v>
      </c>
      <c r="AL173" s="6"/>
      <c r="AM173" s="6"/>
      <c r="AN173" s="6"/>
      <c r="AO173" s="6">
        <v>0.5</v>
      </c>
      <c r="AP173" s="6"/>
      <c r="AQ173" s="6"/>
      <c r="AR173" s="6"/>
      <c r="AS173" s="6">
        <v>0.5</v>
      </c>
      <c r="AT173" s="6"/>
      <c r="AU173" s="6"/>
      <c r="AV173" s="6"/>
      <c r="AW173" s="6">
        <v>0.5</v>
      </c>
      <c r="AX173" s="6"/>
      <c r="AY173" s="6"/>
      <c r="AZ173" s="6"/>
      <c r="BA173" s="6">
        <v>0.5</v>
      </c>
      <c r="BB173" s="6"/>
      <c r="BC173" s="6">
        <f t="shared" si="36"/>
        <v>6</v>
      </c>
    </row>
    <row r="174" spans="1:55">
      <c r="A174" s="13">
        <v>269</v>
      </c>
      <c r="B174" s="13" t="s">
        <v>279</v>
      </c>
      <c r="C174" s="13"/>
      <c r="D174" s="13"/>
      <c r="E174" s="12"/>
      <c r="F174" s="11">
        <f t="shared" ref="F174:AK174" si="37">MAX(F175:F196)</f>
        <v>48</v>
      </c>
      <c r="G174" s="17">
        <f t="shared" si="37"/>
        <v>0</v>
      </c>
      <c r="H174" s="17">
        <f t="shared" si="37"/>
        <v>12</v>
      </c>
      <c r="I174" s="17">
        <f t="shared" si="37"/>
        <v>12</v>
      </c>
      <c r="J174" s="17">
        <f t="shared" si="37"/>
        <v>12</v>
      </c>
      <c r="K174" s="17">
        <f t="shared" si="37"/>
        <v>1</v>
      </c>
      <c r="L174" s="17">
        <f t="shared" si="37"/>
        <v>12</v>
      </c>
      <c r="M174" s="17">
        <f t="shared" si="37"/>
        <v>12</v>
      </c>
      <c r="N174" s="17">
        <f t="shared" si="37"/>
        <v>12</v>
      </c>
      <c r="O174" s="17">
        <f t="shared" si="37"/>
        <v>1</v>
      </c>
      <c r="P174" s="17">
        <f t="shared" si="37"/>
        <v>12</v>
      </c>
      <c r="Q174" s="17">
        <f t="shared" si="37"/>
        <v>12</v>
      </c>
      <c r="R174" s="17">
        <f t="shared" si="37"/>
        <v>12</v>
      </c>
      <c r="S174" s="17">
        <f t="shared" si="37"/>
        <v>12</v>
      </c>
      <c r="T174" s="17">
        <f t="shared" si="37"/>
        <v>12</v>
      </c>
      <c r="U174" s="17">
        <f t="shared" si="37"/>
        <v>12</v>
      </c>
      <c r="V174" s="17">
        <f t="shared" si="37"/>
        <v>12</v>
      </c>
      <c r="W174" s="17">
        <f t="shared" si="37"/>
        <v>1</v>
      </c>
      <c r="X174" s="17">
        <f t="shared" si="37"/>
        <v>12</v>
      </c>
      <c r="Y174" s="17">
        <f t="shared" si="37"/>
        <v>12</v>
      </c>
      <c r="Z174" s="17">
        <f t="shared" si="37"/>
        <v>12</v>
      </c>
      <c r="AA174" s="17">
        <f t="shared" si="37"/>
        <v>1</v>
      </c>
      <c r="AB174" s="17">
        <f t="shared" si="37"/>
        <v>1</v>
      </c>
      <c r="AC174" s="17">
        <f t="shared" si="37"/>
        <v>1</v>
      </c>
      <c r="AD174" s="17">
        <f t="shared" si="37"/>
        <v>48</v>
      </c>
      <c r="AE174" s="17">
        <f t="shared" si="37"/>
        <v>6</v>
      </c>
      <c r="AF174" s="17">
        <f t="shared" si="37"/>
        <v>12</v>
      </c>
      <c r="AG174" s="17">
        <f t="shared" si="37"/>
        <v>12</v>
      </c>
      <c r="AH174" s="17">
        <f t="shared" si="37"/>
        <v>12</v>
      </c>
      <c r="AI174" s="17">
        <f t="shared" si="37"/>
        <v>0</v>
      </c>
      <c r="AJ174" s="17">
        <f t="shared" si="37"/>
        <v>12</v>
      </c>
      <c r="AK174" s="17">
        <f t="shared" si="37"/>
        <v>12</v>
      </c>
      <c r="AL174" s="17">
        <f t="shared" ref="AL174:BC174" si="38">MAX(AL175:AL196)</f>
        <v>12</v>
      </c>
      <c r="AM174" s="17">
        <f t="shared" si="38"/>
        <v>1</v>
      </c>
      <c r="AN174" s="17">
        <f t="shared" si="38"/>
        <v>12</v>
      </c>
      <c r="AO174" s="17">
        <f t="shared" si="38"/>
        <v>12</v>
      </c>
      <c r="AP174" s="17">
        <f t="shared" si="38"/>
        <v>12</v>
      </c>
      <c r="AQ174" s="17">
        <f t="shared" si="38"/>
        <v>1</v>
      </c>
      <c r="AR174" s="17">
        <f t="shared" si="38"/>
        <v>12</v>
      </c>
      <c r="AS174" s="17">
        <f t="shared" si="38"/>
        <v>12</v>
      </c>
      <c r="AT174" s="17">
        <f t="shared" si="38"/>
        <v>12</v>
      </c>
      <c r="AU174" s="17">
        <f t="shared" si="38"/>
        <v>12</v>
      </c>
      <c r="AV174" s="17">
        <f t="shared" si="38"/>
        <v>12</v>
      </c>
      <c r="AW174" s="17">
        <f t="shared" si="38"/>
        <v>12</v>
      </c>
      <c r="AX174" s="17">
        <f t="shared" si="38"/>
        <v>12</v>
      </c>
      <c r="AY174" s="17">
        <f t="shared" si="38"/>
        <v>0</v>
      </c>
      <c r="AZ174" s="17">
        <f t="shared" si="38"/>
        <v>1</v>
      </c>
      <c r="BA174" s="17">
        <f t="shared" si="38"/>
        <v>1</v>
      </c>
      <c r="BB174" s="17">
        <f t="shared" si="38"/>
        <v>48</v>
      </c>
      <c r="BC174" s="17">
        <f t="shared" si="38"/>
        <v>216</v>
      </c>
    </row>
    <row r="175" spans="1:55">
      <c r="A175" s="5">
        <v>270</v>
      </c>
      <c r="B175" s="5" t="s">
        <v>279</v>
      </c>
      <c r="C175" s="5" t="s">
        <v>280</v>
      </c>
      <c r="D175" s="5" t="s">
        <v>281</v>
      </c>
      <c r="E175" s="9"/>
      <c r="F175" s="8">
        <f t="shared" ref="F175:F196" si="39">+MAX(G175:BB175)</f>
        <v>2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>
        <v>2</v>
      </c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>
        <v>2</v>
      </c>
      <c r="BC175" s="6">
        <f t="shared" ref="BC175:BC196" si="40">+SUM(G175:BB175)</f>
        <v>4</v>
      </c>
    </row>
    <row r="176" spans="1:55">
      <c r="A176" s="5">
        <v>271</v>
      </c>
      <c r="B176" s="5" t="s">
        <v>279</v>
      </c>
      <c r="C176" s="5" t="s">
        <v>282</v>
      </c>
      <c r="D176" s="15" t="s">
        <v>283</v>
      </c>
      <c r="E176" s="18">
        <f>+VLOOKUP(C176,'[1]Summary Table'!$C$2:$G$287,5,0)</f>
        <v>45</v>
      </c>
      <c r="F176" s="8">
        <f t="shared" si="39"/>
        <v>2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>
        <v>2</v>
      </c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>
        <v>2</v>
      </c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>
        <v>2</v>
      </c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>
        <v>2</v>
      </c>
      <c r="BC176" s="6">
        <f t="shared" si="40"/>
        <v>8</v>
      </c>
    </row>
    <row r="177" spans="1:62">
      <c r="A177" s="5">
        <v>272</v>
      </c>
      <c r="B177" s="5" t="s">
        <v>279</v>
      </c>
      <c r="C177" s="5" t="s">
        <v>284</v>
      </c>
      <c r="D177" s="15" t="s">
        <v>285</v>
      </c>
      <c r="E177" s="18">
        <f>+VLOOKUP(C177,'[1]Summary Table'!$C$2:$G$287,5,0)</f>
        <v>28</v>
      </c>
      <c r="F177" s="8">
        <f t="shared" si="39"/>
        <v>6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>
        <v>6</v>
      </c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>
        <v>6</v>
      </c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>
        <v>6</v>
      </c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>
        <v>6</v>
      </c>
      <c r="BC177" s="6">
        <f t="shared" si="40"/>
        <v>24</v>
      </c>
    </row>
    <row r="178" spans="1:62">
      <c r="A178" s="5">
        <v>273</v>
      </c>
      <c r="B178" s="5" t="s">
        <v>279</v>
      </c>
      <c r="C178" s="5" t="s">
        <v>286</v>
      </c>
      <c r="D178" s="15" t="s">
        <v>285</v>
      </c>
      <c r="E178" s="18">
        <f>+VLOOKUP(C178,'[1]Summary Table'!$C$2:$G$287,5,0)</f>
        <v>28</v>
      </c>
      <c r="F178" s="8">
        <f t="shared" si="39"/>
        <v>6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>
        <v>6</v>
      </c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>
        <v>6</v>
      </c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>
        <v>6</v>
      </c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>
        <v>6</v>
      </c>
      <c r="BC178" s="6">
        <f t="shared" si="40"/>
        <v>24</v>
      </c>
    </row>
    <row r="179" spans="1:62">
      <c r="A179" s="5">
        <v>274</v>
      </c>
      <c r="B179" s="5" t="s">
        <v>279</v>
      </c>
      <c r="C179" s="5" t="s">
        <v>287</v>
      </c>
      <c r="D179" s="5" t="s">
        <v>288</v>
      </c>
      <c r="E179" s="9">
        <f>+VLOOKUP(C179,'[1]Summary Table'!$C$2:$G$287,5,0)</f>
        <v>30</v>
      </c>
      <c r="F179" s="8">
        <f t="shared" si="39"/>
        <v>3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>
        <v>3</v>
      </c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>
        <v>3</v>
      </c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>
        <v>3</v>
      </c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>
        <v>3</v>
      </c>
      <c r="BC179" s="6">
        <f t="shared" si="40"/>
        <v>12</v>
      </c>
    </row>
    <row r="180" spans="1:62">
      <c r="A180" s="5">
        <v>275</v>
      </c>
      <c r="B180" s="5" t="s">
        <v>279</v>
      </c>
      <c r="C180" s="5" t="s">
        <v>289</v>
      </c>
      <c r="D180" s="5" t="s">
        <v>288</v>
      </c>
      <c r="E180" s="9">
        <f>+VLOOKUP(C180,'[1]Summary Table'!$C$2:$G$287,5,0)</f>
        <v>30</v>
      </c>
      <c r="F180" s="8">
        <f t="shared" si="39"/>
        <v>3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>
        <v>3</v>
      </c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>
        <v>3</v>
      </c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>
        <v>3</v>
      </c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>
        <v>3</v>
      </c>
      <c r="BC180" s="6">
        <f t="shared" si="40"/>
        <v>12</v>
      </c>
    </row>
    <row r="181" spans="1:62">
      <c r="A181" s="5">
        <v>276</v>
      </c>
      <c r="B181" s="5" t="s">
        <v>279</v>
      </c>
      <c r="C181" s="5" t="s">
        <v>290</v>
      </c>
      <c r="D181" s="15" t="s">
        <v>291</v>
      </c>
      <c r="E181" s="14">
        <f>+VLOOKUP(C181,'[1]Summary Table'!$C$2:$G$287,5,0)</f>
        <v>24</v>
      </c>
      <c r="F181" s="8">
        <f t="shared" si="39"/>
        <v>12</v>
      </c>
      <c r="G181" s="6"/>
      <c r="H181" s="6"/>
      <c r="I181" s="6"/>
      <c r="J181" s="6">
        <v>1</v>
      </c>
      <c r="K181" s="6"/>
      <c r="L181" s="6"/>
      <c r="M181" s="6"/>
      <c r="N181" s="6">
        <v>1</v>
      </c>
      <c r="O181" s="6"/>
      <c r="P181" s="6"/>
      <c r="Q181" s="6"/>
      <c r="R181" s="6">
        <v>12</v>
      </c>
      <c r="S181" s="6"/>
      <c r="T181" s="6"/>
      <c r="U181" s="6"/>
      <c r="V181" s="6"/>
      <c r="W181" s="6"/>
      <c r="X181" s="6">
        <v>1</v>
      </c>
      <c r="Y181" s="6"/>
      <c r="Z181" s="6"/>
      <c r="AA181" s="6"/>
      <c r="AB181" s="6">
        <v>1</v>
      </c>
      <c r="AC181" s="6"/>
      <c r="AD181" s="6"/>
      <c r="AE181" s="6"/>
      <c r="AF181" s="6">
        <v>12</v>
      </c>
      <c r="AG181" s="6"/>
      <c r="AH181" s="6"/>
      <c r="AI181" s="6"/>
      <c r="AJ181" s="6"/>
      <c r="AK181" s="6"/>
      <c r="AL181" s="6">
        <v>1</v>
      </c>
      <c r="AM181" s="6"/>
      <c r="AN181" s="6"/>
      <c r="AO181" s="6"/>
      <c r="AP181" s="6">
        <v>1</v>
      </c>
      <c r="AQ181" s="6"/>
      <c r="AR181" s="6"/>
      <c r="AS181" s="6"/>
      <c r="AT181" s="6">
        <v>12</v>
      </c>
      <c r="AU181" s="6"/>
      <c r="AV181" s="6"/>
      <c r="AW181" s="6"/>
      <c r="AX181" s="6"/>
      <c r="AY181" s="6"/>
      <c r="AZ181" s="6">
        <v>1</v>
      </c>
      <c r="BA181" s="6"/>
      <c r="BB181" s="6"/>
      <c r="BC181" s="6">
        <f t="shared" si="40"/>
        <v>43</v>
      </c>
      <c r="BD181" s="6"/>
      <c r="BE181" s="6"/>
      <c r="BF181" s="6"/>
      <c r="BG181" s="6"/>
      <c r="BH181" s="6"/>
      <c r="BI181" s="6"/>
      <c r="BJ181" s="6"/>
    </row>
    <row r="182" spans="1:62">
      <c r="A182" s="5">
        <v>277</v>
      </c>
      <c r="B182" s="5" t="s">
        <v>279</v>
      </c>
      <c r="C182" s="5" t="s">
        <v>292</v>
      </c>
      <c r="D182" s="15" t="s">
        <v>291</v>
      </c>
      <c r="E182" s="14">
        <f>+VLOOKUP(C182,'[1]Summary Table'!$C$2:$G$287,5,0)</f>
        <v>24</v>
      </c>
      <c r="F182" s="8">
        <f t="shared" si="39"/>
        <v>12</v>
      </c>
      <c r="G182" s="6"/>
      <c r="H182" s="6"/>
      <c r="I182" s="6"/>
      <c r="J182" s="6"/>
      <c r="K182" s="6">
        <v>1</v>
      </c>
      <c r="L182" s="6"/>
      <c r="M182" s="6"/>
      <c r="N182" s="6"/>
      <c r="O182" s="6">
        <v>1</v>
      </c>
      <c r="P182" s="6"/>
      <c r="Q182" s="6"/>
      <c r="R182" s="6">
        <v>1</v>
      </c>
      <c r="S182" s="6">
        <v>12</v>
      </c>
      <c r="T182" s="6"/>
      <c r="U182" s="6"/>
      <c r="V182" s="6"/>
      <c r="W182" s="6"/>
      <c r="X182" s="6"/>
      <c r="Y182" s="6">
        <v>1</v>
      </c>
      <c r="Z182" s="6"/>
      <c r="AA182" s="6"/>
      <c r="AB182" s="6"/>
      <c r="AC182" s="6">
        <v>1</v>
      </c>
      <c r="AD182" s="6"/>
      <c r="AE182" s="6"/>
      <c r="AF182" s="6">
        <v>1</v>
      </c>
      <c r="AG182" s="6">
        <v>12</v>
      </c>
      <c r="AH182" s="6"/>
      <c r="AI182" s="6"/>
      <c r="AJ182" s="6"/>
      <c r="AK182" s="6"/>
      <c r="AL182" s="6"/>
      <c r="AM182" s="6">
        <v>1</v>
      </c>
      <c r="AN182" s="6"/>
      <c r="AO182" s="6"/>
      <c r="AP182" s="6"/>
      <c r="AQ182" s="6">
        <v>1</v>
      </c>
      <c r="AR182" s="6"/>
      <c r="AS182" s="6"/>
      <c r="AT182" s="6">
        <v>1</v>
      </c>
      <c r="AU182" s="6">
        <v>12</v>
      </c>
      <c r="AV182" s="6"/>
      <c r="AW182" s="6"/>
      <c r="AX182" s="6"/>
      <c r="AY182" s="6"/>
      <c r="AZ182" s="6"/>
      <c r="BA182" s="6">
        <v>1</v>
      </c>
      <c r="BB182" s="6"/>
      <c r="BC182" s="6">
        <f t="shared" si="40"/>
        <v>46</v>
      </c>
      <c r="BD182" s="6"/>
      <c r="BE182" s="6"/>
      <c r="BF182" s="6"/>
      <c r="BG182" s="6"/>
      <c r="BH182" s="6"/>
      <c r="BI182" s="6"/>
      <c r="BJ182" s="6"/>
    </row>
    <row r="183" spans="1:62">
      <c r="A183" s="5">
        <v>278</v>
      </c>
      <c r="B183" s="5" t="s">
        <v>279</v>
      </c>
      <c r="C183" s="5" t="s">
        <v>293</v>
      </c>
      <c r="D183" s="15" t="s">
        <v>291</v>
      </c>
      <c r="E183" s="14">
        <f>+VLOOKUP(C183,'[1]Summary Table'!$C$2:$G$287,5,0)</f>
        <v>24</v>
      </c>
      <c r="F183" s="8">
        <f t="shared" si="39"/>
        <v>12</v>
      </c>
      <c r="G183" s="6"/>
      <c r="H183" s="6"/>
      <c r="I183" s="6"/>
      <c r="J183" s="6"/>
      <c r="K183" s="6"/>
      <c r="L183" s="6">
        <v>1</v>
      </c>
      <c r="M183" s="6"/>
      <c r="N183" s="6"/>
      <c r="O183" s="6"/>
      <c r="P183" s="6">
        <v>1</v>
      </c>
      <c r="Q183" s="6"/>
      <c r="R183" s="6">
        <v>1</v>
      </c>
      <c r="S183" s="6"/>
      <c r="T183" s="6">
        <v>12</v>
      </c>
      <c r="U183" s="6"/>
      <c r="V183" s="6"/>
      <c r="W183" s="6"/>
      <c r="X183" s="6"/>
      <c r="Y183" s="6"/>
      <c r="Z183" s="6">
        <v>1</v>
      </c>
      <c r="AA183" s="6"/>
      <c r="AB183" s="6"/>
      <c r="AC183" s="6"/>
      <c r="AD183" s="6">
        <v>1</v>
      </c>
      <c r="AE183" s="6"/>
      <c r="AF183" s="6">
        <v>1</v>
      </c>
      <c r="AG183" s="6"/>
      <c r="AH183" s="6">
        <v>12</v>
      </c>
      <c r="AI183" s="6"/>
      <c r="AJ183" s="6"/>
      <c r="AK183" s="6"/>
      <c r="AL183" s="6"/>
      <c r="AM183" s="6"/>
      <c r="AN183" s="6">
        <v>1</v>
      </c>
      <c r="AO183" s="6"/>
      <c r="AP183" s="6"/>
      <c r="AQ183" s="6"/>
      <c r="AR183" s="6">
        <v>1</v>
      </c>
      <c r="AS183" s="6"/>
      <c r="AT183" s="6">
        <v>1</v>
      </c>
      <c r="AU183" s="6"/>
      <c r="AV183" s="6">
        <v>12</v>
      </c>
      <c r="AW183" s="6"/>
      <c r="AX183" s="6"/>
      <c r="AY183" s="6"/>
      <c r="AZ183" s="6"/>
      <c r="BA183" s="6"/>
      <c r="BB183" s="6">
        <v>1</v>
      </c>
      <c r="BC183" s="6">
        <f t="shared" si="40"/>
        <v>46</v>
      </c>
      <c r="BD183" s="6"/>
      <c r="BE183" s="6"/>
      <c r="BF183" s="6"/>
      <c r="BG183" s="6"/>
      <c r="BH183" s="6"/>
      <c r="BI183" s="6"/>
      <c r="BJ183" s="6"/>
    </row>
    <row r="184" spans="1:62">
      <c r="A184" s="5">
        <v>279</v>
      </c>
      <c r="B184" s="5" t="s">
        <v>279</v>
      </c>
      <c r="C184" s="5" t="s">
        <v>294</v>
      </c>
      <c r="D184" s="5" t="s">
        <v>295</v>
      </c>
      <c r="E184" s="9">
        <f>+VLOOKUP(C184,'[1]Summary Table'!$C$2:$G$287,5,0)</f>
        <v>39</v>
      </c>
      <c r="F184" s="8">
        <f t="shared" si="39"/>
        <v>48</v>
      </c>
      <c r="G184" s="6"/>
      <c r="H184" s="6">
        <v>12</v>
      </c>
      <c r="I184" s="6"/>
      <c r="J184" s="6"/>
      <c r="K184" s="6"/>
      <c r="L184" s="6">
        <v>12</v>
      </c>
      <c r="M184" s="6"/>
      <c r="N184" s="6"/>
      <c r="O184" s="6"/>
      <c r="P184" s="6">
        <v>12</v>
      </c>
      <c r="Q184" s="6"/>
      <c r="R184" s="6"/>
      <c r="S184" s="6"/>
      <c r="T184" s="6">
        <v>12</v>
      </c>
      <c r="U184" s="6"/>
      <c r="V184" s="6"/>
      <c r="W184" s="6"/>
      <c r="X184" s="6">
        <v>12</v>
      </c>
      <c r="Y184" s="6"/>
      <c r="Z184" s="6"/>
      <c r="AA184" s="6"/>
      <c r="AB184" s="6"/>
      <c r="AC184" s="6"/>
      <c r="AD184" s="6">
        <v>48</v>
      </c>
      <c r="AE184" s="6"/>
      <c r="AF184" s="6">
        <v>12</v>
      </c>
      <c r="AG184" s="6"/>
      <c r="AH184" s="6"/>
      <c r="AI184" s="6"/>
      <c r="AJ184" s="6">
        <v>12</v>
      </c>
      <c r="AK184" s="6"/>
      <c r="AL184" s="6"/>
      <c r="AM184" s="6"/>
      <c r="AN184" s="6">
        <v>12</v>
      </c>
      <c r="AO184" s="6"/>
      <c r="AP184" s="6"/>
      <c r="AQ184" s="6"/>
      <c r="AR184" s="6">
        <v>12</v>
      </c>
      <c r="AS184" s="6"/>
      <c r="AT184" s="6"/>
      <c r="AU184" s="6"/>
      <c r="AV184" s="6">
        <v>12</v>
      </c>
      <c r="AW184" s="6"/>
      <c r="AX184" s="6"/>
      <c r="AY184" s="6"/>
      <c r="AZ184" s="6"/>
      <c r="BA184" s="6"/>
      <c r="BB184" s="6">
        <v>48</v>
      </c>
      <c r="BC184" s="6">
        <f t="shared" si="40"/>
        <v>216</v>
      </c>
    </row>
    <row r="185" spans="1:62">
      <c r="A185" s="5">
        <v>280</v>
      </c>
      <c r="B185" s="5" t="s">
        <v>279</v>
      </c>
      <c r="C185" s="5" t="s">
        <v>296</v>
      </c>
      <c r="D185" s="5" t="s">
        <v>295</v>
      </c>
      <c r="E185" s="9">
        <f>+VLOOKUP(C185,'[1]Summary Table'!$C$2:$G$287,5,0)</f>
        <v>39</v>
      </c>
      <c r="F185" s="8">
        <f t="shared" si="39"/>
        <v>48</v>
      </c>
      <c r="G185" s="6"/>
      <c r="H185" s="6"/>
      <c r="I185" s="6">
        <v>12</v>
      </c>
      <c r="J185" s="6"/>
      <c r="K185" s="6"/>
      <c r="L185" s="6"/>
      <c r="M185" s="6">
        <v>12</v>
      </c>
      <c r="N185" s="6"/>
      <c r="O185" s="6"/>
      <c r="P185" s="6"/>
      <c r="Q185" s="6">
        <v>12</v>
      </c>
      <c r="R185" s="6"/>
      <c r="S185" s="6"/>
      <c r="T185" s="6"/>
      <c r="U185" s="6">
        <v>12</v>
      </c>
      <c r="V185" s="6"/>
      <c r="W185" s="6"/>
      <c r="X185" s="6"/>
      <c r="Y185" s="6">
        <v>12</v>
      </c>
      <c r="Z185" s="6"/>
      <c r="AA185" s="6"/>
      <c r="AB185" s="6"/>
      <c r="AC185" s="6"/>
      <c r="AD185" s="6">
        <v>48</v>
      </c>
      <c r="AE185" s="6"/>
      <c r="AF185" s="6"/>
      <c r="AG185" s="6">
        <v>12</v>
      </c>
      <c r="AH185" s="6"/>
      <c r="AI185" s="6"/>
      <c r="AJ185" s="6"/>
      <c r="AK185" s="6">
        <v>12</v>
      </c>
      <c r="AL185" s="6"/>
      <c r="AM185" s="6"/>
      <c r="AN185" s="6"/>
      <c r="AO185" s="6">
        <v>12</v>
      </c>
      <c r="AP185" s="6"/>
      <c r="AQ185" s="6"/>
      <c r="AR185" s="6"/>
      <c r="AS185" s="6">
        <v>12</v>
      </c>
      <c r="AT185" s="6"/>
      <c r="AU185" s="6"/>
      <c r="AV185" s="6"/>
      <c r="AW185" s="6">
        <v>12</v>
      </c>
      <c r="AX185" s="6"/>
      <c r="AY185" s="6"/>
      <c r="AZ185" s="6"/>
      <c r="BA185" s="6"/>
      <c r="BB185" s="6">
        <v>48</v>
      </c>
      <c r="BC185" s="6">
        <f t="shared" si="40"/>
        <v>216</v>
      </c>
    </row>
    <row r="186" spans="1:62">
      <c r="A186" s="5">
        <v>281</v>
      </c>
      <c r="B186" s="5" t="s">
        <v>279</v>
      </c>
      <c r="C186" s="5" t="s">
        <v>297</v>
      </c>
      <c r="D186" s="5" t="s">
        <v>295</v>
      </c>
      <c r="E186" s="9">
        <f>+VLOOKUP(C186,'[1]Summary Table'!$C$2:$G$287,5,0)</f>
        <v>39</v>
      </c>
      <c r="F186" s="8">
        <f t="shared" si="39"/>
        <v>48</v>
      </c>
      <c r="G186" s="6"/>
      <c r="H186" s="6"/>
      <c r="I186" s="6"/>
      <c r="J186" s="6">
        <v>12</v>
      </c>
      <c r="K186" s="6"/>
      <c r="L186" s="6"/>
      <c r="M186" s="6"/>
      <c r="N186" s="6">
        <v>12</v>
      </c>
      <c r="O186" s="6"/>
      <c r="P186" s="6"/>
      <c r="Q186" s="6"/>
      <c r="R186" s="6">
        <v>12</v>
      </c>
      <c r="S186" s="6"/>
      <c r="T186" s="6"/>
      <c r="U186" s="6"/>
      <c r="V186" s="6">
        <v>12</v>
      </c>
      <c r="W186" s="6"/>
      <c r="X186" s="6"/>
      <c r="Y186" s="6"/>
      <c r="Z186" s="6">
        <v>12</v>
      </c>
      <c r="AA186" s="6"/>
      <c r="AB186" s="6"/>
      <c r="AC186" s="6"/>
      <c r="AD186" s="6">
        <v>48</v>
      </c>
      <c r="AE186" s="6"/>
      <c r="AF186" s="6"/>
      <c r="AG186" s="6"/>
      <c r="AH186" s="6">
        <v>12</v>
      </c>
      <c r="AI186" s="6"/>
      <c r="AJ186" s="6"/>
      <c r="AK186" s="6"/>
      <c r="AL186" s="6">
        <v>12</v>
      </c>
      <c r="AM186" s="6"/>
      <c r="AN186" s="6"/>
      <c r="AO186" s="6"/>
      <c r="AP186" s="6">
        <v>12</v>
      </c>
      <c r="AQ186" s="6"/>
      <c r="AR186" s="6"/>
      <c r="AS186" s="6"/>
      <c r="AT186" s="6">
        <v>12</v>
      </c>
      <c r="AU186" s="6"/>
      <c r="AV186" s="6"/>
      <c r="AW186" s="6"/>
      <c r="AX186" s="6">
        <v>12</v>
      </c>
      <c r="AY186" s="6"/>
      <c r="AZ186" s="6"/>
      <c r="BA186" s="6"/>
      <c r="BB186" s="6">
        <v>48</v>
      </c>
      <c r="BC186" s="6">
        <f t="shared" si="40"/>
        <v>216</v>
      </c>
    </row>
    <row r="187" spans="1:62">
      <c r="A187" s="5">
        <v>282</v>
      </c>
      <c r="B187" s="5" t="s">
        <v>279</v>
      </c>
      <c r="C187" s="5" t="s">
        <v>298</v>
      </c>
      <c r="D187" s="5" t="s">
        <v>299</v>
      </c>
      <c r="E187" s="9">
        <f>+VLOOKUP(C187,'[1]Summary Table'!$C$2:$G$287,5,0)</f>
        <v>28</v>
      </c>
      <c r="F187" s="8">
        <f t="shared" si="39"/>
        <v>6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>
        <v>6</v>
      </c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>
        <v>6</v>
      </c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>
        <v>6</v>
      </c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>
        <v>6</v>
      </c>
      <c r="BC187" s="6">
        <f t="shared" si="40"/>
        <v>24</v>
      </c>
    </row>
    <row r="188" spans="1:62">
      <c r="A188" s="5">
        <v>283</v>
      </c>
      <c r="B188" s="5" t="s">
        <v>279</v>
      </c>
      <c r="C188" s="5" t="s">
        <v>300</v>
      </c>
      <c r="D188" s="5" t="s">
        <v>301</v>
      </c>
      <c r="E188" s="9">
        <f>+VLOOKUP(C188,'[1]Summary Table'!$C$2:$G$287,5,0)</f>
        <v>30</v>
      </c>
      <c r="F188" s="8">
        <f t="shared" si="39"/>
        <v>3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>
        <v>3</v>
      </c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>
        <v>3</v>
      </c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>
        <v>3</v>
      </c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>
        <v>3</v>
      </c>
      <c r="BC188" s="6">
        <f t="shared" si="40"/>
        <v>12</v>
      </c>
    </row>
    <row r="189" spans="1:62">
      <c r="A189" s="5">
        <v>284</v>
      </c>
      <c r="B189" s="5" t="s">
        <v>279</v>
      </c>
      <c r="C189" s="5" t="s">
        <v>302</v>
      </c>
      <c r="D189" s="5" t="s">
        <v>225</v>
      </c>
      <c r="E189" s="10">
        <f>+VLOOKUP(C189,'[1]Summary Table'!$C$2:$G$287,5,0)</f>
        <v>24</v>
      </c>
      <c r="F189" s="8">
        <f t="shared" si="39"/>
        <v>6</v>
      </c>
      <c r="G189" s="6"/>
      <c r="H189" s="6"/>
      <c r="I189" s="6"/>
      <c r="J189" s="6">
        <v>1</v>
      </c>
      <c r="K189" s="6"/>
      <c r="L189" s="6"/>
      <c r="M189" s="6"/>
      <c r="N189" s="6">
        <v>1</v>
      </c>
      <c r="O189" s="6"/>
      <c r="P189" s="6"/>
      <c r="Q189" s="6"/>
      <c r="R189" s="6">
        <v>6</v>
      </c>
      <c r="S189" s="6"/>
      <c r="T189" s="6"/>
      <c r="U189" s="6"/>
      <c r="V189" s="6">
        <v>1</v>
      </c>
      <c r="W189" s="6"/>
      <c r="X189" s="6"/>
      <c r="Y189" s="6"/>
      <c r="Z189" s="6">
        <v>1</v>
      </c>
      <c r="AA189" s="6"/>
      <c r="AB189" s="6"/>
      <c r="AC189" s="6"/>
      <c r="AD189" s="6">
        <v>6</v>
      </c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>
        <f t="shared" si="40"/>
        <v>16</v>
      </c>
    </row>
    <row r="190" spans="1:62">
      <c r="A190" s="5">
        <v>285</v>
      </c>
      <c r="B190" s="5" t="s">
        <v>279</v>
      </c>
      <c r="C190" s="5" t="s">
        <v>303</v>
      </c>
      <c r="D190" s="5" t="s">
        <v>225</v>
      </c>
      <c r="E190" s="10">
        <f>+VLOOKUP(C190,'[1]Summary Table'!$C$2:$G$287,5,0)</f>
        <v>24</v>
      </c>
      <c r="F190" s="8">
        <f t="shared" si="39"/>
        <v>6</v>
      </c>
      <c r="G190" s="6"/>
      <c r="H190" s="6"/>
      <c r="I190" s="6"/>
      <c r="J190" s="6"/>
      <c r="K190" s="6">
        <v>1</v>
      </c>
      <c r="L190" s="6"/>
      <c r="M190" s="6"/>
      <c r="N190" s="6"/>
      <c r="O190" s="6">
        <v>1</v>
      </c>
      <c r="P190" s="6"/>
      <c r="Q190" s="6"/>
      <c r="R190" s="6">
        <v>1</v>
      </c>
      <c r="S190" s="6">
        <v>6</v>
      </c>
      <c r="T190" s="6"/>
      <c r="U190" s="6"/>
      <c r="V190" s="6"/>
      <c r="W190" s="6">
        <v>1</v>
      </c>
      <c r="X190" s="6"/>
      <c r="Y190" s="6"/>
      <c r="Z190" s="6"/>
      <c r="AA190" s="6">
        <v>1</v>
      </c>
      <c r="AB190" s="6"/>
      <c r="AC190" s="6"/>
      <c r="AD190" s="6">
        <v>1</v>
      </c>
      <c r="AE190" s="6">
        <v>6</v>
      </c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>
        <f t="shared" si="40"/>
        <v>18</v>
      </c>
    </row>
    <row r="191" spans="1:62">
      <c r="A191" s="5">
        <v>286</v>
      </c>
      <c r="B191" s="5" t="s">
        <v>279</v>
      </c>
      <c r="C191" s="5" t="s">
        <v>304</v>
      </c>
      <c r="D191" s="5" t="s">
        <v>305</v>
      </c>
      <c r="E191" s="9">
        <f>+VLOOKUP(C191,'[1]Summary Table'!$C$2:$G$287,5,0)</f>
        <v>32</v>
      </c>
      <c r="F191" s="8">
        <f t="shared" si="39"/>
        <v>12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>
        <v>6</v>
      </c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>
        <v>12</v>
      </c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>
        <v>6</v>
      </c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>
        <v>12</v>
      </c>
      <c r="BC191" s="6">
        <f t="shared" si="40"/>
        <v>36</v>
      </c>
    </row>
    <row r="192" spans="1:62">
      <c r="A192" s="5">
        <v>287</v>
      </c>
      <c r="B192" s="5" t="s">
        <v>279</v>
      </c>
      <c r="C192" s="5" t="s">
        <v>306</v>
      </c>
      <c r="D192" s="5" t="s">
        <v>305</v>
      </c>
      <c r="E192" s="9">
        <f>+VLOOKUP(C192,'[1]Summary Table'!$C$2:$G$287,5,0)</f>
        <v>32</v>
      </c>
      <c r="F192" s="8">
        <f t="shared" si="39"/>
        <v>12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>
        <v>6</v>
      </c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>
        <v>12</v>
      </c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>
        <v>6</v>
      </c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>
        <v>12</v>
      </c>
      <c r="BC192" s="6">
        <f t="shared" si="40"/>
        <v>36</v>
      </c>
    </row>
    <row r="193" spans="1:55">
      <c r="A193" s="5">
        <v>288</v>
      </c>
      <c r="B193" s="5" t="s">
        <v>279</v>
      </c>
      <c r="C193" s="5" t="s">
        <v>307</v>
      </c>
      <c r="D193" s="5" t="s">
        <v>305</v>
      </c>
      <c r="E193" s="9">
        <f>+VLOOKUP(C193,'[1]Summary Table'!$C$2:$G$287,5,0)</f>
        <v>32</v>
      </c>
      <c r="F193" s="8">
        <f t="shared" si="39"/>
        <v>1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>
        <v>1</v>
      </c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>
        <v>1</v>
      </c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>
        <v>1</v>
      </c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>
        <v>1</v>
      </c>
      <c r="BC193" s="6">
        <f t="shared" si="40"/>
        <v>4</v>
      </c>
    </row>
    <row r="194" spans="1:55">
      <c r="A194" s="5">
        <v>289</v>
      </c>
      <c r="B194" s="5" t="s">
        <v>279</v>
      </c>
      <c r="C194" s="5" t="s">
        <v>308</v>
      </c>
      <c r="D194" s="5" t="s">
        <v>309</v>
      </c>
      <c r="E194" s="9">
        <f>+VLOOKUP(C194,'[1]Summary Table'!$C$2:$G$287,5,0)</f>
        <v>33</v>
      </c>
      <c r="F194" s="8">
        <f t="shared" si="39"/>
        <v>4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>
        <v>4</v>
      </c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>
        <v>4</v>
      </c>
      <c r="BC194" s="6">
        <f t="shared" si="40"/>
        <v>8</v>
      </c>
    </row>
    <row r="195" spans="1:55">
      <c r="A195" s="5">
        <v>290</v>
      </c>
      <c r="B195" s="5" t="s">
        <v>279</v>
      </c>
      <c r="C195" s="5" t="s">
        <v>310</v>
      </c>
      <c r="D195" s="5" t="s">
        <v>309</v>
      </c>
      <c r="E195" s="9">
        <f>+VLOOKUP(C195,'[1]Summary Table'!$C$2:$G$287,5,0)</f>
        <v>33</v>
      </c>
      <c r="F195" s="8">
        <f t="shared" si="39"/>
        <v>4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>
        <v>4</v>
      </c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>
        <v>4</v>
      </c>
      <c r="BC195" s="6">
        <f t="shared" si="40"/>
        <v>8</v>
      </c>
    </row>
    <row r="196" spans="1:55">
      <c r="A196" s="5">
        <v>291</v>
      </c>
      <c r="B196" s="5" t="s">
        <v>279</v>
      </c>
      <c r="C196" s="5" t="s">
        <v>311</v>
      </c>
      <c r="D196" s="5" t="s">
        <v>309</v>
      </c>
      <c r="E196" s="9">
        <f>+VLOOKUP(C196,'[1]Summary Table'!$C$2:$G$287,5,0)</f>
        <v>33</v>
      </c>
      <c r="F196" s="8">
        <f t="shared" si="39"/>
        <v>4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>
        <v>4</v>
      </c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>
        <v>4</v>
      </c>
      <c r="BC196" s="6">
        <f t="shared" si="40"/>
        <v>8</v>
      </c>
    </row>
    <row r="197" spans="1:55">
      <c r="A197" s="13">
        <v>353</v>
      </c>
      <c r="B197" s="13" t="s">
        <v>312</v>
      </c>
      <c r="C197" s="13"/>
      <c r="D197" s="13"/>
      <c r="E197" s="12"/>
      <c r="F197" s="11">
        <f t="shared" ref="F197:AK197" si="41">MAX(F198:F211)</f>
        <v>24</v>
      </c>
      <c r="G197" s="17">
        <f t="shared" si="41"/>
        <v>0</v>
      </c>
      <c r="H197" s="17">
        <f t="shared" si="41"/>
        <v>0</v>
      </c>
      <c r="I197" s="17">
        <f t="shared" si="41"/>
        <v>0</v>
      </c>
      <c r="J197" s="17">
        <f t="shared" si="41"/>
        <v>1</v>
      </c>
      <c r="K197" s="17">
        <f t="shared" si="41"/>
        <v>1</v>
      </c>
      <c r="L197" s="17">
        <f t="shared" si="41"/>
        <v>1</v>
      </c>
      <c r="M197" s="17">
        <f t="shared" si="41"/>
        <v>0</v>
      </c>
      <c r="N197" s="17">
        <f t="shared" si="41"/>
        <v>1</v>
      </c>
      <c r="O197" s="17">
        <f t="shared" si="41"/>
        <v>1</v>
      </c>
      <c r="P197" s="17">
        <f t="shared" si="41"/>
        <v>1</v>
      </c>
      <c r="Q197" s="17">
        <f t="shared" si="41"/>
        <v>0</v>
      </c>
      <c r="R197" s="17">
        <f t="shared" si="41"/>
        <v>6</v>
      </c>
      <c r="S197" s="17">
        <f t="shared" si="41"/>
        <v>8</v>
      </c>
      <c r="T197" s="17">
        <f t="shared" si="41"/>
        <v>8</v>
      </c>
      <c r="U197" s="17">
        <f t="shared" si="41"/>
        <v>0</v>
      </c>
      <c r="V197" s="17">
        <f t="shared" si="41"/>
        <v>0</v>
      </c>
      <c r="W197" s="17">
        <f t="shared" si="41"/>
        <v>0</v>
      </c>
      <c r="X197" s="17">
        <f t="shared" si="41"/>
        <v>1</v>
      </c>
      <c r="Y197" s="17">
        <f t="shared" si="41"/>
        <v>1</v>
      </c>
      <c r="Z197" s="17">
        <f t="shared" si="41"/>
        <v>1</v>
      </c>
      <c r="AA197" s="17">
        <f t="shared" si="41"/>
        <v>0</v>
      </c>
      <c r="AB197" s="17">
        <f t="shared" si="41"/>
        <v>1</v>
      </c>
      <c r="AC197" s="17">
        <f t="shared" si="41"/>
        <v>1</v>
      </c>
      <c r="AD197" s="17">
        <f t="shared" si="41"/>
        <v>12</v>
      </c>
      <c r="AE197" s="17">
        <f t="shared" si="41"/>
        <v>0</v>
      </c>
      <c r="AF197" s="17">
        <f t="shared" si="41"/>
        <v>6</v>
      </c>
      <c r="AG197" s="17">
        <f t="shared" si="41"/>
        <v>8</v>
      </c>
      <c r="AH197" s="17">
        <f t="shared" si="41"/>
        <v>8</v>
      </c>
      <c r="AI197" s="17">
        <f t="shared" si="41"/>
        <v>0</v>
      </c>
      <c r="AJ197" s="17">
        <f t="shared" si="41"/>
        <v>0</v>
      </c>
      <c r="AK197" s="17">
        <f t="shared" si="41"/>
        <v>0</v>
      </c>
      <c r="AL197" s="17">
        <f t="shared" ref="AL197:BC197" si="42">MAX(AL198:AL211)</f>
        <v>1</v>
      </c>
      <c r="AM197" s="17">
        <f t="shared" si="42"/>
        <v>1</v>
      </c>
      <c r="AN197" s="17">
        <f t="shared" si="42"/>
        <v>1</v>
      </c>
      <c r="AO197" s="17">
        <f t="shared" si="42"/>
        <v>0</v>
      </c>
      <c r="AP197" s="17">
        <f t="shared" si="42"/>
        <v>6</v>
      </c>
      <c r="AQ197" s="17">
        <f t="shared" si="42"/>
        <v>1</v>
      </c>
      <c r="AR197" s="17">
        <f t="shared" si="42"/>
        <v>1</v>
      </c>
      <c r="AS197" s="17">
        <f t="shared" si="42"/>
        <v>0</v>
      </c>
      <c r="AT197" s="17">
        <f t="shared" si="42"/>
        <v>6</v>
      </c>
      <c r="AU197" s="17">
        <f t="shared" si="42"/>
        <v>8</v>
      </c>
      <c r="AV197" s="17">
        <f t="shared" si="42"/>
        <v>8</v>
      </c>
      <c r="AW197" s="17">
        <f t="shared" si="42"/>
        <v>0</v>
      </c>
      <c r="AX197" s="17">
        <f t="shared" si="42"/>
        <v>0</v>
      </c>
      <c r="AY197" s="17">
        <f t="shared" si="42"/>
        <v>0</v>
      </c>
      <c r="AZ197" s="17">
        <f t="shared" si="42"/>
        <v>1</v>
      </c>
      <c r="BA197" s="17">
        <f t="shared" si="42"/>
        <v>1</v>
      </c>
      <c r="BB197" s="17">
        <f t="shared" si="42"/>
        <v>24</v>
      </c>
      <c r="BC197" s="17">
        <f t="shared" si="42"/>
        <v>36</v>
      </c>
    </row>
    <row r="198" spans="1:55">
      <c r="A198" s="5">
        <v>354</v>
      </c>
      <c r="B198" s="5" t="s">
        <v>312</v>
      </c>
      <c r="C198" s="5" t="s">
        <v>313</v>
      </c>
      <c r="D198" s="5" t="s">
        <v>314</v>
      </c>
      <c r="E198" s="9">
        <f>+VLOOKUP(C198,'[1]Summary Table'!$C$2:$G$287,5,0)</f>
        <v>27</v>
      </c>
      <c r="F198" s="8">
        <f t="shared" ref="F198:F211" si="43">+MAX(G198:BB198)</f>
        <v>3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>
        <v>3</v>
      </c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>
        <v>3</v>
      </c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>
        <v>3</v>
      </c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>
        <v>3</v>
      </c>
      <c r="BC198" s="6">
        <f t="shared" ref="BC198:BC211" si="44">+SUM(G198:BB198)</f>
        <v>12</v>
      </c>
    </row>
    <row r="199" spans="1:55">
      <c r="A199" s="5">
        <v>355</v>
      </c>
      <c r="B199" s="44" t="s">
        <v>312</v>
      </c>
      <c r="C199" s="44" t="s">
        <v>315</v>
      </c>
      <c r="D199" s="44" t="s">
        <v>316</v>
      </c>
      <c r="E199" s="45">
        <f>+VLOOKUP(C199,'[1]Summary Table'!$C$2:$G$287,5,0)</f>
        <v>44</v>
      </c>
      <c r="F199" s="46">
        <f t="shared" si="43"/>
        <v>24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>
        <v>24</v>
      </c>
      <c r="BC199" s="6">
        <f t="shared" si="44"/>
        <v>24</v>
      </c>
    </row>
    <row r="200" spans="1:55">
      <c r="A200" s="5">
        <v>356</v>
      </c>
      <c r="B200" s="44" t="s">
        <v>312</v>
      </c>
      <c r="C200" s="44" t="s">
        <v>317</v>
      </c>
      <c r="D200" s="44" t="s">
        <v>318</v>
      </c>
      <c r="E200" s="45">
        <f>+VLOOKUP(C200,'[1]Summary Table'!$C$2:$G$287,5,0)</f>
        <v>14</v>
      </c>
      <c r="F200" s="46">
        <f t="shared" si="43"/>
        <v>6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>
        <v>6</v>
      </c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>
        <v>6</v>
      </c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>
        <v>6</v>
      </c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>
        <v>6</v>
      </c>
      <c r="BC200" s="6">
        <f t="shared" si="44"/>
        <v>24</v>
      </c>
    </row>
    <row r="201" spans="1:55">
      <c r="A201" s="5">
        <v>357</v>
      </c>
      <c r="B201" s="5" t="s">
        <v>312</v>
      </c>
      <c r="C201" s="5" t="s">
        <v>319</v>
      </c>
      <c r="D201" s="5" t="s">
        <v>320</v>
      </c>
      <c r="E201" s="9">
        <f>+VLOOKUP(C201,'[1]Summary Table'!$C$2:$G$287,5,0)</f>
        <v>27</v>
      </c>
      <c r="F201" s="8">
        <f t="shared" si="43"/>
        <v>24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>
        <v>12</v>
      </c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>
        <v>24</v>
      </c>
      <c r="BC201" s="6">
        <f t="shared" si="44"/>
        <v>36</v>
      </c>
    </row>
    <row r="202" spans="1:55">
      <c r="A202" s="5">
        <v>358</v>
      </c>
      <c r="B202" s="5" t="s">
        <v>312</v>
      </c>
      <c r="C202" s="5" t="s">
        <v>321</v>
      </c>
      <c r="D202" s="5" t="s">
        <v>322</v>
      </c>
      <c r="E202" s="9">
        <f>+VLOOKUP(C202,'[1]Summary Table'!$C$2:$G$287,5,0)</f>
        <v>8</v>
      </c>
      <c r="F202" s="8">
        <f t="shared" si="43"/>
        <v>2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>
        <v>2</v>
      </c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>
        <v>2</v>
      </c>
      <c r="BC202" s="6">
        <f t="shared" si="44"/>
        <v>4</v>
      </c>
    </row>
    <row r="203" spans="1:55">
      <c r="A203" s="5">
        <v>359</v>
      </c>
      <c r="B203" s="5" t="s">
        <v>312</v>
      </c>
      <c r="C203" s="5" t="s">
        <v>323</v>
      </c>
      <c r="D203" s="5" t="s">
        <v>324</v>
      </c>
      <c r="E203" s="10">
        <f>+VLOOKUP(C203,'[1]Summary Table'!$C$2:$G$287,5,0)</f>
        <v>18</v>
      </c>
      <c r="F203" s="8">
        <f t="shared" si="43"/>
        <v>6</v>
      </c>
      <c r="G203" s="6"/>
      <c r="H203" s="6"/>
      <c r="I203" s="6"/>
      <c r="J203" s="6">
        <v>1</v>
      </c>
      <c r="K203" s="6"/>
      <c r="L203" s="6"/>
      <c r="M203" s="6"/>
      <c r="N203" s="6">
        <v>1</v>
      </c>
      <c r="O203" s="6"/>
      <c r="P203" s="6"/>
      <c r="Q203" s="6"/>
      <c r="R203" s="6">
        <v>6</v>
      </c>
      <c r="S203" s="6"/>
      <c r="T203" s="6"/>
      <c r="U203" s="6"/>
      <c r="V203" s="6"/>
      <c r="W203" s="6"/>
      <c r="X203" s="6">
        <v>1</v>
      </c>
      <c r="Y203" s="6"/>
      <c r="Z203" s="6"/>
      <c r="AA203" s="6"/>
      <c r="AB203" s="6">
        <v>1</v>
      </c>
      <c r="AC203" s="6"/>
      <c r="AD203" s="6"/>
      <c r="AE203" s="6"/>
      <c r="AF203" s="6">
        <v>6</v>
      </c>
      <c r="AG203" s="6"/>
      <c r="AH203" s="6"/>
      <c r="AI203" s="6"/>
      <c r="AJ203" s="6"/>
      <c r="AK203" s="6"/>
      <c r="AL203" s="6">
        <v>1</v>
      </c>
      <c r="AM203" s="6"/>
      <c r="AN203" s="6"/>
      <c r="AO203" s="6"/>
      <c r="AP203" s="6">
        <v>1</v>
      </c>
      <c r="AQ203" s="6"/>
      <c r="AR203" s="6"/>
      <c r="AS203" s="6"/>
      <c r="AT203" s="6">
        <v>6</v>
      </c>
      <c r="AU203" s="6"/>
      <c r="AV203" s="6"/>
      <c r="AW203" s="6"/>
      <c r="AX203" s="6"/>
      <c r="AY203" s="6"/>
      <c r="AZ203" s="6">
        <v>1</v>
      </c>
      <c r="BA203" s="6"/>
      <c r="BB203" s="6"/>
      <c r="BC203" s="6">
        <f t="shared" si="44"/>
        <v>25</v>
      </c>
    </row>
    <row r="204" spans="1:55">
      <c r="A204" s="5">
        <v>360</v>
      </c>
      <c r="B204" s="5" t="s">
        <v>312</v>
      </c>
      <c r="C204" s="5" t="s">
        <v>325</v>
      </c>
      <c r="D204" s="5" t="s">
        <v>324</v>
      </c>
      <c r="E204" s="10">
        <f>+VLOOKUP(C204,'[1]Summary Table'!$C$2:$G$287,5,0)</f>
        <v>18</v>
      </c>
      <c r="F204" s="8">
        <f t="shared" si="43"/>
        <v>6</v>
      </c>
      <c r="G204" s="6"/>
      <c r="H204" s="6"/>
      <c r="I204" s="6"/>
      <c r="J204" s="6"/>
      <c r="K204" s="6">
        <v>1</v>
      </c>
      <c r="L204" s="6"/>
      <c r="M204" s="6"/>
      <c r="N204" s="6"/>
      <c r="O204" s="6">
        <v>1</v>
      </c>
      <c r="P204" s="6"/>
      <c r="Q204" s="6"/>
      <c r="R204" s="6">
        <v>1</v>
      </c>
      <c r="S204" s="6">
        <v>6</v>
      </c>
      <c r="T204" s="6"/>
      <c r="U204" s="6"/>
      <c r="V204" s="6"/>
      <c r="W204" s="6"/>
      <c r="X204" s="6"/>
      <c r="Y204" s="6">
        <v>1</v>
      </c>
      <c r="Z204" s="6"/>
      <c r="AA204" s="6"/>
      <c r="AB204" s="6"/>
      <c r="AC204" s="6">
        <v>1</v>
      </c>
      <c r="AD204" s="6"/>
      <c r="AE204" s="6"/>
      <c r="AF204" s="6">
        <v>1</v>
      </c>
      <c r="AG204" s="6">
        <v>6</v>
      </c>
      <c r="AH204" s="6"/>
      <c r="AI204" s="6"/>
      <c r="AJ204" s="6"/>
      <c r="AK204" s="6"/>
      <c r="AL204" s="6"/>
      <c r="AM204" s="6">
        <v>1</v>
      </c>
      <c r="AN204" s="6"/>
      <c r="AO204" s="6"/>
      <c r="AP204" s="6"/>
      <c r="AQ204" s="6">
        <v>1</v>
      </c>
      <c r="AR204" s="6"/>
      <c r="AS204" s="6"/>
      <c r="AT204" s="6">
        <v>1</v>
      </c>
      <c r="AU204" s="6">
        <v>6</v>
      </c>
      <c r="AV204" s="6"/>
      <c r="AW204" s="6"/>
      <c r="AX204" s="6"/>
      <c r="AY204" s="6"/>
      <c r="AZ204" s="6"/>
      <c r="BA204" s="6">
        <v>1</v>
      </c>
      <c r="BB204" s="6"/>
      <c r="BC204" s="6">
        <f t="shared" si="44"/>
        <v>28</v>
      </c>
    </row>
    <row r="205" spans="1:55">
      <c r="A205" s="5">
        <v>361</v>
      </c>
      <c r="B205" s="5" t="s">
        <v>312</v>
      </c>
      <c r="C205" s="5" t="s">
        <v>326</v>
      </c>
      <c r="D205" s="5" t="s">
        <v>327</v>
      </c>
      <c r="E205" s="9">
        <f>+VLOOKUP(C205,'[1]Summary Table'!$C$2:$G$287,5,0)</f>
        <v>27</v>
      </c>
      <c r="F205" s="8">
        <f t="shared" si="43"/>
        <v>1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>
        <v>1</v>
      </c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>
        <v>1</v>
      </c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>
        <v>1</v>
      </c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>
        <v>1</v>
      </c>
      <c r="BC205" s="6">
        <f t="shared" si="44"/>
        <v>4</v>
      </c>
    </row>
    <row r="206" spans="1:55">
      <c r="A206" s="5">
        <v>362</v>
      </c>
      <c r="B206" s="5" t="s">
        <v>312</v>
      </c>
      <c r="C206" s="5" t="s">
        <v>328</v>
      </c>
      <c r="D206" s="5" t="s">
        <v>327</v>
      </c>
      <c r="E206" s="9">
        <f>+VLOOKUP(C206,'[1]Summary Table'!$C$2:$G$287,5,0)</f>
        <v>27</v>
      </c>
      <c r="F206" s="8">
        <f t="shared" si="43"/>
        <v>1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>
        <v>1</v>
      </c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>
        <v>1</v>
      </c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>
        <v>1</v>
      </c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>
        <v>1</v>
      </c>
      <c r="BC206" s="6">
        <f t="shared" si="44"/>
        <v>4</v>
      </c>
    </row>
    <row r="207" spans="1:55">
      <c r="A207" s="5">
        <v>363</v>
      </c>
      <c r="B207" s="5" t="s">
        <v>312</v>
      </c>
      <c r="C207" s="5" t="s">
        <v>329</v>
      </c>
      <c r="D207" s="5" t="s">
        <v>330</v>
      </c>
      <c r="E207" s="9">
        <f>+VLOOKUP(C207,'[1]Summary Table'!$C$2:$G$287,5,0)</f>
        <v>26</v>
      </c>
      <c r="F207" s="8">
        <f t="shared" si="43"/>
        <v>6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>
        <v>6</v>
      </c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>
        <v>6</v>
      </c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>
        <v>6</v>
      </c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>
        <v>6</v>
      </c>
      <c r="BC207" s="6">
        <f t="shared" si="44"/>
        <v>24</v>
      </c>
    </row>
    <row r="208" spans="1:55">
      <c r="A208" s="5">
        <v>364</v>
      </c>
      <c r="B208" s="5" t="s">
        <v>312</v>
      </c>
      <c r="C208" s="5" t="s">
        <v>331</v>
      </c>
      <c r="D208" s="5" t="s">
        <v>330</v>
      </c>
      <c r="E208" s="9">
        <f>+VLOOKUP(C208,'[1]Summary Table'!$C$2:$G$287,5,0)</f>
        <v>26</v>
      </c>
      <c r="F208" s="8">
        <f t="shared" si="43"/>
        <v>6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>
        <v>6</v>
      </c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>
        <v>6</v>
      </c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>
        <v>6</v>
      </c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>
        <v>6</v>
      </c>
      <c r="BC208" s="6">
        <f t="shared" si="44"/>
        <v>24</v>
      </c>
    </row>
    <row r="209" spans="1:55">
      <c r="A209" s="5">
        <v>365</v>
      </c>
      <c r="B209" s="5" t="s">
        <v>312</v>
      </c>
      <c r="C209" s="5" t="s">
        <v>332</v>
      </c>
      <c r="D209" s="5" t="s">
        <v>333</v>
      </c>
      <c r="E209" s="10">
        <f>+VLOOKUP(C209,'[1]Summary Table'!$C$2:$G$287,5,0)</f>
        <v>18</v>
      </c>
      <c r="F209" s="8">
        <f t="shared" si="43"/>
        <v>8</v>
      </c>
      <c r="G209" s="6"/>
      <c r="H209" s="6"/>
      <c r="I209" s="6"/>
      <c r="J209" s="6"/>
      <c r="K209" s="6">
        <v>1</v>
      </c>
      <c r="L209" s="6"/>
      <c r="M209" s="6"/>
      <c r="N209" s="6"/>
      <c r="O209" s="6">
        <v>1</v>
      </c>
      <c r="P209" s="6"/>
      <c r="Q209" s="6"/>
      <c r="R209" s="6"/>
      <c r="S209" s="6">
        <v>8</v>
      </c>
      <c r="T209" s="6"/>
      <c r="U209" s="6"/>
      <c r="V209" s="6"/>
      <c r="W209" s="6"/>
      <c r="X209" s="6"/>
      <c r="Y209" s="6">
        <v>1</v>
      </c>
      <c r="Z209" s="6"/>
      <c r="AA209" s="6"/>
      <c r="AB209" s="6"/>
      <c r="AC209" s="6">
        <v>1</v>
      </c>
      <c r="AD209" s="6"/>
      <c r="AE209" s="6"/>
      <c r="AF209" s="6"/>
      <c r="AG209" s="6">
        <v>8</v>
      </c>
      <c r="AH209" s="6"/>
      <c r="AI209" s="6"/>
      <c r="AJ209" s="6"/>
      <c r="AK209" s="6"/>
      <c r="AL209" s="6"/>
      <c r="AM209" s="6">
        <v>1</v>
      </c>
      <c r="AN209" s="6"/>
      <c r="AO209" s="6"/>
      <c r="AP209" s="6"/>
      <c r="AQ209" s="6">
        <v>1</v>
      </c>
      <c r="AR209" s="6"/>
      <c r="AS209" s="6"/>
      <c r="AT209" s="6"/>
      <c r="AU209" s="6">
        <v>8</v>
      </c>
      <c r="AV209" s="6"/>
      <c r="AW209" s="6"/>
      <c r="AX209" s="6"/>
      <c r="AY209" s="6"/>
      <c r="AZ209" s="6"/>
      <c r="BA209" s="6">
        <v>1</v>
      </c>
      <c r="BB209" s="6"/>
      <c r="BC209" s="6">
        <f t="shared" si="44"/>
        <v>31</v>
      </c>
    </row>
    <row r="210" spans="1:55">
      <c r="A210" s="5"/>
      <c r="B210" s="5" t="s">
        <v>312</v>
      </c>
      <c r="C210" s="43" t="s">
        <v>334</v>
      </c>
      <c r="D210" s="43" t="s">
        <v>335</v>
      </c>
      <c r="E210" s="10"/>
      <c r="F210" s="8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>
        <v>6</v>
      </c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>
        <v>6</v>
      </c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>
        <v>6</v>
      </c>
      <c r="AV210" s="6"/>
      <c r="AW210" s="6"/>
      <c r="AX210" s="6"/>
      <c r="AY210" s="6"/>
      <c r="AZ210" s="6"/>
      <c r="BA210" s="6"/>
      <c r="BB210" s="6"/>
      <c r="BC210" s="6"/>
    </row>
    <row r="211" spans="1:55">
      <c r="A211" s="5">
        <v>366</v>
      </c>
      <c r="B211" s="5" t="s">
        <v>312</v>
      </c>
      <c r="C211" s="5" t="s">
        <v>336</v>
      </c>
      <c r="D211" s="5" t="s">
        <v>333</v>
      </c>
      <c r="E211" s="10">
        <f>+VLOOKUP(C211,'[1]Summary Table'!$C$2:$G$287,5,0)</f>
        <v>18</v>
      </c>
      <c r="F211" s="8">
        <f t="shared" si="43"/>
        <v>8</v>
      </c>
      <c r="G211" s="6"/>
      <c r="H211" s="6"/>
      <c r="I211" s="6"/>
      <c r="J211" s="6"/>
      <c r="K211" s="6"/>
      <c r="L211" s="6">
        <v>1</v>
      </c>
      <c r="M211" s="6"/>
      <c r="N211" s="6"/>
      <c r="O211" s="6"/>
      <c r="P211" s="6">
        <v>1</v>
      </c>
      <c r="Q211" s="6"/>
      <c r="R211" s="6"/>
      <c r="S211" s="6">
        <v>1</v>
      </c>
      <c r="T211" s="6">
        <v>8</v>
      </c>
      <c r="U211" s="6"/>
      <c r="V211" s="6"/>
      <c r="W211" s="6"/>
      <c r="X211" s="6"/>
      <c r="Y211" s="6"/>
      <c r="Z211" s="6">
        <v>1</v>
      </c>
      <c r="AA211" s="6"/>
      <c r="AB211" s="6"/>
      <c r="AC211" s="6"/>
      <c r="AD211" s="6">
        <v>1</v>
      </c>
      <c r="AE211" s="6"/>
      <c r="AF211" s="6"/>
      <c r="AG211" s="6">
        <v>1</v>
      </c>
      <c r="AH211" s="6">
        <v>8</v>
      </c>
      <c r="AI211" s="6"/>
      <c r="AJ211" s="6"/>
      <c r="AK211" s="6"/>
      <c r="AL211" s="6"/>
      <c r="AM211" s="6"/>
      <c r="AN211" s="6">
        <v>1</v>
      </c>
      <c r="AO211" s="6"/>
      <c r="AP211" s="6"/>
      <c r="AQ211" s="6"/>
      <c r="AR211" s="6">
        <v>1</v>
      </c>
      <c r="AS211" s="6"/>
      <c r="AT211" s="6"/>
      <c r="AU211" s="6">
        <v>1</v>
      </c>
      <c r="AV211" s="6">
        <v>8</v>
      </c>
      <c r="AW211" s="6"/>
      <c r="AX211" s="6"/>
      <c r="AY211" s="6"/>
      <c r="AZ211" s="6"/>
      <c r="BA211" s="6"/>
      <c r="BB211" s="6">
        <v>1</v>
      </c>
      <c r="BC211" s="6">
        <f t="shared" si="44"/>
        <v>34</v>
      </c>
    </row>
    <row r="212" spans="1:55">
      <c r="A212" s="13">
        <v>367</v>
      </c>
      <c r="B212" s="13" t="s">
        <v>337</v>
      </c>
      <c r="C212" s="13"/>
      <c r="D212" s="13"/>
      <c r="E212" s="12"/>
      <c r="F212" s="11">
        <f t="shared" ref="F212:AK212" si="45">MAX(F213:F225)</f>
        <v>6</v>
      </c>
      <c r="G212" s="17">
        <f t="shared" si="45"/>
        <v>0</v>
      </c>
      <c r="H212" s="17">
        <f t="shared" si="45"/>
        <v>0</v>
      </c>
      <c r="I212" s="17">
        <f t="shared" si="45"/>
        <v>0</v>
      </c>
      <c r="J212" s="17">
        <f t="shared" si="45"/>
        <v>2</v>
      </c>
      <c r="K212" s="17">
        <f t="shared" si="45"/>
        <v>0</v>
      </c>
      <c r="L212" s="17">
        <f t="shared" si="45"/>
        <v>0</v>
      </c>
      <c r="M212" s="17">
        <f t="shared" si="45"/>
        <v>0</v>
      </c>
      <c r="N212" s="17">
        <f t="shared" si="45"/>
        <v>2</v>
      </c>
      <c r="O212" s="17">
        <f t="shared" si="45"/>
        <v>0</v>
      </c>
      <c r="P212" s="17">
        <f t="shared" si="45"/>
        <v>0</v>
      </c>
      <c r="Q212" s="17">
        <f t="shared" si="45"/>
        <v>0</v>
      </c>
      <c r="R212" s="17">
        <f t="shared" si="45"/>
        <v>6</v>
      </c>
      <c r="S212" s="17">
        <f t="shared" si="45"/>
        <v>0</v>
      </c>
      <c r="T212" s="17">
        <f t="shared" si="45"/>
        <v>0</v>
      </c>
      <c r="U212" s="17">
        <f t="shared" si="45"/>
        <v>0</v>
      </c>
      <c r="V212" s="17">
        <f t="shared" si="45"/>
        <v>2</v>
      </c>
      <c r="W212" s="17">
        <f t="shared" si="45"/>
        <v>0</v>
      </c>
      <c r="X212" s="17">
        <f t="shared" si="45"/>
        <v>0</v>
      </c>
      <c r="Y212" s="17">
        <f t="shared" si="45"/>
        <v>0</v>
      </c>
      <c r="Z212" s="17">
        <f t="shared" si="45"/>
        <v>2</v>
      </c>
      <c r="AA212" s="17">
        <f t="shared" si="45"/>
        <v>0</v>
      </c>
      <c r="AB212" s="17">
        <f t="shared" si="45"/>
        <v>0</v>
      </c>
      <c r="AC212" s="17">
        <f t="shared" si="45"/>
        <v>0</v>
      </c>
      <c r="AD212" s="17">
        <f t="shared" si="45"/>
        <v>6</v>
      </c>
      <c r="AE212" s="17">
        <f t="shared" si="45"/>
        <v>0</v>
      </c>
      <c r="AF212" s="17">
        <f t="shared" si="45"/>
        <v>0</v>
      </c>
      <c r="AG212" s="17">
        <f t="shared" si="45"/>
        <v>0</v>
      </c>
      <c r="AH212" s="17">
        <f t="shared" si="45"/>
        <v>2</v>
      </c>
      <c r="AI212" s="17">
        <f t="shared" si="45"/>
        <v>0</v>
      </c>
      <c r="AJ212" s="17">
        <f t="shared" si="45"/>
        <v>0</v>
      </c>
      <c r="AK212" s="17">
        <f t="shared" si="45"/>
        <v>0</v>
      </c>
      <c r="AL212" s="17">
        <f t="shared" ref="AL212:BC212" si="46">MAX(AL213:AL225)</f>
        <v>2</v>
      </c>
      <c r="AM212" s="17">
        <f t="shared" si="46"/>
        <v>0</v>
      </c>
      <c r="AN212" s="17">
        <f t="shared" si="46"/>
        <v>0</v>
      </c>
      <c r="AO212" s="17">
        <f t="shared" si="46"/>
        <v>0</v>
      </c>
      <c r="AP212" s="17">
        <f t="shared" si="46"/>
        <v>6</v>
      </c>
      <c r="AQ212" s="17">
        <f t="shared" si="46"/>
        <v>0</v>
      </c>
      <c r="AR212" s="17">
        <f t="shared" si="46"/>
        <v>0</v>
      </c>
      <c r="AS212" s="17">
        <f t="shared" si="46"/>
        <v>0</v>
      </c>
      <c r="AT212" s="17">
        <f t="shared" si="46"/>
        <v>2</v>
      </c>
      <c r="AU212" s="17">
        <f t="shared" si="46"/>
        <v>0</v>
      </c>
      <c r="AV212" s="17">
        <f t="shared" si="46"/>
        <v>0</v>
      </c>
      <c r="AW212" s="17">
        <f t="shared" si="46"/>
        <v>0</v>
      </c>
      <c r="AX212" s="17">
        <f t="shared" si="46"/>
        <v>2</v>
      </c>
      <c r="AY212" s="17">
        <f t="shared" si="46"/>
        <v>0</v>
      </c>
      <c r="AZ212" s="17">
        <f t="shared" si="46"/>
        <v>0</v>
      </c>
      <c r="BA212" s="17">
        <f t="shared" si="46"/>
        <v>0</v>
      </c>
      <c r="BB212" s="17">
        <f t="shared" si="46"/>
        <v>6</v>
      </c>
      <c r="BC212" s="17">
        <f t="shared" si="46"/>
        <v>32</v>
      </c>
    </row>
    <row r="213" spans="1:55">
      <c r="A213" s="5">
        <v>368</v>
      </c>
      <c r="B213" s="5" t="s">
        <v>337</v>
      </c>
      <c r="C213" s="5" t="s">
        <v>338</v>
      </c>
      <c r="D213" s="5" t="s">
        <v>339</v>
      </c>
      <c r="E213" s="9">
        <f>+VLOOKUP(C213,'[1]Summary Table'!$C$2:$G$287,5,0)</f>
        <v>27</v>
      </c>
      <c r="F213" s="8">
        <f t="shared" ref="F213:F225" si="47">+MAX(G213:BB213)</f>
        <v>3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>
        <v>3</v>
      </c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>
        <v>3</v>
      </c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>
        <v>3</v>
      </c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>
        <v>3</v>
      </c>
      <c r="BC213" s="6">
        <f t="shared" ref="BC213:BC225" si="48">+SUM(G213:BB213)</f>
        <v>12</v>
      </c>
    </row>
    <row r="214" spans="1:55">
      <c r="A214" s="5">
        <v>369</v>
      </c>
      <c r="B214" s="5" t="s">
        <v>337</v>
      </c>
      <c r="C214" s="5" t="s">
        <v>340</v>
      </c>
      <c r="D214" s="5" t="s">
        <v>341</v>
      </c>
      <c r="E214" s="10">
        <f>+VLOOKUP(C214,'[1]Summary Table'!$C$2:$G$287,5,0)</f>
        <v>24</v>
      </c>
      <c r="F214" s="8">
        <f t="shared" si="47"/>
        <v>4</v>
      </c>
      <c r="G214" s="6"/>
      <c r="H214" s="6"/>
      <c r="I214" s="6"/>
      <c r="J214" s="6">
        <v>1</v>
      </c>
      <c r="K214" s="6"/>
      <c r="L214" s="6"/>
      <c r="M214" s="6"/>
      <c r="N214" s="6">
        <v>1</v>
      </c>
      <c r="O214" s="6"/>
      <c r="P214" s="6"/>
      <c r="Q214" s="6"/>
      <c r="R214" s="6">
        <v>1</v>
      </c>
      <c r="S214" s="6"/>
      <c r="T214" s="6"/>
      <c r="U214" s="6"/>
      <c r="V214" s="6">
        <v>1</v>
      </c>
      <c r="W214" s="6"/>
      <c r="X214" s="6"/>
      <c r="Y214" s="6"/>
      <c r="Z214" s="6">
        <v>1</v>
      </c>
      <c r="AA214" s="6"/>
      <c r="AB214" s="6"/>
      <c r="AC214" s="6"/>
      <c r="AD214" s="6">
        <v>4</v>
      </c>
      <c r="AE214" s="6"/>
      <c r="AF214" s="6"/>
      <c r="AG214" s="6"/>
      <c r="AH214" s="6">
        <v>1</v>
      </c>
      <c r="AI214" s="6"/>
      <c r="AJ214" s="6"/>
      <c r="AK214" s="6"/>
      <c r="AL214" s="6">
        <v>1</v>
      </c>
      <c r="AM214" s="6"/>
      <c r="AN214" s="6"/>
      <c r="AO214" s="6"/>
      <c r="AP214" s="6">
        <v>1</v>
      </c>
      <c r="AQ214" s="6"/>
      <c r="AR214" s="6"/>
      <c r="AS214" s="6"/>
      <c r="AT214" s="6">
        <v>1</v>
      </c>
      <c r="AU214" s="6"/>
      <c r="AV214" s="6"/>
      <c r="AW214" s="6"/>
      <c r="AX214" s="6">
        <v>1</v>
      </c>
      <c r="AY214" s="6"/>
      <c r="AZ214" s="6"/>
      <c r="BA214" s="6"/>
      <c r="BB214" s="6">
        <v>4</v>
      </c>
      <c r="BC214" s="6">
        <f t="shared" si="48"/>
        <v>18</v>
      </c>
    </row>
    <row r="215" spans="1:55">
      <c r="A215" s="5">
        <v>370</v>
      </c>
      <c r="B215" s="5" t="s">
        <v>337</v>
      </c>
      <c r="C215" s="5" t="s">
        <v>342</v>
      </c>
      <c r="D215" s="5" t="s">
        <v>343</v>
      </c>
      <c r="E215" s="9">
        <f>+VLOOKUP(C215,'[1]Summary Table'!$C$2:$G$287,5,0)</f>
        <v>19</v>
      </c>
      <c r="F215" s="8">
        <f t="shared" si="47"/>
        <v>3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>
        <v>3</v>
      </c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>
        <v>3</v>
      </c>
      <c r="BC215" s="6">
        <f t="shared" si="48"/>
        <v>6</v>
      </c>
    </row>
    <row r="216" spans="1:55">
      <c r="A216" s="5">
        <v>371</v>
      </c>
      <c r="B216" s="5" t="s">
        <v>337</v>
      </c>
      <c r="C216" s="5" t="s">
        <v>344</v>
      </c>
      <c r="D216" s="5" t="s">
        <v>345</v>
      </c>
      <c r="E216" s="10">
        <f>+VLOOKUP(C216,'[1]Summary Table'!$C$2:$G$287,5,0)</f>
        <v>24</v>
      </c>
      <c r="F216" s="8">
        <f t="shared" si="47"/>
        <v>4</v>
      </c>
      <c r="G216" s="6"/>
      <c r="H216" s="6"/>
      <c r="I216" s="6"/>
      <c r="J216" s="6">
        <v>1</v>
      </c>
      <c r="K216" s="6"/>
      <c r="L216" s="6"/>
      <c r="M216" s="6"/>
      <c r="N216" s="6">
        <v>1</v>
      </c>
      <c r="O216" s="6"/>
      <c r="P216" s="6"/>
      <c r="Q216" s="6"/>
      <c r="R216" s="6">
        <v>1</v>
      </c>
      <c r="S216" s="6"/>
      <c r="T216" s="6"/>
      <c r="U216" s="6"/>
      <c r="V216" s="6">
        <v>1</v>
      </c>
      <c r="W216" s="6"/>
      <c r="X216" s="6"/>
      <c r="Y216" s="6"/>
      <c r="Z216" s="6">
        <v>1</v>
      </c>
      <c r="AA216" s="6"/>
      <c r="AB216" s="6"/>
      <c r="AC216" s="6"/>
      <c r="AD216" s="6">
        <v>4</v>
      </c>
      <c r="AE216" s="6"/>
      <c r="AF216" s="6"/>
      <c r="AG216" s="6"/>
      <c r="AH216" s="6">
        <v>1</v>
      </c>
      <c r="AI216" s="6"/>
      <c r="AJ216" s="6"/>
      <c r="AK216" s="6"/>
      <c r="AL216" s="6">
        <v>1</v>
      </c>
      <c r="AM216" s="6"/>
      <c r="AN216" s="6"/>
      <c r="AO216" s="6"/>
      <c r="AP216" s="6">
        <v>1</v>
      </c>
      <c r="AQ216" s="6"/>
      <c r="AR216" s="6"/>
      <c r="AS216" s="6"/>
      <c r="AT216" s="6">
        <v>1</v>
      </c>
      <c r="AU216" s="6"/>
      <c r="AV216" s="6"/>
      <c r="AW216" s="6"/>
      <c r="AX216" s="6">
        <v>1</v>
      </c>
      <c r="AY216" s="6"/>
      <c r="AZ216" s="6"/>
      <c r="BA216" s="6"/>
      <c r="BB216" s="6">
        <v>4</v>
      </c>
      <c r="BC216" s="6">
        <f t="shared" si="48"/>
        <v>18</v>
      </c>
    </row>
    <row r="217" spans="1:55">
      <c r="A217" s="5">
        <v>372</v>
      </c>
      <c r="B217" s="5" t="s">
        <v>337</v>
      </c>
      <c r="C217" s="5" t="s">
        <v>346</v>
      </c>
      <c r="D217" s="5" t="s">
        <v>347</v>
      </c>
      <c r="E217" s="9">
        <f>+VLOOKUP(C217,'[1]Summary Table'!$C$2:$G$287,5,0)</f>
        <v>8</v>
      </c>
      <c r="F217" s="8">
        <f t="shared" si="47"/>
        <v>2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>
        <v>2</v>
      </c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>
        <v>2</v>
      </c>
      <c r="BC217" s="6">
        <f t="shared" si="48"/>
        <v>4</v>
      </c>
    </row>
    <row r="218" spans="1:55">
      <c r="A218" s="5">
        <v>373</v>
      </c>
      <c r="B218" s="5" t="s">
        <v>337</v>
      </c>
      <c r="C218" s="5" t="s">
        <v>348</v>
      </c>
      <c r="D218" s="5" t="s">
        <v>349</v>
      </c>
      <c r="E218" s="9">
        <f>+VLOOKUP(C218,'[1]Summary Table'!$C$2:$G$287,5,0)</f>
        <v>27</v>
      </c>
      <c r="F218" s="8">
        <f t="shared" si="47"/>
        <v>3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>
        <v>3</v>
      </c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>
        <v>3</v>
      </c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>
        <v>3</v>
      </c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>
        <v>3</v>
      </c>
      <c r="BC218" s="6">
        <f t="shared" si="48"/>
        <v>12</v>
      </c>
    </row>
    <row r="219" spans="1:55">
      <c r="A219" s="5">
        <v>374</v>
      </c>
      <c r="B219" s="5" t="s">
        <v>337</v>
      </c>
      <c r="C219" s="5" t="s">
        <v>350</v>
      </c>
      <c r="D219" s="5" t="s">
        <v>351</v>
      </c>
      <c r="E219" s="9">
        <f>+VLOOKUP(C219,'[1]Summary Table'!$C$2:$G$287,5,0)</f>
        <v>26</v>
      </c>
      <c r="F219" s="8">
        <f t="shared" si="47"/>
        <v>6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>
        <v>6</v>
      </c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>
        <v>6</v>
      </c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>
        <v>6</v>
      </c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>
        <v>6</v>
      </c>
      <c r="BC219" s="6">
        <f t="shared" si="48"/>
        <v>24</v>
      </c>
    </row>
    <row r="220" spans="1:55">
      <c r="A220" s="5">
        <v>375</v>
      </c>
      <c r="B220" s="5" t="s">
        <v>337</v>
      </c>
      <c r="C220" s="5" t="s">
        <v>352</v>
      </c>
      <c r="D220" s="5" t="s">
        <v>353</v>
      </c>
      <c r="E220" s="10">
        <f>+VLOOKUP(C220,'[1]Summary Table'!$C$2:$G$287,5,0)</f>
        <v>24</v>
      </c>
      <c r="F220" s="8">
        <f t="shared" si="47"/>
        <v>6</v>
      </c>
      <c r="G220" s="6"/>
      <c r="H220" s="6"/>
      <c r="I220" s="6"/>
      <c r="J220" s="6">
        <v>2</v>
      </c>
      <c r="K220" s="6"/>
      <c r="L220" s="6"/>
      <c r="M220" s="6"/>
      <c r="N220" s="6">
        <v>2</v>
      </c>
      <c r="O220" s="6"/>
      <c r="P220" s="6"/>
      <c r="Q220" s="6"/>
      <c r="R220" s="6">
        <v>2</v>
      </c>
      <c r="S220" s="6"/>
      <c r="T220" s="6"/>
      <c r="U220" s="6"/>
      <c r="V220" s="6">
        <v>2</v>
      </c>
      <c r="W220" s="6"/>
      <c r="X220" s="6"/>
      <c r="Y220" s="6"/>
      <c r="Z220" s="6">
        <v>2</v>
      </c>
      <c r="AA220" s="6"/>
      <c r="AB220" s="6"/>
      <c r="AC220" s="6"/>
      <c r="AD220" s="6">
        <v>6</v>
      </c>
      <c r="AE220" s="6"/>
      <c r="AF220" s="6"/>
      <c r="AG220" s="6"/>
      <c r="AH220" s="6">
        <v>2</v>
      </c>
      <c r="AI220" s="6"/>
      <c r="AJ220" s="6"/>
      <c r="AK220" s="6"/>
      <c r="AL220" s="6">
        <v>2</v>
      </c>
      <c r="AM220" s="6"/>
      <c r="AN220" s="6"/>
      <c r="AO220" s="6"/>
      <c r="AP220" s="6">
        <v>2</v>
      </c>
      <c r="AQ220" s="6"/>
      <c r="AR220" s="6"/>
      <c r="AS220" s="6"/>
      <c r="AT220" s="6">
        <v>2</v>
      </c>
      <c r="AU220" s="6"/>
      <c r="AV220" s="6"/>
      <c r="AW220" s="6"/>
      <c r="AX220" s="6">
        <v>2</v>
      </c>
      <c r="AY220" s="6"/>
      <c r="AZ220" s="6"/>
      <c r="BA220" s="6"/>
      <c r="BB220" s="6">
        <v>6</v>
      </c>
      <c r="BC220" s="6">
        <f t="shared" si="48"/>
        <v>32</v>
      </c>
    </row>
    <row r="221" spans="1:55">
      <c r="A221" s="5">
        <v>376</v>
      </c>
      <c r="B221" s="5" t="s">
        <v>337</v>
      </c>
      <c r="C221" s="5" t="s">
        <v>354</v>
      </c>
      <c r="D221" s="5" t="s">
        <v>355</v>
      </c>
      <c r="E221" s="9">
        <f>+VLOOKUP(C221,'[1]Summary Table'!$C$2:$G$287,5,0)</f>
        <v>27</v>
      </c>
      <c r="F221" s="8">
        <f t="shared" si="47"/>
        <v>3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>
        <v>3</v>
      </c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>
        <v>3</v>
      </c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>
        <v>3</v>
      </c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>
        <v>3</v>
      </c>
      <c r="BC221" s="6">
        <f t="shared" si="48"/>
        <v>12</v>
      </c>
    </row>
    <row r="222" spans="1:55">
      <c r="A222" s="5">
        <v>377</v>
      </c>
      <c r="B222" s="5" t="s">
        <v>337</v>
      </c>
      <c r="C222" s="5" t="s">
        <v>356</v>
      </c>
      <c r="D222" s="5" t="s">
        <v>351</v>
      </c>
      <c r="E222" s="9">
        <f>+VLOOKUP(C222,'[1]Summary Table'!$C$2:$G$287,5,0)</f>
        <v>26</v>
      </c>
      <c r="F222" s="8">
        <f t="shared" si="47"/>
        <v>6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>
        <v>6</v>
      </c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>
        <v>6</v>
      </c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>
        <v>6</v>
      </c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>
        <v>6</v>
      </c>
      <c r="BC222" s="6">
        <f t="shared" si="48"/>
        <v>24</v>
      </c>
    </row>
    <row r="223" spans="1:55">
      <c r="A223" s="5">
        <v>378</v>
      </c>
      <c r="B223" s="5" t="s">
        <v>337</v>
      </c>
      <c r="C223" s="5" t="s">
        <v>357</v>
      </c>
      <c r="D223" s="5" t="s">
        <v>358</v>
      </c>
      <c r="E223" s="10">
        <f>+VLOOKUP(C223,'[1]Summary Table'!$C$2:$G$287,5,0)</f>
        <v>24</v>
      </c>
      <c r="F223" s="8">
        <f t="shared" si="47"/>
        <v>6</v>
      </c>
      <c r="G223" s="6"/>
      <c r="H223" s="6"/>
      <c r="I223" s="6"/>
      <c r="J223" s="6">
        <v>2</v>
      </c>
      <c r="K223" s="6"/>
      <c r="L223" s="6"/>
      <c r="M223" s="6"/>
      <c r="N223" s="6">
        <v>2</v>
      </c>
      <c r="O223" s="6"/>
      <c r="P223" s="6"/>
      <c r="Q223" s="6"/>
      <c r="R223" s="6">
        <v>2</v>
      </c>
      <c r="S223" s="6"/>
      <c r="T223" s="6"/>
      <c r="U223" s="6"/>
      <c r="V223" s="6">
        <v>2</v>
      </c>
      <c r="W223" s="6"/>
      <c r="X223" s="6"/>
      <c r="Y223" s="6"/>
      <c r="Z223" s="6">
        <v>2</v>
      </c>
      <c r="AA223" s="6"/>
      <c r="AB223" s="6"/>
      <c r="AC223" s="6"/>
      <c r="AD223" s="6">
        <v>6</v>
      </c>
      <c r="AE223" s="6"/>
      <c r="AF223" s="6"/>
      <c r="AG223" s="6"/>
      <c r="AH223" s="6">
        <v>2</v>
      </c>
      <c r="AI223" s="6"/>
      <c r="AJ223" s="6"/>
      <c r="AK223" s="6"/>
      <c r="AL223" s="6">
        <v>2</v>
      </c>
      <c r="AM223" s="6"/>
      <c r="AN223" s="6"/>
      <c r="AO223" s="6"/>
      <c r="AP223" s="6">
        <v>2</v>
      </c>
      <c r="AQ223" s="6"/>
      <c r="AR223" s="6"/>
      <c r="AS223" s="6"/>
      <c r="AT223" s="6">
        <v>2</v>
      </c>
      <c r="AU223" s="6"/>
      <c r="AV223" s="6"/>
      <c r="AW223" s="6"/>
      <c r="AX223" s="6">
        <v>2</v>
      </c>
      <c r="AY223" s="6"/>
      <c r="AZ223" s="6"/>
      <c r="BA223" s="6"/>
      <c r="BB223" s="6">
        <v>6</v>
      </c>
      <c r="BC223" s="6">
        <f t="shared" si="48"/>
        <v>32</v>
      </c>
    </row>
    <row r="224" spans="1:55">
      <c r="A224" s="5">
        <v>379</v>
      </c>
      <c r="B224" s="5" t="s">
        <v>337</v>
      </c>
      <c r="C224" s="5" t="s">
        <v>359</v>
      </c>
      <c r="D224" s="5" t="s">
        <v>358</v>
      </c>
      <c r="E224" s="10">
        <f>+VLOOKUP(C224,'[1]Summary Table'!$C$2:$G$287,5,0)</f>
        <v>24</v>
      </c>
      <c r="F224" s="8">
        <f t="shared" si="47"/>
        <v>6</v>
      </c>
      <c r="G224" s="6"/>
      <c r="H224" s="6"/>
      <c r="I224" s="6"/>
      <c r="J224" s="6">
        <v>2</v>
      </c>
      <c r="K224" s="6"/>
      <c r="L224" s="6"/>
      <c r="M224" s="6"/>
      <c r="N224" s="6">
        <v>2</v>
      </c>
      <c r="O224" s="6"/>
      <c r="P224" s="6"/>
      <c r="Q224" s="6"/>
      <c r="R224" s="6">
        <v>2</v>
      </c>
      <c r="S224" s="6"/>
      <c r="T224" s="6"/>
      <c r="U224" s="6"/>
      <c r="V224" s="6">
        <v>2</v>
      </c>
      <c r="W224" s="6"/>
      <c r="X224" s="6"/>
      <c r="Y224" s="6"/>
      <c r="Z224" s="6">
        <v>2</v>
      </c>
      <c r="AA224" s="6"/>
      <c r="AB224" s="6"/>
      <c r="AC224" s="6"/>
      <c r="AD224" s="6">
        <v>6</v>
      </c>
      <c r="AE224" s="6"/>
      <c r="AF224" s="6"/>
      <c r="AG224" s="6"/>
      <c r="AH224" s="6">
        <v>2</v>
      </c>
      <c r="AI224" s="6"/>
      <c r="AJ224" s="6"/>
      <c r="AK224" s="6"/>
      <c r="AL224" s="6">
        <v>2</v>
      </c>
      <c r="AM224" s="6"/>
      <c r="AN224" s="6"/>
      <c r="AO224" s="6"/>
      <c r="AP224" s="6">
        <v>2</v>
      </c>
      <c r="AQ224" s="6"/>
      <c r="AR224" s="6"/>
      <c r="AS224" s="6"/>
      <c r="AT224" s="6">
        <v>2</v>
      </c>
      <c r="AU224" s="6"/>
      <c r="AV224" s="6"/>
      <c r="AW224" s="6"/>
      <c r="AX224" s="6">
        <v>2</v>
      </c>
      <c r="AY224" s="6"/>
      <c r="AZ224" s="6"/>
      <c r="BA224" s="6"/>
      <c r="BB224" s="6">
        <v>6</v>
      </c>
      <c r="BC224" s="6">
        <f t="shared" si="48"/>
        <v>32</v>
      </c>
    </row>
    <row r="225" spans="1:55">
      <c r="A225" s="5">
        <v>380</v>
      </c>
      <c r="B225" s="5" t="s">
        <v>337</v>
      </c>
      <c r="C225" s="5" t="s">
        <v>360</v>
      </c>
      <c r="D225" s="5" t="s">
        <v>358</v>
      </c>
      <c r="E225" s="10">
        <f>+VLOOKUP(C225,'[1]Summary Table'!$C$2:$G$287,5,0)</f>
        <v>24</v>
      </c>
      <c r="F225" s="8">
        <f t="shared" si="47"/>
        <v>6</v>
      </c>
      <c r="G225" s="16"/>
      <c r="H225" s="16"/>
      <c r="I225" s="16"/>
      <c r="J225" s="16">
        <v>2</v>
      </c>
      <c r="K225" s="16"/>
      <c r="L225" s="16"/>
      <c r="M225" s="16"/>
      <c r="N225" s="16">
        <v>2</v>
      </c>
      <c r="O225" s="16"/>
      <c r="P225" s="16"/>
      <c r="Q225" s="16"/>
      <c r="R225" s="16">
        <v>2</v>
      </c>
      <c r="S225" s="16"/>
      <c r="T225" s="16"/>
      <c r="U225" s="16"/>
      <c r="V225" s="16">
        <v>2</v>
      </c>
      <c r="W225" s="16"/>
      <c r="X225" s="16"/>
      <c r="Y225" s="16"/>
      <c r="Z225" s="16">
        <v>2</v>
      </c>
      <c r="AA225" s="16"/>
      <c r="AB225" s="16"/>
      <c r="AC225" s="16"/>
      <c r="AD225" s="16">
        <v>6</v>
      </c>
      <c r="AE225" s="16"/>
      <c r="AF225" s="16"/>
      <c r="AG225" s="16"/>
      <c r="AH225" s="16">
        <v>2</v>
      </c>
      <c r="AI225" s="16"/>
      <c r="AJ225" s="16"/>
      <c r="AK225" s="16"/>
      <c r="AL225" s="16">
        <v>2</v>
      </c>
      <c r="AM225" s="16"/>
      <c r="AN225" s="16"/>
      <c r="AO225" s="16"/>
      <c r="AP225" s="16">
        <v>2</v>
      </c>
      <c r="AQ225" s="16"/>
      <c r="AR225" s="16"/>
      <c r="AS225" s="16"/>
      <c r="AT225" s="16">
        <v>2</v>
      </c>
      <c r="AU225" s="16"/>
      <c r="AV225" s="16"/>
      <c r="AW225" s="16"/>
      <c r="AX225" s="16">
        <v>2</v>
      </c>
      <c r="AY225" s="16"/>
      <c r="AZ225" s="16"/>
      <c r="BA225" s="16"/>
      <c r="BB225" s="16">
        <v>6</v>
      </c>
      <c r="BC225" s="6">
        <f t="shared" si="48"/>
        <v>32</v>
      </c>
    </row>
    <row r="226" spans="1:55">
      <c r="A226" s="13">
        <v>381</v>
      </c>
      <c r="B226" s="13" t="s">
        <v>361</v>
      </c>
      <c r="C226" s="13"/>
      <c r="D226" s="13"/>
      <c r="E226" s="12"/>
      <c r="F226" s="11">
        <f t="shared" ref="F226:AK226" si="49">MAX(F227:F246)</f>
        <v>24</v>
      </c>
      <c r="G226" s="17">
        <f t="shared" si="49"/>
        <v>0</v>
      </c>
      <c r="H226" s="17">
        <f t="shared" si="49"/>
        <v>0</v>
      </c>
      <c r="I226" s="17">
        <f t="shared" si="49"/>
        <v>0</v>
      </c>
      <c r="J226" s="17">
        <f t="shared" si="49"/>
        <v>2</v>
      </c>
      <c r="K226" s="17">
        <f t="shared" si="49"/>
        <v>0</v>
      </c>
      <c r="L226" s="17">
        <f t="shared" si="49"/>
        <v>0</v>
      </c>
      <c r="M226" s="17">
        <f t="shared" si="49"/>
        <v>0</v>
      </c>
      <c r="N226" s="17">
        <f t="shared" si="49"/>
        <v>2</v>
      </c>
      <c r="O226" s="17">
        <f t="shared" si="49"/>
        <v>0</v>
      </c>
      <c r="P226" s="17">
        <f t="shared" si="49"/>
        <v>0</v>
      </c>
      <c r="Q226" s="17">
        <f t="shared" si="49"/>
        <v>0</v>
      </c>
      <c r="R226" s="17">
        <f t="shared" si="49"/>
        <v>6</v>
      </c>
      <c r="S226" s="17">
        <f t="shared" si="49"/>
        <v>0</v>
      </c>
      <c r="T226" s="17">
        <f t="shared" si="49"/>
        <v>0</v>
      </c>
      <c r="U226" s="17">
        <f t="shared" si="49"/>
        <v>0</v>
      </c>
      <c r="V226" s="17">
        <f t="shared" si="49"/>
        <v>2</v>
      </c>
      <c r="W226" s="17">
        <f t="shared" si="49"/>
        <v>0</v>
      </c>
      <c r="X226" s="17">
        <f t="shared" si="49"/>
        <v>0</v>
      </c>
      <c r="Y226" s="17">
        <f t="shared" si="49"/>
        <v>0</v>
      </c>
      <c r="Z226" s="17">
        <f t="shared" si="49"/>
        <v>2</v>
      </c>
      <c r="AA226" s="17">
        <f t="shared" si="49"/>
        <v>0</v>
      </c>
      <c r="AB226" s="17">
        <f t="shared" si="49"/>
        <v>0</v>
      </c>
      <c r="AC226" s="17">
        <f t="shared" si="49"/>
        <v>0</v>
      </c>
      <c r="AD226" s="17">
        <f t="shared" si="49"/>
        <v>6</v>
      </c>
      <c r="AE226" s="17">
        <f t="shared" si="49"/>
        <v>0</v>
      </c>
      <c r="AF226" s="17">
        <f t="shared" si="49"/>
        <v>0</v>
      </c>
      <c r="AG226" s="17">
        <f t="shared" si="49"/>
        <v>0</v>
      </c>
      <c r="AH226" s="17">
        <f t="shared" si="49"/>
        <v>2</v>
      </c>
      <c r="AI226" s="17">
        <f t="shared" si="49"/>
        <v>0</v>
      </c>
      <c r="AJ226" s="17">
        <f t="shared" si="49"/>
        <v>0</v>
      </c>
      <c r="AK226" s="17">
        <f t="shared" si="49"/>
        <v>0</v>
      </c>
      <c r="AL226" s="17">
        <f t="shared" ref="AL226:BC226" si="50">MAX(AL227:AL246)</f>
        <v>2</v>
      </c>
      <c r="AM226" s="17">
        <f t="shared" si="50"/>
        <v>0</v>
      </c>
      <c r="AN226" s="17">
        <f t="shared" si="50"/>
        <v>0</v>
      </c>
      <c r="AO226" s="17">
        <f t="shared" si="50"/>
        <v>0</v>
      </c>
      <c r="AP226" s="17">
        <f t="shared" si="50"/>
        <v>6</v>
      </c>
      <c r="AQ226" s="17">
        <f t="shared" si="50"/>
        <v>0</v>
      </c>
      <c r="AR226" s="17">
        <f t="shared" si="50"/>
        <v>0</v>
      </c>
      <c r="AS226" s="17">
        <f t="shared" si="50"/>
        <v>0</v>
      </c>
      <c r="AT226" s="17">
        <f t="shared" si="50"/>
        <v>2</v>
      </c>
      <c r="AU226" s="17">
        <f t="shared" si="50"/>
        <v>0</v>
      </c>
      <c r="AV226" s="17">
        <f t="shared" si="50"/>
        <v>0</v>
      </c>
      <c r="AW226" s="17">
        <f t="shared" si="50"/>
        <v>0</v>
      </c>
      <c r="AX226" s="17">
        <f t="shared" si="50"/>
        <v>2</v>
      </c>
      <c r="AY226" s="17">
        <f t="shared" si="50"/>
        <v>0</v>
      </c>
      <c r="AZ226" s="17">
        <f t="shared" si="50"/>
        <v>0</v>
      </c>
      <c r="BA226" s="17">
        <f t="shared" si="50"/>
        <v>0</v>
      </c>
      <c r="BB226" s="17">
        <f t="shared" si="50"/>
        <v>24</v>
      </c>
      <c r="BC226" s="17">
        <f t="shared" si="50"/>
        <v>32</v>
      </c>
    </row>
    <row r="227" spans="1:55">
      <c r="A227" s="5">
        <v>382</v>
      </c>
      <c r="B227" s="5" t="s">
        <v>361</v>
      </c>
      <c r="C227" s="5" t="s">
        <v>362</v>
      </c>
      <c r="D227" s="5" t="s">
        <v>363</v>
      </c>
      <c r="E227" s="9">
        <f>+VLOOKUP(C227,'[1]Summary Table'!$C$2:$G$287,5,0)</f>
        <v>8</v>
      </c>
      <c r="F227" s="8">
        <f t="shared" ref="F227:F246" si="51">+MAX(G227:BB227)</f>
        <v>2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>
        <v>2</v>
      </c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>
        <v>2</v>
      </c>
      <c r="BC227" s="6">
        <f t="shared" ref="BC227:BC246" si="52">+SUM(G227:BB227)</f>
        <v>4</v>
      </c>
    </row>
    <row r="228" spans="1:55">
      <c r="A228" s="5">
        <v>383</v>
      </c>
      <c r="B228" s="5" t="s">
        <v>361</v>
      </c>
      <c r="C228" s="5" t="s">
        <v>364</v>
      </c>
      <c r="D228" s="5" t="s">
        <v>365</v>
      </c>
      <c r="E228" s="9">
        <f>+VLOOKUP(C228,'[1]Summary Table'!$C$2:$G$287,5,0)</f>
        <v>44</v>
      </c>
      <c r="F228" s="8">
        <f t="shared" si="51"/>
        <v>24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>
        <v>24</v>
      </c>
      <c r="BC228" s="6">
        <f t="shared" si="52"/>
        <v>24</v>
      </c>
    </row>
    <row r="229" spans="1:55">
      <c r="A229" s="5">
        <v>384</v>
      </c>
      <c r="B229" s="5" t="s">
        <v>361</v>
      </c>
      <c r="C229" s="5" t="s">
        <v>366</v>
      </c>
      <c r="D229" s="5" t="s">
        <v>367</v>
      </c>
      <c r="E229" s="9">
        <f>+VLOOKUP(C229,'[1]Summary Table'!$C$2:$G$287,5,0)</f>
        <v>41</v>
      </c>
      <c r="F229" s="8">
        <f t="shared" si="51"/>
        <v>4</v>
      </c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>
        <v>4</v>
      </c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>
        <v>4</v>
      </c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>
        <v>4</v>
      </c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>
        <v>4</v>
      </c>
      <c r="BC229" s="6">
        <f t="shared" si="52"/>
        <v>16</v>
      </c>
    </row>
    <row r="230" spans="1:55">
      <c r="A230" s="5">
        <v>385</v>
      </c>
      <c r="B230" s="5" t="s">
        <v>361</v>
      </c>
      <c r="C230" s="5" t="s">
        <v>368</v>
      </c>
      <c r="D230" s="5" t="s">
        <v>369</v>
      </c>
      <c r="E230" s="9">
        <f>+VLOOKUP(C230,'[1]Summary Table'!$C$2:$G$287,5,0)</f>
        <v>41</v>
      </c>
      <c r="F230" s="8">
        <f t="shared" si="51"/>
        <v>4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>
        <v>4</v>
      </c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>
        <v>4</v>
      </c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>
        <v>4</v>
      </c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>
        <v>4</v>
      </c>
      <c r="BC230" s="6">
        <f t="shared" si="52"/>
        <v>16</v>
      </c>
    </row>
    <row r="231" spans="1:55">
      <c r="A231" s="5">
        <v>386</v>
      </c>
      <c r="B231" s="5" t="s">
        <v>361</v>
      </c>
      <c r="C231" s="5" t="s">
        <v>370</v>
      </c>
      <c r="D231" s="5" t="s">
        <v>371</v>
      </c>
      <c r="E231" s="9">
        <f>+VLOOKUP(C231,'[1]Summary Table'!$C$2:$G$287,5,0)</f>
        <v>26</v>
      </c>
      <c r="F231" s="8">
        <f t="shared" si="51"/>
        <v>6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>
        <v>6</v>
      </c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>
        <v>6</v>
      </c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>
        <v>6</v>
      </c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>
        <v>6</v>
      </c>
      <c r="BC231" s="6">
        <f t="shared" si="52"/>
        <v>24</v>
      </c>
    </row>
    <row r="232" spans="1:55">
      <c r="A232" s="5">
        <v>387</v>
      </c>
      <c r="B232" s="5" t="s">
        <v>361</v>
      </c>
      <c r="C232" s="5" t="s">
        <v>372</v>
      </c>
      <c r="D232" s="5" t="s">
        <v>373</v>
      </c>
      <c r="E232" s="9">
        <f>+VLOOKUP(C232,'[1]Summary Table'!$C$2:$G$287,5,0)</f>
        <v>27</v>
      </c>
      <c r="F232" s="8">
        <f t="shared" si="51"/>
        <v>3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>
        <v>3</v>
      </c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>
        <v>3</v>
      </c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>
        <v>3</v>
      </c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>
        <v>3</v>
      </c>
      <c r="BC232" s="6">
        <f t="shared" si="52"/>
        <v>12</v>
      </c>
    </row>
    <row r="233" spans="1:55">
      <c r="A233" s="5">
        <v>388</v>
      </c>
      <c r="B233" s="5" t="s">
        <v>361</v>
      </c>
      <c r="C233" s="5" t="s">
        <v>374</v>
      </c>
      <c r="D233" s="5" t="s">
        <v>375</v>
      </c>
      <c r="E233" s="10">
        <f>+VLOOKUP(C233,'[1]Summary Table'!$C$2:$G$287,5,0)</f>
        <v>18</v>
      </c>
      <c r="F233" s="8">
        <f t="shared" si="51"/>
        <v>6</v>
      </c>
      <c r="G233" s="6"/>
      <c r="H233" s="6"/>
      <c r="I233" s="6"/>
      <c r="J233" s="6">
        <v>2</v>
      </c>
      <c r="K233" s="6"/>
      <c r="L233" s="6"/>
      <c r="M233" s="6"/>
      <c r="N233" s="6">
        <v>2</v>
      </c>
      <c r="O233" s="6"/>
      <c r="P233" s="6"/>
      <c r="Q233" s="6"/>
      <c r="R233" s="6">
        <v>2</v>
      </c>
      <c r="S233" s="6"/>
      <c r="T233" s="6"/>
      <c r="U233" s="6"/>
      <c r="V233" s="6">
        <v>2</v>
      </c>
      <c r="W233" s="6"/>
      <c r="X233" s="6"/>
      <c r="Y233" s="6"/>
      <c r="Z233" s="6">
        <v>2</v>
      </c>
      <c r="AA233" s="6"/>
      <c r="AB233" s="6"/>
      <c r="AC233" s="6"/>
      <c r="AD233" s="6">
        <v>6</v>
      </c>
      <c r="AE233" s="6"/>
      <c r="AF233" s="6"/>
      <c r="AG233" s="6"/>
      <c r="AH233" s="6">
        <v>2</v>
      </c>
      <c r="AI233" s="6"/>
      <c r="AJ233" s="6"/>
      <c r="AK233" s="6"/>
      <c r="AL233" s="6">
        <v>2</v>
      </c>
      <c r="AM233" s="6"/>
      <c r="AN233" s="6"/>
      <c r="AO233" s="6"/>
      <c r="AP233" s="6">
        <v>2</v>
      </c>
      <c r="AQ233" s="6"/>
      <c r="AR233" s="6"/>
      <c r="AS233" s="6"/>
      <c r="AT233" s="6">
        <v>2</v>
      </c>
      <c r="AU233" s="6"/>
      <c r="AV233" s="6"/>
      <c r="AW233" s="6"/>
      <c r="AX233" s="6">
        <v>2</v>
      </c>
      <c r="AY233" s="6"/>
      <c r="AZ233" s="6"/>
      <c r="BA233" s="6"/>
      <c r="BB233" s="6">
        <v>6</v>
      </c>
      <c r="BC233" s="6">
        <f t="shared" si="52"/>
        <v>32</v>
      </c>
    </row>
    <row r="234" spans="1:55">
      <c r="A234" s="5">
        <v>389</v>
      </c>
      <c r="B234" s="5" t="s">
        <v>361</v>
      </c>
      <c r="C234" s="5" t="s">
        <v>376</v>
      </c>
      <c r="D234" s="5" t="s">
        <v>373</v>
      </c>
      <c r="E234" s="9">
        <f>+VLOOKUP(C234,'[1]Summary Table'!$C$2:$G$287,5,0)</f>
        <v>27</v>
      </c>
      <c r="F234" s="8">
        <f t="shared" si="51"/>
        <v>3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>
        <v>3</v>
      </c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>
        <v>3</v>
      </c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>
        <v>3</v>
      </c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>
        <v>3</v>
      </c>
      <c r="BC234" s="6">
        <f t="shared" si="52"/>
        <v>12</v>
      </c>
    </row>
    <row r="235" spans="1:55">
      <c r="A235" s="5">
        <v>390</v>
      </c>
      <c r="B235" s="5" t="s">
        <v>361</v>
      </c>
      <c r="C235" s="5" t="s">
        <v>377</v>
      </c>
      <c r="D235" s="5" t="s">
        <v>378</v>
      </c>
      <c r="E235" s="10">
        <f>+VLOOKUP(C235,'[1]Summary Table'!$C$2:$G$287,5,0)</f>
        <v>18</v>
      </c>
      <c r="F235" s="8">
        <f t="shared" si="51"/>
        <v>2</v>
      </c>
      <c r="G235" s="16"/>
      <c r="H235" s="16"/>
      <c r="I235" s="16"/>
      <c r="J235" s="16">
        <v>1</v>
      </c>
      <c r="K235" s="16"/>
      <c r="L235" s="16"/>
      <c r="M235" s="16"/>
      <c r="N235" s="16">
        <v>1</v>
      </c>
      <c r="O235" s="16"/>
      <c r="P235" s="16"/>
      <c r="Q235" s="16"/>
      <c r="R235" s="16">
        <v>1</v>
      </c>
      <c r="S235" s="16"/>
      <c r="T235" s="16"/>
      <c r="U235" s="16"/>
      <c r="V235" s="16">
        <v>1</v>
      </c>
      <c r="W235" s="16"/>
      <c r="X235" s="16"/>
      <c r="Y235" s="16"/>
      <c r="Z235" s="16">
        <v>1</v>
      </c>
      <c r="AA235" s="16"/>
      <c r="AB235" s="16"/>
      <c r="AC235" s="16"/>
      <c r="AD235" s="16">
        <v>2</v>
      </c>
      <c r="AE235" s="16"/>
      <c r="AF235" s="16"/>
      <c r="AG235" s="16"/>
      <c r="AH235" s="16">
        <v>1</v>
      </c>
      <c r="AI235" s="16"/>
      <c r="AJ235" s="16"/>
      <c r="AK235" s="16"/>
      <c r="AL235" s="16">
        <v>1</v>
      </c>
      <c r="AM235" s="16"/>
      <c r="AN235" s="16"/>
      <c r="AO235" s="16"/>
      <c r="AP235" s="16">
        <v>1</v>
      </c>
      <c r="AQ235" s="16"/>
      <c r="AR235" s="16"/>
      <c r="AS235" s="16"/>
      <c r="AT235" s="16">
        <v>1</v>
      </c>
      <c r="AU235" s="16"/>
      <c r="AV235" s="16"/>
      <c r="AW235" s="16"/>
      <c r="AX235" s="16">
        <v>1</v>
      </c>
      <c r="AY235" s="16"/>
      <c r="AZ235" s="16"/>
      <c r="BA235" s="16"/>
      <c r="BB235" s="16">
        <v>2</v>
      </c>
      <c r="BC235" s="6">
        <f t="shared" si="52"/>
        <v>14</v>
      </c>
    </row>
    <row r="236" spans="1:55">
      <c r="A236" s="5">
        <v>391</v>
      </c>
      <c r="B236" s="5" t="s">
        <v>361</v>
      </c>
      <c r="C236" s="5" t="s">
        <v>379</v>
      </c>
      <c r="D236" s="5" t="s">
        <v>378</v>
      </c>
      <c r="E236" s="10">
        <f>+VLOOKUP(C236,'[1]Summary Table'!$C$2:$G$287,5,0)</f>
        <v>18</v>
      </c>
      <c r="F236" s="8">
        <f t="shared" si="51"/>
        <v>2</v>
      </c>
      <c r="G236" s="6"/>
      <c r="H236" s="6"/>
      <c r="I236" s="6"/>
      <c r="J236" s="6">
        <v>1</v>
      </c>
      <c r="K236" s="6"/>
      <c r="L236" s="6"/>
      <c r="M236" s="6"/>
      <c r="N236" s="6">
        <v>1</v>
      </c>
      <c r="O236" s="6"/>
      <c r="P236" s="6"/>
      <c r="Q236" s="6"/>
      <c r="R236" s="6">
        <v>1</v>
      </c>
      <c r="S236" s="6"/>
      <c r="T236" s="6"/>
      <c r="U236" s="6"/>
      <c r="V236" s="6">
        <v>1</v>
      </c>
      <c r="W236" s="6"/>
      <c r="X236" s="6"/>
      <c r="Y236" s="6"/>
      <c r="Z236" s="6">
        <v>1</v>
      </c>
      <c r="AA236" s="6"/>
      <c r="AB236" s="6"/>
      <c r="AC236" s="6"/>
      <c r="AD236" s="6">
        <v>2</v>
      </c>
      <c r="AE236" s="6"/>
      <c r="AF236" s="6"/>
      <c r="AG236" s="6"/>
      <c r="AH236" s="6">
        <v>1</v>
      </c>
      <c r="AI236" s="6"/>
      <c r="AJ236" s="6"/>
      <c r="AK236" s="6"/>
      <c r="AL236" s="6">
        <v>1</v>
      </c>
      <c r="AM236" s="6"/>
      <c r="AN236" s="6"/>
      <c r="AO236" s="6"/>
      <c r="AP236" s="6">
        <v>1</v>
      </c>
      <c r="AQ236" s="6"/>
      <c r="AR236" s="6"/>
      <c r="AS236" s="6"/>
      <c r="AT236" s="6">
        <v>1</v>
      </c>
      <c r="AU236" s="6"/>
      <c r="AV236" s="6"/>
      <c r="AW236" s="6"/>
      <c r="AX236" s="6">
        <v>1</v>
      </c>
      <c r="AY236" s="6"/>
      <c r="AZ236" s="6"/>
      <c r="BA236" s="6"/>
      <c r="BB236" s="6">
        <v>2</v>
      </c>
      <c r="BC236" s="6">
        <f t="shared" si="52"/>
        <v>14</v>
      </c>
    </row>
    <row r="237" spans="1:55">
      <c r="A237" s="5">
        <v>392</v>
      </c>
      <c r="B237" s="5" t="s">
        <v>361</v>
      </c>
      <c r="C237" s="5" t="s">
        <v>380</v>
      </c>
      <c r="D237" s="5" t="s">
        <v>378</v>
      </c>
      <c r="E237" s="10">
        <f>+VLOOKUP(C237,'[1]Summary Table'!$C$2:$G$287,5,0)</f>
        <v>18</v>
      </c>
      <c r="F237" s="8">
        <f t="shared" si="51"/>
        <v>2</v>
      </c>
      <c r="G237" s="6"/>
      <c r="H237" s="6"/>
      <c r="I237" s="6"/>
      <c r="J237" s="6">
        <v>1</v>
      </c>
      <c r="K237" s="6"/>
      <c r="L237" s="6"/>
      <c r="M237" s="6"/>
      <c r="N237" s="6">
        <v>1</v>
      </c>
      <c r="O237" s="6"/>
      <c r="P237" s="6"/>
      <c r="Q237" s="6"/>
      <c r="R237" s="6">
        <v>1</v>
      </c>
      <c r="S237" s="6"/>
      <c r="T237" s="6"/>
      <c r="U237" s="6"/>
      <c r="V237" s="6">
        <v>1</v>
      </c>
      <c r="W237" s="6"/>
      <c r="X237" s="6"/>
      <c r="Y237" s="6"/>
      <c r="Z237" s="6">
        <v>1</v>
      </c>
      <c r="AA237" s="6"/>
      <c r="AB237" s="6"/>
      <c r="AC237" s="6"/>
      <c r="AD237" s="6">
        <v>2</v>
      </c>
      <c r="AE237" s="6"/>
      <c r="AF237" s="6"/>
      <c r="AG237" s="6"/>
      <c r="AH237" s="6">
        <v>1</v>
      </c>
      <c r="AI237" s="6"/>
      <c r="AJ237" s="6"/>
      <c r="AK237" s="6"/>
      <c r="AL237" s="6">
        <v>1</v>
      </c>
      <c r="AM237" s="6"/>
      <c r="AN237" s="6"/>
      <c r="AO237" s="6"/>
      <c r="AP237" s="6">
        <v>1</v>
      </c>
      <c r="AQ237" s="6"/>
      <c r="AR237" s="6"/>
      <c r="AS237" s="6"/>
      <c r="AT237" s="6">
        <v>1</v>
      </c>
      <c r="AU237" s="6"/>
      <c r="AV237" s="6"/>
      <c r="AW237" s="6"/>
      <c r="AX237" s="6">
        <v>1</v>
      </c>
      <c r="AY237" s="6"/>
      <c r="AZ237" s="6"/>
      <c r="BA237" s="6"/>
      <c r="BB237" s="6">
        <v>2</v>
      </c>
      <c r="BC237" s="6">
        <f t="shared" si="52"/>
        <v>14</v>
      </c>
    </row>
    <row r="238" spans="1:55">
      <c r="A238" s="5">
        <v>393</v>
      </c>
      <c r="B238" s="5" t="s">
        <v>361</v>
      </c>
      <c r="C238" s="5" t="s">
        <v>381</v>
      </c>
      <c r="D238" s="5" t="s">
        <v>378</v>
      </c>
      <c r="E238" s="10">
        <f>+VLOOKUP(C238,'[1]Summary Table'!$C$2:$G$287,5,0)</f>
        <v>18</v>
      </c>
      <c r="F238" s="8">
        <f t="shared" si="51"/>
        <v>2</v>
      </c>
      <c r="G238" s="6"/>
      <c r="H238" s="6"/>
      <c r="I238" s="6"/>
      <c r="J238" s="6">
        <v>1</v>
      </c>
      <c r="K238" s="6"/>
      <c r="L238" s="6"/>
      <c r="M238" s="6"/>
      <c r="N238" s="6">
        <v>1</v>
      </c>
      <c r="O238" s="6"/>
      <c r="P238" s="6"/>
      <c r="Q238" s="6"/>
      <c r="R238" s="6">
        <v>1</v>
      </c>
      <c r="S238" s="6"/>
      <c r="T238" s="6"/>
      <c r="U238" s="6"/>
      <c r="V238" s="6">
        <v>1</v>
      </c>
      <c r="W238" s="6"/>
      <c r="X238" s="6"/>
      <c r="Y238" s="6"/>
      <c r="Z238" s="6">
        <v>1</v>
      </c>
      <c r="AA238" s="6"/>
      <c r="AB238" s="6"/>
      <c r="AC238" s="6"/>
      <c r="AD238" s="6">
        <v>2</v>
      </c>
      <c r="AE238" s="6"/>
      <c r="AF238" s="6"/>
      <c r="AG238" s="6"/>
      <c r="AH238" s="6">
        <v>1</v>
      </c>
      <c r="AI238" s="6"/>
      <c r="AJ238" s="6"/>
      <c r="AK238" s="6"/>
      <c r="AL238" s="6">
        <v>1</v>
      </c>
      <c r="AM238" s="6"/>
      <c r="AN238" s="6"/>
      <c r="AO238" s="6"/>
      <c r="AP238" s="6">
        <v>1</v>
      </c>
      <c r="AQ238" s="6"/>
      <c r="AR238" s="6"/>
      <c r="AS238" s="6"/>
      <c r="AT238" s="6">
        <v>1</v>
      </c>
      <c r="AU238" s="6"/>
      <c r="AV238" s="6"/>
      <c r="AW238" s="6"/>
      <c r="AX238" s="6">
        <v>1</v>
      </c>
      <c r="AY238" s="6"/>
      <c r="AZ238" s="6"/>
      <c r="BA238" s="6"/>
      <c r="BB238" s="6">
        <v>2</v>
      </c>
      <c r="BC238" s="6">
        <f t="shared" si="52"/>
        <v>14</v>
      </c>
    </row>
    <row r="239" spans="1:55">
      <c r="A239" s="5">
        <v>394</v>
      </c>
      <c r="B239" s="5" t="s">
        <v>361</v>
      </c>
      <c r="C239" s="5" t="s">
        <v>382</v>
      </c>
      <c r="D239" s="5" t="s">
        <v>378</v>
      </c>
      <c r="E239" s="10">
        <f>+VLOOKUP(C239,'[1]Summary Table'!$C$2:$G$287,5,0)</f>
        <v>18</v>
      </c>
      <c r="F239" s="8">
        <f t="shared" si="51"/>
        <v>2</v>
      </c>
      <c r="G239" s="6"/>
      <c r="H239" s="6"/>
      <c r="I239" s="6"/>
      <c r="J239" s="6">
        <v>1</v>
      </c>
      <c r="K239" s="6"/>
      <c r="L239" s="6"/>
      <c r="M239" s="6"/>
      <c r="N239" s="6">
        <v>1</v>
      </c>
      <c r="O239" s="6"/>
      <c r="P239" s="6"/>
      <c r="Q239" s="6"/>
      <c r="R239" s="6">
        <v>1</v>
      </c>
      <c r="S239" s="6"/>
      <c r="T239" s="6"/>
      <c r="U239" s="6"/>
      <c r="V239" s="6">
        <v>1</v>
      </c>
      <c r="W239" s="6"/>
      <c r="X239" s="6"/>
      <c r="Y239" s="6"/>
      <c r="Z239" s="6">
        <v>1</v>
      </c>
      <c r="AA239" s="6"/>
      <c r="AB239" s="6"/>
      <c r="AC239" s="6"/>
      <c r="AD239" s="6">
        <v>2</v>
      </c>
      <c r="AE239" s="6"/>
      <c r="AF239" s="6"/>
      <c r="AG239" s="6"/>
      <c r="AH239" s="6">
        <v>1</v>
      </c>
      <c r="AI239" s="6"/>
      <c r="AJ239" s="6"/>
      <c r="AK239" s="6"/>
      <c r="AL239" s="6">
        <v>1</v>
      </c>
      <c r="AM239" s="6"/>
      <c r="AN239" s="6"/>
      <c r="AO239" s="6"/>
      <c r="AP239" s="6">
        <v>1</v>
      </c>
      <c r="AQ239" s="6"/>
      <c r="AR239" s="6"/>
      <c r="AS239" s="6"/>
      <c r="AT239" s="6">
        <v>1</v>
      </c>
      <c r="AU239" s="6"/>
      <c r="AV239" s="6"/>
      <c r="AW239" s="6"/>
      <c r="AX239" s="6">
        <v>1</v>
      </c>
      <c r="AY239" s="6"/>
      <c r="AZ239" s="6"/>
      <c r="BA239" s="6"/>
      <c r="BB239" s="6">
        <v>2</v>
      </c>
      <c r="BC239" s="6">
        <f t="shared" si="52"/>
        <v>14</v>
      </c>
    </row>
    <row r="240" spans="1:55">
      <c r="A240" s="5">
        <v>395</v>
      </c>
      <c r="B240" s="5" t="s">
        <v>361</v>
      </c>
      <c r="C240" s="5" t="s">
        <v>383</v>
      </c>
      <c r="D240" s="5" t="s">
        <v>378</v>
      </c>
      <c r="E240" s="10">
        <f>+VLOOKUP(C240,'[1]Summary Table'!$C$2:$G$287,5,0)</f>
        <v>18</v>
      </c>
      <c r="F240" s="8">
        <f t="shared" si="51"/>
        <v>2</v>
      </c>
      <c r="G240" s="6"/>
      <c r="H240" s="6"/>
      <c r="I240" s="6"/>
      <c r="J240" s="6">
        <v>1</v>
      </c>
      <c r="K240" s="6"/>
      <c r="L240" s="6"/>
      <c r="M240" s="6"/>
      <c r="N240" s="6">
        <v>1</v>
      </c>
      <c r="O240" s="6"/>
      <c r="P240" s="6"/>
      <c r="Q240" s="6"/>
      <c r="R240" s="6">
        <v>1</v>
      </c>
      <c r="S240" s="6"/>
      <c r="T240" s="6"/>
      <c r="U240" s="6"/>
      <c r="V240" s="6">
        <v>1</v>
      </c>
      <c r="W240" s="6"/>
      <c r="X240" s="6"/>
      <c r="Y240" s="6"/>
      <c r="Z240" s="6">
        <v>1</v>
      </c>
      <c r="AA240" s="6"/>
      <c r="AB240" s="6"/>
      <c r="AC240" s="6"/>
      <c r="AD240" s="6">
        <v>2</v>
      </c>
      <c r="AE240" s="6"/>
      <c r="AF240" s="6"/>
      <c r="AG240" s="6"/>
      <c r="AH240" s="6">
        <v>1</v>
      </c>
      <c r="AI240" s="6"/>
      <c r="AJ240" s="6"/>
      <c r="AK240" s="6"/>
      <c r="AL240" s="6">
        <v>1</v>
      </c>
      <c r="AM240" s="6"/>
      <c r="AN240" s="6"/>
      <c r="AO240" s="6"/>
      <c r="AP240" s="6">
        <v>1</v>
      </c>
      <c r="AQ240" s="6"/>
      <c r="AR240" s="6"/>
      <c r="AS240" s="6"/>
      <c r="AT240" s="6">
        <v>1</v>
      </c>
      <c r="AU240" s="6"/>
      <c r="AV240" s="6"/>
      <c r="AW240" s="6"/>
      <c r="AX240" s="6">
        <v>1</v>
      </c>
      <c r="AY240" s="6"/>
      <c r="AZ240" s="6"/>
      <c r="BA240" s="6"/>
      <c r="BB240" s="6">
        <v>2</v>
      </c>
      <c r="BC240" s="6">
        <f t="shared" si="52"/>
        <v>14</v>
      </c>
    </row>
    <row r="241" spans="1:55">
      <c r="A241" s="5">
        <v>396</v>
      </c>
      <c r="B241" s="5" t="s">
        <v>361</v>
      </c>
      <c r="C241" s="5" t="s">
        <v>384</v>
      </c>
      <c r="D241" s="5" t="s">
        <v>385</v>
      </c>
      <c r="E241" s="10">
        <f>+VLOOKUP(C241,'[1]Summary Table'!$C$2:$G$287,5,0)</f>
        <v>18</v>
      </c>
      <c r="F241" s="8">
        <f t="shared" si="51"/>
        <v>2</v>
      </c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>
        <v>2</v>
      </c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>
        <v>2</v>
      </c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>
        <v>2</v>
      </c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>
        <v>2</v>
      </c>
      <c r="BC241" s="6">
        <f t="shared" si="52"/>
        <v>8</v>
      </c>
    </row>
    <row r="242" spans="1:55">
      <c r="A242" s="5">
        <v>397</v>
      </c>
      <c r="B242" s="5" t="s">
        <v>361</v>
      </c>
      <c r="C242" s="5" t="s">
        <v>386</v>
      </c>
      <c r="D242" s="5" t="s">
        <v>385</v>
      </c>
      <c r="E242" s="10">
        <f>+VLOOKUP(C242,'[1]Summary Table'!$C$2:$G$287,5,0)</f>
        <v>18</v>
      </c>
      <c r="F242" s="8">
        <f t="shared" si="51"/>
        <v>2</v>
      </c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>
        <v>2</v>
      </c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>
        <v>2</v>
      </c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>
        <v>2</v>
      </c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>
        <v>2</v>
      </c>
      <c r="BC242" s="6">
        <f t="shared" si="52"/>
        <v>8</v>
      </c>
    </row>
    <row r="243" spans="1:55">
      <c r="A243" s="5">
        <v>398</v>
      </c>
      <c r="B243" s="5" t="s">
        <v>361</v>
      </c>
      <c r="C243" s="5" t="s">
        <v>387</v>
      </c>
      <c r="D243" s="5" t="s">
        <v>385</v>
      </c>
      <c r="E243" s="10">
        <f>+VLOOKUP(C243,'[1]Summary Table'!$C$2:$G$287,5,0)</f>
        <v>18</v>
      </c>
      <c r="F243" s="8">
        <f t="shared" si="51"/>
        <v>2</v>
      </c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>
        <v>2</v>
      </c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>
        <v>2</v>
      </c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>
        <v>2</v>
      </c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>
        <v>2</v>
      </c>
      <c r="BC243" s="6">
        <f t="shared" si="52"/>
        <v>8</v>
      </c>
    </row>
    <row r="244" spans="1:55">
      <c r="A244" s="5">
        <v>399</v>
      </c>
      <c r="B244" s="5" t="s">
        <v>361</v>
      </c>
      <c r="C244" s="5" t="s">
        <v>388</v>
      </c>
      <c r="D244" s="5" t="s">
        <v>385</v>
      </c>
      <c r="E244" s="10">
        <f>+VLOOKUP(C244,'[1]Summary Table'!$C$2:$G$287,5,0)</f>
        <v>18</v>
      </c>
      <c r="F244" s="8">
        <f t="shared" si="51"/>
        <v>2</v>
      </c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>
        <v>2</v>
      </c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>
        <v>2</v>
      </c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>
        <v>2</v>
      </c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>
        <v>2</v>
      </c>
      <c r="BC244" s="6">
        <f t="shared" si="52"/>
        <v>8</v>
      </c>
    </row>
    <row r="245" spans="1:55">
      <c r="A245" s="5">
        <v>400</v>
      </c>
      <c r="B245" s="5" t="s">
        <v>361</v>
      </c>
      <c r="C245" s="5" t="s">
        <v>389</v>
      </c>
      <c r="D245" s="5" t="s">
        <v>385</v>
      </c>
      <c r="E245" s="10">
        <f>+VLOOKUP(C245,'[1]Summary Table'!$C$2:$G$287,5,0)</f>
        <v>18</v>
      </c>
      <c r="F245" s="8">
        <f t="shared" si="51"/>
        <v>2</v>
      </c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>
        <v>2</v>
      </c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>
        <v>2</v>
      </c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>
        <v>2</v>
      </c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>
        <v>2</v>
      </c>
      <c r="BC245" s="6">
        <f t="shared" si="52"/>
        <v>8</v>
      </c>
    </row>
    <row r="246" spans="1:55">
      <c r="A246" s="5">
        <v>401</v>
      </c>
      <c r="B246" s="5" t="s">
        <v>361</v>
      </c>
      <c r="C246" s="5" t="s">
        <v>390</v>
      </c>
      <c r="D246" s="5" t="s">
        <v>385</v>
      </c>
      <c r="E246" s="10">
        <f>+VLOOKUP(C246,'[1]Summary Table'!$C$2:$G$287,5,0)</f>
        <v>18</v>
      </c>
      <c r="F246" s="8">
        <f t="shared" si="51"/>
        <v>2</v>
      </c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>
        <v>2</v>
      </c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>
        <v>2</v>
      </c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>
        <v>2</v>
      </c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>
        <v>2</v>
      </c>
      <c r="BC246" s="6">
        <f t="shared" si="52"/>
        <v>8</v>
      </c>
    </row>
    <row r="247" spans="1:55">
      <c r="A247" s="13">
        <v>402</v>
      </c>
      <c r="B247" s="13" t="s">
        <v>391</v>
      </c>
      <c r="C247" s="13"/>
      <c r="D247" s="13"/>
      <c r="E247" s="12"/>
      <c r="F247" s="11">
        <f t="shared" ref="F247:AK247" si="53">MAX(F248:F273)</f>
        <v>24</v>
      </c>
      <c r="G247" s="17">
        <f t="shared" si="53"/>
        <v>0</v>
      </c>
      <c r="H247" s="17">
        <f t="shared" si="53"/>
        <v>0</v>
      </c>
      <c r="I247" s="17">
        <f t="shared" si="53"/>
        <v>0</v>
      </c>
      <c r="J247" s="17">
        <f t="shared" si="53"/>
        <v>2</v>
      </c>
      <c r="K247" s="17">
        <f t="shared" si="53"/>
        <v>0</v>
      </c>
      <c r="L247" s="17">
        <f t="shared" si="53"/>
        <v>0</v>
      </c>
      <c r="M247" s="17">
        <f t="shared" si="53"/>
        <v>0</v>
      </c>
      <c r="N247" s="17">
        <f t="shared" si="53"/>
        <v>2</v>
      </c>
      <c r="O247" s="17">
        <f t="shared" si="53"/>
        <v>0</v>
      </c>
      <c r="P247" s="17">
        <f t="shared" si="53"/>
        <v>0</v>
      </c>
      <c r="Q247" s="17">
        <f t="shared" si="53"/>
        <v>0</v>
      </c>
      <c r="R247" s="17">
        <f t="shared" si="53"/>
        <v>6</v>
      </c>
      <c r="S247" s="17">
        <f t="shared" si="53"/>
        <v>0</v>
      </c>
      <c r="T247" s="17">
        <f t="shared" si="53"/>
        <v>0</v>
      </c>
      <c r="U247" s="17">
        <f t="shared" si="53"/>
        <v>0</v>
      </c>
      <c r="V247" s="17">
        <f t="shared" si="53"/>
        <v>2</v>
      </c>
      <c r="W247" s="17">
        <f t="shared" si="53"/>
        <v>0</v>
      </c>
      <c r="X247" s="17">
        <f t="shared" si="53"/>
        <v>0</v>
      </c>
      <c r="Y247" s="17">
        <f t="shared" si="53"/>
        <v>0</v>
      </c>
      <c r="Z247" s="17">
        <f t="shared" si="53"/>
        <v>2</v>
      </c>
      <c r="AA247" s="17">
        <f t="shared" si="53"/>
        <v>0</v>
      </c>
      <c r="AB247" s="17">
        <f t="shared" si="53"/>
        <v>0</v>
      </c>
      <c r="AC247" s="17">
        <f t="shared" si="53"/>
        <v>0</v>
      </c>
      <c r="AD247" s="17">
        <f t="shared" si="53"/>
        <v>12</v>
      </c>
      <c r="AE247" s="17">
        <f t="shared" si="53"/>
        <v>0</v>
      </c>
      <c r="AF247" s="17">
        <f t="shared" si="53"/>
        <v>0</v>
      </c>
      <c r="AG247" s="17">
        <f t="shared" si="53"/>
        <v>0</v>
      </c>
      <c r="AH247" s="17">
        <f t="shared" si="53"/>
        <v>2</v>
      </c>
      <c r="AI247" s="17">
        <f t="shared" si="53"/>
        <v>0</v>
      </c>
      <c r="AJ247" s="17">
        <f t="shared" si="53"/>
        <v>0</v>
      </c>
      <c r="AK247" s="17">
        <f t="shared" si="53"/>
        <v>0</v>
      </c>
      <c r="AL247" s="17">
        <f t="shared" ref="AL247:BC247" si="54">MAX(AL248:AL273)</f>
        <v>2</v>
      </c>
      <c r="AM247" s="17">
        <f t="shared" si="54"/>
        <v>0</v>
      </c>
      <c r="AN247" s="17">
        <f t="shared" si="54"/>
        <v>0</v>
      </c>
      <c r="AO247" s="17">
        <f t="shared" si="54"/>
        <v>0</v>
      </c>
      <c r="AP247" s="17">
        <f t="shared" si="54"/>
        <v>6</v>
      </c>
      <c r="AQ247" s="17">
        <f t="shared" si="54"/>
        <v>0</v>
      </c>
      <c r="AR247" s="17">
        <f t="shared" si="54"/>
        <v>0</v>
      </c>
      <c r="AS247" s="17">
        <f t="shared" si="54"/>
        <v>0</v>
      </c>
      <c r="AT247" s="17">
        <f t="shared" si="54"/>
        <v>2</v>
      </c>
      <c r="AU247" s="17">
        <f t="shared" si="54"/>
        <v>0</v>
      </c>
      <c r="AV247" s="17">
        <f t="shared" si="54"/>
        <v>0</v>
      </c>
      <c r="AW247" s="17">
        <f t="shared" si="54"/>
        <v>0</v>
      </c>
      <c r="AX247" s="17">
        <f t="shared" si="54"/>
        <v>2</v>
      </c>
      <c r="AY247" s="17">
        <f t="shared" si="54"/>
        <v>0</v>
      </c>
      <c r="AZ247" s="17">
        <f t="shared" si="54"/>
        <v>0</v>
      </c>
      <c r="BA247" s="17">
        <f t="shared" si="54"/>
        <v>0</v>
      </c>
      <c r="BB247" s="17">
        <f t="shared" si="54"/>
        <v>24</v>
      </c>
      <c r="BC247" s="17">
        <f t="shared" si="54"/>
        <v>32</v>
      </c>
    </row>
    <row r="248" spans="1:55">
      <c r="A248" s="5">
        <v>403</v>
      </c>
      <c r="B248" s="5" t="s">
        <v>391</v>
      </c>
      <c r="C248" s="5" t="s">
        <v>392</v>
      </c>
      <c r="D248" s="5" t="s">
        <v>393</v>
      </c>
      <c r="E248" s="9">
        <f>+VLOOKUP(C248,'[1]Summary Table'!$C$2:$G$287,5,0)</f>
        <v>8</v>
      </c>
      <c r="F248" s="8">
        <f t="shared" ref="F248:F263" si="55">+MAX(G248:BB248)</f>
        <v>2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>
        <v>2</v>
      </c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>
        <v>2</v>
      </c>
      <c r="BC248" s="6">
        <f t="shared" ref="BC248:BC263" si="56">+SUM(G248:BB248)</f>
        <v>4</v>
      </c>
    </row>
    <row r="249" spans="1:55">
      <c r="A249" s="5">
        <v>404</v>
      </c>
      <c r="B249" s="5" t="s">
        <v>391</v>
      </c>
      <c r="C249" s="5" t="s">
        <v>394</v>
      </c>
      <c r="D249" s="5" t="s">
        <v>395</v>
      </c>
      <c r="E249" s="9">
        <f>+VLOOKUP(C249,'[1]Summary Table'!$C$2:$G$287,5,0)</f>
        <v>42</v>
      </c>
      <c r="F249" s="8">
        <f t="shared" si="55"/>
        <v>12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>
        <v>12</v>
      </c>
      <c r="BC249" s="6">
        <f t="shared" si="56"/>
        <v>12</v>
      </c>
    </row>
    <row r="250" spans="1:55">
      <c r="A250" s="5">
        <v>405</v>
      </c>
      <c r="B250" s="5" t="s">
        <v>391</v>
      </c>
      <c r="C250" s="5" t="s">
        <v>396</v>
      </c>
      <c r="D250" s="5" t="s">
        <v>397</v>
      </c>
      <c r="E250" s="9">
        <f>+VLOOKUP(C250,'[1]Summary Table'!$C$2:$G$287,5,0)</f>
        <v>27</v>
      </c>
      <c r="F250" s="8">
        <f t="shared" si="55"/>
        <v>3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>
        <v>3</v>
      </c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>
        <v>3</v>
      </c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>
        <v>3</v>
      </c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>
        <v>3</v>
      </c>
      <c r="BC250" s="6">
        <f t="shared" si="56"/>
        <v>12</v>
      </c>
    </row>
    <row r="251" spans="1:55">
      <c r="A251" s="5">
        <v>406</v>
      </c>
      <c r="B251" s="5" t="s">
        <v>391</v>
      </c>
      <c r="C251" s="5" t="s">
        <v>398</v>
      </c>
      <c r="D251" s="5" t="s">
        <v>399</v>
      </c>
      <c r="E251" s="9">
        <f>+VLOOKUP(C251,'[1]Summary Table'!$C$2:$G$287,5,0)</f>
        <v>26</v>
      </c>
      <c r="F251" s="8">
        <f t="shared" si="55"/>
        <v>6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>
        <v>6</v>
      </c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>
        <v>6</v>
      </c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>
        <v>6</v>
      </c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>
        <v>6</v>
      </c>
      <c r="BC251" s="6">
        <f t="shared" si="56"/>
        <v>24</v>
      </c>
    </row>
    <row r="252" spans="1:55">
      <c r="A252" s="5">
        <v>407</v>
      </c>
      <c r="B252" s="5" t="s">
        <v>391</v>
      </c>
      <c r="C252" s="5" t="s">
        <v>400</v>
      </c>
      <c r="D252" s="5" t="s">
        <v>401</v>
      </c>
      <c r="E252" s="10">
        <f>+VLOOKUP(C252,'[1]Summary Table'!$C$2:$G$287,5,0)</f>
        <v>18</v>
      </c>
      <c r="F252" s="8">
        <f t="shared" si="55"/>
        <v>6</v>
      </c>
      <c r="G252" s="6"/>
      <c r="H252" s="6"/>
      <c r="I252" s="6"/>
      <c r="J252" s="6">
        <v>2</v>
      </c>
      <c r="K252" s="6"/>
      <c r="L252" s="6"/>
      <c r="M252" s="6"/>
      <c r="N252" s="6">
        <v>2</v>
      </c>
      <c r="O252" s="6"/>
      <c r="P252" s="6"/>
      <c r="Q252" s="6"/>
      <c r="R252" s="6">
        <v>2</v>
      </c>
      <c r="S252" s="6"/>
      <c r="T252" s="6"/>
      <c r="U252" s="6"/>
      <c r="V252" s="6">
        <v>2</v>
      </c>
      <c r="W252" s="6"/>
      <c r="X252" s="6"/>
      <c r="Y252" s="6"/>
      <c r="Z252" s="6">
        <v>2</v>
      </c>
      <c r="AA252" s="6"/>
      <c r="AB252" s="6"/>
      <c r="AC252" s="6"/>
      <c r="AD252" s="6">
        <v>6</v>
      </c>
      <c r="AE252" s="6"/>
      <c r="AF252" s="6"/>
      <c r="AG252" s="6"/>
      <c r="AH252" s="6">
        <v>2</v>
      </c>
      <c r="AI252" s="6"/>
      <c r="AJ252" s="6"/>
      <c r="AK252" s="6"/>
      <c r="AL252" s="6">
        <v>2</v>
      </c>
      <c r="AM252" s="6"/>
      <c r="AN252" s="6"/>
      <c r="AO252" s="6"/>
      <c r="AP252" s="6">
        <v>2</v>
      </c>
      <c r="AQ252" s="6"/>
      <c r="AR252" s="6"/>
      <c r="AS252" s="6"/>
      <c r="AT252" s="6">
        <v>2</v>
      </c>
      <c r="AU252" s="6"/>
      <c r="AV252" s="6"/>
      <c r="AW252" s="6"/>
      <c r="AX252" s="6">
        <v>2</v>
      </c>
      <c r="AY252" s="6"/>
      <c r="AZ252" s="6"/>
      <c r="BA252" s="6"/>
      <c r="BB252" s="6">
        <v>6</v>
      </c>
      <c r="BC252" s="6">
        <f t="shared" si="56"/>
        <v>32</v>
      </c>
    </row>
    <row r="253" spans="1:55">
      <c r="A253" s="5">
        <v>408</v>
      </c>
      <c r="B253" s="5" t="s">
        <v>391</v>
      </c>
      <c r="C253" s="5" t="s">
        <v>402</v>
      </c>
      <c r="D253" s="5" t="s">
        <v>403</v>
      </c>
      <c r="E253" s="9">
        <f>+VLOOKUP(C253,'[1]Summary Table'!$C$2:$G$287,5,0)</f>
        <v>27</v>
      </c>
      <c r="F253" s="8">
        <f t="shared" si="55"/>
        <v>3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>
        <v>3</v>
      </c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>
        <v>3</v>
      </c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>
        <v>3</v>
      </c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>
        <v>3</v>
      </c>
      <c r="BC253" s="6">
        <f t="shared" si="56"/>
        <v>12</v>
      </c>
    </row>
    <row r="254" spans="1:55">
      <c r="A254" s="5">
        <v>409</v>
      </c>
      <c r="B254" s="5" t="s">
        <v>391</v>
      </c>
      <c r="C254" s="5" t="s">
        <v>404</v>
      </c>
      <c r="D254" s="5" t="s">
        <v>405</v>
      </c>
      <c r="E254" s="10">
        <f>+VLOOKUP(C254,'[1]Summary Table'!$C$2:$G$287,5,0)</f>
        <v>18</v>
      </c>
      <c r="F254" s="8">
        <f t="shared" si="55"/>
        <v>2</v>
      </c>
      <c r="G254" s="6"/>
      <c r="H254" s="6"/>
      <c r="I254" s="6"/>
      <c r="J254" s="6">
        <v>1</v>
      </c>
      <c r="K254" s="6"/>
      <c r="L254" s="6"/>
      <c r="M254" s="6"/>
      <c r="N254" s="6">
        <v>1</v>
      </c>
      <c r="O254" s="6"/>
      <c r="P254" s="6"/>
      <c r="Q254" s="6"/>
      <c r="R254" s="6">
        <v>1</v>
      </c>
      <c r="S254" s="6"/>
      <c r="T254" s="6"/>
      <c r="U254" s="6"/>
      <c r="V254" s="6">
        <v>1</v>
      </c>
      <c r="W254" s="6"/>
      <c r="X254" s="6"/>
      <c r="Y254" s="6"/>
      <c r="Z254" s="6">
        <v>1</v>
      </c>
      <c r="AA254" s="6"/>
      <c r="AB254" s="6"/>
      <c r="AC254" s="6"/>
      <c r="AD254" s="6">
        <v>2</v>
      </c>
      <c r="AE254" s="6"/>
      <c r="AF254" s="6"/>
      <c r="AG254" s="6"/>
      <c r="AH254" s="6">
        <v>1</v>
      </c>
      <c r="AI254" s="6"/>
      <c r="AJ254" s="6"/>
      <c r="AK254" s="6"/>
      <c r="AL254" s="6">
        <v>1</v>
      </c>
      <c r="AM254" s="6"/>
      <c r="AN254" s="6"/>
      <c r="AO254" s="6"/>
      <c r="AP254" s="6">
        <v>1</v>
      </c>
      <c r="AQ254" s="6"/>
      <c r="AR254" s="6"/>
      <c r="AS254" s="6"/>
      <c r="AT254" s="6">
        <v>1</v>
      </c>
      <c r="AU254" s="6"/>
      <c r="AV254" s="6"/>
      <c r="AW254" s="6"/>
      <c r="AX254" s="6">
        <v>1</v>
      </c>
      <c r="AY254" s="6"/>
      <c r="AZ254" s="6"/>
      <c r="BA254" s="6"/>
      <c r="BB254" s="6">
        <v>2</v>
      </c>
      <c r="BC254" s="6">
        <f t="shared" si="56"/>
        <v>14</v>
      </c>
    </row>
    <row r="255" spans="1:55">
      <c r="A255" s="5">
        <v>410</v>
      </c>
      <c r="B255" s="5" t="s">
        <v>391</v>
      </c>
      <c r="C255" s="5" t="s">
        <v>406</v>
      </c>
      <c r="D255" s="5" t="s">
        <v>407</v>
      </c>
      <c r="E255" s="10">
        <f>+VLOOKUP(C255,'[1]Summary Table'!$C$2:$G$287,5,0)</f>
        <v>18</v>
      </c>
      <c r="F255" s="8">
        <f t="shared" si="55"/>
        <v>2</v>
      </c>
      <c r="G255" s="6"/>
      <c r="H255" s="6"/>
      <c r="I255" s="6"/>
      <c r="J255" s="6">
        <v>1</v>
      </c>
      <c r="K255" s="6"/>
      <c r="L255" s="6"/>
      <c r="M255" s="6"/>
      <c r="N255" s="6">
        <v>1</v>
      </c>
      <c r="O255" s="6"/>
      <c r="P255" s="6"/>
      <c r="Q255" s="6"/>
      <c r="R255" s="6">
        <v>1</v>
      </c>
      <c r="S255" s="6"/>
      <c r="T255" s="6"/>
      <c r="U255" s="6"/>
      <c r="V255" s="6">
        <v>1</v>
      </c>
      <c r="W255" s="6"/>
      <c r="X255" s="6"/>
      <c r="Y255" s="6"/>
      <c r="Z255" s="6">
        <v>1</v>
      </c>
      <c r="AA255" s="6"/>
      <c r="AB255" s="6"/>
      <c r="AC255" s="6"/>
      <c r="AD255" s="6">
        <v>2</v>
      </c>
      <c r="AE255" s="6"/>
      <c r="AF255" s="6"/>
      <c r="AG255" s="6"/>
      <c r="AH255" s="6">
        <v>1</v>
      </c>
      <c r="AI255" s="6"/>
      <c r="AJ255" s="6"/>
      <c r="AK255" s="6"/>
      <c r="AL255" s="6">
        <v>1</v>
      </c>
      <c r="AM255" s="6"/>
      <c r="AN255" s="6"/>
      <c r="AO255" s="6"/>
      <c r="AP255" s="6">
        <v>1</v>
      </c>
      <c r="AQ255" s="6"/>
      <c r="AR255" s="6"/>
      <c r="AS255" s="6"/>
      <c r="AT255" s="6">
        <v>1</v>
      </c>
      <c r="AU255" s="6"/>
      <c r="AV255" s="6"/>
      <c r="AW255" s="6"/>
      <c r="AX255" s="6">
        <v>1</v>
      </c>
      <c r="AY255" s="6"/>
      <c r="AZ255" s="6"/>
      <c r="BA255" s="6"/>
      <c r="BB255" s="6">
        <v>2</v>
      </c>
      <c r="BC255" s="6">
        <f t="shared" si="56"/>
        <v>14</v>
      </c>
    </row>
    <row r="256" spans="1:55">
      <c r="A256" s="5">
        <v>411</v>
      </c>
      <c r="B256" s="5" t="s">
        <v>391</v>
      </c>
      <c r="C256" s="5" t="s">
        <v>408</v>
      </c>
      <c r="D256" s="5" t="s">
        <v>409</v>
      </c>
      <c r="E256" s="9">
        <f>+VLOOKUP(C256,'[1]Summary Table'!$C$2:$G$287,5,0)</f>
        <v>8</v>
      </c>
      <c r="F256" s="8">
        <f t="shared" si="55"/>
        <v>2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>
        <v>2</v>
      </c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>
        <v>2</v>
      </c>
      <c r="BC256" s="6">
        <f t="shared" si="56"/>
        <v>4</v>
      </c>
    </row>
    <row r="257" spans="1:55">
      <c r="A257" s="5">
        <v>412</v>
      </c>
      <c r="B257" s="5" t="s">
        <v>391</v>
      </c>
      <c r="C257" s="5" t="s">
        <v>410</v>
      </c>
      <c r="D257" s="5" t="s">
        <v>411</v>
      </c>
      <c r="E257" s="9">
        <f>+VLOOKUP(C257,'[1]Summary Table'!$C$2:$G$287,5,0)</f>
        <v>44</v>
      </c>
      <c r="F257" s="8">
        <f t="shared" si="55"/>
        <v>24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>
        <v>24</v>
      </c>
      <c r="BC257" s="6">
        <f t="shared" si="56"/>
        <v>24</v>
      </c>
    </row>
    <row r="258" spans="1:55">
      <c r="A258" s="5">
        <v>413</v>
      </c>
      <c r="B258" s="5" t="s">
        <v>391</v>
      </c>
      <c r="C258" s="5" t="s">
        <v>412</v>
      </c>
      <c r="D258" s="5" t="s">
        <v>413</v>
      </c>
      <c r="E258" s="9">
        <f>+VLOOKUP(C258,'[1]Summary Table'!$C$2:$G$287,5,0)</f>
        <v>27</v>
      </c>
      <c r="F258" s="8">
        <f t="shared" si="55"/>
        <v>3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>
        <v>3</v>
      </c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>
        <v>3</v>
      </c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>
        <v>3</v>
      </c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>
        <v>3</v>
      </c>
      <c r="BC258" s="6">
        <f t="shared" si="56"/>
        <v>12</v>
      </c>
    </row>
    <row r="259" spans="1:55">
      <c r="A259" s="5">
        <v>414</v>
      </c>
      <c r="B259" s="5" t="s">
        <v>391</v>
      </c>
      <c r="C259" s="5" t="s">
        <v>414</v>
      </c>
      <c r="D259" s="5" t="s">
        <v>415</v>
      </c>
      <c r="E259" s="9">
        <f>+VLOOKUP(C259,'[1]Summary Table'!$C$2:$G$287,5,0)</f>
        <v>26</v>
      </c>
      <c r="F259" s="8">
        <f t="shared" si="55"/>
        <v>6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>
        <v>6</v>
      </c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>
        <v>6</v>
      </c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>
        <v>6</v>
      </c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>
        <v>6</v>
      </c>
      <c r="BC259" s="6">
        <f t="shared" si="56"/>
        <v>24</v>
      </c>
    </row>
    <row r="260" spans="1:55">
      <c r="A260" s="5">
        <v>415</v>
      </c>
      <c r="B260" s="5" t="s">
        <v>391</v>
      </c>
      <c r="C260" s="5" t="s">
        <v>416</v>
      </c>
      <c r="D260" s="5" t="s">
        <v>417</v>
      </c>
      <c r="E260" s="10">
        <f>+VLOOKUP(C260,'[1]Summary Table'!$C$2:$G$287,5,0)</f>
        <v>18</v>
      </c>
      <c r="F260" s="8">
        <f t="shared" si="55"/>
        <v>6</v>
      </c>
      <c r="G260" s="6"/>
      <c r="H260" s="6"/>
      <c r="I260" s="6"/>
      <c r="J260" s="6">
        <v>2</v>
      </c>
      <c r="K260" s="6"/>
      <c r="L260" s="6"/>
      <c r="M260" s="6"/>
      <c r="N260" s="6">
        <v>2</v>
      </c>
      <c r="O260" s="6"/>
      <c r="P260" s="6"/>
      <c r="Q260" s="6"/>
      <c r="R260" s="6">
        <v>2</v>
      </c>
      <c r="S260" s="6"/>
      <c r="T260" s="6"/>
      <c r="U260" s="6"/>
      <c r="V260" s="6">
        <v>2</v>
      </c>
      <c r="W260" s="6"/>
      <c r="X260" s="6"/>
      <c r="Y260" s="6"/>
      <c r="Z260" s="6">
        <v>2</v>
      </c>
      <c r="AA260" s="6"/>
      <c r="AB260" s="6"/>
      <c r="AC260" s="6"/>
      <c r="AD260" s="6">
        <v>6</v>
      </c>
      <c r="AE260" s="6"/>
      <c r="AF260" s="6"/>
      <c r="AG260" s="6"/>
      <c r="AH260" s="6">
        <v>2</v>
      </c>
      <c r="AI260" s="6"/>
      <c r="AJ260" s="6"/>
      <c r="AK260" s="6"/>
      <c r="AL260" s="6">
        <v>2</v>
      </c>
      <c r="AM260" s="6"/>
      <c r="AN260" s="6"/>
      <c r="AO260" s="6"/>
      <c r="AP260" s="6">
        <v>2</v>
      </c>
      <c r="AQ260" s="6"/>
      <c r="AR260" s="6"/>
      <c r="AS260" s="6"/>
      <c r="AT260" s="6">
        <v>2</v>
      </c>
      <c r="AU260" s="6"/>
      <c r="AV260" s="6"/>
      <c r="AW260" s="6"/>
      <c r="AX260" s="6">
        <v>2</v>
      </c>
      <c r="AY260" s="6"/>
      <c r="AZ260" s="6"/>
      <c r="BA260" s="6"/>
      <c r="BB260" s="6">
        <v>6</v>
      </c>
      <c r="BC260" s="6">
        <f t="shared" si="56"/>
        <v>32</v>
      </c>
    </row>
    <row r="261" spans="1:55">
      <c r="A261" s="5">
        <v>416</v>
      </c>
      <c r="B261" s="5" t="s">
        <v>391</v>
      </c>
      <c r="C261" s="5" t="s">
        <v>418</v>
      </c>
      <c r="D261" s="5" t="s">
        <v>419</v>
      </c>
      <c r="E261" s="9">
        <f>+VLOOKUP(C261,'[1]Summary Table'!$C$2:$G$287,5,0)</f>
        <v>27</v>
      </c>
      <c r="F261" s="8">
        <f t="shared" si="55"/>
        <v>3</v>
      </c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>
        <v>3</v>
      </c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>
        <v>3</v>
      </c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>
        <v>3</v>
      </c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>
        <v>3</v>
      </c>
      <c r="BC261" s="6">
        <f t="shared" si="56"/>
        <v>12</v>
      </c>
    </row>
    <row r="262" spans="1:55">
      <c r="A262" s="5">
        <v>417</v>
      </c>
      <c r="B262" s="5" t="s">
        <v>391</v>
      </c>
      <c r="C262" s="5" t="s">
        <v>420</v>
      </c>
      <c r="D262" s="5" t="s">
        <v>421</v>
      </c>
      <c r="E262" s="10">
        <f>+VLOOKUP(C262,'[1]Summary Table'!$C$2:$G$287,5,0)</f>
        <v>18</v>
      </c>
      <c r="F262" s="8">
        <f t="shared" si="55"/>
        <v>6</v>
      </c>
      <c r="G262" s="6"/>
      <c r="H262" s="6"/>
      <c r="I262" s="6"/>
      <c r="J262" s="6">
        <v>2</v>
      </c>
      <c r="K262" s="6"/>
      <c r="L262" s="6"/>
      <c r="M262" s="6"/>
      <c r="N262" s="6">
        <v>2</v>
      </c>
      <c r="O262" s="6"/>
      <c r="P262" s="6"/>
      <c r="Q262" s="6"/>
      <c r="R262" s="6">
        <v>2</v>
      </c>
      <c r="S262" s="6"/>
      <c r="T262" s="6"/>
      <c r="U262" s="6"/>
      <c r="V262" s="6">
        <v>2</v>
      </c>
      <c r="W262" s="6"/>
      <c r="X262" s="6"/>
      <c r="Y262" s="6"/>
      <c r="Z262" s="6">
        <v>2</v>
      </c>
      <c r="AA262" s="6"/>
      <c r="AB262" s="6"/>
      <c r="AC262" s="6"/>
      <c r="AD262" s="6">
        <v>6</v>
      </c>
      <c r="AE262" s="6"/>
      <c r="AF262" s="6"/>
      <c r="AG262" s="6"/>
      <c r="AH262" s="6">
        <v>2</v>
      </c>
      <c r="AI262" s="6"/>
      <c r="AJ262" s="6"/>
      <c r="AK262" s="6"/>
      <c r="AL262" s="6">
        <v>2</v>
      </c>
      <c r="AM262" s="6"/>
      <c r="AN262" s="6"/>
      <c r="AO262" s="6"/>
      <c r="AP262" s="6">
        <v>2</v>
      </c>
      <c r="AQ262" s="6"/>
      <c r="AR262" s="6"/>
      <c r="AS262" s="6"/>
      <c r="AT262" s="6">
        <v>2</v>
      </c>
      <c r="AU262" s="6"/>
      <c r="AV262" s="6"/>
      <c r="AW262" s="6"/>
      <c r="AX262" s="6">
        <v>2</v>
      </c>
      <c r="AY262" s="6"/>
      <c r="AZ262" s="6"/>
      <c r="BA262" s="6"/>
      <c r="BB262" s="6">
        <v>6</v>
      </c>
      <c r="BC262" s="6">
        <f t="shared" si="56"/>
        <v>32</v>
      </c>
    </row>
    <row r="263" spans="1:55">
      <c r="A263" s="5">
        <v>418</v>
      </c>
      <c r="B263" s="5" t="s">
        <v>391</v>
      </c>
      <c r="C263" s="5" t="s">
        <v>422</v>
      </c>
      <c r="D263" s="5" t="s">
        <v>423</v>
      </c>
      <c r="E263" s="10">
        <f>+VLOOKUP(C263,'[1]Summary Table'!$C$2:$G$287,5,0)</f>
        <v>18</v>
      </c>
      <c r="F263" s="8">
        <f t="shared" si="55"/>
        <v>6</v>
      </c>
      <c r="G263" s="6"/>
      <c r="H263" s="6"/>
      <c r="I263" s="6"/>
      <c r="J263" s="6">
        <v>2</v>
      </c>
      <c r="K263" s="6"/>
      <c r="L263" s="6"/>
      <c r="M263" s="6"/>
      <c r="N263" s="6">
        <v>2</v>
      </c>
      <c r="O263" s="6"/>
      <c r="P263" s="6"/>
      <c r="Q263" s="6"/>
      <c r="R263" s="6">
        <v>2</v>
      </c>
      <c r="S263" s="6"/>
      <c r="T263" s="6"/>
      <c r="U263" s="6"/>
      <c r="V263" s="6">
        <v>2</v>
      </c>
      <c r="W263" s="6"/>
      <c r="X263" s="6"/>
      <c r="Y263" s="6"/>
      <c r="Z263" s="6">
        <v>2</v>
      </c>
      <c r="AA263" s="6"/>
      <c r="AB263" s="6"/>
      <c r="AC263" s="6"/>
      <c r="AD263" s="6">
        <v>6</v>
      </c>
      <c r="AE263" s="6"/>
      <c r="AF263" s="6"/>
      <c r="AG263" s="6"/>
      <c r="AH263" s="6">
        <v>2</v>
      </c>
      <c r="AI263" s="6"/>
      <c r="AJ263" s="6"/>
      <c r="AK263" s="6"/>
      <c r="AL263" s="6">
        <v>2</v>
      </c>
      <c r="AM263" s="6"/>
      <c r="AN263" s="6"/>
      <c r="AO263" s="6"/>
      <c r="AP263" s="6">
        <v>2</v>
      </c>
      <c r="AQ263" s="6"/>
      <c r="AR263" s="6"/>
      <c r="AS263" s="6"/>
      <c r="AT263" s="6">
        <v>2</v>
      </c>
      <c r="AU263" s="6"/>
      <c r="AV263" s="6"/>
      <c r="AW263" s="6"/>
      <c r="AX263" s="6">
        <v>2</v>
      </c>
      <c r="AY263" s="6"/>
      <c r="AZ263" s="6"/>
      <c r="BA263" s="6"/>
      <c r="BB263" s="6">
        <v>6</v>
      </c>
      <c r="BC263" s="6">
        <f t="shared" si="56"/>
        <v>32</v>
      </c>
    </row>
    <row r="264" spans="1:55">
      <c r="A264" s="13">
        <v>435</v>
      </c>
      <c r="B264" s="13" t="s">
        <v>424</v>
      </c>
      <c r="C264" s="13"/>
      <c r="D264" s="13"/>
      <c r="E264" s="12"/>
      <c r="F264" s="11">
        <f t="shared" ref="F264:AK264" si="57">MAX(F265:F273)</f>
        <v>12</v>
      </c>
      <c r="G264" s="17">
        <f t="shared" si="57"/>
        <v>0</v>
      </c>
      <c r="H264" s="17">
        <f t="shared" si="57"/>
        <v>0</v>
      </c>
      <c r="I264" s="17">
        <f t="shared" si="57"/>
        <v>0</v>
      </c>
      <c r="J264" s="17">
        <f t="shared" si="57"/>
        <v>0</v>
      </c>
      <c r="K264" s="17">
        <f t="shared" si="57"/>
        <v>0</v>
      </c>
      <c r="L264" s="17">
        <f t="shared" si="57"/>
        <v>0</v>
      </c>
      <c r="M264" s="17">
        <f t="shared" si="57"/>
        <v>0</v>
      </c>
      <c r="N264" s="17">
        <f t="shared" si="57"/>
        <v>0</v>
      </c>
      <c r="O264" s="17">
        <f t="shared" si="57"/>
        <v>0</v>
      </c>
      <c r="P264" s="17">
        <f t="shared" si="57"/>
        <v>0</v>
      </c>
      <c r="Q264" s="17">
        <f t="shared" si="57"/>
        <v>0</v>
      </c>
      <c r="R264" s="17">
        <f t="shared" si="57"/>
        <v>0</v>
      </c>
      <c r="S264" s="17">
        <f t="shared" si="57"/>
        <v>0</v>
      </c>
      <c r="T264" s="17">
        <f t="shared" si="57"/>
        <v>0</v>
      </c>
      <c r="U264" s="17">
        <f t="shared" si="57"/>
        <v>0</v>
      </c>
      <c r="V264" s="17">
        <f t="shared" si="57"/>
        <v>0</v>
      </c>
      <c r="W264" s="17">
        <f t="shared" si="57"/>
        <v>0</v>
      </c>
      <c r="X264" s="17">
        <f t="shared" si="57"/>
        <v>0</v>
      </c>
      <c r="Y264" s="17">
        <f t="shared" si="57"/>
        <v>0</v>
      </c>
      <c r="Z264" s="17">
        <f t="shared" si="57"/>
        <v>0</v>
      </c>
      <c r="AA264" s="17">
        <f t="shared" si="57"/>
        <v>0</v>
      </c>
      <c r="AB264" s="17">
        <f t="shared" si="57"/>
        <v>0</v>
      </c>
      <c r="AC264" s="17">
        <f t="shared" si="57"/>
        <v>0</v>
      </c>
      <c r="AD264" s="17">
        <f t="shared" si="57"/>
        <v>12</v>
      </c>
      <c r="AE264" s="17">
        <f t="shared" si="57"/>
        <v>0</v>
      </c>
      <c r="AF264" s="17">
        <f t="shared" si="57"/>
        <v>0</v>
      </c>
      <c r="AG264" s="17">
        <f t="shared" si="57"/>
        <v>0</v>
      </c>
      <c r="AH264" s="17">
        <f t="shared" si="57"/>
        <v>0</v>
      </c>
      <c r="AI264" s="17">
        <f t="shared" si="57"/>
        <v>0</v>
      </c>
      <c r="AJ264" s="17">
        <f t="shared" si="57"/>
        <v>0</v>
      </c>
      <c r="AK264" s="17">
        <f t="shared" si="57"/>
        <v>0</v>
      </c>
      <c r="AL264" s="17">
        <f t="shared" ref="AL264:BC264" si="58">MAX(AL265:AL273)</f>
        <v>0</v>
      </c>
      <c r="AM264" s="17">
        <f t="shared" si="58"/>
        <v>0</v>
      </c>
      <c r="AN264" s="17">
        <f t="shared" si="58"/>
        <v>0</v>
      </c>
      <c r="AO264" s="17">
        <f t="shared" si="58"/>
        <v>0</v>
      </c>
      <c r="AP264" s="17">
        <f t="shared" si="58"/>
        <v>0</v>
      </c>
      <c r="AQ264" s="17">
        <f t="shared" si="58"/>
        <v>0</v>
      </c>
      <c r="AR264" s="17">
        <f t="shared" si="58"/>
        <v>0</v>
      </c>
      <c r="AS264" s="17">
        <f t="shared" si="58"/>
        <v>0</v>
      </c>
      <c r="AT264" s="17">
        <f t="shared" si="58"/>
        <v>0</v>
      </c>
      <c r="AU264" s="17">
        <f t="shared" si="58"/>
        <v>0</v>
      </c>
      <c r="AV264" s="17">
        <f t="shared" si="58"/>
        <v>0</v>
      </c>
      <c r="AW264" s="17">
        <f t="shared" si="58"/>
        <v>0</v>
      </c>
      <c r="AX264" s="17">
        <f t="shared" si="58"/>
        <v>0</v>
      </c>
      <c r="AY264" s="17">
        <f t="shared" si="58"/>
        <v>0</v>
      </c>
      <c r="AZ264" s="17">
        <f t="shared" si="58"/>
        <v>0</v>
      </c>
      <c r="BA264" s="17">
        <f t="shared" si="58"/>
        <v>0</v>
      </c>
      <c r="BB264" s="17">
        <f t="shared" si="58"/>
        <v>12</v>
      </c>
      <c r="BC264" s="17">
        <f t="shared" si="58"/>
        <v>24</v>
      </c>
    </row>
    <row r="265" spans="1:55">
      <c r="A265" s="5">
        <v>436</v>
      </c>
      <c r="B265" s="5" t="s">
        <v>424</v>
      </c>
      <c r="C265" s="5" t="s">
        <v>425</v>
      </c>
      <c r="D265" s="5" t="s">
        <v>426</v>
      </c>
      <c r="E265" s="9">
        <f>+VLOOKUP(C265,'[1]Summary Table'!$C$2:$G$287,5,0)</f>
        <v>32</v>
      </c>
      <c r="F265" s="8">
        <f t="shared" ref="F265:F273" si="59">+MAX(G265:BB265)</f>
        <v>5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>
        <v>5</v>
      </c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>
        <v>5</v>
      </c>
      <c r="BC265" s="6">
        <f t="shared" ref="BC265:BC273" si="60">+SUM(G265:BB265)</f>
        <v>10</v>
      </c>
    </row>
    <row r="266" spans="1:55">
      <c r="A266" s="5">
        <v>437</v>
      </c>
      <c r="B266" s="5" t="s">
        <v>424</v>
      </c>
      <c r="C266" s="5" t="s">
        <v>427</v>
      </c>
      <c r="D266" s="5" t="s">
        <v>428</v>
      </c>
      <c r="E266" s="9">
        <f>+VLOOKUP(C266,'[1]Summary Table'!$C$2:$G$287,5,0)</f>
        <v>38</v>
      </c>
      <c r="F266" s="8">
        <f t="shared" si="59"/>
        <v>12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>
        <v>12</v>
      </c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>
        <v>12</v>
      </c>
      <c r="BC266" s="6">
        <f t="shared" si="60"/>
        <v>24</v>
      </c>
    </row>
    <row r="267" spans="1:55">
      <c r="A267" s="5">
        <v>438</v>
      </c>
      <c r="B267" s="5" t="s">
        <v>424</v>
      </c>
      <c r="C267" s="5" t="s">
        <v>429</v>
      </c>
      <c r="D267" s="5" t="s">
        <v>309</v>
      </c>
      <c r="E267" s="9">
        <f>+VLOOKUP(C267,'[1]Summary Table'!$C$2:$G$287,5,0)</f>
        <v>33</v>
      </c>
      <c r="F267" s="8">
        <f t="shared" si="59"/>
        <v>4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>
        <v>4</v>
      </c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>
        <v>4</v>
      </c>
      <c r="BC267" s="6">
        <f t="shared" si="60"/>
        <v>8</v>
      </c>
    </row>
    <row r="268" spans="1:55">
      <c r="A268" s="5">
        <v>439</v>
      </c>
      <c r="B268" s="5" t="s">
        <v>424</v>
      </c>
      <c r="C268" s="5" t="s">
        <v>430</v>
      </c>
      <c r="D268" s="5" t="s">
        <v>431</v>
      </c>
      <c r="E268" s="9">
        <f>+VLOOKUP(C268,'[1]Summary Table'!$C$2:$G$287,5,0)</f>
        <v>34</v>
      </c>
      <c r="F268" s="8">
        <f t="shared" si="59"/>
        <v>4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>
        <v>4</v>
      </c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>
        <v>4</v>
      </c>
      <c r="BC268" s="6">
        <f t="shared" si="60"/>
        <v>8</v>
      </c>
    </row>
    <row r="269" spans="1:55">
      <c r="A269" s="5">
        <v>440</v>
      </c>
      <c r="B269" s="5" t="s">
        <v>424</v>
      </c>
      <c r="C269" s="5" t="s">
        <v>432</v>
      </c>
      <c r="D269" s="5" t="s">
        <v>433</v>
      </c>
      <c r="E269" s="9">
        <f>+VLOOKUP(C269,'[1]Summary Table'!$C$2:$G$287,5,0)</f>
        <v>34</v>
      </c>
      <c r="F269" s="8">
        <f t="shared" si="59"/>
        <v>4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>
        <v>4</v>
      </c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>
        <v>4</v>
      </c>
      <c r="BC269" s="6">
        <f t="shared" si="60"/>
        <v>8</v>
      </c>
    </row>
    <row r="270" spans="1:55">
      <c r="A270" s="5">
        <v>441</v>
      </c>
      <c r="B270" s="5" t="s">
        <v>424</v>
      </c>
      <c r="C270" s="5" t="s">
        <v>434</v>
      </c>
      <c r="D270" s="5" t="s">
        <v>435</v>
      </c>
      <c r="E270" s="9">
        <f>+VLOOKUP(C270,'[1]Summary Table'!$C$2:$G$287,5,0)</f>
        <v>34</v>
      </c>
      <c r="F270" s="8">
        <f t="shared" si="59"/>
        <v>4</v>
      </c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6">
        <v>4</v>
      </c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6">
        <v>4</v>
      </c>
      <c r="BC270" s="6">
        <f t="shared" si="60"/>
        <v>8</v>
      </c>
    </row>
    <row r="271" spans="1:55">
      <c r="A271" s="5">
        <v>442</v>
      </c>
      <c r="B271" s="5" t="s">
        <v>424</v>
      </c>
      <c r="C271" s="5" t="s">
        <v>436</v>
      </c>
      <c r="D271" s="5" t="s">
        <v>435</v>
      </c>
      <c r="E271" s="9">
        <f>+VLOOKUP(C271,'[1]Summary Table'!$C$2:$G$287,5,0)</f>
        <v>34</v>
      </c>
      <c r="F271" s="8">
        <f t="shared" si="59"/>
        <v>4</v>
      </c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6">
        <v>4</v>
      </c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6">
        <v>4</v>
      </c>
      <c r="BC271" s="6">
        <f t="shared" si="60"/>
        <v>8</v>
      </c>
    </row>
    <row r="272" spans="1:55">
      <c r="A272" s="5">
        <v>443</v>
      </c>
      <c r="B272" s="5" t="s">
        <v>424</v>
      </c>
      <c r="C272" s="5" t="s">
        <v>437</v>
      </c>
      <c r="D272" s="5" t="s">
        <v>438</v>
      </c>
      <c r="E272" s="9">
        <f>+VLOOKUP(C272,'[1]Summary Table'!$C$2:$G$287,5,0)</f>
        <v>34</v>
      </c>
      <c r="F272" s="8">
        <f t="shared" si="59"/>
        <v>4</v>
      </c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>
        <v>4</v>
      </c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>
        <v>4</v>
      </c>
      <c r="BC272" s="6">
        <f t="shared" si="60"/>
        <v>8</v>
      </c>
    </row>
    <row r="273" spans="1:55">
      <c r="A273" s="5">
        <v>444</v>
      </c>
      <c r="B273" s="5" t="s">
        <v>424</v>
      </c>
      <c r="C273" s="5" t="s">
        <v>439</v>
      </c>
      <c r="D273" s="5" t="s">
        <v>440</v>
      </c>
      <c r="E273" s="9">
        <f>+VLOOKUP(C273,'[1]Summary Table'!$C$2:$G$287,5,0)</f>
        <v>38</v>
      </c>
      <c r="F273" s="8">
        <f t="shared" si="59"/>
        <v>12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>
        <v>12</v>
      </c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>
        <v>12</v>
      </c>
      <c r="BC273" s="6">
        <f t="shared" si="60"/>
        <v>24</v>
      </c>
    </row>
    <row r="274" spans="1:55">
      <c r="A274" s="13">
        <v>514</v>
      </c>
      <c r="B274" s="13" t="s">
        <v>441</v>
      </c>
      <c r="C274" s="13"/>
      <c r="D274" s="13"/>
      <c r="E274" s="12"/>
      <c r="F274" s="11">
        <f t="shared" ref="F274:AK274" si="61">MAX(F275:F285)</f>
        <v>5</v>
      </c>
      <c r="G274" s="11">
        <f t="shared" si="61"/>
        <v>0</v>
      </c>
      <c r="H274" s="11">
        <f t="shared" si="61"/>
        <v>0</v>
      </c>
      <c r="I274" s="11">
        <f t="shared" si="61"/>
        <v>0</v>
      </c>
      <c r="J274" s="11">
        <f t="shared" si="61"/>
        <v>2</v>
      </c>
      <c r="K274" s="11">
        <f t="shared" si="61"/>
        <v>0</v>
      </c>
      <c r="L274" s="11">
        <f t="shared" si="61"/>
        <v>0</v>
      </c>
      <c r="M274" s="11">
        <f t="shared" si="61"/>
        <v>0</v>
      </c>
      <c r="N274" s="11">
        <f t="shared" si="61"/>
        <v>2</v>
      </c>
      <c r="O274" s="11">
        <f t="shared" si="61"/>
        <v>0</v>
      </c>
      <c r="P274" s="11">
        <f t="shared" si="61"/>
        <v>1</v>
      </c>
      <c r="Q274" s="11">
        <f t="shared" si="61"/>
        <v>0</v>
      </c>
      <c r="R274" s="11">
        <f t="shared" si="61"/>
        <v>3</v>
      </c>
      <c r="S274" s="11">
        <f t="shared" si="61"/>
        <v>0</v>
      </c>
      <c r="T274" s="11">
        <f t="shared" si="61"/>
        <v>0</v>
      </c>
      <c r="U274" s="11">
        <f t="shared" si="61"/>
        <v>0</v>
      </c>
      <c r="V274" s="11">
        <f t="shared" si="61"/>
        <v>2</v>
      </c>
      <c r="W274" s="11">
        <f t="shared" si="61"/>
        <v>0</v>
      </c>
      <c r="X274" s="11">
        <f t="shared" si="61"/>
        <v>0</v>
      </c>
      <c r="Y274" s="11">
        <f t="shared" si="61"/>
        <v>0</v>
      </c>
      <c r="Z274" s="11">
        <f t="shared" si="61"/>
        <v>2</v>
      </c>
      <c r="AA274" s="11">
        <f t="shared" si="61"/>
        <v>0</v>
      </c>
      <c r="AB274" s="11">
        <f t="shared" si="61"/>
        <v>1</v>
      </c>
      <c r="AC274" s="11">
        <f t="shared" si="61"/>
        <v>0</v>
      </c>
      <c r="AD274" s="11">
        <f t="shared" si="61"/>
        <v>5</v>
      </c>
      <c r="AE274" s="11">
        <f t="shared" si="61"/>
        <v>0</v>
      </c>
      <c r="AF274" s="11">
        <f t="shared" si="61"/>
        <v>0</v>
      </c>
      <c r="AG274" s="11">
        <f t="shared" si="61"/>
        <v>0</v>
      </c>
      <c r="AH274" s="11">
        <f t="shared" si="61"/>
        <v>2</v>
      </c>
      <c r="AI274" s="11">
        <f t="shared" si="61"/>
        <v>0</v>
      </c>
      <c r="AJ274" s="11">
        <f t="shared" si="61"/>
        <v>0</v>
      </c>
      <c r="AK274" s="11">
        <f t="shared" si="61"/>
        <v>0</v>
      </c>
      <c r="AL274" s="11">
        <f t="shared" ref="AL274:BC274" si="62">MAX(AL275:AL285)</f>
        <v>2</v>
      </c>
      <c r="AM274" s="11">
        <f t="shared" si="62"/>
        <v>0</v>
      </c>
      <c r="AN274" s="11">
        <f t="shared" si="62"/>
        <v>1</v>
      </c>
      <c r="AO274" s="11">
        <f t="shared" si="62"/>
        <v>0</v>
      </c>
      <c r="AP274" s="11">
        <f t="shared" si="62"/>
        <v>3</v>
      </c>
      <c r="AQ274" s="11">
        <f t="shared" si="62"/>
        <v>0</v>
      </c>
      <c r="AR274" s="11">
        <f t="shared" si="62"/>
        <v>0</v>
      </c>
      <c r="AS274" s="11">
        <f t="shared" si="62"/>
        <v>0</v>
      </c>
      <c r="AT274" s="11">
        <f t="shared" si="62"/>
        <v>2</v>
      </c>
      <c r="AU274" s="11">
        <f t="shared" si="62"/>
        <v>0</v>
      </c>
      <c r="AV274" s="11">
        <f t="shared" si="62"/>
        <v>0</v>
      </c>
      <c r="AW274" s="11">
        <f t="shared" si="62"/>
        <v>0</v>
      </c>
      <c r="AX274" s="11">
        <f t="shared" si="62"/>
        <v>2</v>
      </c>
      <c r="AY274" s="11">
        <f t="shared" si="62"/>
        <v>0</v>
      </c>
      <c r="AZ274" s="11">
        <f t="shared" si="62"/>
        <v>1</v>
      </c>
      <c r="BA274" s="11">
        <f t="shared" si="62"/>
        <v>0</v>
      </c>
      <c r="BB274" s="11">
        <f t="shared" si="62"/>
        <v>5</v>
      </c>
      <c r="BC274" s="11">
        <f t="shared" si="62"/>
        <v>30</v>
      </c>
    </row>
    <row r="275" spans="1:55">
      <c r="A275" s="5">
        <v>515</v>
      </c>
      <c r="B275" s="5" t="s">
        <v>441</v>
      </c>
      <c r="C275" s="5" t="s">
        <v>442</v>
      </c>
      <c r="D275" s="5" t="s">
        <v>443</v>
      </c>
      <c r="E275" s="10">
        <f>+VLOOKUP(C275,'[1]Summary Table'!$C$2:$G$287,5,0)</f>
        <v>40</v>
      </c>
      <c r="F275" s="8">
        <f t="shared" ref="F275:F285" si="63">+MAX(G275:BB275)</f>
        <v>1</v>
      </c>
      <c r="G275" s="6"/>
      <c r="H275" s="6"/>
      <c r="I275" s="6"/>
      <c r="J275" s="6"/>
      <c r="K275" s="6"/>
      <c r="L275" s="6"/>
      <c r="M275" s="6"/>
      <c r="N275" s="6"/>
      <c r="O275" s="6"/>
      <c r="P275" s="6">
        <v>1</v>
      </c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>
        <v>1</v>
      </c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>
        <v>1</v>
      </c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>
        <v>1</v>
      </c>
      <c r="BA275" s="6"/>
      <c r="BB275" s="6"/>
      <c r="BC275" s="6">
        <f t="shared" ref="BC275:BC285" si="64">+SUM(G275:BB275)</f>
        <v>4</v>
      </c>
    </row>
    <row r="276" spans="1:55">
      <c r="A276" s="5">
        <v>516</v>
      </c>
      <c r="B276" s="5" t="s">
        <v>441</v>
      </c>
      <c r="C276" s="5" t="s">
        <v>444</v>
      </c>
      <c r="D276" s="5" t="s">
        <v>443</v>
      </c>
      <c r="E276" s="10">
        <f>+VLOOKUP(C276,'[1]Summary Table'!$C$2:$G$287,5,0)</f>
        <v>40</v>
      </c>
      <c r="F276" s="8">
        <f t="shared" si="63"/>
        <v>1</v>
      </c>
      <c r="G276" s="6"/>
      <c r="H276" s="6"/>
      <c r="I276" s="6"/>
      <c r="J276" s="6"/>
      <c r="K276" s="6"/>
      <c r="L276" s="6"/>
      <c r="M276" s="6"/>
      <c r="N276" s="6"/>
      <c r="O276" s="6"/>
      <c r="P276" s="6">
        <v>1</v>
      </c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>
        <v>1</v>
      </c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>
        <v>1</v>
      </c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>
        <v>1</v>
      </c>
      <c r="BA276" s="6"/>
      <c r="BB276" s="6"/>
      <c r="BC276" s="6">
        <f t="shared" si="64"/>
        <v>4</v>
      </c>
    </row>
    <row r="277" spans="1:55">
      <c r="A277" s="5">
        <v>517</v>
      </c>
      <c r="B277" s="5" t="s">
        <v>441</v>
      </c>
      <c r="C277" s="5" t="s">
        <v>445</v>
      </c>
      <c r="D277" s="5" t="s">
        <v>446</v>
      </c>
      <c r="E277" s="9">
        <f>+VLOOKUP(C277,'[1]Summary Table'!$C$2:$G$287,5,0)</f>
        <v>25</v>
      </c>
      <c r="F277" s="8">
        <f t="shared" si="63"/>
        <v>2</v>
      </c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>
        <v>2</v>
      </c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>
        <v>2</v>
      </c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>
        <v>2</v>
      </c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>
        <v>2</v>
      </c>
      <c r="BC277" s="6">
        <f t="shared" si="64"/>
        <v>8</v>
      </c>
    </row>
    <row r="278" spans="1:55">
      <c r="A278" s="5">
        <v>518</v>
      </c>
      <c r="B278" s="5" t="s">
        <v>441</v>
      </c>
      <c r="C278" s="5" t="s">
        <v>447</v>
      </c>
      <c r="D278" s="5" t="s">
        <v>446</v>
      </c>
      <c r="E278" s="9">
        <f>+VLOOKUP(C278,'[1]Summary Table'!$C$2:$G$287,5,0)</f>
        <v>25</v>
      </c>
      <c r="F278" s="8">
        <f t="shared" si="63"/>
        <v>2</v>
      </c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>
        <v>2</v>
      </c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>
        <v>2</v>
      </c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>
        <v>2</v>
      </c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>
        <v>2</v>
      </c>
      <c r="BC278" s="6">
        <f t="shared" si="64"/>
        <v>8</v>
      </c>
    </row>
    <row r="279" spans="1:55">
      <c r="A279" s="5">
        <v>519</v>
      </c>
      <c r="B279" s="5" t="s">
        <v>441</v>
      </c>
      <c r="C279" s="5" t="s">
        <v>448</v>
      </c>
      <c r="D279" s="5" t="s">
        <v>449</v>
      </c>
      <c r="E279" s="9">
        <f>+VLOOKUP(C279,'[1]Summary Table'!$C$2:$G$287,5,0)</f>
        <v>27</v>
      </c>
      <c r="F279" s="8">
        <f t="shared" si="63"/>
        <v>3</v>
      </c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>
        <v>3</v>
      </c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>
        <v>3</v>
      </c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>
        <v>3</v>
      </c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>
        <v>3</v>
      </c>
      <c r="BC279" s="6">
        <f t="shared" si="64"/>
        <v>12</v>
      </c>
    </row>
    <row r="280" spans="1:55">
      <c r="A280" s="5">
        <v>520</v>
      </c>
      <c r="B280" s="5" t="s">
        <v>441</v>
      </c>
      <c r="C280" s="5" t="s">
        <v>450</v>
      </c>
      <c r="D280" s="5" t="s">
        <v>451</v>
      </c>
      <c r="E280" s="10">
        <f>+VLOOKUP(C280,'[1]Summary Table'!$C$2:$G$287,5,0)</f>
        <v>40</v>
      </c>
      <c r="F280" s="8">
        <f t="shared" si="63"/>
        <v>5</v>
      </c>
      <c r="G280" s="6"/>
      <c r="H280" s="6"/>
      <c r="I280" s="6"/>
      <c r="J280" s="6">
        <v>2</v>
      </c>
      <c r="K280" s="6"/>
      <c r="L280" s="6"/>
      <c r="M280" s="6"/>
      <c r="N280" s="6">
        <v>2</v>
      </c>
      <c r="O280" s="6"/>
      <c r="P280" s="6"/>
      <c r="Q280" s="6"/>
      <c r="R280" s="6">
        <v>2</v>
      </c>
      <c r="S280" s="6"/>
      <c r="T280" s="6"/>
      <c r="U280" s="6"/>
      <c r="V280" s="6">
        <v>2</v>
      </c>
      <c r="W280" s="6"/>
      <c r="X280" s="6"/>
      <c r="Y280" s="6"/>
      <c r="Z280" s="6">
        <v>2</v>
      </c>
      <c r="AA280" s="6"/>
      <c r="AB280" s="6"/>
      <c r="AC280" s="6"/>
      <c r="AD280" s="6">
        <v>5</v>
      </c>
      <c r="AE280" s="6"/>
      <c r="AF280" s="6"/>
      <c r="AG280" s="6"/>
      <c r="AH280" s="6">
        <v>2</v>
      </c>
      <c r="AI280" s="6"/>
      <c r="AJ280" s="6"/>
      <c r="AK280" s="6"/>
      <c r="AL280" s="6">
        <v>2</v>
      </c>
      <c r="AM280" s="6"/>
      <c r="AN280" s="6"/>
      <c r="AO280" s="6"/>
      <c r="AP280" s="6">
        <v>2</v>
      </c>
      <c r="AQ280" s="6"/>
      <c r="AR280" s="6"/>
      <c r="AS280" s="6"/>
      <c r="AT280" s="6">
        <v>2</v>
      </c>
      <c r="AU280" s="6"/>
      <c r="AV280" s="6"/>
      <c r="AW280" s="6"/>
      <c r="AX280" s="6">
        <v>2</v>
      </c>
      <c r="AY280" s="6"/>
      <c r="AZ280" s="6"/>
      <c r="BA280" s="6"/>
      <c r="BB280" s="6">
        <v>5</v>
      </c>
      <c r="BC280" s="6">
        <f t="shared" si="64"/>
        <v>30</v>
      </c>
    </row>
    <row r="281" spans="1:55">
      <c r="A281" s="5">
        <v>521</v>
      </c>
      <c r="B281" s="5" t="s">
        <v>441</v>
      </c>
      <c r="C281" s="5" t="s">
        <v>452</v>
      </c>
      <c r="D281" s="5" t="s">
        <v>451</v>
      </c>
      <c r="E281" s="10">
        <f>+VLOOKUP(C281,'[1]Summary Table'!$C$2:$G$287,5,0)</f>
        <v>40</v>
      </c>
      <c r="F281" s="8">
        <f t="shared" si="63"/>
        <v>5</v>
      </c>
      <c r="G281" s="6"/>
      <c r="H281" s="6"/>
      <c r="I281" s="6"/>
      <c r="J281" s="6">
        <v>2</v>
      </c>
      <c r="K281" s="6"/>
      <c r="L281" s="6"/>
      <c r="M281" s="6"/>
      <c r="N281" s="6">
        <v>2</v>
      </c>
      <c r="O281" s="6"/>
      <c r="P281" s="6"/>
      <c r="Q281" s="6"/>
      <c r="R281" s="6">
        <v>2</v>
      </c>
      <c r="S281" s="6"/>
      <c r="T281" s="6"/>
      <c r="U281" s="6"/>
      <c r="V281" s="6">
        <v>2</v>
      </c>
      <c r="W281" s="6"/>
      <c r="X281" s="6"/>
      <c r="Y281" s="6"/>
      <c r="Z281" s="6">
        <v>2</v>
      </c>
      <c r="AA281" s="6"/>
      <c r="AB281" s="6"/>
      <c r="AC281" s="6"/>
      <c r="AD281" s="6">
        <v>5</v>
      </c>
      <c r="AE281" s="6"/>
      <c r="AF281" s="6"/>
      <c r="AG281" s="6"/>
      <c r="AH281" s="6">
        <v>2</v>
      </c>
      <c r="AI281" s="6"/>
      <c r="AJ281" s="6"/>
      <c r="AK281" s="6"/>
      <c r="AL281" s="6">
        <v>2</v>
      </c>
      <c r="AM281" s="6"/>
      <c r="AN281" s="6"/>
      <c r="AO281" s="6"/>
      <c r="AP281" s="6">
        <v>2</v>
      </c>
      <c r="AQ281" s="6"/>
      <c r="AR281" s="6"/>
      <c r="AS281" s="6"/>
      <c r="AT281" s="6">
        <v>2</v>
      </c>
      <c r="AU281" s="6"/>
      <c r="AV281" s="6"/>
      <c r="AW281" s="6"/>
      <c r="AX281" s="6">
        <v>2</v>
      </c>
      <c r="AY281" s="6"/>
      <c r="AZ281" s="6"/>
      <c r="BA281" s="6"/>
      <c r="BB281" s="6">
        <v>5</v>
      </c>
      <c r="BC281" s="6">
        <f t="shared" si="64"/>
        <v>30</v>
      </c>
    </row>
    <row r="282" spans="1:55">
      <c r="A282" s="5">
        <v>522</v>
      </c>
      <c r="B282" s="5" t="s">
        <v>441</v>
      </c>
      <c r="C282" s="5" t="s">
        <v>453</v>
      </c>
      <c r="D282" s="5" t="s">
        <v>454</v>
      </c>
      <c r="E282" s="10">
        <f>+VLOOKUP(C282,'[1]Summary Table'!$C$2:$G$287,5,0)</f>
        <v>40</v>
      </c>
      <c r="F282" s="8">
        <f t="shared" si="63"/>
        <v>0.5</v>
      </c>
      <c r="G282" s="6"/>
      <c r="H282" s="6"/>
      <c r="I282" s="6"/>
      <c r="J282" s="6">
        <v>0.5</v>
      </c>
      <c r="K282" s="6"/>
      <c r="L282" s="6"/>
      <c r="M282" s="6"/>
      <c r="N282" s="6">
        <v>0.5</v>
      </c>
      <c r="O282" s="6"/>
      <c r="P282" s="6"/>
      <c r="Q282" s="6"/>
      <c r="R282" s="6">
        <v>0.5</v>
      </c>
      <c r="S282" s="6"/>
      <c r="T282" s="6"/>
      <c r="U282" s="6"/>
      <c r="V282" s="6">
        <v>0.5</v>
      </c>
      <c r="W282" s="6"/>
      <c r="X282" s="6"/>
      <c r="Y282" s="6"/>
      <c r="Z282" s="6">
        <v>0.5</v>
      </c>
      <c r="AA282" s="6"/>
      <c r="AB282" s="6"/>
      <c r="AC282" s="6"/>
      <c r="AD282" s="6">
        <v>0.5</v>
      </c>
      <c r="AE282" s="6"/>
      <c r="AF282" s="6"/>
      <c r="AG282" s="6"/>
      <c r="AH282" s="6">
        <v>0.5</v>
      </c>
      <c r="AI282" s="6"/>
      <c r="AJ282" s="6"/>
      <c r="AK282" s="6"/>
      <c r="AL282" s="6">
        <v>0.5</v>
      </c>
      <c r="AM282" s="6"/>
      <c r="AN282" s="6"/>
      <c r="AO282" s="6"/>
      <c r="AP282" s="6">
        <v>0.5</v>
      </c>
      <c r="AQ282" s="6"/>
      <c r="AR282" s="6"/>
      <c r="AS282" s="6"/>
      <c r="AT282" s="6">
        <v>0.5</v>
      </c>
      <c r="AU282" s="6"/>
      <c r="AV282" s="6"/>
      <c r="AW282" s="6"/>
      <c r="AX282" s="6">
        <v>0.5</v>
      </c>
      <c r="AY282" s="6"/>
      <c r="AZ282" s="6"/>
      <c r="BA282" s="6"/>
      <c r="BB282" s="6">
        <v>0.5</v>
      </c>
      <c r="BC282" s="6">
        <f t="shared" si="64"/>
        <v>6</v>
      </c>
    </row>
    <row r="283" spans="1:55">
      <c r="A283" s="5">
        <v>523</v>
      </c>
      <c r="B283" s="5" t="s">
        <v>441</v>
      </c>
      <c r="C283" s="5" t="s">
        <v>455</v>
      </c>
      <c r="D283" s="5" t="s">
        <v>449</v>
      </c>
      <c r="E283" s="9">
        <f>+VLOOKUP(C283,'[1]Summary Table'!$C$2:$G$287,5,0)</f>
        <v>27</v>
      </c>
      <c r="F283" s="8">
        <f t="shared" si="63"/>
        <v>3</v>
      </c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>
        <v>3</v>
      </c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>
        <v>3</v>
      </c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>
        <v>3</v>
      </c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>
        <v>3</v>
      </c>
      <c r="BC283" s="6">
        <f t="shared" si="64"/>
        <v>12</v>
      </c>
    </row>
    <row r="284" spans="1:55">
      <c r="A284" s="5">
        <v>524</v>
      </c>
      <c r="B284" s="5" t="s">
        <v>441</v>
      </c>
      <c r="C284" s="5" t="s">
        <v>456</v>
      </c>
      <c r="D284" s="5" t="s">
        <v>457</v>
      </c>
      <c r="E284" s="10">
        <f>+VLOOKUP(C284,'[1]Summary Table'!$C$2:$G$287,5,0)</f>
        <v>40</v>
      </c>
      <c r="F284" s="8">
        <f t="shared" si="63"/>
        <v>3</v>
      </c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>
        <v>3</v>
      </c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>
        <v>3</v>
      </c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>
        <v>3</v>
      </c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>
        <v>3</v>
      </c>
      <c r="BC284" s="6">
        <f t="shared" si="64"/>
        <v>12</v>
      </c>
    </row>
    <row r="285" spans="1:55">
      <c r="A285" s="5">
        <v>525</v>
      </c>
      <c r="B285" s="5" t="s">
        <v>441</v>
      </c>
      <c r="C285" s="5" t="s">
        <v>458</v>
      </c>
      <c r="D285" s="5" t="s">
        <v>459</v>
      </c>
      <c r="E285" s="9">
        <f>+VLOOKUP(C285,'[1]Summary Table'!$C$2:$G$287,5,0)</f>
        <v>27</v>
      </c>
      <c r="F285" s="8">
        <f t="shared" si="63"/>
        <v>3</v>
      </c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>
        <v>3</v>
      </c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>
        <v>3</v>
      </c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>
        <v>3</v>
      </c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>
        <v>3</v>
      </c>
      <c r="BC285" s="6">
        <f t="shared" si="64"/>
        <v>12</v>
      </c>
    </row>
    <row r="286" spans="1:55">
      <c r="A286" s="13">
        <v>526</v>
      </c>
      <c r="B286" s="13" t="s">
        <v>460</v>
      </c>
      <c r="C286" s="13"/>
      <c r="D286" s="13"/>
      <c r="E286" s="12"/>
      <c r="F286" s="11">
        <f t="shared" ref="F286:AK286" si="65">MAX(F287:F295)</f>
        <v>5</v>
      </c>
      <c r="G286" s="11">
        <f t="shared" si="65"/>
        <v>0</v>
      </c>
      <c r="H286" s="11">
        <f t="shared" si="65"/>
        <v>0</v>
      </c>
      <c r="I286" s="11">
        <f t="shared" si="65"/>
        <v>0</v>
      </c>
      <c r="J286" s="11">
        <f t="shared" si="65"/>
        <v>2</v>
      </c>
      <c r="K286" s="11">
        <f t="shared" si="65"/>
        <v>0</v>
      </c>
      <c r="L286" s="11">
        <f t="shared" si="65"/>
        <v>0</v>
      </c>
      <c r="M286" s="11">
        <f t="shared" si="65"/>
        <v>0</v>
      </c>
      <c r="N286" s="11">
        <f t="shared" si="65"/>
        <v>2</v>
      </c>
      <c r="O286" s="11">
        <f t="shared" si="65"/>
        <v>0</v>
      </c>
      <c r="P286" s="11">
        <f t="shared" si="65"/>
        <v>0</v>
      </c>
      <c r="Q286" s="11">
        <f t="shared" si="65"/>
        <v>0</v>
      </c>
      <c r="R286" s="11">
        <f t="shared" si="65"/>
        <v>3</v>
      </c>
      <c r="S286" s="11">
        <f t="shared" si="65"/>
        <v>0</v>
      </c>
      <c r="T286" s="11">
        <f t="shared" si="65"/>
        <v>0</v>
      </c>
      <c r="U286" s="11">
        <f t="shared" si="65"/>
        <v>0</v>
      </c>
      <c r="V286" s="11">
        <f t="shared" si="65"/>
        <v>2</v>
      </c>
      <c r="W286" s="11">
        <f t="shared" si="65"/>
        <v>0</v>
      </c>
      <c r="X286" s="11">
        <f t="shared" si="65"/>
        <v>0</v>
      </c>
      <c r="Y286" s="11">
        <f t="shared" si="65"/>
        <v>0</v>
      </c>
      <c r="Z286" s="11">
        <f t="shared" si="65"/>
        <v>2</v>
      </c>
      <c r="AA286" s="11">
        <f t="shared" si="65"/>
        <v>0</v>
      </c>
      <c r="AB286" s="11">
        <f t="shared" si="65"/>
        <v>0</v>
      </c>
      <c r="AC286" s="11">
        <f t="shared" si="65"/>
        <v>0</v>
      </c>
      <c r="AD286" s="11">
        <f t="shared" si="65"/>
        <v>5</v>
      </c>
      <c r="AE286" s="11">
        <f t="shared" si="65"/>
        <v>0</v>
      </c>
      <c r="AF286" s="11">
        <f t="shared" si="65"/>
        <v>0</v>
      </c>
      <c r="AG286" s="11">
        <f t="shared" si="65"/>
        <v>0</v>
      </c>
      <c r="AH286" s="11">
        <f t="shared" si="65"/>
        <v>2</v>
      </c>
      <c r="AI286" s="11">
        <f t="shared" si="65"/>
        <v>0</v>
      </c>
      <c r="AJ286" s="11">
        <f t="shared" si="65"/>
        <v>0</v>
      </c>
      <c r="AK286" s="11">
        <f t="shared" si="65"/>
        <v>0</v>
      </c>
      <c r="AL286" s="11">
        <f t="shared" ref="AL286:BC286" si="66">MAX(AL287:AL295)</f>
        <v>2</v>
      </c>
      <c r="AM286" s="11">
        <f t="shared" si="66"/>
        <v>0</v>
      </c>
      <c r="AN286" s="11">
        <f t="shared" si="66"/>
        <v>0</v>
      </c>
      <c r="AO286" s="11">
        <f t="shared" si="66"/>
        <v>0</v>
      </c>
      <c r="AP286" s="11">
        <f t="shared" si="66"/>
        <v>3</v>
      </c>
      <c r="AQ286" s="11">
        <f t="shared" si="66"/>
        <v>0</v>
      </c>
      <c r="AR286" s="11">
        <f t="shared" si="66"/>
        <v>0</v>
      </c>
      <c r="AS286" s="11">
        <f t="shared" si="66"/>
        <v>0</v>
      </c>
      <c r="AT286" s="11">
        <f t="shared" si="66"/>
        <v>2</v>
      </c>
      <c r="AU286" s="11">
        <f t="shared" si="66"/>
        <v>0</v>
      </c>
      <c r="AV286" s="11">
        <f t="shared" si="66"/>
        <v>0</v>
      </c>
      <c r="AW286" s="11">
        <f t="shared" si="66"/>
        <v>0</v>
      </c>
      <c r="AX286" s="11">
        <f t="shared" si="66"/>
        <v>2</v>
      </c>
      <c r="AY286" s="11">
        <f t="shared" si="66"/>
        <v>0</v>
      </c>
      <c r="AZ286" s="11">
        <f t="shared" si="66"/>
        <v>0</v>
      </c>
      <c r="BA286" s="11">
        <f t="shared" si="66"/>
        <v>0</v>
      </c>
      <c r="BB286" s="11">
        <f t="shared" si="66"/>
        <v>5</v>
      </c>
      <c r="BC286" s="11">
        <f t="shared" si="66"/>
        <v>30</v>
      </c>
    </row>
    <row r="287" spans="1:55">
      <c r="A287" s="5">
        <v>527</v>
      </c>
      <c r="B287" s="5" t="s">
        <v>460</v>
      </c>
      <c r="C287" s="5" t="s">
        <v>461</v>
      </c>
      <c r="D287" s="5" t="s">
        <v>462</v>
      </c>
      <c r="E287" s="9">
        <f>+VLOOKUP(C287,'[1]Summary Table'!$C$2:$G$287,5,0)</f>
        <v>27</v>
      </c>
      <c r="F287" s="8">
        <f t="shared" ref="F287:F295" si="67">+MAX(G287:BB287)</f>
        <v>3</v>
      </c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>
        <v>3</v>
      </c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>
        <v>3</v>
      </c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>
        <v>3</v>
      </c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>
        <v>3</v>
      </c>
      <c r="BC287" s="6">
        <f t="shared" ref="BC287:BC295" si="68">+SUM(G287:BB287)</f>
        <v>12</v>
      </c>
    </row>
    <row r="288" spans="1:55">
      <c r="A288" s="5">
        <v>528</v>
      </c>
      <c r="B288" s="5" t="s">
        <v>460</v>
      </c>
      <c r="C288" s="5" t="s">
        <v>463</v>
      </c>
      <c r="D288" s="5" t="s">
        <v>464</v>
      </c>
      <c r="E288" s="10">
        <f>+VLOOKUP(C288,'[1]Summary Table'!$C$2:$G$287,5,0)</f>
        <v>40</v>
      </c>
      <c r="F288" s="8">
        <f t="shared" si="67"/>
        <v>5</v>
      </c>
      <c r="G288" s="6"/>
      <c r="H288" s="6"/>
      <c r="I288" s="6"/>
      <c r="J288" s="6">
        <v>2</v>
      </c>
      <c r="K288" s="6"/>
      <c r="L288" s="6"/>
      <c r="M288" s="6"/>
      <c r="N288" s="6">
        <v>2</v>
      </c>
      <c r="O288" s="6"/>
      <c r="P288" s="6"/>
      <c r="Q288" s="6"/>
      <c r="R288" s="6">
        <v>2</v>
      </c>
      <c r="S288" s="6"/>
      <c r="T288" s="6"/>
      <c r="U288" s="6"/>
      <c r="V288" s="6">
        <v>2</v>
      </c>
      <c r="W288" s="6"/>
      <c r="X288" s="6"/>
      <c r="Y288" s="6"/>
      <c r="Z288" s="6">
        <v>2</v>
      </c>
      <c r="AA288" s="6"/>
      <c r="AB288" s="6"/>
      <c r="AC288" s="6"/>
      <c r="AD288" s="6">
        <v>5</v>
      </c>
      <c r="AE288" s="6"/>
      <c r="AF288" s="6"/>
      <c r="AG288" s="6"/>
      <c r="AH288" s="6">
        <v>2</v>
      </c>
      <c r="AI288" s="6"/>
      <c r="AJ288" s="6"/>
      <c r="AK288" s="6"/>
      <c r="AL288" s="6">
        <v>2</v>
      </c>
      <c r="AM288" s="6"/>
      <c r="AN288" s="6"/>
      <c r="AO288" s="6"/>
      <c r="AP288" s="6">
        <v>2</v>
      </c>
      <c r="AQ288" s="6"/>
      <c r="AR288" s="6"/>
      <c r="AS288" s="6"/>
      <c r="AT288" s="6">
        <v>2</v>
      </c>
      <c r="AU288" s="6"/>
      <c r="AV288" s="6"/>
      <c r="AW288" s="6"/>
      <c r="AX288" s="6">
        <v>2</v>
      </c>
      <c r="AY288" s="6"/>
      <c r="AZ288" s="6"/>
      <c r="BA288" s="6"/>
      <c r="BB288" s="6">
        <v>5</v>
      </c>
      <c r="BC288" s="6">
        <f t="shared" si="68"/>
        <v>30</v>
      </c>
    </row>
    <row r="289" spans="1:55">
      <c r="A289" s="5">
        <v>529</v>
      </c>
      <c r="B289" s="5" t="s">
        <v>460</v>
      </c>
      <c r="C289" s="5" t="s">
        <v>465</v>
      </c>
      <c r="D289" s="5" t="s">
        <v>466</v>
      </c>
      <c r="E289" s="10">
        <f>+VLOOKUP(C289,'[1]Summary Table'!$C$2:$G$287,5,0)</f>
        <v>40</v>
      </c>
      <c r="F289" s="8">
        <f t="shared" si="67"/>
        <v>0.5</v>
      </c>
      <c r="G289" s="6"/>
      <c r="H289" s="6"/>
      <c r="I289" s="6"/>
      <c r="J289" s="6">
        <v>0.5</v>
      </c>
      <c r="K289" s="6"/>
      <c r="L289" s="6"/>
      <c r="M289" s="6"/>
      <c r="N289" s="6">
        <v>0.5</v>
      </c>
      <c r="O289" s="6"/>
      <c r="P289" s="6"/>
      <c r="Q289" s="6"/>
      <c r="R289" s="6">
        <v>0.5</v>
      </c>
      <c r="S289" s="6"/>
      <c r="T289" s="6"/>
      <c r="U289" s="6"/>
      <c r="V289" s="6">
        <v>0.5</v>
      </c>
      <c r="W289" s="6"/>
      <c r="X289" s="6"/>
      <c r="Y289" s="6"/>
      <c r="Z289" s="6">
        <v>0.5</v>
      </c>
      <c r="AA289" s="6"/>
      <c r="AB289" s="6"/>
      <c r="AC289" s="6"/>
      <c r="AD289" s="6">
        <v>0.5</v>
      </c>
      <c r="AE289" s="6"/>
      <c r="AF289" s="6"/>
      <c r="AG289" s="6"/>
      <c r="AH289" s="6">
        <v>0.5</v>
      </c>
      <c r="AI289" s="6"/>
      <c r="AJ289" s="6"/>
      <c r="AK289" s="6"/>
      <c r="AL289" s="6">
        <v>0.5</v>
      </c>
      <c r="AM289" s="6"/>
      <c r="AN289" s="6"/>
      <c r="AO289" s="6"/>
      <c r="AP289" s="6">
        <v>0.5</v>
      </c>
      <c r="AQ289" s="6"/>
      <c r="AR289" s="6"/>
      <c r="AS289" s="6"/>
      <c r="AT289" s="6">
        <v>0.5</v>
      </c>
      <c r="AU289" s="6"/>
      <c r="AV289" s="6"/>
      <c r="AW289" s="6"/>
      <c r="AX289" s="6">
        <v>0.5</v>
      </c>
      <c r="AY289" s="6"/>
      <c r="AZ289" s="6"/>
      <c r="BA289" s="6"/>
      <c r="BB289" s="6">
        <v>0.5</v>
      </c>
      <c r="BC289" s="6">
        <f t="shared" si="68"/>
        <v>6</v>
      </c>
    </row>
    <row r="290" spans="1:55">
      <c r="A290" s="5">
        <v>530</v>
      </c>
      <c r="B290" s="5" t="s">
        <v>460</v>
      </c>
      <c r="C290" s="5" t="s">
        <v>467</v>
      </c>
      <c r="D290" s="5" t="s">
        <v>468</v>
      </c>
      <c r="E290" s="9">
        <f>+VLOOKUP(C290,'[1]Summary Table'!$C$2:$G$287,5,0)</f>
        <v>27</v>
      </c>
      <c r="F290" s="8">
        <f t="shared" si="67"/>
        <v>3</v>
      </c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>
        <v>3</v>
      </c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>
        <v>3</v>
      </c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>
        <v>3</v>
      </c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>
        <v>3</v>
      </c>
      <c r="BC290" s="6">
        <f t="shared" si="68"/>
        <v>12</v>
      </c>
    </row>
    <row r="291" spans="1:55">
      <c r="A291" s="5">
        <v>531</v>
      </c>
      <c r="B291" s="5" t="s">
        <v>460</v>
      </c>
      <c r="C291" s="5" t="s">
        <v>469</v>
      </c>
      <c r="D291" s="5" t="s">
        <v>470</v>
      </c>
      <c r="E291" s="10">
        <f>+VLOOKUP(C291,'[1]Summary Table'!$C$2:$G$287,5,0)</f>
        <v>40</v>
      </c>
      <c r="F291" s="8">
        <f t="shared" si="67"/>
        <v>5</v>
      </c>
      <c r="G291" s="6"/>
      <c r="H291" s="6"/>
      <c r="I291" s="6"/>
      <c r="J291" s="6">
        <v>2</v>
      </c>
      <c r="K291" s="6"/>
      <c r="L291" s="6"/>
      <c r="M291" s="6"/>
      <c r="N291" s="6">
        <v>2</v>
      </c>
      <c r="O291" s="6"/>
      <c r="P291" s="6"/>
      <c r="Q291" s="6"/>
      <c r="R291" s="6">
        <v>2</v>
      </c>
      <c r="S291" s="6"/>
      <c r="T291" s="6"/>
      <c r="U291" s="6"/>
      <c r="V291" s="6">
        <v>2</v>
      </c>
      <c r="W291" s="6"/>
      <c r="X291" s="6"/>
      <c r="Y291" s="6"/>
      <c r="Z291" s="6">
        <v>2</v>
      </c>
      <c r="AA291" s="6"/>
      <c r="AB291" s="6"/>
      <c r="AC291" s="6"/>
      <c r="AD291" s="6">
        <v>5</v>
      </c>
      <c r="AE291" s="6"/>
      <c r="AF291" s="6"/>
      <c r="AG291" s="6"/>
      <c r="AH291" s="6">
        <v>2</v>
      </c>
      <c r="AI291" s="6"/>
      <c r="AJ291" s="6"/>
      <c r="AK291" s="6"/>
      <c r="AL291" s="6">
        <v>2</v>
      </c>
      <c r="AM291" s="6"/>
      <c r="AN291" s="6"/>
      <c r="AO291" s="6"/>
      <c r="AP291" s="6">
        <v>2</v>
      </c>
      <c r="AQ291" s="6"/>
      <c r="AR291" s="6"/>
      <c r="AS291" s="6"/>
      <c r="AT291" s="6">
        <v>2</v>
      </c>
      <c r="AU291" s="6"/>
      <c r="AV291" s="6"/>
      <c r="AW291" s="6"/>
      <c r="AX291" s="6">
        <v>2</v>
      </c>
      <c r="AY291" s="6"/>
      <c r="AZ291" s="6"/>
      <c r="BA291" s="6"/>
      <c r="BB291" s="6">
        <v>5</v>
      </c>
      <c r="BC291" s="6">
        <f t="shared" si="68"/>
        <v>30</v>
      </c>
    </row>
    <row r="292" spans="1:55">
      <c r="A292" s="5">
        <v>532</v>
      </c>
      <c r="B292" s="5" t="s">
        <v>460</v>
      </c>
      <c r="C292" s="5" t="s">
        <v>471</v>
      </c>
      <c r="D292" s="5" t="s">
        <v>472</v>
      </c>
      <c r="E292" s="10">
        <f>+VLOOKUP(C292,'[1]Summary Table'!$C$2:$G$287,5,0)</f>
        <v>40</v>
      </c>
      <c r="F292" s="8">
        <f t="shared" si="67"/>
        <v>0.5</v>
      </c>
      <c r="G292" s="6"/>
      <c r="H292" s="6"/>
      <c r="I292" s="6"/>
      <c r="J292" s="6">
        <v>0.5</v>
      </c>
      <c r="K292" s="6"/>
      <c r="L292" s="6"/>
      <c r="M292" s="6"/>
      <c r="N292" s="6">
        <v>0.5</v>
      </c>
      <c r="O292" s="6"/>
      <c r="P292" s="6"/>
      <c r="Q292" s="6"/>
      <c r="R292" s="6">
        <v>0.5</v>
      </c>
      <c r="S292" s="6"/>
      <c r="T292" s="6"/>
      <c r="U292" s="6"/>
      <c r="V292" s="6">
        <v>0.5</v>
      </c>
      <c r="W292" s="6"/>
      <c r="X292" s="6"/>
      <c r="Y292" s="6"/>
      <c r="Z292" s="6">
        <v>0.5</v>
      </c>
      <c r="AA292" s="6"/>
      <c r="AB292" s="6"/>
      <c r="AC292" s="6"/>
      <c r="AD292" s="6">
        <v>0.5</v>
      </c>
      <c r="AE292" s="6"/>
      <c r="AF292" s="6"/>
      <c r="AG292" s="6"/>
      <c r="AH292" s="6">
        <v>0.5</v>
      </c>
      <c r="AI292" s="6"/>
      <c r="AJ292" s="6"/>
      <c r="AK292" s="6"/>
      <c r="AL292" s="6">
        <v>0.5</v>
      </c>
      <c r="AM292" s="6"/>
      <c r="AN292" s="6"/>
      <c r="AO292" s="6"/>
      <c r="AP292" s="6">
        <v>0.5</v>
      </c>
      <c r="AQ292" s="6"/>
      <c r="AR292" s="6"/>
      <c r="AS292" s="6"/>
      <c r="AT292" s="6">
        <v>0.5</v>
      </c>
      <c r="AU292" s="6"/>
      <c r="AV292" s="6"/>
      <c r="AW292" s="6"/>
      <c r="AX292" s="6">
        <v>0.5</v>
      </c>
      <c r="AY292" s="6"/>
      <c r="AZ292" s="6"/>
      <c r="BA292" s="6"/>
      <c r="BB292" s="6">
        <v>0.5</v>
      </c>
      <c r="BC292" s="6">
        <f t="shared" si="68"/>
        <v>6</v>
      </c>
    </row>
    <row r="293" spans="1:55">
      <c r="A293" s="5">
        <v>533</v>
      </c>
      <c r="B293" s="5" t="s">
        <v>460</v>
      </c>
      <c r="C293" s="5" t="s">
        <v>473</v>
      </c>
      <c r="D293" s="5" t="s">
        <v>474</v>
      </c>
      <c r="E293" s="9">
        <f>+VLOOKUP(C293,'[1]Summary Table'!$C$2:$G$287,5,0)</f>
        <v>27</v>
      </c>
      <c r="F293" s="8">
        <f t="shared" si="67"/>
        <v>3</v>
      </c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>
        <v>3</v>
      </c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>
        <v>3</v>
      </c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>
        <v>3</v>
      </c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>
        <v>3</v>
      </c>
      <c r="BC293" s="6">
        <f t="shared" si="68"/>
        <v>12</v>
      </c>
    </row>
    <row r="294" spans="1:55">
      <c r="A294" s="5">
        <v>534</v>
      </c>
      <c r="B294" s="5" t="s">
        <v>460</v>
      </c>
      <c r="C294" s="5" t="s">
        <v>475</v>
      </c>
      <c r="D294" s="15" t="s">
        <v>476</v>
      </c>
      <c r="E294" s="14">
        <f>+VLOOKUP(C294,'[1]Summary Table'!$C$2:$G$287,5,0)</f>
        <v>40</v>
      </c>
      <c r="F294" s="8">
        <f t="shared" si="67"/>
        <v>5</v>
      </c>
      <c r="G294" s="6"/>
      <c r="H294" s="6"/>
      <c r="I294" s="6"/>
      <c r="J294" s="6">
        <v>2</v>
      </c>
      <c r="K294" s="6"/>
      <c r="L294" s="6"/>
      <c r="M294" s="6"/>
      <c r="N294" s="6">
        <v>2</v>
      </c>
      <c r="O294" s="6"/>
      <c r="P294" s="6"/>
      <c r="Q294" s="6"/>
      <c r="R294" s="6">
        <v>2</v>
      </c>
      <c r="S294" s="6"/>
      <c r="T294" s="6"/>
      <c r="U294" s="6"/>
      <c r="V294" s="6">
        <v>2</v>
      </c>
      <c r="W294" s="6"/>
      <c r="X294" s="6"/>
      <c r="Y294" s="6"/>
      <c r="Z294" s="6">
        <v>2</v>
      </c>
      <c r="AA294" s="6"/>
      <c r="AB294" s="6"/>
      <c r="AC294" s="6"/>
      <c r="AD294" s="6">
        <v>5</v>
      </c>
      <c r="AE294" s="6"/>
      <c r="AF294" s="6"/>
      <c r="AG294" s="6"/>
      <c r="AH294" s="6">
        <v>2</v>
      </c>
      <c r="AI294" s="6"/>
      <c r="AJ294" s="6"/>
      <c r="AK294" s="6"/>
      <c r="AL294" s="6">
        <v>2</v>
      </c>
      <c r="AM294" s="6"/>
      <c r="AN294" s="6"/>
      <c r="AO294" s="6"/>
      <c r="AP294" s="6">
        <v>2</v>
      </c>
      <c r="AQ294" s="6"/>
      <c r="AR294" s="6"/>
      <c r="AS294" s="6"/>
      <c r="AT294" s="6">
        <v>2</v>
      </c>
      <c r="AU294" s="6"/>
      <c r="AV294" s="6"/>
      <c r="AW294" s="6"/>
      <c r="AX294" s="6">
        <v>2</v>
      </c>
      <c r="AY294" s="6"/>
      <c r="AZ294" s="6"/>
      <c r="BA294" s="6"/>
      <c r="BB294" s="6">
        <v>5</v>
      </c>
      <c r="BC294" s="6">
        <f t="shared" si="68"/>
        <v>30</v>
      </c>
    </row>
    <row r="295" spans="1:55">
      <c r="A295" s="5">
        <v>535</v>
      </c>
      <c r="B295" s="5" t="s">
        <v>460</v>
      </c>
      <c r="C295" s="5" t="s">
        <v>477</v>
      </c>
      <c r="D295" s="15" t="s">
        <v>478</v>
      </c>
      <c r="E295" s="14">
        <f>+VLOOKUP(C295,'[1]Summary Table'!$C$2:$G$287,5,0)</f>
        <v>40</v>
      </c>
      <c r="F295" s="8">
        <f t="shared" si="67"/>
        <v>0.5</v>
      </c>
      <c r="G295" s="6"/>
      <c r="H295" s="6"/>
      <c r="I295" s="6"/>
      <c r="J295" s="6">
        <v>0.5</v>
      </c>
      <c r="K295" s="6"/>
      <c r="L295" s="6"/>
      <c r="M295" s="6"/>
      <c r="N295" s="6">
        <v>0.5</v>
      </c>
      <c r="O295" s="6"/>
      <c r="P295" s="6"/>
      <c r="Q295" s="6"/>
      <c r="R295" s="6">
        <v>0.5</v>
      </c>
      <c r="S295" s="6"/>
      <c r="T295" s="6"/>
      <c r="U295" s="6"/>
      <c r="V295" s="6">
        <v>0.5</v>
      </c>
      <c r="W295" s="6"/>
      <c r="X295" s="6"/>
      <c r="Y295" s="6"/>
      <c r="Z295" s="6">
        <v>0.5</v>
      </c>
      <c r="AA295" s="6"/>
      <c r="AB295" s="6"/>
      <c r="AC295" s="6"/>
      <c r="AD295" s="6">
        <v>0.5</v>
      </c>
      <c r="AE295" s="6"/>
      <c r="AF295" s="6"/>
      <c r="AG295" s="6"/>
      <c r="AH295" s="6">
        <v>0.5</v>
      </c>
      <c r="AI295" s="6"/>
      <c r="AJ295" s="6"/>
      <c r="AK295" s="6"/>
      <c r="AL295" s="6">
        <v>0.5</v>
      </c>
      <c r="AM295" s="6"/>
      <c r="AN295" s="6"/>
      <c r="AO295" s="6"/>
      <c r="AP295" s="6">
        <v>0.5</v>
      </c>
      <c r="AQ295" s="6"/>
      <c r="AR295" s="6"/>
      <c r="AS295" s="6"/>
      <c r="AT295" s="6">
        <v>0.5</v>
      </c>
      <c r="AU295" s="6"/>
      <c r="AV295" s="6"/>
      <c r="AW295" s="6"/>
      <c r="AX295" s="6">
        <v>0.5</v>
      </c>
      <c r="AY295" s="6"/>
      <c r="AZ295" s="6"/>
      <c r="BA295" s="6"/>
      <c r="BB295" s="6">
        <v>0.5</v>
      </c>
      <c r="BC295" s="6">
        <f t="shared" si="68"/>
        <v>6</v>
      </c>
    </row>
    <row r="296" spans="1:55">
      <c r="A296" s="13">
        <v>536</v>
      </c>
      <c r="B296" s="13" t="s">
        <v>479</v>
      </c>
      <c r="C296" s="13"/>
      <c r="D296" s="13"/>
      <c r="E296" s="12"/>
      <c r="F296" s="11">
        <f t="shared" ref="F296:AK296" si="69">MAX(F297:F301)</f>
        <v>12</v>
      </c>
      <c r="G296" s="11">
        <f t="shared" si="69"/>
        <v>0</v>
      </c>
      <c r="H296" s="11">
        <f t="shared" si="69"/>
        <v>0</v>
      </c>
      <c r="I296" s="11">
        <f t="shared" si="69"/>
        <v>0</v>
      </c>
      <c r="J296" s="11">
        <f t="shared" si="69"/>
        <v>0</v>
      </c>
      <c r="K296" s="11">
        <f t="shared" si="69"/>
        <v>0</v>
      </c>
      <c r="L296" s="11">
        <f t="shared" si="69"/>
        <v>0</v>
      </c>
      <c r="M296" s="11">
        <f t="shared" si="69"/>
        <v>0</v>
      </c>
      <c r="N296" s="11">
        <f t="shared" si="69"/>
        <v>0</v>
      </c>
      <c r="O296" s="11">
        <f t="shared" si="69"/>
        <v>0</v>
      </c>
      <c r="P296" s="11">
        <f t="shared" si="69"/>
        <v>0</v>
      </c>
      <c r="Q296" s="11">
        <f t="shared" si="69"/>
        <v>0</v>
      </c>
      <c r="R296" s="11">
        <f t="shared" si="69"/>
        <v>6</v>
      </c>
      <c r="S296" s="11">
        <f t="shared" si="69"/>
        <v>0</v>
      </c>
      <c r="T296" s="11">
        <f t="shared" si="69"/>
        <v>0</v>
      </c>
      <c r="U296" s="11">
        <f t="shared" si="69"/>
        <v>0</v>
      </c>
      <c r="V296" s="11">
        <f t="shared" si="69"/>
        <v>0</v>
      </c>
      <c r="W296" s="11">
        <f t="shared" si="69"/>
        <v>0</v>
      </c>
      <c r="X296" s="11">
        <f t="shared" si="69"/>
        <v>0</v>
      </c>
      <c r="Y296" s="11">
        <f t="shared" si="69"/>
        <v>0</v>
      </c>
      <c r="Z296" s="11">
        <f t="shared" si="69"/>
        <v>0</v>
      </c>
      <c r="AA296" s="11">
        <f t="shared" si="69"/>
        <v>0</v>
      </c>
      <c r="AB296" s="11">
        <f t="shared" si="69"/>
        <v>0</v>
      </c>
      <c r="AC296" s="11">
        <f t="shared" si="69"/>
        <v>0</v>
      </c>
      <c r="AD296" s="11">
        <f t="shared" si="69"/>
        <v>12</v>
      </c>
      <c r="AE296" s="11">
        <f t="shared" si="69"/>
        <v>0</v>
      </c>
      <c r="AF296" s="11">
        <f t="shared" si="69"/>
        <v>0</v>
      </c>
      <c r="AG296" s="11">
        <f t="shared" si="69"/>
        <v>0</v>
      </c>
      <c r="AH296" s="11">
        <f t="shared" si="69"/>
        <v>0</v>
      </c>
      <c r="AI296" s="11">
        <f t="shared" si="69"/>
        <v>0</v>
      </c>
      <c r="AJ296" s="11">
        <f t="shared" si="69"/>
        <v>0</v>
      </c>
      <c r="AK296" s="11">
        <f t="shared" si="69"/>
        <v>0</v>
      </c>
      <c r="AL296" s="11">
        <f t="shared" ref="AL296:BC296" si="70">MAX(AL297:AL301)</f>
        <v>0</v>
      </c>
      <c r="AM296" s="11">
        <f t="shared" si="70"/>
        <v>0</v>
      </c>
      <c r="AN296" s="11">
        <f t="shared" si="70"/>
        <v>0</v>
      </c>
      <c r="AO296" s="11">
        <f t="shared" si="70"/>
        <v>0</v>
      </c>
      <c r="AP296" s="11">
        <f t="shared" si="70"/>
        <v>6</v>
      </c>
      <c r="AQ296" s="11">
        <f t="shared" si="70"/>
        <v>0</v>
      </c>
      <c r="AR296" s="11">
        <f t="shared" si="70"/>
        <v>0</v>
      </c>
      <c r="AS296" s="11">
        <f t="shared" si="70"/>
        <v>0</v>
      </c>
      <c r="AT296" s="11">
        <f t="shared" si="70"/>
        <v>0</v>
      </c>
      <c r="AU296" s="11">
        <f t="shared" si="70"/>
        <v>0</v>
      </c>
      <c r="AV296" s="11">
        <f t="shared" si="70"/>
        <v>0</v>
      </c>
      <c r="AW296" s="11">
        <f t="shared" si="70"/>
        <v>0</v>
      </c>
      <c r="AX296" s="11">
        <f t="shared" si="70"/>
        <v>0</v>
      </c>
      <c r="AY296" s="11">
        <f t="shared" si="70"/>
        <v>0</v>
      </c>
      <c r="AZ296" s="11">
        <f t="shared" si="70"/>
        <v>0</v>
      </c>
      <c r="BA296" s="11">
        <f t="shared" si="70"/>
        <v>0</v>
      </c>
      <c r="BB296" s="11">
        <f t="shared" si="70"/>
        <v>12</v>
      </c>
      <c r="BC296" s="11">
        <f t="shared" si="70"/>
        <v>36</v>
      </c>
    </row>
    <row r="297" spans="1:55">
      <c r="A297" s="5">
        <v>537</v>
      </c>
      <c r="B297" s="5" t="s">
        <v>479</v>
      </c>
      <c r="C297" s="5" t="s">
        <v>480</v>
      </c>
      <c r="D297" s="5" t="s">
        <v>426</v>
      </c>
      <c r="E297" s="9">
        <f>+VLOOKUP(C297,'[1]Summary Table'!$C$2:$G$287,5,0)</f>
        <v>32</v>
      </c>
      <c r="F297" s="8">
        <f>+MAX(G297:BB297)</f>
        <v>12</v>
      </c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>
        <v>6</v>
      </c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>
        <v>12</v>
      </c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>
        <v>6</v>
      </c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>
        <v>12</v>
      </c>
      <c r="BC297" s="6">
        <f>+SUM(G297:BB297)</f>
        <v>36</v>
      </c>
    </row>
    <row r="298" spans="1:55">
      <c r="A298" s="5">
        <v>538</v>
      </c>
      <c r="B298" s="5" t="s">
        <v>479</v>
      </c>
      <c r="C298" s="5" t="s">
        <v>481</v>
      </c>
      <c r="D298" s="5" t="s">
        <v>426</v>
      </c>
      <c r="E298" s="9">
        <f>+VLOOKUP(C298,'[1]Summary Table'!$C$2:$G$287,5,0)</f>
        <v>32</v>
      </c>
      <c r="F298" s="8">
        <f>+MAX(G298:BB298)</f>
        <v>12</v>
      </c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>
        <v>6</v>
      </c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>
        <v>12</v>
      </c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>
        <v>6</v>
      </c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>
        <v>12</v>
      </c>
      <c r="BC298" s="6">
        <f>+SUM(G298:BB298)</f>
        <v>36</v>
      </c>
    </row>
    <row r="299" spans="1:55">
      <c r="A299" s="5">
        <v>539</v>
      </c>
      <c r="B299" s="5" t="s">
        <v>479</v>
      </c>
      <c r="C299" s="5" t="s">
        <v>482</v>
      </c>
      <c r="D299" s="5" t="s">
        <v>483</v>
      </c>
      <c r="E299" s="9">
        <f>+VLOOKUP(C299,'[1]Summary Table'!$C$2:$G$287,5,0)</f>
        <v>33</v>
      </c>
      <c r="F299" s="8">
        <f>+MAX(G299:BB299)</f>
        <v>4</v>
      </c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>
        <v>4</v>
      </c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>
        <v>4</v>
      </c>
      <c r="BC299" s="6">
        <f>+SUM(G299:BB299)</f>
        <v>8</v>
      </c>
    </row>
    <row r="300" spans="1:55">
      <c r="A300" s="5">
        <v>540</v>
      </c>
      <c r="B300" s="5" t="s">
        <v>479</v>
      </c>
      <c r="C300" s="5" t="s">
        <v>484</v>
      </c>
      <c r="D300" s="5" t="s">
        <v>485</v>
      </c>
      <c r="E300" s="9">
        <f>+VLOOKUP(C300,'[1]Summary Table'!$C$2:$G$287,5,0)</f>
        <v>33</v>
      </c>
      <c r="F300" s="8">
        <f>+MAX(G300:BB300)</f>
        <v>6</v>
      </c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>
        <v>6</v>
      </c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>
        <v>6</v>
      </c>
      <c r="BC300" s="6">
        <f>+SUM(G300:BB300)</f>
        <v>12</v>
      </c>
    </row>
    <row r="301" spans="1:55">
      <c r="A301" s="5">
        <v>541</v>
      </c>
      <c r="B301" s="5" t="s">
        <v>479</v>
      </c>
      <c r="C301" s="5" t="s">
        <v>486</v>
      </c>
      <c r="D301" s="5" t="s">
        <v>487</v>
      </c>
      <c r="E301" s="9">
        <f>+VLOOKUP(C301,'[1]Summary Table'!$C$2:$G$287,5,0)</f>
        <v>33</v>
      </c>
      <c r="F301" s="8">
        <f>+MAX(G301:BB301)</f>
        <v>4</v>
      </c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>
        <v>4</v>
      </c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>
        <v>4</v>
      </c>
      <c r="BC301" s="6">
        <f>+SUM(G301:BB301)</f>
        <v>8</v>
      </c>
    </row>
    <row r="302" spans="1:55">
      <c r="A302" s="13">
        <v>542</v>
      </c>
      <c r="B302" s="47" t="s">
        <v>488</v>
      </c>
      <c r="C302" s="13"/>
      <c r="D302" s="13"/>
      <c r="E302" s="12"/>
      <c r="F302" s="11">
        <f t="shared" ref="F302:AK302" si="71">MAX(F303:F310)</f>
        <v>4</v>
      </c>
      <c r="G302" s="11">
        <f t="shared" si="71"/>
        <v>0</v>
      </c>
      <c r="H302" s="11">
        <f t="shared" si="71"/>
        <v>0</v>
      </c>
      <c r="I302" s="11">
        <f t="shared" si="71"/>
        <v>0</v>
      </c>
      <c r="J302" s="11">
        <f t="shared" si="71"/>
        <v>1</v>
      </c>
      <c r="K302" s="11">
        <f t="shared" si="71"/>
        <v>0</v>
      </c>
      <c r="L302" s="11">
        <f t="shared" si="71"/>
        <v>0</v>
      </c>
      <c r="M302" s="11">
        <f t="shared" si="71"/>
        <v>0</v>
      </c>
      <c r="N302" s="11">
        <f t="shared" si="71"/>
        <v>1</v>
      </c>
      <c r="O302" s="11">
        <f t="shared" si="71"/>
        <v>0</v>
      </c>
      <c r="P302" s="11">
        <f t="shared" si="71"/>
        <v>0</v>
      </c>
      <c r="Q302" s="11">
        <f t="shared" si="71"/>
        <v>0</v>
      </c>
      <c r="R302" s="11">
        <f t="shared" si="71"/>
        <v>3</v>
      </c>
      <c r="S302" s="11">
        <f t="shared" si="71"/>
        <v>0</v>
      </c>
      <c r="T302" s="11">
        <f t="shared" si="71"/>
        <v>0</v>
      </c>
      <c r="U302" s="11">
        <f t="shared" si="71"/>
        <v>0</v>
      </c>
      <c r="V302" s="11">
        <f t="shared" si="71"/>
        <v>1</v>
      </c>
      <c r="W302" s="11">
        <f t="shared" si="71"/>
        <v>0</v>
      </c>
      <c r="X302" s="11">
        <f t="shared" si="71"/>
        <v>0</v>
      </c>
      <c r="Y302" s="11">
        <f t="shared" si="71"/>
        <v>0</v>
      </c>
      <c r="Z302" s="11">
        <f t="shared" si="71"/>
        <v>1</v>
      </c>
      <c r="AA302" s="11">
        <f t="shared" si="71"/>
        <v>0</v>
      </c>
      <c r="AB302" s="11">
        <f t="shared" si="71"/>
        <v>0</v>
      </c>
      <c r="AC302" s="11">
        <f t="shared" si="71"/>
        <v>0</v>
      </c>
      <c r="AD302" s="11">
        <f t="shared" si="71"/>
        <v>4</v>
      </c>
      <c r="AE302" s="11">
        <f t="shared" si="71"/>
        <v>0</v>
      </c>
      <c r="AF302" s="11">
        <f t="shared" si="71"/>
        <v>0</v>
      </c>
      <c r="AG302" s="11">
        <f t="shared" si="71"/>
        <v>0</v>
      </c>
      <c r="AH302" s="11">
        <f t="shared" si="71"/>
        <v>1</v>
      </c>
      <c r="AI302" s="11">
        <f t="shared" si="71"/>
        <v>0</v>
      </c>
      <c r="AJ302" s="11">
        <f t="shared" si="71"/>
        <v>0</v>
      </c>
      <c r="AK302" s="11">
        <f t="shared" si="71"/>
        <v>0</v>
      </c>
      <c r="AL302" s="11">
        <f t="shared" ref="AL302:BC302" si="72">MAX(AL303:AL310)</f>
        <v>1</v>
      </c>
      <c r="AM302" s="11">
        <f t="shared" si="72"/>
        <v>0</v>
      </c>
      <c r="AN302" s="11">
        <f t="shared" si="72"/>
        <v>0</v>
      </c>
      <c r="AO302" s="11">
        <f t="shared" si="72"/>
        <v>0</v>
      </c>
      <c r="AP302" s="11">
        <f t="shared" si="72"/>
        <v>3</v>
      </c>
      <c r="AQ302" s="11">
        <f t="shared" si="72"/>
        <v>0</v>
      </c>
      <c r="AR302" s="11">
        <f t="shared" si="72"/>
        <v>0</v>
      </c>
      <c r="AS302" s="11">
        <f t="shared" si="72"/>
        <v>0</v>
      </c>
      <c r="AT302" s="11">
        <f t="shared" si="72"/>
        <v>1</v>
      </c>
      <c r="AU302" s="11">
        <f t="shared" si="72"/>
        <v>0</v>
      </c>
      <c r="AV302" s="11">
        <f t="shared" si="72"/>
        <v>0</v>
      </c>
      <c r="AW302" s="11">
        <f t="shared" si="72"/>
        <v>0</v>
      </c>
      <c r="AX302" s="11">
        <f t="shared" si="72"/>
        <v>1</v>
      </c>
      <c r="AY302" s="11">
        <f t="shared" si="72"/>
        <v>0</v>
      </c>
      <c r="AZ302" s="11">
        <f t="shared" si="72"/>
        <v>0</v>
      </c>
      <c r="BA302" s="11">
        <f t="shared" si="72"/>
        <v>0</v>
      </c>
      <c r="BB302" s="11">
        <f t="shared" si="72"/>
        <v>4</v>
      </c>
      <c r="BC302" s="11">
        <f t="shared" si="72"/>
        <v>18</v>
      </c>
    </row>
    <row r="303" spans="1:55">
      <c r="A303" s="5">
        <v>543</v>
      </c>
      <c r="B303" s="5" t="s">
        <v>488</v>
      </c>
      <c r="C303" s="5" t="s">
        <v>489</v>
      </c>
      <c r="D303" s="5" t="s">
        <v>490</v>
      </c>
      <c r="E303" s="10">
        <f>+VLOOKUP(C303,'[1]Summary Table'!$C$2:$G$287,5,0)</f>
        <v>40</v>
      </c>
      <c r="F303" s="8">
        <f t="shared" ref="F303:F310" si="73">+MAX(G303:BB303)</f>
        <v>1</v>
      </c>
      <c r="G303" s="6"/>
      <c r="H303" s="6"/>
      <c r="I303" s="6"/>
      <c r="J303" s="6">
        <v>0.5</v>
      </c>
      <c r="K303" s="6"/>
      <c r="L303" s="6"/>
      <c r="M303" s="6"/>
      <c r="N303" s="6">
        <v>0.5</v>
      </c>
      <c r="O303" s="6"/>
      <c r="P303" s="6"/>
      <c r="Q303" s="6"/>
      <c r="R303" s="6">
        <v>0.5</v>
      </c>
      <c r="S303" s="6"/>
      <c r="T303" s="6"/>
      <c r="U303" s="6"/>
      <c r="V303" s="6">
        <v>0.5</v>
      </c>
      <c r="W303" s="6"/>
      <c r="X303" s="6"/>
      <c r="Y303" s="6"/>
      <c r="Z303" s="6">
        <v>0.5</v>
      </c>
      <c r="AA303" s="6"/>
      <c r="AB303" s="6"/>
      <c r="AC303" s="6"/>
      <c r="AD303" s="6">
        <v>1</v>
      </c>
      <c r="AE303" s="6"/>
      <c r="AF303" s="6"/>
      <c r="AG303" s="6"/>
      <c r="AH303" s="6">
        <v>0.5</v>
      </c>
      <c r="AI303" s="6"/>
      <c r="AJ303" s="6"/>
      <c r="AK303" s="6"/>
      <c r="AL303" s="6">
        <v>0.5</v>
      </c>
      <c r="AM303" s="6"/>
      <c r="AN303" s="6"/>
      <c r="AO303" s="6"/>
      <c r="AP303" s="6">
        <v>0.5</v>
      </c>
      <c r="AQ303" s="6"/>
      <c r="AR303" s="6"/>
      <c r="AS303" s="6"/>
      <c r="AT303" s="6">
        <v>0.5</v>
      </c>
      <c r="AU303" s="6"/>
      <c r="AV303" s="6"/>
      <c r="AW303" s="6"/>
      <c r="AX303" s="6">
        <v>0.5</v>
      </c>
      <c r="AY303" s="6"/>
      <c r="AZ303" s="6"/>
      <c r="BA303" s="6"/>
      <c r="BB303" s="6">
        <v>1</v>
      </c>
      <c r="BC303" s="6">
        <f t="shared" ref="BC303:BC310" si="74">+SUM(G303:BB303)</f>
        <v>7</v>
      </c>
    </row>
    <row r="304" spans="1:55">
      <c r="A304" s="5">
        <v>544</v>
      </c>
      <c r="B304" s="5" t="s">
        <v>488</v>
      </c>
      <c r="C304" s="5" t="s">
        <v>491</v>
      </c>
      <c r="D304" s="5" t="s">
        <v>492</v>
      </c>
      <c r="E304" s="9">
        <f>+VLOOKUP(C304,'[1]Summary Table'!$C$2:$G$287,5,0)</f>
        <v>27</v>
      </c>
      <c r="F304" s="8">
        <f t="shared" si="73"/>
        <v>3</v>
      </c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>
        <v>3</v>
      </c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>
        <v>3</v>
      </c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>
        <v>3</v>
      </c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>
        <v>3</v>
      </c>
      <c r="BC304" s="6">
        <f t="shared" si="74"/>
        <v>12</v>
      </c>
    </row>
    <row r="305" spans="1:55">
      <c r="A305" s="5">
        <v>545</v>
      </c>
      <c r="B305" s="5" t="s">
        <v>488</v>
      </c>
      <c r="C305" s="5" t="s">
        <v>493</v>
      </c>
      <c r="D305" s="5" t="s">
        <v>492</v>
      </c>
      <c r="E305" s="9">
        <f>+VLOOKUP(C305,'[1]Summary Table'!$C$2:$G$287,5,0)</f>
        <v>27</v>
      </c>
      <c r="F305" s="8">
        <f t="shared" si="73"/>
        <v>3</v>
      </c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>
        <v>3</v>
      </c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>
        <v>3</v>
      </c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>
        <v>3</v>
      </c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>
        <v>3</v>
      </c>
      <c r="BC305" s="6">
        <f t="shared" si="74"/>
        <v>12</v>
      </c>
    </row>
    <row r="306" spans="1:55">
      <c r="A306" s="5">
        <v>546</v>
      </c>
      <c r="B306" s="5" t="s">
        <v>488</v>
      </c>
      <c r="C306" s="5" t="s">
        <v>494</v>
      </c>
      <c r="D306" s="5" t="s">
        <v>495</v>
      </c>
      <c r="E306" s="10">
        <f>+VLOOKUP(C306,'[1]Summary Table'!$C$2:$G$287,5,0)</f>
        <v>40</v>
      </c>
      <c r="F306" s="8">
        <f t="shared" si="73"/>
        <v>4</v>
      </c>
      <c r="G306" s="6"/>
      <c r="H306" s="6"/>
      <c r="I306" s="6"/>
      <c r="J306" s="6">
        <v>1</v>
      </c>
      <c r="K306" s="6"/>
      <c r="L306" s="6"/>
      <c r="M306" s="6"/>
      <c r="N306" s="6">
        <v>1</v>
      </c>
      <c r="O306" s="6"/>
      <c r="P306" s="6"/>
      <c r="Q306" s="6"/>
      <c r="R306" s="6">
        <v>1</v>
      </c>
      <c r="S306" s="6"/>
      <c r="T306" s="6"/>
      <c r="U306" s="6"/>
      <c r="V306" s="6">
        <v>1</v>
      </c>
      <c r="W306" s="6"/>
      <c r="X306" s="6"/>
      <c r="Y306" s="6"/>
      <c r="Z306" s="6">
        <v>1</v>
      </c>
      <c r="AA306" s="6"/>
      <c r="AB306" s="6"/>
      <c r="AC306" s="6"/>
      <c r="AD306" s="6">
        <v>4</v>
      </c>
      <c r="AE306" s="6"/>
      <c r="AF306" s="6"/>
      <c r="AG306" s="6"/>
      <c r="AH306" s="6">
        <v>1</v>
      </c>
      <c r="AI306" s="6"/>
      <c r="AJ306" s="6"/>
      <c r="AK306" s="6"/>
      <c r="AL306" s="6">
        <v>1</v>
      </c>
      <c r="AM306" s="6"/>
      <c r="AN306" s="6"/>
      <c r="AO306" s="6"/>
      <c r="AP306" s="6">
        <v>1</v>
      </c>
      <c r="AQ306" s="6"/>
      <c r="AR306" s="6"/>
      <c r="AS306" s="6"/>
      <c r="AT306" s="6">
        <v>1</v>
      </c>
      <c r="AU306" s="6"/>
      <c r="AV306" s="6"/>
      <c r="AW306" s="6"/>
      <c r="AX306" s="6">
        <v>1</v>
      </c>
      <c r="AY306" s="6"/>
      <c r="AZ306" s="6"/>
      <c r="BA306" s="6"/>
      <c r="BB306" s="6">
        <v>4</v>
      </c>
      <c r="BC306" s="6">
        <f t="shared" si="74"/>
        <v>18</v>
      </c>
    </row>
    <row r="307" spans="1:55">
      <c r="A307" s="5">
        <v>547</v>
      </c>
      <c r="B307" s="5" t="s">
        <v>488</v>
      </c>
      <c r="C307" s="5" t="s">
        <v>496</v>
      </c>
      <c r="D307" s="5" t="s">
        <v>497</v>
      </c>
      <c r="E307" s="10">
        <f>+VLOOKUP(C307,'[1]Summary Table'!$C$2:$G$287,5,0)</f>
        <v>40</v>
      </c>
      <c r="F307" s="8">
        <f t="shared" si="73"/>
        <v>0.5</v>
      </c>
      <c r="G307" s="6"/>
      <c r="H307" s="6"/>
      <c r="I307" s="6"/>
      <c r="J307" s="6">
        <v>0.5</v>
      </c>
      <c r="K307" s="6"/>
      <c r="L307" s="6"/>
      <c r="M307" s="6"/>
      <c r="N307" s="6">
        <v>0.5</v>
      </c>
      <c r="O307" s="6"/>
      <c r="P307" s="6"/>
      <c r="Q307" s="6"/>
      <c r="R307" s="6">
        <v>0.5</v>
      </c>
      <c r="S307" s="6"/>
      <c r="T307" s="6"/>
      <c r="U307" s="6"/>
      <c r="V307" s="6">
        <v>0.5</v>
      </c>
      <c r="W307" s="6"/>
      <c r="X307" s="6"/>
      <c r="Y307" s="6"/>
      <c r="Z307" s="6">
        <v>0.5</v>
      </c>
      <c r="AA307" s="6"/>
      <c r="AB307" s="6"/>
      <c r="AC307" s="6"/>
      <c r="AD307" s="6">
        <v>0.5</v>
      </c>
      <c r="AE307" s="6"/>
      <c r="AF307" s="6"/>
      <c r="AG307" s="6"/>
      <c r="AH307" s="6">
        <v>0.5</v>
      </c>
      <c r="AI307" s="6"/>
      <c r="AJ307" s="6"/>
      <c r="AK307" s="6"/>
      <c r="AL307" s="6">
        <v>0.5</v>
      </c>
      <c r="AM307" s="6"/>
      <c r="AN307" s="6"/>
      <c r="AO307" s="6"/>
      <c r="AP307" s="6">
        <v>0.5</v>
      </c>
      <c r="AQ307" s="6"/>
      <c r="AR307" s="6"/>
      <c r="AS307" s="6"/>
      <c r="AT307" s="6">
        <v>0.5</v>
      </c>
      <c r="AU307" s="6"/>
      <c r="AV307" s="6"/>
      <c r="AW307" s="6"/>
      <c r="AX307" s="6">
        <v>0.5</v>
      </c>
      <c r="AY307" s="6"/>
      <c r="AZ307" s="6"/>
      <c r="BA307" s="6"/>
      <c r="BB307" s="6">
        <v>0.5</v>
      </c>
      <c r="BC307" s="6">
        <f t="shared" si="74"/>
        <v>6</v>
      </c>
    </row>
    <row r="308" spans="1:55">
      <c r="A308" s="5">
        <v>548</v>
      </c>
      <c r="B308" s="5" t="s">
        <v>488</v>
      </c>
      <c r="C308" s="5" t="s">
        <v>498</v>
      </c>
      <c r="D308" s="5" t="s">
        <v>499</v>
      </c>
      <c r="E308" s="9">
        <f>+VLOOKUP(C308,'[1]Summary Table'!$C$2:$G$287,5,0)</f>
        <v>27</v>
      </c>
      <c r="F308" s="8">
        <f t="shared" si="73"/>
        <v>3</v>
      </c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>
        <v>3</v>
      </c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>
        <v>3</v>
      </c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>
        <v>3</v>
      </c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>
        <v>3</v>
      </c>
      <c r="BC308" s="6">
        <f t="shared" si="74"/>
        <v>12</v>
      </c>
    </row>
    <row r="309" spans="1:55">
      <c r="A309" s="5">
        <v>549</v>
      </c>
      <c r="B309" s="5" t="s">
        <v>488</v>
      </c>
      <c r="C309" s="5" t="s">
        <v>500</v>
      </c>
      <c r="D309" s="5" t="s">
        <v>501</v>
      </c>
      <c r="E309" s="9">
        <f>+VLOOKUP(C309,'[1]Summary Table'!$C$2:$G$287,5,0)</f>
        <v>27</v>
      </c>
      <c r="F309" s="8">
        <f t="shared" si="73"/>
        <v>3</v>
      </c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>
        <v>3</v>
      </c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>
        <v>3</v>
      </c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>
        <v>3</v>
      </c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>
        <v>3</v>
      </c>
      <c r="BC309" s="6">
        <f t="shared" si="74"/>
        <v>12</v>
      </c>
    </row>
    <row r="310" spans="1:55">
      <c r="A310" s="5">
        <v>550</v>
      </c>
      <c r="B310" s="5" t="s">
        <v>488</v>
      </c>
      <c r="C310" s="5" t="s">
        <v>502</v>
      </c>
      <c r="D310" s="5" t="s">
        <v>503</v>
      </c>
      <c r="E310" s="9">
        <f>+VLOOKUP(C310,'[1]Summary Table'!$C$2:$G$287,5,0)</f>
        <v>27</v>
      </c>
      <c r="F310" s="8">
        <f t="shared" si="73"/>
        <v>3</v>
      </c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>
        <v>3</v>
      </c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>
        <v>3</v>
      </c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>
        <v>3</v>
      </c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>
        <v>3</v>
      </c>
      <c r="BC310" s="6">
        <f t="shared" si="74"/>
        <v>12</v>
      </c>
    </row>
    <row r="314" spans="1:55">
      <c r="D314" s="7" t="s">
        <v>504</v>
      </c>
      <c r="E314" s="5" t="s">
        <v>505</v>
      </c>
      <c r="F314" s="5" t="s">
        <v>506</v>
      </c>
      <c r="G314" s="5" t="s">
        <v>507</v>
      </c>
      <c r="H314" s="5" t="s">
        <v>508</v>
      </c>
      <c r="I314" s="5" t="s">
        <v>509</v>
      </c>
      <c r="J314" s="5" t="s">
        <v>510</v>
      </c>
      <c r="K314" s="4"/>
      <c r="L314" s="4"/>
      <c r="M314" s="4"/>
      <c r="N314" s="4"/>
    </row>
    <row r="315" spans="1:55">
      <c r="D315" s="7" t="s">
        <v>51</v>
      </c>
      <c r="E315" s="6">
        <v>60</v>
      </c>
      <c r="F315" s="6"/>
      <c r="G315" s="6"/>
      <c r="H315" s="6"/>
      <c r="I315" s="6"/>
      <c r="J315" s="6">
        <v>60</v>
      </c>
      <c r="K315" s="6"/>
      <c r="L315" s="6"/>
      <c r="M315" s="6"/>
      <c r="N315" s="6"/>
    </row>
    <row r="316" spans="1:55">
      <c r="D316" s="7" t="s">
        <v>71</v>
      </c>
      <c r="E316" s="6"/>
      <c r="F316" s="6">
        <v>60</v>
      </c>
      <c r="G316" s="6"/>
      <c r="H316" s="6"/>
      <c r="I316" s="6"/>
      <c r="J316" s="6"/>
      <c r="K316" s="6">
        <v>60</v>
      </c>
      <c r="L316" s="6"/>
      <c r="M316" s="6"/>
      <c r="N316" s="6"/>
      <c r="O316" s="1"/>
    </row>
    <row r="317" spans="1:55">
      <c r="D317" s="7" t="s">
        <v>71</v>
      </c>
      <c r="E317" s="6"/>
      <c r="F317" s="6"/>
      <c r="G317" s="6">
        <v>60</v>
      </c>
      <c r="H317" s="6"/>
      <c r="I317" s="6"/>
      <c r="J317" s="6"/>
      <c r="K317" s="6"/>
      <c r="L317" s="6">
        <v>60</v>
      </c>
      <c r="M317" s="6"/>
      <c r="N317" s="6"/>
    </row>
    <row r="318" spans="1:55">
      <c r="D318" s="7" t="s">
        <v>262</v>
      </c>
      <c r="E318" s="6"/>
      <c r="F318" s="6"/>
      <c r="G318" s="6"/>
      <c r="H318" s="6">
        <v>60</v>
      </c>
      <c r="I318" s="6"/>
      <c r="J318" s="6"/>
      <c r="K318" s="6"/>
      <c r="L318" s="6"/>
      <c r="M318" s="6">
        <v>60</v>
      </c>
      <c r="N318" s="6"/>
    </row>
    <row r="319" spans="1:55">
      <c r="D319" s="43" t="s">
        <v>81</v>
      </c>
      <c r="E319" s="6"/>
      <c r="F319" s="6"/>
      <c r="G319" s="6"/>
      <c r="H319" s="6"/>
      <c r="I319" s="6">
        <v>60</v>
      </c>
      <c r="J319" s="6"/>
      <c r="K319" s="6"/>
      <c r="L319" s="6"/>
      <c r="M319" s="6"/>
      <c r="N319" s="6">
        <v>60</v>
      </c>
    </row>
    <row r="320" spans="1:55">
      <c r="D320" s="5" t="s">
        <v>274</v>
      </c>
      <c r="E320" s="6"/>
      <c r="F320" s="6"/>
      <c r="G320" s="6"/>
      <c r="H320" s="6"/>
      <c r="I320" s="6">
        <v>48</v>
      </c>
      <c r="J320" s="6"/>
      <c r="K320" s="6"/>
      <c r="L320" s="6"/>
      <c r="M320" s="6"/>
      <c r="N320" s="6">
        <v>48</v>
      </c>
    </row>
    <row r="322" spans="3:12">
      <c r="E322" s="5" t="s">
        <v>511</v>
      </c>
      <c r="F322" s="5" t="s">
        <v>512</v>
      </c>
      <c r="G322" s="5" t="s">
        <v>513</v>
      </c>
      <c r="H322" s="5" t="s">
        <v>514</v>
      </c>
    </row>
    <row r="323" spans="3:12">
      <c r="D323" s="5" t="s">
        <v>58</v>
      </c>
      <c r="E323" s="5">
        <v>24</v>
      </c>
      <c r="F323" s="4"/>
      <c r="G323" s="4"/>
      <c r="H323" s="4"/>
    </row>
    <row r="324" spans="3:12">
      <c r="D324" s="5" t="s">
        <v>58</v>
      </c>
      <c r="E324" s="5"/>
      <c r="F324" s="5">
        <v>24</v>
      </c>
      <c r="G324" s="4"/>
      <c r="H324" s="4"/>
    </row>
    <row r="325" spans="3:12">
      <c r="D325" s="5" t="s">
        <v>58</v>
      </c>
      <c r="E325" s="5"/>
      <c r="F325" s="5"/>
      <c r="G325" s="5">
        <v>24</v>
      </c>
      <c r="H325" s="4"/>
    </row>
    <row r="326" spans="3:12">
      <c r="D326" s="5" t="s">
        <v>58</v>
      </c>
      <c r="E326" s="5"/>
      <c r="F326" s="5"/>
      <c r="G326" s="5"/>
      <c r="H326" s="5">
        <v>24</v>
      </c>
    </row>
    <row r="327" spans="3:12">
      <c r="D327" s="5" t="s">
        <v>63</v>
      </c>
      <c r="E327" s="5">
        <v>12</v>
      </c>
      <c r="F327" s="5"/>
      <c r="G327" s="5"/>
      <c r="H327" s="5"/>
    </row>
    <row r="328" spans="3:12">
      <c r="D328" s="5" t="s">
        <v>63</v>
      </c>
      <c r="E328" s="5"/>
      <c r="F328" s="5">
        <v>12</v>
      </c>
      <c r="G328" s="5"/>
      <c r="H328" s="5"/>
    </row>
    <row r="329" spans="3:12">
      <c r="D329" s="5" t="s">
        <v>63</v>
      </c>
      <c r="E329" s="5"/>
      <c r="F329" s="4"/>
      <c r="G329" s="5">
        <v>12</v>
      </c>
      <c r="H329" s="5"/>
    </row>
    <row r="330" spans="3:12">
      <c r="D330" s="5" t="s">
        <v>63</v>
      </c>
      <c r="E330" s="5"/>
      <c r="F330" s="4"/>
      <c r="G330" s="4"/>
      <c r="H330" s="5">
        <v>12</v>
      </c>
    </row>
    <row r="332" spans="3:12">
      <c r="E332" s="5" t="s">
        <v>505</v>
      </c>
      <c r="F332" s="5" t="s">
        <v>506</v>
      </c>
      <c r="G332" s="5" t="s">
        <v>507</v>
      </c>
      <c r="H332" s="5" t="s">
        <v>508</v>
      </c>
      <c r="I332" s="5" t="s">
        <v>509</v>
      </c>
      <c r="J332" s="5" t="s">
        <v>510</v>
      </c>
      <c r="K332" s="5" t="s">
        <v>515</v>
      </c>
      <c r="L332" s="5" t="s">
        <v>516</v>
      </c>
    </row>
    <row r="333" spans="3:12">
      <c r="C333" s="5" t="s">
        <v>93</v>
      </c>
      <c r="D333" s="5" t="s">
        <v>94</v>
      </c>
      <c r="E333" s="4">
        <v>24</v>
      </c>
      <c r="F333" s="4"/>
      <c r="G333" s="4"/>
      <c r="H333" s="4"/>
      <c r="I333" s="4"/>
      <c r="J333" s="4"/>
      <c r="K333" s="4"/>
      <c r="L333" s="4"/>
    </row>
    <row r="334" spans="3:12">
      <c r="C334" s="5" t="s">
        <v>95</v>
      </c>
      <c r="D334" s="5" t="s">
        <v>94</v>
      </c>
      <c r="E334" s="4"/>
      <c r="F334" s="4">
        <v>24</v>
      </c>
      <c r="G334" s="4"/>
      <c r="H334" s="4"/>
      <c r="I334" s="4"/>
      <c r="J334" s="4"/>
      <c r="K334" s="4"/>
      <c r="L334" s="4"/>
    </row>
    <row r="335" spans="3:12">
      <c r="C335" s="5" t="s">
        <v>96</v>
      </c>
      <c r="D335" s="5" t="s">
        <v>94</v>
      </c>
      <c r="E335" s="4"/>
      <c r="F335" s="4"/>
      <c r="G335" s="4">
        <v>24</v>
      </c>
      <c r="H335" s="4"/>
      <c r="I335" s="4"/>
      <c r="J335" s="4"/>
      <c r="K335" s="4"/>
      <c r="L335" s="4"/>
    </row>
    <row r="336" spans="3:12">
      <c r="C336" s="5" t="s">
        <v>97</v>
      </c>
      <c r="D336" s="5" t="s">
        <v>94</v>
      </c>
      <c r="E336" s="4"/>
      <c r="F336" s="4"/>
      <c r="G336" s="4"/>
      <c r="H336" s="4">
        <v>24</v>
      </c>
      <c r="I336" s="4"/>
      <c r="J336" s="4"/>
      <c r="K336" s="4"/>
      <c r="L336" s="4"/>
    </row>
    <row r="337" spans="3:12">
      <c r="C337" s="5" t="s">
        <v>98</v>
      </c>
      <c r="D337" s="5" t="s">
        <v>94</v>
      </c>
      <c r="E337" s="4"/>
      <c r="F337" s="4"/>
      <c r="G337" s="4"/>
      <c r="H337" s="4"/>
      <c r="I337" s="4">
        <v>24</v>
      </c>
      <c r="J337" s="4"/>
      <c r="K337" s="4"/>
      <c r="L337" s="4"/>
    </row>
    <row r="338" spans="3:12">
      <c r="C338" s="5" t="s">
        <v>99</v>
      </c>
      <c r="D338" s="5" t="s">
        <v>94</v>
      </c>
      <c r="E338" s="4"/>
      <c r="F338" s="4"/>
      <c r="G338" s="4"/>
      <c r="H338" s="4"/>
      <c r="I338" s="4"/>
      <c r="J338" s="4">
        <v>24</v>
      </c>
      <c r="K338" s="4"/>
      <c r="L338" s="4"/>
    </row>
    <row r="339" spans="3:12">
      <c r="C339" s="5" t="s">
        <v>100</v>
      </c>
      <c r="D339" s="5" t="s">
        <v>94</v>
      </c>
      <c r="E339" s="4"/>
      <c r="F339" s="4"/>
      <c r="G339" s="4"/>
      <c r="H339" s="4"/>
      <c r="I339" s="4"/>
      <c r="J339" s="4"/>
      <c r="K339" s="4">
        <v>24</v>
      </c>
      <c r="L339" s="4"/>
    </row>
    <row r="340" spans="3:12">
      <c r="C340" s="5" t="s">
        <v>101</v>
      </c>
      <c r="D340" s="5" t="s">
        <v>94</v>
      </c>
      <c r="E340" s="4"/>
      <c r="F340" s="4"/>
      <c r="G340" s="4"/>
      <c r="H340" s="4"/>
      <c r="I340" s="4"/>
      <c r="J340" s="4"/>
      <c r="K340" s="4"/>
      <c r="L340" s="4">
        <v>24</v>
      </c>
    </row>
    <row r="341" spans="3:12">
      <c r="C341" s="5" t="s">
        <v>102</v>
      </c>
      <c r="D341" s="5" t="s">
        <v>103</v>
      </c>
      <c r="E341" s="4">
        <v>12</v>
      </c>
      <c r="F341" s="4"/>
      <c r="G341" s="4"/>
      <c r="H341" s="4"/>
      <c r="I341" s="4"/>
      <c r="J341" s="4"/>
      <c r="K341" s="4"/>
      <c r="L341" s="4"/>
    </row>
    <row r="342" spans="3:12">
      <c r="C342" s="5" t="s">
        <v>104</v>
      </c>
      <c r="D342" s="5" t="s">
        <v>103</v>
      </c>
      <c r="E342" s="4"/>
      <c r="F342" s="4">
        <v>12</v>
      </c>
      <c r="G342" s="4"/>
      <c r="H342" s="4"/>
      <c r="I342" s="4"/>
      <c r="J342" s="4"/>
      <c r="K342" s="4"/>
      <c r="L342" s="4"/>
    </row>
    <row r="343" spans="3:12">
      <c r="C343" s="5" t="s">
        <v>105</v>
      </c>
      <c r="D343" s="5" t="s">
        <v>103</v>
      </c>
      <c r="E343" s="4"/>
      <c r="F343" s="4"/>
      <c r="G343" s="4">
        <v>12</v>
      </c>
      <c r="H343" s="4"/>
      <c r="I343" s="4"/>
      <c r="J343" s="4"/>
      <c r="K343" s="4"/>
      <c r="L343" s="4"/>
    </row>
    <row r="344" spans="3:12">
      <c r="C344" s="5" t="s">
        <v>106</v>
      </c>
      <c r="D344" s="5" t="s">
        <v>103</v>
      </c>
      <c r="E344" s="4"/>
      <c r="F344" s="4"/>
      <c r="G344" s="4"/>
      <c r="H344" s="4">
        <v>12</v>
      </c>
      <c r="I344" s="4"/>
      <c r="J344" s="4"/>
      <c r="K344" s="4"/>
      <c r="L344" s="4"/>
    </row>
    <row r="345" spans="3:12">
      <c r="C345" s="5" t="s">
        <v>107</v>
      </c>
      <c r="D345" s="5" t="s">
        <v>103</v>
      </c>
      <c r="E345" s="4"/>
      <c r="F345" s="4"/>
      <c r="G345" s="4"/>
      <c r="H345" s="4"/>
      <c r="I345" s="4">
        <v>12</v>
      </c>
      <c r="J345" s="4"/>
      <c r="K345" s="4"/>
      <c r="L345" s="4"/>
    </row>
    <row r="346" spans="3:12">
      <c r="C346" s="5" t="s">
        <v>108</v>
      </c>
      <c r="D346" s="5" t="s">
        <v>103</v>
      </c>
      <c r="E346" s="4"/>
      <c r="F346" s="4"/>
      <c r="G346" s="4"/>
      <c r="H346" s="4"/>
      <c r="I346" s="4"/>
      <c r="J346" s="4">
        <v>12</v>
      </c>
      <c r="K346" s="4"/>
      <c r="L346" s="4"/>
    </row>
    <row r="347" spans="3:12">
      <c r="C347" s="5" t="s">
        <v>109</v>
      </c>
      <c r="D347" s="5" t="s">
        <v>103</v>
      </c>
      <c r="E347" s="4"/>
      <c r="F347" s="4"/>
      <c r="G347" s="4"/>
      <c r="H347" s="4"/>
      <c r="I347" s="4"/>
      <c r="J347" s="4"/>
      <c r="K347" s="4">
        <v>12</v>
      </c>
      <c r="L347" s="4"/>
    </row>
    <row r="348" spans="3:12">
      <c r="C348" s="5" t="s">
        <v>110</v>
      </c>
      <c r="D348" s="5" t="s">
        <v>103</v>
      </c>
      <c r="E348" s="4"/>
      <c r="F348" s="4"/>
      <c r="G348" s="4"/>
      <c r="H348" s="4"/>
      <c r="I348" s="4"/>
      <c r="J348" s="4"/>
      <c r="K348" s="4"/>
      <c r="L348" s="4">
        <v>12</v>
      </c>
    </row>
    <row r="350" spans="3:12">
      <c r="D350" s="3" t="s">
        <v>517</v>
      </c>
    </row>
    <row r="351" spans="3:12">
      <c r="D351" s="5" t="s">
        <v>32</v>
      </c>
      <c r="E351" t="s">
        <v>518</v>
      </c>
    </row>
  </sheetData>
  <autoFilter ref="A2:BC310" xr:uid="{00000000-0009-0000-0000-000002000000}">
    <sortState xmlns:xlrd2="http://schemas.microsoft.com/office/spreadsheetml/2017/richdata2" ref="A3:BB409">
      <sortCondition ref="A2:A409"/>
    </sortState>
  </autoFilter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0041C-6E30-46E1-BF2C-EA8664FBAB79}">
  <dimension ref="A1:G287"/>
  <sheetViews>
    <sheetView zoomScale="85" zoomScaleNormal="85" workbookViewId="0">
      <pane ySplit="1" topLeftCell="A2" activePane="bottomLeft" state="frozen"/>
      <selection pane="bottomLeft" activeCell="J29" sqref="J29"/>
      <selection activeCell="C4" sqref="C4:G16"/>
    </sheetView>
  </sheetViews>
  <sheetFormatPr defaultColWidth="11.42578125" defaultRowHeight="14.45"/>
  <cols>
    <col min="1" max="1" width="18.42578125" style="52" customWidth="1"/>
    <col min="2" max="2" width="18.140625" style="52" bestFit="1" customWidth="1"/>
    <col min="3" max="3" width="38.140625" style="52" bestFit="1" customWidth="1"/>
    <col min="4" max="4" width="18.140625" style="52" bestFit="1" customWidth="1"/>
    <col min="5" max="5" width="21.85546875" style="52" bestFit="1" customWidth="1"/>
    <col min="6" max="6" width="21.85546875" style="52" customWidth="1"/>
    <col min="7" max="7" width="14.7109375" style="52" customWidth="1"/>
    <col min="8" max="16384" width="11.42578125" style="52"/>
  </cols>
  <sheetData>
    <row r="1" spans="1:7">
      <c r="A1" s="53" t="s">
        <v>2</v>
      </c>
      <c r="B1" s="53" t="s">
        <v>3</v>
      </c>
      <c r="C1" s="54" t="s">
        <v>519</v>
      </c>
      <c r="D1" s="54" t="s">
        <v>520</v>
      </c>
      <c r="E1" s="54" t="s">
        <v>521</v>
      </c>
      <c r="F1" s="54" t="s">
        <v>5</v>
      </c>
      <c r="G1" s="54" t="s">
        <v>522</v>
      </c>
    </row>
    <row r="2" spans="1:7">
      <c r="A2" s="53" t="s">
        <v>523</v>
      </c>
      <c r="B2" s="53" t="s">
        <v>15</v>
      </c>
      <c r="C2" s="53" t="s">
        <v>16</v>
      </c>
      <c r="D2" s="53" t="s">
        <v>15</v>
      </c>
      <c r="E2" s="55" t="s">
        <v>524</v>
      </c>
      <c r="F2" s="56">
        <f>+VLOOKUP(B2,'[2]Summary Table'!$C$2:$G$287,5,0)</f>
        <v>1</v>
      </c>
      <c r="G2" s="57">
        <f>+VLOOKUP(B2,'[2]Summary Table'!$C$2:$J$287,8,0)</f>
        <v>0.88028231400000001</v>
      </c>
    </row>
    <row r="3" spans="1:7">
      <c r="A3" s="53" t="s">
        <v>525</v>
      </c>
      <c r="B3" s="53" t="s">
        <v>27</v>
      </c>
      <c r="C3" s="53" t="s">
        <v>28</v>
      </c>
      <c r="D3" s="53" t="s">
        <v>27</v>
      </c>
      <c r="E3" s="55" t="s">
        <v>524</v>
      </c>
      <c r="F3" s="56">
        <f>+VLOOKUP(B3,'[2]Summary Table'!$C$2:$G$287,5,0)</f>
        <v>2</v>
      </c>
      <c r="G3" s="57">
        <f>+VLOOKUP(B3,'[2]Summary Table'!$C$2:$J$287,8,0)</f>
        <v>1.0437785800000001</v>
      </c>
    </row>
    <row r="4" spans="1:7">
      <c r="A4" s="53" t="s">
        <v>525</v>
      </c>
      <c r="B4" s="53" t="s">
        <v>36</v>
      </c>
      <c r="C4" s="53" t="s">
        <v>37</v>
      </c>
      <c r="D4" s="53" t="s">
        <v>36</v>
      </c>
      <c r="E4" s="55" t="s">
        <v>524</v>
      </c>
      <c r="F4" s="56">
        <f>+VLOOKUP(B4,'[2]Summary Table'!$C$2:$G$287,5,0)</f>
        <v>3</v>
      </c>
      <c r="G4" s="57">
        <f>+VLOOKUP(B4,'[2]Summary Table'!$C$2:$J$287,8,0)</f>
        <v>0.62854693900000003</v>
      </c>
    </row>
    <row r="5" spans="1:7">
      <c r="A5" s="53" t="s">
        <v>523</v>
      </c>
      <c r="B5" s="53" t="s">
        <v>22</v>
      </c>
      <c r="C5" s="53" t="s">
        <v>23</v>
      </c>
      <c r="D5" s="53" t="s">
        <v>22</v>
      </c>
      <c r="E5" s="55" t="s">
        <v>524</v>
      </c>
      <c r="F5" s="56">
        <f>+VLOOKUP(B5,'[2]Summary Table'!$C$2:$G$287,5,0)</f>
        <v>4</v>
      </c>
      <c r="G5" s="57">
        <f>+VLOOKUP(B5,'[2]Summary Table'!$C$2:$J$287,8,0)</f>
        <v>2.70268686</v>
      </c>
    </row>
    <row r="6" spans="1:7">
      <c r="A6" s="53" t="s">
        <v>523</v>
      </c>
      <c r="B6" s="53" t="s">
        <v>24</v>
      </c>
      <c r="C6" s="53" t="s">
        <v>23</v>
      </c>
      <c r="D6" s="53" t="s">
        <v>24</v>
      </c>
      <c r="E6" s="55" t="s">
        <v>524</v>
      </c>
      <c r="F6" s="56">
        <f>+VLOOKUP(B6,'[2]Summary Table'!$C$2:$G$287,5,0)</f>
        <v>4</v>
      </c>
      <c r="G6" s="57">
        <f>+VLOOKUP(B6,'[2]Summary Table'!$C$2:$J$287,8,0)</f>
        <v>2.70268686</v>
      </c>
    </row>
    <row r="7" spans="1:7">
      <c r="A7" s="53" t="s">
        <v>523</v>
      </c>
      <c r="B7" s="53" t="s">
        <v>19</v>
      </c>
      <c r="C7" s="53" t="s">
        <v>20</v>
      </c>
      <c r="D7" s="53" t="s">
        <v>19</v>
      </c>
      <c r="E7" s="55" t="s">
        <v>524</v>
      </c>
      <c r="F7" s="56">
        <f>+VLOOKUP(B7,'[2]Summary Table'!$C$2:$G$287,5,0)</f>
        <v>5</v>
      </c>
      <c r="G7" s="57">
        <f>+VLOOKUP(B7,'[2]Summary Table'!$C$2:$J$287,8,0)</f>
        <v>1.343987195</v>
      </c>
    </row>
    <row r="8" spans="1:7">
      <c r="A8" s="53" t="s">
        <v>227</v>
      </c>
      <c r="B8" s="53" t="s">
        <v>526</v>
      </c>
      <c r="C8" s="53" t="s">
        <v>251</v>
      </c>
      <c r="D8" s="53" t="s">
        <v>527</v>
      </c>
      <c r="E8" s="55" t="s">
        <v>524</v>
      </c>
      <c r="F8" s="56">
        <f>+VLOOKUP(B8,'[2]Summary Table'!$C$2:$G$287,5,0)</f>
        <v>6</v>
      </c>
      <c r="G8" s="57">
        <f>+VLOOKUP(B8,'[2]Summary Table'!$C$2:$J$287,8,0)</f>
        <v>1.6341088850000001</v>
      </c>
    </row>
    <row r="9" spans="1:7">
      <c r="A9" s="53" t="s">
        <v>227</v>
      </c>
      <c r="B9" s="53" t="s">
        <v>528</v>
      </c>
      <c r="C9" s="53" t="s">
        <v>251</v>
      </c>
      <c r="D9" s="53" t="s">
        <v>527</v>
      </c>
      <c r="E9" s="55" t="s">
        <v>524</v>
      </c>
      <c r="F9" s="56">
        <f>+VLOOKUP(B9,'[2]Summary Table'!$C$2:$G$287,5,0)</f>
        <v>6</v>
      </c>
      <c r="G9" s="57">
        <f>+VLOOKUP(B9,'[2]Summary Table'!$C$2:$J$287,8,0)</f>
        <v>1.6341088850000001</v>
      </c>
    </row>
    <row r="10" spans="1:7">
      <c r="A10" s="53" t="s">
        <v>529</v>
      </c>
      <c r="B10" s="53" t="s">
        <v>203</v>
      </c>
      <c r="C10" s="53" t="s">
        <v>204</v>
      </c>
      <c r="D10" s="53" t="s">
        <v>203</v>
      </c>
      <c r="E10" s="55" t="s">
        <v>524</v>
      </c>
      <c r="F10" s="56">
        <f>+VLOOKUP(B10,'[2]Summary Table'!$C$2:$G$287,5,0)</f>
        <v>6</v>
      </c>
      <c r="G10" s="57">
        <f>+VLOOKUP(B10,'[2]Summary Table'!$C$2:$J$287,8,0)</f>
        <v>1.6341088850000001</v>
      </c>
    </row>
    <row r="11" spans="1:7">
      <c r="A11" s="53" t="s">
        <v>529</v>
      </c>
      <c r="B11" s="53" t="s">
        <v>209</v>
      </c>
      <c r="C11" s="53" t="s">
        <v>210</v>
      </c>
      <c r="D11" s="53" t="s">
        <v>209</v>
      </c>
      <c r="E11" s="55" t="s">
        <v>524</v>
      </c>
      <c r="F11" s="56">
        <f>+VLOOKUP(B11,'[2]Summary Table'!$C$2:$G$287,5,0)</f>
        <v>6</v>
      </c>
      <c r="G11" s="57">
        <f>+VLOOKUP(B11,'[2]Summary Table'!$C$2:$J$287,8,0)</f>
        <v>1.6341088850000001</v>
      </c>
    </row>
    <row r="12" spans="1:7">
      <c r="A12" s="53" t="s">
        <v>525</v>
      </c>
      <c r="B12" s="53" t="s">
        <v>34</v>
      </c>
      <c r="C12" s="53" t="s">
        <v>35</v>
      </c>
      <c r="D12" s="53" t="s">
        <v>34</v>
      </c>
      <c r="E12" s="55" t="s">
        <v>524</v>
      </c>
      <c r="F12" s="56">
        <f>+VLOOKUP(B12,'[2]Summary Table'!$C$2:$G$287,5,0)</f>
        <v>7</v>
      </c>
      <c r="G12" s="57">
        <f>+VLOOKUP(B12,'[2]Summary Table'!$C$2:$J$287,8,0)</f>
        <v>2.7236693650000006</v>
      </c>
    </row>
    <row r="13" spans="1:7">
      <c r="A13" s="53" t="s">
        <v>529</v>
      </c>
      <c r="B13" s="53" t="s">
        <v>199</v>
      </c>
      <c r="C13" s="53" t="s">
        <v>200</v>
      </c>
      <c r="D13" s="53" t="s">
        <v>199</v>
      </c>
      <c r="E13" s="55" t="s">
        <v>524</v>
      </c>
      <c r="F13" s="56">
        <f>+VLOOKUP(B13,'[2]Summary Table'!$C$2:$G$287,5,0)</f>
        <v>8</v>
      </c>
      <c r="G13" s="57">
        <f>+VLOOKUP(B13,'[2]Summary Table'!$C$2:$J$287,8,0)</f>
        <v>1.0990249999999999</v>
      </c>
    </row>
    <row r="14" spans="1:7">
      <c r="A14" s="53" t="s">
        <v>227</v>
      </c>
      <c r="B14" s="53" t="s">
        <v>246</v>
      </c>
      <c r="C14" s="58" t="s">
        <v>247</v>
      </c>
      <c r="D14" s="53" t="s">
        <v>246</v>
      </c>
      <c r="E14" s="55" t="s">
        <v>524</v>
      </c>
      <c r="F14" s="56">
        <f>+VLOOKUP(B14,'[2]Summary Table'!$C$2:$G$287,5,0)</f>
        <v>8</v>
      </c>
      <c r="G14" s="57">
        <f>+VLOOKUP(B14,'[2]Summary Table'!$C$2:$J$287,8,0)</f>
        <v>1.0990249999999999</v>
      </c>
    </row>
    <row r="15" spans="1:7">
      <c r="A15" s="53" t="s">
        <v>312</v>
      </c>
      <c r="B15" s="53" t="s">
        <v>321</v>
      </c>
      <c r="C15" s="53" t="s">
        <v>322</v>
      </c>
      <c r="D15" s="53" t="s">
        <v>321</v>
      </c>
      <c r="E15" s="55" t="s">
        <v>524</v>
      </c>
      <c r="F15" s="56">
        <f>+VLOOKUP(B15,'[2]Summary Table'!$C$2:$G$287,5,0)</f>
        <v>8</v>
      </c>
      <c r="G15" s="57">
        <f>+VLOOKUP(B15,'[2]Summary Table'!$C$2:$J$287,8,0)</f>
        <v>1.0990249999999999</v>
      </c>
    </row>
    <row r="16" spans="1:7">
      <c r="A16" s="53" t="s">
        <v>337</v>
      </c>
      <c r="B16" s="53" t="s">
        <v>346</v>
      </c>
      <c r="C16" s="53" t="s">
        <v>347</v>
      </c>
      <c r="D16" s="53" t="s">
        <v>346</v>
      </c>
      <c r="E16" s="55" t="s">
        <v>524</v>
      </c>
      <c r="F16" s="56">
        <f>+VLOOKUP(B16,'[2]Summary Table'!$C$2:$G$287,5,0)</f>
        <v>8</v>
      </c>
      <c r="G16" s="57">
        <f>+VLOOKUP(B16,'[2]Summary Table'!$C$2:$J$287,8,0)</f>
        <v>1.0990249999999999</v>
      </c>
    </row>
    <row r="17" spans="1:7">
      <c r="A17" s="53" t="s">
        <v>361</v>
      </c>
      <c r="B17" s="53" t="s">
        <v>362</v>
      </c>
      <c r="C17" s="53" t="s">
        <v>363</v>
      </c>
      <c r="D17" s="53" t="s">
        <v>362</v>
      </c>
      <c r="E17" s="55" t="s">
        <v>524</v>
      </c>
      <c r="F17" s="56">
        <f>+VLOOKUP(B17,'[2]Summary Table'!$C$2:$G$287,5,0)</f>
        <v>8</v>
      </c>
      <c r="G17" s="57">
        <f>+VLOOKUP(B17,'[2]Summary Table'!$C$2:$J$287,8,0)</f>
        <v>1.0990249999999999</v>
      </c>
    </row>
    <row r="18" spans="1:7">
      <c r="A18" s="53" t="s">
        <v>391</v>
      </c>
      <c r="B18" s="53" t="s">
        <v>392</v>
      </c>
      <c r="C18" s="53" t="s">
        <v>393</v>
      </c>
      <c r="D18" s="53" t="s">
        <v>392</v>
      </c>
      <c r="E18" s="55" t="s">
        <v>524</v>
      </c>
      <c r="F18" s="56">
        <f>+VLOOKUP(B18,'[2]Summary Table'!$C$2:$G$287,5,0)</f>
        <v>8</v>
      </c>
      <c r="G18" s="57">
        <f>+VLOOKUP(B18,'[2]Summary Table'!$C$2:$J$287,8,0)</f>
        <v>1.0990249999999999</v>
      </c>
    </row>
    <row r="19" spans="1:7">
      <c r="A19" s="53" t="s">
        <v>391</v>
      </c>
      <c r="B19" s="53" t="s">
        <v>408</v>
      </c>
      <c r="C19" s="53" t="s">
        <v>409</v>
      </c>
      <c r="D19" s="53" t="s">
        <v>408</v>
      </c>
      <c r="E19" s="55" t="s">
        <v>524</v>
      </c>
      <c r="F19" s="56">
        <f>+VLOOKUP(B19,'[2]Summary Table'!$C$2:$G$287,5,0)</f>
        <v>8</v>
      </c>
      <c r="G19" s="57">
        <f>+VLOOKUP(B19,'[2]Summary Table'!$C$2:$J$287,8,0)</f>
        <v>1.0990249999999999</v>
      </c>
    </row>
    <row r="20" spans="1:7">
      <c r="A20" s="53" t="s">
        <v>530</v>
      </c>
      <c r="B20" s="53" t="s">
        <v>120</v>
      </c>
      <c r="C20" s="58" t="s">
        <v>121</v>
      </c>
      <c r="D20" s="53" t="s">
        <v>120</v>
      </c>
      <c r="E20" s="55" t="s">
        <v>524</v>
      </c>
      <c r="F20" s="56">
        <f>+VLOOKUP(B20,'[2]Summary Table'!$C$2:$G$287,5,0)</f>
        <v>9</v>
      </c>
      <c r="G20" s="57">
        <f>+VLOOKUP(B20,'[2]Summary Table'!$C$2:$J$287,8,0)</f>
        <v>0.57909999999999995</v>
      </c>
    </row>
    <row r="21" spans="1:7">
      <c r="A21" s="53" t="s">
        <v>530</v>
      </c>
      <c r="B21" s="53" t="s">
        <v>122</v>
      </c>
      <c r="C21" s="58" t="s">
        <v>121</v>
      </c>
      <c r="D21" s="53" t="s">
        <v>122</v>
      </c>
      <c r="E21" s="55" t="s">
        <v>524</v>
      </c>
      <c r="F21" s="56">
        <f>+VLOOKUP(B21,'[2]Summary Table'!$C$2:$G$287,5,0)</f>
        <v>9</v>
      </c>
      <c r="G21" s="57">
        <f>+VLOOKUP(B21,'[2]Summary Table'!$C$2:$J$287,8,0)</f>
        <v>0.57909999999999995</v>
      </c>
    </row>
    <row r="22" spans="1:7">
      <c r="A22" s="53" t="s">
        <v>530</v>
      </c>
      <c r="B22" s="53" t="s">
        <v>123</v>
      </c>
      <c r="C22" s="58" t="s">
        <v>121</v>
      </c>
      <c r="D22" s="53" t="s">
        <v>123</v>
      </c>
      <c r="E22" s="55" t="s">
        <v>524</v>
      </c>
      <c r="F22" s="56">
        <f>+VLOOKUP(B22,'[2]Summary Table'!$C$2:$G$287,5,0)</f>
        <v>9</v>
      </c>
      <c r="G22" s="57">
        <f>+VLOOKUP(B22,'[2]Summary Table'!$C$2:$J$287,8,0)</f>
        <v>0.57909999999999995</v>
      </c>
    </row>
    <row r="23" spans="1:7">
      <c r="A23" s="53" t="s">
        <v>530</v>
      </c>
      <c r="B23" s="53" t="s">
        <v>124</v>
      </c>
      <c r="C23" s="58" t="s">
        <v>121</v>
      </c>
      <c r="D23" s="53" t="s">
        <v>124</v>
      </c>
      <c r="E23" s="55" t="s">
        <v>524</v>
      </c>
      <c r="F23" s="56">
        <f>+VLOOKUP(B23,'[2]Summary Table'!$C$2:$G$287,5,0)</f>
        <v>9</v>
      </c>
      <c r="G23" s="57">
        <f>+VLOOKUP(B23,'[2]Summary Table'!$C$2:$J$287,8,0)</f>
        <v>0.57909999999999995</v>
      </c>
    </row>
    <row r="24" spans="1:7">
      <c r="A24" s="53" t="s">
        <v>530</v>
      </c>
      <c r="B24" s="53" t="s">
        <v>125</v>
      </c>
      <c r="C24" s="58" t="s">
        <v>121</v>
      </c>
      <c r="D24" s="53" t="s">
        <v>125</v>
      </c>
      <c r="E24" s="55" t="s">
        <v>524</v>
      </c>
      <c r="F24" s="56">
        <f>+VLOOKUP(B24,'[2]Summary Table'!$C$2:$G$287,5,0)</f>
        <v>9</v>
      </c>
      <c r="G24" s="57">
        <f>+VLOOKUP(B24,'[2]Summary Table'!$C$2:$J$287,8,0)</f>
        <v>0.57909999999999995</v>
      </c>
    </row>
    <row r="25" spans="1:7">
      <c r="A25" s="53" t="s">
        <v>530</v>
      </c>
      <c r="B25" s="53" t="s">
        <v>126</v>
      </c>
      <c r="C25" s="58" t="s">
        <v>121</v>
      </c>
      <c r="D25" s="53" t="s">
        <v>126</v>
      </c>
      <c r="E25" s="55" t="s">
        <v>524</v>
      </c>
      <c r="F25" s="56">
        <f>+VLOOKUP(B25,'[2]Summary Table'!$C$2:$G$287,5,0)</f>
        <v>9</v>
      </c>
      <c r="G25" s="57">
        <f>+VLOOKUP(B25,'[2]Summary Table'!$C$2:$J$287,8,0)</f>
        <v>0.57909999999999995</v>
      </c>
    </row>
    <row r="26" spans="1:7">
      <c r="A26" s="53" t="s">
        <v>530</v>
      </c>
      <c r="B26" s="53" t="s">
        <v>127</v>
      </c>
      <c r="C26" s="58" t="s">
        <v>121</v>
      </c>
      <c r="D26" s="53" t="s">
        <v>127</v>
      </c>
      <c r="E26" s="55" t="s">
        <v>524</v>
      </c>
      <c r="F26" s="56">
        <f>+VLOOKUP(B26,'[2]Summary Table'!$C$2:$G$287,5,0)</f>
        <v>9</v>
      </c>
      <c r="G26" s="57">
        <f>+VLOOKUP(B26,'[2]Summary Table'!$C$2:$J$287,8,0)</f>
        <v>0.57909999999999995</v>
      </c>
    </row>
    <row r="27" spans="1:7">
      <c r="A27" s="53" t="s">
        <v>530</v>
      </c>
      <c r="B27" s="53" t="s">
        <v>128</v>
      </c>
      <c r="C27" s="58" t="s">
        <v>121</v>
      </c>
      <c r="D27" s="53" t="s">
        <v>128</v>
      </c>
      <c r="E27" s="55" t="s">
        <v>524</v>
      </c>
      <c r="F27" s="56">
        <f>+VLOOKUP(B27,'[2]Summary Table'!$C$2:$G$287,5,0)</f>
        <v>9</v>
      </c>
      <c r="G27" s="57">
        <f>+VLOOKUP(B27,'[2]Summary Table'!$C$2:$J$287,8,0)</f>
        <v>0.57909999999999995</v>
      </c>
    </row>
    <row r="28" spans="1:7">
      <c r="A28" s="53" t="s">
        <v>525</v>
      </c>
      <c r="B28" s="53" t="s">
        <v>38</v>
      </c>
      <c r="C28" s="53" t="s">
        <v>39</v>
      </c>
      <c r="D28" s="53" t="s">
        <v>38</v>
      </c>
      <c r="E28" s="55" t="s">
        <v>524</v>
      </c>
      <c r="F28" s="56">
        <f>+VLOOKUP(B28,'[2]Summary Table'!$C$2:$G$287,5,0)</f>
        <v>10</v>
      </c>
      <c r="G28" s="57">
        <f>+VLOOKUP(B28,'[2]Summary Table'!$C$2:$J$287,8,0)</f>
        <v>1.3837707399999999</v>
      </c>
    </row>
    <row r="29" spans="1:7">
      <c r="A29" s="53" t="s">
        <v>525</v>
      </c>
      <c r="B29" s="53" t="s">
        <v>40</v>
      </c>
      <c r="C29" s="53" t="s">
        <v>39</v>
      </c>
      <c r="D29" s="53" t="s">
        <v>40</v>
      </c>
      <c r="E29" s="55" t="s">
        <v>524</v>
      </c>
      <c r="F29" s="56">
        <f>+VLOOKUP(B29,'[2]Summary Table'!$C$2:$G$287,5,0)</f>
        <v>10</v>
      </c>
      <c r="G29" s="57">
        <f>+VLOOKUP(B29,'[2]Summary Table'!$C$2:$J$287,8,0)</f>
        <v>1.3837707399999999</v>
      </c>
    </row>
    <row r="30" spans="1:7">
      <c r="A30" s="53" t="s">
        <v>529</v>
      </c>
      <c r="B30" s="53" t="s">
        <v>197</v>
      </c>
      <c r="C30" s="53" t="s">
        <v>198</v>
      </c>
      <c r="D30" s="53" t="s">
        <v>197</v>
      </c>
      <c r="E30" s="55" t="s">
        <v>524</v>
      </c>
      <c r="F30" s="56">
        <f>+VLOOKUP(B30,'[2]Summary Table'!$C$2:$G$287,5,0)</f>
        <v>10</v>
      </c>
      <c r="G30" s="57">
        <f>+VLOOKUP(B30,'[2]Summary Table'!$C$2:$J$287,8,0)</f>
        <v>1.3837707399999999</v>
      </c>
    </row>
    <row r="31" spans="1:7">
      <c r="A31" s="53" t="s">
        <v>529</v>
      </c>
      <c r="B31" s="53" t="s">
        <v>211</v>
      </c>
      <c r="C31" s="53" t="s">
        <v>212</v>
      </c>
      <c r="D31" s="53" t="s">
        <v>211</v>
      </c>
      <c r="E31" s="55" t="s">
        <v>524</v>
      </c>
      <c r="F31" s="56">
        <f>+VLOOKUP(B31,'[2]Summary Table'!$C$2:$G$287,5,0)</f>
        <v>10</v>
      </c>
      <c r="G31" s="57">
        <f>+VLOOKUP(B31,'[2]Summary Table'!$C$2:$J$287,8,0)</f>
        <v>1.3837707399999999</v>
      </c>
    </row>
    <row r="32" spans="1:7">
      <c r="A32" s="53" t="s">
        <v>523</v>
      </c>
      <c r="B32" s="53" t="s">
        <v>11</v>
      </c>
      <c r="C32" s="53" t="s">
        <v>12</v>
      </c>
      <c r="D32" s="53" t="s">
        <v>11</v>
      </c>
      <c r="E32" s="55" t="s">
        <v>524</v>
      </c>
      <c r="F32" s="56">
        <f>+VLOOKUP(B32,'[2]Summary Table'!$C$2:$G$287,5,0)</f>
        <v>11</v>
      </c>
      <c r="G32" s="57">
        <f>+VLOOKUP(B32,'[2]Summary Table'!$C$2:$J$287,8,0)</f>
        <v>1.38324826</v>
      </c>
    </row>
    <row r="33" spans="1:7">
      <c r="A33" s="53" t="s">
        <v>523</v>
      </c>
      <c r="B33" s="53" t="s">
        <v>25</v>
      </c>
      <c r="C33" s="53" t="s">
        <v>26</v>
      </c>
      <c r="D33" s="53" t="s">
        <v>25</v>
      </c>
      <c r="E33" s="55" t="s">
        <v>524</v>
      </c>
      <c r="F33" s="56">
        <f>+VLOOKUP(B33,'[2]Summary Table'!$C$2:$G$287,5,0)</f>
        <v>12</v>
      </c>
      <c r="G33" s="57">
        <f>+VLOOKUP(B33,'[2]Summary Table'!$C$2:$J$287,8,0)</f>
        <v>0.81245922000000004</v>
      </c>
    </row>
    <row r="34" spans="1:7">
      <c r="A34" s="53" t="s">
        <v>531</v>
      </c>
      <c r="B34" s="53" t="s">
        <v>177</v>
      </c>
      <c r="C34" s="53" t="s">
        <v>178</v>
      </c>
      <c r="D34" s="53" t="s">
        <v>177</v>
      </c>
      <c r="E34" s="55" t="s">
        <v>524</v>
      </c>
      <c r="F34" s="56">
        <f>+VLOOKUP(B34,'[2]Summary Table'!$C$2:$G$287,5,0)</f>
        <v>13</v>
      </c>
      <c r="G34" s="57">
        <f>+VLOOKUP(B34,'[2]Summary Table'!$C$2:$J$287,8,0)</f>
        <v>0.70151799999999997</v>
      </c>
    </row>
    <row r="35" spans="1:7">
      <c r="A35" s="53" t="s">
        <v>312</v>
      </c>
      <c r="B35" s="53" t="s">
        <v>317</v>
      </c>
      <c r="C35" s="53" t="s">
        <v>318</v>
      </c>
      <c r="D35" s="53" t="s">
        <v>317</v>
      </c>
      <c r="E35" s="55" t="s">
        <v>524</v>
      </c>
      <c r="F35" s="56">
        <f>+VLOOKUP(B35,'[2]Summary Table'!$C$2:$G$287,5,0)</f>
        <v>14</v>
      </c>
      <c r="G35" s="57">
        <f>+VLOOKUP(B35,'[2]Summary Table'!$C$2:$J$287,8,0)</f>
        <v>0.65320100000000003</v>
      </c>
    </row>
    <row r="36" spans="1:7">
      <c r="A36" s="53" t="s">
        <v>532</v>
      </c>
      <c r="B36" s="53" t="s">
        <v>45</v>
      </c>
      <c r="C36" s="53" t="s">
        <v>46</v>
      </c>
      <c r="D36" s="53" t="s">
        <v>45</v>
      </c>
      <c r="E36" s="55" t="s">
        <v>524</v>
      </c>
      <c r="F36" s="56">
        <f>+VLOOKUP(B36,'[2]Summary Table'!$C$2:$G$287,5,0)</f>
        <v>15</v>
      </c>
      <c r="G36" s="57">
        <f>+VLOOKUP(B36,'[2]Summary Table'!$C$2:$J$287,8,0)</f>
        <v>0.92748793500000004</v>
      </c>
    </row>
    <row r="37" spans="1:7">
      <c r="A37" s="53" t="s">
        <v>532</v>
      </c>
      <c r="B37" s="53" t="s">
        <v>47</v>
      </c>
      <c r="C37" s="53" t="s">
        <v>48</v>
      </c>
      <c r="D37" s="53" t="s">
        <v>47</v>
      </c>
      <c r="E37" s="55" t="s">
        <v>524</v>
      </c>
      <c r="F37" s="56">
        <f>+VLOOKUP(B37,'[2]Summary Table'!$C$2:$G$287,5,0)</f>
        <v>15</v>
      </c>
      <c r="G37" s="57">
        <f>+VLOOKUP(B37,'[2]Summary Table'!$C$2:$J$287,8,0)</f>
        <v>0.92748793500000004</v>
      </c>
    </row>
    <row r="38" spans="1:7">
      <c r="A38" s="53" t="s">
        <v>533</v>
      </c>
      <c r="B38" s="53" t="s">
        <v>50</v>
      </c>
      <c r="C38" s="53" t="s">
        <v>51</v>
      </c>
      <c r="D38" s="53" t="s">
        <v>50</v>
      </c>
      <c r="E38" s="55" t="s">
        <v>524</v>
      </c>
      <c r="F38" s="56">
        <f>+VLOOKUP(B38,'[2]Summary Table'!$C$2:$G$287,5,0)</f>
        <v>16</v>
      </c>
      <c r="G38" s="57">
        <f>+VLOOKUP(B38,'[2]Summary Table'!$C$2:$J$287,8,0)</f>
        <v>0.52109300000000003</v>
      </c>
    </row>
    <row r="39" spans="1:7">
      <c r="A39" s="53" t="s">
        <v>254</v>
      </c>
      <c r="B39" s="53" t="s">
        <v>261</v>
      </c>
      <c r="C39" s="53" t="s">
        <v>262</v>
      </c>
      <c r="D39" s="53" t="s">
        <v>261</v>
      </c>
      <c r="E39" s="55" t="s">
        <v>524</v>
      </c>
      <c r="F39" s="56">
        <f>+VLOOKUP(B39,'[2]Summary Table'!$C$2:$G$287,5,0)</f>
        <v>16</v>
      </c>
      <c r="G39" s="57">
        <f>+VLOOKUP(B39,'[2]Summary Table'!$C$2:$J$287,8,0)</f>
        <v>0.52109300000000003</v>
      </c>
    </row>
    <row r="40" spans="1:7">
      <c r="A40" s="53" t="s">
        <v>254</v>
      </c>
      <c r="B40" s="53" t="s">
        <v>267</v>
      </c>
      <c r="C40" s="53" t="s">
        <v>268</v>
      </c>
      <c r="D40" s="53" t="s">
        <v>267</v>
      </c>
      <c r="E40" s="55" t="s">
        <v>524</v>
      </c>
      <c r="F40" s="56">
        <f>+VLOOKUP(B40,'[2]Summary Table'!$C$2:$G$287,5,0)</f>
        <v>27</v>
      </c>
      <c r="G40" s="57">
        <f>+VLOOKUP(B40,'[2]Summary Table'!$C$2:$J$287,8,0)</f>
        <v>0.13575785800000001</v>
      </c>
    </row>
    <row r="41" spans="1:7">
      <c r="A41" s="53" t="s">
        <v>254</v>
      </c>
      <c r="B41" s="53" t="s">
        <v>273</v>
      </c>
      <c r="C41" s="53" t="s">
        <v>274</v>
      </c>
      <c r="D41" s="53" t="s">
        <v>273</v>
      </c>
      <c r="E41" s="55" t="s">
        <v>524</v>
      </c>
      <c r="F41" s="56">
        <f>+VLOOKUP(B41,'[2]Summary Table'!$C$2:$G$287,5,0)</f>
        <v>16</v>
      </c>
      <c r="G41" s="57">
        <f>+VLOOKUP(B41,'[2]Summary Table'!$C$2:$J$287,8,0)</f>
        <v>0.52109300000000003</v>
      </c>
    </row>
    <row r="42" spans="1:7">
      <c r="A42" s="53" t="s">
        <v>534</v>
      </c>
      <c r="B42" s="53" t="s">
        <v>70</v>
      </c>
      <c r="C42" s="53" t="s">
        <v>71</v>
      </c>
      <c r="D42" s="53" t="s">
        <v>70</v>
      </c>
      <c r="E42" s="55" t="s">
        <v>524</v>
      </c>
      <c r="F42" s="56">
        <f>+VLOOKUP(B42,'[2]Summary Table'!$C$2:$G$287,5,0)</f>
        <v>17</v>
      </c>
      <c r="G42" s="57">
        <f>+VLOOKUP(B42,'[2]Summary Table'!$C$2:$J$287,8,0)</f>
        <v>0.44500857999999999</v>
      </c>
    </row>
    <row r="43" spans="1:7">
      <c r="A43" s="53" t="s">
        <v>534</v>
      </c>
      <c r="B43" s="53" t="s">
        <v>77</v>
      </c>
      <c r="C43" s="53" t="s">
        <v>71</v>
      </c>
      <c r="D43" s="53" t="s">
        <v>77</v>
      </c>
      <c r="E43" s="55" t="s">
        <v>524</v>
      </c>
      <c r="F43" s="56">
        <f>+VLOOKUP(B43,'[2]Summary Table'!$C$2:$G$287,5,0)</f>
        <v>17</v>
      </c>
      <c r="G43" s="57">
        <f>+VLOOKUP(B43,'[2]Summary Table'!$C$2:$J$287,8,0)</f>
        <v>0.44500857999999999</v>
      </c>
    </row>
    <row r="44" spans="1:7">
      <c r="A44" s="53" t="s">
        <v>525</v>
      </c>
      <c r="B44" s="53" t="s">
        <v>31</v>
      </c>
      <c r="C44" s="53" t="s">
        <v>32</v>
      </c>
      <c r="D44" s="53" t="s">
        <v>31</v>
      </c>
      <c r="E44" s="55" t="s">
        <v>524</v>
      </c>
      <c r="F44" s="56">
        <f>+VLOOKUP(B44,'[2]Summary Table'!$C$2:$G$287,5,0)</f>
        <v>18</v>
      </c>
      <c r="G44" s="57">
        <f>+VLOOKUP(B44,'[2]Summary Table'!$C$2:$J$287,8,0)</f>
        <v>3.046246875</v>
      </c>
    </row>
    <row r="45" spans="1:7">
      <c r="A45" s="53" t="s">
        <v>525</v>
      </c>
      <c r="B45" s="53" t="s">
        <v>33</v>
      </c>
      <c r="C45" s="53" t="s">
        <v>32</v>
      </c>
      <c r="D45" s="53" t="s">
        <v>33</v>
      </c>
      <c r="E45" s="55" t="s">
        <v>524</v>
      </c>
      <c r="F45" s="56">
        <f>+VLOOKUP(B45,'[2]Summary Table'!$C$2:$G$287,5,0)</f>
        <v>18</v>
      </c>
      <c r="G45" s="57">
        <f>+VLOOKUP(B45,'[2]Summary Table'!$C$2:$J$287,8,0)</f>
        <v>3.046246875</v>
      </c>
    </row>
    <row r="46" spans="1:7">
      <c r="A46" s="53" t="s">
        <v>534</v>
      </c>
      <c r="B46" s="53" t="s">
        <v>72</v>
      </c>
      <c r="C46" s="53" t="s">
        <v>73</v>
      </c>
      <c r="D46" s="53" t="s">
        <v>72</v>
      </c>
      <c r="E46" s="55" t="s">
        <v>524</v>
      </c>
      <c r="F46" s="56">
        <f>+VLOOKUP(B46,'[2]Summary Table'!$C$2:$G$287,5,0)</f>
        <v>18</v>
      </c>
      <c r="G46" s="57">
        <f>+VLOOKUP(B46,'[2]Summary Table'!$C$2:$J$287,8,0)</f>
        <v>3.046246875</v>
      </c>
    </row>
    <row r="47" spans="1:7">
      <c r="A47" s="53" t="s">
        <v>534</v>
      </c>
      <c r="B47" s="53" t="s">
        <v>74</v>
      </c>
      <c r="C47" s="53" t="s">
        <v>75</v>
      </c>
      <c r="D47" s="53" t="s">
        <v>74</v>
      </c>
      <c r="E47" s="55" t="s">
        <v>524</v>
      </c>
      <c r="F47" s="56">
        <f>+VLOOKUP(B47,'[2]Summary Table'!$C$2:$G$287,5,0)</f>
        <v>18</v>
      </c>
      <c r="G47" s="57">
        <f>+VLOOKUP(B47,'[2]Summary Table'!$C$2:$J$287,8,0)</f>
        <v>3.046246875</v>
      </c>
    </row>
    <row r="48" spans="1:7">
      <c r="A48" s="53" t="s">
        <v>534</v>
      </c>
      <c r="B48" s="53" t="s">
        <v>78</v>
      </c>
      <c r="C48" s="53" t="s">
        <v>73</v>
      </c>
      <c r="D48" s="53" t="s">
        <v>78</v>
      </c>
      <c r="E48" s="55" t="s">
        <v>524</v>
      </c>
      <c r="F48" s="56">
        <f>+VLOOKUP(B48,'[2]Summary Table'!$C$2:$G$287,5,0)</f>
        <v>18</v>
      </c>
      <c r="G48" s="57">
        <f>+VLOOKUP(B48,'[2]Summary Table'!$C$2:$J$287,8,0)</f>
        <v>3.046246875</v>
      </c>
    </row>
    <row r="49" spans="1:7">
      <c r="A49" s="53" t="s">
        <v>534</v>
      </c>
      <c r="B49" s="53" t="s">
        <v>79</v>
      </c>
      <c r="C49" s="53" t="s">
        <v>75</v>
      </c>
      <c r="D49" s="53" t="s">
        <v>79</v>
      </c>
      <c r="E49" s="55" t="s">
        <v>524</v>
      </c>
      <c r="F49" s="56">
        <f>+VLOOKUP(B49,'[2]Summary Table'!$C$2:$G$287,5,0)</f>
        <v>18</v>
      </c>
      <c r="G49" s="57">
        <f>+VLOOKUP(B49,'[2]Summary Table'!$C$2:$J$287,8,0)</f>
        <v>3.046246875</v>
      </c>
    </row>
    <row r="50" spans="1:7">
      <c r="A50" s="53" t="s">
        <v>533</v>
      </c>
      <c r="B50" s="53" t="s">
        <v>52</v>
      </c>
      <c r="C50" s="53" t="s">
        <v>53</v>
      </c>
      <c r="D50" s="53" t="s">
        <v>52</v>
      </c>
      <c r="E50" s="55" t="s">
        <v>524</v>
      </c>
      <c r="F50" s="56">
        <f>+VLOOKUP(B50,'[2]Summary Table'!$C$2:$G$287,5,0)</f>
        <v>18</v>
      </c>
      <c r="G50" s="57">
        <f>+VLOOKUP(B50,'[2]Summary Table'!$C$2:$J$287,8,0)</f>
        <v>3.046246875</v>
      </c>
    </row>
    <row r="51" spans="1:7">
      <c r="A51" s="53" t="s">
        <v>533</v>
      </c>
      <c r="B51" s="53" t="s">
        <v>54</v>
      </c>
      <c r="C51" s="53" t="s">
        <v>53</v>
      </c>
      <c r="D51" s="53" t="s">
        <v>54</v>
      </c>
      <c r="E51" s="55" t="s">
        <v>524</v>
      </c>
      <c r="F51" s="56">
        <f>+VLOOKUP(B51,'[2]Summary Table'!$C$2:$G$287,5,0)</f>
        <v>18</v>
      </c>
      <c r="G51" s="57">
        <f>+VLOOKUP(B51,'[2]Summary Table'!$C$2:$J$287,8,0)</f>
        <v>3.046246875</v>
      </c>
    </row>
    <row r="52" spans="1:7">
      <c r="A52" s="53" t="s">
        <v>530</v>
      </c>
      <c r="B52" s="53" t="s">
        <v>133</v>
      </c>
      <c r="C52" s="58" t="s">
        <v>134</v>
      </c>
      <c r="D52" s="53" t="s">
        <v>133</v>
      </c>
      <c r="E52" s="55" t="s">
        <v>524</v>
      </c>
      <c r="F52" s="56">
        <f>+VLOOKUP(B52,'[2]Summary Table'!$C$2:$G$287,5,0)</f>
        <v>18</v>
      </c>
      <c r="G52" s="57">
        <f>+VLOOKUP(B52,'[2]Summary Table'!$C$2:$J$287,8,0)</f>
        <v>3.046246875</v>
      </c>
    </row>
    <row r="53" spans="1:7">
      <c r="A53" s="53" t="s">
        <v>530</v>
      </c>
      <c r="B53" s="53" t="s">
        <v>135</v>
      </c>
      <c r="C53" s="58" t="s">
        <v>134</v>
      </c>
      <c r="D53" s="53" t="s">
        <v>135</v>
      </c>
      <c r="E53" s="55" t="s">
        <v>524</v>
      </c>
      <c r="F53" s="56">
        <f>+VLOOKUP(B53,'[2]Summary Table'!$C$2:$G$287,5,0)</f>
        <v>18</v>
      </c>
      <c r="G53" s="57">
        <f>+VLOOKUP(B53,'[2]Summary Table'!$C$2:$J$287,8,0)</f>
        <v>3.046246875</v>
      </c>
    </row>
    <row r="54" spans="1:7">
      <c r="A54" s="53" t="s">
        <v>312</v>
      </c>
      <c r="B54" s="53" t="s">
        <v>323</v>
      </c>
      <c r="C54" s="53" t="s">
        <v>324</v>
      </c>
      <c r="D54" s="53" t="s">
        <v>323</v>
      </c>
      <c r="E54" s="55" t="s">
        <v>524</v>
      </c>
      <c r="F54" s="56">
        <f>+VLOOKUP(B54,'[2]Summary Table'!$C$2:$G$287,5,0)</f>
        <v>18</v>
      </c>
      <c r="G54" s="57">
        <f>+VLOOKUP(B54,'[2]Summary Table'!$C$2:$J$287,8,0)</f>
        <v>3.046246875</v>
      </c>
    </row>
    <row r="55" spans="1:7">
      <c r="A55" s="53" t="s">
        <v>312</v>
      </c>
      <c r="B55" s="53" t="s">
        <v>325</v>
      </c>
      <c r="C55" s="53" t="s">
        <v>324</v>
      </c>
      <c r="D55" s="53" t="s">
        <v>325</v>
      </c>
      <c r="E55" s="55" t="s">
        <v>524</v>
      </c>
      <c r="F55" s="56">
        <f>+VLOOKUP(B55,'[2]Summary Table'!$C$2:$G$287,5,0)</f>
        <v>18</v>
      </c>
      <c r="G55" s="57">
        <f>+VLOOKUP(B55,'[2]Summary Table'!$C$2:$J$287,8,0)</f>
        <v>3.046246875</v>
      </c>
    </row>
    <row r="56" spans="1:7">
      <c r="A56" s="53" t="s">
        <v>312</v>
      </c>
      <c r="B56" s="53" t="s">
        <v>332</v>
      </c>
      <c r="C56" s="53" t="s">
        <v>333</v>
      </c>
      <c r="D56" s="53" t="s">
        <v>332</v>
      </c>
      <c r="E56" s="55" t="s">
        <v>524</v>
      </c>
      <c r="F56" s="56">
        <f>+VLOOKUP(B56,'[2]Summary Table'!$C$2:$G$287,5,0)</f>
        <v>18</v>
      </c>
      <c r="G56" s="57">
        <f>+VLOOKUP(B56,'[2]Summary Table'!$C$2:$J$287,8,0)</f>
        <v>3.046246875</v>
      </c>
    </row>
    <row r="57" spans="1:7">
      <c r="A57" s="53" t="s">
        <v>312</v>
      </c>
      <c r="B57" s="53" t="s">
        <v>336</v>
      </c>
      <c r="C57" s="53" t="s">
        <v>333</v>
      </c>
      <c r="D57" s="53" t="s">
        <v>336</v>
      </c>
      <c r="E57" s="55" t="s">
        <v>524</v>
      </c>
      <c r="F57" s="56">
        <f>+VLOOKUP(B57,'[2]Summary Table'!$C$2:$G$287,5,0)</f>
        <v>18</v>
      </c>
      <c r="G57" s="57">
        <f>+VLOOKUP(B57,'[2]Summary Table'!$C$2:$J$287,8,0)</f>
        <v>3.046246875</v>
      </c>
    </row>
    <row r="58" spans="1:7">
      <c r="A58" s="53" t="s">
        <v>361</v>
      </c>
      <c r="B58" s="53" t="s">
        <v>374</v>
      </c>
      <c r="C58" s="53" t="s">
        <v>375</v>
      </c>
      <c r="D58" s="53" t="s">
        <v>374</v>
      </c>
      <c r="E58" s="55" t="s">
        <v>524</v>
      </c>
      <c r="F58" s="56">
        <f>+VLOOKUP(B58,'[2]Summary Table'!$C$2:$G$287,5,0)</f>
        <v>18</v>
      </c>
      <c r="G58" s="57">
        <f>+VLOOKUP(B58,'[2]Summary Table'!$C$2:$J$287,8,0)</f>
        <v>3.046246875</v>
      </c>
    </row>
    <row r="59" spans="1:7">
      <c r="A59" s="53" t="s">
        <v>361</v>
      </c>
      <c r="B59" s="53" t="s">
        <v>377</v>
      </c>
      <c r="C59" s="53" t="s">
        <v>378</v>
      </c>
      <c r="D59" s="53" t="s">
        <v>377</v>
      </c>
      <c r="E59" s="55" t="s">
        <v>524</v>
      </c>
      <c r="F59" s="56">
        <f>+VLOOKUP(B59,'[2]Summary Table'!$C$2:$G$287,5,0)</f>
        <v>18</v>
      </c>
      <c r="G59" s="57">
        <f>+VLOOKUP(B59,'[2]Summary Table'!$C$2:$J$287,8,0)</f>
        <v>3.046246875</v>
      </c>
    </row>
    <row r="60" spans="1:7">
      <c r="A60" s="53" t="s">
        <v>361</v>
      </c>
      <c r="B60" s="53" t="s">
        <v>379</v>
      </c>
      <c r="C60" s="53" t="s">
        <v>378</v>
      </c>
      <c r="D60" s="53" t="s">
        <v>379</v>
      </c>
      <c r="E60" s="55" t="s">
        <v>524</v>
      </c>
      <c r="F60" s="56">
        <f>+VLOOKUP(B60,'[2]Summary Table'!$C$2:$G$287,5,0)</f>
        <v>18</v>
      </c>
      <c r="G60" s="57">
        <f>+VLOOKUP(B60,'[2]Summary Table'!$C$2:$J$287,8,0)</f>
        <v>3.046246875</v>
      </c>
    </row>
    <row r="61" spans="1:7">
      <c r="A61" s="53" t="s">
        <v>361</v>
      </c>
      <c r="B61" s="53" t="s">
        <v>380</v>
      </c>
      <c r="C61" s="53" t="s">
        <v>378</v>
      </c>
      <c r="D61" s="53" t="s">
        <v>380</v>
      </c>
      <c r="E61" s="55" t="s">
        <v>524</v>
      </c>
      <c r="F61" s="56">
        <f>+VLOOKUP(B61,'[2]Summary Table'!$C$2:$G$287,5,0)</f>
        <v>18</v>
      </c>
      <c r="G61" s="57">
        <f>+VLOOKUP(B61,'[2]Summary Table'!$C$2:$J$287,8,0)</f>
        <v>3.046246875</v>
      </c>
    </row>
    <row r="62" spans="1:7">
      <c r="A62" s="53" t="s">
        <v>361</v>
      </c>
      <c r="B62" s="53" t="s">
        <v>381</v>
      </c>
      <c r="C62" s="53" t="s">
        <v>378</v>
      </c>
      <c r="D62" s="53" t="s">
        <v>381</v>
      </c>
      <c r="E62" s="55" t="s">
        <v>524</v>
      </c>
      <c r="F62" s="56">
        <f>+VLOOKUP(B62,'[2]Summary Table'!$C$2:$G$287,5,0)</f>
        <v>18</v>
      </c>
      <c r="G62" s="57">
        <f>+VLOOKUP(B62,'[2]Summary Table'!$C$2:$J$287,8,0)</f>
        <v>3.046246875</v>
      </c>
    </row>
    <row r="63" spans="1:7">
      <c r="A63" s="53" t="s">
        <v>361</v>
      </c>
      <c r="B63" s="53" t="s">
        <v>382</v>
      </c>
      <c r="C63" s="53" t="s">
        <v>378</v>
      </c>
      <c r="D63" s="53" t="s">
        <v>382</v>
      </c>
      <c r="E63" s="55" t="s">
        <v>524</v>
      </c>
      <c r="F63" s="56">
        <f>+VLOOKUP(B63,'[2]Summary Table'!$C$2:$G$287,5,0)</f>
        <v>18</v>
      </c>
      <c r="G63" s="57">
        <f>+VLOOKUP(B63,'[2]Summary Table'!$C$2:$J$287,8,0)</f>
        <v>3.046246875</v>
      </c>
    </row>
    <row r="64" spans="1:7">
      <c r="A64" s="53" t="s">
        <v>361</v>
      </c>
      <c r="B64" s="53" t="s">
        <v>383</v>
      </c>
      <c r="C64" s="53" t="s">
        <v>378</v>
      </c>
      <c r="D64" s="53" t="s">
        <v>383</v>
      </c>
      <c r="E64" s="55" t="s">
        <v>524</v>
      </c>
      <c r="F64" s="56">
        <f>+VLOOKUP(B64,'[2]Summary Table'!$C$2:$G$287,5,0)</f>
        <v>18</v>
      </c>
      <c r="G64" s="57">
        <f>+VLOOKUP(B64,'[2]Summary Table'!$C$2:$J$287,8,0)</f>
        <v>3.046246875</v>
      </c>
    </row>
    <row r="65" spans="1:7">
      <c r="A65" s="53" t="s">
        <v>361</v>
      </c>
      <c r="B65" s="53" t="s">
        <v>384</v>
      </c>
      <c r="C65" s="53" t="s">
        <v>385</v>
      </c>
      <c r="D65" s="53" t="s">
        <v>384</v>
      </c>
      <c r="E65" s="55" t="s">
        <v>524</v>
      </c>
      <c r="F65" s="56">
        <f>+VLOOKUP(B65,'[2]Summary Table'!$C$2:$G$287,5,0)</f>
        <v>18</v>
      </c>
      <c r="G65" s="57">
        <f>+VLOOKUP(B65,'[2]Summary Table'!$C$2:$J$287,8,0)</f>
        <v>3.046246875</v>
      </c>
    </row>
    <row r="66" spans="1:7">
      <c r="A66" s="53" t="s">
        <v>361</v>
      </c>
      <c r="B66" s="53" t="s">
        <v>386</v>
      </c>
      <c r="C66" s="53" t="s">
        <v>385</v>
      </c>
      <c r="D66" s="53" t="s">
        <v>386</v>
      </c>
      <c r="E66" s="55" t="s">
        <v>524</v>
      </c>
      <c r="F66" s="56">
        <f>+VLOOKUP(B66,'[2]Summary Table'!$C$2:$G$287,5,0)</f>
        <v>18</v>
      </c>
      <c r="G66" s="57">
        <f>+VLOOKUP(B66,'[2]Summary Table'!$C$2:$J$287,8,0)</f>
        <v>3.046246875</v>
      </c>
    </row>
    <row r="67" spans="1:7">
      <c r="A67" s="53" t="s">
        <v>361</v>
      </c>
      <c r="B67" s="53" t="s">
        <v>387</v>
      </c>
      <c r="C67" s="53" t="s">
        <v>385</v>
      </c>
      <c r="D67" s="53" t="s">
        <v>387</v>
      </c>
      <c r="E67" s="55" t="s">
        <v>524</v>
      </c>
      <c r="F67" s="56">
        <f>+VLOOKUP(B67,'[2]Summary Table'!$C$2:$G$287,5,0)</f>
        <v>18</v>
      </c>
      <c r="G67" s="57">
        <f>+VLOOKUP(B67,'[2]Summary Table'!$C$2:$J$287,8,0)</f>
        <v>3.046246875</v>
      </c>
    </row>
    <row r="68" spans="1:7">
      <c r="A68" s="53" t="s">
        <v>361</v>
      </c>
      <c r="B68" s="53" t="s">
        <v>388</v>
      </c>
      <c r="C68" s="53" t="s">
        <v>385</v>
      </c>
      <c r="D68" s="53" t="s">
        <v>388</v>
      </c>
      <c r="E68" s="55" t="s">
        <v>524</v>
      </c>
      <c r="F68" s="56">
        <f>+VLOOKUP(B68,'[2]Summary Table'!$C$2:$G$287,5,0)</f>
        <v>18</v>
      </c>
      <c r="G68" s="57">
        <f>+VLOOKUP(B68,'[2]Summary Table'!$C$2:$J$287,8,0)</f>
        <v>3.046246875</v>
      </c>
    </row>
    <row r="69" spans="1:7">
      <c r="A69" s="53" t="s">
        <v>361</v>
      </c>
      <c r="B69" s="53" t="s">
        <v>389</v>
      </c>
      <c r="C69" s="53" t="s">
        <v>385</v>
      </c>
      <c r="D69" s="53" t="s">
        <v>389</v>
      </c>
      <c r="E69" s="55" t="s">
        <v>524</v>
      </c>
      <c r="F69" s="56">
        <f>+VLOOKUP(B69,'[2]Summary Table'!$C$2:$G$287,5,0)</f>
        <v>18</v>
      </c>
      <c r="G69" s="57">
        <f>+VLOOKUP(B69,'[2]Summary Table'!$C$2:$J$287,8,0)</f>
        <v>3.046246875</v>
      </c>
    </row>
    <row r="70" spans="1:7">
      <c r="A70" s="53" t="s">
        <v>361</v>
      </c>
      <c r="B70" s="53" t="s">
        <v>390</v>
      </c>
      <c r="C70" s="53" t="s">
        <v>385</v>
      </c>
      <c r="D70" s="53" t="s">
        <v>390</v>
      </c>
      <c r="E70" s="55" t="s">
        <v>524</v>
      </c>
      <c r="F70" s="56">
        <f>+VLOOKUP(B70,'[2]Summary Table'!$C$2:$G$287,5,0)</f>
        <v>18</v>
      </c>
      <c r="G70" s="57">
        <f>+VLOOKUP(B70,'[2]Summary Table'!$C$2:$J$287,8,0)</f>
        <v>3.046246875</v>
      </c>
    </row>
    <row r="71" spans="1:7">
      <c r="A71" s="53" t="s">
        <v>391</v>
      </c>
      <c r="B71" s="53" t="s">
        <v>400</v>
      </c>
      <c r="C71" s="53" t="s">
        <v>401</v>
      </c>
      <c r="D71" s="53" t="s">
        <v>400</v>
      </c>
      <c r="E71" s="55" t="s">
        <v>524</v>
      </c>
      <c r="F71" s="56">
        <f>+VLOOKUP(B71,'[2]Summary Table'!$C$2:$G$287,5,0)</f>
        <v>18</v>
      </c>
      <c r="G71" s="57">
        <f>+VLOOKUP(B71,'[2]Summary Table'!$C$2:$J$287,8,0)</f>
        <v>3.046246875</v>
      </c>
    </row>
    <row r="72" spans="1:7">
      <c r="A72" s="53" t="s">
        <v>391</v>
      </c>
      <c r="B72" s="53" t="s">
        <v>404</v>
      </c>
      <c r="C72" s="53" t="s">
        <v>405</v>
      </c>
      <c r="D72" s="53" t="s">
        <v>404</v>
      </c>
      <c r="E72" s="55" t="s">
        <v>524</v>
      </c>
      <c r="F72" s="56">
        <f>+VLOOKUP(B72,'[2]Summary Table'!$C$2:$G$287,5,0)</f>
        <v>18</v>
      </c>
      <c r="G72" s="57">
        <f>+VLOOKUP(B72,'[2]Summary Table'!$C$2:$J$287,8,0)</f>
        <v>3.046246875</v>
      </c>
    </row>
    <row r="73" spans="1:7">
      <c r="A73" s="53" t="s">
        <v>391</v>
      </c>
      <c r="B73" s="53" t="s">
        <v>406</v>
      </c>
      <c r="C73" s="53" t="s">
        <v>407</v>
      </c>
      <c r="D73" s="53" t="s">
        <v>406</v>
      </c>
      <c r="E73" s="55" t="s">
        <v>524</v>
      </c>
      <c r="F73" s="56">
        <f>+VLOOKUP(B73,'[2]Summary Table'!$C$2:$G$287,5,0)</f>
        <v>18</v>
      </c>
      <c r="G73" s="57">
        <f>+VLOOKUP(B73,'[2]Summary Table'!$C$2:$J$287,8,0)</f>
        <v>3.046246875</v>
      </c>
    </row>
    <row r="74" spans="1:7">
      <c r="A74" s="53" t="s">
        <v>391</v>
      </c>
      <c r="B74" s="53" t="s">
        <v>416</v>
      </c>
      <c r="C74" s="53" t="s">
        <v>417</v>
      </c>
      <c r="D74" s="53" t="s">
        <v>416</v>
      </c>
      <c r="E74" s="55" t="s">
        <v>524</v>
      </c>
      <c r="F74" s="56">
        <f>+VLOOKUP(B74,'[2]Summary Table'!$C$2:$G$287,5,0)</f>
        <v>18</v>
      </c>
      <c r="G74" s="57">
        <f>+VLOOKUP(B74,'[2]Summary Table'!$C$2:$J$287,8,0)</f>
        <v>3.046246875</v>
      </c>
    </row>
    <row r="75" spans="1:7">
      <c r="A75" s="53" t="s">
        <v>391</v>
      </c>
      <c r="B75" s="53" t="s">
        <v>420</v>
      </c>
      <c r="C75" s="53" t="s">
        <v>421</v>
      </c>
      <c r="D75" s="53" t="s">
        <v>420</v>
      </c>
      <c r="E75" s="55" t="s">
        <v>524</v>
      </c>
      <c r="F75" s="56">
        <f>+VLOOKUP(B75,'[2]Summary Table'!$C$2:$G$287,5,0)</f>
        <v>18</v>
      </c>
      <c r="G75" s="57">
        <f>+VLOOKUP(B75,'[2]Summary Table'!$C$2:$J$287,8,0)</f>
        <v>3.046246875</v>
      </c>
    </row>
    <row r="76" spans="1:7">
      <c r="A76" s="53" t="s">
        <v>391</v>
      </c>
      <c r="B76" s="53" t="s">
        <v>422</v>
      </c>
      <c r="C76" s="53" t="s">
        <v>423</v>
      </c>
      <c r="D76" s="53" t="s">
        <v>422</v>
      </c>
      <c r="E76" s="55" t="s">
        <v>524</v>
      </c>
      <c r="F76" s="56">
        <f>+VLOOKUP(B76,'[2]Summary Table'!$C$2:$G$287,5,0)</f>
        <v>18</v>
      </c>
      <c r="G76" s="57">
        <f>+VLOOKUP(B76,'[2]Summary Table'!$C$2:$J$287,8,0)</f>
        <v>3.046246875</v>
      </c>
    </row>
    <row r="77" spans="1:7">
      <c r="A77" s="53" t="s">
        <v>531</v>
      </c>
      <c r="B77" s="53" t="s">
        <v>148</v>
      </c>
      <c r="C77" s="53" t="s">
        <v>149</v>
      </c>
      <c r="D77" s="53" t="s">
        <v>148</v>
      </c>
      <c r="E77" s="55" t="s">
        <v>524</v>
      </c>
      <c r="F77" s="56">
        <f>+VLOOKUP(B77,'[2]Summary Table'!$C$2:$G$287,5,0)</f>
        <v>19</v>
      </c>
      <c r="G77" s="57">
        <f>+VLOOKUP(B77,'[2]Summary Table'!$C$2:$J$287,8,0)</f>
        <v>0.30965799999999999</v>
      </c>
    </row>
    <row r="78" spans="1:7">
      <c r="A78" s="53" t="s">
        <v>529</v>
      </c>
      <c r="B78" s="53" t="s">
        <v>207</v>
      </c>
      <c r="C78" s="53" t="s">
        <v>208</v>
      </c>
      <c r="D78" s="53" t="s">
        <v>207</v>
      </c>
      <c r="E78" s="55" t="s">
        <v>524</v>
      </c>
      <c r="F78" s="56">
        <f>+VLOOKUP(B78,'[2]Summary Table'!$C$2:$G$287,5,0)</f>
        <v>46</v>
      </c>
      <c r="G78" s="57">
        <f>+VLOOKUP(B78,'[2]Summary Table'!$C$2:$J$287,8,0)</f>
        <v>0.19706099999999999</v>
      </c>
    </row>
    <row r="79" spans="1:7">
      <c r="A79" s="53" t="s">
        <v>337</v>
      </c>
      <c r="B79" s="53" t="s">
        <v>342</v>
      </c>
      <c r="C79" s="53" t="s">
        <v>343</v>
      </c>
      <c r="D79" s="53" t="s">
        <v>342</v>
      </c>
      <c r="E79" s="55" t="s">
        <v>524</v>
      </c>
      <c r="F79" s="56">
        <f>+VLOOKUP(B79,'[2]Summary Table'!$C$2:$G$287,5,0)</f>
        <v>19</v>
      </c>
      <c r="G79" s="57">
        <f>+VLOOKUP(B79,'[2]Summary Table'!$C$2:$J$287,8,0)</f>
        <v>0.30965799999999999</v>
      </c>
    </row>
    <row r="80" spans="1:7">
      <c r="A80" s="53" t="s">
        <v>535</v>
      </c>
      <c r="B80" s="53" t="s">
        <v>188</v>
      </c>
      <c r="C80" s="53" t="s">
        <v>189</v>
      </c>
      <c r="D80" s="53" t="s">
        <v>188</v>
      </c>
      <c r="E80" s="55" t="s">
        <v>524</v>
      </c>
      <c r="F80" s="56">
        <f>+VLOOKUP(B80,'[2]Summary Table'!$C$2:$G$287,5,0)</f>
        <v>20</v>
      </c>
      <c r="G80" s="57">
        <f>+VLOOKUP(B80,'[2]Summary Table'!$C$2:$J$287,8,0)</f>
        <v>0.39627800000000002</v>
      </c>
    </row>
    <row r="81" spans="1:7">
      <c r="A81" s="53" t="s">
        <v>529</v>
      </c>
      <c r="B81" s="53" t="s">
        <v>218</v>
      </c>
      <c r="C81" s="53" t="s">
        <v>219</v>
      </c>
      <c r="D81" s="53" t="s">
        <v>218</v>
      </c>
      <c r="E81" s="55" t="s">
        <v>524</v>
      </c>
      <c r="F81" s="56">
        <f>+VLOOKUP(B81,'[2]Summary Table'!$C$2:$G$287,5,0)</f>
        <v>20</v>
      </c>
      <c r="G81" s="57">
        <f>+VLOOKUP(B81,'[2]Summary Table'!$C$2:$J$287,8,0)</f>
        <v>0.39627800000000002</v>
      </c>
    </row>
    <row r="82" spans="1:7">
      <c r="A82" s="53" t="s">
        <v>529</v>
      </c>
      <c r="B82" s="53" t="s">
        <v>224</v>
      </c>
      <c r="C82" s="53" t="s">
        <v>225</v>
      </c>
      <c r="D82" s="53" t="s">
        <v>224</v>
      </c>
      <c r="E82" s="55" t="s">
        <v>524</v>
      </c>
      <c r="F82" s="56">
        <f>+VLOOKUP(B82,'[2]Summary Table'!$C$2:$G$287,5,0)</f>
        <v>20</v>
      </c>
      <c r="G82" s="57">
        <f>+VLOOKUP(B82,'[2]Summary Table'!$C$2:$J$287,8,0)</f>
        <v>0.39627800000000002</v>
      </c>
    </row>
    <row r="83" spans="1:7">
      <c r="A83" s="53" t="s">
        <v>529</v>
      </c>
      <c r="B83" s="53" t="s">
        <v>215</v>
      </c>
      <c r="C83" s="53" t="s">
        <v>112</v>
      </c>
      <c r="D83" s="53" t="s">
        <v>215</v>
      </c>
      <c r="E83" s="55" t="s">
        <v>524</v>
      </c>
      <c r="F83" s="56">
        <f>+VLOOKUP(B83,'[2]Summary Table'!$C$2:$G$287,5,0)</f>
        <v>47</v>
      </c>
      <c r="G83" s="57">
        <f>+VLOOKUP(B83,'[2]Summary Table'!$C$2:$J$287,8,0)</f>
        <v>0.39627800000000002</v>
      </c>
    </row>
    <row r="84" spans="1:7">
      <c r="A84" s="53" t="s">
        <v>531</v>
      </c>
      <c r="B84" s="53" t="s">
        <v>144</v>
      </c>
      <c r="C84" s="53" t="s">
        <v>145</v>
      </c>
      <c r="D84" s="53" t="s">
        <v>144</v>
      </c>
      <c r="E84" s="55" t="s">
        <v>524</v>
      </c>
      <c r="F84" s="56">
        <f>+VLOOKUP(B84,'[2]Summary Table'!$C$2:$G$287,5,0)</f>
        <v>21</v>
      </c>
      <c r="G84" s="57">
        <f>+VLOOKUP(B84,'[2]Summary Table'!$C$2:$J$287,8,0)</f>
        <v>0.93905000000000005</v>
      </c>
    </row>
    <row r="85" spans="1:7">
      <c r="A85" s="53" t="s">
        <v>531</v>
      </c>
      <c r="B85" s="53" t="s">
        <v>146</v>
      </c>
      <c r="C85" s="53" t="s">
        <v>145</v>
      </c>
      <c r="D85" s="53" t="s">
        <v>146</v>
      </c>
      <c r="E85" s="55" t="s">
        <v>524</v>
      </c>
      <c r="F85" s="56">
        <f>+VLOOKUP(B85,'[2]Summary Table'!$C$2:$G$287,5,0)</f>
        <v>21</v>
      </c>
      <c r="G85" s="57">
        <f>+VLOOKUP(B85,'[2]Summary Table'!$C$2:$J$287,8,0)</f>
        <v>0.93905000000000005</v>
      </c>
    </row>
    <row r="86" spans="1:7">
      <c r="A86" s="53" t="s">
        <v>531</v>
      </c>
      <c r="B86" s="53" t="s">
        <v>147</v>
      </c>
      <c r="C86" s="53" t="s">
        <v>145</v>
      </c>
      <c r="D86" s="53" t="s">
        <v>147</v>
      </c>
      <c r="E86" s="55" t="s">
        <v>524</v>
      </c>
      <c r="F86" s="56">
        <f>+VLOOKUP(B86,'[2]Summary Table'!$C$2:$G$287,5,0)</f>
        <v>21</v>
      </c>
      <c r="G86" s="57">
        <f>+VLOOKUP(B86,'[2]Summary Table'!$C$2:$J$287,8,0)</f>
        <v>0.93905000000000005</v>
      </c>
    </row>
    <row r="87" spans="1:7">
      <c r="A87" s="53" t="s">
        <v>531</v>
      </c>
      <c r="B87" s="53" t="s">
        <v>169</v>
      </c>
      <c r="C87" s="53" t="s">
        <v>170</v>
      </c>
      <c r="D87" s="53" t="s">
        <v>169</v>
      </c>
      <c r="E87" s="55" t="s">
        <v>524</v>
      </c>
      <c r="F87" s="56">
        <f>+VLOOKUP(B87,'[2]Summary Table'!$C$2:$G$287,5,0)</f>
        <v>21</v>
      </c>
      <c r="G87" s="57">
        <f>+VLOOKUP(B87,'[2]Summary Table'!$C$2:$J$287,8,0)</f>
        <v>0.93905000000000005</v>
      </c>
    </row>
    <row r="88" spans="1:7">
      <c r="A88" s="53" t="s">
        <v>531</v>
      </c>
      <c r="B88" s="53" t="s">
        <v>171</v>
      </c>
      <c r="C88" s="53" t="s">
        <v>170</v>
      </c>
      <c r="D88" s="53" t="s">
        <v>171</v>
      </c>
      <c r="E88" s="55" t="s">
        <v>524</v>
      </c>
      <c r="F88" s="56">
        <f>+VLOOKUP(B88,'[2]Summary Table'!$C$2:$G$287,5,0)</f>
        <v>21</v>
      </c>
      <c r="G88" s="57">
        <f>+VLOOKUP(B88,'[2]Summary Table'!$C$2:$J$287,8,0)</f>
        <v>0.93905000000000005</v>
      </c>
    </row>
    <row r="89" spans="1:7">
      <c r="A89" s="53" t="s">
        <v>531</v>
      </c>
      <c r="B89" s="53" t="s">
        <v>172</v>
      </c>
      <c r="C89" s="53" t="s">
        <v>170</v>
      </c>
      <c r="D89" s="53" t="s">
        <v>172</v>
      </c>
      <c r="E89" s="55" t="s">
        <v>524</v>
      </c>
      <c r="F89" s="56">
        <f>+VLOOKUP(B89,'[2]Summary Table'!$C$2:$G$287,5,0)</f>
        <v>21</v>
      </c>
      <c r="G89" s="57">
        <f>+VLOOKUP(B89,'[2]Summary Table'!$C$2:$J$287,8,0)</f>
        <v>0.93905000000000005</v>
      </c>
    </row>
    <row r="90" spans="1:7">
      <c r="A90" s="53" t="s">
        <v>529</v>
      </c>
      <c r="B90" s="53" t="s">
        <v>220</v>
      </c>
      <c r="C90" s="53" t="s">
        <v>221</v>
      </c>
      <c r="D90" s="53" t="s">
        <v>220</v>
      </c>
      <c r="E90" s="55" t="s">
        <v>524</v>
      </c>
      <c r="F90" s="56">
        <f>+VLOOKUP(B90,'[2]Summary Table'!$C$2:$G$287,5,0)</f>
        <v>21</v>
      </c>
      <c r="G90" s="57">
        <f>+VLOOKUP(B90,'[2]Summary Table'!$C$2:$J$287,8,0)</f>
        <v>0.93905000000000005</v>
      </c>
    </row>
    <row r="91" spans="1:7">
      <c r="A91" s="53" t="s">
        <v>227</v>
      </c>
      <c r="B91" s="53" t="s">
        <v>252</v>
      </c>
      <c r="C91" s="53" t="s">
        <v>253</v>
      </c>
      <c r="D91" s="53" t="s">
        <v>252</v>
      </c>
      <c r="E91" s="55" t="s">
        <v>524</v>
      </c>
      <c r="F91" s="56">
        <f>+VLOOKUP(B91,'[2]Summary Table'!$C$2:$G$287,5,0)</f>
        <v>22</v>
      </c>
      <c r="G91" s="57">
        <f>+VLOOKUP(B91,'[2]Summary Table'!$C$2:$J$287,8,0)</f>
        <v>0.117744</v>
      </c>
    </row>
    <row r="92" spans="1:7">
      <c r="A92" s="53" t="s">
        <v>530</v>
      </c>
      <c r="B92" s="53" t="s">
        <v>113</v>
      </c>
      <c r="C92" s="58" t="s">
        <v>112</v>
      </c>
      <c r="D92" s="53" t="s">
        <v>113</v>
      </c>
      <c r="E92" s="55" t="s">
        <v>524</v>
      </c>
      <c r="F92" s="56">
        <f>+VLOOKUP(B92,'[2]Summary Table'!$C$2:$G$287,5,0)</f>
        <v>23</v>
      </c>
      <c r="G92" s="57">
        <f>+VLOOKUP(B92,'[2]Summary Table'!$C$2:$J$287,8,0)</f>
        <v>0.30099999999999999</v>
      </c>
    </row>
    <row r="93" spans="1:7">
      <c r="A93" s="53" t="s">
        <v>530</v>
      </c>
      <c r="B93" s="53" t="s">
        <v>114</v>
      </c>
      <c r="C93" s="58" t="s">
        <v>112</v>
      </c>
      <c r="D93" s="53" t="s">
        <v>114</v>
      </c>
      <c r="E93" s="55" t="s">
        <v>524</v>
      </c>
      <c r="F93" s="56">
        <f>+VLOOKUP(B93,'[2]Summary Table'!$C$2:$G$287,5,0)</f>
        <v>23</v>
      </c>
      <c r="G93" s="57">
        <f>+VLOOKUP(B93,'[2]Summary Table'!$C$2:$J$287,8,0)</f>
        <v>0.30099999999999999</v>
      </c>
    </row>
    <row r="94" spans="1:7">
      <c r="A94" s="53" t="s">
        <v>530</v>
      </c>
      <c r="B94" s="53" t="s">
        <v>115</v>
      </c>
      <c r="C94" s="58" t="s">
        <v>112</v>
      </c>
      <c r="D94" s="53" t="s">
        <v>115</v>
      </c>
      <c r="E94" s="55" t="s">
        <v>524</v>
      </c>
      <c r="F94" s="56">
        <f>+VLOOKUP(B94,'[2]Summary Table'!$C$2:$G$287,5,0)</f>
        <v>23</v>
      </c>
      <c r="G94" s="57">
        <f>+VLOOKUP(B94,'[2]Summary Table'!$C$2:$J$287,8,0)</f>
        <v>0.30099999999999999</v>
      </c>
    </row>
    <row r="95" spans="1:7">
      <c r="A95" s="53" t="s">
        <v>530</v>
      </c>
      <c r="B95" s="53" t="s">
        <v>116</v>
      </c>
      <c r="C95" s="58" t="s">
        <v>112</v>
      </c>
      <c r="D95" s="53" t="s">
        <v>116</v>
      </c>
      <c r="E95" s="55" t="s">
        <v>524</v>
      </c>
      <c r="F95" s="56">
        <f>+VLOOKUP(B95,'[2]Summary Table'!$C$2:$G$287,5,0)</f>
        <v>23</v>
      </c>
      <c r="G95" s="57">
        <f>+VLOOKUP(B95,'[2]Summary Table'!$C$2:$J$287,8,0)</f>
        <v>0.30099999999999999</v>
      </c>
    </row>
    <row r="96" spans="1:7">
      <c r="A96" s="53" t="s">
        <v>530</v>
      </c>
      <c r="B96" s="53" t="s">
        <v>117</v>
      </c>
      <c r="C96" s="58" t="s">
        <v>112</v>
      </c>
      <c r="D96" s="53" t="s">
        <v>117</v>
      </c>
      <c r="E96" s="55" t="s">
        <v>524</v>
      </c>
      <c r="F96" s="56">
        <f>+VLOOKUP(B96,'[2]Summary Table'!$C$2:$G$287,5,0)</f>
        <v>23</v>
      </c>
      <c r="G96" s="57">
        <f>+VLOOKUP(B96,'[2]Summary Table'!$C$2:$J$287,8,0)</f>
        <v>0.30099999999999999</v>
      </c>
    </row>
    <row r="97" spans="1:7">
      <c r="A97" s="53" t="s">
        <v>530</v>
      </c>
      <c r="B97" s="53" t="s">
        <v>118</v>
      </c>
      <c r="C97" s="58" t="s">
        <v>112</v>
      </c>
      <c r="D97" s="53" t="s">
        <v>118</v>
      </c>
      <c r="E97" s="55" t="s">
        <v>524</v>
      </c>
      <c r="F97" s="56">
        <f>+VLOOKUP(B97,'[2]Summary Table'!$C$2:$G$287,5,0)</f>
        <v>23</v>
      </c>
      <c r="G97" s="57">
        <f>+VLOOKUP(B97,'[2]Summary Table'!$C$2:$J$287,8,0)</f>
        <v>0.30099999999999999</v>
      </c>
    </row>
    <row r="98" spans="1:7">
      <c r="A98" s="53" t="s">
        <v>530</v>
      </c>
      <c r="B98" s="53" t="s">
        <v>119</v>
      </c>
      <c r="C98" s="58" t="s">
        <v>112</v>
      </c>
      <c r="D98" s="53" t="s">
        <v>119</v>
      </c>
      <c r="E98" s="55" t="s">
        <v>524</v>
      </c>
      <c r="F98" s="56">
        <f>+VLOOKUP(B98,'[2]Summary Table'!$C$2:$G$287,5,0)</f>
        <v>23</v>
      </c>
      <c r="G98" s="57">
        <f>+VLOOKUP(B98,'[2]Summary Table'!$C$2:$J$287,8,0)</f>
        <v>0.30099999999999999</v>
      </c>
    </row>
    <row r="99" spans="1:7">
      <c r="A99" s="53" t="s">
        <v>530</v>
      </c>
      <c r="B99" s="53" t="s">
        <v>111</v>
      </c>
      <c r="C99" s="58" t="s">
        <v>112</v>
      </c>
      <c r="D99" s="53" t="s">
        <v>111</v>
      </c>
      <c r="E99" s="55" t="s">
        <v>524</v>
      </c>
      <c r="F99" s="56">
        <f>+VLOOKUP(B99,'[2]Summary Table'!$C$2:$G$287,5,0)</f>
        <v>23</v>
      </c>
      <c r="G99" s="57">
        <f>+VLOOKUP(B99,'[2]Summary Table'!$C$2:$J$287,8,0)</f>
        <v>0.30099999999999999</v>
      </c>
    </row>
    <row r="100" spans="1:7">
      <c r="A100" s="53" t="s">
        <v>534</v>
      </c>
      <c r="B100" s="53" t="s">
        <v>84</v>
      </c>
      <c r="C100" s="53" t="s">
        <v>85</v>
      </c>
      <c r="D100" s="53" t="s">
        <v>84</v>
      </c>
      <c r="E100" s="55" t="s">
        <v>524</v>
      </c>
      <c r="F100" s="56">
        <f>+VLOOKUP(B100,'[2]Summary Table'!$C$2:$G$287,5,0)</f>
        <v>24</v>
      </c>
      <c r="G100" s="57">
        <f>+VLOOKUP(B100,'[2]Summary Table'!$C$2:$J$287,8,0)</f>
        <v>0.89349466500000008</v>
      </c>
    </row>
    <row r="101" spans="1:7">
      <c r="A101" s="53" t="s">
        <v>534</v>
      </c>
      <c r="B101" s="53" t="s">
        <v>86</v>
      </c>
      <c r="C101" s="53" t="s">
        <v>85</v>
      </c>
      <c r="D101" s="53" t="s">
        <v>86</v>
      </c>
      <c r="E101" s="55" t="s">
        <v>524</v>
      </c>
      <c r="F101" s="56">
        <f>+VLOOKUP(B101,'[2]Summary Table'!$C$2:$G$287,5,0)</f>
        <v>24</v>
      </c>
      <c r="G101" s="57">
        <f>+VLOOKUP(B101,'[2]Summary Table'!$C$2:$J$287,8,0)</f>
        <v>0.89349466500000008</v>
      </c>
    </row>
    <row r="102" spans="1:7">
      <c r="A102" s="53" t="s">
        <v>534</v>
      </c>
      <c r="B102" s="53" t="s">
        <v>87</v>
      </c>
      <c r="C102" s="53" t="s">
        <v>88</v>
      </c>
      <c r="D102" s="53" t="s">
        <v>87</v>
      </c>
      <c r="E102" s="55" t="s">
        <v>524</v>
      </c>
      <c r="F102" s="56">
        <f>+VLOOKUP(B102,'[2]Summary Table'!$C$2:$G$287,5,0)</f>
        <v>24</v>
      </c>
      <c r="G102" s="57">
        <f>+VLOOKUP(B102,'[2]Summary Table'!$C$2:$J$287,8,0)</f>
        <v>0.89349466500000008</v>
      </c>
    </row>
    <row r="103" spans="1:7">
      <c r="A103" s="53" t="s">
        <v>534</v>
      </c>
      <c r="B103" s="53" t="s">
        <v>89</v>
      </c>
      <c r="C103" s="53" t="s">
        <v>88</v>
      </c>
      <c r="D103" s="53" t="s">
        <v>89</v>
      </c>
      <c r="E103" s="55" t="s">
        <v>524</v>
      </c>
      <c r="F103" s="56">
        <f>+VLOOKUP(B103,'[2]Summary Table'!$C$2:$G$287,5,0)</f>
        <v>24</v>
      </c>
      <c r="G103" s="57">
        <f>+VLOOKUP(B103,'[2]Summary Table'!$C$2:$J$287,8,0)</f>
        <v>0.89349466500000008</v>
      </c>
    </row>
    <row r="104" spans="1:7">
      <c r="A104" s="53" t="s">
        <v>531</v>
      </c>
      <c r="B104" s="53" t="s">
        <v>139</v>
      </c>
      <c r="C104" s="53" t="s">
        <v>140</v>
      </c>
      <c r="D104" s="53" t="s">
        <v>139</v>
      </c>
      <c r="E104" s="55" t="s">
        <v>524</v>
      </c>
      <c r="F104" s="56">
        <f>+VLOOKUP(B104,'[2]Summary Table'!$C$2:$G$287,5,0)</f>
        <v>24</v>
      </c>
      <c r="G104" s="57">
        <f>+VLOOKUP(B104,'[2]Summary Table'!$C$2:$J$287,8,0)</f>
        <v>0.89349466500000008</v>
      </c>
    </row>
    <row r="105" spans="1:7">
      <c r="A105" s="53" t="s">
        <v>531</v>
      </c>
      <c r="B105" s="53" t="s">
        <v>141</v>
      </c>
      <c r="C105" s="53" t="s">
        <v>140</v>
      </c>
      <c r="D105" s="53" t="s">
        <v>141</v>
      </c>
      <c r="E105" s="55" t="s">
        <v>524</v>
      </c>
      <c r="F105" s="56">
        <f>+VLOOKUP(B105,'[2]Summary Table'!$C$2:$G$287,5,0)</f>
        <v>24</v>
      </c>
      <c r="G105" s="57">
        <f>+VLOOKUP(B105,'[2]Summary Table'!$C$2:$J$287,8,0)</f>
        <v>0.89349466500000008</v>
      </c>
    </row>
    <row r="106" spans="1:7">
      <c r="A106" s="53" t="s">
        <v>531</v>
      </c>
      <c r="B106" s="53" t="s">
        <v>142</v>
      </c>
      <c r="C106" s="53" t="s">
        <v>143</v>
      </c>
      <c r="D106" s="53" t="s">
        <v>142</v>
      </c>
      <c r="E106" s="55" t="s">
        <v>524</v>
      </c>
      <c r="F106" s="56">
        <f>+VLOOKUP(B106,'[2]Summary Table'!$C$2:$G$287,5,0)</f>
        <v>24</v>
      </c>
      <c r="G106" s="57">
        <f>+VLOOKUP(B106,'[2]Summary Table'!$C$2:$J$287,8,0)</f>
        <v>0.89349466500000008</v>
      </c>
    </row>
    <row r="107" spans="1:7">
      <c r="A107" s="53" t="s">
        <v>531</v>
      </c>
      <c r="B107" s="53" t="s">
        <v>159</v>
      </c>
      <c r="C107" s="53" t="s">
        <v>160</v>
      </c>
      <c r="D107" s="53" t="s">
        <v>159</v>
      </c>
      <c r="E107" s="55" t="s">
        <v>524</v>
      </c>
      <c r="F107" s="56">
        <f>+VLOOKUP(B107,'[2]Summary Table'!$C$2:$G$287,5,0)</f>
        <v>24</v>
      </c>
      <c r="G107" s="57">
        <f>+VLOOKUP(B107,'[2]Summary Table'!$C$2:$J$287,8,0)</f>
        <v>0.89349466500000008</v>
      </c>
    </row>
    <row r="108" spans="1:7">
      <c r="A108" s="53" t="s">
        <v>531</v>
      </c>
      <c r="B108" s="53" t="s">
        <v>161</v>
      </c>
      <c r="C108" s="53" t="s">
        <v>160</v>
      </c>
      <c r="D108" s="53" t="s">
        <v>161</v>
      </c>
      <c r="E108" s="55" t="s">
        <v>524</v>
      </c>
      <c r="F108" s="56">
        <f>+VLOOKUP(B108,'[2]Summary Table'!$C$2:$G$287,5,0)</f>
        <v>24</v>
      </c>
      <c r="G108" s="57">
        <f>+VLOOKUP(B108,'[2]Summary Table'!$C$2:$J$287,8,0)</f>
        <v>0.89349466500000008</v>
      </c>
    </row>
    <row r="109" spans="1:7">
      <c r="A109" s="53" t="s">
        <v>531</v>
      </c>
      <c r="B109" s="53" t="s">
        <v>162</v>
      </c>
      <c r="C109" s="53" t="s">
        <v>160</v>
      </c>
      <c r="D109" s="53" t="s">
        <v>162</v>
      </c>
      <c r="E109" s="55" t="s">
        <v>524</v>
      </c>
      <c r="F109" s="56">
        <f>+VLOOKUP(B109,'[2]Summary Table'!$C$2:$G$287,5,0)</f>
        <v>24</v>
      </c>
      <c r="G109" s="57">
        <f>+VLOOKUP(B109,'[2]Summary Table'!$C$2:$J$287,8,0)</f>
        <v>0.89349466500000008</v>
      </c>
    </row>
    <row r="110" spans="1:7">
      <c r="A110" s="53" t="s">
        <v>254</v>
      </c>
      <c r="B110" s="53" t="s">
        <v>263</v>
      </c>
      <c r="C110" s="53" t="s">
        <v>264</v>
      </c>
      <c r="D110" s="53" t="s">
        <v>263</v>
      </c>
      <c r="E110" s="55" t="s">
        <v>524</v>
      </c>
      <c r="F110" s="56">
        <f>+VLOOKUP(B110,'[2]Summary Table'!$C$2:$G$287,5,0)</f>
        <v>24</v>
      </c>
      <c r="G110" s="57">
        <f>+VLOOKUP(B110,'[2]Summary Table'!$C$2:$J$287,8,0)</f>
        <v>0.89349466500000008</v>
      </c>
    </row>
    <row r="111" spans="1:7">
      <c r="A111" s="53" t="s">
        <v>254</v>
      </c>
      <c r="B111" s="53" t="s">
        <v>265</v>
      </c>
      <c r="C111" s="53" t="s">
        <v>266</v>
      </c>
      <c r="D111" s="53" t="s">
        <v>265</v>
      </c>
      <c r="E111" s="55" t="s">
        <v>524</v>
      </c>
      <c r="F111" s="56">
        <f>+VLOOKUP(B111,'[2]Summary Table'!$C$2:$G$287,5,0)</f>
        <v>24</v>
      </c>
      <c r="G111" s="57">
        <f>+VLOOKUP(B111,'[2]Summary Table'!$C$2:$J$287,8,0)</f>
        <v>0.89349466500000008</v>
      </c>
    </row>
    <row r="112" spans="1:7">
      <c r="A112" s="53" t="s">
        <v>254</v>
      </c>
      <c r="B112" s="53" t="s">
        <v>269</v>
      </c>
      <c r="C112" s="58" t="s">
        <v>270</v>
      </c>
      <c r="D112" s="53" t="s">
        <v>269</v>
      </c>
      <c r="E112" s="55" t="s">
        <v>524</v>
      </c>
      <c r="F112" s="56">
        <f>+VLOOKUP(B112,'[2]Summary Table'!$C$2:$G$287,5,0)</f>
        <v>24</v>
      </c>
      <c r="G112" s="57">
        <f>+VLOOKUP(B112,'[2]Summary Table'!$C$2:$J$287,8,0)</f>
        <v>0.89349466500000008</v>
      </c>
    </row>
    <row r="113" spans="1:7">
      <c r="A113" s="53" t="s">
        <v>254</v>
      </c>
      <c r="B113" s="53" t="s">
        <v>271</v>
      </c>
      <c r="C113" s="58" t="s">
        <v>272</v>
      </c>
      <c r="D113" s="53" t="s">
        <v>271</v>
      </c>
      <c r="E113" s="55" t="s">
        <v>524</v>
      </c>
      <c r="F113" s="56">
        <f>+VLOOKUP(B113,'[2]Summary Table'!$C$2:$G$287,5,0)</f>
        <v>24</v>
      </c>
      <c r="G113" s="57">
        <f>+VLOOKUP(B113,'[2]Summary Table'!$C$2:$J$287,8,0)</f>
        <v>0.89349466500000008</v>
      </c>
    </row>
    <row r="114" spans="1:7">
      <c r="A114" s="53" t="s">
        <v>254</v>
      </c>
      <c r="B114" s="53" t="s">
        <v>275</v>
      </c>
      <c r="C114" s="58" t="s">
        <v>276</v>
      </c>
      <c r="D114" s="53" t="s">
        <v>275</v>
      </c>
      <c r="E114" s="55" t="s">
        <v>524</v>
      </c>
      <c r="F114" s="56">
        <f>+VLOOKUP(B114,'[2]Summary Table'!$C$2:$G$287,5,0)</f>
        <v>24</v>
      </c>
      <c r="G114" s="57">
        <f>+VLOOKUP(B114,'[2]Summary Table'!$C$2:$J$287,8,0)</f>
        <v>0.89349466500000008</v>
      </c>
    </row>
    <row r="115" spans="1:7">
      <c r="A115" s="53" t="s">
        <v>254</v>
      </c>
      <c r="B115" s="53" t="s">
        <v>277</v>
      </c>
      <c r="C115" s="58" t="s">
        <v>278</v>
      </c>
      <c r="D115" s="53" t="s">
        <v>277</v>
      </c>
      <c r="E115" s="55" t="s">
        <v>524</v>
      </c>
      <c r="F115" s="56">
        <f>+VLOOKUP(B115,'[2]Summary Table'!$C$2:$G$287,5,0)</f>
        <v>24</v>
      </c>
      <c r="G115" s="57">
        <f>+VLOOKUP(B115,'[2]Summary Table'!$C$2:$J$287,8,0)</f>
        <v>0.89349466500000008</v>
      </c>
    </row>
    <row r="116" spans="1:7">
      <c r="A116" s="53" t="s">
        <v>279</v>
      </c>
      <c r="B116" s="53" t="s">
        <v>290</v>
      </c>
      <c r="C116" s="58" t="s">
        <v>291</v>
      </c>
      <c r="D116" s="53" t="s">
        <v>290</v>
      </c>
      <c r="E116" s="55" t="s">
        <v>524</v>
      </c>
      <c r="F116" s="56">
        <f>+VLOOKUP(B116,'[2]Summary Table'!$C$2:$G$287,5,0)</f>
        <v>24</v>
      </c>
      <c r="G116" s="57">
        <f>+VLOOKUP(B116,'[2]Summary Table'!$C$2:$J$287,8,0)</f>
        <v>0.89349466500000008</v>
      </c>
    </row>
    <row r="117" spans="1:7">
      <c r="A117" s="53" t="s">
        <v>279</v>
      </c>
      <c r="B117" s="53" t="s">
        <v>292</v>
      </c>
      <c r="C117" s="58" t="s">
        <v>291</v>
      </c>
      <c r="D117" s="53" t="s">
        <v>292</v>
      </c>
      <c r="E117" s="55" t="s">
        <v>524</v>
      </c>
      <c r="F117" s="56">
        <f>+VLOOKUP(B117,'[2]Summary Table'!$C$2:$G$287,5,0)</f>
        <v>24</v>
      </c>
      <c r="G117" s="57">
        <f>+VLOOKUP(B117,'[2]Summary Table'!$C$2:$J$287,8,0)</f>
        <v>0.89349466500000008</v>
      </c>
    </row>
    <row r="118" spans="1:7">
      <c r="A118" s="53" t="s">
        <v>279</v>
      </c>
      <c r="B118" s="53" t="s">
        <v>293</v>
      </c>
      <c r="C118" s="58" t="s">
        <v>291</v>
      </c>
      <c r="D118" s="53" t="s">
        <v>293</v>
      </c>
      <c r="E118" s="55" t="s">
        <v>524</v>
      </c>
      <c r="F118" s="56">
        <f>+VLOOKUP(B118,'[2]Summary Table'!$C$2:$G$287,5,0)</f>
        <v>24</v>
      </c>
      <c r="G118" s="57">
        <f>+VLOOKUP(B118,'[2]Summary Table'!$C$2:$J$287,8,0)</f>
        <v>0.89349466500000008</v>
      </c>
    </row>
    <row r="119" spans="1:7">
      <c r="A119" s="53" t="s">
        <v>279</v>
      </c>
      <c r="B119" s="53" t="s">
        <v>302</v>
      </c>
      <c r="C119" s="53" t="s">
        <v>225</v>
      </c>
      <c r="D119" s="53" t="s">
        <v>302</v>
      </c>
      <c r="E119" s="55" t="s">
        <v>524</v>
      </c>
      <c r="F119" s="56">
        <f>+VLOOKUP(B119,'[2]Summary Table'!$C$2:$G$287,5,0)</f>
        <v>24</v>
      </c>
      <c r="G119" s="57">
        <f>+VLOOKUP(B119,'[2]Summary Table'!$C$2:$J$287,8,0)</f>
        <v>0.89349466500000008</v>
      </c>
    </row>
    <row r="120" spans="1:7">
      <c r="A120" s="53" t="s">
        <v>279</v>
      </c>
      <c r="B120" s="53" t="s">
        <v>303</v>
      </c>
      <c r="C120" s="53" t="s">
        <v>225</v>
      </c>
      <c r="D120" s="53" t="s">
        <v>303</v>
      </c>
      <c r="E120" s="55" t="s">
        <v>524</v>
      </c>
      <c r="F120" s="56">
        <f>+VLOOKUP(B120,'[2]Summary Table'!$C$2:$G$287,5,0)</f>
        <v>24</v>
      </c>
      <c r="G120" s="57">
        <f>+VLOOKUP(B120,'[2]Summary Table'!$C$2:$J$287,8,0)</f>
        <v>0.89349466500000008</v>
      </c>
    </row>
    <row r="121" spans="1:7">
      <c r="A121" s="53" t="s">
        <v>337</v>
      </c>
      <c r="B121" s="53" t="s">
        <v>340</v>
      </c>
      <c r="C121" s="53" t="s">
        <v>341</v>
      </c>
      <c r="D121" s="53" t="s">
        <v>340</v>
      </c>
      <c r="E121" s="55" t="s">
        <v>524</v>
      </c>
      <c r="F121" s="56">
        <f>+VLOOKUP(B121,'[2]Summary Table'!$C$2:$G$287,5,0)</f>
        <v>24</v>
      </c>
      <c r="G121" s="57">
        <f>+VLOOKUP(B121,'[2]Summary Table'!$C$2:$J$287,8,0)</f>
        <v>0.89349466500000008</v>
      </c>
    </row>
    <row r="122" spans="1:7">
      <c r="A122" s="53" t="s">
        <v>337</v>
      </c>
      <c r="B122" s="53" t="s">
        <v>344</v>
      </c>
      <c r="C122" s="53" t="s">
        <v>345</v>
      </c>
      <c r="D122" s="53" t="s">
        <v>344</v>
      </c>
      <c r="E122" s="55" t="s">
        <v>524</v>
      </c>
      <c r="F122" s="56">
        <f>+VLOOKUP(B122,'[2]Summary Table'!$C$2:$G$287,5,0)</f>
        <v>24</v>
      </c>
      <c r="G122" s="57">
        <f>+VLOOKUP(B122,'[2]Summary Table'!$C$2:$J$287,8,0)</f>
        <v>0.89349466500000008</v>
      </c>
    </row>
    <row r="123" spans="1:7">
      <c r="A123" s="53" t="s">
        <v>337</v>
      </c>
      <c r="B123" s="53" t="s">
        <v>352</v>
      </c>
      <c r="C123" s="53" t="s">
        <v>353</v>
      </c>
      <c r="D123" s="53" t="s">
        <v>352</v>
      </c>
      <c r="E123" s="55" t="s">
        <v>524</v>
      </c>
      <c r="F123" s="56">
        <f>+VLOOKUP(B123,'[2]Summary Table'!$C$2:$G$287,5,0)</f>
        <v>24</v>
      </c>
      <c r="G123" s="57">
        <f>+VLOOKUP(B123,'[2]Summary Table'!$C$2:$J$287,8,0)</f>
        <v>0.89349466500000008</v>
      </c>
    </row>
    <row r="124" spans="1:7">
      <c r="A124" s="53" t="s">
        <v>337</v>
      </c>
      <c r="B124" s="53" t="s">
        <v>357</v>
      </c>
      <c r="C124" s="53" t="s">
        <v>358</v>
      </c>
      <c r="D124" s="53" t="s">
        <v>357</v>
      </c>
      <c r="E124" s="55" t="s">
        <v>524</v>
      </c>
      <c r="F124" s="56">
        <f>+VLOOKUP(B124,'[2]Summary Table'!$C$2:$G$287,5,0)</f>
        <v>24</v>
      </c>
      <c r="G124" s="57">
        <f>+VLOOKUP(B124,'[2]Summary Table'!$C$2:$J$287,8,0)</f>
        <v>0.89349466500000008</v>
      </c>
    </row>
    <row r="125" spans="1:7">
      <c r="A125" s="53" t="s">
        <v>337</v>
      </c>
      <c r="B125" s="53" t="s">
        <v>359</v>
      </c>
      <c r="C125" s="53" t="s">
        <v>358</v>
      </c>
      <c r="D125" s="53" t="s">
        <v>359</v>
      </c>
      <c r="E125" s="55" t="s">
        <v>524</v>
      </c>
      <c r="F125" s="56">
        <f>+VLOOKUP(B125,'[2]Summary Table'!$C$2:$G$287,5,0)</f>
        <v>24</v>
      </c>
      <c r="G125" s="57">
        <f>+VLOOKUP(B125,'[2]Summary Table'!$C$2:$J$287,8,0)</f>
        <v>0.89349466500000008</v>
      </c>
    </row>
    <row r="126" spans="1:7">
      <c r="A126" s="53" t="s">
        <v>337</v>
      </c>
      <c r="B126" s="53" t="s">
        <v>360</v>
      </c>
      <c r="C126" s="53" t="s">
        <v>358</v>
      </c>
      <c r="D126" s="53" t="s">
        <v>360</v>
      </c>
      <c r="E126" s="55" t="s">
        <v>524</v>
      </c>
      <c r="F126" s="56">
        <f>+VLOOKUP(B126,'[2]Summary Table'!$C$2:$G$287,5,0)</f>
        <v>24</v>
      </c>
      <c r="G126" s="57">
        <f>+VLOOKUP(B126,'[2]Summary Table'!$C$2:$J$287,8,0)</f>
        <v>0.89349466500000008</v>
      </c>
    </row>
    <row r="127" spans="1:7">
      <c r="A127" s="53" t="s">
        <v>441</v>
      </c>
      <c r="B127" s="53" t="s">
        <v>445</v>
      </c>
      <c r="C127" s="53" t="s">
        <v>446</v>
      </c>
      <c r="D127" s="53" t="s">
        <v>445</v>
      </c>
      <c r="E127" s="55" t="s">
        <v>524</v>
      </c>
      <c r="F127" s="56">
        <f>+VLOOKUP(B127,'[2]Summary Table'!$C$2:$G$287,5,0)</f>
        <v>25</v>
      </c>
      <c r="G127" s="57">
        <f>+VLOOKUP(B127,'[2]Summary Table'!$C$2:$J$287,8,0)</f>
        <v>1.0138480000000001</v>
      </c>
    </row>
    <row r="128" spans="1:7">
      <c r="A128" s="53" t="s">
        <v>441</v>
      </c>
      <c r="B128" s="53" t="s">
        <v>447</v>
      </c>
      <c r="C128" s="53" t="s">
        <v>446</v>
      </c>
      <c r="D128" s="53" t="s">
        <v>447</v>
      </c>
      <c r="E128" s="55" t="s">
        <v>524</v>
      </c>
      <c r="F128" s="56">
        <f>+VLOOKUP(B128,'[2]Summary Table'!$C$2:$G$287,5,0)</f>
        <v>25</v>
      </c>
      <c r="G128" s="57">
        <f>+VLOOKUP(B128,'[2]Summary Table'!$C$2:$J$287,8,0)</f>
        <v>1.0138480000000001</v>
      </c>
    </row>
    <row r="129" spans="1:7">
      <c r="A129" s="53" t="s">
        <v>533</v>
      </c>
      <c r="B129" s="53" t="s">
        <v>57</v>
      </c>
      <c r="C129" s="53" t="s">
        <v>58</v>
      </c>
      <c r="D129" s="53" t="s">
        <v>57</v>
      </c>
      <c r="E129" s="55" t="s">
        <v>524</v>
      </c>
      <c r="F129" s="56">
        <f>+VLOOKUP(B129,'[2]Summary Table'!$C$2:$G$287,5,0)</f>
        <v>26</v>
      </c>
      <c r="G129" s="57">
        <f>+VLOOKUP(B129,'[2]Summary Table'!$C$2:$J$287,8,0)</f>
        <v>0.12943951729499997</v>
      </c>
    </row>
    <row r="130" spans="1:7">
      <c r="A130" s="53" t="s">
        <v>533</v>
      </c>
      <c r="B130" s="53" t="s">
        <v>59</v>
      </c>
      <c r="C130" s="53" t="s">
        <v>58</v>
      </c>
      <c r="D130" s="53" t="s">
        <v>59</v>
      </c>
      <c r="E130" s="55" t="s">
        <v>524</v>
      </c>
      <c r="F130" s="56">
        <f>+VLOOKUP(B130,'[2]Summary Table'!$C$2:$G$287,5,0)</f>
        <v>26</v>
      </c>
      <c r="G130" s="57">
        <f>+VLOOKUP(B130,'[2]Summary Table'!$C$2:$J$287,8,0)</f>
        <v>0.12943951729499997</v>
      </c>
    </row>
    <row r="131" spans="1:7">
      <c r="A131" s="53" t="s">
        <v>533</v>
      </c>
      <c r="B131" s="53" t="s">
        <v>60</v>
      </c>
      <c r="C131" s="53" t="s">
        <v>58</v>
      </c>
      <c r="D131" s="53" t="s">
        <v>60</v>
      </c>
      <c r="E131" s="55" t="s">
        <v>524</v>
      </c>
      <c r="F131" s="56">
        <f>+VLOOKUP(B131,'[2]Summary Table'!$C$2:$G$287,5,0)</f>
        <v>26</v>
      </c>
      <c r="G131" s="57">
        <f>+VLOOKUP(B131,'[2]Summary Table'!$C$2:$J$287,8,0)</f>
        <v>0.12943951729499997</v>
      </c>
    </row>
    <row r="132" spans="1:7">
      <c r="A132" s="53" t="s">
        <v>533</v>
      </c>
      <c r="B132" s="53" t="s">
        <v>61</v>
      </c>
      <c r="C132" s="53" t="s">
        <v>58</v>
      </c>
      <c r="D132" s="53" t="s">
        <v>61</v>
      </c>
      <c r="E132" s="55" t="s">
        <v>524</v>
      </c>
      <c r="F132" s="56">
        <f>+VLOOKUP(B132,'[2]Summary Table'!$C$2:$G$287,5,0)</f>
        <v>26</v>
      </c>
      <c r="G132" s="57">
        <f>+VLOOKUP(B132,'[2]Summary Table'!$C$2:$J$287,8,0)</f>
        <v>0.12943951729499997</v>
      </c>
    </row>
    <row r="133" spans="1:7">
      <c r="A133" s="53" t="s">
        <v>530</v>
      </c>
      <c r="B133" s="53" t="s">
        <v>93</v>
      </c>
      <c r="C133" s="53" t="s">
        <v>94</v>
      </c>
      <c r="D133" s="53" t="s">
        <v>93</v>
      </c>
      <c r="E133" s="55" t="s">
        <v>524</v>
      </c>
      <c r="F133" s="56">
        <f>+VLOOKUP(B133,'[2]Summary Table'!$C$2:$G$287,5,0)</f>
        <v>26</v>
      </c>
      <c r="G133" s="57">
        <f>+VLOOKUP(B133,'[2]Summary Table'!$C$2:$J$287,8,0)</f>
        <v>0.12943951729499997</v>
      </c>
    </row>
    <row r="134" spans="1:7">
      <c r="A134" s="53" t="s">
        <v>530</v>
      </c>
      <c r="B134" s="53" t="s">
        <v>95</v>
      </c>
      <c r="C134" s="53" t="s">
        <v>94</v>
      </c>
      <c r="D134" s="53" t="s">
        <v>95</v>
      </c>
      <c r="E134" s="55" t="s">
        <v>524</v>
      </c>
      <c r="F134" s="56">
        <f>+VLOOKUP(B134,'[2]Summary Table'!$C$2:$G$287,5,0)</f>
        <v>26</v>
      </c>
      <c r="G134" s="57">
        <f>+VLOOKUP(B134,'[2]Summary Table'!$C$2:$J$287,8,0)</f>
        <v>0.12943951729499997</v>
      </c>
    </row>
    <row r="135" spans="1:7">
      <c r="A135" s="53" t="s">
        <v>530</v>
      </c>
      <c r="B135" s="53" t="s">
        <v>96</v>
      </c>
      <c r="C135" s="53" t="s">
        <v>94</v>
      </c>
      <c r="D135" s="53" t="s">
        <v>96</v>
      </c>
      <c r="E135" s="55" t="s">
        <v>524</v>
      </c>
      <c r="F135" s="56">
        <f>+VLOOKUP(B135,'[2]Summary Table'!$C$2:$G$287,5,0)</f>
        <v>26</v>
      </c>
      <c r="G135" s="57">
        <f>+VLOOKUP(B135,'[2]Summary Table'!$C$2:$J$287,8,0)</f>
        <v>0.12943951729499997</v>
      </c>
    </row>
    <row r="136" spans="1:7">
      <c r="A136" s="53" t="s">
        <v>530</v>
      </c>
      <c r="B136" s="53" t="s">
        <v>97</v>
      </c>
      <c r="C136" s="53" t="s">
        <v>94</v>
      </c>
      <c r="D136" s="53" t="s">
        <v>97</v>
      </c>
      <c r="E136" s="55" t="s">
        <v>524</v>
      </c>
      <c r="F136" s="56">
        <f>+VLOOKUP(B136,'[2]Summary Table'!$C$2:$G$287,5,0)</f>
        <v>26</v>
      </c>
      <c r="G136" s="57">
        <f>+VLOOKUP(B136,'[2]Summary Table'!$C$2:$J$287,8,0)</f>
        <v>0.12943951729499997</v>
      </c>
    </row>
    <row r="137" spans="1:7">
      <c r="A137" s="53" t="s">
        <v>530</v>
      </c>
      <c r="B137" s="53" t="s">
        <v>98</v>
      </c>
      <c r="C137" s="53" t="s">
        <v>94</v>
      </c>
      <c r="D137" s="53" t="s">
        <v>98</v>
      </c>
      <c r="E137" s="55" t="s">
        <v>524</v>
      </c>
      <c r="F137" s="56">
        <f>+VLOOKUP(B137,'[2]Summary Table'!$C$2:$G$287,5,0)</f>
        <v>26</v>
      </c>
      <c r="G137" s="57">
        <f>+VLOOKUP(B137,'[2]Summary Table'!$C$2:$J$287,8,0)</f>
        <v>0.12943951729499997</v>
      </c>
    </row>
    <row r="138" spans="1:7">
      <c r="A138" s="53" t="s">
        <v>530</v>
      </c>
      <c r="B138" s="53" t="s">
        <v>99</v>
      </c>
      <c r="C138" s="53" t="s">
        <v>94</v>
      </c>
      <c r="D138" s="53" t="s">
        <v>99</v>
      </c>
      <c r="E138" s="55" t="s">
        <v>524</v>
      </c>
      <c r="F138" s="56">
        <f>+VLOOKUP(B138,'[2]Summary Table'!$C$2:$G$287,5,0)</f>
        <v>26</v>
      </c>
      <c r="G138" s="57">
        <f>+VLOOKUP(B138,'[2]Summary Table'!$C$2:$J$287,8,0)</f>
        <v>0.12943951729499997</v>
      </c>
    </row>
    <row r="139" spans="1:7">
      <c r="A139" s="53" t="s">
        <v>530</v>
      </c>
      <c r="B139" s="53" t="s">
        <v>100</v>
      </c>
      <c r="C139" s="53" t="s">
        <v>94</v>
      </c>
      <c r="D139" s="53" t="s">
        <v>100</v>
      </c>
      <c r="E139" s="55" t="s">
        <v>524</v>
      </c>
      <c r="F139" s="56">
        <f>+VLOOKUP(B139,'[2]Summary Table'!$C$2:$G$287,5,0)</f>
        <v>26</v>
      </c>
      <c r="G139" s="57">
        <f>+VLOOKUP(B139,'[2]Summary Table'!$C$2:$J$287,8,0)</f>
        <v>0.12943951729499997</v>
      </c>
    </row>
    <row r="140" spans="1:7">
      <c r="A140" s="53" t="s">
        <v>530</v>
      </c>
      <c r="B140" s="53" t="s">
        <v>101</v>
      </c>
      <c r="C140" s="53" t="s">
        <v>94</v>
      </c>
      <c r="D140" s="53" t="s">
        <v>101</v>
      </c>
      <c r="E140" s="55" t="s">
        <v>524</v>
      </c>
      <c r="F140" s="56">
        <f>+VLOOKUP(B140,'[2]Summary Table'!$C$2:$G$287,5,0)</f>
        <v>26</v>
      </c>
      <c r="G140" s="57">
        <f>+VLOOKUP(B140,'[2]Summary Table'!$C$2:$J$287,8,0)</f>
        <v>0.12943951729499997</v>
      </c>
    </row>
    <row r="141" spans="1:7">
      <c r="A141" s="53" t="s">
        <v>531</v>
      </c>
      <c r="B141" s="53" t="s">
        <v>157</v>
      </c>
      <c r="C141" s="53" t="s">
        <v>158</v>
      </c>
      <c r="D141" s="53" t="s">
        <v>157</v>
      </c>
      <c r="E141" s="55" t="s">
        <v>524</v>
      </c>
      <c r="F141" s="56">
        <f>+VLOOKUP(B141,'[2]Summary Table'!$C$2:$G$287,5,0)</f>
        <v>26</v>
      </c>
      <c r="G141" s="57">
        <f>+VLOOKUP(B141,'[2]Summary Table'!$C$2:$J$287,8,0)</f>
        <v>0.12943951729499997</v>
      </c>
    </row>
    <row r="142" spans="1:7">
      <c r="A142" s="53" t="s">
        <v>312</v>
      </c>
      <c r="B142" s="53" t="s">
        <v>329</v>
      </c>
      <c r="C142" s="53" t="s">
        <v>330</v>
      </c>
      <c r="D142" s="53" t="s">
        <v>329</v>
      </c>
      <c r="E142" s="55" t="s">
        <v>524</v>
      </c>
      <c r="F142" s="56">
        <f>+VLOOKUP(B142,'[2]Summary Table'!$C$2:$G$287,5,0)</f>
        <v>26</v>
      </c>
      <c r="G142" s="57">
        <f>+VLOOKUP(B142,'[2]Summary Table'!$C$2:$J$287,8,0)</f>
        <v>0.12943951729499997</v>
      </c>
    </row>
    <row r="143" spans="1:7">
      <c r="A143" s="53" t="s">
        <v>312</v>
      </c>
      <c r="B143" s="53" t="s">
        <v>331</v>
      </c>
      <c r="C143" s="53" t="s">
        <v>330</v>
      </c>
      <c r="D143" s="53" t="s">
        <v>331</v>
      </c>
      <c r="E143" s="55" t="s">
        <v>524</v>
      </c>
      <c r="F143" s="56">
        <f>+VLOOKUP(B143,'[2]Summary Table'!$C$2:$G$287,5,0)</f>
        <v>26</v>
      </c>
      <c r="G143" s="57">
        <f>+VLOOKUP(B143,'[2]Summary Table'!$C$2:$J$287,8,0)</f>
        <v>0.12943951729499997</v>
      </c>
    </row>
    <row r="144" spans="1:7">
      <c r="A144" s="53" t="s">
        <v>337</v>
      </c>
      <c r="B144" s="53" t="s">
        <v>350</v>
      </c>
      <c r="C144" s="53" t="s">
        <v>351</v>
      </c>
      <c r="D144" s="53" t="s">
        <v>350</v>
      </c>
      <c r="E144" s="55" t="s">
        <v>524</v>
      </c>
      <c r="F144" s="56">
        <f>+VLOOKUP(B144,'[2]Summary Table'!$C$2:$G$287,5,0)</f>
        <v>26</v>
      </c>
      <c r="G144" s="57">
        <f>+VLOOKUP(B144,'[2]Summary Table'!$C$2:$J$287,8,0)</f>
        <v>0.12943951729499997</v>
      </c>
    </row>
    <row r="145" spans="1:7">
      <c r="A145" s="53" t="s">
        <v>337</v>
      </c>
      <c r="B145" s="53" t="s">
        <v>356</v>
      </c>
      <c r="C145" s="53" t="s">
        <v>351</v>
      </c>
      <c r="D145" s="53" t="s">
        <v>356</v>
      </c>
      <c r="E145" s="55" t="s">
        <v>524</v>
      </c>
      <c r="F145" s="56">
        <f>+VLOOKUP(B145,'[2]Summary Table'!$C$2:$G$287,5,0)</f>
        <v>26</v>
      </c>
      <c r="G145" s="57">
        <f>+VLOOKUP(B145,'[2]Summary Table'!$C$2:$J$287,8,0)</f>
        <v>0.12943951729499997</v>
      </c>
    </row>
    <row r="146" spans="1:7">
      <c r="A146" s="53" t="s">
        <v>361</v>
      </c>
      <c r="B146" s="53" t="s">
        <v>370</v>
      </c>
      <c r="C146" s="53" t="s">
        <v>371</v>
      </c>
      <c r="D146" s="53" t="s">
        <v>370</v>
      </c>
      <c r="E146" s="55" t="s">
        <v>524</v>
      </c>
      <c r="F146" s="56">
        <f>+VLOOKUP(B146,'[2]Summary Table'!$C$2:$G$287,5,0)</f>
        <v>26</v>
      </c>
      <c r="G146" s="57">
        <f>+VLOOKUP(B146,'[2]Summary Table'!$C$2:$J$287,8,0)</f>
        <v>0.12943951729499997</v>
      </c>
    </row>
    <row r="147" spans="1:7">
      <c r="A147" s="53" t="s">
        <v>391</v>
      </c>
      <c r="B147" s="53" t="s">
        <v>398</v>
      </c>
      <c r="C147" s="53" t="s">
        <v>399</v>
      </c>
      <c r="D147" s="53" t="s">
        <v>398</v>
      </c>
      <c r="E147" s="55" t="s">
        <v>524</v>
      </c>
      <c r="F147" s="56">
        <f>+VLOOKUP(B147,'[2]Summary Table'!$C$2:$G$287,5,0)</f>
        <v>26</v>
      </c>
      <c r="G147" s="57">
        <f>+VLOOKUP(B147,'[2]Summary Table'!$C$2:$J$287,8,0)</f>
        <v>0.12943951729499997</v>
      </c>
    </row>
    <row r="148" spans="1:7">
      <c r="A148" s="53" t="s">
        <v>391</v>
      </c>
      <c r="B148" s="53" t="s">
        <v>414</v>
      </c>
      <c r="C148" s="53" t="s">
        <v>415</v>
      </c>
      <c r="D148" s="53" t="s">
        <v>414</v>
      </c>
      <c r="E148" s="55" t="s">
        <v>524</v>
      </c>
      <c r="F148" s="56">
        <f>+VLOOKUP(B148,'[2]Summary Table'!$C$2:$G$287,5,0)</f>
        <v>26</v>
      </c>
      <c r="G148" s="57">
        <f>+VLOOKUP(B148,'[2]Summary Table'!$C$2:$J$287,8,0)</f>
        <v>0.12943951729499997</v>
      </c>
    </row>
    <row r="149" spans="1:7">
      <c r="A149" s="53" t="s">
        <v>533</v>
      </c>
      <c r="B149" s="53" t="s">
        <v>62</v>
      </c>
      <c r="C149" s="53" t="s">
        <v>63</v>
      </c>
      <c r="D149" s="53" t="s">
        <v>62</v>
      </c>
      <c r="E149" s="55" t="s">
        <v>524</v>
      </c>
      <c r="F149" s="56">
        <f>+VLOOKUP(B149,'[2]Summary Table'!$C$2:$G$287,5,0)</f>
        <v>27</v>
      </c>
      <c r="G149" s="57">
        <f>+VLOOKUP(B149,'[2]Summary Table'!$C$2:$J$287,8,0)</f>
        <v>0.13575785800000001</v>
      </c>
    </row>
    <row r="150" spans="1:7">
      <c r="A150" s="53" t="s">
        <v>533</v>
      </c>
      <c r="B150" s="53" t="s">
        <v>64</v>
      </c>
      <c r="C150" s="53" t="s">
        <v>63</v>
      </c>
      <c r="D150" s="53" t="s">
        <v>64</v>
      </c>
      <c r="E150" s="55" t="s">
        <v>524</v>
      </c>
      <c r="F150" s="56">
        <f>+VLOOKUP(B150,'[2]Summary Table'!$C$2:$G$287,5,0)</f>
        <v>27</v>
      </c>
      <c r="G150" s="57">
        <f>+VLOOKUP(B150,'[2]Summary Table'!$C$2:$J$287,8,0)</f>
        <v>0.13575785800000001</v>
      </c>
    </row>
    <row r="151" spans="1:7">
      <c r="A151" s="53" t="s">
        <v>533</v>
      </c>
      <c r="B151" s="53" t="s">
        <v>65</v>
      </c>
      <c r="C151" s="53" t="s">
        <v>63</v>
      </c>
      <c r="D151" s="53" t="s">
        <v>65</v>
      </c>
      <c r="E151" s="55" t="s">
        <v>524</v>
      </c>
      <c r="F151" s="56">
        <f>+VLOOKUP(B151,'[2]Summary Table'!$C$2:$G$287,5,0)</f>
        <v>27</v>
      </c>
      <c r="G151" s="57">
        <f>+VLOOKUP(B151,'[2]Summary Table'!$C$2:$J$287,8,0)</f>
        <v>0.13575785800000001</v>
      </c>
    </row>
    <row r="152" spans="1:7">
      <c r="A152" s="53" t="s">
        <v>533</v>
      </c>
      <c r="B152" s="53" t="s">
        <v>66</v>
      </c>
      <c r="C152" s="53" t="s">
        <v>63</v>
      </c>
      <c r="D152" s="53" t="s">
        <v>66</v>
      </c>
      <c r="E152" s="55" t="s">
        <v>524</v>
      </c>
      <c r="F152" s="56">
        <f>+VLOOKUP(B152,'[2]Summary Table'!$C$2:$G$287,5,0)</f>
        <v>27</v>
      </c>
      <c r="G152" s="57">
        <f>+VLOOKUP(B152,'[2]Summary Table'!$C$2:$J$287,8,0)</f>
        <v>0.13575785800000001</v>
      </c>
    </row>
    <row r="153" spans="1:7">
      <c r="A153" s="53" t="s">
        <v>534</v>
      </c>
      <c r="B153" s="53" t="s">
        <v>80</v>
      </c>
      <c r="C153" s="53" t="s">
        <v>81</v>
      </c>
      <c r="D153" s="53" t="s">
        <v>80</v>
      </c>
      <c r="E153" s="55" t="s">
        <v>524</v>
      </c>
      <c r="F153" s="56">
        <f>+VLOOKUP(B153,'[2]Summary Table'!$C$2:$G$287,5,0)</f>
        <v>27</v>
      </c>
      <c r="G153" s="57">
        <f>+VLOOKUP(B153,'[2]Summary Table'!$C$2:$J$287,8,0)</f>
        <v>0.13575785800000001</v>
      </c>
    </row>
    <row r="154" spans="1:7">
      <c r="A154" s="53" t="s">
        <v>534</v>
      </c>
      <c r="B154" s="53" t="s">
        <v>82</v>
      </c>
      <c r="C154" s="53" t="s">
        <v>83</v>
      </c>
      <c r="D154" s="53" t="s">
        <v>82</v>
      </c>
      <c r="E154" s="55" t="s">
        <v>524</v>
      </c>
      <c r="F154" s="56">
        <f>+VLOOKUP(B154,'[2]Summary Table'!$C$2:$G$287,5,0)</f>
        <v>27</v>
      </c>
      <c r="G154" s="57">
        <f>+VLOOKUP(B154,'[2]Summary Table'!$C$2:$J$287,8,0)</f>
        <v>0.13575785800000001</v>
      </c>
    </row>
    <row r="155" spans="1:7">
      <c r="A155" s="53" t="s">
        <v>530</v>
      </c>
      <c r="B155" s="53" t="s">
        <v>102</v>
      </c>
      <c r="C155" s="53" t="s">
        <v>103</v>
      </c>
      <c r="D155" s="53" t="s">
        <v>102</v>
      </c>
      <c r="E155" s="55" t="s">
        <v>524</v>
      </c>
      <c r="F155" s="56">
        <f>+VLOOKUP(B155,'[2]Summary Table'!$C$2:$G$287,5,0)</f>
        <v>27</v>
      </c>
      <c r="G155" s="57">
        <f>+VLOOKUP(B155,'[2]Summary Table'!$C$2:$J$287,8,0)</f>
        <v>0.13575785800000001</v>
      </c>
    </row>
    <row r="156" spans="1:7">
      <c r="A156" s="53" t="s">
        <v>530</v>
      </c>
      <c r="B156" s="53" t="s">
        <v>104</v>
      </c>
      <c r="C156" s="53" t="s">
        <v>103</v>
      </c>
      <c r="D156" s="53" t="s">
        <v>104</v>
      </c>
      <c r="E156" s="55" t="s">
        <v>524</v>
      </c>
      <c r="F156" s="56">
        <f>+VLOOKUP(B156,'[2]Summary Table'!$C$2:$G$287,5,0)</f>
        <v>27</v>
      </c>
      <c r="G156" s="57">
        <f>+VLOOKUP(B156,'[2]Summary Table'!$C$2:$J$287,8,0)</f>
        <v>0.13575785800000001</v>
      </c>
    </row>
    <row r="157" spans="1:7">
      <c r="A157" s="53" t="s">
        <v>530</v>
      </c>
      <c r="B157" s="53" t="s">
        <v>105</v>
      </c>
      <c r="C157" s="53" t="s">
        <v>103</v>
      </c>
      <c r="D157" s="53" t="s">
        <v>105</v>
      </c>
      <c r="E157" s="55" t="s">
        <v>524</v>
      </c>
      <c r="F157" s="56">
        <f>+VLOOKUP(B157,'[2]Summary Table'!$C$2:$G$287,5,0)</f>
        <v>27</v>
      </c>
      <c r="G157" s="57">
        <f>+VLOOKUP(B157,'[2]Summary Table'!$C$2:$J$287,8,0)</f>
        <v>0.13575785800000001</v>
      </c>
    </row>
    <row r="158" spans="1:7">
      <c r="A158" s="53" t="s">
        <v>530</v>
      </c>
      <c r="B158" s="53" t="s">
        <v>106</v>
      </c>
      <c r="C158" s="53" t="s">
        <v>103</v>
      </c>
      <c r="D158" s="53" t="s">
        <v>106</v>
      </c>
      <c r="E158" s="55" t="s">
        <v>524</v>
      </c>
      <c r="F158" s="56">
        <f>+VLOOKUP(B158,'[2]Summary Table'!$C$2:$G$287,5,0)</f>
        <v>27</v>
      </c>
      <c r="G158" s="57">
        <f>+VLOOKUP(B158,'[2]Summary Table'!$C$2:$J$287,8,0)</f>
        <v>0.13575785800000001</v>
      </c>
    </row>
    <row r="159" spans="1:7">
      <c r="A159" s="53" t="s">
        <v>530</v>
      </c>
      <c r="B159" s="53" t="s">
        <v>107</v>
      </c>
      <c r="C159" s="53" t="s">
        <v>103</v>
      </c>
      <c r="D159" s="53" t="s">
        <v>107</v>
      </c>
      <c r="E159" s="55" t="s">
        <v>524</v>
      </c>
      <c r="F159" s="56">
        <f>+VLOOKUP(B159,'[2]Summary Table'!$C$2:$G$287,5,0)</f>
        <v>27</v>
      </c>
      <c r="G159" s="57">
        <f>+VLOOKUP(B159,'[2]Summary Table'!$C$2:$J$287,8,0)</f>
        <v>0.13575785800000001</v>
      </c>
    </row>
    <row r="160" spans="1:7">
      <c r="A160" s="53" t="s">
        <v>530</v>
      </c>
      <c r="B160" s="53" t="s">
        <v>108</v>
      </c>
      <c r="C160" s="53" t="s">
        <v>103</v>
      </c>
      <c r="D160" s="53" t="s">
        <v>108</v>
      </c>
      <c r="E160" s="55" t="s">
        <v>524</v>
      </c>
      <c r="F160" s="56">
        <f>+VLOOKUP(B160,'[2]Summary Table'!$C$2:$G$287,5,0)</f>
        <v>27</v>
      </c>
      <c r="G160" s="57">
        <f>+VLOOKUP(B160,'[2]Summary Table'!$C$2:$J$287,8,0)</f>
        <v>0.13575785800000001</v>
      </c>
    </row>
    <row r="161" spans="1:7">
      <c r="A161" s="53" t="s">
        <v>530</v>
      </c>
      <c r="B161" s="53" t="s">
        <v>109</v>
      </c>
      <c r="C161" s="53" t="s">
        <v>103</v>
      </c>
      <c r="D161" s="53" t="s">
        <v>109</v>
      </c>
      <c r="E161" s="55" t="s">
        <v>524</v>
      </c>
      <c r="F161" s="56">
        <f>+VLOOKUP(B161,'[2]Summary Table'!$C$2:$G$287,5,0)</f>
        <v>27</v>
      </c>
      <c r="G161" s="57">
        <f>+VLOOKUP(B161,'[2]Summary Table'!$C$2:$J$287,8,0)</f>
        <v>0.13575785800000001</v>
      </c>
    </row>
    <row r="162" spans="1:7">
      <c r="A162" s="53" t="s">
        <v>530</v>
      </c>
      <c r="B162" s="53" t="s">
        <v>110</v>
      </c>
      <c r="C162" s="53" t="s">
        <v>103</v>
      </c>
      <c r="D162" s="53" t="s">
        <v>110</v>
      </c>
      <c r="E162" s="55" t="s">
        <v>524</v>
      </c>
      <c r="F162" s="56">
        <f>+VLOOKUP(B162,'[2]Summary Table'!$C$2:$G$287,5,0)</f>
        <v>27</v>
      </c>
      <c r="G162" s="57">
        <f>+VLOOKUP(B162,'[2]Summary Table'!$C$2:$J$287,8,0)</f>
        <v>0.13575785800000001</v>
      </c>
    </row>
    <row r="163" spans="1:7">
      <c r="A163" s="53" t="s">
        <v>531</v>
      </c>
      <c r="B163" s="53" t="s">
        <v>137</v>
      </c>
      <c r="C163" s="53" t="s">
        <v>138</v>
      </c>
      <c r="D163" s="53" t="s">
        <v>137</v>
      </c>
      <c r="E163" s="55" t="s">
        <v>524</v>
      </c>
      <c r="F163" s="56">
        <f>+VLOOKUP(B163,'[2]Summary Table'!$C$2:$G$287,5,0)</f>
        <v>27</v>
      </c>
      <c r="G163" s="57">
        <f>+VLOOKUP(B163,'[2]Summary Table'!$C$2:$J$287,8,0)</f>
        <v>0.13575785800000001</v>
      </c>
    </row>
    <row r="164" spans="1:7">
      <c r="A164" s="53" t="s">
        <v>531</v>
      </c>
      <c r="B164" s="53" t="s">
        <v>155</v>
      </c>
      <c r="C164" s="53" t="s">
        <v>156</v>
      </c>
      <c r="D164" s="53" t="s">
        <v>155</v>
      </c>
      <c r="E164" s="55" t="s">
        <v>524</v>
      </c>
      <c r="F164" s="56">
        <f>+VLOOKUP(B164,'[2]Summary Table'!$C$2:$G$287,5,0)</f>
        <v>27</v>
      </c>
      <c r="G164" s="57">
        <f>+VLOOKUP(B164,'[2]Summary Table'!$C$2:$J$287,8,0)</f>
        <v>0.13575785800000001</v>
      </c>
    </row>
    <row r="165" spans="1:7">
      <c r="A165" s="53" t="s">
        <v>531</v>
      </c>
      <c r="B165" s="53" t="s">
        <v>164</v>
      </c>
      <c r="C165" s="53" t="s">
        <v>165</v>
      </c>
      <c r="D165" s="53" t="s">
        <v>164</v>
      </c>
      <c r="E165" s="55" t="s">
        <v>524</v>
      </c>
      <c r="F165" s="56">
        <f>+VLOOKUP(B165,'[2]Summary Table'!$C$2:$G$287,5,0)</f>
        <v>27</v>
      </c>
      <c r="G165" s="57">
        <f>+VLOOKUP(B165,'[2]Summary Table'!$C$2:$J$287,8,0)</f>
        <v>0.13575785800000001</v>
      </c>
    </row>
    <row r="166" spans="1:7">
      <c r="A166" s="53" t="s">
        <v>531</v>
      </c>
      <c r="B166" s="53" t="s">
        <v>179</v>
      </c>
      <c r="C166" s="53" t="s">
        <v>180</v>
      </c>
      <c r="D166" s="53" t="s">
        <v>179</v>
      </c>
      <c r="E166" s="55" t="s">
        <v>524</v>
      </c>
      <c r="F166" s="56">
        <f>+VLOOKUP(B166,'[2]Summary Table'!$C$2:$G$287,5,0)</f>
        <v>27</v>
      </c>
      <c r="G166" s="57">
        <f>+VLOOKUP(B166,'[2]Summary Table'!$C$2:$J$287,8,0)</f>
        <v>0.13575785800000001</v>
      </c>
    </row>
    <row r="167" spans="1:7">
      <c r="A167" s="53" t="s">
        <v>312</v>
      </c>
      <c r="B167" s="53" t="s">
        <v>313</v>
      </c>
      <c r="C167" s="53" t="s">
        <v>314</v>
      </c>
      <c r="D167" s="53" t="s">
        <v>313</v>
      </c>
      <c r="E167" s="55" t="s">
        <v>524</v>
      </c>
      <c r="F167" s="56">
        <f>+VLOOKUP(B167,'[2]Summary Table'!$C$2:$G$287,5,0)</f>
        <v>27</v>
      </c>
      <c r="G167" s="57">
        <f>+VLOOKUP(B167,'[2]Summary Table'!$C$2:$J$287,8,0)</f>
        <v>0.13575785800000001</v>
      </c>
    </row>
    <row r="168" spans="1:7">
      <c r="A168" s="53" t="s">
        <v>312</v>
      </c>
      <c r="B168" s="53" t="s">
        <v>319</v>
      </c>
      <c r="C168" s="53" t="s">
        <v>320</v>
      </c>
      <c r="D168" s="53" t="s">
        <v>319</v>
      </c>
      <c r="E168" s="55" t="s">
        <v>524</v>
      </c>
      <c r="F168" s="56">
        <f>+VLOOKUP(B168,'[2]Summary Table'!$C$2:$G$287,5,0)</f>
        <v>27</v>
      </c>
      <c r="G168" s="57">
        <f>+VLOOKUP(B168,'[2]Summary Table'!$C$2:$J$287,8,0)</f>
        <v>0.13575785800000001</v>
      </c>
    </row>
    <row r="169" spans="1:7">
      <c r="A169" s="53" t="s">
        <v>312</v>
      </c>
      <c r="B169" s="53" t="s">
        <v>326</v>
      </c>
      <c r="C169" s="53" t="s">
        <v>327</v>
      </c>
      <c r="D169" s="53" t="s">
        <v>326</v>
      </c>
      <c r="E169" s="55" t="s">
        <v>524</v>
      </c>
      <c r="F169" s="56">
        <f>+VLOOKUP(B169,'[2]Summary Table'!$C$2:$G$287,5,0)</f>
        <v>27</v>
      </c>
      <c r="G169" s="57">
        <f>+VLOOKUP(B169,'[2]Summary Table'!$C$2:$J$287,8,0)</f>
        <v>0.13575785800000001</v>
      </c>
    </row>
    <row r="170" spans="1:7">
      <c r="A170" s="53" t="s">
        <v>312</v>
      </c>
      <c r="B170" s="53" t="s">
        <v>328</v>
      </c>
      <c r="C170" s="53" t="s">
        <v>327</v>
      </c>
      <c r="D170" s="53" t="s">
        <v>328</v>
      </c>
      <c r="E170" s="55" t="s">
        <v>524</v>
      </c>
      <c r="F170" s="56">
        <f>+VLOOKUP(B170,'[2]Summary Table'!$C$2:$G$287,5,0)</f>
        <v>27</v>
      </c>
      <c r="G170" s="57">
        <f>+VLOOKUP(B170,'[2]Summary Table'!$C$2:$J$287,8,0)</f>
        <v>0.13575785800000001</v>
      </c>
    </row>
    <row r="171" spans="1:7">
      <c r="A171" s="53" t="s">
        <v>337</v>
      </c>
      <c r="B171" s="53" t="s">
        <v>338</v>
      </c>
      <c r="C171" s="53" t="s">
        <v>339</v>
      </c>
      <c r="D171" s="53" t="s">
        <v>338</v>
      </c>
      <c r="E171" s="55" t="s">
        <v>524</v>
      </c>
      <c r="F171" s="56">
        <f>+VLOOKUP(B171,'[2]Summary Table'!$C$2:$G$287,5,0)</f>
        <v>27</v>
      </c>
      <c r="G171" s="57">
        <f>+VLOOKUP(B171,'[2]Summary Table'!$C$2:$J$287,8,0)</f>
        <v>0.13575785800000001</v>
      </c>
    </row>
    <row r="172" spans="1:7">
      <c r="A172" s="53" t="s">
        <v>337</v>
      </c>
      <c r="B172" s="53" t="s">
        <v>348</v>
      </c>
      <c r="C172" s="53" t="s">
        <v>349</v>
      </c>
      <c r="D172" s="53" t="s">
        <v>348</v>
      </c>
      <c r="E172" s="55" t="s">
        <v>524</v>
      </c>
      <c r="F172" s="56">
        <f>+VLOOKUP(B172,'[2]Summary Table'!$C$2:$G$287,5,0)</f>
        <v>27</v>
      </c>
      <c r="G172" s="57">
        <f>+VLOOKUP(B172,'[2]Summary Table'!$C$2:$J$287,8,0)</f>
        <v>0.13575785800000001</v>
      </c>
    </row>
    <row r="173" spans="1:7">
      <c r="A173" s="53" t="s">
        <v>337</v>
      </c>
      <c r="B173" s="53" t="s">
        <v>354</v>
      </c>
      <c r="C173" s="53" t="s">
        <v>355</v>
      </c>
      <c r="D173" s="53" t="s">
        <v>354</v>
      </c>
      <c r="E173" s="55" t="s">
        <v>524</v>
      </c>
      <c r="F173" s="56">
        <f>+VLOOKUP(B173,'[2]Summary Table'!$C$2:$G$287,5,0)</f>
        <v>27</v>
      </c>
      <c r="G173" s="57">
        <f>+VLOOKUP(B173,'[2]Summary Table'!$C$2:$J$287,8,0)</f>
        <v>0.13575785800000001</v>
      </c>
    </row>
    <row r="174" spans="1:7">
      <c r="A174" s="53" t="s">
        <v>361</v>
      </c>
      <c r="B174" s="53" t="s">
        <v>372</v>
      </c>
      <c r="C174" s="53" t="s">
        <v>373</v>
      </c>
      <c r="D174" s="53" t="s">
        <v>372</v>
      </c>
      <c r="E174" s="55" t="s">
        <v>524</v>
      </c>
      <c r="F174" s="56">
        <f>+VLOOKUP(B174,'[2]Summary Table'!$C$2:$G$287,5,0)</f>
        <v>27</v>
      </c>
      <c r="G174" s="57">
        <f>+VLOOKUP(B174,'[2]Summary Table'!$C$2:$J$287,8,0)</f>
        <v>0.13575785800000001</v>
      </c>
    </row>
    <row r="175" spans="1:7">
      <c r="A175" s="53" t="s">
        <v>361</v>
      </c>
      <c r="B175" s="53" t="s">
        <v>376</v>
      </c>
      <c r="C175" s="53" t="s">
        <v>373</v>
      </c>
      <c r="D175" s="53" t="s">
        <v>376</v>
      </c>
      <c r="E175" s="55" t="s">
        <v>524</v>
      </c>
      <c r="F175" s="56">
        <f>+VLOOKUP(B175,'[2]Summary Table'!$C$2:$G$287,5,0)</f>
        <v>27</v>
      </c>
      <c r="G175" s="57">
        <f>+VLOOKUP(B175,'[2]Summary Table'!$C$2:$J$287,8,0)</f>
        <v>0.13575785800000001</v>
      </c>
    </row>
    <row r="176" spans="1:7">
      <c r="A176" s="53" t="s">
        <v>391</v>
      </c>
      <c r="B176" s="53" t="s">
        <v>396</v>
      </c>
      <c r="C176" s="53" t="s">
        <v>397</v>
      </c>
      <c r="D176" s="53" t="s">
        <v>396</v>
      </c>
      <c r="E176" s="55" t="s">
        <v>524</v>
      </c>
      <c r="F176" s="56">
        <f>+VLOOKUP(B176,'[2]Summary Table'!$C$2:$G$287,5,0)</f>
        <v>27</v>
      </c>
      <c r="G176" s="57">
        <f>+VLOOKUP(B176,'[2]Summary Table'!$C$2:$J$287,8,0)</f>
        <v>0.13575785800000001</v>
      </c>
    </row>
    <row r="177" spans="1:7">
      <c r="A177" s="53" t="s">
        <v>391</v>
      </c>
      <c r="B177" s="53" t="s">
        <v>402</v>
      </c>
      <c r="C177" s="53" t="s">
        <v>403</v>
      </c>
      <c r="D177" s="53" t="s">
        <v>402</v>
      </c>
      <c r="E177" s="55" t="s">
        <v>524</v>
      </c>
      <c r="F177" s="56">
        <f>+VLOOKUP(B177,'[2]Summary Table'!$C$2:$G$287,5,0)</f>
        <v>27</v>
      </c>
      <c r="G177" s="57">
        <f>+VLOOKUP(B177,'[2]Summary Table'!$C$2:$J$287,8,0)</f>
        <v>0.13575785800000001</v>
      </c>
    </row>
    <row r="178" spans="1:7">
      <c r="A178" s="53" t="s">
        <v>391</v>
      </c>
      <c r="B178" s="53" t="s">
        <v>412</v>
      </c>
      <c r="C178" s="53" t="s">
        <v>413</v>
      </c>
      <c r="D178" s="53" t="s">
        <v>412</v>
      </c>
      <c r="E178" s="55" t="s">
        <v>524</v>
      </c>
      <c r="F178" s="56">
        <f>+VLOOKUP(B178,'[2]Summary Table'!$C$2:$G$287,5,0)</f>
        <v>27</v>
      </c>
      <c r="G178" s="57">
        <f>+VLOOKUP(B178,'[2]Summary Table'!$C$2:$J$287,8,0)</f>
        <v>0.13575785800000001</v>
      </c>
    </row>
    <row r="179" spans="1:7">
      <c r="A179" s="53" t="s">
        <v>391</v>
      </c>
      <c r="B179" s="53" t="s">
        <v>418</v>
      </c>
      <c r="C179" s="53" t="s">
        <v>419</v>
      </c>
      <c r="D179" s="53" t="s">
        <v>418</v>
      </c>
      <c r="E179" s="55" t="s">
        <v>524</v>
      </c>
      <c r="F179" s="56">
        <f>+VLOOKUP(B179,'[2]Summary Table'!$C$2:$G$287,5,0)</f>
        <v>27</v>
      </c>
      <c r="G179" s="57">
        <f>+VLOOKUP(B179,'[2]Summary Table'!$C$2:$J$287,8,0)</f>
        <v>0.13575785800000001</v>
      </c>
    </row>
    <row r="180" spans="1:7">
      <c r="A180" s="53" t="s">
        <v>441</v>
      </c>
      <c r="B180" s="53" t="s">
        <v>448</v>
      </c>
      <c r="C180" s="53" t="s">
        <v>449</v>
      </c>
      <c r="D180" s="53" t="s">
        <v>448</v>
      </c>
      <c r="E180" s="55" t="s">
        <v>524</v>
      </c>
      <c r="F180" s="56">
        <f>+VLOOKUP(B180,'[2]Summary Table'!$C$2:$G$287,5,0)</f>
        <v>27</v>
      </c>
      <c r="G180" s="57">
        <f>+VLOOKUP(B180,'[2]Summary Table'!$C$2:$J$287,8,0)</f>
        <v>0.13575785800000001</v>
      </c>
    </row>
    <row r="181" spans="1:7">
      <c r="A181" s="53" t="s">
        <v>441</v>
      </c>
      <c r="B181" s="53" t="s">
        <v>455</v>
      </c>
      <c r="C181" s="53" t="s">
        <v>449</v>
      </c>
      <c r="D181" s="53" t="s">
        <v>455</v>
      </c>
      <c r="E181" s="55" t="s">
        <v>524</v>
      </c>
      <c r="F181" s="56">
        <f>+VLOOKUP(B181,'[2]Summary Table'!$C$2:$G$287,5,0)</f>
        <v>27</v>
      </c>
      <c r="G181" s="57">
        <f>+VLOOKUP(B181,'[2]Summary Table'!$C$2:$J$287,8,0)</f>
        <v>0.13575785800000001</v>
      </c>
    </row>
    <row r="182" spans="1:7">
      <c r="A182" s="53" t="s">
        <v>441</v>
      </c>
      <c r="B182" s="53" t="s">
        <v>458</v>
      </c>
      <c r="C182" s="53" t="s">
        <v>459</v>
      </c>
      <c r="D182" s="53" t="s">
        <v>458</v>
      </c>
      <c r="E182" s="55" t="s">
        <v>524</v>
      </c>
      <c r="F182" s="56">
        <f>+VLOOKUP(B182,'[2]Summary Table'!$C$2:$G$287,5,0)</f>
        <v>27</v>
      </c>
      <c r="G182" s="57">
        <f>+VLOOKUP(B182,'[2]Summary Table'!$C$2:$J$287,8,0)</f>
        <v>0.13575785800000001</v>
      </c>
    </row>
    <row r="183" spans="1:7">
      <c r="A183" s="53" t="s">
        <v>460</v>
      </c>
      <c r="B183" s="53" t="s">
        <v>461</v>
      </c>
      <c r="C183" s="53" t="s">
        <v>462</v>
      </c>
      <c r="D183" s="53" t="s">
        <v>461</v>
      </c>
      <c r="E183" s="55" t="s">
        <v>524</v>
      </c>
      <c r="F183" s="56">
        <f>+VLOOKUP(B183,'[2]Summary Table'!$C$2:$G$287,5,0)</f>
        <v>27</v>
      </c>
      <c r="G183" s="57">
        <f>+VLOOKUP(B183,'[2]Summary Table'!$C$2:$J$287,8,0)</f>
        <v>0.13575785800000001</v>
      </c>
    </row>
    <row r="184" spans="1:7">
      <c r="A184" s="53" t="s">
        <v>460</v>
      </c>
      <c r="B184" s="53" t="s">
        <v>467</v>
      </c>
      <c r="C184" s="53" t="s">
        <v>468</v>
      </c>
      <c r="D184" s="53" t="s">
        <v>467</v>
      </c>
      <c r="E184" s="55" t="s">
        <v>524</v>
      </c>
      <c r="F184" s="56">
        <f>+VLOOKUP(B184,'[2]Summary Table'!$C$2:$G$287,5,0)</f>
        <v>27</v>
      </c>
      <c r="G184" s="57">
        <f>+VLOOKUP(B184,'[2]Summary Table'!$C$2:$J$287,8,0)</f>
        <v>0.13575785800000001</v>
      </c>
    </row>
    <row r="185" spans="1:7">
      <c r="A185" s="53" t="s">
        <v>460</v>
      </c>
      <c r="B185" s="53" t="s">
        <v>473</v>
      </c>
      <c r="C185" s="53" t="s">
        <v>474</v>
      </c>
      <c r="D185" s="53" t="s">
        <v>473</v>
      </c>
      <c r="E185" s="55" t="s">
        <v>524</v>
      </c>
      <c r="F185" s="56">
        <f>+VLOOKUP(B185,'[2]Summary Table'!$C$2:$G$287,5,0)</f>
        <v>27</v>
      </c>
      <c r="G185" s="57">
        <f>+VLOOKUP(B185,'[2]Summary Table'!$C$2:$J$287,8,0)</f>
        <v>0.13575785800000001</v>
      </c>
    </row>
    <row r="186" spans="1:7">
      <c r="A186" s="53" t="s">
        <v>488</v>
      </c>
      <c r="B186" s="53" t="s">
        <v>491</v>
      </c>
      <c r="C186" s="53" t="s">
        <v>492</v>
      </c>
      <c r="D186" s="53" t="s">
        <v>491</v>
      </c>
      <c r="E186" s="55" t="s">
        <v>524</v>
      </c>
      <c r="F186" s="56">
        <f>+VLOOKUP(B186,'[2]Summary Table'!$C$2:$G$287,5,0)</f>
        <v>27</v>
      </c>
      <c r="G186" s="57">
        <f>+VLOOKUP(B186,'[2]Summary Table'!$C$2:$J$287,8,0)</f>
        <v>0.13575785800000001</v>
      </c>
    </row>
    <row r="187" spans="1:7">
      <c r="A187" s="53" t="s">
        <v>488</v>
      </c>
      <c r="B187" s="53" t="s">
        <v>493</v>
      </c>
      <c r="C187" s="53" t="s">
        <v>492</v>
      </c>
      <c r="D187" s="53" t="s">
        <v>493</v>
      </c>
      <c r="E187" s="55" t="s">
        <v>524</v>
      </c>
      <c r="F187" s="56">
        <f>+VLOOKUP(B187,'[2]Summary Table'!$C$2:$G$287,5,0)</f>
        <v>27</v>
      </c>
      <c r="G187" s="57">
        <f>+VLOOKUP(B187,'[2]Summary Table'!$C$2:$J$287,8,0)</f>
        <v>0.13575785800000001</v>
      </c>
    </row>
    <row r="188" spans="1:7">
      <c r="A188" s="53" t="s">
        <v>488</v>
      </c>
      <c r="B188" s="53" t="s">
        <v>498</v>
      </c>
      <c r="C188" s="53" t="s">
        <v>499</v>
      </c>
      <c r="D188" s="53" t="s">
        <v>498</v>
      </c>
      <c r="E188" s="55" t="s">
        <v>524</v>
      </c>
      <c r="F188" s="56">
        <f>+VLOOKUP(B188,'[2]Summary Table'!$C$2:$G$287,5,0)</f>
        <v>27</v>
      </c>
      <c r="G188" s="57">
        <f>+VLOOKUP(B188,'[2]Summary Table'!$C$2:$J$287,8,0)</f>
        <v>0.13575785800000001</v>
      </c>
    </row>
    <row r="189" spans="1:7">
      <c r="A189" s="53" t="s">
        <v>488</v>
      </c>
      <c r="B189" s="53" t="s">
        <v>500</v>
      </c>
      <c r="C189" s="53" t="s">
        <v>501</v>
      </c>
      <c r="D189" s="53" t="s">
        <v>500</v>
      </c>
      <c r="E189" s="55" t="s">
        <v>524</v>
      </c>
      <c r="F189" s="56">
        <f>+VLOOKUP(B189,'[2]Summary Table'!$C$2:$G$287,5,0)</f>
        <v>27</v>
      </c>
      <c r="G189" s="57">
        <f>+VLOOKUP(B189,'[2]Summary Table'!$C$2:$J$287,8,0)</f>
        <v>0.13575785800000001</v>
      </c>
    </row>
    <row r="190" spans="1:7">
      <c r="A190" s="53" t="s">
        <v>488</v>
      </c>
      <c r="B190" s="53" t="s">
        <v>502</v>
      </c>
      <c r="C190" s="53" t="s">
        <v>503</v>
      </c>
      <c r="D190" s="53" t="s">
        <v>502</v>
      </c>
      <c r="E190" s="55" t="s">
        <v>524</v>
      </c>
      <c r="F190" s="56">
        <f>+VLOOKUP(B190,'[2]Summary Table'!$C$2:$G$287,5,0)</f>
        <v>27</v>
      </c>
      <c r="G190" s="57">
        <f>+VLOOKUP(B190,'[2]Summary Table'!$C$2:$J$287,8,0)</f>
        <v>0.13575785800000001</v>
      </c>
    </row>
    <row r="191" spans="1:7">
      <c r="A191" s="53" t="s">
        <v>254</v>
      </c>
      <c r="B191" s="53" t="s">
        <v>255</v>
      </c>
      <c r="C191" s="53" t="s">
        <v>256</v>
      </c>
      <c r="D191" s="53" t="s">
        <v>255</v>
      </c>
      <c r="E191" s="55" t="s">
        <v>524</v>
      </c>
      <c r="F191" s="56">
        <f>+VLOOKUP(B191,'[2]Summary Table'!$C$2:$G$287,5,0)</f>
        <v>28</v>
      </c>
      <c r="G191" s="57">
        <f>+VLOOKUP(B191,'[2]Summary Table'!$C$2:$J$287,8,0)</f>
        <v>0.11024299999999999</v>
      </c>
    </row>
    <row r="192" spans="1:7">
      <c r="A192" s="53" t="s">
        <v>279</v>
      </c>
      <c r="B192" s="53" t="s">
        <v>284</v>
      </c>
      <c r="C192" s="58" t="s">
        <v>285</v>
      </c>
      <c r="D192" s="53" t="s">
        <v>284</v>
      </c>
      <c r="E192" s="55" t="s">
        <v>524</v>
      </c>
      <c r="F192" s="56">
        <f>+VLOOKUP(B192,'[2]Summary Table'!$C$2:$G$287,5,0)</f>
        <v>28</v>
      </c>
      <c r="G192" s="57">
        <f>+VLOOKUP(B192,'[2]Summary Table'!$C$2:$J$287,8,0)</f>
        <v>0.11024299999999999</v>
      </c>
    </row>
    <row r="193" spans="1:7">
      <c r="A193" s="53" t="s">
        <v>279</v>
      </c>
      <c r="B193" s="53" t="s">
        <v>286</v>
      </c>
      <c r="C193" s="58" t="s">
        <v>285</v>
      </c>
      <c r="D193" s="53" t="s">
        <v>286</v>
      </c>
      <c r="E193" s="55" t="s">
        <v>524</v>
      </c>
      <c r="F193" s="56">
        <f>+VLOOKUP(B193,'[2]Summary Table'!$C$2:$G$287,5,0)</f>
        <v>28</v>
      </c>
      <c r="G193" s="57">
        <f>+VLOOKUP(B193,'[2]Summary Table'!$C$2:$J$287,8,0)</f>
        <v>0.11024299999999999</v>
      </c>
    </row>
    <row r="194" spans="1:7">
      <c r="A194" s="53" t="s">
        <v>279</v>
      </c>
      <c r="B194" s="53" t="s">
        <v>298</v>
      </c>
      <c r="C194" s="53" t="s">
        <v>299</v>
      </c>
      <c r="D194" s="53" t="s">
        <v>298</v>
      </c>
      <c r="E194" s="55" t="s">
        <v>524</v>
      </c>
      <c r="F194" s="56">
        <f>+VLOOKUP(B194,'[2]Summary Table'!$C$2:$G$287,5,0)</f>
        <v>28</v>
      </c>
      <c r="G194" s="57">
        <f>+VLOOKUP(B194,'[2]Summary Table'!$C$2:$J$287,8,0)</f>
        <v>0.11024299999999999</v>
      </c>
    </row>
    <row r="195" spans="1:7">
      <c r="A195" s="53" t="s">
        <v>535</v>
      </c>
      <c r="B195" s="53" t="s">
        <v>186</v>
      </c>
      <c r="C195" s="53" t="s">
        <v>187</v>
      </c>
      <c r="D195" s="53" t="s">
        <v>186</v>
      </c>
      <c r="E195" s="55" t="s">
        <v>524</v>
      </c>
      <c r="F195" s="56">
        <f>+VLOOKUP(B195,'[2]Summary Table'!$C$2:$G$287,5,0)</f>
        <v>29</v>
      </c>
      <c r="G195" s="57">
        <f>+VLOOKUP(B195,'[2]Summary Table'!$C$2:$J$287,8,0)</f>
        <v>0.117671</v>
      </c>
    </row>
    <row r="196" spans="1:7">
      <c r="A196" s="53" t="s">
        <v>535</v>
      </c>
      <c r="B196" s="53" t="s">
        <v>190</v>
      </c>
      <c r="C196" s="53" t="s">
        <v>191</v>
      </c>
      <c r="D196" s="53" t="s">
        <v>190</v>
      </c>
      <c r="E196" s="55" t="s">
        <v>524</v>
      </c>
      <c r="F196" s="56">
        <f>+VLOOKUP(B196,'[2]Summary Table'!$C$2:$G$287,5,0)</f>
        <v>29</v>
      </c>
      <c r="G196" s="57">
        <f>+VLOOKUP(B196,'[2]Summary Table'!$C$2:$J$287,8,0)</f>
        <v>0.117671</v>
      </c>
    </row>
    <row r="197" spans="1:7">
      <c r="A197" s="53" t="s">
        <v>227</v>
      </c>
      <c r="B197" s="53" t="s">
        <v>239</v>
      </c>
      <c r="C197" s="53" t="s">
        <v>240</v>
      </c>
      <c r="D197" s="53" t="s">
        <v>239</v>
      </c>
      <c r="E197" s="55" t="s">
        <v>524</v>
      </c>
      <c r="F197" s="56">
        <f>+VLOOKUP(B197,'[2]Summary Table'!$C$2:$G$287,5,0)</f>
        <v>27</v>
      </c>
      <c r="G197" s="57">
        <f>+VLOOKUP(B197,'[2]Summary Table'!$C$2:$J$287,8,0)</f>
        <v>0.13575785800000001</v>
      </c>
    </row>
    <row r="198" spans="1:7">
      <c r="A198" s="53" t="s">
        <v>529</v>
      </c>
      <c r="B198" s="53" t="s">
        <v>216</v>
      </c>
      <c r="C198" s="53" t="s">
        <v>217</v>
      </c>
      <c r="D198" s="53" t="s">
        <v>216</v>
      </c>
      <c r="E198" s="55" t="s">
        <v>524</v>
      </c>
      <c r="F198" s="56">
        <f>+VLOOKUP(B198,'[2]Summary Table'!$C$2:$G$287,5,0)</f>
        <v>27</v>
      </c>
      <c r="G198" s="57">
        <f>+VLOOKUP(B198,'[2]Summary Table'!$C$2:$J$287,8,0)</f>
        <v>0.13575785800000001</v>
      </c>
    </row>
    <row r="199" spans="1:7">
      <c r="A199" s="53" t="s">
        <v>529</v>
      </c>
      <c r="B199" s="53" t="s">
        <v>222</v>
      </c>
      <c r="C199" s="53" t="s">
        <v>223</v>
      </c>
      <c r="D199" s="53" t="s">
        <v>222</v>
      </c>
      <c r="E199" s="55" t="s">
        <v>524</v>
      </c>
      <c r="F199" s="56">
        <f>+VLOOKUP(B199,'[2]Summary Table'!$C$2:$G$287,5,0)</f>
        <v>27</v>
      </c>
      <c r="G199" s="57">
        <f>+VLOOKUP(B199,'[2]Summary Table'!$C$2:$J$287,8,0)</f>
        <v>0.13575785800000001</v>
      </c>
    </row>
    <row r="200" spans="1:7">
      <c r="A200" s="53" t="s">
        <v>254</v>
      </c>
      <c r="B200" s="53" t="s">
        <v>257</v>
      </c>
      <c r="C200" s="53" t="s">
        <v>258</v>
      </c>
      <c r="D200" s="53" t="s">
        <v>257</v>
      </c>
      <c r="E200" s="55" t="s">
        <v>524</v>
      </c>
      <c r="F200" s="56">
        <f>+VLOOKUP(B200,'[2]Summary Table'!$C$2:$G$287,5,0)</f>
        <v>30</v>
      </c>
      <c r="G200" s="57">
        <f>+VLOOKUP(B200,'[2]Summary Table'!$C$2:$J$287,8,0)</f>
        <v>0.117577</v>
      </c>
    </row>
    <row r="201" spans="1:7">
      <c r="A201" s="53" t="s">
        <v>279</v>
      </c>
      <c r="B201" s="53" t="s">
        <v>287</v>
      </c>
      <c r="C201" s="53" t="s">
        <v>288</v>
      </c>
      <c r="D201" s="53" t="s">
        <v>287</v>
      </c>
      <c r="E201" s="55" t="s">
        <v>524</v>
      </c>
      <c r="F201" s="56">
        <f>+VLOOKUP(B201,'[2]Summary Table'!$C$2:$G$287,5,0)</f>
        <v>30</v>
      </c>
      <c r="G201" s="57">
        <f>+VLOOKUP(B201,'[2]Summary Table'!$C$2:$J$287,8,0)</f>
        <v>0.117577</v>
      </c>
    </row>
    <row r="202" spans="1:7">
      <c r="A202" s="53" t="s">
        <v>279</v>
      </c>
      <c r="B202" s="53" t="s">
        <v>289</v>
      </c>
      <c r="C202" s="53" t="s">
        <v>288</v>
      </c>
      <c r="D202" s="53" t="s">
        <v>289</v>
      </c>
      <c r="E202" s="55" t="s">
        <v>524</v>
      </c>
      <c r="F202" s="56">
        <f>+VLOOKUP(B202,'[2]Summary Table'!$C$2:$G$287,5,0)</f>
        <v>30</v>
      </c>
      <c r="G202" s="57">
        <f>+VLOOKUP(B202,'[2]Summary Table'!$C$2:$J$287,8,0)</f>
        <v>0.117577</v>
      </c>
    </row>
    <row r="203" spans="1:7">
      <c r="A203" s="53" t="s">
        <v>279</v>
      </c>
      <c r="B203" s="53" t="s">
        <v>300</v>
      </c>
      <c r="C203" s="53" t="s">
        <v>301</v>
      </c>
      <c r="D203" s="53" t="s">
        <v>300</v>
      </c>
      <c r="E203" s="55" t="s">
        <v>524</v>
      </c>
      <c r="F203" s="56">
        <f>+VLOOKUP(B203,'[2]Summary Table'!$C$2:$G$287,5,0)</f>
        <v>30</v>
      </c>
      <c r="G203" s="57">
        <f>+VLOOKUP(B203,'[2]Summary Table'!$C$2:$J$287,8,0)</f>
        <v>0.117577</v>
      </c>
    </row>
    <row r="204" spans="1:7">
      <c r="A204" s="53" t="s">
        <v>227</v>
      </c>
      <c r="B204" s="53" t="s">
        <v>228</v>
      </c>
      <c r="C204" s="53" t="s">
        <v>229</v>
      </c>
      <c r="D204" s="53" t="s">
        <v>228</v>
      </c>
      <c r="E204" s="55" t="s">
        <v>524</v>
      </c>
      <c r="F204" s="56">
        <f>+VLOOKUP(B204,'[2]Summary Table'!$C$2:$G$287,5,0)</f>
        <v>31</v>
      </c>
      <c r="G204" s="57">
        <f>+VLOOKUP(B204,'[2]Summary Table'!$C$2:$J$287,8,0)</f>
        <v>0.38291399999999998</v>
      </c>
    </row>
    <row r="205" spans="1:7">
      <c r="A205" s="53" t="s">
        <v>227</v>
      </c>
      <c r="B205" s="53" t="s">
        <v>230</v>
      </c>
      <c r="C205" s="53" t="s">
        <v>229</v>
      </c>
      <c r="D205" s="53" t="s">
        <v>230</v>
      </c>
      <c r="E205" s="55" t="s">
        <v>524</v>
      </c>
      <c r="F205" s="56">
        <f>+VLOOKUP(B205,'[2]Summary Table'!$C$2:$G$287,5,0)</f>
        <v>31</v>
      </c>
      <c r="G205" s="57">
        <f>+VLOOKUP(B205,'[2]Summary Table'!$C$2:$J$287,8,0)</f>
        <v>0.38291399999999998</v>
      </c>
    </row>
    <row r="206" spans="1:7">
      <c r="A206" s="53" t="s">
        <v>279</v>
      </c>
      <c r="B206" s="53" t="s">
        <v>304</v>
      </c>
      <c r="C206" s="53" t="s">
        <v>305</v>
      </c>
      <c r="D206" s="53" t="s">
        <v>304</v>
      </c>
      <c r="E206" s="55" t="s">
        <v>524</v>
      </c>
      <c r="F206" s="56">
        <f>+VLOOKUP(B206,'[2]Summary Table'!$C$2:$G$287,5,0)</f>
        <v>32</v>
      </c>
      <c r="G206" s="57">
        <f>+VLOOKUP(B206,'[2]Summary Table'!$C$2:$J$287,8,0)</f>
        <v>0.23022000000000001</v>
      </c>
    </row>
    <row r="207" spans="1:7">
      <c r="A207" s="53" t="s">
        <v>279</v>
      </c>
      <c r="B207" s="53" t="s">
        <v>306</v>
      </c>
      <c r="C207" s="53" t="s">
        <v>305</v>
      </c>
      <c r="D207" s="53" t="s">
        <v>306</v>
      </c>
      <c r="E207" s="55" t="s">
        <v>524</v>
      </c>
      <c r="F207" s="56">
        <f>+VLOOKUP(B207,'[2]Summary Table'!$C$2:$G$287,5,0)</f>
        <v>32</v>
      </c>
      <c r="G207" s="57">
        <f>+VLOOKUP(B207,'[2]Summary Table'!$C$2:$J$287,8,0)</f>
        <v>0.23022000000000001</v>
      </c>
    </row>
    <row r="208" spans="1:7">
      <c r="A208" s="53" t="s">
        <v>279</v>
      </c>
      <c r="B208" s="53" t="s">
        <v>307</v>
      </c>
      <c r="C208" s="53" t="s">
        <v>305</v>
      </c>
      <c r="D208" s="53" t="s">
        <v>307</v>
      </c>
      <c r="E208" s="55" t="s">
        <v>524</v>
      </c>
      <c r="F208" s="56">
        <f>+VLOOKUP(B208,'[2]Summary Table'!$C$2:$G$287,5,0)</f>
        <v>32</v>
      </c>
      <c r="G208" s="57">
        <f>+VLOOKUP(B208,'[2]Summary Table'!$C$2:$J$287,8,0)</f>
        <v>0.23022000000000001</v>
      </c>
    </row>
    <row r="209" spans="1:7">
      <c r="A209" s="53" t="s">
        <v>424</v>
      </c>
      <c r="B209" s="53" t="s">
        <v>425</v>
      </c>
      <c r="C209" s="53" t="s">
        <v>426</v>
      </c>
      <c r="D209" s="53" t="s">
        <v>425</v>
      </c>
      <c r="E209" s="55" t="s">
        <v>524</v>
      </c>
      <c r="F209" s="56">
        <f>+VLOOKUP(B209,'[2]Summary Table'!$C$2:$G$287,5,0)</f>
        <v>32</v>
      </c>
      <c r="G209" s="57">
        <f>+VLOOKUP(B209,'[2]Summary Table'!$C$2:$J$287,8,0)</f>
        <v>0.23022000000000001</v>
      </c>
    </row>
    <row r="210" spans="1:7">
      <c r="A210" s="53" t="s">
        <v>479</v>
      </c>
      <c r="B210" s="53" t="s">
        <v>480</v>
      </c>
      <c r="C210" s="53" t="s">
        <v>426</v>
      </c>
      <c r="D210" s="53" t="s">
        <v>480</v>
      </c>
      <c r="E210" s="55" t="s">
        <v>524</v>
      </c>
      <c r="F210" s="56">
        <f>+VLOOKUP(B210,'[2]Summary Table'!$C$2:$G$287,5,0)</f>
        <v>32</v>
      </c>
      <c r="G210" s="57">
        <f>+VLOOKUP(B210,'[2]Summary Table'!$C$2:$J$287,8,0)</f>
        <v>0.23022000000000001</v>
      </c>
    </row>
    <row r="211" spans="1:7">
      <c r="A211" s="53" t="s">
        <v>479</v>
      </c>
      <c r="B211" s="53" t="s">
        <v>481</v>
      </c>
      <c r="C211" s="53" t="s">
        <v>426</v>
      </c>
      <c r="D211" s="53" t="s">
        <v>481</v>
      </c>
      <c r="E211" s="55" t="s">
        <v>524</v>
      </c>
      <c r="F211" s="56">
        <f>+VLOOKUP(B211,'[2]Summary Table'!$C$2:$G$287,5,0)</f>
        <v>32</v>
      </c>
      <c r="G211" s="57">
        <f>+VLOOKUP(B211,'[2]Summary Table'!$C$2:$J$287,8,0)</f>
        <v>0.23022000000000001</v>
      </c>
    </row>
    <row r="212" spans="1:7">
      <c r="A212" s="53" t="s">
        <v>424</v>
      </c>
      <c r="B212" s="53" t="s">
        <v>429</v>
      </c>
      <c r="C212" s="53" t="s">
        <v>309</v>
      </c>
      <c r="D212" s="53" t="s">
        <v>429</v>
      </c>
      <c r="E212" s="55" t="s">
        <v>524</v>
      </c>
      <c r="F212" s="56">
        <f>+VLOOKUP(B212,'[2]Summary Table'!$C$2:$G$287,5,0)</f>
        <v>33</v>
      </c>
      <c r="G212" s="57">
        <f>+VLOOKUP(B212,'[2]Summary Table'!$C$2:$J$287,8,0)</f>
        <v>0.23046900000000001</v>
      </c>
    </row>
    <row r="213" spans="1:7">
      <c r="A213" s="53" t="s">
        <v>279</v>
      </c>
      <c r="B213" s="53" t="s">
        <v>308</v>
      </c>
      <c r="C213" s="53" t="s">
        <v>309</v>
      </c>
      <c r="D213" s="53" t="s">
        <v>308</v>
      </c>
      <c r="E213" s="55" t="s">
        <v>524</v>
      </c>
      <c r="F213" s="56">
        <f>+VLOOKUP(B213,'[2]Summary Table'!$C$2:$G$287,5,0)</f>
        <v>33</v>
      </c>
      <c r="G213" s="57">
        <f>+VLOOKUP(B213,'[2]Summary Table'!$C$2:$J$287,8,0)</f>
        <v>0.23046900000000001</v>
      </c>
    </row>
    <row r="214" spans="1:7">
      <c r="A214" s="53" t="s">
        <v>279</v>
      </c>
      <c r="B214" s="53" t="s">
        <v>310</v>
      </c>
      <c r="C214" s="53" t="s">
        <v>309</v>
      </c>
      <c r="D214" s="53" t="s">
        <v>310</v>
      </c>
      <c r="E214" s="55" t="s">
        <v>524</v>
      </c>
      <c r="F214" s="56">
        <f>+VLOOKUP(B214,'[2]Summary Table'!$C$2:$G$287,5,0)</f>
        <v>33</v>
      </c>
      <c r="G214" s="57">
        <f>+VLOOKUP(B214,'[2]Summary Table'!$C$2:$J$287,8,0)</f>
        <v>0.23046900000000001</v>
      </c>
    </row>
    <row r="215" spans="1:7">
      <c r="A215" s="53" t="s">
        <v>279</v>
      </c>
      <c r="B215" s="53" t="s">
        <v>311</v>
      </c>
      <c r="C215" s="53" t="s">
        <v>309</v>
      </c>
      <c r="D215" s="53" t="s">
        <v>311</v>
      </c>
      <c r="E215" s="55" t="s">
        <v>524</v>
      </c>
      <c r="F215" s="56">
        <f>+VLOOKUP(B215,'[2]Summary Table'!$C$2:$G$287,5,0)</f>
        <v>33</v>
      </c>
      <c r="G215" s="57">
        <f>+VLOOKUP(B215,'[2]Summary Table'!$C$2:$J$287,8,0)</f>
        <v>0.23046900000000001</v>
      </c>
    </row>
    <row r="216" spans="1:7">
      <c r="A216" s="53" t="s">
        <v>479</v>
      </c>
      <c r="B216" s="53" t="s">
        <v>482</v>
      </c>
      <c r="C216" s="53" t="s">
        <v>483</v>
      </c>
      <c r="D216" s="53" t="s">
        <v>482</v>
      </c>
      <c r="E216" s="55" t="s">
        <v>524</v>
      </c>
      <c r="F216" s="56">
        <f>+VLOOKUP(B216,'[2]Summary Table'!$C$2:$G$287,5,0)</f>
        <v>33</v>
      </c>
      <c r="G216" s="57">
        <f>+VLOOKUP(B216,'[2]Summary Table'!$C$2:$J$287,8,0)</f>
        <v>0.23046900000000001</v>
      </c>
    </row>
    <row r="217" spans="1:7">
      <c r="A217" s="53" t="s">
        <v>479</v>
      </c>
      <c r="B217" s="53" t="s">
        <v>484</v>
      </c>
      <c r="C217" s="53" t="s">
        <v>485</v>
      </c>
      <c r="D217" s="53" t="s">
        <v>484</v>
      </c>
      <c r="E217" s="55" t="s">
        <v>524</v>
      </c>
      <c r="F217" s="56">
        <f>+VLOOKUP(B217,'[2]Summary Table'!$C$2:$G$287,5,0)</f>
        <v>33</v>
      </c>
      <c r="G217" s="57">
        <f>+VLOOKUP(B217,'[2]Summary Table'!$C$2:$J$287,8,0)</f>
        <v>0.23046900000000001</v>
      </c>
    </row>
    <row r="218" spans="1:7">
      <c r="A218" s="53" t="s">
        <v>479</v>
      </c>
      <c r="B218" s="53" t="s">
        <v>486</v>
      </c>
      <c r="C218" s="53" t="s">
        <v>487</v>
      </c>
      <c r="D218" s="53" t="s">
        <v>486</v>
      </c>
      <c r="E218" s="55" t="s">
        <v>524</v>
      </c>
      <c r="F218" s="56">
        <f>+VLOOKUP(B218,'[2]Summary Table'!$C$2:$G$287,5,0)</f>
        <v>33</v>
      </c>
      <c r="G218" s="57">
        <f>+VLOOKUP(B218,'[2]Summary Table'!$C$2:$J$287,8,0)</f>
        <v>0.23046900000000001</v>
      </c>
    </row>
    <row r="219" spans="1:7">
      <c r="A219" s="53" t="s">
        <v>531</v>
      </c>
      <c r="B219" s="53" t="s">
        <v>153</v>
      </c>
      <c r="C219" s="53" t="s">
        <v>154</v>
      </c>
      <c r="D219" s="53" t="s">
        <v>153</v>
      </c>
      <c r="E219" s="55" t="s">
        <v>524</v>
      </c>
      <c r="F219" s="56">
        <f>+VLOOKUP(B219,'[2]Summary Table'!$C$2:$G$287,5,0)</f>
        <v>27</v>
      </c>
      <c r="G219" s="57">
        <f>+VLOOKUP(B219,'[2]Summary Table'!$C$2:$J$287,8,0)</f>
        <v>0.13575785800000001</v>
      </c>
    </row>
    <row r="220" spans="1:7">
      <c r="A220" s="53" t="s">
        <v>529</v>
      </c>
      <c r="B220" s="53" t="s">
        <v>205</v>
      </c>
      <c r="C220" s="53" t="s">
        <v>206</v>
      </c>
      <c r="D220" s="53" t="s">
        <v>205</v>
      </c>
      <c r="E220" s="55" t="s">
        <v>524</v>
      </c>
      <c r="F220" s="56">
        <f>+VLOOKUP(B220,'[2]Summary Table'!$C$2:$G$287,5,0)</f>
        <v>34</v>
      </c>
      <c r="G220" s="57">
        <f>+VLOOKUP(B220,'[2]Summary Table'!$C$2:$J$287,8,0)</f>
        <v>0.19706099999999999</v>
      </c>
    </row>
    <row r="221" spans="1:7">
      <c r="A221" s="53" t="s">
        <v>227</v>
      </c>
      <c r="B221" s="53" t="s">
        <v>231</v>
      </c>
      <c r="C221" s="53" t="s">
        <v>232</v>
      </c>
      <c r="D221" s="53" t="s">
        <v>231</v>
      </c>
      <c r="E221" s="55" t="s">
        <v>524</v>
      </c>
      <c r="F221" s="56">
        <f>+VLOOKUP(B221,'[2]Summary Table'!$C$2:$G$287,5,0)</f>
        <v>34</v>
      </c>
      <c r="G221" s="57">
        <f>+VLOOKUP(B221,'[2]Summary Table'!$C$2:$J$287,8,0)</f>
        <v>0.19706099999999999</v>
      </c>
    </row>
    <row r="222" spans="1:7">
      <c r="A222" s="53" t="s">
        <v>227</v>
      </c>
      <c r="B222" s="53" t="s">
        <v>233</v>
      </c>
      <c r="C222" s="53" t="s">
        <v>232</v>
      </c>
      <c r="D222" s="53" t="s">
        <v>233</v>
      </c>
      <c r="E222" s="55" t="s">
        <v>524</v>
      </c>
      <c r="F222" s="56">
        <f>+VLOOKUP(B222,'[2]Summary Table'!$C$2:$G$287,5,0)</f>
        <v>34</v>
      </c>
      <c r="G222" s="57">
        <f>+VLOOKUP(B222,'[2]Summary Table'!$C$2:$J$287,8,0)</f>
        <v>0.19706099999999999</v>
      </c>
    </row>
    <row r="223" spans="1:7">
      <c r="A223" s="53" t="s">
        <v>424</v>
      </c>
      <c r="B223" s="53" t="s">
        <v>430</v>
      </c>
      <c r="C223" s="53" t="s">
        <v>431</v>
      </c>
      <c r="D223" s="53" t="s">
        <v>430</v>
      </c>
      <c r="E223" s="55" t="s">
        <v>524</v>
      </c>
      <c r="F223" s="56">
        <f>+VLOOKUP(B223,'[2]Summary Table'!$C$2:$G$287,5,0)</f>
        <v>34</v>
      </c>
      <c r="G223" s="57">
        <f>+VLOOKUP(B223,'[2]Summary Table'!$C$2:$J$287,8,0)</f>
        <v>0.19706099999999999</v>
      </c>
    </row>
    <row r="224" spans="1:7">
      <c r="A224" s="53" t="s">
        <v>424</v>
      </c>
      <c r="B224" s="53" t="s">
        <v>432</v>
      </c>
      <c r="C224" s="53" t="s">
        <v>433</v>
      </c>
      <c r="D224" s="53" t="s">
        <v>432</v>
      </c>
      <c r="E224" s="55" t="s">
        <v>524</v>
      </c>
      <c r="F224" s="56">
        <f>+VLOOKUP(B224,'[2]Summary Table'!$C$2:$G$287,5,0)</f>
        <v>34</v>
      </c>
      <c r="G224" s="57">
        <f>+VLOOKUP(B224,'[2]Summary Table'!$C$2:$J$287,8,0)</f>
        <v>0.19706099999999999</v>
      </c>
    </row>
    <row r="225" spans="1:7">
      <c r="A225" s="53" t="s">
        <v>424</v>
      </c>
      <c r="B225" s="53" t="s">
        <v>434</v>
      </c>
      <c r="C225" s="53" t="s">
        <v>435</v>
      </c>
      <c r="D225" s="53" t="s">
        <v>434</v>
      </c>
      <c r="E225" s="55" t="s">
        <v>524</v>
      </c>
      <c r="F225" s="56">
        <f>+VLOOKUP(B225,'[2]Summary Table'!$C$2:$G$287,5,0)</f>
        <v>34</v>
      </c>
      <c r="G225" s="57">
        <f>+VLOOKUP(B225,'[2]Summary Table'!$C$2:$J$287,8,0)</f>
        <v>0.19706099999999999</v>
      </c>
    </row>
    <row r="226" spans="1:7">
      <c r="A226" s="53" t="s">
        <v>424</v>
      </c>
      <c r="B226" s="53" t="s">
        <v>436</v>
      </c>
      <c r="C226" s="53" t="s">
        <v>435</v>
      </c>
      <c r="D226" s="53" t="s">
        <v>436</v>
      </c>
      <c r="E226" s="55" t="s">
        <v>524</v>
      </c>
      <c r="F226" s="56">
        <f>+VLOOKUP(B226,'[2]Summary Table'!$C$2:$G$287,5,0)</f>
        <v>34</v>
      </c>
      <c r="G226" s="57">
        <f>+VLOOKUP(B226,'[2]Summary Table'!$C$2:$J$287,8,0)</f>
        <v>0.19706099999999999</v>
      </c>
    </row>
    <row r="227" spans="1:7">
      <c r="A227" s="53" t="s">
        <v>424</v>
      </c>
      <c r="B227" s="53" t="s">
        <v>437</v>
      </c>
      <c r="C227" s="53" t="s">
        <v>438</v>
      </c>
      <c r="D227" s="53" t="s">
        <v>437</v>
      </c>
      <c r="E227" s="55" t="s">
        <v>524</v>
      </c>
      <c r="F227" s="56">
        <f>+VLOOKUP(B227,'[2]Summary Table'!$C$2:$G$287,5,0)</f>
        <v>34</v>
      </c>
      <c r="G227" s="57">
        <f>+VLOOKUP(B227,'[2]Summary Table'!$C$2:$J$287,8,0)</f>
        <v>0.19706099999999999</v>
      </c>
    </row>
    <row r="228" spans="1:7">
      <c r="A228" s="53" t="s">
        <v>227</v>
      </c>
      <c r="B228" s="53" t="s">
        <v>241</v>
      </c>
      <c r="C228" s="53" t="s">
        <v>208</v>
      </c>
      <c r="D228" s="53" t="s">
        <v>241</v>
      </c>
      <c r="E228" s="55" t="s">
        <v>524</v>
      </c>
      <c r="F228" s="56">
        <f>+VLOOKUP(B228,'[2]Summary Table'!$C$2:$G$287,5,0)</f>
        <v>46</v>
      </c>
      <c r="G228" s="57">
        <f>+VLOOKUP(B228,'[2]Summary Table'!$C$2:$J$287,8,0)</f>
        <v>0.19706099999999999</v>
      </c>
    </row>
    <row r="229" spans="1:7">
      <c r="A229" s="53" t="s">
        <v>525</v>
      </c>
      <c r="B229" s="53" t="s">
        <v>29</v>
      </c>
      <c r="C229" s="53" t="s">
        <v>30</v>
      </c>
      <c r="D229" s="53" t="s">
        <v>29</v>
      </c>
      <c r="E229" s="55" t="s">
        <v>524</v>
      </c>
      <c r="F229" s="56">
        <f>+VLOOKUP(B229,'[2]Summary Table'!$C$2:$G$287,5,0)</f>
        <v>35</v>
      </c>
      <c r="G229" s="57">
        <f>+VLOOKUP(B229,'[2]Summary Table'!$C$2:$J$287,8,0)</f>
        <v>1.2779208</v>
      </c>
    </row>
    <row r="230" spans="1:7">
      <c r="A230" s="53" t="s">
        <v>525</v>
      </c>
      <c r="B230" s="53" t="s">
        <v>41</v>
      </c>
      <c r="C230" s="53" t="s">
        <v>42</v>
      </c>
      <c r="D230" s="53" t="s">
        <v>41</v>
      </c>
      <c r="E230" s="55" t="s">
        <v>524</v>
      </c>
      <c r="F230" s="56">
        <f>+VLOOKUP(B230,'[2]Summary Table'!$C$2:$G$287,5,0)</f>
        <v>35</v>
      </c>
      <c r="G230" s="57">
        <f>+VLOOKUP(B230,'[2]Summary Table'!$C$2:$J$287,8,0)</f>
        <v>1.2779208</v>
      </c>
    </row>
    <row r="231" spans="1:7">
      <c r="A231" s="53" t="s">
        <v>525</v>
      </c>
      <c r="B231" s="53" t="s">
        <v>43</v>
      </c>
      <c r="C231" s="53" t="s">
        <v>42</v>
      </c>
      <c r="D231" s="53" t="s">
        <v>43</v>
      </c>
      <c r="E231" s="55" t="s">
        <v>524</v>
      </c>
      <c r="F231" s="56">
        <f>+VLOOKUP(B231,'[2]Summary Table'!$C$2:$G$287,5,0)</f>
        <v>35</v>
      </c>
      <c r="G231" s="57">
        <f>+VLOOKUP(B231,'[2]Summary Table'!$C$2:$J$287,8,0)</f>
        <v>1.2779208</v>
      </c>
    </row>
    <row r="232" spans="1:7">
      <c r="A232" s="53" t="s">
        <v>534</v>
      </c>
      <c r="B232" s="53" t="s">
        <v>68</v>
      </c>
      <c r="C232" s="53" t="s">
        <v>69</v>
      </c>
      <c r="D232" s="53" t="s">
        <v>68</v>
      </c>
      <c r="E232" s="55" t="s">
        <v>524</v>
      </c>
      <c r="F232" s="56">
        <f>+VLOOKUP(B232,'[2]Summary Table'!$C$2:$G$287,5,0)</f>
        <v>35</v>
      </c>
      <c r="G232" s="57">
        <f>+VLOOKUP(B232,'[2]Summary Table'!$C$2:$J$287,8,0)</f>
        <v>1.2779208</v>
      </c>
    </row>
    <row r="233" spans="1:7">
      <c r="A233" s="53" t="s">
        <v>534</v>
      </c>
      <c r="B233" s="53" t="s">
        <v>76</v>
      </c>
      <c r="C233" s="53" t="s">
        <v>69</v>
      </c>
      <c r="D233" s="53" t="s">
        <v>76</v>
      </c>
      <c r="E233" s="55" t="s">
        <v>524</v>
      </c>
      <c r="F233" s="56">
        <f>+VLOOKUP(B233,'[2]Summary Table'!$C$2:$G$287,5,0)</f>
        <v>35</v>
      </c>
      <c r="G233" s="57">
        <f>+VLOOKUP(B233,'[2]Summary Table'!$C$2:$J$287,8,0)</f>
        <v>1.2779208</v>
      </c>
    </row>
    <row r="234" spans="1:7">
      <c r="A234" s="53" t="s">
        <v>533</v>
      </c>
      <c r="B234" s="53" t="s">
        <v>55</v>
      </c>
      <c r="C234" s="53" t="s">
        <v>56</v>
      </c>
      <c r="D234" s="53" t="s">
        <v>55</v>
      </c>
      <c r="E234" s="55" t="s">
        <v>524</v>
      </c>
      <c r="F234" s="56">
        <f>+VLOOKUP(B234,'[2]Summary Table'!$C$2:$G$287,5,0)</f>
        <v>35</v>
      </c>
      <c r="G234" s="57">
        <f>+VLOOKUP(B234,'[2]Summary Table'!$C$2:$J$287,8,0)</f>
        <v>1.2779208</v>
      </c>
    </row>
    <row r="235" spans="1:7">
      <c r="A235" s="53" t="s">
        <v>535</v>
      </c>
      <c r="B235" s="53" t="s">
        <v>192</v>
      </c>
      <c r="C235" s="53" t="s">
        <v>193</v>
      </c>
      <c r="D235" s="53" t="s">
        <v>192</v>
      </c>
      <c r="E235" s="55" t="s">
        <v>524</v>
      </c>
      <c r="F235" s="56">
        <f>+VLOOKUP(B235,'[2]Summary Table'!$C$2:$G$287,5,0)</f>
        <v>36</v>
      </c>
      <c r="G235" s="57">
        <f>+VLOOKUP(B235,'[2]Summary Table'!$C$2:$J$287,8,0)</f>
        <v>1.5790420000000001</v>
      </c>
    </row>
    <row r="236" spans="1:7">
      <c r="A236" s="53" t="s">
        <v>535</v>
      </c>
      <c r="B236" s="53" t="s">
        <v>194</v>
      </c>
      <c r="C236" s="53" t="s">
        <v>195</v>
      </c>
      <c r="D236" s="53" t="s">
        <v>194</v>
      </c>
      <c r="E236" s="55" t="s">
        <v>524</v>
      </c>
      <c r="F236" s="56">
        <f>+VLOOKUP(B236,'[2]Summary Table'!$C$2:$G$287,5,0)</f>
        <v>36</v>
      </c>
      <c r="G236" s="57">
        <f>+VLOOKUP(B236,'[2]Summary Table'!$C$2:$J$287,8,0)</f>
        <v>1.5790420000000001</v>
      </c>
    </row>
    <row r="237" spans="1:7">
      <c r="A237" s="53" t="s">
        <v>531</v>
      </c>
      <c r="B237" s="53" t="s">
        <v>181</v>
      </c>
      <c r="C237" s="53" t="s">
        <v>182</v>
      </c>
      <c r="D237" s="53" t="s">
        <v>181</v>
      </c>
      <c r="E237" s="55" t="s">
        <v>524</v>
      </c>
      <c r="F237" s="56">
        <f>+VLOOKUP(B237,'[2]Summary Table'!$C$2:$G$287,5,0)</f>
        <v>37</v>
      </c>
      <c r="G237" s="57">
        <f>+VLOOKUP(B237,'[2]Summary Table'!$C$2:$J$287,8,0)</f>
        <v>0.28869499999999998</v>
      </c>
    </row>
    <row r="238" spans="1:7">
      <c r="A238" s="53" t="s">
        <v>531</v>
      </c>
      <c r="B238" s="53" t="s">
        <v>183</v>
      </c>
      <c r="C238" s="53" t="s">
        <v>184</v>
      </c>
      <c r="D238" s="53" t="s">
        <v>183</v>
      </c>
      <c r="E238" s="55" t="s">
        <v>524</v>
      </c>
      <c r="F238" s="56">
        <f>+VLOOKUP(B238,'[2]Summary Table'!$C$2:$G$287,5,0)</f>
        <v>37</v>
      </c>
      <c r="G238" s="57">
        <f>+VLOOKUP(B238,'[2]Summary Table'!$C$2:$J$287,8,0)</f>
        <v>0.28869499999999998</v>
      </c>
    </row>
    <row r="239" spans="1:7">
      <c r="A239" s="53" t="s">
        <v>424</v>
      </c>
      <c r="B239" s="53" t="s">
        <v>427</v>
      </c>
      <c r="C239" s="53" t="s">
        <v>428</v>
      </c>
      <c r="D239" s="53" t="s">
        <v>427</v>
      </c>
      <c r="E239" s="55" t="s">
        <v>524</v>
      </c>
      <c r="F239" s="56">
        <f>+VLOOKUP(B239,'[2]Summary Table'!$C$2:$G$287,5,0)</f>
        <v>38</v>
      </c>
      <c r="G239" s="57">
        <f>+VLOOKUP(B239,'[2]Summary Table'!$C$2:$J$287,8,0)</f>
        <v>1.503376</v>
      </c>
    </row>
    <row r="240" spans="1:7">
      <c r="A240" s="53" t="s">
        <v>424</v>
      </c>
      <c r="B240" s="53" t="s">
        <v>439</v>
      </c>
      <c r="C240" s="53" t="s">
        <v>440</v>
      </c>
      <c r="D240" s="53" t="s">
        <v>439</v>
      </c>
      <c r="E240" s="55" t="s">
        <v>524</v>
      </c>
      <c r="F240" s="56">
        <f>+VLOOKUP(B240,'[2]Summary Table'!$C$2:$G$287,5,0)</f>
        <v>38</v>
      </c>
      <c r="G240" s="57">
        <f>+VLOOKUP(B240,'[2]Summary Table'!$C$2:$J$287,8,0)</f>
        <v>1.503376</v>
      </c>
    </row>
    <row r="241" spans="1:7">
      <c r="A241" s="53" t="s">
        <v>227</v>
      </c>
      <c r="B241" s="53" t="s">
        <v>234</v>
      </c>
      <c r="C241" s="53" t="s">
        <v>235</v>
      </c>
      <c r="D241" s="53" t="s">
        <v>234</v>
      </c>
      <c r="E241" s="55" t="s">
        <v>524</v>
      </c>
      <c r="F241" s="56">
        <f>+VLOOKUP(B241,'[2]Summary Table'!$C$2:$G$287,5,0)</f>
        <v>38</v>
      </c>
      <c r="G241" s="57">
        <f>+VLOOKUP(B241,'[2]Summary Table'!$C$2:$J$287,8,0)</f>
        <v>1.503376</v>
      </c>
    </row>
    <row r="242" spans="1:7">
      <c r="A242" s="53" t="s">
        <v>227</v>
      </c>
      <c r="B242" s="53" t="s">
        <v>236</v>
      </c>
      <c r="C242" s="53" t="s">
        <v>235</v>
      </c>
      <c r="D242" s="53" t="s">
        <v>236</v>
      </c>
      <c r="E242" s="55" t="s">
        <v>524</v>
      </c>
      <c r="F242" s="56">
        <f>+VLOOKUP(B242,'[2]Summary Table'!$C$2:$G$287,5,0)</f>
        <v>38</v>
      </c>
      <c r="G242" s="57">
        <f>+VLOOKUP(B242,'[2]Summary Table'!$C$2:$J$287,8,0)</f>
        <v>1.503376</v>
      </c>
    </row>
    <row r="243" spans="1:7">
      <c r="A243" s="53" t="s">
        <v>279</v>
      </c>
      <c r="B243" s="53" t="s">
        <v>294</v>
      </c>
      <c r="C243" s="53" t="s">
        <v>295</v>
      </c>
      <c r="D243" s="53" t="s">
        <v>294</v>
      </c>
      <c r="E243" s="55" t="s">
        <v>524</v>
      </c>
      <c r="F243" s="56">
        <f>+VLOOKUP(B243,'[2]Summary Table'!$C$2:$G$287,5,0)</f>
        <v>39</v>
      </c>
      <c r="G243" s="57">
        <f>+VLOOKUP(B243,'[2]Summary Table'!$C$2:$J$287,8,0)</f>
        <v>1</v>
      </c>
    </row>
    <row r="244" spans="1:7">
      <c r="A244" s="53" t="s">
        <v>279</v>
      </c>
      <c r="B244" s="53" t="s">
        <v>296</v>
      </c>
      <c r="C244" s="53" t="s">
        <v>295</v>
      </c>
      <c r="D244" s="53" t="s">
        <v>296</v>
      </c>
      <c r="E244" s="55" t="s">
        <v>524</v>
      </c>
      <c r="F244" s="56">
        <f>+VLOOKUP(B244,'[2]Summary Table'!$C$2:$G$287,5,0)</f>
        <v>39</v>
      </c>
      <c r="G244" s="57">
        <f>+VLOOKUP(B244,'[2]Summary Table'!$C$2:$J$287,8,0)</f>
        <v>1</v>
      </c>
    </row>
    <row r="245" spans="1:7">
      <c r="A245" s="53" t="s">
        <v>279</v>
      </c>
      <c r="B245" s="53" t="s">
        <v>297</v>
      </c>
      <c r="C245" s="53" t="s">
        <v>295</v>
      </c>
      <c r="D245" s="53" t="s">
        <v>297</v>
      </c>
      <c r="E245" s="55" t="s">
        <v>524</v>
      </c>
      <c r="F245" s="56">
        <f>+VLOOKUP(B245,'[2]Summary Table'!$C$2:$G$287,5,0)</f>
        <v>39</v>
      </c>
      <c r="G245" s="57">
        <f>+VLOOKUP(B245,'[2]Summary Table'!$C$2:$J$287,8,0)</f>
        <v>1</v>
      </c>
    </row>
    <row r="246" spans="1:7">
      <c r="A246" s="53" t="s">
        <v>531</v>
      </c>
      <c r="B246" s="53" t="s">
        <v>166</v>
      </c>
      <c r="C246" s="53" t="s">
        <v>167</v>
      </c>
      <c r="D246" s="53" t="s">
        <v>166</v>
      </c>
      <c r="E246" s="55" t="s">
        <v>524</v>
      </c>
      <c r="F246" s="56">
        <f>+VLOOKUP(B246,'[2]Summary Table'!$C$2:$G$287,5,0)</f>
        <v>40</v>
      </c>
      <c r="G246" s="57">
        <f>+VLOOKUP(B246,'[2]Summary Table'!$C$2:$J$287,8,0)</f>
        <v>0.61584799999999995</v>
      </c>
    </row>
    <row r="247" spans="1:7">
      <c r="A247" s="53" t="s">
        <v>531</v>
      </c>
      <c r="B247" s="53" t="s">
        <v>168</v>
      </c>
      <c r="C247" s="53" t="s">
        <v>167</v>
      </c>
      <c r="D247" s="53" t="s">
        <v>168</v>
      </c>
      <c r="E247" s="55" t="s">
        <v>524</v>
      </c>
      <c r="F247" s="56">
        <f>+VLOOKUP(B247,'[2]Summary Table'!$C$2:$G$287,5,0)</f>
        <v>40</v>
      </c>
      <c r="G247" s="57">
        <f>+VLOOKUP(B247,'[2]Summary Table'!$C$2:$J$287,8,0)</f>
        <v>0.61584799999999995</v>
      </c>
    </row>
    <row r="248" spans="1:7">
      <c r="A248" s="53" t="s">
        <v>441</v>
      </c>
      <c r="B248" s="53" t="s">
        <v>442</v>
      </c>
      <c r="C248" s="53" t="s">
        <v>443</v>
      </c>
      <c r="D248" s="53" t="s">
        <v>442</v>
      </c>
      <c r="E248" s="55" t="s">
        <v>524</v>
      </c>
      <c r="F248" s="56">
        <f>+VLOOKUP(B248,'[2]Summary Table'!$C$2:$G$287,5,0)</f>
        <v>40</v>
      </c>
      <c r="G248" s="57">
        <f>+VLOOKUP(B248,'[2]Summary Table'!$C$2:$J$287,8,0)</f>
        <v>0.61584799999999995</v>
      </c>
    </row>
    <row r="249" spans="1:7">
      <c r="A249" s="53" t="s">
        <v>441</v>
      </c>
      <c r="B249" s="53" t="s">
        <v>444</v>
      </c>
      <c r="C249" s="53" t="s">
        <v>443</v>
      </c>
      <c r="D249" s="53" t="s">
        <v>444</v>
      </c>
      <c r="E249" s="55" t="s">
        <v>524</v>
      </c>
      <c r="F249" s="56">
        <f>+VLOOKUP(B249,'[2]Summary Table'!$C$2:$G$287,5,0)</f>
        <v>40</v>
      </c>
      <c r="G249" s="57">
        <f>+VLOOKUP(B249,'[2]Summary Table'!$C$2:$J$287,8,0)</f>
        <v>0.61584799999999995</v>
      </c>
    </row>
    <row r="250" spans="1:7">
      <c r="A250" s="53" t="s">
        <v>441</v>
      </c>
      <c r="B250" s="53" t="s">
        <v>450</v>
      </c>
      <c r="C250" s="53" t="s">
        <v>451</v>
      </c>
      <c r="D250" s="53" t="s">
        <v>450</v>
      </c>
      <c r="E250" s="55" t="s">
        <v>524</v>
      </c>
      <c r="F250" s="56">
        <f>+VLOOKUP(B250,'[2]Summary Table'!$C$2:$G$287,5,0)</f>
        <v>40</v>
      </c>
      <c r="G250" s="57">
        <f>+VLOOKUP(B250,'[2]Summary Table'!$C$2:$J$287,8,0)</f>
        <v>0.61584799999999995</v>
      </c>
    </row>
    <row r="251" spans="1:7">
      <c r="A251" s="53" t="s">
        <v>441</v>
      </c>
      <c r="B251" s="53" t="s">
        <v>452</v>
      </c>
      <c r="C251" s="53" t="s">
        <v>451</v>
      </c>
      <c r="D251" s="53" t="s">
        <v>452</v>
      </c>
      <c r="E251" s="55" t="s">
        <v>524</v>
      </c>
      <c r="F251" s="56">
        <f>+VLOOKUP(B251,'[2]Summary Table'!$C$2:$G$287,5,0)</f>
        <v>40</v>
      </c>
      <c r="G251" s="57">
        <f>+VLOOKUP(B251,'[2]Summary Table'!$C$2:$J$287,8,0)</f>
        <v>0.61584799999999995</v>
      </c>
    </row>
    <row r="252" spans="1:7">
      <c r="A252" s="53" t="s">
        <v>441</v>
      </c>
      <c r="B252" s="53" t="s">
        <v>453</v>
      </c>
      <c r="C252" s="53" t="s">
        <v>454</v>
      </c>
      <c r="D252" s="53" t="s">
        <v>453</v>
      </c>
      <c r="E252" s="55" t="s">
        <v>524</v>
      </c>
      <c r="F252" s="56">
        <f>+VLOOKUP(B252,'[2]Summary Table'!$C$2:$G$287,5,0)</f>
        <v>40</v>
      </c>
      <c r="G252" s="57">
        <f>+VLOOKUP(B252,'[2]Summary Table'!$C$2:$J$287,8,0)</f>
        <v>0.61584799999999995</v>
      </c>
    </row>
    <row r="253" spans="1:7">
      <c r="A253" s="53" t="s">
        <v>441</v>
      </c>
      <c r="B253" s="53" t="s">
        <v>456</v>
      </c>
      <c r="C253" s="53" t="s">
        <v>457</v>
      </c>
      <c r="D253" s="53" t="s">
        <v>456</v>
      </c>
      <c r="E253" s="55" t="s">
        <v>524</v>
      </c>
      <c r="F253" s="56">
        <f>+VLOOKUP(B253,'[2]Summary Table'!$C$2:$G$287,5,0)</f>
        <v>40</v>
      </c>
      <c r="G253" s="57">
        <f>+VLOOKUP(B253,'[2]Summary Table'!$C$2:$J$287,8,0)</f>
        <v>0.61584799999999995</v>
      </c>
    </row>
    <row r="254" spans="1:7">
      <c r="A254" s="53" t="s">
        <v>460</v>
      </c>
      <c r="B254" s="53" t="s">
        <v>463</v>
      </c>
      <c r="C254" s="53" t="s">
        <v>464</v>
      </c>
      <c r="D254" s="53" t="s">
        <v>463</v>
      </c>
      <c r="E254" s="55" t="s">
        <v>524</v>
      </c>
      <c r="F254" s="56">
        <f>+VLOOKUP(B254,'[2]Summary Table'!$C$2:$G$287,5,0)</f>
        <v>40</v>
      </c>
      <c r="G254" s="57">
        <f>+VLOOKUP(B254,'[2]Summary Table'!$C$2:$J$287,8,0)</f>
        <v>0.61584799999999995</v>
      </c>
    </row>
    <row r="255" spans="1:7">
      <c r="A255" s="53" t="s">
        <v>460</v>
      </c>
      <c r="B255" s="53" t="s">
        <v>465</v>
      </c>
      <c r="C255" s="53" t="s">
        <v>466</v>
      </c>
      <c r="D255" s="53" t="s">
        <v>465</v>
      </c>
      <c r="E255" s="55" t="s">
        <v>524</v>
      </c>
      <c r="F255" s="56">
        <f>+VLOOKUP(B255,'[2]Summary Table'!$C$2:$G$287,5,0)</f>
        <v>40</v>
      </c>
      <c r="G255" s="57">
        <f>+VLOOKUP(B255,'[2]Summary Table'!$C$2:$J$287,8,0)</f>
        <v>0.61584799999999995</v>
      </c>
    </row>
    <row r="256" spans="1:7">
      <c r="A256" s="53" t="s">
        <v>460</v>
      </c>
      <c r="B256" s="53" t="s">
        <v>469</v>
      </c>
      <c r="C256" s="53" t="s">
        <v>470</v>
      </c>
      <c r="D256" s="53" t="s">
        <v>469</v>
      </c>
      <c r="E256" s="55" t="s">
        <v>524</v>
      </c>
      <c r="F256" s="56">
        <f>+VLOOKUP(B256,'[2]Summary Table'!$C$2:$G$287,5,0)</f>
        <v>40</v>
      </c>
      <c r="G256" s="57">
        <f>+VLOOKUP(B256,'[2]Summary Table'!$C$2:$J$287,8,0)</f>
        <v>0.61584799999999995</v>
      </c>
    </row>
    <row r="257" spans="1:7">
      <c r="A257" s="53" t="s">
        <v>460</v>
      </c>
      <c r="B257" s="53" t="s">
        <v>471</v>
      </c>
      <c r="C257" s="53" t="s">
        <v>472</v>
      </c>
      <c r="D257" s="53" t="s">
        <v>471</v>
      </c>
      <c r="E257" s="55" t="s">
        <v>524</v>
      </c>
      <c r="F257" s="56">
        <f>+VLOOKUP(B257,'[2]Summary Table'!$C$2:$G$287,5,0)</f>
        <v>40</v>
      </c>
      <c r="G257" s="57">
        <f>+VLOOKUP(B257,'[2]Summary Table'!$C$2:$J$287,8,0)</f>
        <v>0.61584799999999995</v>
      </c>
    </row>
    <row r="258" spans="1:7">
      <c r="A258" s="53" t="s">
        <v>460</v>
      </c>
      <c r="B258" s="53" t="s">
        <v>475</v>
      </c>
      <c r="C258" s="58" t="s">
        <v>476</v>
      </c>
      <c r="D258" s="53" t="s">
        <v>475</v>
      </c>
      <c r="E258" s="55" t="s">
        <v>524</v>
      </c>
      <c r="F258" s="56">
        <f>+VLOOKUP(B258,'[2]Summary Table'!$C$2:$G$287,5,0)</f>
        <v>40</v>
      </c>
      <c r="G258" s="57">
        <f>+VLOOKUP(B258,'[2]Summary Table'!$C$2:$J$287,8,0)</f>
        <v>0.61584799999999995</v>
      </c>
    </row>
    <row r="259" spans="1:7">
      <c r="A259" s="53" t="s">
        <v>460</v>
      </c>
      <c r="B259" s="53" t="s">
        <v>477</v>
      </c>
      <c r="C259" s="58" t="s">
        <v>478</v>
      </c>
      <c r="D259" s="53" t="s">
        <v>477</v>
      </c>
      <c r="E259" s="55" t="s">
        <v>524</v>
      </c>
      <c r="F259" s="56">
        <f>+VLOOKUP(B259,'[2]Summary Table'!$C$2:$G$287,5,0)</f>
        <v>40</v>
      </c>
      <c r="G259" s="57">
        <f>+VLOOKUP(B259,'[2]Summary Table'!$C$2:$J$287,8,0)</f>
        <v>0.61584799999999995</v>
      </c>
    </row>
    <row r="260" spans="1:7">
      <c r="A260" s="53" t="s">
        <v>488</v>
      </c>
      <c r="B260" s="53" t="s">
        <v>489</v>
      </c>
      <c r="C260" s="53" t="s">
        <v>490</v>
      </c>
      <c r="D260" s="53" t="s">
        <v>489</v>
      </c>
      <c r="E260" s="55" t="s">
        <v>524</v>
      </c>
      <c r="F260" s="56">
        <f>+VLOOKUP(B260,'[2]Summary Table'!$C$2:$G$287,5,0)</f>
        <v>40</v>
      </c>
      <c r="G260" s="57">
        <f>+VLOOKUP(B260,'[2]Summary Table'!$C$2:$J$287,8,0)</f>
        <v>0.61584799999999995</v>
      </c>
    </row>
    <row r="261" spans="1:7">
      <c r="A261" s="53" t="s">
        <v>488</v>
      </c>
      <c r="B261" s="53" t="s">
        <v>494</v>
      </c>
      <c r="C261" s="53" t="s">
        <v>495</v>
      </c>
      <c r="D261" s="53" t="s">
        <v>494</v>
      </c>
      <c r="E261" s="55" t="s">
        <v>524</v>
      </c>
      <c r="F261" s="56">
        <f>+VLOOKUP(B261,'[2]Summary Table'!$C$2:$G$287,5,0)</f>
        <v>40</v>
      </c>
      <c r="G261" s="57">
        <f>+VLOOKUP(B261,'[2]Summary Table'!$C$2:$J$287,8,0)</f>
        <v>0.61584799999999995</v>
      </c>
    </row>
    <row r="262" spans="1:7">
      <c r="A262" s="53" t="s">
        <v>488</v>
      </c>
      <c r="B262" s="53" t="s">
        <v>496</v>
      </c>
      <c r="C262" s="53" t="s">
        <v>497</v>
      </c>
      <c r="D262" s="53" t="s">
        <v>496</v>
      </c>
      <c r="E262" s="55" t="s">
        <v>524</v>
      </c>
      <c r="F262" s="56">
        <f>+VLOOKUP(B262,'[2]Summary Table'!$C$2:$G$287,5,0)</f>
        <v>40</v>
      </c>
      <c r="G262" s="57">
        <f>+VLOOKUP(B262,'[2]Summary Table'!$C$2:$J$287,8,0)</f>
        <v>0.61584799999999995</v>
      </c>
    </row>
    <row r="263" spans="1:7">
      <c r="A263" s="53" t="s">
        <v>361</v>
      </c>
      <c r="B263" s="53" t="s">
        <v>366</v>
      </c>
      <c r="C263" s="53" t="s">
        <v>367</v>
      </c>
      <c r="D263" s="53" t="s">
        <v>366</v>
      </c>
      <c r="E263" s="55" t="s">
        <v>524</v>
      </c>
      <c r="F263" s="56">
        <f>+VLOOKUP(B263,'[2]Summary Table'!$C$2:$G$287,5,0)</f>
        <v>41</v>
      </c>
      <c r="G263" s="57">
        <f>+VLOOKUP(B263,'[2]Summary Table'!$C$2:$J$287,8,0)</f>
        <v>0.27855099999999999</v>
      </c>
    </row>
    <row r="264" spans="1:7">
      <c r="A264" s="53" t="s">
        <v>361</v>
      </c>
      <c r="B264" s="53" t="s">
        <v>368</v>
      </c>
      <c r="C264" s="53" t="s">
        <v>369</v>
      </c>
      <c r="D264" s="53" t="s">
        <v>368</v>
      </c>
      <c r="E264" s="55" t="s">
        <v>524</v>
      </c>
      <c r="F264" s="56">
        <f>+VLOOKUP(B264,'[2]Summary Table'!$C$2:$G$287,5,0)</f>
        <v>41</v>
      </c>
      <c r="G264" s="57">
        <f>+VLOOKUP(B264,'[2]Summary Table'!$C$2:$J$287,8,0)</f>
        <v>0.27855099999999999</v>
      </c>
    </row>
    <row r="265" spans="1:7">
      <c r="A265" s="53" t="s">
        <v>529</v>
      </c>
      <c r="B265" s="53" t="s">
        <v>201</v>
      </c>
      <c r="C265" s="53" t="s">
        <v>202</v>
      </c>
      <c r="D265" s="53" t="s">
        <v>201</v>
      </c>
      <c r="E265" s="55" t="s">
        <v>524</v>
      </c>
      <c r="F265" s="56">
        <f>+VLOOKUP(B265,'[2]Summary Table'!$C$2:$G$287,5,0)</f>
        <v>42</v>
      </c>
      <c r="G265" s="57">
        <f>+VLOOKUP(B265,'[2]Summary Table'!$C$2:$J$287,8,0)</f>
        <v>0.68679999999999997</v>
      </c>
    </row>
    <row r="266" spans="1:7">
      <c r="A266" s="53" t="s">
        <v>391</v>
      </c>
      <c r="B266" s="53" t="s">
        <v>394</v>
      </c>
      <c r="C266" s="53" t="s">
        <v>395</v>
      </c>
      <c r="D266" s="53" t="s">
        <v>394</v>
      </c>
      <c r="E266" s="55" t="s">
        <v>524</v>
      </c>
      <c r="F266" s="56">
        <f>+VLOOKUP(B266,'[2]Summary Table'!$C$2:$G$287,5,0)</f>
        <v>42</v>
      </c>
      <c r="G266" s="57">
        <f>+VLOOKUP(B266,'[2]Summary Table'!$C$2:$J$287,8,0)</f>
        <v>0.68679999999999997</v>
      </c>
    </row>
    <row r="267" spans="1:7">
      <c r="A267" s="53" t="s">
        <v>531</v>
      </c>
      <c r="B267" s="53" t="s">
        <v>152</v>
      </c>
      <c r="C267" s="53" t="s">
        <v>151</v>
      </c>
      <c r="D267" s="53" t="s">
        <v>152</v>
      </c>
      <c r="E267" s="55" t="s">
        <v>524</v>
      </c>
      <c r="F267" s="56">
        <f>+VLOOKUP(B267,'[2]Summary Table'!$C$2:$G$287,5,0)</f>
        <v>43</v>
      </c>
      <c r="G267" s="57">
        <f>+VLOOKUP(B267,'[2]Summary Table'!$C$2:$J$287,8,0)</f>
        <v>0.50071299999999996</v>
      </c>
    </row>
    <row r="268" spans="1:7">
      <c r="A268" s="53" t="s">
        <v>531</v>
      </c>
      <c r="B268" s="53" t="s">
        <v>150</v>
      </c>
      <c r="C268" s="53" t="s">
        <v>151</v>
      </c>
      <c r="D268" s="53" t="s">
        <v>150</v>
      </c>
      <c r="E268" s="55" t="s">
        <v>524</v>
      </c>
      <c r="F268" s="56">
        <f>+VLOOKUP(B268,'[2]Summary Table'!$C$2:$G$287,5,0)</f>
        <v>43</v>
      </c>
      <c r="G268" s="57">
        <f>+VLOOKUP(B268,'[2]Summary Table'!$C$2:$J$287,8,0)</f>
        <v>0.50071299999999996</v>
      </c>
    </row>
    <row r="269" spans="1:7">
      <c r="A269" s="53" t="s">
        <v>227</v>
      </c>
      <c r="B269" s="53" t="s">
        <v>536</v>
      </c>
      <c r="C269" s="53" t="s">
        <v>249</v>
      </c>
      <c r="D269" s="53" t="s">
        <v>537</v>
      </c>
      <c r="E269" s="55" t="s">
        <v>524</v>
      </c>
      <c r="F269" s="56">
        <f>+VLOOKUP(B269,'[2]Summary Table'!$C$2:$G$287,5,0)</f>
        <v>44</v>
      </c>
      <c r="G269" s="57">
        <f>+VLOOKUP(B269,'[2]Summary Table'!$C$2:$J$287,8,0)</f>
        <v>0.59665358400000001</v>
      </c>
    </row>
    <row r="270" spans="1:7">
      <c r="A270" s="53" t="s">
        <v>227</v>
      </c>
      <c r="B270" s="53" t="s">
        <v>538</v>
      </c>
      <c r="C270" s="53" t="s">
        <v>249</v>
      </c>
      <c r="D270" s="53" t="s">
        <v>537</v>
      </c>
      <c r="E270" s="55" t="s">
        <v>524</v>
      </c>
      <c r="F270" s="56">
        <f>+VLOOKUP(B270,'[2]Summary Table'!$C$2:$G$287,5,0)</f>
        <v>44</v>
      </c>
      <c r="G270" s="57">
        <f>+VLOOKUP(B270,'[2]Summary Table'!$C$2:$J$287,8,0)</f>
        <v>0.59665358400000001</v>
      </c>
    </row>
    <row r="271" spans="1:7">
      <c r="A271" s="53" t="s">
        <v>227</v>
      </c>
      <c r="B271" s="53" t="s">
        <v>244</v>
      </c>
      <c r="C271" s="53" t="s">
        <v>245</v>
      </c>
      <c r="D271" s="53" t="s">
        <v>244</v>
      </c>
      <c r="E271" s="55" t="s">
        <v>524</v>
      </c>
      <c r="F271" s="56">
        <f>+VLOOKUP(B271,'[2]Summary Table'!$C$2:$G$287,5,0)</f>
        <v>44</v>
      </c>
      <c r="G271" s="57">
        <f>+VLOOKUP(B271,'[2]Summary Table'!$C$2:$J$287,8,0)</f>
        <v>0.59665358400000001</v>
      </c>
    </row>
    <row r="272" spans="1:7">
      <c r="A272" s="53" t="s">
        <v>531</v>
      </c>
      <c r="B272" s="53" t="s">
        <v>173</v>
      </c>
      <c r="C272" s="58" t="s">
        <v>174</v>
      </c>
      <c r="D272" s="53" t="s">
        <v>173</v>
      </c>
      <c r="E272" s="55" t="s">
        <v>524</v>
      </c>
      <c r="F272" s="56">
        <f>+VLOOKUP(B272,'[2]Summary Table'!$C$2:$G$287,5,0)</f>
        <v>44</v>
      </c>
      <c r="G272" s="57">
        <f>+VLOOKUP(B272,'[2]Summary Table'!$C$2:$J$287,8,0)</f>
        <v>0.59665358400000001</v>
      </c>
    </row>
    <row r="273" spans="1:7">
      <c r="A273" s="53" t="s">
        <v>531</v>
      </c>
      <c r="B273" s="53" t="s">
        <v>175</v>
      </c>
      <c r="C273" s="58" t="s">
        <v>174</v>
      </c>
      <c r="D273" s="53" t="s">
        <v>175</v>
      </c>
      <c r="E273" s="55" t="s">
        <v>524</v>
      </c>
      <c r="F273" s="56">
        <f>+VLOOKUP(B273,'[2]Summary Table'!$C$2:$G$287,5,0)</f>
        <v>44</v>
      </c>
      <c r="G273" s="57">
        <f>+VLOOKUP(B273,'[2]Summary Table'!$C$2:$J$287,8,0)</f>
        <v>0.59665358400000001</v>
      </c>
    </row>
    <row r="274" spans="1:7">
      <c r="A274" s="53" t="s">
        <v>531</v>
      </c>
      <c r="B274" s="53" t="s">
        <v>176</v>
      </c>
      <c r="C274" s="58" t="s">
        <v>174</v>
      </c>
      <c r="D274" s="53" t="s">
        <v>176</v>
      </c>
      <c r="E274" s="55" t="s">
        <v>524</v>
      </c>
      <c r="F274" s="56">
        <f>+VLOOKUP(B274,'[2]Summary Table'!$C$2:$G$287,5,0)</f>
        <v>44</v>
      </c>
      <c r="G274" s="57">
        <f>+VLOOKUP(B274,'[2]Summary Table'!$C$2:$J$287,8,0)</f>
        <v>0.59665358400000001</v>
      </c>
    </row>
    <row r="275" spans="1:7">
      <c r="A275" s="53" t="s">
        <v>227</v>
      </c>
      <c r="B275" s="53" t="s">
        <v>242</v>
      </c>
      <c r="C275" s="53" t="s">
        <v>243</v>
      </c>
      <c r="D275" s="53" t="s">
        <v>242</v>
      </c>
      <c r="E275" s="55" t="s">
        <v>524</v>
      </c>
      <c r="F275" s="56">
        <f>+VLOOKUP(B275,'[2]Summary Table'!$C$2:$G$287,5,0)</f>
        <v>44</v>
      </c>
      <c r="G275" s="57">
        <f>+VLOOKUP(B275,'[2]Summary Table'!$C$2:$J$287,8,0)</f>
        <v>0.59665358400000001</v>
      </c>
    </row>
    <row r="276" spans="1:7">
      <c r="A276" s="53" t="s">
        <v>312</v>
      </c>
      <c r="B276" s="53" t="s">
        <v>315</v>
      </c>
      <c r="C276" s="53" t="s">
        <v>316</v>
      </c>
      <c r="D276" s="53" t="s">
        <v>315</v>
      </c>
      <c r="E276" s="55" t="s">
        <v>524</v>
      </c>
      <c r="F276" s="56">
        <f>+VLOOKUP(B276,'[2]Summary Table'!$C$2:$G$287,5,0)</f>
        <v>44</v>
      </c>
      <c r="G276" s="57">
        <f>+VLOOKUP(B276,'[2]Summary Table'!$C$2:$J$287,8,0)</f>
        <v>0.59665358400000001</v>
      </c>
    </row>
    <row r="277" spans="1:7">
      <c r="A277" s="53" t="s">
        <v>361</v>
      </c>
      <c r="B277" s="53" t="s">
        <v>364</v>
      </c>
      <c r="C277" s="53" t="s">
        <v>365</v>
      </c>
      <c r="D277" s="53" t="s">
        <v>364</v>
      </c>
      <c r="E277" s="55" t="s">
        <v>524</v>
      </c>
      <c r="F277" s="56">
        <f>+VLOOKUP(B277,'[2]Summary Table'!$C$2:$G$287,5,0)</f>
        <v>44</v>
      </c>
      <c r="G277" s="57">
        <f>+VLOOKUP(B277,'[2]Summary Table'!$C$2:$J$287,8,0)</f>
        <v>0.59665358400000001</v>
      </c>
    </row>
    <row r="278" spans="1:7">
      <c r="A278" s="53" t="s">
        <v>391</v>
      </c>
      <c r="B278" s="53" t="s">
        <v>410</v>
      </c>
      <c r="C278" s="53" t="s">
        <v>411</v>
      </c>
      <c r="D278" s="53" t="s">
        <v>410</v>
      </c>
      <c r="E278" s="55" t="s">
        <v>524</v>
      </c>
      <c r="F278" s="56">
        <f>+VLOOKUP(B278,'[2]Summary Table'!$C$2:$G$287,5,0)</f>
        <v>44</v>
      </c>
      <c r="G278" s="57">
        <f>+VLOOKUP(B278,'[2]Summary Table'!$C$2:$J$287,8,0)</f>
        <v>0.59665358400000001</v>
      </c>
    </row>
    <row r="279" spans="1:7">
      <c r="A279" s="53" t="s">
        <v>523</v>
      </c>
      <c r="B279" s="53" t="s">
        <v>9</v>
      </c>
      <c r="C279" s="53" t="s">
        <v>10</v>
      </c>
      <c r="D279" s="53" t="s">
        <v>9</v>
      </c>
      <c r="E279" s="55" t="s">
        <v>524</v>
      </c>
      <c r="F279" s="56">
        <f>+VLOOKUP(B279,'[2]Summary Table'!$C$2:$G$287,5,0)</f>
        <v>45</v>
      </c>
      <c r="G279" s="57">
        <f>+VLOOKUP(B279,'[2]Summary Table'!$C$2:$J$287,8,0)</f>
        <v>4.6275000000000004</v>
      </c>
    </row>
    <row r="280" spans="1:7">
      <c r="A280" s="53" t="s">
        <v>530</v>
      </c>
      <c r="B280" s="53" t="s">
        <v>91</v>
      </c>
      <c r="C280" s="58" t="s">
        <v>92</v>
      </c>
      <c r="D280" s="53" t="s">
        <v>91</v>
      </c>
      <c r="E280" s="55" t="s">
        <v>524</v>
      </c>
      <c r="F280" s="56">
        <f>+VLOOKUP(B280,'[2]Summary Table'!$C$2:$G$287,5,0)</f>
        <v>45</v>
      </c>
      <c r="G280" s="57">
        <f>+VLOOKUP(B280,'[2]Summary Table'!$C$2:$J$287,8,0)</f>
        <v>4.6275000000000004</v>
      </c>
    </row>
    <row r="281" spans="1:7">
      <c r="A281" s="53" t="s">
        <v>530</v>
      </c>
      <c r="B281" s="53" t="s">
        <v>131</v>
      </c>
      <c r="C281" s="58" t="s">
        <v>132</v>
      </c>
      <c r="D281" s="53" t="s">
        <v>131</v>
      </c>
      <c r="E281" s="55" t="s">
        <v>524</v>
      </c>
      <c r="F281" s="56">
        <f>+VLOOKUP(B281,'[2]Summary Table'!$C$2:$G$287,5,0)</f>
        <v>45</v>
      </c>
      <c r="G281" s="57">
        <f>+VLOOKUP(B281,'[2]Summary Table'!$C$2:$J$287,8,0)</f>
        <v>4.6275000000000004</v>
      </c>
    </row>
    <row r="282" spans="1:7">
      <c r="A282" s="53" t="s">
        <v>227</v>
      </c>
      <c r="B282" s="53" t="s">
        <v>237</v>
      </c>
      <c r="C282" s="53" t="s">
        <v>238</v>
      </c>
      <c r="D282" s="53" t="s">
        <v>237</v>
      </c>
      <c r="E282" s="55" t="s">
        <v>524</v>
      </c>
      <c r="F282" s="56">
        <f>+VLOOKUP(B282,'[2]Summary Table'!$C$2:$G$287,5,0)</f>
        <v>45</v>
      </c>
      <c r="G282" s="57">
        <f>+VLOOKUP(B282,'[2]Summary Table'!$C$2:$J$287,8,0)</f>
        <v>4.6275000000000004</v>
      </c>
    </row>
    <row r="283" spans="1:7">
      <c r="A283" s="53" t="s">
        <v>279</v>
      </c>
      <c r="B283" s="53" t="s">
        <v>282</v>
      </c>
      <c r="C283" s="58" t="s">
        <v>283</v>
      </c>
      <c r="D283" s="53" t="s">
        <v>282</v>
      </c>
      <c r="E283" s="55" t="s">
        <v>524</v>
      </c>
      <c r="F283" s="56">
        <f>+VLOOKUP(B283,'[2]Summary Table'!$C$2:$G$287,5,0)</f>
        <v>45</v>
      </c>
      <c r="G283" s="57">
        <f>+VLOOKUP(B283,'[2]Summary Table'!$C$2:$J$287,8,0)</f>
        <v>4.6275000000000004</v>
      </c>
    </row>
    <row r="284" spans="1:7">
      <c r="A284" s="53" t="s">
        <v>529</v>
      </c>
      <c r="B284" s="53" t="s">
        <v>213</v>
      </c>
      <c r="C284" s="53" t="s">
        <v>214</v>
      </c>
      <c r="D284" s="53" t="s">
        <v>213</v>
      </c>
      <c r="E284" s="55" t="s">
        <v>524</v>
      </c>
      <c r="F284" s="56">
        <f>+VLOOKUP(B284,'[2]Summary Table'!$C$2:$G$287,5,0)</f>
        <v>48</v>
      </c>
      <c r="G284" s="57">
        <f>+VLOOKUP(B284,'[2]Summary Table'!$C$2:$J$287,8,0)</f>
        <v>0.99977837619382837</v>
      </c>
    </row>
    <row r="285" spans="1:7">
      <c r="A285" s="53" t="s">
        <v>523</v>
      </c>
      <c r="B285" s="53" t="s">
        <v>17</v>
      </c>
      <c r="C285" s="53" t="s">
        <v>18</v>
      </c>
      <c r="D285" s="53" t="s">
        <v>17</v>
      </c>
      <c r="E285" s="55" t="s">
        <v>524</v>
      </c>
      <c r="F285" s="56">
        <f>+VLOOKUP(B285,'[2]Summary Table'!$C$2:$G$287,5,0)</f>
        <v>49</v>
      </c>
      <c r="G285" s="57">
        <f>+VLOOKUP(B285,'[2]Summary Table'!$C$2:$J$287,8,0)</f>
        <v>3.4272770499999998</v>
      </c>
    </row>
    <row r="286" spans="1:7">
      <c r="A286" s="53" t="s">
        <v>530</v>
      </c>
      <c r="B286" s="53" t="s">
        <v>129</v>
      </c>
      <c r="C286" s="58" t="s">
        <v>130</v>
      </c>
      <c r="D286" s="53" t="s">
        <v>129</v>
      </c>
      <c r="E286" s="55" t="s">
        <v>524</v>
      </c>
      <c r="F286" s="56">
        <f>+VLOOKUP(B286,'[2]Summary Table'!$C$2:$G$287,5,0)</f>
        <v>50</v>
      </c>
      <c r="G286" s="57">
        <f>+VLOOKUP(B286,'[2]Summary Table'!$C$2:$J$287,8,0)</f>
        <v>1.5950960000000001</v>
      </c>
    </row>
    <row r="287" spans="1:7">
      <c r="A287" s="53" t="s">
        <v>254</v>
      </c>
      <c r="B287" s="53" t="s">
        <v>259</v>
      </c>
      <c r="C287" s="53" t="s">
        <v>260</v>
      </c>
      <c r="D287" s="53" t="s">
        <v>259</v>
      </c>
      <c r="E287" s="55" t="s">
        <v>524</v>
      </c>
      <c r="F287" s="56">
        <f>+VLOOKUP(B287,'[2]Summary Table'!$C$2:$G$287,5,0)</f>
        <v>50</v>
      </c>
      <c r="G287" s="57">
        <f>+VLOOKUP(B287,'[2]Summary Table'!$C$2:$J$287,8,0)</f>
        <v>1.5950960000000001</v>
      </c>
    </row>
  </sheetData>
  <autoFilter ref="A1:G287" xr:uid="{00000000-0009-0000-0000-000002000000}">
    <sortState xmlns:xlrd2="http://schemas.microsoft.com/office/spreadsheetml/2017/richdata2" ref="A2:G287">
      <sortCondition ref="F1:F287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5136-FF17-4127-9CFB-FE3C35C57AD7}">
  <dimension ref="A1:I61"/>
  <sheetViews>
    <sheetView zoomScale="80" zoomScaleNormal="80" workbookViewId="0">
      <selection activeCell="L31" sqref="L31"/>
    </sheetView>
  </sheetViews>
  <sheetFormatPr defaultColWidth="11.42578125" defaultRowHeight="14.45"/>
  <cols>
    <col min="1" max="1" width="32.85546875" bestFit="1" customWidth="1"/>
    <col min="2" max="2" width="7.42578125" style="61" customWidth="1"/>
    <col min="3" max="3" width="10.28515625" style="61" bestFit="1" customWidth="1"/>
    <col min="4" max="4" width="9.7109375" bestFit="1" customWidth="1"/>
    <col min="6" max="6" width="13" style="62" customWidth="1"/>
    <col min="7" max="7" width="12.85546875" bestFit="1" customWidth="1"/>
    <col min="8" max="8" width="20.28515625" style="62" customWidth="1"/>
    <col min="9" max="9" width="11.140625" bestFit="1" customWidth="1"/>
  </cols>
  <sheetData>
    <row r="1" spans="1:9" s="51" customFormat="1" ht="43.5">
      <c r="A1" s="59" t="s">
        <v>539</v>
      </c>
      <c r="B1" s="59" t="s">
        <v>540</v>
      </c>
      <c r="C1" s="59" t="s">
        <v>541</v>
      </c>
      <c r="D1" s="59" t="s">
        <v>542</v>
      </c>
      <c r="E1" s="60" t="s">
        <v>543</v>
      </c>
      <c r="F1" s="60" t="s">
        <v>544</v>
      </c>
      <c r="G1" s="59" t="s">
        <v>522</v>
      </c>
      <c r="H1" s="60" t="s">
        <v>545</v>
      </c>
      <c r="I1" s="59" t="s">
        <v>521</v>
      </c>
    </row>
    <row r="2" spans="1:9">
      <c r="A2" t="s">
        <v>16</v>
      </c>
      <c r="B2" s="63" t="s">
        <v>546</v>
      </c>
      <c r="C2" s="61" t="s">
        <v>547</v>
      </c>
      <c r="E2">
        <v>672</v>
      </c>
      <c r="G2">
        <v>8</v>
      </c>
      <c r="H2" s="62" t="s">
        <v>548</v>
      </c>
    </row>
    <row r="3" spans="1:9">
      <c r="A3" t="s">
        <v>28</v>
      </c>
      <c r="B3" s="63" t="s">
        <v>549</v>
      </c>
      <c r="C3" s="61" t="s">
        <v>547</v>
      </c>
      <c r="E3">
        <v>4032</v>
      </c>
      <c r="G3">
        <v>72</v>
      </c>
      <c r="H3" s="62" t="s">
        <v>548</v>
      </c>
    </row>
    <row r="4" spans="1:9">
      <c r="A4" t="s">
        <v>28</v>
      </c>
      <c r="B4" s="63" t="s">
        <v>550</v>
      </c>
      <c r="C4" s="61" t="s">
        <v>547</v>
      </c>
      <c r="D4" s="61" t="s">
        <v>548</v>
      </c>
      <c r="E4">
        <v>672</v>
      </c>
      <c r="G4">
        <v>8</v>
      </c>
      <c r="H4" s="62" t="s">
        <v>548</v>
      </c>
    </row>
    <row r="5" spans="1:9">
      <c r="A5" t="s">
        <v>37</v>
      </c>
      <c r="B5" s="63" t="s">
        <v>551</v>
      </c>
      <c r="C5" s="61" t="s">
        <v>547</v>
      </c>
      <c r="E5">
        <v>4032</v>
      </c>
      <c r="G5">
        <v>24</v>
      </c>
      <c r="H5" s="62" t="s">
        <v>548</v>
      </c>
    </row>
    <row r="6" spans="1:9">
      <c r="A6" t="s">
        <v>37</v>
      </c>
      <c r="B6" s="63" t="s">
        <v>552</v>
      </c>
      <c r="C6" s="61" t="s">
        <v>547</v>
      </c>
      <c r="D6" s="61" t="s">
        <v>548</v>
      </c>
      <c r="E6">
        <v>8064</v>
      </c>
      <c r="G6">
        <v>60</v>
      </c>
      <c r="H6" s="62" t="s">
        <v>548</v>
      </c>
    </row>
    <row r="7" spans="1:9">
      <c r="A7" t="s">
        <v>23</v>
      </c>
      <c r="B7" s="63" t="s">
        <v>553</v>
      </c>
      <c r="C7" s="61" t="s">
        <v>547</v>
      </c>
      <c r="E7">
        <v>1344</v>
      </c>
      <c r="G7">
        <v>8</v>
      </c>
      <c r="H7" s="62" t="s">
        <v>548</v>
      </c>
    </row>
    <row r="8" spans="1:9">
      <c r="A8" t="s">
        <v>23</v>
      </c>
      <c r="B8" s="63" t="s">
        <v>554</v>
      </c>
      <c r="C8" s="61" t="s">
        <v>547</v>
      </c>
      <c r="D8" s="61" t="s">
        <v>548</v>
      </c>
      <c r="E8">
        <v>8064</v>
      </c>
      <c r="G8">
        <v>48</v>
      </c>
      <c r="H8" s="62" t="s">
        <v>548</v>
      </c>
    </row>
    <row r="9" spans="1:9">
      <c r="A9" t="s">
        <v>555</v>
      </c>
      <c r="B9" s="63" t="s">
        <v>556</v>
      </c>
      <c r="C9" s="61" t="s">
        <v>547</v>
      </c>
      <c r="E9">
        <v>4032</v>
      </c>
      <c r="G9">
        <v>24</v>
      </c>
      <c r="H9" s="62" t="s">
        <v>548</v>
      </c>
    </row>
    <row r="10" spans="1:9">
      <c r="A10" t="s">
        <v>557</v>
      </c>
      <c r="B10" s="63" t="s">
        <v>558</v>
      </c>
      <c r="C10" s="61" t="s">
        <v>547</v>
      </c>
      <c r="E10">
        <v>2016</v>
      </c>
      <c r="G10">
        <v>6</v>
      </c>
      <c r="H10" s="62" t="s">
        <v>548</v>
      </c>
    </row>
    <row r="11" spans="1:9">
      <c r="A11" t="s">
        <v>559</v>
      </c>
      <c r="B11" s="63" t="s">
        <v>560</v>
      </c>
      <c r="C11" s="61" t="s">
        <v>547</v>
      </c>
      <c r="E11">
        <v>4032</v>
      </c>
      <c r="G11">
        <v>24</v>
      </c>
      <c r="H11" s="62" t="s">
        <v>548</v>
      </c>
    </row>
    <row r="12" spans="1:9">
      <c r="A12" t="s">
        <v>561</v>
      </c>
      <c r="B12" s="63" t="s">
        <v>562</v>
      </c>
      <c r="C12" s="61" t="s">
        <v>547</v>
      </c>
      <c r="E12">
        <v>4032</v>
      </c>
      <c r="G12">
        <v>2</v>
      </c>
      <c r="H12" s="62" t="s">
        <v>548</v>
      </c>
    </row>
    <row r="13" spans="1:9">
      <c r="A13" t="s">
        <v>563</v>
      </c>
      <c r="B13" s="63" t="s">
        <v>564</v>
      </c>
      <c r="C13" s="61" t="s">
        <v>547</v>
      </c>
      <c r="E13">
        <v>4032</v>
      </c>
      <c r="G13">
        <v>1</v>
      </c>
      <c r="H13" s="62" t="s">
        <v>548</v>
      </c>
    </row>
    <row r="14" spans="1:9">
      <c r="A14" t="s">
        <v>565</v>
      </c>
      <c r="B14" s="63" t="s">
        <v>566</v>
      </c>
      <c r="C14" s="61" t="s">
        <v>547</v>
      </c>
      <c r="E14">
        <v>4032</v>
      </c>
      <c r="G14">
        <v>8</v>
      </c>
      <c r="H14" s="62" t="s">
        <v>548</v>
      </c>
    </row>
    <row r="15" spans="1:9">
      <c r="A15" t="s">
        <v>567</v>
      </c>
      <c r="B15" s="63" t="s">
        <v>568</v>
      </c>
      <c r="C15" s="61" t="s">
        <v>547</v>
      </c>
      <c r="E15">
        <v>672</v>
      </c>
      <c r="G15">
        <v>6</v>
      </c>
      <c r="H15" s="62" t="s">
        <v>548</v>
      </c>
    </row>
    <row r="16" spans="1:9">
      <c r="A16" t="s">
        <v>569</v>
      </c>
      <c r="B16" s="63" t="s">
        <v>570</v>
      </c>
      <c r="C16" s="61" t="s">
        <v>547</v>
      </c>
      <c r="E16">
        <v>4032</v>
      </c>
      <c r="G16">
        <v>48</v>
      </c>
      <c r="H16" s="62" t="s">
        <v>548</v>
      </c>
    </row>
    <row r="17" spans="1:8">
      <c r="A17" t="s">
        <v>569</v>
      </c>
      <c r="B17" s="63" t="s">
        <v>571</v>
      </c>
      <c r="C17" s="61" t="s">
        <v>547</v>
      </c>
      <c r="D17" s="61" t="s">
        <v>548</v>
      </c>
      <c r="E17">
        <v>672</v>
      </c>
      <c r="G17">
        <v>6</v>
      </c>
      <c r="H17" s="62" t="s">
        <v>548</v>
      </c>
    </row>
    <row r="18" spans="1:8">
      <c r="A18" t="s">
        <v>572</v>
      </c>
      <c r="B18" s="63" t="s">
        <v>573</v>
      </c>
      <c r="C18" s="61" t="s">
        <v>547</v>
      </c>
      <c r="E18">
        <v>2016</v>
      </c>
      <c r="G18">
        <v>5</v>
      </c>
      <c r="H18" s="62" t="s">
        <v>548</v>
      </c>
    </row>
    <row r="19" spans="1:8">
      <c r="A19" t="s">
        <v>572</v>
      </c>
      <c r="B19" s="63" t="s">
        <v>574</v>
      </c>
      <c r="C19" s="61" t="s">
        <v>547</v>
      </c>
      <c r="D19" s="61" t="s">
        <v>548</v>
      </c>
      <c r="E19">
        <v>672</v>
      </c>
      <c r="G19">
        <v>3</v>
      </c>
      <c r="H19" s="62" t="s">
        <v>548</v>
      </c>
    </row>
    <row r="20" spans="1:8">
      <c r="A20" t="s">
        <v>575</v>
      </c>
      <c r="B20" s="63" t="s">
        <v>576</v>
      </c>
      <c r="C20" s="61" t="s">
        <v>547</v>
      </c>
      <c r="E20">
        <v>2016</v>
      </c>
      <c r="G20">
        <v>6</v>
      </c>
      <c r="H20" s="62" t="s">
        <v>548</v>
      </c>
    </row>
    <row r="21" spans="1:8">
      <c r="A21" t="s">
        <v>577</v>
      </c>
      <c r="B21" s="63" t="s">
        <v>578</v>
      </c>
      <c r="C21" s="61" t="s">
        <v>547</v>
      </c>
      <c r="E21">
        <v>672</v>
      </c>
      <c r="G21">
        <v>6</v>
      </c>
      <c r="H21" s="62" t="s">
        <v>548</v>
      </c>
    </row>
    <row r="22" spans="1:8">
      <c r="A22" t="s">
        <v>579</v>
      </c>
      <c r="B22" s="63" t="s">
        <v>580</v>
      </c>
      <c r="C22" s="61" t="s">
        <v>547</v>
      </c>
      <c r="E22">
        <v>20160</v>
      </c>
      <c r="G22">
        <v>60</v>
      </c>
      <c r="H22" s="62" t="s">
        <v>548</v>
      </c>
    </row>
    <row r="23" spans="1:8">
      <c r="A23" t="s">
        <v>581</v>
      </c>
      <c r="B23" s="63" t="s">
        <v>582</v>
      </c>
      <c r="C23" s="61" t="s">
        <v>547</v>
      </c>
      <c r="E23">
        <v>20160</v>
      </c>
      <c r="G23">
        <v>60</v>
      </c>
      <c r="H23" s="62" t="s">
        <v>548</v>
      </c>
    </row>
    <row r="24" spans="1:8">
      <c r="A24" t="s">
        <v>583</v>
      </c>
      <c r="B24" s="63" t="s">
        <v>584</v>
      </c>
      <c r="C24" s="61" t="s">
        <v>547</v>
      </c>
      <c r="E24">
        <v>4032</v>
      </c>
      <c r="G24">
        <v>24</v>
      </c>
      <c r="H24" s="62" t="s">
        <v>548</v>
      </c>
    </row>
    <row r="25" spans="1:8">
      <c r="A25" t="s">
        <v>583</v>
      </c>
      <c r="B25" s="63" t="s">
        <v>585</v>
      </c>
      <c r="C25" s="61" t="s">
        <v>547</v>
      </c>
      <c r="D25" s="61" t="s">
        <v>548</v>
      </c>
      <c r="E25">
        <v>8064</v>
      </c>
      <c r="G25">
        <v>48</v>
      </c>
      <c r="H25" s="62" t="s">
        <v>548</v>
      </c>
    </row>
    <row r="26" spans="1:8">
      <c r="A26" t="s">
        <v>586</v>
      </c>
      <c r="B26" s="63" t="s">
        <v>587</v>
      </c>
      <c r="C26" s="61" t="s">
        <v>588</v>
      </c>
      <c r="E26">
        <v>730</v>
      </c>
      <c r="F26" s="62" t="s">
        <v>548</v>
      </c>
      <c r="G26">
        <v>1</v>
      </c>
    </row>
    <row r="27" spans="1:8">
      <c r="A27" t="s">
        <v>589</v>
      </c>
      <c r="B27" s="63" t="s">
        <v>590</v>
      </c>
      <c r="C27" s="61" t="s">
        <v>547</v>
      </c>
      <c r="E27">
        <v>4032</v>
      </c>
      <c r="G27">
        <v>3</v>
      </c>
      <c r="H27" s="62" t="s">
        <v>548</v>
      </c>
    </row>
    <row r="28" spans="1:8">
      <c r="A28" t="s">
        <v>591</v>
      </c>
      <c r="B28" s="63" t="s">
        <v>592</v>
      </c>
      <c r="C28" s="61" t="s">
        <v>547</v>
      </c>
      <c r="E28">
        <v>4032</v>
      </c>
      <c r="G28">
        <v>4</v>
      </c>
      <c r="H28" s="62" t="s">
        <v>548</v>
      </c>
    </row>
    <row r="29" spans="1:8">
      <c r="A29" t="s">
        <v>593</v>
      </c>
      <c r="B29" s="63" t="s">
        <v>594</v>
      </c>
      <c r="C29" s="61" t="s">
        <v>547</v>
      </c>
      <c r="E29">
        <v>672</v>
      </c>
      <c r="G29">
        <v>12</v>
      </c>
      <c r="H29" s="62" t="s">
        <v>548</v>
      </c>
    </row>
    <row r="30" spans="1:8">
      <c r="A30" t="s">
        <v>595</v>
      </c>
      <c r="B30" s="63" t="s">
        <v>596</v>
      </c>
      <c r="C30" s="61" t="s">
        <v>547</v>
      </c>
      <c r="E30">
        <v>2016</v>
      </c>
      <c r="G30">
        <v>4</v>
      </c>
      <c r="H30" s="62" t="s">
        <v>548</v>
      </c>
    </row>
    <row r="31" spans="1:8">
      <c r="A31" t="s">
        <v>597</v>
      </c>
      <c r="B31" s="63" t="s">
        <v>598</v>
      </c>
      <c r="C31" s="61" t="s">
        <v>547</v>
      </c>
      <c r="E31">
        <v>4032</v>
      </c>
      <c r="G31">
        <v>4</v>
      </c>
      <c r="H31" s="62" t="s">
        <v>548</v>
      </c>
    </row>
    <row r="32" spans="1:8">
      <c r="A32" t="s">
        <v>599</v>
      </c>
      <c r="B32" s="63" t="s">
        <v>600</v>
      </c>
      <c r="C32" s="61" t="s">
        <v>547</v>
      </c>
      <c r="E32">
        <v>4032</v>
      </c>
      <c r="G32">
        <v>4</v>
      </c>
      <c r="H32" s="62" t="s">
        <v>548</v>
      </c>
    </row>
    <row r="33" spans="1:8">
      <c r="A33" t="s">
        <v>601</v>
      </c>
      <c r="B33" s="63" t="s">
        <v>602</v>
      </c>
      <c r="C33" s="61" t="s">
        <v>547</v>
      </c>
      <c r="E33">
        <v>2016</v>
      </c>
      <c r="G33">
        <v>2</v>
      </c>
      <c r="H33" s="62" t="s">
        <v>548</v>
      </c>
    </row>
    <row r="34" spans="1:8">
      <c r="A34" t="s">
        <v>603</v>
      </c>
      <c r="B34" s="63" t="s">
        <v>604</v>
      </c>
      <c r="C34" s="61" t="s">
        <v>547</v>
      </c>
      <c r="E34">
        <v>2016</v>
      </c>
      <c r="G34">
        <v>2</v>
      </c>
      <c r="H34" s="62" t="s">
        <v>548</v>
      </c>
    </row>
    <row r="35" spans="1:8">
      <c r="A35" t="s">
        <v>605</v>
      </c>
      <c r="B35" s="63" t="s">
        <v>606</v>
      </c>
      <c r="C35" s="61" t="s">
        <v>547</v>
      </c>
      <c r="E35">
        <v>2016</v>
      </c>
      <c r="G35">
        <v>2</v>
      </c>
      <c r="H35" s="62" t="s">
        <v>548</v>
      </c>
    </row>
    <row r="36" spans="1:8">
      <c r="A36" t="s">
        <v>603</v>
      </c>
      <c r="B36" s="63" t="s">
        <v>607</v>
      </c>
      <c r="C36" s="61" t="s">
        <v>547</v>
      </c>
      <c r="E36">
        <v>2016</v>
      </c>
      <c r="G36">
        <v>2</v>
      </c>
      <c r="H36" s="62" t="s">
        <v>548</v>
      </c>
    </row>
    <row r="37" spans="1:8">
      <c r="A37" t="s">
        <v>608</v>
      </c>
      <c r="B37" s="63" t="s">
        <v>609</v>
      </c>
      <c r="C37" s="61" t="s">
        <v>547</v>
      </c>
      <c r="E37">
        <v>4032</v>
      </c>
      <c r="G37">
        <v>4</v>
      </c>
      <c r="H37" s="62" t="s">
        <v>548</v>
      </c>
    </row>
    <row r="38" spans="1:8">
      <c r="A38" t="s">
        <v>605</v>
      </c>
      <c r="B38" s="63" t="s">
        <v>610</v>
      </c>
      <c r="C38" s="61" t="s">
        <v>547</v>
      </c>
      <c r="E38">
        <v>2016</v>
      </c>
      <c r="G38">
        <v>2</v>
      </c>
      <c r="H38" s="62" t="s">
        <v>548</v>
      </c>
    </row>
    <row r="39" spans="1:8">
      <c r="A39" t="s">
        <v>611</v>
      </c>
      <c r="B39" s="63" t="s">
        <v>612</v>
      </c>
      <c r="C39" s="61" t="s">
        <v>547</v>
      </c>
      <c r="E39">
        <v>4032</v>
      </c>
      <c r="G39">
        <v>5</v>
      </c>
      <c r="H39" s="62" t="s">
        <v>548</v>
      </c>
    </row>
    <row r="40" spans="1:8">
      <c r="A40" t="s">
        <v>613</v>
      </c>
      <c r="B40" s="63" t="s">
        <v>614</v>
      </c>
      <c r="C40" s="61" t="s">
        <v>547</v>
      </c>
      <c r="E40">
        <v>4032</v>
      </c>
      <c r="G40">
        <v>5</v>
      </c>
      <c r="H40" s="62" t="s">
        <v>548</v>
      </c>
    </row>
    <row r="41" spans="1:8">
      <c r="A41" t="s">
        <v>615</v>
      </c>
      <c r="B41" s="63" t="s">
        <v>616</v>
      </c>
      <c r="C41" s="61" t="s">
        <v>547</v>
      </c>
      <c r="E41">
        <v>4032</v>
      </c>
      <c r="G41">
        <v>4</v>
      </c>
      <c r="H41" s="62" t="s">
        <v>548</v>
      </c>
    </row>
    <row r="42" spans="1:8">
      <c r="A42" t="s">
        <v>617</v>
      </c>
      <c r="B42" s="63" t="s">
        <v>618</v>
      </c>
      <c r="C42" s="61" t="s">
        <v>547</v>
      </c>
      <c r="E42">
        <v>4032</v>
      </c>
      <c r="G42">
        <v>4</v>
      </c>
      <c r="H42" s="62" t="s">
        <v>548</v>
      </c>
    </row>
    <row r="43" spans="1:8">
      <c r="A43" t="s">
        <v>619</v>
      </c>
      <c r="B43" s="63" t="s">
        <v>620</v>
      </c>
      <c r="C43" s="61" t="s">
        <v>547</v>
      </c>
      <c r="E43">
        <v>2016</v>
      </c>
      <c r="G43">
        <v>2</v>
      </c>
      <c r="H43" s="62" t="s">
        <v>548</v>
      </c>
    </row>
    <row r="44" spans="1:8">
      <c r="A44" t="s">
        <v>621</v>
      </c>
      <c r="B44" s="63" t="s">
        <v>622</v>
      </c>
      <c r="C44" s="61" t="s">
        <v>547</v>
      </c>
      <c r="E44">
        <v>4032</v>
      </c>
      <c r="G44">
        <v>6</v>
      </c>
      <c r="H44" s="62" t="s">
        <v>548</v>
      </c>
    </row>
    <row r="45" spans="1:8">
      <c r="A45" t="s">
        <v>623</v>
      </c>
      <c r="B45" s="63" t="s">
        <v>624</v>
      </c>
      <c r="C45" s="61" t="s">
        <v>547</v>
      </c>
      <c r="E45">
        <v>4032</v>
      </c>
      <c r="G45">
        <v>3</v>
      </c>
      <c r="H45" s="62" t="s">
        <v>548</v>
      </c>
    </row>
    <row r="46" spans="1:8">
      <c r="A46" t="s">
        <v>625</v>
      </c>
      <c r="B46" s="63" t="s">
        <v>626</v>
      </c>
      <c r="C46" s="61" t="s">
        <v>547</v>
      </c>
      <c r="E46">
        <v>4032</v>
      </c>
      <c r="G46">
        <v>6</v>
      </c>
      <c r="H46" s="62" t="s">
        <v>548</v>
      </c>
    </row>
    <row r="47" spans="1:8">
      <c r="A47" t="s">
        <v>593</v>
      </c>
      <c r="B47" s="63" t="s">
        <v>627</v>
      </c>
      <c r="C47" s="61" t="s">
        <v>547</v>
      </c>
      <c r="E47">
        <v>672</v>
      </c>
      <c r="G47">
        <v>12</v>
      </c>
      <c r="H47" s="62" t="s">
        <v>548</v>
      </c>
    </row>
    <row r="48" spans="1:8">
      <c r="A48" t="s">
        <v>628</v>
      </c>
      <c r="B48" s="63" t="s">
        <v>629</v>
      </c>
      <c r="C48" s="61" t="s">
        <v>547</v>
      </c>
      <c r="E48">
        <v>4032</v>
      </c>
      <c r="G48">
        <v>3</v>
      </c>
      <c r="H48" s="62" t="s">
        <v>548</v>
      </c>
    </row>
    <row r="49" spans="1:8">
      <c r="A49" t="s">
        <v>630</v>
      </c>
      <c r="B49" s="63" t="s">
        <v>631</v>
      </c>
      <c r="C49" s="61" t="s">
        <v>547</v>
      </c>
      <c r="E49">
        <v>2016</v>
      </c>
      <c r="G49">
        <v>4</v>
      </c>
      <c r="H49" s="62" t="s">
        <v>548</v>
      </c>
    </row>
    <row r="50" spans="1:8">
      <c r="A50" t="s">
        <v>632</v>
      </c>
      <c r="B50" s="63" t="s">
        <v>633</v>
      </c>
      <c r="C50" s="61" t="s">
        <v>547</v>
      </c>
      <c r="E50">
        <v>8064</v>
      </c>
      <c r="G50">
        <v>12</v>
      </c>
      <c r="H50" s="62" t="s">
        <v>548</v>
      </c>
    </row>
    <row r="51" spans="1:8">
      <c r="A51" t="s">
        <v>634</v>
      </c>
      <c r="B51" s="63" t="s">
        <v>635</v>
      </c>
      <c r="C51" s="61" t="s">
        <v>547</v>
      </c>
      <c r="E51">
        <v>4032</v>
      </c>
      <c r="G51">
        <v>1</v>
      </c>
      <c r="H51" s="62" t="s">
        <v>548</v>
      </c>
    </row>
    <row r="52" spans="1:8">
      <c r="A52" t="s">
        <v>636</v>
      </c>
      <c r="B52" s="63" t="s">
        <v>637</v>
      </c>
      <c r="C52" s="61" t="s">
        <v>547</v>
      </c>
      <c r="E52">
        <v>8064</v>
      </c>
      <c r="G52">
        <v>24</v>
      </c>
      <c r="H52" s="62" t="s">
        <v>548</v>
      </c>
    </row>
    <row r="53" spans="1:8">
      <c r="A53" t="s">
        <v>638</v>
      </c>
      <c r="B53" s="63" t="s">
        <v>639</v>
      </c>
      <c r="C53" s="61" t="s">
        <v>547</v>
      </c>
      <c r="E53">
        <v>2016</v>
      </c>
      <c r="G53">
        <v>2</v>
      </c>
      <c r="H53" s="62" t="s">
        <v>548</v>
      </c>
    </row>
    <row r="54" spans="1:8">
      <c r="A54" t="s">
        <v>640</v>
      </c>
      <c r="B54" s="63" t="s">
        <v>641</v>
      </c>
      <c r="C54" s="61" t="s">
        <v>547</v>
      </c>
      <c r="E54">
        <v>2016</v>
      </c>
      <c r="G54">
        <v>12</v>
      </c>
      <c r="H54" s="62" t="s">
        <v>548</v>
      </c>
    </row>
    <row r="55" spans="1:8">
      <c r="A55" t="s">
        <v>597</v>
      </c>
      <c r="B55" s="63" t="s">
        <v>642</v>
      </c>
      <c r="C55" s="61" t="s">
        <v>547</v>
      </c>
      <c r="E55">
        <v>4032</v>
      </c>
      <c r="G55">
        <v>4</v>
      </c>
      <c r="H55" s="62" t="s">
        <v>548</v>
      </c>
    </row>
    <row r="56" spans="1:8">
      <c r="A56" t="s">
        <v>643</v>
      </c>
      <c r="B56" s="63" t="s">
        <v>644</v>
      </c>
      <c r="C56" s="61" t="s">
        <v>547</v>
      </c>
      <c r="E56">
        <v>2016</v>
      </c>
      <c r="G56">
        <v>2</v>
      </c>
      <c r="H56" s="62" t="s">
        <v>548</v>
      </c>
    </row>
    <row r="57" spans="1:8">
      <c r="A57" t="s">
        <v>645</v>
      </c>
      <c r="B57" s="63" t="s">
        <v>646</v>
      </c>
      <c r="C57" s="61" t="s">
        <v>547</v>
      </c>
      <c r="E57">
        <v>672</v>
      </c>
      <c r="G57">
        <v>12</v>
      </c>
      <c r="H57" s="62" t="s">
        <v>548</v>
      </c>
    </row>
    <row r="58" spans="1:8">
      <c r="A58" t="s">
        <v>647</v>
      </c>
      <c r="B58" s="63" t="s">
        <v>648</v>
      </c>
      <c r="C58" s="61" t="s">
        <v>547</v>
      </c>
      <c r="E58">
        <v>672</v>
      </c>
      <c r="G58">
        <v>8</v>
      </c>
      <c r="H58" s="62" t="s">
        <v>548</v>
      </c>
    </row>
    <row r="59" spans="1:8">
      <c r="A59" t="s">
        <v>649</v>
      </c>
      <c r="B59" s="63" t="s">
        <v>650</v>
      </c>
      <c r="C59" s="61" t="s">
        <v>547</v>
      </c>
      <c r="E59">
        <v>4032</v>
      </c>
      <c r="G59">
        <v>8</v>
      </c>
      <c r="H59" s="62" t="s">
        <v>548</v>
      </c>
    </row>
    <row r="60" spans="1:8">
      <c r="A60" t="s">
        <v>651</v>
      </c>
      <c r="B60" s="63" t="s">
        <v>652</v>
      </c>
      <c r="C60" s="61" t="s">
        <v>547</v>
      </c>
      <c r="E60">
        <v>672</v>
      </c>
      <c r="G60">
        <v>0.5</v>
      </c>
      <c r="H60" s="62" t="s">
        <v>548</v>
      </c>
    </row>
    <row r="61" spans="1:8">
      <c r="A61" t="s">
        <v>653</v>
      </c>
      <c r="B61" s="63" t="s">
        <v>654</v>
      </c>
      <c r="C61" s="61" t="s">
        <v>547</v>
      </c>
      <c r="E61">
        <v>4380</v>
      </c>
      <c r="G61">
        <v>0.5</v>
      </c>
      <c r="H61" s="62" t="s">
        <v>548</v>
      </c>
    </row>
  </sheetData>
  <autoFilter ref="A1:H61" xr:uid="{BB2D4120-2DB1-4E86-B25C-922707A4148B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6"/>
  <sheetViews>
    <sheetView zoomScale="80" zoomScaleNormal="80" workbookViewId="0">
      <selection activeCell="A176" sqref="A176"/>
    </sheetView>
  </sheetViews>
  <sheetFormatPr defaultColWidth="9.140625" defaultRowHeight="14.45"/>
  <cols>
    <col min="1" max="1" width="33.7109375" style="32" customWidth="1"/>
    <col min="2" max="2" width="245.28515625" style="32" bestFit="1" customWidth="1"/>
    <col min="3" max="16384" width="9.140625" style="32"/>
  </cols>
  <sheetData>
    <row r="1" spans="1:2">
      <c r="A1" s="31" t="s">
        <v>655</v>
      </c>
      <c r="B1" s="31" t="s">
        <v>656</v>
      </c>
    </row>
    <row r="2" spans="1:2" ht="15" customHeight="1">
      <c r="A2" s="33" t="s">
        <v>189</v>
      </c>
      <c r="B2" s="33" t="s">
        <v>657</v>
      </c>
    </row>
    <row r="3" spans="1:2" ht="15" customHeight="1">
      <c r="A3" s="33" t="s">
        <v>187</v>
      </c>
      <c r="B3" s="33" t="s">
        <v>658</v>
      </c>
    </row>
    <row r="4" spans="1:2" ht="15" customHeight="1">
      <c r="A4" s="33" t="s">
        <v>435</v>
      </c>
      <c r="B4" s="33" t="s">
        <v>659</v>
      </c>
    </row>
    <row r="5" spans="1:2" ht="15" customHeight="1">
      <c r="A5" s="33" t="s">
        <v>660</v>
      </c>
      <c r="B5" s="34" t="s">
        <v>661</v>
      </c>
    </row>
    <row r="6" spans="1:2" ht="15" customHeight="1">
      <c r="A6" s="33" t="s">
        <v>428</v>
      </c>
      <c r="B6" s="34" t="s">
        <v>662</v>
      </c>
    </row>
    <row r="7" spans="1:2" ht="15" customHeight="1">
      <c r="A7" s="33" t="s">
        <v>663</v>
      </c>
      <c r="B7" s="34" t="s">
        <v>662</v>
      </c>
    </row>
    <row r="8" spans="1:2" ht="15" customHeight="1">
      <c r="A8" s="33" t="s">
        <v>431</v>
      </c>
      <c r="B8" s="48" t="s">
        <v>664</v>
      </c>
    </row>
    <row r="9" spans="1:2" ht="15" customHeight="1">
      <c r="A9" s="33" t="s">
        <v>615</v>
      </c>
      <c r="B9" s="34" t="s">
        <v>665</v>
      </c>
    </row>
    <row r="10" spans="1:2" ht="15" customHeight="1">
      <c r="A10" s="33" t="s">
        <v>23</v>
      </c>
      <c r="B10" s="48" t="s">
        <v>666</v>
      </c>
    </row>
    <row r="11" spans="1:2" ht="15" customHeight="1">
      <c r="A11" s="35" t="s">
        <v>667</v>
      </c>
      <c r="B11" s="34" t="s">
        <v>668</v>
      </c>
    </row>
    <row r="12" spans="1:2" ht="15" customHeight="1">
      <c r="A12" s="33" t="s">
        <v>182</v>
      </c>
      <c r="B12" s="33" t="s">
        <v>657</v>
      </c>
    </row>
    <row r="13" spans="1:2" ht="15" customHeight="1">
      <c r="A13" s="36" t="s">
        <v>184</v>
      </c>
      <c r="B13" s="33" t="s">
        <v>657</v>
      </c>
    </row>
    <row r="14" spans="1:2" ht="15" customHeight="1">
      <c r="A14" s="33" t="s">
        <v>180</v>
      </c>
      <c r="B14" s="34" t="s">
        <v>669</v>
      </c>
    </row>
    <row r="15" spans="1:2" ht="15" customHeight="1">
      <c r="A15" s="33" t="s">
        <v>214</v>
      </c>
      <c r="B15" s="34" t="s">
        <v>670</v>
      </c>
    </row>
    <row r="16" spans="1:2" ht="15" customHeight="1">
      <c r="A16" s="33" t="s">
        <v>208</v>
      </c>
      <c r="B16" s="33" t="s">
        <v>659</v>
      </c>
    </row>
    <row r="17" spans="1:2" ht="15" customHeight="1">
      <c r="A17" s="33" t="s">
        <v>217</v>
      </c>
      <c r="B17" s="34" t="s">
        <v>669</v>
      </c>
    </row>
    <row r="18" spans="1:2" ht="15" customHeight="1">
      <c r="A18" s="33" t="s">
        <v>221</v>
      </c>
      <c r="B18" s="33" t="s">
        <v>664</v>
      </c>
    </row>
    <row r="19" spans="1:2" ht="15" customHeight="1">
      <c r="A19" s="33" t="s">
        <v>223</v>
      </c>
      <c r="B19" s="34" t="s">
        <v>669</v>
      </c>
    </row>
    <row r="20" spans="1:2" ht="15" customHeight="1">
      <c r="A20" s="33" t="s">
        <v>219</v>
      </c>
      <c r="B20" s="33" t="s">
        <v>657</v>
      </c>
    </row>
    <row r="21" spans="1:2" ht="15" customHeight="1">
      <c r="A21" s="33" t="s">
        <v>212</v>
      </c>
      <c r="B21" s="33" t="s">
        <v>671</v>
      </c>
    </row>
    <row r="22" spans="1:2" ht="15" customHeight="1">
      <c r="A22" s="33" t="s">
        <v>204</v>
      </c>
      <c r="B22" s="33" t="s">
        <v>672</v>
      </c>
    </row>
    <row r="23" spans="1:2" ht="15" customHeight="1">
      <c r="A23" s="33" t="s">
        <v>499</v>
      </c>
      <c r="B23" s="34" t="s">
        <v>669</v>
      </c>
    </row>
    <row r="24" spans="1:2" ht="15" customHeight="1">
      <c r="A24" s="33" t="s">
        <v>112</v>
      </c>
      <c r="B24" s="33" t="s">
        <v>673</v>
      </c>
    </row>
    <row r="25" spans="1:2" ht="15" customHeight="1">
      <c r="A25" s="33" t="s">
        <v>73</v>
      </c>
      <c r="B25" s="33" t="s">
        <v>657</v>
      </c>
    </row>
    <row r="26" spans="1:2" ht="15" customHeight="1">
      <c r="A26" s="33" t="s">
        <v>75</v>
      </c>
      <c r="B26" s="33" t="s">
        <v>657</v>
      </c>
    </row>
    <row r="27" spans="1:2" ht="15" customHeight="1">
      <c r="A27" s="37" t="s">
        <v>92</v>
      </c>
      <c r="B27" s="33" t="s">
        <v>674</v>
      </c>
    </row>
    <row r="28" spans="1:2" ht="15" customHeight="1">
      <c r="A28" s="33" t="s">
        <v>103</v>
      </c>
      <c r="B28" s="34" t="s">
        <v>669</v>
      </c>
    </row>
    <row r="29" spans="1:2" ht="15" customHeight="1">
      <c r="A29" s="33" t="s">
        <v>94</v>
      </c>
      <c r="B29" s="34" t="s">
        <v>669</v>
      </c>
    </row>
    <row r="30" spans="1:2" ht="15" customHeight="1">
      <c r="A30" s="33" t="s">
        <v>476</v>
      </c>
      <c r="B30" s="33" t="s">
        <v>657</v>
      </c>
    </row>
    <row r="31" spans="1:2" ht="15" customHeight="1">
      <c r="A31" s="33" t="s">
        <v>478</v>
      </c>
      <c r="B31" s="33" t="s">
        <v>657</v>
      </c>
    </row>
    <row r="32" spans="1:2" ht="15" customHeight="1">
      <c r="A32" s="33" t="s">
        <v>474</v>
      </c>
      <c r="B32" s="34" t="s">
        <v>669</v>
      </c>
    </row>
    <row r="33" spans="1:2" ht="15" customHeight="1">
      <c r="A33" s="33" t="s">
        <v>145</v>
      </c>
      <c r="B33" s="48" t="s">
        <v>675</v>
      </c>
    </row>
    <row r="34" spans="1:2" ht="15" customHeight="1">
      <c r="A34" s="33" t="s">
        <v>276</v>
      </c>
      <c r="B34" s="33" t="s">
        <v>657</v>
      </c>
    </row>
    <row r="35" spans="1:2" ht="15" customHeight="1">
      <c r="A35" s="33" t="s">
        <v>278</v>
      </c>
      <c r="B35" s="33" t="s">
        <v>657</v>
      </c>
    </row>
    <row r="36" spans="1:2" ht="15" customHeight="1">
      <c r="A36" s="33" t="s">
        <v>167</v>
      </c>
      <c r="B36" s="33" t="s">
        <v>657</v>
      </c>
    </row>
    <row r="37" spans="1:2" ht="15" customHeight="1">
      <c r="A37" s="33" t="s">
        <v>165</v>
      </c>
      <c r="B37" s="34" t="s">
        <v>669</v>
      </c>
    </row>
    <row r="38" spans="1:2" ht="15" customHeight="1">
      <c r="A38" s="33" t="s">
        <v>232</v>
      </c>
      <c r="B38" s="33" t="s">
        <v>676</v>
      </c>
    </row>
    <row r="39" spans="1:2" ht="15" customHeight="1">
      <c r="A39" s="33" t="s">
        <v>440</v>
      </c>
      <c r="B39" s="33" t="s">
        <v>677</v>
      </c>
    </row>
    <row r="40" spans="1:2" ht="15" customHeight="1">
      <c r="A40" s="33" t="s">
        <v>18</v>
      </c>
      <c r="B40" s="33" t="s">
        <v>678</v>
      </c>
    </row>
    <row r="41" spans="1:2" ht="15" customHeight="1">
      <c r="A41" s="33" t="s">
        <v>409</v>
      </c>
      <c r="B41" s="33" t="s">
        <v>679</v>
      </c>
    </row>
    <row r="42" spans="1:2" ht="15" customHeight="1">
      <c r="A42" s="33" t="s">
        <v>413</v>
      </c>
      <c r="B42" s="34" t="s">
        <v>669</v>
      </c>
    </row>
    <row r="43" spans="1:2" ht="15" customHeight="1">
      <c r="A43" s="33" t="s">
        <v>421</v>
      </c>
      <c r="B43" s="33" t="s">
        <v>657</v>
      </c>
    </row>
    <row r="44" spans="1:2" ht="15" customHeight="1">
      <c r="A44" s="33" t="s">
        <v>423</v>
      </c>
      <c r="B44" s="33" t="s">
        <v>657</v>
      </c>
    </row>
    <row r="45" spans="1:2" ht="15" customHeight="1">
      <c r="A45" s="33" t="s">
        <v>411</v>
      </c>
      <c r="B45" s="33" t="s">
        <v>680</v>
      </c>
    </row>
    <row r="46" spans="1:2" ht="15" customHeight="1">
      <c r="A46" s="33" t="s">
        <v>415</v>
      </c>
      <c r="B46" s="34" t="s">
        <v>681</v>
      </c>
    </row>
    <row r="47" spans="1:2" ht="15" customHeight="1">
      <c r="A47" s="33" t="s">
        <v>417</v>
      </c>
      <c r="B47" s="33" t="s">
        <v>657</v>
      </c>
    </row>
    <row r="48" spans="1:2" ht="15" customHeight="1">
      <c r="A48" s="33" t="s">
        <v>258</v>
      </c>
      <c r="B48" s="34" t="s">
        <v>669</v>
      </c>
    </row>
    <row r="49" spans="1:2" ht="15" customHeight="1">
      <c r="A49" s="33" t="s">
        <v>256</v>
      </c>
      <c r="B49" s="34" t="s">
        <v>681</v>
      </c>
    </row>
    <row r="50" spans="1:2" ht="15" customHeight="1">
      <c r="A50" s="33" t="s">
        <v>355</v>
      </c>
      <c r="B50" s="34" t="s">
        <v>669</v>
      </c>
    </row>
    <row r="51" spans="1:2" ht="15" customHeight="1">
      <c r="A51" s="33" t="s">
        <v>349</v>
      </c>
      <c r="B51" s="34" t="s">
        <v>669</v>
      </c>
    </row>
    <row r="52" spans="1:2" ht="15" customHeight="1">
      <c r="A52" s="33" t="s">
        <v>358</v>
      </c>
      <c r="B52" s="33" t="s">
        <v>657</v>
      </c>
    </row>
    <row r="53" spans="1:2" ht="15" customHeight="1">
      <c r="A53" s="33" t="s">
        <v>351</v>
      </c>
      <c r="B53" s="34" t="s">
        <v>681</v>
      </c>
    </row>
    <row r="54" spans="1:2" ht="15" customHeight="1">
      <c r="A54" s="33" t="s">
        <v>353</v>
      </c>
      <c r="B54" s="32" t="s">
        <v>657</v>
      </c>
    </row>
    <row r="55" spans="1:2" ht="15" customHeight="1">
      <c r="A55" s="33" t="s">
        <v>30</v>
      </c>
      <c r="B55" s="33" t="s">
        <v>674</v>
      </c>
    </row>
    <row r="56" spans="1:2" ht="15" customHeight="1">
      <c r="A56" s="33" t="s">
        <v>32</v>
      </c>
      <c r="B56" s="49" t="s">
        <v>682</v>
      </c>
    </row>
    <row r="57" spans="1:2" ht="15" customHeight="1">
      <c r="A57" s="33" t="s">
        <v>149</v>
      </c>
      <c r="B57" s="33" t="s">
        <v>659</v>
      </c>
    </row>
    <row r="58" spans="1:2" ht="15" customHeight="1">
      <c r="A58" s="33" t="s">
        <v>260</v>
      </c>
      <c r="B58" s="48" t="s">
        <v>671</v>
      </c>
    </row>
    <row r="59" spans="1:2" ht="15" customHeight="1">
      <c r="A59" s="33" t="s">
        <v>274</v>
      </c>
      <c r="B59" s="33" t="s">
        <v>683</v>
      </c>
    </row>
    <row r="60" spans="1:2" ht="15" customHeight="1">
      <c r="A60" s="33" t="s">
        <v>464</v>
      </c>
      <c r="B60" s="33" t="s">
        <v>657</v>
      </c>
    </row>
    <row r="61" spans="1:2" ht="15" customHeight="1">
      <c r="A61" s="33" t="s">
        <v>466</v>
      </c>
      <c r="B61" s="33" t="s">
        <v>657</v>
      </c>
    </row>
    <row r="62" spans="1:2" ht="15" customHeight="1">
      <c r="A62" s="33" t="s">
        <v>462</v>
      </c>
      <c r="B62" s="34" t="s">
        <v>669</v>
      </c>
    </row>
    <row r="63" spans="1:2" ht="15" customHeight="1">
      <c r="A63" s="33" t="s">
        <v>495</v>
      </c>
      <c r="B63" s="33" t="s">
        <v>657</v>
      </c>
    </row>
    <row r="64" spans="1:2" ht="15" customHeight="1">
      <c r="A64" s="33" t="s">
        <v>497</v>
      </c>
      <c r="B64" s="33" t="s">
        <v>657</v>
      </c>
    </row>
    <row r="65" spans="1:2" ht="15" customHeight="1">
      <c r="A65" s="33" t="s">
        <v>492</v>
      </c>
      <c r="B65" s="34" t="s">
        <v>669</v>
      </c>
    </row>
    <row r="66" spans="1:2" ht="15" customHeight="1">
      <c r="A66" s="33" t="s">
        <v>490</v>
      </c>
      <c r="B66" s="33" t="s">
        <v>657</v>
      </c>
    </row>
    <row r="67" spans="1:2" ht="15" customHeight="1">
      <c r="A67" s="33" t="s">
        <v>503</v>
      </c>
      <c r="B67" s="34" t="s">
        <v>669</v>
      </c>
    </row>
    <row r="68" spans="1:2" ht="15" customHeight="1">
      <c r="A68" s="33" t="s">
        <v>191</v>
      </c>
      <c r="B68" s="33" t="s">
        <v>684</v>
      </c>
    </row>
    <row r="69" spans="1:2" ht="15" customHeight="1">
      <c r="A69" s="33" t="s">
        <v>438</v>
      </c>
      <c r="B69" s="33" t="s">
        <v>659</v>
      </c>
    </row>
    <row r="70" spans="1:2" ht="15" customHeight="1">
      <c r="A70" s="38" t="s">
        <v>140</v>
      </c>
      <c r="B70" s="33" t="s">
        <v>657</v>
      </c>
    </row>
    <row r="71" spans="1:2" ht="15" customHeight="1">
      <c r="A71" s="38" t="s">
        <v>143</v>
      </c>
      <c r="B71" s="33" t="s">
        <v>657</v>
      </c>
    </row>
    <row r="72" spans="1:2" ht="15" customHeight="1">
      <c r="A72" s="33" t="s">
        <v>225</v>
      </c>
      <c r="B72" s="33" t="s">
        <v>657</v>
      </c>
    </row>
    <row r="73" spans="1:2" ht="15" customHeight="1">
      <c r="A73" s="33" t="s">
        <v>301</v>
      </c>
      <c r="B73" s="34" t="s">
        <v>669</v>
      </c>
    </row>
    <row r="74" spans="1:2" ht="15" customHeight="1">
      <c r="A74" s="33" t="s">
        <v>299</v>
      </c>
      <c r="B74" s="34" t="s">
        <v>681</v>
      </c>
    </row>
    <row r="75" spans="1:2" ht="15" customHeight="1">
      <c r="A75" s="37" t="s">
        <v>283</v>
      </c>
      <c r="B75" s="33" t="s">
        <v>674</v>
      </c>
    </row>
    <row r="76" spans="1:2" ht="15" customHeight="1">
      <c r="A76" s="33" t="s">
        <v>288</v>
      </c>
      <c r="B76" s="34" t="s">
        <v>669</v>
      </c>
    </row>
    <row r="77" spans="1:2" ht="15" customHeight="1">
      <c r="A77" s="37" t="s">
        <v>285</v>
      </c>
      <c r="B77" s="34" t="s">
        <v>681</v>
      </c>
    </row>
    <row r="78" spans="1:2" ht="15" customHeight="1">
      <c r="A78" s="33" t="s">
        <v>249</v>
      </c>
      <c r="B78" s="33" t="s">
        <v>680</v>
      </c>
    </row>
    <row r="79" spans="1:2" ht="15" customHeight="1">
      <c r="A79" s="33" t="s">
        <v>243</v>
      </c>
      <c r="B79" s="33" t="s">
        <v>680</v>
      </c>
    </row>
    <row r="80" spans="1:2" ht="15" customHeight="1">
      <c r="A80" s="33" t="s">
        <v>363</v>
      </c>
      <c r="B80" s="33" t="s">
        <v>679</v>
      </c>
    </row>
    <row r="81" spans="1:2" ht="15" customHeight="1">
      <c r="A81" s="33" t="s">
        <v>385</v>
      </c>
      <c r="B81" s="33" t="s">
        <v>685</v>
      </c>
    </row>
    <row r="82" spans="1:2" ht="15" customHeight="1">
      <c r="A82" s="33" t="s">
        <v>378</v>
      </c>
      <c r="B82" s="33" t="s">
        <v>657</v>
      </c>
    </row>
    <row r="83" spans="1:2" ht="15" customHeight="1">
      <c r="A83" s="33" t="s">
        <v>365</v>
      </c>
      <c r="B83" s="33" t="s">
        <v>680</v>
      </c>
    </row>
    <row r="84" spans="1:2" ht="15" customHeight="1">
      <c r="A84" s="33" t="s">
        <v>367</v>
      </c>
      <c r="B84" s="33" t="s">
        <v>686</v>
      </c>
    </row>
    <row r="85" spans="1:2" ht="15" customHeight="1">
      <c r="A85" s="33" t="s">
        <v>373</v>
      </c>
      <c r="B85" s="34" t="s">
        <v>669</v>
      </c>
    </row>
    <row r="86" spans="1:2" ht="15" customHeight="1">
      <c r="A86" s="33" t="s">
        <v>371</v>
      </c>
      <c r="B86" s="34" t="s">
        <v>681</v>
      </c>
    </row>
    <row r="87" spans="1:2" ht="15" customHeight="1">
      <c r="A87" s="33" t="s">
        <v>375</v>
      </c>
      <c r="B87" s="33" t="s">
        <v>657</v>
      </c>
    </row>
    <row r="88" spans="1:2" ht="15" customHeight="1">
      <c r="A88" s="33" t="s">
        <v>369</v>
      </c>
      <c r="B88" s="33" t="s">
        <v>687</v>
      </c>
    </row>
    <row r="89" spans="1:2">
      <c r="A89" s="33" t="s">
        <v>245</v>
      </c>
      <c r="B89" s="33" t="s">
        <v>688</v>
      </c>
    </row>
    <row r="90" spans="1:2" ht="15" customHeight="1">
      <c r="A90" s="33" t="s">
        <v>160</v>
      </c>
      <c r="B90" s="33" t="s">
        <v>657</v>
      </c>
    </row>
    <row r="91" spans="1:2" ht="15" customHeight="1">
      <c r="A91" s="33" t="s">
        <v>35</v>
      </c>
      <c r="B91" s="48" t="s">
        <v>680</v>
      </c>
    </row>
    <row r="92" spans="1:2" ht="15" customHeight="1">
      <c r="A92" s="33" t="s">
        <v>12</v>
      </c>
      <c r="B92" s="33" t="s">
        <v>689</v>
      </c>
    </row>
    <row r="93" spans="1:2" ht="15" customHeight="1">
      <c r="A93" s="33" t="s">
        <v>178</v>
      </c>
      <c r="B93" s="33" t="s">
        <v>690</v>
      </c>
    </row>
    <row r="94" spans="1:2" ht="15" customHeight="1">
      <c r="A94" s="33" t="s">
        <v>485</v>
      </c>
      <c r="B94" s="33" t="s">
        <v>691</v>
      </c>
    </row>
    <row r="95" spans="1:2" ht="15" customHeight="1">
      <c r="A95" s="33" t="s">
        <v>487</v>
      </c>
      <c r="B95" s="33" t="s">
        <v>691</v>
      </c>
    </row>
    <row r="96" spans="1:2" ht="15" customHeight="1">
      <c r="A96" s="33" t="s">
        <v>121</v>
      </c>
      <c r="B96" s="33" t="s">
        <v>657</v>
      </c>
    </row>
    <row r="97" spans="1:2" ht="15" customHeight="1">
      <c r="A97" s="33" t="s">
        <v>16</v>
      </c>
      <c r="B97" s="48" t="s">
        <v>692</v>
      </c>
    </row>
    <row r="98" spans="1:2" ht="15" customHeight="1">
      <c r="A98" s="33" t="s">
        <v>210</v>
      </c>
      <c r="B98" s="33" t="s">
        <v>693</v>
      </c>
    </row>
    <row r="99" spans="1:2" ht="15" customHeight="1">
      <c r="A99" s="33" t="s">
        <v>200</v>
      </c>
      <c r="B99" s="33" t="s">
        <v>679</v>
      </c>
    </row>
    <row r="100" spans="1:2" ht="15" customHeight="1">
      <c r="A100" s="33" t="s">
        <v>202</v>
      </c>
      <c r="B100" s="33" t="s">
        <v>680</v>
      </c>
    </row>
    <row r="101" spans="1:2" ht="15" customHeight="1">
      <c r="A101" s="33" t="s">
        <v>206</v>
      </c>
      <c r="B101" s="33" t="s">
        <v>694</v>
      </c>
    </row>
    <row r="102" spans="1:2">
      <c r="A102" s="32" t="s">
        <v>56</v>
      </c>
      <c r="B102" s="33" t="s">
        <v>674</v>
      </c>
    </row>
    <row r="103" spans="1:2">
      <c r="A103" s="33" t="s">
        <v>63</v>
      </c>
      <c r="B103" s="39" t="s">
        <v>669</v>
      </c>
    </row>
    <row r="104" spans="1:2">
      <c r="A104" s="32" t="s">
        <v>58</v>
      </c>
      <c r="B104" s="40" t="s">
        <v>681</v>
      </c>
    </row>
    <row r="105" spans="1:2">
      <c r="A105" s="32" t="s">
        <v>51</v>
      </c>
      <c r="B105" s="49" t="s">
        <v>695</v>
      </c>
    </row>
    <row r="106" spans="1:2">
      <c r="A106" s="32" t="s">
        <v>318</v>
      </c>
      <c r="B106" s="33" t="s">
        <v>688</v>
      </c>
    </row>
    <row r="107" spans="1:2">
      <c r="A107" s="32" t="s">
        <v>333</v>
      </c>
      <c r="B107" s="32" t="s">
        <v>657</v>
      </c>
    </row>
    <row r="108" spans="1:2">
      <c r="A108" s="32" t="s">
        <v>316</v>
      </c>
      <c r="B108" s="33" t="s">
        <v>680</v>
      </c>
    </row>
    <row r="109" spans="1:2">
      <c r="A109" s="32" t="s">
        <v>314</v>
      </c>
      <c r="B109" s="33" t="s">
        <v>696</v>
      </c>
    </row>
    <row r="110" spans="1:2">
      <c r="A110" s="32" t="s">
        <v>330</v>
      </c>
      <c r="B110" s="40" t="s">
        <v>681</v>
      </c>
    </row>
    <row r="111" spans="1:2">
      <c r="A111" s="33" t="s">
        <v>130</v>
      </c>
      <c r="B111" s="32" t="s">
        <v>671</v>
      </c>
    </row>
    <row r="112" spans="1:2">
      <c r="A112" s="32" t="s">
        <v>132</v>
      </c>
      <c r="B112" s="32" t="s">
        <v>671</v>
      </c>
    </row>
    <row r="113" spans="1:2">
      <c r="A113" s="32" t="s">
        <v>134</v>
      </c>
      <c r="B113" s="33" t="s">
        <v>657</v>
      </c>
    </row>
    <row r="114" spans="1:2">
      <c r="A114" s="32" t="s">
        <v>71</v>
      </c>
      <c r="B114" s="49" t="s">
        <v>695</v>
      </c>
    </row>
    <row r="115" spans="1:2">
      <c r="A115" s="33" t="s">
        <v>81</v>
      </c>
      <c r="B115" s="41" t="s">
        <v>683</v>
      </c>
    </row>
    <row r="116" spans="1:2">
      <c r="A116" s="32" t="s">
        <v>85</v>
      </c>
      <c r="B116" s="32" t="s">
        <v>657</v>
      </c>
    </row>
    <row r="117" spans="1:2">
      <c r="A117" s="32" t="s">
        <v>88</v>
      </c>
      <c r="B117" s="32" t="s">
        <v>657</v>
      </c>
    </row>
    <row r="118" spans="1:2">
      <c r="A118" s="33" t="s">
        <v>238</v>
      </c>
      <c r="B118" s="40" t="s">
        <v>670</v>
      </c>
    </row>
    <row r="119" spans="1:2">
      <c r="A119" s="32" t="s">
        <v>240</v>
      </c>
      <c r="B119" s="40" t="s">
        <v>669</v>
      </c>
    </row>
    <row r="120" spans="1:2">
      <c r="A120" s="32" t="s">
        <v>235</v>
      </c>
      <c r="B120" s="32" t="s">
        <v>676</v>
      </c>
    </row>
    <row r="121" spans="1:2">
      <c r="A121" s="32" t="s">
        <v>229</v>
      </c>
      <c r="B121" s="32" t="s">
        <v>694</v>
      </c>
    </row>
    <row r="122" spans="1:2">
      <c r="A122" s="32" t="s">
        <v>322</v>
      </c>
      <c r="B122" s="32" t="s">
        <v>674</v>
      </c>
    </row>
    <row r="123" spans="1:2">
      <c r="A123" s="32" t="s">
        <v>327</v>
      </c>
      <c r="B123" s="40" t="s">
        <v>669</v>
      </c>
    </row>
    <row r="124" spans="1:2">
      <c r="A124" s="33" t="s">
        <v>324</v>
      </c>
      <c r="B124" s="41" t="s">
        <v>657</v>
      </c>
    </row>
    <row r="125" spans="1:2">
      <c r="A125" s="32" t="s">
        <v>470</v>
      </c>
      <c r="B125" s="33" t="s">
        <v>657</v>
      </c>
    </row>
    <row r="126" spans="1:2">
      <c r="A126" s="32" t="s">
        <v>472</v>
      </c>
      <c r="B126" s="33" t="s">
        <v>657</v>
      </c>
    </row>
    <row r="127" spans="1:2">
      <c r="A127" s="32" t="s">
        <v>468</v>
      </c>
      <c r="B127" s="34" t="s">
        <v>669</v>
      </c>
    </row>
    <row r="128" spans="1:2">
      <c r="A128" s="32" t="s">
        <v>341</v>
      </c>
      <c r="B128" s="33" t="s">
        <v>657</v>
      </c>
    </row>
    <row r="129" spans="1:2">
      <c r="A129" s="32" t="s">
        <v>343</v>
      </c>
      <c r="B129" s="33" t="s">
        <v>697</v>
      </c>
    </row>
    <row r="130" spans="1:2">
      <c r="A130" s="32" t="s">
        <v>345</v>
      </c>
      <c r="B130" s="33" t="s">
        <v>657</v>
      </c>
    </row>
    <row r="131" spans="1:2">
      <c r="A131" s="32" t="s">
        <v>339</v>
      </c>
      <c r="B131" s="34" t="s">
        <v>669</v>
      </c>
    </row>
    <row r="132" spans="1:2">
      <c r="A132" s="32" t="s">
        <v>48</v>
      </c>
      <c r="B132" s="33" t="s">
        <v>698</v>
      </c>
    </row>
    <row r="133" spans="1:2">
      <c r="A133" s="33" t="s">
        <v>46</v>
      </c>
      <c r="B133" s="33" t="s">
        <v>699</v>
      </c>
    </row>
    <row r="134" spans="1:2">
      <c r="A134" s="33" t="s">
        <v>483</v>
      </c>
      <c r="B134" s="42" t="s">
        <v>700</v>
      </c>
    </row>
    <row r="135" spans="1:2">
      <c r="A135" s="33" t="s">
        <v>457</v>
      </c>
      <c r="B135" s="34" t="s">
        <v>701</v>
      </c>
    </row>
    <row r="136" spans="1:2">
      <c r="A136" s="33" t="s">
        <v>459</v>
      </c>
      <c r="B136" s="34" t="s">
        <v>669</v>
      </c>
    </row>
    <row r="137" spans="1:2">
      <c r="A137" s="37" t="s">
        <v>247</v>
      </c>
      <c r="B137" s="33" t="s">
        <v>685</v>
      </c>
    </row>
    <row r="138" spans="1:2">
      <c r="A138" s="33" t="s">
        <v>170</v>
      </c>
      <c r="B138" s="33" t="s">
        <v>664</v>
      </c>
    </row>
    <row r="139" spans="1:2">
      <c r="A139" s="37" t="s">
        <v>174</v>
      </c>
      <c r="B139" s="33" t="s">
        <v>680</v>
      </c>
    </row>
    <row r="140" spans="1:2" ht="15" customHeight="1">
      <c r="A140" s="33" t="s">
        <v>138</v>
      </c>
      <c r="B140" s="34" t="s">
        <v>669</v>
      </c>
    </row>
    <row r="141" spans="1:2">
      <c r="A141" s="33" t="s">
        <v>451</v>
      </c>
      <c r="B141" s="32" t="s">
        <v>657</v>
      </c>
    </row>
    <row r="142" spans="1:2" ht="15" customHeight="1">
      <c r="A142" s="33" t="s">
        <v>454</v>
      </c>
      <c r="B142" s="33" t="s">
        <v>657</v>
      </c>
    </row>
    <row r="143" spans="1:2">
      <c r="A143" s="33" t="s">
        <v>446</v>
      </c>
      <c r="B143" s="41" t="s">
        <v>664</v>
      </c>
    </row>
    <row r="144" spans="1:2">
      <c r="A144" s="33" t="s">
        <v>449</v>
      </c>
      <c r="B144" s="40" t="s">
        <v>669</v>
      </c>
    </row>
    <row r="145" spans="1:2">
      <c r="A145" s="33" t="s">
        <v>193</v>
      </c>
      <c r="B145" s="32" t="s">
        <v>677</v>
      </c>
    </row>
    <row r="146" spans="1:2">
      <c r="A146" s="33" t="s">
        <v>501</v>
      </c>
      <c r="B146" s="40" t="s">
        <v>669</v>
      </c>
    </row>
    <row r="147" spans="1:2">
      <c r="A147" s="33" t="s">
        <v>10</v>
      </c>
      <c r="B147" s="34" t="s">
        <v>670</v>
      </c>
    </row>
    <row r="148" spans="1:2">
      <c r="A148" s="33" t="s">
        <v>26</v>
      </c>
      <c r="B148" s="50" t="s">
        <v>688</v>
      </c>
    </row>
    <row r="149" spans="1:2">
      <c r="A149" s="33" t="s">
        <v>28</v>
      </c>
      <c r="B149" s="49" t="s">
        <v>702</v>
      </c>
    </row>
    <row r="150" spans="1:2">
      <c r="A150" s="33" t="s">
        <v>42</v>
      </c>
      <c r="B150" s="32" t="s">
        <v>671</v>
      </c>
    </row>
    <row r="151" spans="1:2">
      <c r="A151" s="33" t="s">
        <v>253</v>
      </c>
      <c r="B151" s="32" t="s">
        <v>659</v>
      </c>
    </row>
    <row r="152" spans="1:2">
      <c r="A152" s="33" t="s">
        <v>320</v>
      </c>
      <c r="B152" s="32" t="s">
        <v>659</v>
      </c>
    </row>
    <row r="153" spans="1:2">
      <c r="A153" s="33" t="s">
        <v>405</v>
      </c>
      <c r="B153" s="33" t="s">
        <v>657</v>
      </c>
    </row>
    <row r="154" spans="1:2">
      <c r="A154" s="33" t="s">
        <v>407</v>
      </c>
      <c r="B154" s="41" t="s">
        <v>657</v>
      </c>
    </row>
    <row r="155" spans="1:2">
      <c r="A155" s="33" t="s">
        <v>403</v>
      </c>
      <c r="B155" s="40" t="s">
        <v>669</v>
      </c>
    </row>
    <row r="156" spans="1:2">
      <c r="A156" s="33" t="s">
        <v>393</v>
      </c>
      <c r="B156" s="41" t="s">
        <v>679</v>
      </c>
    </row>
    <row r="157" spans="1:2">
      <c r="A157" s="33" t="s">
        <v>397</v>
      </c>
      <c r="B157" s="40" t="s">
        <v>669</v>
      </c>
    </row>
    <row r="158" spans="1:2">
      <c r="A158" s="33" t="s">
        <v>395</v>
      </c>
      <c r="B158" s="32" t="s">
        <v>680</v>
      </c>
    </row>
    <row r="159" spans="1:2">
      <c r="A159" s="33" t="s">
        <v>399</v>
      </c>
      <c r="B159" s="40" t="s">
        <v>681</v>
      </c>
    </row>
    <row r="160" spans="1:2">
      <c r="A160" s="33" t="s">
        <v>401</v>
      </c>
      <c r="B160" s="33" t="s">
        <v>657</v>
      </c>
    </row>
    <row r="161" spans="1:2">
      <c r="A161" s="33" t="s">
        <v>251</v>
      </c>
      <c r="B161" s="32" t="s">
        <v>659</v>
      </c>
    </row>
    <row r="162" spans="1:2">
      <c r="A162" s="33" t="s">
        <v>347</v>
      </c>
      <c r="B162" s="41" t="s">
        <v>679</v>
      </c>
    </row>
    <row r="163" spans="1:2">
      <c r="A163" s="33" t="s">
        <v>20</v>
      </c>
      <c r="B163" s="49" t="s">
        <v>688</v>
      </c>
    </row>
    <row r="164" spans="1:2">
      <c r="A164" s="33" t="s">
        <v>198</v>
      </c>
      <c r="B164" s="32" t="s">
        <v>671</v>
      </c>
    </row>
    <row r="165" spans="1:2">
      <c r="A165" s="33" t="s">
        <v>268</v>
      </c>
      <c r="B165" s="34" t="s">
        <v>669</v>
      </c>
    </row>
    <row r="166" spans="1:2">
      <c r="A166" s="33" t="s">
        <v>295</v>
      </c>
      <c r="B166" s="32" t="s">
        <v>664</v>
      </c>
    </row>
    <row r="167" spans="1:2">
      <c r="A167" s="33" t="s">
        <v>305</v>
      </c>
      <c r="B167" s="39" t="s">
        <v>661</v>
      </c>
    </row>
    <row r="168" spans="1:2">
      <c r="A168" s="33" t="s">
        <v>291</v>
      </c>
      <c r="B168" s="32" t="s">
        <v>657</v>
      </c>
    </row>
    <row r="169" spans="1:2">
      <c r="A169" s="33" t="s">
        <v>281</v>
      </c>
      <c r="B169" s="32" t="s">
        <v>703</v>
      </c>
    </row>
    <row r="170" spans="1:2">
      <c r="A170" s="33" t="s">
        <v>262</v>
      </c>
      <c r="B170" s="32" t="s">
        <v>704</v>
      </c>
    </row>
    <row r="171" spans="1:2">
      <c r="A171" s="33" t="s">
        <v>270</v>
      </c>
      <c r="B171" s="41" t="s">
        <v>657</v>
      </c>
    </row>
    <row r="172" spans="1:2">
      <c r="A172" s="33" t="s">
        <v>272</v>
      </c>
      <c r="B172" s="32" t="s">
        <v>657</v>
      </c>
    </row>
    <row r="173" spans="1:2">
      <c r="A173" s="33" t="s">
        <v>264</v>
      </c>
      <c r="B173" s="41" t="s">
        <v>657</v>
      </c>
    </row>
    <row r="174" spans="1:2">
      <c r="A174" s="33" t="s">
        <v>266</v>
      </c>
      <c r="B174" s="32" t="s">
        <v>657</v>
      </c>
    </row>
    <row r="175" spans="1:2">
      <c r="A175" s="33" t="s">
        <v>69</v>
      </c>
      <c r="B175" s="32" t="s">
        <v>674</v>
      </c>
    </row>
    <row r="176" spans="1:2">
      <c r="A176" s="33" t="s">
        <v>53</v>
      </c>
      <c r="B176" s="41" t="s">
        <v>705</v>
      </c>
    </row>
    <row r="177" spans="1:2">
      <c r="A177" s="33" t="s">
        <v>39</v>
      </c>
      <c r="B177" s="33" t="s">
        <v>671</v>
      </c>
    </row>
    <row r="178" spans="1:2">
      <c r="A178" s="33" t="s">
        <v>151</v>
      </c>
      <c r="B178" s="33" t="s">
        <v>657</v>
      </c>
    </row>
    <row r="179" spans="1:2">
      <c r="A179" s="33" t="s">
        <v>154</v>
      </c>
      <c r="B179" s="40" t="s">
        <v>669</v>
      </c>
    </row>
    <row r="180" spans="1:2">
      <c r="A180" s="33" t="s">
        <v>195</v>
      </c>
      <c r="B180" s="41" t="s">
        <v>677</v>
      </c>
    </row>
    <row r="181" spans="1:2">
      <c r="A181" s="33" t="s">
        <v>443</v>
      </c>
      <c r="B181" s="32" t="s">
        <v>657</v>
      </c>
    </row>
    <row r="182" spans="1:2">
      <c r="A182" s="33" t="s">
        <v>156</v>
      </c>
      <c r="B182" s="40" t="s">
        <v>669</v>
      </c>
    </row>
    <row r="183" spans="1:2">
      <c r="A183" s="33" t="s">
        <v>158</v>
      </c>
      <c r="B183" s="40" t="s">
        <v>681</v>
      </c>
    </row>
    <row r="203" spans="2:2">
      <c r="B203" s="32">
        <v>2.5</v>
      </c>
    </row>
    <row r="204" spans="2:2">
      <c r="B204" s="32">
        <v>48</v>
      </c>
    </row>
    <row r="206" spans="2:2">
      <c r="B206" s="32">
        <f>+B204*B203</f>
        <v>120</v>
      </c>
    </row>
  </sheetData>
  <autoFilter ref="A1:B183" xr:uid="{00000000-0009-0000-0000-000003000000}">
    <sortState xmlns:xlrd2="http://schemas.microsoft.com/office/spreadsheetml/2017/richdata2" ref="A2:B183">
      <sortCondition ref="A1:A183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Levels xmlns="78bbc1a5-fe99-431a-b8d4-59bb44901abf" xsi:nil="true"/>
    <lcf76f155ced4ddcb4097134ff3c332f xmlns="78bbc1a5-fe99-431a-b8d4-59bb44901abf">
      <Terms xmlns="http://schemas.microsoft.com/office/infopath/2007/PartnerControls"/>
    </lcf76f155ced4ddcb4097134ff3c332f>
    <MigrationWizIdDocumentLibraryPermissions xmlns="78bbc1a5-fe99-431a-b8d4-59bb44901abf" xsi:nil="true"/>
    <MigrationWizIdSecurityGroups xmlns="78bbc1a5-fe99-431a-b8d4-59bb44901abf" xsi:nil="true"/>
    <TaxCatchAll xmlns="1228c7bb-7cb5-4db1-b0f5-0a7469fa6742" xsi:nil="true"/>
    <MigrationWizIdPermissions xmlns="78bbc1a5-fe99-431a-b8d4-59bb44901abf" xsi:nil="true"/>
    <MigrationWizId xmlns="78bbc1a5-fe99-431a-b8d4-59bb44901a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CFF8AF358C3D438E69F2269F3F133E" ma:contentTypeVersion="18" ma:contentTypeDescription="Create a new document." ma:contentTypeScope="" ma:versionID="385d4e69759e2da871105f2a6ed19e1f">
  <xsd:schema xmlns:xsd="http://www.w3.org/2001/XMLSchema" xmlns:xs="http://www.w3.org/2001/XMLSchema" xmlns:p="http://schemas.microsoft.com/office/2006/metadata/properties" xmlns:ns2="78bbc1a5-fe99-431a-b8d4-59bb44901abf" xmlns:ns3="1228c7bb-7cb5-4db1-b0f5-0a7469fa6742" targetNamespace="http://schemas.microsoft.com/office/2006/metadata/properties" ma:root="true" ma:fieldsID="f68571221947739b108372f9c28673f8" ns2:_="" ns3:_="">
    <xsd:import namespace="78bbc1a5-fe99-431a-b8d4-59bb44901abf"/>
    <xsd:import namespace="1228c7bb-7cb5-4db1-b0f5-0a7469fa6742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bbc1a5-fe99-431a-b8d4-59bb44901abf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d44cb9f-b62e-4719-bd31-160fcf9575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28c7bb-7cb5-4db1-b0f5-0a7469fa674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0ed0e918-2f16-4c24-a83d-0005d9b866c1}" ma:internalName="TaxCatchAll" ma:showField="CatchAllData" ma:web="1228c7bb-7cb5-4db1-b0f5-0a7469fa67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FC5BBE-C7A0-4D13-8FD1-16DFAF767250}"/>
</file>

<file path=customXml/itemProps2.xml><?xml version="1.0" encoding="utf-8"?>
<ds:datastoreItem xmlns:ds="http://schemas.openxmlformats.org/officeDocument/2006/customXml" ds:itemID="{28E357AA-E6D5-4C63-96F8-0AE363BE75BC}"/>
</file>

<file path=customXml/itemProps3.xml><?xml version="1.0" encoding="utf-8"?>
<ds:datastoreItem xmlns:ds="http://schemas.openxmlformats.org/officeDocument/2006/customXml" ds:itemID="{F1094EF4-7BEC-430E-B23E-ECE4C28F53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Ausenco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Cortinat</dc:creator>
  <cp:keywords/>
  <dc:description/>
  <cp:lastModifiedBy>Miguel Marileo</cp:lastModifiedBy>
  <cp:revision/>
  <dcterms:created xsi:type="dcterms:W3CDTF">2019-03-01T16:52:23Z</dcterms:created>
  <dcterms:modified xsi:type="dcterms:W3CDTF">2022-11-10T21:06:41Z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0x010100FCCFF8AF358C3D438E69F2269F3F133E</vt:lpwstr>
  </property>
  <property fmtid="{D5CDD505-2E9C-101B-9397-08002B2CF9AE}" pid="3" name="MediaServiceImageTags">
    <vt:lpwstr/>
  </property>
</Properties>
</file>