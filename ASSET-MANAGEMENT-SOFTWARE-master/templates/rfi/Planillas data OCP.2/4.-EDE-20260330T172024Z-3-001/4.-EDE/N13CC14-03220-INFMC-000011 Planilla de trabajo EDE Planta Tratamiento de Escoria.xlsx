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xr:revisionPtr revIDLastSave="0" documentId="8_{5FDF8891-E506-4956-A44E-FE8ECCE0C8F9}" xr6:coauthVersionLast="44" xr6:coauthVersionMax="44" xr10:uidLastSave="{00000000-0000-0000-0000-000000000000}"/>
  <bookViews>
    <workbookView xWindow="3040" yWindow="3040" windowWidth="11320" windowHeight="10420" xr2:uid="{05003B85-C06E-40EF-968F-C6DE3DEC30EE}"/>
  </bookViews>
  <sheets>
    <sheet name="EDE_INF" sheetId="13" r:id="rId1"/>
    <sheet name="ECO_EDE" sheetId="12" state="hidden" r:id="rId2"/>
    <sheet name="EDE_CARGA" sheetId="15" state="hidden" r:id="rId3"/>
    <sheet name="datos" sheetId="10" state="hidden" r:id="rId4"/>
  </sheets>
  <definedNames>
    <definedName name="_xlnm._FilterDatabase" localSheetId="2" hidden="1">EDE_CARGA!$A$3:$BJ$1979</definedName>
    <definedName name="_xlnm._FilterDatabase" localSheetId="0" hidden="1">EDE_INF!$A$3:$M$3297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297" i="13" l="1"/>
  <c r="K3297" i="13" s="1"/>
  <c r="H3296" i="13"/>
  <c r="K3295" i="13"/>
  <c r="H3295" i="13"/>
  <c r="I3295" i="13" s="1"/>
  <c r="K3294" i="13"/>
  <c r="I3294" i="13"/>
  <c r="H3294" i="13"/>
  <c r="H3293" i="13"/>
  <c r="K3293" i="13" s="1"/>
  <c r="H3292" i="13"/>
  <c r="K3291" i="13"/>
  <c r="H3291" i="13"/>
  <c r="K3290" i="13"/>
  <c r="I3290" i="13" s="1"/>
  <c r="H3290" i="13"/>
  <c r="H3289" i="13"/>
  <c r="K3289" i="13" s="1"/>
  <c r="H3288" i="13"/>
  <c r="K3287" i="13"/>
  <c r="I3287" i="13" s="1"/>
  <c r="H3287" i="13"/>
  <c r="K3286" i="13"/>
  <c r="I3286" i="13" s="1"/>
  <c r="H3286" i="13"/>
  <c r="H3285" i="13"/>
  <c r="K3285" i="13" s="1"/>
  <c r="H3284" i="13"/>
  <c r="K3283" i="13"/>
  <c r="I3283" i="13" s="1"/>
  <c r="H3283" i="13"/>
  <c r="K3282" i="13"/>
  <c r="I3282" i="13" s="1"/>
  <c r="H3282" i="13"/>
  <c r="H3281" i="13"/>
  <c r="K3281" i="13" s="1"/>
  <c r="H3280" i="13"/>
  <c r="K3279" i="13"/>
  <c r="I3279" i="13" s="1"/>
  <c r="H3279" i="13"/>
  <c r="K3278" i="13"/>
  <c r="I3278" i="13" s="1"/>
  <c r="H3278" i="13"/>
  <c r="H3277" i="13"/>
  <c r="K3277" i="13" s="1"/>
  <c r="H3276" i="13"/>
  <c r="K3275" i="13"/>
  <c r="I3275" i="13" s="1"/>
  <c r="H3275" i="13"/>
  <c r="K3274" i="13"/>
  <c r="I3274" i="13" s="1"/>
  <c r="H3274" i="13"/>
  <c r="H3273" i="13"/>
  <c r="K3273" i="13" s="1"/>
  <c r="H3272" i="13"/>
  <c r="K3271" i="13"/>
  <c r="I3271" i="13" s="1"/>
  <c r="H3271" i="13"/>
  <c r="K3270" i="13"/>
  <c r="I3270" i="13" s="1"/>
  <c r="H3270" i="13"/>
  <c r="H3269" i="13"/>
  <c r="K3269" i="13" s="1"/>
  <c r="H3268" i="13"/>
  <c r="K3267" i="13"/>
  <c r="I3267" i="13" s="1"/>
  <c r="H3267" i="13"/>
  <c r="K3266" i="13"/>
  <c r="I3266" i="13" s="1"/>
  <c r="H3266" i="13"/>
  <c r="H3265" i="13"/>
  <c r="K3265" i="13" s="1"/>
  <c r="H3264" i="13"/>
  <c r="K3263" i="13"/>
  <c r="I3263" i="13" s="1"/>
  <c r="H3263" i="13"/>
  <c r="K3262" i="13"/>
  <c r="I3262" i="13" s="1"/>
  <c r="H3262" i="13"/>
  <c r="H3261" i="13"/>
  <c r="K3261" i="13" s="1"/>
  <c r="H3260" i="13"/>
  <c r="K3259" i="13"/>
  <c r="I3259" i="13" s="1"/>
  <c r="H3259" i="13"/>
  <c r="K3258" i="13"/>
  <c r="H3258" i="13"/>
  <c r="I3258" i="13" s="1"/>
  <c r="H3257" i="13"/>
  <c r="H3256" i="13"/>
  <c r="K3255" i="13"/>
  <c r="I3255" i="13"/>
  <c r="H3255" i="13"/>
  <c r="H3254" i="13"/>
  <c r="H3253" i="13"/>
  <c r="K3253" i="13" s="1"/>
  <c r="H3252" i="13"/>
  <c r="K3251" i="13"/>
  <c r="I3251" i="13"/>
  <c r="H3251" i="13"/>
  <c r="K3250" i="13"/>
  <c r="H3250" i="13"/>
  <c r="H3249" i="13"/>
  <c r="H3248" i="13"/>
  <c r="K3247" i="13"/>
  <c r="I3247" i="13"/>
  <c r="H3247" i="13"/>
  <c r="H3246" i="13"/>
  <c r="H3245" i="13"/>
  <c r="K3245" i="13" s="1"/>
  <c r="H3244" i="13"/>
  <c r="K3243" i="13"/>
  <c r="I3243" i="13"/>
  <c r="H3243" i="13"/>
  <c r="K3242" i="13"/>
  <c r="H3242" i="13"/>
  <c r="I3242" i="13" s="1"/>
  <c r="H3241" i="13"/>
  <c r="H3240" i="13"/>
  <c r="K3239" i="13"/>
  <c r="I3239" i="13"/>
  <c r="H3239" i="13"/>
  <c r="K3238" i="13"/>
  <c r="H3238" i="13"/>
  <c r="H3237" i="13"/>
  <c r="H3236" i="13"/>
  <c r="K3235" i="13"/>
  <c r="I3235" i="13"/>
  <c r="H3235" i="13"/>
  <c r="H3234" i="13"/>
  <c r="K3234" i="13" s="1"/>
  <c r="H3233" i="13"/>
  <c r="H3232" i="13"/>
  <c r="K3231" i="13"/>
  <c r="I3231" i="13"/>
  <c r="H3231" i="13"/>
  <c r="K3230" i="13"/>
  <c r="H3230" i="13"/>
  <c r="H3229" i="13"/>
  <c r="H3228" i="13"/>
  <c r="K3227" i="13"/>
  <c r="I3227" i="13"/>
  <c r="H3227" i="13"/>
  <c r="H3226" i="13"/>
  <c r="H3225" i="13"/>
  <c r="H3224" i="13"/>
  <c r="K3223" i="13"/>
  <c r="I3223" i="13"/>
  <c r="H3223" i="13"/>
  <c r="K3222" i="13"/>
  <c r="H3222" i="13"/>
  <c r="H3221" i="13"/>
  <c r="H3220" i="13"/>
  <c r="K3219" i="13"/>
  <c r="I3219" i="13"/>
  <c r="H3219" i="13"/>
  <c r="H3218" i="13"/>
  <c r="K3218" i="13" s="1"/>
  <c r="H3217" i="13"/>
  <c r="H3216" i="13"/>
  <c r="K3215" i="13"/>
  <c r="I3215" i="13"/>
  <c r="H3215" i="13"/>
  <c r="K3214" i="13"/>
  <c r="H3214" i="13"/>
  <c r="H3213" i="13"/>
  <c r="H3212" i="13"/>
  <c r="K3211" i="13"/>
  <c r="I3211" i="13"/>
  <c r="H3211" i="13"/>
  <c r="H3210" i="13"/>
  <c r="H3209" i="13"/>
  <c r="H3208" i="13"/>
  <c r="K3207" i="13"/>
  <c r="I3207" i="13"/>
  <c r="H3207" i="13"/>
  <c r="K3206" i="13"/>
  <c r="H3206" i="13"/>
  <c r="H3205" i="13"/>
  <c r="H3204" i="13"/>
  <c r="K3203" i="13"/>
  <c r="I3203" i="13"/>
  <c r="H3203" i="13"/>
  <c r="H3202" i="13"/>
  <c r="K3202" i="13" s="1"/>
  <c r="H3201" i="13"/>
  <c r="H3200" i="13"/>
  <c r="K3199" i="13"/>
  <c r="I3199" i="13"/>
  <c r="H3199" i="13"/>
  <c r="K3198" i="13"/>
  <c r="H3198" i="13"/>
  <c r="H3197" i="13"/>
  <c r="H3196" i="13"/>
  <c r="K3195" i="13"/>
  <c r="I3195" i="13"/>
  <c r="H3195" i="13"/>
  <c r="H3194" i="13"/>
  <c r="H3193" i="13"/>
  <c r="H3192" i="13"/>
  <c r="K3191" i="13"/>
  <c r="I3191" i="13"/>
  <c r="H3191" i="13"/>
  <c r="K3190" i="13"/>
  <c r="H3190" i="13"/>
  <c r="H3189" i="13"/>
  <c r="H3188" i="13"/>
  <c r="K3187" i="13"/>
  <c r="I3187" i="13"/>
  <c r="H3187" i="13"/>
  <c r="H3186" i="13"/>
  <c r="K3186" i="13" s="1"/>
  <c r="H3185" i="13"/>
  <c r="H3184" i="13"/>
  <c r="K3183" i="13"/>
  <c r="I3183" i="13"/>
  <c r="H3183" i="13"/>
  <c r="K3182" i="13"/>
  <c r="H3182" i="13"/>
  <c r="H3181" i="13"/>
  <c r="H3180" i="13"/>
  <c r="K3179" i="13"/>
  <c r="I3179" i="13"/>
  <c r="H3179" i="13"/>
  <c r="H3178" i="13"/>
  <c r="H3177" i="13"/>
  <c r="H3176" i="13"/>
  <c r="K3175" i="13"/>
  <c r="I3175" i="13"/>
  <c r="H3175" i="13"/>
  <c r="K3174" i="13"/>
  <c r="H3174" i="13"/>
  <c r="H3173" i="13"/>
  <c r="H3172" i="13"/>
  <c r="K3171" i="13"/>
  <c r="I3171" i="13"/>
  <c r="H3171" i="13"/>
  <c r="H3170" i="13"/>
  <c r="K3170" i="13" s="1"/>
  <c r="H3169" i="13"/>
  <c r="H3168" i="13"/>
  <c r="K3167" i="13"/>
  <c r="I3167" i="13"/>
  <c r="H3167" i="13"/>
  <c r="K3166" i="13"/>
  <c r="H3166" i="13"/>
  <c r="H3165" i="13"/>
  <c r="H3164" i="13"/>
  <c r="K3163" i="13"/>
  <c r="I3163" i="13"/>
  <c r="H3163" i="13"/>
  <c r="H3162" i="13"/>
  <c r="H3161" i="13"/>
  <c r="H3160" i="13"/>
  <c r="K3159" i="13"/>
  <c r="I3159" i="13"/>
  <c r="H3159" i="13"/>
  <c r="K3158" i="13"/>
  <c r="H3158" i="13"/>
  <c r="H3157" i="13"/>
  <c r="H3156" i="13"/>
  <c r="K3155" i="13"/>
  <c r="I3155" i="13"/>
  <c r="H3155" i="13"/>
  <c r="H3154" i="13"/>
  <c r="K3154" i="13" s="1"/>
  <c r="H3153" i="13"/>
  <c r="H3152" i="13"/>
  <c r="K3151" i="13"/>
  <c r="I3151" i="13"/>
  <c r="H3151" i="13"/>
  <c r="K3150" i="13"/>
  <c r="H3150" i="13"/>
  <c r="H3149" i="13"/>
  <c r="H3148" i="13"/>
  <c r="K3147" i="13"/>
  <c r="I3147" i="13"/>
  <c r="H3147" i="13"/>
  <c r="H3146" i="13"/>
  <c r="H3145" i="13"/>
  <c r="H3144" i="13"/>
  <c r="K3143" i="13"/>
  <c r="I3143" i="13"/>
  <c r="H3143" i="13"/>
  <c r="K3142" i="13"/>
  <c r="H3142" i="13"/>
  <c r="H3141" i="13"/>
  <c r="H3140" i="13"/>
  <c r="K3139" i="13"/>
  <c r="I3139" i="13"/>
  <c r="H3139" i="13"/>
  <c r="H3138" i="13"/>
  <c r="K3138" i="13" s="1"/>
  <c r="H3137" i="13"/>
  <c r="H3136" i="13"/>
  <c r="K3135" i="13"/>
  <c r="I3135" i="13"/>
  <c r="H3135" i="13"/>
  <c r="K3134" i="13"/>
  <c r="H3134" i="13"/>
  <c r="H3133" i="13"/>
  <c r="H3132" i="13"/>
  <c r="K3131" i="13"/>
  <c r="I3131" i="13"/>
  <c r="H3131" i="13"/>
  <c r="H3130" i="13"/>
  <c r="H3129" i="13"/>
  <c r="K3128" i="13"/>
  <c r="I3128" i="13"/>
  <c r="H3128" i="13"/>
  <c r="H3127" i="13"/>
  <c r="K3127" i="13" s="1"/>
  <c r="H3126" i="13"/>
  <c r="K3126" i="13" s="1"/>
  <c r="I3126" i="13" s="1"/>
  <c r="H3125" i="13"/>
  <c r="K3125" i="13" s="1"/>
  <c r="K3124" i="13"/>
  <c r="I3124" i="13"/>
  <c r="H3124" i="13"/>
  <c r="K3123" i="13"/>
  <c r="H3123" i="13"/>
  <c r="I3122" i="13"/>
  <c r="H3122" i="13"/>
  <c r="K3122" i="13" s="1"/>
  <c r="K3121" i="13"/>
  <c r="H3121" i="13"/>
  <c r="K3120" i="13"/>
  <c r="I3120" i="13"/>
  <c r="H3120" i="13"/>
  <c r="H3119" i="13"/>
  <c r="H3118" i="13"/>
  <c r="K3118" i="13" s="1"/>
  <c r="I3118" i="13" s="1"/>
  <c r="H3117" i="13"/>
  <c r="K3116" i="13"/>
  <c r="I3116" i="13"/>
  <c r="H3116" i="13"/>
  <c r="K3115" i="13"/>
  <c r="H3115" i="13"/>
  <c r="I3114" i="13"/>
  <c r="H3114" i="13"/>
  <c r="K3114" i="13" s="1"/>
  <c r="K3113" i="13"/>
  <c r="H3113" i="13"/>
  <c r="K3112" i="13"/>
  <c r="I3112" i="13"/>
  <c r="H3112" i="13"/>
  <c r="H3111" i="13"/>
  <c r="K3111" i="13" s="1"/>
  <c r="H3110" i="13"/>
  <c r="K3110" i="13" s="1"/>
  <c r="I3110" i="13" s="1"/>
  <c r="H3109" i="13"/>
  <c r="K3109" i="13" s="1"/>
  <c r="K3108" i="13"/>
  <c r="I3108" i="13"/>
  <c r="H3108" i="13"/>
  <c r="K3107" i="13"/>
  <c r="H3107" i="13"/>
  <c r="I3106" i="13"/>
  <c r="H3106" i="13"/>
  <c r="K3106" i="13" s="1"/>
  <c r="K3105" i="13"/>
  <c r="H3105" i="13"/>
  <c r="K3104" i="13"/>
  <c r="I3104" i="13"/>
  <c r="H3104" i="13"/>
  <c r="K3103" i="13"/>
  <c r="I3103" i="13"/>
  <c r="H3103" i="13"/>
  <c r="I3102" i="13"/>
  <c r="H3102" i="13"/>
  <c r="K3102" i="13" s="1"/>
  <c r="K3101" i="13"/>
  <c r="H3101" i="13"/>
  <c r="K3100" i="13"/>
  <c r="I3100" i="13" s="1"/>
  <c r="H3100" i="13"/>
  <c r="H3099" i="13"/>
  <c r="K3099" i="13" s="1"/>
  <c r="I3099" i="13" s="1"/>
  <c r="I3098" i="13"/>
  <c r="H3098" i="13"/>
  <c r="K3098" i="13" s="1"/>
  <c r="K3097" i="13"/>
  <c r="H3097" i="13"/>
  <c r="K3096" i="13"/>
  <c r="I3096" i="13" s="1"/>
  <c r="H3096" i="13"/>
  <c r="K3095" i="13"/>
  <c r="I3095" i="13"/>
  <c r="H3095" i="13"/>
  <c r="I3094" i="13"/>
  <c r="H3094" i="13"/>
  <c r="K3094" i="13" s="1"/>
  <c r="K3093" i="13"/>
  <c r="H3093" i="13"/>
  <c r="K3092" i="13"/>
  <c r="I3092" i="13" s="1"/>
  <c r="H3092" i="13"/>
  <c r="H3091" i="13"/>
  <c r="K3091" i="13" s="1"/>
  <c r="I3091" i="13" s="1"/>
  <c r="I3090" i="13"/>
  <c r="H3090" i="13"/>
  <c r="K3090" i="13" s="1"/>
  <c r="K3089" i="13"/>
  <c r="H3089" i="13"/>
  <c r="K3088" i="13"/>
  <c r="I3088" i="13" s="1"/>
  <c r="H3088" i="13"/>
  <c r="K3087" i="13"/>
  <c r="I3087" i="13"/>
  <c r="H3087" i="13"/>
  <c r="I3086" i="13"/>
  <c r="H3086" i="13"/>
  <c r="K3086" i="13" s="1"/>
  <c r="K3085" i="13"/>
  <c r="H3085" i="13"/>
  <c r="K3084" i="13"/>
  <c r="I3084" i="13" s="1"/>
  <c r="H3084" i="13"/>
  <c r="H3083" i="13"/>
  <c r="K3083" i="13" s="1"/>
  <c r="I3083" i="13" s="1"/>
  <c r="I3082" i="13"/>
  <c r="H3082" i="13"/>
  <c r="K3082" i="13" s="1"/>
  <c r="K3081" i="13"/>
  <c r="H3081" i="13"/>
  <c r="K3080" i="13"/>
  <c r="I3080" i="13" s="1"/>
  <c r="H3080" i="13"/>
  <c r="K3079" i="13"/>
  <c r="I3079" i="13"/>
  <c r="H3079" i="13"/>
  <c r="I3078" i="13"/>
  <c r="H3078" i="13"/>
  <c r="K3078" i="13" s="1"/>
  <c r="K3077" i="13"/>
  <c r="H3077" i="13"/>
  <c r="H3076" i="13"/>
  <c r="K3076" i="13" s="1"/>
  <c r="H3075" i="13"/>
  <c r="K3075" i="13" s="1"/>
  <c r="I3075" i="13" s="1"/>
  <c r="K3074" i="13"/>
  <c r="H3074" i="13"/>
  <c r="I3074" i="13" s="1"/>
  <c r="K3073" i="13"/>
  <c r="I3073" i="13"/>
  <c r="H3073" i="13"/>
  <c r="H3072" i="13"/>
  <c r="K3072" i="13" s="1"/>
  <c r="H3071" i="13"/>
  <c r="K3071" i="13" s="1"/>
  <c r="I3071" i="13" s="1"/>
  <c r="K3070" i="13"/>
  <c r="H3070" i="13"/>
  <c r="I3070" i="13" s="1"/>
  <c r="K3069" i="13"/>
  <c r="I3069" i="13"/>
  <c r="H3069" i="13"/>
  <c r="H3068" i="13"/>
  <c r="K3068" i="13" s="1"/>
  <c r="H3067" i="13"/>
  <c r="K3067" i="13" s="1"/>
  <c r="I3067" i="13" s="1"/>
  <c r="K3066" i="13"/>
  <c r="H3066" i="13"/>
  <c r="I3066" i="13" s="1"/>
  <c r="K3065" i="13"/>
  <c r="I3065" i="13"/>
  <c r="H3065" i="13"/>
  <c r="H3064" i="13"/>
  <c r="K3064" i="13" s="1"/>
  <c r="H3063" i="13"/>
  <c r="K3063" i="13" s="1"/>
  <c r="I3063" i="13" s="1"/>
  <c r="K3062" i="13"/>
  <c r="H3062" i="13"/>
  <c r="I3062" i="13" s="1"/>
  <c r="K3061" i="13"/>
  <c r="I3061" i="13"/>
  <c r="H3061" i="13"/>
  <c r="H3060" i="13"/>
  <c r="K3060" i="13" s="1"/>
  <c r="H3059" i="13"/>
  <c r="K3059" i="13" s="1"/>
  <c r="I3059" i="13" s="1"/>
  <c r="K3058" i="13"/>
  <c r="H3058" i="13"/>
  <c r="I3058" i="13" s="1"/>
  <c r="K3057" i="13"/>
  <c r="I3057" i="13"/>
  <c r="H3057" i="13"/>
  <c r="H3056" i="13"/>
  <c r="K3056" i="13" s="1"/>
  <c r="H3055" i="13"/>
  <c r="K3055" i="13" s="1"/>
  <c r="I3055" i="13" s="1"/>
  <c r="K3054" i="13"/>
  <c r="H3054" i="13"/>
  <c r="I3054" i="13" s="1"/>
  <c r="K3053" i="13"/>
  <c r="I3053" i="13"/>
  <c r="H3053" i="13"/>
  <c r="H3052" i="13"/>
  <c r="K3052" i="13" s="1"/>
  <c r="H3051" i="13"/>
  <c r="K3051" i="13" s="1"/>
  <c r="I3051" i="13" s="1"/>
  <c r="K3050" i="13"/>
  <c r="H3050" i="13"/>
  <c r="I3050" i="13" s="1"/>
  <c r="K3049" i="13"/>
  <c r="I3049" i="13"/>
  <c r="H3049" i="13"/>
  <c r="H3048" i="13"/>
  <c r="K3048" i="13" s="1"/>
  <c r="H3047" i="13"/>
  <c r="K3047" i="13" s="1"/>
  <c r="I3047" i="13" s="1"/>
  <c r="K3046" i="13"/>
  <c r="H3046" i="13"/>
  <c r="I3046" i="13" s="1"/>
  <c r="K3045" i="13"/>
  <c r="I3045" i="13"/>
  <c r="H3045" i="13"/>
  <c r="H3044" i="13"/>
  <c r="K3044" i="13" s="1"/>
  <c r="H3043" i="13"/>
  <c r="K3043" i="13" s="1"/>
  <c r="I3043" i="13" s="1"/>
  <c r="K3042" i="13"/>
  <c r="H3042" i="13"/>
  <c r="I3042" i="13" s="1"/>
  <c r="K3041" i="13"/>
  <c r="I3041" i="13"/>
  <c r="H3041" i="13"/>
  <c r="H3040" i="13"/>
  <c r="K3040" i="13" s="1"/>
  <c r="H3039" i="13"/>
  <c r="K3039" i="13" s="1"/>
  <c r="I3039" i="13" s="1"/>
  <c r="K3038" i="13"/>
  <c r="H3038" i="13"/>
  <c r="I3038" i="13" s="1"/>
  <c r="K3037" i="13"/>
  <c r="I3037" i="13"/>
  <c r="H3037" i="13"/>
  <c r="H3036" i="13"/>
  <c r="K3036" i="13" s="1"/>
  <c r="H3035" i="13"/>
  <c r="K3035" i="13" s="1"/>
  <c r="I3035" i="13" s="1"/>
  <c r="K3034" i="13"/>
  <c r="H3034" i="13"/>
  <c r="I3034" i="13" s="1"/>
  <c r="K3033" i="13"/>
  <c r="I3033" i="13"/>
  <c r="H3033" i="13"/>
  <c r="H3032" i="13"/>
  <c r="H3031" i="13"/>
  <c r="K3031" i="13" s="1"/>
  <c r="I3031" i="13" s="1"/>
  <c r="K3030" i="13"/>
  <c r="H3030" i="13"/>
  <c r="K3029" i="13"/>
  <c r="I3029" i="13"/>
  <c r="H3029" i="13"/>
  <c r="H3028" i="13"/>
  <c r="H3027" i="13"/>
  <c r="K3027" i="13" s="1"/>
  <c r="I3027" i="13" s="1"/>
  <c r="K3026" i="13"/>
  <c r="H3026" i="13"/>
  <c r="I3026" i="13" s="1"/>
  <c r="K3025" i="13"/>
  <c r="I3025" i="13"/>
  <c r="H3025" i="13"/>
  <c r="H3024" i="13"/>
  <c r="H3023" i="13"/>
  <c r="K3023" i="13" s="1"/>
  <c r="I3023" i="13" s="1"/>
  <c r="K3022" i="13"/>
  <c r="H3022" i="13"/>
  <c r="K3021" i="13"/>
  <c r="I3021" i="13"/>
  <c r="H3021" i="13"/>
  <c r="H3020" i="13"/>
  <c r="H3019" i="13"/>
  <c r="K3019" i="13" s="1"/>
  <c r="I3019" i="13" s="1"/>
  <c r="K3018" i="13"/>
  <c r="H3018" i="13"/>
  <c r="I3018" i="13" s="1"/>
  <c r="K3017" i="13"/>
  <c r="I3017" i="13"/>
  <c r="H3017" i="13"/>
  <c r="H3016" i="13"/>
  <c r="H3015" i="13"/>
  <c r="K3015" i="13" s="1"/>
  <c r="I3015" i="13" s="1"/>
  <c r="K3014" i="13"/>
  <c r="H3014" i="13"/>
  <c r="K3013" i="13"/>
  <c r="I3013" i="13"/>
  <c r="H3013" i="13"/>
  <c r="H3012" i="13"/>
  <c r="H3011" i="13"/>
  <c r="K3011" i="13" s="1"/>
  <c r="I3011" i="13" s="1"/>
  <c r="K3010" i="13"/>
  <c r="H3010" i="13"/>
  <c r="I3010" i="13" s="1"/>
  <c r="K3009" i="13"/>
  <c r="I3009" i="13"/>
  <c r="H3009" i="13"/>
  <c r="H3008" i="13"/>
  <c r="H3007" i="13"/>
  <c r="K3007" i="13" s="1"/>
  <c r="I3007" i="13" s="1"/>
  <c r="K3006" i="13"/>
  <c r="H3006" i="13"/>
  <c r="K3005" i="13"/>
  <c r="I3005" i="13"/>
  <c r="H3005" i="13"/>
  <c r="H3004" i="13"/>
  <c r="H3003" i="13"/>
  <c r="K3003" i="13" s="1"/>
  <c r="I3003" i="13" s="1"/>
  <c r="K3002" i="13"/>
  <c r="H3002" i="13"/>
  <c r="I3002" i="13" s="1"/>
  <c r="K3001" i="13"/>
  <c r="I3001" i="13"/>
  <c r="H3001" i="13"/>
  <c r="H3000" i="13"/>
  <c r="H2999" i="13"/>
  <c r="K2999" i="13" s="1"/>
  <c r="I2999" i="13" s="1"/>
  <c r="K2998" i="13"/>
  <c r="H2998" i="13"/>
  <c r="K2997" i="13"/>
  <c r="I2997" i="13"/>
  <c r="H2997" i="13"/>
  <c r="H2996" i="13"/>
  <c r="H2995" i="13"/>
  <c r="K2995" i="13" s="1"/>
  <c r="I2995" i="13" s="1"/>
  <c r="K2994" i="13"/>
  <c r="H2994" i="13"/>
  <c r="I2994" i="13" s="1"/>
  <c r="K2993" i="13"/>
  <c r="I2993" i="13"/>
  <c r="H2993" i="13"/>
  <c r="H2992" i="13"/>
  <c r="H2991" i="13"/>
  <c r="K2991" i="13" s="1"/>
  <c r="I2991" i="13" s="1"/>
  <c r="K2990" i="13"/>
  <c r="H2990" i="13"/>
  <c r="K2989" i="13"/>
  <c r="I2989" i="13"/>
  <c r="H2989" i="13"/>
  <c r="H2988" i="13"/>
  <c r="H2987" i="13"/>
  <c r="K2987" i="13" s="1"/>
  <c r="I2987" i="13" s="1"/>
  <c r="K2986" i="13"/>
  <c r="H2986" i="13"/>
  <c r="I2986" i="13" s="1"/>
  <c r="K2985" i="13"/>
  <c r="I2985" i="13"/>
  <c r="H2985" i="13"/>
  <c r="H2984" i="13"/>
  <c r="H2983" i="13"/>
  <c r="K2983" i="13" s="1"/>
  <c r="I2983" i="13" s="1"/>
  <c r="K2982" i="13"/>
  <c r="H2982" i="13"/>
  <c r="K2981" i="13"/>
  <c r="I2981" i="13"/>
  <c r="H2981" i="13"/>
  <c r="H2980" i="13"/>
  <c r="H2979" i="13"/>
  <c r="K2979" i="13" s="1"/>
  <c r="I2979" i="13" s="1"/>
  <c r="K2978" i="13"/>
  <c r="H2978" i="13"/>
  <c r="I2978" i="13" s="1"/>
  <c r="K2977" i="13"/>
  <c r="I2977" i="13"/>
  <c r="H2977" i="13"/>
  <c r="H2976" i="13"/>
  <c r="H2975" i="13"/>
  <c r="K2975" i="13" s="1"/>
  <c r="I2975" i="13" s="1"/>
  <c r="K2974" i="13"/>
  <c r="H2974" i="13"/>
  <c r="K2973" i="13"/>
  <c r="I2973" i="13"/>
  <c r="H2973" i="13"/>
  <c r="H2972" i="13"/>
  <c r="H2971" i="13"/>
  <c r="K2970" i="13"/>
  <c r="H2970" i="13"/>
  <c r="I2970" i="13" s="1"/>
  <c r="K2969" i="13"/>
  <c r="I2969" i="13"/>
  <c r="H2969" i="13"/>
  <c r="H2968" i="13"/>
  <c r="H2967" i="13"/>
  <c r="K2966" i="13"/>
  <c r="H2966" i="13"/>
  <c r="K2965" i="13"/>
  <c r="I2965" i="13"/>
  <c r="H2965" i="13"/>
  <c r="H2964" i="13"/>
  <c r="H2963" i="13"/>
  <c r="K2962" i="13"/>
  <c r="H2962" i="13"/>
  <c r="I2962" i="13" s="1"/>
  <c r="K2961" i="13"/>
  <c r="I2961" i="13"/>
  <c r="H2961" i="13"/>
  <c r="H2960" i="13"/>
  <c r="H2959" i="13"/>
  <c r="K2958" i="13"/>
  <c r="H2958" i="13"/>
  <c r="K2957" i="13"/>
  <c r="I2957" i="13"/>
  <c r="H2957" i="13"/>
  <c r="H2956" i="13"/>
  <c r="H2955" i="13"/>
  <c r="K2954" i="13"/>
  <c r="H2954" i="13"/>
  <c r="I2954" i="13" s="1"/>
  <c r="K2953" i="13"/>
  <c r="I2953" i="13"/>
  <c r="H2953" i="13"/>
  <c r="H2952" i="13"/>
  <c r="H2951" i="13"/>
  <c r="K2950" i="13"/>
  <c r="H2950" i="13"/>
  <c r="K2949" i="13"/>
  <c r="I2949" i="13"/>
  <c r="H2949" i="13"/>
  <c r="H2948" i="13"/>
  <c r="H2947" i="13"/>
  <c r="K2946" i="13"/>
  <c r="H2946" i="13"/>
  <c r="I2946" i="13" s="1"/>
  <c r="K2945" i="13"/>
  <c r="I2945" i="13"/>
  <c r="H2945" i="13"/>
  <c r="H2944" i="13"/>
  <c r="H2943" i="13"/>
  <c r="K2942" i="13"/>
  <c r="H2942" i="13"/>
  <c r="K2941" i="13"/>
  <c r="I2941" i="13"/>
  <c r="H2941" i="13"/>
  <c r="H2940" i="13"/>
  <c r="H2939" i="13"/>
  <c r="K2938" i="13"/>
  <c r="H2938" i="13"/>
  <c r="I2938" i="13" s="1"/>
  <c r="K2937" i="13"/>
  <c r="I2937" i="13"/>
  <c r="H2937" i="13"/>
  <c r="H2936" i="13"/>
  <c r="H2935" i="13"/>
  <c r="K2934" i="13"/>
  <c r="H2934" i="13"/>
  <c r="K2933" i="13"/>
  <c r="I2933" i="13"/>
  <c r="H2933" i="13"/>
  <c r="H2932" i="13"/>
  <c r="H2931" i="13"/>
  <c r="K2930" i="13"/>
  <c r="H2930" i="13"/>
  <c r="I2930" i="13" s="1"/>
  <c r="K2929" i="13"/>
  <c r="I2929" i="13"/>
  <c r="H2929" i="13"/>
  <c r="I2928" i="13"/>
  <c r="H2928" i="13"/>
  <c r="K2928" i="13" s="1"/>
  <c r="H2927" i="13"/>
  <c r="K2926" i="13"/>
  <c r="H2926" i="13"/>
  <c r="I2926" i="13" s="1"/>
  <c r="K2925" i="13"/>
  <c r="I2925" i="13"/>
  <c r="H2925" i="13"/>
  <c r="I2924" i="13"/>
  <c r="H2924" i="13"/>
  <c r="K2924" i="13" s="1"/>
  <c r="H2923" i="13"/>
  <c r="K2922" i="13"/>
  <c r="H2922" i="13"/>
  <c r="I2922" i="13" s="1"/>
  <c r="K2921" i="13"/>
  <c r="I2921" i="13"/>
  <c r="H2921" i="13"/>
  <c r="I2920" i="13"/>
  <c r="H2920" i="13"/>
  <c r="K2920" i="13" s="1"/>
  <c r="H2919" i="13"/>
  <c r="K2918" i="13"/>
  <c r="H2918" i="13"/>
  <c r="I2918" i="13" s="1"/>
  <c r="K2917" i="13"/>
  <c r="I2917" i="13" s="1"/>
  <c r="H2917" i="13"/>
  <c r="H2916" i="13"/>
  <c r="K2916" i="13" s="1"/>
  <c r="I2916" i="13" s="1"/>
  <c r="H2915" i="13"/>
  <c r="K2914" i="13"/>
  <c r="H2914" i="13"/>
  <c r="I2914" i="13" s="1"/>
  <c r="K2913" i="13"/>
  <c r="I2913" i="13" s="1"/>
  <c r="H2913" i="13"/>
  <c r="H2912" i="13"/>
  <c r="K2912" i="13" s="1"/>
  <c r="H2911" i="13"/>
  <c r="K2910" i="13"/>
  <c r="H2910" i="13"/>
  <c r="I2910" i="13" s="1"/>
  <c r="K2909" i="13"/>
  <c r="I2909" i="13" s="1"/>
  <c r="H2909" i="13"/>
  <c r="H2908" i="13"/>
  <c r="K2908" i="13" s="1"/>
  <c r="H2907" i="13"/>
  <c r="K2906" i="13"/>
  <c r="H2906" i="13"/>
  <c r="I2906" i="13" s="1"/>
  <c r="K2905" i="13"/>
  <c r="I2905" i="13" s="1"/>
  <c r="H2905" i="13"/>
  <c r="H2904" i="13"/>
  <c r="K2904" i="13" s="1"/>
  <c r="H2903" i="13"/>
  <c r="K2902" i="13"/>
  <c r="H2902" i="13"/>
  <c r="I2902" i="13" s="1"/>
  <c r="K2901" i="13"/>
  <c r="I2901" i="13" s="1"/>
  <c r="H2901" i="13"/>
  <c r="H2900" i="13"/>
  <c r="K2900" i="13" s="1"/>
  <c r="H2899" i="13"/>
  <c r="K2898" i="13"/>
  <c r="H2898" i="13"/>
  <c r="I2898" i="13" s="1"/>
  <c r="K2897" i="13"/>
  <c r="I2897" i="13" s="1"/>
  <c r="H2897" i="13"/>
  <c r="H2896" i="13"/>
  <c r="K2896" i="13" s="1"/>
  <c r="H2895" i="13"/>
  <c r="K2894" i="13"/>
  <c r="H2894" i="13"/>
  <c r="I2894" i="13" s="1"/>
  <c r="K2893" i="13"/>
  <c r="I2893" i="13" s="1"/>
  <c r="H2893" i="13"/>
  <c r="H2892" i="13"/>
  <c r="K2892" i="13" s="1"/>
  <c r="I2891" i="13"/>
  <c r="H2891" i="13"/>
  <c r="K2891" i="13" s="1"/>
  <c r="H2890" i="13"/>
  <c r="K2889" i="13"/>
  <c r="I2889" i="13" s="1"/>
  <c r="H2889" i="13"/>
  <c r="K2888" i="13"/>
  <c r="I2888" i="13" s="1"/>
  <c r="H2888" i="13"/>
  <c r="H2887" i="13"/>
  <c r="K2887" i="13" s="1"/>
  <c r="K2886" i="13"/>
  <c r="H2886" i="13"/>
  <c r="K2885" i="13"/>
  <c r="I2885" i="13"/>
  <c r="H2885" i="13"/>
  <c r="H2884" i="13"/>
  <c r="H2883" i="13"/>
  <c r="K2883" i="13" s="1"/>
  <c r="I2883" i="13" s="1"/>
  <c r="H2882" i="13"/>
  <c r="K2881" i="13"/>
  <c r="I2881" i="13" s="1"/>
  <c r="H2881" i="13"/>
  <c r="K2880" i="13"/>
  <c r="H2880" i="13"/>
  <c r="I2880" i="13" s="1"/>
  <c r="H2879" i="13"/>
  <c r="K2879" i="13" s="1"/>
  <c r="H2878" i="13"/>
  <c r="K2877" i="13"/>
  <c r="I2877" i="13"/>
  <c r="H2877" i="13"/>
  <c r="H2876" i="13"/>
  <c r="H2875" i="13"/>
  <c r="K2875" i="13" s="1"/>
  <c r="H2874" i="13"/>
  <c r="K2873" i="13"/>
  <c r="I2873" i="13"/>
  <c r="H2873" i="13"/>
  <c r="K2872" i="13"/>
  <c r="H2872" i="13"/>
  <c r="I2872" i="13" s="1"/>
  <c r="H2871" i="13"/>
  <c r="K2871" i="13" s="1"/>
  <c r="H2870" i="13"/>
  <c r="K2869" i="13"/>
  <c r="I2869" i="13"/>
  <c r="H2869" i="13"/>
  <c r="H2868" i="13"/>
  <c r="H2867" i="13"/>
  <c r="K2867" i="13" s="1"/>
  <c r="H2866" i="13"/>
  <c r="K2865" i="13"/>
  <c r="I2865" i="13"/>
  <c r="H2865" i="13"/>
  <c r="K2864" i="13"/>
  <c r="H2864" i="13"/>
  <c r="I2864" i="13" s="1"/>
  <c r="H2863" i="13"/>
  <c r="K2863" i="13" s="1"/>
  <c r="H2862" i="13"/>
  <c r="K2861" i="13"/>
  <c r="I2861" i="13"/>
  <c r="H2861" i="13"/>
  <c r="H2860" i="13"/>
  <c r="H2859" i="13"/>
  <c r="K2859" i="13" s="1"/>
  <c r="H2858" i="13"/>
  <c r="K2857" i="13"/>
  <c r="I2857" i="13"/>
  <c r="H2857" i="13"/>
  <c r="K2856" i="13"/>
  <c r="H2856" i="13"/>
  <c r="I2856" i="13" s="1"/>
  <c r="H2855" i="13"/>
  <c r="H2854" i="13"/>
  <c r="K2853" i="13"/>
  <c r="I2853" i="13"/>
  <c r="H2853" i="13"/>
  <c r="H2852" i="13"/>
  <c r="H2851" i="13"/>
  <c r="K2851" i="13" s="1"/>
  <c r="H2850" i="13"/>
  <c r="K2849" i="13"/>
  <c r="I2849" i="13"/>
  <c r="H2849" i="13"/>
  <c r="K2848" i="13"/>
  <c r="H2848" i="13"/>
  <c r="H2847" i="13"/>
  <c r="H2846" i="13"/>
  <c r="K2845" i="13"/>
  <c r="I2845" i="13"/>
  <c r="H2845" i="13"/>
  <c r="H2844" i="13"/>
  <c r="H2843" i="13"/>
  <c r="K2843" i="13" s="1"/>
  <c r="H2842" i="13"/>
  <c r="K2841" i="13"/>
  <c r="I2841" i="13"/>
  <c r="H2841" i="13"/>
  <c r="K2840" i="13"/>
  <c r="H2840" i="13"/>
  <c r="I2840" i="13" s="1"/>
  <c r="H2839" i="13"/>
  <c r="H2838" i="13"/>
  <c r="K2837" i="13"/>
  <c r="I2837" i="13"/>
  <c r="H2837" i="13"/>
  <c r="H2836" i="13"/>
  <c r="H2835" i="13"/>
  <c r="K2835" i="13" s="1"/>
  <c r="H2834" i="13"/>
  <c r="K2833" i="13"/>
  <c r="I2833" i="13"/>
  <c r="H2833" i="13"/>
  <c r="K2832" i="13"/>
  <c r="H2832" i="13"/>
  <c r="H2831" i="13"/>
  <c r="H2830" i="13"/>
  <c r="K2829" i="13"/>
  <c r="I2829" i="13"/>
  <c r="H2829" i="13"/>
  <c r="H2828" i="13"/>
  <c r="H2827" i="13"/>
  <c r="K2827" i="13" s="1"/>
  <c r="H2826" i="13"/>
  <c r="K2825" i="13"/>
  <c r="I2825" i="13"/>
  <c r="H2825" i="13"/>
  <c r="K2824" i="13"/>
  <c r="H2824" i="13"/>
  <c r="I2824" i="13" s="1"/>
  <c r="H2823" i="13"/>
  <c r="H2822" i="13"/>
  <c r="K2821" i="13"/>
  <c r="I2821" i="13"/>
  <c r="H2821" i="13"/>
  <c r="H2820" i="13"/>
  <c r="H2819" i="13"/>
  <c r="K2819" i="13" s="1"/>
  <c r="H2818" i="13"/>
  <c r="K2817" i="13"/>
  <c r="I2817" i="13"/>
  <c r="H2817" i="13"/>
  <c r="K2816" i="13"/>
  <c r="H2816" i="13"/>
  <c r="H2815" i="13"/>
  <c r="H2814" i="13"/>
  <c r="K2813" i="13"/>
  <c r="I2813" i="13"/>
  <c r="H2813" i="13"/>
  <c r="H2812" i="13"/>
  <c r="H2811" i="13"/>
  <c r="H2810" i="13"/>
  <c r="H2809" i="13"/>
  <c r="K2809" i="13" s="1"/>
  <c r="I2809" i="13" s="1"/>
  <c r="H2808" i="13"/>
  <c r="K2808" i="13" s="1"/>
  <c r="K2807" i="13"/>
  <c r="I2807" i="13"/>
  <c r="H2807" i="13"/>
  <c r="K2806" i="13"/>
  <c r="H2806" i="13"/>
  <c r="I2805" i="13"/>
  <c r="H2805" i="13"/>
  <c r="K2805" i="13" s="1"/>
  <c r="K2804" i="13"/>
  <c r="H2804" i="13"/>
  <c r="K2803" i="13"/>
  <c r="I2803" i="13"/>
  <c r="H2803" i="13"/>
  <c r="H2802" i="13"/>
  <c r="H2801" i="13"/>
  <c r="K2801" i="13" s="1"/>
  <c r="I2801" i="13" s="1"/>
  <c r="H2800" i="13"/>
  <c r="K2799" i="13"/>
  <c r="I2799" i="13"/>
  <c r="H2799" i="13"/>
  <c r="K2798" i="13"/>
  <c r="H2798" i="13"/>
  <c r="I2797" i="13"/>
  <c r="H2797" i="13"/>
  <c r="K2797" i="13" s="1"/>
  <c r="K2796" i="13"/>
  <c r="H2796" i="13"/>
  <c r="K2795" i="13"/>
  <c r="I2795" i="13"/>
  <c r="H2795" i="13"/>
  <c r="H2794" i="13"/>
  <c r="K2794" i="13" s="1"/>
  <c r="H2793" i="13"/>
  <c r="K2793" i="13" s="1"/>
  <c r="I2793" i="13" s="1"/>
  <c r="H2792" i="13"/>
  <c r="K2792" i="13" s="1"/>
  <c r="K2791" i="13"/>
  <c r="I2791" i="13"/>
  <c r="H2791" i="13"/>
  <c r="K2790" i="13"/>
  <c r="H2790" i="13"/>
  <c r="I2789" i="13"/>
  <c r="H2789" i="13"/>
  <c r="K2789" i="13" s="1"/>
  <c r="K2788" i="13"/>
  <c r="H2788" i="13"/>
  <c r="K2787" i="13"/>
  <c r="I2787" i="13"/>
  <c r="H2787" i="13"/>
  <c r="H2786" i="13"/>
  <c r="H2785" i="13"/>
  <c r="K2785" i="13" s="1"/>
  <c r="I2785" i="13" s="1"/>
  <c r="H2784" i="13"/>
  <c r="K2783" i="13"/>
  <c r="I2783" i="13"/>
  <c r="H2783" i="13"/>
  <c r="K2782" i="13"/>
  <c r="H2782" i="13"/>
  <c r="I2781" i="13"/>
  <c r="H2781" i="13"/>
  <c r="K2781" i="13" s="1"/>
  <c r="K2780" i="13"/>
  <c r="H2780" i="13"/>
  <c r="K2779" i="13"/>
  <c r="I2779" i="13"/>
  <c r="H2779" i="13"/>
  <c r="H2778" i="13"/>
  <c r="K2778" i="13" s="1"/>
  <c r="H2777" i="13"/>
  <c r="K2777" i="13" s="1"/>
  <c r="I2777" i="13" s="1"/>
  <c r="H2776" i="13"/>
  <c r="K2776" i="13" s="1"/>
  <c r="K2775" i="13"/>
  <c r="I2775" i="13"/>
  <c r="H2775" i="13"/>
  <c r="K2774" i="13"/>
  <c r="H2774" i="13"/>
  <c r="I2773" i="13"/>
  <c r="H2773" i="13"/>
  <c r="K2773" i="13" s="1"/>
  <c r="K2772" i="13"/>
  <c r="H2772" i="13"/>
  <c r="K2771" i="13"/>
  <c r="I2771" i="13"/>
  <c r="H2771" i="13"/>
  <c r="H2770" i="13"/>
  <c r="H2769" i="13"/>
  <c r="K2769" i="13" s="1"/>
  <c r="I2769" i="13" s="1"/>
  <c r="H2768" i="13"/>
  <c r="K2767" i="13"/>
  <c r="I2767" i="13"/>
  <c r="H2767" i="13"/>
  <c r="K2766" i="13"/>
  <c r="H2766" i="13"/>
  <c r="I2765" i="13"/>
  <c r="H2765" i="13"/>
  <c r="K2765" i="13" s="1"/>
  <c r="K2764" i="13"/>
  <c r="H2764" i="13"/>
  <c r="K2763" i="13"/>
  <c r="I2763" i="13"/>
  <c r="H2763" i="13"/>
  <c r="H2762" i="13"/>
  <c r="K2762" i="13" s="1"/>
  <c r="I2762" i="13" s="1"/>
  <c r="I2761" i="13"/>
  <c r="H2761" i="13"/>
  <c r="K2761" i="13" s="1"/>
  <c r="K2760" i="13"/>
  <c r="H2760" i="13"/>
  <c r="K2759" i="13"/>
  <c r="I2759" i="13" s="1"/>
  <c r="H2759" i="13"/>
  <c r="H2758" i="13"/>
  <c r="K2758" i="13" s="1"/>
  <c r="I2758" i="13" s="1"/>
  <c r="I2757" i="13"/>
  <c r="H2757" i="13"/>
  <c r="K2757" i="13" s="1"/>
  <c r="K2756" i="13"/>
  <c r="H2756" i="13"/>
  <c r="K2755" i="13"/>
  <c r="I2755" i="13" s="1"/>
  <c r="H2755" i="13"/>
  <c r="H2754" i="13"/>
  <c r="K2754" i="13" s="1"/>
  <c r="I2754" i="13" s="1"/>
  <c r="I2753" i="13"/>
  <c r="H2753" i="13"/>
  <c r="K2753" i="13" s="1"/>
  <c r="K2752" i="13"/>
  <c r="H2752" i="13"/>
  <c r="K2751" i="13"/>
  <c r="I2751" i="13" s="1"/>
  <c r="H2751" i="13"/>
  <c r="H2750" i="13"/>
  <c r="K2750" i="13" s="1"/>
  <c r="I2750" i="13" s="1"/>
  <c r="I2749" i="13"/>
  <c r="H2749" i="13"/>
  <c r="K2749" i="13" s="1"/>
  <c r="K2748" i="13"/>
  <c r="H2748" i="13"/>
  <c r="K2747" i="13"/>
  <c r="I2747" i="13" s="1"/>
  <c r="H2747" i="13"/>
  <c r="H2746" i="13"/>
  <c r="K2746" i="13" s="1"/>
  <c r="I2746" i="13" s="1"/>
  <c r="I2745" i="13"/>
  <c r="H2745" i="13"/>
  <c r="K2745" i="13" s="1"/>
  <c r="K2744" i="13"/>
  <c r="H2744" i="13"/>
  <c r="K2743" i="13"/>
  <c r="I2743" i="13" s="1"/>
  <c r="H2743" i="13"/>
  <c r="H2742" i="13"/>
  <c r="K2742" i="13" s="1"/>
  <c r="I2742" i="13" s="1"/>
  <c r="I2741" i="13"/>
  <c r="H2741" i="13"/>
  <c r="K2741" i="13" s="1"/>
  <c r="K2740" i="13"/>
  <c r="H2740" i="13"/>
  <c r="K2739" i="13"/>
  <c r="I2739" i="13" s="1"/>
  <c r="H2739" i="13"/>
  <c r="H2738" i="13"/>
  <c r="K2738" i="13" s="1"/>
  <c r="I2738" i="13" s="1"/>
  <c r="I2737" i="13"/>
  <c r="H2737" i="13"/>
  <c r="K2737" i="13" s="1"/>
  <c r="K2736" i="13"/>
  <c r="H2736" i="13"/>
  <c r="K2735" i="13"/>
  <c r="I2735" i="13" s="1"/>
  <c r="H2735" i="13"/>
  <c r="H2734" i="13"/>
  <c r="K2734" i="13" s="1"/>
  <c r="I2734" i="13" s="1"/>
  <c r="I2733" i="13"/>
  <c r="H2733" i="13"/>
  <c r="K2733" i="13" s="1"/>
  <c r="K2732" i="13"/>
  <c r="H2732" i="13"/>
  <c r="K2731" i="13"/>
  <c r="I2731" i="13" s="1"/>
  <c r="H2731" i="13"/>
  <c r="H2730" i="13"/>
  <c r="K2730" i="13" s="1"/>
  <c r="I2730" i="13" s="1"/>
  <c r="I2729" i="13"/>
  <c r="H2729" i="13"/>
  <c r="K2729" i="13" s="1"/>
  <c r="H2728" i="13"/>
  <c r="K2728" i="13" s="1"/>
  <c r="K2727" i="13"/>
  <c r="I2727" i="13"/>
  <c r="H2727" i="13"/>
  <c r="K2726" i="13"/>
  <c r="H2726" i="13"/>
  <c r="I2726" i="13" s="1"/>
  <c r="H2725" i="13"/>
  <c r="K2725" i="13" s="1"/>
  <c r="I2725" i="13" s="1"/>
  <c r="H2724" i="13"/>
  <c r="K2724" i="13" s="1"/>
  <c r="K2723" i="13"/>
  <c r="I2723" i="13"/>
  <c r="H2723" i="13"/>
  <c r="K2722" i="13"/>
  <c r="H2722" i="13"/>
  <c r="I2722" i="13" s="1"/>
  <c r="H2721" i="13"/>
  <c r="K2721" i="13" s="1"/>
  <c r="I2721" i="13" s="1"/>
  <c r="H2720" i="13"/>
  <c r="K2720" i="13" s="1"/>
  <c r="K2719" i="13"/>
  <c r="I2719" i="13"/>
  <c r="H2719" i="13"/>
  <c r="H2718" i="13"/>
  <c r="K2718" i="13" s="1"/>
  <c r="H2717" i="13"/>
  <c r="K2717" i="13" s="1"/>
  <c r="I2717" i="13" s="1"/>
  <c r="H2716" i="13"/>
  <c r="K2716" i="13" s="1"/>
  <c r="K2715" i="13"/>
  <c r="I2715" i="13"/>
  <c r="H2715" i="13"/>
  <c r="H2714" i="13"/>
  <c r="K2714" i="13" s="1"/>
  <c r="H2713" i="13"/>
  <c r="K2713" i="13" s="1"/>
  <c r="I2713" i="13" s="1"/>
  <c r="K2712" i="13"/>
  <c r="H2712" i="13"/>
  <c r="I2712" i="13" s="1"/>
  <c r="K2711" i="13"/>
  <c r="I2711" i="13"/>
  <c r="H2711" i="13"/>
  <c r="H2710" i="13"/>
  <c r="K2710" i="13" s="1"/>
  <c r="H2709" i="13"/>
  <c r="K2709" i="13" s="1"/>
  <c r="I2709" i="13" s="1"/>
  <c r="K2708" i="13"/>
  <c r="H2708" i="13"/>
  <c r="I2708" i="13" s="1"/>
  <c r="K2707" i="13"/>
  <c r="I2707" i="13"/>
  <c r="H2707" i="13"/>
  <c r="H2706" i="13"/>
  <c r="K2706" i="13" s="1"/>
  <c r="H2705" i="13"/>
  <c r="K2705" i="13" s="1"/>
  <c r="I2705" i="13" s="1"/>
  <c r="K2704" i="13"/>
  <c r="H2704" i="13"/>
  <c r="I2704" i="13" s="1"/>
  <c r="K2703" i="13"/>
  <c r="I2703" i="13"/>
  <c r="H2703" i="13"/>
  <c r="H2702" i="13"/>
  <c r="K2702" i="13" s="1"/>
  <c r="H2701" i="13"/>
  <c r="K2701" i="13" s="1"/>
  <c r="I2701" i="13" s="1"/>
  <c r="K2700" i="13"/>
  <c r="H2700" i="13"/>
  <c r="I2700" i="13" s="1"/>
  <c r="K2699" i="13"/>
  <c r="I2699" i="13"/>
  <c r="H2699" i="13"/>
  <c r="H2698" i="13"/>
  <c r="K2698" i="13" s="1"/>
  <c r="H2697" i="13"/>
  <c r="K2697" i="13" s="1"/>
  <c r="I2697" i="13" s="1"/>
  <c r="K2696" i="13"/>
  <c r="H2696" i="13"/>
  <c r="I2696" i="13" s="1"/>
  <c r="K2695" i="13"/>
  <c r="I2695" i="13"/>
  <c r="H2695" i="13"/>
  <c r="H2694" i="13"/>
  <c r="H2693" i="13"/>
  <c r="K2693" i="13" s="1"/>
  <c r="I2693" i="13" s="1"/>
  <c r="K2692" i="13"/>
  <c r="H2692" i="13"/>
  <c r="K2691" i="13"/>
  <c r="I2691" i="13"/>
  <c r="H2691" i="13"/>
  <c r="H2690" i="13"/>
  <c r="H2689" i="13"/>
  <c r="K2689" i="13" s="1"/>
  <c r="I2689" i="13" s="1"/>
  <c r="K2688" i="13"/>
  <c r="H2688" i="13"/>
  <c r="I2688" i="13" s="1"/>
  <c r="K2687" i="13"/>
  <c r="I2687" i="13"/>
  <c r="H2687" i="13"/>
  <c r="H2686" i="13"/>
  <c r="H2685" i="13"/>
  <c r="K2685" i="13" s="1"/>
  <c r="I2685" i="13" s="1"/>
  <c r="K2684" i="13"/>
  <c r="H2684" i="13"/>
  <c r="I2684" i="13" s="1"/>
  <c r="K2683" i="13"/>
  <c r="I2683" i="13"/>
  <c r="H2683" i="13"/>
  <c r="H2682" i="13"/>
  <c r="H2681" i="13"/>
  <c r="K2681" i="13" s="1"/>
  <c r="I2681" i="13" s="1"/>
  <c r="K2680" i="13"/>
  <c r="H2680" i="13"/>
  <c r="I2680" i="13" s="1"/>
  <c r="K2679" i="13"/>
  <c r="I2679" i="13"/>
  <c r="H2679" i="13"/>
  <c r="H2678" i="13"/>
  <c r="H2677" i="13"/>
  <c r="K2677" i="13" s="1"/>
  <c r="K2676" i="13"/>
  <c r="H2676" i="13"/>
  <c r="K2675" i="13"/>
  <c r="I2675" i="13"/>
  <c r="H2675" i="13"/>
  <c r="H2674" i="13"/>
  <c r="H2673" i="13"/>
  <c r="K2673" i="13" s="1"/>
  <c r="K2672" i="13"/>
  <c r="H2672" i="13"/>
  <c r="I2672" i="13" s="1"/>
  <c r="K2671" i="13"/>
  <c r="I2671" i="13"/>
  <c r="H2671" i="13"/>
  <c r="I2670" i="13"/>
  <c r="H2670" i="13"/>
  <c r="K2670" i="13" s="1"/>
  <c r="H2669" i="13"/>
  <c r="K2668" i="13"/>
  <c r="H2668" i="13"/>
  <c r="I2668" i="13" s="1"/>
  <c r="K2667" i="13"/>
  <c r="I2667" i="13"/>
  <c r="H2667" i="13"/>
  <c r="I2666" i="13"/>
  <c r="H2666" i="13"/>
  <c r="K2666" i="13" s="1"/>
  <c r="H2665" i="13"/>
  <c r="K2664" i="13"/>
  <c r="H2664" i="13"/>
  <c r="I2664" i="13" s="1"/>
  <c r="K2663" i="13"/>
  <c r="I2663" i="13"/>
  <c r="H2663" i="13"/>
  <c r="K2662" i="13"/>
  <c r="H2662" i="13"/>
  <c r="I2662" i="13" s="1"/>
  <c r="H2661" i="13"/>
  <c r="K2661" i="13" s="1"/>
  <c r="H2660" i="13"/>
  <c r="K2659" i="13"/>
  <c r="I2659" i="13"/>
  <c r="H2659" i="13"/>
  <c r="H2658" i="13"/>
  <c r="H2657" i="13"/>
  <c r="K2657" i="13" s="1"/>
  <c r="H2656" i="13"/>
  <c r="K2655" i="13"/>
  <c r="I2655" i="13"/>
  <c r="H2655" i="13"/>
  <c r="K2654" i="13"/>
  <c r="H2654" i="13"/>
  <c r="I2654" i="13" s="1"/>
  <c r="H2653" i="13"/>
  <c r="K2653" i="13" s="1"/>
  <c r="H2652" i="13"/>
  <c r="K2651" i="13"/>
  <c r="I2651" i="13"/>
  <c r="H2651" i="13"/>
  <c r="H2650" i="13"/>
  <c r="H2649" i="13"/>
  <c r="K2649" i="13" s="1"/>
  <c r="H2648" i="13"/>
  <c r="K2647" i="13"/>
  <c r="I2647" i="13"/>
  <c r="H2647" i="13"/>
  <c r="K2646" i="13"/>
  <c r="H2646" i="13"/>
  <c r="I2646" i="13" s="1"/>
  <c r="H2645" i="13"/>
  <c r="K2645" i="13" s="1"/>
  <c r="H2644" i="13"/>
  <c r="K2643" i="13"/>
  <c r="I2643" i="13"/>
  <c r="H2643" i="13"/>
  <c r="H2642" i="13"/>
  <c r="H2641" i="13"/>
  <c r="K2641" i="13" s="1"/>
  <c r="H2640" i="13"/>
  <c r="K2639" i="13"/>
  <c r="I2639" i="13"/>
  <c r="H2639" i="13"/>
  <c r="K2638" i="13"/>
  <c r="H2638" i="13"/>
  <c r="I2638" i="13" s="1"/>
  <c r="H2637" i="13"/>
  <c r="K2637" i="13" s="1"/>
  <c r="H2636" i="13"/>
  <c r="K2635" i="13"/>
  <c r="I2635" i="13"/>
  <c r="H2635" i="13"/>
  <c r="H2634" i="13"/>
  <c r="H2633" i="13"/>
  <c r="K2633" i="13" s="1"/>
  <c r="H2632" i="13"/>
  <c r="K2631" i="13"/>
  <c r="I2631" i="13"/>
  <c r="H2631" i="13"/>
  <c r="K2630" i="13"/>
  <c r="H2630" i="13"/>
  <c r="I2630" i="13" s="1"/>
  <c r="H2629" i="13"/>
  <c r="K2629" i="13" s="1"/>
  <c r="H2628" i="13"/>
  <c r="K2627" i="13"/>
  <c r="I2627" i="13"/>
  <c r="H2627" i="13"/>
  <c r="H2626" i="13"/>
  <c r="H2625" i="13"/>
  <c r="K2625" i="13" s="1"/>
  <c r="K2624" i="13"/>
  <c r="I2624" i="13"/>
  <c r="H2624" i="13"/>
  <c r="H2623" i="13"/>
  <c r="H2622" i="13"/>
  <c r="K2622" i="13" s="1"/>
  <c r="K2621" i="13"/>
  <c r="H2621" i="13"/>
  <c r="I2621" i="13" s="1"/>
  <c r="K2620" i="13"/>
  <c r="I2620" i="13"/>
  <c r="H2620" i="13"/>
  <c r="H2619" i="13"/>
  <c r="H2618" i="13"/>
  <c r="K2618" i="13" s="1"/>
  <c r="K2617" i="13"/>
  <c r="H2617" i="13"/>
  <c r="I2617" i="13" s="1"/>
  <c r="K2616" i="13"/>
  <c r="I2616" i="13"/>
  <c r="H2616" i="13"/>
  <c r="H2615" i="13"/>
  <c r="H2614" i="13"/>
  <c r="K2614" i="13" s="1"/>
  <c r="K2613" i="13"/>
  <c r="H2613" i="13"/>
  <c r="I2613" i="13" s="1"/>
  <c r="K2612" i="13"/>
  <c r="I2612" i="13"/>
  <c r="H2612" i="13"/>
  <c r="H2611" i="13"/>
  <c r="H2610" i="13"/>
  <c r="K2610" i="13" s="1"/>
  <c r="K2609" i="13"/>
  <c r="H2609" i="13"/>
  <c r="I2609" i="13" s="1"/>
  <c r="K2608" i="13"/>
  <c r="I2608" i="13"/>
  <c r="H2608" i="13"/>
  <c r="H2607" i="13"/>
  <c r="H2606" i="13"/>
  <c r="K2606" i="13" s="1"/>
  <c r="K2605" i="13"/>
  <c r="H2605" i="13"/>
  <c r="I2605" i="13" s="1"/>
  <c r="K2604" i="13"/>
  <c r="I2604" i="13"/>
  <c r="H2604" i="13"/>
  <c r="H2603" i="13"/>
  <c r="H2602" i="13"/>
  <c r="K2602" i="13" s="1"/>
  <c r="K2601" i="13"/>
  <c r="H2601" i="13"/>
  <c r="I2601" i="13" s="1"/>
  <c r="K2600" i="13"/>
  <c r="I2600" i="13"/>
  <c r="H2600" i="13"/>
  <c r="H2599" i="13"/>
  <c r="H2598" i="13"/>
  <c r="K2598" i="13" s="1"/>
  <c r="K2597" i="13"/>
  <c r="H2597" i="13"/>
  <c r="I2597" i="13" s="1"/>
  <c r="K2596" i="13"/>
  <c r="I2596" i="13"/>
  <c r="H2596" i="13"/>
  <c r="H2595" i="13"/>
  <c r="H2594" i="13"/>
  <c r="K2594" i="13" s="1"/>
  <c r="K2593" i="13"/>
  <c r="H2593" i="13"/>
  <c r="I2593" i="13" s="1"/>
  <c r="K2592" i="13"/>
  <c r="I2592" i="13"/>
  <c r="H2592" i="13"/>
  <c r="H2591" i="13"/>
  <c r="H2590" i="13"/>
  <c r="K2590" i="13" s="1"/>
  <c r="K2589" i="13"/>
  <c r="H2589" i="13"/>
  <c r="I2589" i="13" s="1"/>
  <c r="K2588" i="13"/>
  <c r="I2588" i="13"/>
  <c r="H2588" i="13"/>
  <c r="H2587" i="13"/>
  <c r="H2586" i="13"/>
  <c r="K2586" i="13" s="1"/>
  <c r="K2585" i="13"/>
  <c r="H2585" i="13"/>
  <c r="I2585" i="13" s="1"/>
  <c r="K2584" i="13"/>
  <c r="I2584" i="13"/>
  <c r="H2584" i="13"/>
  <c r="H2583" i="13"/>
  <c r="H2582" i="13"/>
  <c r="K2582" i="13" s="1"/>
  <c r="K2581" i="13"/>
  <c r="H2581" i="13"/>
  <c r="I2581" i="13" s="1"/>
  <c r="K2580" i="13"/>
  <c r="I2580" i="13"/>
  <c r="H2580" i="13"/>
  <c r="H2579" i="13"/>
  <c r="H2578" i="13"/>
  <c r="K2578" i="13" s="1"/>
  <c r="K2577" i="13"/>
  <c r="H2577" i="13"/>
  <c r="I2577" i="13" s="1"/>
  <c r="K2576" i="13"/>
  <c r="I2576" i="13"/>
  <c r="H2576" i="13"/>
  <c r="H2575" i="13"/>
  <c r="H2574" i="13"/>
  <c r="K2574" i="13" s="1"/>
  <c r="K2573" i="13"/>
  <c r="H2573" i="13"/>
  <c r="I2573" i="13" s="1"/>
  <c r="K2572" i="13"/>
  <c r="I2572" i="13"/>
  <c r="H2572" i="13"/>
  <c r="H2571" i="13"/>
  <c r="H2570" i="13"/>
  <c r="K2570" i="13" s="1"/>
  <c r="K2569" i="13"/>
  <c r="H2569" i="13"/>
  <c r="I2569" i="13" s="1"/>
  <c r="K2568" i="13"/>
  <c r="I2568" i="13"/>
  <c r="H2568" i="13"/>
  <c r="H2567" i="13"/>
  <c r="H2566" i="13"/>
  <c r="K2566" i="13" s="1"/>
  <c r="K2565" i="13"/>
  <c r="H2565" i="13"/>
  <c r="I2565" i="13" s="1"/>
  <c r="K2564" i="13"/>
  <c r="I2564" i="13"/>
  <c r="H2564" i="13"/>
  <c r="H2563" i="13"/>
  <c r="H2562" i="13"/>
  <c r="K2562" i="13" s="1"/>
  <c r="K2561" i="13"/>
  <c r="H2561" i="13"/>
  <c r="I2561" i="13" s="1"/>
  <c r="K2560" i="13"/>
  <c r="I2560" i="13"/>
  <c r="H2560" i="13"/>
  <c r="H2559" i="13"/>
  <c r="H2558" i="13"/>
  <c r="K2558" i="13" s="1"/>
  <c r="K2557" i="13"/>
  <c r="H2557" i="13"/>
  <c r="I2557" i="13" s="1"/>
  <c r="K2556" i="13"/>
  <c r="I2556" i="13"/>
  <c r="H2556" i="13"/>
  <c r="H2555" i="13"/>
  <c r="H2554" i="13"/>
  <c r="K2554" i="13" s="1"/>
  <c r="K2553" i="13"/>
  <c r="H2553" i="13"/>
  <c r="K2552" i="13"/>
  <c r="I2552" i="13"/>
  <c r="H2552" i="13"/>
  <c r="H2551" i="13"/>
  <c r="H2550" i="13"/>
  <c r="K2550" i="13" s="1"/>
  <c r="K2549" i="13"/>
  <c r="H2549" i="13"/>
  <c r="K2548" i="13"/>
  <c r="I2548" i="13"/>
  <c r="H2548" i="13"/>
  <c r="H2547" i="13"/>
  <c r="H2546" i="13"/>
  <c r="K2546" i="13" s="1"/>
  <c r="K2545" i="13"/>
  <c r="H2545" i="13"/>
  <c r="K2544" i="13"/>
  <c r="I2544" i="13"/>
  <c r="H2544" i="13"/>
  <c r="H2543" i="13"/>
  <c r="H2542" i="13"/>
  <c r="K2542" i="13" s="1"/>
  <c r="K2541" i="13"/>
  <c r="H2541" i="13"/>
  <c r="I2541" i="13" s="1"/>
  <c r="K2540" i="13"/>
  <c r="I2540" i="13"/>
  <c r="H2540" i="13"/>
  <c r="H2539" i="13"/>
  <c r="H2538" i="13"/>
  <c r="K2538" i="13" s="1"/>
  <c r="K2537" i="13"/>
  <c r="H2537" i="13"/>
  <c r="K2536" i="13"/>
  <c r="I2536" i="13"/>
  <c r="H2536" i="13"/>
  <c r="H2535" i="13"/>
  <c r="H2534" i="13"/>
  <c r="K2534" i="13" s="1"/>
  <c r="K2533" i="13"/>
  <c r="H2533" i="13"/>
  <c r="K2532" i="13"/>
  <c r="I2532" i="13"/>
  <c r="H2532" i="13"/>
  <c r="H2531" i="13"/>
  <c r="H2530" i="13"/>
  <c r="K2530" i="13" s="1"/>
  <c r="K2529" i="13"/>
  <c r="H2529" i="13"/>
  <c r="K2528" i="13"/>
  <c r="I2528" i="13"/>
  <c r="H2528" i="13"/>
  <c r="H2527" i="13"/>
  <c r="H2526" i="13"/>
  <c r="K2526" i="13" s="1"/>
  <c r="K2525" i="13"/>
  <c r="H2525" i="13"/>
  <c r="I2525" i="13" s="1"/>
  <c r="K2524" i="13"/>
  <c r="I2524" i="13"/>
  <c r="H2524" i="13"/>
  <c r="H2523" i="13"/>
  <c r="H2522" i="13"/>
  <c r="K2522" i="13" s="1"/>
  <c r="K2521" i="13"/>
  <c r="H2521" i="13"/>
  <c r="K2520" i="13"/>
  <c r="I2520" i="13"/>
  <c r="H2520" i="13"/>
  <c r="H2519" i="13"/>
  <c r="H2518" i="13"/>
  <c r="K2518" i="13" s="1"/>
  <c r="K2517" i="13"/>
  <c r="H2517" i="13"/>
  <c r="K2516" i="13"/>
  <c r="I2516" i="13"/>
  <c r="H2516" i="13"/>
  <c r="H2515" i="13"/>
  <c r="H2514" i="13"/>
  <c r="K2514" i="13" s="1"/>
  <c r="K2513" i="13"/>
  <c r="H2513" i="13"/>
  <c r="K2512" i="13"/>
  <c r="I2512" i="13"/>
  <c r="H2512" i="13"/>
  <c r="H2511" i="13"/>
  <c r="H2510" i="13"/>
  <c r="K2510" i="13" s="1"/>
  <c r="K2509" i="13"/>
  <c r="H2509" i="13"/>
  <c r="I2509" i="13" s="1"/>
  <c r="K2508" i="13"/>
  <c r="I2508" i="13"/>
  <c r="H2508" i="13"/>
  <c r="H2507" i="13"/>
  <c r="H2506" i="13"/>
  <c r="K2506" i="13" s="1"/>
  <c r="K2505" i="13"/>
  <c r="H2505" i="13"/>
  <c r="K2504" i="13"/>
  <c r="I2504" i="13"/>
  <c r="H2504" i="13"/>
  <c r="H2503" i="13"/>
  <c r="H2502" i="13"/>
  <c r="K2502" i="13" s="1"/>
  <c r="K2501" i="13"/>
  <c r="H2501" i="13"/>
  <c r="K2500" i="13"/>
  <c r="I2500" i="13"/>
  <c r="H2500" i="13"/>
  <c r="H2499" i="13"/>
  <c r="H2498" i="13"/>
  <c r="K2498" i="13" s="1"/>
  <c r="K2497" i="13"/>
  <c r="H2497" i="13"/>
  <c r="K2496" i="13"/>
  <c r="I2496" i="13"/>
  <c r="H2496" i="13"/>
  <c r="H2495" i="13"/>
  <c r="H2494" i="13"/>
  <c r="K2494" i="13" s="1"/>
  <c r="K2493" i="13"/>
  <c r="H2493" i="13"/>
  <c r="I2493" i="13" s="1"/>
  <c r="K2492" i="13"/>
  <c r="I2492" i="13"/>
  <c r="H2492" i="13"/>
  <c r="H2491" i="13"/>
  <c r="H2490" i="13"/>
  <c r="K2490" i="13" s="1"/>
  <c r="K2489" i="13"/>
  <c r="H2489" i="13"/>
  <c r="K2488" i="13"/>
  <c r="I2488" i="13"/>
  <c r="H2488" i="13"/>
  <c r="H2487" i="13"/>
  <c r="H2486" i="13"/>
  <c r="K2486" i="13" s="1"/>
  <c r="K2485" i="13"/>
  <c r="H2485" i="13"/>
  <c r="K2484" i="13"/>
  <c r="I2484" i="13"/>
  <c r="H2484" i="13"/>
  <c r="H2483" i="13"/>
  <c r="K2483" i="13" s="1"/>
  <c r="H2482" i="13"/>
  <c r="K2481" i="13"/>
  <c r="H2481" i="13"/>
  <c r="K2480" i="13"/>
  <c r="I2480" i="13"/>
  <c r="H2480" i="13"/>
  <c r="H2479" i="13"/>
  <c r="K2479" i="13" s="1"/>
  <c r="H2478" i="13"/>
  <c r="K2477" i="13"/>
  <c r="H2477" i="13"/>
  <c r="K2476" i="13"/>
  <c r="I2476" i="13"/>
  <c r="H2476" i="13"/>
  <c r="H2475" i="13"/>
  <c r="K2475" i="13" s="1"/>
  <c r="H2474" i="13"/>
  <c r="K2473" i="13"/>
  <c r="H2473" i="13"/>
  <c r="K2472" i="13"/>
  <c r="I2472" i="13"/>
  <c r="H2472" i="13"/>
  <c r="H2471" i="13"/>
  <c r="K2471" i="13" s="1"/>
  <c r="H2470" i="13"/>
  <c r="K2469" i="13"/>
  <c r="H2469" i="13"/>
  <c r="K2468" i="13"/>
  <c r="I2468" i="13"/>
  <c r="H2468" i="13"/>
  <c r="H2467" i="13"/>
  <c r="K2467" i="13" s="1"/>
  <c r="H2466" i="13"/>
  <c r="K2465" i="13"/>
  <c r="H2465" i="13"/>
  <c r="K2464" i="13"/>
  <c r="I2464" i="13"/>
  <c r="H2464" i="13"/>
  <c r="H2463" i="13"/>
  <c r="K2463" i="13" s="1"/>
  <c r="H2462" i="13"/>
  <c r="K2461" i="13"/>
  <c r="H2461" i="13"/>
  <c r="K2460" i="13"/>
  <c r="I2460" i="13"/>
  <c r="H2460" i="13"/>
  <c r="H2459" i="13"/>
  <c r="K2459" i="13" s="1"/>
  <c r="H2458" i="13"/>
  <c r="K2457" i="13"/>
  <c r="H2457" i="13"/>
  <c r="K2456" i="13"/>
  <c r="I2456" i="13"/>
  <c r="H2456" i="13"/>
  <c r="H2455" i="13"/>
  <c r="K2455" i="13" s="1"/>
  <c r="H2454" i="13"/>
  <c r="K2453" i="13"/>
  <c r="H2453" i="13"/>
  <c r="K2452" i="13"/>
  <c r="I2452" i="13"/>
  <c r="H2452" i="13"/>
  <c r="H2451" i="13"/>
  <c r="K2451" i="13" s="1"/>
  <c r="H2450" i="13"/>
  <c r="K2449" i="13"/>
  <c r="H2449" i="13"/>
  <c r="K2448" i="13"/>
  <c r="I2448" i="13"/>
  <c r="H2448" i="13"/>
  <c r="H2447" i="13"/>
  <c r="K2447" i="13" s="1"/>
  <c r="H2446" i="13"/>
  <c r="K2445" i="13"/>
  <c r="H2445" i="13"/>
  <c r="K2444" i="13"/>
  <c r="I2444" i="13"/>
  <c r="H2444" i="13"/>
  <c r="H2443" i="13"/>
  <c r="K2443" i="13" s="1"/>
  <c r="H2442" i="13"/>
  <c r="K2441" i="13"/>
  <c r="H2441" i="13"/>
  <c r="K2440" i="13"/>
  <c r="I2440" i="13"/>
  <c r="H2440" i="13"/>
  <c r="H2439" i="13"/>
  <c r="K2439" i="13" s="1"/>
  <c r="H2438" i="13"/>
  <c r="K2437" i="13"/>
  <c r="H2437" i="13"/>
  <c r="K2436" i="13"/>
  <c r="I2436" i="13"/>
  <c r="H2436" i="13"/>
  <c r="H2435" i="13"/>
  <c r="K2435" i="13" s="1"/>
  <c r="H2434" i="13"/>
  <c r="K2433" i="13"/>
  <c r="H2433" i="13"/>
  <c r="K2432" i="13"/>
  <c r="I2432" i="13" s="1"/>
  <c r="H2432" i="13"/>
  <c r="H2431" i="13"/>
  <c r="K2431" i="13" s="1"/>
  <c r="H2430" i="13"/>
  <c r="K2429" i="13"/>
  <c r="H2429" i="13"/>
  <c r="K2428" i="13"/>
  <c r="I2428" i="13" s="1"/>
  <c r="H2428" i="13"/>
  <c r="H2427" i="13"/>
  <c r="K2427" i="13" s="1"/>
  <c r="H2426" i="13"/>
  <c r="K2425" i="13"/>
  <c r="H2425" i="13"/>
  <c r="K2424" i="13"/>
  <c r="I2424" i="13" s="1"/>
  <c r="H2424" i="13"/>
  <c r="H2423" i="13"/>
  <c r="K2423" i="13" s="1"/>
  <c r="H2422" i="13"/>
  <c r="K2421" i="13"/>
  <c r="H2421" i="13"/>
  <c r="K2420" i="13"/>
  <c r="I2420" i="13" s="1"/>
  <c r="H2420" i="13"/>
  <c r="H2419" i="13"/>
  <c r="K2419" i="13" s="1"/>
  <c r="H2418" i="13"/>
  <c r="K2417" i="13"/>
  <c r="H2417" i="13"/>
  <c r="K2416" i="13"/>
  <c r="I2416" i="13" s="1"/>
  <c r="H2416" i="13"/>
  <c r="H2415" i="13"/>
  <c r="K2415" i="13" s="1"/>
  <c r="H2414" i="13"/>
  <c r="K2413" i="13"/>
  <c r="H2413" i="13"/>
  <c r="K2412" i="13"/>
  <c r="I2412" i="13" s="1"/>
  <c r="H2412" i="13"/>
  <c r="H2411" i="13"/>
  <c r="K2411" i="13" s="1"/>
  <c r="H2410" i="13"/>
  <c r="K2409" i="13"/>
  <c r="H2409" i="13"/>
  <c r="K2408" i="13"/>
  <c r="I2408" i="13" s="1"/>
  <c r="H2408" i="13"/>
  <c r="H2407" i="13"/>
  <c r="K2407" i="13" s="1"/>
  <c r="H2406" i="13"/>
  <c r="K2405" i="13"/>
  <c r="H2405" i="13"/>
  <c r="K2404" i="13"/>
  <c r="I2404" i="13" s="1"/>
  <c r="H2404" i="13"/>
  <c r="H2403" i="13"/>
  <c r="K2403" i="13" s="1"/>
  <c r="H2402" i="13"/>
  <c r="K2401" i="13"/>
  <c r="H2401" i="13"/>
  <c r="K2400" i="13"/>
  <c r="I2400" i="13" s="1"/>
  <c r="H2400" i="13"/>
  <c r="H2399" i="13"/>
  <c r="K2399" i="13" s="1"/>
  <c r="H2398" i="13"/>
  <c r="K2397" i="13"/>
  <c r="H2397" i="13"/>
  <c r="K2396" i="13"/>
  <c r="I2396" i="13" s="1"/>
  <c r="H2396" i="13"/>
  <c r="H2395" i="13"/>
  <c r="K2395" i="13" s="1"/>
  <c r="H2394" i="13"/>
  <c r="K2393" i="13"/>
  <c r="H2393" i="13"/>
  <c r="K2392" i="13"/>
  <c r="I2392" i="13" s="1"/>
  <c r="H2392" i="13"/>
  <c r="H2391" i="13"/>
  <c r="K2391" i="13" s="1"/>
  <c r="H2390" i="13"/>
  <c r="K2389" i="13"/>
  <c r="H2389" i="13"/>
  <c r="K2388" i="13"/>
  <c r="I2388" i="13" s="1"/>
  <c r="H2388" i="13"/>
  <c r="H2387" i="13"/>
  <c r="K2387" i="13" s="1"/>
  <c r="H2386" i="13"/>
  <c r="K2385" i="13"/>
  <c r="H2385" i="13"/>
  <c r="K2384" i="13"/>
  <c r="I2384" i="13" s="1"/>
  <c r="H2384" i="13"/>
  <c r="H2383" i="13"/>
  <c r="K2383" i="13" s="1"/>
  <c r="H2382" i="13"/>
  <c r="K2381" i="13"/>
  <c r="H2381" i="13"/>
  <c r="K2380" i="13"/>
  <c r="I2380" i="13" s="1"/>
  <c r="H2380" i="13"/>
  <c r="H2379" i="13"/>
  <c r="K2379" i="13" s="1"/>
  <c r="H2378" i="13"/>
  <c r="K2377" i="13"/>
  <c r="H2377" i="13"/>
  <c r="K2376" i="13"/>
  <c r="I2376" i="13" s="1"/>
  <c r="H2376" i="13"/>
  <c r="H2375" i="13"/>
  <c r="K2375" i="13" s="1"/>
  <c r="H2374" i="13"/>
  <c r="K2373" i="13"/>
  <c r="H2373" i="13"/>
  <c r="K2372" i="13"/>
  <c r="I2372" i="13" s="1"/>
  <c r="H2372" i="13"/>
  <c r="H2371" i="13"/>
  <c r="K2371" i="13" s="1"/>
  <c r="H2370" i="13"/>
  <c r="K2369" i="13"/>
  <c r="H2369" i="13"/>
  <c r="K2368" i="13"/>
  <c r="I2368" i="13" s="1"/>
  <c r="H2368" i="13"/>
  <c r="H2367" i="13"/>
  <c r="K2367" i="13" s="1"/>
  <c r="H2366" i="13"/>
  <c r="K2365" i="13"/>
  <c r="H2365" i="13"/>
  <c r="K2364" i="13"/>
  <c r="I2364" i="13" s="1"/>
  <c r="H2364" i="13"/>
  <c r="H2363" i="13"/>
  <c r="K2363" i="13" s="1"/>
  <c r="H2362" i="13"/>
  <c r="K2361" i="13"/>
  <c r="H2361" i="13"/>
  <c r="K2360" i="13"/>
  <c r="I2360" i="13" s="1"/>
  <c r="H2360" i="13"/>
  <c r="H2359" i="13"/>
  <c r="K2359" i="13" s="1"/>
  <c r="H2358" i="13"/>
  <c r="K2357" i="13"/>
  <c r="H2357" i="13"/>
  <c r="K2356" i="13"/>
  <c r="I2356" i="13" s="1"/>
  <c r="H2356" i="13"/>
  <c r="H2355" i="13"/>
  <c r="K2355" i="13" s="1"/>
  <c r="H2354" i="13"/>
  <c r="K2353" i="13"/>
  <c r="H2353" i="13"/>
  <c r="K2352" i="13"/>
  <c r="I2352" i="13" s="1"/>
  <c r="H2352" i="13"/>
  <c r="H2351" i="13"/>
  <c r="K2351" i="13" s="1"/>
  <c r="H2350" i="13"/>
  <c r="K2349" i="13"/>
  <c r="H2349" i="13"/>
  <c r="K2348" i="13"/>
  <c r="I2348" i="13" s="1"/>
  <c r="H2348" i="13"/>
  <c r="H2347" i="13"/>
  <c r="K2347" i="13" s="1"/>
  <c r="H2346" i="13"/>
  <c r="K2345" i="13"/>
  <c r="H2345" i="13"/>
  <c r="K2344" i="13"/>
  <c r="I2344" i="13" s="1"/>
  <c r="H2344" i="13"/>
  <c r="H2343" i="13"/>
  <c r="K2343" i="13" s="1"/>
  <c r="H2342" i="13"/>
  <c r="K2341" i="13"/>
  <c r="H2341" i="13"/>
  <c r="K2340" i="13"/>
  <c r="I2340" i="13" s="1"/>
  <c r="H2340" i="13"/>
  <c r="H2339" i="13"/>
  <c r="K2339" i="13" s="1"/>
  <c r="H2338" i="13"/>
  <c r="K2337" i="13"/>
  <c r="H2337" i="13"/>
  <c r="K2336" i="13"/>
  <c r="I2336" i="13" s="1"/>
  <c r="H2336" i="13"/>
  <c r="H2335" i="13"/>
  <c r="K2335" i="13" s="1"/>
  <c r="H2334" i="13"/>
  <c r="K2333" i="13"/>
  <c r="H2333" i="13"/>
  <c r="K2332" i="13"/>
  <c r="I2332" i="13" s="1"/>
  <c r="H2332" i="13"/>
  <c r="H2331" i="13"/>
  <c r="K2331" i="13" s="1"/>
  <c r="H2330" i="13"/>
  <c r="K2329" i="13"/>
  <c r="H2329" i="13"/>
  <c r="K2328" i="13"/>
  <c r="I2328" i="13" s="1"/>
  <c r="H2328" i="13"/>
  <c r="H2327" i="13"/>
  <c r="K2327" i="13" s="1"/>
  <c r="H2326" i="13"/>
  <c r="K2325" i="13"/>
  <c r="H2325" i="13"/>
  <c r="K2324" i="13"/>
  <c r="I2324" i="13" s="1"/>
  <c r="H2324" i="13"/>
  <c r="H2323" i="13"/>
  <c r="K2323" i="13" s="1"/>
  <c r="H2322" i="13"/>
  <c r="K2321" i="13"/>
  <c r="H2321" i="13"/>
  <c r="K2320" i="13"/>
  <c r="I2320" i="13" s="1"/>
  <c r="H2320" i="13"/>
  <c r="H2319" i="13"/>
  <c r="K2319" i="13" s="1"/>
  <c r="H2318" i="13"/>
  <c r="K2317" i="13"/>
  <c r="I2317" i="13" s="1"/>
  <c r="H2317" i="13"/>
  <c r="K2316" i="13"/>
  <c r="I2316" i="13" s="1"/>
  <c r="H2316" i="13"/>
  <c r="K2315" i="13"/>
  <c r="I2315" i="13" s="1"/>
  <c r="H2315" i="13"/>
  <c r="H2314" i="13"/>
  <c r="K2314" i="13" s="1"/>
  <c r="I2314" i="13" s="1"/>
  <c r="H2313" i="13"/>
  <c r="K2313" i="13" s="1"/>
  <c r="K2312" i="13"/>
  <c r="I2312" i="13" s="1"/>
  <c r="H2312" i="13"/>
  <c r="K2311" i="13"/>
  <c r="I2311" i="13" s="1"/>
  <c r="H2311" i="13"/>
  <c r="H2310" i="13"/>
  <c r="K2310" i="13" s="1"/>
  <c r="I2310" i="13" s="1"/>
  <c r="H2309" i="13"/>
  <c r="K2309" i="13" s="1"/>
  <c r="K2308" i="13"/>
  <c r="I2308" i="13" s="1"/>
  <c r="H2308" i="13"/>
  <c r="K2307" i="13"/>
  <c r="I2307" i="13" s="1"/>
  <c r="H2307" i="13"/>
  <c r="H2306" i="13"/>
  <c r="K2306" i="13" s="1"/>
  <c r="I2306" i="13" s="1"/>
  <c r="H2305" i="13"/>
  <c r="K2305" i="13" s="1"/>
  <c r="K2304" i="13"/>
  <c r="I2304" i="13" s="1"/>
  <c r="H2304" i="13"/>
  <c r="K2303" i="13"/>
  <c r="I2303" i="13" s="1"/>
  <c r="H2303" i="13"/>
  <c r="H2302" i="13"/>
  <c r="K2302" i="13" s="1"/>
  <c r="I2302" i="13" s="1"/>
  <c r="H2301" i="13"/>
  <c r="K2301" i="13" s="1"/>
  <c r="K2300" i="13"/>
  <c r="I2300" i="13" s="1"/>
  <c r="H2300" i="13"/>
  <c r="K2299" i="13"/>
  <c r="I2299" i="13" s="1"/>
  <c r="H2299" i="13"/>
  <c r="H2298" i="13"/>
  <c r="K2298" i="13" s="1"/>
  <c r="I2298" i="13" s="1"/>
  <c r="H2297" i="13"/>
  <c r="K2297" i="13" s="1"/>
  <c r="K2296" i="13"/>
  <c r="I2296" i="13" s="1"/>
  <c r="H2296" i="13"/>
  <c r="K2295" i="13"/>
  <c r="I2295" i="13" s="1"/>
  <c r="H2295" i="13"/>
  <c r="H2294" i="13"/>
  <c r="K2294" i="13" s="1"/>
  <c r="I2294" i="13" s="1"/>
  <c r="H2293" i="13"/>
  <c r="K2293" i="13" s="1"/>
  <c r="K2292" i="13"/>
  <c r="I2292" i="13" s="1"/>
  <c r="H2292" i="13"/>
  <c r="K2291" i="13"/>
  <c r="I2291" i="13" s="1"/>
  <c r="H2291" i="13"/>
  <c r="H2290" i="13"/>
  <c r="K2290" i="13" s="1"/>
  <c r="I2290" i="13" s="1"/>
  <c r="H2289" i="13"/>
  <c r="K2289" i="13" s="1"/>
  <c r="K2288" i="13"/>
  <c r="I2288" i="13" s="1"/>
  <c r="H2288" i="13"/>
  <c r="K2287" i="13"/>
  <c r="I2287" i="13" s="1"/>
  <c r="H2287" i="13"/>
  <c r="I2286" i="13"/>
  <c r="H2286" i="13"/>
  <c r="K2286" i="13" s="1"/>
  <c r="H2285" i="13"/>
  <c r="K2284" i="13"/>
  <c r="I2284" i="13" s="1"/>
  <c r="H2284" i="13"/>
  <c r="K2283" i="13"/>
  <c r="I2283" i="13" s="1"/>
  <c r="H2283" i="13"/>
  <c r="H2282" i="13"/>
  <c r="K2282" i="13" s="1"/>
  <c r="I2282" i="13" s="1"/>
  <c r="H2281" i="13"/>
  <c r="K2280" i="13"/>
  <c r="I2280" i="13" s="1"/>
  <c r="H2280" i="13"/>
  <c r="K2279" i="13"/>
  <c r="I2279" i="13" s="1"/>
  <c r="H2279" i="13"/>
  <c r="I2278" i="13"/>
  <c r="H2278" i="13"/>
  <c r="K2278" i="13" s="1"/>
  <c r="H2277" i="13"/>
  <c r="K2276" i="13"/>
  <c r="I2276" i="13" s="1"/>
  <c r="H2276" i="13"/>
  <c r="K2275" i="13"/>
  <c r="I2275" i="13" s="1"/>
  <c r="H2275" i="13"/>
  <c r="H2274" i="13"/>
  <c r="K2274" i="13" s="1"/>
  <c r="I2274" i="13" s="1"/>
  <c r="H2273" i="13"/>
  <c r="K2272" i="13"/>
  <c r="I2272" i="13" s="1"/>
  <c r="H2272" i="13"/>
  <c r="K2271" i="13"/>
  <c r="I2271" i="13" s="1"/>
  <c r="H2271" i="13"/>
  <c r="I2270" i="13"/>
  <c r="H2270" i="13"/>
  <c r="K2270" i="13" s="1"/>
  <c r="H2269" i="13"/>
  <c r="K2268" i="13"/>
  <c r="I2268" i="13" s="1"/>
  <c r="H2268" i="13"/>
  <c r="K2267" i="13"/>
  <c r="I2267" i="13" s="1"/>
  <c r="H2267" i="13"/>
  <c r="H2266" i="13"/>
  <c r="K2266" i="13" s="1"/>
  <c r="I2266" i="13" s="1"/>
  <c r="H2265" i="13"/>
  <c r="K2264" i="13"/>
  <c r="I2264" i="13" s="1"/>
  <c r="H2264" i="13"/>
  <c r="K2263" i="13"/>
  <c r="I2263" i="13" s="1"/>
  <c r="H2263" i="13"/>
  <c r="I2262" i="13"/>
  <c r="H2262" i="13"/>
  <c r="K2262" i="13" s="1"/>
  <c r="H2261" i="13"/>
  <c r="K2260" i="13"/>
  <c r="I2260" i="13" s="1"/>
  <c r="H2260" i="13"/>
  <c r="K2259" i="13"/>
  <c r="I2259" i="13" s="1"/>
  <c r="H2259" i="13"/>
  <c r="H2258" i="13"/>
  <c r="K2258" i="13" s="1"/>
  <c r="I2258" i="13" s="1"/>
  <c r="H2257" i="13"/>
  <c r="K2256" i="13"/>
  <c r="I2256" i="13" s="1"/>
  <c r="H2256" i="13"/>
  <c r="K2255" i="13"/>
  <c r="I2255" i="13" s="1"/>
  <c r="H2255" i="13"/>
  <c r="I2254" i="13"/>
  <c r="H2254" i="13"/>
  <c r="K2254" i="13" s="1"/>
  <c r="H2253" i="13"/>
  <c r="K2252" i="13"/>
  <c r="I2252" i="13" s="1"/>
  <c r="H2252" i="13"/>
  <c r="K2251" i="13"/>
  <c r="I2251" i="13" s="1"/>
  <c r="H2251" i="13"/>
  <c r="H2250" i="13"/>
  <c r="K2250" i="13" s="1"/>
  <c r="I2250" i="13" s="1"/>
  <c r="H2249" i="13"/>
  <c r="K2248" i="13"/>
  <c r="I2248" i="13" s="1"/>
  <c r="H2248" i="13"/>
  <c r="K2247" i="13"/>
  <c r="I2247" i="13" s="1"/>
  <c r="H2247" i="13"/>
  <c r="I2246" i="13"/>
  <c r="H2246" i="13"/>
  <c r="K2246" i="13" s="1"/>
  <c r="H2245" i="13"/>
  <c r="K2244" i="13"/>
  <c r="I2244" i="13" s="1"/>
  <c r="H2244" i="13"/>
  <c r="K2243" i="13"/>
  <c r="I2243" i="13" s="1"/>
  <c r="H2243" i="13"/>
  <c r="H2242" i="13"/>
  <c r="K2242" i="13" s="1"/>
  <c r="I2242" i="13" s="1"/>
  <c r="H2241" i="13"/>
  <c r="K2240" i="13"/>
  <c r="I2240" i="13" s="1"/>
  <c r="H2240" i="13"/>
  <c r="K2239" i="13"/>
  <c r="I2239" i="13" s="1"/>
  <c r="H2239" i="13"/>
  <c r="I2238" i="13"/>
  <c r="H2238" i="13"/>
  <c r="K2238" i="13" s="1"/>
  <c r="H2237" i="13"/>
  <c r="K2236" i="13"/>
  <c r="I2236" i="13" s="1"/>
  <c r="H2236" i="13"/>
  <c r="K2235" i="13"/>
  <c r="I2235" i="13" s="1"/>
  <c r="H2235" i="13"/>
  <c r="H2234" i="13"/>
  <c r="K2234" i="13" s="1"/>
  <c r="I2234" i="13" s="1"/>
  <c r="H2233" i="13"/>
  <c r="K2232" i="13"/>
  <c r="I2232" i="13" s="1"/>
  <c r="H2232" i="13"/>
  <c r="K2231" i="13"/>
  <c r="I2231" i="13" s="1"/>
  <c r="H2231" i="13"/>
  <c r="I2230" i="13"/>
  <c r="H2230" i="13"/>
  <c r="K2230" i="13" s="1"/>
  <c r="H2229" i="13"/>
  <c r="K2228" i="13"/>
  <c r="I2228" i="13" s="1"/>
  <c r="H2228" i="13"/>
  <c r="K2227" i="13"/>
  <c r="I2227" i="13" s="1"/>
  <c r="H2227" i="13"/>
  <c r="H2226" i="13"/>
  <c r="K2226" i="13" s="1"/>
  <c r="I2226" i="13" s="1"/>
  <c r="H2225" i="13"/>
  <c r="K2224" i="13"/>
  <c r="I2224" i="13" s="1"/>
  <c r="H2224" i="13"/>
  <c r="K2223" i="13"/>
  <c r="I2223" i="13" s="1"/>
  <c r="H2223" i="13"/>
  <c r="I2222" i="13"/>
  <c r="H2222" i="13"/>
  <c r="K2222" i="13" s="1"/>
  <c r="H2221" i="13"/>
  <c r="K2220" i="13"/>
  <c r="I2220" i="13" s="1"/>
  <c r="H2220" i="13"/>
  <c r="K2219" i="13"/>
  <c r="I2219" i="13" s="1"/>
  <c r="H2219" i="13"/>
  <c r="H2218" i="13"/>
  <c r="K2218" i="13" s="1"/>
  <c r="I2218" i="13" s="1"/>
  <c r="H2217" i="13"/>
  <c r="K2216" i="13"/>
  <c r="I2216" i="13" s="1"/>
  <c r="H2216" i="13"/>
  <c r="K2215" i="13"/>
  <c r="I2215" i="13" s="1"/>
  <c r="H2215" i="13"/>
  <c r="I2214" i="13"/>
  <c r="H2214" i="13"/>
  <c r="K2214" i="13" s="1"/>
  <c r="H2213" i="13"/>
  <c r="K2212" i="13"/>
  <c r="I2212" i="13" s="1"/>
  <c r="H2212" i="13"/>
  <c r="K2211" i="13"/>
  <c r="I2211" i="13" s="1"/>
  <c r="H2211" i="13"/>
  <c r="H2210" i="13"/>
  <c r="K2210" i="13" s="1"/>
  <c r="I2210" i="13" s="1"/>
  <c r="H2209" i="13"/>
  <c r="K2208" i="13"/>
  <c r="I2208" i="13" s="1"/>
  <c r="H2208" i="13"/>
  <c r="K2207" i="13"/>
  <c r="I2207" i="13" s="1"/>
  <c r="H2207" i="13"/>
  <c r="I2206" i="13"/>
  <c r="H2206" i="13"/>
  <c r="K2206" i="13" s="1"/>
  <c r="H2205" i="13"/>
  <c r="K2204" i="13"/>
  <c r="I2204" i="13" s="1"/>
  <c r="H2204" i="13"/>
  <c r="K2203" i="13"/>
  <c r="I2203" i="13" s="1"/>
  <c r="H2203" i="13"/>
  <c r="H2202" i="13"/>
  <c r="K2202" i="13" s="1"/>
  <c r="I2202" i="13" s="1"/>
  <c r="H2201" i="13"/>
  <c r="K2200" i="13"/>
  <c r="I2200" i="13" s="1"/>
  <c r="H2200" i="13"/>
  <c r="K2199" i="13"/>
  <c r="I2199" i="13" s="1"/>
  <c r="H2199" i="13"/>
  <c r="I2198" i="13"/>
  <c r="H2198" i="13"/>
  <c r="K2198" i="13" s="1"/>
  <c r="H2197" i="13"/>
  <c r="K2196" i="13"/>
  <c r="I2196" i="13" s="1"/>
  <c r="H2196" i="13"/>
  <c r="K2195" i="13"/>
  <c r="I2195" i="13" s="1"/>
  <c r="H2195" i="13"/>
  <c r="H2194" i="13"/>
  <c r="K2194" i="13" s="1"/>
  <c r="I2194" i="13" s="1"/>
  <c r="H2193" i="13"/>
  <c r="K2192" i="13"/>
  <c r="I2192" i="13" s="1"/>
  <c r="H2192" i="13"/>
  <c r="K2191" i="13"/>
  <c r="I2191" i="13" s="1"/>
  <c r="H2191" i="13"/>
  <c r="I2190" i="13"/>
  <c r="H2190" i="13"/>
  <c r="K2190" i="13" s="1"/>
  <c r="H2189" i="13"/>
  <c r="K2188" i="13"/>
  <c r="I2188" i="13" s="1"/>
  <c r="H2188" i="13"/>
  <c r="K2187" i="13"/>
  <c r="I2187" i="13" s="1"/>
  <c r="H2187" i="13"/>
  <c r="H2186" i="13"/>
  <c r="K2186" i="13" s="1"/>
  <c r="I2186" i="13" s="1"/>
  <c r="H2185" i="13"/>
  <c r="K2184" i="13"/>
  <c r="I2184" i="13" s="1"/>
  <c r="H2184" i="13"/>
  <c r="K2183" i="13"/>
  <c r="I2183" i="13" s="1"/>
  <c r="H2183" i="13"/>
  <c r="I2182" i="13"/>
  <c r="H2182" i="13"/>
  <c r="K2182" i="13" s="1"/>
  <c r="H2181" i="13"/>
  <c r="K2180" i="13"/>
  <c r="I2180" i="13" s="1"/>
  <c r="H2180" i="13"/>
  <c r="K2179" i="13"/>
  <c r="I2179" i="13" s="1"/>
  <c r="H2179" i="13"/>
  <c r="H2178" i="13"/>
  <c r="K2178" i="13" s="1"/>
  <c r="I2178" i="13" s="1"/>
  <c r="H2177" i="13"/>
  <c r="K2176" i="13"/>
  <c r="I2176" i="13" s="1"/>
  <c r="H2176" i="13"/>
  <c r="K2175" i="13"/>
  <c r="I2175" i="13" s="1"/>
  <c r="H2175" i="13"/>
  <c r="I2174" i="13"/>
  <c r="H2174" i="13"/>
  <c r="K2174" i="13" s="1"/>
  <c r="H2173" i="13"/>
  <c r="K2172" i="13"/>
  <c r="I2172" i="13" s="1"/>
  <c r="H2172" i="13"/>
  <c r="K2171" i="13"/>
  <c r="I2171" i="13" s="1"/>
  <c r="H2171" i="13"/>
  <c r="H2170" i="13"/>
  <c r="K2170" i="13" s="1"/>
  <c r="I2170" i="13" s="1"/>
  <c r="H2169" i="13"/>
  <c r="K2168" i="13"/>
  <c r="I2168" i="13" s="1"/>
  <c r="H2168" i="13"/>
  <c r="K2167" i="13"/>
  <c r="I2167" i="13" s="1"/>
  <c r="H2167" i="13"/>
  <c r="I2166" i="13"/>
  <c r="H2166" i="13"/>
  <c r="K2166" i="13" s="1"/>
  <c r="H2165" i="13"/>
  <c r="K2164" i="13"/>
  <c r="I2164" i="13" s="1"/>
  <c r="H2164" i="13"/>
  <c r="K2163" i="13"/>
  <c r="I2163" i="13" s="1"/>
  <c r="H2163" i="13"/>
  <c r="H2162" i="13"/>
  <c r="K2162" i="13" s="1"/>
  <c r="I2162" i="13" s="1"/>
  <c r="H2161" i="13"/>
  <c r="K2160" i="13"/>
  <c r="I2160" i="13" s="1"/>
  <c r="H2160" i="13"/>
  <c r="K2159" i="13"/>
  <c r="I2159" i="13" s="1"/>
  <c r="H2159" i="13"/>
  <c r="H2158" i="13"/>
  <c r="K2158" i="13" s="1"/>
  <c r="H2157" i="13"/>
  <c r="K2156" i="13"/>
  <c r="I2156" i="13" s="1"/>
  <c r="H2156" i="13"/>
  <c r="K2155" i="13"/>
  <c r="I2155" i="13" s="1"/>
  <c r="H2155" i="13"/>
  <c r="H2154" i="13"/>
  <c r="K2154" i="13" s="1"/>
  <c r="H2153" i="13"/>
  <c r="K2152" i="13"/>
  <c r="I2152" i="13" s="1"/>
  <c r="H2152" i="13"/>
  <c r="K2151" i="13"/>
  <c r="I2151" i="13" s="1"/>
  <c r="H2151" i="13"/>
  <c r="H2150" i="13"/>
  <c r="K2150" i="13" s="1"/>
  <c r="H2149" i="13"/>
  <c r="K2148" i="13"/>
  <c r="I2148" i="13" s="1"/>
  <c r="H2148" i="13"/>
  <c r="K2147" i="13"/>
  <c r="I2147" i="13" s="1"/>
  <c r="H2147" i="13"/>
  <c r="H2146" i="13"/>
  <c r="K2146" i="13" s="1"/>
  <c r="H2145" i="13"/>
  <c r="K2144" i="13"/>
  <c r="I2144" i="13" s="1"/>
  <c r="H2144" i="13"/>
  <c r="K2143" i="13"/>
  <c r="I2143" i="13" s="1"/>
  <c r="H2143" i="13"/>
  <c r="H2142" i="13"/>
  <c r="K2142" i="13" s="1"/>
  <c r="H2141" i="13"/>
  <c r="K2140" i="13"/>
  <c r="I2140" i="13" s="1"/>
  <c r="H2140" i="13"/>
  <c r="K2139" i="13"/>
  <c r="I2139" i="13" s="1"/>
  <c r="H2139" i="13"/>
  <c r="H2138" i="13"/>
  <c r="K2138" i="13" s="1"/>
  <c r="H2137" i="13"/>
  <c r="K2136" i="13"/>
  <c r="I2136" i="13" s="1"/>
  <c r="H2136" i="13"/>
  <c r="K2135" i="13"/>
  <c r="I2135" i="13" s="1"/>
  <c r="H2135" i="13"/>
  <c r="H2134" i="13"/>
  <c r="K2134" i="13" s="1"/>
  <c r="H2133" i="13"/>
  <c r="K2132" i="13"/>
  <c r="I2132" i="13" s="1"/>
  <c r="H2132" i="13"/>
  <c r="K2131" i="13"/>
  <c r="I2131" i="13" s="1"/>
  <c r="H2131" i="13"/>
  <c r="H2130" i="13"/>
  <c r="K2130" i="13" s="1"/>
  <c r="H2129" i="13"/>
  <c r="K2128" i="13"/>
  <c r="I2128" i="13" s="1"/>
  <c r="H2128" i="13"/>
  <c r="K2127" i="13"/>
  <c r="I2127" i="13" s="1"/>
  <c r="H2127" i="13"/>
  <c r="H2126" i="13"/>
  <c r="K2126" i="13" s="1"/>
  <c r="H2125" i="13"/>
  <c r="K2124" i="13"/>
  <c r="I2124" i="13" s="1"/>
  <c r="H2124" i="13"/>
  <c r="K2123" i="13"/>
  <c r="I2123" i="13" s="1"/>
  <c r="H2123" i="13"/>
  <c r="H2122" i="13"/>
  <c r="K2122" i="13" s="1"/>
  <c r="H2121" i="13"/>
  <c r="K2120" i="13"/>
  <c r="I2120" i="13" s="1"/>
  <c r="H2120" i="13"/>
  <c r="K2119" i="13"/>
  <c r="I2119" i="13" s="1"/>
  <c r="H2119" i="13"/>
  <c r="H2118" i="13"/>
  <c r="K2118" i="13" s="1"/>
  <c r="H2117" i="13"/>
  <c r="K2116" i="13"/>
  <c r="I2116" i="13" s="1"/>
  <c r="H2116" i="13"/>
  <c r="K2115" i="13"/>
  <c r="I2115" i="13" s="1"/>
  <c r="H2115" i="13"/>
  <c r="H2114" i="13"/>
  <c r="K2114" i="13" s="1"/>
  <c r="H2113" i="13"/>
  <c r="K2112" i="13"/>
  <c r="I2112" i="13" s="1"/>
  <c r="H2112" i="13"/>
  <c r="K2111" i="13"/>
  <c r="I2111" i="13" s="1"/>
  <c r="H2111" i="13"/>
  <c r="H2110" i="13"/>
  <c r="K2110" i="13" s="1"/>
  <c r="H2109" i="13"/>
  <c r="K2108" i="13"/>
  <c r="I2108" i="13" s="1"/>
  <c r="H2108" i="13"/>
  <c r="K2107" i="13"/>
  <c r="I2107" i="13" s="1"/>
  <c r="H2107" i="13"/>
  <c r="H2106" i="13"/>
  <c r="K2106" i="13" s="1"/>
  <c r="H2105" i="13"/>
  <c r="K2104" i="13"/>
  <c r="I2104" i="13" s="1"/>
  <c r="H2104" i="13"/>
  <c r="K2103" i="13"/>
  <c r="I2103" i="13" s="1"/>
  <c r="H2103" i="13"/>
  <c r="H2102" i="13"/>
  <c r="K2102" i="13" s="1"/>
  <c r="H2101" i="13"/>
  <c r="K2100" i="13"/>
  <c r="I2100" i="13" s="1"/>
  <c r="H2100" i="13"/>
  <c r="K2099" i="13"/>
  <c r="I2099" i="13" s="1"/>
  <c r="H2099" i="13"/>
  <c r="H2098" i="13"/>
  <c r="K2098" i="13" s="1"/>
  <c r="H2097" i="13"/>
  <c r="K2096" i="13"/>
  <c r="I2096" i="13" s="1"/>
  <c r="H2096" i="13"/>
  <c r="K2095" i="13"/>
  <c r="I2095" i="13" s="1"/>
  <c r="H2095" i="13"/>
  <c r="H2094" i="13"/>
  <c r="K2094" i="13" s="1"/>
  <c r="H2093" i="13"/>
  <c r="K2092" i="13"/>
  <c r="I2092" i="13" s="1"/>
  <c r="H2092" i="13"/>
  <c r="K2091" i="13"/>
  <c r="I2091" i="13" s="1"/>
  <c r="H2091" i="13"/>
  <c r="H2090" i="13"/>
  <c r="K2090" i="13" s="1"/>
  <c r="H2089" i="13"/>
  <c r="K2088" i="13"/>
  <c r="I2088" i="13" s="1"/>
  <c r="H2088" i="13"/>
  <c r="K2087" i="13"/>
  <c r="I2087" i="13" s="1"/>
  <c r="H2087" i="13"/>
  <c r="H2086" i="13"/>
  <c r="K2086" i="13" s="1"/>
  <c r="H2085" i="13"/>
  <c r="K2084" i="13"/>
  <c r="I2084" i="13" s="1"/>
  <c r="H2084" i="13"/>
  <c r="K2083" i="13"/>
  <c r="I2083" i="13" s="1"/>
  <c r="H2083" i="13"/>
  <c r="H2082" i="13"/>
  <c r="K2082" i="13" s="1"/>
  <c r="H2081" i="13"/>
  <c r="K2080" i="13"/>
  <c r="I2080" i="13" s="1"/>
  <c r="H2080" i="13"/>
  <c r="K2079" i="13"/>
  <c r="I2079" i="13" s="1"/>
  <c r="H2079" i="13"/>
  <c r="H2078" i="13"/>
  <c r="K2078" i="13" s="1"/>
  <c r="H2077" i="13"/>
  <c r="K2076" i="13"/>
  <c r="I2076" i="13" s="1"/>
  <c r="H2076" i="13"/>
  <c r="K2075" i="13"/>
  <c r="I2075" i="13" s="1"/>
  <c r="H2075" i="13"/>
  <c r="H2074" i="13"/>
  <c r="K2074" i="13" s="1"/>
  <c r="H2073" i="13"/>
  <c r="K2072" i="13"/>
  <c r="I2072" i="13" s="1"/>
  <c r="H2072" i="13"/>
  <c r="K2071" i="13"/>
  <c r="I2071" i="13" s="1"/>
  <c r="H2071" i="13"/>
  <c r="H2070" i="13"/>
  <c r="K2070" i="13" s="1"/>
  <c r="H2069" i="13"/>
  <c r="K2068" i="13"/>
  <c r="I2068" i="13" s="1"/>
  <c r="H2068" i="13"/>
  <c r="K2067" i="13"/>
  <c r="I2067" i="13" s="1"/>
  <c r="H2067" i="13"/>
  <c r="H2066" i="13"/>
  <c r="K2066" i="13" s="1"/>
  <c r="H2065" i="13"/>
  <c r="K2064" i="13"/>
  <c r="I2064" i="13" s="1"/>
  <c r="H2064" i="13"/>
  <c r="K2063" i="13"/>
  <c r="I2063" i="13" s="1"/>
  <c r="H2063" i="13"/>
  <c r="H2062" i="13"/>
  <c r="K2062" i="13" s="1"/>
  <c r="H2061" i="13"/>
  <c r="K2060" i="13"/>
  <c r="I2060" i="13" s="1"/>
  <c r="H2060" i="13"/>
  <c r="K2059" i="13"/>
  <c r="I2059" i="13" s="1"/>
  <c r="H2059" i="13"/>
  <c r="H2058" i="13"/>
  <c r="K2058" i="13" s="1"/>
  <c r="H2057" i="13"/>
  <c r="K2056" i="13"/>
  <c r="I2056" i="13" s="1"/>
  <c r="H2056" i="13"/>
  <c r="K2055" i="13"/>
  <c r="I2055" i="13" s="1"/>
  <c r="H2055" i="13"/>
  <c r="H2054" i="13"/>
  <c r="K2054" i="13" s="1"/>
  <c r="H2053" i="13"/>
  <c r="K2052" i="13"/>
  <c r="I2052" i="13" s="1"/>
  <c r="H2052" i="13"/>
  <c r="K2051" i="13"/>
  <c r="I2051" i="13" s="1"/>
  <c r="H2051" i="13"/>
  <c r="H2050" i="13"/>
  <c r="K2050" i="13" s="1"/>
  <c r="H2049" i="13"/>
  <c r="K2048" i="13"/>
  <c r="I2048" i="13" s="1"/>
  <c r="H2048" i="13"/>
  <c r="K2047" i="13"/>
  <c r="I2047" i="13" s="1"/>
  <c r="H2047" i="13"/>
  <c r="H2046" i="13"/>
  <c r="K2046" i="13" s="1"/>
  <c r="H2045" i="13"/>
  <c r="K2044" i="13"/>
  <c r="I2044" i="13" s="1"/>
  <c r="H2044" i="13"/>
  <c r="K2043" i="13"/>
  <c r="I2043" i="13" s="1"/>
  <c r="H2043" i="13"/>
  <c r="H2042" i="13"/>
  <c r="K2042" i="13" s="1"/>
  <c r="H2041" i="13"/>
  <c r="K2040" i="13"/>
  <c r="I2040" i="13" s="1"/>
  <c r="H2040" i="13"/>
  <c r="K2039" i="13"/>
  <c r="I2039" i="13" s="1"/>
  <c r="H2039" i="13"/>
  <c r="H2038" i="13"/>
  <c r="K2038" i="13" s="1"/>
  <c r="H2037" i="13"/>
  <c r="K2036" i="13"/>
  <c r="I2036" i="13" s="1"/>
  <c r="H2036" i="13"/>
  <c r="K2035" i="13"/>
  <c r="I2035" i="13" s="1"/>
  <c r="H2035" i="13"/>
  <c r="H2034" i="13"/>
  <c r="K2034" i="13" s="1"/>
  <c r="H2033" i="13"/>
  <c r="K2032" i="13"/>
  <c r="I2032" i="13" s="1"/>
  <c r="H2032" i="13"/>
  <c r="K2031" i="13"/>
  <c r="I2031" i="13" s="1"/>
  <c r="H2031" i="13"/>
  <c r="H2030" i="13"/>
  <c r="K2030" i="13" s="1"/>
  <c r="H2029" i="13"/>
  <c r="K2028" i="13"/>
  <c r="I2028" i="13" s="1"/>
  <c r="H2028" i="13"/>
  <c r="K2027" i="13"/>
  <c r="I2027" i="13" s="1"/>
  <c r="H2027" i="13"/>
  <c r="H2026" i="13"/>
  <c r="K2026" i="13" s="1"/>
  <c r="H2025" i="13"/>
  <c r="K2024" i="13"/>
  <c r="I2024" i="13" s="1"/>
  <c r="H2024" i="13"/>
  <c r="K2023" i="13"/>
  <c r="I2023" i="13" s="1"/>
  <c r="H2023" i="13"/>
  <c r="H2022" i="13"/>
  <c r="K2022" i="13" s="1"/>
  <c r="H2021" i="13"/>
  <c r="K2020" i="13"/>
  <c r="I2020" i="13" s="1"/>
  <c r="H2020" i="13"/>
  <c r="K2019" i="13"/>
  <c r="I2019" i="13" s="1"/>
  <c r="H2019" i="13"/>
  <c r="H2018" i="13"/>
  <c r="K2018" i="13" s="1"/>
  <c r="H2017" i="13"/>
  <c r="K2016" i="13"/>
  <c r="I2016" i="13" s="1"/>
  <c r="H2016" i="13"/>
  <c r="K2015" i="13"/>
  <c r="I2015" i="13" s="1"/>
  <c r="H2015" i="13"/>
  <c r="H2014" i="13"/>
  <c r="K2014" i="13" s="1"/>
  <c r="H2013" i="13"/>
  <c r="K2012" i="13"/>
  <c r="I2012" i="13" s="1"/>
  <c r="H2012" i="13"/>
  <c r="K2011" i="13"/>
  <c r="I2011" i="13" s="1"/>
  <c r="H2011" i="13"/>
  <c r="H2010" i="13"/>
  <c r="K2010" i="13" s="1"/>
  <c r="H2009" i="13"/>
  <c r="K2008" i="13"/>
  <c r="I2008" i="13" s="1"/>
  <c r="H2008" i="13"/>
  <c r="K2007" i="13"/>
  <c r="I2007" i="13" s="1"/>
  <c r="H2007" i="13"/>
  <c r="H2006" i="13"/>
  <c r="K2006" i="13" s="1"/>
  <c r="H2005" i="13"/>
  <c r="K2004" i="13"/>
  <c r="I2004" i="13" s="1"/>
  <c r="H2004" i="13"/>
  <c r="K2003" i="13"/>
  <c r="I2003" i="13" s="1"/>
  <c r="H2003" i="13"/>
  <c r="H2002" i="13"/>
  <c r="K2002" i="13" s="1"/>
  <c r="H2001" i="13"/>
  <c r="K2000" i="13"/>
  <c r="I2000" i="13" s="1"/>
  <c r="H2000" i="13"/>
  <c r="K1999" i="13"/>
  <c r="H1999" i="13"/>
  <c r="I1999" i="13" s="1"/>
  <c r="H1998" i="13"/>
  <c r="K1998" i="13" s="1"/>
  <c r="H1997" i="13"/>
  <c r="K1996" i="13"/>
  <c r="I1996" i="13"/>
  <c r="H1996" i="13"/>
  <c r="H1995" i="13"/>
  <c r="K1995" i="13" s="1"/>
  <c r="H1994" i="13"/>
  <c r="K1994" i="13" s="1"/>
  <c r="H1993" i="13"/>
  <c r="K1992" i="13"/>
  <c r="I1992" i="13"/>
  <c r="H1992" i="13"/>
  <c r="K1991" i="13"/>
  <c r="H1991" i="13"/>
  <c r="I1991" i="13" s="1"/>
  <c r="H1990" i="13"/>
  <c r="H1989" i="13"/>
  <c r="K1988" i="13"/>
  <c r="I1988" i="13"/>
  <c r="H1988" i="13"/>
  <c r="H1987" i="13"/>
  <c r="H1986" i="13"/>
  <c r="K1986" i="13" s="1"/>
  <c r="H1985" i="13"/>
  <c r="K1984" i="13"/>
  <c r="I1984" i="13"/>
  <c r="H1984" i="13"/>
  <c r="K1983" i="13"/>
  <c r="H1983" i="13"/>
  <c r="H1982" i="13"/>
  <c r="H1981" i="13"/>
  <c r="K1980" i="13"/>
  <c r="I1980" i="13"/>
  <c r="H1980" i="13"/>
  <c r="H1979" i="13"/>
  <c r="H1978" i="13"/>
  <c r="K1978" i="13" s="1"/>
  <c r="H1977" i="13"/>
  <c r="K1976" i="13"/>
  <c r="I1976" i="13"/>
  <c r="H1976" i="13"/>
  <c r="K1975" i="13"/>
  <c r="H1975" i="13"/>
  <c r="I1975" i="13" s="1"/>
  <c r="H1974" i="13"/>
  <c r="H1973" i="13"/>
  <c r="K1972" i="13"/>
  <c r="I1972" i="13"/>
  <c r="H1972" i="13"/>
  <c r="H1971" i="13"/>
  <c r="H1970" i="13"/>
  <c r="K1970" i="13" s="1"/>
  <c r="H1969" i="13"/>
  <c r="K1968" i="13"/>
  <c r="I1968" i="13"/>
  <c r="H1968" i="13"/>
  <c r="K1967" i="13"/>
  <c r="H1967" i="13"/>
  <c r="H1966" i="13"/>
  <c r="H1965" i="13"/>
  <c r="K1964" i="13"/>
  <c r="I1964" i="13"/>
  <c r="H1964" i="13"/>
  <c r="H1963" i="13"/>
  <c r="H1962" i="13"/>
  <c r="K1962" i="13" s="1"/>
  <c r="H1961" i="13"/>
  <c r="K1960" i="13"/>
  <c r="I1960" i="13"/>
  <c r="H1960" i="13"/>
  <c r="K1959" i="13"/>
  <c r="H1959" i="13"/>
  <c r="I1959" i="13" s="1"/>
  <c r="H1958" i="13"/>
  <c r="H1957" i="13"/>
  <c r="K1956" i="13"/>
  <c r="I1956" i="13"/>
  <c r="H1956" i="13"/>
  <c r="H1955" i="13"/>
  <c r="H1954" i="13"/>
  <c r="K1954" i="13" s="1"/>
  <c r="H1953" i="13"/>
  <c r="K1952" i="13"/>
  <c r="I1952" i="13"/>
  <c r="H1952" i="13"/>
  <c r="K1951" i="13"/>
  <c r="H1951" i="13"/>
  <c r="H1950" i="13"/>
  <c r="H1949" i="13"/>
  <c r="K1948" i="13"/>
  <c r="I1948" i="13"/>
  <c r="H1948" i="13"/>
  <c r="H1947" i="13"/>
  <c r="H1946" i="13"/>
  <c r="K1946" i="13" s="1"/>
  <c r="H1945" i="13"/>
  <c r="K1944" i="13"/>
  <c r="I1944" i="13"/>
  <c r="H1944" i="13"/>
  <c r="K1943" i="13"/>
  <c r="H1943" i="13"/>
  <c r="I1943" i="13" s="1"/>
  <c r="H1942" i="13"/>
  <c r="H1941" i="13"/>
  <c r="K1940" i="13"/>
  <c r="I1940" i="13"/>
  <c r="H1940" i="13"/>
  <c r="H1939" i="13"/>
  <c r="H1938" i="13"/>
  <c r="K1938" i="13" s="1"/>
  <c r="H1937" i="13"/>
  <c r="K1936" i="13"/>
  <c r="I1936" i="13"/>
  <c r="H1936" i="13"/>
  <c r="K1935" i="13"/>
  <c r="H1935" i="13"/>
  <c r="H1934" i="13"/>
  <c r="H1933" i="13"/>
  <c r="K1932" i="13"/>
  <c r="I1932" i="13"/>
  <c r="H1932" i="13"/>
  <c r="H1931" i="13"/>
  <c r="H1930" i="13"/>
  <c r="K1930" i="13" s="1"/>
  <c r="H1929" i="13"/>
  <c r="K1928" i="13"/>
  <c r="I1928" i="13"/>
  <c r="H1928" i="13"/>
  <c r="K1927" i="13"/>
  <c r="H1927" i="13"/>
  <c r="I1927" i="13" s="1"/>
  <c r="H1926" i="13"/>
  <c r="H1925" i="13"/>
  <c r="K1924" i="13"/>
  <c r="I1924" i="13"/>
  <c r="H1924" i="13"/>
  <c r="H1923" i="13"/>
  <c r="H1922" i="13"/>
  <c r="K1922" i="13" s="1"/>
  <c r="H1921" i="13"/>
  <c r="K1920" i="13"/>
  <c r="I1920" i="13"/>
  <c r="H1920" i="13"/>
  <c r="K1919" i="13"/>
  <c r="H1919" i="13"/>
  <c r="H1918" i="13"/>
  <c r="H1917" i="13"/>
  <c r="K1916" i="13"/>
  <c r="I1916" i="13"/>
  <c r="H1916" i="13"/>
  <c r="H1915" i="13"/>
  <c r="H1914" i="13"/>
  <c r="K1914" i="13" s="1"/>
  <c r="H1913" i="13"/>
  <c r="K1912" i="13"/>
  <c r="I1912" i="13"/>
  <c r="H1912" i="13"/>
  <c r="K1911" i="13"/>
  <c r="H1911" i="13"/>
  <c r="I1911" i="13" s="1"/>
  <c r="H1910" i="13"/>
  <c r="H1909" i="13"/>
  <c r="K1908" i="13"/>
  <c r="I1908" i="13"/>
  <c r="H1908" i="13"/>
  <c r="H1907" i="13"/>
  <c r="H1906" i="13"/>
  <c r="K1906" i="13" s="1"/>
  <c r="H1905" i="13"/>
  <c r="K1904" i="13"/>
  <c r="I1904" i="13"/>
  <c r="H1904" i="13"/>
  <c r="K1903" i="13"/>
  <c r="H1903" i="13"/>
  <c r="H1902" i="13"/>
  <c r="H1901" i="13"/>
  <c r="K1900" i="13"/>
  <c r="I1900" i="13"/>
  <c r="H1900" i="13"/>
  <c r="H1899" i="13"/>
  <c r="H1898" i="13"/>
  <c r="K1898" i="13" s="1"/>
  <c r="H1897" i="13"/>
  <c r="K1896" i="13"/>
  <c r="I1896" i="13"/>
  <c r="H1896" i="13"/>
  <c r="H1895" i="13"/>
  <c r="H1894" i="13"/>
  <c r="H1893" i="13"/>
  <c r="K1892" i="13"/>
  <c r="I1892" i="13"/>
  <c r="H1892" i="13"/>
  <c r="K1891" i="13"/>
  <c r="H1891" i="13"/>
  <c r="H1890" i="13"/>
  <c r="H1889" i="13"/>
  <c r="K1888" i="13"/>
  <c r="I1888" i="13"/>
  <c r="H1888" i="13"/>
  <c r="H1887" i="13"/>
  <c r="K1887" i="13" s="1"/>
  <c r="H1886" i="13"/>
  <c r="H1885" i="13"/>
  <c r="K1884" i="13"/>
  <c r="I1884" i="13"/>
  <c r="H1884" i="13"/>
  <c r="K1883" i="13"/>
  <c r="H1883" i="13"/>
  <c r="H1882" i="13"/>
  <c r="H1881" i="13"/>
  <c r="K1880" i="13"/>
  <c r="I1880" i="13"/>
  <c r="H1880" i="13"/>
  <c r="H1879" i="13"/>
  <c r="H1878" i="13"/>
  <c r="H1877" i="13"/>
  <c r="K1876" i="13"/>
  <c r="I1876" i="13"/>
  <c r="H1876" i="13"/>
  <c r="K1875" i="13"/>
  <c r="H1875" i="13"/>
  <c r="H1874" i="13"/>
  <c r="H1873" i="13"/>
  <c r="K1872" i="13"/>
  <c r="I1872" i="13"/>
  <c r="H1872" i="13"/>
  <c r="H1871" i="13"/>
  <c r="K1871" i="13" s="1"/>
  <c r="H1870" i="13"/>
  <c r="H1869" i="13"/>
  <c r="K1868" i="13"/>
  <c r="I1868" i="13"/>
  <c r="H1868" i="13"/>
  <c r="K1867" i="13"/>
  <c r="H1867" i="13"/>
  <c r="H1866" i="13"/>
  <c r="H1865" i="13"/>
  <c r="K1864" i="13"/>
  <c r="I1864" i="13"/>
  <c r="H1864" i="13"/>
  <c r="H1863" i="13"/>
  <c r="H1862" i="13"/>
  <c r="H1861" i="13"/>
  <c r="K1860" i="13"/>
  <c r="I1860" i="13"/>
  <c r="H1860" i="13"/>
  <c r="K1859" i="13"/>
  <c r="H1859" i="13"/>
  <c r="H1858" i="13"/>
  <c r="H1857" i="13"/>
  <c r="K1856" i="13"/>
  <c r="I1856" i="13"/>
  <c r="H1856" i="13"/>
  <c r="H1855" i="13"/>
  <c r="K1855" i="13" s="1"/>
  <c r="H1854" i="13"/>
  <c r="H1853" i="13"/>
  <c r="K1852" i="13"/>
  <c r="I1852" i="13"/>
  <c r="H1852" i="13"/>
  <c r="K1851" i="13"/>
  <c r="H1851" i="13"/>
  <c r="H1850" i="13"/>
  <c r="H1849" i="13"/>
  <c r="K1848" i="13"/>
  <c r="I1848" i="13"/>
  <c r="H1848" i="13"/>
  <c r="H1847" i="13"/>
  <c r="H1846" i="13"/>
  <c r="H1845" i="13"/>
  <c r="K1844" i="13"/>
  <c r="I1844" i="13"/>
  <c r="H1844" i="13"/>
  <c r="K1843" i="13"/>
  <c r="H1843" i="13"/>
  <c r="H1842" i="13"/>
  <c r="H1841" i="13"/>
  <c r="K1840" i="13"/>
  <c r="I1840" i="13"/>
  <c r="H1840" i="13"/>
  <c r="H1839" i="13"/>
  <c r="K1839" i="13" s="1"/>
  <c r="H1838" i="13"/>
  <c r="H1837" i="13"/>
  <c r="K1836" i="13"/>
  <c r="I1836" i="13"/>
  <c r="H1836" i="13"/>
  <c r="K1835" i="13"/>
  <c r="H1835" i="13"/>
  <c r="K1834" i="13"/>
  <c r="I1834" i="13"/>
  <c r="H1834" i="13"/>
  <c r="H1833" i="13"/>
  <c r="K1833" i="13" s="1"/>
  <c r="H1832" i="13"/>
  <c r="K1832" i="13" s="1"/>
  <c r="I1832" i="13" s="1"/>
  <c r="H1831" i="13"/>
  <c r="K1831" i="13" s="1"/>
  <c r="K1830" i="13"/>
  <c r="I1830" i="13"/>
  <c r="H1830" i="13"/>
  <c r="K1829" i="13"/>
  <c r="H1829" i="13"/>
  <c r="I1828" i="13"/>
  <c r="H1828" i="13"/>
  <c r="K1828" i="13" s="1"/>
  <c r="K1827" i="13"/>
  <c r="H1827" i="13"/>
  <c r="K1826" i="13"/>
  <c r="I1826" i="13"/>
  <c r="H1826" i="13"/>
  <c r="H1825" i="13"/>
  <c r="H1824" i="13"/>
  <c r="K1824" i="13" s="1"/>
  <c r="I1824" i="13" s="1"/>
  <c r="H1823" i="13"/>
  <c r="K1822" i="13"/>
  <c r="I1822" i="13"/>
  <c r="H1822" i="13"/>
  <c r="K1821" i="13"/>
  <c r="H1821" i="13"/>
  <c r="I1820" i="13"/>
  <c r="H1820" i="13"/>
  <c r="K1820" i="13" s="1"/>
  <c r="K1819" i="13"/>
  <c r="H1819" i="13"/>
  <c r="K1818" i="13"/>
  <c r="I1818" i="13"/>
  <c r="H1818" i="13"/>
  <c r="H1817" i="13"/>
  <c r="K1817" i="13" s="1"/>
  <c r="H1816" i="13"/>
  <c r="K1816" i="13" s="1"/>
  <c r="I1816" i="13" s="1"/>
  <c r="H1815" i="13"/>
  <c r="K1815" i="13" s="1"/>
  <c r="K1814" i="13"/>
  <c r="I1814" i="13"/>
  <c r="H1814" i="13"/>
  <c r="K1813" i="13"/>
  <c r="H1813" i="13"/>
  <c r="I1812" i="13"/>
  <c r="H1812" i="13"/>
  <c r="K1812" i="13" s="1"/>
  <c r="K1811" i="13"/>
  <c r="H1811" i="13"/>
  <c r="K1810" i="13"/>
  <c r="I1810" i="13"/>
  <c r="H1810" i="13"/>
  <c r="H1809" i="13"/>
  <c r="H1808" i="13"/>
  <c r="K1808" i="13" s="1"/>
  <c r="I1808" i="13" s="1"/>
  <c r="H1807" i="13"/>
  <c r="K1806" i="13"/>
  <c r="I1806" i="13"/>
  <c r="H1806" i="13"/>
  <c r="K1805" i="13"/>
  <c r="H1805" i="13"/>
  <c r="I1804" i="13"/>
  <c r="H1804" i="13"/>
  <c r="K1804" i="13" s="1"/>
  <c r="K1803" i="13"/>
  <c r="H1803" i="13"/>
  <c r="K1802" i="13"/>
  <c r="I1802" i="13"/>
  <c r="H1802" i="13"/>
  <c r="H1801" i="13"/>
  <c r="K1801" i="13" s="1"/>
  <c r="H1800" i="13"/>
  <c r="K1800" i="13" s="1"/>
  <c r="I1800" i="13" s="1"/>
  <c r="H1799" i="13"/>
  <c r="K1799" i="13" s="1"/>
  <c r="K1798" i="13"/>
  <c r="I1798" i="13"/>
  <c r="H1798" i="13"/>
  <c r="K1797" i="13"/>
  <c r="H1797" i="13"/>
  <c r="I1796" i="13"/>
  <c r="H1796" i="13"/>
  <c r="K1796" i="13" s="1"/>
  <c r="K1795" i="13"/>
  <c r="H1795" i="13"/>
  <c r="K1794" i="13"/>
  <c r="I1794" i="13"/>
  <c r="H1794" i="13"/>
  <c r="H1793" i="13"/>
  <c r="H1792" i="13"/>
  <c r="K1792" i="13" s="1"/>
  <c r="I1792" i="13" s="1"/>
  <c r="H1791" i="13"/>
  <c r="K1790" i="13"/>
  <c r="I1790" i="13"/>
  <c r="H1790" i="13"/>
  <c r="K1789" i="13"/>
  <c r="H1789" i="13"/>
  <c r="I1788" i="13"/>
  <c r="H1788" i="13"/>
  <c r="K1788" i="13" s="1"/>
  <c r="K1787" i="13"/>
  <c r="H1787" i="13"/>
  <c r="K1786" i="13"/>
  <c r="I1786" i="13"/>
  <c r="H1786" i="13"/>
  <c r="H1785" i="13"/>
  <c r="K1785" i="13" s="1"/>
  <c r="H1784" i="13"/>
  <c r="K1784" i="13" s="1"/>
  <c r="I1784" i="13" s="1"/>
  <c r="H1783" i="13"/>
  <c r="K1783" i="13" s="1"/>
  <c r="K1782" i="13"/>
  <c r="I1782" i="13"/>
  <c r="H1782" i="13"/>
  <c r="K1781" i="13"/>
  <c r="H1781" i="13"/>
  <c r="I1780" i="13"/>
  <c r="H1780" i="13"/>
  <c r="K1780" i="13" s="1"/>
  <c r="K1779" i="13"/>
  <c r="H1779" i="13"/>
  <c r="K1778" i="13"/>
  <c r="I1778" i="13"/>
  <c r="H1778" i="13"/>
  <c r="H1777" i="13"/>
  <c r="H1776" i="13"/>
  <c r="K1776" i="13" s="1"/>
  <c r="I1776" i="13" s="1"/>
  <c r="H1775" i="13"/>
  <c r="K1774" i="13"/>
  <c r="I1774" i="13"/>
  <c r="H1774" i="13"/>
  <c r="K1773" i="13"/>
  <c r="H1773" i="13"/>
  <c r="I1772" i="13"/>
  <c r="H1772" i="13"/>
  <c r="K1772" i="13" s="1"/>
  <c r="K1771" i="13"/>
  <c r="H1771" i="13"/>
  <c r="K1770" i="13"/>
  <c r="I1770" i="13"/>
  <c r="H1770" i="13"/>
  <c r="H1769" i="13"/>
  <c r="K1769" i="13" s="1"/>
  <c r="H1768" i="13"/>
  <c r="K1768" i="13" s="1"/>
  <c r="I1768" i="13" s="1"/>
  <c r="H1767" i="13"/>
  <c r="K1767" i="13" s="1"/>
  <c r="K1766" i="13"/>
  <c r="I1766" i="13"/>
  <c r="H1766" i="13"/>
  <c r="K1765" i="13"/>
  <c r="H1765" i="13"/>
  <c r="I1764" i="13"/>
  <c r="H1764" i="13"/>
  <c r="K1764" i="13" s="1"/>
  <c r="K1763" i="13"/>
  <c r="H1763" i="13"/>
  <c r="K1762" i="13"/>
  <c r="I1762" i="13"/>
  <c r="H1762" i="13"/>
  <c r="H1761" i="13"/>
  <c r="H1760" i="13"/>
  <c r="K1760" i="13" s="1"/>
  <c r="I1760" i="13" s="1"/>
  <c r="H1759" i="13"/>
  <c r="K1758" i="13"/>
  <c r="I1758" i="13"/>
  <c r="H1758" i="13"/>
  <c r="K1757" i="13"/>
  <c r="H1757" i="13"/>
  <c r="I1756" i="13"/>
  <c r="H1756" i="13"/>
  <c r="K1756" i="13" s="1"/>
  <c r="K1755" i="13"/>
  <c r="H1755" i="13"/>
  <c r="K1754" i="13"/>
  <c r="I1754" i="13"/>
  <c r="H1754" i="13"/>
  <c r="H1753" i="13"/>
  <c r="K1753" i="13" s="1"/>
  <c r="H1752" i="13"/>
  <c r="K1752" i="13" s="1"/>
  <c r="I1752" i="13" s="1"/>
  <c r="H1751" i="13"/>
  <c r="K1751" i="13" s="1"/>
  <c r="K1750" i="13"/>
  <c r="I1750" i="13"/>
  <c r="H1750" i="13"/>
  <c r="K1749" i="13"/>
  <c r="H1749" i="13"/>
  <c r="I1748" i="13"/>
  <c r="H1748" i="13"/>
  <c r="K1748" i="13" s="1"/>
  <c r="K1747" i="13"/>
  <c r="H1747" i="13"/>
  <c r="K1746" i="13"/>
  <c r="I1746" i="13"/>
  <c r="H1746" i="13"/>
  <c r="H1745" i="13"/>
  <c r="H1744" i="13"/>
  <c r="K1744" i="13" s="1"/>
  <c r="I1744" i="13" s="1"/>
  <c r="H1743" i="13"/>
  <c r="K1742" i="13"/>
  <c r="I1742" i="13"/>
  <c r="H1742" i="13"/>
  <c r="K1741" i="13"/>
  <c r="H1741" i="13"/>
  <c r="I1740" i="13"/>
  <c r="H1740" i="13"/>
  <c r="K1740" i="13" s="1"/>
  <c r="K1739" i="13"/>
  <c r="H1739" i="13"/>
  <c r="K1738" i="13"/>
  <c r="I1738" i="13"/>
  <c r="H1738" i="13"/>
  <c r="H1737" i="13"/>
  <c r="K1737" i="13" s="1"/>
  <c r="H1736" i="13"/>
  <c r="K1736" i="13" s="1"/>
  <c r="I1736" i="13" s="1"/>
  <c r="H1735" i="13"/>
  <c r="K1735" i="13" s="1"/>
  <c r="K1734" i="13"/>
  <c r="I1734" i="13"/>
  <c r="H1734" i="13"/>
  <c r="K1733" i="13"/>
  <c r="H1733" i="13"/>
  <c r="I1732" i="13"/>
  <c r="H1732" i="13"/>
  <c r="K1732" i="13" s="1"/>
  <c r="K1731" i="13"/>
  <c r="H1731" i="13"/>
  <c r="K1730" i="13"/>
  <c r="I1730" i="13"/>
  <c r="H1730" i="13"/>
  <c r="H1729" i="13"/>
  <c r="H1728" i="13"/>
  <c r="K1728" i="13" s="1"/>
  <c r="I1728" i="13" s="1"/>
  <c r="H1727" i="13"/>
  <c r="K1726" i="13"/>
  <c r="I1726" i="13"/>
  <c r="H1726" i="13"/>
  <c r="K1725" i="13"/>
  <c r="H1725" i="13"/>
  <c r="I1724" i="13"/>
  <c r="H1724" i="13"/>
  <c r="K1724" i="13" s="1"/>
  <c r="K1723" i="13"/>
  <c r="H1723" i="13"/>
  <c r="K1722" i="13"/>
  <c r="I1722" i="13"/>
  <c r="H1722" i="13"/>
  <c r="H1721" i="13"/>
  <c r="K1721" i="13" s="1"/>
  <c r="H1720" i="13"/>
  <c r="K1720" i="13" s="1"/>
  <c r="I1720" i="13" s="1"/>
  <c r="H1719" i="13"/>
  <c r="K1719" i="13" s="1"/>
  <c r="K1718" i="13"/>
  <c r="I1718" i="13"/>
  <c r="H1718" i="13"/>
  <c r="K1717" i="13"/>
  <c r="H1717" i="13"/>
  <c r="I1716" i="13"/>
  <c r="H1716" i="13"/>
  <c r="K1716" i="13" s="1"/>
  <c r="K1715" i="13"/>
  <c r="H1715" i="13"/>
  <c r="K1714" i="13"/>
  <c r="I1714" i="13"/>
  <c r="H1714" i="13"/>
  <c r="H1713" i="13"/>
  <c r="H1712" i="13"/>
  <c r="K1712" i="13" s="1"/>
  <c r="I1712" i="13" s="1"/>
  <c r="H1711" i="13"/>
  <c r="K1710" i="13"/>
  <c r="I1710" i="13"/>
  <c r="H1710" i="13"/>
  <c r="K1709" i="13"/>
  <c r="H1709" i="13"/>
  <c r="I1708" i="13"/>
  <c r="H1708" i="13"/>
  <c r="K1708" i="13" s="1"/>
  <c r="K1707" i="13"/>
  <c r="H1707" i="13"/>
  <c r="K1706" i="13"/>
  <c r="I1706" i="13"/>
  <c r="H1706" i="13"/>
  <c r="H1705" i="13"/>
  <c r="K1705" i="13" s="1"/>
  <c r="H1704" i="13"/>
  <c r="K1704" i="13" s="1"/>
  <c r="I1704" i="13" s="1"/>
  <c r="H1703" i="13"/>
  <c r="K1703" i="13" s="1"/>
  <c r="K1702" i="13"/>
  <c r="I1702" i="13"/>
  <c r="H1702" i="13"/>
  <c r="K1701" i="13"/>
  <c r="H1701" i="13"/>
  <c r="I1700" i="13"/>
  <c r="H1700" i="13"/>
  <c r="K1700" i="13" s="1"/>
  <c r="K1699" i="13"/>
  <c r="H1699" i="13"/>
  <c r="K1698" i="13"/>
  <c r="I1698" i="13"/>
  <c r="H1698" i="13"/>
  <c r="H1697" i="13"/>
  <c r="H1696" i="13"/>
  <c r="K1696" i="13" s="1"/>
  <c r="I1696" i="13" s="1"/>
  <c r="H1695" i="13"/>
  <c r="K1694" i="13"/>
  <c r="I1694" i="13"/>
  <c r="H1694" i="13"/>
  <c r="K1693" i="13"/>
  <c r="H1693" i="13"/>
  <c r="I1692" i="13"/>
  <c r="H1692" i="13"/>
  <c r="K1692" i="13" s="1"/>
  <c r="K1691" i="13"/>
  <c r="H1691" i="13"/>
  <c r="K1690" i="13"/>
  <c r="I1690" i="13"/>
  <c r="H1690" i="13"/>
  <c r="H1689" i="13"/>
  <c r="K1689" i="13" s="1"/>
  <c r="H1688" i="13"/>
  <c r="K1688" i="13" s="1"/>
  <c r="I1688" i="13" s="1"/>
  <c r="H1687" i="13"/>
  <c r="K1687" i="13" s="1"/>
  <c r="K1686" i="13"/>
  <c r="I1686" i="13"/>
  <c r="H1686" i="13"/>
  <c r="K1685" i="13"/>
  <c r="H1685" i="13"/>
  <c r="I1684" i="13"/>
  <c r="H1684" i="13"/>
  <c r="K1684" i="13" s="1"/>
  <c r="K1683" i="13"/>
  <c r="H1683" i="13"/>
  <c r="K1682" i="13"/>
  <c r="I1682" i="13"/>
  <c r="H1682" i="13"/>
  <c r="H1681" i="13"/>
  <c r="H1680" i="13"/>
  <c r="K1680" i="13" s="1"/>
  <c r="I1680" i="13" s="1"/>
  <c r="H1679" i="13"/>
  <c r="K1678" i="13"/>
  <c r="I1678" i="13"/>
  <c r="H1678" i="13"/>
  <c r="K1677" i="13"/>
  <c r="H1677" i="13"/>
  <c r="I1676" i="13"/>
  <c r="H1676" i="13"/>
  <c r="K1676" i="13" s="1"/>
  <c r="K1675" i="13"/>
  <c r="H1675" i="13"/>
  <c r="K1674" i="13"/>
  <c r="I1674" i="13"/>
  <c r="H1674" i="13"/>
  <c r="H1673" i="13"/>
  <c r="K1673" i="13" s="1"/>
  <c r="H1672" i="13"/>
  <c r="K1672" i="13" s="1"/>
  <c r="I1672" i="13" s="1"/>
  <c r="H1671" i="13"/>
  <c r="K1671" i="13" s="1"/>
  <c r="K1670" i="13"/>
  <c r="I1670" i="13"/>
  <c r="H1670" i="13"/>
  <c r="K1669" i="13"/>
  <c r="H1669" i="13"/>
  <c r="I1668" i="13"/>
  <c r="H1668" i="13"/>
  <c r="K1668" i="13" s="1"/>
  <c r="K1667" i="13"/>
  <c r="H1667" i="13"/>
  <c r="K1666" i="13"/>
  <c r="I1666" i="13" s="1"/>
  <c r="H1666" i="13"/>
  <c r="K1665" i="13"/>
  <c r="I1665" i="13"/>
  <c r="H1665" i="13"/>
  <c r="I1664" i="13"/>
  <c r="H1664" i="13"/>
  <c r="K1664" i="13" s="1"/>
  <c r="K1663" i="13"/>
  <c r="H1663" i="13"/>
  <c r="K1662" i="13"/>
  <c r="I1662" i="13" s="1"/>
  <c r="H1662" i="13"/>
  <c r="H1661" i="13"/>
  <c r="K1661" i="13" s="1"/>
  <c r="I1661" i="13" s="1"/>
  <c r="I1660" i="13"/>
  <c r="H1660" i="13"/>
  <c r="K1660" i="13" s="1"/>
  <c r="K1659" i="13"/>
  <c r="H1659" i="13"/>
  <c r="K1658" i="13"/>
  <c r="I1658" i="13" s="1"/>
  <c r="H1658" i="13"/>
  <c r="K1657" i="13"/>
  <c r="I1657" i="13"/>
  <c r="H1657" i="13"/>
  <c r="I1656" i="13"/>
  <c r="H1656" i="13"/>
  <c r="K1656" i="13" s="1"/>
  <c r="K1655" i="13"/>
  <c r="H1655" i="13"/>
  <c r="K1654" i="13"/>
  <c r="I1654" i="13" s="1"/>
  <c r="H1654" i="13"/>
  <c r="H1653" i="13"/>
  <c r="K1653" i="13" s="1"/>
  <c r="I1653" i="13" s="1"/>
  <c r="I1652" i="13"/>
  <c r="H1652" i="13"/>
  <c r="K1652" i="13" s="1"/>
  <c r="K1651" i="13"/>
  <c r="H1651" i="13"/>
  <c r="K1650" i="13"/>
  <c r="I1650" i="13" s="1"/>
  <c r="H1650" i="13"/>
  <c r="K1649" i="13"/>
  <c r="I1649" i="13"/>
  <c r="H1649" i="13"/>
  <c r="I1648" i="13"/>
  <c r="H1648" i="13"/>
  <c r="K1648" i="13" s="1"/>
  <c r="K1647" i="13"/>
  <c r="H1647" i="13"/>
  <c r="K1646" i="13"/>
  <c r="I1646" i="13" s="1"/>
  <c r="H1646" i="13"/>
  <c r="H1645" i="13"/>
  <c r="K1645" i="13" s="1"/>
  <c r="I1645" i="13" s="1"/>
  <c r="I1644" i="13"/>
  <c r="H1644" i="13"/>
  <c r="K1644" i="13" s="1"/>
  <c r="K1643" i="13"/>
  <c r="H1643" i="13"/>
  <c r="K1642" i="13"/>
  <c r="I1642" i="13" s="1"/>
  <c r="H1642" i="13"/>
  <c r="K1641" i="13"/>
  <c r="I1641" i="13"/>
  <c r="H1641" i="13"/>
  <c r="I1640" i="13"/>
  <c r="H1640" i="13"/>
  <c r="K1640" i="13" s="1"/>
  <c r="K1639" i="13"/>
  <c r="H1639" i="13"/>
  <c r="K1638" i="13"/>
  <c r="I1638" i="13" s="1"/>
  <c r="H1638" i="13"/>
  <c r="H1637" i="13"/>
  <c r="K1637" i="13" s="1"/>
  <c r="I1637" i="13" s="1"/>
  <c r="I1636" i="13"/>
  <c r="H1636" i="13"/>
  <c r="K1636" i="13" s="1"/>
  <c r="K1635" i="13"/>
  <c r="H1635" i="13"/>
  <c r="K1634" i="13"/>
  <c r="I1634" i="13" s="1"/>
  <c r="H1634" i="13"/>
  <c r="K1633" i="13"/>
  <c r="I1633" i="13"/>
  <c r="H1633" i="13"/>
  <c r="I1632" i="13"/>
  <c r="H1632" i="13"/>
  <c r="K1632" i="13" s="1"/>
  <c r="K1631" i="13"/>
  <c r="H1631" i="13"/>
  <c r="K1630" i="13"/>
  <c r="I1630" i="13" s="1"/>
  <c r="H1630" i="13"/>
  <c r="H1629" i="13"/>
  <c r="K1629" i="13" s="1"/>
  <c r="I1629" i="13" s="1"/>
  <c r="I1628" i="13"/>
  <c r="H1628" i="13"/>
  <c r="K1628" i="13" s="1"/>
  <c r="K1627" i="13"/>
  <c r="H1627" i="13"/>
  <c r="K1626" i="13"/>
  <c r="I1626" i="13" s="1"/>
  <c r="H1626" i="13"/>
  <c r="K1625" i="13"/>
  <c r="I1625" i="13"/>
  <c r="H1625" i="13"/>
  <c r="I1624" i="13"/>
  <c r="H1624" i="13"/>
  <c r="K1624" i="13" s="1"/>
  <c r="K1623" i="13"/>
  <c r="H1623" i="13"/>
  <c r="K1622" i="13"/>
  <c r="I1622" i="13" s="1"/>
  <c r="H1622" i="13"/>
  <c r="H1621" i="13"/>
  <c r="K1621" i="13" s="1"/>
  <c r="I1621" i="13" s="1"/>
  <c r="I1620" i="13"/>
  <c r="H1620" i="13"/>
  <c r="K1620" i="13" s="1"/>
  <c r="K1619" i="13"/>
  <c r="H1619" i="13"/>
  <c r="K1618" i="13"/>
  <c r="I1618" i="13" s="1"/>
  <c r="H1618" i="13"/>
  <c r="K1617" i="13"/>
  <c r="I1617" i="13"/>
  <c r="H1617" i="13"/>
  <c r="I1616" i="13"/>
  <c r="H1616" i="13"/>
  <c r="K1616" i="13" s="1"/>
  <c r="K1615" i="13"/>
  <c r="H1615" i="13"/>
  <c r="K1614" i="13"/>
  <c r="I1614" i="13" s="1"/>
  <c r="H1614" i="13"/>
  <c r="H1613" i="13"/>
  <c r="K1613" i="13" s="1"/>
  <c r="I1613" i="13" s="1"/>
  <c r="I1612" i="13"/>
  <c r="H1612" i="13"/>
  <c r="K1612" i="13" s="1"/>
  <c r="K1611" i="13"/>
  <c r="H1611" i="13"/>
  <c r="K1610" i="13"/>
  <c r="I1610" i="13" s="1"/>
  <c r="H1610" i="13"/>
  <c r="K1609" i="13"/>
  <c r="I1609" i="13"/>
  <c r="H1609" i="13"/>
  <c r="I1608" i="13"/>
  <c r="H1608" i="13"/>
  <c r="K1608" i="13" s="1"/>
  <c r="K1607" i="13"/>
  <c r="H1607" i="13"/>
  <c r="K1606" i="13"/>
  <c r="I1606" i="13" s="1"/>
  <c r="H1606" i="13"/>
  <c r="H1605" i="13"/>
  <c r="K1605" i="13" s="1"/>
  <c r="I1605" i="13" s="1"/>
  <c r="I1604" i="13"/>
  <c r="H1604" i="13"/>
  <c r="K1604" i="13" s="1"/>
  <c r="K1603" i="13"/>
  <c r="H1603" i="13"/>
  <c r="K1602" i="13"/>
  <c r="I1602" i="13" s="1"/>
  <c r="H1602" i="13"/>
  <c r="K1601" i="13"/>
  <c r="I1601" i="13"/>
  <c r="H1601" i="13"/>
  <c r="I1600" i="13"/>
  <c r="H1600" i="13"/>
  <c r="K1600" i="13" s="1"/>
  <c r="K1599" i="13"/>
  <c r="H1599" i="13"/>
  <c r="K1598" i="13"/>
  <c r="I1598" i="13" s="1"/>
  <c r="H1598" i="13"/>
  <c r="H1597" i="13"/>
  <c r="K1597" i="13" s="1"/>
  <c r="I1597" i="13" s="1"/>
  <c r="I1596" i="13"/>
  <c r="H1596" i="13"/>
  <c r="K1596" i="13" s="1"/>
  <c r="K1595" i="13"/>
  <c r="H1595" i="13"/>
  <c r="K1594" i="13"/>
  <c r="I1594" i="13" s="1"/>
  <c r="H1594" i="13"/>
  <c r="K1593" i="13"/>
  <c r="I1593" i="13"/>
  <c r="H1593" i="13"/>
  <c r="I1592" i="13"/>
  <c r="H1592" i="13"/>
  <c r="K1592" i="13" s="1"/>
  <c r="K1591" i="13"/>
  <c r="H1591" i="13"/>
  <c r="K1590" i="13"/>
  <c r="I1590" i="13" s="1"/>
  <c r="H1590" i="13"/>
  <c r="H1589" i="13"/>
  <c r="K1589" i="13" s="1"/>
  <c r="I1589" i="13" s="1"/>
  <c r="I1588" i="13"/>
  <c r="H1588" i="13"/>
  <c r="K1588" i="13" s="1"/>
  <c r="K1587" i="13"/>
  <c r="H1587" i="13"/>
  <c r="K1586" i="13"/>
  <c r="I1586" i="13" s="1"/>
  <c r="H1586" i="13"/>
  <c r="K1585" i="13"/>
  <c r="I1585" i="13"/>
  <c r="H1585" i="13"/>
  <c r="I1584" i="13"/>
  <c r="H1584" i="13"/>
  <c r="K1584" i="13" s="1"/>
  <c r="K1583" i="13"/>
  <c r="H1583" i="13"/>
  <c r="K1582" i="13"/>
  <c r="I1582" i="13" s="1"/>
  <c r="H1582" i="13"/>
  <c r="H1581" i="13"/>
  <c r="K1581" i="13" s="1"/>
  <c r="I1581" i="13" s="1"/>
  <c r="I1580" i="13"/>
  <c r="H1580" i="13"/>
  <c r="K1580" i="13" s="1"/>
  <c r="K1579" i="13"/>
  <c r="H1579" i="13"/>
  <c r="K1578" i="13"/>
  <c r="I1578" i="13" s="1"/>
  <c r="H1578" i="13"/>
  <c r="K1577" i="13"/>
  <c r="I1577" i="13"/>
  <c r="H1577" i="13"/>
  <c r="I1576" i="13"/>
  <c r="H1576" i="13"/>
  <c r="K1576" i="13" s="1"/>
  <c r="K1575" i="13"/>
  <c r="H1575" i="13"/>
  <c r="K1574" i="13"/>
  <c r="I1574" i="13" s="1"/>
  <c r="H1574" i="13"/>
  <c r="H1573" i="13"/>
  <c r="K1573" i="13" s="1"/>
  <c r="I1573" i="13" s="1"/>
  <c r="I1572" i="13"/>
  <c r="H1572" i="13"/>
  <c r="K1572" i="13" s="1"/>
  <c r="K1571" i="13"/>
  <c r="H1571" i="13"/>
  <c r="K1570" i="13"/>
  <c r="I1570" i="13" s="1"/>
  <c r="H1570" i="13"/>
  <c r="K1569" i="13"/>
  <c r="I1569" i="13"/>
  <c r="H1569" i="13"/>
  <c r="I1568" i="13"/>
  <c r="H1568" i="13"/>
  <c r="K1568" i="13" s="1"/>
  <c r="K1567" i="13"/>
  <c r="H1567" i="13"/>
  <c r="K1566" i="13"/>
  <c r="I1566" i="13" s="1"/>
  <c r="H1566" i="13"/>
  <c r="H1565" i="13"/>
  <c r="K1565" i="13" s="1"/>
  <c r="I1565" i="13" s="1"/>
  <c r="I1564" i="13"/>
  <c r="H1564" i="13"/>
  <c r="K1564" i="13" s="1"/>
  <c r="K1563" i="13"/>
  <c r="H1563" i="13"/>
  <c r="K1562" i="13"/>
  <c r="I1562" i="13" s="1"/>
  <c r="H1562" i="13"/>
  <c r="K1561" i="13"/>
  <c r="I1561" i="13"/>
  <c r="H1561" i="13"/>
  <c r="I1560" i="13"/>
  <c r="H1560" i="13"/>
  <c r="K1560" i="13" s="1"/>
  <c r="K1559" i="13"/>
  <c r="H1559" i="13"/>
  <c r="K1558" i="13"/>
  <c r="I1558" i="13" s="1"/>
  <c r="H1558" i="13"/>
  <c r="H1557" i="13"/>
  <c r="K1557" i="13" s="1"/>
  <c r="I1557" i="13" s="1"/>
  <c r="I1556" i="13"/>
  <c r="H1556" i="13"/>
  <c r="K1556" i="13" s="1"/>
  <c r="K1555" i="13"/>
  <c r="H1555" i="13"/>
  <c r="K1554" i="13"/>
  <c r="I1554" i="13" s="1"/>
  <c r="H1554" i="13"/>
  <c r="K1553" i="13"/>
  <c r="I1553" i="13"/>
  <c r="H1553" i="13"/>
  <c r="I1552" i="13"/>
  <c r="H1552" i="13"/>
  <c r="K1552" i="13" s="1"/>
  <c r="K1551" i="13"/>
  <c r="H1551" i="13"/>
  <c r="K1550" i="13"/>
  <c r="I1550" i="13" s="1"/>
  <c r="H1550" i="13"/>
  <c r="H1549" i="13"/>
  <c r="K1549" i="13" s="1"/>
  <c r="I1549" i="13" s="1"/>
  <c r="I1548" i="13"/>
  <c r="H1548" i="13"/>
  <c r="K1548" i="13" s="1"/>
  <c r="K1547" i="13"/>
  <c r="H1547" i="13"/>
  <c r="K1546" i="13"/>
  <c r="I1546" i="13" s="1"/>
  <c r="H1546" i="13"/>
  <c r="K1545" i="13"/>
  <c r="I1545" i="13"/>
  <c r="H1545" i="13"/>
  <c r="I1544" i="13"/>
  <c r="H1544" i="13"/>
  <c r="K1544" i="13" s="1"/>
  <c r="K1543" i="13"/>
  <c r="H1543" i="13"/>
  <c r="K1542" i="13"/>
  <c r="I1542" i="13" s="1"/>
  <c r="H1542" i="13"/>
  <c r="H1541" i="13"/>
  <c r="K1541" i="13" s="1"/>
  <c r="I1541" i="13" s="1"/>
  <c r="I1540" i="13"/>
  <c r="H1540" i="13"/>
  <c r="K1540" i="13" s="1"/>
  <c r="K1539" i="13"/>
  <c r="H1539" i="13"/>
  <c r="K1538" i="13"/>
  <c r="I1538" i="13" s="1"/>
  <c r="H1538" i="13"/>
  <c r="K1537" i="13"/>
  <c r="I1537" i="13"/>
  <c r="H1537" i="13"/>
  <c r="I1536" i="13"/>
  <c r="H1536" i="13"/>
  <c r="K1536" i="13" s="1"/>
  <c r="K1535" i="13"/>
  <c r="H1535" i="13"/>
  <c r="K1534" i="13"/>
  <c r="I1534" i="13" s="1"/>
  <c r="H1534" i="13"/>
  <c r="H1533" i="13"/>
  <c r="K1533" i="13" s="1"/>
  <c r="I1533" i="13" s="1"/>
  <c r="I1532" i="13"/>
  <c r="H1532" i="13"/>
  <c r="K1532" i="13" s="1"/>
  <c r="K1531" i="13"/>
  <c r="H1531" i="13"/>
  <c r="K1530" i="13"/>
  <c r="I1530" i="13" s="1"/>
  <c r="H1530" i="13"/>
  <c r="K1529" i="13"/>
  <c r="I1529" i="13"/>
  <c r="H1529" i="13"/>
  <c r="I1528" i="13"/>
  <c r="H1528" i="13"/>
  <c r="K1528" i="13" s="1"/>
  <c r="K1527" i="13"/>
  <c r="H1527" i="13"/>
  <c r="K1526" i="13"/>
  <c r="I1526" i="13" s="1"/>
  <c r="H1526" i="13"/>
  <c r="H1525" i="13"/>
  <c r="K1525" i="13" s="1"/>
  <c r="I1525" i="13" s="1"/>
  <c r="I1524" i="13"/>
  <c r="H1524" i="13"/>
  <c r="K1524" i="13" s="1"/>
  <c r="K1523" i="13"/>
  <c r="H1523" i="13"/>
  <c r="K1522" i="13"/>
  <c r="I1522" i="13" s="1"/>
  <c r="H1522" i="13"/>
  <c r="K1521" i="13"/>
  <c r="I1521" i="13"/>
  <c r="H1521" i="13"/>
  <c r="I1520" i="13"/>
  <c r="H1520" i="13"/>
  <c r="K1520" i="13" s="1"/>
  <c r="K1519" i="13"/>
  <c r="H1519" i="13"/>
  <c r="K1518" i="13"/>
  <c r="I1518" i="13" s="1"/>
  <c r="H1518" i="13"/>
  <c r="H1517" i="13"/>
  <c r="K1517" i="13" s="1"/>
  <c r="I1517" i="13" s="1"/>
  <c r="I1516" i="13"/>
  <c r="H1516" i="13"/>
  <c r="K1516" i="13" s="1"/>
  <c r="K1515" i="13"/>
  <c r="H1515" i="13"/>
  <c r="K1514" i="13"/>
  <c r="I1514" i="13" s="1"/>
  <c r="H1514" i="13"/>
  <c r="K1513" i="13"/>
  <c r="I1513" i="13"/>
  <c r="H1513" i="13"/>
  <c r="I1512" i="13"/>
  <c r="H1512" i="13"/>
  <c r="K1512" i="13" s="1"/>
  <c r="K1511" i="13"/>
  <c r="H1511" i="13"/>
  <c r="K1510" i="13"/>
  <c r="I1510" i="13" s="1"/>
  <c r="H1510" i="13"/>
  <c r="H1509" i="13"/>
  <c r="K1509" i="13" s="1"/>
  <c r="I1509" i="13" s="1"/>
  <c r="I1508" i="13"/>
  <c r="H1508" i="13"/>
  <c r="K1508" i="13" s="1"/>
  <c r="K1507" i="13"/>
  <c r="H1507" i="13"/>
  <c r="K1506" i="13"/>
  <c r="I1506" i="13" s="1"/>
  <c r="H1506" i="13"/>
  <c r="K1505" i="13"/>
  <c r="I1505" i="13"/>
  <c r="H1505" i="13"/>
  <c r="I1504" i="13"/>
  <c r="H1504" i="13"/>
  <c r="K1504" i="13" s="1"/>
  <c r="K1503" i="13"/>
  <c r="H1503" i="13"/>
  <c r="K1502" i="13"/>
  <c r="I1502" i="13" s="1"/>
  <c r="H1502" i="13"/>
  <c r="H1501" i="13"/>
  <c r="K1501" i="13" s="1"/>
  <c r="I1501" i="13" s="1"/>
  <c r="I1500" i="13"/>
  <c r="H1500" i="13"/>
  <c r="K1500" i="13" s="1"/>
  <c r="K1499" i="13"/>
  <c r="H1499" i="13"/>
  <c r="K1498" i="13"/>
  <c r="I1498" i="13" s="1"/>
  <c r="H1498" i="13"/>
  <c r="K1497" i="13"/>
  <c r="I1497" i="13"/>
  <c r="H1497" i="13"/>
  <c r="I1496" i="13"/>
  <c r="H1496" i="13"/>
  <c r="K1496" i="13" s="1"/>
  <c r="K1495" i="13"/>
  <c r="H1495" i="13"/>
  <c r="K1494" i="13"/>
  <c r="I1494" i="13" s="1"/>
  <c r="H1494" i="13"/>
  <c r="H1493" i="13"/>
  <c r="K1493" i="13" s="1"/>
  <c r="I1493" i="13" s="1"/>
  <c r="I1492" i="13"/>
  <c r="H1492" i="13"/>
  <c r="K1492" i="13" s="1"/>
  <c r="K1491" i="13"/>
  <c r="H1491" i="13"/>
  <c r="K1490" i="13"/>
  <c r="I1490" i="13" s="1"/>
  <c r="H1490" i="13"/>
  <c r="K1489" i="13"/>
  <c r="I1489" i="13"/>
  <c r="H1489" i="13"/>
  <c r="I1488" i="13"/>
  <c r="H1488" i="13"/>
  <c r="K1488" i="13" s="1"/>
  <c r="K1487" i="13"/>
  <c r="H1487" i="13"/>
  <c r="K1486" i="13"/>
  <c r="I1486" i="13" s="1"/>
  <c r="H1486" i="13"/>
  <c r="H1485" i="13"/>
  <c r="K1485" i="13" s="1"/>
  <c r="I1485" i="13" s="1"/>
  <c r="I1484" i="13"/>
  <c r="H1484" i="13"/>
  <c r="K1484" i="13" s="1"/>
  <c r="K1483" i="13"/>
  <c r="H1483" i="13"/>
  <c r="K1482" i="13"/>
  <c r="I1482" i="13" s="1"/>
  <c r="H1482" i="13"/>
  <c r="K1481" i="13"/>
  <c r="I1481" i="13"/>
  <c r="H1481" i="13"/>
  <c r="I1480" i="13"/>
  <c r="H1480" i="13"/>
  <c r="K1480" i="13" s="1"/>
  <c r="K1479" i="13"/>
  <c r="H1479" i="13"/>
  <c r="K1478" i="13"/>
  <c r="I1478" i="13" s="1"/>
  <c r="H1478" i="13"/>
  <c r="H1477" i="13"/>
  <c r="K1477" i="13" s="1"/>
  <c r="I1477" i="13" s="1"/>
  <c r="I1476" i="13"/>
  <c r="H1476" i="13"/>
  <c r="K1476" i="13" s="1"/>
  <c r="K1475" i="13"/>
  <c r="H1475" i="13"/>
  <c r="K1474" i="13"/>
  <c r="I1474" i="13" s="1"/>
  <c r="H1474" i="13"/>
  <c r="K1473" i="13"/>
  <c r="I1473" i="13"/>
  <c r="H1473" i="13"/>
  <c r="I1472" i="13"/>
  <c r="H1472" i="13"/>
  <c r="K1472" i="13" s="1"/>
  <c r="K1471" i="13"/>
  <c r="H1471" i="13"/>
  <c r="K1470" i="13"/>
  <c r="I1470" i="13" s="1"/>
  <c r="H1470" i="13"/>
  <c r="H1469" i="13"/>
  <c r="K1469" i="13" s="1"/>
  <c r="I1469" i="13" s="1"/>
  <c r="I1468" i="13"/>
  <c r="H1468" i="13"/>
  <c r="K1468" i="13" s="1"/>
  <c r="K1467" i="13"/>
  <c r="H1467" i="13"/>
  <c r="K1466" i="13"/>
  <c r="I1466" i="13" s="1"/>
  <c r="H1466" i="13"/>
  <c r="K1465" i="13"/>
  <c r="I1465" i="13"/>
  <c r="H1465" i="13"/>
  <c r="I1464" i="13"/>
  <c r="H1464" i="13"/>
  <c r="K1464" i="13" s="1"/>
  <c r="K1463" i="13"/>
  <c r="H1463" i="13"/>
  <c r="K1462" i="13"/>
  <c r="I1462" i="13" s="1"/>
  <c r="H1462" i="13"/>
  <c r="H1461" i="13"/>
  <c r="K1461" i="13" s="1"/>
  <c r="I1461" i="13" s="1"/>
  <c r="I1460" i="13"/>
  <c r="H1460" i="13"/>
  <c r="K1460" i="13" s="1"/>
  <c r="K1459" i="13"/>
  <c r="H1459" i="13"/>
  <c r="K1458" i="13"/>
  <c r="I1458" i="13" s="1"/>
  <c r="H1458" i="13"/>
  <c r="K1457" i="13"/>
  <c r="I1457" i="13"/>
  <c r="H1457" i="13"/>
  <c r="I1456" i="13"/>
  <c r="H1456" i="13"/>
  <c r="K1456" i="13" s="1"/>
  <c r="K1455" i="13"/>
  <c r="H1455" i="13"/>
  <c r="K1454" i="13"/>
  <c r="I1454" i="13" s="1"/>
  <c r="H1454" i="13"/>
  <c r="H1453" i="13"/>
  <c r="K1453" i="13" s="1"/>
  <c r="I1453" i="13" s="1"/>
  <c r="I1452" i="13"/>
  <c r="H1452" i="13"/>
  <c r="K1452" i="13" s="1"/>
  <c r="K1451" i="13"/>
  <c r="H1451" i="13"/>
  <c r="K1450" i="13"/>
  <c r="I1450" i="13" s="1"/>
  <c r="H1450" i="13"/>
  <c r="K1449" i="13"/>
  <c r="I1449" i="13"/>
  <c r="H1449" i="13"/>
  <c r="I1448" i="13"/>
  <c r="H1448" i="13"/>
  <c r="K1448" i="13" s="1"/>
  <c r="K1447" i="13"/>
  <c r="H1447" i="13"/>
  <c r="K1446" i="13"/>
  <c r="I1446" i="13" s="1"/>
  <c r="H1446" i="13"/>
  <c r="H1445" i="13"/>
  <c r="K1445" i="13" s="1"/>
  <c r="I1445" i="13" s="1"/>
  <c r="I1444" i="13"/>
  <c r="H1444" i="13"/>
  <c r="K1444" i="13" s="1"/>
  <c r="K1443" i="13"/>
  <c r="H1443" i="13"/>
  <c r="K1442" i="13"/>
  <c r="I1442" i="13" s="1"/>
  <c r="H1442" i="13"/>
  <c r="K1441" i="13"/>
  <c r="I1441" i="13"/>
  <c r="H1441" i="13"/>
  <c r="I1440" i="13"/>
  <c r="H1440" i="13"/>
  <c r="K1440" i="13" s="1"/>
  <c r="K1439" i="13"/>
  <c r="H1439" i="13"/>
  <c r="K1438" i="13"/>
  <c r="I1438" i="13" s="1"/>
  <c r="H1438" i="13"/>
  <c r="H1437" i="13"/>
  <c r="K1437" i="13" s="1"/>
  <c r="I1437" i="13" s="1"/>
  <c r="I1436" i="13"/>
  <c r="H1436" i="13"/>
  <c r="K1436" i="13" s="1"/>
  <c r="K1435" i="13"/>
  <c r="H1435" i="13"/>
  <c r="K1434" i="13"/>
  <c r="I1434" i="13" s="1"/>
  <c r="H1434" i="13"/>
  <c r="K1433" i="13"/>
  <c r="I1433" i="13"/>
  <c r="H1433" i="13"/>
  <c r="I1432" i="13"/>
  <c r="H1432" i="13"/>
  <c r="K1432" i="13" s="1"/>
  <c r="K1431" i="13"/>
  <c r="H1431" i="13"/>
  <c r="K1430" i="13"/>
  <c r="I1430" i="13" s="1"/>
  <c r="H1430" i="13"/>
  <c r="H1429" i="13"/>
  <c r="K1429" i="13" s="1"/>
  <c r="I1429" i="13" s="1"/>
  <c r="I1428" i="13"/>
  <c r="H1428" i="13"/>
  <c r="K1428" i="13" s="1"/>
  <c r="K1427" i="13"/>
  <c r="H1427" i="13"/>
  <c r="K1426" i="13"/>
  <c r="I1426" i="13" s="1"/>
  <c r="H1426" i="13"/>
  <c r="K1425" i="13"/>
  <c r="I1425" i="13"/>
  <c r="H1425" i="13"/>
  <c r="I1424" i="13"/>
  <c r="H1424" i="13"/>
  <c r="K1424" i="13" s="1"/>
  <c r="K1423" i="13"/>
  <c r="H1423" i="13"/>
  <c r="K1422" i="13"/>
  <c r="I1422" i="13" s="1"/>
  <c r="H1422" i="13"/>
  <c r="H1421" i="13"/>
  <c r="K1421" i="13" s="1"/>
  <c r="I1421" i="13" s="1"/>
  <c r="I1420" i="13"/>
  <c r="H1420" i="13"/>
  <c r="K1420" i="13" s="1"/>
  <c r="K1419" i="13"/>
  <c r="H1419" i="13"/>
  <c r="K1418" i="13"/>
  <c r="I1418" i="13" s="1"/>
  <c r="H1418" i="13"/>
  <c r="K1417" i="13"/>
  <c r="I1417" i="13"/>
  <c r="H1417" i="13"/>
  <c r="I1416" i="13"/>
  <c r="H1416" i="13"/>
  <c r="K1416" i="13" s="1"/>
  <c r="K1415" i="13"/>
  <c r="H1415" i="13"/>
  <c r="K1414" i="13"/>
  <c r="I1414" i="13" s="1"/>
  <c r="H1414" i="13"/>
  <c r="H1413" i="13"/>
  <c r="K1413" i="13" s="1"/>
  <c r="I1413" i="13" s="1"/>
  <c r="I1412" i="13"/>
  <c r="H1412" i="13"/>
  <c r="K1412" i="13" s="1"/>
  <c r="K1411" i="13"/>
  <c r="H1411" i="13"/>
  <c r="K1410" i="13"/>
  <c r="I1410" i="13" s="1"/>
  <c r="H1410" i="13"/>
  <c r="K1409" i="13"/>
  <c r="I1409" i="13"/>
  <c r="H1409" i="13"/>
  <c r="I1408" i="13"/>
  <c r="H1408" i="13"/>
  <c r="K1408" i="13" s="1"/>
  <c r="K1407" i="13"/>
  <c r="H1407" i="13"/>
  <c r="K1406" i="13"/>
  <c r="I1406" i="13" s="1"/>
  <c r="H1406" i="13"/>
  <c r="H1405" i="13"/>
  <c r="K1405" i="13" s="1"/>
  <c r="I1405" i="13" s="1"/>
  <c r="I1404" i="13"/>
  <c r="H1404" i="13"/>
  <c r="K1404" i="13" s="1"/>
  <c r="K1403" i="13"/>
  <c r="H1403" i="13"/>
  <c r="K1402" i="13"/>
  <c r="I1402" i="13" s="1"/>
  <c r="H1402" i="13"/>
  <c r="K1401" i="13"/>
  <c r="I1401" i="13"/>
  <c r="H1401" i="13"/>
  <c r="I1400" i="13"/>
  <c r="H1400" i="13"/>
  <c r="K1400" i="13" s="1"/>
  <c r="K1399" i="13"/>
  <c r="H1399" i="13"/>
  <c r="K1398" i="13"/>
  <c r="I1398" i="13" s="1"/>
  <c r="H1398" i="13"/>
  <c r="H1397" i="13"/>
  <c r="K1397" i="13" s="1"/>
  <c r="I1397" i="13" s="1"/>
  <c r="I1396" i="13"/>
  <c r="H1396" i="13"/>
  <c r="K1396" i="13" s="1"/>
  <c r="K1395" i="13"/>
  <c r="H1395" i="13"/>
  <c r="K1394" i="13"/>
  <c r="I1394" i="13" s="1"/>
  <c r="H1394" i="13"/>
  <c r="K1393" i="13"/>
  <c r="I1393" i="13"/>
  <c r="H1393" i="13"/>
  <c r="I1392" i="13"/>
  <c r="H1392" i="13"/>
  <c r="K1392" i="13" s="1"/>
  <c r="K1391" i="13"/>
  <c r="H1391" i="13"/>
  <c r="K1390" i="13"/>
  <c r="I1390" i="13" s="1"/>
  <c r="H1390" i="13"/>
  <c r="H1389" i="13"/>
  <c r="K1389" i="13" s="1"/>
  <c r="I1389" i="13" s="1"/>
  <c r="I1388" i="13"/>
  <c r="H1388" i="13"/>
  <c r="K1388" i="13" s="1"/>
  <c r="K1387" i="13"/>
  <c r="H1387" i="13"/>
  <c r="K1386" i="13"/>
  <c r="I1386" i="13" s="1"/>
  <c r="H1386" i="13"/>
  <c r="K1385" i="13"/>
  <c r="I1385" i="13"/>
  <c r="H1385" i="13"/>
  <c r="I1384" i="13"/>
  <c r="H1384" i="13"/>
  <c r="K1384" i="13" s="1"/>
  <c r="K1383" i="13"/>
  <c r="H1383" i="13"/>
  <c r="K1382" i="13"/>
  <c r="I1382" i="13" s="1"/>
  <c r="H1382" i="13"/>
  <c r="H1381" i="13"/>
  <c r="K1381" i="13" s="1"/>
  <c r="I1381" i="13" s="1"/>
  <c r="I1380" i="13"/>
  <c r="H1380" i="13"/>
  <c r="K1380" i="13" s="1"/>
  <c r="K1379" i="13"/>
  <c r="H1379" i="13"/>
  <c r="K1378" i="13"/>
  <c r="H1378" i="13"/>
  <c r="I1378" i="13" s="1"/>
  <c r="K1377" i="13"/>
  <c r="I1377" i="13"/>
  <c r="H1377" i="13"/>
  <c r="H1376" i="13"/>
  <c r="K1376" i="13" s="1"/>
  <c r="H1375" i="13"/>
  <c r="K1375" i="13" s="1"/>
  <c r="I1375" i="13" s="1"/>
  <c r="K1374" i="13"/>
  <c r="H1374" i="13"/>
  <c r="I1374" i="13" s="1"/>
  <c r="K1373" i="13"/>
  <c r="I1373" i="13"/>
  <c r="H1373" i="13"/>
  <c r="H1372" i="13"/>
  <c r="K1372" i="13" s="1"/>
  <c r="H1371" i="13"/>
  <c r="K1371" i="13" s="1"/>
  <c r="I1371" i="13" s="1"/>
  <c r="K1370" i="13"/>
  <c r="H1370" i="13"/>
  <c r="I1370" i="13" s="1"/>
  <c r="K1369" i="13"/>
  <c r="I1369" i="13"/>
  <c r="H1369" i="13"/>
  <c r="H1368" i="13"/>
  <c r="K1368" i="13" s="1"/>
  <c r="H1367" i="13"/>
  <c r="K1367" i="13" s="1"/>
  <c r="I1367" i="13" s="1"/>
  <c r="K1366" i="13"/>
  <c r="H1366" i="13"/>
  <c r="I1366" i="13" s="1"/>
  <c r="K1365" i="13"/>
  <c r="I1365" i="13"/>
  <c r="H1365" i="13"/>
  <c r="H1364" i="13"/>
  <c r="K1364" i="13" s="1"/>
  <c r="H1363" i="13"/>
  <c r="K1362" i="13"/>
  <c r="H1362" i="13"/>
  <c r="I1362" i="13" s="1"/>
  <c r="K1361" i="13"/>
  <c r="I1361" i="13"/>
  <c r="H1361" i="13"/>
  <c r="H1360" i="13"/>
  <c r="K1360" i="13" s="1"/>
  <c r="H1359" i="13"/>
  <c r="K1358" i="13"/>
  <c r="H1358" i="13"/>
  <c r="I1358" i="13" s="1"/>
  <c r="K1357" i="13"/>
  <c r="I1357" i="13"/>
  <c r="H1357" i="13"/>
  <c r="H1356" i="13"/>
  <c r="K1356" i="13" s="1"/>
  <c r="H1355" i="13"/>
  <c r="K1354" i="13"/>
  <c r="H1354" i="13"/>
  <c r="I1354" i="13" s="1"/>
  <c r="K1353" i="13"/>
  <c r="I1353" i="13"/>
  <c r="H1353" i="13"/>
  <c r="H1352" i="13"/>
  <c r="K1352" i="13" s="1"/>
  <c r="H1351" i="13"/>
  <c r="K1350" i="13"/>
  <c r="H1350" i="13"/>
  <c r="I1350" i="13" s="1"/>
  <c r="K1349" i="13"/>
  <c r="I1349" i="13"/>
  <c r="H1349" i="13"/>
  <c r="H1348" i="13"/>
  <c r="K1348" i="13" s="1"/>
  <c r="H1347" i="13"/>
  <c r="K1346" i="13"/>
  <c r="H1346" i="13"/>
  <c r="I1346" i="13" s="1"/>
  <c r="K1345" i="13"/>
  <c r="I1345" i="13"/>
  <c r="H1345" i="13"/>
  <c r="H1344" i="13"/>
  <c r="K1344" i="13" s="1"/>
  <c r="H1343" i="13"/>
  <c r="K1342" i="13"/>
  <c r="H1342" i="13"/>
  <c r="I1342" i="13" s="1"/>
  <c r="K1341" i="13"/>
  <c r="I1341" i="13"/>
  <c r="H1341" i="13"/>
  <c r="H1340" i="13"/>
  <c r="K1340" i="13" s="1"/>
  <c r="H1339" i="13"/>
  <c r="K1338" i="13"/>
  <c r="H1338" i="13"/>
  <c r="I1338" i="13" s="1"/>
  <c r="K1337" i="13"/>
  <c r="I1337" i="13"/>
  <c r="H1337" i="13"/>
  <c r="H1336" i="13"/>
  <c r="H1335" i="13"/>
  <c r="K1334" i="13"/>
  <c r="H1334" i="13"/>
  <c r="K1333" i="13"/>
  <c r="I1333" i="13"/>
  <c r="H1333" i="13"/>
  <c r="H1332" i="13"/>
  <c r="H1331" i="13"/>
  <c r="K1330" i="13"/>
  <c r="H1330" i="13"/>
  <c r="I1330" i="13" s="1"/>
  <c r="K1329" i="13"/>
  <c r="I1329" i="13"/>
  <c r="H1329" i="13"/>
  <c r="H1328" i="13"/>
  <c r="H1327" i="13"/>
  <c r="K1326" i="13"/>
  <c r="H1326" i="13"/>
  <c r="K1325" i="13"/>
  <c r="I1325" i="13"/>
  <c r="H1325" i="13"/>
  <c r="H1324" i="13"/>
  <c r="H1323" i="13"/>
  <c r="K1322" i="13"/>
  <c r="H1322" i="13"/>
  <c r="I1322" i="13" s="1"/>
  <c r="K1321" i="13"/>
  <c r="I1321" i="13"/>
  <c r="H1321" i="13"/>
  <c r="H1320" i="13"/>
  <c r="H1319" i="13"/>
  <c r="K1318" i="13"/>
  <c r="H1318" i="13"/>
  <c r="K1317" i="13"/>
  <c r="I1317" i="13"/>
  <c r="H1317" i="13"/>
  <c r="H1316" i="13"/>
  <c r="H1315" i="13"/>
  <c r="K1314" i="13"/>
  <c r="H1314" i="13"/>
  <c r="I1314" i="13" s="1"/>
  <c r="K1313" i="13"/>
  <c r="I1313" i="13"/>
  <c r="H1313" i="13"/>
  <c r="H1312" i="13"/>
  <c r="H1311" i="13"/>
  <c r="K1310" i="13"/>
  <c r="H1310" i="13"/>
  <c r="K1309" i="13"/>
  <c r="I1309" i="13"/>
  <c r="H1309" i="13"/>
  <c r="H1308" i="13"/>
  <c r="H1307" i="13"/>
  <c r="K1306" i="13"/>
  <c r="H1306" i="13"/>
  <c r="I1306" i="13" s="1"/>
  <c r="K1305" i="13"/>
  <c r="I1305" i="13"/>
  <c r="H1305" i="13"/>
  <c r="H1304" i="13"/>
  <c r="H1303" i="13"/>
  <c r="K1302" i="13"/>
  <c r="H1302" i="13"/>
  <c r="K1301" i="13"/>
  <c r="I1301" i="13"/>
  <c r="H1301" i="13"/>
  <c r="H1300" i="13"/>
  <c r="H1299" i="13"/>
  <c r="K1298" i="13"/>
  <c r="H1298" i="13"/>
  <c r="I1298" i="13" s="1"/>
  <c r="K1297" i="13"/>
  <c r="I1297" i="13"/>
  <c r="H1297" i="13"/>
  <c r="H1296" i="13"/>
  <c r="H1295" i="13"/>
  <c r="K1294" i="13"/>
  <c r="H1294" i="13"/>
  <c r="K1293" i="13"/>
  <c r="I1293" i="13"/>
  <c r="H1293" i="13"/>
  <c r="H1292" i="13"/>
  <c r="H1291" i="13"/>
  <c r="K1290" i="13"/>
  <c r="H1290" i="13"/>
  <c r="I1290" i="13" s="1"/>
  <c r="K1289" i="13"/>
  <c r="I1289" i="13"/>
  <c r="H1289" i="13"/>
  <c r="H1288" i="13"/>
  <c r="H1287" i="13"/>
  <c r="K1286" i="13"/>
  <c r="H1286" i="13"/>
  <c r="K1285" i="13"/>
  <c r="I1285" i="13"/>
  <c r="H1285" i="13"/>
  <c r="H1284" i="13"/>
  <c r="H1283" i="13"/>
  <c r="K1282" i="13"/>
  <c r="H1282" i="13"/>
  <c r="I1282" i="13" s="1"/>
  <c r="K1281" i="13"/>
  <c r="I1281" i="13"/>
  <c r="H1281" i="13"/>
  <c r="H1280" i="13"/>
  <c r="H1279" i="13"/>
  <c r="K1278" i="13"/>
  <c r="H1278" i="13"/>
  <c r="K1277" i="13"/>
  <c r="I1277" i="13"/>
  <c r="H1277" i="13"/>
  <c r="H1276" i="13"/>
  <c r="H1275" i="13"/>
  <c r="K1274" i="13"/>
  <c r="H1274" i="13"/>
  <c r="I1274" i="13" s="1"/>
  <c r="K1273" i="13"/>
  <c r="I1273" i="13"/>
  <c r="H1273" i="13"/>
  <c r="I1272" i="13"/>
  <c r="H1272" i="13"/>
  <c r="K1272" i="13" s="1"/>
  <c r="H1271" i="13"/>
  <c r="K1270" i="13"/>
  <c r="H1270" i="13"/>
  <c r="I1270" i="13" s="1"/>
  <c r="K1269" i="13"/>
  <c r="I1269" i="13"/>
  <c r="H1269" i="13"/>
  <c r="I1268" i="13"/>
  <c r="H1268" i="13"/>
  <c r="K1268" i="13" s="1"/>
  <c r="H1267" i="13"/>
  <c r="K1266" i="13"/>
  <c r="H1266" i="13"/>
  <c r="I1266" i="13" s="1"/>
  <c r="K1265" i="13"/>
  <c r="I1265" i="13"/>
  <c r="H1265" i="13"/>
  <c r="I1264" i="13"/>
  <c r="H1264" i="13"/>
  <c r="K1264" i="13" s="1"/>
  <c r="H1263" i="13"/>
  <c r="K1262" i="13"/>
  <c r="H1262" i="13"/>
  <c r="I1262" i="13" s="1"/>
  <c r="K1261" i="13"/>
  <c r="I1261" i="13"/>
  <c r="H1261" i="13"/>
  <c r="I1260" i="13"/>
  <c r="H1260" i="13"/>
  <c r="K1260" i="13" s="1"/>
  <c r="H1259" i="13"/>
  <c r="K1258" i="13"/>
  <c r="H1258" i="13"/>
  <c r="I1258" i="13" s="1"/>
  <c r="K1257" i="13"/>
  <c r="I1257" i="13"/>
  <c r="H1257" i="13"/>
  <c r="I1256" i="13"/>
  <c r="H1256" i="13"/>
  <c r="K1256" i="13" s="1"/>
  <c r="H1255" i="13"/>
  <c r="K1254" i="13"/>
  <c r="H1254" i="13"/>
  <c r="I1254" i="13" s="1"/>
  <c r="K1253" i="13"/>
  <c r="I1253" i="13"/>
  <c r="H1253" i="13"/>
  <c r="I1252" i="13"/>
  <c r="H1252" i="13"/>
  <c r="K1252" i="13" s="1"/>
  <c r="H1251" i="13"/>
  <c r="K1250" i="13"/>
  <c r="H1250" i="13"/>
  <c r="I1250" i="13" s="1"/>
  <c r="K1249" i="13"/>
  <c r="I1249" i="13"/>
  <c r="H1249" i="13"/>
  <c r="I1248" i="13"/>
  <c r="H1248" i="13"/>
  <c r="K1248" i="13" s="1"/>
  <c r="H1247" i="13"/>
  <c r="K1246" i="13"/>
  <c r="H1246" i="13"/>
  <c r="I1246" i="13" s="1"/>
  <c r="K1245" i="13"/>
  <c r="I1245" i="13"/>
  <c r="H1245" i="13"/>
  <c r="I1244" i="13"/>
  <c r="H1244" i="13"/>
  <c r="K1244" i="13" s="1"/>
  <c r="H1243" i="13"/>
  <c r="K1242" i="13"/>
  <c r="H1242" i="13"/>
  <c r="I1242" i="13" s="1"/>
  <c r="K1241" i="13"/>
  <c r="I1241" i="13"/>
  <c r="H1241" i="13"/>
  <c r="I1240" i="13"/>
  <c r="H1240" i="13"/>
  <c r="K1240" i="13" s="1"/>
  <c r="H1239" i="13"/>
  <c r="K1238" i="13"/>
  <c r="H1238" i="13"/>
  <c r="I1238" i="13" s="1"/>
  <c r="K1237" i="13"/>
  <c r="I1237" i="13"/>
  <c r="H1237" i="13"/>
  <c r="I1236" i="13"/>
  <c r="H1236" i="13"/>
  <c r="K1236" i="13" s="1"/>
  <c r="H1235" i="13"/>
  <c r="K1234" i="13"/>
  <c r="H1234" i="13"/>
  <c r="I1234" i="13" s="1"/>
  <c r="K1233" i="13"/>
  <c r="I1233" i="13" s="1"/>
  <c r="H1233" i="13"/>
  <c r="I1232" i="13"/>
  <c r="H1232" i="13"/>
  <c r="K1232" i="13" s="1"/>
  <c r="H1231" i="13"/>
  <c r="K1230" i="13"/>
  <c r="H1230" i="13"/>
  <c r="I1230" i="13" s="1"/>
  <c r="K1229" i="13"/>
  <c r="I1229" i="13" s="1"/>
  <c r="H1229" i="13"/>
  <c r="I1228" i="13"/>
  <c r="H1228" i="13"/>
  <c r="K1228" i="13" s="1"/>
  <c r="H1227" i="13"/>
  <c r="K1226" i="13"/>
  <c r="H1226" i="13"/>
  <c r="I1226" i="13" s="1"/>
  <c r="K1225" i="13"/>
  <c r="I1225" i="13" s="1"/>
  <c r="H1225" i="13"/>
  <c r="I1224" i="13"/>
  <c r="H1224" i="13"/>
  <c r="K1224" i="13" s="1"/>
  <c r="H1223" i="13"/>
  <c r="K1222" i="13"/>
  <c r="H1222" i="13"/>
  <c r="I1222" i="13" s="1"/>
  <c r="K1221" i="13"/>
  <c r="I1221" i="13" s="1"/>
  <c r="H1221" i="13"/>
  <c r="I1220" i="13"/>
  <c r="H1220" i="13"/>
  <c r="K1220" i="13" s="1"/>
  <c r="H1219" i="13"/>
  <c r="K1218" i="13"/>
  <c r="H1218" i="13"/>
  <c r="I1218" i="13" s="1"/>
  <c r="K1217" i="13"/>
  <c r="I1217" i="13" s="1"/>
  <c r="H1217" i="13"/>
  <c r="I1216" i="13"/>
  <c r="H1216" i="13"/>
  <c r="K1216" i="13" s="1"/>
  <c r="H1215" i="13"/>
  <c r="K1214" i="13"/>
  <c r="H1214" i="13"/>
  <c r="I1214" i="13" s="1"/>
  <c r="K1213" i="13"/>
  <c r="I1213" i="13" s="1"/>
  <c r="H1213" i="13"/>
  <c r="I1212" i="13"/>
  <c r="H1212" i="13"/>
  <c r="K1212" i="13" s="1"/>
  <c r="H1211" i="13"/>
  <c r="K1210" i="13"/>
  <c r="H1210" i="13"/>
  <c r="I1210" i="13" s="1"/>
  <c r="K1209" i="13"/>
  <c r="I1209" i="13" s="1"/>
  <c r="H1209" i="13"/>
  <c r="I1208" i="13"/>
  <c r="H1208" i="13"/>
  <c r="K1208" i="13" s="1"/>
  <c r="H1207" i="13"/>
  <c r="K1206" i="13"/>
  <c r="H1206" i="13"/>
  <c r="I1206" i="13" s="1"/>
  <c r="K1205" i="13"/>
  <c r="I1205" i="13" s="1"/>
  <c r="H1205" i="13"/>
  <c r="I1204" i="13"/>
  <c r="H1204" i="13"/>
  <c r="K1204" i="13" s="1"/>
  <c r="H1203" i="13"/>
  <c r="K1202" i="13"/>
  <c r="H1202" i="13"/>
  <c r="I1202" i="13" s="1"/>
  <c r="K1201" i="13"/>
  <c r="I1201" i="13" s="1"/>
  <c r="H1201" i="13"/>
  <c r="I1200" i="13"/>
  <c r="H1200" i="13"/>
  <c r="K1200" i="13" s="1"/>
  <c r="H1199" i="13"/>
  <c r="K1198" i="13"/>
  <c r="H1198" i="13"/>
  <c r="I1198" i="13" s="1"/>
  <c r="K1197" i="13"/>
  <c r="I1197" i="13" s="1"/>
  <c r="H1197" i="13"/>
  <c r="I1196" i="13"/>
  <c r="H1196" i="13"/>
  <c r="K1196" i="13" s="1"/>
  <c r="H1195" i="13"/>
  <c r="K1194" i="13"/>
  <c r="H1194" i="13"/>
  <c r="I1194" i="13" s="1"/>
  <c r="K1193" i="13"/>
  <c r="I1193" i="13" s="1"/>
  <c r="H1193" i="13"/>
  <c r="I1192" i="13"/>
  <c r="H1192" i="13"/>
  <c r="K1192" i="13" s="1"/>
  <c r="H1191" i="13"/>
  <c r="K1190" i="13"/>
  <c r="H1190" i="13"/>
  <c r="I1190" i="13" s="1"/>
  <c r="K1189" i="13"/>
  <c r="I1189" i="13" s="1"/>
  <c r="H1189" i="13"/>
  <c r="I1188" i="13"/>
  <c r="H1188" i="13"/>
  <c r="K1188" i="13" s="1"/>
  <c r="H1187" i="13"/>
  <c r="K1186" i="13"/>
  <c r="H1186" i="13"/>
  <c r="I1186" i="13" s="1"/>
  <c r="K1185" i="13"/>
  <c r="I1185" i="13" s="1"/>
  <c r="H1185" i="13"/>
  <c r="I1184" i="13"/>
  <c r="H1184" i="13"/>
  <c r="K1184" i="13" s="1"/>
  <c r="H1183" i="13"/>
  <c r="K1182" i="13"/>
  <c r="H1182" i="13"/>
  <c r="I1182" i="13" s="1"/>
  <c r="K1181" i="13"/>
  <c r="I1181" i="13" s="1"/>
  <c r="H1181" i="13"/>
  <c r="I1180" i="13"/>
  <c r="H1180" i="13"/>
  <c r="K1180" i="13" s="1"/>
  <c r="H1179" i="13"/>
  <c r="K1178" i="13"/>
  <c r="H1178" i="13"/>
  <c r="I1178" i="13" s="1"/>
  <c r="K1177" i="13"/>
  <c r="I1177" i="13" s="1"/>
  <c r="H1177" i="13"/>
  <c r="I1176" i="13"/>
  <c r="H1176" i="13"/>
  <c r="K1176" i="13" s="1"/>
  <c r="H1175" i="13"/>
  <c r="K1174" i="13"/>
  <c r="H1174" i="13"/>
  <c r="I1174" i="13" s="1"/>
  <c r="K1173" i="13"/>
  <c r="I1173" i="13" s="1"/>
  <c r="H1173" i="13"/>
  <c r="I1172" i="13"/>
  <c r="H1172" i="13"/>
  <c r="K1172" i="13" s="1"/>
  <c r="I1171" i="13"/>
  <c r="H1171" i="13"/>
  <c r="K1171" i="13" s="1"/>
  <c r="K1170" i="13"/>
  <c r="H1170" i="13"/>
  <c r="K1169" i="13"/>
  <c r="I1169" i="13" s="1"/>
  <c r="H1169" i="13"/>
  <c r="K1168" i="13"/>
  <c r="I1168" i="13" s="1"/>
  <c r="H1168" i="13"/>
  <c r="I1167" i="13"/>
  <c r="H1167" i="13"/>
  <c r="K1167" i="13" s="1"/>
  <c r="K1166" i="13"/>
  <c r="H1166" i="13"/>
  <c r="K1165" i="13"/>
  <c r="I1165" i="13" s="1"/>
  <c r="H1165" i="13"/>
  <c r="H1164" i="13"/>
  <c r="K1164" i="13" s="1"/>
  <c r="I1164" i="13" s="1"/>
  <c r="I1163" i="13"/>
  <c r="H1163" i="13"/>
  <c r="K1163" i="13" s="1"/>
  <c r="K1162" i="13"/>
  <c r="H1162" i="13"/>
  <c r="K1161" i="13"/>
  <c r="I1161" i="13" s="1"/>
  <c r="H1161" i="13"/>
  <c r="K1160" i="13"/>
  <c r="I1160" i="13" s="1"/>
  <c r="H1160" i="13"/>
  <c r="I1159" i="13"/>
  <c r="H1159" i="13"/>
  <c r="K1159" i="13" s="1"/>
  <c r="K1158" i="13"/>
  <c r="H1158" i="13"/>
  <c r="K1157" i="13"/>
  <c r="I1157" i="13" s="1"/>
  <c r="H1157" i="13"/>
  <c r="H1156" i="13"/>
  <c r="K1156" i="13" s="1"/>
  <c r="I1156" i="13" s="1"/>
  <c r="I1155" i="13"/>
  <c r="H1155" i="13"/>
  <c r="K1155" i="13" s="1"/>
  <c r="K1154" i="13"/>
  <c r="H1154" i="13"/>
  <c r="K1153" i="13"/>
  <c r="I1153" i="13" s="1"/>
  <c r="H1153" i="13"/>
  <c r="K1152" i="13"/>
  <c r="I1152" i="13" s="1"/>
  <c r="H1152" i="13"/>
  <c r="I1151" i="13"/>
  <c r="H1151" i="13"/>
  <c r="K1151" i="13" s="1"/>
  <c r="K1150" i="13"/>
  <c r="H1150" i="13"/>
  <c r="K1149" i="13"/>
  <c r="I1149" i="13" s="1"/>
  <c r="H1149" i="13"/>
  <c r="H1148" i="13"/>
  <c r="K1148" i="13" s="1"/>
  <c r="I1148" i="13" s="1"/>
  <c r="I1147" i="13"/>
  <c r="H1147" i="13"/>
  <c r="K1147" i="13" s="1"/>
  <c r="K1146" i="13"/>
  <c r="H1146" i="13"/>
  <c r="K1145" i="13"/>
  <c r="I1145" i="13" s="1"/>
  <c r="H1145" i="13"/>
  <c r="K1144" i="13"/>
  <c r="I1144" i="13" s="1"/>
  <c r="H1144" i="13"/>
  <c r="I1143" i="13"/>
  <c r="H1143" i="13"/>
  <c r="K1143" i="13" s="1"/>
  <c r="K1142" i="13"/>
  <c r="H1142" i="13"/>
  <c r="K1141" i="13"/>
  <c r="I1141" i="13" s="1"/>
  <c r="H1141" i="13"/>
  <c r="H1140" i="13"/>
  <c r="K1140" i="13" s="1"/>
  <c r="I1140" i="13" s="1"/>
  <c r="I1139" i="13"/>
  <c r="H1139" i="13"/>
  <c r="K1139" i="13" s="1"/>
  <c r="K1138" i="13"/>
  <c r="H1138" i="13"/>
  <c r="K1137" i="13"/>
  <c r="I1137" i="13" s="1"/>
  <c r="H1137" i="13"/>
  <c r="K1136" i="13"/>
  <c r="I1136" i="13" s="1"/>
  <c r="H1136" i="13"/>
  <c r="H1135" i="13"/>
  <c r="K1135" i="13" s="1"/>
  <c r="K1134" i="13"/>
  <c r="H1134" i="13"/>
  <c r="K1133" i="13"/>
  <c r="I1133" i="13"/>
  <c r="H1133" i="13"/>
  <c r="H1132" i="13"/>
  <c r="K1132" i="13" s="1"/>
  <c r="I1131" i="13"/>
  <c r="H1131" i="13"/>
  <c r="K1131" i="13" s="1"/>
  <c r="H1130" i="13"/>
  <c r="K1129" i="13"/>
  <c r="I1129" i="13" s="1"/>
  <c r="H1129" i="13"/>
  <c r="K1128" i="13"/>
  <c r="I1128" i="13" s="1"/>
  <c r="H1128" i="13"/>
  <c r="H1127" i="13"/>
  <c r="K1127" i="13" s="1"/>
  <c r="K1126" i="13"/>
  <c r="H1126" i="13"/>
  <c r="K1125" i="13"/>
  <c r="I1125" i="13"/>
  <c r="H1125" i="13"/>
  <c r="H1124" i="13"/>
  <c r="K1124" i="13" s="1"/>
  <c r="I1123" i="13"/>
  <c r="H1123" i="13"/>
  <c r="K1123" i="13" s="1"/>
  <c r="H1122" i="13"/>
  <c r="K1121" i="13"/>
  <c r="I1121" i="13" s="1"/>
  <c r="H1121" i="13"/>
  <c r="K1120" i="13"/>
  <c r="I1120" i="13" s="1"/>
  <c r="H1120" i="13"/>
  <c r="H1119" i="13"/>
  <c r="K1119" i="13" s="1"/>
  <c r="K1118" i="13"/>
  <c r="H1118" i="13"/>
  <c r="K1117" i="13"/>
  <c r="I1117" i="13"/>
  <c r="H1117" i="13"/>
  <c r="H1116" i="13"/>
  <c r="K1116" i="13" s="1"/>
  <c r="I1115" i="13"/>
  <c r="H1115" i="13"/>
  <c r="K1115" i="13" s="1"/>
  <c r="H1114" i="13"/>
  <c r="K1113" i="13"/>
  <c r="I1113" i="13" s="1"/>
  <c r="H1113" i="13"/>
  <c r="K1112" i="13"/>
  <c r="I1112" i="13" s="1"/>
  <c r="H1112" i="13"/>
  <c r="H1111" i="13"/>
  <c r="K1111" i="13" s="1"/>
  <c r="K1110" i="13"/>
  <c r="H1110" i="13"/>
  <c r="K1109" i="13"/>
  <c r="I1109" i="13"/>
  <c r="H1109" i="13"/>
  <c r="H1108" i="13"/>
  <c r="K1108" i="13" s="1"/>
  <c r="I1107" i="13"/>
  <c r="H1107" i="13"/>
  <c r="K1107" i="13" s="1"/>
  <c r="H1106" i="13"/>
  <c r="K1105" i="13"/>
  <c r="I1105" i="13" s="1"/>
  <c r="H1105" i="13"/>
  <c r="K1104" i="13"/>
  <c r="I1104" i="13" s="1"/>
  <c r="H1104" i="13"/>
  <c r="H1103" i="13"/>
  <c r="K1103" i="13" s="1"/>
  <c r="K1102" i="13"/>
  <c r="H1102" i="13"/>
  <c r="K1101" i="13"/>
  <c r="I1101" i="13"/>
  <c r="H1101" i="13"/>
  <c r="H1100" i="13"/>
  <c r="K1100" i="13" s="1"/>
  <c r="I1099" i="13"/>
  <c r="H1099" i="13"/>
  <c r="K1099" i="13" s="1"/>
  <c r="H1098" i="13"/>
  <c r="K1097" i="13"/>
  <c r="I1097" i="13" s="1"/>
  <c r="H1097" i="13"/>
  <c r="K1096" i="13"/>
  <c r="I1096" i="13" s="1"/>
  <c r="H1096" i="13"/>
  <c r="H1095" i="13"/>
  <c r="K1095" i="13" s="1"/>
  <c r="K1094" i="13"/>
  <c r="H1094" i="13"/>
  <c r="K1093" i="13"/>
  <c r="I1093" i="13"/>
  <c r="H1093" i="13"/>
  <c r="H1092" i="13"/>
  <c r="K1092" i="13" s="1"/>
  <c r="I1091" i="13"/>
  <c r="H1091" i="13"/>
  <c r="K1091" i="13" s="1"/>
  <c r="H1090" i="13"/>
  <c r="K1089" i="13"/>
  <c r="I1089" i="13" s="1"/>
  <c r="H1089" i="13"/>
  <c r="K1088" i="13"/>
  <c r="I1088" i="13" s="1"/>
  <c r="H1088" i="13"/>
  <c r="H1087" i="13"/>
  <c r="K1087" i="13" s="1"/>
  <c r="K1086" i="13"/>
  <c r="H1086" i="13"/>
  <c r="K1085" i="13"/>
  <c r="I1085" i="13"/>
  <c r="H1085" i="13"/>
  <c r="H1084" i="13"/>
  <c r="K1084" i="13" s="1"/>
  <c r="I1083" i="13"/>
  <c r="H1083" i="13"/>
  <c r="K1083" i="13" s="1"/>
  <c r="H1082" i="13"/>
  <c r="K1081" i="13"/>
  <c r="I1081" i="13" s="1"/>
  <c r="H1081" i="13"/>
  <c r="K1080" i="13"/>
  <c r="I1080" i="13" s="1"/>
  <c r="H1080" i="13"/>
  <c r="H1079" i="13"/>
  <c r="K1079" i="13" s="1"/>
  <c r="K1078" i="13"/>
  <c r="H1078" i="13"/>
  <c r="K1077" i="13"/>
  <c r="I1077" i="13"/>
  <c r="H1077" i="13"/>
  <c r="H1076" i="13"/>
  <c r="K1076" i="13" s="1"/>
  <c r="I1075" i="13"/>
  <c r="H1075" i="13"/>
  <c r="K1075" i="13" s="1"/>
  <c r="H1074" i="13"/>
  <c r="K1073" i="13"/>
  <c r="I1073" i="13" s="1"/>
  <c r="H1073" i="13"/>
  <c r="K1072" i="13"/>
  <c r="I1072" i="13" s="1"/>
  <c r="H1072" i="13"/>
  <c r="H1071" i="13"/>
  <c r="K1071" i="13" s="1"/>
  <c r="H1070" i="13"/>
  <c r="K1070" i="13" s="1"/>
  <c r="K1069" i="13"/>
  <c r="I1069" i="13" s="1"/>
  <c r="H1069" i="13"/>
  <c r="K1068" i="13"/>
  <c r="I1068" i="13"/>
  <c r="H1068" i="13"/>
  <c r="H1067" i="13"/>
  <c r="K1067" i="13" s="1"/>
  <c r="H1066" i="13"/>
  <c r="K1066" i="13" s="1"/>
  <c r="K1065" i="13"/>
  <c r="I1065" i="13" s="1"/>
  <c r="H1065" i="13"/>
  <c r="K1064" i="13"/>
  <c r="I1064" i="13"/>
  <c r="H1064" i="13"/>
  <c r="H1063" i="13"/>
  <c r="K1063" i="13" s="1"/>
  <c r="H1062" i="13"/>
  <c r="K1062" i="13" s="1"/>
  <c r="K1061" i="13"/>
  <c r="I1061" i="13" s="1"/>
  <c r="H1061" i="13"/>
  <c r="K1060" i="13"/>
  <c r="I1060" i="13"/>
  <c r="H1060" i="13"/>
  <c r="H1059" i="13"/>
  <c r="K1059" i="13" s="1"/>
  <c r="H1058" i="13"/>
  <c r="K1058" i="13" s="1"/>
  <c r="K1057" i="13"/>
  <c r="I1057" i="13" s="1"/>
  <c r="H1057" i="13"/>
  <c r="K1056" i="13"/>
  <c r="I1056" i="13"/>
  <c r="H1056" i="13"/>
  <c r="H1055" i="13"/>
  <c r="K1055" i="13" s="1"/>
  <c r="H1054" i="13"/>
  <c r="K1054" i="13" s="1"/>
  <c r="K1053" i="13"/>
  <c r="I1053" i="13" s="1"/>
  <c r="H1053" i="13"/>
  <c r="K1052" i="13"/>
  <c r="I1052" i="13"/>
  <c r="H1052" i="13"/>
  <c r="H1051" i="13"/>
  <c r="K1051" i="13" s="1"/>
  <c r="H1050" i="13"/>
  <c r="K1050" i="13" s="1"/>
  <c r="K1049" i="13"/>
  <c r="I1049" i="13" s="1"/>
  <c r="H1049" i="13"/>
  <c r="K1048" i="13"/>
  <c r="I1048" i="13"/>
  <c r="H1048" i="13"/>
  <c r="H1047" i="13"/>
  <c r="K1047" i="13" s="1"/>
  <c r="H1046" i="13"/>
  <c r="K1046" i="13" s="1"/>
  <c r="K1045" i="13"/>
  <c r="I1045" i="13" s="1"/>
  <c r="H1045" i="13"/>
  <c r="K1044" i="13"/>
  <c r="I1044" i="13"/>
  <c r="H1044" i="13"/>
  <c r="H1043" i="13"/>
  <c r="K1043" i="13" s="1"/>
  <c r="H1042" i="13"/>
  <c r="K1042" i="13" s="1"/>
  <c r="K1041" i="13"/>
  <c r="I1041" i="13" s="1"/>
  <c r="H1041" i="13"/>
  <c r="K1040" i="13"/>
  <c r="I1040" i="13"/>
  <c r="H1040" i="13"/>
  <c r="H1039" i="13"/>
  <c r="K1039" i="13" s="1"/>
  <c r="H1038" i="13"/>
  <c r="K1038" i="13" s="1"/>
  <c r="K1037" i="13"/>
  <c r="I1037" i="13" s="1"/>
  <c r="H1037" i="13"/>
  <c r="K1036" i="13"/>
  <c r="I1036" i="13"/>
  <c r="H1036" i="13"/>
  <c r="H1035" i="13"/>
  <c r="K1035" i="13" s="1"/>
  <c r="H1034" i="13"/>
  <c r="K1034" i="13" s="1"/>
  <c r="K1033" i="13"/>
  <c r="I1033" i="13" s="1"/>
  <c r="H1033" i="13"/>
  <c r="K1032" i="13"/>
  <c r="I1032" i="13"/>
  <c r="H1032" i="13"/>
  <c r="H1031" i="13"/>
  <c r="K1031" i="13" s="1"/>
  <c r="H1030" i="13"/>
  <c r="K1030" i="13" s="1"/>
  <c r="K1029" i="13"/>
  <c r="I1029" i="13" s="1"/>
  <c r="H1029" i="13"/>
  <c r="K1028" i="13"/>
  <c r="I1028" i="13"/>
  <c r="H1028" i="13"/>
  <c r="H1027" i="13"/>
  <c r="K1027" i="13" s="1"/>
  <c r="H1026" i="13"/>
  <c r="K1026" i="13" s="1"/>
  <c r="K1025" i="13"/>
  <c r="I1025" i="13" s="1"/>
  <c r="H1025" i="13"/>
  <c r="K1024" i="13"/>
  <c r="I1024" i="13"/>
  <c r="H1024" i="13"/>
  <c r="H1023" i="13"/>
  <c r="K1023" i="13" s="1"/>
  <c r="H1022" i="13"/>
  <c r="K1022" i="13" s="1"/>
  <c r="K1021" i="13"/>
  <c r="I1021" i="13" s="1"/>
  <c r="H1021" i="13"/>
  <c r="K1020" i="13"/>
  <c r="I1020" i="13"/>
  <c r="H1020" i="13"/>
  <c r="H1019" i="13"/>
  <c r="K1019" i="13" s="1"/>
  <c r="H1018" i="13"/>
  <c r="K1018" i="13" s="1"/>
  <c r="K1017" i="13"/>
  <c r="I1017" i="13" s="1"/>
  <c r="H1017" i="13"/>
  <c r="K1016" i="13"/>
  <c r="I1016" i="13"/>
  <c r="H1016" i="13"/>
  <c r="H1015" i="13"/>
  <c r="K1015" i="13" s="1"/>
  <c r="H1014" i="13"/>
  <c r="K1014" i="13" s="1"/>
  <c r="K1013" i="13"/>
  <c r="I1013" i="13" s="1"/>
  <c r="H1013" i="13"/>
  <c r="K1012" i="13"/>
  <c r="I1012" i="13"/>
  <c r="H1012" i="13"/>
  <c r="H1011" i="13"/>
  <c r="K1011" i="13" s="1"/>
  <c r="H1010" i="13"/>
  <c r="K1010" i="13" s="1"/>
  <c r="K1009" i="13"/>
  <c r="I1009" i="13" s="1"/>
  <c r="H1009" i="13"/>
  <c r="K1008" i="13"/>
  <c r="I1008" i="13"/>
  <c r="H1008" i="13"/>
  <c r="H1007" i="13"/>
  <c r="K1007" i="13" s="1"/>
  <c r="H1006" i="13"/>
  <c r="K1006" i="13" s="1"/>
  <c r="K1005" i="13"/>
  <c r="I1005" i="13" s="1"/>
  <c r="H1005" i="13"/>
  <c r="K1004" i="13"/>
  <c r="I1004" i="13"/>
  <c r="H1004" i="13"/>
  <c r="H1003" i="13"/>
  <c r="K1003" i="13" s="1"/>
  <c r="H1002" i="13"/>
  <c r="K1002" i="13" s="1"/>
  <c r="K1001" i="13"/>
  <c r="I1001" i="13" s="1"/>
  <c r="H1001" i="13"/>
  <c r="K1000" i="13"/>
  <c r="I1000" i="13"/>
  <c r="H1000" i="13"/>
  <c r="H999" i="13"/>
  <c r="K999" i="13" s="1"/>
  <c r="H998" i="13"/>
  <c r="K998" i="13" s="1"/>
  <c r="K997" i="13"/>
  <c r="I997" i="13" s="1"/>
  <c r="H997" i="13"/>
  <c r="K996" i="13"/>
  <c r="I996" i="13"/>
  <c r="H996" i="13"/>
  <c r="H995" i="13"/>
  <c r="K995" i="13" s="1"/>
  <c r="H994" i="13"/>
  <c r="K994" i="13" s="1"/>
  <c r="K993" i="13"/>
  <c r="I993" i="13" s="1"/>
  <c r="H993" i="13"/>
  <c r="K992" i="13"/>
  <c r="I992" i="13"/>
  <c r="H992" i="13"/>
  <c r="H991" i="13"/>
  <c r="K991" i="13" s="1"/>
  <c r="H990" i="13"/>
  <c r="K990" i="13" s="1"/>
  <c r="K989" i="13"/>
  <c r="I989" i="13" s="1"/>
  <c r="H989" i="13"/>
  <c r="K988" i="13"/>
  <c r="I988" i="13"/>
  <c r="H988" i="13"/>
  <c r="H987" i="13"/>
  <c r="K987" i="13" s="1"/>
  <c r="H986" i="13"/>
  <c r="K986" i="13" s="1"/>
  <c r="K985" i="13"/>
  <c r="I985" i="13" s="1"/>
  <c r="H985" i="13"/>
  <c r="K984" i="13"/>
  <c r="I984" i="13"/>
  <c r="H984" i="13"/>
  <c r="H983" i="13"/>
  <c r="K983" i="13" s="1"/>
  <c r="H982" i="13"/>
  <c r="K982" i="13" s="1"/>
  <c r="K981" i="13"/>
  <c r="I981" i="13" s="1"/>
  <c r="H981" i="13"/>
  <c r="K980" i="13"/>
  <c r="I980" i="13"/>
  <c r="H980" i="13"/>
  <c r="H979" i="13"/>
  <c r="K979" i="13" s="1"/>
  <c r="H978" i="13"/>
  <c r="K978" i="13" s="1"/>
  <c r="K977" i="13"/>
  <c r="I977" i="13" s="1"/>
  <c r="H977" i="13"/>
  <c r="K976" i="13"/>
  <c r="I976" i="13"/>
  <c r="H976" i="13"/>
  <c r="H975" i="13"/>
  <c r="K975" i="13" s="1"/>
  <c r="H974" i="13"/>
  <c r="K974" i="13" s="1"/>
  <c r="K973" i="13"/>
  <c r="I973" i="13" s="1"/>
  <c r="H973" i="13"/>
  <c r="K972" i="13"/>
  <c r="I972" i="13"/>
  <c r="H972" i="13"/>
  <c r="H971" i="13"/>
  <c r="K971" i="13" s="1"/>
  <c r="H970" i="13"/>
  <c r="K970" i="13" s="1"/>
  <c r="K969" i="13"/>
  <c r="I969" i="13" s="1"/>
  <c r="H969" i="13"/>
  <c r="K968" i="13"/>
  <c r="I968" i="13"/>
  <c r="H968" i="13"/>
  <c r="H967" i="13"/>
  <c r="K967" i="13" s="1"/>
  <c r="H966" i="13"/>
  <c r="K966" i="13" s="1"/>
  <c r="K965" i="13"/>
  <c r="I965" i="13" s="1"/>
  <c r="H965" i="13"/>
  <c r="K964" i="13"/>
  <c r="I964" i="13"/>
  <c r="H964" i="13"/>
  <c r="H963" i="13"/>
  <c r="H962" i="13"/>
  <c r="K962" i="13" s="1"/>
  <c r="K961" i="13"/>
  <c r="I961" i="13" s="1"/>
  <c r="H961" i="13"/>
  <c r="K960" i="13"/>
  <c r="I960" i="13"/>
  <c r="H960" i="13"/>
  <c r="H959" i="13"/>
  <c r="H958" i="13"/>
  <c r="K958" i="13" s="1"/>
  <c r="K957" i="13"/>
  <c r="I957" i="13" s="1"/>
  <c r="H957" i="13"/>
  <c r="K956" i="13"/>
  <c r="I956" i="13"/>
  <c r="H956" i="13"/>
  <c r="H955" i="13"/>
  <c r="H954" i="13"/>
  <c r="K954" i="13" s="1"/>
  <c r="K953" i="13"/>
  <c r="I953" i="13" s="1"/>
  <c r="H953" i="13"/>
  <c r="K952" i="13"/>
  <c r="I952" i="13"/>
  <c r="H952" i="13"/>
  <c r="H951" i="13"/>
  <c r="H950" i="13"/>
  <c r="K950" i="13" s="1"/>
  <c r="K949" i="13"/>
  <c r="I949" i="13" s="1"/>
  <c r="H949" i="13"/>
  <c r="K948" i="13"/>
  <c r="I948" i="13"/>
  <c r="H948" i="13"/>
  <c r="H947" i="13"/>
  <c r="H946" i="13"/>
  <c r="K946" i="13" s="1"/>
  <c r="K945" i="13"/>
  <c r="I945" i="13" s="1"/>
  <c r="H945" i="13"/>
  <c r="K944" i="13"/>
  <c r="I944" i="13"/>
  <c r="H944" i="13"/>
  <c r="H943" i="13"/>
  <c r="H942" i="13"/>
  <c r="K942" i="13" s="1"/>
  <c r="K941" i="13"/>
  <c r="I941" i="13" s="1"/>
  <c r="H941" i="13"/>
  <c r="K940" i="13"/>
  <c r="I940" i="13"/>
  <c r="H940" i="13"/>
  <c r="H939" i="13"/>
  <c r="H938" i="13"/>
  <c r="K938" i="13" s="1"/>
  <c r="K937" i="13"/>
  <c r="I937" i="13" s="1"/>
  <c r="H937" i="13"/>
  <c r="K936" i="13"/>
  <c r="I936" i="13"/>
  <c r="H936" i="13"/>
  <c r="H935" i="13"/>
  <c r="H934" i="13"/>
  <c r="K934" i="13" s="1"/>
  <c r="K933" i="13"/>
  <c r="I933" i="13" s="1"/>
  <c r="H933" i="13"/>
  <c r="K932" i="13"/>
  <c r="I932" i="13"/>
  <c r="H932" i="13"/>
  <c r="H931" i="13"/>
  <c r="H930" i="13"/>
  <c r="K930" i="13" s="1"/>
  <c r="K929" i="13"/>
  <c r="I929" i="13" s="1"/>
  <c r="H929" i="13"/>
  <c r="K928" i="13"/>
  <c r="I928" i="13"/>
  <c r="H928" i="13"/>
  <c r="H927" i="13"/>
  <c r="H926" i="13"/>
  <c r="K926" i="13" s="1"/>
  <c r="K925" i="13"/>
  <c r="I925" i="13" s="1"/>
  <c r="H925" i="13"/>
  <c r="K924" i="13"/>
  <c r="I924" i="13"/>
  <c r="H924" i="13"/>
  <c r="H923" i="13"/>
  <c r="H922" i="13"/>
  <c r="K922" i="13" s="1"/>
  <c r="K921" i="13"/>
  <c r="I921" i="13" s="1"/>
  <c r="H921" i="13"/>
  <c r="K920" i="13"/>
  <c r="I920" i="13"/>
  <c r="H920" i="13"/>
  <c r="H919" i="13"/>
  <c r="H918" i="13"/>
  <c r="K918" i="13" s="1"/>
  <c r="K917" i="13"/>
  <c r="I917" i="13" s="1"/>
  <c r="H917" i="13"/>
  <c r="K916" i="13"/>
  <c r="I916" i="13"/>
  <c r="H916" i="13"/>
  <c r="H915" i="13"/>
  <c r="H914" i="13"/>
  <c r="K914" i="13" s="1"/>
  <c r="K913" i="13"/>
  <c r="I913" i="13" s="1"/>
  <c r="H913" i="13"/>
  <c r="K912" i="13"/>
  <c r="I912" i="13"/>
  <c r="H912" i="13"/>
  <c r="H911" i="13"/>
  <c r="H910" i="13"/>
  <c r="K910" i="13" s="1"/>
  <c r="K909" i="13"/>
  <c r="I909" i="13" s="1"/>
  <c r="H909" i="13"/>
  <c r="K908" i="13"/>
  <c r="I908" i="13"/>
  <c r="H908" i="13"/>
  <c r="H907" i="13"/>
  <c r="H906" i="13"/>
  <c r="K906" i="13" s="1"/>
  <c r="K905" i="13"/>
  <c r="I905" i="13" s="1"/>
  <c r="H905" i="13"/>
  <c r="K904" i="13"/>
  <c r="I904" i="13"/>
  <c r="H904" i="13"/>
  <c r="H903" i="13"/>
  <c r="H902" i="13"/>
  <c r="K902" i="13" s="1"/>
  <c r="K901" i="13"/>
  <c r="I901" i="13" s="1"/>
  <c r="H901" i="13"/>
  <c r="K900" i="13"/>
  <c r="I900" i="13"/>
  <c r="H900" i="13"/>
  <c r="H899" i="13"/>
  <c r="H898" i="13"/>
  <c r="K898" i="13" s="1"/>
  <c r="K897" i="13"/>
  <c r="I897" i="13" s="1"/>
  <c r="H897" i="13"/>
  <c r="K896" i="13"/>
  <c r="I896" i="13"/>
  <c r="H896" i="13"/>
  <c r="H895" i="13"/>
  <c r="H894" i="13"/>
  <c r="K894" i="13" s="1"/>
  <c r="K893" i="13"/>
  <c r="I893" i="13" s="1"/>
  <c r="H893" i="13"/>
  <c r="K892" i="13"/>
  <c r="I892" i="13"/>
  <c r="H892" i="13"/>
  <c r="H891" i="13"/>
  <c r="H890" i="13"/>
  <c r="K890" i="13" s="1"/>
  <c r="K889" i="13"/>
  <c r="I889" i="13" s="1"/>
  <c r="H889" i="13"/>
  <c r="K888" i="13"/>
  <c r="I888" i="13"/>
  <c r="H888" i="13"/>
  <c r="H887" i="13"/>
  <c r="H886" i="13"/>
  <c r="K886" i="13" s="1"/>
  <c r="K885" i="13"/>
  <c r="I885" i="13" s="1"/>
  <c r="H885" i="13"/>
  <c r="K884" i="13"/>
  <c r="I884" i="13"/>
  <c r="H884" i="13"/>
  <c r="H883" i="13"/>
  <c r="H882" i="13"/>
  <c r="K882" i="13" s="1"/>
  <c r="K881" i="13"/>
  <c r="I881" i="13" s="1"/>
  <c r="H881" i="13"/>
  <c r="K880" i="13"/>
  <c r="I880" i="13"/>
  <c r="H880" i="13"/>
  <c r="H879" i="13"/>
  <c r="H878" i="13"/>
  <c r="K878" i="13" s="1"/>
  <c r="K877" i="13"/>
  <c r="I877" i="13" s="1"/>
  <c r="H877" i="13"/>
  <c r="K876" i="13"/>
  <c r="I876" i="13"/>
  <c r="H876" i="13"/>
  <c r="H875" i="13"/>
  <c r="H874" i="13"/>
  <c r="K874" i="13" s="1"/>
  <c r="K873" i="13"/>
  <c r="I873" i="13" s="1"/>
  <c r="H873" i="13"/>
  <c r="K872" i="13"/>
  <c r="I872" i="13"/>
  <c r="H872" i="13"/>
  <c r="H871" i="13"/>
  <c r="H870" i="13"/>
  <c r="K870" i="13" s="1"/>
  <c r="K869" i="13"/>
  <c r="I869" i="13" s="1"/>
  <c r="H869" i="13"/>
  <c r="K868" i="13"/>
  <c r="I868" i="13"/>
  <c r="H868" i="13"/>
  <c r="H867" i="13"/>
  <c r="H866" i="13"/>
  <c r="K866" i="13" s="1"/>
  <c r="K865" i="13"/>
  <c r="I865" i="13" s="1"/>
  <c r="H865" i="13"/>
  <c r="K864" i="13"/>
  <c r="I864" i="13"/>
  <c r="H864" i="13"/>
  <c r="H863" i="13"/>
  <c r="H862" i="13"/>
  <c r="K862" i="13" s="1"/>
  <c r="K861" i="13"/>
  <c r="I861" i="13" s="1"/>
  <c r="H861" i="13"/>
  <c r="K860" i="13"/>
  <c r="I860" i="13"/>
  <c r="H860" i="13"/>
  <c r="H859" i="13"/>
  <c r="H858" i="13"/>
  <c r="K858" i="13" s="1"/>
  <c r="K857" i="13"/>
  <c r="I857" i="13" s="1"/>
  <c r="H857" i="13"/>
  <c r="K856" i="13"/>
  <c r="I856" i="13"/>
  <c r="H856" i="13"/>
  <c r="H855" i="13"/>
  <c r="H854" i="13"/>
  <c r="K854" i="13" s="1"/>
  <c r="K853" i="13"/>
  <c r="I853" i="13" s="1"/>
  <c r="H853" i="13"/>
  <c r="K852" i="13"/>
  <c r="I852" i="13"/>
  <c r="H852" i="13"/>
  <c r="H851" i="13"/>
  <c r="H850" i="13"/>
  <c r="K850" i="13" s="1"/>
  <c r="K849" i="13"/>
  <c r="I849" i="13" s="1"/>
  <c r="H849" i="13"/>
  <c r="K848" i="13"/>
  <c r="I848" i="13"/>
  <c r="H848" i="13"/>
  <c r="H847" i="13"/>
  <c r="H846" i="13"/>
  <c r="K846" i="13" s="1"/>
  <c r="K845" i="13"/>
  <c r="I845" i="13" s="1"/>
  <c r="H845" i="13"/>
  <c r="K844" i="13"/>
  <c r="I844" i="13"/>
  <c r="H844" i="13"/>
  <c r="H843" i="13"/>
  <c r="H842" i="13"/>
  <c r="K842" i="13" s="1"/>
  <c r="K841" i="13"/>
  <c r="I841" i="13" s="1"/>
  <c r="H841" i="13"/>
  <c r="K840" i="13"/>
  <c r="I840" i="13"/>
  <c r="H840" i="13"/>
  <c r="H839" i="13"/>
  <c r="H838" i="13"/>
  <c r="K838" i="13" s="1"/>
  <c r="K837" i="13"/>
  <c r="I837" i="13" s="1"/>
  <c r="H837" i="13"/>
  <c r="K836" i="13"/>
  <c r="I836" i="13"/>
  <c r="H836" i="13"/>
  <c r="H835" i="13"/>
  <c r="H834" i="13"/>
  <c r="K834" i="13" s="1"/>
  <c r="K833" i="13"/>
  <c r="I833" i="13" s="1"/>
  <c r="H833" i="13"/>
  <c r="K832" i="13"/>
  <c r="I832" i="13"/>
  <c r="H832" i="13"/>
  <c r="H831" i="13"/>
  <c r="H830" i="13"/>
  <c r="K830" i="13" s="1"/>
  <c r="K829" i="13"/>
  <c r="I829" i="13" s="1"/>
  <c r="H829" i="13"/>
  <c r="K828" i="13"/>
  <c r="I828" i="13"/>
  <c r="H828" i="13"/>
  <c r="H827" i="13"/>
  <c r="K827" i="13" s="1"/>
  <c r="H826" i="13"/>
  <c r="K825" i="13"/>
  <c r="I825" i="13" s="1"/>
  <c r="H825" i="13"/>
  <c r="K824" i="13"/>
  <c r="I824" i="13" s="1"/>
  <c r="H824" i="13"/>
  <c r="H823" i="13"/>
  <c r="K823" i="13" s="1"/>
  <c r="H822" i="13"/>
  <c r="K821" i="13"/>
  <c r="I821" i="13" s="1"/>
  <c r="H821" i="13"/>
  <c r="K820" i="13"/>
  <c r="I820" i="13" s="1"/>
  <c r="H820" i="13"/>
  <c r="H819" i="13"/>
  <c r="K819" i="13" s="1"/>
  <c r="H818" i="13"/>
  <c r="K817" i="13"/>
  <c r="I817" i="13" s="1"/>
  <c r="H817" i="13"/>
  <c r="K816" i="13"/>
  <c r="I816" i="13" s="1"/>
  <c r="H816" i="13"/>
  <c r="H815" i="13"/>
  <c r="K815" i="13" s="1"/>
  <c r="H814" i="13"/>
  <c r="K813" i="13"/>
  <c r="I813" i="13" s="1"/>
  <c r="H813" i="13"/>
  <c r="K812" i="13"/>
  <c r="I812" i="13" s="1"/>
  <c r="H812" i="13"/>
  <c r="H811" i="13"/>
  <c r="K811" i="13" s="1"/>
  <c r="H810" i="13"/>
  <c r="K809" i="13"/>
  <c r="I809" i="13" s="1"/>
  <c r="H809" i="13"/>
  <c r="K808" i="13"/>
  <c r="I808" i="13" s="1"/>
  <c r="H808" i="13"/>
  <c r="H807" i="13"/>
  <c r="K807" i="13" s="1"/>
  <c r="H806" i="13"/>
  <c r="K805" i="13"/>
  <c r="I805" i="13" s="1"/>
  <c r="H805" i="13"/>
  <c r="K804" i="13"/>
  <c r="I804" i="13" s="1"/>
  <c r="H804" i="13"/>
  <c r="H803" i="13"/>
  <c r="K803" i="13" s="1"/>
  <c r="H802" i="13"/>
  <c r="K801" i="13"/>
  <c r="I801" i="13" s="1"/>
  <c r="H801" i="13"/>
  <c r="K800" i="13"/>
  <c r="I800" i="13" s="1"/>
  <c r="H800" i="13"/>
  <c r="H799" i="13"/>
  <c r="K799" i="13" s="1"/>
  <c r="H798" i="13"/>
  <c r="K797" i="13"/>
  <c r="I797" i="13" s="1"/>
  <c r="H797" i="13"/>
  <c r="K796" i="13"/>
  <c r="I796" i="13" s="1"/>
  <c r="H796" i="13"/>
  <c r="H795" i="13"/>
  <c r="K795" i="13" s="1"/>
  <c r="H794" i="13"/>
  <c r="K793" i="13"/>
  <c r="I793" i="13" s="1"/>
  <c r="H793" i="13"/>
  <c r="K792" i="13"/>
  <c r="I792" i="13" s="1"/>
  <c r="H792" i="13"/>
  <c r="H791" i="13"/>
  <c r="K791" i="13" s="1"/>
  <c r="H790" i="13"/>
  <c r="K789" i="13"/>
  <c r="I789" i="13" s="1"/>
  <c r="H789" i="13"/>
  <c r="K788" i="13"/>
  <c r="I788" i="13" s="1"/>
  <c r="H788" i="13"/>
  <c r="H787" i="13"/>
  <c r="K787" i="13" s="1"/>
  <c r="H786" i="13"/>
  <c r="K785" i="13"/>
  <c r="I785" i="13" s="1"/>
  <c r="H785" i="13"/>
  <c r="K784" i="13"/>
  <c r="I784" i="13" s="1"/>
  <c r="H784" i="13"/>
  <c r="H783" i="13"/>
  <c r="K783" i="13" s="1"/>
  <c r="H782" i="13"/>
  <c r="K781" i="13"/>
  <c r="I781" i="13" s="1"/>
  <c r="H781" i="13"/>
  <c r="K780" i="13"/>
  <c r="I780" i="13" s="1"/>
  <c r="H780" i="13"/>
  <c r="H779" i="13"/>
  <c r="K779" i="13" s="1"/>
  <c r="H778" i="13"/>
  <c r="K777" i="13"/>
  <c r="I777" i="13" s="1"/>
  <c r="H777" i="13"/>
  <c r="K776" i="13"/>
  <c r="I776" i="13" s="1"/>
  <c r="H776" i="13"/>
  <c r="H775" i="13"/>
  <c r="K775" i="13" s="1"/>
  <c r="H774" i="13"/>
  <c r="K773" i="13"/>
  <c r="I773" i="13" s="1"/>
  <c r="H773" i="13"/>
  <c r="K772" i="13"/>
  <c r="I772" i="13" s="1"/>
  <c r="H772" i="13"/>
  <c r="H771" i="13"/>
  <c r="K771" i="13" s="1"/>
  <c r="H770" i="13"/>
  <c r="K769" i="13"/>
  <c r="I769" i="13" s="1"/>
  <c r="H769" i="13"/>
  <c r="K768" i="13"/>
  <c r="I768" i="13" s="1"/>
  <c r="H768" i="13"/>
  <c r="H767" i="13"/>
  <c r="K767" i="13" s="1"/>
  <c r="H766" i="13"/>
  <c r="K765" i="13"/>
  <c r="I765" i="13" s="1"/>
  <c r="H765" i="13"/>
  <c r="K764" i="13"/>
  <c r="I764" i="13" s="1"/>
  <c r="H764" i="13"/>
  <c r="H763" i="13"/>
  <c r="K763" i="13" s="1"/>
  <c r="H762" i="13"/>
  <c r="K761" i="13"/>
  <c r="I761" i="13" s="1"/>
  <c r="H761" i="13"/>
  <c r="K760" i="13"/>
  <c r="I760" i="13" s="1"/>
  <c r="H760" i="13"/>
  <c r="H759" i="13"/>
  <c r="K759" i="13" s="1"/>
  <c r="H758" i="13"/>
  <c r="K757" i="13"/>
  <c r="I757" i="13" s="1"/>
  <c r="H757" i="13"/>
  <c r="K756" i="13"/>
  <c r="I756" i="13" s="1"/>
  <c r="H756" i="13"/>
  <c r="H755" i="13"/>
  <c r="K755" i="13" s="1"/>
  <c r="H754" i="13"/>
  <c r="K753" i="13"/>
  <c r="I753" i="13" s="1"/>
  <c r="H753" i="13"/>
  <c r="K752" i="13"/>
  <c r="I752" i="13" s="1"/>
  <c r="H752" i="13"/>
  <c r="H751" i="13"/>
  <c r="K751" i="13" s="1"/>
  <c r="H750" i="13"/>
  <c r="K749" i="13"/>
  <c r="I749" i="13" s="1"/>
  <c r="H749" i="13"/>
  <c r="K748" i="13"/>
  <c r="I748" i="13" s="1"/>
  <c r="H748" i="13"/>
  <c r="H747" i="13"/>
  <c r="K747" i="13" s="1"/>
  <c r="H746" i="13"/>
  <c r="K745" i="13"/>
  <c r="I745" i="13" s="1"/>
  <c r="H745" i="13"/>
  <c r="K744" i="13"/>
  <c r="I744" i="13" s="1"/>
  <c r="H744" i="13"/>
  <c r="H743" i="13"/>
  <c r="K743" i="13" s="1"/>
  <c r="H742" i="13"/>
  <c r="K741" i="13"/>
  <c r="I741" i="13" s="1"/>
  <c r="H741" i="13"/>
  <c r="K740" i="13"/>
  <c r="I740" i="13" s="1"/>
  <c r="H740" i="13"/>
  <c r="H739" i="13"/>
  <c r="K739" i="13" s="1"/>
  <c r="H738" i="13"/>
  <c r="K737" i="13"/>
  <c r="I737" i="13" s="1"/>
  <c r="H737" i="13"/>
  <c r="K736" i="13"/>
  <c r="I736" i="13" s="1"/>
  <c r="H736" i="13"/>
  <c r="H735" i="13"/>
  <c r="K735" i="13" s="1"/>
  <c r="H734" i="13"/>
  <c r="K733" i="13"/>
  <c r="I733" i="13" s="1"/>
  <c r="H733" i="13"/>
  <c r="K732" i="13"/>
  <c r="I732" i="13" s="1"/>
  <c r="H732" i="13"/>
  <c r="H731" i="13"/>
  <c r="K731" i="13" s="1"/>
  <c r="H730" i="13"/>
  <c r="K729" i="13"/>
  <c r="I729" i="13" s="1"/>
  <c r="H729" i="13"/>
  <c r="K728" i="13"/>
  <c r="I728" i="13" s="1"/>
  <c r="H728" i="13"/>
  <c r="H727" i="13"/>
  <c r="K727" i="13" s="1"/>
  <c r="H726" i="13"/>
  <c r="K725" i="13"/>
  <c r="I725" i="13" s="1"/>
  <c r="H725" i="13"/>
  <c r="K724" i="13"/>
  <c r="I724" i="13" s="1"/>
  <c r="H724" i="13"/>
  <c r="H723" i="13"/>
  <c r="K723" i="13" s="1"/>
  <c r="H722" i="13"/>
  <c r="K721" i="13"/>
  <c r="I721" i="13" s="1"/>
  <c r="H721" i="13"/>
  <c r="K720" i="13"/>
  <c r="I720" i="13" s="1"/>
  <c r="H720" i="13"/>
  <c r="H719" i="13"/>
  <c r="K719" i="13" s="1"/>
  <c r="H718" i="13"/>
  <c r="K717" i="13"/>
  <c r="I717" i="13" s="1"/>
  <c r="H717" i="13"/>
  <c r="K716" i="13"/>
  <c r="I716" i="13" s="1"/>
  <c r="H716" i="13"/>
  <c r="H715" i="13"/>
  <c r="K715" i="13" s="1"/>
  <c r="H714" i="13"/>
  <c r="K713" i="13"/>
  <c r="I713" i="13" s="1"/>
  <c r="H713" i="13"/>
  <c r="K712" i="13"/>
  <c r="I712" i="13" s="1"/>
  <c r="H712" i="13"/>
  <c r="H711" i="13"/>
  <c r="K711" i="13" s="1"/>
  <c r="H710" i="13"/>
  <c r="K709" i="13"/>
  <c r="I709" i="13" s="1"/>
  <c r="H709" i="13"/>
  <c r="K708" i="13"/>
  <c r="I708" i="13" s="1"/>
  <c r="H708" i="13"/>
  <c r="H707" i="13"/>
  <c r="K707" i="13" s="1"/>
  <c r="H706" i="13"/>
  <c r="K705" i="13"/>
  <c r="I705" i="13" s="1"/>
  <c r="H705" i="13"/>
  <c r="K704" i="13"/>
  <c r="I704" i="13" s="1"/>
  <c r="H704" i="13"/>
  <c r="H703" i="13"/>
  <c r="K703" i="13" s="1"/>
  <c r="H702" i="13"/>
  <c r="K701" i="13"/>
  <c r="I701" i="13" s="1"/>
  <c r="H701" i="13"/>
  <c r="K700" i="13"/>
  <c r="I700" i="13" s="1"/>
  <c r="H700" i="13"/>
  <c r="H699" i="13"/>
  <c r="K699" i="13" s="1"/>
  <c r="H698" i="13"/>
  <c r="K697" i="13"/>
  <c r="I697" i="13" s="1"/>
  <c r="H697" i="13"/>
  <c r="K696" i="13"/>
  <c r="I696" i="13" s="1"/>
  <c r="H696" i="13"/>
  <c r="H695" i="13"/>
  <c r="K695" i="13" s="1"/>
  <c r="H694" i="13"/>
  <c r="K693" i="13"/>
  <c r="I693" i="13" s="1"/>
  <c r="H693" i="13"/>
  <c r="K692" i="13"/>
  <c r="I692" i="13" s="1"/>
  <c r="H692" i="13"/>
  <c r="H691" i="13"/>
  <c r="K691" i="13" s="1"/>
  <c r="H690" i="13"/>
  <c r="K689" i="13"/>
  <c r="I689" i="13" s="1"/>
  <c r="H689" i="13"/>
  <c r="K688" i="13"/>
  <c r="I688" i="13" s="1"/>
  <c r="H688" i="13"/>
  <c r="H687" i="13"/>
  <c r="K687" i="13" s="1"/>
  <c r="H686" i="13"/>
  <c r="K685" i="13"/>
  <c r="I685" i="13" s="1"/>
  <c r="H685" i="13"/>
  <c r="K684" i="13"/>
  <c r="I684" i="13" s="1"/>
  <c r="H684" i="13"/>
  <c r="H683" i="13"/>
  <c r="K683" i="13" s="1"/>
  <c r="H682" i="13"/>
  <c r="K681" i="13"/>
  <c r="I681" i="13" s="1"/>
  <c r="H681" i="13"/>
  <c r="K680" i="13"/>
  <c r="I680" i="13" s="1"/>
  <c r="H680" i="13"/>
  <c r="H679" i="13"/>
  <c r="K679" i="13" s="1"/>
  <c r="H678" i="13"/>
  <c r="K677" i="13"/>
  <c r="I677" i="13" s="1"/>
  <c r="H677" i="13"/>
  <c r="K676" i="13"/>
  <c r="I676" i="13" s="1"/>
  <c r="H676" i="13"/>
  <c r="H675" i="13"/>
  <c r="K675" i="13" s="1"/>
  <c r="H674" i="13"/>
  <c r="K673" i="13"/>
  <c r="I673" i="13" s="1"/>
  <c r="H673" i="13"/>
  <c r="K672" i="13"/>
  <c r="I672" i="13" s="1"/>
  <c r="H672" i="13"/>
  <c r="H671" i="13"/>
  <c r="K671" i="13" s="1"/>
  <c r="H670" i="13"/>
  <c r="K669" i="13"/>
  <c r="I669" i="13" s="1"/>
  <c r="H669" i="13"/>
  <c r="K668" i="13"/>
  <c r="I668" i="13" s="1"/>
  <c r="H668" i="13"/>
  <c r="H667" i="13"/>
  <c r="K667" i="13" s="1"/>
  <c r="H666" i="13"/>
  <c r="K665" i="13"/>
  <c r="I665" i="13" s="1"/>
  <c r="H665" i="13"/>
  <c r="K664" i="13"/>
  <c r="I664" i="13" s="1"/>
  <c r="H664" i="13"/>
  <c r="H663" i="13"/>
  <c r="K663" i="13" s="1"/>
  <c r="H662" i="13"/>
  <c r="K661" i="13"/>
  <c r="I661" i="13" s="1"/>
  <c r="H661" i="13"/>
  <c r="K660" i="13"/>
  <c r="I660" i="13" s="1"/>
  <c r="H660" i="13"/>
  <c r="H659" i="13"/>
  <c r="K659" i="13" s="1"/>
  <c r="H658" i="13"/>
  <c r="K657" i="13"/>
  <c r="I657" i="13" s="1"/>
  <c r="H657" i="13"/>
  <c r="K656" i="13"/>
  <c r="I656" i="13" s="1"/>
  <c r="H656" i="13"/>
  <c r="H655" i="13"/>
  <c r="K655" i="13" s="1"/>
  <c r="H654" i="13"/>
  <c r="K653" i="13"/>
  <c r="I653" i="13" s="1"/>
  <c r="H653" i="13"/>
  <c r="K652" i="13"/>
  <c r="I652" i="13" s="1"/>
  <c r="H652" i="13"/>
  <c r="H651" i="13"/>
  <c r="K651" i="13" s="1"/>
  <c r="H650" i="13"/>
  <c r="K649" i="13"/>
  <c r="I649" i="13" s="1"/>
  <c r="H649" i="13"/>
  <c r="K648" i="13"/>
  <c r="I648" i="13" s="1"/>
  <c r="H648" i="13"/>
  <c r="H647" i="13"/>
  <c r="K647" i="13" s="1"/>
  <c r="H646" i="13"/>
  <c r="K645" i="13"/>
  <c r="I645" i="13" s="1"/>
  <c r="H645" i="13"/>
  <c r="K644" i="13"/>
  <c r="I644" i="13" s="1"/>
  <c r="H644" i="13"/>
  <c r="H643" i="13"/>
  <c r="K643" i="13" s="1"/>
  <c r="H642" i="13"/>
  <c r="K641" i="13"/>
  <c r="I641" i="13" s="1"/>
  <c r="H641" i="13"/>
  <c r="K640" i="13"/>
  <c r="I640" i="13" s="1"/>
  <c r="H640" i="13"/>
  <c r="H639" i="13"/>
  <c r="K639" i="13" s="1"/>
  <c r="H638" i="13"/>
  <c r="K637" i="13"/>
  <c r="I637" i="13" s="1"/>
  <c r="H637" i="13"/>
  <c r="K636" i="13"/>
  <c r="I636" i="13" s="1"/>
  <c r="H636" i="13"/>
  <c r="H635" i="13"/>
  <c r="K635" i="13" s="1"/>
  <c r="H634" i="13"/>
  <c r="K633" i="13"/>
  <c r="I633" i="13" s="1"/>
  <c r="H633" i="13"/>
  <c r="K632" i="13"/>
  <c r="I632" i="13" s="1"/>
  <c r="H632" i="13"/>
  <c r="H631" i="13"/>
  <c r="K631" i="13" s="1"/>
  <c r="H630" i="13"/>
  <c r="K629" i="13"/>
  <c r="I629" i="13" s="1"/>
  <c r="H629" i="13"/>
  <c r="K628" i="13"/>
  <c r="I628" i="13" s="1"/>
  <c r="H628" i="13"/>
  <c r="H627" i="13"/>
  <c r="K627" i="13" s="1"/>
  <c r="H626" i="13"/>
  <c r="K625" i="13"/>
  <c r="I625" i="13" s="1"/>
  <c r="H625" i="13"/>
  <c r="K624" i="13"/>
  <c r="I624" i="13" s="1"/>
  <c r="H624" i="13"/>
  <c r="H623" i="13"/>
  <c r="K623" i="13" s="1"/>
  <c r="H622" i="13"/>
  <c r="K621" i="13"/>
  <c r="I621" i="13" s="1"/>
  <c r="H621" i="13"/>
  <c r="K620" i="13"/>
  <c r="I620" i="13" s="1"/>
  <c r="H620" i="13"/>
  <c r="H619" i="13"/>
  <c r="K619" i="13" s="1"/>
  <c r="H618" i="13"/>
  <c r="K617" i="13"/>
  <c r="I617" i="13" s="1"/>
  <c r="H617" i="13"/>
  <c r="K616" i="13"/>
  <c r="I616" i="13" s="1"/>
  <c r="H616" i="13"/>
  <c r="H615" i="13"/>
  <c r="K615" i="13" s="1"/>
  <c r="H614" i="13"/>
  <c r="K613" i="13"/>
  <c r="I613" i="13" s="1"/>
  <c r="H613" i="13"/>
  <c r="K612" i="13"/>
  <c r="I612" i="13" s="1"/>
  <c r="H612" i="13"/>
  <c r="H611" i="13"/>
  <c r="K611" i="13" s="1"/>
  <c r="H610" i="13"/>
  <c r="K609" i="13"/>
  <c r="I609" i="13" s="1"/>
  <c r="H609" i="13"/>
  <c r="K608" i="13"/>
  <c r="I608" i="13" s="1"/>
  <c r="H608" i="13"/>
  <c r="H607" i="13"/>
  <c r="K607" i="13" s="1"/>
  <c r="H606" i="13"/>
  <c r="K605" i="13"/>
  <c r="I605" i="13" s="1"/>
  <c r="H605" i="13"/>
  <c r="K604" i="13"/>
  <c r="I604" i="13" s="1"/>
  <c r="H604" i="13"/>
  <c r="H603" i="13"/>
  <c r="K603" i="13" s="1"/>
  <c r="H602" i="13"/>
  <c r="K601" i="13"/>
  <c r="I601" i="13" s="1"/>
  <c r="H601" i="13"/>
  <c r="K600" i="13"/>
  <c r="I600" i="13" s="1"/>
  <c r="H600" i="13"/>
  <c r="H599" i="13"/>
  <c r="K599" i="13" s="1"/>
  <c r="H598" i="13"/>
  <c r="K597" i="13"/>
  <c r="I597" i="13" s="1"/>
  <c r="H597" i="13"/>
  <c r="K596" i="13"/>
  <c r="I596" i="13" s="1"/>
  <c r="H596" i="13"/>
  <c r="H595" i="13"/>
  <c r="K595" i="13" s="1"/>
  <c r="H594" i="13"/>
  <c r="K593" i="13"/>
  <c r="I593" i="13" s="1"/>
  <c r="H593" i="13"/>
  <c r="K592" i="13"/>
  <c r="I592" i="13" s="1"/>
  <c r="H592" i="13"/>
  <c r="H591" i="13"/>
  <c r="K591" i="13" s="1"/>
  <c r="H590" i="13"/>
  <c r="K589" i="13"/>
  <c r="I589" i="13" s="1"/>
  <c r="H589" i="13"/>
  <c r="K588" i="13"/>
  <c r="I588" i="13" s="1"/>
  <c r="H588" i="13"/>
  <c r="H587" i="13"/>
  <c r="K587" i="13" s="1"/>
  <c r="H586" i="13"/>
  <c r="K585" i="13"/>
  <c r="I585" i="13" s="1"/>
  <c r="H585" i="13"/>
  <c r="K584" i="13"/>
  <c r="I584" i="13" s="1"/>
  <c r="H584" i="13"/>
  <c r="H583" i="13"/>
  <c r="K583" i="13" s="1"/>
  <c r="H582" i="13"/>
  <c r="K581" i="13"/>
  <c r="I581" i="13" s="1"/>
  <c r="H581" i="13"/>
  <c r="K580" i="13"/>
  <c r="I580" i="13" s="1"/>
  <c r="H580" i="13"/>
  <c r="H579" i="13"/>
  <c r="K579" i="13" s="1"/>
  <c r="H578" i="13"/>
  <c r="K577" i="13"/>
  <c r="I577" i="13" s="1"/>
  <c r="H577" i="13"/>
  <c r="K576" i="13"/>
  <c r="I576" i="13" s="1"/>
  <c r="H576" i="13"/>
  <c r="H575" i="13"/>
  <c r="K575" i="13" s="1"/>
  <c r="H574" i="13"/>
  <c r="K573" i="13"/>
  <c r="I573" i="13" s="1"/>
  <c r="H573" i="13"/>
  <c r="K572" i="13"/>
  <c r="I572" i="13" s="1"/>
  <c r="H572" i="13"/>
  <c r="H571" i="13"/>
  <c r="K571" i="13" s="1"/>
  <c r="H570" i="13"/>
  <c r="K569" i="13"/>
  <c r="I569" i="13" s="1"/>
  <c r="H569" i="13"/>
  <c r="K568" i="13"/>
  <c r="I568" i="13" s="1"/>
  <c r="H568" i="13"/>
  <c r="H567" i="13"/>
  <c r="K567" i="13" s="1"/>
  <c r="H566" i="13"/>
  <c r="K565" i="13"/>
  <c r="I565" i="13" s="1"/>
  <c r="H565" i="13"/>
  <c r="K564" i="13"/>
  <c r="I564" i="13" s="1"/>
  <c r="H564" i="13"/>
  <c r="H563" i="13"/>
  <c r="K563" i="13" s="1"/>
  <c r="H562" i="13"/>
  <c r="K561" i="13"/>
  <c r="I561" i="13" s="1"/>
  <c r="H561" i="13"/>
  <c r="K560" i="13"/>
  <c r="I560" i="13" s="1"/>
  <c r="H560" i="13"/>
  <c r="H559" i="13"/>
  <c r="K559" i="13" s="1"/>
  <c r="H558" i="13"/>
  <c r="K557" i="13"/>
  <c r="I557" i="13" s="1"/>
  <c r="H557" i="13"/>
  <c r="K556" i="13"/>
  <c r="I556" i="13" s="1"/>
  <c r="H556" i="13"/>
  <c r="H555" i="13"/>
  <c r="K555" i="13" s="1"/>
  <c r="H554" i="13"/>
  <c r="K553" i="13"/>
  <c r="I553" i="13" s="1"/>
  <c r="H553" i="13"/>
  <c r="K552" i="13"/>
  <c r="I552" i="13" s="1"/>
  <c r="H552" i="13"/>
  <c r="H551" i="13"/>
  <c r="K551" i="13" s="1"/>
  <c r="H550" i="13"/>
  <c r="K549" i="13"/>
  <c r="I549" i="13" s="1"/>
  <c r="H549" i="13"/>
  <c r="K548" i="13"/>
  <c r="I548" i="13" s="1"/>
  <c r="H548" i="13"/>
  <c r="H547" i="13"/>
  <c r="K547" i="13" s="1"/>
  <c r="H546" i="13"/>
  <c r="K545" i="13"/>
  <c r="I545" i="13" s="1"/>
  <c r="H545" i="13"/>
  <c r="K544" i="13"/>
  <c r="I544" i="13" s="1"/>
  <c r="H544" i="13"/>
  <c r="H543" i="13"/>
  <c r="K543" i="13" s="1"/>
  <c r="H542" i="13"/>
  <c r="K541" i="13"/>
  <c r="I541" i="13" s="1"/>
  <c r="H541" i="13"/>
  <c r="K540" i="13"/>
  <c r="I540" i="13" s="1"/>
  <c r="H540" i="13"/>
  <c r="H539" i="13"/>
  <c r="K539" i="13" s="1"/>
  <c r="H538" i="13"/>
  <c r="K537" i="13"/>
  <c r="I537" i="13" s="1"/>
  <c r="H537" i="13"/>
  <c r="K536" i="13"/>
  <c r="I536" i="13" s="1"/>
  <c r="H536" i="13"/>
  <c r="H535" i="13"/>
  <c r="K535" i="13" s="1"/>
  <c r="H534" i="13"/>
  <c r="K533" i="13"/>
  <c r="I533" i="13" s="1"/>
  <c r="H533" i="13"/>
  <c r="K532" i="13"/>
  <c r="I532" i="13" s="1"/>
  <c r="H532" i="13"/>
  <c r="H531" i="13"/>
  <c r="K531" i="13" s="1"/>
  <c r="H530" i="13"/>
  <c r="K529" i="13"/>
  <c r="I529" i="13" s="1"/>
  <c r="H529" i="13"/>
  <c r="K528" i="13"/>
  <c r="I528" i="13" s="1"/>
  <c r="H528" i="13"/>
  <c r="H527" i="13"/>
  <c r="K527" i="13" s="1"/>
  <c r="H526" i="13"/>
  <c r="K525" i="13"/>
  <c r="I525" i="13" s="1"/>
  <c r="H525" i="13"/>
  <c r="K524" i="13"/>
  <c r="H524" i="13"/>
  <c r="I524" i="13" s="1"/>
  <c r="H523" i="13"/>
  <c r="K523" i="13" s="1"/>
  <c r="H522" i="13"/>
  <c r="K521" i="13"/>
  <c r="I521" i="13"/>
  <c r="H521" i="13"/>
  <c r="H520" i="13"/>
  <c r="K520" i="13" s="1"/>
  <c r="H519" i="13"/>
  <c r="K519" i="13" s="1"/>
  <c r="H518" i="13"/>
  <c r="K517" i="13"/>
  <c r="I517" i="13"/>
  <c r="H517" i="13"/>
  <c r="K516" i="13"/>
  <c r="H516" i="13"/>
  <c r="I516" i="13" s="1"/>
  <c r="H515" i="13"/>
  <c r="K515" i="13" s="1"/>
  <c r="H514" i="13"/>
  <c r="K513" i="13"/>
  <c r="I513" i="13"/>
  <c r="H513" i="13"/>
  <c r="H512" i="13"/>
  <c r="K512" i="13" s="1"/>
  <c r="H511" i="13"/>
  <c r="K511" i="13" s="1"/>
  <c r="H510" i="13"/>
  <c r="K509" i="13"/>
  <c r="I509" i="13"/>
  <c r="H509" i="13"/>
  <c r="K508" i="13"/>
  <c r="H508" i="13"/>
  <c r="I508" i="13" s="1"/>
  <c r="H507" i="13"/>
  <c r="K507" i="13" s="1"/>
  <c r="H506" i="13"/>
  <c r="K505" i="13"/>
  <c r="I505" i="13"/>
  <c r="H505" i="13"/>
  <c r="H504" i="13"/>
  <c r="K504" i="13" s="1"/>
  <c r="H503" i="13"/>
  <c r="K503" i="13" s="1"/>
  <c r="H502" i="13"/>
  <c r="K501" i="13"/>
  <c r="I501" i="13"/>
  <c r="H501" i="13"/>
  <c r="K500" i="13"/>
  <c r="H500" i="13"/>
  <c r="I500" i="13" s="1"/>
  <c r="H499" i="13"/>
  <c r="K499" i="13" s="1"/>
  <c r="H498" i="13"/>
  <c r="K497" i="13"/>
  <c r="I497" i="13"/>
  <c r="H497" i="13"/>
  <c r="H496" i="13"/>
  <c r="K496" i="13" s="1"/>
  <c r="H495" i="13"/>
  <c r="K495" i="13" s="1"/>
  <c r="H494" i="13"/>
  <c r="K493" i="13"/>
  <c r="I493" i="13"/>
  <c r="H493" i="13"/>
  <c r="K492" i="13"/>
  <c r="H492" i="13"/>
  <c r="I492" i="13" s="1"/>
  <c r="H491" i="13"/>
  <c r="K491" i="13" s="1"/>
  <c r="H490" i="13"/>
  <c r="K489" i="13"/>
  <c r="I489" i="13"/>
  <c r="H489" i="13"/>
  <c r="H488" i="13"/>
  <c r="K488" i="13" s="1"/>
  <c r="H487" i="13"/>
  <c r="K487" i="13" s="1"/>
  <c r="H486" i="13"/>
  <c r="K485" i="13"/>
  <c r="I485" i="13"/>
  <c r="H485" i="13"/>
  <c r="K484" i="13"/>
  <c r="H484" i="13"/>
  <c r="I484" i="13" s="1"/>
  <c r="H483" i="13"/>
  <c r="K483" i="13" s="1"/>
  <c r="I483" i="13" s="1"/>
  <c r="H482" i="13"/>
  <c r="K482" i="13" s="1"/>
  <c r="K481" i="13"/>
  <c r="I481" i="13"/>
  <c r="H481" i="13"/>
  <c r="K480" i="13"/>
  <c r="H480" i="13"/>
  <c r="I480" i="13" s="1"/>
  <c r="H479" i="13"/>
  <c r="K479" i="13" s="1"/>
  <c r="I479" i="13" s="1"/>
  <c r="H478" i="13"/>
  <c r="K478" i="13" s="1"/>
  <c r="K477" i="13"/>
  <c r="I477" i="13"/>
  <c r="H477" i="13"/>
  <c r="K476" i="13"/>
  <c r="H476" i="13"/>
  <c r="I476" i="13" s="1"/>
  <c r="H475" i="13"/>
  <c r="K475" i="13" s="1"/>
  <c r="I475" i="13" s="1"/>
  <c r="H474" i="13"/>
  <c r="K474" i="13" s="1"/>
  <c r="K473" i="13"/>
  <c r="I473" i="13"/>
  <c r="H473" i="13"/>
  <c r="K472" i="13"/>
  <c r="H472" i="13"/>
  <c r="I472" i="13" s="1"/>
  <c r="H471" i="13"/>
  <c r="K471" i="13" s="1"/>
  <c r="I471" i="13" s="1"/>
  <c r="H470" i="13"/>
  <c r="K470" i="13" s="1"/>
  <c r="K469" i="13"/>
  <c r="I469" i="13"/>
  <c r="H469" i="13"/>
  <c r="K468" i="13"/>
  <c r="H468" i="13"/>
  <c r="I468" i="13" s="1"/>
  <c r="H467" i="13"/>
  <c r="K467" i="13" s="1"/>
  <c r="I467" i="13" s="1"/>
  <c r="H466" i="13"/>
  <c r="K466" i="13" s="1"/>
  <c r="K465" i="13"/>
  <c r="I465" i="13"/>
  <c r="H465" i="13"/>
  <c r="K464" i="13"/>
  <c r="H464" i="13"/>
  <c r="I464" i="13" s="1"/>
  <c r="H463" i="13"/>
  <c r="K463" i="13" s="1"/>
  <c r="I463" i="13" s="1"/>
  <c r="H462" i="13"/>
  <c r="K462" i="13" s="1"/>
  <c r="K461" i="13"/>
  <c r="I461" i="13"/>
  <c r="H461" i="13"/>
  <c r="K460" i="13"/>
  <c r="H460" i="13"/>
  <c r="I460" i="13" s="1"/>
  <c r="H459" i="13"/>
  <c r="K459" i="13" s="1"/>
  <c r="I459" i="13" s="1"/>
  <c r="H458" i="13"/>
  <c r="K458" i="13" s="1"/>
  <c r="K457" i="13"/>
  <c r="I457" i="13"/>
  <c r="H457" i="13"/>
  <c r="K456" i="13"/>
  <c r="H456" i="13"/>
  <c r="I456" i="13" s="1"/>
  <c r="H455" i="13"/>
  <c r="K455" i="13" s="1"/>
  <c r="I455" i="13" s="1"/>
  <c r="H454" i="13"/>
  <c r="K454" i="13" s="1"/>
  <c r="K453" i="13"/>
  <c r="I453" i="13"/>
  <c r="H453" i="13"/>
  <c r="K452" i="13"/>
  <c r="H452" i="13"/>
  <c r="I452" i="13" s="1"/>
  <c r="H451" i="13"/>
  <c r="K451" i="13" s="1"/>
  <c r="I451" i="13" s="1"/>
  <c r="H450" i="13"/>
  <c r="K450" i="13" s="1"/>
  <c r="K449" i="13"/>
  <c r="I449" i="13"/>
  <c r="H449" i="13"/>
  <c r="K448" i="13"/>
  <c r="H448" i="13"/>
  <c r="I448" i="13" s="1"/>
  <c r="H447" i="13"/>
  <c r="K447" i="13" s="1"/>
  <c r="I447" i="13" s="1"/>
  <c r="H446" i="13"/>
  <c r="K446" i="13" s="1"/>
  <c r="K445" i="13"/>
  <c r="I445" i="13"/>
  <c r="H445" i="13"/>
  <c r="K444" i="13"/>
  <c r="H444" i="13"/>
  <c r="I444" i="13" s="1"/>
  <c r="H443" i="13"/>
  <c r="K443" i="13" s="1"/>
  <c r="I443" i="13" s="1"/>
  <c r="H442" i="13"/>
  <c r="K442" i="13" s="1"/>
  <c r="K441" i="13"/>
  <c r="I441" i="13"/>
  <c r="H441" i="13"/>
  <c r="K440" i="13"/>
  <c r="H440" i="13"/>
  <c r="I440" i="13" s="1"/>
  <c r="H439" i="13"/>
  <c r="K439" i="13" s="1"/>
  <c r="I439" i="13" s="1"/>
  <c r="H438" i="13"/>
  <c r="K438" i="13" s="1"/>
  <c r="K437" i="13"/>
  <c r="I437" i="13"/>
  <c r="H437" i="13"/>
  <c r="K436" i="13"/>
  <c r="H436" i="13"/>
  <c r="I436" i="13" s="1"/>
  <c r="H435" i="13"/>
  <c r="K435" i="13" s="1"/>
  <c r="I435" i="13" s="1"/>
  <c r="H434" i="13"/>
  <c r="K434" i="13" s="1"/>
  <c r="K433" i="13"/>
  <c r="I433" i="13"/>
  <c r="H433" i="13"/>
  <c r="H432" i="13"/>
  <c r="K432" i="13" s="1"/>
  <c r="H431" i="13"/>
  <c r="K431" i="13" s="1"/>
  <c r="I431" i="13" s="1"/>
  <c r="H430" i="13"/>
  <c r="K430" i="13" s="1"/>
  <c r="K429" i="13"/>
  <c r="I429" i="13"/>
  <c r="H429" i="13"/>
  <c r="H428" i="13"/>
  <c r="H427" i="13"/>
  <c r="K427" i="13" s="1"/>
  <c r="I427" i="13" s="1"/>
  <c r="K426" i="13"/>
  <c r="H426" i="13"/>
  <c r="I426" i="13" s="1"/>
  <c r="K425" i="13"/>
  <c r="I425" i="13"/>
  <c r="H425" i="13"/>
  <c r="H424" i="13"/>
  <c r="K424" i="13" s="1"/>
  <c r="H423" i="13"/>
  <c r="K423" i="13" s="1"/>
  <c r="I423" i="13" s="1"/>
  <c r="K422" i="13"/>
  <c r="H422" i="13"/>
  <c r="I422" i="13" s="1"/>
  <c r="K421" i="13"/>
  <c r="I421" i="13"/>
  <c r="H421" i="13"/>
  <c r="H420" i="13"/>
  <c r="H419" i="13"/>
  <c r="K419" i="13" s="1"/>
  <c r="I419" i="13" s="1"/>
  <c r="K418" i="13"/>
  <c r="H418" i="13"/>
  <c r="I418" i="13" s="1"/>
  <c r="K417" i="13"/>
  <c r="I417" i="13"/>
  <c r="H417" i="13"/>
  <c r="H416" i="13"/>
  <c r="K416" i="13" s="1"/>
  <c r="H415" i="13"/>
  <c r="K415" i="13" s="1"/>
  <c r="I415" i="13" s="1"/>
  <c r="K414" i="13"/>
  <c r="H414" i="13"/>
  <c r="I414" i="13" s="1"/>
  <c r="K413" i="13"/>
  <c r="I413" i="13"/>
  <c r="H413" i="13"/>
  <c r="H412" i="13"/>
  <c r="H411" i="13"/>
  <c r="K411" i="13" s="1"/>
  <c r="I411" i="13" s="1"/>
  <c r="K410" i="13"/>
  <c r="H410" i="13"/>
  <c r="I410" i="13" s="1"/>
  <c r="K409" i="13"/>
  <c r="I409" i="13"/>
  <c r="H409" i="13"/>
  <c r="H408" i="13"/>
  <c r="K408" i="13" s="1"/>
  <c r="H407" i="13"/>
  <c r="K407" i="13" s="1"/>
  <c r="I407" i="13" s="1"/>
  <c r="K406" i="13"/>
  <c r="H406" i="13"/>
  <c r="I406" i="13" s="1"/>
  <c r="K405" i="13"/>
  <c r="I405" i="13"/>
  <c r="H405" i="13"/>
  <c r="H404" i="13"/>
  <c r="H403" i="13"/>
  <c r="K403" i="13" s="1"/>
  <c r="I403" i="13" s="1"/>
  <c r="K402" i="13"/>
  <c r="H402" i="13"/>
  <c r="I402" i="13" s="1"/>
  <c r="K401" i="13"/>
  <c r="I401" i="13"/>
  <c r="H401" i="13"/>
  <c r="H400" i="13"/>
  <c r="K400" i="13" s="1"/>
  <c r="H399" i="13"/>
  <c r="K399" i="13" s="1"/>
  <c r="I399" i="13" s="1"/>
  <c r="K398" i="13"/>
  <c r="H398" i="13"/>
  <c r="I398" i="13" s="1"/>
  <c r="K397" i="13"/>
  <c r="I397" i="13"/>
  <c r="H397" i="13"/>
  <c r="H396" i="13"/>
  <c r="H395" i="13"/>
  <c r="K395" i="13" s="1"/>
  <c r="I395" i="13" s="1"/>
  <c r="K394" i="13"/>
  <c r="H394" i="13"/>
  <c r="I394" i="13" s="1"/>
  <c r="K393" i="13"/>
  <c r="I393" i="13"/>
  <c r="H393" i="13"/>
  <c r="H392" i="13"/>
  <c r="K392" i="13" s="1"/>
  <c r="H391" i="13"/>
  <c r="K391" i="13" s="1"/>
  <c r="I391" i="13" s="1"/>
  <c r="K390" i="13"/>
  <c r="H390" i="13"/>
  <c r="I390" i="13" s="1"/>
  <c r="K389" i="13"/>
  <c r="I389" i="13"/>
  <c r="H389" i="13"/>
  <c r="H388" i="13"/>
  <c r="K388" i="13" s="1"/>
  <c r="H387" i="13"/>
  <c r="K387" i="13" s="1"/>
  <c r="I387" i="13" s="1"/>
  <c r="K386" i="13"/>
  <c r="H386" i="13"/>
  <c r="I386" i="13" s="1"/>
  <c r="K385" i="13"/>
  <c r="I385" i="13"/>
  <c r="H385" i="13"/>
  <c r="H384" i="13"/>
  <c r="H383" i="13"/>
  <c r="K383" i="13" s="1"/>
  <c r="I383" i="13" s="1"/>
  <c r="K382" i="13"/>
  <c r="H382" i="13"/>
  <c r="I382" i="13" s="1"/>
  <c r="K381" i="13"/>
  <c r="I381" i="13"/>
  <c r="H381" i="13"/>
  <c r="H380" i="13"/>
  <c r="H379" i="13"/>
  <c r="K379" i="13" s="1"/>
  <c r="I379" i="13" s="1"/>
  <c r="K378" i="13"/>
  <c r="H378" i="13"/>
  <c r="I378" i="13" s="1"/>
  <c r="K377" i="13"/>
  <c r="I377" i="13"/>
  <c r="H377" i="13"/>
  <c r="H376" i="13"/>
  <c r="K376" i="13" s="1"/>
  <c r="H375" i="13"/>
  <c r="K375" i="13" s="1"/>
  <c r="I375" i="13" s="1"/>
  <c r="K374" i="13"/>
  <c r="H374" i="13"/>
  <c r="I374" i="13" s="1"/>
  <c r="K373" i="13"/>
  <c r="I373" i="13"/>
  <c r="H373" i="13"/>
  <c r="H372" i="13"/>
  <c r="K372" i="13" s="1"/>
  <c r="H371" i="13"/>
  <c r="K371" i="13" s="1"/>
  <c r="I371" i="13" s="1"/>
  <c r="K370" i="13"/>
  <c r="H370" i="13"/>
  <c r="I370" i="13" s="1"/>
  <c r="K369" i="13"/>
  <c r="I369" i="13"/>
  <c r="H369" i="13"/>
  <c r="H368" i="13"/>
  <c r="H367" i="13"/>
  <c r="K367" i="13" s="1"/>
  <c r="I367" i="13" s="1"/>
  <c r="K366" i="13"/>
  <c r="H366" i="13"/>
  <c r="I366" i="13" s="1"/>
  <c r="K365" i="13"/>
  <c r="I365" i="13"/>
  <c r="H365" i="13"/>
  <c r="H364" i="13"/>
  <c r="H363" i="13"/>
  <c r="K363" i="13" s="1"/>
  <c r="I363" i="13" s="1"/>
  <c r="K362" i="13"/>
  <c r="H362" i="13"/>
  <c r="I362" i="13" s="1"/>
  <c r="K361" i="13"/>
  <c r="I361" i="13"/>
  <c r="H361" i="13"/>
  <c r="H360" i="13"/>
  <c r="K360" i="13" s="1"/>
  <c r="H359" i="13"/>
  <c r="K359" i="13" s="1"/>
  <c r="I359" i="13" s="1"/>
  <c r="K358" i="13"/>
  <c r="H358" i="13"/>
  <c r="I358" i="13" s="1"/>
  <c r="K357" i="13"/>
  <c r="I357" i="13"/>
  <c r="H357" i="13"/>
  <c r="H356" i="13"/>
  <c r="H355" i="13"/>
  <c r="K355" i="13" s="1"/>
  <c r="I355" i="13" s="1"/>
  <c r="K354" i="13"/>
  <c r="H354" i="13"/>
  <c r="I354" i="13" s="1"/>
  <c r="K353" i="13"/>
  <c r="I353" i="13"/>
  <c r="H353" i="13"/>
  <c r="H352" i="13"/>
  <c r="K352" i="13" s="1"/>
  <c r="H351" i="13"/>
  <c r="K351" i="13" s="1"/>
  <c r="I351" i="13" s="1"/>
  <c r="K350" i="13"/>
  <c r="H350" i="13"/>
  <c r="I350" i="13" s="1"/>
  <c r="K349" i="13"/>
  <c r="I349" i="13"/>
  <c r="H349" i="13"/>
  <c r="H348" i="13"/>
  <c r="H347" i="13"/>
  <c r="K347" i="13" s="1"/>
  <c r="I347" i="13" s="1"/>
  <c r="K346" i="13"/>
  <c r="H346" i="13"/>
  <c r="I346" i="13" s="1"/>
  <c r="K345" i="13"/>
  <c r="I345" i="13"/>
  <c r="H345" i="13"/>
  <c r="H344" i="13"/>
  <c r="K344" i="13" s="1"/>
  <c r="H343" i="13"/>
  <c r="K343" i="13" s="1"/>
  <c r="I343" i="13" s="1"/>
  <c r="K342" i="13"/>
  <c r="H342" i="13"/>
  <c r="I342" i="13" s="1"/>
  <c r="K341" i="13"/>
  <c r="I341" i="13"/>
  <c r="H341" i="13"/>
  <c r="H340" i="13"/>
  <c r="H339" i="13"/>
  <c r="K339" i="13" s="1"/>
  <c r="I339" i="13" s="1"/>
  <c r="K338" i="13"/>
  <c r="H338" i="13"/>
  <c r="I338" i="13" s="1"/>
  <c r="K337" i="13"/>
  <c r="I337" i="13"/>
  <c r="H337" i="13"/>
  <c r="H336" i="13"/>
  <c r="H335" i="13"/>
  <c r="K335" i="13" s="1"/>
  <c r="I335" i="13" s="1"/>
  <c r="K334" i="13"/>
  <c r="H334" i="13"/>
  <c r="I334" i="13" s="1"/>
  <c r="K333" i="13"/>
  <c r="I333" i="13"/>
  <c r="H333" i="13"/>
  <c r="H332" i="13"/>
  <c r="K332" i="13" s="1"/>
  <c r="H331" i="13"/>
  <c r="K331" i="13" s="1"/>
  <c r="I331" i="13" s="1"/>
  <c r="K330" i="13"/>
  <c r="H330" i="13"/>
  <c r="I330" i="13" s="1"/>
  <c r="K329" i="13"/>
  <c r="I329" i="13"/>
  <c r="H329" i="13"/>
  <c r="H328" i="13"/>
  <c r="K328" i="13" s="1"/>
  <c r="H327" i="13"/>
  <c r="K327" i="13" s="1"/>
  <c r="I327" i="13" s="1"/>
  <c r="K326" i="13"/>
  <c r="H326" i="13"/>
  <c r="I326" i="13" s="1"/>
  <c r="K325" i="13"/>
  <c r="I325" i="13"/>
  <c r="H325" i="13"/>
  <c r="H324" i="13"/>
  <c r="H323" i="13"/>
  <c r="K323" i="13" s="1"/>
  <c r="I323" i="13" s="1"/>
  <c r="K322" i="13"/>
  <c r="H322" i="13"/>
  <c r="I322" i="13" s="1"/>
  <c r="K321" i="13"/>
  <c r="I321" i="13"/>
  <c r="H321" i="13"/>
  <c r="H320" i="13"/>
  <c r="K320" i="13" s="1"/>
  <c r="H319" i="13"/>
  <c r="K319" i="13" s="1"/>
  <c r="I319" i="13" s="1"/>
  <c r="K318" i="13"/>
  <c r="H318" i="13"/>
  <c r="I318" i="13" s="1"/>
  <c r="K317" i="13"/>
  <c r="I317" i="13"/>
  <c r="H317" i="13"/>
  <c r="H316" i="13"/>
  <c r="H315" i="13"/>
  <c r="K315" i="13" s="1"/>
  <c r="I315" i="13" s="1"/>
  <c r="K314" i="13"/>
  <c r="H314" i="13"/>
  <c r="I314" i="13" s="1"/>
  <c r="K313" i="13"/>
  <c r="I313" i="13"/>
  <c r="H313" i="13"/>
  <c r="H312" i="13"/>
  <c r="K312" i="13" s="1"/>
  <c r="H311" i="13"/>
  <c r="K311" i="13" s="1"/>
  <c r="I311" i="13" s="1"/>
  <c r="K310" i="13"/>
  <c r="H310" i="13"/>
  <c r="I310" i="13" s="1"/>
  <c r="K309" i="13"/>
  <c r="I309" i="13"/>
  <c r="H309" i="13"/>
  <c r="H308" i="13"/>
  <c r="H307" i="13"/>
  <c r="K307" i="13" s="1"/>
  <c r="I307" i="13" s="1"/>
  <c r="K306" i="13"/>
  <c r="H306" i="13"/>
  <c r="I306" i="13" s="1"/>
  <c r="K305" i="13"/>
  <c r="I305" i="13"/>
  <c r="H305" i="13"/>
  <c r="H304" i="13"/>
  <c r="K304" i="13" s="1"/>
  <c r="H303" i="13"/>
  <c r="K303" i="13" s="1"/>
  <c r="I303" i="13" s="1"/>
  <c r="K302" i="13"/>
  <c r="H302" i="13"/>
  <c r="I302" i="13" s="1"/>
  <c r="K301" i="13"/>
  <c r="I301" i="13"/>
  <c r="H301" i="13"/>
  <c r="H300" i="13"/>
  <c r="H299" i="13"/>
  <c r="K299" i="13" s="1"/>
  <c r="I299" i="13" s="1"/>
  <c r="K298" i="13"/>
  <c r="H298" i="13"/>
  <c r="I298" i="13" s="1"/>
  <c r="K297" i="13"/>
  <c r="I297" i="13"/>
  <c r="H297" i="13"/>
  <c r="H296" i="13"/>
  <c r="K296" i="13" s="1"/>
  <c r="H295" i="13"/>
  <c r="K295" i="13" s="1"/>
  <c r="I295" i="13" s="1"/>
  <c r="K294" i="13"/>
  <c r="H294" i="13"/>
  <c r="I294" i="13" s="1"/>
  <c r="K293" i="13"/>
  <c r="I293" i="13"/>
  <c r="H293" i="13"/>
  <c r="H292" i="13"/>
  <c r="H291" i="13"/>
  <c r="K291" i="13" s="1"/>
  <c r="I291" i="13" s="1"/>
  <c r="K290" i="13"/>
  <c r="H290" i="13"/>
  <c r="I290" i="13" s="1"/>
  <c r="K289" i="13"/>
  <c r="I289" i="13"/>
  <c r="H289" i="13"/>
  <c r="H288" i="13"/>
  <c r="K288" i="13" s="1"/>
  <c r="H287" i="13"/>
  <c r="K287" i="13" s="1"/>
  <c r="I287" i="13" s="1"/>
  <c r="K286" i="13"/>
  <c r="H286" i="13"/>
  <c r="I286" i="13" s="1"/>
  <c r="K285" i="13"/>
  <c r="I285" i="13"/>
  <c r="H285" i="13"/>
  <c r="H284" i="13"/>
  <c r="H283" i="13"/>
  <c r="K283" i="13" s="1"/>
  <c r="I283" i="13" s="1"/>
  <c r="K282" i="13"/>
  <c r="H282" i="13"/>
  <c r="I282" i="13" s="1"/>
  <c r="K281" i="13"/>
  <c r="I281" i="13"/>
  <c r="H281" i="13"/>
  <c r="H280" i="13"/>
  <c r="K280" i="13" s="1"/>
  <c r="H279" i="13"/>
  <c r="K279" i="13" s="1"/>
  <c r="I279" i="13" s="1"/>
  <c r="K278" i="13"/>
  <c r="H278" i="13"/>
  <c r="I278" i="13" s="1"/>
  <c r="K277" i="13"/>
  <c r="I277" i="13"/>
  <c r="H277" i="13"/>
  <c r="H276" i="13"/>
  <c r="H275" i="13"/>
  <c r="K275" i="13" s="1"/>
  <c r="I275" i="13" s="1"/>
  <c r="K274" i="13"/>
  <c r="H274" i="13"/>
  <c r="I274" i="13" s="1"/>
  <c r="K273" i="13"/>
  <c r="I273" i="13"/>
  <c r="H273" i="13"/>
  <c r="H272" i="13"/>
  <c r="K272" i="13" s="1"/>
  <c r="H271" i="13"/>
  <c r="K271" i="13" s="1"/>
  <c r="I271" i="13" s="1"/>
  <c r="K270" i="13"/>
  <c r="H270" i="13"/>
  <c r="I270" i="13" s="1"/>
  <c r="K269" i="13"/>
  <c r="I269" i="13"/>
  <c r="H269" i="13"/>
  <c r="H268" i="13"/>
  <c r="K268" i="13" s="1"/>
  <c r="H267" i="13"/>
  <c r="K267" i="13" s="1"/>
  <c r="I267" i="13" s="1"/>
  <c r="K266" i="13"/>
  <c r="H266" i="13"/>
  <c r="I266" i="13" s="1"/>
  <c r="K265" i="13"/>
  <c r="I265" i="13"/>
  <c r="H265" i="13"/>
  <c r="H264" i="13"/>
  <c r="H263" i="13"/>
  <c r="K263" i="13" s="1"/>
  <c r="I263" i="13" s="1"/>
  <c r="K262" i="13"/>
  <c r="H262" i="13"/>
  <c r="I262" i="13" s="1"/>
  <c r="K261" i="13"/>
  <c r="I261" i="13"/>
  <c r="H261" i="13"/>
  <c r="H260" i="13"/>
  <c r="H259" i="13"/>
  <c r="K259" i="13" s="1"/>
  <c r="I259" i="13" s="1"/>
  <c r="K258" i="13"/>
  <c r="H258" i="13"/>
  <c r="I258" i="13" s="1"/>
  <c r="K257" i="13"/>
  <c r="I257" i="13"/>
  <c r="H257" i="13"/>
  <c r="H256" i="13"/>
  <c r="K256" i="13" s="1"/>
  <c r="H255" i="13"/>
  <c r="K255" i="13" s="1"/>
  <c r="I255" i="13" s="1"/>
  <c r="K254" i="13"/>
  <c r="H254" i="13"/>
  <c r="I254" i="13" s="1"/>
  <c r="K253" i="13"/>
  <c r="I253" i="13"/>
  <c r="H253" i="13"/>
  <c r="H252" i="13"/>
  <c r="H251" i="13"/>
  <c r="K251" i="13" s="1"/>
  <c r="I251" i="13" s="1"/>
  <c r="K250" i="13"/>
  <c r="H250" i="13"/>
  <c r="I250" i="13" s="1"/>
  <c r="K249" i="13"/>
  <c r="I249" i="13"/>
  <c r="H249" i="13"/>
  <c r="H248" i="13"/>
  <c r="K248" i="13" s="1"/>
  <c r="H247" i="13"/>
  <c r="K247" i="13" s="1"/>
  <c r="I247" i="13" s="1"/>
  <c r="K246" i="13"/>
  <c r="H246" i="13"/>
  <c r="I246" i="13" s="1"/>
  <c r="K245" i="13"/>
  <c r="I245" i="13"/>
  <c r="H245" i="13"/>
  <c r="H244" i="13"/>
  <c r="H243" i="13"/>
  <c r="K243" i="13" s="1"/>
  <c r="I243" i="13" s="1"/>
  <c r="K242" i="13"/>
  <c r="H242" i="13"/>
  <c r="I242" i="13" s="1"/>
  <c r="K241" i="13"/>
  <c r="I241" i="13"/>
  <c r="H241" i="13"/>
  <c r="H240" i="13"/>
  <c r="K240" i="13" s="1"/>
  <c r="H239" i="13"/>
  <c r="K239" i="13" s="1"/>
  <c r="I239" i="13" s="1"/>
  <c r="K238" i="13"/>
  <c r="H238" i="13"/>
  <c r="I238" i="13" s="1"/>
  <c r="K237" i="13"/>
  <c r="I237" i="13"/>
  <c r="H237" i="13"/>
  <c r="H236" i="13"/>
  <c r="H235" i="13"/>
  <c r="K235" i="13" s="1"/>
  <c r="I235" i="13" s="1"/>
  <c r="K234" i="13"/>
  <c r="H234" i="13"/>
  <c r="I234" i="13" s="1"/>
  <c r="K233" i="13"/>
  <c r="I233" i="13"/>
  <c r="H233" i="13"/>
  <c r="H232" i="13"/>
  <c r="K232" i="13" s="1"/>
  <c r="H231" i="13"/>
  <c r="K231" i="13" s="1"/>
  <c r="I231" i="13" s="1"/>
  <c r="K230" i="13"/>
  <c r="H230" i="13"/>
  <c r="I230" i="13" s="1"/>
  <c r="K229" i="13"/>
  <c r="I229" i="13"/>
  <c r="H229" i="13"/>
  <c r="H228" i="13"/>
  <c r="H227" i="13"/>
  <c r="K227" i="13" s="1"/>
  <c r="I227" i="13" s="1"/>
  <c r="K226" i="13"/>
  <c r="H226" i="13"/>
  <c r="I226" i="13" s="1"/>
  <c r="K225" i="13"/>
  <c r="I225" i="13"/>
  <c r="H225" i="13"/>
  <c r="H224" i="13"/>
  <c r="K224" i="13" s="1"/>
  <c r="H223" i="13"/>
  <c r="K223" i="13" s="1"/>
  <c r="I223" i="13" s="1"/>
  <c r="K222" i="13"/>
  <c r="H222" i="13"/>
  <c r="I222" i="13" s="1"/>
  <c r="K221" i="13"/>
  <c r="I221" i="13"/>
  <c r="H221" i="13"/>
  <c r="H220" i="13"/>
  <c r="K220" i="13" s="1"/>
  <c r="H219" i="13"/>
  <c r="K219" i="13" s="1"/>
  <c r="I219" i="13" s="1"/>
  <c r="K218" i="13"/>
  <c r="H218" i="13"/>
  <c r="I218" i="13" s="1"/>
  <c r="K217" i="13"/>
  <c r="I217" i="13"/>
  <c r="H217" i="13"/>
  <c r="H216" i="13"/>
  <c r="H215" i="13"/>
  <c r="K215" i="13" s="1"/>
  <c r="I215" i="13" s="1"/>
  <c r="K214" i="13"/>
  <c r="H214" i="13"/>
  <c r="I214" i="13" s="1"/>
  <c r="K213" i="13"/>
  <c r="I213" i="13"/>
  <c r="H213" i="13"/>
  <c r="H212" i="13"/>
  <c r="H211" i="13"/>
  <c r="K211" i="13" s="1"/>
  <c r="I211" i="13" s="1"/>
  <c r="K210" i="13"/>
  <c r="H210" i="13"/>
  <c r="I210" i="13" s="1"/>
  <c r="K209" i="13"/>
  <c r="I209" i="13"/>
  <c r="H209" i="13"/>
  <c r="H208" i="13"/>
  <c r="K208" i="13" s="1"/>
  <c r="H207" i="13"/>
  <c r="K207" i="13" s="1"/>
  <c r="I207" i="13" s="1"/>
  <c r="K206" i="13"/>
  <c r="H206" i="13"/>
  <c r="I206" i="13" s="1"/>
  <c r="K205" i="13"/>
  <c r="I205" i="13"/>
  <c r="H205" i="13"/>
  <c r="H204" i="13"/>
  <c r="K204" i="13" s="1"/>
  <c r="H203" i="13"/>
  <c r="K203" i="13" s="1"/>
  <c r="I203" i="13" s="1"/>
  <c r="K202" i="13"/>
  <c r="H202" i="13"/>
  <c r="I202" i="13" s="1"/>
  <c r="K201" i="13"/>
  <c r="I201" i="13"/>
  <c r="H201" i="13"/>
  <c r="H200" i="13"/>
  <c r="H199" i="13"/>
  <c r="K199" i="13" s="1"/>
  <c r="I199" i="13" s="1"/>
  <c r="K198" i="13"/>
  <c r="H198" i="13"/>
  <c r="I198" i="13" s="1"/>
  <c r="K197" i="13"/>
  <c r="I197" i="13"/>
  <c r="H197" i="13"/>
  <c r="H196" i="13"/>
  <c r="H195" i="13"/>
  <c r="K195" i="13" s="1"/>
  <c r="I195" i="13" s="1"/>
  <c r="K194" i="13"/>
  <c r="H194" i="13"/>
  <c r="I194" i="13" s="1"/>
  <c r="K193" i="13"/>
  <c r="I193" i="13"/>
  <c r="H193" i="13"/>
  <c r="H192" i="13"/>
  <c r="K192" i="13" s="1"/>
  <c r="H191" i="13"/>
  <c r="K191" i="13" s="1"/>
  <c r="I191" i="13" s="1"/>
  <c r="K190" i="13"/>
  <c r="H190" i="13"/>
  <c r="I190" i="13" s="1"/>
  <c r="K189" i="13"/>
  <c r="I189" i="13"/>
  <c r="H189" i="13"/>
  <c r="H188" i="13"/>
  <c r="K188" i="13" s="1"/>
  <c r="H187" i="13"/>
  <c r="K187" i="13" s="1"/>
  <c r="I187" i="13" s="1"/>
  <c r="K186" i="13"/>
  <c r="H186" i="13"/>
  <c r="I186" i="13" s="1"/>
  <c r="K185" i="13"/>
  <c r="I185" i="13"/>
  <c r="H185" i="13"/>
  <c r="H184" i="13"/>
  <c r="H183" i="13"/>
  <c r="K183" i="13" s="1"/>
  <c r="I183" i="13" s="1"/>
  <c r="K182" i="13"/>
  <c r="H182" i="13"/>
  <c r="I182" i="13" s="1"/>
  <c r="K181" i="13"/>
  <c r="I181" i="13"/>
  <c r="H181" i="13"/>
  <c r="H180" i="13"/>
  <c r="H179" i="13"/>
  <c r="K179" i="13" s="1"/>
  <c r="I179" i="13" s="1"/>
  <c r="K178" i="13"/>
  <c r="H178" i="13"/>
  <c r="I178" i="13" s="1"/>
  <c r="K177" i="13"/>
  <c r="I177" i="13"/>
  <c r="H177" i="13"/>
  <c r="H176" i="13"/>
  <c r="K176" i="13" s="1"/>
  <c r="H175" i="13"/>
  <c r="K175" i="13" s="1"/>
  <c r="I175" i="13" s="1"/>
  <c r="K174" i="13"/>
  <c r="H174" i="13"/>
  <c r="I174" i="13" s="1"/>
  <c r="K173" i="13"/>
  <c r="I173" i="13"/>
  <c r="H173" i="13"/>
  <c r="H172" i="13"/>
  <c r="H171" i="13"/>
  <c r="K171" i="13" s="1"/>
  <c r="I171" i="13" s="1"/>
  <c r="K170" i="13"/>
  <c r="H170" i="13"/>
  <c r="I170" i="13" s="1"/>
  <c r="K169" i="13"/>
  <c r="I169" i="13"/>
  <c r="H169" i="13"/>
  <c r="H168" i="13"/>
  <c r="K168" i="13" s="1"/>
  <c r="H167" i="13"/>
  <c r="K167" i="13" s="1"/>
  <c r="I167" i="13" s="1"/>
  <c r="K166" i="13"/>
  <c r="H166" i="13"/>
  <c r="I166" i="13" s="1"/>
  <c r="K165" i="13"/>
  <c r="I165" i="13"/>
  <c r="H165" i="13"/>
  <c r="H164" i="13"/>
  <c r="H163" i="13"/>
  <c r="K163" i="13" s="1"/>
  <c r="I163" i="13" s="1"/>
  <c r="K162" i="13"/>
  <c r="H162" i="13"/>
  <c r="I162" i="13" s="1"/>
  <c r="K161" i="13"/>
  <c r="I161" i="13"/>
  <c r="H161" i="13"/>
  <c r="H160" i="13"/>
  <c r="K160" i="13" s="1"/>
  <c r="H159" i="13"/>
  <c r="K159" i="13" s="1"/>
  <c r="I159" i="13" s="1"/>
  <c r="K158" i="13"/>
  <c r="H158" i="13"/>
  <c r="I158" i="13" s="1"/>
  <c r="K157" i="13"/>
  <c r="I157" i="13"/>
  <c r="H157" i="13"/>
  <c r="H156" i="13"/>
  <c r="H155" i="13"/>
  <c r="K155" i="13" s="1"/>
  <c r="I155" i="13" s="1"/>
  <c r="K154" i="13"/>
  <c r="H154" i="13"/>
  <c r="I154" i="13" s="1"/>
  <c r="K153" i="13"/>
  <c r="I153" i="13"/>
  <c r="H153" i="13"/>
  <c r="H152" i="13"/>
  <c r="K152" i="13" s="1"/>
  <c r="H151" i="13"/>
  <c r="K151" i="13" s="1"/>
  <c r="I151" i="13" s="1"/>
  <c r="K150" i="13"/>
  <c r="H150" i="13"/>
  <c r="I150" i="13" s="1"/>
  <c r="K149" i="13"/>
  <c r="I149" i="13"/>
  <c r="H149" i="13"/>
  <c r="H148" i="13"/>
  <c r="H147" i="13"/>
  <c r="K147" i="13" s="1"/>
  <c r="I147" i="13" s="1"/>
  <c r="K146" i="13"/>
  <c r="H146" i="13"/>
  <c r="I146" i="13" s="1"/>
  <c r="K145" i="13"/>
  <c r="I145" i="13"/>
  <c r="H145" i="13"/>
  <c r="H144" i="13"/>
  <c r="K144" i="13" s="1"/>
  <c r="H143" i="13"/>
  <c r="K143" i="13" s="1"/>
  <c r="I143" i="13" s="1"/>
  <c r="K142" i="13"/>
  <c r="H142" i="13"/>
  <c r="I142" i="13" s="1"/>
  <c r="K141" i="13"/>
  <c r="I141" i="13"/>
  <c r="H141" i="13"/>
  <c r="H140" i="13"/>
  <c r="K140" i="13" s="1"/>
  <c r="H139" i="13"/>
  <c r="K139" i="13" s="1"/>
  <c r="I139" i="13" s="1"/>
  <c r="K138" i="13"/>
  <c r="H138" i="13"/>
  <c r="I138" i="13" s="1"/>
  <c r="K137" i="13"/>
  <c r="I137" i="13"/>
  <c r="H137" i="13"/>
  <c r="H136" i="13"/>
  <c r="H135" i="13"/>
  <c r="K135" i="13" s="1"/>
  <c r="I135" i="13" s="1"/>
  <c r="K134" i="13"/>
  <c r="H134" i="13"/>
  <c r="I134" i="13" s="1"/>
  <c r="K133" i="13"/>
  <c r="I133" i="13"/>
  <c r="H133" i="13"/>
  <c r="H132" i="13"/>
  <c r="K132" i="13" s="1"/>
  <c r="H131" i="13"/>
  <c r="K131" i="13" s="1"/>
  <c r="I131" i="13" s="1"/>
  <c r="K130" i="13"/>
  <c r="H130" i="13"/>
  <c r="I130" i="13" s="1"/>
  <c r="K129" i="13"/>
  <c r="I129" i="13"/>
  <c r="H129" i="13"/>
  <c r="H128" i="13"/>
  <c r="H127" i="13"/>
  <c r="K127" i="13" s="1"/>
  <c r="I127" i="13" s="1"/>
  <c r="K126" i="13"/>
  <c r="H126" i="13"/>
  <c r="I126" i="13" s="1"/>
  <c r="K125" i="13"/>
  <c r="I125" i="13"/>
  <c r="H125" i="13"/>
  <c r="H124" i="13"/>
  <c r="K124" i="13" s="1"/>
  <c r="H123" i="13"/>
  <c r="K123" i="13" s="1"/>
  <c r="I123" i="13" s="1"/>
  <c r="K122" i="13"/>
  <c r="H122" i="13"/>
  <c r="I122" i="13" s="1"/>
  <c r="K121" i="13"/>
  <c r="I121" i="13"/>
  <c r="H121" i="13"/>
  <c r="H120" i="13"/>
  <c r="H119" i="13"/>
  <c r="K119" i="13" s="1"/>
  <c r="I119" i="13" s="1"/>
  <c r="K118" i="13"/>
  <c r="H118" i="13"/>
  <c r="I118" i="13" s="1"/>
  <c r="K117" i="13"/>
  <c r="I117" i="13"/>
  <c r="H117" i="13"/>
  <c r="H116" i="13"/>
  <c r="K116" i="13" s="1"/>
  <c r="H115" i="13"/>
  <c r="K115" i="13" s="1"/>
  <c r="I115" i="13" s="1"/>
  <c r="K114" i="13"/>
  <c r="H114" i="13"/>
  <c r="I114" i="13" s="1"/>
  <c r="K113" i="13"/>
  <c r="I113" i="13"/>
  <c r="H113" i="13"/>
  <c r="H112" i="13"/>
  <c r="H111" i="13"/>
  <c r="K111" i="13" s="1"/>
  <c r="I111" i="13" s="1"/>
  <c r="K110" i="13"/>
  <c r="H110" i="13"/>
  <c r="I110" i="13" s="1"/>
  <c r="K109" i="13"/>
  <c r="I109" i="13"/>
  <c r="H109" i="13"/>
  <c r="H108" i="13"/>
  <c r="K108" i="13" s="1"/>
  <c r="H107" i="13"/>
  <c r="K107" i="13" s="1"/>
  <c r="I107" i="13" s="1"/>
  <c r="K106" i="13"/>
  <c r="H106" i="13"/>
  <c r="I106" i="13" s="1"/>
  <c r="K105" i="13"/>
  <c r="I105" i="13"/>
  <c r="H105" i="13"/>
  <c r="H104" i="13"/>
  <c r="H103" i="13"/>
  <c r="K103" i="13" s="1"/>
  <c r="I103" i="13" s="1"/>
  <c r="K102" i="13"/>
  <c r="H102" i="13"/>
  <c r="I102" i="13" s="1"/>
  <c r="K101" i="13"/>
  <c r="I101" i="13"/>
  <c r="H101" i="13"/>
  <c r="H100" i="13"/>
  <c r="K100" i="13" s="1"/>
  <c r="H99" i="13"/>
  <c r="K99" i="13" s="1"/>
  <c r="I99" i="13" s="1"/>
  <c r="K98" i="13"/>
  <c r="H98" i="13"/>
  <c r="I98" i="13" s="1"/>
  <c r="K97" i="13"/>
  <c r="I97" i="13"/>
  <c r="H97" i="13"/>
  <c r="H96" i="13"/>
  <c r="K96" i="13" s="1"/>
  <c r="H95" i="13"/>
  <c r="K95" i="13" s="1"/>
  <c r="I95" i="13" s="1"/>
  <c r="K94" i="13"/>
  <c r="H94" i="13"/>
  <c r="I94" i="13" s="1"/>
  <c r="K93" i="13"/>
  <c r="I93" i="13"/>
  <c r="H93" i="13"/>
  <c r="H92" i="13"/>
  <c r="H91" i="13"/>
  <c r="K91" i="13" s="1"/>
  <c r="I91" i="13" s="1"/>
  <c r="K90" i="13"/>
  <c r="H90" i="13"/>
  <c r="I90" i="13" s="1"/>
  <c r="K89" i="13"/>
  <c r="I89" i="13"/>
  <c r="H89" i="13"/>
  <c r="H88" i="13"/>
  <c r="K88" i="13" s="1"/>
  <c r="H87" i="13"/>
  <c r="K87" i="13" s="1"/>
  <c r="I87" i="13" s="1"/>
  <c r="K86" i="13"/>
  <c r="H86" i="13"/>
  <c r="I86" i="13" s="1"/>
  <c r="K85" i="13"/>
  <c r="I85" i="13"/>
  <c r="H85" i="13"/>
  <c r="H84" i="13"/>
  <c r="H83" i="13"/>
  <c r="K83" i="13" s="1"/>
  <c r="I83" i="13" s="1"/>
  <c r="K82" i="13"/>
  <c r="H82" i="13"/>
  <c r="I82" i="13" s="1"/>
  <c r="K81" i="13"/>
  <c r="I81" i="13"/>
  <c r="H81" i="13"/>
  <c r="H80" i="13"/>
  <c r="K80" i="13" s="1"/>
  <c r="H79" i="13"/>
  <c r="K79" i="13" s="1"/>
  <c r="I79" i="13" s="1"/>
  <c r="K78" i="13"/>
  <c r="H78" i="13"/>
  <c r="I78" i="13" s="1"/>
  <c r="K77" i="13"/>
  <c r="I77" i="13"/>
  <c r="H77" i="13"/>
  <c r="H76" i="13"/>
  <c r="H75" i="13"/>
  <c r="K75" i="13" s="1"/>
  <c r="I75" i="13" s="1"/>
  <c r="K74" i="13"/>
  <c r="H74" i="13"/>
  <c r="I74" i="13" s="1"/>
  <c r="K73" i="13"/>
  <c r="I73" i="13"/>
  <c r="H73" i="13"/>
  <c r="H72" i="13"/>
  <c r="K72" i="13" s="1"/>
  <c r="H71" i="13"/>
  <c r="K71" i="13" s="1"/>
  <c r="I71" i="13" s="1"/>
  <c r="K70" i="13"/>
  <c r="H70" i="13"/>
  <c r="I70" i="13" s="1"/>
  <c r="K69" i="13"/>
  <c r="I69" i="13"/>
  <c r="H69" i="13"/>
  <c r="H68" i="13"/>
  <c r="H67" i="13"/>
  <c r="K67" i="13" s="1"/>
  <c r="I67" i="13" s="1"/>
  <c r="K66" i="13"/>
  <c r="H66" i="13"/>
  <c r="I66" i="13" s="1"/>
  <c r="K65" i="13"/>
  <c r="I65" i="13"/>
  <c r="H65" i="13"/>
  <c r="H64" i="13"/>
  <c r="K64" i="13" s="1"/>
  <c r="H63" i="13"/>
  <c r="K62" i="13"/>
  <c r="H62" i="13"/>
  <c r="I62" i="13" s="1"/>
  <c r="K61" i="13"/>
  <c r="I61" i="13"/>
  <c r="H61" i="13"/>
  <c r="H60" i="13"/>
  <c r="H59" i="13"/>
  <c r="K59" i="13" s="1"/>
  <c r="K58" i="13"/>
  <c r="H58" i="13"/>
  <c r="I58" i="13" s="1"/>
  <c r="K57" i="13"/>
  <c r="I57" i="13"/>
  <c r="H57" i="13"/>
  <c r="H56" i="13"/>
  <c r="K56" i="13" s="1"/>
  <c r="H55" i="13"/>
  <c r="K54" i="13"/>
  <c r="H54" i="13"/>
  <c r="I54" i="13" s="1"/>
  <c r="K53" i="13"/>
  <c r="I53" i="13"/>
  <c r="H53" i="13"/>
  <c r="H52" i="13"/>
  <c r="H51" i="13"/>
  <c r="K51" i="13" s="1"/>
  <c r="K50" i="13"/>
  <c r="H50" i="13"/>
  <c r="I50" i="13" s="1"/>
  <c r="K49" i="13"/>
  <c r="I49" i="13"/>
  <c r="H49" i="13"/>
  <c r="H48" i="13"/>
  <c r="K48" i="13" s="1"/>
  <c r="H47" i="13"/>
  <c r="K46" i="13"/>
  <c r="H46" i="13"/>
  <c r="I46" i="13" s="1"/>
  <c r="K45" i="13"/>
  <c r="I45" i="13"/>
  <c r="H45" i="13"/>
  <c r="H44" i="13"/>
  <c r="H43" i="13"/>
  <c r="K43" i="13" s="1"/>
  <c r="K42" i="13"/>
  <c r="H42" i="13"/>
  <c r="I42" i="13" s="1"/>
  <c r="K41" i="13"/>
  <c r="I41" i="13"/>
  <c r="H41" i="13"/>
  <c r="H40" i="13"/>
  <c r="K40" i="13" s="1"/>
  <c r="H39" i="13"/>
  <c r="K38" i="13"/>
  <c r="H38" i="13"/>
  <c r="I38" i="13" s="1"/>
  <c r="K37" i="13"/>
  <c r="I37" i="13"/>
  <c r="H37" i="13"/>
  <c r="H36" i="13"/>
  <c r="K36" i="13" s="1"/>
  <c r="H35" i="13"/>
  <c r="K34" i="13"/>
  <c r="H34" i="13"/>
  <c r="I34" i="13" s="1"/>
  <c r="K33" i="13"/>
  <c r="I33" i="13"/>
  <c r="H33" i="13"/>
  <c r="H32" i="13"/>
  <c r="K32" i="13" s="1"/>
  <c r="H31" i="13"/>
  <c r="K31" i="13" s="1"/>
  <c r="K30" i="13"/>
  <c r="H30" i="13"/>
  <c r="I30" i="13" s="1"/>
  <c r="K29" i="13"/>
  <c r="I29" i="13"/>
  <c r="H29" i="13"/>
  <c r="H28" i="13"/>
  <c r="K28" i="13" s="1"/>
  <c r="H27" i="13"/>
  <c r="K26" i="13"/>
  <c r="H26" i="13"/>
  <c r="I26" i="13" s="1"/>
  <c r="K25" i="13"/>
  <c r="I25" i="13"/>
  <c r="H25" i="13"/>
  <c r="H24" i="13"/>
  <c r="H23" i="13"/>
  <c r="K23" i="13" s="1"/>
  <c r="K22" i="13"/>
  <c r="H22" i="13"/>
  <c r="I22" i="13" s="1"/>
  <c r="K21" i="13"/>
  <c r="I21" i="13"/>
  <c r="H21" i="13"/>
  <c r="H20" i="13"/>
  <c r="H19" i="13"/>
  <c r="K19" i="13" s="1"/>
  <c r="K18" i="13"/>
  <c r="H18" i="13"/>
  <c r="I18" i="13" s="1"/>
  <c r="K17" i="13"/>
  <c r="I17" i="13"/>
  <c r="H17" i="13"/>
  <c r="H16" i="13"/>
  <c r="K16" i="13" s="1"/>
  <c r="H15" i="13"/>
  <c r="K15" i="13" s="1"/>
  <c r="K14" i="13"/>
  <c r="H14" i="13"/>
  <c r="I14" i="13" s="1"/>
  <c r="K13" i="13"/>
  <c r="I13" i="13"/>
  <c r="H13" i="13"/>
  <c r="H12" i="13"/>
  <c r="H11" i="13"/>
  <c r="K11" i="13" s="1"/>
  <c r="K10" i="13"/>
  <c r="H10" i="13"/>
  <c r="I10" i="13" s="1"/>
  <c r="K9" i="13"/>
  <c r="I9" i="13"/>
  <c r="H9" i="13"/>
  <c r="H8" i="13"/>
  <c r="K8" i="13" s="1"/>
  <c r="H7" i="13"/>
  <c r="K7" i="13" s="1"/>
  <c r="K6" i="13"/>
  <c r="H6" i="13"/>
  <c r="I6" i="13" s="1"/>
  <c r="K5" i="13"/>
  <c r="I5" i="13"/>
  <c r="H5" i="13"/>
  <c r="H4" i="13"/>
  <c r="I60" i="13" l="1"/>
  <c r="I172" i="13"/>
  <c r="I236" i="13"/>
  <c r="I300" i="13"/>
  <c r="I396" i="13"/>
  <c r="I12" i="13"/>
  <c r="I39" i="13"/>
  <c r="I24" i="13"/>
  <c r="I35" i="13"/>
  <c r="I136" i="13"/>
  <c r="I264" i="13"/>
  <c r="I68" i="13"/>
  <c r="I196" i="13"/>
  <c r="I260" i="13"/>
  <c r="I324" i="13"/>
  <c r="I420" i="13"/>
  <c r="I384" i="13"/>
  <c r="I16" i="13"/>
  <c r="I28" i="13"/>
  <c r="I32" i="13"/>
  <c r="I36" i="13"/>
  <c r="I48" i="13"/>
  <c r="K4" i="13"/>
  <c r="I4" i="13" s="1"/>
  <c r="I7" i="13"/>
  <c r="I11" i="13"/>
  <c r="K12" i="13"/>
  <c r="I15" i="13"/>
  <c r="I19" i="13"/>
  <c r="K20" i="13"/>
  <c r="I20" i="13" s="1"/>
  <c r="I23" i="13"/>
  <c r="K24" i="13"/>
  <c r="I31" i="13"/>
  <c r="I43" i="13"/>
  <c r="K44" i="13"/>
  <c r="I44" i="13" s="1"/>
  <c r="I51" i="13"/>
  <c r="K52" i="13"/>
  <c r="I52" i="13" s="1"/>
  <c r="I59" i="13"/>
  <c r="K60" i="13"/>
  <c r="K68" i="13"/>
  <c r="K76" i="13"/>
  <c r="I76" i="13" s="1"/>
  <c r="K84" i="13"/>
  <c r="I84" i="13" s="1"/>
  <c r="K92" i="13"/>
  <c r="I92" i="13" s="1"/>
  <c r="K104" i="13"/>
  <c r="I104" i="13" s="1"/>
  <c r="K112" i="13"/>
  <c r="I112" i="13" s="1"/>
  <c r="K120" i="13"/>
  <c r="I120" i="13" s="1"/>
  <c r="K128" i="13"/>
  <c r="I128" i="13" s="1"/>
  <c r="K136" i="13"/>
  <c r="K148" i="13"/>
  <c r="I148" i="13" s="1"/>
  <c r="K156" i="13"/>
  <c r="I156" i="13" s="1"/>
  <c r="K164" i="13"/>
  <c r="I164" i="13" s="1"/>
  <c r="K172" i="13"/>
  <c r="K180" i="13"/>
  <c r="I180" i="13" s="1"/>
  <c r="K184" i="13"/>
  <c r="I184" i="13" s="1"/>
  <c r="K196" i="13"/>
  <c r="K200" i="13"/>
  <c r="I200" i="13" s="1"/>
  <c r="K212" i="13"/>
  <c r="I212" i="13" s="1"/>
  <c r="K216" i="13"/>
  <c r="I216" i="13" s="1"/>
  <c r="K228" i="13"/>
  <c r="I228" i="13" s="1"/>
  <c r="K236" i="13"/>
  <c r="K244" i="13"/>
  <c r="I244" i="13" s="1"/>
  <c r="K252" i="13"/>
  <c r="I252" i="13" s="1"/>
  <c r="K260" i="13"/>
  <c r="K264" i="13"/>
  <c r="K276" i="13"/>
  <c r="I276" i="13" s="1"/>
  <c r="K284" i="13"/>
  <c r="I284" i="13" s="1"/>
  <c r="K292" i="13"/>
  <c r="I292" i="13" s="1"/>
  <c r="K300" i="13"/>
  <c r="K308" i="13"/>
  <c r="I308" i="13" s="1"/>
  <c r="K316" i="13"/>
  <c r="I316" i="13" s="1"/>
  <c r="K324" i="13"/>
  <c r="K336" i="13"/>
  <c r="I336" i="13" s="1"/>
  <c r="K340" i="13"/>
  <c r="I340" i="13" s="1"/>
  <c r="K348" i="13"/>
  <c r="I348" i="13" s="1"/>
  <c r="K356" i="13"/>
  <c r="I356" i="13" s="1"/>
  <c r="K364" i="13"/>
  <c r="I364" i="13" s="1"/>
  <c r="K368" i="13"/>
  <c r="I368" i="13" s="1"/>
  <c r="K380" i="13"/>
  <c r="I380" i="13" s="1"/>
  <c r="K384" i="13"/>
  <c r="K396" i="13"/>
  <c r="K404" i="13"/>
  <c r="I404" i="13" s="1"/>
  <c r="K412" i="13"/>
  <c r="I412" i="13" s="1"/>
  <c r="K420" i="13"/>
  <c r="K428" i="13"/>
  <c r="I428" i="13" s="1"/>
  <c r="K27" i="13"/>
  <c r="I27" i="13" s="1"/>
  <c r="K35" i="13"/>
  <c r="K39" i="13"/>
  <c r="K47" i="13"/>
  <c r="I47" i="13" s="1"/>
  <c r="K55" i="13"/>
  <c r="I55" i="13" s="1"/>
  <c r="K63" i="13"/>
  <c r="I63" i="13" s="1"/>
  <c r="I430" i="13"/>
  <c r="I434" i="13"/>
  <c r="I438" i="13"/>
  <c r="I442" i="13"/>
  <c r="I446" i="13"/>
  <c r="I450" i="13"/>
  <c r="I454" i="13"/>
  <c r="I458" i="13"/>
  <c r="I462" i="13"/>
  <c r="I466" i="13"/>
  <c r="I470" i="13"/>
  <c r="I474" i="13"/>
  <c r="I478" i="13"/>
  <c r="I482" i="13"/>
  <c r="K486" i="13"/>
  <c r="I486" i="13" s="1"/>
  <c r="I488" i="13"/>
  <c r="I491" i="13"/>
  <c r="K494" i="13"/>
  <c r="I494" i="13" s="1"/>
  <c r="I496" i="13"/>
  <c r="I499" i="13"/>
  <c r="K502" i="13"/>
  <c r="I502" i="13" s="1"/>
  <c r="I504" i="13"/>
  <c r="I507" i="13"/>
  <c r="K510" i="13"/>
  <c r="I510" i="13" s="1"/>
  <c r="I512" i="13"/>
  <c r="I515" i="13"/>
  <c r="K518" i="13"/>
  <c r="I518" i="13" s="1"/>
  <c r="I520" i="13"/>
  <c r="I523" i="13"/>
  <c r="I527" i="13"/>
  <c r="I531" i="13"/>
  <c r="I535" i="13"/>
  <c r="I539" i="13"/>
  <c r="I543" i="13"/>
  <c r="I547" i="13"/>
  <c r="I551" i="13"/>
  <c r="I555" i="13"/>
  <c r="I559" i="13"/>
  <c r="I563" i="13"/>
  <c r="I567" i="13"/>
  <c r="I571" i="13"/>
  <c r="I575" i="13"/>
  <c r="I579" i="13"/>
  <c r="I583" i="13"/>
  <c r="I587" i="13"/>
  <c r="I591" i="13"/>
  <c r="I595" i="13"/>
  <c r="I599" i="13"/>
  <c r="I603" i="13"/>
  <c r="I607" i="13"/>
  <c r="I611" i="13"/>
  <c r="I615" i="13"/>
  <c r="I619" i="13"/>
  <c r="I623" i="13"/>
  <c r="I627" i="13"/>
  <c r="I631" i="13"/>
  <c r="I635" i="13"/>
  <c r="I639" i="13"/>
  <c r="I643" i="13"/>
  <c r="I647" i="13"/>
  <c r="I651" i="13"/>
  <c r="I655" i="13"/>
  <c r="I659" i="13"/>
  <c r="I663" i="13"/>
  <c r="I667" i="13"/>
  <c r="I671" i="13"/>
  <c r="I675" i="13"/>
  <c r="I679" i="13"/>
  <c r="I683" i="13"/>
  <c r="I687" i="13"/>
  <c r="I691" i="13"/>
  <c r="I695" i="13"/>
  <c r="I699" i="13"/>
  <c r="I703" i="13"/>
  <c r="I707" i="13"/>
  <c r="I711" i="13"/>
  <c r="I715" i="13"/>
  <c r="I719" i="13"/>
  <c r="I723" i="13"/>
  <c r="I727" i="13"/>
  <c r="I731" i="13"/>
  <c r="I735" i="13"/>
  <c r="I739" i="13"/>
  <c r="I743" i="13"/>
  <c r="I747" i="13"/>
  <c r="I751" i="13"/>
  <c r="I755" i="13"/>
  <c r="I759" i="13"/>
  <c r="I763" i="13"/>
  <c r="I767" i="13"/>
  <c r="I771" i="13"/>
  <c r="I775" i="13"/>
  <c r="I779" i="13"/>
  <c r="I783" i="13"/>
  <c r="I787" i="13"/>
  <c r="I791" i="13"/>
  <c r="I795" i="13"/>
  <c r="I799" i="13"/>
  <c r="I803" i="13"/>
  <c r="I807" i="13"/>
  <c r="I811" i="13"/>
  <c r="I815" i="13"/>
  <c r="I819" i="13"/>
  <c r="I823" i="13"/>
  <c r="I827" i="13"/>
  <c r="K843" i="13"/>
  <c r="I843" i="13" s="1"/>
  <c r="K859" i="13"/>
  <c r="I859" i="13"/>
  <c r="K875" i="13"/>
  <c r="I875" i="13" s="1"/>
  <c r="K891" i="13"/>
  <c r="I891" i="13"/>
  <c r="K907" i="13"/>
  <c r="I907" i="13" s="1"/>
  <c r="K923" i="13"/>
  <c r="I923" i="13"/>
  <c r="K939" i="13"/>
  <c r="I939" i="13" s="1"/>
  <c r="K955" i="13"/>
  <c r="I955" i="13"/>
  <c r="I498" i="13"/>
  <c r="K839" i="13"/>
  <c r="I839" i="13" s="1"/>
  <c r="K855" i="13"/>
  <c r="I855" i="13"/>
  <c r="K871" i="13"/>
  <c r="I871" i="13" s="1"/>
  <c r="K887" i="13"/>
  <c r="I887" i="13"/>
  <c r="K903" i="13"/>
  <c r="I903" i="13" s="1"/>
  <c r="K919" i="13"/>
  <c r="I919" i="13"/>
  <c r="K935" i="13"/>
  <c r="I935" i="13" s="1"/>
  <c r="K951" i="13"/>
  <c r="I951" i="13"/>
  <c r="I8" i="13"/>
  <c r="I56" i="13"/>
  <c r="I64" i="13"/>
  <c r="I72" i="13"/>
  <c r="I80" i="13"/>
  <c r="I88" i="13"/>
  <c r="I96" i="13"/>
  <c r="I100" i="13"/>
  <c r="I108" i="13"/>
  <c r="I116" i="13"/>
  <c r="I124" i="13"/>
  <c r="I132" i="13"/>
  <c r="I140" i="13"/>
  <c r="I144" i="13"/>
  <c r="I152" i="13"/>
  <c r="I160" i="13"/>
  <c r="I168" i="13"/>
  <c r="I176" i="13"/>
  <c r="I188" i="13"/>
  <c r="I192" i="13"/>
  <c r="I204" i="13"/>
  <c r="I208" i="13"/>
  <c r="I220" i="13"/>
  <c r="I224" i="13"/>
  <c r="I232" i="13"/>
  <c r="I240" i="13"/>
  <c r="I248" i="13"/>
  <c r="I256" i="13"/>
  <c r="I268" i="13"/>
  <c r="I272" i="13"/>
  <c r="I280" i="13"/>
  <c r="I288" i="13"/>
  <c r="I296" i="13"/>
  <c r="I304" i="13"/>
  <c r="I312" i="13"/>
  <c r="I320" i="13"/>
  <c r="I328" i="13"/>
  <c r="I332" i="13"/>
  <c r="I344" i="13"/>
  <c r="I352" i="13"/>
  <c r="I360" i="13"/>
  <c r="I372" i="13"/>
  <c r="I376" i="13"/>
  <c r="I388" i="13"/>
  <c r="I392" i="13"/>
  <c r="I400" i="13"/>
  <c r="I408" i="13"/>
  <c r="I416" i="13"/>
  <c r="I424" i="13"/>
  <c r="I432" i="13"/>
  <c r="I487" i="13"/>
  <c r="K490" i="13"/>
  <c r="I490" i="13" s="1"/>
  <c r="I495" i="13"/>
  <c r="K498" i="13"/>
  <c r="I503" i="13"/>
  <c r="K506" i="13"/>
  <c r="I506" i="13" s="1"/>
  <c r="I511" i="13"/>
  <c r="K514" i="13"/>
  <c r="I514" i="13" s="1"/>
  <c r="I519" i="13"/>
  <c r="K522" i="13"/>
  <c r="I522" i="13" s="1"/>
  <c r="K526" i="13"/>
  <c r="I526" i="13" s="1"/>
  <c r="K530" i="13"/>
  <c r="I530" i="13"/>
  <c r="K534" i="13"/>
  <c r="I534" i="13" s="1"/>
  <c r="K538" i="13"/>
  <c r="I538" i="13"/>
  <c r="K542" i="13"/>
  <c r="I542" i="13" s="1"/>
  <c r="K546" i="13"/>
  <c r="I546" i="13"/>
  <c r="K550" i="13"/>
  <c r="I550" i="13" s="1"/>
  <c r="K554" i="13"/>
  <c r="I554" i="13"/>
  <c r="K558" i="13"/>
  <c r="I558" i="13" s="1"/>
  <c r="K562" i="13"/>
  <c r="I562" i="13"/>
  <c r="K566" i="13"/>
  <c r="I566" i="13" s="1"/>
  <c r="K570" i="13"/>
  <c r="I570" i="13"/>
  <c r="K574" i="13"/>
  <c r="I574" i="13" s="1"/>
  <c r="K578" i="13"/>
  <c r="I578" i="13"/>
  <c r="K582" i="13"/>
  <c r="I582" i="13" s="1"/>
  <c r="K586" i="13"/>
  <c r="I586" i="13"/>
  <c r="K590" i="13"/>
  <c r="I590" i="13" s="1"/>
  <c r="K594" i="13"/>
  <c r="I594" i="13"/>
  <c r="K598" i="13"/>
  <c r="I598" i="13" s="1"/>
  <c r="K602" i="13"/>
  <c r="I602" i="13"/>
  <c r="K606" i="13"/>
  <c r="I606" i="13" s="1"/>
  <c r="K610" i="13"/>
  <c r="I610" i="13"/>
  <c r="K614" i="13"/>
  <c r="I614" i="13" s="1"/>
  <c r="K618" i="13"/>
  <c r="I618" i="13"/>
  <c r="K622" i="13"/>
  <c r="I622" i="13" s="1"/>
  <c r="K626" i="13"/>
  <c r="I626" i="13"/>
  <c r="K630" i="13"/>
  <c r="I630" i="13" s="1"/>
  <c r="K634" i="13"/>
  <c r="I634" i="13"/>
  <c r="K638" i="13"/>
  <c r="I638" i="13" s="1"/>
  <c r="K642" i="13"/>
  <c r="I642" i="13"/>
  <c r="K646" i="13"/>
  <c r="I646" i="13" s="1"/>
  <c r="K650" i="13"/>
  <c r="I650" i="13"/>
  <c r="K654" i="13"/>
  <c r="I654" i="13" s="1"/>
  <c r="K658" i="13"/>
  <c r="I658" i="13"/>
  <c r="K662" i="13"/>
  <c r="I662" i="13" s="1"/>
  <c r="K666" i="13"/>
  <c r="I666" i="13"/>
  <c r="K670" i="13"/>
  <c r="I670" i="13" s="1"/>
  <c r="K674" i="13"/>
  <c r="I674" i="13"/>
  <c r="K678" i="13"/>
  <c r="I678" i="13" s="1"/>
  <c r="K682" i="13"/>
  <c r="I682" i="13"/>
  <c r="K686" i="13"/>
  <c r="I686" i="13" s="1"/>
  <c r="K690" i="13"/>
  <c r="I690" i="13"/>
  <c r="K694" i="13"/>
  <c r="I694" i="13" s="1"/>
  <c r="K698" i="13"/>
  <c r="I698" i="13"/>
  <c r="K702" i="13"/>
  <c r="I702" i="13" s="1"/>
  <c r="K706" i="13"/>
  <c r="I706" i="13"/>
  <c r="K710" i="13"/>
  <c r="I710" i="13" s="1"/>
  <c r="K714" i="13"/>
  <c r="I714" i="13"/>
  <c r="K718" i="13"/>
  <c r="I718" i="13" s="1"/>
  <c r="K722" i="13"/>
  <c r="I722" i="13"/>
  <c r="K726" i="13"/>
  <c r="I726" i="13" s="1"/>
  <c r="K730" i="13"/>
  <c r="I730" i="13"/>
  <c r="K734" i="13"/>
  <c r="I734" i="13" s="1"/>
  <c r="K738" i="13"/>
  <c r="I738" i="13"/>
  <c r="K742" i="13"/>
  <c r="I742" i="13" s="1"/>
  <c r="K746" i="13"/>
  <c r="I746" i="13"/>
  <c r="K750" i="13"/>
  <c r="I750" i="13" s="1"/>
  <c r="K754" i="13"/>
  <c r="I754" i="13"/>
  <c r="K758" i="13"/>
  <c r="I758" i="13" s="1"/>
  <c r="K762" i="13"/>
  <c r="I762" i="13"/>
  <c r="K766" i="13"/>
  <c r="I766" i="13" s="1"/>
  <c r="K770" i="13"/>
  <c r="I770" i="13"/>
  <c r="K774" i="13"/>
  <c r="I774" i="13" s="1"/>
  <c r="K778" i="13"/>
  <c r="I778" i="13"/>
  <c r="K782" i="13"/>
  <c r="I782" i="13" s="1"/>
  <c r="K786" i="13"/>
  <c r="I786" i="13"/>
  <c r="K790" i="13"/>
  <c r="I790" i="13" s="1"/>
  <c r="K794" i="13"/>
  <c r="I794" i="13"/>
  <c r="K798" i="13"/>
  <c r="I798" i="13" s="1"/>
  <c r="K802" i="13"/>
  <c r="I802" i="13"/>
  <c r="K806" i="13"/>
  <c r="I806" i="13" s="1"/>
  <c r="K810" i="13"/>
  <c r="I810" i="13"/>
  <c r="K814" i="13"/>
  <c r="I814" i="13" s="1"/>
  <c r="K818" i="13"/>
  <c r="I818" i="13"/>
  <c r="K822" i="13"/>
  <c r="I822" i="13" s="1"/>
  <c r="K826" i="13"/>
  <c r="I826" i="13"/>
  <c r="K835" i="13"/>
  <c r="I835" i="13" s="1"/>
  <c r="K851" i="13"/>
  <c r="I851" i="13"/>
  <c r="K867" i="13"/>
  <c r="I867" i="13" s="1"/>
  <c r="K883" i="13"/>
  <c r="I883" i="13"/>
  <c r="K899" i="13"/>
  <c r="I899" i="13" s="1"/>
  <c r="K915" i="13"/>
  <c r="I915" i="13"/>
  <c r="K931" i="13"/>
  <c r="I931" i="13" s="1"/>
  <c r="K947" i="13"/>
  <c r="I947" i="13"/>
  <c r="K963" i="13"/>
  <c r="I963" i="13" s="1"/>
  <c r="I40" i="13"/>
  <c r="K831" i="13"/>
  <c r="I831" i="13"/>
  <c r="K847" i="13"/>
  <c r="I847" i="13"/>
  <c r="K863" i="13"/>
  <c r="I863" i="13"/>
  <c r="K879" i="13"/>
  <c r="I879" i="13"/>
  <c r="K895" i="13"/>
  <c r="I895" i="13"/>
  <c r="K911" i="13"/>
  <c r="I911" i="13"/>
  <c r="K927" i="13"/>
  <c r="I927" i="13"/>
  <c r="K943" i="13"/>
  <c r="I943" i="13"/>
  <c r="K959" i="13"/>
  <c r="I959" i="13"/>
  <c r="I1082" i="13"/>
  <c r="I1114" i="13"/>
  <c r="I1138" i="13"/>
  <c r="I1146" i="13"/>
  <c r="I1154" i="13"/>
  <c r="I1162" i="13"/>
  <c r="I1170" i="13"/>
  <c r="K1276" i="13"/>
  <c r="I1276" i="13"/>
  <c r="I1278" i="13"/>
  <c r="K1292" i="13"/>
  <c r="I1292" i="13"/>
  <c r="I1294" i="13"/>
  <c r="K1308" i="13"/>
  <c r="I1308" i="13"/>
  <c r="I1310" i="13"/>
  <c r="K1324" i="13"/>
  <c r="I1324" i="13"/>
  <c r="I1326" i="13"/>
  <c r="I967" i="13"/>
  <c r="I971" i="13"/>
  <c r="I975" i="13"/>
  <c r="I979" i="13"/>
  <c r="I983" i="13"/>
  <c r="I987" i="13"/>
  <c r="I991" i="13"/>
  <c r="I995" i="13"/>
  <c r="I999" i="13"/>
  <c r="I1003" i="13"/>
  <c r="I1007" i="13"/>
  <c r="I1011" i="13"/>
  <c r="I1015" i="13"/>
  <c r="I1019" i="13"/>
  <c r="I1023" i="13"/>
  <c r="I1027" i="13"/>
  <c r="I1031" i="13"/>
  <c r="I1035" i="13"/>
  <c r="I1039" i="13"/>
  <c r="I1043" i="13"/>
  <c r="I1047" i="13"/>
  <c r="I1051" i="13"/>
  <c r="I1055" i="13"/>
  <c r="I1059" i="13"/>
  <c r="I1063" i="13"/>
  <c r="I1067" i="13"/>
  <c r="I1071" i="13"/>
  <c r="K1074" i="13"/>
  <c r="I1074" i="13" s="1"/>
  <c r="I1076" i="13"/>
  <c r="I1079" i="13"/>
  <c r="K1082" i="13"/>
  <c r="I1084" i="13"/>
  <c r="I1087" i="13"/>
  <c r="K1090" i="13"/>
  <c r="I1090" i="13" s="1"/>
  <c r="I1092" i="13"/>
  <c r="I1095" i="13"/>
  <c r="K1098" i="13"/>
  <c r="I1098" i="13" s="1"/>
  <c r="I1100" i="13"/>
  <c r="I1103" i="13"/>
  <c r="K1106" i="13"/>
  <c r="I1106" i="13" s="1"/>
  <c r="I1108" i="13"/>
  <c r="I1111" i="13"/>
  <c r="K1114" i="13"/>
  <c r="I1116" i="13"/>
  <c r="I1119" i="13"/>
  <c r="K1122" i="13"/>
  <c r="I1122" i="13" s="1"/>
  <c r="I1124" i="13"/>
  <c r="I1127" i="13"/>
  <c r="K1130" i="13"/>
  <c r="I1130" i="13" s="1"/>
  <c r="I1132" i="13"/>
  <c r="I1135" i="13"/>
  <c r="I1283" i="13"/>
  <c r="K1288" i="13"/>
  <c r="I1288" i="13"/>
  <c r="K1304" i="13"/>
  <c r="I1304" i="13"/>
  <c r="I1315" i="13"/>
  <c r="K1320" i="13"/>
  <c r="I1320" i="13"/>
  <c r="I1331" i="13"/>
  <c r="K1336" i="13"/>
  <c r="I1336" i="13" s="1"/>
  <c r="I1347" i="13"/>
  <c r="I1363" i="13"/>
  <c r="I830" i="13"/>
  <c r="I834" i="13"/>
  <c r="I838" i="13"/>
  <c r="I842" i="13"/>
  <c r="I846" i="13"/>
  <c r="I850" i="13"/>
  <c r="I854" i="13"/>
  <c r="I858" i="13"/>
  <c r="I862" i="13"/>
  <c r="I866" i="13"/>
  <c r="I870" i="13"/>
  <c r="I874" i="13"/>
  <c r="I878" i="13"/>
  <c r="I882" i="13"/>
  <c r="I886" i="13"/>
  <c r="I890" i="13"/>
  <c r="I894" i="13"/>
  <c r="I898" i="13"/>
  <c r="I902" i="13"/>
  <c r="I906" i="13"/>
  <c r="I910" i="13"/>
  <c r="I914" i="13"/>
  <c r="I918" i="13"/>
  <c r="I922" i="13"/>
  <c r="I926" i="13"/>
  <c r="I930" i="13"/>
  <c r="I934" i="13"/>
  <c r="I938" i="13"/>
  <c r="I942" i="13"/>
  <c r="I946" i="13"/>
  <c r="I950" i="13"/>
  <c r="I954" i="13"/>
  <c r="I958" i="13"/>
  <c r="I962" i="13"/>
  <c r="I966" i="13"/>
  <c r="I970" i="13"/>
  <c r="I974" i="13"/>
  <c r="I978" i="13"/>
  <c r="I982" i="13"/>
  <c r="I986" i="13"/>
  <c r="I990" i="13"/>
  <c r="I994" i="13"/>
  <c r="I998" i="13"/>
  <c r="I1002" i="13"/>
  <c r="I1006" i="13"/>
  <c r="I1010" i="13"/>
  <c r="I1014" i="13"/>
  <c r="I1018" i="13"/>
  <c r="I1022" i="13"/>
  <c r="I1026" i="13"/>
  <c r="I1030" i="13"/>
  <c r="I1034" i="13"/>
  <c r="I1038" i="13"/>
  <c r="I1042" i="13"/>
  <c r="I1046" i="13"/>
  <c r="I1050" i="13"/>
  <c r="I1054" i="13"/>
  <c r="I1058" i="13"/>
  <c r="I1062" i="13"/>
  <c r="I1066" i="13"/>
  <c r="I1070" i="13"/>
  <c r="I1078" i="13"/>
  <c r="I1086" i="13"/>
  <c r="I1094" i="13"/>
  <c r="I1102" i="13"/>
  <c r="I1110" i="13"/>
  <c r="I1118" i="13"/>
  <c r="I1126" i="13"/>
  <c r="I1134" i="13"/>
  <c r="I1142" i="13"/>
  <c r="I1150" i="13"/>
  <c r="I1158" i="13"/>
  <c r="I1166" i="13"/>
  <c r="K1284" i="13"/>
  <c r="I1284" i="13"/>
  <c r="I1286" i="13"/>
  <c r="K1300" i="13"/>
  <c r="I1300" i="13"/>
  <c r="I1302" i="13"/>
  <c r="K1316" i="13"/>
  <c r="I1316" i="13"/>
  <c r="I1318" i="13"/>
  <c r="K1332" i="13"/>
  <c r="I1332" i="13"/>
  <c r="I1334" i="13"/>
  <c r="K1175" i="13"/>
  <c r="I1175" i="13" s="1"/>
  <c r="K1179" i="13"/>
  <c r="I1179" i="13" s="1"/>
  <c r="K1183" i="13"/>
  <c r="I1183" i="13" s="1"/>
  <c r="K1187" i="13"/>
  <c r="I1187" i="13" s="1"/>
  <c r="K1191" i="13"/>
  <c r="I1191" i="13" s="1"/>
  <c r="K1195" i="13"/>
  <c r="I1195" i="13" s="1"/>
  <c r="K1199" i="13"/>
  <c r="I1199" i="13" s="1"/>
  <c r="K1203" i="13"/>
  <c r="I1203" i="13" s="1"/>
  <c r="K1207" i="13"/>
  <c r="I1207" i="13" s="1"/>
  <c r="K1211" i="13"/>
  <c r="I1211" i="13" s="1"/>
  <c r="K1215" i="13"/>
  <c r="I1215" i="13" s="1"/>
  <c r="K1219" i="13"/>
  <c r="I1219" i="13" s="1"/>
  <c r="K1223" i="13"/>
  <c r="I1223" i="13" s="1"/>
  <c r="K1227" i="13"/>
  <c r="I1227" i="13" s="1"/>
  <c r="K1231" i="13"/>
  <c r="I1231" i="13" s="1"/>
  <c r="K1235" i="13"/>
  <c r="I1235" i="13" s="1"/>
  <c r="K1239" i="13"/>
  <c r="I1239" i="13" s="1"/>
  <c r="K1243" i="13"/>
  <c r="I1243" i="13" s="1"/>
  <c r="K1247" i="13"/>
  <c r="I1247" i="13" s="1"/>
  <c r="K1251" i="13"/>
  <c r="I1251" i="13" s="1"/>
  <c r="K1255" i="13"/>
  <c r="I1255" i="13" s="1"/>
  <c r="K1259" i="13"/>
  <c r="I1259" i="13" s="1"/>
  <c r="K1263" i="13"/>
  <c r="I1263" i="13" s="1"/>
  <c r="K1267" i="13"/>
  <c r="I1267" i="13" s="1"/>
  <c r="K1271" i="13"/>
  <c r="I1271" i="13" s="1"/>
  <c r="K1275" i="13"/>
  <c r="I1275" i="13" s="1"/>
  <c r="K1280" i="13"/>
  <c r="I1280" i="13"/>
  <c r="K1296" i="13"/>
  <c r="I1296" i="13"/>
  <c r="I1307" i="13"/>
  <c r="K1312" i="13"/>
  <c r="I1312" i="13"/>
  <c r="K1328" i="13"/>
  <c r="I1328" i="13" s="1"/>
  <c r="K1279" i="13"/>
  <c r="I1279" i="13" s="1"/>
  <c r="K1283" i="13"/>
  <c r="K1287" i="13"/>
  <c r="I1287" i="13" s="1"/>
  <c r="K1291" i="13"/>
  <c r="I1291" i="13" s="1"/>
  <c r="K1295" i="13"/>
  <c r="I1295" i="13" s="1"/>
  <c r="K1299" i="13"/>
  <c r="I1299" i="13" s="1"/>
  <c r="K1303" i="13"/>
  <c r="I1303" i="13" s="1"/>
  <c r="K1307" i="13"/>
  <c r="K1311" i="13"/>
  <c r="I1311" i="13" s="1"/>
  <c r="K1315" i="13"/>
  <c r="K1319" i="13"/>
  <c r="I1319" i="13" s="1"/>
  <c r="K1323" i="13"/>
  <c r="I1323" i="13" s="1"/>
  <c r="K1327" i="13"/>
  <c r="I1327" i="13" s="1"/>
  <c r="K1331" i="13"/>
  <c r="K1335" i="13"/>
  <c r="I1335" i="13" s="1"/>
  <c r="K1339" i="13"/>
  <c r="I1339" i="13" s="1"/>
  <c r="K1343" i="13"/>
  <c r="I1343" i="13" s="1"/>
  <c r="K1347" i="13"/>
  <c r="K1351" i="13"/>
  <c r="I1351" i="13" s="1"/>
  <c r="K1355" i="13"/>
  <c r="I1355" i="13" s="1"/>
  <c r="K1359" i="13"/>
  <c r="I1359" i="13" s="1"/>
  <c r="K1363" i="13"/>
  <c r="I1383" i="13"/>
  <c r="I1391" i="13"/>
  <c r="I1399" i="13"/>
  <c r="I1407" i="13"/>
  <c r="I1415" i="13"/>
  <c r="I1423" i="13"/>
  <c r="I1431" i="13"/>
  <c r="I1439" i="13"/>
  <c r="I1447" i="13"/>
  <c r="I1455" i="13"/>
  <c r="I1463" i="13"/>
  <c r="I1471" i="13"/>
  <c r="I1479" i="13"/>
  <c r="I1487" i="13"/>
  <c r="I1495" i="13"/>
  <c r="I1503" i="13"/>
  <c r="I1511" i="13"/>
  <c r="I1519" i="13"/>
  <c r="I1527" i="13"/>
  <c r="I1535" i="13"/>
  <c r="I1543" i="13"/>
  <c r="I1551" i="13"/>
  <c r="I1559" i="13"/>
  <c r="I1567" i="13"/>
  <c r="I1575" i="13"/>
  <c r="I1583" i="13"/>
  <c r="I1591" i="13"/>
  <c r="I1599" i="13"/>
  <c r="I1607" i="13"/>
  <c r="I1615" i="13"/>
  <c r="I1623" i="13"/>
  <c r="I1631" i="13"/>
  <c r="I1639" i="13"/>
  <c r="I1647" i="13"/>
  <c r="I1655" i="13"/>
  <c r="I1663" i="13"/>
  <c r="I1675" i="13"/>
  <c r="I1677" i="13"/>
  <c r="I1691" i="13"/>
  <c r="I1693" i="13"/>
  <c r="I1707" i="13"/>
  <c r="I1709" i="13"/>
  <c r="I1723" i="13"/>
  <c r="I1725" i="13"/>
  <c r="I1739" i="13"/>
  <c r="I1741" i="13"/>
  <c r="I1755" i="13"/>
  <c r="I1757" i="13"/>
  <c r="I1771" i="13"/>
  <c r="I1773" i="13"/>
  <c r="I1787" i="13"/>
  <c r="I1789" i="13"/>
  <c r="I1803" i="13"/>
  <c r="I1805" i="13"/>
  <c r="I1819" i="13"/>
  <c r="I1821" i="13"/>
  <c r="I1835" i="13"/>
  <c r="K1841" i="13"/>
  <c r="I1841" i="13" s="1"/>
  <c r="K1846" i="13"/>
  <c r="I1846" i="13"/>
  <c r="I1851" i="13"/>
  <c r="I1857" i="13"/>
  <c r="K1857" i="13"/>
  <c r="K1862" i="13"/>
  <c r="I1862" i="13"/>
  <c r="I1867" i="13"/>
  <c r="K1873" i="13"/>
  <c r="I1873" i="13" s="1"/>
  <c r="K1878" i="13"/>
  <c r="I1878" i="13"/>
  <c r="I1883" i="13"/>
  <c r="K1889" i="13"/>
  <c r="I1889" i="13" s="1"/>
  <c r="K1894" i="13"/>
  <c r="I1894" i="13" s="1"/>
  <c r="K1899" i="13"/>
  <c r="I1899" i="13"/>
  <c r="I1913" i="13"/>
  <c r="K1913" i="13"/>
  <c r="I1919" i="13"/>
  <c r="K1926" i="13"/>
  <c r="I1926" i="13"/>
  <c r="K1931" i="13"/>
  <c r="I1931" i="13"/>
  <c r="K1945" i="13"/>
  <c r="I1945" i="13" s="1"/>
  <c r="I1951" i="13"/>
  <c r="K1958" i="13"/>
  <c r="I1958" i="13"/>
  <c r="K1963" i="13"/>
  <c r="I1963" i="13" s="1"/>
  <c r="K1977" i="13"/>
  <c r="I1977" i="13" s="1"/>
  <c r="I1983" i="13"/>
  <c r="K1990" i="13"/>
  <c r="I1990" i="13"/>
  <c r="I1679" i="13"/>
  <c r="I1711" i="13"/>
  <c r="I1743" i="13"/>
  <c r="I1775" i="13"/>
  <c r="I1807" i="13"/>
  <c r="K1837" i="13"/>
  <c r="I1837" i="13" s="1"/>
  <c r="K1842" i="13"/>
  <c r="I1842" i="13"/>
  <c r="I1853" i="13"/>
  <c r="K1853" i="13"/>
  <c r="K1858" i="13"/>
  <c r="I1858" i="13"/>
  <c r="K1869" i="13"/>
  <c r="I1869" i="13" s="1"/>
  <c r="K1874" i="13"/>
  <c r="I1874" i="13"/>
  <c r="K1885" i="13"/>
  <c r="I1885" i="13" s="1"/>
  <c r="K1890" i="13"/>
  <c r="I1890" i="13" s="1"/>
  <c r="K1902" i="13"/>
  <c r="I1902" i="13"/>
  <c r="K1907" i="13"/>
  <c r="I1907" i="13"/>
  <c r="K1921" i="13"/>
  <c r="I1921" i="13" s="1"/>
  <c r="K1934" i="13"/>
  <c r="I1934" i="13"/>
  <c r="K1939" i="13"/>
  <c r="I1939" i="13"/>
  <c r="K1953" i="13"/>
  <c r="I1953" i="13" s="1"/>
  <c r="K1966" i="13"/>
  <c r="I1966" i="13"/>
  <c r="K1971" i="13"/>
  <c r="I1971" i="13"/>
  <c r="K1985" i="13"/>
  <c r="I1985" i="13" s="1"/>
  <c r="I1340" i="13"/>
  <c r="I1344" i="13"/>
  <c r="I1348" i="13"/>
  <c r="I1352" i="13"/>
  <c r="I1356" i="13"/>
  <c r="I1360" i="13"/>
  <c r="I1364" i="13"/>
  <c r="I1368" i="13"/>
  <c r="I1372" i="13"/>
  <c r="I1376" i="13"/>
  <c r="I1379" i="13"/>
  <c r="I1387" i="13"/>
  <c r="I1395" i="13"/>
  <c r="I1403" i="13"/>
  <c r="I1411" i="13"/>
  <c r="I1419" i="13"/>
  <c r="I1427" i="13"/>
  <c r="I1435" i="13"/>
  <c r="I1443" i="13"/>
  <c r="I1451" i="13"/>
  <c r="I1459" i="13"/>
  <c r="I1467" i="13"/>
  <c r="I1475" i="13"/>
  <c r="I1483" i="13"/>
  <c r="I1491" i="13"/>
  <c r="I1499" i="13"/>
  <c r="I1507" i="13"/>
  <c r="I1515" i="13"/>
  <c r="I1523" i="13"/>
  <c r="I1531" i="13"/>
  <c r="I1539" i="13"/>
  <c r="I1547" i="13"/>
  <c r="I1555" i="13"/>
  <c r="I1563" i="13"/>
  <c r="I1571" i="13"/>
  <c r="I1579" i="13"/>
  <c r="I1587" i="13"/>
  <c r="I1595" i="13"/>
  <c r="I1603" i="13"/>
  <c r="I1611" i="13"/>
  <c r="I1619" i="13"/>
  <c r="I1627" i="13"/>
  <c r="I1635" i="13"/>
  <c r="I1643" i="13"/>
  <c r="I1651" i="13"/>
  <c r="I1659" i="13"/>
  <c r="I1667" i="13"/>
  <c r="I1669" i="13"/>
  <c r="K1679" i="13"/>
  <c r="K1681" i="13"/>
  <c r="I1681" i="13" s="1"/>
  <c r="I1683" i="13"/>
  <c r="I1685" i="13"/>
  <c r="K1695" i="13"/>
  <c r="I1695" i="13" s="1"/>
  <c r="K1697" i="13"/>
  <c r="I1697" i="13" s="1"/>
  <c r="I1699" i="13"/>
  <c r="I1701" i="13"/>
  <c r="K1711" i="13"/>
  <c r="K1713" i="13"/>
  <c r="I1713" i="13" s="1"/>
  <c r="I1715" i="13"/>
  <c r="I1717" i="13"/>
  <c r="K1727" i="13"/>
  <c r="I1727" i="13" s="1"/>
  <c r="K1729" i="13"/>
  <c r="I1729" i="13" s="1"/>
  <c r="I1731" i="13"/>
  <c r="I1733" i="13"/>
  <c r="K1743" i="13"/>
  <c r="K1745" i="13"/>
  <c r="I1745" i="13" s="1"/>
  <c r="I1747" i="13"/>
  <c r="I1749" i="13"/>
  <c r="K1759" i="13"/>
  <c r="I1759" i="13" s="1"/>
  <c r="K1761" i="13"/>
  <c r="I1761" i="13" s="1"/>
  <c r="I1763" i="13"/>
  <c r="I1765" i="13"/>
  <c r="K1775" i="13"/>
  <c r="K1777" i="13"/>
  <c r="I1777" i="13" s="1"/>
  <c r="I1779" i="13"/>
  <c r="I1781" i="13"/>
  <c r="K1791" i="13"/>
  <c r="I1791" i="13" s="1"/>
  <c r="K1793" i="13"/>
  <c r="I1793" i="13" s="1"/>
  <c r="I1795" i="13"/>
  <c r="I1797" i="13"/>
  <c r="K1807" i="13"/>
  <c r="K1809" i="13"/>
  <c r="I1809" i="13" s="1"/>
  <c r="I1811" i="13"/>
  <c r="I1813" i="13"/>
  <c r="K1823" i="13"/>
  <c r="I1823" i="13" s="1"/>
  <c r="K1825" i="13"/>
  <c r="I1825" i="13" s="1"/>
  <c r="I1827" i="13"/>
  <c r="I1829" i="13"/>
  <c r="K1838" i="13"/>
  <c r="I1838" i="13"/>
  <c r="I1843" i="13"/>
  <c r="K1847" i="13"/>
  <c r="I1847" i="13" s="1"/>
  <c r="K1849" i="13"/>
  <c r="I1849" i="13" s="1"/>
  <c r="K1854" i="13"/>
  <c r="I1854" i="13"/>
  <c r="I1859" i="13"/>
  <c r="K1863" i="13"/>
  <c r="I1863" i="13" s="1"/>
  <c r="K1865" i="13"/>
  <c r="I1865" i="13" s="1"/>
  <c r="K1870" i="13"/>
  <c r="I1870" i="13"/>
  <c r="I1875" i="13"/>
  <c r="K1879" i="13"/>
  <c r="I1879" i="13" s="1"/>
  <c r="K1881" i="13"/>
  <c r="I1881" i="13" s="1"/>
  <c r="K1886" i="13"/>
  <c r="I1886" i="13"/>
  <c r="I1891" i="13"/>
  <c r="K1895" i="13"/>
  <c r="I1895" i="13" s="1"/>
  <c r="K1897" i="13"/>
  <c r="I1897" i="13" s="1"/>
  <c r="I1903" i="13"/>
  <c r="K1910" i="13"/>
  <c r="I1910" i="13"/>
  <c r="K1915" i="13"/>
  <c r="I1915" i="13" s="1"/>
  <c r="K1929" i="13"/>
  <c r="I1929" i="13" s="1"/>
  <c r="I1935" i="13"/>
  <c r="K1942" i="13"/>
  <c r="I1942" i="13"/>
  <c r="K1947" i="13"/>
  <c r="I1947" i="13"/>
  <c r="K1961" i="13"/>
  <c r="I1961" i="13" s="1"/>
  <c r="I1967" i="13"/>
  <c r="K1974" i="13"/>
  <c r="I1974" i="13" s="1"/>
  <c r="K1979" i="13"/>
  <c r="I1979" i="13"/>
  <c r="I1993" i="13"/>
  <c r="K1993" i="13"/>
  <c r="I1671" i="13"/>
  <c r="I1673" i="13"/>
  <c r="I1687" i="13"/>
  <c r="I1689" i="13"/>
  <c r="I1703" i="13"/>
  <c r="I1705" i="13"/>
  <c r="I1719" i="13"/>
  <c r="I1721" i="13"/>
  <c r="I1735" i="13"/>
  <c r="I1737" i="13"/>
  <c r="I1751" i="13"/>
  <c r="I1753" i="13"/>
  <c r="I1767" i="13"/>
  <c r="I1769" i="13"/>
  <c r="I1783" i="13"/>
  <c r="I1785" i="13"/>
  <c r="I1799" i="13"/>
  <c r="I1801" i="13"/>
  <c r="I1815" i="13"/>
  <c r="I1817" i="13"/>
  <c r="I1831" i="13"/>
  <c r="I1833" i="13"/>
  <c r="I1839" i="13"/>
  <c r="K1845" i="13"/>
  <c r="I1845" i="13" s="1"/>
  <c r="K1850" i="13"/>
  <c r="I1850" i="13"/>
  <c r="I1855" i="13"/>
  <c r="K1861" i="13"/>
  <c r="I1861" i="13" s="1"/>
  <c r="K1866" i="13"/>
  <c r="I1866" i="13" s="1"/>
  <c r="I1871" i="13"/>
  <c r="K1877" i="13"/>
  <c r="I1877" i="13" s="1"/>
  <c r="K1882" i="13"/>
  <c r="I1882" i="13"/>
  <c r="I1887" i="13"/>
  <c r="I1893" i="13"/>
  <c r="K1893" i="13"/>
  <c r="K1905" i="13"/>
  <c r="I1905" i="13" s="1"/>
  <c r="K1918" i="13"/>
  <c r="I1918" i="13" s="1"/>
  <c r="K1923" i="13"/>
  <c r="I1923" i="13"/>
  <c r="I1937" i="13"/>
  <c r="K1937" i="13"/>
  <c r="K1950" i="13"/>
  <c r="I1950" i="13"/>
  <c r="K1955" i="13"/>
  <c r="I1955" i="13" s="1"/>
  <c r="K1969" i="13"/>
  <c r="I1969" i="13" s="1"/>
  <c r="K1982" i="13"/>
  <c r="I1982" i="13" s="1"/>
  <c r="K1987" i="13"/>
  <c r="I1987" i="13"/>
  <c r="I1995" i="13"/>
  <c r="I1998" i="13"/>
  <c r="I2002" i="13"/>
  <c r="I2006" i="13"/>
  <c r="I2010" i="13"/>
  <c r="I2014" i="13"/>
  <c r="I2018" i="13"/>
  <c r="I2022" i="13"/>
  <c r="I2026" i="13"/>
  <c r="I2030" i="13"/>
  <c r="I2034" i="13"/>
  <c r="I2038" i="13"/>
  <c r="I2042" i="13"/>
  <c r="I2046" i="13"/>
  <c r="I2050" i="13"/>
  <c r="I2054" i="13"/>
  <c r="I2058" i="13"/>
  <c r="I2062" i="13"/>
  <c r="I2066" i="13"/>
  <c r="I2070" i="13"/>
  <c r="I2074" i="13"/>
  <c r="I2078" i="13"/>
  <c r="I2082" i="13"/>
  <c r="I2086" i="13"/>
  <c r="I2090" i="13"/>
  <c r="I2094" i="13"/>
  <c r="I2098" i="13"/>
  <c r="I2102" i="13"/>
  <c r="I2106" i="13"/>
  <c r="I2110" i="13"/>
  <c r="I2114" i="13"/>
  <c r="I2118" i="13"/>
  <c r="I2122" i="13"/>
  <c r="I2126" i="13"/>
  <c r="I2130" i="13"/>
  <c r="I2134" i="13"/>
  <c r="I2138" i="13"/>
  <c r="I2142" i="13"/>
  <c r="I2146" i="13"/>
  <c r="I2150" i="13"/>
  <c r="I2154" i="13"/>
  <c r="I2158" i="13"/>
  <c r="K2169" i="13"/>
  <c r="I2169" i="13"/>
  <c r="K2185" i="13"/>
  <c r="I2185" i="13" s="1"/>
  <c r="K2201" i="13"/>
  <c r="I2201" i="13"/>
  <c r="K2217" i="13"/>
  <c r="I2217" i="13" s="1"/>
  <c r="K2233" i="13"/>
  <c r="I2233" i="13"/>
  <c r="K2249" i="13"/>
  <c r="I2249" i="13" s="1"/>
  <c r="K2265" i="13"/>
  <c r="I2265" i="13"/>
  <c r="K2281" i="13"/>
  <c r="I2281" i="13" s="1"/>
  <c r="K2165" i="13"/>
  <c r="I2165" i="13"/>
  <c r="K2181" i="13"/>
  <c r="I2181" i="13"/>
  <c r="K2197" i="13"/>
  <c r="I2197" i="13"/>
  <c r="K2213" i="13"/>
  <c r="I2213" i="13"/>
  <c r="K2229" i="13"/>
  <c r="I2229" i="13"/>
  <c r="K2245" i="13"/>
  <c r="I2245" i="13"/>
  <c r="K2261" i="13"/>
  <c r="I2261" i="13"/>
  <c r="K2277" i="13"/>
  <c r="I2277" i="13"/>
  <c r="I1898" i="13"/>
  <c r="K1901" i="13"/>
  <c r="I1901" i="13" s="1"/>
  <c r="I1906" i="13"/>
  <c r="K1909" i="13"/>
  <c r="I1909" i="13" s="1"/>
  <c r="I1914" i="13"/>
  <c r="K1917" i="13"/>
  <c r="I1917" i="13" s="1"/>
  <c r="I1922" i="13"/>
  <c r="K1925" i="13"/>
  <c r="I1925" i="13" s="1"/>
  <c r="I1930" i="13"/>
  <c r="K1933" i="13"/>
  <c r="I1933" i="13" s="1"/>
  <c r="I1938" i="13"/>
  <c r="K1941" i="13"/>
  <c r="I1941" i="13" s="1"/>
  <c r="I1946" i="13"/>
  <c r="K1949" i="13"/>
  <c r="I1949" i="13" s="1"/>
  <c r="I1954" i="13"/>
  <c r="K1957" i="13"/>
  <c r="I1957" i="13" s="1"/>
  <c r="I1962" i="13"/>
  <c r="K1965" i="13"/>
  <c r="I1965" i="13" s="1"/>
  <c r="I1970" i="13"/>
  <c r="K1973" i="13"/>
  <c r="I1973" i="13" s="1"/>
  <c r="I1978" i="13"/>
  <c r="K1981" i="13"/>
  <c r="I1981" i="13" s="1"/>
  <c r="I1986" i="13"/>
  <c r="K1989" i="13"/>
  <c r="I1989" i="13" s="1"/>
  <c r="I1994" i="13"/>
  <c r="K1997" i="13"/>
  <c r="I1997" i="13" s="1"/>
  <c r="K2001" i="13"/>
  <c r="I2001" i="13"/>
  <c r="K2005" i="13"/>
  <c r="I2005" i="13"/>
  <c r="K2009" i="13"/>
  <c r="I2009" i="13"/>
  <c r="K2013" i="13"/>
  <c r="I2013" i="13"/>
  <c r="K2017" i="13"/>
  <c r="I2017" i="13"/>
  <c r="K2021" i="13"/>
  <c r="I2021" i="13"/>
  <c r="K2025" i="13"/>
  <c r="I2025" i="13"/>
  <c r="K2029" i="13"/>
  <c r="I2029" i="13"/>
  <c r="K2033" i="13"/>
  <c r="I2033" i="13"/>
  <c r="K2037" i="13"/>
  <c r="I2037" i="13"/>
  <c r="K2041" i="13"/>
  <c r="I2041" i="13"/>
  <c r="K2045" i="13"/>
  <c r="I2045" i="13"/>
  <c r="K2049" i="13"/>
  <c r="I2049" i="13"/>
  <c r="K2053" i="13"/>
  <c r="I2053" i="13"/>
  <c r="K2057" i="13"/>
  <c r="I2057" i="13"/>
  <c r="K2061" i="13"/>
  <c r="I2061" i="13"/>
  <c r="K2065" i="13"/>
  <c r="I2065" i="13"/>
  <c r="K2069" i="13"/>
  <c r="I2069" i="13"/>
  <c r="K2073" i="13"/>
  <c r="I2073" i="13"/>
  <c r="K2077" i="13"/>
  <c r="I2077" i="13"/>
  <c r="K2081" i="13"/>
  <c r="I2081" i="13"/>
  <c r="K2085" i="13"/>
  <c r="I2085" i="13"/>
  <c r="K2089" i="13"/>
  <c r="I2089" i="13"/>
  <c r="K2093" i="13"/>
  <c r="I2093" i="13"/>
  <c r="K2097" i="13"/>
  <c r="I2097" i="13"/>
  <c r="K2101" i="13"/>
  <c r="I2101" i="13"/>
  <c r="K2105" i="13"/>
  <c r="I2105" i="13"/>
  <c r="K2109" i="13"/>
  <c r="I2109" i="13"/>
  <c r="K2113" i="13"/>
  <c r="I2113" i="13"/>
  <c r="K2117" i="13"/>
  <c r="I2117" i="13"/>
  <c r="K2121" i="13"/>
  <c r="I2121" i="13"/>
  <c r="K2125" i="13"/>
  <c r="I2125" i="13"/>
  <c r="K2129" i="13"/>
  <c r="I2129" i="13"/>
  <c r="K2133" i="13"/>
  <c r="I2133" i="13"/>
  <c r="K2137" i="13"/>
  <c r="I2137" i="13"/>
  <c r="K2141" i="13"/>
  <c r="I2141" i="13"/>
  <c r="K2145" i="13"/>
  <c r="I2145" i="13"/>
  <c r="K2149" i="13"/>
  <c r="I2149" i="13"/>
  <c r="K2153" i="13"/>
  <c r="I2153" i="13"/>
  <c r="K2157" i="13"/>
  <c r="I2157" i="13"/>
  <c r="K2161" i="13"/>
  <c r="I2161" i="13"/>
  <c r="K2177" i="13"/>
  <c r="I2177" i="13"/>
  <c r="K2193" i="13"/>
  <c r="I2193" i="13"/>
  <c r="K2209" i="13"/>
  <c r="I2209" i="13"/>
  <c r="K2225" i="13"/>
  <c r="I2225" i="13"/>
  <c r="K2241" i="13"/>
  <c r="I2241" i="13"/>
  <c r="K2257" i="13"/>
  <c r="I2257" i="13"/>
  <c r="K2273" i="13"/>
  <c r="I2273" i="13"/>
  <c r="K2173" i="13"/>
  <c r="I2173" i="13"/>
  <c r="K2189" i="13"/>
  <c r="I2189" i="13"/>
  <c r="K2205" i="13"/>
  <c r="I2205" i="13"/>
  <c r="K2221" i="13"/>
  <c r="I2221" i="13"/>
  <c r="K2237" i="13"/>
  <c r="I2237" i="13"/>
  <c r="K2253" i="13"/>
  <c r="I2253" i="13"/>
  <c r="K2269" i="13"/>
  <c r="I2269" i="13"/>
  <c r="K2285" i="13"/>
  <c r="I2285" i="13"/>
  <c r="K2487" i="13"/>
  <c r="I2487" i="13" s="1"/>
  <c r="I2489" i="13"/>
  <c r="I2503" i="13"/>
  <c r="K2503" i="13"/>
  <c r="I2505" i="13"/>
  <c r="K2519" i="13"/>
  <c r="I2519" i="13" s="1"/>
  <c r="I2521" i="13"/>
  <c r="K2535" i="13"/>
  <c r="I2535" i="13" s="1"/>
  <c r="I2537" i="13"/>
  <c r="K2551" i="13"/>
  <c r="I2551" i="13" s="1"/>
  <c r="I2553" i="13"/>
  <c r="I2634" i="13"/>
  <c r="I2289" i="13"/>
  <c r="I2293" i="13"/>
  <c r="I2297" i="13"/>
  <c r="I2301" i="13"/>
  <c r="I2305" i="13"/>
  <c r="I2309" i="13"/>
  <c r="I2313" i="13"/>
  <c r="I2319" i="13"/>
  <c r="I2321" i="13"/>
  <c r="I2323" i="13"/>
  <c r="I2325" i="13"/>
  <c r="I2327" i="13"/>
  <c r="I2329" i="13"/>
  <c r="I2331" i="13"/>
  <c r="I2333" i="13"/>
  <c r="I2335" i="13"/>
  <c r="I2337" i="13"/>
  <c r="I2339" i="13"/>
  <c r="I2341" i="13"/>
  <c r="I2343" i="13"/>
  <c r="I2345" i="13"/>
  <c r="I2347" i="13"/>
  <c r="I2349" i="13"/>
  <c r="I2351" i="13"/>
  <c r="I2353" i="13"/>
  <c r="I2355" i="13"/>
  <c r="I2357" i="13"/>
  <c r="I2359" i="13"/>
  <c r="I2361" i="13"/>
  <c r="I2363" i="13"/>
  <c r="I2365" i="13"/>
  <c r="I2367" i="13"/>
  <c r="I2369" i="13"/>
  <c r="I2371" i="13"/>
  <c r="I2373" i="13"/>
  <c r="I2375" i="13"/>
  <c r="I2377" i="13"/>
  <c r="I2379" i="13"/>
  <c r="I2381" i="13"/>
  <c r="I2383" i="13"/>
  <c r="I2385" i="13"/>
  <c r="I2387" i="13"/>
  <c r="I2389" i="13"/>
  <c r="I2391" i="13"/>
  <c r="I2393" i="13"/>
  <c r="I2395" i="13"/>
  <c r="I2397" i="13"/>
  <c r="I2399" i="13"/>
  <c r="I2401" i="13"/>
  <c r="I2403" i="13"/>
  <c r="I2405" i="13"/>
  <c r="I2407" i="13"/>
  <c r="I2409" i="13"/>
  <c r="I2411" i="13"/>
  <c r="I2413" i="13"/>
  <c r="I2415" i="13"/>
  <c r="I2417" i="13"/>
  <c r="I2419" i="13"/>
  <c r="I2421" i="13"/>
  <c r="I2423" i="13"/>
  <c r="I2425" i="13"/>
  <c r="I2427" i="13"/>
  <c r="I2429" i="13"/>
  <c r="I2431" i="13"/>
  <c r="I2433" i="13"/>
  <c r="I2435" i="13"/>
  <c r="I2437" i="13"/>
  <c r="I2439" i="13"/>
  <c r="I2441" i="13"/>
  <c r="I2443" i="13"/>
  <c r="I2445" i="13"/>
  <c r="I2447" i="13"/>
  <c r="I2449" i="13"/>
  <c r="I2451" i="13"/>
  <c r="I2453" i="13"/>
  <c r="I2455" i="13"/>
  <c r="I2457" i="13"/>
  <c r="I2459" i="13"/>
  <c r="I2461" i="13"/>
  <c r="I2463" i="13"/>
  <c r="I2465" i="13"/>
  <c r="I2467" i="13"/>
  <c r="I2469" i="13"/>
  <c r="I2471" i="13"/>
  <c r="I2473" i="13"/>
  <c r="I2475" i="13"/>
  <c r="I2477" i="13"/>
  <c r="I2479" i="13"/>
  <c r="I2481" i="13"/>
  <c r="I2483" i="13"/>
  <c r="I2485" i="13"/>
  <c r="I2499" i="13"/>
  <c r="K2499" i="13"/>
  <c r="I2501" i="13"/>
  <c r="K2515" i="13"/>
  <c r="I2515" i="13" s="1"/>
  <c r="I2517" i="13"/>
  <c r="K2531" i="13"/>
  <c r="I2531" i="13" s="1"/>
  <c r="I2533" i="13"/>
  <c r="K2547" i="13"/>
  <c r="I2547" i="13" s="1"/>
  <c r="I2549" i="13"/>
  <c r="K2495" i="13"/>
  <c r="I2495" i="13" s="1"/>
  <c r="I2497" i="13"/>
  <c r="I2511" i="13"/>
  <c r="K2511" i="13"/>
  <c r="I2513" i="13"/>
  <c r="K2527" i="13"/>
  <c r="I2527" i="13" s="1"/>
  <c r="I2529" i="13"/>
  <c r="K2543" i="13"/>
  <c r="I2543" i="13" s="1"/>
  <c r="I2545" i="13"/>
  <c r="I2650" i="13"/>
  <c r="K2318" i="13"/>
  <c r="I2318" i="13"/>
  <c r="K2322" i="13"/>
  <c r="I2322" i="13"/>
  <c r="K2326" i="13"/>
  <c r="I2326" i="13"/>
  <c r="K2330" i="13"/>
  <c r="I2330" i="13"/>
  <c r="K2334" i="13"/>
  <c r="I2334" i="13"/>
  <c r="K2338" i="13"/>
  <c r="I2338" i="13"/>
  <c r="K2342" i="13"/>
  <c r="I2342" i="13"/>
  <c r="K2346" i="13"/>
  <c r="I2346" i="13"/>
  <c r="K2350" i="13"/>
  <c r="I2350" i="13"/>
  <c r="K2354" i="13"/>
  <c r="I2354" i="13"/>
  <c r="K2358" i="13"/>
  <c r="I2358" i="13"/>
  <c r="K2362" i="13"/>
  <c r="I2362" i="13"/>
  <c r="K2366" i="13"/>
  <c r="I2366" i="13"/>
  <c r="K2370" i="13"/>
  <c r="I2370" i="13"/>
  <c r="K2374" i="13"/>
  <c r="I2374" i="13"/>
  <c r="K2378" i="13"/>
  <c r="I2378" i="13"/>
  <c r="K2382" i="13"/>
  <c r="I2382" i="13"/>
  <c r="K2386" i="13"/>
  <c r="I2386" i="13"/>
  <c r="K2390" i="13"/>
  <c r="I2390" i="13"/>
  <c r="K2394" i="13"/>
  <c r="I2394" i="13"/>
  <c r="K2398" i="13"/>
  <c r="I2398" i="13"/>
  <c r="K2402" i="13"/>
  <c r="I2402" i="13"/>
  <c r="K2406" i="13"/>
  <c r="I2406" i="13"/>
  <c r="K2410" i="13"/>
  <c r="I2410" i="13"/>
  <c r="K2414" i="13"/>
  <c r="I2414" i="13"/>
  <c r="K2418" i="13"/>
  <c r="I2418" i="13"/>
  <c r="K2422" i="13"/>
  <c r="I2422" i="13"/>
  <c r="K2426" i="13"/>
  <c r="I2426" i="13"/>
  <c r="K2430" i="13"/>
  <c r="I2430" i="13"/>
  <c r="K2434" i="13"/>
  <c r="I2434" i="13"/>
  <c r="K2438" i="13"/>
  <c r="I2438" i="13"/>
  <c r="K2442" i="13"/>
  <c r="I2442" i="13"/>
  <c r="K2446" i="13"/>
  <c r="I2446" i="13"/>
  <c r="K2450" i="13"/>
  <c r="I2450" i="13"/>
  <c r="K2454" i="13"/>
  <c r="I2454" i="13"/>
  <c r="K2458" i="13"/>
  <c r="I2458" i="13"/>
  <c r="K2462" i="13"/>
  <c r="I2462" i="13"/>
  <c r="K2466" i="13"/>
  <c r="I2466" i="13"/>
  <c r="K2470" i="13"/>
  <c r="I2470" i="13"/>
  <c r="K2474" i="13"/>
  <c r="I2474" i="13"/>
  <c r="K2478" i="13"/>
  <c r="I2478" i="13"/>
  <c r="K2482" i="13"/>
  <c r="I2482" i="13"/>
  <c r="K2491" i="13"/>
  <c r="I2491" i="13" s="1"/>
  <c r="K2507" i="13"/>
  <c r="I2507" i="13" s="1"/>
  <c r="K2523" i="13"/>
  <c r="I2523" i="13" s="1"/>
  <c r="K2539" i="13"/>
  <c r="I2539" i="13" s="1"/>
  <c r="I2626" i="13"/>
  <c r="I2486" i="13"/>
  <c r="I2490" i="13"/>
  <c r="I2494" i="13"/>
  <c r="I2498" i="13"/>
  <c r="I2502" i="13"/>
  <c r="I2506" i="13"/>
  <c r="I2510" i="13"/>
  <c r="I2514" i="13"/>
  <c r="I2518" i="13"/>
  <c r="I2522" i="13"/>
  <c r="I2526" i="13"/>
  <c r="I2530" i="13"/>
  <c r="I2534" i="13"/>
  <c r="I2538" i="13"/>
  <c r="I2542" i="13"/>
  <c r="I2546" i="13"/>
  <c r="I2550" i="13"/>
  <c r="I2554" i="13"/>
  <c r="K2555" i="13"/>
  <c r="I2555" i="13" s="1"/>
  <c r="I2558" i="13"/>
  <c r="K2559" i="13"/>
  <c r="I2559" i="13" s="1"/>
  <c r="I2562" i="13"/>
  <c r="K2563" i="13"/>
  <c r="I2563" i="13" s="1"/>
  <c r="I2566" i="13"/>
  <c r="K2567" i="13"/>
  <c r="I2567" i="13" s="1"/>
  <c r="I2570" i="13"/>
  <c r="K2571" i="13"/>
  <c r="I2571" i="13" s="1"/>
  <c r="I2574" i="13"/>
  <c r="K2575" i="13"/>
  <c r="I2575" i="13" s="1"/>
  <c r="I2578" i="13"/>
  <c r="K2579" i="13"/>
  <c r="I2579" i="13" s="1"/>
  <c r="I2582" i="13"/>
  <c r="K2583" i="13"/>
  <c r="I2583" i="13" s="1"/>
  <c r="I2586" i="13"/>
  <c r="K2587" i="13"/>
  <c r="I2587" i="13" s="1"/>
  <c r="I2590" i="13"/>
  <c r="K2591" i="13"/>
  <c r="I2591" i="13" s="1"/>
  <c r="I2594" i="13"/>
  <c r="K2595" i="13"/>
  <c r="I2595" i="13" s="1"/>
  <c r="I2598" i="13"/>
  <c r="K2599" i="13"/>
  <c r="I2599" i="13" s="1"/>
  <c r="I2602" i="13"/>
  <c r="K2603" i="13"/>
  <c r="I2603" i="13" s="1"/>
  <c r="I2606" i="13"/>
  <c r="K2607" i="13"/>
  <c r="I2607" i="13" s="1"/>
  <c r="I2610" i="13"/>
  <c r="K2611" i="13"/>
  <c r="I2611" i="13" s="1"/>
  <c r="I2614" i="13"/>
  <c r="K2615" i="13"/>
  <c r="I2615" i="13" s="1"/>
  <c r="I2618" i="13"/>
  <c r="K2619" i="13"/>
  <c r="I2619" i="13" s="1"/>
  <c r="I2622" i="13"/>
  <c r="K2623" i="13"/>
  <c r="I2623" i="13" s="1"/>
  <c r="K2626" i="13"/>
  <c r="I2628" i="13"/>
  <c r="K2634" i="13"/>
  <c r="K2642" i="13"/>
  <c r="I2642" i="13" s="1"/>
  <c r="I2644" i="13"/>
  <c r="K2650" i="13"/>
  <c r="K2658" i="13"/>
  <c r="I2658" i="13" s="1"/>
  <c r="I2660" i="13"/>
  <c r="K2665" i="13"/>
  <c r="I2665" i="13"/>
  <c r="K2669" i="13"/>
  <c r="I2669" i="13"/>
  <c r="K2678" i="13"/>
  <c r="I2678" i="13"/>
  <c r="K2694" i="13"/>
  <c r="I2694" i="13"/>
  <c r="I2625" i="13"/>
  <c r="K2628" i="13"/>
  <c r="I2633" i="13"/>
  <c r="K2636" i="13"/>
  <c r="I2636" i="13" s="1"/>
  <c r="I2641" i="13"/>
  <c r="K2644" i="13"/>
  <c r="I2649" i="13"/>
  <c r="K2652" i="13"/>
  <c r="I2652" i="13" s="1"/>
  <c r="I2657" i="13"/>
  <c r="K2660" i="13"/>
  <c r="K2674" i="13"/>
  <c r="I2674" i="13"/>
  <c r="I2676" i="13"/>
  <c r="K2690" i="13"/>
  <c r="I2690" i="13"/>
  <c r="I2692" i="13"/>
  <c r="I2656" i="13"/>
  <c r="K2686" i="13"/>
  <c r="I2686" i="13"/>
  <c r="I2629" i="13"/>
  <c r="K2632" i="13"/>
  <c r="I2632" i="13" s="1"/>
  <c r="I2637" i="13"/>
  <c r="K2640" i="13"/>
  <c r="I2640" i="13" s="1"/>
  <c r="I2645" i="13"/>
  <c r="K2648" i="13"/>
  <c r="I2648" i="13" s="1"/>
  <c r="I2653" i="13"/>
  <c r="K2656" i="13"/>
  <c r="I2661" i="13"/>
  <c r="K2682" i="13"/>
  <c r="I2682" i="13" s="1"/>
  <c r="I2698" i="13"/>
  <c r="I2702" i="13"/>
  <c r="I2706" i="13"/>
  <c r="I2710" i="13"/>
  <c r="I2714" i="13"/>
  <c r="I2718" i="13"/>
  <c r="I2732" i="13"/>
  <c r="I2740" i="13"/>
  <c r="I2748" i="13"/>
  <c r="I2756" i="13"/>
  <c r="I2764" i="13"/>
  <c r="I2766" i="13"/>
  <c r="I2780" i="13"/>
  <c r="I2782" i="13"/>
  <c r="I2796" i="13"/>
  <c r="I2798" i="13"/>
  <c r="K2811" i="13"/>
  <c r="I2811" i="13"/>
  <c r="I2816" i="13"/>
  <c r="K2823" i="13"/>
  <c r="I2823" i="13"/>
  <c r="K2828" i="13"/>
  <c r="I2828" i="13" s="1"/>
  <c r="K2842" i="13"/>
  <c r="I2842" i="13" s="1"/>
  <c r="I2848" i="13"/>
  <c r="K2855" i="13"/>
  <c r="I2855" i="13" s="1"/>
  <c r="K2860" i="13"/>
  <c r="I2860" i="13" s="1"/>
  <c r="I2673" i="13"/>
  <c r="I2677" i="13"/>
  <c r="I2784" i="13"/>
  <c r="I2812" i="13"/>
  <c r="K2818" i="13"/>
  <c r="I2818" i="13" s="1"/>
  <c r="K2831" i="13"/>
  <c r="I2831" i="13" s="1"/>
  <c r="K2836" i="13"/>
  <c r="I2836" i="13" s="1"/>
  <c r="I2850" i="13"/>
  <c r="K2850" i="13"/>
  <c r="I2716" i="13"/>
  <c r="I2720" i="13"/>
  <c r="I2724" i="13"/>
  <c r="I2728" i="13"/>
  <c r="I2736" i="13"/>
  <c r="I2744" i="13"/>
  <c r="I2752" i="13"/>
  <c r="I2760" i="13"/>
  <c r="K2768" i="13"/>
  <c r="I2768" i="13" s="1"/>
  <c r="K2770" i="13"/>
  <c r="I2770" i="13" s="1"/>
  <c r="I2772" i="13"/>
  <c r="I2774" i="13"/>
  <c r="K2784" i="13"/>
  <c r="K2786" i="13"/>
  <c r="I2786" i="13" s="1"/>
  <c r="I2788" i="13"/>
  <c r="I2790" i="13"/>
  <c r="K2800" i="13"/>
  <c r="I2800" i="13" s="1"/>
  <c r="K2802" i="13"/>
  <c r="I2802" i="13" s="1"/>
  <c r="I2804" i="13"/>
  <c r="I2806" i="13"/>
  <c r="K2812" i="13"/>
  <c r="K2814" i="13"/>
  <c r="I2814" i="13" s="1"/>
  <c r="K2826" i="13"/>
  <c r="I2826" i="13" s="1"/>
  <c r="I2832" i="13"/>
  <c r="K2839" i="13"/>
  <c r="I2839" i="13" s="1"/>
  <c r="K2844" i="13"/>
  <c r="I2844" i="13" s="1"/>
  <c r="I2858" i="13"/>
  <c r="K2858" i="13"/>
  <c r="I2876" i="13"/>
  <c r="I2776" i="13"/>
  <c r="I2778" i="13"/>
  <c r="I2792" i="13"/>
  <c r="I2794" i="13"/>
  <c r="I2808" i="13"/>
  <c r="K2810" i="13"/>
  <c r="I2810" i="13" s="1"/>
  <c r="K2815" i="13"/>
  <c r="I2815" i="13"/>
  <c r="K2820" i="13"/>
  <c r="I2820" i="13" s="1"/>
  <c r="K2834" i="13"/>
  <c r="I2834" i="13" s="1"/>
  <c r="K2847" i="13"/>
  <c r="I2847" i="13"/>
  <c r="K2852" i="13"/>
  <c r="I2852" i="13" s="1"/>
  <c r="I2830" i="13"/>
  <c r="I2846" i="13"/>
  <c r="I2862" i="13"/>
  <c r="K2868" i="13"/>
  <c r="I2868" i="13" s="1"/>
  <c r="I2870" i="13"/>
  <c r="K2876" i="13"/>
  <c r="I2878" i="13"/>
  <c r="K2884" i="13"/>
  <c r="I2884" i="13" s="1"/>
  <c r="I2886" i="13"/>
  <c r="K2940" i="13"/>
  <c r="I2940" i="13"/>
  <c r="I2942" i="13"/>
  <c r="K2956" i="13"/>
  <c r="I2956" i="13"/>
  <c r="I2958" i="13"/>
  <c r="K2972" i="13"/>
  <c r="I2972" i="13"/>
  <c r="I2974" i="13"/>
  <c r="K2988" i="13"/>
  <c r="I2988" i="13"/>
  <c r="I2990" i="13"/>
  <c r="K3004" i="13"/>
  <c r="I3004" i="13" s="1"/>
  <c r="I3006" i="13"/>
  <c r="K3020" i="13"/>
  <c r="I3020" i="13"/>
  <c r="I3022" i="13"/>
  <c r="I2819" i="13"/>
  <c r="K2822" i="13"/>
  <c r="I2822" i="13" s="1"/>
  <c r="I2827" i="13"/>
  <c r="K2830" i="13"/>
  <c r="I2835" i="13"/>
  <c r="K2838" i="13"/>
  <c r="I2838" i="13" s="1"/>
  <c r="I2843" i="13"/>
  <c r="K2846" i="13"/>
  <c r="I2851" i="13"/>
  <c r="K2854" i="13"/>
  <c r="I2854" i="13" s="1"/>
  <c r="I2859" i="13"/>
  <c r="K2862" i="13"/>
  <c r="I2867" i="13"/>
  <c r="K2870" i="13"/>
  <c r="I2875" i="13"/>
  <c r="K2878" i="13"/>
  <c r="K2895" i="13"/>
  <c r="I2895" i="13" s="1"/>
  <c r="I2899" i="13"/>
  <c r="K2899" i="13"/>
  <c r="K2903" i="13"/>
  <c r="I2903" i="13" s="1"/>
  <c r="I2907" i="13"/>
  <c r="K2907" i="13"/>
  <c r="K2911" i="13"/>
  <c r="I2911" i="13" s="1"/>
  <c r="I2915" i="13"/>
  <c r="K2915" i="13"/>
  <c r="K2919" i="13"/>
  <c r="I2919" i="13" s="1"/>
  <c r="I2923" i="13"/>
  <c r="K2923" i="13"/>
  <c r="K2927" i="13"/>
  <c r="I2927" i="13" s="1"/>
  <c r="I2931" i="13"/>
  <c r="K2936" i="13"/>
  <c r="I2936" i="13"/>
  <c r="I2947" i="13"/>
  <c r="K2952" i="13"/>
  <c r="I2952" i="13" s="1"/>
  <c r="I2963" i="13"/>
  <c r="K2968" i="13"/>
  <c r="I2968" i="13"/>
  <c r="K2984" i="13"/>
  <c r="I2984" i="13"/>
  <c r="K3000" i="13"/>
  <c r="I3000" i="13"/>
  <c r="K3016" i="13"/>
  <c r="I3016" i="13"/>
  <c r="K3032" i="13"/>
  <c r="I3032" i="13"/>
  <c r="I2882" i="13"/>
  <c r="I2890" i="13"/>
  <c r="K2932" i="13"/>
  <c r="I2932" i="13"/>
  <c r="I2934" i="13"/>
  <c r="K2948" i="13"/>
  <c r="I2948" i="13"/>
  <c r="I2950" i="13"/>
  <c r="K2964" i="13"/>
  <c r="I2964" i="13"/>
  <c r="I2966" i="13"/>
  <c r="K2980" i="13"/>
  <c r="I2980" i="13" s="1"/>
  <c r="I2982" i="13"/>
  <c r="K2996" i="13"/>
  <c r="I2996" i="13"/>
  <c r="I2998" i="13"/>
  <c r="K3012" i="13"/>
  <c r="I3012" i="13"/>
  <c r="I3014" i="13"/>
  <c r="K3028" i="13"/>
  <c r="I3028" i="13"/>
  <c r="I3030" i="13"/>
  <c r="I2863" i="13"/>
  <c r="K2866" i="13"/>
  <c r="I2866" i="13" s="1"/>
  <c r="I2871" i="13"/>
  <c r="K2874" i="13"/>
  <c r="I2874" i="13" s="1"/>
  <c r="I2879" i="13"/>
  <c r="K2882" i="13"/>
  <c r="I2887" i="13"/>
  <c r="K2890" i="13"/>
  <c r="I2892" i="13"/>
  <c r="I2896" i="13"/>
  <c r="I2900" i="13"/>
  <c r="I2904" i="13"/>
  <c r="I2908" i="13"/>
  <c r="I2912" i="13"/>
  <c r="K2944" i="13"/>
  <c r="I2944" i="13"/>
  <c r="K2960" i="13"/>
  <c r="I2960" i="13"/>
  <c r="I2971" i="13"/>
  <c r="K2976" i="13"/>
  <c r="I2976" i="13"/>
  <c r="K2992" i="13"/>
  <c r="I2992" i="13"/>
  <c r="K3008" i="13"/>
  <c r="I3008" i="13"/>
  <c r="K3024" i="13"/>
  <c r="I3024" i="13"/>
  <c r="K2931" i="13"/>
  <c r="K2935" i="13"/>
  <c r="I2935" i="13" s="1"/>
  <c r="K2939" i="13"/>
  <c r="I2939" i="13" s="1"/>
  <c r="K2943" i="13"/>
  <c r="I2943" i="13" s="1"/>
  <c r="K2947" i="13"/>
  <c r="K2951" i="13"/>
  <c r="I2951" i="13" s="1"/>
  <c r="K2955" i="13"/>
  <c r="I2955" i="13" s="1"/>
  <c r="K2959" i="13"/>
  <c r="I2959" i="13" s="1"/>
  <c r="K2963" i="13"/>
  <c r="K2967" i="13"/>
  <c r="I2967" i="13" s="1"/>
  <c r="K2971" i="13"/>
  <c r="I3077" i="13"/>
  <c r="I3085" i="13"/>
  <c r="I3093" i="13"/>
  <c r="I3101" i="13"/>
  <c r="I3113" i="13"/>
  <c r="I3115" i="13"/>
  <c r="K3129" i="13"/>
  <c r="I3129" i="13"/>
  <c r="I3134" i="13"/>
  <c r="K3140" i="13"/>
  <c r="I3140" i="13" s="1"/>
  <c r="K3145" i="13"/>
  <c r="I3145" i="13"/>
  <c r="I3150" i="13"/>
  <c r="K3156" i="13"/>
  <c r="I3156" i="13" s="1"/>
  <c r="K3161" i="13"/>
  <c r="I3161" i="13" s="1"/>
  <c r="I3166" i="13"/>
  <c r="K3172" i="13"/>
  <c r="I3172" i="13" s="1"/>
  <c r="K3177" i="13"/>
  <c r="I3177" i="13"/>
  <c r="I3182" i="13"/>
  <c r="I3188" i="13"/>
  <c r="K3188" i="13"/>
  <c r="K3193" i="13"/>
  <c r="I3193" i="13"/>
  <c r="I3198" i="13"/>
  <c r="K3204" i="13"/>
  <c r="I3204" i="13" s="1"/>
  <c r="K3209" i="13"/>
  <c r="I3209" i="13"/>
  <c r="I3214" i="13"/>
  <c r="K3220" i="13"/>
  <c r="I3220" i="13" s="1"/>
  <c r="K3225" i="13"/>
  <c r="I3225" i="13" s="1"/>
  <c r="I3230" i="13"/>
  <c r="K3236" i="13"/>
  <c r="I3236" i="13" s="1"/>
  <c r="K3241" i="13"/>
  <c r="I3241" i="13"/>
  <c r="K3246" i="13"/>
  <c r="I3246" i="13"/>
  <c r="I3130" i="13"/>
  <c r="I3136" i="13"/>
  <c r="K3136" i="13"/>
  <c r="K3141" i="13"/>
  <c r="I3141" i="13"/>
  <c r="K3152" i="13"/>
  <c r="I3152" i="13" s="1"/>
  <c r="K3157" i="13"/>
  <c r="I3157" i="13"/>
  <c r="K3168" i="13"/>
  <c r="I3168" i="13" s="1"/>
  <c r="K3173" i="13"/>
  <c r="I3173" i="13" s="1"/>
  <c r="K3184" i="13"/>
  <c r="I3184" i="13" s="1"/>
  <c r="K3189" i="13"/>
  <c r="I3189" i="13"/>
  <c r="I3194" i="13"/>
  <c r="I3200" i="13"/>
  <c r="K3200" i="13"/>
  <c r="K3205" i="13"/>
  <c r="I3205" i="13"/>
  <c r="K3216" i="13"/>
  <c r="I3216" i="13" s="1"/>
  <c r="K3221" i="13"/>
  <c r="I3221" i="13"/>
  <c r="K3232" i="13"/>
  <c r="I3232" i="13" s="1"/>
  <c r="K3237" i="13"/>
  <c r="I3237" i="13" s="1"/>
  <c r="K3249" i="13"/>
  <c r="I3249" i="13"/>
  <c r="K3254" i="13"/>
  <c r="I3254" i="13" s="1"/>
  <c r="I3036" i="13"/>
  <c r="I3040" i="13"/>
  <c r="I3044" i="13"/>
  <c r="I3048" i="13"/>
  <c r="I3052" i="13"/>
  <c r="I3056" i="13"/>
  <c r="I3060" i="13"/>
  <c r="I3064" i="13"/>
  <c r="I3068" i="13"/>
  <c r="I3072" i="13"/>
  <c r="I3076" i="13"/>
  <c r="I3081" i="13"/>
  <c r="I3089" i="13"/>
  <c r="I3097" i="13"/>
  <c r="I3105" i="13"/>
  <c r="I3107" i="13"/>
  <c r="K3117" i="13"/>
  <c r="I3117" i="13" s="1"/>
  <c r="K3119" i="13"/>
  <c r="I3119" i="13" s="1"/>
  <c r="I3121" i="13"/>
  <c r="I3123" i="13"/>
  <c r="K3130" i="13"/>
  <c r="K3132" i="13"/>
  <c r="I3132" i="13" s="1"/>
  <c r="K3137" i="13"/>
  <c r="I3137" i="13"/>
  <c r="I3142" i="13"/>
  <c r="K3146" i="13"/>
  <c r="I3146" i="13" s="1"/>
  <c r="K3148" i="13"/>
  <c r="I3148" i="13" s="1"/>
  <c r="K3153" i="13"/>
  <c r="I3153" i="13"/>
  <c r="I3158" i="13"/>
  <c r="K3162" i="13"/>
  <c r="I3162" i="13" s="1"/>
  <c r="K3164" i="13"/>
  <c r="I3164" i="13" s="1"/>
  <c r="K3169" i="13"/>
  <c r="I3169" i="13"/>
  <c r="I3174" i="13"/>
  <c r="K3178" i="13"/>
  <c r="I3178" i="13" s="1"/>
  <c r="K3180" i="13"/>
  <c r="I3180" i="13" s="1"/>
  <c r="K3185" i="13"/>
  <c r="I3185" i="13"/>
  <c r="I3190" i="13"/>
  <c r="K3194" i="13"/>
  <c r="K3196" i="13"/>
  <c r="I3196" i="13" s="1"/>
  <c r="K3201" i="13"/>
  <c r="I3201" i="13"/>
  <c r="I3206" i="13"/>
  <c r="K3210" i="13"/>
  <c r="I3210" i="13" s="1"/>
  <c r="K3212" i="13"/>
  <c r="I3212" i="13" s="1"/>
  <c r="K3217" i="13"/>
  <c r="I3217" i="13"/>
  <c r="I3222" i="13"/>
  <c r="K3226" i="13"/>
  <c r="I3226" i="13" s="1"/>
  <c r="K3228" i="13"/>
  <c r="I3228" i="13" s="1"/>
  <c r="K3233" i="13"/>
  <c r="I3233" i="13"/>
  <c r="I3238" i="13"/>
  <c r="I3244" i="13"/>
  <c r="K3244" i="13"/>
  <c r="I3250" i="13"/>
  <c r="K3257" i="13"/>
  <c r="I3257" i="13"/>
  <c r="I3109" i="13"/>
  <c r="I3111" i="13"/>
  <c r="I3125" i="13"/>
  <c r="I3127" i="13"/>
  <c r="K3133" i="13"/>
  <c r="I3133" i="13"/>
  <c r="I3138" i="13"/>
  <c r="I3144" i="13"/>
  <c r="K3144" i="13"/>
  <c r="K3149" i="13"/>
  <c r="I3149" i="13"/>
  <c r="I3154" i="13"/>
  <c r="K3160" i="13"/>
  <c r="I3160" i="13" s="1"/>
  <c r="K3165" i="13"/>
  <c r="I3165" i="13"/>
  <c r="I3170" i="13"/>
  <c r="K3176" i="13"/>
  <c r="I3176" i="13" s="1"/>
  <c r="K3181" i="13"/>
  <c r="I3181" i="13" s="1"/>
  <c r="I3186" i="13"/>
  <c r="K3192" i="13"/>
  <c r="I3192" i="13" s="1"/>
  <c r="K3197" i="13"/>
  <c r="I3197" i="13"/>
  <c r="I3202" i="13"/>
  <c r="I3208" i="13"/>
  <c r="K3208" i="13"/>
  <c r="K3213" i="13"/>
  <c r="I3213" i="13"/>
  <c r="I3218" i="13"/>
  <c r="K3224" i="13"/>
  <c r="I3224" i="13" s="1"/>
  <c r="K3229" i="13"/>
  <c r="I3229" i="13"/>
  <c r="I3234" i="13"/>
  <c r="K3240" i="13"/>
  <c r="I3240" i="13" s="1"/>
  <c r="I3252" i="13"/>
  <c r="K3252" i="13"/>
  <c r="I3261" i="13"/>
  <c r="I3265" i="13"/>
  <c r="I3269" i="13"/>
  <c r="I3273" i="13"/>
  <c r="I3277" i="13"/>
  <c r="I3281" i="13"/>
  <c r="I3285" i="13"/>
  <c r="I3289" i="13"/>
  <c r="I3291" i="13"/>
  <c r="I3293" i="13"/>
  <c r="I3248" i="13"/>
  <c r="I3245" i="13"/>
  <c r="K3248" i="13"/>
  <c r="I3253" i="13"/>
  <c r="K3256" i="13"/>
  <c r="I3256" i="13" s="1"/>
  <c r="K3260" i="13"/>
  <c r="I3260" i="13" s="1"/>
  <c r="I3264" i="13"/>
  <c r="K3264" i="13"/>
  <c r="K3268" i="13"/>
  <c r="I3268" i="13" s="1"/>
  <c r="I3272" i="13"/>
  <c r="K3272" i="13"/>
  <c r="K3276" i="13"/>
  <c r="I3276" i="13" s="1"/>
  <c r="I3280" i="13"/>
  <c r="K3280" i="13"/>
  <c r="K3284" i="13"/>
  <c r="I3284" i="13" s="1"/>
  <c r="I3288" i="13"/>
  <c r="K3288" i="13"/>
  <c r="K3292" i="13"/>
  <c r="I3292" i="13" s="1"/>
  <c r="I3296" i="13"/>
  <c r="K3296" i="13"/>
  <c r="I329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FONSECA</author>
  </authors>
  <commentList>
    <comment ref="A1" authorId="0" shapeId="0" xr:uid="{7AEBBDF3-231D-46BC-BD86-B923A64D1442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Si se requiere crear una nueva fila, se debe copiar una fila completa y luego pegar insertando fila (click derecho, "insertar celdas copiadas"), así copia con las fórmulas que corresponden. Luego se modifican los códigos y descripciones como se requiera. </t>
        </r>
      </text>
    </comment>
    <comment ref="I1" authorId="0" shapeId="0" xr:uid="{42B1871D-B87C-4653-8FF1-BD3921A31249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Si se requiere modificar UT, se debe ingresar códigos de 3 caracteres en columnas de A @ G.</t>
        </r>
      </text>
    </comment>
    <comment ref="L2" authorId="0" shapeId="0" xr:uid="{A0C5C363-B566-495B-BD19-BD3BAD525299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SAP: "Campo Claisifcación"</t>
        </r>
      </text>
    </comment>
    <comment ref="L2632" authorId="0" shapeId="0" xr:uid="{F5C89572-CF8E-4667-8459-AAB543A7DAA8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L2633" authorId="0" shapeId="0" xr:uid="{ACE41514-0149-4CBB-A10C-9CCB622AB6B4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L2634" authorId="0" shapeId="0" xr:uid="{4DA647FB-B076-41F5-AF74-1DCE177F9DC7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L2882" authorId="0" shapeId="0" xr:uid="{314E15DC-75AC-4E93-8230-423A7ED864E5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GPRO-INF-60907_3
(VER TAG).</t>
        </r>
      </text>
    </comment>
  </commentList>
</comments>
</file>

<file path=xl/sharedStrings.xml><?xml version="1.0" encoding="utf-8"?>
<sst xmlns="http://schemas.openxmlformats.org/spreadsheetml/2006/main" count="55127" uniqueCount="8187">
  <si>
    <t>P</t>
  </si>
  <si>
    <t>07110-SLZ-001-01</t>
  </si>
  <si>
    <t xml:space="preserve">07110-SLZ-001-02 </t>
  </si>
  <si>
    <t>CHUTE SISTEMA DE LANZAS</t>
  </si>
  <si>
    <t>07120-APC-001</t>
  </si>
  <si>
    <t>ALIMENTADOR DE PLACAS TOLVA ESCORIA N°1</t>
  </si>
  <si>
    <t>07120-APC-001-02</t>
  </si>
  <si>
    <t>CHUTE ALIMENTACION ALIMENTADOR DE PLACAS</t>
  </si>
  <si>
    <t>SISTEMA MECANICO</t>
  </si>
  <si>
    <t>UNIDAD HIDRAULICA</t>
  </si>
  <si>
    <t>07120-APC-001-03</t>
  </si>
  <si>
    <t>UNIDAD DE LUBRICACION</t>
  </si>
  <si>
    <t>07120-CHM-001</t>
  </si>
  <si>
    <t>SISTEMA DE LUBRICACION</t>
  </si>
  <si>
    <t>07120-CHM-001-02</t>
  </si>
  <si>
    <t>07120-CHM-001-02M</t>
  </si>
  <si>
    <t>SISTEMA MOTRIZ</t>
  </si>
  <si>
    <t>07120-CHM-001M</t>
  </si>
  <si>
    <t>07120-CHM-001-01</t>
  </si>
  <si>
    <t>07120-CHU-001</t>
  </si>
  <si>
    <t>CHUTE ALIMENTACION CHANCADOR</t>
  </si>
  <si>
    <t>07120-CHU-002</t>
  </si>
  <si>
    <t>CHUTE RECOLECTOR DE FINOS</t>
  </si>
  <si>
    <t>07120-CHU-003</t>
  </si>
  <si>
    <t>CHUTE DE DESCARGA CHANCADOR</t>
  </si>
  <si>
    <t>07120-CTR-001</t>
  </si>
  <si>
    <t>SISTEMA ESTRUCTURAL</t>
  </si>
  <si>
    <t>07120-CTR-001-05</t>
  </si>
  <si>
    <t>CHUTE DE DESCARGA A ACOPIO</t>
  </si>
  <si>
    <t>SISTEMA TRANSPORTE</t>
  </si>
  <si>
    <t>SISTEMA DE INSTRUMENTACION Y CONTROL</t>
  </si>
  <si>
    <t>SISTEMA TENSOR</t>
  </si>
  <si>
    <t>07120-CTR-001M</t>
  </si>
  <si>
    <t>SISTEMA PESAJE</t>
  </si>
  <si>
    <t>07120-PES-001</t>
  </si>
  <si>
    <t>07120-CTR-001-01</t>
  </si>
  <si>
    <t>TECLE APOYO MANTENCION CORREA A ACOPIO</t>
  </si>
  <si>
    <t>SISTEMA IZAJE</t>
  </si>
  <si>
    <t>07120-CTR-001-01M</t>
  </si>
  <si>
    <t>07120-CTR-001-02</t>
  </si>
  <si>
    <t>TECLE POLEA CABEZA CORREA A ACOPIO</t>
  </si>
  <si>
    <t>07120-CTR-001-02M</t>
  </si>
  <si>
    <t>07120-CTR-001-03</t>
  </si>
  <si>
    <t>TECLE CONTRAPESO CORREA A ACOPIO</t>
  </si>
  <si>
    <t>07120-CTR-001-03M</t>
  </si>
  <si>
    <t>SISTEMA HUINCHE TRANSPORT POLEA CABEZA</t>
  </si>
  <si>
    <t>07120-CTR-001-04</t>
  </si>
  <si>
    <t>07120-CTR-001-04M</t>
  </si>
  <si>
    <t>07110-SDP-001</t>
  </si>
  <si>
    <t>SUPRESOR DE POLVO DESCARGA CAMIONES N°1</t>
  </si>
  <si>
    <t xml:space="preserve">SISTEMA HIDRONEUMATICO </t>
  </si>
  <si>
    <t>07120-SDP-001</t>
  </si>
  <si>
    <t>SUPRESOR DE POLVO ALIMENTADOR PLACAS N°1</t>
  </si>
  <si>
    <t>07120-SDP-002</t>
  </si>
  <si>
    <t>SUPRESOR DE POLVO DESCARGA CHANCADOR N°1</t>
  </si>
  <si>
    <t>07180-SDP-001</t>
  </si>
  <si>
    <t>SUPRESOR POLVO DSCGA CORREA A ACOPIO N°1</t>
  </si>
  <si>
    <t>07120-SPL-001</t>
  </si>
  <si>
    <t>07120-TCL-001</t>
  </si>
  <si>
    <t>TECLE MANTENCION ALIMENTADOR DE PLACAS</t>
  </si>
  <si>
    <t>07120-TCL-001M</t>
  </si>
  <si>
    <t>07120-TCL-002</t>
  </si>
  <si>
    <t>TECLE MANTENCION CHANCADOR</t>
  </si>
  <si>
    <t>07120-TCL-002M</t>
  </si>
  <si>
    <t>07120-TCL-003</t>
  </si>
  <si>
    <t>TECLE POLEA COLA CORREA A ACOPIO</t>
  </si>
  <si>
    <t>07120-TCL-003M</t>
  </si>
  <si>
    <t>07120-TCL-004</t>
  </si>
  <si>
    <t>TECLE COLA ALIMENTADOR DE PLACAS</t>
  </si>
  <si>
    <t>07120-TCL-004M</t>
  </si>
  <si>
    <t>STOCK PILE ACOPIO ESCORIA</t>
  </si>
  <si>
    <t>07180-STP-001</t>
  </si>
  <si>
    <t>DOMO STOCK PILE ACOPIO ESCORIA</t>
  </si>
  <si>
    <t>07180-PRT-001</t>
  </si>
  <si>
    <t>07190-TBT-001</t>
  </si>
  <si>
    <t>07190-TRA-001</t>
  </si>
  <si>
    <t>07190-TRA-002</t>
  </si>
  <si>
    <t>07190-CCM-001</t>
  </si>
  <si>
    <t>07210-APC-001</t>
  </si>
  <si>
    <t>ALIMENTADOR DE PLACAS ACOPIO ESCORIA N°1</t>
  </si>
  <si>
    <t>07210-APC-001-02</t>
  </si>
  <si>
    <t>CHUTE ALIMENT ALIMENTADOR DE PLACAS N°1</t>
  </si>
  <si>
    <t>07210-SLZ-001</t>
  </si>
  <si>
    <t>07210-SLZ-001-02</t>
  </si>
  <si>
    <t>07210-APC-001-01</t>
  </si>
  <si>
    <t>07210-APC-001-03</t>
  </si>
  <si>
    <t>07210-APC-002</t>
  </si>
  <si>
    <t>ALIMENTADOR DE PLACAS ACOPIO ESCORIA N°2</t>
  </si>
  <si>
    <t>07210-APC-002-02</t>
  </si>
  <si>
    <t>CHUTE ALIMENT ALIMENTADOR DE PLACAS N°2</t>
  </si>
  <si>
    <t>07210-APC-002-01</t>
  </si>
  <si>
    <t>07210-APC-002-03</t>
  </si>
  <si>
    <t>07210-APC-002-03M</t>
  </si>
  <si>
    <t>07210-CHU-003</t>
  </si>
  <si>
    <t>CHUTE DESCGA ALIMENTADOR N°1 A CORREA</t>
  </si>
  <si>
    <t>07210-CHU-004</t>
  </si>
  <si>
    <t>CHUTE DESCGA ALIMENTADOR N°2 A CORREA</t>
  </si>
  <si>
    <t>07210-CHU-005</t>
  </si>
  <si>
    <t>CHUTE RECOLECTOR DE FINOS ALIMENTADR N°1</t>
  </si>
  <si>
    <t>07210-CHU-006</t>
  </si>
  <si>
    <t>CHUTE RECOLECTOR DE FINOS ALIMENTADR N°2</t>
  </si>
  <si>
    <t>07210-CHU-007</t>
  </si>
  <si>
    <t>CHUTE MOVIL CALIBRACION DESCARGA ESCORIA</t>
  </si>
  <si>
    <t>07210-CHU-008</t>
  </si>
  <si>
    <t>CHUTE FIJO CALIBRACION DESCARGA ESCORIA</t>
  </si>
  <si>
    <t>07210-CHU-009</t>
  </si>
  <si>
    <t>CHUTE INTERMEDIO ALIMENTACION MOLINO SAG</t>
  </si>
  <si>
    <t>07210-CHU-010</t>
  </si>
  <si>
    <t>CHUTE DESCARGA PEBBLES MOLINO SAG</t>
  </si>
  <si>
    <t>07210-SDP-001</t>
  </si>
  <si>
    <t>SUPRESOR DE POLVO DSCGA ALIMENTADORS N°1</t>
  </si>
  <si>
    <t>07210-CTR-001</t>
  </si>
  <si>
    <t>CORREA ALIMENTACION MOLINO SAG N°1</t>
  </si>
  <si>
    <t>07210-CTR-001-01</t>
  </si>
  <si>
    <t>CHUTE DE DESCARGA CORREA A MOLINO SAG</t>
  </si>
  <si>
    <t>07210-CTR-001M</t>
  </si>
  <si>
    <t>07210-PES-001</t>
  </si>
  <si>
    <t>07210-MSG-001</t>
  </si>
  <si>
    <t>MOLINO SAG N°1</t>
  </si>
  <si>
    <t>07210-MSG-001M</t>
  </si>
  <si>
    <t>SISTEMA FRENOS</t>
  </si>
  <si>
    <t>SISTEMA ENGRASE</t>
  </si>
  <si>
    <t>SISTEMA ENFRIAMIENTO</t>
  </si>
  <si>
    <t>SISTEMA ELECTRICO</t>
  </si>
  <si>
    <t>07210-CTR-002</t>
  </si>
  <si>
    <t>CORREA DESCARGA TROMMEL N°1</t>
  </si>
  <si>
    <t>07210-CTR-002-01</t>
  </si>
  <si>
    <t>CHUTE DE DESCARGA A CORREA VERT PEBBLES</t>
  </si>
  <si>
    <t>07210-CTR-002M</t>
  </si>
  <si>
    <t>07210-CTR-003</t>
  </si>
  <si>
    <t>CORREA DE ALTA PENDIENTE PEBBLES N°1</t>
  </si>
  <si>
    <t>07210-CTR-003-01</t>
  </si>
  <si>
    <t>CHUTE DESCARGA A CORREA RETORNO PEBBLES</t>
  </si>
  <si>
    <t>07210-CTR-004</t>
  </si>
  <si>
    <t>CORREA RETORNO DE PEBBLES N°1</t>
  </si>
  <si>
    <t>07210-CTR-004-01</t>
  </si>
  <si>
    <t>CHUTE DESCARGA CTR-004 A MOLINO SAG</t>
  </si>
  <si>
    <t>07210-CTR-004M</t>
  </si>
  <si>
    <t>07290-TBT-001</t>
  </si>
  <si>
    <t>07290-TRA-001</t>
  </si>
  <si>
    <t>07290-CCM-001</t>
  </si>
  <si>
    <t>07290-CCM-002</t>
  </si>
  <si>
    <t xml:space="preserve"> </t>
  </si>
  <si>
    <t>07240-BOC-001</t>
  </si>
  <si>
    <t>BOMBA ALIMENTACION HIDROCICLONES N°1</t>
  </si>
  <si>
    <t>07240-BOC-002</t>
  </si>
  <si>
    <t>BOMBA ALIMENTACION HIDROCICLONES N°2</t>
  </si>
  <si>
    <t>07250-BHI-001</t>
  </si>
  <si>
    <t>BATERIA DE 10 HIDROCICLONES N°1</t>
  </si>
  <si>
    <t>07220-MBO-001</t>
  </si>
  <si>
    <t>MOLINO DE BOLAS N°1</t>
  </si>
  <si>
    <t>SISTEMA DESGASTE</t>
  </si>
  <si>
    <t>PLANTA TRATAMIENTO DE ESCORIA</t>
  </si>
  <si>
    <t>SISTEMA COMPONENTES</t>
  </si>
  <si>
    <t>Nivel</t>
  </si>
  <si>
    <t>07310-CAJ-001</t>
  </si>
  <si>
    <t>07310-CAJ-001-01</t>
  </si>
  <si>
    <t>07310-CAJ-001-02</t>
  </si>
  <si>
    <t>07310-UHD-001</t>
  </si>
  <si>
    <t>07310-UHD-001M</t>
  </si>
  <si>
    <t>07310-BBA-001</t>
  </si>
  <si>
    <t>07310-BBA-001M</t>
  </si>
  <si>
    <t>07310-TCL-001</t>
  </si>
  <si>
    <t>07310-CMU-001</t>
  </si>
  <si>
    <t>07310-CMU-001M</t>
  </si>
  <si>
    <t>07310-CMU-001-01</t>
  </si>
  <si>
    <t>07310-CMU-001-01M</t>
  </si>
  <si>
    <t>07310-CMU-001-02</t>
  </si>
  <si>
    <t>07310-CMU-001-02M</t>
  </si>
  <si>
    <t>DUCHA LAVAOJOS</t>
  </si>
  <si>
    <t>07310-DLO-001</t>
  </si>
  <si>
    <t>07310-CFL-001</t>
  </si>
  <si>
    <t>07310-CFL-001M</t>
  </si>
  <si>
    <t>07310-CFL-002</t>
  </si>
  <si>
    <t>07310-CFL-002M</t>
  </si>
  <si>
    <t>07310-CFL-003</t>
  </si>
  <si>
    <t>07310-CFL-003M</t>
  </si>
  <si>
    <t>07310-CFL-004</t>
  </si>
  <si>
    <t>07310-CFL-004M</t>
  </si>
  <si>
    <t>07310-CFL-005</t>
  </si>
  <si>
    <t>07310-CFL-005M</t>
  </si>
  <si>
    <t>07310-CFL-006</t>
  </si>
  <si>
    <t>07310-CFL-006M</t>
  </si>
  <si>
    <t>07310-CFL-007</t>
  </si>
  <si>
    <t>07310-CFL-007M</t>
  </si>
  <si>
    <t>07310-CFL-008</t>
  </si>
  <si>
    <t>07310-CFL-008M</t>
  </si>
  <si>
    <t>07310-CFL-009</t>
  </si>
  <si>
    <t>07310-CFL-009M</t>
  </si>
  <si>
    <t>07310-CFL-010</t>
  </si>
  <si>
    <t>07310-CFL-010M</t>
  </si>
  <si>
    <t>07330-CFL-001</t>
  </si>
  <si>
    <t>07330-CFL-001M</t>
  </si>
  <si>
    <t>07330-CFL-002</t>
  </si>
  <si>
    <t>07330-CFL-002M</t>
  </si>
  <si>
    <t>07330-CFL-003</t>
  </si>
  <si>
    <t>07330-CFL-003M</t>
  </si>
  <si>
    <t>07330-CFL-004</t>
  </si>
  <si>
    <t>07330-CFL-004M</t>
  </si>
  <si>
    <t>07330-CFL-005</t>
  </si>
  <si>
    <t>07330-CFL-005M</t>
  </si>
  <si>
    <t>07330-CFL-006</t>
  </si>
  <si>
    <t>07330-CFL-006M</t>
  </si>
  <si>
    <t>07330-CFL-007</t>
  </si>
  <si>
    <t>07330-CFL-007M</t>
  </si>
  <si>
    <t>07330-CFL-008</t>
  </si>
  <si>
    <t>07330-CFL-008M</t>
  </si>
  <si>
    <t>07330-CFL-009</t>
  </si>
  <si>
    <t>07330-CFL-009M</t>
  </si>
  <si>
    <t>07330-CFL-010</t>
  </si>
  <si>
    <t>07330-CFL-010M</t>
  </si>
  <si>
    <t>07330-CFL-011</t>
  </si>
  <si>
    <t>07330-CFL-011M</t>
  </si>
  <si>
    <t>07330-CFL-012</t>
  </si>
  <si>
    <t>07330-CFL-012M</t>
  </si>
  <si>
    <t>07330-CFL-013</t>
  </si>
  <si>
    <t>07330-CFL-013M</t>
  </si>
  <si>
    <t>07330-CFL-014</t>
  </si>
  <si>
    <t>07330-CFL-014M</t>
  </si>
  <si>
    <t>07330-CFL-015</t>
  </si>
  <si>
    <t>07330-CFL-015M</t>
  </si>
  <si>
    <t>07330-CFL-016</t>
  </si>
  <si>
    <t>07330-CFL-016M</t>
  </si>
  <si>
    <t>07330-CAJ-003</t>
  </si>
  <si>
    <t>07330-BOC-001</t>
  </si>
  <si>
    <t>07330-BOC-001M</t>
  </si>
  <si>
    <t>07330-BOC-002</t>
  </si>
  <si>
    <t>07330-BOC-002M</t>
  </si>
  <si>
    <t>07330-CAJ-002</t>
  </si>
  <si>
    <t>07330-CAJ-002-01</t>
  </si>
  <si>
    <t>07330-CAJ-002-02</t>
  </si>
  <si>
    <t>07330-UHD-002</t>
  </si>
  <si>
    <t>07330-UHD-002M</t>
  </si>
  <si>
    <t>07330-BBA-001</t>
  </si>
  <si>
    <t>07330-BBA-001M</t>
  </si>
  <si>
    <t>07330-TCL-001</t>
  </si>
  <si>
    <t>07390-AU-0501A-01</t>
  </si>
  <si>
    <t>07390-AU-0501A-01M</t>
  </si>
  <si>
    <t>07390-AU-0501B-01M</t>
  </si>
  <si>
    <t>07390-AU-0501C-01M</t>
  </si>
  <si>
    <t>07390-AU-0501D-01M</t>
  </si>
  <si>
    <t>07390-AU-0501E-01</t>
  </si>
  <si>
    <t>07390-AU-0501E-01M</t>
  </si>
  <si>
    <t>ESPESAMIENTO CONCENTRADO</t>
  </si>
  <si>
    <t>ESPESADOR DE CONCENTRADO</t>
  </si>
  <si>
    <t>07410-CAJ-001</t>
  </si>
  <si>
    <t>07410-CAJ-002</t>
  </si>
  <si>
    <t>TRAMPA DE GRUESOS CONCENTRADO FINAL</t>
  </si>
  <si>
    <t>07410-ZZM-001</t>
  </si>
  <si>
    <t>07410-BOC-001</t>
  </si>
  <si>
    <t>07410-BOC-001M</t>
  </si>
  <si>
    <t>07410-BOC-002</t>
  </si>
  <si>
    <t>07410-BOC-002M</t>
  </si>
  <si>
    <t>CORTADOR DE MUESTRA CONCENTRADO</t>
  </si>
  <si>
    <t>07410-CMU-001</t>
  </si>
  <si>
    <t>07410-ESP-001</t>
  </si>
  <si>
    <t>07410-TCL-003</t>
  </si>
  <si>
    <t>07410-BOC-003</t>
  </si>
  <si>
    <t>07410-BOC-003M</t>
  </si>
  <si>
    <t>07410-BOC-004</t>
  </si>
  <si>
    <t>07410-BOC-004M</t>
  </si>
  <si>
    <t>07410-TCL-001</t>
  </si>
  <si>
    <t>07410-TCL-002</t>
  </si>
  <si>
    <t>07410-DLO-001</t>
  </si>
  <si>
    <t>07420-EST-001</t>
  </si>
  <si>
    <t>07420-AGT-001</t>
  </si>
  <si>
    <t>07420-BOC-001</t>
  </si>
  <si>
    <t>07420-BOC-001M</t>
  </si>
  <si>
    <t>07420-BOC-002</t>
  </si>
  <si>
    <t>07420-BOC-002M</t>
  </si>
  <si>
    <t>07420-FTR-001</t>
  </si>
  <si>
    <t>07420-FTR-001-01</t>
  </si>
  <si>
    <t>07420-FTR-001-01M1</t>
  </si>
  <si>
    <t>07420-FTR-001-01M2</t>
  </si>
  <si>
    <t>07420-FTR-001-01-1</t>
  </si>
  <si>
    <t>07420-FTR-001-01-2</t>
  </si>
  <si>
    <t>07420-FTR-001-01-2M</t>
  </si>
  <si>
    <t>ESTANQUE DESAIREADOR</t>
  </si>
  <si>
    <t>07420-FTR-001-02</t>
  </si>
  <si>
    <t>07420-FTR-001-03</t>
  </si>
  <si>
    <t>07420-FTR-002</t>
  </si>
  <si>
    <t>07420-FTR-002-01</t>
  </si>
  <si>
    <t>07420-FTR-002-02</t>
  </si>
  <si>
    <t>07420-FTR-002-03</t>
  </si>
  <si>
    <t>CHUTE DESCARGA FILTRO 1</t>
  </si>
  <si>
    <t>07420-CHU-001</t>
  </si>
  <si>
    <t>07420-CHU-002</t>
  </si>
  <si>
    <t>CHUTE DESCARGA FILTRO 2</t>
  </si>
  <si>
    <t>07420-CHU-003</t>
  </si>
  <si>
    <t>07420-CHU-004</t>
  </si>
  <si>
    <t>TRANSPORTE CONCENTRADO</t>
  </si>
  <si>
    <t>07420-TOL-003</t>
  </si>
  <si>
    <t>SISTEMA DE LANZAS TOLVA DE CONCENTRADO</t>
  </si>
  <si>
    <t>07420-SLZ-001</t>
  </si>
  <si>
    <t>07420-ACT-003</t>
  </si>
  <si>
    <t>07420-TCL-008</t>
  </si>
  <si>
    <t>CORREA TRANSPORTE CONCENTRADO</t>
  </si>
  <si>
    <t>07420-CTR-001</t>
  </si>
  <si>
    <t>07420-TCL-006</t>
  </si>
  <si>
    <t>07420-TCL-007</t>
  </si>
  <si>
    <t>07420-CHU-006</t>
  </si>
  <si>
    <t>07420-DLO-001</t>
  </si>
  <si>
    <t>07420-RMN-001</t>
  </si>
  <si>
    <t>07420-GPT-001</t>
  </si>
  <si>
    <t>BOMBA SUMERGIBLE FILTRADO</t>
  </si>
  <si>
    <t>07420-BBA-001</t>
  </si>
  <si>
    <t>07420-BBA-001M</t>
  </si>
  <si>
    <t>07420-GPC-001</t>
  </si>
  <si>
    <t>07420-COM-001</t>
  </si>
  <si>
    <t>07420-COM-002</t>
  </si>
  <si>
    <t>07420-COM-003</t>
  </si>
  <si>
    <t>ACUMULADOR AIRE FILTROS</t>
  </si>
  <si>
    <t>07420-ACU-001</t>
  </si>
  <si>
    <t>FILTRO DE AIRE</t>
  </si>
  <si>
    <t>07420-FTR-003</t>
  </si>
  <si>
    <t>07420-FTR-004</t>
  </si>
  <si>
    <t>07420-FTR-005</t>
  </si>
  <si>
    <t>07420-SEC-002</t>
  </si>
  <si>
    <t>SEPARADOR ACEITE CONDENSADO COMPRESOR</t>
  </si>
  <si>
    <t>07420-SPA-001</t>
  </si>
  <si>
    <t>07420-TCL-009</t>
  </si>
  <si>
    <t>ESPESAMIENTO RELAVES</t>
  </si>
  <si>
    <t>07510-BOC-001</t>
  </si>
  <si>
    <t>07510-BOC-001M</t>
  </si>
  <si>
    <t>07510-BOC-002</t>
  </si>
  <si>
    <t>07510-BOC-002M</t>
  </si>
  <si>
    <t>07510-CAJ-001</t>
  </si>
  <si>
    <t>07510-CAJ-002</t>
  </si>
  <si>
    <t>ESPESADOR DE RELAVES</t>
  </si>
  <si>
    <t>07510-ERV-001</t>
  </si>
  <si>
    <t>07510-TCL-004</t>
  </si>
  <si>
    <t>07510-BOC-003</t>
  </si>
  <si>
    <t>07510-BOC-003M</t>
  </si>
  <si>
    <t>07510-BOC-004</t>
  </si>
  <si>
    <t>07510-BOC-004M</t>
  </si>
  <si>
    <t>07510-TCL-001</t>
  </si>
  <si>
    <t>07510-TCL-002</t>
  </si>
  <si>
    <t>BOMBA SUMERGIBLE ESPESAMIENTO</t>
  </si>
  <si>
    <t>07510-BBA-001</t>
  </si>
  <si>
    <t>07510-BBA-001M</t>
  </si>
  <si>
    <t>07510-GPC-001</t>
  </si>
  <si>
    <t>CORTADOR DE MUESTRA RELAVES</t>
  </si>
  <si>
    <t>07510-CMU-001</t>
  </si>
  <si>
    <t>TRAMPA DE GRUESOS RELAVES FINAL</t>
  </si>
  <si>
    <t>07510-ZZM-001</t>
  </si>
  <si>
    <t>ESTANQUE  AGITADO RELAVES ESPESADOS</t>
  </si>
  <si>
    <t>07520-EST-001</t>
  </si>
  <si>
    <t>AGITADOR ESTANQUE RELAVES ESPESADOS</t>
  </si>
  <si>
    <t>07520-AGT-001</t>
  </si>
  <si>
    <t>07520-BOC-001</t>
  </si>
  <si>
    <t>07520-BOC-001M</t>
  </si>
  <si>
    <t>07520-BOC-002</t>
  </si>
  <si>
    <t>07520-BOC-002M</t>
  </si>
  <si>
    <t>07520-BDP-001</t>
  </si>
  <si>
    <t>07520-BDP-002</t>
  </si>
  <si>
    <t>07520-GPT-001</t>
  </si>
  <si>
    <t>07520-BBA-001</t>
  </si>
  <si>
    <t>07520-BBA-001M</t>
  </si>
  <si>
    <t>07520-GPC-001</t>
  </si>
  <si>
    <t>07590-PRT-001</t>
  </si>
  <si>
    <t>PISCINA DE EMERGENCIA</t>
  </si>
  <si>
    <t>07610-PSC-001</t>
  </si>
  <si>
    <t>BOMBA SUMERGIBLE PISCINA DE EMERGENCIA</t>
  </si>
  <si>
    <t>07610-BBA-001</t>
  </si>
  <si>
    <t>07610-BBA-001M</t>
  </si>
  <si>
    <t>07610-GPC-001</t>
  </si>
  <si>
    <t>07390-CDC-001</t>
  </si>
  <si>
    <t>07390-CCM-001</t>
  </si>
  <si>
    <t>07390-CCM-002</t>
  </si>
  <si>
    <t>07390-CCM-003</t>
  </si>
  <si>
    <t>07390-CCM-004</t>
  </si>
  <si>
    <t>07390-CCM-005</t>
  </si>
  <si>
    <t>07390-TDA-001</t>
  </si>
  <si>
    <t>07390-TRA-001</t>
  </si>
  <si>
    <t>07390-TDF-001</t>
  </si>
  <si>
    <t>07390-TRA-002</t>
  </si>
  <si>
    <t>07390-TDF-101</t>
  </si>
  <si>
    <t>07390-UPS-001</t>
  </si>
  <si>
    <t>07390-TDI-0001</t>
  </si>
  <si>
    <t>07390-PCL-0038</t>
  </si>
  <si>
    <t>07390-PCL-0039</t>
  </si>
  <si>
    <t>07390-CTP-0090</t>
  </si>
  <si>
    <t>06700-DCS-003</t>
  </si>
  <si>
    <t>06700-GSM-0001</t>
  </si>
  <si>
    <t>07390-KIT-001</t>
  </si>
  <si>
    <t>07390-EXT-001</t>
  </si>
  <si>
    <t>07390-EXT-002</t>
  </si>
  <si>
    <t>07390-NOV-001</t>
  </si>
  <si>
    <t>07390-ADA-001</t>
  </si>
  <si>
    <t>07390-ADA-002</t>
  </si>
  <si>
    <t>07390-ADA-003</t>
  </si>
  <si>
    <t>07390-ADA-004</t>
  </si>
  <si>
    <t>07390-SADA-001</t>
  </si>
  <si>
    <t>07390-SADA-002</t>
  </si>
  <si>
    <t>07390-EPZ-001</t>
  </si>
  <si>
    <t>07390-GT-002</t>
  </si>
  <si>
    <t>07390-DCS-0001</t>
  </si>
  <si>
    <t>07490-CDC-001</t>
  </si>
  <si>
    <t>07490-CCM-001</t>
  </si>
  <si>
    <t>07490-CCM-002</t>
  </si>
  <si>
    <t>07490-CCM-003</t>
  </si>
  <si>
    <t>07490-TDF-003</t>
  </si>
  <si>
    <t>07490-TDA-001</t>
  </si>
  <si>
    <t>07490-TRA-001</t>
  </si>
  <si>
    <t>07490-TDF-001</t>
  </si>
  <si>
    <t>06370-VDF-001</t>
  </si>
  <si>
    <t>06370-VDF-002</t>
  </si>
  <si>
    <t>06350-VDF-001</t>
  </si>
  <si>
    <t>06350-VDF-002</t>
  </si>
  <si>
    <t>07420-VDF-001</t>
  </si>
  <si>
    <t>07420-VDF-002</t>
  </si>
  <si>
    <t>07520-VDF-001</t>
  </si>
  <si>
    <t>07520-VDF-002</t>
  </si>
  <si>
    <t>07940-TDF-101</t>
  </si>
  <si>
    <t>07490-UPS-001</t>
  </si>
  <si>
    <t>07490-DCS-0001</t>
  </si>
  <si>
    <t>07490-GSM-0001</t>
  </si>
  <si>
    <t>07490-TDI-0001</t>
  </si>
  <si>
    <t>06760-CTP-0082</t>
  </si>
  <si>
    <t>07490-PCL-0041</t>
  </si>
  <si>
    <t>07490-PCL-0042</t>
  </si>
  <si>
    <t>07490-KIT-001</t>
  </si>
  <si>
    <t>07490-ADA-001</t>
  </si>
  <si>
    <t>07490-ADA-002</t>
  </si>
  <si>
    <t>07490-ADA-003</t>
  </si>
  <si>
    <t>07490-ADA-004</t>
  </si>
  <si>
    <t>07490-ADA-005</t>
  </si>
  <si>
    <t>07490-ADA-006</t>
  </si>
  <si>
    <t>07490-SADA-001</t>
  </si>
  <si>
    <t>07490-SADA-002</t>
  </si>
  <si>
    <t>07490-SADA-003</t>
  </si>
  <si>
    <t>07490-EPZ-001</t>
  </si>
  <si>
    <t>07490-EXT-001</t>
  </si>
  <si>
    <t>07490-EXT-002</t>
  </si>
  <si>
    <t>06750-GSM-0062</t>
  </si>
  <si>
    <t>07490-NOV-001</t>
  </si>
  <si>
    <t>CHANCADOR DE MANDIBULA</t>
  </si>
  <si>
    <t>07190-SEL-001</t>
  </si>
  <si>
    <t>BOMBA SUMERGIBLE FLOTACION</t>
  </si>
  <si>
    <t>TECLE BOMBA SUMERGIBLE FLOTACION</t>
  </si>
  <si>
    <t>CELDA DE FLOTACION ROUGHER CF01</t>
  </si>
  <si>
    <t>CELDA DE FLOTACION ROUGHER CF02</t>
  </si>
  <si>
    <t>CELDA DE FLOTACION ROUGHER CF03</t>
  </si>
  <si>
    <t>CELDA DE FLOTACION ROUGHER CF04</t>
  </si>
  <si>
    <t>CELDA DE FLOTACION ROUGHER CF05</t>
  </si>
  <si>
    <t>CELDA DE FLOTACION ROUGHER CF06</t>
  </si>
  <si>
    <t>CELDA DE FLOTACION ROUGHER CF07</t>
  </si>
  <si>
    <t>CELDA DE FLOTACION ROUGHER CF08</t>
  </si>
  <si>
    <t>CELDA DE FLOTACION ROUGHER CF09</t>
  </si>
  <si>
    <t>CELDA DE FLOTACION ROUGHER CF10</t>
  </si>
  <si>
    <t>CELDA DE FLOTACION SCAVENGER CF01</t>
  </si>
  <si>
    <t>CELDA DE FLOTACION SCAVENGER CF02</t>
  </si>
  <si>
    <t>CELDA DE FLOTACION SCAVENGER CF03</t>
  </si>
  <si>
    <t>CELDA DE FLOTACION SCAVENGER CF04</t>
  </si>
  <si>
    <t>CELDA DE FLOTACION SCAVENGER CF05</t>
  </si>
  <si>
    <t>CELDA DE FLOTACION SCAVENGER CF06</t>
  </si>
  <si>
    <t>CELDA DE FLOTACION SCAVENGER CF07</t>
  </si>
  <si>
    <t>CELDA DE FLOTACION SCAVENGER CF08</t>
  </si>
  <si>
    <t>CELDA DE FLOTACION SCAVENGER CF09</t>
  </si>
  <si>
    <t>CELDA DE FLOTACION SCAVENGER CF10</t>
  </si>
  <si>
    <t>CELDA DE FLOTACION SCAVENGER CF11</t>
  </si>
  <si>
    <t>CELDA DE FLOTACION SCAVENGER CF12</t>
  </si>
  <si>
    <t>CELDA DE FLOTACION SCAVENGER CF13</t>
  </si>
  <si>
    <t>CELDA DE FLOTACION SCAVENGER CF14</t>
  </si>
  <si>
    <t>CELDA DE FLOTACION SCAVENGER CF15</t>
  </si>
  <si>
    <t>CELDA DE FLOTACION SCAVENGER CF16</t>
  </si>
  <si>
    <t>CAJON RECIRCULACION FLOTACION SCAVENGER</t>
  </si>
  <si>
    <t>CAJON DE BOMBEO CONCENTRADO FINAL</t>
  </si>
  <si>
    <t>ESTANQUE  ALIMENTACION FILTROS</t>
  </si>
  <si>
    <t>AGITADOR ESTANQUE ALIMENTACION FILTROS</t>
  </si>
  <si>
    <t>FILTRO DE CONCENTRADO LAROX 1</t>
  </si>
  <si>
    <t>FILTRO DE CONCENTRADO LAROX 2</t>
  </si>
  <si>
    <t>TOLVA RECEPCION CONCENTRADO</t>
  </si>
  <si>
    <t>TECLE MANTENCION CORREA</t>
  </si>
  <si>
    <t>PUENTE GRUA FILTRADO</t>
  </si>
  <si>
    <t>GRUA PESCANTE BOMBA SUMERGIBLE FILTRADO</t>
  </si>
  <si>
    <t>COMPRESOR AIRE FILTRACION</t>
  </si>
  <si>
    <t>SECADOR DE AIRE FILTRACION</t>
  </si>
  <si>
    <t>TECLE MANTENCION COMPRESORES FILTRO</t>
  </si>
  <si>
    <t>CAJON DE BOMBEO RELAVES A ESPESAMIENTO</t>
  </si>
  <si>
    <t>CAJON ALIMENTACION ESPESADOR DE RELAVES</t>
  </si>
  <si>
    <t>PUENTE GRUA IMPULSION RELAVEDUCTO</t>
  </si>
  <si>
    <t>BOMBA SUMERGIBLE IMPULSION RELAVEDUCTO</t>
  </si>
  <si>
    <t>GRUA PESCANTE BOMBA SUMERGIBLE RELAVES</t>
  </si>
  <si>
    <t>PORTON EDIFICIO BDP</t>
  </si>
  <si>
    <t>SALA ELECTRICA FLOTACION 7390</t>
  </si>
  <si>
    <t>SALA ELECTRICA FILTRADO 7490</t>
  </si>
  <si>
    <t>TCCN</t>
  </si>
  <si>
    <t>EL TENIENTE GERENCIA DE PLANTAS</t>
  </si>
  <si>
    <t>07120-APC-001-01</t>
  </si>
  <si>
    <t>07290-CDC-001</t>
  </si>
  <si>
    <t>07290-SWG-001</t>
  </si>
  <si>
    <t>07290-TDF-001</t>
  </si>
  <si>
    <t>07290-GSM-0001</t>
  </si>
  <si>
    <t>07290-TDA-001</t>
  </si>
  <si>
    <t>07290-TDF-110</t>
  </si>
  <si>
    <t>07240-VDF-001</t>
  </si>
  <si>
    <t>07240-VDF-002</t>
  </si>
  <si>
    <t>07290-UPS-001</t>
  </si>
  <si>
    <t>07290-DCS-0001</t>
  </si>
  <si>
    <t>06750-GSM-0066</t>
  </si>
  <si>
    <t>07290-TDI-0001</t>
  </si>
  <si>
    <t>07290-CTP-0008</t>
  </si>
  <si>
    <t>07290-PCL-0034</t>
  </si>
  <si>
    <t>07290-PCL-0035</t>
  </si>
  <si>
    <t>07290-TDD-001</t>
  </si>
  <si>
    <t>07290-CBT-001</t>
  </si>
  <si>
    <t>07290-CBT-002</t>
  </si>
  <si>
    <t>07290-BAT-001</t>
  </si>
  <si>
    <t>07290-KIT-001</t>
  </si>
  <si>
    <t>07290-ADA-001</t>
  </si>
  <si>
    <t>07290-ADA-002</t>
  </si>
  <si>
    <t>07290-ADA-003</t>
  </si>
  <si>
    <t>07290-ADA-004</t>
  </si>
  <si>
    <t>07290-ADA-005</t>
  </si>
  <si>
    <t>07290-ADA-006</t>
  </si>
  <si>
    <t>07290-SADA-001</t>
  </si>
  <si>
    <t>07290-SADA-002</t>
  </si>
  <si>
    <t>07290-SADA-003</t>
  </si>
  <si>
    <t>07290-EPZ-001</t>
  </si>
  <si>
    <t>07290-NOV-001</t>
  </si>
  <si>
    <t>07290-EXT-001</t>
  </si>
  <si>
    <t>07290-EXT-002</t>
  </si>
  <si>
    <t>07290-RTU-001</t>
  </si>
  <si>
    <t>07290-GT-001</t>
  </si>
  <si>
    <t>07190-TDF-001</t>
  </si>
  <si>
    <t>07190-TDF-002</t>
  </si>
  <si>
    <t>07190-TDF-101</t>
  </si>
  <si>
    <t>07190-UPS-001</t>
  </si>
  <si>
    <t>07190-NOV-001</t>
  </si>
  <si>
    <t>07190-KIT-001</t>
  </si>
  <si>
    <t>07190-EXT-001</t>
  </si>
  <si>
    <t>07190-EXT-002</t>
  </si>
  <si>
    <t>07190-ADA-001</t>
  </si>
  <si>
    <t>07190-ADA-002</t>
  </si>
  <si>
    <t>07190-SADA-001</t>
  </si>
  <si>
    <t>07190-EPZ-001</t>
  </si>
  <si>
    <t>07190-TDI-0001</t>
  </si>
  <si>
    <t>07190-PCL-0031</t>
  </si>
  <si>
    <t>07190-PCL-0032</t>
  </si>
  <si>
    <t>07190-DCS-001</t>
  </si>
  <si>
    <t>07190-GSM-0064</t>
  </si>
  <si>
    <t>06760-CTP-0084</t>
  </si>
  <si>
    <t>07190-TEI-0064</t>
  </si>
  <si>
    <t>06760-TEE-0084</t>
  </si>
  <si>
    <t>SISTEMA LANZAS TOLVA RECEPCION</t>
  </si>
  <si>
    <t>SALA ELECTRICA MOLIENDA 7290-SEL-001</t>
  </si>
  <si>
    <t>07290-DBR-001</t>
  </si>
  <si>
    <t>07210-TRA-001</t>
  </si>
  <si>
    <t>07210-TVF-001</t>
  </si>
  <si>
    <t>07210-VDF-001</t>
  </si>
  <si>
    <t>07220-TRA-001</t>
  </si>
  <si>
    <t>07220-TVF-001</t>
  </si>
  <si>
    <t>07220-VDF-001</t>
  </si>
  <si>
    <t>07290-CCM-101</t>
  </si>
  <si>
    <t>07290-PCL-0036</t>
  </si>
  <si>
    <t>07290-TDF-101</t>
  </si>
  <si>
    <t>07290-TRA-101</t>
  </si>
  <si>
    <t>SALA ELECTRICA MOLINOS 7290-SEL-002</t>
  </si>
  <si>
    <t>7100 - CHANCADO Y ACOPIO</t>
  </si>
  <si>
    <t>7200 - MOLIENDA ESCORIA</t>
  </si>
  <si>
    <t>7400 - MANEJO CONCENTRADO</t>
  </si>
  <si>
    <t>7500 - RELAVES</t>
  </si>
  <si>
    <t>7300 - FLOTACION PRIMARIA Y SCAVENGER</t>
  </si>
  <si>
    <t>SISTEMA COMPONENTES CELDA</t>
  </si>
  <si>
    <t>SISTEMA HIDRAULICO</t>
  </si>
  <si>
    <t>07390-AU-0501B</t>
  </si>
  <si>
    <t>07390-AU-0501B-1</t>
  </si>
  <si>
    <t>07390-AU-0501C-1</t>
  </si>
  <si>
    <t>07390-AU-0501D-1</t>
  </si>
  <si>
    <t>07390-AU-0501C</t>
  </si>
  <si>
    <t>07390-AU-0501D</t>
  </si>
  <si>
    <t>07390-AU-0501A</t>
  </si>
  <si>
    <t>ANALIZADOR DE LEYES</t>
  </si>
  <si>
    <t>07390-AE/AIT-0501</t>
  </si>
  <si>
    <t>07390-AE/AIT-0501-1</t>
  </si>
  <si>
    <t>07390-AE/AIT-0501-2</t>
  </si>
  <si>
    <t>07390-AE/AIT-0501-7</t>
  </si>
  <si>
    <t>07390-AE/AIT-0501-8</t>
  </si>
  <si>
    <t>07390-AE/AIT-0501-6</t>
  </si>
  <si>
    <t>07390-AE/AIT-0501-3</t>
  </si>
  <si>
    <t>SISTEMA DE LEVANTE RASTRAS</t>
  </si>
  <si>
    <t>07410-UHD-001</t>
  </si>
  <si>
    <t>07410-UHD-002</t>
  </si>
  <si>
    <t>07410-UHD-003</t>
  </si>
  <si>
    <t>07410-UHD-004</t>
  </si>
  <si>
    <t>07210-SPL-001</t>
  </si>
  <si>
    <t>6300 - SUMINISTRO DE AGUA</t>
  </si>
  <si>
    <t>CONDUCCION DE AGUA FRESCA</t>
  </si>
  <si>
    <t>ALMACENAMIENTO Y DISTRIBUCION DE AGUA</t>
  </si>
  <si>
    <t>TRATAMIENTO DE AGUA</t>
  </si>
  <si>
    <t>TRATAMIENTO AGUAS SERVIDAS</t>
  </si>
  <si>
    <t>PLANTA DE FLOCULANTE</t>
  </si>
  <si>
    <t>PLANTA DE REACTIVOS</t>
  </si>
  <si>
    <t>PLANTA DE AIRES</t>
  </si>
  <si>
    <t>6930-DLO-001</t>
  </si>
  <si>
    <t>6920-DLO-001</t>
  </si>
  <si>
    <t>6930-DLO-002</t>
  </si>
  <si>
    <t>ROMANA DE PESAJE ESTATICA</t>
  </si>
  <si>
    <t>TECLE MANTENCION ALIMENTADOR PESOMETRICO</t>
  </si>
  <si>
    <t>SISTEMA COMPONENTES CF01</t>
  </si>
  <si>
    <t>TOLVA RECEPCION DE ESCORIA N°1</t>
  </si>
  <si>
    <t>BOMBA IMP. CONC. FINAL A ESPESAMIENTO</t>
  </si>
  <si>
    <t>BOMBA DESC. ESPESADOR DE CONC.</t>
  </si>
  <si>
    <t>TECLE  MTTO. BBA. DESC. ESPESADOR CONC.1</t>
  </si>
  <si>
    <t>TECLE  MTTO. BBA. DESC. ESPESADOR CONC.2</t>
  </si>
  <si>
    <t>CORTADOR DE MUESTRA C SCAVENGER FILA 1</t>
  </si>
  <si>
    <t>CORTADOR DE MUESTRA C. SCAVENGER FILA 2</t>
  </si>
  <si>
    <t>BOMBA RECIRCULACION FLOTACION SCAVENGER</t>
  </si>
  <si>
    <t>TECLE MTTO. PUENTE ESPESADOR DE CONC.</t>
  </si>
  <si>
    <t>CHUTE DERRAMES CORREA TRANSP. CONC.</t>
  </si>
  <si>
    <t>TECLE  MTTO. BBAS DESC. ESPES. RELAVES 2</t>
  </si>
  <si>
    <t>TECLE  MTTO. BBAS DESC. ESPES. RELAVES 1</t>
  </si>
  <si>
    <t>GRUA PESCANTE BBA. SUMERG. PISC. EMERG.</t>
  </si>
  <si>
    <t>BOMBA MUESTRA CONCE. F. SCAVENGER FILA2</t>
  </si>
  <si>
    <t>BOMBA DESPLAZAMIENTO POSITIVO N°1</t>
  </si>
  <si>
    <t>BOMBA DESPLAZAMIENTO POSITIVO N°2</t>
  </si>
  <si>
    <t>CAJON DISTRIBUIDOR FLOTACION SCAVENGER</t>
  </si>
  <si>
    <t>CAJON ALIMENTACION ESPESADOR DE CONCE.</t>
  </si>
  <si>
    <t>CORTADOR DE MUESTRA CONCE. PRIM. FILA 1</t>
  </si>
  <si>
    <t>CORTADOR DE MUESTRA CONCE. PRIM. FILA 2</t>
  </si>
  <si>
    <t>TABLERO DISTRIBUCION FUERZA 7940-TDF-101</t>
  </si>
  <si>
    <t>TABLERO DISTRIBUCION FUERZA 7940-TDF-001</t>
  </si>
  <si>
    <t>TABLERO DISTRIBUCION FUERZA 7390-TDF-101</t>
  </si>
  <si>
    <t>TABLERO DISTRIBUCION FUERZA 7290-TDF-110</t>
  </si>
  <si>
    <t>ALIMENTADOR PESOMETRICO CARGUIO CONCE.</t>
  </si>
  <si>
    <t>ALMACENAMIENTO Y DISTRIB AGUA RECUPERADA</t>
  </si>
  <si>
    <t>TECLE MANTENCION PUENTE ESPESADOR RELAVE</t>
  </si>
  <si>
    <t>MOTOR ELEC. BBA. SUMERGIBLE FLOTACION</t>
  </si>
  <si>
    <t>MOTOR ELEC. BBA DESCARGA ESPESADOR CONCE</t>
  </si>
  <si>
    <t>MOTOR ELEC. BBA. SUMERGIBLE ESPESAMIENTO</t>
  </si>
  <si>
    <t>CILINDROS ACTUADORES LANZAS TOLVA RECEP.</t>
  </si>
  <si>
    <t>ESTANQUE LANZAS TOLVA RECEP.</t>
  </si>
  <si>
    <t>BOMBA ALIMENTADOR DE PLACAS TOLVA 1</t>
  </si>
  <si>
    <t>DISTRIBUIDOR DE FLUJO ALIM PLACA TOLVA 1</t>
  </si>
  <si>
    <t>RUEDA DE COLA ALIMENTADOR PLACAS TOLVA 1</t>
  </si>
  <si>
    <t>ESTANQUE UNIDAD HID ALIMENTADOR PLACAS 1</t>
  </si>
  <si>
    <t>MANDIBULAS CHANCADOR DE MANDIBULA</t>
  </si>
  <si>
    <t>ARTICULACION CHANCADOR DE MANDIBULA</t>
  </si>
  <si>
    <t>TRANSMISION CHANCADOR DE MANDIBULA</t>
  </si>
  <si>
    <t>DESCANSOS CHANCADOR DE MANDIBULA</t>
  </si>
  <si>
    <t>UNIDAD DE CONTROL CHANCADOR DE MANDIBULA</t>
  </si>
  <si>
    <t>ACUMULADOR DE PRESION CHANC DE MANDIBULA</t>
  </si>
  <si>
    <t>ESTANQUE CHANCADOR DE MANDIBULA</t>
  </si>
  <si>
    <t>CUADRO DE VALVULAS CHANCAD DE MANDIBULA</t>
  </si>
  <si>
    <t>CORREA ALIMENTACION DE ACOPIO N°1</t>
  </si>
  <si>
    <t>CINTA CORREA ALIMENTACION DE ACOPIO N°1</t>
  </si>
  <si>
    <t>TENSOR GRAVITACIONAL CORREA ALIM ACOP 1</t>
  </si>
  <si>
    <t>REDUCTOR CORREA ALIMENTACION DE ACOPIO 1</t>
  </si>
  <si>
    <t>CADENA ALIMENTADOR DE PLACAS TOLVA 1</t>
  </si>
  <si>
    <t>ACOPLAMIENTO CORREA ALIMENTAC ACOPIO 1</t>
  </si>
  <si>
    <t>FRENO BACKSTOP CORREA ALIMENTAC ACOPIO 1</t>
  </si>
  <si>
    <t>POLEA MOTRIZ CORREA ALIMENTAC ACOPIO 1</t>
  </si>
  <si>
    <t>BOTONERA TECLE APOYO MANT CORREA ACOPIO</t>
  </si>
  <si>
    <t>REDUCTOR IZAJE TECLE APOY MANT CORR ACOP</t>
  </si>
  <si>
    <t>TAMBOR CABLE TECLE APOYO MANT CORR ACOP</t>
  </si>
  <si>
    <t>MOTOR ELECT MONORRIEL TECLE MANT COR ACO</t>
  </si>
  <si>
    <t>MOTOR ELEC IZAJE TECLE POLEA CAB COR ACO</t>
  </si>
  <si>
    <t>REDUCTOR IZAJE TECLE POLEA CABEZ COR ACO</t>
  </si>
  <si>
    <t>TAMBOR CABLE TECLE POLEA CABEZ CORR ACOP</t>
  </si>
  <si>
    <t>MOTOR ELEC MONORRIEL TECL POL CAB COR AC</t>
  </si>
  <si>
    <t>BOTONERA TECLE POLEA CABEZA CORR ACOPIO</t>
  </si>
  <si>
    <t>MOTOR ELEC IZAJE TECLE CONTRAP CORR ACOP</t>
  </si>
  <si>
    <t>REDUCTOR IZAJE TECLE CONTRAP CORR ACOPIO</t>
  </si>
  <si>
    <t>TAMBOR CABLE TECLE CONTRAP CORREA ACOPIO</t>
  </si>
  <si>
    <t>MOTOR ELEC MONORRIEL TECL CONTRAP COR AC</t>
  </si>
  <si>
    <t>BOTONERA TECLE CONTRAPESO CORREA ACOPIO</t>
  </si>
  <si>
    <t>MOTOR ELEC HUINCHE SIST TRANSP POLEA CAB</t>
  </si>
  <si>
    <t>HUINCHE EXTRACCION POLEA CABEZA SIS TRAN</t>
  </si>
  <si>
    <t>BANCO VALVULAS SUPR POLVO DESCA CAMION 1</t>
  </si>
  <si>
    <t>GABINETE CONTROL Y MONITOR SUP POL DES 1</t>
  </si>
  <si>
    <t>BANCO VALVULAS SUPR POLV ALIMEN PLACAS 1</t>
  </si>
  <si>
    <t>GABINETE CONTROL Y MONITORE SUP POL AL 1</t>
  </si>
  <si>
    <t>BANCO VALVULAS SUPR POLVO DESCAR CH 1</t>
  </si>
  <si>
    <t>GABINETE CONTROL Y MONITOR SUP POLV CH 1</t>
  </si>
  <si>
    <t>BANCO VALVULAS SUPR POLV DESC CORR ACO 1</t>
  </si>
  <si>
    <t>GABINETE CONTROL Y MONITOR SUP POLV DE 1</t>
  </si>
  <si>
    <t>MOTOR ELEC IZAJE TECLE MANT ALIME PLACAS</t>
  </si>
  <si>
    <t>REDUCTOR IZAJE TECLE MANT ALIMENT PLACAS</t>
  </si>
  <si>
    <t>TAMBOR CABLE TECLE MANT ALIMENTAC PLACAS</t>
  </si>
  <si>
    <t>MOTOR ELEC MONORRIEL TECL MANT ALIM PLAC</t>
  </si>
  <si>
    <t>BOTONERA TECLE MANT ALIMENTADOR PLACAS</t>
  </si>
  <si>
    <t>MOTOR ELECTRI IZAJE TECLE MANT CHANCADOR</t>
  </si>
  <si>
    <t>TAMBOR CABLE TECLE MANTENCION CHANCADOR</t>
  </si>
  <si>
    <t>BOTONERA TECLE MANTENCION CHANCADOR</t>
  </si>
  <si>
    <t>REDUCTOR IZAJE TECLE MANTENCIO CHANCADOR</t>
  </si>
  <si>
    <t>MOTOR ELEC MONORRIEL TECL MANT CHANCADOR</t>
  </si>
  <si>
    <t>REDUCTOR IZAJE TECL POLEA COLA CORR ACOP</t>
  </si>
  <si>
    <t>MOTOR ELEC IZAJE TECL POLEA COLA COR ACO</t>
  </si>
  <si>
    <t>TAMBOR CABLE TECLE POLEA COLA CORRE ACOP</t>
  </si>
  <si>
    <t>BOTONERA TECLE POLEA COLA CORREA ACOPIO</t>
  </si>
  <si>
    <t>MOTOR ELEC IZAJE TECL COLA ALIMEN PLACAS</t>
  </si>
  <si>
    <t>REDUCTOR IZAJE TECLE COLA ALIMENT PLACAS</t>
  </si>
  <si>
    <t>TAMBOR CABLE TECLE COLA ALIMENTAD PLACAS</t>
  </si>
  <si>
    <t>MOTOR ELEC MONORRIEL TECL COLA ALIM PLAC</t>
  </si>
  <si>
    <t>BOTONERA TECLE COLA ALIMENTADOR  PLACAS</t>
  </si>
  <si>
    <t>PORTON MOTORIZADO DOMO STOCK PILE ACOPIO</t>
  </si>
  <si>
    <t>PIÑON DE CABEZA ALIMENT PLACAS ACOPIO 1</t>
  </si>
  <si>
    <t>RUEDA DE COLA ALIMENTAD PLACAS ACOPIO 1</t>
  </si>
  <si>
    <t>CADENA ALIMENTADOR DE PLACAS ACOPIO 1</t>
  </si>
  <si>
    <t>PLACAS ALIMENTADOR DE PLACAS ACOPIO 1</t>
  </si>
  <si>
    <t>ACUMULADOR PRESION UNID HID ALIM PLAC 1</t>
  </si>
  <si>
    <t>MOTOR ELEC UNIDAD HIDRA ALIMENT PLACAS 1</t>
  </si>
  <si>
    <t>DISTRIBUIDOR FLUJO UDL UNI LUB ALIM PL 1</t>
  </si>
  <si>
    <t>PIÑON DE CABEZA ALIMENT PLACAS ACOPIO 2</t>
  </si>
  <si>
    <t>RUEDA DE COLA ALIMENTAD PLACAS ACOPIO 2</t>
  </si>
  <si>
    <t>PLACAS ALIMENTADOR DE PLACAS ACOPIO 2</t>
  </si>
  <si>
    <t>ESTANQUE UNIDAD HIDR ALIMENTAC PLACAS 2</t>
  </si>
  <si>
    <t>MOTOR ELEC LANZAS TOLVA RECEP.</t>
  </si>
  <si>
    <t>MOTOR ELEC UNIDAD HID ALIM PLACAS 1</t>
  </si>
  <si>
    <t>MOTOR ELEC CHANCADOR DE MANDIBULA</t>
  </si>
  <si>
    <t>MOTOR ELEC UDL CHANCAD DE MANDIBULA</t>
  </si>
  <si>
    <t>MOTOR ELEC CORREA ALIMENT ACOPIO 1</t>
  </si>
  <si>
    <t>MOTOR ELEC BBA SUMERGIBLE FLOTACION</t>
  </si>
  <si>
    <t>BOMBA HIDR LANZAS TOLVA RECEP.</t>
  </si>
  <si>
    <t>BOMBA HIDR UNID HIDR ALIM PLACAS 1</t>
  </si>
  <si>
    <t>BOMBA HIDR CHANCADOR DE MANDIBULA</t>
  </si>
  <si>
    <t>BOMBA HIDR UNIDAD ALIMEN PLACAS N1</t>
  </si>
  <si>
    <t xml:space="preserve">SISTEMA COMPONENTES UNIDAD HIDR </t>
  </si>
  <si>
    <t>DISTRIBUIDOR FLUJO UDL UN LUB ALIM PLA 2</t>
  </si>
  <si>
    <t>07520-BDP-001M</t>
  </si>
  <si>
    <t>07520-BDP-001-01</t>
  </si>
  <si>
    <t>07520-BDP-001-01M</t>
  </si>
  <si>
    <t>07520-BDP-002M</t>
  </si>
  <si>
    <t>07520-BDP-002-01</t>
  </si>
  <si>
    <t>07520-BDP-002-01M</t>
  </si>
  <si>
    <t>MOTOR ELEC UDL UNIDAD LUBR ALIM PLACAS 2</t>
  </si>
  <si>
    <t>BANCO VALVULAS SUPR POLVO DSCGA ALIMEN 1</t>
  </si>
  <si>
    <t>GABINETE CONTROL Y MONITOREO SUPR ALIM 1</t>
  </si>
  <si>
    <t>GUARDERAS CORREA ALIMENTAC MOLINO SAG 1</t>
  </si>
  <si>
    <t>ESTRUCTURA PPAL CORREA ALIMENT ACOPIO 1</t>
  </si>
  <si>
    <t>ESTRUCTURA PPAL CORREA ALIM MOLINO SAG 1</t>
  </si>
  <si>
    <t>LIMPIADORES 1° Y 2° COR ALIM MOLIN SAG 1</t>
  </si>
  <si>
    <t>RASPADOR CORREA ALIMENTAC MOLINO SAG 1</t>
  </si>
  <si>
    <t>CINTA CORREA ALIMENTACION MOLINO SAG N°1</t>
  </si>
  <si>
    <t>POLINES DE RETORNO CORREA ALIM MOL SAG 1</t>
  </si>
  <si>
    <t>POLEA DE CONTRAPESO CORRE ALIM MOL SAG 1</t>
  </si>
  <si>
    <t>POLINES DE CARGA CORREA ALIME MOL SAG 1</t>
  </si>
  <si>
    <t>POLEA DE COLA Y DEFLECTORA COR MOL SAG 1</t>
  </si>
  <si>
    <t>POLINES DE IMPACTO COR ALIM MOLINO SAG 1</t>
  </si>
  <si>
    <t>POLINES DE TRANSICION COR ALIM MOL SAG 1</t>
  </si>
  <si>
    <t>POLINES DE ALINEACION COR ALIM MOL SAG 1</t>
  </si>
  <si>
    <t>POLINES CALIBRACION CORR ALIM MOL SAG 1</t>
  </si>
  <si>
    <t>FRENO CORREA ALIMENTACION MOLINO SAG N°1</t>
  </si>
  <si>
    <t>POLEA MOTRIZ CORREA ALIMENTACI MOL SAG 1</t>
  </si>
  <si>
    <t>MOTOR ELEC CORREA ALIMENTACION MOL SAG 1</t>
  </si>
  <si>
    <t>REDUCTOR CORREA ALIMENTACION MOL SAG 1</t>
  </si>
  <si>
    <t>ACOPLAMIENTO CORREA ALIMENTAC MOL SAG 1</t>
  </si>
  <si>
    <t>PESOMETRO DE CORREA ALIMENTAC MOL SAG 1</t>
  </si>
  <si>
    <t>MOTOR ELEC MOLINO SAG N°1</t>
  </si>
  <si>
    <t>ACOPLAMIENTO MOLINO SAG N°1</t>
  </si>
  <si>
    <t>CORONA MOLINO SAG N°1</t>
  </si>
  <si>
    <t>PIÑON MOLINO SAG N°1</t>
  </si>
  <si>
    <t>BOMBA SISTEMA DE FRENO MOLINO SAG N°1</t>
  </si>
  <si>
    <t>MORDAZAS FRENO MOLINO SAG N°1</t>
  </si>
  <si>
    <t>ENGRASADORA AUTOMATICA MOLINO SAG N°1</t>
  </si>
  <si>
    <t>PLATAFORMA MOLINO SAG N°1</t>
  </si>
  <si>
    <t>BOMBA DE SOPORTE MOLINO SAG N°1</t>
  </si>
  <si>
    <t>TRUNNION ALIMENTACION MOLINO SAG N°1</t>
  </si>
  <si>
    <t>TRUNNION DESCARGA MOLINO SAG N°1</t>
  </si>
  <si>
    <t>ESTRUCTURA PPAL MOLINO SAG N°1</t>
  </si>
  <si>
    <t>REVESTIMIENTOS TAPA MOLINO SAG N°1</t>
  </si>
  <si>
    <t>REVESTIMIENTOS MANTO MOLINO SAG N°1</t>
  </si>
  <si>
    <t>ENLAINADORA MOLINO SAG N°1</t>
  </si>
  <si>
    <t>TROMMEL MOLINO SAG N°1</t>
  </si>
  <si>
    <t>BOMBA UNIDAD DE LUBRICACION</t>
  </si>
  <si>
    <t>DISTRIBUIDOR DE FLUJO UNIDAD DE LUBR</t>
  </si>
  <si>
    <t>MOTOR ELEC UNIDAD DE LUBRICACION</t>
  </si>
  <si>
    <t>BOMBA HIDR UNIDAD HIDRAULICA</t>
  </si>
  <si>
    <t>ESTANQUE UNIDAD HIDRAULICA</t>
  </si>
  <si>
    <t>MOTOR ELEC UNIDAD HIDRAULICA</t>
  </si>
  <si>
    <t>ACUMULADOR DE PRESION UNIDAD HIDRAULICA</t>
  </si>
  <si>
    <t>GUARDERAS CORREA DESCARGA TROMMEL 1</t>
  </si>
  <si>
    <t>ESTRUCTURA PPAL CORREA DESCARG TROMMEL 1</t>
  </si>
  <si>
    <t>LIMPIADORES 1° Y 2° CORRE DESC TROMMEL 1</t>
  </si>
  <si>
    <t>RASPADOR CORREA DESCARGA TROMMEL 1</t>
  </si>
  <si>
    <t>CINTA CORREA DESCARGA TROMMEL 1</t>
  </si>
  <si>
    <t>POLEA DE COLA CORREA DESCARGA TROMMEL 1</t>
  </si>
  <si>
    <t>POLINES DE CARGA CORREA DESCAR TROMMEL 1</t>
  </si>
  <si>
    <t>POLINES DE TRANSICION CORR DES TROMMEL 1</t>
  </si>
  <si>
    <t>POLINES DE IMPACTO CORREA DESC TROMMEL 1</t>
  </si>
  <si>
    <t>POLINES DE RETORNO CORREA DESC TROMMEL 1</t>
  </si>
  <si>
    <t>POLINES AUTOCENTR DE CARGA DES TROMMEL 1</t>
  </si>
  <si>
    <t>POLINES AUTOCENTR DE RETORNO DESC TROM 1</t>
  </si>
  <si>
    <t>SIST INSTRUMEN Y CONTROL COR DESC TROM 1</t>
  </si>
  <si>
    <t>TENSOR DE TORNILLO CORREA DESC TROMMEL 1</t>
  </si>
  <si>
    <t>MOTOR ELEC CORREA DESCARGA TROMMEL 1</t>
  </si>
  <si>
    <t>REDUCTOR CORREA DESCARGA TROMMEL 1</t>
  </si>
  <si>
    <t>ACOPLAMIENTO CORREA DESCARGA TROMMEL 1</t>
  </si>
  <si>
    <t>FRENO BACKSTOP CORREA DESCARGA TROMMEL 1</t>
  </si>
  <si>
    <t>POLEA MOTRIZ CORREA DESCARGA TROMMEL 1</t>
  </si>
  <si>
    <t>GUARDERAS CORREA ALTA PENDIENT PEBBLES 1</t>
  </si>
  <si>
    <t>RASPADOR CORREA ALTA PENDIENT PEBBLES 1</t>
  </si>
  <si>
    <t>ESTRUCTURA PPAL CORREA ALTA PEND PEBBL 1</t>
  </si>
  <si>
    <t>CINTA CORREA DE ALTA PENDIENTE PEBBLES 1</t>
  </si>
  <si>
    <t>POLEA DE COLA CORREA ALTA PENDIE PEBBL 1</t>
  </si>
  <si>
    <t>POLEA DEFLECTORA CORRE ALTA PEND PEBBL 1</t>
  </si>
  <si>
    <t>RUEDA DEFLECTORA CORRE ALTA PEND PEBBL 1</t>
  </si>
  <si>
    <t>POLINES DE RETORNO STUB ALTA PEND PEBB 1</t>
  </si>
  <si>
    <t>POLINES DE CARGA CORREA ALTA PEND PEBB 1</t>
  </si>
  <si>
    <t>MOTOR ELEC CORREA ALTA PENDIEN PEBBLES 1</t>
  </si>
  <si>
    <t>REDUCTOR CORREA ALTA PENDIENTE PEBBLES 1</t>
  </si>
  <si>
    <t>ACOPLAMIENTO CORREA ALTA PENDI PEBBLES 1</t>
  </si>
  <si>
    <t>POLEA MOTRIZ CORREA ALTA PENDI PEBBLES 1</t>
  </si>
  <si>
    <t>FRENO BACKSTOP CORREA ALTA PEND PEBBLE 1</t>
  </si>
  <si>
    <t>GUARDERAS CORREA RETORNO DE PEBBLES 1</t>
  </si>
  <si>
    <t>POLINES DE IMPACTO CORR ALTA PEND PEBB 1</t>
  </si>
  <si>
    <t>POLINES TRANSICION CORR ALTA PEND PEBB 1</t>
  </si>
  <si>
    <t>POLINES GUIA CORREA ALTA PENDI PEBBLES 1</t>
  </si>
  <si>
    <t>POLIN GOLPEADOR CORREA ALTA PEND PEBBL 1</t>
  </si>
  <si>
    <t>TENSOR DE TORNILLO CORR ALTA PEND PEBB 1</t>
  </si>
  <si>
    <t>RASPADOR CORREA RETORNO DE PEBBLES 1</t>
  </si>
  <si>
    <t>ESTRUCTURA PPAL CORREA RETORNO PEBBLES 1</t>
  </si>
  <si>
    <t>CINTA CORREA RETORNO DE PEBBLES 1</t>
  </si>
  <si>
    <t>POLEA DE COLA CORREA RETORNO PEBBLES 1</t>
  </si>
  <si>
    <t>POLINES DE CARGA CORREA RETORN PEBBLES 1</t>
  </si>
  <si>
    <t>POLINES DE TRANSICION CORR RETOR PEBBL 1</t>
  </si>
  <si>
    <t>POLINES DE IMPACTO CORREA RETORNO PEBB 1</t>
  </si>
  <si>
    <t>POLINES AUTOCENTRANTES CARGA RETO PEBB 1</t>
  </si>
  <si>
    <t>POLINES AUTOCENTRANTES RETORNO COR PEB 1</t>
  </si>
  <si>
    <t>TENSOR GRAVITACIONAL CORREA RETOR PEBB 1</t>
  </si>
  <si>
    <t>POLINES DE RETORNO CORREA RETORNO PEBB 1</t>
  </si>
  <si>
    <t>LIMPIADORES 1° Y 2° CORREA RETORN PEBB 1</t>
  </si>
  <si>
    <t>MOTOR ELEC CORREA RETORNO DE PEBBLES 1</t>
  </si>
  <si>
    <t>REDUCTOR CORREA RETORNO DE PEBBLES 1</t>
  </si>
  <si>
    <t>ACOPLAMIENTO CORREA RETORNO DE PEBBLES 1</t>
  </si>
  <si>
    <t>FRENO BACKSTOP CORREA RETORNO PEBBLES 1</t>
  </si>
  <si>
    <t>POLEA MOTRIZ CORREA RETORNO DE PEBBLES 1</t>
  </si>
  <si>
    <t>TENSOR DE TORNILLO CORREA RETORNO PEBB 1</t>
  </si>
  <si>
    <t>MOTOR ELEC BBA ALIMENTAC HIDROCICLONES 1</t>
  </si>
  <si>
    <t>TRANSMISION BBA ALIMENTA HIDROCICLONES 1</t>
  </si>
  <si>
    <t>MOTOR ELEC BBA ALIMENTAC HIDROCICLONES 2</t>
  </si>
  <si>
    <t>TRANSMISION BBA ALIMENTA HIDROCICLONES 2</t>
  </si>
  <si>
    <t>REVESTIMIENTO BATERIA 10 HIDROCICLONES 1</t>
  </si>
  <si>
    <t>BANCO VALVULAS BATERIA 10 HIDROCICLONE 1</t>
  </si>
  <si>
    <t>TABLERO DISTRIB CTRL E INSTRUM HIDROCI 1</t>
  </si>
  <si>
    <t>TROMMEL MOLINO DE BOLAS 1</t>
  </si>
  <si>
    <t>TRUNNION ALIMENTACION MOLINO DE BOLAS 1</t>
  </si>
  <si>
    <t>TRUNNION DESCARGA MOLINO DE BOLAS 1</t>
  </si>
  <si>
    <t>MOTOR ELEC MOLINO DE BOLAS 1</t>
  </si>
  <si>
    <t>ACOPLAMIENTO MOLINO DE BOLAS 1</t>
  </si>
  <si>
    <t>CORONA MOLINO DE BOLAS 1</t>
  </si>
  <si>
    <t>PIÑON MOLINO DE BOLAS 1</t>
  </si>
  <si>
    <t>CONTRA-EJE MOLINO DE BOLAS 1</t>
  </si>
  <si>
    <t>BOMBA SISTEMA DE FRENO MOLINO DE BOLAS 1</t>
  </si>
  <si>
    <t>MORDAZAS MOLINO DE BOLAS 1</t>
  </si>
  <si>
    <t>BOMBA SISTEMA LUBR MOLINO DE BOLAS 1</t>
  </si>
  <si>
    <t>ENGRASADORA AUTOMATICA MOLINO DE BOLAS 1</t>
  </si>
  <si>
    <t>MEDIDOR DE TEMPERATURA MOLINO DE BOLAS 1</t>
  </si>
  <si>
    <t>PLATAFORMA MOLINO DE BOLAS 1</t>
  </si>
  <si>
    <t>BOMBA DE SOPORTE MOLINO DE BOLAS 1</t>
  </si>
  <si>
    <t>REVESTIMIENTOS TAPA MOLINO DE BOLAS 1</t>
  </si>
  <si>
    <t>REVESTIMIENTOS MANTO MOLINO DE BOLAS 1</t>
  </si>
  <si>
    <t>REVESTIMIENTOS TAPA DESCARGA MOL BOLAS 1</t>
  </si>
  <si>
    <t>BOMBA HIDRAULICA UNIDAD HIDRAULICA</t>
  </si>
  <si>
    <t>DISTRIBUIDOR DE FLUJO UNIDAD LUBRICACION</t>
  </si>
  <si>
    <t>CENTRO DISTRIB CARGA BT S.E 7290-SEL-001</t>
  </si>
  <si>
    <t>SWITCHGEAR ZS 1250A, 13,8KV, 31,5KA SALA</t>
  </si>
  <si>
    <t>TRANSFORMADOR DISTRIBU SALA 7290-SEL-001</t>
  </si>
  <si>
    <t>TABLERO DISTRIBUCIO FUERZA 400-231V SALA</t>
  </si>
  <si>
    <t>RACK DE COMUNICACIONES SALA 7290-SEL-001</t>
  </si>
  <si>
    <t>TABLERO DISTRIB ALUMBRADO 400-231V SALA</t>
  </si>
  <si>
    <t>UPS INSTRUMENTAC 20KVA SALA 7290-SEL-001</t>
  </si>
  <si>
    <t>GABINETE DCS SALA ELEC MOL 7290-SEL-001</t>
  </si>
  <si>
    <t>TABLERO INSTRUM 120VCA SALA 7290-SEL-001</t>
  </si>
  <si>
    <t>SCAMPV PANEL CONTR ACC SALA 7290-SEL-001</t>
  </si>
  <si>
    <t>TABLERO CORRIENTE CONTINUA 125V CC SALA</t>
  </si>
  <si>
    <t>BANCO DE BATERIA 125VCC SAL 7290-SEL-001</t>
  </si>
  <si>
    <t>GABINETE KIT EMERGENCIAS Y CAMILLA SALA</t>
  </si>
  <si>
    <t>EQUIPO PRESURIZACION SALA 7290-SEL-001</t>
  </si>
  <si>
    <t xml:space="preserve">CASETA PROTECCION CILINDROS NOVEC SALA </t>
  </si>
  <si>
    <t>EXTINTOR DE INCENDIO SALA 7290-SEL-001</t>
  </si>
  <si>
    <t>RTU SISTEMA SCADA SALA ELEC 7290-SEL-001</t>
  </si>
  <si>
    <t>GAITRONICS SALA ELEC MOLIEN 7290-SEL-001</t>
  </si>
  <si>
    <t>TRANSFORMADOR 3500 Kva SALA 7290-SEL-001</t>
  </si>
  <si>
    <t>DUCTO DE BARRAS 600 V 4.000 A SALA ELEC</t>
  </si>
  <si>
    <t xml:space="preserve">TRANSFORMADOR AISLACION 24 PULSOS SALA </t>
  </si>
  <si>
    <t>VARIADOR DE FRECUENCIA SALA 7290-SEL-002</t>
  </si>
  <si>
    <t>TRANSFORMADOR AISLACION 24 PULSOS S ELEC</t>
  </si>
  <si>
    <t>CCM BT 600V 1600A 65 KA SAL 7290-SEL-002</t>
  </si>
  <si>
    <t>PANEL SIS CONTRA INCENDIO S 7290-SEL-002</t>
  </si>
  <si>
    <t>TABLERO DISTRIBUCION FUERZA 400-231 V</t>
  </si>
  <si>
    <t>TRANSFORMADOR SECO PARA ALUMBRADO SAL EL</t>
  </si>
  <si>
    <t>SALA ELECTRICA CHANCADO 1° 7190</t>
  </si>
  <si>
    <t>CCM BT 600V 1200A 65KA SA ELE CH 1° 7190</t>
  </si>
  <si>
    <t>TRANSFORMADOR SECO 112,5KVA S CH 1° 7190</t>
  </si>
  <si>
    <t>TRANSFORMADOR SECO 30 KVA 600/400-231V</t>
  </si>
  <si>
    <t>TRANSFORMADOR SECO 75 KVA SALA CH1° 7190</t>
  </si>
  <si>
    <t>TABLERO DISTRIB FUERZA SSAA 400-231V CH1</t>
  </si>
  <si>
    <t>FUENTE DE PODER UPS 14 KVA SAL CH1° 7190</t>
  </si>
  <si>
    <t>CASETA PROTECCION CILINDROS NOVEC CH1°</t>
  </si>
  <si>
    <t>TABLERO INSTRUMENT 120VCA SALA CH1° 7190</t>
  </si>
  <si>
    <t>GABINETE KIT EMERGEN Y CAMILLA CH1° 7190</t>
  </si>
  <si>
    <t>EXTINTOR INCENDIO 1 SALA ELEC CH1° 7190</t>
  </si>
  <si>
    <t>EXTINTOR INCENDIO 2 SALA ELEC CH1° 7190</t>
  </si>
  <si>
    <t>SECUENCIADOR HVAC SALA ELEC CH1° 7190</t>
  </si>
  <si>
    <t>EQUIPO PRESURIZACION SALA ELEC CH1° 7190</t>
  </si>
  <si>
    <t>GABINETE DCS SALA ELECTRICA CH1° 7190</t>
  </si>
  <si>
    <t>PANEL SIS CONTRA INCENDIO 31 S CH1° 7190</t>
  </si>
  <si>
    <t>PANEL SIS CONTRA INCENDIO 32 S CH1° 7190</t>
  </si>
  <si>
    <t>SCAMPV PANEL CONTROL ACCESO SA CH1° 7190</t>
  </si>
  <si>
    <t>GAITRONICS SALA ELECTRICA CH1° 7190</t>
  </si>
  <si>
    <t>TELEFONO IP SALA ELECTRICA CH1° 7190</t>
  </si>
  <si>
    <t>TRANSFORMADOR 750 Kva SALA ELE CH1° 7190</t>
  </si>
  <si>
    <t>CAJON DISTRIBUIDOR A FLOTACION 1°</t>
  </si>
  <si>
    <t>UNIDAD HIDRAULICA ACC. VVA. DARDO</t>
  </si>
  <si>
    <t>BOMBA UNIDAD HIDRAULICA ACC. VVA. DARDO</t>
  </si>
  <si>
    <t>ACUMULADOR PRESION UN. HID ACC VVA DARDO</t>
  </si>
  <si>
    <t>ESTANQUE UNIDAD HIDRAULI ACC. VVA. DARDO</t>
  </si>
  <si>
    <t>MOTOR ELE UNIDAD HIDR ACC. VVA. DARDO</t>
  </si>
  <si>
    <t>CORTADOR DE MUESTRA CABEZA FLOT. 1°</t>
  </si>
  <si>
    <t>MUESTREADOR 2° CORTA MUEST CABEZ FLOT 1°</t>
  </si>
  <si>
    <t>MOTOR ELEC CORTADOR MUESTR CABEZ FLOT 1°</t>
  </si>
  <si>
    <t>MOTOR ELEC MUESTREADOR 2 CORT MUES FL 1°</t>
  </si>
  <si>
    <t>MOTOR ELEC BBA RECHAZO CORTA MUEST FL 1°</t>
  </si>
  <si>
    <t>ROTOR CELDA DE FLOTACION ROUGHER CF01</t>
  </si>
  <si>
    <t>ESTATOR CELDA DE FLOTACION ROUGHER CF01</t>
  </si>
  <si>
    <t>PORTA RODAMIENTO CELDA FLOT ROUGHER CF01</t>
  </si>
  <si>
    <t>LUBRICADOR AUTOMATICO CELDA ROUGHER CF01</t>
  </si>
  <si>
    <t>DARDOS TRASPASO CELDA FLOTA ROUGHER CF01</t>
  </si>
  <si>
    <t>RODAPIE CELDA DE FLOTACION ROUGHER CF01</t>
  </si>
  <si>
    <t>ESTANQUE CELDA DE FLOTACION ROUGHER CF01</t>
  </si>
  <si>
    <t>CROWDER CELDA DE FLOTACION ROUGHER CF01</t>
  </si>
  <si>
    <t>BARANDAS Y GREATINGS CELDA ROUGHER CF01</t>
  </si>
  <si>
    <t>MOTOR ELEC CELDA FLOTACION ROUGHER CF01</t>
  </si>
  <si>
    <t>ROTOR CELDA DE FLOTACION ROUGHER CF02</t>
  </si>
  <si>
    <t>ESTATOR CELDA DE FLOTACION ROUGHER CF02</t>
  </si>
  <si>
    <t>PORTA RODAMIENTO CELDA FLOT ROUGHER CF02</t>
  </si>
  <si>
    <t>LUBRICADOR AUTOMATICO CELDA ROUGHER CF02</t>
  </si>
  <si>
    <t>DARDOS TRASPASO CELDA FLOTA ROUGHER CF02</t>
  </si>
  <si>
    <t>RODAPIE CELDA DE FLOTACION ROUGHER CF02</t>
  </si>
  <si>
    <t>ESTANQUE CELDA DE FLOTACION ROUGHER CF02</t>
  </si>
  <si>
    <t>CROWDER CELDA DE FLOTACION ROUGHER CF02</t>
  </si>
  <si>
    <t>BARANDAS Y GREATINGS CELDA ROUGHER CF02</t>
  </si>
  <si>
    <t>MOTOR ELEC CELDA CF02 CELDA ROUGHER CF02</t>
  </si>
  <si>
    <t>ROTOR CELDA DE FLOTACION ROUGHER CF03</t>
  </si>
  <si>
    <t>ESTATOR CELDA DE FLOTACION ROUGHER CF03</t>
  </si>
  <si>
    <t>RODAPIE CELDA DE FLOTACION ROUGHER CF03</t>
  </si>
  <si>
    <t>ESTANQUE CELDA DE FLOTACION ROUGHER CF03</t>
  </si>
  <si>
    <t>CROWDER CELDA DE FLOTACION ROUGHER CF03</t>
  </si>
  <si>
    <t>PORTA RODAMIENTO CELDA ROUGHER CF03</t>
  </si>
  <si>
    <t>LUBRICADOR AUTOMATICO CELDA ROUGHER CF03</t>
  </si>
  <si>
    <t>DARDOS TRASPASO CELDA FLOT ROUGHER CF03</t>
  </si>
  <si>
    <t>BARANDAS Y GREATINGS CELDA ROUGHER CF03</t>
  </si>
  <si>
    <t>MOTOR ELEC CELDA FLOTACION ROUGHER CF03</t>
  </si>
  <si>
    <t>ROTOR CELDA DE FLOTACION ROUGHER CF04</t>
  </si>
  <si>
    <t>ESTATOR CELDA DE FLOTACION ROUGHER CF04</t>
  </si>
  <si>
    <t>RODAPIE CELDA DE FLOTACION ROUGHER CF04</t>
  </si>
  <si>
    <t>ESTANQUE CELDA DE FLOTACION ROUGHER CF04</t>
  </si>
  <si>
    <t>CROWDER CELDA DE FLOTACION ROUGHER CF04</t>
  </si>
  <si>
    <t>PORTA RODAMIENTO CELDA FLOT ROUGHER CF04</t>
  </si>
  <si>
    <t>LUBRICADOR AUTOMATICO CELDA ROUGHER CF04</t>
  </si>
  <si>
    <t>DARDOS TRASPASO CELDA FLOT ROUGHER CF04</t>
  </si>
  <si>
    <t>BARANDAS Y GREATINGS CELDA ROUGHER CF04</t>
  </si>
  <si>
    <t>MOTOR ELEC CELDA FLOTACION ROUGHER CF04</t>
  </si>
  <si>
    <t>ROTOR CELDA DE FLOTACION ROUGHER CF05</t>
  </si>
  <si>
    <t>ESTATOR CELDA DE FLOTACION ROUGHER CF05</t>
  </si>
  <si>
    <t>RODAPIE CELDA DE FLOTACION ROUGHER CF05</t>
  </si>
  <si>
    <t>ESTANQUE CELDA DE FLOTACION ROUGHER CF05</t>
  </si>
  <si>
    <t>CROWDER CELDA DE FLOTACION ROUGHER CF05</t>
  </si>
  <si>
    <t>PORTA RODAMIENTO CELDA FLOT ROUGHER CF05</t>
  </si>
  <si>
    <t>LUBRICADOR AUTOMATICO CELDA ROUGHER CF05</t>
  </si>
  <si>
    <t>DARDOS TRASPASO CELDA FLOTA ROUGHER CF05</t>
  </si>
  <si>
    <t>BARANDAS Y GREATINGS CELDA ROUGHER CF05</t>
  </si>
  <si>
    <t>MOTOR ELEC CELDA FLOTACION ROUGHER CF05</t>
  </si>
  <si>
    <t>ROTOR CELDA DE FLOTACION ROUGHER CF06</t>
  </si>
  <si>
    <t>ESTATOR CELDA DE FLOTACION ROUGHER CF06</t>
  </si>
  <si>
    <t>RODAPIE CELDA DE FLOTACION ROUGHER CF06</t>
  </si>
  <si>
    <t>ESTANQUE CELDA DE FLOTACION ROUGHER CF06</t>
  </si>
  <si>
    <t>CROWDER CELDA DE FLOTACION ROUGHER CF06</t>
  </si>
  <si>
    <t>PORTA RODAMIENTO CELDA FLOT ROUGHER CF06</t>
  </si>
  <si>
    <t>LUBRICADOR AUTOMATICO CELDA ROUGHER CF06</t>
  </si>
  <si>
    <t>DARDOS TRASPASO CELDA FLOTA ROUGHER CF06</t>
  </si>
  <si>
    <t>BARANDAS Y GREATINGS CELDA ROUGHER CF06</t>
  </si>
  <si>
    <t>MOTOR ELEC CELDA FLOTACION ROUGHER CF06</t>
  </si>
  <si>
    <t>ROTOR CELDA DE FLOTACION ROUGHER CF07</t>
  </si>
  <si>
    <t>ESTATOR CELDA DE FLOTACION ROUGHER CF07</t>
  </si>
  <si>
    <t>PORTA RODAMIENTO CELDA FLOT ROUGHER CF07</t>
  </si>
  <si>
    <t>LUBRICADOR AUTOMATICO CELDA ROUGHER CF07</t>
  </si>
  <si>
    <t>DARDOS TRASPASO CELDA FLOTA ROUGHER CF07</t>
  </si>
  <si>
    <t>RODAPIE CELDA DE FLOTACION ROUGHER CF07</t>
  </si>
  <si>
    <t>CROWDER CELDA DE FLOTACION ROUGHER CF07</t>
  </si>
  <si>
    <t>BARANDAS Y GREATINGS CELDA ROUGHER CF07</t>
  </si>
  <si>
    <t>ESTANQUE CELDA DE FLOTACION ROUGHER CF07</t>
  </si>
  <si>
    <t>MOTOR ELEC CELDA FLOTACION ROUGHER CF07</t>
  </si>
  <si>
    <t>ROTOR CELDA DE FLOTACION ROUGHER CF08</t>
  </si>
  <si>
    <t>ESTATOR CELDA DE FLOTACION ROUGHER CF08</t>
  </si>
  <si>
    <t>RODAPIE CELDA DE FLOTACION ROUGHER CF08</t>
  </si>
  <si>
    <t>ESTANQUE CELDA DE FLOTACION ROUGHER CF08</t>
  </si>
  <si>
    <t>CROWDER CELDA DE FLOTACION ROUGHER CF08</t>
  </si>
  <si>
    <t>PORTA RODAMIENTO CELDA FLOT ROUGHER CF08</t>
  </si>
  <si>
    <t>LUBRICADOR AUTOMATICO CELDA ROUGHER CF08</t>
  </si>
  <si>
    <t>DARDOS TRASPASO CELDA FLOTA ROUGHER CF08</t>
  </si>
  <si>
    <t>BARANDAS Y GREATINGS CELDA ROUGHER CF08</t>
  </si>
  <si>
    <t>MOTOR ELEC CELDA FLOTACION ROUGHER CF08</t>
  </si>
  <si>
    <t>ROTOR CELDA DE FLOTACION ROUGHER CF09</t>
  </si>
  <si>
    <t>ESTATOR CELDA DE FLOTACION ROUGHER CF09</t>
  </si>
  <si>
    <t>RODAPIE CELDA DE FLOTACION ROUGHER CF09</t>
  </si>
  <si>
    <t>ESTANQUE CELDA DE FLOTACION ROUGHER CF09</t>
  </si>
  <si>
    <t>CROWDER CELDA DE FLOTACION ROUGHER CF09</t>
  </si>
  <si>
    <t>PORTA RODAMIENTO CELDA FLOT ROUGHER CF09</t>
  </si>
  <si>
    <t>LUBRICADOR AUTOMATICO CELDA ROUGHER CF09</t>
  </si>
  <si>
    <t>DARDOS TRASPASO CELDA FLOTA ROUGHER CF09</t>
  </si>
  <si>
    <t>BARANDAS Y GREATINGS CELDA ROUGHER CF09</t>
  </si>
  <si>
    <t>MOTOR ELEC CELDA FLOTACION ROUGHER CF09</t>
  </si>
  <si>
    <t>ROTOR CELDA DE FLOTACION ROUGHER CF10</t>
  </si>
  <si>
    <t>ESTATOR CELDA DE FLOTACION ROUGHER CF10</t>
  </si>
  <si>
    <t>RODAPIE CELDA DE FLOTACION ROUGHER CF10</t>
  </si>
  <si>
    <t>ESTANQUE CELDA DE FLOTACION ROUGHER CF10</t>
  </si>
  <si>
    <t>CROWDER CELDA DE FLOTACION ROUGHER CF10</t>
  </si>
  <si>
    <t>PORTA RODAMIENTO CELDA FLOT ROUGHER CF10</t>
  </si>
  <si>
    <t>LUBRICADOR AUTOMATICO CELDA ROUGHER CF10</t>
  </si>
  <si>
    <t>DARDOS TRASPASO CELDA FLOTA ROUGHER CF10</t>
  </si>
  <si>
    <t>BARANDAS Y GREATINGS CELDA ROUGHER CF10</t>
  </si>
  <si>
    <t>MOTOR ELEC CELDA FLOTACION ROUGHER CF10</t>
  </si>
  <si>
    <t>ROTOR CELDA DE FLOTACION SCAVENGER CF01</t>
  </si>
  <si>
    <t>PORTA RODAMIENTO CELDA SCAVENGER CF01</t>
  </si>
  <si>
    <t>LUBRICADOR AUTOMATI CELDA SCAVENGER CF01</t>
  </si>
  <si>
    <t>ESTATOR CELDA FLOTACION SCAVENGER CF01</t>
  </si>
  <si>
    <t>DARDOS TRASPASO CELDA SCAVENGER CF01</t>
  </si>
  <si>
    <t>BARANDAS Y GREATINGS CELD SCAVENGER CF01</t>
  </si>
  <si>
    <t>RODAPIE CELDA FLOTACION SCAVENGER CF01</t>
  </si>
  <si>
    <t>ESTANQUE CELDA FLOTACION SCAVENGER CF01</t>
  </si>
  <si>
    <t>CROWDER CELDA FLOTACION SCAVENGER CF01</t>
  </si>
  <si>
    <t>MOTOR ELEC CELDA FLOTACIO SCAVENGER CF01</t>
  </si>
  <si>
    <t>ROTOR CELDA DE FLOTACION SCAVENGER CF02</t>
  </si>
  <si>
    <t>PORTA RODAMIENTO CELDA SCAVENGER CF02</t>
  </si>
  <si>
    <t>LUBRICADOR AUTOMATI CELDA SCAVENGER CF02</t>
  </si>
  <si>
    <t>ESTATOR CELDA FLOTACION SCAVENGER CF02</t>
  </si>
  <si>
    <t>DARDOS TRASPASO CELDA FLO SCAVENGER CF02</t>
  </si>
  <si>
    <t>BARANDAS Y GREATINGS CELD SCAVENGER CF02</t>
  </si>
  <si>
    <t>RODAPIE CELDA FLOTACION SCAVENGER CF02</t>
  </si>
  <si>
    <t>ESTANQUE CELDA FLOTACION SCAVENGER CF02</t>
  </si>
  <si>
    <t>CROWDER CELDA FLOTACION SCAVENGER CF02</t>
  </si>
  <si>
    <t>MOTOR ELEC CELD FLOTACION SCAVENGER CF02</t>
  </si>
  <si>
    <t>ROTOR CELDA DE FLOTACION SCAVENGER CF03</t>
  </si>
  <si>
    <t>PORTA RODAMIENTO CELDA SCAVENGER CF03</t>
  </si>
  <si>
    <t>LUBRICADOR AUTOMATICO CEL SCAVENGER CF03</t>
  </si>
  <si>
    <t>ESTATOR CELDA FLOTACION SCAVENGER CF03</t>
  </si>
  <si>
    <t>DARDOS TRASPASO CELDA FLO SCAVENGER CF03</t>
  </si>
  <si>
    <t>BARANDAS Y GREATINGS CELD SCAVENGER CF03</t>
  </si>
  <si>
    <t>RODAPIE CELDA FLOTACION SCAVENGER CF03</t>
  </si>
  <si>
    <t>ESTANQUE CELDA FLOTACION SCAVENGER CF03</t>
  </si>
  <si>
    <t>CROWDER CELDA FLOTACION SCAVENGER CF03</t>
  </si>
  <si>
    <t>MOTOR ELEC CELD FLOTACION SCAVENGER CF03</t>
  </si>
  <si>
    <t>ROTOR CELDA DE FLOTACION SCAVENGER CF04</t>
  </si>
  <si>
    <t>PORTA RODAMIENTO CELDA SCAVENGER CF04</t>
  </si>
  <si>
    <t>LUBRICADOR AUTOMATICO CEL SCAVENGER CF04</t>
  </si>
  <si>
    <t>ESTATOR CELDA FLOTACION SCAVENGER CF04</t>
  </si>
  <si>
    <t>DARDOS TRASPASO CELDA SCAVENGER CF04</t>
  </si>
  <si>
    <t>BARANDAS Y GREATINGS CELD SCAVENGER CF04</t>
  </si>
  <si>
    <t>RODAPIE CELDA FLOTACION SCAVENGER CF04</t>
  </si>
  <si>
    <t>ESTANQUE CELDA FLOTACION SCAVENGER CF04</t>
  </si>
  <si>
    <t>CROWDER CELDA FLOTACION SCAVENGER CF04</t>
  </si>
  <si>
    <t>MOTOR ELEC CELDA FLOTACIO SCAVENGER CF04</t>
  </si>
  <si>
    <t>ROTOR CELDA DE FLOTACION SCAVENGER CF05</t>
  </si>
  <si>
    <t>PORTA RODAMIENTO CELDA SCAVENGER CF05</t>
  </si>
  <si>
    <t>LUBRICADOR AUTOMATICO CEL SCAVENGER CF05</t>
  </si>
  <si>
    <t>ESTATOR CELDA FLOTACION SCAVENGER CF05</t>
  </si>
  <si>
    <t>DARDOS TRASPASO CELDA FLO SCAVENGER CF05</t>
  </si>
  <si>
    <t>BARANDAS Y GREATINGS CELD SCAVENGER CF05</t>
  </si>
  <si>
    <t>RODAPIE CELDA FLOTACION SCAVENGER CF05</t>
  </si>
  <si>
    <t>ESTANQUE CELDA FLOTACION SCAVENGER CF05</t>
  </si>
  <si>
    <t>CROWDER CELDA FLOTACION SCAVENGER CF05</t>
  </si>
  <si>
    <t>MOTOR ELEC CELDA FLOTACIO SCAVENGER CF05</t>
  </si>
  <si>
    <t>ROTOR CELDA DE FLOTACION SCAVENGER CF06</t>
  </si>
  <si>
    <t>PORTA RODAMIENTO CELDA SCAVENGER CF06</t>
  </si>
  <si>
    <t>LUBRICADOR AUTOMATICO CEL SCAVENGER CF06</t>
  </si>
  <si>
    <t>ESTATOR CELDA FLOTACION SCAVENGER CF06</t>
  </si>
  <si>
    <t>DARDOS TRASPASO CELDA FLO SCAVENGER CF06</t>
  </si>
  <si>
    <t>BARANDAS Y GREATINGS CELD SCAVENGER CF06</t>
  </si>
  <si>
    <t>RODAPIE CELDA FLOTACION SCAVENGER CF06</t>
  </si>
  <si>
    <t>ESTANQUE CELDA FLOTACION SCAVENGER CF06</t>
  </si>
  <si>
    <t>CROWDER CELDA FLOTACION SCAVENGER CF06</t>
  </si>
  <si>
    <t>MOTOR ELEC CELD FLOTACION SCAVENGER CF06</t>
  </si>
  <si>
    <t>ROTOR CELDA DE FLOTACION SCAVENGER CF07</t>
  </si>
  <si>
    <t>PORTA RODAMIENTO CELDA SCAVENGER CF07</t>
  </si>
  <si>
    <t>LUBRICADOR AUTOMATICO CEL SCAVENGER CF07</t>
  </si>
  <si>
    <t>ESTATOR CELDA FLOTACION SCAVENGER CF07</t>
  </si>
  <si>
    <t>BARANDAS Y GREATINGS CELD SCAVENGER CF07</t>
  </si>
  <si>
    <t>DARDOS TRASPASO CELDA FLO SCAVENGER CF07</t>
  </si>
  <si>
    <t>RODAPIE CELDA FLOTACION SCAVENGER CF07</t>
  </si>
  <si>
    <t>ESTANQUE CELDA FLOTACION SCAVENGER CF07</t>
  </si>
  <si>
    <t>CROWDER CELDA FLOTACION SCAVENGER CF07</t>
  </si>
  <si>
    <t>MOTOR ELEC CELDA CF07 CEL SCAVENGER CF07</t>
  </si>
  <si>
    <t>ROTOR CELDA DE FLOTACION SCAVENGER CF08</t>
  </si>
  <si>
    <t>PORTA RODAMIENTO CELDA SCAVENGER CF08</t>
  </si>
  <si>
    <t>LUBRICADOR AUTOMATICO CEL SCAVENGER CF08</t>
  </si>
  <si>
    <t>ESTATOR CELDA FLOTACION SCAVENGER CF08</t>
  </si>
  <si>
    <t>DARDOS TRASPASO CELDA FLO SCAVENGER CF08</t>
  </si>
  <si>
    <t>BARANDAS Y GREATINGS CELD SCAVENGER CF08</t>
  </si>
  <si>
    <t>RODAPIE CELDA DE FLOION SCAVENGER CF08</t>
  </si>
  <si>
    <t>ESTANQUE CELDA FLOTACION SCAVENGER CF08</t>
  </si>
  <si>
    <t>CROWDER CELDA FLOTACION SCAVENGER CF08</t>
  </si>
  <si>
    <t>MOTOR ELEC CELD FLOTACION SCAVENGER CF08</t>
  </si>
  <si>
    <t>PORTA RODAMIENTO CELDA SCAVENGER CF09</t>
  </si>
  <si>
    <t>LUBRICADOR AUTOMATICO CEL SCAVENGER CF09</t>
  </si>
  <si>
    <t>ROTOR CELDA FLOTACION SCAVENGER CF09</t>
  </si>
  <si>
    <t>ESTATOR CELDA FLOTACION SCAVENGER CF09</t>
  </si>
  <si>
    <t>DARDOS TRASPASO CELDA FLO SCAVENGER CF09</t>
  </si>
  <si>
    <t>BARANDAS Y GREATINGS CELD SCAVENGER CF09</t>
  </si>
  <si>
    <t>RODAPIE CELDA FLOTACION SCAVENGER CF09</t>
  </si>
  <si>
    <t>ESTANQUE CELDA FLOTACION SCAVENGER CF09</t>
  </si>
  <si>
    <t>CROWDER CELDA FLOTACION SCAVENGER CF09</t>
  </si>
  <si>
    <t>MOTOR ELEC CELD FLOTACION SCAVENGER CF09</t>
  </si>
  <si>
    <t>ROTOR CELDA DE FLOTACION SCAVENGER CF10</t>
  </si>
  <si>
    <t>PORTA RODAMIENTO CELDA SCAVENGER CF10</t>
  </si>
  <si>
    <t>LUBRICADOR AUTOMATICO CEL SCAVENGER CF10</t>
  </si>
  <si>
    <t>ESTATOR CELDA FLOTACION SCAVENGER CF10</t>
  </si>
  <si>
    <t>DARDOS TRASPASO CELDA FLO SCAVENGER CF10</t>
  </si>
  <si>
    <t>BARANDAS Y GREATINGS CELD SCAVENGER CF10</t>
  </si>
  <si>
    <t>RODAPIE CELDA FLOTACION SCAVENGER CF10</t>
  </si>
  <si>
    <t>ESTANQUE CELDA FLOTACION SCAVENGER CF10</t>
  </si>
  <si>
    <t>CROWDER CELDA FLOTACION SCAVENGER CF10</t>
  </si>
  <si>
    <t>MOTOR ELEC CELDA FLOTACIO SCAVENGER CF10</t>
  </si>
  <si>
    <t>ROTOR CELDA DE FLOTACION SCAVENGER CF11</t>
  </si>
  <si>
    <t>PORTA RODAMIENTO CELDA SCAVENGER CF11</t>
  </si>
  <si>
    <t>LUBRICADOR AUTOMATICO CEL SCAVENGER CF11</t>
  </si>
  <si>
    <t>ESTATOR CELDA FLOTACION SCAVENGER CF11</t>
  </si>
  <si>
    <t>DARDOS TRASPASO CELDA SCAVENGER CF11</t>
  </si>
  <si>
    <t>BARANDAS Y GREATINGS CELD SCAVENGER CF11</t>
  </si>
  <si>
    <t>RODAPIE CELDA FLOTACION SCAVENGER CF11</t>
  </si>
  <si>
    <t>ESTANQUE CELDA FLOTACION SCAVENGER CF11</t>
  </si>
  <si>
    <t>CROWDER CELDA FLOTACION SCAVENGER CF11</t>
  </si>
  <si>
    <t>MOTOR ELEC CELD FLOTACION SCAVENGER CF11</t>
  </si>
  <si>
    <t>ROTOR CELDA DE FLOTACION SCAVENGER CF12</t>
  </si>
  <si>
    <t>PORTA RODAMIENTO CELDA SCAVENGER CF12</t>
  </si>
  <si>
    <t>LUBRICADOR AUTOMATICO CEL SCAVENGER CF12</t>
  </si>
  <si>
    <t>ESTATOR CELDA FLOTACION SCAVENGER CF12</t>
  </si>
  <si>
    <t>DARDOS TRASPASO CELDA FLO SCAVENGER CF12</t>
  </si>
  <si>
    <t>BARANDAS Y GREATINGS CELD SCAVENGER CF12</t>
  </si>
  <si>
    <t>RODAPIE CELDA FLOTACION SCAVENGER CF12</t>
  </si>
  <si>
    <t>ESTANQUE CELDA FLOTACION SCAVENGER CF12</t>
  </si>
  <si>
    <t>CROWDER CELDA FLOTACION SCAVENGER CF12</t>
  </si>
  <si>
    <t>MOTOR ELEC CELD FLOTACION SCAVENGER CF12</t>
  </si>
  <si>
    <t>ROTOR CELDA DE FLOTACION SCAVENGER CF13</t>
  </si>
  <si>
    <t>PORTA RODAMIENTO CELDA SCAVENGER CF13</t>
  </si>
  <si>
    <t>LUBRICADOR AUTOMATICO CEL SCAVENGER CF13</t>
  </si>
  <si>
    <t>ESTATOR CELDA FLOTACION SCAVENGER CF13</t>
  </si>
  <si>
    <t>DARDOS TRASPASO CELDA FLO SCAVENGER CF13</t>
  </si>
  <si>
    <t>BARANDAS Y GREATINGS CELD SCAVENGER CF13</t>
  </si>
  <si>
    <t>RODAPIE CELDA FLOTACION SCAVENGER CF13</t>
  </si>
  <si>
    <t>ESTANQUE CELDA FLOTACION SCAVENGER CF13</t>
  </si>
  <si>
    <t>CROWDER CELDA FLOTACION SCAVENGER CF13</t>
  </si>
  <si>
    <t>MOTOR ELEC CELDA FLOTACIO SCAVENGER CF13</t>
  </si>
  <si>
    <t>ROTOR CELDA DE FLOTACION SCAVENGER CF14</t>
  </si>
  <si>
    <t>PORTA RODAMIENTO CELDA SCAVENGER CF14</t>
  </si>
  <si>
    <t>LUBRICADOR AUTOMATICO CEL SCAVENGER CF14</t>
  </si>
  <si>
    <t>ESTATOR CELDA FLOTACION SCAVENGER CF14</t>
  </si>
  <si>
    <t>DARDOS TRASPASO CELDA FLO SCAVENGER CF14</t>
  </si>
  <si>
    <t>BARANDAS Y GREATINGS CELD SCAVENGER CF14</t>
  </si>
  <si>
    <t>RODAPIE CELDA FLOTACION SCAVENGER CF14</t>
  </si>
  <si>
    <t>ESTANQUE CELDA FLOTACION SCAVENGER CF14</t>
  </si>
  <si>
    <t>CROWDER CELDA FLOTACION SCAVENGER CF14</t>
  </si>
  <si>
    <t>MOTOR ELEC CELDA FLOTACIO SCAVENGER CF14</t>
  </si>
  <si>
    <t>ROTOR CELDA DE FLOTACION SCAVENGER CF15</t>
  </si>
  <si>
    <t>PORTA RODAMIENTO CELDA SCAVENGER CF15</t>
  </si>
  <si>
    <t>LUBRICADOR AUTOMATICO CEL SCAVENGER CF15</t>
  </si>
  <si>
    <t>ESTATOR CELDA FLOTACION SCAVENGER CF15</t>
  </si>
  <si>
    <t>DARDOS TRASPASO CELDA FLO SCAVENGER CF15</t>
  </si>
  <si>
    <t>BARANDAS Y GREATINGS CELD SCAVENGER CF15</t>
  </si>
  <si>
    <t>RODAPIE CELDA FLOTACION SCAVENGER CF15</t>
  </si>
  <si>
    <t>ESTANQUE CELDA FLOTACION SCAVENGER CF15</t>
  </si>
  <si>
    <t>CROWDER CELDA FLOTACION SCAVENGER CF15</t>
  </si>
  <si>
    <t>MOTOR ELEC CELDA FLOTACIO SCAVENGER CF15</t>
  </si>
  <si>
    <t>ROTOR CELDA DE FLOTACION SCAVENGER CF16</t>
  </si>
  <si>
    <t>PORTA RODAMIENTO CELDA SCAVENGER CF16</t>
  </si>
  <si>
    <t>LUBRICADOR AUTOMATICO CEL SCAVENGER CF16</t>
  </si>
  <si>
    <t>ESTATOR CELDA FLOTACION SCAVENGER CF16</t>
  </si>
  <si>
    <t>DARDOS TRASPASO CELDA FLO SCAVENGER CF16</t>
  </si>
  <si>
    <t>BARANDAS Y GREATINGS CELD SCAVENGER CF16</t>
  </si>
  <si>
    <t>RODAPIE CELDA FLOTACION SCAVENGER CF16</t>
  </si>
  <si>
    <t>ESTANQUE CELDA FLOTACION SCAVENGER CF16</t>
  </si>
  <si>
    <t>CROWDER CELDA FLOTACION SCAVENGER CF16</t>
  </si>
  <si>
    <t>MOTOR ELEC CELDA FLOTACIO SCAVENGER CF16</t>
  </si>
  <si>
    <t>ESTANQUE CAJON RECIRCULAC FLOT SCAVENGER</t>
  </si>
  <si>
    <t>MOTOR ELEC BBA RECIRCULACION SCAVENGER</t>
  </si>
  <si>
    <t>MOTOR ELEC UHD ACC. VALVULAS DARDO</t>
  </si>
  <si>
    <t>BOMBA UNIDAD HIDRAULICA ACC VVA. DARDO</t>
  </si>
  <si>
    <t>ACUMULADOR DE PRESION UHD ACC VVA DARDO</t>
  </si>
  <si>
    <t>ESTANQUE UNIDAD HIDRAULICA ACC VVA DARDO</t>
  </si>
  <si>
    <t>CORTADOR DE MUESTRA ALIM. FLOTACION 1°</t>
  </si>
  <si>
    <t>BOMBA MUESTRA ALIM. FLOTACION 1°</t>
  </si>
  <si>
    <t>MOTOR ELEC BBA MUESTRA ALIM FLOTACION 1°</t>
  </si>
  <si>
    <t>MOTOR ELEC BBA CORTADOR DE MUESTRA 1° F1</t>
  </si>
  <si>
    <t>MOTOR ELEC BBA CORTAD MUESTRA CONC 1° F2</t>
  </si>
  <si>
    <t>MOTOR ELEC BBA CORT MUEST C SCAVENGER F1</t>
  </si>
  <si>
    <t>MOTOR ELEC BBA CORT MUEST C SCAVENGER F2</t>
  </si>
  <si>
    <t>MULTIPLEXOR 1 ANALIZADOR DE LEYES</t>
  </si>
  <si>
    <t>MULTIPLEXOR 2 ANALIZADOR DE LEYES</t>
  </si>
  <si>
    <t>GABINETE SONDAS ANALIZADOR DE LEYES</t>
  </si>
  <si>
    <t>DEMULTIPLEXOR ANALIZADOR DE LEYES</t>
  </si>
  <si>
    <t>BOMBA RETORNO MUESTRAS COLAS ANALI LEYES</t>
  </si>
  <si>
    <t>ESTANQUE CAJON DE BOMBEO CONCENTR FINAL</t>
  </si>
  <si>
    <t>ESTANQUE CAJON ALIMENTAC ESPESADOR CONCE</t>
  </si>
  <si>
    <t>MOTOR ELEC BBA IMP CONCE FINAL A ESPESAM</t>
  </si>
  <si>
    <t>MOTOR ELEC BBA MP CONCE FINAL A ESPESAM</t>
  </si>
  <si>
    <t>RASTRA ESPESADOR DE CONCENTRADO</t>
  </si>
  <si>
    <t>FEEDWEELL ESPESADOR DE CONCENTRADO</t>
  </si>
  <si>
    <t>MOTOR HIDR ESPESADOR DE CONCENTRADO</t>
  </si>
  <si>
    <t>CANALETA DE REBALSE ESPESADOR CONCENTRAD</t>
  </si>
  <si>
    <t>BARANDAS Y GREATINGS ESPESADOR CONCENTRA</t>
  </si>
  <si>
    <t>REDUCTOR DE VELOCIDAD ESPESADOR CONCENTR</t>
  </si>
  <si>
    <t>CILINDRO HIDR ESPESADOR DE CONCENTRADO</t>
  </si>
  <si>
    <t>BOMBA UNID HIDR ACCIONAMIENTO VALVULAS 1</t>
  </si>
  <si>
    <t>ACUMULADOR DE PRESION UN HID ACCI VVAS 1</t>
  </si>
  <si>
    <t>ESTANQUE UNIDAD HIDR ACCIONAM VALVULAS 1</t>
  </si>
  <si>
    <t>BOMBA UNIDAD HIDR ACCIONAMIEN VALVULAS 1</t>
  </si>
  <si>
    <t>MOTOR ELEC BBA UNIDAD HIDR ACCION VVAS 1</t>
  </si>
  <si>
    <t>INTERCAMBIADOR CALOR AIRE-ACEITE UHAV 1</t>
  </si>
  <si>
    <t>BOMBA UNID HIDR ACCIONAMIENTO VALVULAS 2</t>
  </si>
  <si>
    <t>ACUMULADOR PRESION UN HIDR ACCION VVAS 2</t>
  </si>
  <si>
    <t>ESTANQUE UNID HIDR ACCIONAMIENTO VVAS 2</t>
  </si>
  <si>
    <t>BOMBA UNIDAD HIDR ACCIONAMIEN VALVULAS 2</t>
  </si>
  <si>
    <t>MOTOR ELEC BBA UNID HIDR ACCIONAM VVAS 2</t>
  </si>
  <si>
    <t>INTERCAMBIADOR CALOR AIRE-ACEITE UHAV 2</t>
  </si>
  <si>
    <t>INTERCAMBIADOR CALOR AIRE-ACEITE UHAV 3</t>
  </si>
  <si>
    <t>BOMBA UNIDAD HIDR ACCIONAMIEN VALVULAS 3</t>
  </si>
  <si>
    <t>ACUMULADOR PRESION UN HIDR ACCION VVAS 3</t>
  </si>
  <si>
    <t>ESTANQUE UNID HIDR ACCIONAMIENTO VVAS 3</t>
  </si>
  <si>
    <t>BOMBA UNIDAD HIDR ACCIONAMIENTO VVAS 3</t>
  </si>
  <si>
    <t>MOTOR ELEC BBA UNID HIDR ACCIONAM VVAS 3</t>
  </si>
  <si>
    <t>BOMBA UNIDAD HIDR ACCIONAMIENTO VVAS 4</t>
  </si>
  <si>
    <t>ACUMULADOR DE UNID HIDR ACCIONAMI VVAS 4</t>
  </si>
  <si>
    <t>ESTANQUE UNID HIDR ACCIONAMIENTO VVAS 4</t>
  </si>
  <si>
    <t>MOTOR ELEC UNI HIDR ACCIONAMIENTO VVAS 1</t>
  </si>
  <si>
    <t>MOTOR ELEC UNI HIDR ACCIONAMIENTO VVAS 2</t>
  </si>
  <si>
    <t>MOTOR ELEC UNI HIDR ACCIONAMIENTO VVAS 3</t>
  </si>
  <si>
    <t>MOTOR ELEC UNI HIDR ACCIONAMIENTO VVAS 4</t>
  </si>
  <si>
    <t>MOTOR ELEC BBA UNID HIDR ACCIONAM VVAS 4</t>
  </si>
  <si>
    <t>INTERCAMBIADOR CALOR AIRE-ACEITE UHAV 4</t>
  </si>
  <si>
    <t>BOMBA ALIMENTACION FILTROS 1</t>
  </si>
  <si>
    <t>BOMBA ALIMENTACION FILTROS 2</t>
  </si>
  <si>
    <t>MOTOR ELEC. BBA ALIMENTACION FILTROS 2</t>
  </si>
  <si>
    <t>MOTOR ELEC. BBA ALIMENTACION FILTROS 1</t>
  </si>
  <si>
    <t>UNIDAD HIDRAULIC FILTRO DE CONCENTRADO 1</t>
  </si>
  <si>
    <t>CALEFACTOR UN HIDR FILTRO CONCENTRADO 1</t>
  </si>
  <si>
    <t>ENFRIADOR UN HIDR FILTRO CONCENTRADO 1</t>
  </si>
  <si>
    <t>MOTOR ELEC ENFRIADOR UHD FILTRO CONCE 1</t>
  </si>
  <si>
    <t>UNIDAD HIDRAULIC FILTRO DE CONCENTRADO 2</t>
  </si>
  <si>
    <t>MOTOR ELEC BBA SUMERGIBLE FILTRADO</t>
  </si>
  <si>
    <t>BOMBA IMPULSION RELAVES A ESPESAMIENTO 1</t>
  </si>
  <si>
    <t>MOTOR ELEC BBA IMP RELAVES A ESPESA 1</t>
  </si>
  <si>
    <t>BOMBA IMPULSION RELAVES A ESPESAMIENTO 2</t>
  </si>
  <si>
    <t>MOTOR ELEC BBA IMP RELAVES A ESPESA 2</t>
  </si>
  <si>
    <t>BOMBA DESCARGA ESPESADOR DE RELAVES 1</t>
  </si>
  <si>
    <t>BOMBA DESCARGA ESPESADOR DE RELAVES 2</t>
  </si>
  <si>
    <t>MOTOR ELEC BBA DESCA ESPESADOR RELAVES 1</t>
  </si>
  <si>
    <t>MOTOR ELEC. BBA DES. ESPESADOR RELAVES 2</t>
  </si>
  <si>
    <t>BOMBA PRECARGA RELAVES 1</t>
  </si>
  <si>
    <t>MOTOR ELEC BBA PRECARGA RELAVES 1</t>
  </si>
  <si>
    <t>BOMBA PRECARGA RELAVES 2</t>
  </si>
  <si>
    <t>MOTOR ELEC. BBA. PRECARGA RELAVES 2</t>
  </si>
  <si>
    <t>MOTOR BBA DESPLAZAMIENTO POSITIVO 2</t>
  </si>
  <si>
    <t>MOTOR BBA LUBRIC BBA DESPLAZ POSITIVO 2</t>
  </si>
  <si>
    <t>MOTOR BBA LUBRIC BBA DESPLAZ POSITIVO 1</t>
  </si>
  <si>
    <t>MOTOR BBA DESPLAZAMIENTO POSITIVO 1</t>
  </si>
  <si>
    <t>MOTOR ELEC BBA SUMERGIBL IMP RELAVEDUCTO</t>
  </si>
  <si>
    <t>MOTOR ELEC BBA SUMERGIBLE PISCINA EMERGE</t>
  </si>
  <si>
    <t>TRANSFORMADOR DISTRIBUCION 150KVA FL7390</t>
  </si>
  <si>
    <t>TABLERO DISTRIBUC FUERZA 400-231V FL7390</t>
  </si>
  <si>
    <t>CENTRO DISTRI CARGA BT 4000A 600V FL7390</t>
  </si>
  <si>
    <t>TABLERO DISTRI ALUMBRADO 400-231V FL7390</t>
  </si>
  <si>
    <t>TRANSFORMADOR ALUMBRADO 30KVA SAL FL7390</t>
  </si>
  <si>
    <t>UPS INSTRUMENTACION 30KVA SALA FL7390</t>
  </si>
  <si>
    <t>TABLERO INTRUMENTACION 120VCA SAL FL7390</t>
  </si>
  <si>
    <t>GABINETE DCS SALA ELEC FLOTACION 7390</t>
  </si>
  <si>
    <t>RACK DE COMUNICACIONES SALA ELEC FL 7390</t>
  </si>
  <si>
    <t>GABINETE KIT EMERGENCIA Y CAMILLA FL7390</t>
  </si>
  <si>
    <t>CASETA PROTECCION CILINDROS NOVEC FL7390</t>
  </si>
  <si>
    <t>PANEL SIST CONTRA INCENDIO 1 SAL FL7390</t>
  </si>
  <si>
    <t>PANEL SIST CONTRA INCENDIO 2 SAL FL7390</t>
  </si>
  <si>
    <t>EQUIPO PRESURIZACION SALA ELEC FLOT 7390</t>
  </si>
  <si>
    <t>GAITRONIC SALA ELEC FLOTACION 7390</t>
  </si>
  <si>
    <t>TABLERO DISTRI ALUMBRADO 400-231V FI7490</t>
  </si>
  <si>
    <t>TRANSFORMADOR DISTRIBUCION 300KVA FI7490</t>
  </si>
  <si>
    <t>VARIADOR FRECUENCIA 110KW 600V 6370-001</t>
  </si>
  <si>
    <t>VARIADOR FRECUENCIA 110KW 600V 6370-002</t>
  </si>
  <si>
    <t>VARIADOR FRECUENCIA 90KW 600V 6350-001</t>
  </si>
  <si>
    <t>VARIADOR FRECUENCIA 90KW 600V 6350-002</t>
  </si>
  <si>
    <t>VARIADOR FRECUENCIA 110KW 600V 07420-001</t>
  </si>
  <si>
    <t>VARIADOR FRECUENCIA 110KW 600V 07420-002</t>
  </si>
  <si>
    <t>VARIADOR FRECUENCIA MT 450KW 07520-001</t>
  </si>
  <si>
    <t>VARIADOR FRECUENCIA MT 450KW 07520-002</t>
  </si>
  <si>
    <t>CENTRO DISTRIBUCION DE CARGA BT FIL 7490</t>
  </si>
  <si>
    <t>TABLERO FUERZA CARGAS CRITICAS FIL 7490</t>
  </si>
  <si>
    <t>CCM BT 600V 1200A 65KA FIL 7490-CCM-001</t>
  </si>
  <si>
    <t>CCM BT 600V 1200A 65KA FIL 7490-CCM-002</t>
  </si>
  <si>
    <t>CCM BT 600V 1200A 65KA FIL 7490-CCM-003</t>
  </si>
  <si>
    <t>UPS INSTRUMENTACION 30KVA FIL 7490</t>
  </si>
  <si>
    <t>GABINETE DCS SALA ELEC FILTRADO 7490</t>
  </si>
  <si>
    <t>RACK COMUNICACIONES SALA ELEC FIL 7490</t>
  </si>
  <si>
    <t>TABLERO INSTRUMENTACION 120VCA FIL 7490</t>
  </si>
  <si>
    <t>SCAMPV PANEL CONTROL ACCESO FIL 7490</t>
  </si>
  <si>
    <t>PANEL SISTEMA CONTRA INCENDIO 7490-0041</t>
  </si>
  <si>
    <t>PANEL SISTEMA CONTRA INCENDIO 7490-0042</t>
  </si>
  <si>
    <t>GABINETE KIT EMERGENCIA Y CAMILLA FI7490</t>
  </si>
  <si>
    <t>AIRE ACONDICI TIPO MOCHILA 07490-ADA-001</t>
  </si>
  <si>
    <t>AIRE ACONDICI TIPO MOCHILA 07490-ADA-002</t>
  </si>
  <si>
    <t>AIRE ACONDICI TIPO MOCHILA 07490-ADA-003</t>
  </si>
  <si>
    <t>AIRE ACONDICI TIPO MOCHILA 07490-ADA-004</t>
  </si>
  <si>
    <t>AIRE ACONDICI TIPO MOCHILA 07490-ADA-005</t>
  </si>
  <si>
    <t>AIRE ACONDICI TIPO MOCHILA 07490-ADA-006</t>
  </si>
  <si>
    <t>SECUENCIADOR HVAC FILTRADO 7490-SADA-001</t>
  </si>
  <si>
    <t>SECUENCIADOR HVAC FILTRADO 7490-SADA-002</t>
  </si>
  <si>
    <t>SECUENCIADOR HVAC FILTRADO 7490-SADA-003</t>
  </si>
  <si>
    <t>EQUIPO PRESURIZACION SALA ELEC FIL 7490</t>
  </si>
  <si>
    <t>EXTINTOR DE INCENDIO FILTRA 7490-EXT-001</t>
  </si>
  <si>
    <t>EXTINTOR DE INCENDIO FILTRA 7490-EXT-002</t>
  </si>
  <si>
    <t>GAITRONIC SALA ELEC FILTRADO 7390-GT-002</t>
  </si>
  <si>
    <t>RACK DE COMUNICACIONES SAL ELEC FIL 7490</t>
  </si>
  <si>
    <t>CASETA PROTECCION CILINDROS NOVEC FI7490</t>
  </si>
  <si>
    <t>CCM BT 600V 1200A 65KA FLOT 7390-CCM-001</t>
  </si>
  <si>
    <t>CCM BT 600V 1200A 65KA FLOT 7390-CCM-002</t>
  </si>
  <si>
    <t>CCM BT 600V 1200A 65KA FLOT 7390-CCM-003</t>
  </si>
  <si>
    <t>CCM BT 600V 1200A 65KA FLOT 7390-CCM-004</t>
  </si>
  <si>
    <t>CCM BT 600V 1200A 65KA FLOT 7390-CCM-005</t>
  </si>
  <si>
    <t>EXTINTOR DE INCENDIO FLOT 7390-EXT-001</t>
  </si>
  <si>
    <t>EXTINTOR DE INCENDIO FLOT 7390-EXT-002</t>
  </si>
  <si>
    <t>AIRE ACONDICIONADO TIPO MOCHILA 7390-001</t>
  </si>
  <si>
    <t>AIRE ACONDICIONADO TIPO MOCHILA 7390-002</t>
  </si>
  <si>
    <t>AIRE ACONDICIONADO TIPO MOCHILA 7390-003</t>
  </si>
  <si>
    <t>AIRE ACONDICIONADO TIPO MOCHILA 7390-004</t>
  </si>
  <si>
    <t>SECUENCIADOR HVAC FLOT 7390-SADA-001</t>
  </si>
  <si>
    <t>SECUENCIADOR HVAC FLOT 7390-SADA-002</t>
  </si>
  <si>
    <t>MOTOR ELEC 1 UN HIDR FILTRO CONCENTRAD 1</t>
  </si>
  <si>
    <t>MOTOR ELEC 2 UN HIDR FILTRO CONCENTRAD 1</t>
  </si>
  <si>
    <t>VALVULA DARDO 1 CAJON DISTR F SCAVENGER</t>
  </si>
  <si>
    <t>VALVULA DARDO 2 CAJON DISTR F SCAVENGER</t>
  </si>
  <si>
    <t>RACK COMUNICACIONES 64 SAL ELE CH1° 7190</t>
  </si>
  <si>
    <t>RACK COMUNICACIONES SALA ELE CH1° 7190</t>
  </si>
  <si>
    <t>AIRE ACONDIC TIPO MOCHILA 1 SA CH1° 7190</t>
  </si>
  <si>
    <t>AIRE ACONDIC TIPO MOCHILA 2 SA CH1° 7190</t>
  </si>
  <si>
    <t>TABLERO DISTRIBUCION FUERZA 1 600V CH1°</t>
  </si>
  <si>
    <t>TABLERO DISTRIBUC FUERZA 2 400-231V CH1°</t>
  </si>
  <si>
    <t>TRANSFORMADOR SECO 140KVA S 7290-SEL-002</t>
  </si>
  <si>
    <t xml:space="preserve">TRANSFORMADOR SECO 240 kVA 0,6/0,3 Kv </t>
  </si>
  <si>
    <t>SECUENCIADOR HVAC PARA 7290 ADA–001/002</t>
  </si>
  <si>
    <t>SECUENCIADOR HVAC PARA 7290 ADA–003/004</t>
  </si>
  <si>
    <t>SECUENCIADOR HVAC PARA 7290 ADA–005/006</t>
  </si>
  <si>
    <t>AIRE ACONDICIONADO TIPO MOCHILA 7290-001</t>
  </si>
  <si>
    <t>AIRE ACONDICIONADO TIPO MOCHILA 7290-002</t>
  </si>
  <si>
    <t>AIRE ACONDICIONADO TIPO MOCHILA 7290-003</t>
  </si>
  <si>
    <t>AIRE ACONDICIONADO TIPO MOCHILA 7290-004</t>
  </si>
  <si>
    <t>AIRE ACONDICIONADO TIPO MOCHILA 7290-005</t>
  </si>
  <si>
    <t>AIRE ACONDICIONADO TIPO MOCHILA 7290-006</t>
  </si>
  <si>
    <t>CARGADOR DE BATERIAS MOLIEN 7290-CBT-001</t>
  </si>
  <si>
    <t>CARGADOR DE BATERIAS MOLIEN 7290-CBT-002</t>
  </si>
  <si>
    <t>PANEL SISTEMA CONTRA INCENDIO 7290-0034</t>
  </si>
  <si>
    <t>PANEL SISTEMA CONTRA INCENDIO 7290-0035</t>
  </si>
  <si>
    <t>VARIADOR DE FRECUENCIA MT335 KW 4KV 001</t>
  </si>
  <si>
    <t>VARIADOR DE FRECUENCIA MT335 KW 4KV 002</t>
  </si>
  <si>
    <t>CCM BT 600V 1200A 65KA MOLIENDA 7290-002</t>
  </si>
  <si>
    <t>CCM BT 600V 300A 65KA MOLIENDA 7290-001</t>
  </si>
  <si>
    <t>MOTOR ELEC UNIDAD LUBR ALIMENTA PLACAS 1</t>
  </si>
  <si>
    <t>PESOMETRO DE CORREA ALIM ACOPIO 1</t>
  </si>
  <si>
    <t>SALA ELECTRICA CHANCADO - 7190</t>
  </si>
  <si>
    <t>SALA ELECTRICA S/E EL COBRE 6540-SEL-001</t>
  </si>
  <si>
    <t>06540-SWG-001</t>
  </si>
  <si>
    <t>PANEL DE CONTROL BAHIA 110 kV</t>
  </si>
  <si>
    <t>06540-PPR-001</t>
  </si>
  <si>
    <t>06540-TRR-001</t>
  </si>
  <si>
    <t>RESISTENCIA PUESTA A TIERRA, 500A, 10s</t>
  </si>
  <si>
    <t>06540-RTR-001</t>
  </si>
  <si>
    <t>06540-DBR-001</t>
  </si>
  <si>
    <t>06540-DBR-002</t>
  </si>
  <si>
    <t>06540-DBR-003</t>
  </si>
  <si>
    <t>TABLERO DISTRIBUCION FUERZA 400-231 VCA</t>
  </si>
  <si>
    <t>06540-TDF-001</t>
  </si>
  <si>
    <t>06540-PPR-002</t>
  </si>
  <si>
    <t>06540-TDC-001</t>
  </si>
  <si>
    <t>CELDA GRIS DOBLE BARRA 13,8 kV, 2500 A</t>
  </si>
  <si>
    <t>06540-SWG-002</t>
  </si>
  <si>
    <t>06540-LIM-001</t>
  </si>
  <si>
    <t>TABLERO GENERAL FUERZA 400-231V</t>
  </si>
  <si>
    <t>06540-TDF-002</t>
  </si>
  <si>
    <t>TABLERO DISTRIBUCION 125 VCA</t>
  </si>
  <si>
    <t>06540-TDC-002</t>
  </si>
  <si>
    <t>PANEL DE SISTEMA CONTRAINCENDIO</t>
  </si>
  <si>
    <t>06540-PCL-0033</t>
  </si>
  <si>
    <t>TABLERO CONTROL DE ACCESO</t>
  </si>
  <si>
    <t>06760-CTP-0086</t>
  </si>
  <si>
    <t>GABINETE KIT DE EMERGENCIA Y CAMILLA</t>
  </si>
  <si>
    <t>06540-KIT-001</t>
  </si>
  <si>
    <t>AREA MURAL Y PLANOS</t>
  </si>
  <si>
    <t>06540-MU-001</t>
  </si>
  <si>
    <t>EXTINTOR DE INCENDIO</t>
  </si>
  <si>
    <t>06540-EXT-001</t>
  </si>
  <si>
    <t>06540-EXT-002</t>
  </si>
  <si>
    <t>CASETA PROTECCION CILINDROS NOVEC</t>
  </si>
  <si>
    <t>06540-FM-001</t>
  </si>
  <si>
    <t>AIRE ACONDICIONADO TIPO MOCHILA</t>
  </si>
  <si>
    <t>06540-ADA-001</t>
  </si>
  <si>
    <t>06540-ADA-002</t>
  </si>
  <si>
    <t>EQUIPO PRESURIZACION</t>
  </si>
  <si>
    <t>06540-EPZ-001</t>
  </si>
  <si>
    <t>06750-UPS-0002</t>
  </si>
  <si>
    <t>06540-UPS-0002</t>
  </si>
  <si>
    <t>06540-TDI-0001</t>
  </si>
  <si>
    <t>GABINETE DE COMUNICACIONES</t>
  </si>
  <si>
    <t>06750-GSM-0072</t>
  </si>
  <si>
    <t>SWITCH DE TRANSFERENCIA UPS</t>
  </si>
  <si>
    <t>06540-STR-001</t>
  </si>
  <si>
    <t>CAMARA CCTV</t>
  </si>
  <si>
    <t>06760-XT-0086</t>
  </si>
  <si>
    <t>06540-TDF-101</t>
  </si>
  <si>
    <t>06540-SADA-001</t>
  </si>
  <si>
    <t>RTU SISTEMA SCADA</t>
  </si>
  <si>
    <t>06540-RTU-001</t>
  </si>
  <si>
    <t>06540-PT-001</t>
  </si>
  <si>
    <t>06540-PT-002</t>
  </si>
  <si>
    <t>07000-SWG-001</t>
  </si>
  <si>
    <t>VARIADOR DE FRECUENCIA 15 kW, 600 V</t>
  </si>
  <si>
    <t>07210-VDF-002</t>
  </si>
  <si>
    <t>VARIADOR DE FRECUENCIA 22 kW, 600 V</t>
  </si>
  <si>
    <t>07210-VDF-011</t>
  </si>
  <si>
    <t>07240-TVF-001</t>
  </si>
  <si>
    <t>07240-TVF-002</t>
  </si>
  <si>
    <t>07290-GPT-001-DDS</t>
  </si>
  <si>
    <t>07290-PRT-001-DDS</t>
  </si>
  <si>
    <t>07290-PRT-002-DDS</t>
  </si>
  <si>
    <t>07290-PRT-003-DDS</t>
  </si>
  <si>
    <t>07290-PRT-004-DDS</t>
  </si>
  <si>
    <t>07290-PRT-005-DDS</t>
  </si>
  <si>
    <t>BANCO DE CONDENSADORES 2,5 MVAR, 13,8 kV</t>
  </si>
  <si>
    <t>07000-BCO-001</t>
  </si>
  <si>
    <t>07000-BCO-002</t>
  </si>
  <si>
    <t>07000-GEN-001</t>
  </si>
  <si>
    <t>07000-TDE-001</t>
  </si>
  <si>
    <t>VARIADOR DE FRECUENCIA 55KW, 600V</t>
  </si>
  <si>
    <t>07330-VDF-001</t>
  </si>
  <si>
    <t>07330-VDF-002</t>
  </si>
  <si>
    <t>VARIADOR DE FRECUENCIA 22KW, 600V</t>
  </si>
  <si>
    <t>07410-VDF-001</t>
  </si>
  <si>
    <t>07410-VDF-002</t>
  </si>
  <si>
    <t>07510-VDF-001</t>
  </si>
  <si>
    <t>07510-VDF-002</t>
  </si>
  <si>
    <t>07390-AE/AIT-0501-07M-DDS</t>
  </si>
  <si>
    <t>07390-AE/AIT-0501-08M-DDS</t>
  </si>
  <si>
    <t>07390-AU-0501A-01M-DDS</t>
  </si>
  <si>
    <t>07390-AU-0501B-01M-DDS</t>
  </si>
  <si>
    <t>07390-AU-0501C-01M-DDS</t>
  </si>
  <si>
    <t>07390-AU-0501D-01M-DDS</t>
  </si>
  <si>
    <t>07390-AU-0501E-01M-DDS</t>
  </si>
  <si>
    <t>07390-DBR-001</t>
  </si>
  <si>
    <t>07390-TBT-001</t>
  </si>
  <si>
    <t>07490-TDF-101</t>
  </si>
  <si>
    <t>VARIADOR DE FRECUENCIA 3.7KW, 600V</t>
  </si>
  <si>
    <t>06370-VDF-003</t>
  </si>
  <si>
    <t>06370-VDF-004</t>
  </si>
  <si>
    <t>VARIADOR DE FRECUENCIA 15KW, 600V</t>
  </si>
  <si>
    <t>07410-VDF-003</t>
  </si>
  <si>
    <t>07410-VDF-004</t>
  </si>
  <si>
    <t>07520-TVF-001</t>
  </si>
  <si>
    <t>07520-TVF-002</t>
  </si>
  <si>
    <t>VARIADOR DE FRECUENCIA 75KW, 600V</t>
  </si>
  <si>
    <t>07520-VDF-011</t>
  </si>
  <si>
    <t>07520-VDF-012</t>
  </si>
  <si>
    <t>TRANSFORMADOR DE DISTRIBUCION, 3,5MVA</t>
  </si>
  <si>
    <t>07490-TBT-001</t>
  </si>
  <si>
    <t>07520-CMD-001</t>
  </si>
  <si>
    <t>07520-CMD-002</t>
  </si>
  <si>
    <t>SET DE LANZAS</t>
  </si>
  <si>
    <t>MOLIENDA DE BOLAS - 7240</t>
  </si>
  <si>
    <t>SALA ELECTRICA SS.EE. EL COBRE - 6541</t>
  </si>
  <si>
    <t>CADENA ALIMENTADOR PLACAS ACOP ESCORIA 2</t>
  </si>
  <si>
    <t>MOTOR ELEC IZAJE TECLE MTTO CTR ACOPIO</t>
  </si>
  <si>
    <t>MOTOR ELEC MONOR TCL POLEA COLA CTR ACOP</t>
  </si>
  <si>
    <t>TENSOR GRAVITACIONAL CTR ALIME MOL SAG 1</t>
  </si>
  <si>
    <t>REVESTIMIENTOS TAPA DESCARGA MOLIN SAG 1</t>
  </si>
  <si>
    <t>BOMBA RETORNO MUESTRAS CONCENTRAD AN LEY</t>
  </si>
  <si>
    <t>SWITCHGEAR 13,8 kV TIPO AIS BARRA SIMPLE</t>
  </si>
  <si>
    <t>DESCONECTADOR DE SEGURIDAD TRIPOLAR GPT1</t>
  </si>
  <si>
    <t>DESCONECTADOR DE SEGURIDAD TRIPOLAR PRT1</t>
  </si>
  <si>
    <t>DESCONECTADOR DE SEGURIDAD TRIPOLAR PRT2</t>
  </si>
  <si>
    <t>DESCONECTADOR DE SEGURIDAD TRIPOLAR PRT3</t>
  </si>
  <si>
    <t>DESCONECTADOR DE SEGURIDAD TRIPOLAR PRT4</t>
  </si>
  <si>
    <t>DESCONECTADOR DE SEGURIDAD TRIPOLAR PRT5</t>
  </si>
  <si>
    <t>GENERADOR DE EMERGENCIA</t>
  </si>
  <si>
    <t>DESCONECTADOR DE SEGURIDAD TRIPOLAR 08M</t>
  </si>
  <si>
    <t>DESCONECTADOR DE SEGURIDAD TRIPOLAR A01M</t>
  </si>
  <si>
    <t>DESCONECTADOR DE SEGURIDAD TRIPOLAR B01M</t>
  </si>
  <si>
    <t>DESCONECTADOR DE SEGURIDAD TRIPOLAR C01M</t>
  </si>
  <si>
    <t>DESCONECTADOR DE SEGURIDAD TRIPOLAR D01M</t>
  </si>
  <si>
    <t>DESCONECTADOR DE SEGURIDAD TRIPOLAR E01M</t>
  </si>
  <si>
    <t>DESCONECTADOR DE SEGURIDAD TRIPOLAR 07M</t>
  </si>
  <si>
    <t>CELDA DESCONECTADOR FUSIBLE CMD1</t>
  </si>
  <si>
    <t>CELDA DESCONECTADOR FUSIBLE CMD2</t>
  </si>
  <si>
    <t>GRUA PESCANTE BBA SUMERGIBLE ESPESAMIENT</t>
  </si>
  <si>
    <t>TRANSFORMADOR DE PODER</t>
  </si>
  <si>
    <t>DUCTO DE BARRAS, NO SEGREGADAS</t>
  </si>
  <si>
    <t>BARRAS ENCAPSULADAS RESINA EPOXY DBR2</t>
  </si>
  <si>
    <t>BARRAS ENCAPSULADAS RESINA EPOXY DBR3</t>
  </si>
  <si>
    <t>PANEL DE CONTROL Y PROTECCION TRANSFO T9</t>
  </si>
  <si>
    <t>SWITCHGEAR GIS, DOBLE BARRA SWG2</t>
  </si>
  <si>
    <t>TABLERO DE DISTRIBUCION PROTECCIONES</t>
  </si>
  <si>
    <t>CASETA VALVULAS RED INCENDIO TRANSFO T9</t>
  </si>
  <si>
    <t>LIMITADOR DE CORRIENTE CORTOCIRCUITO</t>
  </si>
  <si>
    <t>TABLERO ALIMENTACION EQUIPOS TICA</t>
  </si>
  <si>
    <t>TABLERO DE DISTRIBUCION FUERZA SSAA</t>
  </si>
  <si>
    <t>SECUENCIADOR HVAC (P/DOS UNID 001-002)</t>
  </si>
  <si>
    <t>PANEL TERMOSTATO EQUIPO AIRE ACONDIC PT1</t>
  </si>
  <si>
    <t>PANEL TERMOSTATO EQUIPO AIRE ACONDIC PT2</t>
  </si>
  <si>
    <t>PIÑON DE CABEZA ALIMENTAD PLACAS TOLVA 1</t>
  </si>
  <si>
    <t>BANCO DE CONDENSADORES</t>
  </si>
  <si>
    <t>BOMBA RECHAZO CORTAD.MUEST CABEZ FLOT 1°</t>
  </si>
  <si>
    <t>BOMBA CORTAD. DE MUESTRA CONCE. PRIM. F1</t>
  </si>
  <si>
    <t>BOMBA CORTAD. DE MUESTRA CONC. PRIM. F2</t>
  </si>
  <si>
    <t>BOMBA CORTAD. DE MUESTRA C SCAVENGER F1</t>
  </si>
  <si>
    <t>SENSOR TEMPERATURA DESCANSOS PT-100</t>
  </si>
  <si>
    <t>BALIZA SINALIZ. 52 A-N5-40WH-WBR  Tipo W</t>
  </si>
  <si>
    <t>SENSOR DE NIVEL - PN.SN03-T3R008</t>
  </si>
  <si>
    <t>SENSOR DE CICLO - DPCC-12AL00003NA</t>
  </si>
  <si>
    <t>MOTOR SISTEMA DE LUBRICACION A GRASA</t>
  </si>
  <si>
    <t>07210-APC-001-M1</t>
  </si>
  <si>
    <t>07210-APC-001-M2</t>
  </si>
  <si>
    <t>07210-APC-001-M3</t>
  </si>
  <si>
    <t>07210-APC-001-HE1</t>
  </si>
  <si>
    <t>CALEFACTOR EN DEPOSITO</t>
  </si>
  <si>
    <t>07120-APC-001-M1</t>
  </si>
  <si>
    <t>07120-APC-001-M2</t>
  </si>
  <si>
    <t>07120-APC-001-M3</t>
  </si>
  <si>
    <t>07120-APC-001-HE1</t>
  </si>
  <si>
    <t>07120-CHM-001-01M</t>
  </si>
  <si>
    <t>CALENTADOR N02125761 1,5kW</t>
  </si>
  <si>
    <t>07210-APC-002-M4</t>
  </si>
  <si>
    <t>07210-APC-002-M1</t>
  </si>
  <si>
    <t>07210-APC-002-M2</t>
  </si>
  <si>
    <t>07210-APC-002-M3</t>
  </si>
  <si>
    <t>07210-APC-002-HE1</t>
  </si>
  <si>
    <t>PARADA DE EMERGENCIA RS-2 (PULL CORD)</t>
  </si>
  <si>
    <t>07120-HSS-0113A</t>
  </si>
  <si>
    <t>07120-HSS-0113B</t>
  </si>
  <si>
    <t>07120-SE/SSL-0110</t>
  </si>
  <si>
    <t>BOCINA 876-N5  Tipo W</t>
  </si>
  <si>
    <t>07120-YA-0107</t>
  </si>
  <si>
    <t>07120-YL-0107</t>
  </si>
  <si>
    <t>07120-TE/TT-0114A</t>
  </si>
  <si>
    <t>SENSOR TEMPERATURA DESCANSOS PT-101</t>
  </si>
  <si>
    <t>07120-TE/TT-0114B</t>
  </si>
  <si>
    <t>SENSOR DE TEMPERATURA</t>
  </si>
  <si>
    <t>07120-TE-1031A</t>
  </si>
  <si>
    <t>SENSOR NIVEL DE ACEITE</t>
  </si>
  <si>
    <t>07120-LIT-1031</t>
  </si>
  <si>
    <t>07210-HSS-0212A</t>
  </si>
  <si>
    <t>07210- HSS-0212B</t>
  </si>
  <si>
    <t>07210-SE/SSL-0209</t>
  </si>
  <si>
    <t>07210-YA-0206</t>
  </si>
  <si>
    <t>07210-YL-0206</t>
  </si>
  <si>
    <t>07210-TE/TT-0213A</t>
  </si>
  <si>
    <t>07210-TE/TT-0213B</t>
  </si>
  <si>
    <t>07210-TE-1020A</t>
  </si>
  <si>
    <t>07210-LIT-1020</t>
  </si>
  <si>
    <t>07210-APC-001-M4</t>
  </si>
  <si>
    <t>MOTOR ELEC UNIDAD HIDRA ALIMENT PLACAS 2</t>
  </si>
  <si>
    <t>07210-HSS-0223A</t>
  </si>
  <si>
    <t>07210- HSS-0223B</t>
  </si>
  <si>
    <t>07210-YA-0229</t>
  </si>
  <si>
    <t>07210-YL-0229</t>
  </si>
  <si>
    <t>07210-TE/TT-0224A</t>
  </si>
  <si>
    <t>07210-TE/TT-0224B</t>
  </si>
  <si>
    <t>07210-TE-1025A</t>
  </si>
  <si>
    <t>07210-LIT-1025</t>
  </si>
  <si>
    <t>Caracteres (sin guiones)</t>
  </si>
  <si>
    <t>Restar "-"</t>
  </si>
  <si>
    <t>07110-SLZ-001-01M</t>
  </si>
  <si>
    <t>07110-SLZ-001-01-1</t>
  </si>
  <si>
    <t>CARRO LANZAS</t>
  </si>
  <si>
    <t>07210-SLZ-001-01</t>
  </si>
  <si>
    <t>07210-SLZ-001-01M</t>
  </si>
  <si>
    <t>SISTEMA LANZAS ACOPIO 2</t>
  </si>
  <si>
    <t>SISTEMA LANZAS ACOPIO 1</t>
  </si>
  <si>
    <t>07210-SLZ-001-01-1</t>
  </si>
  <si>
    <t>07210-SLZ-002</t>
  </si>
  <si>
    <t>07210-SLZ-002-01</t>
  </si>
  <si>
    <t>07210-SLZ-002-01M</t>
  </si>
  <si>
    <t>07210-SLZ-002-01-1</t>
  </si>
  <si>
    <t>07210-SLZ-002-02</t>
  </si>
  <si>
    <t>07420-SLZ-001-01</t>
  </si>
  <si>
    <t>07420-SLZ-001-01M</t>
  </si>
  <si>
    <t>07420-SLZ-001-01-1</t>
  </si>
  <si>
    <t>07420-SLZ-001-02</t>
  </si>
  <si>
    <t>07120-APC-001-03M</t>
  </si>
  <si>
    <t>SENSOR DE ATOLLO – CT105  TIPO W</t>
  </si>
  <si>
    <t>SENSOR DE ATOLLO – CT201G  TIPO W</t>
  </si>
  <si>
    <t>SENSOR DE VELOCIDAD CERO – RMS 30S TIP W</t>
  </si>
  <si>
    <t>SENSOR DE VELOCIDAD CERO - RMS-1G  TIP W</t>
  </si>
  <si>
    <t>BOCINA 876-N5  TIPO W</t>
  </si>
  <si>
    <t>BALIZA SINALIZ. 52 A-N5-40WH-WBR  TIPO W</t>
  </si>
  <si>
    <t>PLACAS ALIMENTADOR DE PLACAS TOLVA 1</t>
  </si>
  <si>
    <t>BOMBA UNIDAD LUBRIC ALIMENT PLACAS 1</t>
  </si>
  <si>
    <t>BOMBA UNIDAD DE LUBR ALIMEN PLACAS 2</t>
  </si>
  <si>
    <t>BOMBA HIDR UNIDAD ALIM PLACAS N°2</t>
  </si>
  <si>
    <t>ACUMULADOR PRESION UH ALIM PLACA N°2</t>
  </si>
  <si>
    <t>SENSOR DE VELOCIDAD CERO - RMS-1G TIP W</t>
  </si>
  <si>
    <t>SENSOR DE VELOCIDAD CERO - RMS-30S TIP W</t>
  </si>
  <si>
    <t>SENSOR DE VELOCIDAD CERO - RMS-1G TIPO W</t>
  </si>
  <si>
    <t>POLEA DE CABEZA</t>
  </si>
  <si>
    <t>POLEA DE COLA Y CONTRAPESO</t>
  </si>
  <si>
    <t>POLEAS DEFLECTORAS</t>
  </si>
  <si>
    <t>6900 - ALMACENAMIENTO Y DISTRIB REACTIVOS</t>
  </si>
  <si>
    <t>SISTEMA MUESTREO</t>
  </si>
  <si>
    <t>SISTEMA FILTRADO</t>
  </si>
  <si>
    <t xml:space="preserve">SILENCIADOR </t>
  </si>
  <si>
    <t>UPS 120 V, 3 kVA</t>
  </si>
  <si>
    <t>VVA DARDO 1 CAJON DISTRI A FLOTACION 1°</t>
  </si>
  <si>
    <t>VVA DARDO 2 CAJON DISTRI A FLOTACION 1°</t>
  </si>
  <si>
    <t>SENSOR DE ATOLLO – CT201G TIPO W</t>
  </si>
  <si>
    <t>MOTOR ELECTRICO ENFRIADOR 0,75 kW</t>
  </si>
  <si>
    <t>MOTOR ELECTRICO FLUSHING 18kW</t>
  </si>
  <si>
    <t>FLOTACION ROUGHER LINEA 1</t>
  </si>
  <si>
    <t>FLOTACION ROUGHER LINEA 2</t>
  </si>
  <si>
    <t>FLOTACION SCAVENGER LINEA 1</t>
  </si>
  <si>
    <t>FLOTACION SCAVENGER LINEA 2</t>
  </si>
  <si>
    <t>TRANSFORMADOR DE AISLACION 18 PULSOS</t>
  </si>
  <si>
    <t>TABLERO DISTRIBUCION GENERADOR EMERGENCI</t>
  </si>
  <si>
    <t>TRANSFORMADOR DE DISTRIBUCION TBT01</t>
  </si>
  <si>
    <t>TABLERO DISTRIBUCION FUERZA 400-231V</t>
  </si>
  <si>
    <t>TRANSFORMADOR DE AISLACION TVF1</t>
  </si>
  <si>
    <t>TRANSFORMADOR DE AISLACION TVF2</t>
  </si>
  <si>
    <t>BOMBA LUBRICACION BBA DESPLAZ POSITIVO 1</t>
  </si>
  <si>
    <t>BOMBA LUBRICACION BBA DESPLAZ POSITIVO 2</t>
  </si>
  <si>
    <t>6540 - SUBESTACION ELECTRICA EL COBRE</t>
  </si>
  <si>
    <t xml:space="preserve">SISTEMA ELECTRICO </t>
  </si>
  <si>
    <t>SISTEMA DE LEVANTE</t>
  </si>
  <si>
    <t>SISTEMA DESPLAZAMIENTO MONORRIEL</t>
  </si>
  <si>
    <t xml:space="preserve">SISTEMA MOTRIZ </t>
  </si>
  <si>
    <t xml:space="preserve">UNIDAD DE LUBRICACION </t>
  </si>
  <si>
    <t xml:space="preserve">UNIDAD HIDRAULICA </t>
  </si>
  <si>
    <t>07190-TRA-003</t>
  </si>
  <si>
    <t>DISTRIBUCIÓN</t>
  </si>
  <si>
    <t>RECIRCULACION</t>
  </si>
  <si>
    <t>MUESTREO</t>
  </si>
  <si>
    <t>ANALISIS</t>
  </si>
  <si>
    <t>07210-MSG-001-01</t>
  </si>
  <si>
    <t>CHUTE ALIMENTACION MOLINO SAG</t>
  </si>
  <si>
    <t>07210-MSG-001-02</t>
  </si>
  <si>
    <t>CHUTE DESCARGA MOLINO SAG</t>
  </si>
  <si>
    <t>07210-MSG-001-005</t>
  </si>
  <si>
    <t>07210-MAE-001</t>
  </si>
  <si>
    <t>UNIDAD HIDRAULICA SIST. FRENO</t>
  </si>
  <si>
    <t>07210-MSG-001-03</t>
  </si>
  <si>
    <t>07290-ENF-001-01</t>
  </si>
  <si>
    <t>SISTEMA ENFRIAMIENTO MOLINOS (SAG-BOLAS)</t>
  </si>
  <si>
    <t>CHUTE ALIMENTACION MOLINO BOLAS</t>
  </si>
  <si>
    <t>0720-MBO-001-01</t>
  </si>
  <si>
    <t>CHUTE DESCARGA MOLINO BOLAS</t>
  </si>
  <si>
    <t>0720-MBO-001-02</t>
  </si>
  <si>
    <t>07220-MBO-001-03</t>
  </si>
  <si>
    <t>REDUCTOR</t>
  </si>
  <si>
    <t>PESOMETRO</t>
  </si>
  <si>
    <t>SENSOR DE NIVEL ULTRASONICO</t>
  </si>
  <si>
    <t>SENSOR DE NIVEL</t>
  </si>
  <si>
    <t>07310-LIT-0504</t>
  </si>
  <si>
    <t>BOTONERA LOCAL</t>
  </si>
  <si>
    <t>EJE ROTOR CELDA FLOTACION ROUGHER CF01</t>
  </si>
  <si>
    <t>VALVULA NEUMATICA AIRE DE ALIMENTACION</t>
  </si>
  <si>
    <t>VALVULA DE DARDO</t>
  </si>
  <si>
    <t>FLUJOMETRO TERMICO</t>
  </si>
  <si>
    <t>SENSOR NIVEL ULTRASONICO</t>
  </si>
  <si>
    <t xml:space="preserve">SENSOR DE PRESION </t>
  </si>
  <si>
    <t>07330-PIT-593</t>
  </si>
  <si>
    <t>07330-PIT-597</t>
  </si>
  <si>
    <t>07310-LIT-0552</t>
  </si>
  <si>
    <t>BOTONERA CONTROL</t>
  </si>
  <si>
    <t>SISTEMA CONTROL INSTRUMENTACION</t>
  </si>
  <si>
    <t>07410-PIT-703</t>
  </si>
  <si>
    <t>07410-PIT-707</t>
  </si>
  <si>
    <t>SENSOR DE NIVEL INTERFASE</t>
  </si>
  <si>
    <t>SENSOR DE PRESION CAMA</t>
  </si>
  <si>
    <t>SENSOR DE POSICION RASTRA</t>
  </si>
  <si>
    <t>SENSOR DE TEMPERATURA ACEITE</t>
  </si>
  <si>
    <t>SENSOR DE TORQUE RASTRA</t>
  </si>
  <si>
    <t>PANEL DE CONTROL</t>
  </si>
  <si>
    <t>UNIDAD HIDRA. ACCIONAMIENTO VVAS 1</t>
  </si>
  <si>
    <t>UNIDAD HIDRA. ACCIONAMIENTO VVAS 2</t>
  </si>
  <si>
    <t>UNIDAD HIDRA. ACCIONAMIENTO VVAS 3</t>
  </si>
  <si>
    <t>UNIDAD HIDRA. ACCIONAMIENTO VVAS 4</t>
  </si>
  <si>
    <t>07420-LIT-750</t>
  </si>
  <si>
    <t>MOTOR ELEC. AGITADOR</t>
  </si>
  <si>
    <t>07420-AGT-001M</t>
  </si>
  <si>
    <t>07420-PIT-757</t>
  </si>
  <si>
    <t>07420-PIT-753</t>
  </si>
  <si>
    <t>FLUJOMETRO AGUA LAVADO DE TELA</t>
  </si>
  <si>
    <t>VALVULA ALIMENTACION PULPA CONCENTRADO</t>
  </si>
  <si>
    <t>VALVULA ALIMENTACION AGUA LAVADO DE TELA</t>
  </si>
  <si>
    <t>VALVULA ALIMENTACION AIRE</t>
  </si>
  <si>
    <t>TRANSMISOR DE PRESION AIRE SECADO</t>
  </si>
  <si>
    <t>TRANSMISOR DE PRESION  AGUA LAVADO</t>
  </si>
  <si>
    <t xml:space="preserve">PESOMETRO </t>
  </si>
  <si>
    <t>ENCODER MOVIMIIENTO TELA</t>
  </si>
  <si>
    <t>SENSOR POSICION PINZA BLOQUEO</t>
  </si>
  <si>
    <t>SENSOR POSICION SELLO PLACA</t>
  </si>
  <si>
    <t>SENSOR DESALINEAMIENTO DE TELA</t>
  </si>
  <si>
    <t>PLC</t>
  </si>
  <si>
    <t>GABINETE PLC</t>
  </si>
  <si>
    <t>SISTEMA TELA FILTRANTE</t>
  </si>
  <si>
    <t>TELA FILTRANTE</t>
  </si>
  <si>
    <t>SISTEMA TENSOR DE TELA</t>
  </si>
  <si>
    <t>SPROCKET CADENA INFERIOR</t>
  </si>
  <si>
    <t>CADENA DE ESLABONES</t>
  </si>
  <si>
    <t>SISTEMA DE PLACAS</t>
  </si>
  <si>
    <t>BARANDAS Y GREATINGS</t>
  </si>
  <si>
    <t>COLUMNAS</t>
  </si>
  <si>
    <t>UNIDAD LUBRICACIÓN AUTOMÁTICO</t>
  </si>
  <si>
    <t xml:space="preserve">LUBRICADOR </t>
  </si>
  <si>
    <t>FLEXIBLE DE ENGRASE</t>
  </si>
  <si>
    <t>VALVULA PINCH V05</t>
  </si>
  <si>
    <t>VALVULA PINCH V06</t>
  </si>
  <si>
    <t>VALVULA PINCH V07</t>
  </si>
  <si>
    <t>VALVULA PINCH V12</t>
  </si>
  <si>
    <t>VALVULA PINCH V17</t>
  </si>
  <si>
    <t>VALVULA PINCH V27</t>
  </si>
  <si>
    <t>PLACA BASE, PLACA DE FILTRO (DER)</t>
  </si>
  <si>
    <t>PLACA BASE, PLACA DE FILTRO (INF)</t>
  </si>
  <si>
    <t>PLACA BASE, PLACA DE FILTRO (IZQ)</t>
  </si>
  <si>
    <t>VALVULAS PINCH</t>
  </si>
  <si>
    <t>COMPONENTESUNIDAD HIDRÁULICA</t>
  </si>
  <si>
    <t>BOMBA HIDRAULICA</t>
  </si>
  <si>
    <t>ESTANQUE ACEITE HIDRÁULICO</t>
  </si>
  <si>
    <t>SISTEMA ENFRIAMIENTO Y LIMPIEZA</t>
  </si>
  <si>
    <t>ENFRIADOR HPU FILTRO</t>
  </si>
  <si>
    <t>TRANSMISOR  PRESION  UNIDAD HIDRAULICA</t>
  </si>
  <si>
    <t>TRANSMISOR  PRESION   SELLO PAQ. PLACAS</t>
  </si>
  <si>
    <t>VALVULA PROPORCIONAL HID.</t>
  </si>
  <si>
    <t>VALVULA SOLENOIDE</t>
  </si>
  <si>
    <t>MOTOR ELEC. HPU FILTRO DE CONCENTRADO 1</t>
  </si>
  <si>
    <t>CILINDRO HIDRAULICO</t>
  </si>
  <si>
    <t>MOTOR HIDRAULICO</t>
  </si>
  <si>
    <t>TUBERIA HIDRAULICA</t>
  </si>
  <si>
    <t>FLEXIBLE HIDRAULICO</t>
  </si>
  <si>
    <t>VALVULAS</t>
  </si>
  <si>
    <t>PIPING&amp;VALVULAS</t>
  </si>
  <si>
    <t>INTERRUPTOR  DE NIVEL ATOLLO</t>
  </si>
  <si>
    <t>7420-LX/LE-0770</t>
  </si>
  <si>
    <t>SENSOR DE NIVEL TOLVA</t>
  </si>
  <si>
    <t>7420-LIT-0771</t>
  </si>
  <si>
    <t>UNIDAD HIDRAULICA ALIMENTADOR PLACAS N°1</t>
  </si>
  <si>
    <t xml:space="preserve">BOMBA HIDR UNID HIDR ALIM </t>
  </si>
  <si>
    <t>ESTANQUE UNIDAD HID ALIMENTADOR</t>
  </si>
  <si>
    <t xml:space="preserve">MOTOR ELEC UNIDAD HID ALIM </t>
  </si>
  <si>
    <t xml:space="preserve">MOTOR ELÉCTRICO ENFRIADOR </t>
  </si>
  <si>
    <t>7420-ST-777</t>
  </si>
  <si>
    <t xml:space="preserve">INTERRUPTOR CORTE DE CORREA </t>
  </si>
  <si>
    <t>7420-YS-772</t>
  </si>
  <si>
    <t>7420-HSS-774A</t>
  </si>
  <si>
    <t>7420-HSS-774B</t>
  </si>
  <si>
    <t>7420-HSS-774C</t>
  </si>
  <si>
    <t>7420-HSS-774AD</t>
  </si>
  <si>
    <t xml:space="preserve">INTERRUPTOR DESALIEAMIENTO </t>
  </si>
  <si>
    <t>7420-YS-772A</t>
  </si>
  <si>
    <t>7420-YS-772B</t>
  </si>
  <si>
    <t>BOCINA Y BALIZA</t>
  </si>
  <si>
    <t>7420-YL/YA-776</t>
  </si>
  <si>
    <t>7420-WIT-777</t>
  </si>
  <si>
    <t>SENSOR TEMPERATURA</t>
  </si>
  <si>
    <t>7420-TE-775</t>
  </si>
  <si>
    <t>7420-WIT-795</t>
  </si>
  <si>
    <t xml:space="preserve">CHUTE DE DESCARGA </t>
  </si>
  <si>
    <t>07420-CTR-001-1</t>
  </si>
  <si>
    <t xml:space="preserve">CINTA CORREA ALIMENTACION </t>
  </si>
  <si>
    <t>7420-STO-781</t>
  </si>
  <si>
    <t>7420-YSO-782</t>
  </si>
  <si>
    <t>7420-HSS-784A</t>
  </si>
  <si>
    <t>7420-HSS-784B</t>
  </si>
  <si>
    <t>7420-HSS-784C</t>
  </si>
  <si>
    <t>7420-HSS-784D</t>
  </si>
  <si>
    <t>7420-ZS-783A</t>
  </si>
  <si>
    <t>7420-ZS-783B</t>
  </si>
  <si>
    <t>7420-LE-0787</t>
  </si>
  <si>
    <t>INTERRUPTOR  DE NIVEL ATOLLO M.O.</t>
  </si>
  <si>
    <t>7420-LX/LE-0788</t>
  </si>
  <si>
    <t xml:space="preserve"> 07510-PIT-803</t>
  </si>
  <si>
    <t xml:space="preserve">SENSOR TRANSMISOR  PRESION   </t>
  </si>
  <si>
    <t>07510-LIT-800</t>
  </si>
  <si>
    <t>SISTEMA MOTRIZ GIRO RASTRAS</t>
  </si>
  <si>
    <t>SENSOR DE POSICION TELA</t>
  </si>
  <si>
    <t>SENSOR DE POSICION PAQUETE DE PLACAS</t>
  </si>
  <si>
    <t>SENSOR DE POSICION PINZA BLOQUEO</t>
  </si>
  <si>
    <t>SENSOR DE POSICION SELLO PLACA</t>
  </si>
  <si>
    <t>SENSOR SEGURIDAD PUERTAS</t>
  </si>
  <si>
    <t>RASTRA ESPESADOR DE RELAVES</t>
  </si>
  <si>
    <t>FEEDWEELL ESPESADOR DE RELAVES</t>
  </si>
  <si>
    <t>BARANDAS Y GREATINGS ESPESADOR RELAVES</t>
  </si>
  <si>
    <t>REDUCTOR DE VELOCIDAD ESPESADOR RELAVES</t>
  </si>
  <si>
    <t>MOTOR HIDR ESPESADOR DE RELAVES</t>
  </si>
  <si>
    <t>CILINDRO HIDR ESPESADOR DE RELAVES</t>
  </si>
  <si>
    <t xml:space="preserve">SENSOR TRANSMISOR PRESION   </t>
  </si>
  <si>
    <t>SENSOR DE RUPTURA MEMBRANA</t>
  </si>
  <si>
    <t>SENSOR DE PRESION  ACEITE LUBRICACION</t>
  </si>
  <si>
    <t>INTERRUPTOR DE PRESION ACEITE</t>
  </si>
  <si>
    <t>CHANCADO PRIMARIO</t>
  </si>
  <si>
    <t>MOLIENDA SAG</t>
  </si>
  <si>
    <t>SALA ELECTRICA FILTRADO - 7490</t>
  </si>
  <si>
    <t>SALA ELECTRICA FLOTACION - 7390</t>
  </si>
  <si>
    <t>SALAS ELECTRICAS MOLIENDA- MOLINOS -7290</t>
  </si>
  <si>
    <t>07290-SEL-001</t>
  </si>
  <si>
    <t>07390-SEL001</t>
  </si>
  <si>
    <t>06540-SEL-001</t>
  </si>
  <si>
    <t>SWITCHGEAR GIS</t>
  </si>
  <si>
    <t>BARRAS ENCAPSULADA TRIPOLAR DBR1</t>
  </si>
  <si>
    <t>CABEZAL GIS TRIPOLAR</t>
  </si>
  <si>
    <t>SCAMPV PANEL CONTROL ACCESO SALA FL7390</t>
  </si>
  <si>
    <t>PARADA DE MERGENCIA (PULLCORD)</t>
  </si>
  <si>
    <t>SENSOR DE VELOCIDAD CERO</t>
  </si>
  <si>
    <t>TRANSMISOR DE PRESION  UNIDAD HIDRAULICA</t>
  </si>
  <si>
    <t>TRANSMISOR DE PRESION AGUA LAVADO</t>
  </si>
  <si>
    <t>TRANSMISOR DE PRESION SELLO PAQ. PLACAS</t>
  </si>
  <si>
    <t>TCCN-PTE</t>
  </si>
  <si>
    <t>TCCN-PTE-PCH</t>
  </si>
  <si>
    <t>TCCN-PTE-PCH-CNP</t>
  </si>
  <si>
    <t>TCCN-PTE-PCH-CNP-TOL</t>
  </si>
  <si>
    <t>TCCN-PTE-PCH-CNP-SLZ</t>
  </si>
  <si>
    <t>TCCN-PTE-PCH-CNP-SLZ-SHI</t>
  </si>
  <si>
    <t>TCCN-PTE-PCH-CNP-SLZ-SHI-CIH</t>
  </si>
  <si>
    <t>TCCN-PTE-PCH-CNP-SLZ-SHI-BBA</t>
  </si>
  <si>
    <t>TCCN-PTE-PCH-CNP-SLZ-SHI-ETQ</t>
  </si>
  <si>
    <t>TCCN-PTE-PCH-CNP-SLZ-SHI-MOE</t>
  </si>
  <si>
    <t>TCCN-PTE-PCH-CNP-SLZ-SHI-CUH</t>
  </si>
  <si>
    <t>TCCN-PTE-PCH-CNP-SLZ-SME</t>
  </si>
  <si>
    <t>TCCN-PTE-PCH-CNP-SLZ-SME-LAN</t>
  </si>
  <si>
    <t>TCCN-PTE-PCH-CNP-SLZ-SME-CRL</t>
  </si>
  <si>
    <t>TCCN-PTE-PCH-CNP-SLZ-SES</t>
  </si>
  <si>
    <t>TCCN-PTE-PCH-CNP-SLZ-SES-CHU</t>
  </si>
  <si>
    <t>TCCN-PTE-PCH-CNP-APC</t>
  </si>
  <si>
    <t>TCCN-PTE-PCH-CNP-APC-SME</t>
  </si>
  <si>
    <t>TCCN-PTE-PCH-CNP-APC-SME-RUE</t>
  </si>
  <si>
    <t>TCCN-PTE-PCH-CNP-APC-SME-PNN</t>
  </si>
  <si>
    <t>TCCN-PTE-PCH-CNP-APC-SME-CZP</t>
  </si>
  <si>
    <t>TCCN-PTE-PCH-CNP-APC-SME-PLA</t>
  </si>
  <si>
    <t>TCCN-PTE-PCH-CNP-APC-INS</t>
  </si>
  <si>
    <t>TCCN-PTE-PCH-CNP-APC-INS-PE1</t>
  </si>
  <si>
    <t>TCCN-PTE-PCH-CNP-APC-INS-PE2</t>
  </si>
  <si>
    <t>TCCN-PTE-PCH-CNP-APC-INS-SA1</t>
  </si>
  <si>
    <t>TCCN-PTE-PCH-CNP-APC-INS-SA2</t>
  </si>
  <si>
    <t>TCCN-PTE-PCH-CNP-APC-INS-SV1</t>
  </si>
  <si>
    <t>TCCN-PTE-PCH-CNP-APC-INS-SV2</t>
  </si>
  <si>
    <t>TCCN-PTE-PCH-CNP-APC-INS-SS1</t>
  </si>
  <si>
    <t>TCCN-PTE-PCH-CNP-APC-INS-SS2</t>
  </si>
  <si>
    <t>TCCN-PTE-PCH-CNP-APC-INS-BY1</t>
  </si>
  <si>
    <t>TCCN-PTE-PCH-CNP-APC-INS-BLZ</t>
  </si>
  <si>
    <t>TCCN-PTE-PCH-CNP-APC-SLU</t>
  </si>
  <si>
    <t>TCCN-PTE-PCH-CNP-APC-SLU-BBA</t>
  </si>
  <si>
    <t>TCCN-PTE-PCH-CNP-APC-SLU-MOE</t>
  </si>
  <si>
    <t>TCCN-PTE-PCH-CNP-APC-SLU-MNF</t>
  </si>
  <si>
    <t>TCCN-PTE-PCH-CNP-APC-SLU-SSN</t>
  </si>
  <si>
    <t>TCCN-PTE-PCH-CNP-APC-SLU-SSS</t>
  </si>
  <si>
    <t>TCCN-PTE-PCH-CNP-APC-SHI</t>
  </si>
  <si>
    <t>TCCN-PTE-PCH-CNP-APC-SHI-BBA</t>
  </si>
  <si>
    <t>TCCN-PTE-PCH-CNP-APC-SHI-ADP</t>
  </si>
  <si>
    <t>TCCN-PTE-PCH-CNP-APC-SHI-ETQ</t>
  </si>
  <si>
    <t>TCCN-PTE-PCH-CNP-APC-SHI-MO1</t>
  </si>
  <si>
    <t>TCCN-PTE-PCH-CNP-APC-SHI-MO2</t>
  </si>
  <si>
    <t>TCCN-PTE-PCH-CNP-APC-SHI-MO3</t>
  </si>
  <si>
    <t>TCCN-PTE-PCH-CNP-APC-SHI-CUH</t>
  </si>
  <si>
    <t>TCCN-PTE-PCH-CNP-APC-SHI-SST</t>
  </si>
  <si>
    <t>TCCN-PTE-PCH-CNP-APC-SHI-SSN</t>
  </si>
  <si>
    <t>TCCN-PTE-PCH-CNP-APC-SES</t>
  </si>
  <si>
    <t>TCCN-PTE-PCH-CNP-APC-SES-CH1</t>
  </si>
  <si>
    <t>TCCN-PTE-PCH-CNP-APC-SES-CH2</t>
  </si>
  <si>
    <t>TCCN-PTE-PCH-CNP-CHM-SES</t>
  </si>
  <si>
    <t>TCCN-PTE-PCH-CNP-CHM-SES-MDB</t>
  </si>
  <si>
    <t>TCCN-PTE-PCH-CNP-CHM-SES-ART</t>
  </si>
  <si>
    <t>TCCN-PTE-PCH-CNP-CHM-SMO</t>
  </si>
  <si>
    <t>TCCN-PTE-PCH-CNP-CHM-SMO-MOE</t>
  </si>
  <si>
    <t>TCCN-PTE-PCH-CNP-CHM-SMO-TRN</t>
  </si>
  <si>
    <t>TCCN-PTE-PCH-CNP-CHM-SMO-DES</t>
  </si>
  <si>
    <t>TCCN-PTE-PCH-CNP-CHM-INS</t>
  </si>
  <si>
    <t>TCCN-PTE-PCH-CNP-CHM-INS-UCT</t>
  </si>
  <si>
    <t>TCCN-PTE-PCH-CNP-CHM-SHI</t>
  </si>
  <si>
    <t>TCCN-PTE-PCH-CNP-CHM-SHI-BBA</t>
  </si>
  <si>
    <t>TCCN-PTE-PCH-CNP-CHM-SHI-ADP</t>
  </si>
  <si>
    <t>TCCN-PTE-PCH-CNP-CHM-SHI-ETQ</t>
  </si>
  <si>
    <t>TCCN-PTE-PCH-CNP-CHM-SHI-MOE</t>
  </si>
  <si>
    <t>TCCN-PTE-PCH-CNP-CHM-SHI-CUH</t>
  </si>
  <si>
    <t>TCCN-PTE-PCH-CNP-CHM-SLU</t>
  </si>
  <si>
    <t>TCCN-PTE-PCH-CNP-CHM-SLU-MOE</t>
  </si>
  <si>
    <t>TCCN-PTE-PCH-CNP-CHM-SLU-CDV</t>
  </si>
  <si>
    <t>TCCN-PTE-PCH-CNP-CHM-SES-CH1</t>
  </si>
  <si>
    <t>TCCN-PTE-PCH-CNP-CHM-SES-CH2</t>
  </si>
  <si>
    <t>TCCN-PTE-PCH-CNP-CTR</t>
  </si>
  <si>
    <t>TCCN-PTE-PCH-CNP-CTR-SES</t>
  </si>
  <si>
    <t>TCCN-PTE-PCH-CNP-CTR-SES-EST</t>
  </si>
  <si>
    <t>TCCN-PTE-PCH-CNP-CTR-SES-CHU</t>
  </si>
  <si>
    <t>TCCN-PTE-PCH-CNP-CTR-STR</t>
  </si>
  <si>
    <t>TCCN-PTE-PCH-CNP-CTR-STR-CTA</t>
  </si>
  <si>
    <t>TCCN-PTE-PCH-CNP-CTR-STR-PDC</t>
  </si>
  <si>
    <t>TCCN-PTE-PCH-CNP-CTR-STR-PCO</t>
  </si>
  <si>
    <t>TCCN-PTE-PCH-CNP-CTR-STR-PDF</t>
  </si>
  <si>
    <t>TCCN-PTE-PCH-CNP-CTR-STE</t>
  </si>
  <si>
    <t>TCCN-PTE-PCH-CNP-CTR-STE-TEN</t>
  </si>
  <si>
    <t>TCCN-PTE-PCH-CNP-CTR-SMO</t>
  </si>
  <si>
    <t>TCCN-PTE-PCH-CNP-CTR-SMO-MOE</t>
  </si>
  <si>
    <t>TCCN-PTE-PCH-CNP-CTR-SMO-RED</t>
  </si>
  <si>
    <t>TCCN-PTE-PCH-CNP-CTR-SMO-ACP</t>
  </si>
  <si>
    <t>TCCN-PTE-PCH-CNP-CTR-SMO-FSE</t>
  </si>
  <si>
    <t>TCCN-PTE-PCH-CNP-CTR-SMO-PMO</t>
  </si>
  <si>
    <t>TCCN-PTE-PCH-CNP-CTR-SPJ</t>
  </si>
  <si>
    <t>TCCN-PTE-PCH-CNP-CTR-SPJ-PES</t>
  </si>
  <si>
    <t>TCCN-PTE-PCH-CNP-TC1</t>
  </si>
  <si>
    <t>TCCN-PTE-PCH-CNP-TC1-SIZ</t>
  </si>
  <si>
    <t>TCCN-PTE-PCH-CNP-TC1-SIZ-MOE</t>
  </si>
  <si>
    <t>TCCN-PTE-PCH-CNP-TC1-SIZ-RED</t>
  </si>
  <si>
    <t>TCCN-PTE-PCH-CNP-TC1-SIZ-TBO</t>
  </si>
  <si>
    <t>TCCN-PTE-PCH-CNP-TC1-SDZ</t>
  </si>
  <si>
    <t>TCCN-PTE-PCH-CNP-TC1-SDZ-MOE</t>
  </si>
  <si>
    <t>TCCN-PTE-PCH-CNP-TC1-SCE</t>
  </si>
  <si>
    <t>TCCN-PTE-PCH-CNP-TC1-SCE-BTN</t>
  </si>
  <si>
    <t>TCCN-PTE-PCH-CNP-TC2</t>
  </si>
  <si>
    <t>TCCN-PTE-PCH-CNP-TC2-SIZ</t>
  </si>
  <si>
    <t>TCCN-PTE-PCH-CNP-TC2-SIZ-MOE</t>
  </si>
  <si>
    <t>TCCN-PTE-PCH-CNP-TC2-SIZ-RED</t>
  </si>
  <si>
    <t>TCCN-PTE-PCH-CNP-TC2-SIZ-TBO</t>
  </si>
  <si>
    <t>TCCN-PTE-PCH-CNP-TC2-SDZ</t>
  </si>
  <si>
    <t>TCCN-PTE-PCH-CNP-TC2-SDZ-MOE</t>
  </si>
  <si>
    <t>TCCN-PTE-PCH-CNP-TC2-SCE</t>
  </si>
  <si>
    <t>TCCN-PTE-PCH-CNP-TC2-SCE-BTN</t>
  </si>
  <si>
    <t>TCCN-PTE-PCH-CNP-TC3</t>
  </si>
  <si>
    <t>TCCN-PTE-PCH-CNP-TC3-SIZ</t>
  </si>
  <si>
    <t>TCCN-PTE-PCH-CNP-TC3-SIZ-MOE</t>
  </si>
  <si>
    <t>TCCN-PTE-PCH-CNP-TC3-SIZ-RED</t>
  </si>
  <si>
    <t>TCCN-PTE-PCH-CNP-TC3-SIZ-TBO</t>
  </si>
  <si>
    <t>TCCN-PTE-PCH-CNP-TC3-SDZ</t>
  </si>
  <si>
    <t>TCCN-PTE-PCH-CNP-TC3-SDZ-MOE</t>
  </si>
  <si>
    <t>TCCN-PTE-PCH-CNP-TC3-SCE</t>
  </si>
  <si>
    <t>TCCN-PTE-PCH-CNP-TC3-SCE-BTN</t>
  </si>
  <si>
    <t>TCCN-PTE-PCH-CNP-HUI</t>
  </si>
  <si>
    <t>TCCN-PTE-PCH-CNP-HUI-SIZ</t>
  </si>
  <si>
    <t>TCCN-PTE-PCH-CNP-HUI-SIZ-HUI</t>
  </si>
  <si>
    <t>TCCN-PTE-PCH-CNP-HUI-SIZ-MOE</t>
  </si>
  <si>
    <t>TCCN-PTE-PCH-CNP-SD1</t>
  </si>
  <si>
    <t>TCCN-PTE-PCH-CNP-SD1-SHN</t>
  </si>
  <si>
    <t>TCCN-PTE-PCH-CNP-SD1-SHN-BVV</t>
  </si>
  <si>
    <t>TCCN-PTE-PCH-CNP-SD1-INS</t>
  </si>
  <si>
    <t>TCCN-PTE-PCH-CNP-SD1-INS-GAB</t>
  </si>
  <si>
    <t>TCCN-PTE-PCH-CNP-SD2</t>
  </si>
  <si>
    <t>TCCN-PTE-PCH-CNP-SD2-SHN</t>
  </si>
  <si>
    <t>TCCN-PTE-PCH-CNP-SD2-SHN-BVV</t>
  </si>
  <si>
    <t>TCCN-PTE-PCH-CNP-SD2-INS</t>
  </si>
  <si>
    <t>TCCN-PTE-PCH-CNP-SD2-INS-GAB</t>
  </si>
  <si>
    <t>TCCN-PTE-PCH-CNP-SD3</t>
  </si>
  <si>
    <t>TCCN-PTE-PCH-CNP-SD3-SHN</t>
  </si>
  <si>
    <t>TCCN-PTE-PCH-CNP-SD3-SHN-BVV</t>
  </si>
  <si>
    <t>TCCN-PTE-PCH-CNP-SD3-INS</t>
  </si>
  <si>
    <t>TCCN-PTE-PCH-CNP-SD3-INS-GAB</t>
  </si>
  <si>
    <t>TCCN-PTE-PCH-CNP-SD4</t>
  </si>
  <si>
    <t>TCCN-PTE-PCH-CNP-SD4-SHN</t>
  </si>
  <si>
    <t>TCCN-PTE-PCH-CNP-SD4-SHN-BVV</t>
  </si>
  <si>
    <t>TCCN-PTE-PCH-CNP-SD4-INS</t>
  </si>
  <si>
    <t>TCCN-PTE-PCH-CNP-SD4-INS-GAB</t>
  </si>
  <si>
    <t>TCCN-PTE-PCH-CNP-DLO</t>
  </si>
  <si>
    <t>TCCN-PTE-PCH-CNP-TC4</t>
  </si>
  <si>
    <t>TCCN-PTE-PCH-CNP-TC4-SIZ</t>
  </si>
  <si>
    <t>TCCN-PTE-PCH-CNP-TC4-SIZ-MOE</t>
  </si>
  <si>
    <t>TCCN-PTE-PCH-CNP-TC4-SIZ-RED</t>
  </si>
  <si>
    <t>TCCN-PTE-PCH-CNP-TC4-SIZ-TBO</t>
  </si>
  <si>
    <t>TCCN-PTE-PCH-CNP-TC4-SDZ</t>
  </si>
  <si>
    <t>TCCN-PTE-PCH-CNP-TC4-SDZ-MOE</t>
  </si>
  <si>
    <t>TCCN-PTE-PCH-CNP-TC4-SCE</t>
  </si>
  <si>
    <t>TCCN-PTE-PCH-CNP-TC4-SCE-BTN</t>
  </si>
  <si>
    <t>TCCN-PTE-PCH-CNP-TC5</t>
  </si>
  <si>
    <t>TCCN-PTE-PCH-CNP-TC5-SIZ</t>
  </si>
  <si>
    <t>TCCN-PTE-PCH-CNP-TC5-SIZ-MOE</t>
  </si>
  <si>
    <t>TCCN-PTE-PCH-CNP-TC5-SIZ-RED</t>
  </si>
  <si>
    <t>TCCN-PTE-PCH-CNP-TC5-SIZ-TBO</t>
  </si>
  <si>
    <t>TCCN-PTE-PCH-CNP-TC5-SDZ</t>
  </si>
  <si>
    <t>TCCN-PTE-PCH-CNP-TC5-SDZ-MOE</t>
  </si>
  <si>
    <t>TCCN-PTE-PCH-CNP-TC5-SCE</t>
  </si>
  <si>
    <t>TCCN-PTE-PCH-CNP-TC5-SCE-BTN</t>
  </si>
  <si>
    <t>TCCN-PTE-PCH-CNP-TC6</t>
  </si>
  <si>
    <t>TCCN-PTE-PCH-CNP-TC6-SIZ</t>
  </si>
  <si>
    <t>TCCN-PTE-PCH-CNP-TC6-SIZ-MOE</t>
  </si>
  <si>
    <t>TCCN-PTE-PCH-CNP-TC6-SIZ-RED</t>
  </si>
  <si>
    <t>TCCN-PTE-PCH-CNP-TC6-SIZ-TBO</t>
  </si>
  <si>
    <t>TCCN-PTE-PCH-CNP-TC6-SDZ</t>
  </si>
  <si>
    <t>TCCN-PTE-PCH-CNP-TC6-SDZ-MOE</t>
  </si>
  <si>
    <t>TCCN-PTE-PCH-CNP-TC6-SCE</t>
  </si>
  <si>
    <t>TCCN-PTE-PCH-CNP-TC6-SCE-BTN</t>
  </si>
  <si>
    <t>TCCN-PTE-PCH-CNP-TC7</t>
  </si>
  <si>
    <t>TCCN-PTE-PCH-CNP-TC7-SIZ</t>
  </si>
  <si>
    <t>TCCN-PTE-PCH-CNP-TC7-SIZ-MOE</t>
  </si>
  <si>
    <t>TCCN-PTE-PCH-CNP-TC7-SIZ-RED</t>
  </si>
  <si>
    <t>TCCN-PTE-PCH-CNP-TC7-SIZ-TBO</t>
  </si>
  <si>
    <t>TCCN-PTE-PCH-CNP-TC7-SDZ</t>
  </si>
  <si>
    <t>TCCN-PTE-PCH-CNP-TC7-SDZ-MOE</t>
  </si>
  <si>
    <t>TCCN-PTE-PCH-CNP-TC7-SCE</t>
  </si>
  <si>
    <t>TCCN-PTE-PCH-CNP-TC7-SCE-BTN</t>
  </si>
  <si>
    <t>TCCN-PTE-PCH-CNP-STP</t>
  </si>
  <si>
    <t>TCCN-PTE-PCH-CNP-STP-SES</t>
  </si>
  <si>
    <t>TCCN-PTE-PCH-CNP-STP-SES-DSP</t>
  </si>
  <si>
    <t>TCCN-PTE-PCH-CNP-STP-SES-PMD</t>
  </si>
  <si>
    <t>TCCN-PTE-PCH-SEL</t>
  </si>
  <si>
    <t>TCCN-PTE-PCH-SEL-SAE</t>
  </si>
  <si>
    <t>TCCN-PTE-PCH-SEL-SAE-SCE</t>
  </si>
  <si>
    <t>TCCN-PTE-PCH-SEL-SAE-SCE-CCM</t>
  </si>
  <si>
    <t>TCCN-PTE-PCH-SEL-SAE-SCE-TF1</t>
  </si>
  <si>
    <t>TCCN-PTE-PCH-SEL-SAE-SCE-TF2</t>
  </si>
  <si>
    <t>TCCN-PTE-PCH-SEL-SAE-SCE-TF3</t>
  </si>
  <si>
    <t>TCCN-PTE-PCH-SEL-SAE-SCE-TB1</t>
  </si>
  <si>
    <t>TCCN-PTE-PCH-SEL-SAE-SCE-TB2</t>
  </si>
  <si>
    <t>TCCN-PTE-PCH-SEL-SAE-SCE-TB3</t>
  </si>
  <si>
    <t>TCCN-PTE-PCH-SEL-SAE-SCE-FTP</t>
  </si>
  <si>
    <t>TCCN-PTE-PCH-SEL-SAE-SCE-CBN</t>
  </si>
  <si>
    <t>TCCN-PTE-PCH-SEL-SAE-SCE-GA1</t>
  </si>
  <si>
    <t>TCCN-PTE-PCH-SEL-SAE-SCE-EX1</t>
  </si>
  <si>
    <t>TCCN-PTE-PCH-SEL-SAE-SCE-EX2</t>
  </si>
  <si>
    <t>TCCN-PTE-PCH-SEL-SAE-SCE-AC1</t>
  </si>
  <si>
    <t>TCCN-PTE-PCH-SEL-SAE-SCE-AC2</t>
  </si>
  <si>
    <t>TCCN-PTE-PCH-SEL-SAE-SCE-SEC</t>
  </si>
  <si>
    <t>TCCN-PTE-PCH-SEL-SAE-SCE-EQP</t>
  </si>
  <si>
    <t>TCCN-PTE-PCH-SEL-SAE-SCE-TB4</t>
  </si>
  <si>
    <t>TCCN-PTE-PCH-SEL-SAE-SCE-PC1</t>
  </si>
  <si>
    <t>TCCN-PTE-PCH-SEL-SAE-SCE-PC2</t>
  </si>
  <si>
    <t>TCCN-PTE-PCH-SEL-SAE-SCE-GA2</t>
  </si>
  <si>
    <t>TCCN-PTE-PCH-SEL-SAE-SCE-RK1</t>
  </si>
  <si>
    <t>TCCN-PTE-PCH-SEL-SAE-SCE-RK2</t>
  </si>
  <si>
    <t>TCCN-PTE-PCH-SEL-SAE-SCE-SCA</t>
  </si>
  <si>
    <t>TCCN-PTE-PCH-SEL-SAE-SCE-GTS</t>
  </si>
  <si>
    <t>TCCN-PTE-PCH-SEL-SAE-SCE-TIP</t>
  </si>
  <si>
    <t>TCCN-PTE-PCH-SEL-SAE-SCE-TF4</t>
  </si>
  <si>
    <t>TCCN-PTE-PCH-SEL-SAE-SCE-BC1</t>
  </si>
  <si>
    <t>TCCN-PTE-PCH-SEL-SAE-SCE-BC2</t>
  </si>
  <si>
    <t>TCCN-PTE-PCH-SEL-SAE-SCE-BC3</t>
  </si>
  <si>
    <t>TCCN-PTE-PSG</t>
  </si>
  <si>
    <t>TCCN-PTE-PSG-SAG</t>
  </si>
  <si>
    <t>TCCN-PTE-PSG-SAG-SL1</t>
  </si>
  <si>
    <t>TCCN-PTE-PSG-SAG-SL1-SHI</t>
  </si>
  <si>
    <t>TCCN-PTE-PSG-SAG-SL1-SHI-CIH</t>
  </si>
  <si>
    <t>TCCN-PTE-PSG-SAG-SL1-SHI-BBA</t>
  </si>
  <si>
    <t>TCCN-PTE-PSG-SAG-SL1-SHI-ETQ</t>
  </si>
  <si>
    <t>TCCN-PTE-PSG-SAG-SL1-SHI-MOE</t>
  </si>
  <si>
    <t>TCCN-PTE-PSG-SAG-SL1-SHI-CUH</t>
  </si>
  <si>
    <t>TCCN-PTE-PSG-SAG-SL1-SME</t>
  </si>
  <si>
    <t>TCCN-PTE-PSG-SAG-SL1-SME-LAN</t>
  </si>
  <si>
    <t>TCCN-PTE-PSG-SAG-SL1-SME-CRL</t>
  </si>
  <si>
    <t>TCCN-PTE-PSG-SAG-SL1-SES</t>
  </si>
  <si>
    <t>TCCN-PTE-PSG-SAG-SL1-SES-CHU</t>
  </si>
  <si>
    <t>TCCN-PTE-PSG-SAG-AP1</t>
  </si>
  <si>
    <t>TCCN-PTE-PSG-SAG-AP1-SME</t>
  </si>
  <si>
    <t>TCCN-PTE-PSG-SAG-AP1-SME-RUE</t>
  </si>
  <si>
    <t>TCCN-PTE-PSG-SAG-AP1-SME-PNN</t>
  </si>
  <si>
    <t>TCCN-PTE-PSG-SAG-AP1-SME-CZP</t>
  </si>
  <si>
    <t>TCCN-PTE-PSG-SAG-AP1-SME-PLA</t>
  </si>
  <si>
    <t>TCCN-PTE-PSG-SAG-AP1-INS</t>
  </si>
  <si>
    <t>TCCN-PTE-PSG-SAG-AP1-INS-PE1</t>
  </si>
  <si>
    <t>TCCN-PTE-PSG-SAG-AP1-INS-PE2</t>
  </si>
  <si>
    <t>TCCN-PTE-PSG-SAG-AP1-INS-SA1</t>
  </si>
  <si>
    <t>TCCN-PTE-PSG-SAG-AP1-INS-SA2</t>
  </si>
  <si>
    <t>TCCN-PTE-PSG-SAG-AP1-INS-SV1</t>
  </si>
  <si>
    <t>TCCN-PTE-PSG-SAG-AP1-INS-SV2</t>
  </si>
  <si>
    <t>TCCN-PTE-PSG-SAG-AP1-INS-SS1</t>
  </si>
  <si>
    <t>TCCN-PTE-PSG-SAG-AP1-INS-SS2</t>
  </si>
  <si>
    <t>TCCN-PTE-PSG-SAG-AP1-INS-BY1</t>
  </si>
  <si>
    <t>TCCN-PTE-PSG-SAG-AP1-INS-BLZ</t>
  </si>
  <si>
    <t>TCCN-PTE-PSG-SAG-AP1-SLU</t>
  </si>
  <si>
    <t>TCCN-PTE-PSG-SAG-AP1-SLU-BBA</t>
  </si>
  <si>
    <t>TCCN-PTE-PSG-SAG-AP1-SLU-MOE</t>
  </si>
  <si>
    <t>TCCN-PTE-PSG-SAG-AP1-SLU-MNF</t>
  </si>
  <si>
    <t>TCCN-PTE-PSG-SAG-AP1-SLU-SSN</t>
  </si>
  <si>
    <t>TCCN-PTE-PSG-SAG-AP1-SLU-SSS</t>
  </si>
  <si>
    <t>TCCN-PTE-PSG-SAG-AP1-SHI</t>
  </si>
  <si>
    <t>TCCN-PTE-PSG-SAG-AP1-SHI-BBA</t>
  </si>
  <si>
    <t>TCCN-PTE-PSG-SAG-AP1-SHI-ADP</t>
  </si>
  <si>
    <t>TCCN-PTE-PSG-SAG-AP1-SHI-ETQ</t>
  </si>
  <si>
    <t>TCCN-PTE-PSG-SAG-AP1-SHI-MO1</t>
  </si>
  <si>
    <t>TCCN-PTE-PSG-SAG-AP1-SHI-MO2</t>
  </si>
  <si>
    <t>TCCN-PTE-PSG-SAG-AP1-SHI-MO3</t>
  </si>
  <si>
    <t>TCCN-PTE-PSG-SAG-AP1-SHI-CUH</t>
  </si>
  <si>
    <t>TCCN-PTE-PSG-SAG-AP1-SHI-SSN</t>
  </si>
  <si>
    <t>TCCN-PTE-PSG-SAG-AP1-SHI-SST</t>
  </si>
  <si>
    <t>TCCN-PTE-PSG-SAG-AP1-SES</t>
  </si>
  <si>
    <t>TCCN-PTE-PSG-SAG-AP1-SES-CH1</t>
  </si>
  <si>
    <t>TCCN-PTE-PSG-SAG-AP1-SES-CH2</t>
  </si>
  <si>
    <t>TCCN-PTE-PSG-SAG-AP1-SES-CH3</t>
  </si>
  <si>
    <t>TCCN-PTE-PSG-SAG-SL2</t>
  </si>
  <si>
    <t>TCCN-PTE-PSG-SAG-SL2-SHI</t>
  </si>
  <si>
    <t>TCCN-PTE-PSG-SAG-SL2-SHI-CIH</t>
  </si>
  <si>
    <t>TCCN-PTE-PSG-SAG-SL2-SHI-BBA</t>
  </si>
  <si>
    <t>TCCN-PTE-PSG-SAG-SL2-SHI-ETQ</t>
  </si>
  <si>
    <t>TCCN-PTE-PSG-SAG-SL2-SHI-MOE</t>
  </si>
  <si>
    <t>TCCN-PTE-PSG-SAG-SL2-SHI-CUH</t>
  </si>
  <si>
    <t>TCCN-PTE-PSG-SAG-SL2-SME</t>
  </si>
  <si>
    <t>TCCN-PTE-PSG-SAG-SL2-SME-LAN</t>
  </si>
  <si>
    <t>TCCN-PTE-PSG-SAG-SL2-SME-CRL</t>
  </si>
  <si>
    <t>TCCN-PTE-PSG-SAG-SL2-SES</t>
  </si>
  <si>
    <t>TCCN-PTE-PSG-SAG-SL2-SES-CHU</t>
  </si>
  <si>
    <t>TCCN-PTE-PSG-SAG-AP2</t>
  </si>
  <si>
    <t>TCCN-PTE-PSG-SAG-AP2-SME</t>
  </si>
  <si>
    <t>TCCN-PTE-PSG-SAG-AP2-SME-RUE</t>
  </si>
  <si>
    <t>TCCN-PTE-PSG-SAG-AP2-SME-PNN</t>
  </si>
  <si>
    <t>TCCN-PTE-PSG-SAG-AP2-SME-CZP</t>
  </si>
  <si>
    <t>TCCN-PTE-PSG-SAG-AP2-SME-PLA</t>
  </si>
  <si>
    <t>TCCN-PTE-PSG-SAG-AP2-INS</t>
  </si>
  <si>
    <t>TCCN-PTE-PSG-SAG-AP2-INS-PE1</t>
  </si>
  <si>
    <t>TCCN-PTE-PSG-SAG-AP2-INS-PE2</t>
  </si>
  <si>
    <t>TCCN-PTE-PSG-SAG-AP2-INS-SA1</t>
  </si>
  <si>
    <t>TCCN-PTE-PSG-SAG-AP2-INS-SA2</t>
  </si>
  <si>
    <t>TCCN-PTE-PSG-SAG-AP2-INS-SV1</t>
  </si>
  <si>
    <t>TCCN-PTE-PSG-SAG-AP2-INS-SV2</t>
  </si>
  <si>
    <t>TCCN-PTE-PSG-SAG-AP2-INS-SST</t>
  </si>
  <si>
    <t>TCCN-PTE-PSG-SAG-AP2-INS-SSN</t>
  </si>
  <si>
    <t>TCCN-PTE-PSG-SAG-AP2-INS-BY1</t>
  </si>
  <si>
    <t>TCCN-PTE-PSG-SAG-AP2-INS-BLZ</t>
  </si>
  <si>
    <t>TCCN-PTE-PSG-SAG-AP2-SLU</t>
  </si>
  <si>
    <t>TCCN-PTE-PSG-SAG-AP2-SLU-BBA</t>
  </si>
  <si>
    <t>TCCN-PTE-PSG-SAG-AP2-SLU-MOE</t>
  </si>
  <si>
    <t>TCCN-PTE-PSG-SAG-AP2-SLU-MNF</t>
  </si>
  <si>
    <t>TCCN-PTE-PSG-SAG-AP2-SLU-SSN</t>
  </si>
  <si>
    <t>TCCN-PTE-PSG-SAG-AP2-SLU-SSS</t>
  </si>
  <si>
    <t>TCCN-PTE-PSG-SAG-AP2-SHI</t>
  </si>
  <si>
    <t>TCCN-PTE-PSG-SAG-AP2-SHI-BBA</t>
  </si>
  <si>
    <t>TCCN-PTE-PSG-SAG-AP2-SHI-ADP</t>
  </si>
  <si>
    <t>TCCN-PTE-PSG-SAG-AP2-SHI-ETQ</t>
  </si>
  <si>
    <t>TCCN-PTE-PSG-SAG-AP2-SHI-MO1</t>
  </si>
  <si>
    <t>TCCN-PTE-PSG-SAG-AP2-SHI-MO2</t>
  </si>
  <si>
    <t>TCCN-PTE-PSG-SAG-AP2-SHI-MO3</t>
  </si>
  <si>
    <t>TCCN-PTE-PSG-SAG-AP2-SHI-CUH</t>
  </si>
  <si>
    <t>TCCN-PTE-PSG-SAG-AP2-SHI-SST</t>
  </si>
  <si>
    <t>TCCN-PTE-PSG-SAG-AP2-SHI-SSN</t>
  </si>
  <si>
    <t>TCCN-PTE-PSG-SAG-AP2-SES</t>
  </si>
  <si>
    <t>TCCN-PTE-PSG-SAG-AP2-SES-CH1</t>
  </si>
  <si>
    <t>TCCN-PTE-PSG-SAG-AP2-SES-CH2</t>
  </si>
  <si>
    <t>TCCN-PTE-PSG-SAG-AP2-SES-CH3</t>
  </si>
  <si>
    <t>TCCN-PTE-PSG-SAG-CH7</t>
  </si>
  <si>
    <t>TCCN-PTE-PSG-SAG-CH8</t>
  </si>
  <si>
    <t>TCCN-PTE-PSG-SAG-SDP</t>
  </si>
  <si>
    <t>TCCN-PTE-PSG-SAG-SDP-SHN</t>
  </si>
  <si>
    <t>TCCN-PTE-PSG-SAG-SDP-SHN-BVV</t>
  </si>
  <si>
    <t>TCCN-PTE-PSG-SAG-SDP-INS</t>
  </si>
  <si>
    <t>TCCN-PTE-PSG-SAG-SDP-INS-GAB</t>
  </si>
  <si>
    <t>TCCN-PTE-PSG-SAG-CT1</t>
  </si>
  <si>
    <t>TCCN-PTE-PSG-SAG-CT1-SES</t>
  </si>
  <si>
    <t>TCCN-PTE-PSG-SAG-CT1-SES-GUA</t>
  </si>
  <si>
    <t>TCCN-PTE-PSG-SAG-CT1-SES-EST</t>
  </si>
  <si>
    <t>TCCN-PTE-PSG-SAG-CT1-SES-LPS</t>
  </si>
  <si>
    <t>TCCN-PTE-PSG-SAG-CT1-SES-RPD</t>
  </si>
  <si>
    <t>TCCN-PTE-PSG-SAG-CT1-SES-CHU</t>
  </si>
  <si>
    <t>TCCN-PTE-PSG-SAG-CT1-STR</t>
  </si>
  <si>
    <t>TCCN-PTE-PSG-SAG-CT1-STR-CTA</t>
  </si>
  <si>
    <t>TCCN-PTE-PSG-SAG-CT1-STR-PCO</t>
  </si>
  <si>
    <t>TCCN-PTE-PSG-SAG-CT1-STR-PDF</t>
  </si>
  <si>
    <t>TCCN-PTE-PSG-SAG-CT1-STR-PO1</t>
  </si>
  <si>
    <t>TCCN-PTE-PSG-SAG-CT1-STR-PO2</t>
  </si>
  <si>
    <t>TCCN-PTE-PSG-SAG-CT1-STR-PO3</t>
  </si>
  <si>
    <t>TCCN-PTE-PSG-SAG-CT1-STR-PO4</t>
  </si>
  <si>
    <t>TCCN-PTE-PSG-SAG-CT1-STR-PO5</t>
  </si>
  <si>
    <t>TCCN-PTE-PSG-SAG-CT1-STR-PO6</t>
  </si>
  <si>
    <t>TCCN-PTE-PSG-SAG-CT1-STE</t>
  </si>
  <si>
    <t>TCCN-PTE-PSG-SAG-CT1-STE-TEN</t>
  </si>
  <si>
    <t>TCCN-PTE-PSG-SAG-CT1-SMO</t>
  </si>
  <si>
    <t>TCCN-PTE-PSG-SAG-CT1-SMO-PMO</t>
  </si>
  <si>
    <t>TCCN-PTE-PSG-SAG-CT1-SMO-MOE</t>
  </si>
  <si>
    <t>TCCN-PTE-PSG-SAG-CT1-SMO-RED</t>
  </si>
  <si>
    <t>TCCN-PTE-PSG-SAG-CT1-SMO-ACP</t>
  </si>
  <si>
    <t>TCCN-PTE-PSG-SAG-CT1-SMO-FSE</t>
  </si>
  <si>
    <t>TCCN-PTE-PSG-SAG-CT1-INS</t>
  </si>
  <si>
    <t>TCCN-PTE-PSG-SAG-CT1-SPJ</t>
  </si>
  <si>
    <t>TCCN-PTE-PSG-SAG-CT1-SPJ-PES</t>
  </si>
  <si>
    <t>TCCN-PTE-PSG-SAG-MSG</t>
  </si>
  <si>
    <t>TCCN-PTE-PSG-SAG-MSG-SMO</t>
  </si>
  <si>
    <t>TCCN-PTE-PSG-SAG-MSG-SMO-MOE</t>
  </si>
  <si>
    <t>TCCN-PTE-PSG-SAG-MSG-SMO-ACP</t>
  </si>
  <si>
    <t>TCCN-PTE-PSG-SAG-MSG-SMO-COR</t>
  </si>
  <si>
    <t>TCCN-PTE-PSG-SAG-MSG-SMO-PNN</t>
  </si>
  <si>
    <t>TCCN-PTE-PSG-SAG-MSG-SFR</t>
  </si>
  <si>
    <t>TCCN-PTE-PSG-SAG-MSG-SFR-MOE</t>
  </si>
  <si>
    <t>TCCN-PTE-PSG-SAG-MSG-SFR-BBA</t>
  </si>
  <si>
    <t>TCCN-PTE-PSG-SAG-MSG-SFR-MOR</t>
  </si>
  <si>
    <t>TCCN-PTE-PSG-SAG-MSG-SFR-UHD</t>
  </si>
  <si>
    <t>TCCN-PTE-PSG-SAG-MSG-SGR</t>
  </si>
  <si>
    <t>TCCN-PTE-PSG-SAG-MSG-SGR-EGA</t>
  </si>
  <si>
    <t>TCCN-PTE-PSG-SAG-MSG-SLE</t>
  </si>
  <si>
    <t>TCCN-PTE-PSG-SAG-MSG-SLE-PLA</t>
  </si>
  <si>
    <t>TCCN-PTE-PSG-SAG-MSG-SLE-BBA</t>
  </si>
  <si>
    <t>TCCN-PTE-PSG-SAG-MSG-SLE-MOE</t>
  </si>
  <si>
    <t>TCCN-PTE-PSG-SAG-MSG-SES</t>
  </si>
  <si>
    <t>TCCN-PTE-PSG-SAG-MSG-SES-TN1</t>
  </si>
  <si>
    <t>TCCN-PTE-PSG-SAG-MSG-SES-TN2</t>
  </si>
  <si>
    <t>TCCN-PTE-PSG-SAG-MSG-SES-EST</t>
  </si>
  <si>
    <t>TCCN-PTE-PSG-SAG-MSG-SES-RV1</t>
  </si>
  <si>
    <t>TCCN-PTE-PSG-SAG-MSG-SES-RV2</t>
  </si>
  <si>
    <t>TCCN-PTE-PSG-SAG-MSG-SES-RV3</t>
  </si>
  <si>
    <t>TCCN-PTE-PSG-SAG-MSG-SES-ENL</t>
  </si>
  <si>
    <t>TCCN-PTE-PSG-SAG-MSG-SES-TRO</t>
  </si>
  <si>
    <t>TCCN-PTE-PSG-SAG-MSG-SES-CH1</t>
  </si>
  <si>
    <t>TCCN-PTE-PSG-SAG-MSG-SES-CH2</t>
  </si>
  <si>
    <t>TCCN-PTE-PSG-SAG-MSG-SES-CH3</t>
  </si>
  <si>
    <t>TCCN-PTE-PSG-SAG-MSG-SES-CH4</t>
  </si>
  <si>
    <t>TCCN-PTE-PSG-SAG-MSG-SHI</t>
  </si>
  <si>
    <t>TCCN-PTE-PSG-SAG-MSG-SHI-MOE</t>
  </si>
  <si>
    <t>TCCN-PTE-PSG-SAG-MSG-SHI-BBA</t>
  </si>
  <si>
    <t>TCCN-PTE-PSG-SAG-MSG-SHI-ADP</t>
  </si>
  <si>
    <t>TCCN-PTE-PSG-SAG-MSG-SHI-ETQ</t>
  </si>
  <si>
    <t>TCCN-PTE-PSG-SAG-MSG-SCE</t>
  </si>
  <si>
    <t>TCCN-PTE-PSG-SAG-MSG-SLU</t>
  </si>
  <si>
    <t>TCCN-PTE-PSG-SAG-MSG-SLU-BB2</t>
  </si>
  <si>
    <t>TCCN-PTE-PSG-SAG-MSG-SLU-MNF</t>
  </si>
  <si>
    <t>TCCN-PTE-PSG-SAG-MSG-SLU-MOE</t>
  </si>
  <si>
    <t>TCCN-PTE-PSG-SAG-CT2</t>
  </si>
  <si>
    <t>TCCN-PTE-PSG-SAG-CT2-SES</t>
  </si>
  <si>
    <t>TCCN-PTE-PSG-SAG-CT2-SES-GUA</t>
  </si>
  <si>
    <t>TCCN-PTE-PSG-SAG-CT2-SES-EST</t>
  </si>
  <si>
    <t>TCCN-PTE-PSG-SAG-CT2-SES-LPS</t>
  </si>
  <si>
    <t>TCCN-PTE-PSG-SAG-CT2-SES-RPD</t>
  </si>
  <si>
    <t>TCCN-PTE-PSG-SAG-CT2-SES-CHU</t>
  </si>
  <si>
    <t>TCCN-PTE-PSG-SAG-CT2-STR</t>
  </si>
  <si>
    <t>TCCN-PTE-PSG-SAG-CT2-STR-CTA</t>
  </si>
  <si>
    <t>TCCN-PTE-PSG-SAG-CT2-STR-PCO</t>
  </si>
  <si>
    <t>TCCN-PTE-PSG-SAG-CT2-STR-PO1</t>
  </si>
  <si>
    <t>TCCN-PTE-PSG-SAG-CT2-STR-PO2</t>
  </si>
  <si>
    <t>TCCN-PTE-PSG-SAG-CT2-STR-PO3</t>
  </si>
  <si>
    <t>TCCN-PTE-PSG-SAG-CT2-STR-PO4</t>
  </si>
  <si>
    <t>TCCN-PTE-PSG-SAG-CT2-STR-PO5</t>
  </si>
  <si>
    <t>TCCN-PTE-PSG-SAG-CT2-STR-PO6</t>
  </si>
  <si>
    <t>TCCN-PTE-PSG-SAG-CT2-STR-SIC</t>
  </si>
  <si>
    <t>TCCN-PTE-PSG-SAG-CT2-STE</t>
  </si>
  <si>
    <t>TCCN-PTE-PSG-SAG-CT2-STE-TEN</t>
  </si>
  <si>
    <t>TCCN-PTE-PSG-SAG-CT2-SMO</t>
  </si>
  <si>
    <t>TCCN-PTE-PSG-SAG-CT2-SMO-MOE</t>
  </si>
  <si>
    <t>TCCN-PTE-PSG-SAG-CT2-SMO-RED</t>
  </si>
  <si>
    <t>TCCN-PTE-PSG-SAG-CT2-SMO-ACP</t>
  </si>
  <si>
    <t>TCCN-PTE-PSG-SAG-CT2-SMO-FSE</t>
  </si>
  <si>
    <t>TCCN-PTE-PSG-SAG-CT2-SMO-PMO</t>
  </si>
  <si>
    <t>TCCN-PTE-PSG-SAG-CT3</t>
  </si>
  <si>
    <t>TCCN-PTE-PSG-SAG-CT3-SES</t>
  </si>
  <si>
    <t>TCCN-PTE-PSG-SAG-CT3-SES-GUA</t>
  </si>
  <si>
    <t>TCCN-PTE-PSG-SAG-CT3-SES-RPD</t>
  </si>
  <si>
    <t>TCCN-PTE-PSG-SAG-CT3-SES-EST</t>
  </si>
  <si>
    <t>TCCN-PTE-PSG-SAG-CT3-SES-CHU</t>
  </si>
  <si>
    <t>TCCN-PTE-PSG-SAG-CT3-STR</t>
  </si>
  <si>
    <t>TCCN-PTE-PSG-SAG-CT3-STR-CTA</t>
  </si>
  <si>
    <t>TCCN-PTE-PSG-SAG-CT3-STR-PCO</t>
  </si>
  <si>
    <t>TCCN-PTE-PSG-SAG-CT3-STR-PDF</t>
  </si>
  <si>
    <t>TCCN-PTE-PSG-SAG-CT3-STR-RUE</t>
  </si>
  <si>
    <t>TCCN-PTE-PSG-SAG-CT3-STR-PO1</t>
  </si>
  <si>
    <t>TCCN-PTE-PSG-SAG-CT3-STR-PO2</t>
  </si>
  <si>
    <t>TCCN-PTE-PSG-SAG-CT3-STR-PO3</t>
  </si>
  <si>
    <t>TCCN-PTE-PSG-SAG-CT3-STR-PO4</t>
  </si>
  <si>
    <t>TCCN-PTE-PSG-SAG-CT3-STR-PO5</t>
  </si>
  <si>
    <t>TCCN-PTE-PSG-SAG-CT3-STR-PO6</t>
  </si>
  <si>
    <t>TCCN-PTE-PSG-SAG-CT3-STE</t>
  </si>
  <si>
    <t>TCCN-PTE-PSG-SAG-CT3-STE-TEN</t>
  </si>
  <si>
    <t>TCCN-PTE-PSG-SAG-CT3-SMO</t>
  </si>
  <si>
    <t>TCCN-PTE-PSG-SAG-CT3-SMO-MOE</t>
  </si>
  <si>
    <t>TCCN-PTE-PSG-SAG-CT3-SMO-RED</t>
  </si>
  <si>
    <t>TCCN-PTE-PSG-SAG-CT3-SMO-ACP</t>
  </si>
  <si>
    <t>TCCN-PTE-PSG-SAG-CT3-SMO-PMO</t>
  </si>
  <si>
    <t>TCCN-PTE-PSG-SAG-CT3-SMO-FSE</t>
  </si>
  <si>
    <t>TCCN-PTE-PSG-SAG-CT3-INS</t>
  </si>
  <si>
    <t>TCCN-PTE-PSG-SAG-CT4</t>
  </si>
  <si>
    <t>TCCN-PTE-PSG-SAG-CT4-SES</t>
  </si>
  <si>
    <t>TCCN-PTE-PSG-SAG-CT4-SES-GUA</t>
  </si>
  <si>
    <t>TCCN-PTE-PSG-SAG-CT4-SES-LPS</t>
  </si>
  <si>
    <t>TCCN-PTE-PSG-SAG-CT4-SES-RPD</t>
  </si>
  <si>
    <t>TCCN-PTE-PSG-SAG-CT4-SES-EST</t>
  </si>
  <si>
    <t>TCCN-PTE-PSG-SAG-CT4-SES-CHU</t>
  </si>
  <si>
    <t>TCCN-PTE-PSG-SAG-CT4-STR</t>
  </si>
  <si>
    <t>TCCN-PTE-PSG-SAG-CT4-STR-CTA</t>
  </si>
  <si>
    <t>TCCN-PTE-PSG-SAG-CT4-STR-PCO</t>
  </si>
  <si>
    <t>TCCN-PTE-PSG-SAG-CT4-STR-PO1</t>
  </si>
  <si>
    <t>TCCN-PTE-PSG-SAG-CT4-STR-PO2</t>
  </si>
  <si>
    <t>TCCN-PTE-PSG-SAG-CT4-STR-PO3</t>
  </si>
  <si>
    <t>TCCN-PTE-PSG-SAG-CT4-STR-PO4</t>
  </si>
  <si>
    <t>TCCN-PTE-PSG-SAG-CT4-STR-PO5</t>
  </si>
  <si>
    <t>TCCN-PTE-PSG-SAG-CT4-STR-PO6</t>
  </si>
  <si>
    <t>TCCN-PTE-PSG-SAG-CT4-STR-TEN</t>
  </si>
  <si>
    <t>TCCN-PTE-PSG-SAG-CT4-SMO</t>
  </si>
  <si>
    <t>TCCN-PTE-PSG-SAG-CT4-SMO-MOE</t>
  </si>
  <si>
    <t>TCCN-PTE-PSG-SAG-CT4-SMO-RED</t>
  </si>
  <si>
    <t>TCCN-PTE-PSG-SAG-CT4-SMO-ACP</t>
  </si>
  <si>
    <t>TCCN-PTE-PSG-SAG-CT4-SMO-FSE</t>
  </si>
  <si>
    <t>TCCN-PTE-PSG-SAG-CT4-SMO-PMO</t>
  </si>
  <si>
    <t>TCCN-PTE-PSG-SAG-CT4-INS</t>
  </si>
  <si>
    <t>TCCN-PTE-PSG-SAG-CT4-STE</t>
  </si>
  <si>
    <t>TCCN-PTE-PSG-SAG-CT4-STE-TEN</t>
  </si>
  <si>
    <t>TCCN-PTE-PSG-SAG-ENF</t>
  </si>
  <si>
    <t>TCCN-PTE-PSG-MSC</t>
  </si>
  <si>
    <t>TCCN-PTE-PSG-MSC-B01</t>
  </si>
  <si>
    <t>TCCN-PTE-PSG-MSC-B01-SMO</t>
  </si>
  <si>
    <t>TCCN-PTE-PSG-MSC-B01-SMO-MOE</t>
  </si>
  <si>
    <t>TCCN-PTE-PSG-MSC-B01-SCP-TRN</t>
  </si>
  <si>
    <t>TCCN-PTE-PSG-MSC-B02</t>
  </si>
  <si>
    <t>TCCN-PTE-PSG-MSC-B02-SMO</t>
  </si>
  <si>
    <t>TCCN-PTE-PSG-MSC-B02-SMO-MOE</t>
  </si>
  <si>
    <t>TCCN-PTE-PSG-MSC-B02-SCP-TRN</t>
  </si>
  <si>
    <t>TCCN-PTE-PSG-MSC-BHI</t>
  </si>
  <si>
    <t>TCCN-PTE-PSG-MSC-BHI-SES</t>
  </si>
  <si>
    <t>TCCN-PTE-PSG-MSC-BHI-SES-RVT</t>
  </si>
  <si>
    <t>TCCN-PTE-PSG-MSC-BHI-SES-BVV</t>
  </si>
  <si>
    <t>TCCN-PTE-PSG-MSC-BHI-INS</t>
  </si>
  <si>
    <t>TCCN-PTE-PSG-MSC-BHI-INS-TB1</t>
  </si>
  <si>
    <t>TCCN-PTE-PSG-MSC-MBO</t>
  </si>
  <si>
    <t>TCCN-PTE-PSG-MSC-MBO-SES</t>
  </si>
  <si>
    <t>TCCN-PTE-PSG-MSC-MBO-SES-TRO</t>
  </si>
  <si>
    <t>TCCN-PTE-PSG-MSC-MBO-SES-TN1</t>
  </si>
  <si>
    <t>TCCN-PTE-PSG-MSC-MBO-SES-TN2</t>
  </si>
  <si>
    <t>TCCN-PTE-PSG-MSC-MBO-SES-CH1</t>
  </si>
  <si>
    <t>TCCN-PTE-PSG-MSC-MBO-SES-CH2</t>
  </si>
  <si>
    <t>TCCN-PTE-PSG-MSC-MBO-SMO</t>
  </si>
  <si>
    <t>TCCN-PTE-PSG-MSC-MBO-SMO-MOE</t>
  </si>
  <si>
    <t>TCCN-PTE-PSG-MSC-MBO-SMO-ACP</t>
  </si>
  <si>
    <t>TCCN-PTE-PSG-MSC-MBO-SMO-COR</t>
  </si>
  <si>
    <t>TCCN-PTE-PSG-MSC-MBO-SMO-PNN</t>
  </si>
  <si>
    <t>TCCN-PTE-PSG-MSC-MBO-SMO-CTE</t>
  </si>
  <si>
    <t>TCCN-PTE-PSG-MSC-MBO-SFR</t>
  </si>
  <si>
    <t>TCCN-PTE-PSG-MSC-MBO-SFR-MOE</t>
  </si>
  <si>
    <t>TCCN-PTE-PSG-MSC-MBO-SFR-BBA</t>
  </si>
  <si>
    <t>TCCN-PTE-PSG-MSC-MBO-SFR-MOR</t>
  </si>
  <si>
    <t>TCCN-PTE-PSG-MSC-MBO-SFR-UHD</t>
  </si>
  <si>
    <t>TCCN-PTE-PSG-MSC-MBO-SLU</t>
  </si>
  <si>
    <t>TCCN-PTE-PSG-MSC-MBO-SLU-BB1</t>
  </si>
  <si>
    <t>TCCN-PTE-PSG-MSC-MBO-SGR</t>
  </si>
  <si>
    <t>TCCN-PTE-PSG-MSC-MBO-SGR-EGA</t>
  </si>
  <si>
    <t>TCCN-PTE-PSG-MSC-MBO-SEN</t>
  </si>
  <si>
    <t>TCCN-PTE-PSG-MSC-MBO-SEN-MTP</t>
  </si>
  <si>
    <t>TCCN-PTE-PSG-MSC-MBO-SLE</t>
  </si>
  <si>
    <t>TCCN-PTE-PSG-MSC-MBO-SLE-PLA</t>
  </si>
  <si>
    <t>TCCN-PTE-PSG-MSC-MBO-SLE-BBA</t>
  </si>
  <si>
    <t>TCCN-PTE-PSG-MSC-MBO-SLE-MOE</t>
  </si>
  <si>
    <t>TCCN-PTE-PSG-MSC-MBO-SDS</t>
  </si>
  <si>
    <t>TCCN-PTE-PSG-MSC-MBO-SDS-RV1</t>
  </si>
  <si>
    <t>TCCN-PTE-PSG-MSC-MBO-SDS-RV2</t>
  </si>
  <si>
    <t>TCCN-PTE-PSG-MSC-MBO-SDS-RV3</t>
  </si>
  <si>
    <t>TCCN-PTE-PSG-MSC-MBO-SHI</t>
  </si>
  <si>
    <t>TCCN-PTE-PSG-MSC-MBO-SHI-BBA</t>
  </si>
  <si>
    <t>TCCN-PTE-PSG-MSC-MBO-SHI-ADP</t>
  </si>
  <si>
    <t>TCCN-PTE-PSG-MSC-MBO-SHI-ETQ</t>
  </si>
  <si>
    <t>TCCN-PTE-PSG-MSC-MBO-SHI-MOE</t>
  </si>
  <si>
    <t>TCCN-PTE-PSG-MSC-MBO-SLU-BB2</t>
  </si>
  <si>
    <t>TCCN-PTE-PSG-MSC-MBO-SLU-MNF</t>
  </si>
  <si>
    <t>TCCN-PTE-PSG-MSC-MBO-SLU-MOE</t>
  </si>
  <si>
    <t>TCCN-PTE-PSG-MSG-MBO-INS</t>
  </si>
  <si>
    <t>TCCN-PTE-PSG-MSC-DLO</t>
  </si>
  <si>
    <t>TCCN-PTE-PSG-SEL</t>
  </si>
  <si>
    <t>TCCN-PTE-PSG-SEL-SA1</t>
  </si>
  <si>
    <t>TCCN-PTE-PSG-SEL-SA1-SCE</t>
  </si>
  <si>
    <t>TCCN-PTE-PSG-SEL-SA1-SCE-SW1</t>
  </si>
  <si>
    <t>TCCN-PTE-PSG-SEL-SA1-SCE-VF1</t>
  </si>
  <si>
    <t>TCCN-PTE-PSG-SEL-SA1-SCE-VF2</t>
  </si>
  <si>
    <t>TCCN-PTE-PSG-SEL-SA1-SCE-CDC</t>
  </si>
  <si>
    <t>TCCN-PTE-PSG-SEL-SA1-SCE-SW2</t>
  </si>
  <si>
    <t>TCCN-PTE-PSG-SEL-SA1-SCE-CC1</t>
  </si>
  <si>
    <t>TCCN-PTE-PSG-SEL-SA1-SCE-CC2</t>
  </si>
  <si>
    <t>TCCN-PTE-PSG-SEL-SA1-SCE-TF1</t>
  </si>
  <si>
    <t>TCCN-PTE-PSG-SEL-SA1-SCE-TB1</t>
  </si>
  <si>
    <t>TCCN-PTE-PSG-SEL-SA1-SCE-RK1</t>
  </si>
  <si>
    <t>TCCN-PTE-PSG-SEL-SA1-SCE-TB2</t>
  </si>
  <si>
    <t>TCCN-PTE-PSG-SEL-SA1-SCE-TB3</t>
  </si>
  <si>
    <t>TCCN-PTE-PSG-SEL-SA1-SCE-VF3</t>
  </si>
  <si>
    <t>TCCN-PTE-PSG-SEL-SA1-SCE-VF4</t>
  </si>
  <si>
    <t>TCCN-PTE-PSG-SEL-SA1-SCE-UPS</t>
  </si>
  <si>
    <t>TCCN-PTE-PSG-SEL-SA1-SCE-GA1</t>
  </si>
  <si>
    <t>TCCN-PTE-PSG-SEL-SA1-SCE-RK2</t>
  </si>
  <si>
    <t>TCCN-PTE-PSG-SEL-SA1-SCE-TB4</t>
  </si>
  <si>
    <t>TCCN-PTE-PSG-SEL-SA1-SCE-SCA</t>
  </si>
  <si>
    <t>TCCN-PTE-PSG-SEL-SA1-SCE-PC1</t>
  </si>
  <si>
    <t>TCCN-PTE-PSG-SEL-SA1-SCE-PC2</t>
  </si>
  <si>
    <t>TCCN-PTE-PSG-SEL-SA1-SCE-TB5</t>
  </si>
  <si>
    <t>TCCN-PTE-PSG-SEL-SA1-SCE-CB1</t>
  </si>
  <si>
    <t>TCCN-PTE-PSG-SEL-SA1-SCE-CB2</t>
  </si>
  <si>
    <t>TCCN-PTE-PSG-SEL-SA1-SCE-BCB</t>
  </si>
  <si>
    <t>TCCN-PTE-PSG-SEL-SA1-SCE-GA2</t>
  </si>
  <si>
    <t>TCCN-PTE-PSG-SEL-SA1-SCE-AC1</t>
  </si>
  <si>
    <t>TCCN-PTE-PSG-SEL-SA1-SCE-AC2</t>
  </si>
  <si>
    <t>TCCN-PTE-PSG-SEL-SA1-SCE-AC3</t>
  </si>
  <si>
    <t>TCCN-PTE-PSG-SEL-SA1-SCE-AC4</t>
  </si>
  <si>
    <t>TCCN-PTE-PSG-SEL-SA1-SCE-AC5</t>
  </si>
  <si>
    <t>TCCN-PTE-PSG-SEL-SA1-SCE-AC6</t>
  </si>
  <si>
    <t>TCCN-PTE-PSG-SEL-SA1-SCE-SE1</t>
  </si>
  <si>
    <t>TCCN-PTE-PSG-SEL-SA1-SCE-SE2</t>
  </si>
  <si>
    <t>TCCN-PTE-PSG-SEL-SA1-SCE-SE3</t>
  </si>
  <si>
    <t>TCCN-PTE-PSG-SEL-SA1-SCE-EQP</t>
  </si>
  <si>
    <t>TCCN-PTE-PSG-SEL-SA1-SCE-CBN</t>
  </si>
  <si>
    <t>TCCN-PTE-PSG-SEL-SA1-SCE-EX1</t>
  </si>
  <si>
    <t>TCCN-PTE-PSG-SEL-SA1-SCE-EX2</t>
  </si>
  <si>
    <t>TCCN-PTE-PSG-SEL-SA1-SCE-RTU</t>
  </si>
  <si>
    <t>TCCN-PTE-PSG-SEL-SA1-SCE-GTS</t>
  </si>
  <si>
    <t>TCCN-PTE-PSG-SEL-SA1-SCE-TF2</t>
  </si>
  <si>
    <t>TCCN-PTE-PSG-SEL-SA1-SCE-TF3</t>
  </si>
  <si>
    <t>TCCN-PTE-PSG-SEL-SA1-SCE-TF4</t>
  </si>
  <si>
    <t>TCCN-PTE-PSG-SEL-SA1-SCE-DDB</t>
  </si>
  <si>
    <t>TCCN-PTE-PSG-SEL-SA1-SCE-DC1</t>
  </si>
  <si>
    <t>TCCN-PTE-PSG-SEL-SA1-SCE-DC2</t>
  </si>
  <si>
    <t>TCCN-PTE-PSG-SEL-SA1-SCE-DC3</t>
  </si>
  <si>
    <t>TCCN-PTE-PSG-SEL-SA1-SCE-DC4</t>
  </si>
  <si>
    <t>TCCN-PTE-PSG-SEL-SA1-SCE-DC5</t>
  </si>
  <si>
    <t>TCCN-PTE-PSG-SEL-SA1-SCE-DC6</t>
  </si>
  <si>
    <t>TCCN-PTE-PSG-SEL-SA2</t>
  </si>
  <si>
    <t>TCCN-PTE-PSG-SEL-SA2-SCE</t>
  </si>
  <si>
    <t>TCCN-PTE-PSG-SEL-SA2-SCE-TF1</t>
  </si>
  <si>
    <t>TCCN-PTE-PSG-SEL-SA2-SCE-TF2</t>
  </si>
  <si>
    <t>TCCN-PTE-PSG-SEL-SA2-SCE-VF5</t>
  </si>
  <si>
    <t>TCCN-PTE-PSG-SEL-SA2-SCE-TF3</t>
  </si>
  <si>
    <t>TCCN-PTE-PSG-SEL-SA2-SCE-TF4</t>
  </si>
  <si>
    <t>TCCN-PTE-PSG-SEL-SA2-SCE-VF6</t>
  </si>
  <si>
    <t>TCCN-PTE-PSG-SEL-SA2-SCE-CCM</t>
  </si>
  <si>
    <t>TCCN-PTE-PSG-SEL-SA2-SCE-PC1</t>
  </si>
  <si>
    <t>TCCN-PTE-PSG-SEL-SA2-SCE-TB1</t>
  </si>
  <si>
    <t>TCCN-PTE-PSG-SEL-SA2-SCE-TF5</t>
  </si>
  <si>
    <t>TCCN-PTE-PFL</t>
  </si>
  <si>
    <t>TCCN-PTE-PFL-PRG</t>
  </si>
  <si>
    <t>TCCN-PTE-PFL-PRG-CA1</t>
  </si>
  <si>
    <t>TCCN-PTE-PFL-PRG-CA1-SME</t>
  </si>
  <si>
    <t>TCCN-PTE-PFL-PRG-CA1-SME-VV1</t>
  </si>
  <si>
    <t>TCCN-PTE-PFL-PRG-CA1-SME-VV2</t>
  </si>
  <si>
    <t>TCCN-PTE-PFL-PRG-CA1-INS</t>
  </si>
  <si>
    <t>TCCN-PTE-PFL-PRG-CA1-INS-SSN</t>
  </si>
  <si>
    <t>TCCN-PTE-PFL-PRG-UHI</t>
  </si>
  <si>
    <t>TCCN-PTE-PFL-PRG-UHI-SHI</t>
  </si>
  <si>
    <t>TCCN-PTE-PFL-PRG-UHI-SHI-BBA</t>
  </si>
  <si>
    <t>TCCN-PTE-PFL-PRG-UHI-SHI-ADP</t>
  </si>
  <si>
    <t>TCCN-PTE-PFL-PRG-UHI-SHI-ETQ</t>
  </si>
  <si>
    <t>TCCN-PTE-PFL-PRG-UHI-SMO</t>
  </si>
  <si>
    <t>TCCN-PTE-PFL-PRG-UHI-SMO-MOE</t>
  </si>
  <si>
    <t>TCCN-PTE-PFL-PRG-UHI-SCE</t>
  </si>
  <si>
    <t>TCCN-PTE-PFL-PRG-B01</t>
  </si>
  <si>
    <t>TCCN-PTE-PFL-PRG-B01-SMO</t>
  </si>
  <si>
    <t>TCCN-PTE-PFL-PRG-B01-SMO-MOE</t>
  </si>
  <si>
    <t>TCCN-PTE-PFL-PRG-B01-STE</t>
  </si>
  <si>
    <t>TCCN-PTE-PFL-PRG-B01-STE-BTN</t>
  </si>
  <si>
    <t>TCCN-PTE-PFL-PRG-TC1</t>
  </si>
  <si>
    <t>TCCN-PTE-PFL-PRG-TC1-STE</t>
  </si>
  <si>
    <t>TCCN-PTE-PFL-PRG-TC1-STE-BTN</t>
  </si>
  <si>
    <t>TCCN-PTE-PFL-PRG-CMU</t>
  </si>
  <si>
    <t>TCCN-PTE-PFL-PRG-CMU-SME</t>
  </si>
  <si>
    <t>TCCN-PTE-PFL-PRG-CMU-SME-BBA</t>
  </si>
  <si>
    <t>TCCN-PTE-PFL-PRG-CMU-SME-MTD</t>
  </si>
  <si>
    <t>TCCN-PTE-PFL-PRG-CMU-SMO</t>
  </si>
  <si>
    <t>TCCN-PTE-PFL-PRG-CM1-SMO-MO1</t>
  </si>
  <si>
    <t>TCCN-PTE-PFL-PRG-CM1-SMO-MO2</t>
  </si>
  <si>
    <t>TCCN-PTE-PFL-PRG-CM1-SMO-MO3</t>
  </si>
  <si>
    <t>TCCN-PTE-PFL-PRG-CMU-SCE</t>
  </si>
  <si>
    <t>TCCN-PTE-PFL-PRG-DLO</t>
  </si>
  <si>
    <t>TCCN-PTE-PFL-PR1</t>
  </si>
  <si>
    <t>TCCN-PTE-PFL-PR1-CF1</t>
  </si>
  <si>
    <t>TCCN-PTE-PFL-PR1-CF1-SCP</t>
  </si>
  <si>
    <t>TCCN-PTE-PFL-PR1-CF1-SCP-POR</t>
  </si>
  <si>
    <t>TCCN-PTE-PFL-PR1-CF1-SCP-LUB</t>
  </si>
  <si>
    <t>TCCN-PTE-PFL-PR1-CF1-SCP-RTO</t>
  </si>
  <si>
    <t>TCCN-PTE-PFL-PR1-CF1-SCP-ETT</t>
  </si>
  <si>
    <t>TCCN-PTE-PFL-PR1-CF1-SCP-DDT</t>
  </si>
  <si>
    <t>TCCN-PTE-PFL-PR1-CF1-SCP-EJE</t>
  </si>
  <si>
    <t>TCCN-PTE-PFL-PR1-CF1-SES</t>
  </si>
  <si>
    <t>TCCN-PTE-PFL-PR1-CF1-SES-BYG</t>
  </si>
  <si>
    <t>TCCN-PTE-PFL-PR1-CF1-SES-RDP</t>
  </si>
  <si>
    <t>TCCN-PTE-PFL-PR1-CF1-SES-ETQ</t>
  </si>
  <si>
    <t>TCCN-PTE-PFL-PR1-CF1-SES-CRW</t>
  </si>
  <si>
    <t>TCCN-PTE-PFL-PR1-CF1-SMO</t>
  </si>
  <si>
    <t>TCCN-PTE-PFL-PR1-CF1-SMO-MOE</t>
  </si>
  <si>
    <t>TCCN-PTE-PFL-PR1-CF1-INS</t>
  </si>
  <si>
    <t>TCCN-PTE-PFL-PR1-CF1-INS-VVN</t>
  </si>
  <si>
    <t>TCCN-PTE-PFL-PR1-CF1-INS-SSN</t>
  </si>
  <si>
    <t>TCCN-PTE-PFL-PR1-CF1-INS-VVD</t>
  </si>
  <si>
    <t>TCCN-PTE-PFL-PR1-CF1-INS-FJM</t>
  </si>
  <si>
    <t>TCCN-PTE-PFL-PR1-CF1-SCE</t>
  </si>
  <si>
    <t>TCCN-PTE-PFL-PR1-CF1-SCE-BTN</t>
  </si>
  <si>
    <t>TCCN-PTE-PFL-PR1-CF2</t>
  </si>
  <si>
    <t>TCCN-PTE-PFL-PR1-CF2-SCP</t>
  </si>
  <si>
    <t>TCCN-PTE-PFL-PR1-CF2-SCP-POR</t>
  </si>
  <si>
    <t>TCCN-PTE-PFL-PR1-CF2-SCP-LUB</t>
  </si>
  <si>
    <t>TCCN-PTE-PFL-PR1-CF2-SCP-RTO</t>
  </si>
  <si>
    <t>TCCN-PTE-PFL-PR1-CF2-SCP-ETT</t>
  </si>
  <si>
    <t>TCCN-PTE-PFL-PR1-CF2-SCP-DDT</t>
  </si>
  <si>
    <t>TCCN-PTE-PFL-PR1-CF2-SCP-EJE</t>
  </si>
  <si>
    <t>TCCN-PTE-PFL-PR1-CF2-SES</t>
  </si>
  <si>
    <t>TCCN-PTE-PFL-PR1-CF2-SES-BYG</t>
  </si>
  <si>
    <t>TCCN-PTE-PFL-PR1-CF2-SES-RDP</t>
  </si>
  <si>
    <t>TCCN-PTE-PFL-PR1-CF2-SES-ETQ</t>
  </si>
  <si>
    <t>TCCN-PTE-PFL-PR1-CF2-SES-CRW</t>
  </si>
  <si>
    <t>TCCN-PTE-PFL-PR1-CF2-SMO</t>
  </si>
  <si>
    <t>TCCN-PTE-PFL-PR1-CF2-SMO-MOE</t>
  </si>
  <si>
    <t>TCCN-PTE-PFL-PR1-CF2-INS</t>
  </si>
  <si>
    <t>TCCN-PTE-PFL-PR1-CF2-INS-VVN</t>
  </si>
  <si>
    <t>TCCN-PTE-PFL-PR1-CF2-INS-SSN</t>
  </si>
  <si>
    <t>TCCN-PTE-PFL-PR1-CF2-INS-VVD</t>
  </si>
  <si>
    <t>TCCN-PTE-PFL-PR1-CF2-INS-FJM</t>
  </si>
  <si>
    <t>TCCN-PTE-PFL-PR1-CF2-SCE</t>
  </si>
  <si>
    <t>TCCN-PTE-PFL-PR1-CF2-SCE-BTN</t>
  </si>
  <si>
    <t>TCCN-PTE-PFL-PR1-CF3</t>
  </si>
  <si>
    <t>TCCN-PTE-PFL-PR1-CF3-SCP</t>
  </si>
  <si>
    <t>TCCN-PTE-PFL-PR1-CF3-SCP-POR</t>
  </si>
  <si>
    <t>TCCN-PTE-PFL-PR1-CF3-SCP-LUB</t>
  </si>
  <si>
    <t>TCCN-PTE-PFL-PR1-CF3-SCP-RTO</t>
  </si>
  <si>
    <t>TCCN-PTE-PFL-PR1-CF3-SCP-ETT</t>
  </si>
  <si>
    <t>TCCN-PTE-PFL-PR1-CF3-SCP-DDT</t>
  </si>
  <si>
    <t>TCCN-PTE-PFL-PR1-CF3-SCP-EJE</t>
  </si>
  <si>
    <t>TCCN-PTE-PFL-PR1-CF3-SES</t>
  </si>
  <si>
    <t>TCCN-PTE-PFL-PR1-CF3-SES-BYG</t>
  </si>
  <si>
    <t>TCCN-PTE-PFL-PR1-CF3-SES-RDP</t>
  </si>
  <si>
    <t>TCCN-PTE-PFL-PR1-CF3-SES-ETQ</t>
  </si>
  <si>
    <t>TCCN-PTE-PFL-PR1-CF3-SES-CRW</t>
  </si>
  <si>
    <t>TCCN-PTE-PFL-PR1-CF3-SMO</t>
  </si>
  <si>
    <t>TCCN-PTE-PFL-PR1-CF3-SMO-MOE</t>
  </si>
  <si>
    <t>TCCN-PTE-PFL-PR1-CF3-INS</t>
  </si>
  <si>
    <t>TCCN-PTE-PFL-PR1-CF3-INS-VVN</t>
  </si>
  <si>
    <t>TCCN-PTE-PFL-PR1-CF3-INS-SSN</t>
  </si>
  <si>
    <t>TCCN-PTE-PFL-PR1-CF3-INS-VVD</t>
  </si>
  <si>
    <t>TCCN-PTE-PFL-PR1-CF3-INS-FJM</t>
  </si>
  <si>
    <t>TCCN-PTE-PFL-PR1-CF3-SCE</t>
  </si>
  <si>
    <t>TCCN-PTE-PFL-PR1-CF3-SCE-BTN</t>
  </si>
  <si>
    <t>TCCN-PTE-PFL-PR1-CF4</t>
  </si>
  <si>
    <t>TCCN-PTE-PFL-PR1-CF4-SCP</t>
  </si>
  <si>
    <t>TCCN-PTE-PFL-PR1-CF4-SCP-POR</t>
  </si>
  <si>
    <t>TCCN-PTE-PFL-PR1-CF4-SCP-LUB</t>
  </si>
  <si>
    <t>TCCN-PTE-PFL-PR1-CF4-SCP-RTO</t>
  </si>
  <si>
    <t>TCCN-PTE-PFL-PR1-CF4-SCP-ETT</t>
  </si>
  <si>
    <t>TCCN-PTE-PFL-PR1-CF4-SCP-DDT</t>
  </si>
  <si>
    <t>TCCN-PTE-PFL-PR1-CF4-SCP-EJE</t>
  </si>
  <si>
    <t>TCCN-PTE-PFL-PR1-CF4-SES</t>
  </si>
  <si>
    <t>TCCN-PTE-PFL-PR1-CF4-SES-BYG</t>
  </si>
  <si>
    <t>TCCN-PTE-PFL-PR1-CF4-SES-RDP</t>
  </si>
  <si>
    <t>TCCN-PTE-PFL-PR1-CF4-SES-ETQ</t>
  </si>
  <si>
    <t>TCCN-PTE-PFL-PR1-CF4-SES-CRW</t>
  </si>
  <si>
    <t>TCCN-PTE-PFL-PR1-CF4-SMO</t>
  </si>
  <si>
    <t>TCCN-PTE-PFL-PR1-CF4-SMO-MOE</t>
  </si>
  <si>
    <t>TCCN-PTE-PFL-PR1-CF4-INS</t>
  </si>
  <si>
    <t>TCCN-PTE-PFL-PR1-CF4-INS-VVN</t>
  </si>
  <si>
    <t>TCCN-PTE-PFL-PR1-CF4-INS-SSN</t>
  </si>
  <si>
    <t>TCCN-PTE-PFL-PR1-CF4-INS-VVD</t>
  </si>
  <si>
    <t>TCCN-PTE-PFL-PR1-CF4-INS-FJM</t>
  </si>
  <si>
    <t>TCCN-PTE-PFL-PR1-CF4-SCE</t>
  </si>
  <si>
    <t>TCCN-PTE-PFL-PR1-CF4-SCE-BTN</t>
  </si>
  <si>
    <t>TCCN-PTE-PFL-PR1-CF5</t>
  </si>
  <si>
    <t>TCCN-PTE-PFL-PR1-CF5-SCP</t>
  </si>
  <si>
    <t>TCCN-PTE-PFL-PR1-CF5-SCP-POR</t>
  </si>
  <si>
    <t>TCCN-PTE-PFL-PR1-CF5-SCP-LUB</t>
  </si>
  <si>
    <t>TCCN-PTE-PFL-PR1-CF5-SCP-RTO</t>
  </si>
  <si>
    <t>TCCN-PTE-PFL-PR1-CF5-SCP-ETT</t>
  </si>
  <si>
    <t>TCCN-PTE-PFL-PR1-CF5-SCP-DDT</t>
  </si>
  <si>
    <t>TCCN-PTE-PFL-PR1-CF5-SCP-EJE</t>
  </si>
  <si>
    <t>TCCN-PTE-PFL-PR1-CF5-SES</t>
  </si>
  <si>
    <t>TCCN-PTE-PFL-PR1-CF5-SES-BYG</t>
  </si>
  <si>
    <t>TCCN-PTE-PFL-PR1-CF5-SES-RDP</t>
  </si>
  <si>
    <t>TCCN-PTE-PFL-PR1-CF5-SES-ETQ</t>
  </si>
  <si>
    <t>TCCN-PTE-PFL-PR1-CF5-SES-CRW</t>
  </si>
  <si>
    <t>TCCN-PTE-PFL-PR1-CF5-SMO</t>
  </si>
  <si>
    <t>TCCN-PTE-PFL-PR1-CF5-SMO-MOE</t>
  </si>
  <si>
    <t>TCCN-PTE-PFL-PR1-CF5-INS</t>
  </si>
  <si>
    <t>TCCN-PTE-PFL-PR1-CF5-INS-VVN</t>
  </si>
  <si>
    <t>TCCN-PTE-PFL-PR1-CF5-INS-SSN</t>
  </si>
  <si>
    <t>TCCN-PTE-PFL-PR1-CF5-INS-VVD</t>
  </si>
  <si>
    <t>TCCN-PTE-PFL-PR1-CF5-INS-FJM</t>
  </si>
  <si>
    <t>TCCN-PTE-PFL-PR1-CF5-SCE</t>
  </si>
  <si>
    <t>TCCN-PTE-PFL-PR1-CF5-SCE-BTN</t>
  </si>
  <si>
    <t>TCCN-PTE-PFL-PR2</t>
  </si>
  <si>
    <t>TCCN-PTE-PFL-PR2-CF1</t>
  </si>
  <si>
    <t>TCCN-PTE-PFL-PR2-CF1-SCP</t>
  </si>
  <si>
    <t>TCCN-PTE-PFL-PR2-CF1-SCP-POR</t>
  </si>
  <si>
    <t>TCCN-PTE-PFL-PR2-CF1-SCP-LUB</t>
  </si>
  <si>
    <t>TCCN-PTE-PFL-PR2-CF1-SCP-RTO</t>
  </si>
  <si>
    <t>TCCN-PTE-PFL-PR2-CF1-SCP-ETT</t>
  </si>
  <si>
    <t>TCCN-PTE-PFL-PR2-CF1-SCP-DDT</t>
  </si>
  <si>
    <t>TCCN-PTE-PFL-PR2-CF1-SCP-EJE</t>
  </si>
  <si>
    <t>TCCN-PTE-PFL-PR2-CF1-SES</t>
  </si>
  <si>
    <t>TCCN-PTE-PFL-PR2-CF1-SES-BYG</t>
  </si>
  <si>
    <t>TCCN-PTE-PFL-PR2-CF1-SES-RDP</t>
  </si>
  <si>
    <t>TCCN-PTE-PFL-PR2-CF1-SES-ETQ</t>
  </si>
  <si>
    <t>TCCN-PTE-PFL-PR2-CF1-SES-CRW</t>
  </si>
  <si>
    <t>TCCN-PTE-PFL-PR2-CF1-SMO</t>
  </si>
  <si>
    <t>TCCN-PTE-PFL-PR2-CF1-SMO-MOE</t>
  </si>
  <si>
    <t>TCCN-PTE-PFL-PR2-CF1-INS</t>
  </si>
  <si>
    <t>TCCN-PTE-PFL-PR2-CF1-INS-VVN</t>
  </si>
  <si>
    <t>TCCN-PTE-PFL-PR2-CF1-INS-SSN</t>
  </si>
  <si>
    <t>TCCN-PTE-PFL-PR2-CF1-INS-VVD</t>
  </si>
  <si>
    <t>TCCN-PTE-PFL-PR2-CF1-INS-FJM</t>
  </si>
  <si>
    <t>TCCN-PTE-PFL-PR2-CF1-SCE</t>
  </si>
  <si>
    <t>TCCN-PTE-PFL-PR2-CF1-SCE-BTN</t>
  </si>
  <si>
    <t>TCCN-PTE-PFL-PR2-CF2</t>
  </si>
  <si>
    <t>TCCN-PTE-PFL-PR2-CF2-SCP</t>
  </si>
  <si>
    <t>TCCN-PTE-PFL-PR2-CF2-SCP-POR</t>
  </si>
  <si>
    <t>TCCN-PTE-PFL-PR2-CF2-SCP-LUB</t>
  </si>
  <si>
    <t>TCCN-PTE-PFL-PR2-CF2-SCP-RTO</t>
  </si>
  <si>
    <t>TCCN-PTE-PFL-PR2-CF2-SCP-ETT</t>
  </si>
  <si>
    <t>TCCN-PTE-PFL-PR2-CF2-SCP-DDT</t>
  </si>
  <si>
    <t>TCCN-PTE-PFL-PR2-CF2-SCP-EJE</t>
  </si>
  <si>
    <t>TCCN-PTE-PFL-PR2-CF2-SES</t>
  </si>
  <si>
    <t>TCCN-PTE-PFL-PR2-CF2-SES-BYG</t>
  </si>
  <si>
    <t>TCCN-PTE-PFL-PR2-CF2-SES-RDP</t>
  </si>
  <si>
    <t>TCCN-PTE-PFL-PR2-CF2-SES-ETQ</t>
  </si>
  <si>
    <t>TCCN-PTE-PFL-PR2-CF2-SES-CRW</t>
  </si>
  <si>
    <t>TCCN-PTE-PFL-PR2-CF2-SMO</t>
  </si>
  <si>
    <t>TCCN-PTE-PFL-PR2-CF2-SMO-MOE</t>
  </si>
  <si>
    <t>TCCN-PTE-PFL-PR2-CF2-INS</t>
  </si>
  <si>
    <t>TCCN-PTE-PFL-PR2-CF2-INS-VVN</t>
  </si>
  <si>
    <t>TCCN-PTE-PFL-PR2-CF2-INS-SSN</t>
  </si>
  <si>
    <t>TCCN-PTE-PFL-PR2-CF2-INS-VVD</t>
  </si>
  <si>
    <t>TCCN-PTE-PFL-PR2-CF2-INS-FJM</t>
  </si>
  <si>
    <t>TCCN-PTE-PFL-PR2-CF2-SCE</t>
  </si>
  <si>
    <t>TCCN-PTE-PFL-PR2-CF2-SCE-BTN</t>
  </si>
  <si>
    <t>TCCN-PTE-PFL-PR2-CF3</t>
  </si>
  <si>
    <t>TCCN-PTE-PFL-PR2-CF3-SCP</t>
  </si>
  <si>
    <t>TCCN-PTE-PFL-PR2-CF3-SCP-POR</t>
  </si>
  <si>
    <t>TCCN-PTE-PFL-PR2-CF3-SCP-LUB</t>
  </si>
  <si>
    <t>TCCN-PTE-PFL-PR2-CF3-SCP-RTO</t>
  </si>
  <si>
    <t>TCCN-PTE-PFL-PR2-CF3-SCP-ETT</t>
  </si>
  <si>
    <t>TCCN-PTE-PFL-PR2-CF3-SCP-DDT</t>
  </si>
  <si>
    <t>TCCN-PTE-PFL-PR2-CF3-SCP-EJE</t>
  </si>
  <si>
    <t>TCCN-PTE-PFL-PR2-CF3-SES</t>
  </si>
  <si>
    <t>TCCN-PTE-PFL-PR2-CF3-SES-BYG</t>
  </si>
  <si>
    <t>TCCN-PTE-PFL-PR2-CF3-SES-RDP</t>
  </si>
  <si>
    <t>TCCN-PTE-PFL-PR2-CF3-SES-ETQ</t>
  </si>
  <si>
    <t>TCCN-PTE-PFL-PR2-CF3-SES-CRW</t>
  </si>
  <si>
    <t>TCCN-PTE-PFL-PR2-CF3-SMO</t>
  </si>
  <si>
    <t>TCCN-PTE-PFL-PR2-CF3-SMO-MOE</t>
  </si>
  <si>
    <t>TCCN-PTE-PFL-PR2-CF3-INS</t>
  </si>
  <si>
    <t>TCCN-PTE-PFL-PR2-CF3-INS-VVN</t>
  </si>
  <si>
    <t>TCCN-PTE-PFL-PR2-CF3-INS-SSN</t>
  </si>
  <si>
    <t>TCCN-PTE-PFL-PR2-CF3-INS-VVD</t>
  </si>
  <si>
    <t>TCCN-PTE-PFL-PR2-CF3-INS-FJM</t>
  </si>
  <si>
    <t>TCCN-PTE-PFL-PR2-CF3-SCE</t>
  </si>
  <si>
    <t>TCCN-PTE-PFL-PR2-CF3-SCE-BTN</t>
  </si>
  <si>
    <t>TCCN-PTE-PFL-PR2-CF4</t>
  </si>
  <si>
    <t>TCCN-PTE-PFL-PR2-CF4-SCP</t>
  </si>
  <si>
    <t>TCCN-PTE-PFL-PR2-CF4-SCP-POR</t>
  </si>
  <si>
    <t>TCCN-PTE-PFL-PR2-CF4-SCP-LUB</t>
  </si>
  <si>
    <t>TCCN-PTE-PFL-PR2-CF4-SCP-RTO</t>
  </si>
  <si>
    <t>TCCN-PTE-PFL-PR2-CF4-SCP-ETT</t>
  </si>
  <si>
    <t>TCCN-PTE-PFL-PR2-CF4-SCP-DDT</t>
  </si>
  <si>
    <t>TCCN-PTE-PFL-PR2-CF4-SCP-EJE</t>
  </si>
  <si>
    <t>TCCN-PTE-PFL-PR2-CF4-SES</t>
  </si>
  <si>
    <t>TCCN-PTE-PFL-PR2-CF4-SES-BYG</t>
  </si>
  <si>
    <t>TCCN-PTE-PFL-PR2-CF4-SES-RDP</t>
  </si>
  <si>
    <t>TCCN-PTE-PFL-PR2-CF4-SES-ETQ</t>
  </si>
  <si>
    <t>TCCN-PTE-PFL-PR2-CF4-SES-CRW</t>
  </si>
  <si>
    <t>TCCN-PTE-PFL-PR2-CF4-SMO</t>
  </si>
  <si>
    <t>TCCN-PTE-PFL-PR2-CF4-SMO-MOE</t>
  </si>
  <si>
    <t>TCCN-PTE-PFL-PR2-CF4-INS</t>
  </si>
  <si>
    <t>TCCN-PTE-PFL-PR2-CF4-INS-VVN</t>
  </si>
  <si>
    <t>TCCN-PTE-PFL-PR2-CF4-INS-SSN</t>
  </si>
  <si>
    <t>TCCN-PTE-PFL-PR2-CF4-INS-VVD</t>
  </si>
  <si>
    <t>TCCN-PTE-PFL-PR2-CF4-INS-FJM</t>
  </si>
  <si>
    <t>TCCN-PTE-PFL-PR2-CF4-SCE</t>
  </si>
  <si>
    <t>TCCN-PTE-PFL-PR2-CF4-SCE-BTN</t>
  </si>
  <si>
    <t>TCCN-PTE-PFL-PR2-CF5</t>
  </si>
  <si>
    <t>TCCN-PTE-PFL-PR2-CF5-SCP</t>
  </si>
  <si>
    <t>TCCN-PTE-PFL-PR2-CF5-SCP-POR</t>
  </si>
  <si>
    <t>TCCN-PTE-PFL-PR2-CF5-SCP-LUB</t>
  </si>
  <si>
    <t>TCCN-PTE-PFL-PR2-CF5-SCP-RTO</t>
  </si>
  <si>
    <t>TCCN-PTE-PFL-PR2-CF5-SCP-ETT</t>
  </si>
  <si>
    <t>TCCN-PTE-PFL-PR2-CF5-SCP-DDT</t>
  </si>
  <si>
    <t>TCCN-PTE-PFL-PR2-CF5-SCP-EJE</t>
  </si>
  <si>
    <t>TCCN-PTE-PFL-PR2-CF5-SES</t>
  </si>
  <si>
    <t>TCCN-PTE-PFL-PR2-CF5-SES-BYG</t>
  </si>
  <si>
    <t>TCCN-PTE-PFL-PR2-CF5-SES-RDP</t>
  </si>
  <si>
    <t>TCCN-PTE-PFL-PR2-CF5-SES-ETQ</t>
  </si>
  <si>
    <t>TCCN-PTE-PFL-PR2-CF5-SES-CRW</t>
  </si>
  <si>
    <t>TCCN-PTE-PFL-PR2-CF5-SMO</t>
  </si>
  <si>
    <t>TCCN-PTE-PFL-PR2-CF5-SMO-MOE</t>
  </si>
  <si>
    <t>TCCN-PTE-PFL-PR2-CF5-INS</t>
  </si>
  <si>
    <t>TCCN-PTE-PFL-PR2-CF5-INS-VVN</t>
  </si>
  <si>
    <t>TCCN-PTE-PFL-PR2-CF5-INS-SSN</t>
  </si>
  <si>
    <t>TCCN-PTE-PFL-PR2-CF5-INS-VVD</t>
  </si>
  <si>
    <t>TCCN-PTE-PFL-PR2-CF5-INS-FJM</t>
  </si>
  <si>
    <t>TCCN-PTE-PFL-PR2-CF5-SCE</t>
  </si>
  <si>
    <t>TCCN-PTE-PFL-PR2-CF5-SCE-BTN</t>
  </si>
  <si>
    <t>TCCN-PTE-PFL-PS1</t>
  </si>
  <si>
    <t>TCCN-PTE-PFL-PS1-CF1</t>
  </si>
  <si>
    <t>TCCN-PTE-PFL-PS1-CF1-SCP</t>
  </si>
  <si>
    <t>TCCN-PTE-PFL-PS1-CF1-SCP-POR</t>
  </si>
  <si>
    <t>TCCN-PTE-PFL-PS1-CF1-SCP-LUB</t>
  </si>
  <si>
    <t>TCCN-PTE-PFL-PS1-CF1-SCP-RTO</t>
  </si>
  <si>
    <t>TCCN-PTE-PFL-PS1-CF1-SCP-ETT</t>
  </si>
  <si>
    <t>TCCN-PTE-PFL-PS1-CF1-SCP-DDT</t>
  </si>
  <si>
    <t>TCCN-PTE-PFL-PS1-CF1-SCP-EJE</t>
  </si>
  <si>
    <t>TCCN-PTE-PFL-PS1-CF1-SES</t>
  </si>
  <si>
    <t>TCCN-PTE-PFL-PS1-CF1-SES-BYG</t>
  </si>
  <si>
    <t>TCCN-PTE-PFL-PS1-CF1-SES-RDP</t>
  </si>
  <si>
    <t>TCCN-PTE-PFL-PS1-CF1-SES-ETQ</t>
  </si>
  <si>
    <t>TCCN-PTE-PFL-PS1-CF1-SES-CRW</t>
  </si>
  <si>
    <t>TCCN-PTE-PFL-PS1-CF1-SMO</t>
  </si>
  <si>
    <t>TCCN-PTE-PFL-PS1-CF1-SMO-MOE</t>
  </si>
  <si>
    <t>TCCN-PTE-PFL-PS1-CF1-INS</t>
  </si>
  <si>
    <t>TCCN-PTE-PFL-PS1-CF1-INS-VVN</t>
  </si>
  <si>
    <t>TCCN-PTE-PFL-PS1-CF1-INS-SSN</t>
  </si>
  <si>
    <t>TCCN-PTE-PFL-PS1-CF1-INS-VVD</t>
  </si>
  <si>
    <t>TCCN-PTE-PFL-PS1-CF1-INS-FJM</t>
  </si>
  <si>
    <t>TCCN-PTE-PFL-PS1-CF1-SCE</t>
  </si>
  <si>
    <t>TCCN-PTE-PFL-PS1-CF1-SCE-BTN</t>
  </si>
  <si>
    <t>TCCN-PTE-PFL-PS1-CF2</t>
  </si>
  <si>
    <t>TCCN-PTE-PFL-PS1-CF2-SCP</t>
  </si>
  <si>
    <t>TCCN-PTE-PFL-PS1-CF2-SCP-POR</t>
  </si>
  <si>
    <t>TCCN-PTE-PFL-PS1-CF2-SCP-LUB</t>
  </si>
  <si>
    <t>TCCN-PTE-PFL-PS1-CF2-SCP-RTO</t>
  </si>
  <si>
    <t>TCCN-PTE-PFL-PS1-CF2-SCP-ETT</t>
  </si>
  <si>
    <t>TCCN-PTE-PFL-PS1-CF2-SCP-DDT</t>
  </si>
  <si>
    <t>TCCN-PTE-PFL-PS1-CF2-SCP-EJE</t>
  </si>
  <si>
    <t>TCCN-PTE-PFL-PS1-CF2-SES</t>
  </si>
  <si>
    <t>TCCN-PTE-PFL-PS1-CF2-SES-BYG</t>
  </si>
  <si>
    <t>TCCN-PTE-PFL-PS1-CF2-SES-RDP</t>
  </si>
  <si>
    <t>TCCN-PTE-PFL-PS1-CF2-SES-ETQ</t>
  </si>
  <si>
    <t>TCCN-PTE-PFL-PS1-CF2-SES-CRW</t>
  </si>
  <si>
    <t>TCCN-PTE-PFL-PS1-CF2-SMO</t>
  </si>
  <si>
    <t>TCCN-PTE-PFL-PS1-CF2-SMO-MOE</t>
  </si>
  <si>
    <t>TCCN-PTE-PFL-PS1-CF2-INS</t>
  </si>
  <si>
    <t>TCCN-PTE-PFL-PS1-CF2-INS-VVN</t>
  </si>
  <si>
    <t>TCCN-PTE-PFL-PS1-CF2-INS-SSN</t>
  </si>
  <si>
    <t>TCCN-PTE-PFL-PS1-CF2-INS-VVD</t>
  </si>
  <si>
    <t>TCCN-PTE-PFL-PS1-CF2-INS-FJM</t>
  </si>
  <si>
    <t>TCCN-PTE-PFL-PS1-CF2-SCE</t>
  </si>
  <si>
    <t>TCCN-PTE-PFL-PS1-CF2-SCE-BTN</t>
  </si>
  <si>
    <t>TCCN-PTE-PFL-PS1-CF3</t>
  </si>
  <si>
    <t>TCCN-PTE-PFL-PS1-CF3-SCP</t>
  </si>
  <si>
    <t>TCCN-PTE-PFL-PS1-CF3-SCP-POR</t>
  </si>
  <si>
    <t>TCCN-PTE-PFL-PS1-CF3-SCP-LUB</t>
  </si>
  <si>
    <t>TCCN-PTE-PFL-PS1-CF3-SCP-RTO</t>
  </si>
  <si>
    <t>TCCN-PTE-PFL-PS1-CF3-SCP-ETT</t>
  </si>
  <si>
    <t>TCCN-PTE-PFL-PS1-CF3-SCP-DDT</t>
  </si>
  <si>
    <t>TCCN-PTE-PFL-PS1-CF3-SCP-EJE</t>
  </si>
  <si>
    <t>TCCN-PTE-PFL-PS1-CF3-SES</t>
  </si>
  <si>
    <t>TCCN-PTE-PFL-PS1-CF3-SES-BYG</t>
  </si>
  <si>
    <t>TCCN-PTE-PFL-PS1-CF3-SES-RDP</t>
  </si>
  <si>
    <t>TCCN-PTE-PFL-PS1-CF3-SES-ETQ</t>
  </si>
  <si>
    <t>TCCN-PTE-PFL-PS1-CF3-SES-CRW</t>
  </si>
  <si>
    <t>TCCN-PTE-PFL-PS1-CF3-SMO</t>
  </si>
  <si>
    <t>TCCN-PTE-PFL-PS1-CF3-SMO-MOE</t>
  </si>
  <si>
    <t>TCCN-PTE-PFL-PS1-CF3-INS</t>
  </si>
  <si>
    <t>TCCN-PTE-PFL-PS1-CF3-INS-VVN</t>
  </si>
  <si>
    <t>TCCN-PTE-PFL-PS1-CF3-INS-SSN</t>
  </si>
  <si>
    <t>TCCN-PTE-PFL-PS1-CF3-INS-VVD</t>
  </si>
  <si>
    <t>TCCN-PTE-PFL-PS1-CF3-INS-FJM</t>
  </si>
  <si>
    <t>TCCN-PTE-PFL-PS1-CF3-SCE</t>
  </si>
  <si>
    <t>TCCN-PTE-PFL-PS1-CF3-SCE-BTN</t>
  </si>
  <si>
    <t>TCCN-PTE-PFL-PS1-CF4</t>
  </si>
  <si>
    <t>TCCN-PTE-PFL-PS1-CF4-SCP</t>
  </si>
  <si>
    <t>TCCN-PTE-PFL-PS1-CF4-SCP-POR</t>
  </si>
  <si>
    <t>TCCN-PTE-PFL-PS1-CF4-SCP-LUB</t>
  </si>
  <si>
    <t>TCCN-PTE-PFL-PS1-CF4-SCP-RTO</t>
  </si>
  <si>
    <t>TCCN-PTE-PFL-PS1-CF4-SCP-ETT</t>
  </si>
  <si>
    <t>TCCN-PTE-PFL-PS1-CF4-SCP-DDT</t>
  </si>
  <si>
    <t>TCCN-PTE-PFL-PS1-CF4-SCP-EJE</t>
  </si>
  <si>
    <t>TCCN-PTE-PFL-PS1-CF4-SES</t>
  </si>
  <si>
    <t>TCCN-PTE-PFL-PS1-CF4-SES-BYG</t>
  </si>
  <si>
    <t>TCCN-PTE-PFL-PS1-CF4-SES-RDP</t>
  </si>
  <si>
    <t>TCCN-PTE-PFL-PS1-CF4-SES-ETQ</t>
  </si>
  <si>
    <t>TCCN-PTE-PFL-PS1-CF4-SES-CRW</t>
  </si>
  <si>
    <t>TCCN-PTE-PFL-PS1-CF4-SMO</t>
  </si>
  <si>
    <t>TCCN-PTE-PFL-PS1-CF4-SMO-MOE</t>
  </si>
  <si>
    <t>TCCN-PTE-PFL-PS1-CF4-INS</t>
  </si>
  <si>
    <t>TCCN-PTE-PFL-PS1-CF4-INS-VVN</t>
  </si>
  <si>
    <t>TCCN-PTE-PFL-PS1-CF4-INS-SSN</t>
  </si>
  <si>
    <t>TCCN-PTE-PFL-PS1-CF4-INS-VVD</t>
  </si>
  <si>
    <t>TCCN-PTE-PFL-PS1-CF4-INS-FJM</t>
  </si>
  <si>
    <t>TCCN-PTE-PFL-PS1-CF4-SCE</t>
  </si>
  <si>
    <t>TCCN-PTE-PFL-PS1-CF4-SCE-BTN</t>
  </si>
  <si>
    <t>TCCN-PTE-PFL-PS1-CF5</t>
  </si>
  <si>
    <t>TCCN-PTE-PFL-PS1-CF5-SCP</t>
  </si>
  <si>
    <t>TCCN-PTE-PFL-PS1-CF5-SCP-POR</t>
  </si>
  <si>
    <t>TCCN-PTE-PFL-PS1-CF5-SCP-LUB</t>
  </si>
  <si>
    <t>TCCN-PTE-PFL-PS1-CF5-SCP-RTO</t>
  </si>
  <si>
    <t>TCCN-PTE-PFL-PS1-CF5-SCP-ETT</t>
  </si>
  <si>
    <t>TCCN-PTE-PFL-PS1-CF5-SCP-DDT</t>
  </si>
  <si>
    <t>TCCN-PTE-PFL-PS1-CF5-SCP-EJE</t>
  </si>
  <si>
    <t>TCCN-PTE-PFL-PS1-CF5-SES</t>
  </si>
  <si>
    <t>TCCN-PTE-PFL-PS1-CF5-SES-BYG</t>
  </si>
  <si>
    <t>TCCN-PTE-PFL-PS1-CF5-SES-RDP</t>
  </si>
  <si>
    <t>TCCN-PTE-PFL-PS1-CF5-SES-ETQ</t>
  </si>
  <si>
    <t>TCCN-PTE-PFL-PS1-CF5-SES-CRW</t>
  </si>
  <si>
    <t>TCCN-PTE-PFL-PS1-CF5-SMO</t>
  </si>
  <si>
    <t>TCCN-PTE-PFL-PS1-CF5-SMO-MOE</t>
  </si>
  <si>
    <t>TCCN-PTE-PFL-PS1-CF5-INS</t>
  </si>
  <si>
    <t>TCCN-PTE-PFL-PS1-CF5-INS-VVN</t>
  </si>
  <si>
    <t>TCCN-PTE-PFL-PS1-CF5-INS-SSN</t>
  </si>
  <si>
    <t>TCCN-PTE-PFL-PS1-CF5-INS-VVD</t>
  </si>
  <si>
    <t>TCCN-PTE-PFL-PS1-CF5-INS-FJM</t>
  </si>
  <si>
    <t>TCCN-PTE-PFL-PS1-CF5-SCE</t>
  </si>
  <si>
    <t>TCCN-PTE-PFL-PS1-CF5-SCE-BTN</t>
  </si>
  <si>
    <t>TCCN-PTE-PFL-PS1-CF6</t>
  </si>
  <si>
    <t>TCCN-PTE-PFL-PS1-CF6-SCP</t>
  </si>
  <si>
    <t>TCCN-PTE-PFL-PS1-CF6-SCP-POR</t>
  </si>
  <si>
    <t>TCCN-PTE-PFL-PS1-CF6-SCP-LUB</t>
  </si>
  <si>
    <t>TCCN-PTE-PFL-PS1-CF6-SCP-RTO</t>
  </si>
  <si>
    <t>TCCN-PTE-PFL-PS1-CF6-SCP-ETT</t>
  </si>
  <si>
    <t>TCCN-PTE-PFL-PS1-CF6-SCP-DDT</t>
  </si>
  <si>
    <t>TCCN-PTE-PFL-PS1-CF6-SCP-EJE</t>
  </si>
  <si>
    <t>TCCN-PTE-PFL-PS1-CF6-SES</t>
  </si>
  <si>
    <t>TCCN-PTE-PFL-PS1-CF6-SES-BYG</t>
  </si>
  <si>
    <t>TCCN-PTE-PFL-PS1-CF6-SES-RDP</t>
  </si>
  <si>
    <t>TCCN-PTE-PFL-PS1-CF6-SES-ETQ</t>
  </si>
  <si>
    <t>TCCN-PTE-PFL-PS1-CF6-SES-CRW</t>
  </si>
  <si>
    <t>TCCN-PTE-PFL-PS1-CF6-SMO</t>
  </si>
  <si>
    <t>TCCN-PTE-PFL-PS1-CF6-SMO-MOE</t>
  </si>
  <si>
    <t>TCCN-PTE-PFL-PS1-CF6-INS</t>
  </si>
  <si>
    <t>TCCN-PTE-PFL-PS1-CF6-INS-VVN</t>
  </si>
  <si>
    <t>TCCN-PTE-PFL-PS1-CF6-INS-SSN</t>
  </si>
  <si>
    <t>TCCN-PTE-PFL-PS1-CF6-INS-VVD</t>
  </si>
  <si>
    <t>TCCN-PTE-PFL-PS1-CF6-INS-FJM</t>
  </si>
  <si>
    <t>TCCN-PTE-PFL-PS1-CF6-SCE</t>
  </si>
  <si>
    <t>TCCN-PTE-PFL-PS1-CF6-SCE-BTN</t>
  </si>
  <si>
    <t>TCCN-PTE-PFL-PS1-CF7</t>
  </si>
  <si>
    <t>TCCN-PTE-PFL-PS1-CF7-SCP</t>
  </si>
  <si>
    <t>TCCN-PTE-PFL-PS1-CF7-SCP-POR</t>
  </si>
  <si>
    <t>TCCN-PTE-PFL-PS1-CF7-SCP-LUB</t>
  </si>
  <si>
    <t>TCCN-PTE-PFL-PS1-CF7-SCP-RTO</t>
  </si>
  <si>
    <t>TCCN-PTE-PFL-PS1-CF7-SCP-ETT</t>
  </si>
  <si>
    <t>TCCN-PTE-PFL-PS1-CF7-SCP-DDT</t>
  </si>
  <si>
    <t>TCCN-PTE-PFL-PS1-CF7-SCP-EJE</t>
  </si>
  <si>
    <t>TCCN-PTE-PFL-PS1-CF7-SES</t>
  </si>
  <si>
    <t>TCCN-PTE-PFL-PS1-CF7-SES-BYG</t>
  </si>
  <si>
    <t>TCCN-PTE-PFL-PS1-CF7-SES-RDP</t>
  </si>
  <si>
    <t>TCCN-PTE-PFL-PS1-CF7-SES-ETQ</t>
  </si>
  <si>
    <t>TCCN-PTE-PFL-PS1-CF7-SES-CRW</t>
  </si>
  <si>
    <t>TCCN-PTE-PFL-PS1-CF7-SMO</t>
  </si>
  <si>
    <t>TCCN-PTE-PFL-PS1-CF7-SMO-MOE</t>
  </si>
  <si>
    <t>TCCN-PTE-PFL-PS1-CF7-INS</t>
  </si>
  <si>
    <t>TCCN-PTE-PFL-PS1-CF7-INS-VVN</t>
  </si>
  <si>
    <t>TCCN-PTE-PFL-PS1-CF7-INS-SSN</t>
  </si>
  <si>
    <t>TCCN-PTE-PFL-PS1-CF7-INS-VVD</t>
  </si>
  <si>
    <t>TCCN-PTE-PFL-PS1-CF7-INS-FJM</t>
  </si>
  <si>
    <t>TCCN-PTE-PFL-PS1-CF7-SCE</t>
  </si>
  <si>
    <t>TCCN-PTE-PFL-PS1-CF7-SCE-BTN</t>
  </si>
  <si>
    <t>TCCN-PTE-PFL-PS1-CF8</t>
  </si>
  <si>
    <t>TCCN-PTE-PFL-PS1-CF8-SCP</t>
  </si>
  <si>
    <t>TCCN-PTE-PFL-PS1-CF8-SCP-POR</t>
  </si>
  <si>
    <t>TCCN-PTE-PFL-PS1-CF8-SCP-LUB</t>
  </si>
  <si>
    <t>TCCN-PTE-PFL-PS1-CF8-SCP-RTO</t>
  </si>
  <si>
    <t>TCCN-PTE-PFL-PS1-CF8-SCP-ETT</t>
  </si>
  <si>
    <t>TCCN-PTE-PFL-PS1-CF8-SCP-DDT</t>
  </si>
  <si>
    <t>TCCN-PTE-PFL-PS1-CF8-SCP-EJE</t>
  </si>
  <si>
    <t>TCCN-PTE-PFL-PS1-CF8-SES</t>
  </si>
  <si>
    <t>TCCN-PTE-PFL-PS1-CF8-SES-BYG</t>
  </si>
  <si>
    <t>TCCN-PTE-PFL-PS1-CF8-SES-RDP</t>
  </si>
  <si>
    <t>TCCN-PTE-PFL-PS1-CF8-SES-ETQ</t>
  </si>
  <si>
    <t>TCCN-PTE-PFL-PS1-CF8-SES-CRW</t>
  </si>
  <si>
    <t>TCCN-PTE-PFL-PS1-CF8-SMO</t>
  </si>
  <si>
    <t>TCCN-PTE-PFL-PS1-CF8-SMO-MOE</t>
  </si>
  <si>
    <t>TCCN-PTE-PFL-PS1-CF8-INS</t>
  </si>
  <si>
    <t>TCCN-PTE-PFL-PS1-CF8-INS-VVN</t>
  </si>
  <si>
    <t>TCCN-PTE-PFL-PS1-CF8-INS-SSN</t>
  </si>
  <si>
    <t>TCCN-PTE-PFL-PS1-CF8-INS-VVD</t>
  </si>
  <si>
    <t>TCCN-PTE-PFL-PS1-CF8-INS-FJM</t>
  </si>
  <si>
    <t>TCCN-PTE-PFL-PS1-CF8-SCE</t>
  </si>
  <si>
    <t>TCCN-PTE-PFL-PS1-CF8-SCE-BTN</t>
  </si>
  <si>
    <t>TCCN-PTE-PFL-PS2</t>
  </si>
  <si>
    <t>TCCN-PTE-PFL-PS2-CF1</t>
  </si>
  <si>
    <t>TCCN-PTE-PFL-PS2-CF1-SCP</t>
  </si>
  <si>
    <t>TCCN-PTE-PFL-PS2-CF1-SCP-POR</t>
  </si>
  <si>
    <t>TCCN-PTE-PFL-PS2-CF1-SCP-LUB</t>
  </si>
  <si>
    <t>TCCN-PTE-PFL-PS2-CF1-SCP-RTO</t>
  </si>
  <si>
    <t>TCCN-PTE-PFL-PS2-CF1-SCP-ETT</t>
  </si>
  <si>
    <t>TCCN-PTE-PFL-PS2-CF1-SCP-DDT</t>
  </si>
  <si>
    <t>TCCN-PTE-PFL-PS2-CF1-SCP-EJE</t>
  </si>
  <si>
    <t>TCCN-PTE-PFL-PS2-CF1-SES</t>
  </si>
  <si>
    <t>TCCN-PTE-PFL-PS2-CF1-SES-BYG</t>
  </si>
  <si>
    <t>TCCN-PTE-PFL-PS2-CF1-SES-RDP</t>
  </si>
  <si>
    <t>TCCN-PTE-PFL-PS2-CF1-SES-ETQ</t>
  </si>
  <si>
    <t>TCCN-PTE-PFL-PS2-CF1-SES-CRW</t>
  </si>
  <si>
    <t>TCCN-PTE-PFL-PS2-CF1-SMO</t>
  </si>
  <si>
    <t>TCCN-PTE-PFL-PS2-CF1-SMO-MOE</t>
  </si>
  <si>
    <t>TCCN-PTE-PFL-PS2-CF1-INS</t>
  </si>
  <si>
    <t>TCCN-PTE-PFL-PS2-CF1-INS-VVN</t>
  </si>
  <si>
    <t>TCCN-PTE-PFL-PS2-CF1-INS-SSN</t>
  </si>
  <si>
    <t>TCCN-PTE-PFL-PS2-CF1-INS-VVD</t>
  </si>
  <si>
    <t>TCCN-PTE-PFL-PS2-CF1-INS-FJM</t>
  </si>
  <si>
    <t>TCCN-PTE-PFL-PS2-CF1-SCE</t>
  </si>
  <si>
    <t>TCCN-PTE-PFL-PS2-CF1-SCE-BTN</t>
  </si>
  <si>
    <t>TCCN-PTE-PFL-PS2-CF2</t>
  </si>
  <si>
    <t>TCCN-PTE-PFL-PS2-CF2-SCP</t>
  </si>
  <si>
    <t>TCCN-PTE-PFL-PS2-CF2-SCP-POR</t>
  </si>
  <si>
    <t>TCCN-PTE-PFL-PS2-CF2-SCP-LUB</t>
  </si>
  <si>
    <t>TCCN-PTE-PFL-PS2-CF2-SCP-RTO</t>
  </si>
  <si>
    <t>TCCN-PTE-PFL-PS2-CF2-SCP-ETT</t>
  </si>
  <si>
    <t>TCCN-PTE-PFL-PS2-CF2-SCP-DDT</t>
  </si>
  <si>
    <t>TCCN-PTE-PFL-PS2-CF2-SCP-EJE</t>
  </si>
  <si>
    <t>TCCN-PTE-PFL-PS2-CF2-SES</t>
  </si>
  <si>
    <t>TCCN-PTE-PFL-PS2-CF2-SES-BYG</t>
  </si>
  <si>
    <t>TCCN-PTE-PFL-PS2-CF2-SES-RDP</t>
  </si>
  <si>
    <t>TCCN-PTE-PFL-PS2-CF2-SES-ETQ</t>
  </si>
  <si>
    <t>TCCN-PTE-PFL-PS2-CF2-SES-CRW</t>
  </si>
  <si>
    <t>TCCN-PTE-PFL-PS2-CF2-SMO</t>
  </si>
  <si>
    <t>TCCN-PTE-PFL-PS2-CF2-SMO-MOE</t>
  </si>
  <si>
    <t>TCCN-PTE-PFL-PS2-CF2-INS</t>
  </si>
  <si>
    <t>TCCN-PTE-PFL-PS2-CF2-INS-VVN</t>
  </si>
  <si>
    <t>TCCN-PTE-PFL-PS2-CF2-INS-SSN</t>
  </si>
  <si>
    <t>TCCN-PTE-PFL-PS2-CF2-INS-VVD</t>
  </si>
  <si>
    <t>TCCN-PTE-PFL-PS2-CF2-INS-FJM</t>
  </si>
  <si>
    <t>TCCN-PTE-PFL-PS2-CF2-SCE</t>
  </si>
  <si>
    <t>TCCN-PTE-PFL-PS2-CF2-SCE-BTN</t>
  </si>
  <si>
    <t>TCCN-PTE-PFL-PS2-CF3</t>
  </si>
  <si>
    <t>TCCN-PTE-PFL-PS2-CF3-SCP</t>
  </si>
  <si>
    <t>TCCN-PTE-PFL-PS2-CF3-SCP-POR</t>
  </si>
  <si>
    <t>TCCN-PTE-PFL-PS2-CF3-SCP-LUB</t>
  </si>
  <si>
    <t>TCCN-PTE-PFL-PS2-CF3-SCP-RTO</t>
  </si>
  <si>
    <t>TCCN-PTE-PFL-PS2-CF3-SCP-ETT</t>
  </si>
  <si>
    <t>TCCN-PTE-PFL-PS2-CF3-SCP-DDT</t>
  </si>
  <si>
    <t>TCCN-PTE-PFL-PS2-CF3-SCP-EJE</t>
  </si>
  <si>
    <t>TCCN-PTE-PFL-PS2-CF3-SES</t>
  </si>
  <si>
    <t>TCCN-PTE-PFL-PS2-CF3-SES-BYG</t>
  </si>
  <si>
    <t>TCCN-PTE-PFL-PS2-CF3-SES-RDP</t>
  </si>
  <si>
    <t>TCCN-PTE-PFL-PS2-CF3-SES-ETQ</t>
  </si>
  <si>
    <t>TCCN-PTE-PFL-PS2-CF3-SES-CRW</t>
  </si>
  <si>
    <t>TCCN-PTE-PFL-PS2-CF3-SMO</t>
  </si>
  <si>
    <t>TCCN-PTE-PFL-PS2-CF3-SMO-MOE</t>
  </si>
  <si>
    <t>TCCN-PTE-PFL-PS2-CF3-INS</t>
  </si>
  <si>
    <t>TCCN-PTE-PFL-PS2-CF3-INS-VVN</t>
  </si>
  <si>
    <t>TCCN-PTE-PFL-PS2-CF3-INS-SSN</t>
  </si>
  <si>
    <t>TCCN-PTE-PFL-PS2-CF3-INS-VVD</t>
  </si>
  <si>
    <t>TCCN-PTE-PFL-PS2-CF3-INS-FJM</t>
  </si>
  <si>
    <t>TCCN-PTE-PFL-PS2-CF3-SCE</t>
  </si>
  <si>
    <t>TCCN-PTE-PFL-PS2-CF3-SCE-BTN</t>
  </si>
  <si>
    <t>TCCN-PTE-PFL-PS2-CF4</t>
  </si>
  <si>
    <t>TCCN-PTE-PFL-PS2-CF4-SCP</t>
  </si>
  <si>
    <t>TCCN-PTE-PFL-PS2-CF4-SCP-POR</t>
  </si>
  <si>
    <t>TCCN-PTE-PFL-PS2-CF4-SCP-LUB</t>
  </si>
  <si>
    <t>TCCN-PTE-PFL-PS2-CF4-SCP-RTO</t>
  </si>
  <si>
    <t>TCCN-PTE-PFL-PS2-CF4-SCP-ETT</t>
  </si>
  <si>
    <t>TCCN-PTE-PFL-PS2-CF4-SCP-DDT</t>
  </si>
  <si>
    <t>TCCN-PTE-PFL-PS2-CF4-SCP-EJE</t>
  </si>
  <si>
    <t>TCCN-PTE-PFL-PS2-CF4-SES</t>
  </si>
  <si>
    <t>TCCN-PTE-PFL-PS2-CF4-SES-BYG</t>
  </si>
  <si>
    <t>TCCN-PTE-PFL-PS2-CF4-SES-RDP</t>
  </si>
  <si>
    <t>TCCN-PTE-PFL-PS2-CF4-SES-ETQ</t>
  </si>
  <si>
    <t>TCCN-PTE-PFL-PS2-CF4-SES-CRW</t>
  </si>
  <si>
    <t>TCCN-PTE-PFL-PS2-CF4-SMO</t>
  </si>
  <si>
    <t>TCCN-PTE-PFL-PS2-CF4-SMO-MOE</t>
  </si>
  <si>
    <t>TCCN-PTE-PFL-PS2-CF4-INS</t>
  </si>
  <si>
    <t>TCCN-PTE-PFL-PS2-CF4-INS-VVN</t>
  </si>
  <si>
    <t>TCCN-PTE-PFL-PS2-CF4-INS-SSN</t>
  </si>
  <si>
    <t>TCCN-PTE-PFL-PS2-CF4-INS-VVD</t>
  </si>
  <si>
    <t>TCCN-PTE-PFL-PS2-CF4-INS-FJM</t>
  </si>
  <si>
    <t>TCCN-PTE-PFL-PS2-CF4-SCE</t>
  </si>
  <si>
    <t>TCCN-PTE-PFL-PS2-CF4-SCE-BTN</t>
  </si>
  <si>
    <t>TCCN-PTE-PFL-PS2-CF5</t>
  </si>
  <si>
    <t>TCCN-PTE-PFL-PS2-CF5-SCP</t>
  </si>
  <si>
    <t>TCCN-PTE-PFL-PS2-CF5-SCP-POR</t>
  </si>
  <si>
    <t>TCCN-PTE-PFL-PS2-CF5-SCP-LUB</t>
  </si>
  <si>
    <t>TCCN-PTE-PFL-PS2-CF5-SCP-RTO</t>
  </si>
  <si>
    <t>TCCN-PTE-PFL-PS2-CF5-SCP-ETT</t>
  </si>
  <si>
    <t>TCCN-PTE-PFL-PS2-CF5-SCP-DDT</t>
  </si>
  <si>
    <t>TCCN-PTE-PFL-PS2-CF5-SCP-EJE</t>
  </si>
  <si>
    <t>TCCN-PTE-PFL-PS2-CF5-SES</t>
  </si>
  <si>
    <t>TCCN-PTE-PFL-PS2-CF5-SES-BYG</t>
  </si>
  <si>
    <t>TCCN-PTE-PFL-PS2-CF5-SES-RDP</t>
  </si>
  <si>
    <t>TCCN-PTE-PFL-PS2-CF5-SES-ETQ</t>
  </si>
  <si>
    <t>TCCN-PTE-PFL-PS2-CF5-SES-CRW</t>
  </si>
  <si>
    <t>TCCN-PTE-PFL-PS2-CF5-SMO</t>
  </si>
  <si>
    <t>TCCN-PTE-PFL-PS2-CF5-SMO-MOE</t>
  </si>
  <si>
    <t>TCCN-PTE-PFL-PS2-CF5-INS</t>
  </si>
  <si>
    <t>TCCN-PTE-PFL-PS2-CF5-INS-VVN</t>
  </si>
  <si>
    <t>TCCN-PTE-PFL-PS2-CF5-INS-SSN</t>
  </si>
  <si>
    <t>TCCN-PTE-PFL-PS2-CF5-INS-VVD</t>
  </si>
  <si>
    <t>TCCN-PTE-PFL-PS2-CF5-INS-FJM</t>
  </si>
  <si>
    <t>TCCN-PTE-PFL-PS2-CF5-SCE</t>
  </si>
  <si>
    <t>TCCN-PTE-PFL-PS2-CF5-SCE-BTN</t>
  </si>
  <si>
    <t>TCCN-PTE-PFL-PS2-CF6</t>
  </si>
  <si>
    <t>TCCN-PTE-PFL-PS2-CF6-SCP</t>
  </si>
  <si>
    <t>TCCN-PTE-PFL-PS2-CF6-SCP-POR</t>
  </si>
  <si>
    <t>TCCN-PTE-PFL-PS2-CF6-SCP-LUB</t>
  </si>
  <si>
    <t>TCCN-PTE-PFL-PS2-CF6-SCP-RTO</t>
  </si>
  <si>
    <t>TCCN-PTE-PFL-PS2-CF6-SCP-ETT</t>
  </si>
  <si>
    <t>TCCN-PTE-PFL-PS2-CF6-SCP-DDT</t>
  </si>
  <si>
    <t>TCCN-PTE-PFL-PS2-CF6-SCP-EJE</t>
  </si>
  <si>
    <t>TCCN-PTE-PFL-PS2-CF6-SES</t>
  </si>
  <si>
    <t>TCCN-PTE-PFL-PS2-CF6-SES-BYG</t>
  </si>
  <si>
    <t>TCCN-PTE-PFL-PS2-CF6-SES-RDP</t>
  </si>
  <si>
    <t>TCCN-PTE-PFL-PS2-CF6-SES-ETQ</t>
  </si>
  <si>
    <t>TCCN-PTE-PFL-PS2-CF6-SES-CRW</t>
  </si>
  <si>
    <t>TCCN-PTE-PFL-PS2-CF6-SMO</t>
  </si>
  <si>
    <t>TCCN-PTE-PFL-PS2-CF6-SMO-MOE</t>
  </si>
  <si>
    <t>TCCN-PTE-PFL-PS2-CF6-INS</t>
  </si>
  <si>
    <t>TCCN-PTE-PFL-PS2-CF6-INS-VVN</t>
  </si>
  <si>
    <t>TCCN-PTE-PFL-PS2-CF6-INS-SSN</t>
  </si>
  <si>
    <t>TCCN-PTE-PFL-PS2-CF6-INS-VVD</t>
  </si>
  <si>
    <t>TCCN-PTE-PFL-PS2-CF6-INS-FJM</t>
  </si>
  <si>
    <t>TCCN-PTE-PFL-PS2-CF6-SCE</t>
  </si>
  <si>
    <t>TCCN-PTE-PFL-PS2-CF6-SCE-BTN</t>
  </si>
  <si>
    <t>TCCN-PTE-PFL-PS2-CF7</t>
  </si>
  <si>
    <t>TCCN-PTE-PFL-PS2-CF7-SCP</t>
  </si>
  <si>
    <t>TCCN-PTE-PFL-PS2-CF7-SCP-POR</t>
  </si>
  <si>
    <t>TCCN-PTE-PFL-PS2-CF7-SCP-LUB</t>
  </si>
  <si>
    <t>TCCN-PTE-PFL-PS2-CF7-SCP-RTO</t>
  </si>
  <si>
    <t>TCCN-PTE-PFL-PS2-CF7-SCP-ETT</t>
  </si>
  <si>
    <t>TCCN-PTE-PFL-PS2-CF7-SCP-DDT</t>
  </si>
  <si>
    <t>TCCN-PTE-PFL-PS2-CF7-SCP-EJE</t>
  </si>
  <si>
    <t>TCCN-PTE-PFL-PS2-CF7-SES</t>
  </si>
  <si>
    <t>TCCN-PTE-PFL-PS2-CF7-SES-BYG</t>
  </si>
  <si>
    <t>TCCN-PTE-PFL-PS2-CF7-SES-RDP</t>
  </si>
  <si>
    <t>TCCN-PTE-PFL-PS2-CF7-SES-ETQ</t>
  </si>
  <si>
    <t>TCCN-PTE-PFL-PS2-CF7-SES-CRW</t>
  </si>
  <si>
    <t>TCCN-PTE-PFL-PS2-CF7-SMO</t>
  </si>
  <si>
    <t>TCCN-PTE-PFL-PS2-CF7-SMO-MOE</t>
  </si>
  <si>
    <t>TCCN-PTE-PFL-PS2-CF7-INS</t>
  </si>
  <si>
    <t>TCCN-PTE-PFL-PS2-CF7-INS-VVN</t>
  </si>
  <si>
    <t>TCCN-PTE-PFL-PS2-CF7-INS-SSN</t>
  </si>
  <si>
    <t>TCCN-PTE-PFL-PS2-CF7-INS-VVD</t>
  </si>
  <si>
    <t>TCCN-PTE-PFL-PS2-CF7-INS-FJM</t>
  </si>
  <si>
    <t>TCCN-PTE-PFL-PS2-CF7-SCE</t>
  </si>
  <si>
    <t>TCCN-PTE-PFL-PS2-CF7-SCE-BTN</t>
  </si>
  <si>
    <t>TCCN-PTE-PFL-PS2-CF8</t>
  </si>
  <si>
    <t>TCCN-PTE-PFL-PS2-CF8-SCP</t>
  </si>
  <si>
    <t>TCCN-PTE-PFL-PS2-CF8-SCP-POR</t>
  </si>
  <si>
    <t>TCCN-PTE-PFL-PS2-CF8-SCP-LUB</t>
  </si>
  <si>
    <t>TCCN-PTE-PFL-PS2-CF8-SCP-RTO</t>
  </si>
  <si>
    <t>TCCN-PTE-PFL-PS2-CF8-SCP-ETT</t>
  </si>
  <si>
    <t>TCCN-PTE-PFL-PS2-CF8-SCP-DDT</t>
  </si>
  <si>
    <t>TCCN-PTE-PFL-PS2-CF8-SCP-EJE</t>
  </si>
  <si>
    <t>TCCN-PTE-PFL-PS2-CF8-SES</t>
  </si>
  <si>
    <t>TCCN-PTE-PFL-PS2-CF8-SES-BYG</t>
  </si>
  <si>
    <t>TCCN-PTE-PFL-PS2-CF8-SES-RDP</t>
  </si>
  <si>
    <t>TCCN-PTE-PFL-PS2-CF8-SES-ETQ</t>
  </si>
  <si>
    <t>TCCN-PTE-PFL-PS2-CF8-SES-CRW</t>
  </si>
  <si>
    <t>TCCN-PTE-PFL-PS2-CF8-SMO</t>
  </si>
  <si>
    <t>TCCN-PTE-PFL-PS2-CF8-SMO-MOE</t>
  </si>
  <si>
    <t>TCCN-PTE-PFL-PS2-CF8-INS</t>
  </si>
  <si>
    <t>TCCN-PTE-PFL-PS2-CF8-INS-VVN</t>
  </si>
  <si>
    <t>TCCN-PTE-PFL-PS2-CF8-INS-SSN</t>
  </si>
  <si>
    <t>TCCN-PTE-PFL-PS2-CF8-INS-VVD</t>
  </si>
  <si>
    <t>TCCN-PTE-PFL-PS2-CF8-INS-FJM</t>
  </si>
  <si>
    <t>TCCN-PTE-PFL-PS2-CF8-SCE</t>
  </si>
  <si>
    <t>TCCN-PTE-PFL-PS2-CF89-SCE-BTN</t>
  </si>
  <si>
    <t>TCCN-PTE-PFL-PSC</t>
  </si>
  <si>
    <t>TCCN-PTE-PFL-PSC-CA2</t>
  </si>
  <si>
    <t>TCCN-PTE-PFL-PSC-CA2-SES</t>
  </si>
  <si>
    <t>TCCN-PTE-PFL-PSC-CA2-SES-ETQ</t>
  </si>
  <si>
    <t>TCCN-PTE-PFL-PSC-CA2-INS</t>
  </si>
  <si>
    <t>TCCN-PTE-PFL-PSC-CA2-INS-SSN</t>
  </si>
  <si>
    <t>TCCN-PTE-PFL-PSC-B01</t>
  </si>
  <si>
    <t>TCCN-PTE-PFL-PSC-B01-SMO</t>
  </si>
  <si>
    <t>TCCN-PTE-PFL-PSC-B01-SMO-MOE</t>
  </si>
  <si>
    <t>TCCN-PTE-PFL-PSC-B01-INS</t>
  </si>
  <si>
    <t>TCCN-PTE-PFL-PSC-B01-INS-SSP</t>
  </si>
  <si>
    <t>TCCN-PTE-PFL-PSC-B01-SCE</t>
  </si>
  <si>
    <t>TCCN-PTE-PFL-PSC-B02</t>
  </si>
  <si>
    <t>TCCN-PTE-PFL-PSC-B02-SMO</t>
  </si>
  <si>
    <t>TCCN-PTE-PFL-PSC-B02-SMO-MOE</t>
  </si>
  <si>
    <t>TCCN-PTE-PFL-PSC-B02-INS</t>
  </si>
  <si>
    <t>TCCN-PTE-PFL-PSC-B02-INS-SSP</t>
  </si>
  <si>
    <t>TCCN-PTE-PFL-PSC-B02-SCE</t>
  </si>
  <si>
    <t>TCCN-PTE-PFL-PSC-CA3</t>
  </si>
  <si>
    <t>TCCN-PTE-PFL-PSC-CA3-SME</t>
  </si>
  <si>
    <t>TCCN-PTE-PFL-PSC-CA3-SME-VV1</t>
  </si>
  <si>
    <t>TCCN-PTE-PFL-PSC-CA3-SME-VV2</t>
  </si>
  <si>
    <t>TCCN-PTE-PFL-PSC-CA3-INS</t>
  </si>
  <si>
    <t>TCCN-PTE-PFL-PSC-CA3-INS-SSN</t>
  </si>
  <si>
    <t>TCCN-PTE-PFL-PSC-UHI</t>
  </si>
  <si>
    <t>TCCN-PTE-PFL-PSC-UHI-SHI</t>
  </si>
  <si>
    <t>TCCN-PTE-PFL-PSC-UHI-SHI-BBA</t>
  </si>
  <si>
    <t>TCCN-PTE-PFL-PSC-UHI-SHI-ADP</t>
  </si>
  <si>
    <t>TCCN-PTE-PFL-PSC-UHI-SHI-ETQ</t>
  </si>
  <si>
    <t>TCCN-PTE-PFL-PSC-UHI-SMO</t>
  </si>
  <si>
    <t>TCCN-PTE-PFL-PSC-UHI-SMO-MOE</t>
  </si>
  <si>
    <t>TCCN-PTE-PFL-PSC-UHI-SCE</t>
  </si>
  <si>
    <t>TCCN-PTE-PFL-PSC-UHI-SCE-BTN</t>
  </si>
  <si>
    <t>TCCN-PTE-PFL-PSC-UHI-SCE-PAN</t>
  </si>
  <si>
    <t>TCCN-PTE-PFL-PSC-B03</t>
  </si>
  <si>
    <t>TCCN-PTE-PFL-PSC-B03-SMO</t>
  </si>
  <si>
    <t>TCCN-PTE-PFL-PSC-B03-SMO-MOE</t>
  </si>
  <si>
    <t>TCCN-PTE-PFL-PSC-B03-STE</t>
  </si>
  <si>
    <t>TCCN-PTE-PFL-FSC-B03-STE-BTN</t>
  </si>
  <si>
    <t>TCCN-PTE-PFL-PSC-TCL</t>
  </si>
  <si>
    <t>TCCN-PTE-PFL-PSC-TCL-SCE</t>
  </si>
  <si>
    <t>TCCN-PTE-PFL-PSC-TCL-SCE-BTN</t>
  </si>
  <si>
    <t>TCCN-PTE-PFL-SMU</t>
  </si>
  <si>
    <t>TCCN-PTE-PFL-SMU-CM1</t>
  </si>
  <si>
    <t>TCCN-PTE-PFL-SMU-CM1-SME</t>
  </si>
  <si>
    <t>TCCN-PTE-PFL-SMU-CM1-SME-BBA</t>
  </si>
  <si>
    <t>TCCN-PTE-PFL-SMU-CM1-SMO</t>
  </si>
  <si>
    <t>TCCN-PTE-PFL-SMU-CM1-SMO-MOE</t>
  </si>
  <si>
    <t>TCCN-PTE-PFL-SMU-CM1-SCE</t>
  </si>
  <si>
    <t>TCCN-PTE-PFL-SMU-CM2</t>
  </si>
  <si>
    <t>TCCN-PTE-PFL-SMU-CM2-SME</t>
  </si>
  <si>
    <t>TCCN-PTE-PFL-SMU-CM2-SME-BBA</t>
  </si>
  <si>
    <t>TCCN-PTE-PFL-SMU-CM2-SMO</t>
  </si>
  <si>
    <t>TCCN-PTE-PFL-SMU-CM2-SMO-MOE</t>
  </si>
  <si>
    <t>TCCN-PTE-PFL-SMU-CM2-SCE</t>
  </si>
  <si>
    <t>TCCN-PTE-PFL-SMU-CM3</t>
  </si>
  <si>
    <t>TCCN-PTE-PFL-SMU-CM3-SME</t>
  </si>
  <si>
    <t>TCCN-PTE-PFL-SMU-CM3-SME-BBA</t>
  </si>
  <si>
    <t>TCCN-PTE-PFL-SMU-CM3-SMO</t>
  </si>
  <si>
    <t>TCCN-PTE-PFL-SMU-CM3-SMO-MOE</t>
  </si>
  <si>
    <t>TCCN-PTE-PFL-SMU-CM3-SCE</t>
  </si>
  <si>
    <t>TCCN-PTE-PFL-SMU-CM4</t>
  </si>
  <si>
    <t>TCCN-PTE-PFL-SMU-CM4-SME</t>
  </si>
  <si>
    <t>TCCN-PTE-PFL-SMU-CM4-SME-BBA</t>
  </si>
  <si>
    <t>TCCN-PTE-PFL-SMU-CM4-SMO</t>
  </si>
  <si>
    <t>TCCN-PTE-PFL-SMU-CM4-SMO-MOE</t>
  </si>
  <si>
    <t>TCCN-PTE-PFL-SMU-CM4-SCE</t>
  </si>
  <si>
    <t>TCCN-PTE-PFL-SMU-CM5</t>
  </si>
  <si>
    <t>TCCN-PTE-PFL-SMU-CM5-SME</t>
  </si>
  <si>
    <t>TCCN-PTE-PFL-SMU-CM5-SME-BBA</t>
  </si>
  <si>
    <t>TCCN-PTE-PFL-SMU-CM5-SMO</t>
  </si>
  <si>
    <t>TCCN-PTE-PFL-SMU-CM5-SMO-MOE</t>
  </si>
  <si>
    <t>TCCN-PTE-PFL-SMU-CM5-SCE</t>
  </si>
  <si>
    <t>TCCN-PTE-PFL-SAN</t>
  </si>
  <si>
    <t>TCCN-PTE-PFL-SAN-ALY</t>
  </si>
  <si>
    <t>TCCN-PTE-PFL-SAN-ALY-SCP</t>
  </si>
  <si>
    <t>TCCN-PTE-PFL-SAN-ALY-SCP-MU1</t>
  </si>
  <si>
    <t>TCCN-PTE-PFL-SAN-ALY-SCP-BB1</t>
  </si>
  <si>
    <t>TCCN-PTE-PFL-SAN-ALY-SCP-MU2</t>
  </si>
  <si>
    <t>TCCN-PTE-PFL-SAN-ALY-SCP-BB2</t>
  </si>
  <si>
    <t>TCCN-PTE-PFL-SAN-ALY-SCP-GAB</t>
  </si>
  <si>
    <t>TCCN-PTE-PFL-SAN-ALY-SCP-DMP</t>
  </si>
  <si>
    <t>TCCN-PTE-PFL-SAN-ALY-SCE</t>
  </si>
  <si>
    <t>TCCN-PTE-PFL-SEL</t>
  </si>
  <si>
    <t>TCCN-PTE-PFL-SEL-SAE</t>
  </si>
  <si>
    <t>TCCN-PTE-PFL-SEL-SAE-SCE</t>
  </si>
  <si>
    <t>TCCN-PTE-PFL-SEL-SAE-SCE-CDC</t>
  </si>
  <si>
    <t>TCCN-PTE-PFL-SEL-SAE-SCE-CC1</t>
  </si>
  <si>
    <t>TCCN-PTE-PFL-SEL-SAE-SCE-CC2</t>
  </si>
  <si>
    <t>TCCN-PTE-PFL-SEL-SAE-SCE-CC3</t>
  </si>
  <si>
    <t>TCCN-PTE-PFL-SEL-SAE-SCE-CC4</t>
  </si>
  <si>
    <t>TCCN-PTE-PFL-SEL-SAE-SCE-CC5</t>
  </si>
  <si>
    <t>TCCN-PTE-PFL-SEL-SAE-SCE-TB1</t>
  </si>
  <si>
    <t>TCCN-PTE-PFL-SEL-SAE-SCE-TF1</t>
  </si>
  <si>
    <t>TCCN-PTE-PFL-SEL-SAE-SCE-TB2</t>
  </si>
  <si>
    <t>TCCN-PTE-PFL-SEL-SAE-SCE-TF2</t>
  </si>
  <si>
    <t>TCCN-PTE-PFL-SEL-SAE-SCE-TB3</t>
  </si>
  <si>
    <t>TCCN-PTE-PFL-SEL-SAE-SCE-UPS</t>
  </si>
  <si>
    <t>TCCN-PTE-PFL-SEL-SAE-SCE-TB4</t>
  </si>
  <si>
    <t>TCCN-PTE-PFL-SEL-SAE-SCE-PC1</t>
  </si>
  <si>
    <t>TCCN-PTE-PFL-SEL-SAE-SCE-PC2</t>
  </si>
  <si>
    <t>TCCN-PTE-PFL-SEL-SAE-SCE-SCA</t>
  </si>
  <si>
    <t>TCCN-PTE-PFL-SEL-SAE-SCE-GA1</t>
  </si>
  <si>
    <t>TCCN-PTE-PFL-SEL-SAE-SCE-RKC</t>
  </si>
  <si>
    <t>TCCN-PTE-PFL-SEL-SAE-SCE-GA2</t>
  </si>
  <si>
    <t>TCCN-PTE-PFL-SEL-SAE-SCE-EX1</t>
  </si>
  <si>
    <t>TCCN-PTE-PFL-SEL-SAE-SCE-EX2</t>
  </si>
  <si>
    <t>TCCN-PTE-PFL-SEL-SAE-SCE-CBN</t>
  </si>
  <si>
    <t>TCCN-PTE-PFL-SEL-SAE-SCE-AC1</t>
  </si>
  <si>
    <t>TCCN-PTE-PFL-SEL-SAE-SCE-AC2</t>
  </si>
  <si>
    <t>TCCN-PTE-PFL-SEL-SAE-SCE-AC3</t>
  </si>
  <si>
    <t>TCCN-PTE-PFL-SEL-SAE-SCE-AC4</t>
  </si>
  <si>
    <t>TCCN-PTE-PFL-SEL-SAE-SCE-SE1</t>
  </si>
  <si>
    <t>TCCN-PTE-PFL-SEL-SAE-SCE-SE2</t>
  </si>
  <si>
    <t>TCCN-PTE-PFL-SEL-SAE-SCE-EQP</t>
  </si>
  <si>
    <t>TCCN-PTE-PFL-SEL-SAE-SCE-GTS</t>
  </si>
  <si>
    <t>TCCN-PTE-PFL-SEL-SAE-SCE-GA3</t>
  </si>
  <si>
    <t>TCCN-PTE-PFL-SEL-SAE-SCE-GEN</t>
  </si>
  <si>
    <t>TCCN-PTE-PFL-SEL-SAE-SCE-TB5</t>
  </si>
  <si>
    <t>TCCN-PTE-PFL-SEL-SAE-SCE-VF1</t>
  </si>
  <si>
    <t>TCCN-PTE-PFL-SEL-SAE-SCE-VF2</t>
  </si>
  <si>
    <t>TCCN-PTE-PFL-SEL-SAE-SCE-VF3</t>
  </si>
  <si>
    <t>TCCN-PTE-PFL-SEL-SAE-SCE-VF4</t>
  </si>
  <si>
    <t>TCCN-PTE-PFL-SEL-SAE-SCE-VF5</t>
  </si>
  <si>
    <t>TCCN-PTE-PFL-SEL-SAE-SCE-VF6</t>
  </si>
  <si>
    <t>TCCN-PTE-PFL-SEL-SAE-SCE-DC1</t>
  </si>
  <si>
    <t>TCCN-PTE-PFL-SEL-SAE-SCE-DC2</t>
  </si>
  <si>
    <t>TCCN-PTE-PFL-SEL-SAE-SCE-DC3</t>
  </si>
  <si>
    <t>TCCN-PTE-PFL-SEL-SAE-SCE-DC4</t>
  </si>
  <si>
    <t>TCCN-PTE-PFL-SEL-SAE-SCE-DC5</t>
  </si>
  <si>
    <t>TCCN-PTE-PFL-SEL-SAE-SCE-DC6</t>
  </si>
  <si>
    <t>TCCN-PTE-PFL-SEL-SAE-SCE-DC7</t>
  </si>
  <si>
    <t>TCCN-PTE-PFL-SEL-SAE-SCE-DDB</t>
  </si>
  <si>
    <t>TCCN-PTE-PFL-SEL-SAE-SCE-TF3</t>
  </si>
  <si>
    <t>TCCN-PTE-CON</t>
  </si>
  <si>
    <t>TCCN-PTE-CON-EPM</t>
  </si>
  <si>
    <t>TCCN-PTE-CON-EPM-CA4</t>
  </si>
  <si>
    <t>TCCN-PTE-CON-EPM-CA4-SES</t>
  </si>
  <si>
    <t>TCCN-PTE-CON-EPM-CA4-SES-ETQ</t>
  </si>
  <si>
    <t>TCCN-PTE-CON-EPM-CA4-STI</t>
  </si>
  <si>
    <t>TCCN-PTE-CON-EPM-CA4-STI-SSN</t>
  </si>
  <si>
    <t>TCCN-PTE-CON-EPM-CA5</t>
  </si>
  <si>
    <t>TCCN-PTE-CON-EPM-CA5-SES</t>
  </si>
  <si>
    <t>TCCN-PTE-CON-EPM-CA5-SES-ETQ</t>
  </si>
  <si>
    <t>TCCN-PTE-CON-EPM-CA5-STI</t>
  </si>
  <si>
    <t>TCCN-PTE-CON-EPM-CA5-STI-SSN</t>
  </si>
  <si>
    <t>TCCN-PTE-CON-EPM-ZZM</t>
  </si>
  <si>
    <t>TCCN-PTE-CON-EPM-B01</t>
  </si>
  <si>
    <t>TCCN-PTE-CON-EPM-B01-SMO</t>
  </si>
  <si>
    <t>TCCN-PTE-CON-EPM-B01-SMO-MOE</t>
  </si>
  <si>
    <t>TCCN-PTE-CON-EPM-B01-SCE</t>
  </si>
  <si>
    <t>TCCN-PTE-CON-EPM-B01-STI-SSP</t>
  </si>
  <si>
    <t>TCCN-PTE-CON-EPM-B02</t>
  </si>
  <si>
    <t>TCCN-PTE-CON-EPM-B02-SMO</t>
  </si>
  <si>
    <t>TCCN-PTE-CON-EPM-B02-SMO-MOE</t>
  </si>
  <si>
    <t>TCCN-PTE-CON-EPM-B02-SCE</t>
  </si>
  <si>
    <t>TCCN-PTE-CON-EPM-B02-STI-SSP</t>
  </si>
  <si>
    <t>TCCN-PTE-CON-EPM-ESP</t>
  </si>
  <si>
    <t>TCCN-PTE-CON-EPM-ESP-SES</t>
  </si>
  <si>
    <t>TCCN-PTE-CON-EPM-ESP-SES-CNL</t>
  </si>
  <si>
    <t>TCCN-PTE-CON-EPM-ESP-SES-RTE</t>
  </si>
  <si>
    <t>TCCN-PTE-CON-EPM-ESP-SES-FEE</t>
  </si>
  <si>
    <t>TCCN-PTE-CON-EPM-ESP-SES-BYG</t>
  </si>
  <si>
    <t>TCCN-PTE-CON-EPM-ESP-SMO</t>
  </si>
  <si>
    <t>TCCN-PTE-CON-EPM-ESP-SMO-RED</t>
  </si>
  <si>
    <t>TCCN-PTE-CON-EPM-ESP-SMO-MHD</t>
  </si>
  <si>
    <t>TCCN-PTE-CON-EPM-ESP-SMO-UHD</t>
  </si>
  <si>
    <t>TCCN-PTE-CON-EPM-ESP-SLE</t>
  </si>
  <si>
    <t>TCCN-PTE-CON-EPM-ESP-SLE-CIH</t>
  </si>
  <si>
    <t>TCCN-PTE-CON-ESM-ESP-STI-SSN</t>
  </si>
  <si>
    <t>TCCN-PTE-CON-ESM-ESP-STI-SSP</t>
  </si>
  <si>
    <t>TCCN-PTE-CON-ESM-ESP-STI-SPO</t>
  </si>
  <si>
    <t>TCCN-PTE-CON-ESM-ESP-STI-SST</t>
  </si>
  <si>
    <t>TCCN-PTE-CON-ESM-ESP-STI-STO</t>
  </si>
  <si>
    <t>TCCN-PTE-CON-ESM-ESP-STI-PAN</t>
  </si>
  <si>
    <t>TCCN-PTE-CON-EPM-UH1</t>
  </si>
  <si>
    <t>TCCN-PTE-CON-EPM-UH1-SHI</t>
  </si>
  <si>
    <t>TCCN-PTE-CON-EPM-UH1-SHI-BBA</t>
  </si>
  <si>
    <t>TCCN-PTE-CON-EPM-UH1-SHI-ADP</t>
  </si>
  <si>
    <t>TCCN-PTE-CON-EPM-UH1-SHI-ETQ</t>
  </si>
  <si>
    <t>TCCN-PTE-CON-EPM-UH1-SMO</t>
  </si>
  <si>
    <t>TCCN-PTE-CON-EPM-UH1-SMO-MOE</t>
  </si>
  <si>
    <t>TCCN-PTE-CON-EPM-UH1-SEN</t>
  </si>
  <si>
    <t>TCCN-PTE-CON-EPM-UH1-SEN-BBA</t>
  </si>
  <si>
    <t>TCCN-PTE-CON-EPM-UH1-SEN-MOE</t>
  </si>
  <si>
    <t>TCCN-PTE-CON-EPM-UH1-SEN-ICA</t>
  </si>
  <si>
    <t>TCCN-PTE-CON-EPM-UH2</t>
  </si>
  <si>
    <t>TCCN-PTE-CON-EPM-UH2-SHI</t>
  </si>
  <si>
    <t>TCCN-PTE-CON-EPM-UH2-SHI-BBA</t>
  </si>
  <si>
    <t>TCCN-PTE-CON-EPM-UH2-SHI-ADP</t>
  </si>
  <si>
    <t>TCCN-PTE-CON-EPM-UH2-SHI-ETQ</t>
  </si>
  <si>
    <t>TCCN-PTE-CON-EPM-UH2-SMO</t>
  </si>
  <si>
    <t>TCCN-PTE-CON-EPM-UH2-SMO-MOE</t>
  </si>
  <si>
    <t>TCCN-PTE-CON-EPM-UH2-SEN</t>
  </si>
  <si>
    <t>TCCN-PTE-CON-EPM-UH2-SEN-BBA</t>
  </si>
  <si>
    <t>TCCN-PTE-CON-EPM-UH2-SEN-MOE</t>
  </si>
  <si>
    <t>TCCN-PTE-CON-EPM-UH2-SEN-ICA</t>
  </si>
  <si>
    <t>TCCN-PTE-CON-EPM-UH3</t>
  </si>
  <si>
    <t>TCCN-PTE-CON-EPM-UH3-SHI</t>
  </si>
  <si>
    <t>TCCN-PTE-CON-EPM-UH3-SHI-BBA</t>
  </si>
  <si>
    <t>TCCN-PTE-CON-EPM-UH3-SHI-ADP</t>
  </si>
  <si>
    <t>TCCN-PTE-CON-EPM-UH3-SHI-ETQ</t>
  </si>
  <si>
    <t>TCCN-PTE-CON-EPM-UH3-SMO</t>
  </si>
  <si>
    <t>TCCN-PTE-CON-EPM-UH3-SMO-MOE</t>
  </si>
  <si>
    <t>TCCN-PTE-CON-EPM-UH3-SEN</t>
  </si>
  <si>
    <t>TCCN-PTE-CON-EPM-UH3-SEN-BBA</t>
  </si>
  <si>
    <t>TCCN-PTE-CON-EPM-UH3-SEN-MOE</t>
  </si>
  <si>
    <t>TCCN-PTE-CON-EPM-UH3-SEN-ICA</t>
  </si>
  <si>
    <t>TCCN-PTE-CON-EPM-UH4</t>
  </si>
  <si>
    <t>TCCN-PTE-CON-EPM-UH4-SHI</t>
  </si>
  <si>
    <t>TCCN-PTE-CON-EPM-UH4-SHI-BBA</t>
  </si>
  <si>
    <t>TCCN-PTE-CON-EPM-UH4-SHI-ADP</t>
  </si>
  <si>
    <t>TCCN-PTE-CON-EPM-UH4-SHI-ETQ</t>
  </si>
  <si>
    <t>TCCN-PTE-CON-EPM-UH4-SMO</t>
  </si>
  <si>
    <t>TCCN-PTE-CON-EPM-UH4-SMO-MOE</t>
  </si>
  <si>
    <t>TCCN-PTE-CON-EPM-UH4-SEN</t>
  </si>
  <si>
    <t>TCCN-PTE-CON-EPM-UH4-SEN-BBA</t>
  </si>
  <si>
    <t>TCCN-PTE-CON-EPM-UH4-SEN-MOE</t>
  </si>
  <si>
    <t>TCCN-PTE-CON-EPM-UH4-SEN-ICA</t>
  </si>
  <si>
    <t>TCCN-PTE-CON-EPM-TC1</t>
  </si>
  <si>
    <t>TCCN-PTE-CON-EPM-TC1-STE</t>
  </si>
  <si>
    <t>TCCN-PTE-CON-EPM-TC1-STE-BTN</t>
  </si>
  <si>
    <t>TCCN-PTE-CON-EPM-B03</t>
  </si>
  <si>
    <t>TCCN-PTE-CON-EPM-B03-SMO</t>
  </si>
  <si>
    <t>TCCN-PTE-CON-EPM-B03-SMO-MOE</t>
  </si>
  <si>
    <t>TCCN-PTE-CON-EPM-B03-SCE</t>
  </si>
  <si>
    <t>TCCN-PTE-CON-EPM-B03-STI-SSP</t>
  </si>
  <si>
    <t>TCCN-PTE-CON-EPM-B04</t>
  </si>
  <si>
    <t>TCCN-PTE-CON-EPM-B04-SMO</t>
  </si>
  <si>
    <t>TCCN-PTE-CON-EPM-B04-SMO-MOE</t>
  </si>
  <si>
    <t>TCCN-PTE-CON-EPM-B04-SCE</t>
  </si>
  <si>
    <t>TCCN-PTE-CON-EPM-B04-STI-SSP</t>
  </si>
  <si>
    <t>TCCN-PTE-CON-EPM-TC2</t>
  </si>
  <si>
    <t>TCCN-PTE-EPC-EPM-TC2-STE</t>
  </si>
  <si>
    <t>TCCN-PTE-EPC-EPM-TC2-STE-BTN</t>
  </si>
  <si>
    <t>TCCN-PTE-CON-EPM-TC3</t>
  </si>
  <si>
    <t>TCCN-PTE-CON-EPM-TC3-STE</t>
  </si>
  <si>
    <t>TCCN-PTE-CON-EPM-TC3-STE-BTN</t>
  </si>
  <si>
    <t>TCCN-PTE-CON-EPM-DLO</t>
  </si>
  <si>
    <t>TCCN-PTE-CON-SMU</t>
  </si>
  <si>
    <t>TCCN-PTE-CON-SMU-CMU</t>
  </si>
  <si>
    <t>TCCN-PTE-CON-FLT</t>
  </si>
  <si>
    <t>TCCN-PTE-CON-FLT-ES1</t>
  </si>
  <si>
    <t>TCCN-PTE-CON-FLT-ES1-STI-SSN</t>
  </si>
  <si>
    <t>TCCN-PTE-CON-FLT-AGT</t>
  </si>
  <si>
    <t>TCCN-PTE-CON-FLT-AGT-SMO</t>
  </si>
  <si>
    <t>TCCN-PTE-CON-FLT-AGT-SMO-MOE</t>
  </si>
  <si>
    <t>TCCN-PTE-CON-FLT-AGT-SMO-RED</t>
  </si>
  <si>
    <t>TCCN-PTE-CON-FLT-AGT-SCE</t>
  </si>
  <si>
    <t>TCCN-PTE-CON-FLT-B01</t>
  </si>
  <si>
    <t>TCCN-PTE-CON-FLT-B01-SMO</t>
  </si>
  <si>
    <t>TCCN-PTE-CON-FLT-B01-SMO-MOE</t>
  </si>
  <si>
    <t>TCCN-PTE-CON-FLT-B01-SCE</t>
  </si>
  <si>
    <t>TCCN-PTE-CON-FLT-B01-STI</t>
  </si>
  <si>
    <t>TCCN-PTE-CON-FLT-B01-STI-SSP</t>
  </si>
  <si>
    <t>TCCN-PTE-CON-FLT-B02</t>
  </si>
  <si>
    <t>TCCN-PTE-CON-FLT-B02-SMO</t>
  </si>
  <si>
    <t>TCCN-PTE-CON-FLT-B02-SMO-MOE</t>
  </si>
  <si>
    <t>TCCN-PTE-CON-FLT-B02-SCE</t>
  </si>
  <si>
    <t>TCCN-PTE-CON-FLT-B02-STI</t>
  </si>
  <si>
    <t>TCCN-PTE-CON-FLT-B02-STI-SSP</t>
  </si>
  <si>
    <t>TCCN-PTE-CON-FLT-FT1</t>
  </si>
  <si>
    <t>TCCN-PTE-CON-FLT-FT1-STF</t>
  </si>
  <si>
    <t>TCCN-PTE-CON-FLT-FL1-STF-TLF</t>
  </si>
  <si>
    <t>TCCN-PTE-CON-FLT-FT1-STT</t>
  </si>
  <si>
    <t>TCCN-PTE-CON-FLT-FL1-STT-EGN</t>
  </si>
  <si>
    <t>TCCN-PTE-CON-FLT-FL1-STT-CZP</t>
  </si>
  <si>
    <t>TCCN-PTE-CON-FLT-FT1-SDP</t>
  </si>
  <si>
    <t>TCCN-PTE-CON-FLT-FL1-SDP-PL1</t>
  </si>
  <si>
    <t>TCCN-PTE-CON-FLT-FL1-SDP-PL2</t>
  </si>
  <si>
    <t>TCCN-PTE-CON-FLT-FL1-SDP-PL3</t>
  </si>
  <si>
    <t>TCCN-PTE-CON-FLT-FT1-VPT</t>
  </si>
  <si>
    <t>TCCN-PTE-CON-FLT-FL1-VPT-VP1</t>
  </si>
  <si>
    <t>TCCN-PTE-CON-FLT-FL1-VPT-VP2</t>
  </si>
  <si>
    <t>TCCN-PTE-CON-FLT-FL1-VPT-VP3</t>
  </si>
  <si>
    <t>TCCN-PTE-CON-FLT-FL1-VPT-VP4</t>
  </si>
  <si>
    <t>TCCN-PTE-CON-FLT-FL1-VPT-VP5</t>
  </si>
  <si>
    <t>TCCN-PTE-CON-FLT-FL1-VPT-VP6</t>
  </si>
  <si>
    <t>TCCN-PTE-CON-FLT-FT1-SES</t>
  </si>
  <si>
    <t>TCCN-PTE-CON-FLT-FL1-VPT-PNF</t>
  </si>
  <si>
    <t>TCCN-PTE-CON-FLT-FL1-VPT-CLN</t>
  </si>
  <si>
    <t>TCCN-PTE-CON-FLT-FL1-ELU-LUB</t>
  </si>
  <si>
    <t>TCCN-PTE-CON-FLT-FL1-ELU-FLX</t>
  </si>
  <si>
    <t>TCCN-PTE-CON-FLT-FT1-INS</t>
  </si>
  <si>
    <t>TCCN-PTE-CON-FLT-FL1-STI-FJM</t>
  </si>
  <si>
    <t>TCCN-PTE-CON-FLT-FL1-STI-VV1</t>
  </si>
  <si>
    <t>TCCN-PTE-CON-FLT-FL1-STI-VV2</t>
  </si>
  <si>
    <t>TCCN-PTE-CON-FLT-FL1-STI-VV3</t>
  </si>
  <si>
    <t>TCCN-PTE-CON-FLT-FL1-STI-TR1</t>
  </si>
  <si>
    <t>TCCN-PTE-CON-FLT-FL1-STI-TR2</t>
  </si>
  <si>
    <t>TCCN-PTE-CON-FLT-FL1-STI-PES</t>
  </si>
  <si>
    <t>TCCN-PTE-CON-FLT-FL1-STI-ECD</t>
  </si>
  <si>
    <t>TCCN-PTE-CON-FLT-FL1-STI-SP1</t>
  </si>
  <si>
    <t>TCCN-PTE-CON-FLT-FL1-STI-SP2</t>
  </si>
  <si>
    <t>TCCN-PTE-CON-FLT-FL1-STI-SP3</t>
  </si>
  <si>
    <t>TCCN-PTE-CON-FLT-FL1-STI-SP4</t>
  </si>
  <si>
    <t>TCCN-PTE-CON-FLT-FL1-STI-SP5</t>
  </si>
  <si>
    <t>TCCN-PTE-CON-FLT-FL1-STI-SP6</t>
  </si>
  <si>
    <t>TCCN-PTE-CON-FLT-FL1-STI-PLC</t>
  </si>
  <si>
    <t>TCCN-PTE-CON-FLT-FT1-SCE</t>
  </si>
  <si>
    <t>TCCN-PTE-CON-FLT-UH2</t>
  </si>
  <si>
    <t>TCCN-PTE-CON-FLT-UH2-UHD</t>
  </si>
  <si>
    <t>TCCN-PTE-CON-FLT-UH2-STI-BBA</t>
  </si>
  <si>
    <t>TCCN-PTE-CON-FLT-UH2-STI-MHD</t>
  </si>
  <si>
    <t>TCCN-PTE-CON-FLT-UH2-STI-CIH</t>
  </si>
  <si>
    <t>TCCN-PTE-CON-FLT-UH2-PYV</t>
  </si>
  <si>
    <t>TCCN-PTE-CON-FLT-UH2-PYV-TUH</t>
  </si>
  <si>
    <t>TCCN-PTE-CON-FLT-UH2-PYV-FLX</t>
  </si>
  <si>
    <t>TCCN-PTE-CON-FLT-UH2-PYV-VVA</t>
  </si>
  <si>
    <t>TCCN-PTE-CON-FLT-UH2-SES</t>
  </si>
  <si>
    <t>TCCN-PTE-CON-FLT-UH2-SES-EST</t>
  </si>
  <si>
    <t>TCCN-PTE-CON-FLT-UH2-SMO</t>
  </si>
  <si>
    <t>TCCN-PTE-CON-FLT-UH2-SES-MOE</t>
  </si>
  <si>
    <t>TCCN-PTE-CON-FLT-UH2-SER</t>
  </si>
  <si>
    <t>TCCN-PTE-CON-FLT-UH2-SER-ENF</t>
  </si>
  <si>
    <t>TCCN-PTE-CON-FLT-UH2-SCU</t>
  </si>
  <si>
    <t>TCCN-PTE-CON-FLT-UH2-SCU-CUH</t>
  </si>
  <si>
    <t>TCCN-PTE-CON-FLT-UH2-SCU-EUH</t>
  </si>
  <si>
    <t>TCCN-PTE-CON-FLT-UH2-SMO-MO1</t>
  </si>
  <si>
    <t>TCCN-PTE-CON-FLT-UH2-SMO-MO2</t>
  </si>
  <si>
    <t>TCCN-PTE-CON-FLT-UH2-SMO-MO3</t>
  </si>
  <si>
    <t>TCCN-PTE-CON-FLT-UH2-STI</t>
  </si>
  <si>
    <t>TCCN-PTE-CON-FLT-UH2-STI-TR1</t>
  </si>
  <si>
    <t>TCCN-PTE-CON-FLT-UH2-STI-TR2</t>
  </si>
  <si>
    <t>TCCN-PTE-CON-FLT-UH2-STI-SST</t>
  </si>
  <si>
    <t>TCCN-PTE-CON-FLT-UH2-STI-VV1</t>
  </si>
  <si>
    <t>TCCN-PTE-CON-FLT-UH2-STI-VV2</t>
  </si>
  <si>
    <t>TCCN-PTE-CON-FLT-UH2-STI-VV3</t>
  </si>
  <si>
    <t>TCCN-PTE-CON-FLT-UH2-STI-PAN</t>
  </si>
  <si>
    <t>TCCN-PTE-CON-FLT-ES2</t>
  </si>
  <si>
    <t>TCCN-PTE-CON-FLT-SI1</t>
  </si>
  <si>
    <t>TCCN-PTE-CON-FLT-FT2</t>
  </si>
  <si>
    <t>TCCN-PTE-CON-FLT-FT2-STF</t>
  </si>
  <si>
    <t>TCCN-PTE-CON-FLT-FL2-STF-TLF</t>
  </si>
  <si>
    <t>TCCN-PTE-CON-FLT-FT2-STT</t>
  </si>
  <si>
    <t>TCCN-PTE-CON-FLT-FL2-STT-EGN</t>
  </si>
  <si>
    <t>TCCN-PTE-CON-FLT-FL2-STT-CZP</t>
  </si>
  <si>
    <t>TCCN-PTE-CON-FLT-FT2-SDP</t>
  </si>
  <si>
    <t>TCCN-PTE-CON-FLT-FL2-SDP-PL1</t>
  </si>
  <si>
    <t>TCCN-PTE-CON-FLT-FL2-SDP-PL2</t>
  </si>
  <si>
    <t>TCCN-PTE-CON-FLT-FL2-SDP-PL3</t>
  </si>
  <si>
    <t>TCCN-PTE-CON-FLT-FT2-VPT</t>
  </si>
  <si>
    <t>TCCN-PTE-CON-FLT-FL2-VPT-VP1</t>
  </si>
  <si>
    <t>TCCN-PTE-CON-FLT-FL2-VPT-VP2</t>
  </si>
  <si>
    <t>TCCN-PTE-CON-FLT-FL2-VPT-VP3</t>
  </si>
  <si>
    <t>TCCN-PTE-CON-FLT-FL2-VPT-VP4</t>
  </si>
  <si>
    <t>TCCN-PTE-CON-FLT-FL2-VPT-VP5</t>
  </si>
  <si>
    <t>TCCN-PTE-CON-FLT-FL2-VPT-VP6</t>
  </si>
  <si>
    <t>TCCN-PTE-CON-FLT-FT2-SES</t>
  </si>
  <si>
    <t>TCCN-PTE-CON-FLT-FL2-VPT-PNF</t>
  </si>
  <si>
    <t>TCCN-PTE-CON-FLT-FL2-VPT-CLN</t>
  </si>
  <si>
    <t>TCCN-PTE-CON-FLT-FL2-ELU-LUB</t>
  </si>
  <si>
    <t>TCCN-PTE-CON-FLT-FL2-ELU-FLX</t>
  </si>
  <si>
    <t>TCCN-PTE-CON-FLT-FT2-INS</t>
  </si>
  <si>
    <t>TCCN-PTE-CON-FLT-FL2-STI-FJM</t>
  </si>
  <si>
    <t>TCCN-PTE-CON-FLT-FL2-STI-VV1</t>
  </si>
  <si>
    <t>TCCN-PTE-CON-FLT-FL2-STI-VV2</t>
  </si>
  <si>
    <t>TCCN-PTE-CON-FLT-FL2-STI-VV3</t>
  </si>
  <si>
    <t>TCCN-PTE-CON-FLT-FL2-STI-TR1</t>
  </si>
  <si>
    <t>TCCN-PTE-CON-FLT-FL2-STI-TR2</t>
  </si>
  <si>
    <t>TCCN-PTE-CON-FLT-FL2-STI-PES</t>
  </si>
  <si>
    <t>TCCN-PTE-CON-FLT-FL2-STI-ECD</t>
  </si>
  <si>
    <t>TCCN-PTE-CON-FLT-FL2-STI-SP1</t>
  </si>
  <si>
    <t>TCCN-PTE-CON-FLT-FL2-STI-SP2</t>
  </si>
  <si>
    <t>TCCN-PTE-CON-FLT-FL2-STI-SP3</t>
  </si>
  <si>
    <t>TCCN-PTE-CON-FLT-FL2-STI-SP4</t>
  </si>
  <si>
    <t>TCCN-PTE-CON-FLT-FL2-STI-SP5</t>
  </si>
  <si>
    <t>TCCN-PTE-CON-FLT-FL2-STI-SP6</t>
  </si>
  <si>
    <t>TCCN-PTE-CON-FLT-FL2-STI-PLC</t>
  </si>
  <si>
    <t>TCCN-PTE-CON-FLT-FT2-SCE</t>
  </si>
  <si>
    <t>TCCN-PTE-CON-FLT-UH3</t>
  </si>
  <si>
    <t>TCCN-PTE-CON-FLT-UH3-UHD</t>
  </si>
  <si>
    <t>TCCN-PTE-CON-FLT-UH3-STI-BBA</t>
  </si>
  <si>
    <t>TCCN-PTE-CON-FLT-UH3-STI-MHD</t>
  </si>
  <si>
    <t>TCCN-PTE-CON-FLT-UH3-STI-CIH</t>
  </si>
  <si>
    <t>TCCN-PTE-CON-FLT-UH3-PYV</t>
  </si>
  <si>
    <t>TCCN-PTE-CON-FLT-UH3-PYV-TUH</t>
  </si>
  <si>
    <t>TCCN-PTE-CON-FLT-UH3-PYV-FLX</t>
  </si>
  <si>
    <t>TCCN-PTE-CON-FLT-UH3-PYV-VVA</t>
  </si>
  <si>
    <t>TCCN-PTE-CON-FLT-UH3-SES</t>
  </si>
  <si>
    <t>TCCN-PTE-CON-FLT-UH3-SES-EST</t>
  </si>
  <si>
    <t>TCCN-PTE-CON-FLT-UH3-SMO</t>
  </si>
  <si>
    <t>TCCN-PTE-CON-FLT-UH3-SER</t>
  </si>
  <si>
    <t>TCCN-PTE-CON-FLT-UH3-SER-ENF</t>
  </si>
  <si>
    <t>TCCN-PTE-CON-FLT-UH3-SCU</t>
  </si>
  <si>
    <t>TCCN-PTE-CON-FLT-UH3-SCU-CUH</t>
  </si>
  <si>
    <t>TCCN-PTE-CON-FLT-UH3-SCU-EUH</t>
  </si>
  <si>
    <t>TCCN-PTE-CON-FLT-UH3-SMO-MO1</t>
  </si>
  <si>
    <t>TCCN-PTE-CON-FLT-UH3-SMO-MO2</t>
  </si>
  <si>
    <t>TCCN-PTE-CON-FLT-UH3-SMO-MO3</t>
  </si>
  <si>
    <t>TCCN-PTE-CON-FLT-UH3-STI</t>
  </si>
  <si>
    <t>TCCN-PTE-CON-FLT-UH3-STI-TR1</t>
  </si>
  <si>
    <t>TCCN-PTE-CON-FLT-UH3-STI-TR2</t>
  </si>
  <si>
    <t>TCCN-PTE-CON-FLT-UH3-STI-SST</t>
  </si>
  <si>
    <t>TCCN-PTE-CON-FLT-UH3-STI-VV1</t>
  </si>
  <si>
    <t>TCCN-PTE-CON-FLT-UH3-STI-VV2</t>
  </si>
  <si>
    <t>TCCN-PTE-CON-FLT-UH3-STI-VV3</t>
  </si>
  <si>
    <t>TCCN-PTE-CON-FLT-UH3-STI-PAN</t>
  </si>
  <si>
    <t>TCCN-PTE-CON-FLT-ES3</t>
  </si>
  <si>
    <t>TCCN-PTE-CON-FLT-SI2</t>
  </si>
  <si>
    <t>TCCN-PTE-CON-FLT-CH1</t>
  </si>
  <si>
    <t>TCCN-PTE-CON-FLT-CH2</t>
  </si>
  <si>
    <t>TCCN-PTE-CON-FLT-CH3</t>
  </si>
  <si>
    <t>TCCN-PTE-CON-FLT-CH4</t>
  </si>
  <si>
    <t>TCCN-PTE-CON-MCN</t>
  </si>
  <si>
    <t>TCCN-PTE-CON-MCN-TOL</t>
  </si>
  <si>
    <t>TCCN-PTE-CON-MCN-TOL-STI</t>
  </si>
  <si>
    <t>TCCN-PTE-CON-MCN-TOL-STI-INL</t>
  </si>
  <si>
    <t>TCCN-PTE-CON-MCN-TOL-STI-SSN</t>
  </si>
  <si>
    <t>TCCN-PTE-CON-MCN-SLZ</t>
  </si>
  <si>
    <t>TCCN-PTE-CON-MCN-SLZ-SHI</t>
  </si>
  <si>
    <t>TCCN-PTE-CON-MCN-SLZ-SHI-CIH</t>
  </si>
  <si>
    <t>TCCN-PTE-CON-MCN-SLZ-SHI-BBA</t>
  </si>
  <si>
    <t>TCCN-PTE-CON-MCN-SLZ-SHI-ETQ</t>
  </si>
  <si>
    <t>TCCN-PTE-CON-MCN-SLZ-SHI-MOE</t>
  </si>
  <si>
    <t>TCCN-PTE-CON-MCN-SLZ-SHI-CUH</t>
  </si>
  <si>
    <t>TCCN-PTE-CON-MCN-SLZ-SME</t>
  </si>
  <si>
    <t>TCCN-PTE-CON-MCN-SLZ-SME-LAN</t>
  </si>
  <si>
    <t>TCCN-PTE-CON-MCN-SLZ-SME-CRL</t>
  </si>
  <si>
    <t>TCCN-PTE-CON-MCN-SLZ-SES</t>
  </si>
  <si>
    <t>TCCN-PTE-CON-MCN-SLZ-SES-CHU</t>
  </si>
  <si>
    <t>TCCN-PTE-CON-MCN-ACT</t>
  </si>
  <si>
    <t>TCCN-PTE-CON-MCN-ACT-SHI</t>
  </si>
  <si>
    <t>TCCN-PTE-CON-MCN-ACT-SHI-BBA</t>
  </si>
  <si>
    <t>TCCN-PTE-CON-MCN-ACT-SHI-ETQ</t>
  </si>
  <si>
    <t>TCCN-PTE-CON-MCN-ACT-SHI-MO1</t>
  </si>
  <si>
    <t>TCCN-PTE-CON-MCN-ACT-SHI-MO2</t>
  </si>
  <si>
    <t>TCCN-PTE-CON-MCN-ACT-SHI-CUH</t>
  </si>
  <si>
    <t>TCCN-PTE-CON-MCN-ACT-SHI-SST</t>
  </si>
  <si>
    <t>TCCN-PTE-CON-MCN-ACT-SHI-SSN</t>
  </si>
  <si>
    <t>TCCN-PTE-CON-MCN-ACT-STI</t>
  </si>
  <si>
    <t>TCCN-PTE-CON-MCN-ACT-STI-SVE</t>
  </si>
  <si>
    <t>TCCN-PTE-CON-MCN-ACT-STI-ICO</t>
  </si>
  <si>
    <t>TCCN-PTE-CON-MCN-ACT-STI-PE1</t>
  </si>
  <si>
    <t>TCCN-PTE-CON-MCN-ACT-STI-PE2</t>
  </si>
  <si>
    <t>TCCN-PTE-CON-MCN-ACT-STI-PE3</t>
  </si>
  <si>
    <t>TCCN-PTE-CON-MCN-ACT-STI-PE4</t>
  </si>
  <si>
    <t>TCCN-PTE-CON-MCN-ACT-STI-ID1</t>
  </si>
  <si>
    <t>TCCN-PTE-CON-MCN-ACT-STI-ID2</t>
  </si>
  <si>
    <t>TCCN-PTE-CON-MCN-ACT-STI-BYB</t>
  </si>
  <si>
    <t>TCCN-PTE-CON-MCN-ACT-STI-PES</t>
  </si>
  <si>
    <t>TCCN-PTE-CON-MCN-ACT-STI-SST</t>
  </si>
  <si>
    <t>TCCN-PTE-CON-MCN-ACT-STE</t>
  </si>
  <si>
    <t>TCCN-PTE-CON-MCN-ACT-STE-BTN</t>
  </si>
  <si>
    <t>TCCN-PTE-CON-MCN-TC1</t>
  </si>
  <si>
    <t>TCCN-PTE-CON-MCN-TC1-STE</t>
  </si>
  <si>
    <t>TCCN-PTE-CON-MCN-TC1-STE-BTN</t>
  </si>
  <si>
    <t>TCCN-PTE-CON-MCN-CTR</t>
  </si>
  <si>
    <t>TCCN-PTE-CON-MCN-CTR-STR</t>
  </si>
  <si>
    <t>TCCN-PTE-CON-MCN-CTR-STR-CTA</t>
  </si>
  <si>
    <t>TCCN-PTE-CON-MCN-CTR-STE</t>
  </si>
  <si>
    <t>TCCN-PTE-CON-MCN-CTR-STE-TEN</t>
  </si>
  <si>
    <t>TCCN-PTE-CON-MCN-CTR-SMO</t>
  </si>
  <si>
    <t>TCCN-PTE-CON-MCN-CTR-SMO-MOE</t>
  </si>
  <si>
    <t>TCCN-PTE-CON-MCN-CTR-SMO-RED</t>
  </si>
  <si>
    <t>TCCN-PTE-CON-MCN-CTR-SMO-ACP</t>
  </si>
  <si>
    <t>TCCN-PTE-CON-MCN-CTR-SMO-FSE</t>
  </si>
  <si>
    <t>TCCN-PTE-CON-MCN-CTR-SMO-PMO</t>
  </si>
  <si>
    <t>TCCN-PTE-CON-MCN-CTR-STI</t>
  </si>
  <si>
    <t>TCCN-PTE-CON-MCN-CTR-STI-SVE</t>
  </si>
  <si>
    <t>TCCN-PTE-CON-MCN-CTR-STI-ICO</t>
  </si>
  <si>
    <t>TCCN-PTE-CON-MCN-CTR-STI-PE1</t>
  </si>
  <si>
    <t>TCCN-PTE-CON-MCN-CTR-STI-PE2</t>
  </si>
  <si>
    <t>TCCN-PTE-CON-MCN-CTR-STI-PE3</t>
  </si>
  <si>
    <t>TCCN-PTE-CON-MCN-CTR-STI-PE4</t>
  </si>
  <si>
    <t>TCCN-PTE-CON-MCN-CTR-STI-ID1</t>
  </si>
  <si>
    <t>TCCN-PTE-CON-MCN-CTR-STI-ID2</t>
  </si>
  <si>
    <t>TCCN-PTE-CON-MCN-CTR-STI-BYB</t>
  </si>
  <si>
    <t>TCCN-PTE-CON-MCN-CTR-STI-INL</t>
  </si>
  <si>
    <t>TCCN-PTE-CON-MCN-CTR-STI-SSN</t>
  </si>
  <si>
    <t>TCCN-PTE-CON-MCN-TC2</t>
  </si>
  <si>
    <t>TCCN-PTE-CON-MCN-TC2-STE</t>
  </si>
  <si>
    <t>TCCN-PTE-CON-MCN-TC2-STE-BTN</t>
  </si>
  <si>
    <t>TCCN-PTE-CON-MCN-TC3</t>
  </si>
  <si>
    <t>TCCN-PTE-CON-MCN-TC3-STE</t>
  </si>
  <si>
    <t>TCCN-PTE-CON-MCN-TC3-STE-BTN</t>
  </si>
  <si>
    <t>TCCN-PTE-CON-MCN-CH6</t>
  </si>
  <si>
    <t>TCCN-PTE-CON-MCN-DLO</t>
  </si>
  <si>
    <t>TCCN-PTE-CON-MCN-RMN</t>
  </si>
  <si>
    <t>TCCN-PTE-CON-MCN-RMN-STI</t>
  </si>
  <si>
    <t>TCCN-PTE-CON-MCN-RMN-STI-PES</t>
  </si>
  <si>
    <t>TCCN-PTE-CON-MCN-GPT</t>
  </si>
  <si>
    <t>TCCN-PTE-CON-MCN-B01</t>
  </si>
  <si>
    <t>TCCN-PTE-CON-MCN-B01-SMO</t>
  </si>
  <si>
    <t>TCCN-PTE-CON-MCN-B01-SMO-MOE</t>
  </si>
  <si>
    <t>TCCN-PTE-CON-MCN-GPC</t>
  </si>
  <si>
    <t>TCCN-PTE-CON-MCN-GPC-STE</t>
  </si>
  <si>
    <t>TCCN-PTE-CON-MCN-GPC-STE-BTN</t>
  </si>
  <si>
    <t>TCCN-PTE-CON-MCN-CO1</t>
  </si>
  <si>
    <t>TCCN-PTE-CON-MCN-CO2</t>
  </si>
  <si>
    <t>TCCN-PTE-CON-MCN-CO3</t>
  </si>
  <si>
    <t>TCCN-PTE-CON-MCN-ACU</t>
  </si>
  <si>
    <t>TCCN-PTE-CON-MCN-FT1</t>
  </si>
  <si>
    <t>TCCN-PTE-CON-MCN-FT2</t>
  </si>
  <si>
    <t>TCCN-PTE-CON-MCN-FT3</t>
  </si>
  <si>
    <t>TCCN-PTE-CON-MCN-SEC</t>
  </si>
  <si>
    <t>TCCN-PTE-CON-MCN-SPA</t>
  </si>
  <si>
    <t>TCCN-PTE-CON-MCN-TC4</t>
  </si>
  <si>
    <t>TCCN-PTE-CON-SEL</t>
  </si>
  <si>
    <t>TCCN-PTE-CON-SEL-SAE</t>
  </si>
  <si>
    <t>TCCN-PTE-CON-SEL-SEA-SCE</t>
  </si>
  <si>
    <t>TCCN-PTE-CON-SEL-SEA-SCE-CDC</t>
  </si>
  <si>
    <t>TCCN-PTE-CON-SEL-SEA-SCE-CC1</t>
  </si>
  <si>
    <t>TCCN-PTE-CON-SEL-SEA-SCE-CC2</t>
  </si>
  <si>
    <t>TCCN-PTE-CON-SEL-SEA-SCE-CC3</t>
  </si>
  <si>
    <t>TCCN-PTE-CON-SEL-SEA-SCE-TB1</t>
  </si>
  <si>
    <t>TCCN-PTE-CON-SEL-SEA-SCE-TB2</t>
  </si>
  <si>
    <t>TCCN-PTE-CON-SEL-SEA-SCE-TF1</t>
  </si>
  <si>
    <t>TCCN-PTE-CON-SEL-SEA-SCE-TB3</t>
  </si>
  <si>
    <t>TCCN-PTE-CON-SEL-SEA-SCE-VF1</t>
  </si>
  <si>
    <t>TCCN-PTE-CON-SEL-SEA-SCE-VF2</t>
  </si>
  <si>
    <t>TCCN-PTE-CON-SEL-SEA-SCE-VF3</t>
  </si>
  <si>
    <t>TCCN-PTE-CON-SEL-SEA-SCE-VF4</t>
  </si>
  <si>
    <t>TCCN-PTE-CON-SEL-SEA-SCE-VF5</t>
  </si>
  <si>
    <t>TCCN-PTE-CON-SEL-SEA-SCE-VF6</t>
  </si>
  <si>
    <t>TCCN-PTE-CON-SEL-SEA-SCE-VF7</t>
  </si>
  <si>
    <t>TCCN-PTE-CON-SEL-SEA-SCE-VF8</t>
  </si>
  <si>
    <t>TCCN-PTE-CON-SEL-SEA-SCE-TB4</t>
  </si>
  <si>
    <t>TCCN-PTE-CON-SEL-SEA-SCE-UPS</t>
  </si>
  <si>
    <t>TCCN-PTE-CON-SEL-SEA-SCE-GA1</t>
  </si>
  <si>
    <t>TCCN-PTE-CON-SEL-SEA-SCE-RK1</t>
  </si>
  <si>
    <t>TCCN-PTE-CON-SEL-SEA-SCE-TB5</t>
  </si>
  <si>
    <t>TCCN-PTE-CON-SEL-SEA-SCE-SCA</t>
  </si>
  <si>
    <t>TCCN-PTE-CON-SEL-SEA-SCE-PC1</t>
  </si>
  <si>
    <t>TCCN-PTE-CON-SEL-SEA-SCE-PC2</t>
  </si>
  <si>
    <t>TCCN-PTE-CON-SEL-SEA-SCE-GA2</t>
  </si>
  <si>
    <t>TCCN-PTE-CON-SEL-SEA-SCE-AC1</t>
  </si>
  <si>
    <t>TCCN-PTE-CON-SEL-SEA-SCE-AC2</t>
  </si>
  <si>
    <t>TCCN-PTE-CON-SEL-SEA-SCE-AC3</t>
  </si>
  <si>
    <t>TCCN-PTE-CON-SEL-SEA-SCE-AC4</t>
  </si>
  <si>
    <t>TCCN-PTE-CON-SEL-SEA-SCE-AC5</t>
  </si>
  <si>
    <t>TCCN-PTE-CON-SEL-SEA-SCE-AC6</t>
  </si>
  <si>
    <t>TCCN-PTE-CON-SEL-SEA-SCE-SE1</t>
  </si>
  <si>
    <t>TCCN-PTE-CON-SEL-SEA-SCE-SE2</t>
  </si>
  <si>
    <t>TCCN-PTE-CON-SEL-SEA-SCE-SE3</t>
  </si>
  <si>
    <t>TCCN-PTE-CON-SEL-SEA-SCE-EQP</t>
  </si>
  <si>
    <t>TCCN-PTE-CON-SEL-SEA-SCE-EX1</t>
  </si>
  <si>
    <t>TCCN-PTE-CON-SEL-SEA-SCE-EX2</t>
  </si>
  <si>
    <t>TCCN-PTE-CON-SEL-SEA-SCE-GTS</t>
  </si>
  <si>
    <t>TCCN-PTE-CON-SEL-SEA-SCE-RK2</t>
  </si>
  <si>
    <t>TCCN-PTE-CON-SEL-SEA-SCE-CBN</t>
  </si>
  <si>
    <t>TCCN-PTE-CON-SEL-SEA-SCE-TB6</t>
  </si>
  <si>
    <t>TCCN-PTE-CON-SEL-SEA-SCE-VF9</t>
  </si>
  <si>
    <t>TCCN-PTE-CON-SEL-SEA-SCE-V10</t>
  </si>
  <si>
    <t>TCCN-PTE-CON-SEL-SEA-SCE-V11</t>
  </si>
  <si>
    <t>TCCN-PTE-CON-SEL-SEA-SCE-V12</t>
  </si>
  <si>
    <t>TCCN-PTE-CON-SEL-SEA-SCE-TF2</t>
  </si>
  <si>
    <t>TCCN-PTE-CON-SEL-SEA-SCE-TF3</t>
  </si>
  <si>
    <t>TCCN-PTE-CON-SEL-SEA-SCE-V13</t>
  </si>
  <si>
    <t>TCCN-PTE-CON-SEL-SEA-SCE-V14</t>
  </si>
  <si>
    <t>TCCN-PTE-CON-SEL-SEA-SCE-TF4</t>
  </si>
  <si>
    <t>TCCN-PTE-CON-SEL-SEA-SCE-CD1</t>
  </si>
  <si>
    <t>TCCN-PTE-CON-SEL-SEA-SCE-CD2</t>
  </si>
  <si>
    <t>TCCN-PTE-PRL</t>
  </si>
  <si>
    <t>TCCN-PTE-PRL-RVS</t>
  </si>
  <si>
    <t>TCCN-PTE-PRL-RVS-B01</t>
  </si>
  <si>
    <t>TCCN-PTE-PRL-RVS-B01-SMO</t>
  </si>
  <si>
    <t>TCCN-PTE-PRL-RVS-B01-SMO-MOE</t>
  </si>
  <si>
    <t>TCCN-PTE-PRL-RVS-B01-SCE</t>
  </si>
  <si>
    <t>TCCN-PTE-PRL-RVS-B01-STI</t>
  </si>
  <si>
    <t>TCCN-PTE-PRL-RVS-B01-STI-SSP</t>
  </si>
  <si>
    <t>TCCN-PTE-PRL-RVS-B02</t>
  </si>
  <si>
    <t>TCCN-PTE-PRL-RVS-B02-SMO</t>
  </si>
  <si>
    <t>TCCN-PTE-PRL-RVS-B02-SMO-MOE</t>
  </si>
  <si>
    <t>TCCN-PTE-PRL-RVS-B02-SCE</t>
  </si>
  <si>
    <t>TCCN-PTE-PRL-RVS-B02-STI</t>
  </si>
  <si>
    <t>TCCN-PTE-PRL-RVS-B02-STI-SSP</t>
  </si>
  <si>
    <t>TCCN-PTE-PRL-RVS-CA6</t>
  </si>
  <si>
    <t>TCCN-PTE-PRL-RVS-CA6-STI</t>
  </si>
  <si>
    <t>TCCN-PTE-PRL-RVS-CA6-STI-SSN</t>
  </si>
  <si>
    <t>TCCN-PTE-PRL-RVS-CA7</t>
  </si>
  <si>
    <t>TCCN-PTE-PRL-RVS-CA7-STI</t>
  </si>
  <si>
    <t>TCCN-PTE-PRL-RVS-CA7-STI-SSN</t>
  </si>
  <si>
    <t>TCCN-PTE-PRL-RVS-ERV</t>
  </si>
  <si>
    <t>TCCN-PTE-PRL-RVS-ERV-SES</t>
  </si>
  <si>
    <t>TCCN-PTE-PRL-RVS-ERV-SES-RTE</t>
  </si>
  <si>
    <t>TCCN-PTE-PRL-RVS-ERV-SES-FEE</t>
  </si>
  <si>
    <t>TCCN-PTE-PRL-RVS-ERV-SES-BYG</t>
  </si>
  <si>
    <t>TCCN-PTE-PRL-RVS-ERV-SMO-RED</t>
  </si>
  <si>
    <t>TCCN-PTE-PRL-RVS-ERV-SMO-MHD</t>
  </si>
  <si>
    <t>TCCN-PTE-PRL-RVS-ERV-SMO-UHD</t>
  </si>
  <si>
    <t>TCCN-PTE-PRL-RVS-ERV-SLR-CIH</t>
  </si>
  <si>
    <t>TCCN-PTE-PRL-RVS-ERV-INS</t>
  </si>
  <si>
    <t>TCCN-PTE-PRL-RVS-ERV-INS-SSN</t>
  </si>
  <si>
    <t>TCCN-PTE-PRL-RVS-ERV-INS-SSP</t>
  </si>
  <si>
    <t>TCCN-PTE-PRL-RVS-ERV-INS-SPO</t>
  </si>
  <si>
    <t>TCCN-PTE-PRL-RVS-ERV-INS-SST</t>
  </si>
  <si>
    <t>TCCN-PTE-PRL-RVS-ERV-INS-STO</t>
  </si>
  <si>
    <t>TCCN-PTE-PRL-RVS-ERV-INS-PAN</t>
  </si>
  <si>
    <t>TCCN-PTE-PRL-RVS-TC1</t>
  </si>
  <si>
    <t>TCCN-PTE-PRL-RVS-TC1-STE</t>
  </si>
  <si>
    <t>TCCN-PTE-PRL-RVS-TC1-STE-BTN</t>
  </si>
  <si>
    <t>TCCN-PTE-PRL-RVS-B03</t>
  </si>
  <si>
    <t>TCCN-PTE-PRL-RVS-B03-SMO</t>
  </si>
  <si>
    <t>TCCN-PTE-PRL-RVS-B03-SMO-MOE</t>
  </si>
  <si>
    <t>TCCN-PTE-PRL-RVS-B03-SCE</t>
  </si>
  <si>
    <t>TCCN-PTE-PRL-EPR-B03-STI</t>
  </si>
  <si>
    <t>TCCN-PTE-PRL-EPR-B03-STI-SSP</t>
  </si>
  <si>
    <t>TCCN-PTE-PRL-RVS-B04</t>
  </si>
  <si>
    <t>TCCN-PTE-PRL-RVS-B04-SMO</t>
  </si>
  <si>
    <t>TCCN-PTE-PRL-RVS-B04-SMO-MOE</t>
  </si>
  <si>
    <t>TCCN-PTE-PRL-RVS-B04-SCE</t>
  </si>
  <si>
    <t>TCCN-PTE-PRL-EPR-B04-STI</t>
  </si>
  <si>
    <t>TCCN-PTE-PRL-EPR-B04-STI-SSP</t>
  </si>
  <si>
    <t>TCCN-PTE-PRL-RVS-TC2</t>
  </si>
  <si>
    <t>TCCN-PTE-PRL-RVS-TC2-STE</t>
  </si>
  <si>
    <t>TCCN-PTE-PRL-RVS-TC2-STE-BTN</t>
  </si>
  <si>
    <t>TCCN-PTE-PRL-RVS-TC3</t>
  </si>
  <si>
    <t>TCCN-PTE-PRL-RVS-TC3-STE</t>
  </si>
  <si>
    <t>TCCN-PTE-PRL-RVS-TC3-STE-BTN</t>
  </si>
  <si>
    <t>TCCN-PTE-PRL-RVS-B05</t>
  </si>
  <si>
    <t>TCCN-PTE-PRL-RVS-B05-SMO</t>
  </si>
  <si>
    <t>TCCN-PTE-PRL-RVS-B05-SMO-MOE</t>
  </si>
  <si>
    <t>TCCN-PTE-PRL-RVS-B05-STE</t>
  </si>
  <si>
    <t>TCCN-PTE-PRL-RVS-B05-STE-BTN</t>
  </si>
  <si>
    <t>TCCN-PTE-PRL-RVS-GP1</t>
  </si>
  <si>
    <t>TCCN-PTE-PRL-RVS-GR1-STE</t>
  </si>
  <si>
    <t>TCCN-PTE-PRL-RVS-GR1-STE-BTN</t>
  </si>
  <si>
    <t>TCCN-PTE-PRL-RVS-CMU</t>
  </si>
  <si>
    <t>TCCN-PTE-PRL-RVS-ZZM</t>
  </si>
  <si>
    <t>TCCN-PTE-PRL-RVS-EST</t>
  </si>
  <si>
    <t>TCCN-PTE-PRL-RVS-EST-STI-SSN</t>
  </si>
  <si>
    <t>TCCN-PTE-PRL-RVS-AGT</t>
  </si>
  <si>
    <t>TCCN-PTE-PRL-RVS-AGT-SMO</t>
  </si>
  <si>
    <t>TCCN-PTE-PRL-RVS-AGT-SMO-MOE</t>
  </si>
  <si>
    <t>TCCN-PTE-PRL-RVS-AGT-SMO-RED</t>
  </si>
  <si>
    <t>TCCN-PTE-PRL-RVS-AGT-SCE</t>
  </si>
  <si>
    <t>TCCN-PTE-PRL-RVS-B06</t>
  </si>
  <si>
    <t>TCCN-PTE-PRL-RVS-B06-SMO</t>
  </si>
  <si>
    <t>TCCN-PTE-PRL-RVS-B06-SMO-MOE</t>
  </si>
  <si>
    <t>TCCN-PTE-PRL-RVS-B06-SCE</t>
  </si>
  <si>
    <t>TCCN-PTE-PRL-RVS-B06-STI</t>
  </si>
  <si>
    <t>TCCN-PTE-PRL-RVS-B06-STI-SSP</t>
  </si>
  <si>
    <t>TCCN-PTE-PRL-RVS-B07</t>
  </si>
  <si>
    <t>TCCN-PTE-PRL-RVS-B07-SMO</t>
  </si>
  <si>
    <t>TCCN-PTE-PRL-RVS-B07-SMO-MOE</t>
  </si>
  <si>
    <t>TCCN-PTE-PRL-RVS-B07-SCE</t>
  </si>
  <si>
    <t>TCCN-PTE-PRL-RVS-B07-STI</t>
  </si>
  <si>
    <t>TCCN-PTE-PRL-RVS-B07-STI-SSP</t>
  </si>
  <si>
    <t>TCCN-PTE-PRL-RVS-B08</t>
  </si>
  <si>
    <t>TCCN-PTE-PRL-RVS-B08-SMO</t>
  </si>
  <si>
    <t>TCCN-PTE-PRL-RVS-B08-SMO-MOE</t>
  </si>
  <si>
    <t>TCCN-PTE-PRL-RVS-B08-SLU</t>
  </si>
  <si>
    <t>TCCN-PTE-PRL-RVS-B08-SLU-BBA</t>
  </si>
  <si>
    <t>TCCN-PTE-PRL-RVS-B08-SLU-MOE</t>
  </si>
  <si>
    <t>TCCN-PTE-PRL-RVS-B08-STI-SSR</t>
  </si>
  <si>
    <t>TCCN-PTE-PRL-RVS-B08-STI-SSP</t>
  </si>
  <si>
    <t>TCCN-PTE-PRL-RVS-B08-STI-IPN</t>
  </si>
  <si>
    <t>TCCN-PTE-PRL-RVS-B08-STI-PLC</t>
  </si>
  <si>
    <t>TCCN-PTE-PRL-RVS-B08-STI-PAN</t>
  </si>
  <si>
    <t>TCCN-PTE-PRL-RVS-B09</t>
  </si>
  <si>
    <t>TCCN-PTE-PRL-RVS-B09-SMO</t>
  </si>
  <si>
    <t>TCCN-PTE-PRL-RVS-B09-SMO-MOE</t>
  </si>
  <si>
    <t>TCCN-PTE-PRL-RVS-B09-SLU</t>
  </si>
  <si>
    <t>TCCN-PTE-PRL-RVS-B09-SLU-BBA</t>
  </si>
  <si>
    <t>TCCN-PTE-PRL-RVS-B09-SLU-MOE</t>
  </si>
  <si>
    <t>TCCN-PTE-PRL-RVS-B09-STI-SSR</t>
  </si>
  <si>
    <t>TCCN-PTE-PRL-RVS-B09-STI-SSP</t>
  </si>
  <si>
    <t>TCCN-PTE-PRL-RVS-B09-STI-IPN</t>
  </si>
  <si>
    <t>TCCN-PTE-PRL-RVS-B09-STI-PLC</t>
  </si>
  <si>
    <t>TCCN-PTE-PRL-RVS-B09-STI-PAN</t>
  </si>
  <si>
    <t>TCCN-PTE-PRL-RVS-GPT</t>
  </si>
  <si>
    <t>TCCN-PTE-PRL-RVS-B10</t>
  </si>
  <si>
    <t>TCCN-PTE-PRL-RVS-B10-SMO</t>
  </si>
  <si>
    <t>TCCN-PTE-PRL-RVS-B10-SMO-MOE</t>
  </si>
  <si>
    <t>TCCN-PTE-PRL-RVS-B10-SCE</t>
  </si>
  <si>
    <t>TCCN-PTE-PRL-RVS-GP2</t>
  </si>
  <si>
    <t>TCCN-PTE-PRL-RVS-GP2-SCE</t>
  </si>
  <si>
    <t>TCCN-PTE-PRL-RVS-PRT</t>
  </si>
  <si>
    <t>TCCN-PTE-PRL-RVS-PSC</t>
  </si>
  <si>
    <t>TCCN-PTE-PRL-RVS-B11</t>
  </si>
  <si>
    <t>TCCN-PTE-PRL-RVS-B11-SMO</t>
  </si>
  <si>
    <t>TCCN-PTE-PRL-RVS-B11-SMO-MOE</t>
  </si>
  <si>
    <t>TCCN-PTE-PRL-RVS-B11-SCE</t>
  </si>
  <si>
    <t>TCCN-PTE-PRL-RVS-GP3</t>
  </si>
  <si>
    <t>TCCN-PTE-PRL-RVS-GP3-STE</t>
  </si>
  <si>
    <t>TCCN-PTE-PRL-RVS-GR3-SCE</t>
  </si>
  <si>
    <t>TCCN-PTE-PAF</t>
  </si>
  <si>
    <t>TCCN-PTE-PAF-COA</t>
  </si>
  <si>
    <t>TCCN-PTE-PAF-AL1</t>
  </si>
  <si>
    <t>TCCN-PTE-PAF-TMA</t>
  </si>
  <si>
    <t>TCCN-PTE-PAF-RLS</t>
  </si>
  <si>
    <t>TCCN-PTE-PAF-AL2</t>
  </si>
  <si>
    <t>TCCN-PTE-PRS</t>
  </si>
  <si>
    <t>TCCN-PTE-PRS-SPF</t>
  </si>
  <si>
    <t>TCCN-PTE-PRS-SPF-DLO</t>
  </si>
  <si>
    <t>TCCN-PTE-PRS-PDR</t>
  </si>
  <si>
    <t>TCCN-PTE-PRS-PDR-DL1</t>
  </si>
  <si>
    <t>TCCN-PTE-PRS-PDR-DL2</t>
  </si>
  <si>
    <t>TCCN-PTE-PRS-SAC</t>
  </si>
  <si>
    <t>TCCN-PTE-SUE</t>
  </si>
  <si>
    <t>TCCN-PTE-SUE-SEL</t>
  </si>
  <si>
    <t>TCCN-PTE-SUE-SEL-SAE</t>
  </si>
  <si>
    <t>TCCN-PTE-SUE-SEL-SAE-SCE</t>
  </si>
  <si>
    <t>TCCN-PTE-SUE-SEL-SAE-SCE-SW1</t>
  </si>
  <si>
    <t>TCCN-PTE-SUE-SEL-SAE-SCE-PA1</t>
  </si>
  <si>
    <t>TCCN-PTE-SUE-SEL-SAE-SCE-TF1</t>
  </si>
  <si>
    <t>TCCN-PTE-SUE-SEL-SAE-SCE-RPT</t>
  </si>
  <si>
    <t>TCCN-PTE-SUE-SEL-SAE-SCE-CBZ</t>
  </si>
  <si>
    <t>TCCN-PTE-SUE-SEL-SAE-SCE-DB1</t>
  </si>
  <si>
    <t>TCCN-PTE-SUE-SEL-SAE-SCE-DB2</t>
  </si>
  <si>
    <t>TCCN-PTE-SUE-SEL-SAE-SCE-DB3</t>
  </si>
  <si>
    <t>TCCN-PTE-SUE-SEL-SAE-SCE-TB1</t>
  </si>
  <si>
    <t>TCCN-PTE-SUE-SEL-SAE-SCE-PA2</t>
  </si>
  <si>
    <t>TCCN-PTE-SUE-SEL-SAE-SCE-TB2</t>
  </si>
  <si>
    <t>TCCN-PTE-SUE-SEL-SAE-SCE-CDG</t>
  </si>
  <si>
    <t>TCCN-PTE-SUE-SEL-SAE-SCE-CBN</t>
  </si>
  <si>
    <t>TCCN-PTE-SUE-SEL-SAE-SCE-SW2</t>
  </si>
  <si>
    <t>TCCN-PTE-SUE-SEL-SAE-SCE-LIM</t>
  </si>
  <si>
    <t>TCCN-PTE-SUE-SEL-SAE-SCE-TB3</t>
  </si>
  <si>
    <t>TCCN-PTE-SUE-SEL-SAE-SCE-TB4</t>
  </si>
  <si>
    <t>TCCN-PTE-SUE-SEL-SAE-SCE-PCI</t>
  </si>
  <si>
    <t>TCCN-PTE-SUE-SEL-SAE-SCE-TB5</t>
  </si>
  <si>
    <t>TCCN-PTE-SUE-SEL-SAE-SCE-GA1</t>
  </si>
  <si>
    <t>TCCN-PTE-SUE-SEL-SAE-SCE-MUR</t>
  </si>
  <si>
    <t>TCCN-PTE-SUE-SEL-SAE-SCE-EX1</t>
  </si>
  <si>
    <t>TCCN-PTE-SUE-SEL-SAE-SCE-EX2</t>
  </si>
  <si>
    <t>TCCN-PTE-SUE-SEL-SAE-SCE-AC1</t>
  </si>
  <si>
    <t>TCCN-PTE-SUE-SEL-SAE-SCE-AC2</t>
  </si>
  <si>
    <t>TCCN-PTE-SUE-SEL-SAE-SCE-EPZ</t>
  </si>
  <si>
    <t>TCCN-PTE-SUE-SEL-SAE-SCE-UP1</t>
  </si>
  <si>
    <t>TCCN-PTE-SUE-SEL-SAE-SCE-UP2</t>
  </si>
  <si>
    <t>TCCN-PTE-SUE-SEL-SAE-SCE-TB6</t>
  </si>
  <si>
    <t>TCCN-PTE-SUE-SEL-SAE-SCE-GA2</t>
  </si>
  <si>
    <t>TCCN-PTE-SUE-SEL-SAE-SCE-SW3</t>
  </si>
  <si>
    <t>TCCN-PTE-SUE-SEL-SAE-SCE-CMR</t>
  </si>
  <si>
    <t>TCCN-PTE-SUE-SEL-SAE-SCE-TB7</t>
  </si>
  <si>
    <t>TCCN-PTE-SUE-SEL-SAE-SCE-SEC</t>
  </si>
  <si>
    <t>TCCN-PTE-SUE-SEL-SAE-SCE-RTU</t>
  </si>
  <si>
    <t>TCCN-PTE-SUE-SEL-SAE-SCE-PT1</t>
  </si>
  <si>
    <t>TCCN-PTE-SUE-SEL-SAE-SCE-PT2</t>
  </si>
  <si>
    <t>U.T. División</t>
  </si>
  <si>
    <t>Descripción División</t>
  </si>
  <si>
    <t>U.T. Planta</t>
  </si>
  <si>
    <t>Descripción Planta</t>
  </si>
  <si>
    <t>U.T. Proceso</t>
  </si>
  <si>
    <t>Descripción Proceso</t>
  </si>
  <si>
    <t>U.T. Agrupación</t>
  </si>
  <si>
    <t>Descripción Agrupación</t>
  </si>
  <si>
    <t>U.T. Equipo</t>
  </si>
  <si>
    <t>Descripción Equipo</t>
  </si>
  <si>
    <t>Descripción Técnica</t>
  </si>
  <si>
    <t>U.T. Sistema</t>
  </si>
  <si>
    <t>Descripción Sistema</t>
  </si>
  <si>
    <t>Componente</t>
  </si>
  <si>
    <t>U.T. Componente</t>
  </si>
  <si>
    <t>Descripción Componente</t>
  </si>
  <si>
    <t>Equipo Principal</t>
  </si>
  <si>
    <t>Equipo Unitario (5 Nivel)</t>
  </si>
  <si>
    <t>SISTEMA (6 Nivel)</t>
  </si>
  <si>
    <t>Agrupación (4 Nivel)</t>
  </si>
  <si>
    <t>Proceso (3 Nivel)</t>
  </si>
  <si>
    <t>Planta (2 Nivel)</t>
  </si>
  <si>
    <t>División (1 Nivel)</t>
  </si>
  <si>
    <t>TCCN-PTE-PCH-CNP-CHM</t>
  </si>
  <si>
    <t>TCCN-PTE-CON-EPM-B01-STI</t>
  </si>
  <si>
    <t>TCCN-PTE-CON-EPM-B02-STI</t>
  </si>
  <si>
    <t>TCCN-PTE-CON-ESM-ESP-STI</t>
  </si>
  <si>
    <t>TCCN-PTE-CON-EPM-B03-STI</t>
  </si>
  <si>
    <t>TCCN-PTE-CON-EPM-B04-STI</t>
  </si>
  <si>
    <t>TCCN-PTE-CON-FLT-ES1-STI</t>
  </si>
  <si>
    <t>TCCN-PTE-CON-FLT-FL1-ELU</t>
  </si>
  <si>
    <t>TCCN-PTE-CON-FLT-FT2-ELU</t>
  </si>
  <si>
    <t>TCCN-PTE-PRL-RVS-B08-STI</t>
  </si>
  <si>
    <t>TCCN-PTE-PRL-RVS-B09-STI</t>
  </si>
  <si>
    <t>TCCN-PTE-PRL-RVS-EST-STI</t>
  </si>
  <si>
    <t>TCCN-PTE-PFL-PSC-B02-SCE-BTN</t>
  </si>
  <si>
    <t>TCCN-PTE-PFL-PSC-B01-SCE-BTN</t>
  </si>
  <si>
    <t>TCCN-PTE-CON-EPM-B01-SCE-BTN</t>
  </si>
  <si>
    <t>TCCN-PTE-CON-EPM-B02-SCE-BTN</t>
  </si>
  <si>
    <t>TCCN-PTE-CON-EPM-B03-SCE-BTN</t>
  </si>
  <si>
    <t>TCCN-PTE-CON-EPM-B04-SCE-BTN</t>
  </si>
  <si>
    <t>TCCN-PTE-CON-FLT-AGT-SCE-BTN</t>
  </si>
  <si>
    <t>TCCN-PTE-CON-FLT-B01-SCE-BTN</t>
  </si>
  <si>
    <t>TCCN-PTE-CON-FLT-B02-SCE-BTN</t>
  </si>
  <si>
    <t>UNIDAD LUBRICACION AUTOMATICO</t>
  </si>
  <si>
    <t>COMPONENTESUNIDAD HIDRAULICA</t>
  </si>
  <si>
    <t>TCCN-PTE-CON-FLT-UH3-SMO-MOE</t>
  </si>
  <si>
    <t>TCCN-PTE-CON-MCN-CTR-SES</t>
  </si>
  <si>
    <t>TCCN-PTE-CON-MCN-CTR-SES-EST</t>
  </si>
  <si>
    <t>TCCN-PTE-CON-MCN-CTR-SES-CHU</t>
  </si>
  <si>
    <t>TCCN-PTE-PRL-RVS-B01-SCE-BTN</t>
  </si>
  <si>
    <t>TCCN-PTE-PRL-RVS-B02-SCE-BTN</t>
  </si>
  <si>
    <t>TCCN-PTE-PRL-RVS-ERV-SMO</t>
  </si>
  <si>
    <t>TCCN-PTE-PRL-RVS-ERV-SLR</t>
  </si>
  <si>
    <t>TCCN-PTE-PRL-RVS-B03-SCE-BTN</t>
  </si>
  <si>
    <t>TCCN-PTE-PRL-RVS-B04-SCE-BTN</t>
  </si>
  <si>
    <t>TCCN-PTE-PRL-RVS-AGT-SCE-BTN</t>
  </si>
  <si>
    <t>TCCN-PTE-PRL-RVS-B06-SCE-BTN</t>
  </si>
  <si>
    <t>TCCN-PTE-PRL-RVS-B07-SCE-BTN</t>
  </si>
  <si>
    <t>TCCN-PTE-PRL-RVS-B10-SCE-BTN</t>
  </si>
  <si>
    <t>TCCN-PTE-PRL-RVS-GP2-SCE-BTN</t>
  </si>
  <si>
    <t>TCCN-PTE-PRL-RVS-B11-SCE-BTN</t>
  </si>
  <si>
    <t>TCCN-PTE-PRL-RVS-GP3-SCE-BTN</t>
  </si>
  <si>
    <t>ZZZ</t>
  </si>
  <si>
    <t>TTT</t>
  </si>
  <si>
    <t>UUU</t>
  </si>
  <si>
    <t>VVV</t>
  </si>
  <si>
    <t>WWW</t>
  </si>
  <si>
    <t>MASCARA SAP</t>
  </si>
  <si>
    <t>PTE</t>
  </si>
  <si>
    <t>PCH</t>
  </si>
  <si>
    <t>CNP</t>
  </si>
  <si>
    <t>TOL</t>
  </si>
  <si>
    <t>07110-TOL-001</t>
  </si>
  <si>
    <t>SLZ</t>
  </si>
  <si>
    <t>07110-SLZ-001</t>
  </si>
  <si>
    <t>SHI</t>
  </si>
  <si>
    <t>CIH</t>
  </si>
  <si>
    <t>BBA</t>
  </si>
  <si>
    <t>MOE</t>
  </si>
  <si>
    <t>CUH</t>
  </si>
  <si>
    <t>SME</t>
  </si>
  <si>
    <t>LAN</t>
  </si>
  <si>
    <t>CRL</t>
  </si>
  <si>
    <t>SES</t>
  </si>
  <si>
    <t>CHU</t>
  </si>
  <si>
    <t>APC</t>
  </si>
  <si>
    <t>RUE</t>
  </si>
  <si>
    <t>PNN</t>
  </si>
  <si>
    <t>CZP</t>
  </si>
  <si>
    <t>PLA</t>
  </si>
  <si>
    <t>INS</t>
  </si>
  <si>
    <t>PE1</t>
  </si>
  <si>
    <t>PE2</t>
  </si>
  <si>
    <t>SA1</t>
  </si>
  <si>
    <t>SA2</t>
  </si>
  <si>
    <t>SLU</t>
  </si>
  <si>
    <t>MNF</t>
  </si>
  <si>
    <t>SSS</t>
  </si>
  <si>
    <t>MO1</t>
  </si>
  <si>
    <t>MO2</t>
  </si>
  <si>
    <t>MO3</t>
  </si>
  <si>
    <t>CH1</t>
  </si>
  <si>
    <t>CH2</t>
  </si>
  <si>
    <t>CHM</t>
  </si>
  <si>
    <t>MDB</t>
  </si>
  <si>
    <t>ART</t>
  </si>
  <si>
    <t>SMO</t>
  </si>
  <si>
    <t>TRN</t>
  </si>
  <si>
    <t>DES</t>
  </si>
  <si>
    <t>UCT</t>
  </si>
  <si>
    <t>CDV</t>
  </si>
  <si>
    <t>CTR</t>
  </si>
  <si>
    <t>EST</t>
  </si>
  <si>
    <t>STR</t>
  </si>
  <si>
    <t>CTA</t>
  </si>
  <si>
    <t>PDC</t>
  </si>
  <si>
    <t>PCO</t>
  </si>
  <si>
    <t>PDF</t>
  </si>
  <si>
    <t>STE</t>
  </si>
  <si>
    <t>TEN</t>
  </si>
  <si>
    <t>RED</t>
  </si>
  <si>
    <t>ACP</t>
  </si>
  <si>
    <t>FSE</t>
  </si>
  <si>
    <t>PMO</t>
  </si>
  <si>
    <t>PES</t>
  </si>
  <si>
    <t>TC1</t>
  </si>
  <si>
    <t>SIZ</t>
  </si>
  <si>
    <t>TBO</t>
  </si>
  <si>
    <t>SCE</t>
  </si>
  <si>
    <t>BTN</t>
  </si>
  <si>
    <t>TC2</t>
  </si>
  <si>
    <t>TC3</t>
  </si>
  <si>
    <t>HUI</t>
  </si>
  <si>
    <t>SD1</t>
  </si>
  <si>
    <t>SHN</t>
  </si>
  <si>
    <t>BVV</t>
  </si>
  <si>
    <t>SD2</t>
  </si>
  <si>
    <t>SD3</t>
  </si>
  <si>
    <t>SD4</t>
  </si>
  <si>
    <t>DLO</t>
  </si>
  <si>
    <t>TC4</t>
  </si>
  <si>
    <t>TC5</t>
  </si>
  <si>
    <t>TC6</t>
  </si>
  <si>
    <t>TC7</t>
  </si>
  <si>
    <t>STP</t>
  </si>
  <si>
    <t>DSP</t>
  </si>
  <si>
    <t>PMD</t>
  </si>
  <si>
    <t>SEL</t>
  </si>
  <si>
    <t>SAE</t>
  </si>
  <si>
    <t>CCM</t>
  </si>
  <si>
    <t>TF1</t>
  </si>
  <si>
    <t>TF2</t>
  </si>
  <si>
    <t>TF3</t>
  </si>
  <si>
    <t>TB1</t>
  </si>
  <si>
    <t>FTP</t>
  </si>
  <si>
    <t>CBN</t>
  </si>
  <si>
    <t>GA1</t>
  </si>
  <si>
    <t>EX1</t>
  </si>
  <si>
    <t>EX2</t>
  </si>
  <si>
    <t>AC1</t>
  </si>
  <si>
    <t>AC2</t>
  </si>
  <si>
    <t>SEC</t>
  </si>
  <si>
    <t>PC1</t>
  </si>
  <si>
    <t>PC2</t>
  </si>
  <si>
    <t>GA2</t>
  </si>
  <si>
    <t>RK1</t>
  </si>
  <si>
    <t>RK2</t>
  </si>
  <si>
    <t>SCA</t>
  </si>
  <si>
    <t>GTS</t>
  </si>
  <si>
    <t>TF4</t>
  </si>
  <si>
    <t>BC2</t>
  </si>
  <si>
    <t>BC3</t>
  </si>
  <si>
    <t>PSG</t>
  </si>
  <si>
    <t>SAG</t>
  </si>
  <si>
    <t>SL1</t>
  </si>
  <si>
    <t>AP1</t>
  </si>
  <si>
    <t>CH3</t>
  </si>
  <si>
    <t>SL2</t>
  </si>
  <si>
    <t>AP2</t>
  </si>
  <si>
    <t>SDP</t>
  </si>
  <si>
    <t>CT1</t>
  </si>
  <si>
    <t>PO1</t>
  </si>
  <si>
    <t>PO2</t>
  </si>
  <si>
    <t>PO3</t>
  </si>
  <si>
    <t>PO4</t>
  </si>
  <si>
    <t>PO5</t>
  </si>
  <si>
    <t>PO6</t>
  </si>
  <si>
    <t>MSG</t>
  </si>
  <si>
    <t>COR</t>
  </si>
  <si>
    <t>SFR</t>
  </si>
  <si>
    <t>MOR</t>
  </si>
  <si>
    <t>UHD</t>
  </si>
  <si>
    <t>SGR</t>
  </si>
  <si>
    <t>SLE</t>
  </si>
  <si>
    <t>TN1</t>
  </si>
  <si>
    <t>TN2</t>
  </si>
  <si>
    <t>RV1</t>
  </si>
  <si>
    <t>RV2</t>
  </si>
  <si>
    <t>RV3</t>
  </si>
  <si>
    <t>TRO</t>
  </si>
  <si>
    <t>CH4</t>
  </si>
  <si>
    <t>BB2</t>
  </si>
  <si>
    <t>CT2</t>
  </si>
  <si>
    <t>CT3</t>
  </si>
  <si>
    <t>CT4</t>
  </si>
  <si>
    <t>ENF</t>
  </si>
  <si>
    <t>B01</t>
  </si>
  <si>
    <t>SCP</t>
  </si>
  <si>
    <t>B02</t>
  </si>
  <si>
    <t>BHI</t>
  </si>
  <si>
    <t>RVT</t>
  </si>
  <si>
    <t>MBO</t>
  </si>
  <si>
    <t>BB1</t>
  </si>
  <si>
    <t>SEN</t>
  </si>
  <si>
    <t>SW1</t>
  </si>
  <si>
    <t>VF1</t>
  </si>
  <si>
    <t>VF2</t>
  </si>
  <si>
    <t>CDC</t>
  </si>
  <si>
    <t>SW2</t>
  </si>
  <si>
    <t>CC1</t>
  </si>
  <si>
    <t>CC2</t>
  </si>
  <si>
    <t>VF3</t>
  </si>
  <si>
    <t>VF4</t>
  </si>
  <si>
    <t>UPS</t>
  </si>
  <si>
    <t>CB1</t>
  </si>
  <si>
    <t>CB2</t>
  </si>
  <si>
    <t>BCB</t>
  </si>
  <si>
    <t>AC3</t>
  </si>
  <si>
    <t>SE1</t>
  </si>
  <si>
    <t>SE2</t>
  </si>
  <si>
    <t>SE3</t>
  </si>
  <si>
    <t>RTU</t>
  </si>
  <si>
    <t>DDB</t>
  </si>
  <si>
    <t>DC1</t>
  </si>
  <si>
    <t>DC2</t>
  </si>
  <si>
    <t>DC3</t>
  </si>
  <si>
    <t>DC4</t>
  </si>
  <si>
    <t>DC5</t>
  </si>
  <si>
    <t>DC6</t>
  </si>
  <si>
    <t>VF5</t>
  </si>
  <si>
    <t>VF6</t>
  </si>
  <si>
    <t>TF5</t>
  </si>
  <si>
    <t>PFL</t>
  </si>
  <si>
    <t>PRG</t>
  </si>
  <si>
    <t>CA1</t>
  </si>
  <si>
    <t>VV1</t>
  </si>
  <si>
    <t>VV2</t>
  </si>
  <si>
    <t>CMU</t>
  </si>
  <si>
    <t>MTD</t>
  </si>
  <si>
    <t>CM1</t>
  </si>
  <si>
    <t>PR1</t>
  </si>
  <si>
    <t>CF1</t>
  </si>
  <si>
    <t>POR</t>
  </si>
  <si>
    <t>RTO</t>
  </si>
  <si>
    <t>ETT</t>
  </si>
  <si>
    <t>DDT</t>
  </si>
  <si>
    <t>EJE</t>
  </si>
  <si>
    <t>BYG</t>
  </si>
  <si>
    <t>RDP</t>
  </si>
  <si>
    <t>CRW</t>
  </si>
  <si>
    <t>TCCN-PTE-PFL-RG1-C01-STI-VV1</t>
  </si>
  <si>
    <t>FJM</t>
  </si>
  <si>
    <t>CF2</t>
  </si>
  <si>
    <t>CF3</t>
  </si>
  <si>
    <t>CF4</t>
  </si>
  <si>
    <t>CF5</t>
  </si>
  <si>
    <t>PR2</t>
  </si>
  <si>
    <t>PS1</t>
  </si>
  <si>
    <t>CF6</t>
  </si>
  <si>
    <t>CF7</t>
  </si>
  <si>
    <t>CF8</t>
  </si>
  <si>
    <t>PS2</t>
  </si>
  <si>
    <t>PSC</t>
  </si>
  <si>
    <t>CA2</t>
  </si>
  <si>
    <t>CA3</t>
  </si>
  <si>
    <t>PAN</t>
  </si>
  <si>
    <t>B03</t>
  </si>
  <si>
    <t>TCL</t>
  </si>
  <si>
    <t>SMU</t>
  </si>
  <si>
    <t>CM2</t>
  </si>
  <si>
    <t>CM3</t>
  </si>
  <si>
    <t>CM4</t>
  </si>
  <si>
    <t>CM5</t>
  </si>
  <si>
    <t>SAN</t>
  </si>
  <si>
    <t>ALY</t>
  </si>
  <si>
    <t>MU1</t>
  </si>
  <si>
    <t>MU2</t>
  </si>
  <si>
    <t>DMP</t>
  </si>
  <si>
    <t>CC3</t>
  </si>
  <si>
    <t>CC4</t>
  </si>
  <si>
    <t>CC5</t>
  </si>
  <si>
    <t>RKC</t>
  </si>
  <si>
    <t>GEN</t>
  </si>
  <si>
    <t>DC7</t>
  </si>
  <si>
    <t>CON</t>
  </si>
  <si>
    <t>EPM</t>
  </si>
  <si>
    <t>ZZM</t>
  </si>
  <si>
    <t>ESP</t>
  </si>
  <si>
    <t>CNL</t>
  </si>
  <si>
    <t>RTE</t>
  </si>
  <si>
    <t>FEE</t>
  </si>
  <si>
    <t>MHD</t>
  </si>
  <si>
    <t>SPO</t>
  </si>
  <si>
    <t>STO</t>
  </si>
  <si>
    <t>UH1</t>
  </si>
  <si>
    <t>ICA</t>
  </si>
  <si>
    <t>UH2</t>
  </si>
  <si>
    <t>UH3</t>
  </si>
  <si>
    <t>B04</t>
  </si>
  <si>
    <t>FLT</t>
  </si>
  <si>
    <t>ES1</t>
  </si>
  <si>
    <t>AGT</t>
  </si>
  <si>
    <t>FT1</t>
  </si>
  <si>
    <t>STF</t>
  </si>
  <si>
    <t>TLF</t>
  </si>
  <si>
    <t>STT</t>
  </si>
  <si>
    <t>EGN</t>
  </si>
  <si>
    <t>PL1</t>
  </si>
  <si>
    <t>PL2</t>
  </si>
  <si>
    <t>PL3</t>
  </si>
  <si>
    <t>VPT</t>
  </si>
  <si>
    <t>CLN</t>
  </si>
  <si>
    <t>ELU</t>
  </si>
  <si>
    <t>FLX</t>
  </si>
  <si>
    <t>VV3</t>
  </si>
  <si>
    <t>TR1</t>
  </si>
  <si>
    <t>TR2</t>
  </si>
  <si>
    <t>ECD</t>
  </si>
  <si>
    <t>SP1</t>
  </si>
  <si>
    <t>SP2</t>
  </si>
  <si>
    <t>SP3</t>
  </si>
  <si>
    <t>SP4</t>
  </si>
  <si>
    <t>PYV</t>
  </si>
  <si>
    <t>TUH</t>
  </si>
  <si>
    <t>VVA</t>
  </si>
  <si>
    <t>SER</t>
  </si>
  <si>
    <t>SCU</t>
  </si>
  <si>
    <t>EUH</t>
  </si>
  <si>
    <t>ES2</t>
  </si>
  <si>
    <t>SI1</t>
  </si>
  <si>
    <t>FT2</t>
  </si>
  <si>
    <t>FL2</t>
  </si>
  <si>
    <t>ES3</t>
  </si>
  <si>
    <t>SI2</t>
  </si>
  <si>
    <t>MCN</t>
  </si>
  <si>
    <t>ACT</t>
  </si>
  <si>
    <t>ICO</t>
  </si>
  <si>
    <t>BYB</t>
  </si>
  <si>
    <t>RMN</t>
  </si>
  <si>
    <t>GPT</t>
  </si>
  <si>
    <t>GPC</t>
  </si>
  <si>
    <t>CO1</t>
  </si>
  <si>
    <t>CO2</t>
  </si>
  <si>
    <t>CO3</t>
  </si>
  <si>
    <t>ACU</t>
  </si>
  <si>
    <t>FT3</t>
  </si>
  <si>
    <t>SPA</t>
  </si>
  <si>
    <t>SEA</t>
  </si>
  <si>
    <t>VF7</t>
  </si>
  <si>
    <t>VF8</t>
  </si>
  <si>
    <t>VF9</t>
  </si>
  <si>
    <t>V10</t>
  </si>
  <si>
    <t>V11</t>
  </si>
  <si>
    <t>V12</t>
  </si>
  <si>
    <t>V13</t>
  </si>
  <si>
    <t>V14</t>
  </si>
  <si>
    <t>CD1</t>
  </si>
  <si>
    <t>CD2</t>
  </si>
  <si>
    <t>PRL</t>
  </si>
  <si>
    <t>RVS</t>
  </si>
  <si>
    <t>ERV</t>
  </si>
  <si>
    <t>SLR</t>
  </si>
  <si>
    <t>EPR</t>
  </si>
  <si>
    <t>B05</t>
  </si>
  <si>
    <t>GP1</t>
  </si>
  <si>
    <t>B06</t>
  </si>
  <si>
    <t>B07</t>
  </si>
  <si>
    <t>B08</t>
  </si>
  <si>
    <t>SSR</t>
  </si>
  <si>
    <t>B09</t>
  </si>
  <si>
    <t>B10</t>
  </si>
  <si>
    <t>GP2</t>
  </si>
  <si>
    <t>PRT</t>
  </si>
  <si>
    <t>PAF</t>
  </si>
  <si>
    <t>COA</t>
  </si>
  <si>
    <t>AL1</t>
  </si>
  <si>
    <t>TMA</t>
  </si>
  <si>
    <t>RLS</t>
  </si>
  <si>
    <t>AL2</t>
  </si>
  <si>
    <t>PRS</t>
  </si>
  <si>
    <t>SPF</t>
  </si>
  <si>
    <t>PDR</t>
  </si>
  <si>
    <t>DL1</t>
  </si>
  <si>
    <t>DL2</t>
  </si>
  <si>
    <t>SAC</t>
  </si>
  <si>
    <t>SUE</t>
  </si>
  <si>
    <t>PA1</t>
  </si>
  <si>
    <t>RPT</t>
  </si>
  <si>
    <t>CBZ</t>
  </si>
  <si>
    <t>DB1</t>
  </si>
  <si>
    <t>DB2</t>
  </si>
  <si>
    <t>DB3</t>
  </si>
  <si>
    <t>PA2</t>
  </si>
  <si>
    <t>CDG</t>
  </si>
  <si>
    <t>LIM</t>
  </si>
  <si>
    <t>PCI</t>
  </si>
  <si>
    <t>MUR</t>
  </si>
  <si>
    <t>EPZ</t>
  </si>
  <si>
    <t>UP1</t>
  </si>
  <si>
    <t>UP2</t>
  </si>
  <si>
    <t>CMR</t>
  </si>
  <si>
    <t>PT1</t>
  </si>
  <si>
    <t>PT2</t>
  </si>
  <si>
    <t>NIVEL</t>
  </si>
  <si>
    <t>TIPO UT</t>
  </si>
  <si>
    <t>TAG N°</t>
  </si>
  <si>
    <t>UBICACIÓN TÉCNICA</t>
  </si>
  <si>
    <t>TIPO DE UBT</t>
  </si>
  <si>
    <t>DENOMINACIÓN DE LA UBT (40)</t>
  </si>
  <si>
    <t>GENERAL</t>
  </si>
  <si>
    <t>EMPLAZAMIENTO</t>
  </si>
  <si>
    <t>DATOS MT</t>
  </si>
  <si>
    <t>ESTRUCTURA</t>
  </si>
  <si>
    <t>DATOS GENERALES</t>
  </si>
  <si>
    <t>DATOS DE APROVISIONAMIENTO</t>
  </si>
  <si>
    <t>GARANTÍA DE CLIENTE</t>
  </si>
  <si>
    <t>GARANTÍA DE PROVEEDOR/FABRICANTE</t>
  </si>
  <si>
    <t>DATOS DE EMPLAZAMIENTO</t>
  </si>
  <si>
    <t>DIRECCIÓN</t>
  </si>
  <si>
    <t>IMPUTACIÓN</t>
  </si>
  <si>
    <t>RESPONSABLE</t>
  </si>
  <si>
    <t xml:space="preserve">CLASE </t>
  </si>
  <si>
    <t>TIPO OBJETO</t>
  </si>
  <si>
    <t>GRUPO DE AUTORIZACION</t>
  </si>
  <si>
    <t>PESO DEL OBJETO</t>
  </si>
  <si>
    <t>UNIDAD DE PESO</t>
  </si>
  <si>
    <t>TAMAÑO/DIMENSIÓN</t>
  </si>
  <si>
    <t>NÚMERO DE INVENTARIO</t>
  </si>
  <si>
    <t>FECHA DE PUESTA EN SERVICIO</t>
  </si>
  <si>
    <t>VALOR DE ADQUISICIÓN</t>
  </si>
  <si>
    <t>CLAVE DE MONEDA</t>
  </si>
  <si>
    <t>FECHA DE ADQUISICIÓN</t>
  </si>
  <si>
    <t>FABRICANTE DEL ACTIVO FIJO</t>
  </si>
  <si>
    <t>PAÍS DE FABRICACIÓN</t>
  </si>
  <si>
    <t>DENOMINACIÓN DE TIPO DEL FABRICANTE</t>
  </si>
  <si>
    <t>AÑO DE CONSTRUCCIÓN</t>
  </si>
  <si>
    <t>MES DE CONSTRUCCIÓN</t>
  </si>
  <si>
    <t>NÚMERO DE PIEZA DE FABRICANTE</t>
  </si>
  <si>
    <t>NÚMERO DE SERIE SEGÚN EL FABRICANTE</t>
  </si>
  <si>
    <t>GARANTÍA/F.CONF</t>
  </si>
  <si>
    <t>FIN DE GARANTÍA</t>
  </si>
  <si>
    <t>GARANTÍA TIPO</t>
  </si>
  <si>
    <t>CENTRO DE EMPLAZAMIENTO</t>
  </si>
  <si>
    <t xml:space="preserve"> EMPLAZAMIENTO </t>
  </si>
  <si>
    <t>LOCAL</t>
  </si>
  <si>
    <t xml:space="preserve"> ÁREA DE EMPRESA</t>
  </si>
  <si>
    <t xml:space="preserve"> PUESTO DE TRABAJO RESPONSABLE</t>
  </si>
  <si>
    <t xml:space="preserve"> INDICADOR ABC</t>
  </si>
  <si>
    <t>CAMPO DE CLASIFICACIÓN</t>
  </si>
  <si>
    <t>NOMBRE</t>
  </si>
  <si>
    <t>CALLE</t>
  </si>
  <si>
    <t>POBLACIÓN</t>
  </si>
  <si>
    <t>TELÉFONO</t>
  </si>
  <si>
    <t>FAX</t>
  </si>
  <si>
    <t>SOCIEDAD</t>
  </si>
  <si>
    <t xml:space="preserve"> DIVISIÓN</t>
  </si>
  <si>
    <t>NÚMERO ACTIVO FIJO</t>
  </si>
  <si>
    <t>SUBNÚMERO DE ACTIVO FIJO</t>
  </si>
  <si>
    <t>CENTRO DE COSTE</t>
  </si>
  <si>
    <t>SOCIEDAD CO</t>
  </si>
  <si>
    <t>ELEMENTO PEP</t>
  </si>
  <si>
    <t>ORDEN DE LIQUIDACIÓN</t>
  </si>
  <si>
    <t>CENTRO DE PLANIFICACIÓN</t>
  </si>
  <si>
    <t>GRUPO PLANIFICADOR</t>
  </si>
  <si>
    <t xml:space="preserve"> PUESTO DE TRABAJO RESPONSABLE EN MEDIDAS DE MANTENIMIENTO</t>
  </si>
  <si>
    <t>PUESTO DE TRABAJO</t>
  </si>
  <si>
    <t xml:space="preserve"> PERFIL DE CATÁLOGO</t>
  </si>
  <si>
    <t>IND. ESTRUCTURA</t>
  </si>
  <si>
    <t xml:space="preserve"> UBICACION TECNICA SUPERIOR</t>
  </si>
  <si>
    <t>DENOMINACIÓN</t>
  </si>
  <si>
    <t>POSICIÓN</t>
  </si>
  <si>
    <t>UBIC. DE REF.</t>
  </si>
  <si>
    <t>TIPO DE MONTAJE</t>
  </si>
  <si>
    <t>TIPO</t>
  </si>
  <si>
    <t>TAG</t>
  </si>
  <si>
    <t>07190-ZZM-001-01</t>
  </si>
  <si>
    <t>07190-ZZM-001-02</t>
  </si>
  <si>
    <t>07190-ZZM-001</t>
  </si>
  <si>
    <t>SBO</t>
  </si>
  <si>
    <t>07190-ZZM-001-01M</t>
  </si>
  <si>
    <t>07190-ZZM-001-02M</t>
  </si>
  <si>
    <t>06350-EST-001</t>
  </si>
  <si>
    <t>06350-EST-002</t>
  </si>
  <si>
    <t>06350-EST-003</t>
  </si>
  <si>
    <t>ES4</t>
  </si>
  <si>
    <t>06350-EST-004</t>
  </si>
  <si>
    <t>ES5</t>
  </si>
  <si>
    <t>06350-EST-005</t>
  </si>
  <si>
    <t>ES6</t>
  </si>
  <si>
    <t>06350-EST-006</t>
  </si>
  <si>
    <t>ES7</t>
  </si>
  <si>
    <t>06350-EST-007</t>
  </si>
  <si>
    <t>ES8</t>
  </si>
  <si>
    <t>06350-EST-008</t>
  </si>
  <si>
    <t>ESTANQUE DE AGUA TRATADA</t>
  </si>
  <si>
    <t>ESTANQUE AGUA LAVADO FILTRO</t>
  </si>
  <si>
    <t>ESTANQUE DE AGUA SELLO</t>
  </si>
  <si>
    <t>ESTANQUE ABLANDADOR 1</t>
  </si>
  <si>
    <t>ESTANQUE ABLANDADOR 2</t>
  </si>
  <si>
    <t>ESTANQUE SALMUERA 1</t>
  </si>
  <si>
    <t>ESTANQUE SALMUERA 2</t>
  </si>
  <si>
    <t>ESTANQUE ACUMULADOR AGUA RETROLAVADO</t>
  </si>
  <si>
    <t>CONDUCCION DE AGUA FRESCA - 6320</t>
  </si>
  <si>
    <t>TRATAMIENTO DE AGUA - 6350</t>
  </si>
  <si>
    <t>TRATAMIENTO AGUAS SERVIDAS - 6360</t>
  </si>
  <si>
    <t>PD1</t>
  </si>
  <si>
    <t>PD2</t>
  </si>
  <si>
    <t>PD3</t>
  </si>
  <si>
    <t>PD4</t>
  </si>
  <si>
    <t>PD5</t>
  </si>
  <si>
    <t>PD6</t>
  </si>
  <si>
    <t>PD7</t>
  </si>
  <si>
    <t>PLACA ORIFICIO 1 CONDUCCION AGUA FRESCA</t>
  </si>
  <si>
    <t>PLACA ORIFICIO 2 CONDUCCION AGUA FRESCA</t>
  </si>
  <si>
    <t>PLACA ORIFICIO 3 CONDUCCION AGUA FRESCA</t>
  </si>
  <si>
    <t>PLACA ORIFICIO 4 CONDUCCION AGUA FRESCA</t>
  </si>
  <si>
    <t>PLACA ORIFICIO 5 CONDUCCION AGUA FRESCA</t>
  </si>
  <si>
    <t>PLACA ORIFICIO 6 CONDUCCION AGUA FRESCA</t>
  </si>
  <si>
    <t>PLACA ORIFICIO 7 CONDUCCION AGUA FRESCA</t>
  </si>
  <si>
    <t>06320-PDO-001</t>
  </si>
  <si>
    <t>06320-PDO-002</t>
  </si>
  <si>
    <t>06320-PDO-003</t>
  </si>
  <si>
    <t>06320-PDO-004</t>
  </si>
  <si>
    <t>06320-PDO-005</t>
  </si>
  <si>
    <t>06320-PDO-006</t>
  </si>
  <si>
    <t>06320-PDO-007</t>
  </si>
  <si>
    <t>06330-EST-001</t>
  </si>
  <si>
    <t>06330-EST-002</t>
  </si>
  <si>
    <t>GERENCIA DE FUNDICION</t>
  </si>
  <si>
    <t>06350-BOC-001</t>
  </si>
  <si>
    <t>06350-BOC-001M</t>
  </si>
  <si>
    <t>06350-BOC-002</t>
  </si>
  <si>
    <t>06350-BOC-002M</t>
  </si>
  <si>
    <t>06350-BOC-003</t>
  </si>
  <si>
    <t>06350-BOC-003M</t>
  </si>
  <si>
    <t>06350-BOC-004</t>
  </si>
  <si>
    <t>06350-BOC-004M</t>
  </si>
  <si>
    <t>06350-BOC-005</t>
  </si>
  <si>
    <t>06350-BOC-005M</t>
  </si>
  <si>
    <t>06350-BOC-006</t>
  </si>
  <si>
    <t>06350-BOC-006M</t>
  </si>
  <si>
    <t>06350-BOC-007</t>
  </si>
  <si>
    <t>06350-BOC-007M</t>
  </si>
  <si>
    <t>06350-BOC-008</t>
  </si>
  <si>
    <t>06350-BOC-008M</t>
  </si>
  <si>
    <t>FILTRO AGUA DE SELLO</t>
  </si>
  <si>
    <t>FILTRO DE ARENA 1</t>
  </si>
  <si>
    <t>FILTRO DE ARENA 2</t>
  </si>
  <si>
    <t>06350-FTR-001</t>
  </si>
  <si>
    <t>06350-FTR-002</t>
  </si>
  <si>
    <t>06350-FTR-003</t>
  </si>
  <si>
    <t>06350-PTA-001</t>
  </si>
  <si>
    <t>06350-TCL-001</t>
  </si>
  <si>
    <t>PTS</t>
  </si>
  <si>
    <t>PLANTA DE TRATAMIENTO DE AGUAS SERVIDAS</t>
  </si>
  <si>
    <t>06360-PTA-001</t>
  </si>
  <si>
    <t>ESTANQUE AGUA DE PROCESO</t>
  </si>
  <si>
    <t>ESTANQUE AGUA RECUPERADA FILTROS</t>
  </si>
  <si>
    <t>06370-BOC-001</t>
  </si>
  <si>
    <t>06370-BOC-001M</t>
  </si>
  <si>
    <t>06370-BOC-002</t>
  </si>
  <si>
    <t>06370-BOC-002M</t>
  </si>
  <si>
    <t>06370-BOC-003</t>
  </si>
  <si>
    <t>06370-BOC-003M</t>
  </si>
  <si>
    <t>06370-BOC-004</t>
  </si>
  <si>
    <t>06370-BOC-004M</t>
  </si>
  <si>
    <t>06370-EST-001</t>
  </si>
  <si>
    <t>06370-EST-002</t>
  </si>
  <si>
    <t>6500 - SUMINISTRO ELECTRICO</t>
  </si>
  <si>
    <t>LINEAS DE TRANSMISION AT 110 KV</t>
  </si>
  <si>
    <t>6100 - EDIFICIOS</t>
  </si>
  <si>
    <t>TALLERES</t>
  </si>
  <si>
    <t>BODEGAS</t>
  </si>
  <si>
    <t>EDIFICIOS DE ADMINISTRACION Y SERVICIOS</t>
  </si>
  <si>
    <t>BDG</t>
  </si>
  <si>
    <t>CIE</t>
  </si>
  <si>
    <t>SISTEMA DATOS</t>
  </si>
  <si>
    <t>SISTEMA CONTROL</t>
  </si>
  <si>
    <t>EDF</t>
  </si>
  <si>
    <t>TLL</t>
  </si>
  <si>
    <t>CIERRE PERIMETRAL</t>
  </si>
  <si>
    <t>SDA</t>
  </si>
  <si>
    <t>SCO</t>
  </si>
  <si>
    <t>COMUNICACIONES Y CONTROL - 6740</t>
  </si>
  <si>
    <t>TELECOMUNICACIONES - 6750</t>
  </si>
  <si>
    <t>INFORMATICA INDUSTRIAL - 6760</t>
  </si>
  <si>
    <t>PLANTA DE FLOCULANTE - 6920</t>
  </si>
  <si>
    <t>PLANTA DE REACTIVOS - 6930</t>
  </si>
  <si>
    <t>PLANTA DE AIRE - 6940</t>
  </si>
  <si>
    <t>BOMBA DE IMPULSION AGUA LAVADO MANIFOLD</t>
  </si>
  <si>
    <t>DRR</t>
  </si>
  <si>
    <t>PEM</t>
  </si>
  <si>
    <t>PISCINA DE EMERGENCIA - 7610</t>
  </si>
  <si>
    <t>EDIFICIOS GENERALES - 6110</t>
  </si>
  <si>
    <t>SUBESTACION ELECTRICA EL COBRE - 6540</t>
  </si>
  <si>
    <t>SUMINISTRO PTE - 6550</t>
  </si>
  <si>
    <t>RECEPCION CHANCADO ACOPIO- 7110/20/80</t>
  </si>
  <si>
    <t>ENFRIAMIENTO MOLINOS (SAG-BOLAS)</t>
  </si>
  <si>
    <t>07210-VEN-001</t>
  </si>
  <si>
    <t>07210-VEN-002</t>
  </si>
  <si>
    <t>07210-VEN-003</t>
  </si>
  <si>
    <t>07210-VEN-004</t>
  </si>
  <si>
    <t>06750-PFO-0064A</t>
  </si>
  <si>
    <t>06750-PFO-0064B</t>
  </si>
  <si>
    <t>06750-PFO-0064D</t>
  </si>
  <si>
    <t>PANEL FIBRA OPTICA A</t>
  </si>
  <si>
    <t>PANEL FIBRA OPTICA B</t>
  </si>
  <si>
    <t>PANEL FIBRA OPTICA C</t>
  </si>
  <si>
    <t>RED EXTINCION INCENDIOS CHANCADO</t>
  </si>
  <si>
    <t>CDI</t>
  </si>
  <si>
    <t>SIST DETECCION INCENDIO CHANCADO</t>
  </si>
  <si>
    <t>EEI</t>
  </si>
  <si>
    <t>SIST RED HUMEDA CHANCADO</t>
  </si>
  <si>
    <t>RCI</t>
  </si>
  <si>
    <t>SI3</t>
  </si>
  <si>
    <t>RED EXTINCION INCENDIOS ACOPIO</t>
  </si>
  <si>
    <t>SIST DETECCION INCENDIO ACOPIO</t>
  </si>
  <si>
    <t>SIST RED HUMEDA ACOPIO</t>
  </si>
  <si>
    <t>SI4</t>
  </si>
  <si>
    <t>SI5</t>
  </si>
  <si>
    <t>SI6</t>
  </si>
  <si>
    <t>RED EXTINCION INCENDIOS MOLIENDA</t>
  </si>
  <si>
    <t>SIST DETECCION INCENDIO MOLIENDA</t>
  </si>
  <si>
    <t>SIST RED HUMEDA MOLIENDA</t>
  </si>
  <si>
    <t>SI7</t>
  </si>
  <si>
    <t>RED EXTINCION INCENDIOS FLOTACION</t>
  </si>
  <si>
    <t>SIST DETECCION INCENDIO FLOTACION</t>
  </si>
  <si>
    <t>SIST RED HUMEDA FLOTACION</t>
  </si>
  <si>
    <t>SI8</t>
  </si>
  <si>
    <t>SIST RED HUMEDA ESPESADOR CONCENTRADO</t>
  </si>
  <si>
    <t>SI9</t>
  </si>
  <si>
    <t>RED EXTINCION INCENDIOS ESPESADOR RELAVE</t>
  </si>
  <si>
    <t>SIST DETECCION INCENDIO ESPESADOR RELAVE</t>
  </si>
  <si>
    <t>SIST RED HUMEDA ESPESADOR RELAVE</t>
  </si>
  <si>
    <t>S10</t>
  </si>
  <si>
    <t>RED EXTINCION INCENDIOS EDIFICIO FILTROS</t>
  </si>
  <si>
    <t>SIST DETECCION INCENDIO EDIFICIO FILTROS</t>
  </si>
  <si>
    <t>SIST RED HUMEDA EDIFICIO FILTROS</t>
  </si>
  <si>
    <t>S11</t>
  </si>
  <si>
    <t>S12</t>
  </si>
  <si>
    <t>SIST RED HUMEDA TOLVA CONCENTRADO</t>
  </si>
  <si>
    <t>S13</t>
  </si>
  <si>
    <t>RED EXTINCION INCENDIOS SALA BBAS D. POS</t>
  </si>
  <si>
    <t>SIST DETECCION INCENDIO SALA BBAS D. POS</t>
  </si>
  <si>
    <t>SIST RED HUMEDA SALA BBAS D. POS</t>
  </si>
  <si>
    <t>S14</t>
  </si>
  <si>
    <t>RED EXTINCION INCENDIOS PTA FLOCULANTE</t>
  </si>
  <si>
    <t>SIST DETECCION INCENDIO PTA FLOCULANTE</t>
  </si>
  <si>
    <t>SIST RED HUMEDA PTA FLOCULANTE</t>
  </si>
  <si>
    <t>S15</t>
  </si>
  <si>
    <t>RED EXTINCION INCENDIOS CHILLER MOLIENDA</t>
  </si>
  <si>
    <t>SIST RED HUMEDA CHILLER MOLIENDA</t>
  </si>
  <si>
    <t>S16</t>
  </si>
  <si>
    <t>RED EXTINCION INCENDIOS ESTANQ REACTIVOS</t>
  </si>
  <si>
    <t>SIST DETECCION INCENDIO ESTANQ REACTIVOS</t>
  </si>
  <si>
    <t>SIST EXTINCION ESPUMA ESTANQ REACTIVOS</t>
  </si>
  <si>
    <t>SIST RED HUMEDA ESTANQUE REACTIVOS</t>
  </si>
  <si>
    <t>S17</t>
  </si>
  <si>
    <t>RED EXTINCION INCENDIOS SALA COMPRESORES</t>
  </si>
  <si>
    <t>SIST DETECCION INCENDIO SALA COMPRESORES</t>
  </si>
  <si>
    <t>SIST RED HUMEDA SALA COMPRESORES</t>
  </si>
  <si>
    <t>S18</t>
  </si>
  <si>
    <t>RED EXTINCION INCENDIOS TK ALIM FILTROS</t>
  </si>
  <si>
    <t>SIST DETECCION INCENDIO TK ALIM FILTROS</t>
  </si>
  <si>
    <t>SIST RED HUMEDA ESTANQUE ALIMENT FILTROS</t>
  </si>
  <si>
    <t>S19</t>
  </si>
  <si>
    <t>RED EXTINCION INCENDIOS TK ALIM RELAVES</t>
  </si>
  <si>
    <t>SIST DETECCION INCENDIO TK ALIM RELAVES</t>
  </si>
  <si>
    <t>SIST RED HUMEDA ESTANQUE ALIMENT RELAVES</t>
  </si>
  <si>
    <t>S20</t>
  </si>
  <si>
    <t>RED EXTINCION INCENDIOS BODEGA</t>
  </si>
  <si>
    <t>SIST DETECCION INCENDIO BODEGA</t>
  </si>
  <si>
    <t>SIST ROCIADOR AUTOMATICO BODEGA</t>
  </si>
  <si>
    <t>SIST RED HUMEDA BODEGA</t>
  </si>
  <si>
    <t>S21</t>
  </si>
  <si>
    <t>RED EXTINCION INCENDIOS TALLER</t>
  </si>
  <si>
    <t>SIST DETECCION INCENDIO TALLER</t>
  </si>
  <si>
    <t>SIST RED HUMEDA TALLER</t>
  </si>
  <si>
    <t>S22</t>
  </si>
  <si>
    <t>RED EXTINCION INCENDIOS ROMANA CAMIONES</t>
  </si>
  <si>
    <t>SIST RED HUMEDA ROMANA CAMIONES</t>
  </si>
  <si>
    <t>S23</t>
  </si>
  <si>
    <t>RED EXTINCION INCENDIOS SALAS ELECTRICAS</t>
  </si>
  <si>
    <t>SIST DETECCION INCENDIO SALAS ELECTRICAS</t>
  </si>
  <si>
    <t>SIST INUNDACION TOTAL SALAS ELECTRICAS</t>
  </si>
  <si>
    <t>S24</t>
  </si>
  <si>
    <t>RED EXTINCION INCENDIOS TRAFOS GENERICOS</t>
  </si>
  <si>
    <t>SIST DETECCION INCENDIO TRAFOS GENERICOS</t>
  </si>
  <si>
    <t>SIST ROCIADOR AUTOMATICO TRAFOS GENERICO</t>
  </si>
  <si>
    <t>SIST RED HUMEDA TRAFOS GENERICOS</t>
  </si>
  <si>
    <t>S25</t>
  </si>
  <si>
    <t>RED EXTINCION INCENDIOS OFICINAS ADMIN</t>
  </si>
  <si>
    <t>SIST DETECCION INCENDIO OFICINAS ADMIN</t>
  </si>
  <si>
    <t>SIST DETECCION INCENDIO SALA CTRL Y PCS</t>
  </si>
  <si>
    <t>RC1</t>
  </si>
  <si>
    <t>SIST ROCIADOR AUTOMATICO OFICINAS ADMIN</t>
  </si>
  <si>
    <t>RC2</t>
  </si>
  <si>
    <t>SIST INUNDACION TOTAL SALA CTRL Y PCS</t>
  </si>
  <si>
    <t>SIST RED HUMEDA OFICINAS ADMINISTRATIVAS</t>
  </si>
  <si>
    <t>S26</t>
  </si>
  <si>
    <t>RED EXTINCION INCENDIOS TRAFOS MOLINOS</t>
  </si>
  <si>
    <t>SIST DETECCION INCENDIO TRAFOS MOLINOS</t>
  </si>
  <si>
    <t>SIST ROCIADOR AUTOMATICO TRAFOS MOLINOS</t>
  </si>
  <si>
    <t>SIST RED HUMEDA TRAFOS MOLINOS</t>
  </si>
  <si>
    <t>S27</t>
  </si>
  <si>
    <t>RED EXTINCION INCENDIOS PTAS</t>
  </si>
  <si>
    <t>SIST RED HUMEDA TRAFOS PTAS</t>
  </si>
  <si>
    <t>S28</t>
  </si>
  <si>
    <t>RED EXTINCION INCENDIOS PLANTA TRAT AGUA</t>
  </si>
  <si>
    <t>RED EXTINCION INCENDIOS CORREA ESCORIA</t>
  </si>
  <si>
    <t xml:space="preserve">SIST DETECCION INCENDIO </t>
  </si>
  <si>
    <t>SIST ROCIADOR AUTOMATICO</t>
  </si>
  <si>
    <t xml:space="preserve">SIST RED HUMEDA </t>
  </si>
  <si>
    <t>RED EXTINCION INCENDIOS TUNEL CORREA SAG</t>
  </si>
  <si>
    <t xml:space="preserve">SIST DETECCION INCENDIO TUNEL </t>
  </si>
  <si>
    <t>SIST ROCIADOR AUTOMATICO TUNEL</t>
  </si>
  <si>
    <t>SIST RED HUMEDA TUNEL</t>
  </si>
  <si>
    <t>RED EXTINCION INCENDIOS CORREA SAG</t>
  </si>
  <si>
    <t>SIST DETECCION INCENDIO</t>
  </si>
  <si>
    <t>SIST RED HUMEDA</t>
  </si>
  <si>
    <t>TECLE MTTO. BBAS AGUA REC Y LAV FILTROS</t>
  </si>
  <si>
    <t>RECEPCION Y SUMINISTRO ENERGIA EL - 6510</t>
  </si>
  <si>
    <t>ALMACEN Y DISTRIBUCION AGUA RECU - 6370</t>
  </si>
  <si>
    <t>RED EXTINCION INCENDIOS ESPESADOR CONCEN</t>
  </si>
  <si>
    <t>SIST DETECCION INCENDIO ESPESADOR CONCEN</t>
  </si>
  <si>
    <t>6700 - COMUNICACION GRAL E INFORMATICA</t>
  </si>
  <si>
    <t>ALMACEN Y DISTRIBUCION DE AGUA - 6330</t>
  </si>
  <si>
    <t>RED EXTINCION INCENDIOS CORREA CONCENT</t>
  </si>
  <si>
    <t>RED EXTINCION INCENDIOS TOLVA CONCENT</t>
  </si>
  <si>
    <t>6900 - ALMACEN Y DISTRIBUCION REACTIVOS</t>
  </si>
  <si>
    <t>CAJON DISTRIBUIDOR A FLOTACION #1</t>
  </si>
  <si>
    <t>MOLINO DE BOLAS</t>
  </si>
  <si>
    <t>MOLINO SAG</t>
  </si>
  <si>
    <t>CORREA ALIMENTACION MOLINO SAG</t>
  </si>
  <si>
    <t>PESOMETRO DE CORREA ALIMENTAC MOL SAG</t>
  </si>
  <si>
    <t>PIPING Y VALVULAS</t>
  </si>
  <si>
    <t>07390-AU-0501E</t>
  </si>
  <si>
    <t>07390-AU-0501F</t>
  </si>
  <si>
    <t>07390-AU-0501F-01</t>
  </si>
  <si>
    <t>07390-AU-0501F-01M</t>
  </si>
  <si>
    <t>CM6</t>
  </si>
  <si>
    <t>07390-AU-0501G</t>
  </si>
  <si>
    <t>07390-AU-0501G-01</t>
  </si>
  <si>
    <t>07390-AU-0501G-01M</t>
  </si>
  <si>
    <t>CM7</t>
  </si>
  <si>
    <t>UNIDAD HIDRA. ACCIONAMIENTO VVAS #3</t>
  </si>
  <si>
    <t>PARTES HUMEDAS BBA. 6350-BOC-002</t>
  </si>
  <si>
    <t>PIPING Y VALVULAS BBA. 6350-BOC-002</t>
  </si>
  <si>
    <t>SISTEMA MOTRIZ BBA. 6350-BOC-002</t>
  </si>
  <si>
    <t>PARTES HUMEDAS BBA. 6350-BOC-003</t>
  </si>
  <si>
    <t>PIPING Y VALVULAS BBA. 6350-BOC-003</t>
  </si>
  <si>
    <t>SISTEMA MOTRIZ BBA. 6350-BOC-003</t>
  </si>
  <si>
    <t>PARTES HUMEDAS BBA. 6350-BOC-004</t>
  </si>
  <si>
    <t>PIPING Y VALVULAS BBA. 6350-BOC-004</t>
  </si>
  <si>
    <t>SISTEMA MOTRIZ BBA. 6350-BOC-004</t>
  </si>
  <si>
    <t>PARTES HUMEDAS BBA. 6350-BOC-005</t>
  </si>
  <si>
    <t>PIPING Y VALVULAS BBA. 6350-BOC-005</t>
  </si>
  <si>
    <t>SISTEMA MOTRIZ BBA. 6350-BOC-005</t>
  </si>
  <si>
    <t>PARTES HUMEDAS BBA. 6350-BOC-001</t>
  </si>
  <si>
    <t>PIPING Y VALVULAS BBA. 6350-BOC-001</t>
  </si>
  <si>
    <t>SISTEMA MOTRIZ BBA. 650-BOC-001</t>
  </si>
  <si>
    <t>PARTES HUMEDAS BBA. 6350-BOC-006</t>
  </si>
  <si>
    <t>PIPING Y VALVULAS BBA. 6350-BOC-006</t>
  </si>
  <si>
    <t>SISTEMA MOTRIZ BBA. 6350-BOC-006</t>
  </si>
  <si>
    <t>PARTES HUMEDAS BBA. 6350-BOC-007</t>
  </si>
  <si>
    <t>PIPING Y VALVULAS BBA. 6350-BOC-007</t>
  </si>
  <si>
    <t>SISTEMA MOTRIZ BBA. 6350-BOC-007</t>
  </si>
  <si>
    <t>PARTES HUMEDAS BBA. 6350-BOC-008</t>
  </si>
  <si>
    <t>PIPING Y VALVULAS BBA. 6350-BOC-008</t>
  </si>
  <si>
    <t>SISTEMA MOTRIZ BBA. 6350-BOC-008</t>
  </si>
  <si>
    <t>PARTES HUMEDAS BBA. 6370-BOC-001</t>
  </si>
  <si>
    <t>PIPING Y VALVULAS BBA. 6370-BOC-001</t>
  </si>
  <si>
    <t>SISTEMA MOTRIZ BBA. 6370-BOC-001</t>
  </si>
  <si>
    <t>PARTES HUMEDAS BBA. 6370-BOC-002</t>
  </si>
  <si>
    <t>PIPING Y VALVULAS BBA. 6370-BOC-002</t>
  </si>
  <si>
    <t>SISTEMA MOTRIZ BBA. 6370-BOC-002</t>
  </si>
  <si>
    <t>PARTES HUMEDAS BBA. 6370-BOC-003</t>
  </si>
  <si>
    <t>PIPING Y VALVULAS BBA. 6370-BOC-003</t>
  </si>
  <si>
    <t>SISTEMA MOTRIZ BBA. 6370-BOC-003</t>
  </si>
  <si>
    <t>PARTES HUMEDAS BBA. 6370-BOC-004</t>
  </si>
  <si>
    <t>PIPING Y VALVULAS BBA. 6370-BOC-004</t>
  </si>
  <si>
    <t>SISTEMA MOTRIZ BBA. 6370-BOC-004</t>
  </si>
  <si>
    <t>PARTES HUMEDAS BBA. 7610-BBA-001</t>
  </si>
  <si>
    <t>SISTEMA MOTRIZ BBA. 7610-BBA-001</t>
  </si>
  <si>
    <t>BOTONERA LOCAL BBA. 7610-BBA-001</t>
  </si>
  <si>
    <t>SISTEMA ELECTRICO BBA. 7610-BBA-001</t>
  </si>
  <si>
    <t>SISTEMA ELECTRICO BBA. 6350-BOC-004</t>
  </si>
  <si>
    <t>BOTONERA LOCAL BBA. 6350-BOC-004</t>
  </si>
  <si>
    <t>SISTEMA ELECTRICO BBA. 6370-BOC-003</t>
  </si>
  <si>
    <t>BOTONERA LOCAL BBA. 6370-BOC-003</t>
  </si>
  <si>
    <t>SISTEMA ELECTRICO BBA. 6370-BOC-002</t>
  </si>
  <si>
    <t>BOTONERA LOCAL BBA. 6370-BOC-002</t>
  </si>
  <si>
    <t>SISTEMA ELECTRICO BBA. 6370-BOC-001</t>
  </si>
  <si>
    <t>BOTONERA LOCAL BBA. 6370-BOC-001</t>
  </si>
  <si>
    <t>SISTEMA ELECTRICO BBA. 6350-BOC-008</t>
  </si>
  <si>
    <t>BOTONERA LOCAL BBA. 6350-BOC-008</t>
  </si>
  <si>
    <t>SISTEMA ELECTRICO BBA. 6350-BOC-007</t>
  </si>
  <si>
    <t>BOTONERA LOCAL BBA. 6350-BOC-007</t>
  </si>
  <si>
    <t>SISTEMA ELECTRICO BBA. 6350-BOC-006</t>
  </si>
  <si>
    <t>BOTONERA LOCAL BBA. 6350-BOC-006</t>
  </si>
  <si>
    <t>SISTEMA ELECTRICO BBA. 6350-BOC-005</t>
  </si>
  <si>
    <t>BOTONERA LOCAL BBA. 6350-BOC-005</t>
  </si>
  <si>
    <t>SISTEMA ELECTRICO BBA. 6350-BOC-003</t>
  </si>
  <si>
    <t>BOTONERA LOCAL BBA. 6350-BOC-003</t>
  </si>
  <si>
    <t>SISTEMA ELECTRICO BBA. 6350-BOC-002</t>
  </si>
  <si>
    <t>BOTONERA LOCAL BBA. 6350-BOC-002</t>
  </si>
  <si>
    <t>SISTEMA ELECTRICO BBA. 6350-BOC-001</t>
  </si>
  <si>
    <t>BOTONERA LOCAL BBA. 6350-BOC-001</t>
  </si>
  <si>
    <t>ESTANQUE AGUA FRESCA #1</t>
  </si>
  <si>
    <t>ESTANQUE AGUA FRESCA #2</t>
  </si>
  <si>
    <t>PARTES HUMEDAS BBA. 7520-BBA-001</t>
  </si>
  <si>
    <t>PIPING Y VALVULAS BBA. 7520-BBA-001</t>
  </si>
  <si>
    <t>SISTEMA MOTRIZ BBA. 7520-BBA-001</t>
  </si>
  <si>
    <t>SISTEMA ELECTRICO BBA. 7520-BBA-001</t>
  </si>
  <si>
    <t>BOTONERA LOCAL BBA. 7520-BBA-001</t>
  </si>
  <si>
    <t>BOMBA DESPLAZAMIENTO POSITIVO #2</t>
  </si>
  <si>
    <t>PIPING Y VALVULAS BBA. 7520-BDP-002</t>
  </si>
  <si>
    <t>SISTEMA MOTRIZ BBA. 7520-BDP-002</t>
  </si>
  <si>
    <t>SISTEMA DE LUBRICACION BBA. 7520-BDP-002</t>
  </si>
  <si>
    <t>BOMBA LUBRICACION 7520-BDP-002</t>
  </si>
  <si>
    <t>SISTEMA ELECTRICO BBA. 7520-BDP-002</t>
  </si>
  <si>
    <t>BOTONERA LOCAL BBA. 7520-BDP-002</t>
  </si>
  <si>
    <t>SENSOR RUPTURA MEMBRANA BBA 7520-BDP-002</t>
  </si>
  <si>
    <t>PLC BBA. 7520-BDP-002</t>
  </si>
  <si>
    <t>PANEL DE CONTROL BBA. 7520-BDP-002</t>
  </si>
  <si>
    <t>SISTEMA ELECTRICO BBA. 7520-BDP-001</t>
  </si>
  <si>
    <t>BOTONERA LOCAL BBA. 7520-BDP-001</t>
  </si>
  <si>
    <t>BOMBA DESPLAZAMIENTO POSITIVO #1</t>
  </si>
  <si>
    <t>SISTEMA MOTRIZ BBA. 7520-BDP-001</t>
  </si>
  <si>
    <t>SISTEMA DE LUBRICACION BBA. 7520-BDP-001</t>
  </si>
  <si>
    <t>BOMBA LUBRICACION 7520-BDP-001</t>
  </si>
  <si>
    <t>SISTEMA INSTRUMENTACION BBA 7520-BDP-001</t>
  </si>
  <si>
    <t>SENSOR RUPTURA MEMBRANA BBA 7520-BDP-001</t>
  </si>
  <si>
    <t>PLC BBA. 7520-BDP-001</t>
  </si>
  <si>
    <t>PANEL DE CONTROL BBA. 7520-BDP-001</t>
  </si>
  <si>
    <t>BOMBA PRECARGA RELAVES #2</t>
  </si>
  <si>
    <t>PARTES HUMEDAS BBA. 7520-BOC-002</t>
  </si>
  <si>
    <t>PIPING Y VALVULAS BBA. 7520-BOC-002</t>
  </si>
  <si>
    <t>SISTEMA AGUA SELLO BBA. 7520-BOC-002</t>
  </si>
  <si>
    <t>SISTEMA MOTRIZ BBA. 7520-BOC-002</t>
  </si>
  <si>
    <t>SISTEMA ELECTRICO BBA. 7520-BOC-002</t>
  </si>
  <si>
    <t>BOTONERA LOCAL BBA. 7520-BOC-002</t>
  </si>
  <si>
    <t>SISTEMA INSTRUMENTACION BBA 7520-BOC-002</t>
  </si>
  <si>
    <t>BOMBA PRECARGA RELAVES #1</t>
  </si>
  <si>
    <t>PARTES HUMEDAS BBA. 7520-BOC-001</t>
  </si>
  <si>
    <t>PIPING Y VALVULAS BBA. 7520-BOC-001</t>
  </si>
  <si>
    <t>SISTEMA AGUA SELLO BBA. 7520-BOC-001</t>
  </si>
  <si>
    <t>SISTEMA MOTRIZ BBA. 7520-BOC-001</t>
  </si>
  <si>
    <t>SISTEMA ELECTRICO BBA. 7520-BOC-001</t>
  </si>
  <si>
    <t>BOTONERA LOCAL BBA. 7520-BOC-001</t>
  </si>
  <si>
    <t>SISTEMA INSTRUMENTACION BBA 7520-BOC-001</t>
  </si>
  <si>
    <t>SISTEMA MOTRIZ AGITADOR 7520-AGT-001</t>
  </si>
  <si>
    <t>REDUCTOR AGITADOR 7520-AGT-001</t>
  </si>
  <si>
    <t>SISTEMA ELECTRICO AGITADOR 7520-AGT-001</t>
  </si>
  <si>
    <t>BOTONERA LOCAL AGITADOR 7520-AGT-001</t>
  </si>
  <si>
    <t>SISTEMA INSTRUMENTACION TK 7520-EST-001</t>
  </si>
  <si>
    <t>PARTES HUMEDAS BBA. 7510-BBA-001</t>
  </si>
  <si>
    <t>PIPING Y VALVULAS BBA. 7510-BBA-001</t>
  </si>
  <si>
    <t>SISTEMA MOTRIZ BBA. 7510-BBA-001</t>
  </si>
  <si>
    <t>SISTEMA ELECTRICO BBA. 7510-BBA-001</t>
  </si>
  <si>
    <t>FILTRO DE CONCENTRADO LAROX #1</t>
  </si>
  <si>
    <t>FILTRO DE CONCENTRADO LAROX #2</t>
  </si>
  <si>
    <t>SISTEMA MECANICO CORTADOR 7410-CMU-001</t>
  </si>
  <si>
    <t>BOMBAS CORTADOR MUESTRA 7410-CMU-001</t>
  </si>
  <si>
    <t>SISTEMA INSTRUMENTACIO CORT 7410-CMU-001</t>
  </si>
  <si>
    <t>SISTEMA MOTRIZ AGITADOR 7420-AGT-001</t>
  </si>
  <si>
    <t>REDUCTOR 7420-AGT-001</t>
  </si>
  <si>
    <t>EJE ROTOR 7420-AGT-001</t>
  </si>
  <si>
    <t>SISTEMA ELECTRICO 7420-AGT-001</t>
  </si>
  <si>
    <t>BOTONERA LOCAL 7420-AGT-001</t>
  </si>
  <si>
    <t>PARTES HUMEDAS BBA. 7420-BOC-001</t>
  </si>
  <si>
    <t>PIPING Y VALVULAS BBA. 7420-BOC-001</t>
  </si>
  <si>
    <t>SISTEMA AGUA SELLO BBA. 7420-BOC-001</t>
  </si>
  <si>
    <t>SISTEMA MOTRIZ BBA. 7420-BOC-001</t>
  </si>
  <si>
    <t>SISTEMA ELECTRICO BBA. 7420-BOC-001</t>
  </si>
  <si>
    <t>BOTONERA LOCAL BBA. 7420-BOC-001</t>
  </si>
  <si>
    <t>SISTEMA INSTRUMENTACION BBA 7420-BOC-001</t>
  </si>
  <si>
    <t>PARTES HUMEDAS BBA. 7420-BOC-002</t>
  </si>
  <si>
    <t>PIPING Y VALVULAS BBA. 7420-BOC-002</t>
  </si>
  <si>
    <t>SISTEMA AGUA SELLO BBA. 7420-BOC-002</t>
  </si>
  <si>
    <t>SISTEMA ELECTRICO BBA. 7420-BOC-002</t>
  </si>
  <si>
    <t>BOTONERA LOCAL BBA. 7420-BOC-002</t>
  </si>
  <si>
    <t>BOMBA ALIMENTACION FILTROS #2</t>
  </si>
  <si>
    <t>ESTRUCTURA PPAL CORREA 7420-CTR-001</t>
  </si>
  <si>
    <t>SISTEMA ESTRUCTURAL CORREA 7420-CTR-001</t>
  </si>
  <si>
    <t>SISTEMA TRANSPORTE CORREA 7420-CTR-001</t>
  </si>
  <si>
    <t>POLEA DE COLA CORREA 7420-CTR-001</t>
  </si>
  <si>
    <t>POLEAS DEFLECTORAS CORREA 7420-CTR-001</t>
  </si>
  <si>
    <t>POLEA CONTRAPESO CORREA 7420-CTR-001</t>
  </si>
  <si>
    <t>POLINES DE RETORNO CORREA 7420-CTR-001</t>
  </si>
  <si>
    <t>POLINES DE CARGA CORREA 7420-CTR-001</t>
  </si>
  <si>
    <t>POLINES DE IMPACTO CORREA 7420-CTR-001</t>
  </si>
  <si>
    <t>POLINES TRANSICION CORREA 7420-CTR-001</t>
  </si>
  <si>
    <t>POLINES AUTOCENTRANTE CORREA7420-CTR-001</t>
  </si>
  <si>
    <t>SISTEMA TENSOR CORREA 7420-CTR-001</t>
  </si>
  <si>
    <t>SISTEMA MOTRIZ CORREA 7420-CTR-001</t>
  </si>
  <si>
    <t>SISTEMA INSTRUMENTACION 7420-CTR-001</t>
  </si>
  <si>
    <t>ACOPLAMIENTO CORREA 7420-CTR-001</t>
  </si>
  <si>
    <t>POLEA MOTRIZ CORREA 7420-CTR-001</t>
  </si>
  <si>
    <t>INTERRUPTOR CORTE DE CORREA 7420-CTR-001</t>
  </si>
  <si>
    <t>INTERRUPTOR DESALIEAMIENTO 7420-CTR-001</t>
  </si>
  <si>
    <t>SISTEMA INSTRUMENTACION ROM 7420-RMN-001</t>
  </si>
  <si>
    <t>PARTES HUMEDAS BBA. 7420-BBA-001</t>
  </si>
  <si>
    <t>SISTEMA MOTRIZ BBA. 7420-BBA-001</t>
  </si>
  <si>
    <t>MOTOR ELEC BBA. 7420-BBA-001</t>
  </si>
  <si>
    <t>PIPING Y VALVULAS BBA. 7420-BBA-001</t>
  </si>
  <si>
    <t>SISTEMA INSTRUMENTACION BBA 7420-BBA-001</t>
  </si>
  <si>
    <t>SISTEMA ELECTRICO GRUA 7420-GPC-001</t>
  </si>
  <si>
    <t>07390-SEL-001</t>
  </si>
  <si>
    <t>PARTES HUMEDAS BBA. 7510-BOC-001</t>
  </si>
  <si>
    <t>PIPING Y VALVULAS BBA. 7510-BOC-001</t>
  </si>
  <si>
    <t>SISTEMA AGUA SELLO BBA. 7510-BOC-001</t>
  </si>
  <si>
    <t>SISTEMA MOTRIZ BBA. 7510-BOC-001</t>
  </si>
  <si>
    <t>MOTOR ELEC BBA. 7510-BOC-001</t>
  </si>
  <si>
    <t>SISTEMA ELECTRICO BBA. 7510-BOC-001</t>
  </si>
  <si>
    <t>BOTONERA LOCAL BBA. 7510-BOC-001</t>
  </si>
  <si>
    <t>SISTEMA INSTRUMENTACION BBA 7510-BOC-001</t>
  </si>
  <si>
    <t>PARTES HUMEDAS BBA. 7510-BOC-003</t>
  </si>
  <si>
    <t>PIPING Y VALVULAS BBA. 7510-BOC-003</t>
  </si>
  <si>
    <t>SISTEMA AGUA SELLO BBA. 7510-BOC-003</t>
  </si>
  <si>
    <t>SISTEMA MOTRIZ BBA. 7510-BOC-003</t>
  </si>
  <si>
    <t>SISTEMA ELECTRICO BBA. 7510-BOC-003</t>
  </si>
  <si>
    <t>BOTONERA LOCAL BBA. 7510-BOC-003</t>
  </si>
  <si>
    <t>SISTEMA INSTRUMENTACION BBA 7510-BOC-003</t>
  </si>
  <si>
    <t>PIPING Y VALVULAS BBA. 7510-BOC-004</t>
  </si>
  <si>
    <t>PARTES HUMEDAS BBA. 7510-BOC-004</t>
  </si>
  <si>
    <t>SISTEMA AGUA SELLO BBA. 7510-BOC-004</t>
  </si>
  <si>
    <t>SISTEMA MOTRIZ BBA. 7510-BOC-004</t>
  </si>
  <si>
    <t>SISTEMA ELECTRICO BBA. 7510-BOC-004</t>
  </si>
  <si>
    <t>BOTONERA LOCAL BBA. 7510-BOC-004</t>
  </si>
  <si>
    <t>SISTEMA INSTRUMENTACION BBA 7510-BOC-004</t>
  </si>
  <si>
    <t>CORTADOR DE MUESTRA CABEZA FLOT. #1</t>
  </si>
  <si>
    <t>SISTEMA MECANICO CAJON 7310-CAJ-001</t>
  </si>
  <si>
    <t>SISTEMA INSTR. CAJON 7310-CAJ-001</t>
  </si>
  <si>
    <t>UHD ACC. VVA. DARDO CAJON 7310-CAJ-001</t>
  </si>
  <si>
    <t>PARTES HUMEDAS BBA. 7410-BOC-002</t>
  </si>
  <si>
    <t>PIPING Y VALVULAS BBA. 7410-BOC-002</t>
  </si>
  <si>
    <t>SISTEMA AGUA SELLO BBA. 7410-BOC-002</t>
  </si>
  <si>
    <t>SISTEMA MOTRIZ BBA. 7410-BOC-002</t>
  </si>
  <si>
    <t>SISTEMA ELECTRICO BBA. 7410-BOC-002</t>
  </si>
  <si>
    <t>BOTONERA LOCAL BBA. 7410-BOC-002</t>
  </si>
  <si>
    <t>SISTEMA INSTRUMENTACION BBA 7410-BOC-002</t>
  </si>
  <si>
    <t>PARTES HUMEDAS BBA. 7410-BOC-001</t>
  </si>
  <si>
    <t>PIPING Y VALVULAS BBA. 7410-BOC-001</t>
  </si>
  <si>
    <t>SISTEMA AGUA SELLO BBA. 7410-BOC-001</t>
  </si>
  <si>
    <t>SISTEMA MOTRIZ BBA. 7410-BOC-001</t>
  </si>
  <si>
    <t>SISTEMA ELECTRICO BBA. 7410-BOC-001</t>
  </si>
  <si>
    <t>BOTONERA LOCAL BBA. 7410-BOC-001</t>
  </si>
  <si>
    <t>SISTEMA INSTRUMENTACION BBA 7410-BOC-001</t>
  </si>
  <si>
    <t>POLEA DE COLA Y CONTRAPESO 7120-CTR-001</t>
  </si>
  <si>
    <t>CORREA ALIMENTACION DE ACOPIO</t>
  </si>
  <si>
    <t>PESOMETRO DE CORREA ALIM ACOPIO</t>
  </si>
  <si>
    <t>HUINCHE TRANSPORTE POLEA CABEZA</t>
  </si>
  <si>
    <t>ELEVACION DE PRESION AGUA SUPRESOR POLVO</t>
  </si>
  <si>
    <t>BOMBA #1 SUPRESOR 7190-ZZM-001</t>
  </si>
  <si>
    <t>BOMBA #2 SUPRESOR 7190-ZZM-001</t>
  </si>
  <si>
    <t>MOTOR ELEC. BBA #2 SUPRESOR 7190-ZZM-001</t>
  </si>
  <si>
    <t>MOTOR ELEC. BBA #1 SUPRESOR 7190-ZZM-001</t>
  </si>
  <si>
    <t>SISTEMA BOMBEO SUPRESOR 7190-ZZM-001</t>
  </si>
  <si>
    <t>SUPRESOR DE POLVO ALIMENTADOR PLACAS</t>
  </si>
  <si>
    <t>SUPRESOR DE POLVO DESCARGA CHANCADOR</t>
  </si>
  <si>
    <t>SISTEMA HIDRONEUMATICO SUPR 7120-SDP-001</t>
  </si>
  <si>
    <t>SISTEMA HIDRONEUMATICO SUPR 7120-SDP-002</t>
  </si>
  <si>
    <t>DOMO STOCK PILE 7180-STP-001</t>
  </si>
  <si>
    <t>PUENTE GRUA MOLIENDA</t>
  </si>
  <si>
    <t>07290-GPT-001</t>
  </si>
  <si>
    <t>VD1</t>
  </si>
  <si>
    <t>VD2</t>
  </si>
  <si>
    <t>VD3</t>
  </si>
  <si>
    <t>VD4</t>
  </si>
  <si>
    <t>TDF</t>
  </si>
  <si>
    <t>FR1</t>
  </si>
  <si>
    <t>FR2</t>
  </si>
  <si>
    <t>TRP</t>
  </si>
  <si>
    <t>SISTEMA CONTROL/ELECTRICO 7290-GPT-001</t>
  </si>
  <si>
    <t>VDF TRASLADO CARRO PUENTE 7290-GPT-001</t>
  </si>
  <si>
    <t>VDF TRASLADO PUENTE PUENTE 7290-GPT-001</t>
  </si>
  <si>
    <t>PANEL CONTROL PUENTE 7290-GPT-001</t>
  </si>
  <si>
    <t>CONTROL REMOTO PUENTE 7290-GPT-001</t>
  </si>
  <si>
    <t>SISTEMA ESTRUCTURAL PUENTE 7290-GPT-001</t>
  </si>
  <si>
    <t>TABLERO ALIMENT. FZA PUENTE 7290-GPT-001</t>
  </si>
  <si>
    <t>VDF POLIPASTO AUX. PUENTE 7290-GPT-001</t>
  </si>
  <si>
    <t>VDF POLIPASTO PPAL. PUENTE 7290-GPT-001</t>
  </si>
  <si>
    <t>SISTEMA IZAJE PUENTE 7290-GPT-001</t>
  </si>
  <si>
    <t>POLIPASTO PPAL. PUENTE 7290-GPT-001</t>
  </si>
  <si>
    <t>POLIPASTO AUXILIAR PUENTE 7290-GPT-001</t>
  </si>
  <si>
    <t>SISTEMA TRASLACION PUENTE 7290-GPT-001</t>
  </si>
  <si>
    <t>SISTEMA CONTROL/ELECTRICO 7420-GPT-001</t>
  </si>
  <si>
    <t>VDF TRASLADO CARRO PUENTE 7420-GPT-001</t>
  </si>
  <si>
    <t>VDF TRASLADO PUENTE PUENTE 7420-GPT-001</t>
  </si>
  <si>
    <t>VDF POLIPASTO PPAL. PUENTE 7420-GPT-001</t>
  </si>
  <si>
    <t>VDF POLIPASTO AUX. PUENTE 7420-GPT-001</t>
  </si>
  <si>
    <t>TABLERO ALIMENT. FZA PUENTE 7420-GPT-001</t>
  </si>
  <si>
    <t>PANEL CONTROL PUENTE 7420-GPT-001</t>
  </si>
  <si>
    <t>CONTROL REMOTO PUENTE 7420-GPT-001</t>
  </si>
  <si>
    <t>SISTEMA ESTRUCTURAL PUENTE 7420-GPT-001</t>
  </si>
  <si>
    <t>SISTEMA IZAJE PUENTE 7420-GPT-001</t>
  </si>
  <si>
    <t>POLIPASTO PPAL. PUENTE 7420-GPT-001</t>
  </si>
  <si>
    <t>POLIPASTO AUXILIAR PUENTE 7420-GPT-001</t>
  </si>
  <si>
    <t>FRENO POLIPASTO PPAL PUENTE 7420-GPT-001</t>
  </si>
  <si>
    <t>FRENO POLIPASTO SECUNDARIO 7420-GPT-001</t>
  </si>
  <si>
    <t>SISTEMA TRASLACION PUENTE 7420-GPT-001</t>
  </si>
  <si>
    <t>SISTEMA CONTROL/ELECTRICO 7520-GPT-001</t>
  </si>
  <si>
    <t>VDF TRASLADO CARRO PUENTE 7520-GPT-001</t>
  </si>
  <si>
    <t>VDF TRASLADO PUENTE PUENTE 7520-GPT-001</t>
  </si>
  <si>
    <t>VDF POLIPASTO PPAL. PUENTE 7520-GPT-001</t>
  </si>
  <si>
    <t>VDF POLIPASTO AUX. PUENTE 7520-GPT-001</t>
  </si>
  <si>
    <t>TABLERO ALIMENT. FZA PUENTE 7520-GPT-001</t>
  </si>
  <si>
    <t>PANEL CONTROL PUENTE 7520-GPT-001</t>
  </si>
  <si>
    <t>CONTROL REMOTO PUENTE 7520-GPT-001</t>
  </si>
  <si>
    <t>SISTEMA ESTRUCTURAL PUENTE 7520-GPT-001</t>
  </si>
  <si>
    <t>SISTEMA IZAJE PUENTE 7520-GPT-001</t>
  </si>
  <si>
    <t>POLIPASTO PPAL. PUENTE 7520-GPT-001</t>
  </si>
  <si>
    <t>POLIPASTO AUXILIAR PUENTE 7520-GPT-001</t>
  </si>
  <si>
    <t>FRENO POLIPASTO PPAL PUENTE 7520-GPT-001</t>
  </si>
  <si>
    <t>FRENO POLIPASTO SECUNDARIO 7520-GPT-001</t>
  </si>
  <si>
    <t>SISTEMA TRASLACION PUENTE 7520-GPT-001</t>
  </si>
  <si>
    <t>SUPRESOR DE POLVO DESCARGA CAMIONES</t>
  </si>
  <si>
    <t>SUPRESOR POLVO DSCGA CORREA A ACOPIO</t>
  </si>
  <si>
    <t>SISTEMA HIDRONEUMATICO SUPR 7180-SDP-001</t>
  </si>
  <si>
    <t>ALIMENTADOR DE PLACAS TOLVA ESCORIA</t>
  </si>
  <si>
    <t>SISTEMA ESTRUCTURAL CHANC. 7120-CHM-001</t>
  </si>
  <si>
    <t>MANDIBULAS CHANCADOR 7120-CHM-001</t>
  </si>
  <si>
    <t>ARTICULACION CHANCADOR 7120-CHM-001</t>
  </si>
  <si>
    <t>SISTEMA MOTRIZ CHANCADOR 7120-CHM-001</t>
  </si>
  <si>
    <t>MOTOR ELEC CHANCADOR 7120-CHM-001</t>
  </si>
  <si>
    <t>TRANSMISION CHANCADOR 7120-CHM-001</t>
  </si>
  <si>
    <t>DESCANSOS CHANCADOR 7120-CHM-001</t>
  </si>
  <si>
    <t>MOTOR ELEC UHD CHANCADOR 7120-CHM-001</t>
  </si>
  <si>
    <t>BOMBA UHD CHANCADOR 7120-CHM-001</t>
  </si>
  <si>
    <t>ESTANQUE UHD CHANCADOR 7120-CHM-001</t>
  </si>
  <si>
    <t>SISTEMA DE LUBRICACION 7120-CHM-001</t>
  </si>
  <si>
    <t>CUADRO DE VVAS. CHANCADOR 7120-CHM-001</t>
  </si>
  <si>
    <t>CHUTE ALIMENTACION CHANCADO 7120-CHM-001</t>
  </si>
  <si>
    <t>CHUTE DE DESCARGA CHANCADOR 7120-CHM-001</t>
  </si>
  <si>
    <t>SALA ELECTRICA CHANCADO 7190</t>
  </si>
  <si>
    <t>SISTEMA ELECTRICO S/E 7190-SEL-001</t>
  </si>
  <si>
    <t>SISTEMA MOTRIZ MOLINO SAG 7210-MSG-001</t>
  </si>
  <si>
    <t>MOTOR ELEC MOLINO SAG 7210-MSG-001</t>
  </si>
  <si>
    <t>ACOPLAMIENTO MOLINO SAG 7210-MSG-001</t>
  </si>
  <si>
    <t>CORONA MOLINO SAG 7210-MSG-001</t>
  </si>
  <si>
    <t>PIÑON MOLINO SAG 7210-MSG-001</t>
  </si>
  <si>
    <t>SISTEMA FRENOS MOLINO SAG 7210-MSG-001</t>
  </si>
  <si>
    <t>MORDAZAS FRENO MOLINO SAG 7210-MSG-001</t>
  </si>
  <si>
    <t>SISTEMA ENGRASE MOLINO SAG 7210-MSG-001</t>
  </si>
  <si>
    <t>SISTEMA LEVANTE MOLINO SAG 7210-MSG-001</t>
  </si>
  <si>
    <t>PLATAFORMA MOLINO SAG 7210-MSG-001</t>
  </si>
  <si>
    <t>BOMBA DE SOPORTE MOLINO SAG 7210-MSG-001</t>
  </si>
  <si>
    <t>MOTOR ELEC SIST. LEV. SAG 7210-MSG-001</t>
  </si>
  <si>
    <t>SISTEMA ESTRUCT. MOLINO SAG 7210-MSG-001</t>
  </si>
  <si>
    <t>TRUNNION ALIM. MOLINO SAG 7210-MSG-001</t>
  </si>
  <si>
    <t>TRUNNION DESC. MOLINO SAG 7210-MSG-001</t>
  </si>
  <si>
    <t>ESTRUCTURA PPAL MOLINO SAG 7210-MSG-001</t>
  </si>
  <si>
    <t>REVESTIMIENTOS TAPA MOL SAG 7210-MSG-001</t>
  </si>
  <si>
    <t>REVESTIMIENTOS TAPA DESC. 7210-MSG-001</t>
  </si>
  <si>
    <t>REVESTIMIENTOS MANTO M. SAG 7210-MSG-001</t>
  </si>
  <si>
    <t>TROMMEL MOLINO SAG 7210-MSG-001</t>
  </si>
  <si>
    <t>CHUTE DESC. PEBBLES MOL SAG 7210-MSG-001</t>
  </si>
  <si>
    <t>CHUTE DESCARGA MOLINO SAG 7210-MSG-001</t>
  </si>
  <si>
    <t>MOTOR ELEC UHD MOLINO SAG 7210-MSG-001</t>
  </si>
  <si>
    <t>BOMBA UHD MOLINO SAG 7210-MSG-001</t>
  </si>
  <si>
    <t>ESTANQUE UHD MOLINO SAG 7210-MSG-001</t>
  </si>
  <si>
    <t>ACUMULADOR PRESION UHD MSG 7210-MSG-001</t>
  </si>
  <si>
    <t>CORREA DESCARGA TROMMEL</t>
  </si>
  <si>
    <t>POLINES AUTOCENT. RETORNO 7210-CTR-002</t>
  </si>
  <si>
    <t>CORREA DE ALTA PENDIENTE PEBBLES</t>
  </si>
  <si>
    <t>CORREA RETORNO DE PEBBLES</t>
  </si>
  <si>
    <t>SISTEMA TENSOR CORREA 7210-CTR-004</t>
  </si>
  <si>
    <t>SISTEMA MOTRIZ CORREA 7210-CTR-004</t>
  </si>
  <si>
    <t>POLEA MOTRIZ CORREA 7210-CTR-004</t>
  </si>
  <si>
    <t>SISTEMA ESTRUCTURAL CORREA 7210-CTR-004</t>
  </si>
  <si>
    <t>ESTRUCTURA PPAL CORREA 7210-CTR-004</t>
  </si>
  <si>
    <t>CHUTE DESCARGA CORREA 7210-CTR-004</t>
  </si>
  <si>
    <t>SISTEMA TRANSPORTE CORREA 7210-CTR-004</t>
  </si>
  <si>
    <t>POLEA DE COLA CORREA 7210-CTR-004</t>
  </si>
  <si>
    <t>POLINES DE RETORNO CORREA 7210-CTR-004</t>
  </si>
  <si>
    <t>POLINES DE CARGA CORREA 7210-CTR-004</t>
  </si>
  <si>
    <t>POLINES DE IMPACTO CORREA 7210-CTR-004</t>
  </si>
  <si>
    <t>SISTEMA INSTRUMENTACION</t>
  </si>
  <si>
    <t>PARTES HUMEDAS BBA. 7240-BOC-001</t>
  </si>
  <si>
    <t>PIPING Y VALVULAS BBA. 7240-BOC-001</t>
  </si>
  <si>
    <t>SISTEMA AGUA SELLO BBA. 7240-BOC-001</t>
  </si>
  <si>
    <t>SISTEMA MOTRIZ BBA. 7240-BOC-001</t>
  </si>
  <si>
    <t>SISTEMA TELEVISON</t>
  </si>
  <si>
    <t>06750-GSM-0064</t>
  </si>
  <si>
    <t>PANEL FIBRA OPTICA</t>
  </si>
  <si>
    <t>CCTV CHANCADO</t>
  </si>
  <si>
    <t>07110-XT-0102</t>
  </si>
  <si>
    <t>07110-XN-0102</t>
  </si>
  <si>
    <t>07180-XT-0160</t>
  </si>
  <si>
    <t>07180-XN-0160</t>
  </si>
  <si>
    <t>07120-XT-0124</t>
  </si>
  <si>
    <t>07120-XN-0124</t>
  </si>
  <si>
    <t>CAMARA CCTV DESC. CAMIONES 7110-XT-0102</t>
  </si>
  <si>
    <t>ENCODER CCTV DESC. CAMIONES 7110-XT-0102</t>
  </si>
  <si>
    <t>CAMARA CCTV INT. ACOPIO 7180-XT-0160</t>
  </si>
  <si>
    <t>ENCODER CCTV INT. ACOPIO 7180-XT-0160</t>
  </si>
  <si>
    <t>CAMARA CCTV CARGA CHM 7120-XT-0119</t>
  </si>
  <si>
    <t>ENCODER CCTV CARGA CHM 7120-XT-0119</t>
  </si>
  <si>
    <t>07110-XT-0119</t>
  </si>
  <si>
    <t>07110-XN-0119</t>
  </si>
  <si>
    <t>CAMARA CCTV DESC. CHM 7120-XT-0124</t>
  </si>
  <si>
    <t>ENCODER CCTV DESC. CHM 7120-XT-0124</t>
  </si>
  <si>
    <t>06750-PFO-0066A</t>
  </si>
  <si>
    <t>06750-PFO-0066B</t>
  </si>
  <si>
    <t>06750-PFO-0066D</t>
  </si>
  <si>
    <t>CAMARA CCTV ALIM. PLACAS 7210-XT-0200</t>
  </si>
  <si>
    <t>ENCODER CCTV ALIM. PLACAS 7210-XN-0200</t>
  </si>
  <si>
    <t>CAMARA CCTV TUNEL CTR 7120-XT-0201</t>
  </si>
  <si>
    <t>ENCODER CCTV TUNEL CTR 7120-XN-0201</t>
  </si>
  <si>
    <t>07120-XT-0201</t>
  </si>
  <si>
    <t>07210-XN-0200</t>
  </si>
  <si>
    <t>07210-XT-0200</t>
  </si>
  <si>
    <t>07120-XN-0201</t>
  </si>
  <si>
    <t>CAMARA CCTV TUNEL EMERG. 7210-XT-0202</t>
  </si>
  <si>
    <t>07210-XT-0202</t>
  </si>
  <si>
    <t>07210-XN-0202</t>
  </si>
  <si>
    <t>ENCODER CCTV TUNEL EMERG. 7210-XT-0202</t>
  </si>
  <si>
    <t>CAMARA CCTV MOLINO SAG 7210-XT-0255</t>
  </si>
  <si>
    <t>07210-XT-0255</t>
  </si>
  <si>
    <t>07210-XN-0255</t>
  </si>
  <si>
    <t>ENCODER CCTV MOLINO SAG 7210-XT-0255</t>
  </si>
  <si>
    <t>CAMARA CCTV MOLINO BOLAS 7220-XT-0302</t>
  </si>
  <si>
    <t>ENCODER CCTV MOLINO BOLAS 7220-XT-0302</t>
  </si>
  <si>
    <t>07220-XT-0302</t>
  </si>
  <si>
    <t>07220-XN-0302</t>
  </si>
  <si>
    <t>CAMARA CCTV BATERIA HID. 7240-XT-0417</t>
  </si>
  <si>
    <t>ENCODER CCTV BATERIA HID. 7240-XT-0417</t>
  </si>
  <si>
    <t>07240-XT-0417</t>
  </si>
  <si>
    <t>07240-XN-0417</t>
  </si>
  <si>
    <t>CCTV MOLIENDA</t>
  </si>
  <si>
    <t>06750-GSM-0068</t>
  </si>
  <si>
    <t>06750-PFO-0068A</t>
  </si>
  <si>
    <t>06750-PFO-0068B</t>
  </si>
  <si>
    <t>06750-PFO-0068D</t>
  </si>
  <si>
    <t>CCTV FLOTACION</t>
  </si>
  <si>
    <t>07310-XT-0530</t>
  </si>
  <si>
    <t>07310-XN-0530</t>
  </si>
  <si>
    <t>07330-XT-0570</t>
  </si>
  <si>
    <t>07310-XN-0570</t>
  </si>
  <si>
    <t>07330-XT-0590</t>
  </si>
  <si>
    <t>07330-XN-0590</t>
  </si>
  <si>
    <t>06920-XT-0951</t>
  </si>
  <si>
    <t>06920-XN-0951</t>
  </si>
  <si>
    <t>07310-XT-0529</t>
  </si>
  <si>
    <t>07310-XN-0529</t>
  </si>
  <si>
    <t>CAMARA CCTV CFL SCA. FILA 1 7330-XT-0570</t>
  </si>
  <si>
    <t>CAMARA CCTV CFL P. FILA1 7310-XT-0529</t>
  </si>
  <si>
    <t>GABINETE CCTV CFL P. FILA 1 7310-XN-0529</t>
  </si>
  <si>
    <t>CAMARA CCTV CFL P. FILA2 7310-XT-0530</t>
  </si>
  <si>
    <t>GABINETE CCTV CFL P. FILA2 7310-XN-0530</t>
  </si>
  <si>
    <t>GABINETE CCTV CFL SCA FILA1 7330-XN-0570</t>
  </si>
  <si>
    <t>CAMARA CCTV CFL SCA. FILA2 7330-XT-0590</t>
  </si>
  <si>
    <t>GABINETE CCTV CFL SCA FILA2 7330-XN-0590</t>
  </si>
  <si>
    <t>CAMARA CCTV REAC. Y FLOC. 6920-XT-0951</t>
  </si>
  <si>
    <t>GABINETE CCTV REAC. Y FLOC. 6920-XT-0951</t>
  </si>
  <si>
    <t>07420-XT-0794</t>
  </si>
  <si>
    <t>07420-XN-0794</t>
  </si>
  <si>
    <t>CAMARA CCTV ROMANA CAM. #1 7420-XT-0794</t>
  </si>
  <si>
    <t>GABINETE CCTV ROMANA CAM #1 7420-XN-0794</t>
  </si>
  <si>
    <t>CAMARA CCTV ROMANA CAM. #2 7420-XT-0799</t>
  </si>
  <si>
    <t>GABINETE CCTV ROMANA CAM #2 7420-XN-0799</t>
  </si>
  <si>
    <t>GABINETE SEÑALES Y COMUNICACION</t>
  </si>
  <si>
    <t>06750-PFO-0062A</t>
  </si>
  <si>
    <t>06750-PFO-0062B</t>
  </si>
  <si>
    <t>06750-PFO-0062C</t>
  </si>
  <si>
    <t>06750-PFO-0062D</t>
  </si>
  <si>
    <t>07420-XT-0759</t>
  </si>
  <si>
    <t>07420-XN-0759</t>
  </si>
  <si>
    <t>CAMARA CCTV AREA FILTRO #1 7420-XT-0760</t>
  </si>
  <si>
    <t>07420-XT-0760</t>
  </si>
  <si>
    <t>07420-XN-0760</t>
  </si>
  <si>
    <t>CAMARA CCTV AREA FILTRO #2 7420-XT-0759</t>
  </si>
  <si>
    <t>CAMARA CCTV TOLVA CONC. 7420-XT-0789</t>
  </si>
  <si>
    <t>07420-XT-0789</t>
  </si>
  <si>
    <t>07420-XN-0789</t>
  </si>
  <si>
    <t>GABINETE CCTV TOLVA CONC. 7420-XN-0789</t>
  </si>
  <si>
    <t>GABINETE CCTV AREA FILTRO#2 7420-XN-0759</t>
  </si>
  <si>
    <t>GABINETE CCTV AREA FILTRO#1 7420-XT-0760</t>
  </si>
  <si>
    <t>CAMARA CCTV ESPSADOR CONC. 7410-XT-0721</t>
  </si>
  <si>
    <t>07410-XT-0721</t>
  </si>
  <si>
    <t>07410-XN-0721</t>
  </si>
  <si>
    <t>CCTV FILTRADO</t>
  </si>
  <si>
    <t>CCTV RELAVES</t>
  </si>
  <si>
    <t>CAMARA CCTV BBAS DESP. POS. 7520-XT-0871</t>
  </si>
  <si>
    <t>07520-XT-0871</t>
  </si>
  <si>
    <t>07520-XN-0871</t>
  </si>
  <si>
    <t>CAMARA CCTV ESP. RELAVES 7510-XT-0821</t>
  </si>
  <si>
    <t>GABINETE CCTV ESP. RELAVES 7510-XN-0821</t>
  </si>
  <si>
    <t>07510-XT-0821</t>
  </si>
  <si>
    <t>07510-XN-0821</t>
  </si>
  <si>
    <t>GABINETE CCTV BBAS DESP POS 7520-XN-0871</t>
  </si>
  <si>
    <t>CAMARA CCTV EST MONITOREO#1 7520-XT-0876</t>
  </si>
  <si>
    <t>07520-XT-0876</t>
  </si>
  <si>
    <t>07520-XN-0876</t>
  </si>
  <si>
    <t>GABINETE CCTV EST MONITO#1 7520-XNT-0876</t>
  </si>
  <si>
    <t>CAMARA CCTV EST MONITOREO#2 7520-XT-0877</t>
  </si>
  <si>
    <t>GABINETE CCTV EST MONITO#2 7520-XNT-0877</t>
  </si>
  <si>
    <t>07520-XT-0877</t>
  </si>
  <si>
    <t>07520-XN-0877</t>
  </si>
  <si>
    <t>CAMARA CCTV EST MONITOREO#3 7520-XT-0878</t>
  </si>
  <si>
    <t>07520-XT-0878</t>
  </si>
  <si>
    <t>07520-XN-0878</t>
  </si>
  <si>
    <t>GABINETE CCTV EST MONITO#3 7520-XNT-0878</t>
  </si>
  <si>
    <t>CAMARA CCTV PISCINA EMER. 7610-XT-0831</t>
  </si>
  <si>
    <t>07610-XT-0831</t>
  </si>
  <si>
    <t>07610-XN-0831</t>
  </si>
  <si>
    <t>UNIDAD HIDRAULICA ACC. VVA. GUILLOTINA</t>
  </si>
  <si>
    <t>07240-UHD-001</t>
  </si>
  <si>
    <t>07240-UHD-002</t>
  </si>
  <si>
    <t>07240-UHD-003</t>
  </si>
  <si>
    <t>UNIDAD HIDRAULICA ACC. VVA GUILLOTINA #1</t>
  </si>
  <si>
    <t>UNIDAD HIDRAULICA ACC. VVA GUILLOTINA #2</t>
  </si>
  <si>
    <t>UNIDAD HIDRAULICA ACC. VVA GUILLOTINA #3</t>
  </si>
  <si>
    <t>SISTEMA INSTRUMENTACION UHD 7240-UHD-001</t>
  </si>
  <si>
    <t>SISTEMA HIDRAULICO UHD 7240-UHD-002</t>
  </si>
  <si>
    <t>BOMBA UHD 7240-UHD-002</t>
  </si>
  <si>
    <t>ACUMULADOR PRESION UHD 7240-UHD-002</t>
  </si>
  <si>
    <t>ESTANQUE UHD 7240-UHD-002</t>
  </si>
  <si>
    <t>SISTEMA MOTRIZ UHD 7240-UHD-002</t>
  </si>
  <si>
    <t>SISTEMA INSTRUMENTACION UHD 7240-UHD-002</t>
  </si>
  <si>
    <t>SISTEMA HIDRAULICO UHD 7240-UHD-003</t>
  </si>
  <si>
    <t>BOMBA UHD 7240-UHD-003</t>
  </si>
  <si>
    <t>ACUMULADOR PRESION UHD 7240-UHD-003</t>
  </si>
  <si>
    <t>ESTANQUE UHD 7240-UHD-003</t>
  </si>
  <si>
    <t>SISTEMA MOTRIZ UHD 7240-UHD-003</t>
  </si>
  <si>
    <t>SISTEMA INSTRUMENTACION UHD 7240-UHD-003</t>
  </si>
  <si>
    <t>07330-UHD-001</t>
  </si>
  <si>
    <t>SISTEMA HIDRAULICO UHD 7330-UHD-001</t>
  </si>
  <si>
    <t>SISTEMA HIDRAULICO UHD 7410-UHD-001</t>
  </si>
  <si>
    <t>BOMBA UHD 7410-UHD-001</t>
  </si>
  <si>
    <t>ACUMULADOR PRESION UHD 7410-UHD-001</t>
  </si>
  <si>
    <t>ESTANQUE UHD 7410-UHD-001</t>
  </si>
  <si>
    <t>SISTEMA MOTRIZ UHD 7410-UHD-001</t>
  </si>
  <si>
    <t>SISTEMA HIDRAULICO UHD 7410-UHD-002</t>
  </si>
  <si>
    <t>BOMBA UHD 7410-UHD-002</t>
  </si>
  <si>
    <t>ACUMULADOR PRESION UHD 7410-UHD-002</t>
  </si>
  <si>
    <t>ESTANQUE UHD 7410-UHD-002</t>
  </si>
  <si>
    <t>SISTEMA MOTRIZ UHD 7410-UHD-002</t>
  </si>
  <si>
    <t>SISTEMA ESTRUCTURAL ESP CON 7410-ESP-001</t>
  </si>
  <si>
    <t>CANALETA DE REBALSE ESP CON 7410-ESP-001</t>
  </si>
  <si>
    <t>RASTRA ESP CON 7410-ESP-001</t>
  </si>
  <si>
    <t>FEEDWEELL ESP CON 7410-ESP-001</t>
  </si>
  <si>
    <t>SISTEMA MOTRIZ ESP CON 7410-ESP-001</t>
  </si>
  <si>
    <t>MOTOR HIDRAULICO ESP CON 7410-ESP-001</t>
  </si>
  <si>
    <t>UNIDAD HIDRAULICA ESP CON 7410-ESP-001</t>
  </si>
  <si>
    <t>BOMBA HIDR GIRO ESP CON 7410-ESP-001</t>
  </si>
  <si>
    <t>BOMBA HIDR LEVANTE ESP CON 7410-ESP-001</t>
  </si>
  <si>
    <t>UNIDAD DE ENFRIAMIENTO UHD 7410-ESP-001</t>
  </si>
  <si>
    <t>ESTANQUE UHD ESP CON 7410-ESP-001</t>
  </si>
  <si>
    <t>PIPING Y VVAS UHD ESP CON 7410-ESP-001</t>
  </si>
  <si>
    <t>SISTEMA DE LEVANTE RASTRAS 7410-ESP-001</t>
  </si>
  <si>
    <t>CILINDRO HIDR ESP CON 7410-ESP-001</t>
  </si>
  <si>
    <t>PANEL DE CONTROL 7410-ESP-001</t>
  </si>
  <si>
    <t>SISTEMA TRANSPORTE ALIM PES 7420-ACT-003</t>
  </si>
  <si>
    <t>POLEA MOTRIZ ALIM. PES. 7420-ACT-003</t>
  </si>
  <si>
    <t>POLEA DE COLA ALIM. PES. 7420-ACT-003</t>
  </si>
  <si>
    <t>CINTA ALIM. PES. 7420-ACT-003</t>
  </si>
  <si>
    <t>RASPADOR RETORNO ALIM. PES. 7420-ACT-003</t>
  </si>
  <si>
    <t>POLINES DE CARGA ALIM. PES. 7420-ACT-003</t>
  </si>
  <si>
    <t>UNIDAD HIDRAULICA ALIM PES. 7420-ACT-003</t>
  </si>
  <si>
    <t>POLINES AUTOCENTRANTE 7420-ACT-003</t>
  </si>
  <si>
    <t>RASPADOR PRIMARIO ALIM PES. 7420-ACT-003</t>
  </si>
  <si>
    <t>RASPADOR SECUNDARIO ALIM 7420-ACT-003</t>
  </si>
  <si>
    <t>POLINES DE IMPACTO ALIM. 7420-ACT-003</t>
  </si>
  <si>
    <t>POLINES DE RETORNO ALIM. 7420-ACT-003</t>
  </si>
  <si>
    <t>POLINES DE TRANSICION ALIM. 7420-ACT-003</t>
  </si>
  <si>
    <t>BOMBA UHD ALIM. PES. 7420-ACT-003</t>
  </si>
  <si>
    <t>UNIDAD ENFRIAMIENTO ALIM. 7420-ACT-003</t>
  </si>
  <si>
    <t>ESTANQUE UHD ALIM. PES. 7420-ACT-003</t>
  </si>
  <si>
    <t>CALEFACTOR EN DEPOSITO ALIM 7420-ACT-003</t>
  </si>
  <si>
    <t>SISTEMA INSTRUM. ALIM. PES. 7420-ACT-003</t>
  </si>
  <si>
    <t>PARADA DE MERGENCIA ALIM. 7420-ACT-003</t>
  </si>
  <si>
    <t>INTERRUPTOR DESALIEAMIENTO 420-ACT-003</t>
  </si>
  <si>
    <t>BOCINA Y BALIZA  ALIM. 7420-ACT-003</t>
  </si>
  <si>
    <t>SISTEMA ELECTRICO  ALIM. 7420-ACT-003</t>
  </si>
  <si>
    <t>07510-UHD-001</t>
  </si>
  <si>
    <t>CAJ</t>
  </si>
  <si>
    <t>SISTEMA HIDRAULICO UHD 7510-UHD-001</t>
  </si>
  <si>
    <t>BOMBA UHD 7510-UHD-001</t>
  </si>
  <si>
    <t>ESTANQUE UHD 7510-UHD-001</t>
  </si>
  <si>
    <t>SISTEMA MOTRIZ UHD 7510-UHD-001</t>
  </si>
  <si>
    <t>SISTEMA INSTRUMENTACION UHD 7510-UHD-001</t>
  </si>
  <si>
    <t>SISTEMA ESTRUCTURAL ESP REL 7510-ERV-001</t>
  </si>
  <si>
    <t>RASTRA ESP. REL. 7510-ERV-001</t>
  </si>
  <si>
    <t>FEEDWEELL ESP. REL. 7510-ERV-001</t>
  </si>
  <si>
    <t>SISTEMA MOTRIZESP. REL. 7510-ERV-001</t>
  </si>
  <si>
    <t>MOTOR HIDRAULICO ESP. REL. 7510-ERV-001</t>
  </si>
  <si>
    <t>SISTEMA DE LEVANTE RASTRAS 7510-ERV-001</t>
  </si>
  <si>
    <t>UNIDAD HIDRAULICA ESP REL 7510-ERV-001</t>
  </si>
  <si>
    <t>BOMBA HIDR GIRO ESP. REL. 7510-ERV-001</t>
  </si>
  <si>
    <t>UNIDAD DE ENFRIAMIENTO UHD 7510-ERV-001</t>
  </si>
  <si>
    <t>CILINDRO HIDR. ESP. REL. 7510-ERV-001</t>
  </si>
  <si>
    <t>PANEL DE CONTROL 7510-ERV-001</t>
  </si>
  <si>
    <t>07510-UHD-002</t>
  </si>
  <si>
    <t>07510-UHD-003</t>
  </si>
  <si>
    <t>UNIDAD HIDRAULICA ACC VVA. GUILLOTINA #2</t>
  </si>
  <si>
    <t>UNIDAD HIDRAULICA ACC VVA. GUILLOTINA #3</t>
  </si>
  <si>
    <t>SISTEMA HIDRAULICO UHD 7510-UHD-002</t>
  </si>
  <si>
    <t>BOMBA UHD 7510-UHD-002</t>
  </si>
  <si>
    <t>ACUMULADOR PRESION UHD 7510-UHD-002</t>
  </si>
  <si>
    <t>ESTANQUE UHD 7510-UHD-002</t>
  </si>
  <si>
    <t>SISTEMA MOTRIZ UHD 7510-UHD-002</t>
  </si>
  <si>
    <t>SISTEMA HIDRAULICO UHD 7510-UHD-003</t>
  </si>
  <si>
    <t>ACUMULADOR PRESION UHD 7510-UHD-001</t>
  </si>
  <si>
    <t>BOMBA UHD 7510-UHD-003</t>
  </si>
  <si>
    <t>ACUMULADOR PRESION UHD 7510-UHD-003</t>
  </si>
  <si>
    <t>ESTANQUE UHD 7510-UHD-003</t>
  </si>
  <si>
    <t>SISTEMA MOTRIZ UHD 7510-UHD-003</t>
  </si>
  <si>
    <t>SISTEMA INSTRUMENTACION UDH 7510-UHD-002</t>
  </si>
  <si>
    <t>SISTEMA INSTRUMENTACION UHD 7510-UHD-003</t>
  </si>
  <si>
    <t>07520-UHD-001</t>
  </si>
  <si>
    <t>UNIDAD HIDRAULICA ACC VVA. GUILLOTINA #1</t>
  </si>
  <si>
    <t>07520-UHD-002</t>
  </si>
  <si>
    <t>SISTEMA HIDRAULICO UHD 7520-UHD-002</t>
  </si>
  <si>
    <t>SISTEMA HIDRAULICO UHD 7520-UHD-001</t>
  </si>
  <si>
    <t>BOMBA UHD 7520-UHD-001</t>
  </si>
  <si>
    <t>ACUMULADOR PRESION UHD 7520-UHD-001</t>
  </si>
  <si>
    <t>ESTANQUE UHD 7520-UHD-001</t>
  </si>
  <si>
    <t>SISTEMA MOTRIZ UHD 7520-UHD-001</t>
  </si>
  <si>
    <t>SISTEMA INSTRUMENTACION UHD 7520-UHD-001</t>
  </si>
  <si>
    <t>BOMBA UHD 7520-UHD-002</t>
  </si>
  <si>
    <t>ACUMULADOR PRESION UHD 7520-UHD-002</t>
  </si>
  <si>
    <t>ESTANQUE UHD 7520-UHD-002</t>
  </si>
  <si>
    <t>SISTEMA MOTRIZ UHD 7520-UHD-002</t>
  </si>
  <si>
    <t>SISTEMA INSTRUMENTACION UHD 7520-UHD-002</t>
  </si>
  <si>
    <t>COMPONENTES DE BBA. 7520-BDP-001</t>
  </si>
  <si>
    <t>ANILLO DISIPADOR 6-PDO-010 7520-BDP-001</t>
  </si>
  <si>
    <t>ANILLO DISIPADOR 6-PDO-011 7520-BDP-001</t>
  </si>
  <si>
    <t>ANILLO DISIPADOR 6-PDO-012 7520-BDP-001</t>
  </si>
  <si>
    <t>ANILLO DISIPADOR 6-PDO-013 7520-BDP-001</t>
  </si>
  <si>
    <t>ACUMULADOR SUCCION BBA. 7520-BDP-001</t>
  </si>
  <si>
    <t>ACUMULADOR DESCARGA BBA. 7520-BDP-001</t>
  </si>
  <si>
    <t>ACOPLAMIENTO DE ALTA BBA. 7520-BDP-001</t>
  </si>
  <si>
    <t>REDUCTOR BBA. 7520-BDP-001</t>
  </si>
  <si>
    <t>ACOPLAMIENTO DE BAJA BBA. 7520-BDP-001</t>
  </si>
  <si>
    <t>EJE PIÑON BBA. 7520-BDP-001</t>
  </si>
  <si>
    <t>EJE BIELAS BBA. 7520-BDP-001</t>
  </si>
  <si>
    <t>COMPONENTES DE BBA. 7520-BDP-002</t>
  </si>
  <si>
    <t>ACUMULADOR SUCCION BBA. 7520-BDP-002</t>
  </si>
  <si>
    <t>ACUMULADOR DESCARGA BBA. 7520-BDP-002</t>
  </si>
  <si>
    <t>ACOPLAMIENTO DE ALTA BBA. 7520-BDP-002</t>
  </si>
  <si>
    <t>REDUCTOR BBA. 7520-BDP-002</t>
  </si>
  <si>
    <t>ACOPLAMIENTO DE BAJA BBA. 7520-BDP-002</t>
  </si>
  <si>
    <t>EJE PIÑON BBA. 7520-BDP-002</t>
  </si>
  <si>
    <t>EJE BIELAS BBA. 7520-BDP-002</t>
  </si>
  <si>
    <t>ESTANQUE PREPARACION</t>
  </si>
  <si>
    <t>06920-EST-001</t>
  </si>
  <si>
    <t>06920-AGT-001</t>
  </si>
  <si>
    <t>06920-AGT-001M</t>
  </si>
  <si>
    <t>ESTANQUE ALMACENAMIENTO</t>
  </si>
  <si>
    <t>06920-EST-002</t>
  </si>
  <si>
    <t>06920-AGT-002</t>
  </si>
  <si>
    <t>06920-AGT-002M</t>
  </si>
  <si>
    <t>06920-BBA-001</t>
  </si>
  <si>
    <t>PHU</t>
  </si>
  <si>
    <t>SAS</t>
  </si>
  <si>
    <t>06920-BBA-001M</t>
  </si>
  <si>
    <t>06920-BBA-002</t>
  </si>
  <si>
    <t>06920-BBA-002M</t>
  </si>
  <si>
    <t>BB3</t>
  </si>
  <si>
    <t>06920-BBA-003</t>
  </si>
  <si>
    <t>06920-BBA-003M</t>
  </si>
  <si>
    <t>BB4</t>
  </si>
  <si>
    <t>06920-BBA-004</t>
  </si>
  <si>
    <t>06920-BBA-004M</t>
  </si>
  <si>
    <t>FLUJOMETRO FLOCULANTE 1603</t>
  </si>
  <si>
    <t>06920-FIT-1603</t>
  </si>
  <si>
    <t>FLUJOMETRO AGUA DE PROCESO 1605</t>
  </si>
  <si>
    <t>06920-FIT-1605</t>
  </si>
  <si>
    <t>BB5</t>
  </si>
  <si>
    <t>06920-BBA-005</t>
  </si>
  <si>
    <t>06920-BBA-005M</t>
  </si>
  <si>
    <t>BB6</t>
  </si>
  <si>
    <t>06920-BBA-006</t>
  </si>
  <si>
    <t>06920-BBA-006M</t>
  </si>
  <si>
    <t>FLUJOMETRO FLOCULANTE 1604</t>
  </si>
  <si>
    <t>06920-FIT-1604</t>
  </si>
  <si>
    <t>FLUJOMETRO AGUA DE PROCESO 1606</t>
  </si>
  <si>
    <t>06920-FIT-1606</t>
  </si>
  <si>
    <t>TOLVA ALIMENTACION FLOCULANTE</t>
  </si>
  <si>
    <t>06920-TOL-001</t>
  </si>
  <si>
    <t>TND</t>
  </si>
  <si>
    <t>TORNILLO DOSIFICADOR</t>
  </si>
  <si>
    <t>06920-ATN-001</t>
  </si>
  <si>
    <t>06920-ATN-001M</t>
  </si>
  <si>
    <t>TECLE MANUAL TOLVA</t>
  </si>
  <si>
    <t>06920-TCL-001</t>
  </si>
  <si>
    <t xml:space="preserve">TECLE MONORRIEL </t>
  </si>
  <si>
    <t>06920-TCL-002</t>
  </si>
  <si>
    <t>SOP</t>
  </si>
  <si>
    <t>SOPLADOR</t>
  </si>
  <si>
    <t>06920-SOP-001</t>
  </si>
  <si>
    <t>06920-SOP-001M</t>
  </si>
  <si>
    <t>INY</t>
  </si>
  <si>
    <t>IY1</t>
  </si>
  <si>
    <t>06920-MEZ-001</t>
  </si>
  <si>
    <t>IY2</t>
  </si>
  <si>
    <t>06920-MEZ-002</t>
  </si>
  <si>
    <t>ME1</t>
  </si>
  <si>
    <t>06920-MEZ-003</t>
  </si>
  <si>
    <t>ME2</t>
  </si>
  <si>
    <t>06920-MEZ-004</t>
  </si>
  <si>
    <t>GRUA PESCANTE</t>
  </si>
  <si>
    <t>06920-GPC-001</t>
  </si>
  <si>
    <t>06920-GPC-001M</t>
  </si>
  <si>
    <t>DUCHA DE EMERGENCIA</t>
  </si>
  <si>
    <t>06920-DLO-002</t>
  </si>
  <si>
    <t>TABLERO DISTRIBUCION DE FUERZA</t>
  </si>
  <si>
    <t>06920-TDF-001</t>
  </si>
  <si>
    <t>ESTANQUE ALMACEN Y DISTR COLECTOR</t>
  </si>
  <si>
    <t>06930-EST-004</t>
  </si>
  <si>
    <t>ESTANQUE ALMACEN Y DISTR ESPUMANTE</t>
  </si>
  <si>
    <t>06930-EST-005</t>
  </si>
  <si>
    <t>06930-BBA-001</t>
  </si>
  <si>
    <t>06930-BBA-002</t>
  </si>
  <si>
    <t>BOMBA DOSIFICADORA ESPUMANTE</t>
  </si>
  <si>
    <t>06930-BBA-003</t>
  </si>
  <si>
    <t>06940-COM-001</t>
  </si>
  <si>
    <t>06940-COM-002</t>
  </si>
  <si>
    <t>06940-COM-003</t>
  </si>
  <si>
    <t>SO1</t>
  </si>
  <si>
    <t>06940-SOP-001</t>
  </si>
  <si>
    <t>06940-SOP-001M</t>
  </si>
  <si>
    <t>SO2</t>
  </si>
  <si>
    <t>06940-SOP-002</t>
  </si>
  <si>
    <t>06940-SOP-002M</t>
  </si>
  <si>
    <t>SO3</t>
  </si>
  <si>
    <t>06940-SOP-003</t>
  </si>
  <si>
    <t>06940-SOP-003M</t>
  </si>
  <si>
    <t>PUENTE GRUA SALA COMPRESORES</t>
  </si>
  <si>
    <t>06940-GPT-001</t>
  </si>
  <si>
    <t>06940-GPT-001M</t>
  </si>
  <si>
    <t>TECLE MANTENCION SOPLADORES</t>
  </si>
  <si>
    <t>06940-TCL-001</t>
  </si>
  <si>
    <t>06940-ACU-001</t>
  </si>
  <si>
    <t>06940-ACU-002</t>
  </si>
  <si>
    <t>SECADOR AIRE DE INSTRUMENTACION</t>
  </si>
  <si>
    <t>06940-SEC-001</t>
  </si>
  <si>
    <t>TCN</t>
  </si>
  <si>
    <t>TABLERO DE CONTROL NEUMATICO</t>
  </si>
  <si>
    <t>06940-TCN-001</t>
  </si>
  <si>
    <t>COM</t>
  </si>
  <si>
    <t>DRO</t>
  </si>
  <si>
    <t>IPD</t>
  </si>
  <si>
    <t>SLC</t>
  </si>
  <si>
    <t>FTR</t>
  </si>
  <si>
    <t>POL</t>
  </si>
  <si>
    <t>SPJ</t>
  </si>
  <si>
    <t>CSU</t>
  </si>
  <si>
    <t>PAT</t>
  </si>
  <si>
    <t>MVD</t>
  </si>
  <si>
    <t>BSP</t>
  </si>
  <si>
    <t>PCL</t>
  </si>
  <si>
    <t>PNE</t>
  </si>
  <si>
    <t>IFL</t>
  </si>
  <si>
    <t>SLN</t>
  </si>
  <si>
    <t>CEC</t>
  </si>
  <si>
    <t>07220-MBO-001-05</t>
  </si>
  <si>
    <t>CHILLER ENFRIADOR DE AGUA</t>
  </si>
  <si>
    <t>07290-ENF-001</t>
  </si>
  <si>
    <t>ESTANQUE AGUA ENFRIAMIENTO MOLINOS</t>
  </si>
  <si>
    <t>07290-EST-001</t>
  </si>
  <si>
    <t>07290-FTR-001</t>
  </si>
  <si>
    <t>BOMBA RETORNO AGUA DE ENFRIAMIENTO</t>
  </si>
  <si>
    <t>07290-BBA-001</t>
  </si>
  <si>
    <t>07290-BBA-002</t>
  </si>
  <si>
    <t>07290-BBA-003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</si>
  <si>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</si>
  <si>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</si>
  <si>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</si>
  <si>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</si>
  <si>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</si>
  <si>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</si>
  <si>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</si>
  <si>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</si>
  <si>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</si>
  <si>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EF1</t>
  </si>
  <si>
    <t xml:space="preserve">SISTEMA ENFRIAMIENTO VDF MT #1 </t>
  </si>
  <si>
    <t>EF2</t>
  </si>
  <si>
    <t>SISTEMA ENFRIAMIENTO VDF MT #2</t>
  </si>
  <si>
    <t>SAL</t>
  </si>
  <si>
    <t>TRX</t>
  </si>
  <si>
    <t>PESOMETRO ALIMENTADOR CARGUIO CONCE.</t>
  </si>
  <si>
    <t>COMPRESOR DE AIRE #1</t>
  </si>
  <si>
    <t>COMPRESOR DE AIRE #2</t>
  </si>
  <si>
    <t>COMPRESOR DE AIRE #3</t>
  </si>
  <si>
    <t>ACUMULADOR DE AIRE #3</t>
  </si>
  <si>
    <t>06940-ACU-003</t>
  </si>
  <si>
    <t>ACUMULADOR DE AIRE #2</t>
  </si>
  <si>
    <t>ACUMULADOR DE AIRE #1</t>
  </si>
  <si>
    <t>TABLERO DISTRIBUCION ALUMBRADO 400-231 V</t>
  </si>
  <si>
    <t>07120-TDA-001</t>
  </si>
  <si>
    <t>07180-TDA-001</t>
  </si>
  <si>
    <t>06390-TDA-001</t>
  </si>
  <si>
    <t>06390-TRA-001</t>
  </si>
  <si>
    <t>TABLERO DISTRIBUCION DE FUERZA 600 V</t>
  </si>
  <si>
    <t>06390-TDF-001</t>
  </si>
  <si>
    <t>CCM BT 600V 1200A 65KA SA ELE CH#1 7190</t>
  </si>
  <si>
    <t>SISTEMA DE ALUMBRADO - 7290-SEL-001</t>
  </si>
  <si>
    <t>SISTEMA DE ALUMBRADO - 7290-SEL-002</t>
  </si>
  <si>
    <t>07420-TDA-001</t>
  </si>
  <si>
    <t>CYV</t>
  </si>
  <si>
    <t>VM1</t>
  </si>
  <si>
    <t>VM2</t>
  </si>
  <si>
    <t>MNV</t>
  </si>
  <si>
    <t>06330-LIT-0901</t>
  </si>
  <si>
    <t>06330-LIT-0902</t>
  </si>
  <si>
    <t>MDI</t>
  </si>
  <si>
    <t>CONDUCCION MATRIZ DISTRIB AGUA FRESCA</t>
  </si>
  <si>
    <t>06330-2</t>
  </si>
  <si>
    <t>CFD</t>
  </si>
  <si>
    <t>CAÑERIAS MATRIZ DISTRIBUCION AGUA FRESCA</t>
  </si>
  <si>
    <t>06330-PCV-0907</t>
  </si>
  <si>
    <t>06330-PCV-0908</t>
  </si>
  <si>
    <t>06330-PCV-0905</t>
  </si>
  <si>
    <t>LV-0955</t>
  </si>
  <si>
    <t>MCD</t>
  </si>
  <si>
    <t>FLUJO MATRIZ DSCGA ESTANQUES AGUA FRESCA</t>
  </si>
  <si>
    <t>06330-FIT-0903</t>
  </si>
  <si>
    <t>LVM</t>
  </si>
  <si>
    <t>AGUA LAVADO SISTEMAS DE MUESTREO</t>
  </si>
  <si>
    <t>06330-3</t>
  </si>
  <si>
    <t>CAÑERIAS AGUA LAVADO SISTEMAS MUESTREO</t>
  </si>
  <si>
    <t>VM3</t>
  </si>
  <si>
    <t>06930-LIT-0973</t>
  </si>
  <si>
    <t>06930-LIT-0970</t>
  </si>
  <si>
    <t>07210-CHU-001</t>
  </si>
  <si>
    <t>07210-CHU-002</t>
  </si>
  <si>
    <t>EDI</t>
  </si>
  <si>
    <t>CGI</t>
  </si>
  <si>
    <t>CTV</t>
  </si>
  <si>
    <t>SISTEMA DE TELEVISION</t>
  </si>
  <si>
    <t>TEL</t>
  </si>
  <si>
    <t>INF</t>
  </si>
  <si>
    <t>CYC</t>
  </si>
  <si>
    <t>RYS</t>
  </si>
  <si>
    <t>SBE</t>
  </si>
  <si>
    <t>SUM</t>
  </si>
  <si>
    <t>GBT</t>
  </si>
  <si>
    <t>LIT</t>
  </si>
  <si>
    <t>GB1</t>
  </si>
  <si>
    <t>GB2</t>
  </si>
  <si>
    <t>GB3</t>
  </si>
  <si>
    <t>GB4</t>
  </si>
  <si>
    <t>CT5</t>
  </si>
  <si>
    <t>GB5</t>
  </si>
  <si>
    <t>UH4</t>
  </si>
  <si>
    <t>UH5</t>
  </si>
  <si>
    <t>EC1</t>
  </si>
  <si>
    <t>EC2</t>
  </si>
  <si>
    <t>EC3</t>
  </si>
  <si>
    <t>EC4</t>
  </si>
  <si>
    <t>EC5</t>
  </si>
  <si>
    <t>CT6</t>
  </si>
  <si>
    <t>EC6</t>
  </si>
  <si>
    <t>GB6</t>
  </si>
  <si>
    <t>CT7</t>
  </si>
  <si>
    <t>GB7</t>
  </si>
  <si>
    <t>UNIDAD DE VENTILACION TUNEL #1</t>
  </si>
  <si>
    <t>UNIDAD DE VENTILACION TUNEL #2</t>
  </si>
  <si>
    <t>UNIDAD DE VENTILACION TUNEL #3</t>
  </si>
  <si>
    <t>UNIDAD DE VENTILACION TUNEL #4</t>
  </si>
  <si>
    <t>UV1</t>
  </si>
  <si>
    <t>UV2</t>
  </si>
  <si>
    <t>UV3</t>
  </si>
  <si>
    <t>UV4</t>
  </si>
  <si>
    <t>BOMBA TRANSFERENCIA #1</t>
  </si>
  <si>
    <t>BOMBA TRANSFERENCIA #2</t>
  </si>
  <si>
    <t>BOMBA DOSIFICACION #3</t>
  </si>
  <si>
    <t>BOMBA DOSIFICACION #4</t>
  </si>
  <si>
    <t>BOMBA DOSIFICACION #5</t>
  </si>
  <si>
    <t>BOMBA DOSIFICACION #6</t>
  </si>
  <si>
    <t>PF1</t>
  </si>
  <si>
    <t>PF2</t>
  </si>
  <si>
    <t>PF3</t>
  </si>
  <si>
    <t>PARTES HUMEDAS BBA. 7240-BOC-002</t>
  </si>
  <si>
    <t>PIPING Y VALVULAS BBA. 7240-BOC-002</t>
  </si>
  <si>
    <t>SISTEMA MOTRIZ BBA. 7240-BOC-002</t>
  </si>
  <si>
    <t>SISTEMA AGUA SELLO BBA. 7240-BOC-002</t>
  </si>
  <si>
    <t>MOTOR ELEC UDL. CHANCADOR 7120-CHM-001</t>
  </si>
  <si>
    <t>MOTOR ELEC BBA. 7240-BOC-002</t>
  </si>
  <si>
    <t>MOTOR ELEC UHD 7240-UHD-002</t>
  </si>
  <si>
    <t>MOTOR ELEC UHD 7240-UHD-003</t>
  </si>
  <si>
    <t>MOTOR ELEC POLIPASTO PPAL. 7290-GPT-001</t>
  </si>
  <si>
    <t>MOTOR ELEC POLIPASTO AUX. 7290-GPT-001</t>
  </si>
  <si>
    <t>MOTOR ELEC TRASL PUENTE 7290-GPT-001</t>
  </si>
  <si>
    <t>MOTOR ELEC BBA. 7240-BOC-001</t>
  </si>
  <si>
    <t>MOTOR ELEC UHD 7330-UHD-001</t>
  </si>
  <si>
    <t>MOTOR ELEC BBA. SUMERGIBLE FLOTACION</t>
  </si>
  <si>
    <t>MOTOR ELEC BBA. 7410-BOC-001</t>
  </si>
  <si>
    <t>MOTOR ELEC BBA. 7410-BOC-002</t>
  </si>
  <si>
    <t>MOTOR ELEC UHD 7410-UHD-001</t>
  </si>
  <si>
    <t>MOTOR ELEC UHD 7410-UHD-002</t>
  </si>
  <si>
    <t>MOTOR ELEC AGITADOR 7420-AGT-001</t>
  </si>
  <si>
    <t>MOTOR ELEC BBA. 7420-BOC-001</t>
  </si>
  <si>
    <t>MOTOR ELEC BBA. 7420-BOC-002</t>
  </si>
  <si>
    <t>MOTOR ELEC UHD ALIM. PES. 7420-ACT-003</t>
  </si>
  <si>
    <t>MOTOR ELEC POLIPASTO PPAL. 7420-GPT-001</t>
  </si>
  <si>
    <t>MOTOR ELEC TRASL PUENTE 7420-GPT-001</t>
  </si>
  <si>
    <t>MOTOR ELEC TRASL CARRO PTE 7420-GPT-001</t>
  </si>
  <si>
    <t>MOTOR ELEC BBA. 7510-BOC-002</t>
  </si>
  <si>
    <t>MOTOR ELEC UHD 7510-UHD-001</t>
  </si>
  <si>
    <t>MOTOR ELEC BBA. 7510-BOC-003</t>
  </si>
  <si>
    <t>MOTOR ELEC BBA. 7510-BOC-004</t>
  </si>
  <si>
    <t>MOTOR ELEC UHD 7510-UHD-002</t>
  </si>
  <si>
    <t>MOTOR ELEC UHD 7510-UHD-003</t>
  </si>
  <si>
    <t>MOTOR ELEC BBA. 7510-BBA-001</t>
  </si>
  <si>
    <t>MOTOR ELEC AGITADOR 7520-AGT-001</t>
  </si>
  <si>
    <t>MOTOR ELEC BBA. 7520-BOC-001</t>
  </si>
  <si>
    <t>MOTOR ELEC BBA. 7520-BOC-002</t>
  </si>
  <si>
    <t>MOTOR ELEC UHD 7520-UHD-001</t>
  </si>
  <si>
    <t>MOTOR ELEC UHD 7520-UHD-002</t>
  </si>
  <si>
    <t>MOTOR ELEC BBA. 7520-BDP-001</t>
  </si>
  <si>
    <t>MOTOR ELEC BBA LUBRIC 7520-BDP-001</t>
  </si>
  <si>
    <t>MOTOR ELEC BBA. 7520-BDP-002</t>
  </si>
  <si>
    <t>MOTOR ELEC BBA LUBRIC 7520-BDP-002</t>
  </si>
  <si>
    <t>MOTOR ELEC POLIPASTO PPAL. 7520-GPT-001</t>
  </si>
  <si>
    <t>MOTOR ELEC TRASL PUENTE 7520-GPT-001</t>
  </si>
  <si>
    <t>MOTOR ELEC TRASL CARRO PTE 7520-GPT-001</t>
  </si>
  <si>
    <t>MOTOR ELEC BBA. 7520-BBA-001</t>
  </si>
  <si>
    <t>MOTOR ELEC BBA. 6350-BOC-001</t>
  </si>
  <si>
    <t>MOTOR ELEC BBA. 6350-BOC-002</t>
  </si>
  <si>
    <t>MOTOR ELEC BBA. 6350-BOC-003</t>
  </si>
  <si>
    <t>MOTOR ELEC BBA. 6350-BOC-004</t>
  </si>
  <si>
    <t>MOTOR ELEC BBA. 6350-BOC-005</t>
  </si>
  <si>
    <t>MOTOR ELEC BBA. 6350-BOC-006</t>
  </si>
  <si>
    <t>MOTOR ELEC BBA. 6350-BOC-007</t>
  </si>
  <si>
    <t>MOTOR ELEC BBA. 6350-BOC-008</t>
  </si>
  <si>
    <t>MOTOR ELEC BBA. 6370-BOC-001</t>
  </si>
  <si>
    <t>MOTOR ELEC BBA. 6370-BOC-002</t>
  </si>
  <si>
    <t>MOTOR ELEC BBA. 6370-BOC-004</t>
  </si>
  <si>
    <t>MOTOR ELEC BBA. 7610-BBA-001</t>
  </si>
  <si>
    <t>TOLVA RECEPCION DE ESCORIA</t>
  </si>
  <si>
    <t>SOPLADOR DE AIRE FLOTACION #3</t>
  </si>
  <si>
    <t>SOPLADOR DE AIRE FLOTACION #2</t>
  </si>
  <si>
    <t>SOPLADOR DE AIRE FLOTACION #1</t>
  </si>
  <si>
    <t>SISTEMA INSTRUMENTACION SOP 6940-SOP-003</t>
  </si>
  <si>
    <t>COMPONENTES SOP 6940-SOP-003</t>
  </si>
  <si>
    <t>PIPING Y VALVULAS SOP 6940-SOP-003</t>
  </si>
  <si>
    <t>SISTEMA MOTRIZ SOP 6940-SOP-003</t>
  </si>
  <si>
    <t>DESCANSO RODAMIENTO SOP 6940-SOP-003</t>
  </si>
  <si>
    <t>EJE IMPULSOR SOP 6940-SOP-003</t>
  </si>
  <si>
    <t>IMPULSOR SOP 6940-SOP-003</t>
  </si>
  <si>
    <t>SILENCIADOR SOP 6940-SOP-003</t>
  </si>
  <si>
    <t>FILTRO DE ADMISION SOP 6940-SOP-003</t>
  </si>
  <si>
    <t>MOTOR ELEC SOP 6940-SOP-003</t>
  </si>
  <si>
    <t>CORREA DE TRANSMISION SOP 6940-SOP-003</t>
  </si>
  <si>
    <t>POLEAS DE TRANSMISION SOP 6940-SOP-003</t>
  </si>
  <si>
    <t>7600 - COLECCION DE DERRAMES</t>
  </si>
  <si>
    <t>SISTEMA INSTRUMENTACION SOP 6940-SOP-002</t>
  </si>
  <si>
    <t>DESCANSO RODAMIENTO SOP 6940-SOP-002</t>
  </si>
  <si>
    <t>EJE IMPULSOR SOP 6940-SOP-002</t>
  </si>
  <si>
    <t>IMPULSOR SOP 6940-SOP-002</t>
  </si>
  <si>
    <t>PIPING Y VALVULAS SOP 6940-SOP-002</t>
  </si>
  <si>
    <t>SILENCIADOR SOP 6940-SOP-002</t>
  </si>
  <si>
    <t>FILTRO DE ADMISION SOP 6940-SOP-002</t>
  </si>
  <si>
    <t>SISTEMA MOTRIZ SOP 6940-SOP-002</t>
  </si>
  <si>
    <t>MOTOR ELEC SOP 6940-SOP-002</t>
  </si>
  <si>
    <t>CORREA DE TRANSMISION SOP 6940-SOP-002</t>
  </si>
  <si>
    <t>POLEAS DE TRANSMISION SOP 6940-SOP-002</t>
  </si>
  <si>
    <t>SISTEMA INSTRUMENTACION SOP 6940-SOP-001</t>
  </si>
  <si>
    <t>DESCANSO RODAMIENTO SOP 6940-SOP-001</t>
  </si>
  <si>
    <t>EJE IMPULSOR SOP 6940-SOP-001</t>
  </si>
  <si>
    <t>IMPULSOR SOP 6940-SOP-001</t>
  </si>
  <si>
    <t>PIPING Y VALVULAS SOP 6940-SOP-001</t>
  </si>
  <si>
    <t>SILENCIADOR SOP 6940-SOP-001</t>
  </si>
  <si>
    <t>FILTRO DE ADMISION SOP 6940-SOP-001</t>
  </si>
  <si>
    <t>SISTEMA MOTRIZ SOP 6940-SOP-001</t>
  </si>
  <si>
    <t>MOTOR ELEC SOP 6940-SOP-001</t>
  </si>
  <si>
    <t>CORREA DE TRANSMISION SOP 6940-SOP-001</t>
  </si>
  <si>
    <t>POLEAS DE TRANSMISION SOP 6940-SOP-001</t>
  </si>
  <si>
    <t>COMPONENTES BBA 7310-BBA-001</t>
  </si>
  <si>
    <t>PARTES HUMEDAS BBA 7310-BBA-001</t>
  </si>
  <si>
    <t>PIPING Y VALVULAS BBA 7310-BBA-001</t>
  </si>
  <si>
    <t>SISTEMA MOTRIZ BBA 7310-BBA-001</t>
  </si>
  <si>
    <t>MOTOR ELEC BBA 7310-BBA-001</t>
  </si>
  <si>
    <t>SISTEMA ELECTRICO BBA 7310-BBA-001</t>
  </si>
  <si>
    <t>BOMBA RECHAZO CMU 7310-CMU-001</t>
  </si>
  <si>
    <t>MUESTREADOR #2 CMU 7310-CMU-001</t>
  </si>
  <si>
    <t>SISTEMA MOTRIZ CMU 7310-CMU-001</t>
  </si>
  <si>
    <t>MOTOR ELEC CMU 7310-CMU-001</t>
  </si>
  <si>
    <t>MOTOR ELEC BBA RECHAZO CMU 7310-CMU-001</t>
  </si>
  <si>
    <t>SISTEMA ELECTRICO CMU 7310-CMU-001</t>
  </si>
  <si>
    <t>SISTEMA MECANICO CMU 7310-CMU-001</t>
  </si>
  <si>
    <t>Ocultar</t>
  </si>
  <si>
    <t>H10</t>
  </si>
  <si>
    <t>ALIMENTADOR DE PLACAS #1 ACOPIO ESCORIA</t>
  </si>
  <si>
    <t>ALIMENTADOR DE PLACAS #2 ACOPIO ESCORIA</t>
  </si>
  <si>
    <t>07210-LSL-1126</t>
  </si>
  <si>
    <t>07210-PSL-1128C</t>
  </si>
  <si>
    <t>07210-MSG-001-07-02</t>
  </si>
  <si>
    <t>SISTEMA LUBRICACION M. SAG 7210-MSG-001</t>
  </si>
  <si>
    <t>FDA</t>
  </si>
  <si>
    <t>VE1</t>
  </si>
  <si>
    <t>VE2</t>
  </si>
  <si>
    <t>07210-MSG-001M-01</t>
  </si>
  <si>
    <t>07210-MSG-001M-02</t>
  </si>
  <si>
    <t>CALEFACTOR UHD MOLINO SAG 7210-MSG-001</t>
  </si>
  <si>
    <t>07210-MSG-001-03-1</t>
  </si>
  <si>
    <t>BBM</t>
  </si>
  <si>
    <t>BOMBA MANUAL UHD MOLINO SAG 7210-MSG-001</t>
  </si>
  <si>
    <t>07210-MSG-001-03-2</t>
  </si>
  <si>
    <t>07210-MSG-001-03-3</t>
  </si>
  <si>
    <t>07210-MSG-001-03-3M</t>
  </si>
  <si>
    <t>07210-MSG-001-04</t>
  </si>
  <si>
    <t>07210-MSG-001-04-7</t>
  </si>
  <si>
    <t>07210-MSG-001-04-7M</t>
  </si>
  <si>
    <t>07210-MSG-001-04-8</t>
  </si>
  <si>
    <t>07210-MSG-001-04-8M</t>
  </si>
  <si>
    <t>07210-MSG-001-04-9</t>
  </si>
  <si>
    <t>07210-MSG-001-04-9M</t>
  </si>
  <si>
    <t>MO4</t>
  </si>
  <si>
    <t>MO5</t>
  </si>
  <si>
    <t>07210-MSG-001-04-10</t>
  </si>
  <si>
    <t>07210-MSG-001-04-10M</t>
  </si>
  <si>
    <t>07210-MSG-001-04-11</t>
  </si>
  <si>
    <t>07210-MSG-001-04-11M</t>
  </si>
  <si>
    <t>07210-MSG-001-04-12</t>
  </si>
  <si>
    <t>07210-MSG-001-04-12M</t>
  </si>
  <si>
    <t>07210-MSG-001-04-13</t>
  </si>
  <si>
    <t>07210-MSG-001-04-13M</t>
  </si>
  <si>
    <t>MO6</t>
  </si>
  <si>
    <t>BB7</t>
  </si>
  <si>
    <t>MO7</t>
  </si>
  <si>
    <t>SUPRESOR DE POLVO DSCGA ALIMENTADORES</t>
  </si>
  <si>
    <t>SISTEMA ESTRUCTURAL APC 7120-APC-001</t>
  </si>
  <si>
    <t>07120-APC-001-01-1</t>
  </si>
  <si>
    <t>07120-APC-001-01-1M</t>
  </si>
  <si>
    <t>07120-APC-001-01M</t>
  </si>
  <si>
    <t>07120-APC-001-01-2</t>
  </si>
  <si>
    <t>07120-APC-001-01-3</t>
  </si>
  <si>
    <t>07120-APC-001-01-2M</t>
  </si>
  <si>
    <t>EMA</t>
  </si>
  <si>
    <t>ACUMULADOR PRESION UHD CHM 7120-CHM-001</t>
  </si>
  <si>
    <t>SISTEMA LANZAS APC #1 ACOPIO ESCORIA</t>
  </si>
  <si>
    <t>SISTEMA LANZAS APC #2 ACOPIO ESCORIA</t>
  </si>
  <si>
    <t>MOTOR ELEC FLUSHING UHD APC TOLVA ESCORI</t>
  </si>
  <si>
    <t>07210-APC-001-01-2</t>
  </si>
  <si>
    <t>07210-APC-001-01-2M</t>
  </si>
  <si>
    <t>07210-APC-001-01-3</t>
  </si>
  <si>
    <t>07210-APC-001-01M</t>
  </si>
  <si>
    <t>07210-APC-001-01-1</t>
  </si>
  <si>
    <t>07210-APC-001-03M</t>
  </si>
  <si>
    <t>07210-APC-001-01-1M</t>
  </si>
  <si>
    <t>07210-APC-002-01-1</t>
  </si>
  <si>
    <t>07210-APC-002-01-1M</t>
  </si>
  <si>
    <t>07210-APC-002-01-2</t>
  </si>
  <si>
    <t>07210-APC-002-01-2M</t>
  </si>
  <si>
    <t>07210-APC-002-01-3</t>
  </si>
  <si>
    <t>07210-APC-002-01M</t>
  </si>
  <si>
    <t>TECLE MANTENCION CORREA ALIMENTACION SAG</t>
  </si>
  <si>
    <t>07210-TCL-001</t>
  </si>
  <si>
    <t>TECLE MANTENCION CABEZA APC #1 ACOPIO ES</t>
  </si>
  <si>
    <t>TECLE MANTENCION COLA APC #1 ACOPIO ESCO</t>
  </si>
  <si>
    <t>07210-TCL-002</t>
  </si>
  <si>
    <t>07210-TCL-003</t>
  </si>
  <si>
    <t>TECLE MANTENCION CABEZA APC #2 ACOPIO ES</t>
  </si>
  <si>
    <t>TECLE MANTENCION COLA APC #2 ACOPIO ESCO</t>
  </si>
  <si>
    <t>07210-TCL-004</t>
  </si>
  <si>
    <t>07210-TCL-005</t>
  </si>
  <si>
    <t>07210-TCL-006</t>
  </si>
  <si>
    <t>TECLE MANTENCION BAJO ACOPIO</t>
  </si>
  <si>
    <t>TECLE MANTENCION MOLINO SAG</t>
  </si>
  <si>
    <t>TECLE MANTENCION MOLINO SAG L/ALIMENT</t>
  </si>
  <si>
    <t>07210-TCL-007</t>
  </si>
  <si>
    <t>07210-TCL-008</t>
  </si>
  <si>
    <t>TECLE OPERACION CHUTE MOVIL 7210-CHU-007</t>
  </si>
  <si>
    <t>07210-TCL-009</t>
  </si>
  <si>
    <t>MAE</t>
  </si>
  <si>
    <t>SISTEMA HIDRAULICO MAQUINA ENLAINADORA</t>
  </si>
  <si>
    <t>07210-MAE-001-01</t>
  </si>
  <si>
    <t>07240-BOC-001M</t>
  </si>
  <si>
    <t>SISTEMA INSTRUMENTACION BBA 7240-BOC-001</t>
  </si>
  <si>
    <t>07240-BOC-002M</t>
  </si>
  <si>
    <t>CAJON ALIMENTACION HIDROCICLONES</t>
  </si>
  <si>
    <t>07240-CAJ-001</t>
  </si>
  <si>
    <t>CAJON DESVIO #1</t>
  </si>
  <si>
    <t>CAJON DESVIO #2</t>
  </si>
  <si>
    <t>07240-CAJ-002</t>
  </si>
  <si>
    <t>07240-CAJ-003</t>
  </si>
  <si>
    <t>TECLE MANTENCION L/ALIMENT MOLINO BOLAS</t>
  </si>
  <si>
    <t>07220-TCL-001</t>
  </si>
  <si>
    <t>TECLE MANTENCION L/DESCARGA MOLINO BOLAS</t>
  </si>
  <si>
    <t>07220-TCL-002</t>
  </si>
  <si>
    <t>TECLE MANTENCION LINEA HIDROCICLONES</t>
  </si>
  <si>
    <t>07240-TCL-003</t>
  </si>
  <si>
    <t>GRUA PESCANTE BBA 7240-BBA-001</t>
  </si>
  <si>
    <t>GRUA PESCANTE BBA 7240-BBA-002</t>
  </si>
  <si>
    <t>07240-GPC-001</t>
  </si>
  <si>
    <t>07240-GPC-002</t>
  </si>
  <si>
    <t>07210-MSG-001-07-1</t>
  </si>
  <si>
    <t>07210-MSG-001-05</t>
  </si>
  <si>
    <t>07210-MSG-001-07</t>
  </si>
  <si>
    <t>07210-MSG-001-08@11</t>
  </si>
  <si>
    <t>07210-MTG-001</t>
  </si>
  <si>
    <t>RPR</t>
  </si>
  <si>
    <t>RPH</t>
  </si>
  <si>
    <t>07210-MTG-001-01</t>
  </si>
  <si>
    <t>SH1</t>
  </si>
  <si>
    <t>RMO</t>
  </si>
  <si>
    <t>07210-MTG-001-01M</t>
  </si>
  <si>
    <t>No modificar columna!</t>
  </si>
  <si>
    <t>VV4</t>
  </si>
  <si>
    <t>VV5</t>
  </si>
  <si>
    <t>VV6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</si>
  <si>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</si>
  <si>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</si>
  <si>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</si>
  <si>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</si>
  <si>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</si>
  <si>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</si>
  <si>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</si>
  <si>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</si>
  <si>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</si>
  <si>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SISTEMA ENFRIAMIENTO ENF 7290-ENF-001-01</t>
  </si>
  <si>
    <t>STV</t>
  </si>
  <si>
    <t>UNF</t>
  </si>
  <si>
    <t>PARTES HUMEDAS BBA 7410-BOC-003</t>
  </si>
  <si>
    <t>PIPING Y VALVULAS BBA 7410-BOC-003</t>
  </si>
  <si>
    <t>SISTEMA AGUA SELLO BBA 7410-BOC-003</t>
  </si>
  <si>
    <t>SISTEMA MOTRIZ BBA 7410-BOC-003</t>
  </si>
  <si>
    <t>MOTOR ELEC BBA 7410-BOC-003</t>
  </si>
  <si>
    <t>SISTEMA INSTRUMENTACION BBA 7410-BOC-003</t>
  </si>
  <si>
    <t>SISTEMA ELECTRICO BBA 7410-BOC-003</t>
  </si>
  <si>
    <t>BOTONERA LOCAL BBA 7410-BOC-003</t>
  </si>
  <si>
    <t>PARTES HUMEDAS BBA 7410-BOC-004</t>
  </si>
  <si>
    <t>PIPING Y VALVULAS BBA 7410-BOC-004</t>
  </si>
  <si>
    <t>SISTEMA AGUA SELLO BBA 7410-BOC-004</t>
  </si>
  <si>
    <t>SISTEMA MOTRIZ BBA 7410-BOC-004</t>
  </si>
  <si>
    <t>MOTOR ELEC BBA 7410-BOC-004</t>
  </si>
  <si>
    <t>SISTEMA INSTRUMENTACION BBA 7410-BOC-004</t>
  </si>
  <si>
    <t>SISTEMA ELECTRICO BBA 7410-BOC-004</t>
  </si>
  <si>
    <t>BOTONERA LOCAL BBA 7410-BOC-004</t>
  </si>
  <si>
    <t>RP1</t>
  </si>
  <si>
    <t>RP2</t>
  </si>
  <si>
    <t>RP3</t>
  </si>
  <si>
    <t>PF4</t>
  </si>
  <si>
    <t>SISTEMA ELECTRICO BBA. 7510-BOC-002</t>
  </si>
  <si>
    <t>SISTEMA INSTRUMENTACION BBA 7510-BOC-002</t>
  </si>
  <si>
    <t>SHD</t>
  </si>
  <si>
    <t>PYH</t>
  </si>
  <si>
    <t>SISTEMA INSTRUMENTACION BBA 7510-BBA-001</t>
  </si>
  <si>
    <t>EJ1</t>
  </si>
  <si>
    <t>EJ2</t>
  </si>
  <si>
    <t>SPL</t>
  </si>
  <si>
    <t>AN1</t>
  </si>
  <si>
    <t>AN2</t>
  </si>
  <si>
    <t>AN3</t>
  </si>
  <si>
    <t>AN4</t>
  </si>
  <si>
    <t>SISTEMA INSTRUMENTACION BBA 7520-BBA-001</t>
  </si>
  <si>
    <t>EDG</t>
  </si>
  <si>
    <t>SISTEMA INSTRUMENTACION BBA 6350-BOC-001</t>
  </si>
  <si>
    <t>SISTEMA INSTRUMENTACION BBA 6350-BOC-002</t>
  </si>
  <si>
    <t>SISTEMA INSTRUMENTACION BBA 6350-BOC-003</t>
  </si>
  <si>
    <t>SISTEMA INSTRUMENTACION BBA 6350-BOC-004</t>
  </si>
  <si>
    <t>BOMBA DE IMPULSION AGUA LAVADO TELA #3</t>
  </si>
  <si>
    <t>BOMBA DE IMPULSION AGUA LAVADO TELA #4</t>
  </si>
  <si>
    <t>BOMBA DE IMPULSION AGUA DE SELLO #5</t>
  </si>
  <si>
    <t>BOMBA DE IMPULSION AGUA DE SELLO #6</t>
  </si>
  <si>
    <t>SISTEMA INSTRUMENTACION BBA 6350-BOC-005</t>
  </si>
  <si>
    <t>SISTEMA INSTRUMENTACION BBA 6350-BOC-006</t>
  </si>
  <si>
    <t>BOMBA RETROLAVADO SISTEMA FILTRACION #7</t>
  </si>
  <si>
    <t>BOMBA RETROLAVADO SISTEMA FILTRACION #8</t>
  </si>
  <si>
    <t>SISTEMA INSTRUMENTACION BBA 6350-BOC-007</t>
  </si>
  <si>
    <t>SISTEMA INSTRUMENTACION BBA 6350-BOC-008</t>
  </si>
  <si>
    <t>SISTEMA INSTRUMENTACION BBA 6370-BOC-001</t>
  </si>
  <si>
    <t>SISTEMA INSTRUMENTACION BBA 6370-BOC-002</t>
  </si>
  <si>
    <t>BOMBA IMPULSION AGUA RECUP. FILTROS #3</t>
  </si>
  <si>
    <t>BOMBA IMPULSION AGUA RECUP. FILTROS #4</t>
  </si>
  <si>
    <t>MOTOR ELEC BBA. 6370-BOC-003</t>
  </si>
  <si>
    <t>SISTEMA INSTRUMENTACION BBA 6370-BOC-003</t>
  </si>
  <si>
    <t>SISTEMA INSTRUMENTACION BBA 6370-BOC-004</t>
  </si>
  <si>
    <t>SISTEMA MOTRIZ BBA. 6920-BBA-001</t>
  </si>
  <si>
    <t>SISTEMA MOTRIZ BBA. 6920-BBA-002</t>
  </si>
  <si>
    <t>MOTOR ELEC BBA. 6920-BBA-001</t>
  </si>
  <si>
    <t>MOTOR ELEC BBA. 6920-BBA-002</t>
  </si>
  <si>
    <t>SISTEMA MOTRIZ BBA. 6920-BBA-003</t>
  </si>
  <si>
    <t>MOTOR ELEC BBA. 6920-BBA-003</t>
  </si>
  <si>
    <t>SISTEMA MOTRIZ BBA. 6920-BBA-004</t>
  </si>
  <si>
    <t>MOTOR ELEC BBA. 6920-BBA-004</t>
  </si>
  <si>
    <t>FJ1</t>
  </si>
  <si>
    <t>FJ2</t>
  </si>
  <si>
    <t>SISTEMA MOTRIZ BBA. 6920-BBA-005</t>
  </si>
  <si>
    <t>MOTOR ELEC BBA. 6920-BBA-005</t>
  </si>
  <si>
    <t>SISTEMA MOTRIZ BBA. 6920-BBA-006</t>
  </si>
  <si>
    <t>MOTOR ELEC BBA. 6920-BBA-006</t>
  </si>
  <si>
    <t>BOMBA DOSIFICADORA COLECTOR #1</t>
  </si>
  <si>
    <t>SISTEMA MOTRIZ BBA. 6930-BBA-001</t>
  </si>
  <si>
    <t>MOTOR ELEC BBA. 6930-BBA-001</t>
  </si>
  <si>
    <t>6930-BBA-001M</t>
  </si>
  <si>
    <t>6930-BBA-003M</t>
  </si>
  <si>
    <t>BOMBA DOSIFICADORA COLECTOR #2</t>
  </si>
  <si>
    <t>6930-BBA-002M</t>
  </si>
  <si>
    <t>SISTEMA MOTRIZ BBA. 6930-BBA-002</t>
  </si>
  <si>
    <t>MOTOR ELEC BBA. 6930-BBA-002</t>
  </si>
  <si>
    <t>SISTEMA MOTRIZ BBA. 6930-BBA-003</t>
  </si>
  <si>
    <t>MOTOR ELEC BBA. 6930-BBA-003</t>
  </si>
  <si>
    <t>SISTEMA ESTRUCTURAL ACU 6940-ACU-001</t>
  </si>
  <si>
    <t>PIP</t>
  </si>
  <si>
    <t>ESTANQUE ACU 6940-ACU-001</t>
  </si>
  <si>
    <t>SISTEMA INSTRUMENTACION ACU 6940-ACU-001</t>
  </si>
  <si>
    <t>PIPING Y VALVULAS ACU 6940-ACU-001</t>
  </si>
  <si>
    <t>PIPING ENT. Y SAL AIRE ACU 6940-ACU-001</t>
  </si>
  <si>
    <t>SISTEMA ESTRUCTURAL ACU 6940-ACU-002</t>
  </si>
  <si>
    <t>ESTANQUE ACU 6940-ACU-002</t>
  </si>
  <si>
    <t>SISTEMA INSTRUMENTACION ACU 6940-ACU-002</t>
  </si>
  <si>
    <t>PIPING Y VALVULAS ACU 6940-ACU-002</t>
  </si>
  <si>
    <t>PIPING ENT. Y SAL AIRE ACU 6940-ACU-002</t>
  </si>
  <si>
    <t>SISTEMA ESTRUCTURAL ACU 6940-ACU-003</t>
  </si>
  <si>
    <t>ESTANQUE ACU 6940-ACU-003</t>
  </si>
  <si>
    <t>SISTEMA INSTRUMENTACION ACU 6940-ACU-003</t>
  </si>
  <si>
    <t>PIPING Y VALVULAS ACU 6940-ACU-003</t>
  </si>
  <si>
    <t>PIPING ENT. Y SAL AIRE ACU 6940-ACU-003</t>
  </si>
  <si>
    <t>SISTEMA INSTRUMENTACION BBA 7610-BBA-001</t>
  </si>
  <si>
    <t>SIA</t>
  </si>
  <si>
    <t>UCO</t>
  </si>
  <si>
    <t>SEF</t>
  </si>
  <si>
    <t>SISTEMA ESTRUCTURAL COM 6940-COM-001</t>
  </si>
  <si>
    <t>BAS</t>
  </si>
  <si>
    <t>PTA</t>
  </si>
  <si>
    <t>FDP</t>
  </si>
  <si>
    <t>EFI</t>
  </si>
  <si>
    <t>IDC</t>
  </si>
  <si>
    <t>MTV</t>
  </si>
  <si>
    <t>SDH</t>
  </si>
  <si>
    <t>CTL</t>
  </si>
  <si>
    <t>DIS</t>
  </si>
  <si>
    <t>CPR</t>
  </si>
  <si>
    <t>UNIDAD COMPRESORA COM 6940-COM-001</t>
  </si>
  <si>
    <t>SISTEMA INSTRUMENTACION BBA 7310-BBA-001</t>
  </si>
  <si>
    <t>BOTONERA LOCAL BBA 7310-BBA-001</t>
  </si>
  <si>
    <t>SISTEMA INSTRUMENTACION BBA 7240-BOC-002</t>
  </si>
  <si>
    <t>SISTEMA ELECTRICO BBA. 7240-BOC-002</t>
  </si>
  <si>
    <t>BOTONERA LOCAL BBA. 7240-BOC-002</t>
  </si>
  <si>
    <t>SISTEMA ELECTRICO BBA. 7240-BOC-001</t>
  </si>
  <si>
    <t>BOTONERA LOCAL BBA. 7240-BOC-001</t>
  </si>
  <si>
    <t>PRP</t>
  </si>
  <si>
    <t>07490-SEL-001</t>
  </si>
  <si>
    <t>SISTEMA ELECTRICO SALA 7490-SEL-001</t>
  </si>
  <si>
    <t>PLATAFORMA DE DESCARGA</t>
  </si>
  <si>
    <t>SMF</t>
  </si>
  <si>
    <t>07110-LE/LIT-0105</t>
  </si>
  <si>
    <t>07110-YL-0100</t>
  </si>
  <si>
    <t>07120-SE/ST-0126</t>
  </si>
  <si>
    <t>07120-YA/YL-0125</t>
  </si>
  <si>
    <t>IN3</t>
  </si>
  <si>
    <t>SISTEMA ESTRUCTURAL STP. 7180-STP-001</t>
  </si>
  <si>
    <t>BOCA DESCARGA ACOPIO 1 STP. 7180-STP-001</t>
  </si>
  <si>
    <t>BOCA DESCARGA ACOPIO 2 STP. 7180-STP-001</t>
  </si>
  <si>
    <t>PORTON MOTORIZADO DOMO STP. 7180-STP-001</t>
  </si>
  <si>
    <t>SISTEMA INSTRUMENTACION STP 7180-STP-001</t>
  </si>
  <si>
    <t>07210-SE/ST-0231</t>
  </si>
  <si>
    <t>SISTEMA INSTRUMENTACION CTR 7210-CTR-002</t>
  </si>
  <si>
    <t>SISTEMA ESTRUCTURAL CTR. 7210-CTR-002</t>
  </si>
  <si>
    <t>SISTEMA TRANSPORTE CTR. 7210-CTR-002</t>
  </si>
  <si>
    <t>CINTA CTR. 7210-CTR-002</t>
  </si>
  <si>
    <t>POLEA DE COLA CTR. 7210-CTR-002</t>
  </si>
  <si>
    <t>POLINES DE CARGA CTR. 7210-CTR-002</t>
  </si>
  <si>
    <t>POLINES DE TRANSICION CTR. 7210-CTR-002</t>
  </si>
  <si>
    <t>POLINES DE IMPACTO CTR. 7210-CTR-002</t>
  </si>
  <si>
    <t>POLINES DE RETORNO CTR. 7210-CTR-002</t>
  </si>
  <si>
    <t>POLINES AUTOCENTRANTE CTR. 7210-CTR-002</t>
  </si>
  <si>
    <t>SISTEMA TENSOR CTR. 7210-CTR-002</t>
  </si>
  <si>
    <t>TENSOR DE TORNILLO CTR. 7210-CTR-002</t>
  </si>
  <si>
    <t>SISTEMA MOTRIZ CTR. 7210-CTR-002</t>
  </si>
  <si>
    <t>MOTOR ELEC CTR. 7210-CTR-002</t>
  </si>
  <si>
    <t>REDUCTOR CTR. 7210-CTR-002</t>
  </si>
  <si>
    <t>FRENO BACKSTOP CTR. 7210-CTR-002</t>
  </si>
  <si>
    <t>POLEA MOTRIZ CTR. 7210-CTR-002</t>
  </si>
  <si>
    <t>SISTEMA ESTRUCTURAL CTR. 7210-CTR-003</t>
  </si>
  <si>
    <t>ESTRUCTURA PPAL CTR. 7210-CTR-003</t>
  </si>
  <si>
    <t>RASPADOR CTR. 7210-CTR-003</t>
  </si>
  <si>
    <t>CHUTE DESCARGA CTR. 7210-CTR-003</t>
  </si>
  <si>
    <t>SISTEMA TRANSPORTE CTR. 7210-CTR-003</t>
  </si>
  <si>
    <t>CINTA CTR. 7210-CTR-003</t>
  </si>
  <si>
    <t>POLEA DE COLA CTR. 7210-CTR-003</t>
  </si>
  <si>
    <t>POLEA DEFLECTORA CTR. 7210-CTR-003</t>
  </si>
  <si>
    <t>RUEDA DEFLECTORA CTR. 7210-CTR-003</t>
  </si>
  <si>
    <t>POLINES DE CARGA CTR. 7210-CTR-003</t>
  </si>
  <si>
    <t>POLINES DE IMPACTO CTR. 7210-CTR-003</t>
  </si>
  <si>
    <t>POLINES TRANSICION CTR. 7210-CTR-003</t>
  </si>
  <si>
    <t>POLINES GUIA CTR. 7210-CTR-003</t>
  </si>
  <si>
    <t>POLIN GOLPEADOR CTR. 7210-CTR-003</t>
  </si>
  <si>
    <t>SISTEMA TENSOR CTR. 7210-CTR-003</t>
  </si>
  <si>
    <t>TENSOR DE TORNILLO CTR. 7210-CTR-003</t>
  </si>
  <si>
    <t>SISTEMA MOTRIZ CTR. 7210-CTR-003</t>
  </si>
  <si>
    <t>MOTOR ELEC CTR. 7210-CTR-003</t>
  </si>
  <si>
    <t>REDUCTOR CTR. 7210-CTR-003</t>
  </si>
  <si>
    <t>FRENO BACKSTOP CTR. 7210-CTR-003</t>
  </si>
  <si>
    <t>POLEA MOTRIZ CTR. 7210-CTR-003</t>
  </si>
  <si>
    <t>SISTEMA INSTRUMENTACION CTR 7210-CTR-003</t>
  </si>
  <si>
    <t>07240-HV-0404A</t>
  </si>
  <si>
    <t>07240-HV-0410A</t>
  </si>
  <si>
    <t>07240-HV-0410B</t>
  </si>
  <si>
    <t>SISTEMA HIDRAULICO UHD. 7240-UHD-001</t>
  </si>
  <si>
    <t>BOMBA UHD. 7240-UHD-001</t>
  </si>
  <si>
    <t>ACUMULADOR PRESION UHD. 7240-UHD-001</t>
  </si>
  <si>
    <t>ESTANQUE UHD. 7240-UHD-001</t>
  </si>
  <si>
    <t>SISTEMA MOTRIZ UHD. 7240-UHD-001</t>
  </si>
  <si>
    <t>MOTOR ELEC UHD. 7240-UHD-001</t>
  </si>
  <si>
    <t>07240-HV-0409</t>
  </si>
  <si>
    <t>07240-HV-0415</t>
  </si>
  <si>
    <t>SISTEMA ESTRUCTURAL BHI. 7250-BHI-001</t>
  </si>
  <si>
    <t>REVESTIMIENTO BHI. 7250-BHI-001</t>
  </si>
  <si>
    <t>SISTEMA INSTRUMENTACION BHI 7250-BHI-001</t>
  </si>
  <si>
    <t>TABLERO DIST. CTRL-INSTRUM 7250-BHI-001</t>
  </si>
  <si>
    <t>COMPONENTES DE CICLON BHI. 7250-BHI-001</t>
  </si>
  <si>
    <t>MANIFOLD DISTRIBUIDOR BHI. 7250-BHI-001</t>
  </si>
  <si>
    <t>HIDROCICLON #1 BHI. 7250-BHI-001</t>
  </si>
  <si>
    <t>HIDROCICLON #2 BHI. 7250-BHI-001</t>
  </si>
  <si>
    <t>HIDROCICLON #3 BHI. 7250-BHI-001</t>
  </si>
  <si>
    <t>HIDROCICLON #4 BHI. 7250-BHI-001</t>
  </si>
  <si>
    <t>HIDROCICLON #5 BHI. 7250-BHI-001</t>
  </si>
  <si>
    <t>HIDROCICLON #6 BHI. 7250-BHI-001</t>
  </si>
  <si>
    <t>HIDROCICLON #7 BHI. 7250-BHI-001</t>
  </si>
  <si>
    <t>HIDROCICLON #8 BHI. 7250-BHI-001</t>
  </si>
  <si>
    <t>HIDROCICLON #9 BHI. 7250-BHI-001</t>
  </si>
  <si>
    <t>HIDROCICLON #10 BHI. 7250-BHI-001</t>
  </si>
  <si>
    <t>PIPING Y VALVULAS BHI. 7250-BHI-001</t>
  </si>
  <si>
    <t>SISTEMA COMPONENTES CFL. 7310-CFL-001</t>
  </si>
  <si>
    <t>PORTA RODAMIENTO CFL. 7310-CFL-001</t>
  </si>
  <si>
    <t>ROTOR CFL. 7310-CFL-001</t>
  </si>
  <si>
    <t>ESTATOR CFL. 7310-CFL-001</t>
  </si>
  <si>
    <t>DARDOS TRASPASO CFL. 7310-CFL-001</t>
  </si>
  <si>
    <t>EJE ROTOR CFL. 7310-CFL-001</t>
  </si>
  <si>
    <t>SISTEMA ESTRUCTURAL CFL. 7310-CFL-001</t>
  </si>
  <si>
    <t>RODAPIE CFL. 7310-CFL-001</t>
  </si>
  <si>
    <t>ESTANQUE CFL. 7310-CFL-001</t>
  </si>
  <si>
    <t>CROWDER CFL. 7310-CFL-001</t>
  </si>
  <si>
    <t>SISTEMA MOTRIZ CFL. 7310-CFL-001</t>
  </si>
  <si>
    <t>MOTOR ELEC CFL. 7310-CFL-001</t>
  </si>
  <si>
    <t>POLEA MOTRIZ CFL. 7310-CFL-001</t>
  </si>
  <si>
    <t>POLEA CONDUCIDA CFL. 7310-CFL-001</t>
  </si>
  <si>
    <t>PROTECCION POLEAS CFL. 7310-CFL-001</t>
  </si>
  <si>
    <t>SISTEMA INSTRUMENTACION CFL 7310-CFL-001</t>
  </si>
  <si>
    <t>FLUJOMETRO TERMICO CFL. 7310-CFL-001</t>
  </si>
  <si>
    <t>SISTEMA ELECTRICO CFL. 7310-CFL-001</t>
  </si>
  <si>
    <t>BOTONERA LOCAL CFL. 7310-CFL-001</t>
  </si>
  <si>
    <t>SISTEMA COMPONENTES CFL. 7310-CFL-005</t>
  </si>
  <si>
    <t>PORTA RODAMIENTO CFL. 7310-CFL-005</t>
  </si>
  <si>
    <t>ROTOR CFL. 7310-CFL-005</t>
  </si>
  <si>
    <t>ESTATOR CFL. 7310-CFL-005</t>
  </si>
  <si>
    <t>DARDOS TRASPASO CFL. 7310-CFL-005</t>
  </si>
  <si>
    <t>EJE ROTOR CFL. 7310-CFL-005</t>
  </si>
  <si>
    <t>SISTEMA ESTRUCTURAL CFL. 7310-CFL-005</t>
  </si>
  <si>
    <t>RODAPIE CFL. 7310-CFL-005</t>
  </si>
  <si>
    <t>ESTANQUE CFL. 7310-CFL-005</t>
  </si>
  <si>
    <t>CROWDER CFL. 7310-CFL-005</t>
  </si>
  <si>
    <t>SISTEMA MOTRIZ CFL. 7310-CFL-005</t>
  </si>
  <si>
    <t>MOTOR ELEC CFL. 7310-CFL-005</t>
  </si>
  <si>
    <t>POLEA MOTRIZ CFL. 7310-CFL-005</t>
  </si>
  <si>
    <t>POLEA CONDUCIDA CFL. 7310-CFL-005</t>
  </si>
  <si>
    <t>PROTECCION POLEAS CFL. 7310-CFL-005</t>
  </si>
  <si>
    <t>SISTEMA INSTRUMENTACION CFL 7310-CFL-005</t>
  </si>
  <si>
    <t>SISTEMA ELECTRICO CFL. 7310-CFL-005</t>
  </si>
  <si>
    <t>BOTONERA LOCAL CFL. 7310-CFL-005</t>
  </si>
  <si>
    <t>SISTEMA COMPONENTES CFL. 7310-CFL-004</t>
  </si>
  <si>
    <t>PORTA RODAMIENTO CFL. 7310-CFL-004</t>
  </si>
  <si>
    <t>ROTOR CFL. 7310-CFL-004</t>
  </si>
  <si>
    <t>ESTATOR CFL. 7310-CFL-004</t>
  </si>
  <si>
    <t>DARDOS TRASPASO CFL. 7310-CFL-004</t>
  </si>
  <si>
    <t>EJE ROTOR CFL. 7310-CFL-004</t>
  </si>
  <si>
    <t>SISTEMA ESTRUCTURAL CFL. 7310-CFL-004</t>
  </si>
  <si>
    <t>RODAPIE CFL. 7310-CFL-004</t>
  </si>
  <si>
    <t>ESTANQUE CFL. 7310-CFL-004</t>
  </si>
  <si>
    <t>CROWDER CFL. 7310-CFL-004</t>
  </si>
  <si>
    <t>SISTEMA MOTRIZ CFL. 7310-CFL-004</t>
  </si>
  <si>
    <t>MOTOR ELEC CFL. 7310-CFL-004</t>
  </si>
  <si>
    <t>POLEA MOTRIZ CFL. 7310-CFL-004</t>
  </si>
  <si>
    <t>POLEA CONDUCIDA CFL. 7310-CFL-004</t>
  </si>
  <si>
    <t>PROTECCION POLEAS CFL. 7310-CFL-004</t>
  </si>
  <si>
    <t>SISTEMA INSTRUMENTACION CFL 7310-CFL-004</t>
  </si>
  <si>
    <t>SISTEMA ELECTRICO CFL. 7310-CFL-004</t>
  </si>
  <si>
    <t>BOTONERA LOCAL CFL. 7310-CFL-004</t>
  </si>
  <si>
    <t>SISTEMA COMPONENTES CFL. 7310-CFL-003</t>
  </si>
  <si>
    <t>PORTA RODAMIENTO CFL. 7310-CFL-003</t>
  </si>
  <si>
    <t>ROTOR CFL. 7310-CFL-003</t>
  </si>
  <si>
    <t>ESTATOR CFL. 7310-CFL-003</t>
  </si>
  <si>
    <t>DARDOS TRASPASO CFL. 7310-CFL-003</t>
  </si>
  <si>
    <t>EJE ROTOR CFL. 7310-CFL-003</t>
  </si>
  <si>
    <t>SISTEMA ESTRUCTURAL CFL. 7310-CFL-003</t>
  </si>
  <si>
    <t>RODAPIE CFL. 7310-CFL-003</t>
  </si>
  <si>
    <t>ESTANQUE CFL. 7310-CFL-003</t>
  </si>
  <si>
    <t>CROWDER CFL. 7310-CFL-003</t>
  </si>
  <si>
    <t>SISTEMA MOTRIZ CFL. 7310-CFL-003</t>
  </si>
  <si>
    <t>MOTOR ELEC CFL. 7310-CFL-003</t>
  </si>
  <si>
    <t>POLEA MOTRIZ CFL. 7310-CFL-003</t>
  </si>
  <si>
    <t>POLEA CONDUCIDA CFL. 7310-CFL-003</t>
  </si>
  <si>
    <t>PROTECCION POLEAS CFL. 7310-CFL-003</t>
  </si>
  <si>
    <t>SISTEMA ELECTRICO CFL. 7310-CFL-003</t>
  </si>
  <si>
    <t>BOTONERA LOCAL CFL. 7310-CFL-003</t>
  </si>
  <si>
    <t>SISTEMA INSTRUMENTACION CFL 7310-CFL-003</t>
  </si>
  <si>
    <t>SISTEMA COMPONENTES CFL. 7310-CFL-002</t>
  </si>
  <si>
    <t>PORTA RODAMIENTO CFL. 7310-CFL-002</t>
  </si>
  <si>
    <t>ROTOR CFL. 7310-CFL-002</t>
  </si>
  <si>
    <t>ESTATOR CFL. 7310-CFL-002</t>
  </si>
  <si>
    <t>DARDOS TRASPASO CFL. 7310-CFL-002</t>
  </si>
  <si>
    <t>EJE ROTOR CFL. 7310-CFL-002</t>
  </si>
  <si>
    <t>SISTEMA ESTRUCTURAL CFL. 7310-CFL-002</t>
  </si>
  <si>
    <t>RODAPIE CFL. 7310-CFL-002</t>
  </si>
  <si>
    <t>ESTANQUE CFL. 7310-CFL-002</t>
  </si>
  <si>
    <t>CROWDER CFL. 7310-CFL-002</t>
  </si>
  <si>
    <t>MOTOR ELEC CFL. 7310-CFL-002</t>
  </si>
  <si>
    <t>POLEA MOTRIZ CFL. 7310-CFL-002</t>
  </si>
  <si>
    <t>POLEA CONDUCIDA CFL. 7310-CFL-002</t>
  </si>
  <si>
    <t>PROTECCION POLEAS CFL. 7310-CFL-002</t>
  </si>
  <si>
    <t>SISTEMA INSTRUMENTACION CFL 7310-CFL-002</t>
  </si>
  <si>
    <t>SISTEMA ELECTRICO CFL. 7310-CFL-002</t>
  </si>
  <si>
    <t>BOTONERA LOCAL CFL. 7310-CFL-002</t>
  </si>
  <si>
    <t>SISTEMA MOTRIZ CFL. 7310-CFL-002</t>
  </si>
  <si>
    <t>SISTEMA COMPONENTES CFL. 7310-CFL-010</t>
  </si>
  <si>
    <t>PORTA RODAMIENTO CFL. 7310-CFL-010</t>
  </si>
  <si>
    <t>ROTOR CFL. 7310-CFL-010</t>
  </si>
  <si>
    <t>ESTATOR CFL. 7310-CFL-010</t>
  </si>
  <si>
    <t>DARDOS TRASPASO CFL. 7310-CFL-010</t>
  </si>
  <si>
    <t>EJE ROTOR CFL. 7310-CFL-010</t>
  </si>
  <si>
    <t>SISTEMA ESTRUCTURAL CFL. 7310-CFL-010</t>
  </si>
  <si>
    <t>RODAPIE CFL. 7310-CFL-010</t>
  </si>
  <si>
    <t>ESTANQUE CFL. 7310-CFL-010</t>
  </si>
  <si>
    <t>CROWDER CFL. 7310-CFL-010</t>
  </si>
  <si>
    <t>SISTEMA MOTRIZ CFL. 7310-CFL-010</t>
  </si>
  <si>
    <t>MOTOR ELEC CFL. 7310-CFL-010</t>
  </si>
  <si>
    <t>POLEA MOTRIZ CFL. 7310-CFL-010</t>
  </si>
  <si>
    <t>POLEA CONDUCIDA CFL. 7310-CFL-010</t>
  </si>
  <si>
    <t>PROTECCION POLEAS CFL. 7310-CFL-010</t>
  </si>
  <si>
    <t>SISTEMA INSTRUMENTACION CFL 7310-CFL-010</t>
  </si>
  <si>
    <t>SISTEMA ELECTRICO CFL. 7310-CFL-010</t>
  </si>
  <si>
    <t>BOTONERA LOCAL CFL. 7310-CFL-010</t>
  </si>
  <si>
    <t>SISTEMA COMPONENTES CFL. 7310-CFL-009</t>
  </si>
  <si>
    <t>PORTA RODAMIENTO CFL. 7310-CFL-009</t>
  </si>
  <si>
    <t>ROTOR CFL. 7310-CFL-009</t>
  </si>
  <si>
    <t>ESTATOR CFL. 7310-CFL-009</t>
  </si>
  <si>
    <t>DARDOS TRASPASO CFL. 7310-CFL-009</t>
  </si>
  <si>
    <t>EJE ROTOR CFL. 7310-CFL-009</t>
  </si>
  <si>
    <t>SISTEMA ESTRUCTURAL CFL. 7310-CFL-009</t>
  </si>
  <si>
    <t>RODAPIE CFL. 7310-CFL-009</t>
  </si>
  <si>
    <t>ESTANQUE CFL. 7310-CFL-009</t>
  </si>
  <si>
    <t>CROWDER CFL. 7310-CFL-009</t>
  </si>
  <si>
    <t>SISTEMA MOTRIZ CFL. 7310-CFL-009</t>
  </si>
  <si>
    <t>MOTOR ELEC CFL. 7310-CFL-009</t>
  </si>
  <si>
    <t>POLEA MOTRIZ CFL. 7310-CFL-009</t>
  </si>
  <si>
    <t>POLEA CONDUCIDA CFL. 7310-CFL-009</t>
  </si>
  <si>
    <t>PROTECCION POLEAS CFL. 7310-CFL-009</t>
  </si>
  <si>
    <t>SISTEMA INSTRUMENTACION CFL 7310-CFL-009</t>
  </si>
  <si>
    <t>SISTEMA ELECTRICO CFL. 7310-CFL-009</t>
  </si>
  <si>
    <t>BOTONERA LOCAL CFL. 7310-CFL-009</t>
  </si>
  <si>
    <t>SISTEMA COMPONENTES CFL. 7310-CFL-008</t>
  </si>
  <si>
    <t>PORTA RODAMIENTO CFL. 7310-CFL-008</t>
  </si>
  <si>
    <t>ROTOR CFL. 7310-CFL-008</t>
  </si>
  <si>
    <t>ESTATOR CFL. 7310-CFL-008</t>
  </si>
  <si>
    <t>DARDOS TRASPASO CFL. 7310-CFL-008</t>
  </si>
  <si>
    <t>EJE ROTOR CFL. 7310-CFL-008</t>
  </si>
  <si>
    <t>SISTEMA ESTRUCTURAL CFL. 7310-CFL-008</t>
  </si>
  <si>
    <t>RODAPIE CFL. 7310-CFL-008</t>
  </si>
  <si>
    <t>ESTANQUE CFL. 7310-CFL-008</t>
  </si>
  <si>
    <t>CROWDER CFL. 7310-CFL-008</t>
  </si>
  <si>
    <t>SISTEMA MOTRIZ CFL. 7310-CFL-008</t>
  </si>
  <si>
    <t>MOTOR ELEC CFL. 7310-CFL-008</t>
  </si>
  <si>
    <t>POLEA MOTRIZ CFL. 7310-CFL-008</t>
  </si>
  <si>
    <t>POLEA CONDUCIDA CFL. 7310-CFL-008</t>
  </si>
  <si>
    <t>PROTECCION POLEAS CFL. 7310-CFL-008</t>
  </si>
  <si>
    <t>SISTEMA INSTRUMENTACION CFL 7310-CFL-008</t>
  </si>
  <si>
    <t>SISTEMA ELECTRICO CFL. 7310-CFL-008</t>
  </si>
  <si>
    <t>BOTONERA LOCAL CFL. 7310-CFL-008</t>
  </si>
  <si>
    <t>SISTEMA COMPONENTES CFL. 7310-CFL-007</t>
  </si>
  <si>
    <t>PORTA RODAMIENTO CFL. 7310-CFL-007</t>
  </si>
  <si>
    <t>ROTOR CFL. 7310-CFL-007</t>
  </si>
  <si>
    <t>ESTATOR CFL. 7310-CFL-007</t>
  </si>
  <si>
    <t>DARDOS TRASPASO CFL. 7310-CFL-007</t>
  </si>
  <si>
    <t>EJE ROTOR CFL. 7310-CFL-007</t>
  </si>
  <si>
    <t>SISTEMA ESTRUCTURAL CFL. 7310-CFL-007</t>
  </si>
  <si>
    <t>RODAPIE CFL. 7310-CFL-007</t>
  </si>
  <si>
    <t>ESTANQUE CFL. 7310-CFL-007</t>
  </si>
  <si>
    <t>CROWDER CFL. 7310-CFL-007</t>
  </si>
  <si>
    <t>SISTEMA MOTRIZ CFL. 7310-CFL-007</t>
  </si>
  <si>
    <t>MOTOR ELEC CFL. 7310-CFL-007</t>
  </si>
  <si>
    <t>POLEA MOTRIZ CFL. 7310-CFL-007</t>
  </si>
  <si>
    <t>POLEA CONDUCIDA CFL. 7310-CFL-007</t>
  </si>
  <si>
    <t>PROTECCION POLEAS CFL. 7310-CFL-007</t>
  </si>
  <si>
    <t>SISTEMA INSTRUMENTACION CFL 7310-CFL-007</t>
  </si>
  <si>
    <t>SISTEMA ELECTRICO CFL. 7310-CFL-007</t>
  </si>
  <si>
    <t>BOTONERA LOCAL CFL. 7310-CFL-007</t>
  </si>
  <si>
    <t>SISTEMA COMPONENTES CFL. 7310-CFL-006</t>
  </si>
  <si>
    <t>PORTA RODAMIENTO CFL. 7310-CFL-006</t>
  </si>
  <si>
    <t>ROTOR CFL. 7310-CFL-006</t>
  </si>
  <si>
    <t>ESTATOR CFL. 7310-CFL-006</t>
  </si>
  <si>
    <t>DARDOS TRASPASO CFL. 7310-CFL-006</t>
  </si>
  <si>
    <t>EJE ROTOR CFL. 7310-CFL-006</t>
  </si>
  <si>
    <t>SISTEMA ESTRUCTURAL CFL. 7310-CFL-006</t>
  </si>
  <si>
    <t>RODAPIE CFL. 7310-CFL-006</t>
  </si>
  <si>
    <t>ESTANQUE CFL. 7310-CFL-006</t>
  </si>
  <si>
    <t>CROWDER CFL. 7310-CFL-006</t>
  </si>
  <si>
    <t>SISTEMA MOTRIZ CFL. 7310-CFL-006</t>
  </si>
  <si>
    <t>MOTOR ELEC CFL. 7310-CFL-006</t>
  </si>
  <si>
    <t>POLEA MOTRIZ CFL. 7310-CFL-006</t>
  </si>
  <si>
    <t>POLEA CONDUCIDA CFL. 7310-CFL-006</t>
  </si>
  <si>
    <t>PROTECCION POLEAS CFL. 7310-CFL-006</t>
  </si>
  <si>
    <t>SISTEMA INSTRUMENTACION CFL 7310-CFL-006</t>
  </si>
  <si>
    <t>SISTEMA ELECTRICO CFL. 7310-CFL-006</t>
  </si>
  <si>
    <t>BOTONERA LOCAL CFL. 7310-CFL-006</t>
  </si>
  <si>
    <t>SISTEMA COMPONENTES CFL. 7330-CFL-001</t>
  </si>
  <si>
    <t>PORTA RODAMIENTO CFL. 7330-CFL-001</t>
  </si>
  <si>
    <t>ROTOR CFL. 7330-CFL-001</t>
  </si>
  <si>
    <t>ESTATOR CFL. 7330-CFL-001</t>
  </si>
  <si>
    <t>DARDOS TRASPASO CFL. 7330-CFL-001</t>
  </si>
  <si>
    <t>EJE ROTOR CFL. 7330-CFL-001</t>
  </si>
  <si>
    <t>SISTEMA ESTRUCTURAL CFL. 7330-CFL-001</t>
  </si>
  <si>
    <t>RODAPIE CFL. 7330-CFL-001</t>
  </si>
  <si>
    <t>ESTANQUE CFL. 7330-CFL-001</t>
  </si>
  <si>
    <t>CROWDER CFL. 7330-CFL-001</t>
  </si>
  <si>
    <t>SISTEMA MOTRIZ CFL. 7330-CFL-001</t>
  </si>
  <si>
    <t>MOTOR ELEC CFL. 7330-CFL-001</t>
  </si>
  <si>
    <t>POLEA MOTRIZ CFL. 7330-CFL-001</t>
  </si>
  <si>
    <t>POLEA CONDUCIDA CFL. 7330-CFL-001</t>
  </si>
  <si>
    <t>PROTECCION POLEAS CFL. 7330-CFL-001</t>
  </si>
  <si>
    <t>SISTEMA ELECTRICO CFL. 7330-CFL-001</t>
  </si>
  <si>
    <t>BOTONERA LOCAL CFL. 7330-CFL-001</t>
  </si>
  <si>
    <t>SISTEMA INSTRUMENTACION CFL 7330-CFL-001</t>
  </si>
  <si>
    <t>SISTEMA COMPONENTES CFL. 7330-CFL-016</t>
  </si>
  <si>
    <t>PORTA RODAMIENTO CFL. 7330-CFL-016</t>
  </si>
  <si>
    <t>ROTOR CFL. 7330-CFL-016</t>
  </si>
  <si>
    <t>ESTATOR CFL. 7330-CFL-016</t>
  </si>
  <si>
    <t>DARDOS TRASPASO CFL. 7330-CFL-016</t>
  </si>
  <si>
    <t>EJE ROTOR CFL. 7330-CFL-016</t>
  </si>
  <si>
    <t>SISTEMA ESTRUCTURAL CFL. 7330-CFL-016</t>
  </si>
  <si>
    <t>RODAPIE CFL. 7330-CFL-016</t>
  </si>
  <si>
    <t>ESTANQUE CFL. 7330-CFL-016</t>
  </si>
  <si>
    <t>CROWDER CFL. 7330-CFL-016</t>
  </si>
  <si>
    <t>SISTEMA MOTRIZ CFL. 7330-CFL-016</t>
  </si>
  <si>
    <t>MOTOR ELEC CFL. 7330-CFL-016</t>
  </si>
  <si>
    <t>POLEA MOTRIZ CFL. 7330-CFL-016</t>
  </si>
  <si>
    <t>POLEA CONDUCIDA CFL. 7330-CFL-016</t>
  </si>
  <si>
    <t>PROTECCION POLEAS CFL. 7330-CFL-016</t>
  </si>
  <si>
    <t>SISTEMA INSTRUMENTACION CFL 7330-CFL-016</t>
  </si>
  <si>
    <t>SISTEMA ELECTRICO CFL. 7330-CFL-016</t>
  </si>
  <si>
    <t>BOTONERA LOCAL CFL. 7330-CFL-016</t>
  </si>
  <si>
    <t>SISTEMA COMPONENTES CFL. 7330-CFL-015</t>
  </si>
  <si>
    <t>PORTA RODAMIENTO CFL. 7330-CFL-015</t>
  </si>
  <si>
    <t>ROTOR CFL. 7330-CFL-015</t>
  </si>
  <si>
    <t>ESTATOR CFL. 7330-CFL-015</t>
  </si>
  <si>
    <t>DARDOS TRASPASO CFL. 7330-CFL-015</t>
  </si>
  <si>
    <t>EJE ROTOR CFL. 7330-CFL-015</t>
  </si>
  <si>
    <t>SISTEMA ESTRUCTURAL CFL. 7330-CFL-015</t>
  </si>
  <si>
    <t>RODAPIE CFL. 7330-CFL-015</t>
  </si>
  <si>
    <t>ESTANQUE CFL. 7330-CFL-015</t>
  </si>
  <si>
    <t>CROWDER CFL. 7330-CFL-015</t>
  </si>
  <si>
    <t>SISTEMA MOTRIZ CFL. 7330-CFL-015</t>
  </si>
  <si>
    <t>MOTOR ELEC CFL. 7330-CFL-015</t>
  </si>
  <si>
    <t>POLEA MOTRIZ CFL. 7330-CFL-015</t>
  </si>
  <si>
    <t>POLEA CONDUCIDA CFL. 7330-CFL-015</t>
  </si>
  <si>
    <t>PROTECCION POLEAS CFL. 7330-CFL-015</t>
  </si>
  <si>
    <t>SISTEMA INSTRUMENTACION CFL 7330-CFL-015</t>
  </si>
  <si>
    <t>SISTEMA ELECTRICO CFL. 7330-CFL-015</t>
  </si>
  <si>
    <t>BOTONERA LOCAL CFL. 7330-CFL-015</t>
  </si>
  <si>
    <t>SISTEMA COMPONENTES CFL. 7330-CFL-014</t>
  </si>
  <si>
    <t>PORTA RODAMIENTO CFL. 7330-CFL-014</t>
  </si>
  <si>
    <t>ROTOR CFL. 7330-CFL-014</t>
  </si>
  <si>
    <t>ESTATOR CFL. 7330-CFL-014</t>
  </si>
  <si>
    <t>DARDOS TRASPASO CFL. 7330-CFL-014</t>
  </si>
  <si>
    <t>EJE ROTOR CFL. 7330-CFL-014</t>
  </si>
  <si>
    <t>SISTEMA ESTRUCTURAL CFL. 7330-CFL-014</t>
  </si>
  <si>
    <t>RODAPIE CFL. 7330-CFL-014</t>
  </si>
  <si>
    <t>ESTANQUE CFL. 7330-CFL-014</t>
  </si>
  <si>
    <t>CROWDER CFL. 7330-CFL-014</t>
  </si>
  <si>
    <t>SISTEMA MOTRIZ CFL. 7330-CFL-014</t>
  </si>
  <si>
    <t>MOTOR ELEC CFL. 7330-CFL-014</t>
  </si>
  <si>
    <t>POLEA MOTRIZ CFL. 7330-CFL-014</t>
  </si>
  <si>
    <t>POLEA CONDUCIDA CFL. 7330-CFL-014</t>
  </si>
  <si>
    <t>PROTECCION POLEAS CFL. 7330-CFL-014</t>
  </si>
  <si>
    <t>SISTEMA INSTRUMENTACION CFL 7330-CFL-014</t>
  </si>
  <si>
    <t>SISTEMA ELECTRICO CFL. 7330-CFL-014</t>
  </si>
  <si>
    <t>BOTONERA LOCAL CFL. 7330-CFL-014</t>
  </si>
  <si>
    <t>SISTEMA COMPONENTES CFL. 7330-CFL-013</t>
  </si>
  <si>
    <t>PORTA RODAMIENTO CFL. 7330-CFL-013</t>
  </si>
  <si>
    <t>ROTOR CFL. 7330-CFL-013</t>
  </si>
  <si>
    <t>ESTATOR CFL. 7330-CFL-013</t>
  </si>
  <si>
    <t>DARDOS TRASPASO CFL. 7330-CFL-013</t>
  </si>
  <si>
    <t>EJE ROTOR CFL. 7330-CFL-013</t>
  </si>
  <si>
    <t>SISTEMA ESTRUCTURAL CFL. 7330-CFL-013</t>
  </si>
  <si>
    <t>RODAPIE CFL. 7330-CFL-013</t>
  </si>
  <si>
    <t>ESTANQUE CFL. 7330-CFL-013</t>
  </si>
  <si>
    <t>CROWDER CFL. 7330-CFL-013</t>
  </si>
  <si>
    <t>SISTEMA MOTRIZ CFL. 7330-CFL-013</t>
  </si>
  <si>
    <t>MOTOR ELEC CFL. 7330-CFL-013</t>
  </si>
  <si>
    <t>POLEA MOTRIZ CFL. 7330-CFL-013</t>
  </si>
  <si>
    <t>POLEA CONDUCIDA CFL. 7330-CFL-013</t>
  </si>
  <si>
    <t>PROTECCION POLEAS CFL. 7330-CFL-013</t>
  </si>
  <si>
    <t>SISTEMA INSTRUMENTACION CFL 7330-CFL-013</t>
  </si>
  <si>
    <t>SISTEMA ELECTRICO CFL. 7330-CFL-013</t>
  </si>
  <si>
    <t>BOTONERA LOCAL CFL. 7330-CFL-013</t>
  </si>
  <si>
    <t>SISTEMA COMPONENTES CFL. 7330-CFL-012</t>
  </si>
  <si>
    <t>PORTA RODAMIENTO CFL. 7330-CFL-012</t>
  </si>
  <si>
    <t>ROTOR CFL. 7330-CFL-012</t>
  </si>
  <si>
    <t>ESTATOR CFL. 7330-CFL-012</t>
  </si>
  <si>
    <t>DARDOS TRASPASO CFL. 7330-CFL-012</t>
  </si>
  <si>
    <t>EJE ROTOR CFL. 7330-CFL-012</t>
  </si>
  <si>
    <t>SISTEMA ESTRUCTURAL CFL. 7330-CFL-012</t>
  </si>
  <si>
    <t>RODAPIE CFL. 7330-CFL-012</t>
  </si>
  <si>
    <t>ESTANQUE CFL. 7330-CFL-012</t>
  </si>
  <si>
    <t>CROWDER CFL. 7330-CFL-012</t>
  </si>
  <si>
    <t>SISTEMA MOTRIZ CFL. 7330-CFL-012</t>
  </si>
  <si>
    <t>MOTOR ELEC CFL. 7330-CFL-012</t>
  </si>
  <si>
    <t>POLEA MOTRIZ CFL. 7330-CFL-012</t>
  </si>
  <si>
    <t>POLEA CONDUCIDA CFL. 7330-CFL-012</t>
  </si>
  <si>
    <t>PROTECCION POLEAS CFL. 7330-CFL-012</t>
  </si>
  <si>
    <t>SISTEMA INSTRUMENTACION CFL 7330-CFL-012</t>
  </si>
  <si>
    <t>SISTEMA ELECTRICO CFL. 7330-CFL-012</t>
  </si>
  <si>
    <t>BOTONERA LOCAL CFL. 7330-CFL-012</t>
  </si>
  <si>
    <t>SISTEMA COMPONENTES CFL. 7330-CFL-011</t>
  </si>
  <si>
    <t>PORTA RODAMIENTO CFL. 7330-CFL-011</t>
  </si>
  <si>
    <t>ROTOR CFL. 7330-CFL-011</t>
  </si>
  <si>
    <t>ESTATOR CFL. 7330-CFL-011</t>
  </si>
  <si>
    <t>DARDOS TRASPASO CFL. 7330-CFL-011</t>
  </si>
  <si>
    <t>EJE ROTOR CFL. 7330-CFL-011</t>
  </si>
  <si>
    <t>SISTEMA ESTRUCTURAL CFL. 7330-CFL-011</t>
  </si>
  <si>
    <t>RODAPIE CFL. 7330-CFL-011</t>
  </si>
  <si>
    <t>ESTANQUE CFL. 7330-CFL-011</t>
  </si>
  <si>
    <t>CROWDER CFL. 7330-CFL-011</t>
  </si>
  <si>
    <t>SISTEMA MOTRIZ CFL. 7330-CFL-011</t>
  </si>
  <si>
    <t>MOTOR ELEC CFL. 7330-CFL-011</t>
  </si>
  <si>
    <t>POLEA MOTRIZ CFL. 7330-CFL-011</t>
  </si>
  <si>
    <t>POLEA CONDUCIDA CFL. 7330-CFL-011</t>
  </si>
  <si>
    <t>PROTECCION POLEAS CFL. 7330-CFL-011</t>
  </si>
  <si>
    <t>SISTEMA INSTRUMENTACION CFL 7330-CFL-011</t>
  </si>
  <si>
    <t>SISTEMA ELECTRICO CFL. 7330-CFL-011</t>
  </si>
  <si>
    <t>BOTONERA LOCAL CFL. 7330-CFL-011</t>
  </si>
  <si>
    <t>SISTEMA COMPONENTES CFL. 7330-CFL-010</t>
  </si>
  <si>
    <t>PORTA RODAMIENTO CFL. 7330-CFL-010</t>
  </si>
  <si>
    <t>ROTOR CFL. 7330-CFL-010</t>
  </si>
  <si>
    <t>ESTATOR CFL. 7330-CFL-010</t>
  </si>
  <si>
    <t>DARDOS TRASPASO CFL. 7330-CFL-010</t>
  </si>
  <si>
    <t>EJE ROTOR CFL. 7330-CFL-010</t>
  </si>
  <si>
    <t>SISTEMA ESTRUCTURAL CFL. 7330-CFL-010</t>
  </si>
  <si>
    <t>RODAPIE CFL. 7330-CFL-010</t>
  </si>
  <si>
    <t>ESTANQUE CFL. 7330-CFL-010</t>
  </si>
  <si>
    <t>CROWDER CFL. 7330-CFL-010</t>
  </si>
  <si>
    <t>SISTEMA MOTRIZ CFL. 7330-CFL-010</t>
  </si>
  <si>
    <t>MOTOR ELEC CFL. 7330-CFL-010</t>
  </si>
  <si>
    <t>POLEA MOTRIZ CFL. 7330-CFL-010</t>
  </si>
  <si>
    <t>POLEA CONDUCIDA CFL. 7330-CFL-010</t>
  </si>
  <si>
    <t>PROTECCION POLEAS CFL. 7330-CFL-010</t>
  </si>
  <si>
    <t>SISTEMA INSTRUMENTACION CFL 7330-CFL-010</t>
  </si>
  <si>
    <t>SISTEMA ELECTRICO CFL. 7330-CFL-010</t>
  </si>
  <si>
    <t>BOTONERA LOCAL CFL. 7330-CFL-010</t>
  </si>
  <si>
    <t>SISTEMA COMPONENTES CFL. 7330-CFL-009</t>
  </si>
  <si>
    <t>PORTA RODAMIENTO CFL. 7330-CFL-009</t>
  </si>
  <si>
    <t>ROTOR CFL. 7330-CFL-009</t>
  </si>
  <si>
    <t>ESTATOR CFL. 7330-CFL-009</t>
  </si>
  <si>
    <t>DARDOS TRASPASO CFL. 7330-CFL-009</t>
  </si>
  <si>
    <t>EJE ROTOR CFL. 7330-CFL-009</t>
  </si>
  <si>
    <t>SISTEMA ESTRUCTURAL CFL. 7330-CFL-009</t>
  </si>
  <si>
    <t>RODAPIE CFL. 7330-CFL-009</t>
  </si>
  <si>
    <t>ESTANQUE CFL. 7330-CFL-009</t>
  </si>
  <si>
    <t>CROWDER CFL. 7330-CFL-009</t>
  </si>
  <si>
    <t>SISTEMA MOTRIZ CFL. 7330-CFL-009</t>
  </si>
  <si>
    <t>MOTOR ELEC CFL. 7330-CFL-009</t>
  </si>
  <si>
    <t>POLEA MOTRIZ CFL. 7330-CFL-009</t>
  </si>
  <si>
    <t>POLEA CONDUCIDA CFL. 7330-CFL-009</t>
  </si>
  <si>
    <t>PROTECCION POLEAS CFL. 7330-CFL-009</t>
  </si>
  <si>
    <t>SISTEMA INSTRUMENTACION CFL 7330-CFL-009</t>
  </si>
  <si>
    <t>SISTEMA ELECTRICO CFL. 7330-CFL-009</t>
  </si>
  <si>
    <t>BOTONERA LOCAL CFL. 7330-CFL-009</t>
  </si>
  <si>
    <t>SISTEMA COMPONENTES CFL. 7330-CFL-008</t>
  </si>
  <si>
    <t>PORTA RODAMIENTO CFL. 7330-CFL-008</t>
  </si>
  <si>
    <t>ROTOR CFL. 7330-CFL-008</t>
  </si>
  <si>
    <t>ESTATOR CFL. 7330-CFL-008</t>
  </si>
  <si>
    <t>DARDOS TRASPASO CFL. 7330-CFL-008</t>
  </si>
  <si>
    <t>EJE ROTOR CFL. 7330-CFL-008</t>
  </si>
  <si>
    <t>SISTEMA ESTRUCTURAL CFL. 7330-CFL-008</t>
  </si>
  <si>
    <t>RODAPIE CFL. 7330-CFL-008</t>
  </si>
  <si>
    <t>ESTANQUE CFL. 7330-CFL-008</t>
  </si>
  <si>
    <t>CROWDER CFL. 7330-CFL-008</t>
  </si>
  <si>
    <t>SISTEMA MOTRIZ CFL. 7330-CFL-008</t>
  </si>
  <si>
    <t>MOTOR ELEC CFL. 7330-CFL-008</t>
  </si>
  <si>
    <t>POLEA MOTRIZ CFL. 7330-CFL-008</t>
  </si>
  <si>
    <t>POLEA CONDUCIDA CFL. 7330-CFL-008</t>
  </si>
  <si>
    <t>PROTECCION POLEAS CFL. 7330-CFL-008</t>
  </si>
  <si>
    <t>SISTEMA INSTRUMENTACION CFL 7330-CFL-008</t>
  </si>
  <si>
    <t>SISTEMA ELECTRICO CFL. 7330-CFL-008</t>
  </si>
  <si>
    <t>BOTONERA LOCAL CFL. 7330-CFL-008</t>
  </si>
  <si>
    <t>SISTEMA COMPONENTES CFL. 7330-CFL-007</t>
  </si>
  <si>
    <t>PORTA RODAMIENTO CFL. 7330-CFL-007</t>
  </si>
  <si>
    <t>ROTOR CFL. 7330-CFL-007</t>
  </si>
  <si>
    <t>ESTATOR CFL. 7330-CFL-007</t>
  </si>
  <si>
    <t>DARDOS TRASPASO CFL. 7330-CFL-007</t>
  </si>
  <si>
    <t>EJE ROTOR CFL. 7330-CFL-007</t>
  </si>
  <si>
    <t>SISTEMA ESTRUCTURAL CFL. 7330-CFL-007</t>
  </si>
  <si>
    <t>RODAPIE CFL. 7330-CFL-007</t>
  </si>
  <si>
    <t>ESTANQUE CFL. 7330-CFL-007</t>
  </si>
  <si>
    <t>CROWDER CFL. 7330-CFL-007</t>
  </si>
  <si>
    <t>SISTEMA MOTRIZ CFL. 7330-CFL-007</t>
  </si>
  <si>
    <t>MOTOR ELEC CFL. 7330-CFL-007</t>
  </si>
  <si>
    <t>POLEA MOTRIZ CFL. 7330-CFL-007</t>
  </si>
  <si>
    <t>POLEA CONDUCIDA CFL. 7330-CFL-007</t>
  </si>
  <si>
    <t>PROTECCION POLEAS CFL. 7330-CFL-007</t>
  </si>
  <si>
    <t>SISTEMA INSTRUMENTACION CFL 7330-CFL-007</t>
  </si>
  <si>
    <t>SISTEMA ELECTRICO CFL. 7330-CFL-007</t>
  </si>
  <si>
    <t>BOTONERA LOCAL CFL. 7330-CFL-007</t>
  </si>
  <si>
    <t>SISTEMA COMPONENTES CFL. 7330-CFL-006</t>
  </si>
  <si>
    <t>PORTA RODAMIENTO CFL. 7330-CFL-006</t>
  </si>
  <si>
    <t>ROTOR CFL. 7330-CFL-006</t>
  </si>
  <si>
    <t>ESTATOR CFL. 7330-CFL-006</t>
  </si>
  <si>
    <t>DARDOS TRASPASO CFL. 7330-CFL-006</t>
  </si>
  <si>
    <t>EJE ROTOR CFL. 7330-CFL-006</t>
  </si>
  <si>
    <t>SISTEMA ESTRUCTURAL CFL. 7330-CFL-006</t>
  </si>
  <si>
    <t>RODAPIE CFL. 7330-CFL-006</t>
  </si>
  <si>
    <t>ESTANQUE CFL. 7330-CFL-006</t>
  </si>
  <si>
    <t>CROWDER CFL. 7330-CFL-006</t>
  </si>
  <si>
    <t>SISTEMA MOTRIZ CFL. 7330-CFL-006</t>
  </si>
  <si>
    <t>MOTOR ELEC CFL. 7330-CFL-006</t>
  </si>
  <si>
    <t>POLEA MOTRIZ CFL. 7330-CFL-006</t>
  </si>
  <si>
    <t>POLEA CONDUCIDA CFL. 7330-CFL-006</t>
  </si>
  <si>
    <t>PROTECCION POLEAS CFL. 7330-CFL-006</t>
  </si>
  <si>
    <t>SISTEMA INSTRUMENTACION CFL 7330-CFL-006</t>
  </si>
  <si>
    <t>SISTEMA ELECTRICO CFL. 7330-CFL-006</t>
  </si>
  <si>
    <t>BOTONERA LOCAL CFL. 7330-CFL-006</t>
  </si>
  <si>
    <t>SISTEMA COMPONENTES CFL. 7330-CFL-005</t>
  </si>
  <si>
    <t>PORTA RODAMIENTO CFL. 7330-CFL-005</t>
  </si>
  <si>
    <t>ROTOR CFL. 7330-CFL-005</t>
  </si>
  <si>
    <t>ESTATOR CFL. 7330-CFL-005</t>
  </si>
  <si>
    <t>DARDOS TRASPASO CFL. 7330-CFL-005</t>
  </si>
  <si>
    <t>EJE ROTOR CFL. 7330-CFL-005</t>
  </si>
  <si>
    <t>SISTEMA ESTRUCTURAL CFL. 7330-CFL-005</t>
  </si>
  <si>
    <t>RODAPIE CFL. 7330-CFL-005</t>
  </si>
  <si>
    <t>ESTANQUE CFL. 7330-CFL-005</t>
  </si>
  <si>
    <t>CROWDER CFL. 7330-CFL-005</t>
  </si>
  <si>
    <t>SISTEMA MOTRIZ CFL. 7330-CFL-005</t>
  </si>
  <si>
    <t>MOTOR ELEC CFL. 7330-CFL-005</t>
  </si>
  <si>
    <t>POLEA MOTRIZ CFL. 7330-CFL-005</t>
  </si>
  <si>
    <t>POLEA CONDUCIDA CFL. 7330-CFL-005</t>
  </si>
  <si>
    <t>PROTECCION POLEAS CFL. 7330-CFL-005</t>
  </si>
  <si>
    <t>SISTEMA INSTRUMENTACION CFL 7330-CFL-005</t>
  </si>
  <si>
    <t>SISTEMA ELECTRICO CFL. 7330-CFL-005</t>
  </si>
  <si>
    <t>BOTONERA LOCAL CFL. 7330-CFL-005</t>
  </si>
  <si>
    <t>SISTEMA COMPONENTES CFL. 7330-CFL-004</t>
  </si>
  <si>
    <t>PORTA RODAMIENTO CFL. 7330-CFL-004</t>
  </si>
  <si>
    <t>ROTOR CFL. 7330-CFL-004</t>
  </si>
  <si>
    <t>ESTATOR CFL. 7330-CFL-004</t>
  </si>
  <si>
    <t>DARDOS TRASPASO CFL. 7330-CFL-004</t>
  </si>
  <si>
    <t>EJE ROTOR CFL. 7330-CFL-004</t>
  </si>
  <si>
    <t>SISTEMA ESTRUCTURAL CFL. 7330-CFL-004</t>
  </si>
  <si>
    <t>RODAPIE CFL. 7330-CFL-004</t>
  </si>
  <si>
    <t>ESTANQUE CFL. 7330-CFL-004</t>
  </si>
  <si>
    <t>CROWDER CFL. 7330-CFL-004</t>
  </si>
  <si>
    <t>SISTEMA MOTRIZ CFL. 7330-CFL-004</t>
  </si>
  <si>
    <t>MOTOR ELEC CFL. 7330-CFL-004</t>
  </si>
  <si>
    <t>POLEA MOTRIZ CFL. 7330-CFL-004</t>
  </si>
  <si>
    <t>POLEA CONDUCIDA CFL. 7330-CFL-004</t>
  </si>
  <si>
    <t>PROTECCION POLEAS CFL. 7330-CFL-004</t>
  </si>
  <si>
    <t>SISTEMA INSTRUMENTACION CFL 7330-CFL-004</t>
  </si>
  <si>
    <t>SISTEMA ELECTRICO CFL. 7330-CFL-004</t>
  </si>
  <si>
    <t>BOTONERA LOCAL CFL. 7330-CFL-004</t>
  </si>
  <si>
    <t>SISTEMA COMPONENTES CFL. 7330-CFL-003</t>
  </si>
  <si>
    <t>PORTA RODAMIENTO CFL. 7330-CFL-003</t>
  </si>
  <si>
    <t>ROTOR CFL. 7330-CFL-003</t>
  </si>
  <si>
    <t>ESTATOR CFL. 7330-CFL-003</t>
  </si>
  <si>
    <t>DARDOS TRASPASO CFL. 7330-CFL-003</t>
  </si>
  <si>
    <t>EJE ROTOR CFL. 7330-CFL-003</t>
  </si>
  <si>
    <t>SISTEMA ESTRUCTURAL CFL. 7330-CFL-003</t>
  </si>
  <si>
    <t>RODAPIE CFL. 7330-CFL-003</t>
  </si>
  <si>
    <t>ESTANQUE CFL. 7330-CFL-003</t>
  </si>
  <si>
    <t>CROWDER CFL. 7330-CFL-003</t>
  </si>
  <si>
    <t>SISTEMA MOTRIZ CFL. 7330-CFL-003</t>
  </si>
  <si>
    <t>MOTOR ELEC CFL. 7330-CFL-003</t>
  </si>
  <si>
    <t>POLEA MOTRIZ CFL. 7330-CFL-003</t>
  </si>
  <si>
    <t>POLEA CONDUCIDA CFL. 7330-CFL-003</t>
  </si>
  <si>
    <t>PROTECCION POLEAS CFL. 7330-CFL-003</t>
  </si>
  <si>
    <t>SISTEMA INSTRUMENTACION CFL 7330-CFL-003</t>
  </si>
  <si>
    <t>SISTEMA ELECTRICO CFL. 7330-CFL-003</t>
  </si>
  <si>
    <t>BOTONERA LOCAL CFL. 7330-CFL-003</t>
  </si>
  <si>
    <t>SISTEMA COMPONENTES CFL. 7330-CFL-002</t>
  </si>
  <si>
    <t>PORTA RODAMIENTO CFL. 7330-CFL-002</t>
  </si>
  <si>
    <t>ROTOR CFL. 7330-CFL-002</t>
  </si>
  <si>
    <t>ESTATOR CFL. 7330-CFL-002</t>
  </si>
  <si>
    <t>DARDOS TRASPASO CFL. 7330-CFL-002</t>
  </si>
  <si>
    <t>EJE ROTOR CFL. 7330-CFL-002</t>
  </si>
  <si>
    <t>SISTEMA ESTRUCTURAL CFL. 7330-CFL-002</t>
  </si>
  <si>
    <t>RODAPIE CFL. 7330-CFL-002</t>
  </si>
  <si>
    <t>ESTANQUE CFL. 7330-CFL-002</t>
  </si>
  <si>
    <t>CROWDER CFL. 7330-CFL-002</t>
  </si>
  <si>
    <t>SISTEMA MOTRIZ CFL. 7330-CFL-002</t>
  </si>
  <si>
    <t>MOTOR ELEC CFL. 7330-CFL-002</t>
  </si>
  <si>
    <t>POLEA MOTRIZ CFL. 7330-CFL-002</t>
  </si>
  <si>
    <t>POLEA CONDUCIDA CFL. 7330-CFL-002</t>
  </si>
  <si>
    <t>PROTECCION POLEAS CFL. 7330-CFL-002</t>
  </si>
  <si>
    <t>SISTEMA INSTRUMENTACION CFL 7330-CFL-002</t>
  </si>
  <si>
    <t>SISTEMA ELECTRICO CFL. 7330-CFL-002</t>
  </si>
  <si>
    <t>BOTONERA LOCAL CFL. 7330-CFL-002</t>
  </si>
  <si>
    <t>PARETES HUMEDAS BBA. 7330-BOC-001</t>
  </si>
  <si>
    <t>PIPING Y VALVULAS BBA. 7330-BOC-001</t>
  </si>
  <si>
    <t>SISTEMA AGUA SELLO BBA. 7330-BOC-001</t>
  </si>
  <si>
    <t>SISTEMA MOTRIZ BBA. 7330-BOC-001</t>
  </si>
  <si>
    <t>MOTOR ELEC BBA. 7330-BOC-001</t>
  </si>
  <si>
    <t>SISTEMA INSTRUMENTACION BBA 7330-BOC-001</t>
  </si>
  <si>
    <t>SISTEMA ELECTRICO BBA. 7330-BOC-001</t>
  </si>
  <si>
    <t>BOTONERA LOCAL BBA. 7330-BOC-001</t>
  </si>
  <si>
    <t>PARTES HUMEDAS BBA. 7330-BOC-002</t>
  </si>
  <si>
    <t>PIPING Y VALVULAS BBA. 7330-BOC-002</t>
  </si>
  <si>
    <t>SISTEMA AGUA SELLO BBA. 7330-BOC-002</t>
  </si>
  <si>
    <t>SISTEMA MOTRIZ BBA. 7330-BOC-002</t>
  </si>
  <si>
    <t>PARTES HUMEDAS BBA. 7330-BBA-001</t>
  </si>
  <si>
    <t>PIPING Y VALVULAS BBA. 7330-BBA-001</t>
  </si>
  <si>
    <t>SISTEMA MOTRIZ BBA. 7330-BBA-001</t>
  </si>
  <si>
    <t>SISTEMA INSTRUMENTACION BBA 7330-BBA-001</t>
  </si>
  <si>
    <t>SISTEMA ELECTRICO BBA. 7330-BBA-001</t>
  </si>
  <si>
    <t>BOTONERA LOCAL BBA. 7330-BBA-001</t>
  </si>
  <si>
    <t>BOTONERA LOCAL BBA. 7510-BBA-001</t>
  </si>
  <si>
    <t>BOTONERA LOCAL GRUA 7420-GPC-001</t>
  </si>
  <si>
    <t>BOTONERA LOCAL ALIM. 7420-ACT-003</t>
  </si>
  <si>
    <t>VDF 15 kW, 600 V</t>
  </si>
  <si>
    <t>VDF 22 kW, 600 V</t>
  </si>
  <si>
    <t>SISTEMA HIDRAULICO SLZ. 7110-SLZ-001</t>
  </si>
  <si>
    <t>CILINDROS ACTUADORES SLZ. 7110-SLZ-001</t>
  </si>
  <si>
    <t>BOMBA UHD SLZ. 7110-SLZ-001</t>
  </si>
  <si>
    <t>ESTANQUE UHD SLZ. 7110-SLZ-001</t>
  </si>
  <si>
    <t>MOTOR ELEC UHD SLZ. 7110-SLZ-001</t>
  </si>
  <si>
    <t>CALEFACTOR ESTANQUE UHD SLZ 7110-SLZ-001</t>
  </si>
  <si>
    <t>SISTEMA MECANICO SLZ. 7110-SLZ-001</t>
  </si>
  <si>
    <t>SET DE LANZAS SLZ. 7110-SLZ-001</t>
  </si>
  <si>
    <t>SISTEMA ESTRUCTURAL SLZ. 7110-SLZ-001</t>
  </si>
  <si>
    <t>CHUTE SLZ. 7110-SLZ-001</t>
  </si>
  <si>
    <t>SISTEMA HIDRONEUMATICO SDP. 7110-SDP-001</t>
  </si>
  <si>
    <t>SISTEMA INSTRUMENTACION SDP 7120-SDP-001</t>
  </si>
  <si>
    <t>GABINETE CTRL. Y MONITOREO 7120-SDP-001</t>
  </si>
  <si>
    <t>SISTEMA MECANICO APC. 7120-APC-001</t>
  </si>
  <si>
    <t>RUEDA COLA APC. 7120-APC-001</t>
  </si>
  <si>
    <t>PIÑON CABEZA APC. 7120-APC-001</t>
  </si>
  <si>
    <t>CADENA APC. 7120-APC-001</t>
  </si>
  <si>
    <t>PLACAS APC. 7120-APC-001</t>
  </si>
  <si>
    <t>SISTEMA INSTRUMENTACION APC 7120-APC-001</t>
  </si>
  <si>
    <t>SISTEMA LUBRICACION APC. 7120-APC-001</t>
  </si>
  <si>
    <t>BOMBA LUBRICACION APC. 7120-APC-001</t>
  </si>
  <si>
    <t>MOTOR ELEC BBA LUBR APC. 7120-APC-001</t>
  </si>
  <si>
    <t>SENSOR DE CICLO SLU APC. 7120-APC-001</t>
  </si>
  <si>
    <t>DISTRIBUIDOR FLUJO SIST LUB 7120-APC-001</t>
  </si>
  <si>
    <t>SISTEMA HIDRAULICO APC. 7120-APC-001</t>
  </si>
  <si>
    <t>BOMBA UHD APC. 7120-APC-001</t>
  </si>
  <si>
    <t>ACUMULADOR PRESION UHD APC. 7120-APC-001</t>
  </si>
  <si>
    <t>ESTANQUE UHD APC. 7120-APC-001</t>
  </si>
  <si>
    <t>MOTOR ELEC UHD APC. 7120-APC-001</t>
  </si>
  <si>
    <t>FLUSHING UHD APC. 7120-APC-001</t>
  </si>
  <si>
    <t>CALEFACTOR UHD APC. 7120-APC-001</t>
  </si>
  <si>
    <t>ENFRIADOR UHD APC. 7120-APC-001</t>
  </si>
  <si>
    <t>CHUTE ALIMENTACION APC. 7120-APC-001</t>
  </si>
  <si>
    <t>CHUTE RECOLECTOR FINOS APC. 7120-APC-001</t>
  </si>
  <si>
    <t>SISTEMA INSTRUMENTACION CTR 7120-CTR-001</t>
  </si>
  <si>
    <t>SISTEMA ESTRUCTURAL CTR. 7120-CTR-001</t>
  </si>
  <si>
    <t>ESTRUCTURA PPAL. CTR. 7120-CTR-001</t>
  </si>
  <si>
    <t>SISTEMA TRANSPORTE CTR. 7120-CTR-001</t>
  </si>
  <si>
    <t>CINTA CTR. 7120-CTR-001</t>
  </si>
  <si>
    <t>POLEA DE CABEZA CTR. 7120-CTR-001</t>
  </si>
  <si>
    <t>POLEAS DEFLECTORAS CTR. 7120-CTR-001</t>
  </si>
  <si>
    <t>SISTEMA TENSOR CTR. 7120-CTR-001</t>
  </si>
  <si>
    <t>TENSOR GRAVITACIONAL CTR. 7120-CTR-001</t>
  </si>
  <si>
    <t>SISTEMA MOTRIZ CTR. 7120-CTR-001</t>
  </si>
  <si>
    <t>MOTOR ELEC CTR. 7120-CTR-001</t>
  </si>
  <si>
    <t>REDUCTOR CTR. 7120-CTR-001</t>
  </si>
  <si>
    <t>ACOPLAMIENTO CTR. 7120-CTR-001</t>
  </si>
  <si>
    <t>FRENO BACKSTOP CTR. 7120-CTR-001</t>
  </si>
  <si>
    <t>POLEA MOTRIZ CTR. 7120-CTR-001</t>
  </si>
  <si>
    <t>INTERRUPTOR CORTE DE CTR. 7120-CTR-001</t>
  </si>
  <si>
    <t>INTERRUPTOR DESALIEAMIENTO 7120-CTR-001</t>
  </si>
  <si>
    <t>BOCINA Y BALIZA CTR. 7120-CTR-001</t>
  </si>
  <si>
    <t>SISTEMA PESAJE 7120-PES-001</t>
  </si>
  <si>
    <t>CELDAS DE CARGA PES. 7120-PES-001</t>
  </si>
  <si>
    <t>CAJA SUMADORA PES. 7120-PES-001</t>
  </si>
  <si>
    <t>POLINES PESOMETRICOS PES. 7120-PES-001</t>
  </si>
  <si>
    <t>PESO PATRON PES. 7120-PES-001</t>
  </si>
  <si>
    <t>UMP</t>
  </si>
  <si>
    <t>TRANSFORMADOR SECO 112,5KVA CH#1 7190</t>
  </si>
  <si>
    <t>TRANSFORMADOR SECO 75 KVA SALA CH#1 7190</t>
  </si>
  <si>
    <t>TABLERO DISTRIBUCION FUERZA 1 600V CH#1</t>
  </si>
  <si>
    <t>TABLERO DISTRIBUC FUERZA 2 400-231V CH#1</t>
  </si>
  <si>
    <t>FUENTE DE PODER UPS 14 KVA SAL CH#1 7190</t>
  </si>
  <si>
    <t>CASETA PROTECCION CILINDROS NOVEC CH#1</t>
  </si>
  <si>
    <t>GABINETE KIT EMERGEN Y CAMILLA CH#1 7190</t>
  </si>
  <si>
    <t>AIRE ACONDIC TIPO MOCHILA 1 SA CH#1 7190</t>
  </si>
  <si>
    <t>AIRE ACONDIC TIPO MOCHILA 2 SA CH#1 7190</t>
  </si>
  <si>
    <t>SECUENCIADOR HVAC SALA ELEC CH#1 7190</t>
  </si>
  <si>
    <t>EQUIPO PRESURIZACION SALA ELEC CH#1 7190</t>
  </si>
  <si>
    <t>TABLERO INSTRUMENT 120VCA SALA CH#1 7190</t>
  </si>
  <si>
    <t>PANEL SIS CONTRA INCENDIO 31 S CH#1 7190</t>
  </si>
  <si>
    <t>PANEL SIS CONTRA INCENDIO 32 S CH#1 7190</t>
  </si>
  <si>
    <t>GABINETE DCS SALA ELECTRICA CH#1 7190</t>
  </si>
  <si>
    <t>RACK COMUNICACIONES 64 SAL ELE CH#1 7190</t>
  </si>
  <si>
    <t>SCAMPV PANEL CONTROL ACCESO SA CH#1 7190</t>
  </si>
  <si>
    <t>GAITRONICS SALA ELECTRICA CH#1 7190</t>
  </si>
  <si>
    <t>BANCO DE CONDENSADORES SALA ELE CH1 7190</t>
  </si>
  <si>
    <t>SISTEMA DE ALUMBRADO S/E 7190-SEL-001</t>
  </si>
  <si>
    <t>SISTEMA TELEVISON S/E 7190-SEL-001</t>
  </si>
  <si>
    <t>SISTEMA HIDRAULICO SLZ 7210-SLZ-001</t>
  </si>
  <si>
    <t>CILINDROS ACTUADORES SLZ 7210-SLZ-001</t>
  </si>
  <si>
    <t>BOMBA UHD SLZ 7210-SLZ-001</t>
  </si>
  <si>
    <t>ESTANQUE UHD SLZ 7210-SLZ-001</t>
  </si>
  <si>
    <t>MOTOR ELEC UHD SLZ 7210-SLZ-001</t>
  </si>
  <si>
    <t>CALEFACTOR UHD SLZ 7210-SLZ-001</t>
  </si>
  <si>
    <t>SISTEMA MECANICO SLZ 7210-SLZ-001</t>
  </si>
  <si>
    <t>SET DE LANZAS SLZ 7210-SLZ-001</t>
  </si>
  <si>
    <t>CARRO LANZAS SLZ 7210-SLZ-001</t>
  </si>
  <si>
    <t>SISTEMA ESTRUCTURAL SLZ 7210-SLZ-001</t>
  </si>
  <si>
    <t>CHUTE SLZ 7210-SLZ-001</t>
  </si>
  <si>
    <t>SISTEMA MECANICO APC. 7210-APC-001</t>
  </si>
  <si>
    <t>RUEDA COLA APC. 7210-APC-001</t>
  </si>
  <si>
    <t>PIÑON CABEZA APC. 7210-APC-001</t>
  </si>
  <si>
    <t>CADENA APC. 7210-APC-001</t>
  </si>
  <si>
    <t>PLACAS APC. 7210-APC-001</t>
  </si>
  <si>
    <t>SENSOR DE ATOLLO APC. 7210-APC-001</t>
  </si>
  <si>
    <t>SISTEMA INSTRUMENTACION APC 7210-APC-001</t>
  </si>
  <si>
    <t>SISTEMA LUBRICACION APC. 7210-APC-001</t>
  </si>
  <si>
    <t>BOMBA LUBRICACION APC. 7210-APC-001</t>
  </si>
  <si>
    <t>MOTOR ELEC BBA LUB APC. 7210-APC-001</t>
  </si>
  <si>
    <t>DISTRIBUIDOR FLUJO LUB APC. 7210-APC-001</t>
  </si>
  <si>
    <t>SENSOR CICLO LUBR APC. 7210-APC-001</t>
  </si>
  <si>
    <t>SISTEMA HIDRAULICO APC. 7210-APC-001</t>
  </si>
  <si>
    <t>BOMBA UHD APC. 7210-APC-001</t>
  </si>
  <si>
    <t>ACUMULADOR PRESION UHD APC. 7210-APC-001</t>
  </si>
  <si>
    <t>ESTANQUE UHD APC. 7210-APC-001</t>
  </si>
  <si>
    <t>MOTOR ELEC UHD APC. 7210-APC-001</t>
  </si>
  <si>
    <t>FLUSHING UHD APC. 7210-APC-001</t>
  </si>
  <si>
    <t>CALEFACTOR UHD APC. 7210-APC-001</t>
  </si>
  <si>
    <t>ENFRIADOR UHD APC. 7210-APC-001</t>
  </si>
  <si>
    <t>SISTEMA ESTRUCTURAL APC. 7210-APC-001</t>
  </si>
  <si>
    <t>MOTOR ELEC FLUSHING UHD APC 7210-APC-001</t>
  </si>
  <si>
    <t>MOTOR ELEC ENFRIADOR UHD 7210-APC-001</t>
  </si>
  <si>
    <t>CHUTE ALIMENTACION APC. 7210-APC-001</t>
  </si>
  <si>
    <t>CHUTE DESCARGA APC. 7210-APC-001</t>
  </si>
  <si>
    <t>CHUTE RECOLECTOR FINOS APC. 7210-APC-001</t>
  </si>
  <si>
    <t>SISTEMA MECANICO APC. 7210-APC-002</t>
  </si>
  <si>
    <t>RUEDA COLA APC. 7210-APC-002</t>
  </si>
  <si>
    <t>PIÑON CABEZA APC. 7210-APC-002</t>
  </si>
  <si>
    <t>CADENA APC. 7210-APC-002</t>
  </si>
  <si>
    <t>PLACAS APC. 7210-APC-002</t>
  </si>
  <si>
    <t>SISTEMA INSTRUMENTACION APC 7210-APC-002</t>
  </si>
  <si>
    <t>SENSOR DE ATOLLO APC. 7210-APC-002</t>
  </si>
  <si>
    <t>SISTEMA LUBRICACION APC. 7210-APC-002</t>
  </si>
  <si>
    <t>BOMBA LUBRICACION APC. 7210-APC-002</t>
  </si>
  <si>
    <t>MOTOR ELEC BBA LUB APC. 7210-APC-002</t>
  </si>
  <si>
    <t>DISTRIBUIDOR FLUJO LUB APC. 7210-APC-002</t>
  </si>
  <si>
    <t>SENSOR CICLO LUBR APC. 7210-APC-002</t>
  </si>
  <si>
    <t>SISTEMA HIDRAULICO APC. 7210-APC-002</t>
  </si>
  <si>
    <t>BOMBA UHD APC. 7210-APC-002</t>
  </si>
  <si>
    <t>ACUMULADOR PRESION UHD APC. 7210-APC-002</t>
  </si>
  <si>
    <t>ESTANQUE UHD APC. 7210-APC-002</t>
  </si>
  <si>
    <t>MOTOR ELEC UHD APC. 7210-APC-002</t>
  </si>
  <si>
    <t>MOTOR ELEC ENFRIADOR UHD 7210-APC-002</t>
  </si>
  <si>
    <t>MOTOR ELEC FLUSHING UHD APC 7210-APC-002</t>
  </si>
  <si>
    <t>FLUSHING UHD APC. 7210-APC-002</t>
  </si>
  <si>
    <t>CALEFACTOR UHD APC. 7210-APC-002</t>
  </si>
  <si>
    <t>ENFRIADOR UHD APC. 7210-APC-002</t>
  </si>
  <si>
    <t>SISTEMA ESTRUCTURAL APC. 7210-APC-002</t>
  </si>
  <si>
    <t>CHUTE ALIMENTACION APC. 7210-APC-002</t>
  </si>
  <si>
    <t>CHUTE DESCARGA APC. 7210-APC-002</t>
  </si>
  <si>
    <t>CHUTE RECOLECTOR FINOS APC. 7210-APC-002</t>
  </si>
  <si>
    <t>SISTEMA HIDRAULICO SLZ 7210-SLZ-002</t>
  </si>
  <si>
    <t>CILINDROS ACTUADORES SLZ 7210-SLZ-002</t>
  </si>
  <si>
    <t>BOMBA UHD SLZ 7210-SLZ-002</t>
  </si>
  <si>
    <t>ESTANQUE UHD SLZ 7210-SLZ-002</t>
  </si>
  <si>
    <t>MOTOR ELEC UHD SLZ 7210-SLZ-002</t>
  </si>
  <si>
    <t>CALEFACTOR UHD SLZ 7210-SLZ-002</t>
  </si>
  <si>
    <t>SISTEMA MECANICO SLZ 7210-SLZ-002</t>
  </si>
  <si>
    <t>SET DE LANZAS SLZ 7210-SLZ-002</t>
  </si>
  <si>
    <t>CARRO LANZAS SLZ 7210-SLZ-002</t>
  </si>
  <si>
    <t>SISTEMA ESTRUCTURAL SLZ 7210-SLZ-002</t>
  </si>
  <si>
    <t>CHUTE SLZ 7210-SLZ-002</t>
  </si>
  <si>
    <t>SISTEMA INSTRUMENTACION SDP 7210-SDP-001</t>
  </si>
  <si>
    <t>SISTEMA HIDRONEUMATICO SDP 7210-SDP-001</t>
  </si>
  <si>
    <t>SISTEMA ESTRUCTURAL CTR 7210-CTR-001</t>
  </si>
  <si>
    <t>ESTRUCTURA PPAL CTR 7210-CTR-001</t>
  </si>
  <si>
    <t>SISTEMA TRANSPORTE CTR 7210-CTR-001</t>
  </si>
  <si>
    <t>POLEA DE CONTRAPESO CTR 7210-CTR-001</t>
  </si>
  <si>
    <t>POLINES DE RETORNO CTR 7210-CTR-001</t>
  </si>
  <si>
    <t>POLINES DE CARGA CTR 7210-CTR-001</t>
  </si>
  <si>
    <t>POLINES DE IMPACTO CTR 7210-CTR-001</t>
  </si>
  <si>
    <t>POLINES DE TRANSICION CTR 7210-CTR-001</t>
  </si>
  <si>
    <t>POLINES DE ALINEACION CTR 7210-CTR-001</t>
  </si>
  <si>
    <t>POLINES CALIBRACION CTR 7210-CTR-001</t>
  </si>
  <si>
    <t>SISTEMA TENSOR CTR 7210-CTR-001</t>
  </si>
  <si>
    <t>TENSOR GRAVITACIONAL CTR 7210-CTR-001</t>
  </si>
  <si>
    <t>POLEA DE COLA Y DEFLECTORA 7210-CTR-001</t>
  </si>
  <si>
    <t>SISTEMA MOTRIZ CTR 7210-CTR-001</t>
  </si>
  <si>
    <t>POLEA MOTRIZ CTR 7210-CTR-001</t>
  </si>
  <si>
    <t>SISTEMA INSTRUMENTACION CTR 7210-CTR-001</t>
  </si>
  <si>
    <t>INTERRUPTOR CORTE DE CTR 7210-CTR-001</t>
  </si>
  <si>
    <t>INTERRUPTOR DESALIEAMIENTO 7210-CTR-001</t>
  </si>
  <si>
    <t>BOCINA Y BALIZA CTR 7210-CTR-001</t>
  </si>
  <si>
    <t>SISTEMA PESAJE PES 7210-PES-001</t>
  </si>
  <si>
    <t>UNIDAD DE MEDICION DE PESO 7210-PES-001</t>
  </si>
  <si>
    <t>CELDAS DE CARGA PES 7210-PES-001</t>
  </si>
  <si>
    <t>CAJA SUMADORA PES 7210-PES-001</t>
  </si>
  <si>
    <t>POLINES PESOMETRICOS PES 7210-PES-001</t>
  </si>
  <si>
    <t>PESO PATRON PES 7210-PES-001</t>
  </si>
  <si>
    <t>VENTILADOR 1 MOTOR ELEC SAG 7210-MSG-001</t>
  </si>
  <si>
    <t>VENTILADOR 2 MOTOR ELEC SAG 7210-MSG-001</t>
  </si>
  <si>
    <t>CALEFACTORES MOTOR ELEC SAG 7210-MSG-001</t>
  </si>
  <si>
    <t>CONJUNTO DE FRENO SAG 7210-MSG-001</t>
  </si>
  <si>
    <t>BOMBA LUBR 1 ALTA PRES DESC 7210-MSG-001</t>
  </si>
  <si>
    <t>MOTOR ELEC BBA LUB 1 SAG 7210-MSG-001</t>
  </si>
  <si>
    <t>BOMBA LUBR 2 ALTA PRES DESC 7210-MSG-001</t>
  </si>
  <si>
    <t>MOTOR ELEC BBA LUB 2 SAG 7210-MSG-001</t>
  </si>
  <si>
    <t>BOMBA LUBR 3 ALTA PRES DESC 7210-MSG-001</t>
  </si>
  <si>
    <t>MOTOR ELEC BBA LUB 3 SAG 7210-MSG-001</t>
  </si>
  <si>
    <t>BOMBA ACOND 1 BAJA PRES SAG 7210-MSG-001</t>
  </si>
  <si>
    <t>MOTOR ELEC BBA ACOND 1 BAJA PRES SAG</t>
  </si>
  <si>
    <t>BOMBA ACOND 2 BAJA PRES SAG 7210-MSG-001</t>
  </si>
  <si>
    <t>MOTOR ELEC BBA ACOND 2 BAJA PRES SAG</t>
  </si>
  <si>
    <t>BOMBA 1 BAJA PRES LUBR ROD. PIÑON SAG</t>
  </si>
  <si>
    <t>BOMBA 2 BAJA PRES LUBR ROD. PIÑON SAG</t>
  </si>
  <si>
    <t>MOTOR ELEC BBA 2 B. PRES LUBR ROD. PIÑON</t>
  </si>
  <si>
    <t>MOTOR ELEC BBA 1 B. PRES LUBR ROD. PIÑON</t>
  </si>
  <si>
    <t>DISTRIBUIDOR DE FLUJO SAG 7210-MSG-001</t>
  </si>
  <si>
    <t>CALEFACTORES UNIDAD LUBR 7210-MSG-001</t>
  </si>
  <si>
    <t>BOMBA NEUMATICA ENGRASE SAG 7210-MSG-001</t>
  </si>
  <si>
    <t>BOQUILLAS SPRAY SAG 7210-MSG-001</t>
  </si>
  <si>
    <t>PANEL DE CONTROL LOCAL SAG 7210-MSG-001</t>
  </si>
  <si>
    <t>PANEL NEUMATICO SAG 7210-MSG-001</t>
  </si>
  <si>
    <t>TAMBOR DE GRASA SAG 7210-MSG-001</t>
  </si>
  <si>
    <t>REMOVEDOR DE PERNOS SAG 7210-MSG-001</t>
  </si>
  <si>
    <t>UHD REMOVEDOR PERNOS SAG 7210-MSG-001</t>
  </si>
  <si>
    <t>SISTEMA HIDRAULICO FRENOS 7210-MSG-001</t>
  </si>
  <si>
    <t>MOTOR ELEC UHD REMOV PERNOS 7210-MSG-001</t>
  </si>
  <si>
    <t>INTERRUPTOR DE FLUJO GRASA 7210-MSG-001</t>
  </si>
  <si>
    <t>INTERRUPTOR DE NIVEL DE GRASA TAMBOR SAG</t>
  </si>
  <si>
    <t>UNIDAD MONITOREO Y CONTROL ENGRASE SAG</t>
  </si>
  <si>
    <t>SISTEMA ESTRUCTURAL MBO 7220-MBO-001</t>
  </si>
  <si>
    <t>TRUNNION ALIMENTACION MBO 7220-MBO-001</t>
  </si>
  <si>
    <t>TRUNNION DESCARGA MBO 7220-MBO-001</t>
  </si>
  <si>
    <t>CHUTE ALIMENTACION MBO 7220-MBO-001</t>
  </si>
  <si>
    <t>CHUTE DESCARGA MBO 7220-MBO-001</t>
  </si>
  <si>
    <t>SISTEMA MOTRIZ MBO 7220-MBO-001</t>
  </si>
  <si>
    <t>MOTOR ELEC MBO 7220-MBO-001</t>
  </si>
  <si>
    <t>ACOPLAMIENTO MBO 7220-MBO-001</t>
  </si>
  <si>
    <t>CORONA MBO 7220-MBO-001</t>
  </si>
  <si>
    <t>PIÑON MBO 7220-MBO-001</t>
  </si>
  <si>
    <t>SISTEMA FRENOS MBO 7220-MBO-001</t>
  </si>
  <si>
    <t>SISTEMA DE LUBRICACION MBO 7220-MBO-001</t>
  </si>
  <si>
    <t>SISTEMA DE LEVANTE MBO 7220-MBO-001</t>
  </si>
  <si>
    <t>PLATAFORMA MBO 7220-MBO-001</t>
  </si>
  <si>
    <t>BOMBA DE SOPORTE MBO 7220-MBO-001</t>
  </si>
  <si>
    <t>REVESTIMIENTOS TAPA MBO 7220-MBO-001</t>
  </si>
  <si>
    <t>REVESTIMIENTOS TAPA DESCARGA MBO</t>
  </si>
  <si>
    <t>REVESTIMIENTOS MANTO MBO 7220-MBO-001</t>
  </si>
  <si>
    <t>BOMBA HIDRAULICA UHD MBO 7220-MBO-001</t>
  </si>
  <si>
    <t>ESTANQUE UHD MBO 7220-MBO-001</t>
  </si>
  <si>
    <t>MOTOR ELEC UHD MBO 7220-MBO-001</t>
  </si>
  <si>
    <t>ACUMULADOR DE PRESION UHD 7220-MBO-001</t>
  </si>
  <si>
    <t>SISTEMA INSTRUMENTACION MBO 7220-MBO-001</t>
  </si>
  <si>
    <t>07290-SEL-002</t>
  </si>
  <si>
    <t>SISTEMA ELECTRICO 7290-SEL-001</t>
  </si>
  <si>
    <t>BOMBA UHD 07310-CAJ-001</t>
  </si>
  <si>
    <t>ACUMULADOR PRESION UHD 7310-CAJ-001</t>
  </si>
  <si>
    <t>ESTANQUE UHD ACC VVA. DARDO 7310-CAJ-001</t>
  </si>
  <si>
    <t>BOTONERA LOCAL UHD 7310-CAJ-001</t>
  </si>
  <si>
    <t>PANEL DE CONTROL UHD 7310-CAJ-001</t>
  </si>
  <si>
    <t>SISTEMA MECANICO 7390-AU-0501A</t>
  </si>
  <si>
    <t>SISTEMA MOTRIZ 7390-AU-0501A</t>
  </si>
  <si>
    <t>SISTEMA ELECTRICO 7390-AU-0501A</t>
  </si>
  <si>
    <t>BOMBA MUESTRA 7390-AU-0501A</t>
  </si>
  <si>
    <t>MOTOR ELEC BBA 7390-AU-0501A</t>
  </si>
  <si>
    <t>SISTEMA MECANICO 7390-AU-0501B</t>
  </si>
  <si>
    <t>BOMBA MUESTRA 7390-AU-0501B</t>
  </si>
  <si>
    <t>SISTEMA MOTRIZ 7390-AU-0501B</t>
  </si>
  <si>
    <t>MOTOR ELEC BBA 7390-AU-0501B</t>
  </si>
  <si>
    <t>SISTEMA ELECTRICO 7390-AU-0501B</t>
  </si>
  <si>
    <t>SISTEMA MECANICO 7390-AU-0501C</t>
  </si>
  <si>
    <t>BOMBA MUESTRA 7390-AU-0501C</t>
  </si>
  <si>
    <t>SISTEMA MOTRIZ 7390-AU-0501C</t>
  </si>
  <si>
    <t>MOTOR ELEC BBA 7390-AU-0501C</t>
  </si>
  <si>
    <t>SISTEMA ELECTRICO 7390-AU-0501C</t>
  </si>
  <si>
    <t>SISTEMA MECANICO 7390-AU-0501D</t>
  </si>
  <si>
    <t>BOMBA MUESTRA 7390-AU-0501D</t>
  </si>
  <si>
    <t>SISTEMA MOTRIZ 7390-AU-0501D</t>
  </si>
  <si>
    <t>MOTOR ELEC BBA 7390-AU-0501D</t>
  </si>
  <si>
    <t>SISTEMA ELECTRICO 7390-AU-0501D</t>
  </si>
  <si>
    <t>SISTEMA MECANICO 7390-AU-0501F</t>
  </si>
  <si>
    <t>BOMBA MUESTRA 7390-AU-0501F</t>
  </si>
  <si>
    <t>SISTEMA MOTRIZ 7390-AU-0501F</t>
  </si>
  <si>
    <t>MOTOR ELEC BBA 7390-AU-0501F</t>
  </si>
  <si>
    <t>SISTEMA ELECTRICO 7390-AU-0501F</t>
  </si>
  <si>
    <t>SISTEMA MECANICO 7390-AU-0501E</t>
  </si>
  <si>
    <t>BOMBA MUESTRA 7390-AU-0501E</t>
  </si>
  <si>
    <t>SISTEMA MOTRIZ 7390-AU-0501E</t>
  </si>
  <si>
    <t>MOTOR ELEC BBA 7390-AU-0501E</t>
  </si>
  <si>
    <t>SISTEMA ELECTRICO 7390-AU-0501E</t>
  </si>
  <si>
    <t>SISTEMA MECANICO 7390-AU-0501G</t>
  </si>
  <si>
    <t>BOMBA MUESTRA 7390-AU-0501G</t>
  </si>
  <si>
    <t>SISTEMA MOTRIZ 7390-AU-0501G</t>
  </si>
  <si>
    <t>MOTOR ELEC BBA 7390-AU-0501G</t>
  </si>
  <si>
    <t>SISTEMA ELECTRICO 7390-AU-0501G</t>
  </si>
  <si>
    <t>SISTEMA INSTRUMENTACION 7390-AE/AIT-0501</t>
  </si>
  <si>
    <t>SISTEMA COMPONENTES 7390-AE/AIT-0501</t>
  </si>
  <si>
    <t>MULTIPLEXOR 1 7390-AE/AIT-0501</t>
  </si>
  <si>
    <t>MULTIPLEXOR 2 7390-AE/AIT-0501</t>
  </si>
  <si>
    <t>GABINETE SONDAS 7390-AE/AIT-0501</t>
  </si>
  <si>
    <t>DEMULTIPLEXOR 7390-AE/AIT-0501</t>
  </si>
  <si>
    <t>CALIBRADOR DE MUESTRAS 7390-AE/AIT-0501</t>
  </si>
  <si>
    <t>TUBO DE RAYOS X Rh ANODO 7390-AE/AIT-501</t>
  </si>
  <si>
    <t>SONDA ANALIZADOR DE LODO 7390-AE/AIT-501</t>
  </si>
  <si>
    <t>BOMBA RET. MUEST. CONC. 7390-AE/AIT-0501</t>
  </si>
  <si>
    <t>BOMBA RET. MUEST. COLAS 7390-AE/AIT-0501</t>
  </si>
  <si>
    <t>SISTEMA ESTRUCTURAL CAJ 7410-CAJ-001</t>
  </si>
  <si>
    <t>ESTANQUE CAJ 7410-CAJ-001</t>
  </si>
  <si>
    <t>SISTEMA INSTRUMENTACION CAJ 7410-CAJ-001</t>
  </si>
  <si>
    <t>SISTEMA ESTRUCTURAL CAJ 7410-CAJ-002</t>
  </si>
  <si>
    <t>SISTEMA INSTRUMENTACION CAJ 7410-CAJ-002</t>
  </si>
  <si>
    <t>SISTEMA HIDRAULICO UHD 7410-UHD-003</t>
  </si>
  <si>
    <t>BOMBA UHD 7410-UHD-003</t>
  </si>
  <si>
    <t>ACUMULADOR DE PRESION UHD 7410-UHD-003</t>
  </si>
  <si>
    <t>ESTANQUE UHD 7410-UHD-003</t>
  </si>
  <si>
    <t>SISTEMA MOTRIZ UHD 7410-UHD-003</t>
  </si>
  <si>
    <t>MOTOR ELEC UHD 7410-UHD-003</t>
  </si>
  <si>
    <t>SISTEMA ENFRIAMIENTO UHD 7410-UHD-003</t>
  </si>
  <si>
    <t>MOTOR ELEC BBA UHD 7410-UHD-003</t>
  </si>
  <si>
    <t>INTERCAMBIADOR CALOR A-A 7410-UHD-003</t>
  </si>
  <si>
    <t>SISTEMA MOTRIZ GPT 6940-GPT-001</t>
  </si>
  <si>
    <t>MOTOR ELEC GPT 6940-GPT-001</t>
  </si>
  <si>
    <t>SISTEMA MOTRIZ TORNILLO D. 6920-ATM-001</t>
  </si>
  <si>
    <t>MOTOR ELEC TORNILLO D. 6920-ATM-001</t>
  </si>
  <si>
    <t>SISTEMA MOTRIZ SOP 6920-SOP-001</t>
  </si>
  <si>
    <t>MOTOR ELEC SOP 6920-SOP-001</t>
  </si>
  <si>
    <t>SISTEMA INYECCION SOP 6920-SOP-001</t>
  </si>
  <si>
    <t>EDUCTOR SECO SOP 6920-SOP-001</t>
  </si>
  <si>
    <t>EDUCTOR HUMEDO SOP 6920-SOP-001</t>
  </si>
  <si>
    <t>MEZCLADOR ALIM ESP.CONC SOP 6920-SOP-001</t>
  </si>
  <si>
    <t>MEZCLADOR ALIM ESP.REL. SOP 6920-SOP-001</t>
  </si>
  <si>
    <t>SISTEMA MOTRIZ GPC 6920-GPC-001</t>
  </si>
  <si>
    <t>MOTOR ELEC GPC 6920-GPC-001</t>
  </si>
  <si>
    <t>PIPING Y VALVULAS EST 6930-EST-004</t>
  </si>
  <si>
    <t>SISTEMA INSTRUMENTACION EST 6930-EST-004</t>
  </si>
  <si>
    <t>SISTEMA INSTRUMENTACION EST 6930-EST-005</t>
  </si>
  <si>
    <t>PIPING Y VALVULAS EST 6930-EST-005</t>
  </si>
  <si>
    <t>SISTEMA MOTRIZ EST 6920-EST-001</t>
  </si>
  <si>
    <t>AGITADOR EST 6920-EST-001</t>
  </si>
  <si>
    <t>MOTOR ELEC AGITADOR EST 6920-EST-001</t>
  </si>
  <si>
    <t>SISTEMA ESTRUCTURAL EST 6920-EST-001</t>
  </si>
  <si>
    <t>RODAPIE EST 6920-EST-001</t>
  </si>
  <si>
    <t>SISTEMA MOTRIZ EST 6920-EST-002</t>
  </si>
  <si>
    <t>AGITADOR EST 6920-EST-002</t>
  </si>
  <si>
    <t>MOTOR ELEC AGITADOR EST 6920-EST-002</t>
  </si>
  <si>
    <t>SISTEMA ESTRUCTURAL EST 6920-EST-002</t>
  </si>
  <si>
    <t>RODAPIE EST 6920-EST-002</t>
  </si>
  <si>
    <t>SISTEMA ESTRUCTURAL EST 6370-EST-001</t>
  </si>
  <si>
    <t>PIPING Y VALVULAS EST 6370-EST-001</t>
  </si>
  <si>
    <t>SISTEMA INSTRUMENTACION EST 6370-EST-001</t>
  </si>
  <si>
    <t>PIPING Y VALVULAS EST 6330-EST-001</t>
  </si>
  <si>
    <t>PIPING Y VALVULAS EST 6330-EST-002</t>
  </si>
  <si>
    <t>SISTEMA PESAJE PES 7420-WIT-777</t>
  </si>
  <si>
    <t>UNIDAD DE MEDICION DE PESO 7420-WIT-777</t>
  </si>
  <si>
    <t>CELDAS DE CARGA PES 7420-WIT-777</t>
  </si>
  <si>
    <t>CAJA SUMADORA PES 7420-WIT-777</t>
  </si>
  <si>
    <t>POLINES PESOMETRICOS PES 7420-WIT-777</t>
  </si>
  <si>
    <t>PESO PATRON PES 7420-WIT-777</t>
  </si>
  <si>
    <t>SISTEMA INSTRUMENTACION TOL 7420-TOL-003</t>
  </si>
  <si>
    <t>INTERRUPTOR DE NIVEL ATOLLO 7420-TOL-003</t>
  </si>
  <si>
    <t>UNIDAD HIDRAULICA SLZ 7420-SLZ-001</t>
  </si>
  <si>
    <t>SISTEMA MECANICO SLZ 7420-SLZ-001</t>
  </si>
  <si>
    <t>SET DE LANZAS SLZ 7420-SLZ-001</t>
  </si>
  <si>
    <t>CARRO LANZAS SLZ 7420-SLZ-001</t>
  </si>
  <si>
    <t>SISTEMA ESTRUCTURAL SLZ 7420-SLZ-001</t>
  </si>
  <si>
    <t>CHUTE SISTEMA SLZ 7420-SLZ-001</t>
  </si>
  <si>
    <t>MOTOR ELEC UHD SLZ 7420-SLZ-001</t>
  </si>
  <si>
    <t>CILINDROS ACTUADORE UHD SLZ 7420-SLZ-001</t>
  </si>
  <si>
    <t>BOMBA HIDRAULICA UHD SLZ 7420-SLZ-001</t>
  </si>
  <si>
    <t>ESTANQUE UHD SLZ 7420-SLZ-001</t>
  </si>
  <si>
    <t>CALEFACTOR DEPOSITO UHD SLZ 7420-SLZ-001</t>
  </si>
  <si>
    <t>COMPONENTES UHD FTR 7420-FTR-002-01</t>
  </si>
  <si>
    <t>BOMBA HIDRAULICA UHD FTR 7420-FTR-002-01</t>
  </si>
  <si>
    <t>MOTOR HIDRAULICO UHD FTR 7420-FTR-002-01</t>
  </si>
  <si>
    <t>PIPING Y VALVULAS UHD 7420-FTR-002-01</t>
  </si>
  <si>
    <t>CILINDRO HIDRAULICO UHD 7420-FTR-002-01</t>
  </si>
  <si>
    <t>TUBERIA HIDRAUL. UHD FTR 7420-FTR-002-01</t>
  </si>
  <si>
    <t>ESTANQUE UHD FTR 7420-FTR-002-01</t>
  </si>
  <si>
    <t>SISTEMA MOTRIZ UHD FTR 7420-FTR-002-01</t>
  </si>
  <si>
    <t>SISTEMA ENFR. Y LIMPIEZA 7420-FTR-002-01</t>
  </si>
  <si>
    <t>MOTOR ELEC 1 UHD FTR 7420-FTR-002-01</t>
  </si>
  <si>
    <t>MOTOR ELEC 2 UHD FTR 7420-FTR-002-01</t>
  </si>
  <si>
    <t>VVA PROPOR. #1 UHD FTR 7420-FTR-002-01</t>
  </si>
  <si>
    <t>VVA PROPOR. #2 UHD FTR 7420-FTR-002-01</t>
  </si>
  <si>
    <t>VVA SOLENOIDE UHD FTR 7420-FTR-002-01</t>
  </si>
  <si>
    <t>PANEL DE CONTROL UHD FTR 7420-FTR-002-01</t>
  </si>
  <si>
    <t>SISTEMA INSTRUMENTACION 7420-FTR-002-01</t>
  </si>
  <si>
    <t>MOTOR ELEC ENFRI UHD FTR 7420-FTR-002-01</t>
  </si>
  <si>
    <t>ENFRIADOR HPU FILTRO UHD 7420-FTR-002-01</t>
  </si>
  <si>
    <t>SISTEMA COMPONENTES UHD 7420-FTR-002-01</t>
  </si>
  <si>
    <t>FLEXIBLE HIDRAUL UHD FTR 7420-FTR-002-01</t>
  </si>
  <si>
    <t>COMPONENTES UHD FTR 7420-FTR-001-01</t>
  </si>
  <si>
    <t>BOMBA HIDRAULICA UHD FTR 7420-FTR-001-01</t>
  </si>
  <si>
    <t>MOTOR HIDRAULICO UHD FTR 7420-FTR-001-01</t>
  </si>
  <si>
    <t>CILINDRO HIDRAULICO UHD 7420-FTR-001-01</t>
  </si>
  <si>
    <t>PIPING Y VALVULAS UHD 7420-FTR-001-01</t>
  </si>
  <si>
    <t>TUBERIA HIDRAUL. UHD FTR 7420-FTR-001-01</t>
  </si>
  <si>
    <t>FLEXIBLE HIDRAUL UHD FTR 7420-FTR-001-01</t>
  </si>
  <si>
    <t>ESTANQUE UHD FTR 7420-FTR-001-01</t>
  </si>
  <si>
    <t>SISTEMA ENFR. Y LIMPIEZA 7420-FTR-001-01</t>
  </si>
  <si>
    <t>ENFRIADOR HPU FILTRO UHD 7420-FTR-001-01</t>
  </si>
  <si>
    <t>SISTEMA COMPONENTES UHD 7420-FTR-001-01</t>
  </si>
  <si>
    <t>SISTEMA MOTRIZ UHD FTR 7420-FTR-001-01</t>
  </si>
  <si>
    <t>MOTOR ELEC 1 UHD FTR 7420-FTR-001-01</t>
  </si>
  <si>
    <t>MOTOR ELEC 2 UHD FTR 7420-FTR-001-01</t>
  </si>
  <si>
    <t>MOTOR ELEC ENFRI UHD FTR 7420-FTR-001-01</t>
  </si>
  <si>
    <t>SISTEMA INSTRUMENTACION 7420-FTR-001-01</t>
  </si>
  <si>
    <t>PANEL DE CONTROL UHD FTR 7420-FTR-001-01</t>
  </si>
  <si>
    <t>CALEFACTOR UHD FTR 7420-FTR-002-01</t>
  </si>
  <si>
    <t>ENFRIADOR UHD FTR 7420-FTR-002-01</t>
  </si>
  <si>
    <t>CALEFACTOR UHD FTR 7420-FTR-001-01</t>
  </si>
  <si>
    <t>ENFRIADOR UHD FTR 7420-FTR-001-01</t>
  </si>
  <si>
    <t>SISTEMA TELA FILTRANTE FTR 7420-FTR-001</t>
  </si>
  <si>
    <t>TELA FILTRANTE FTR 7420-FTR-001</t>
  </si>
  <si>
    <t>SISTEMA TENSOR DE TELA FTR 7420-FTR-001</t>
  </si>
  <si>
    <t>CADENA DE ESLABONES FTR 7420-FTR-001</t>
  </si>
  <si>
    <t>SPROCKET CADENA INFERIOR FTR7420-FTR-001</t>
  </si>
  <si>
    <t>SISTEMA DE PLACAS FTR 7420-FTR-001</t>
  </si>
  <si>
    <t>PLACA BASE (DER) FTR 7420-FTR-001</t>
  </si>
  <si>
    <t>PLACA BASE (INF) FTR 7420-FTR-001</t>
  </si>
  <si>
    <t>PLACA BASE (IZQ) FTR 7420-FTR-001</t>
  </si>
  <si>
    <t>SISTEMA ESTRUCTURAL FTR 7420-FTR-001</t>
  </si>
  <si>
    <t>COLUMNAS FTR 7420-FTR-001</t>
  </si>
  <si>
    <t>UNIDAD LUBRICACION FTR 7420-FTR-001</t>
  </si>
  <si>
    <t>FLEXIBLE DE ENGRASE FTR 7420-FTR-001</t>
  </si>
  <si>
    <t>SISTEMA INSTRUMENTACION FTR 7420-FTR-001</t>
  </si>
  <si>
    <t>FLUJOMETRO AGUA LAVADO TELA 7420-FTR-001</t>
  </si>
  <si>
    <t>SISTEMA TELA FILTRANTE FTR 7420-FTR-002</t>
  </si>
  <si>
    <t>TELA FILTRANTE FTR 7420-FTR-002</t>
  </si>
  <si>
    <t>SISTEMA TENSOR DE TELA FTR 7420-FTR-002</t>
  </si>
  <si>
    <t>SPROCKET CADENA INFERIOR FTR7420-FTR-002</t>
  </si>
  <si>
    <t>CADENA DE ESLABONES FTR 7420-FTR-002</t>
  </si>
  <si>
    <t>SISTEMA DE PLACAS FTR 7420-FTR-002</t>
  </si>
  <si>
    <t>PLACA BASE (DER) FTR 7420-FTR-002</t>
  </si>
  <si>
    <t>PLACA BASE (INF) FTR 7420-FTR-002</t>
  </si>
  <si>
    <t>PLACA BASE (IZQ) FTR 7420-FTR-002</t>
  </si>
  <si>
    <t>SISTEMA ESTRUCTURAL FTR 7420-FTR-002</t>
  </si>
  <si>
    <t>COLUMNAS FTR 7420-FTR-002</t>
  </si>
  <si>
    <t>UNIDAD LUBRICACION FTR 7420-FTR-002</t>
  </si>
  <si>
    <t>FLEXIBLE DE ENGRASE FTR 7420-FTR-002</t>
  </si>
  <si>
    <t>SISTEMA INSTRUMENTACION FTR 7420-FTR-002</t>
  </si>
  <si>
    <t>FLUJOMETRO AGUA LAVADO TELA 7420-FTR-002</t>
  </si>
  <si>
    <t>PESOMETRO FTR 7420-FTR-001</t>
  </si>
  <si>
    <t>GABINETE PLC FTR 7420-FTR-001</t>
  </si>
  <si>
    <t>ENCODER MOVIMIENTO TELA FTR 7420-FTR-001</t>
  </si>
  <si>
    <t>SENSOR DESALINEAMIENTO TELA 7420-FTR-001</t>
  </si>
  <si>
    <t>PESOMETRO FTR 7420-FTR-002</t>
  </si>
  <si>
    <t>ENCODER MOVIMIENTO TELA FTR 7420-FTR-002</t>
  </si>
  <si>
    <t>SENSOR DESALINEAMIENTO TELA 7420-FTR-002</t>
  </si>
  <si>
    <t>GABINETE PLC FTR 7420-FTR-002</t>
  </si>
  <si>
    <t>BANCO VVAS. SDP. 7120-SDP-001</t>
  </si>
  <si>
    <t>BANCO VVAS. SUPRESOR 7120-SDP-001</t>
  </si>
  <si>
    <t>BANCO VVAS. SUPRESOR 7120-SDP-002</t>
  </si>
  <si>
    <t>BANCO VVAS. SUPRESOR 7180-SDP-001</t>
  </si>
  <si>
    <t>BANCO VVAS. SDP 7210-SDP-001</t>
  </si>
  <si>
    <t>BANCO VVAS. BHI. 7250-BHI-001</t>
  </si>
  <si>
    <t>MOTOR ELEC UHD ACC. VVAS. DARDO</t>
  </si>
  <si>
    <t>CASETA VVAS. RED INCENDIO TRANSFO T9</t>
  </si>
  <si>
    <t>MOTOR ELEC POLIPASTO AUX. 7520-GPT-001</t>
  </si>
  <si>
    <t>MOTOR ELEC TRASL CARRO PTE 7290-GPT-001</t>
  </si>
  <si>
    <t>SISTEMA INSTRUMENTACION EST 6330-EST-002</t>
  </si>
  <si>
    <t>SISTEMA INSTRUMENTACION BBA 7520-BDP-002</t>
  </si>
  <si>
    <t>SISTEMA INSTRUMENTACION EST 6330-EST-001</t>
  </si>
  <si>
    <t>GABINETE CCTV PISCINA EMER 7610-XNT-0831</t>
  </si>
  <si>
    <t>SISTEMA INSTRUMENTACION SUP 7120-SDP-001</t>
  </si>
  <si>
    <t>SISTEMA INSTRUMENTACION SUP 7120-SDP-002</t>
  </si>
  <si>
    <t>SISTEMA INSTRUMENTACION SUP 7180-SDP-001</t>
  </si>
  <si>
    <t>TABLERO DISTRIB FZA. SSAA 400-231V CH#1</t>
  </si>
  <si>
    <t>SISTEMA INSTRUMENTACION BBA 7420-BOC-002</t>
  </si>
  <si>
    <t>UNIDAD HIDRAULICA FILTRO DE CONC. #1</t>
  </si>
  <si>
    <t>GABINETE CCTV ESPSADOR CON. 7410-XN-0721</t>
  </si>
  <si>
    <t>INTERRUPTOR CORTE ALIM PES. 7420-ACT-003</t>
  </si>
  <si>
    <t>BOMBA DE IMPULSION AGUA DE ENFRIAM. #1</t>
  </si>
  <si>
    <t>BOMBA DE IMPULSION AGUA DE ENFRIAM. #2</t>
  </si>
  <si>
    <t>MOTOR ELEC ENFRIADOR UHD 7120-APC-001</t>
  </si>
  <si>
    <t>SISTEMA ESTRUCTURAL UHD 7420-FTR-001-01</t>
  </si>
  <si>
    <t>SISTEMA ESTRUCTURAL UHD 7420-FTR-002-01</t>
  </si>
  <si>
    <t>MOTOR ELEC UHD ACC VVA DARDO7310-CAJ-001</t>
  </si>
  <si>
    <t>SISTEMA ENFRIAMIENTO AIRE 6940-COM-001</t>
  </si>
  <si>
    <t>SISTEMA ENFRIAMIENTO AIRE 6940-COM-002</t>
  </si>
  <si>
    <t>SISTEMA ENFRIAMIENTO AIRE 6940-COM-003</t>
  </si>
  <si>
    <t>FILTRO DE AGUA SIST. DE ENFRIAM. MOLINOS</t>
  </si>
  <si>
    <t>SISTEMA EXT. INCENDIO S/E 6540-SEL-001</t>
  </si>
  <si>
    <t>GABINETE CTRL. Y MONITOREO 7120-SDP-002</t>
  </si>
  <si>
    <t>GABINETE CTRL. Y MONITOREO 7180-SDP-001</t>
  </si>
  <si>
    <t>GABINETE CTRL. Y MONITOREO 07210-SDP-001</t>
  </si>
  <si>
    <t>REDUCTOR VELOC. ESP CON 7410-ESP-001</t>
  </si>
  <si>
    <t>REDUCTOR VELOC. ESP REL. 7510-ERV-001</t>
  </si>
  <si>
    <t>SENSOR DE ATOLLO APC. 7120-APC-001</t>
  </si>
  <si>
    <t>PIPING Y VVAS. ALIM PES. 7420-ACT-003</t>
  </si>
  <si>
    <t>PIPING &amp; VALVULAS BBA. 7610-BBA-001</t>
  </si>
  <si>
    <t>PARADA DE EMERGENCIA APC. 7210-APC-001</t>
  </si>
  <si>
    <t>PARADA DE EMERGENCIA APC. 7210-APC-002</t>
  </si>
  <si>
    <t>PARADA DE EMERGENCIA APC. 7120-APC-001</t>
  </si>
  <si>
    <t>BOTONERA LOCAL PUENTE 7290-GPT-001</t>
  </si>
  <si>
    <t>BOTONERA LOCAL PUENTE 7420-GPT-001</t>
  </si>
  <si>
    <t>BOTONERA LOCAL BBA. 7510-BOC-002</t>
  </si>
  <si>
    <t>BOTONERA LOCAL PUENTE 7520-GPT-001</t>
  </si>
  <si>
    <t>SISTEMA INSTRUMENTACION ERV 7510-ERV-001</t>
  </si>
  <si>
    <t>SISTEMA INSTRUMENTACION UHD 7410-UHD-002</t>
  </si>
  <si>
    <t>SISTEMA INSTRUMENTACION UHD 7410-UHD-001</t>
  </si>
  <si>
    <t>SISTEMA INSTRUMENTACION UHD 7330-UHD-001</t>
  </si>
  <si>
    <t>SISTEMA INSTRUMENTACION CTR 7210-CTR-004</t>
  </si>
  <si>
    <t xml:space="preserve">BATERIA HIDROCICLONES </t>
  </si>
  <si>
    <t>07110-ZS/ZX-0103</t>
  </si>
  <si>
    <t>07120-HSS-0113A@B</t>
  </si>
  <si>
    <t>07120-YA/YL-0107</t>
  </si>
  <si>
    <t>07120-YS-0127A@D</t>
  </si>
  <si>
    <t>07120-HSS-0130A@D</t>
  </si>
  <si>
    <t>SENSOR ATOLLO MICRO ONDAS 7120-CTR-001</t>
  </si>
  <si>
    <t>07120-LE/LX-0136</t>
  </si>
  <si>
    <t>BOCINA Y BALIZA PARTIDA APC 7120-APC-001</t>
  </si>
  <si>
    <t>07210-HSS-0212A@B</t>
  </si>
  <si>
    <t>07210-LE/LX-204</t>
  </si>
  <si>
    <t>07210-YA/YL-0206</t>
  </si>
  <si>
    <t>BOCINA Y BALIZA PARTIDA APC 7210-APC-001</t>
  </si>
  <si>
    <t>07120-LE/LX-108</t>
  </si>
  <si>
    <t>07210-HSS-0223A@B</t>
  </si>
  <si>
    <t>07210-LE/LX-226</t>
  </si>
  <si>
    <t>07210-SE/ST-220</t>
  </si>
  <si>
    <t>07210-SE/ST-0209</t>
  </si>
  <si>
    <t>07210-YA/YL-0229</t>
  </si>
  <si>
    <t>BOCINA Y BALIZA PARTIDA APC 7210-APC-002</t>
  </si>
  <si>
    <t>07120-SE/SSL-1001</t>
  </si>
  <si>
    <t>07120-ZS-1002</t>
  </si>
  <si>
    <t>INTERRUPTOR DE APERTURA 7120-CHM-001</t>
  </si>
  <si>
    <t>07120-LE/LX-0123</t>
  </si>
  <si>
    <t>SENSOR DE ATOLLO 07120-CHU-003</t>
  </si>
  <si>
    <t>07120-LE/LSHH-0122</t>
  </si>
  <si>
    <t>07120-TE-1004/1006/A@B</t>
  </si>
  <si>
    <t>07120-TE-1007/A@C</t>
  </si>
  <si>
    <t>07120-LE/LX-0116</t>
  </si>
  <si>
    <t>SENSOR DE ATOLLO DESCARGA 07120-CHU-001</t>
  </si>
  <si>
    <t>07120-LE/LSHH-0115</t>
  </si>
  <si>
    <t>INSTRUMENTACION UHD 07120-CHM-001-01</t>
  </si>
  <si>
    <t>INSTRUMENTACION UDL 07120-CHM-001-02</t>
  </si>
  <si>
    <t>07120-SE-0128</t>
  </si>
  <si>
    <t>07120-WE-0128</t>
  </si>
  <si>
    <t>07120-WIT/WQIT-0128</t>
  </si>
  <si>
    <t>07120-LE/LSHH-0135</t>
  </si>
  <si>
    <t>RASPADORES CTR 7210-CTR-001</t>
  </si>
  <si>
    <t>RASPADORES CTR 7120-CTR-001</t>
  </si>
  <si>
    <t>RAS</t>
  </si>
  <si>
    <t>POLINES DE RETORNO CTR 7120-CTR-001</t>
  </si>
  <si>
    <t>POLINES DE CARGA CTR 7120-CTR-001</t>
  </si>
  <si>
    <t>POLINES DE IMPACTO CTR 7120-CTR-001</t>
  </si>
  <si>
    <t>POLINES DE TRANSICION CTR 7120-CTR-001</t>
  </si>
  <si>
    <t>POLINES DE ALINEACION CTR 7120-CTR-001</t>
  </si>
  <si>
    <t>POLINES CALIBRACION CTR 7120-CTR-001</t>
  </si>
  <si>
    <t>07210-HSS-0236A@J</t>
  </si>
  <si>
    <t>SENSOR ATOLLO MICRO ONDAS 7210-CTR-001</t>
  </si>
  <si>
    <t>07210-LE/LX-0240</t>
  </si>
  <si>
    <t>07120-LE/LSHH-0239</t>
  </si>
  <si>
    <t>07210-ZSH/ZSHH-0235A@H</t>
  </si>
  <si>
    <t>07120-YS-0232A@H</t>
  </si>
  <si>
    <t>07210-SE-0233</t>
  </si>
  <si>
    <t>07210-WE-0233</t>
  </si>
  <si>
    <t>07210-WIT/WQIT-0233</t>
  </si>
  <si>
    <t>RASPADORES CTR. 7210-CTR-002</t>
  </si>
  <si>
    <t>07210-SE/ST-0260</t>
  </si>
  <si>
    <t>07210-YS-0261A@B</t>
  </si>
  <si>
    <t>07210-HSS-0262</t>
  </si>
  <si>
    <t>07210-ZSH/ZSHH-0235A@D</t>
  </si>
  <si>
    <t>07210-LE/LX-0265</t>
  </si>
  <si>
    <t>07210-LE/LSHH-0264</t>
  </si>
  <si>
    <t>INTERRUPTOR CORTE DE CTR 7210-CTR-002</t>
  </si>
  <si>
    <t>INTERRUPTOR DESALIEAMIENTO 7210-CTR-002</t>
  </si>
  <si>
    <t>BOCINA Y BALIZA CTR 7210-CTR-002</t>
  </si>
  <si>
    <t>IDE</t>
  </si>
  <si>
    <t>SAM</t>
  </si>
  <si>
    <t>07210-SE/ST-0270</t>
  </si>
  <si>
    <t>07210-YS-0271A@B</t>
  </si>
  <si>
    <t>POLINES RETORNO T. STUB CTR 7210-CTR-003</t>
  </si>
  <si>
    <t>07210-HSS-0273A@C</t>
  </si>
  <si>
    <t>07210-LE/LSHH-0274</t>
  </si>
  <si>
    <t>07210-LE/LX-0275</t>
  </si>
  <si>
    <t>07210-SE/ST-0280</t>
  </si>
  <si>
    <t>INTERRUPTOR CORTE DE CTR 7210-CTR-004</t>
  </si>
  <si>
    <t>INTERRUPTOR DESALIEAMIENTO 7210-CTR-004</t>
  </si>
  <si>
    <t>BOCINA Y BALIZA CTR 7210-CTR-004</t>
  </si>
  <si>
    <t>INTERRUPTOR CORTE DE CTR 7210-CTR-003</t>
  </si>
  <si>
    <t>INTERRUPTOR DESALIEAMIENTO 7210-CTR-003</t>
  </si>
  <si>
    <t>BOCINA Y BALIZA CTR 7210-CTR-003</t>
  </si>
  <si>
    <t>07210-HSS-0282A@B</t>
  </si>
  <si>
    <t>07210-ZSH/ZSHH-0283A@D</t>
  </si>
  <si>
    <t>07210-LE/LSHH-0287</t>
  </si>
  <si>
    <t>07210-LE/LX-0285</t>
  </si>
  <si>
    <t>RASPADORES CORREA 7210-CTR-004</t>
  </si>
  <si>
    <t>POLINES AUTOCENTRANTES CTR 7210-CTR-004</t>
  </si>
  <si>
    <t>POLINES DE TRANSICION CTR 7210-CTR-004</t>
  </si>
  <si>
    <t>SENSOR ATOLLO MICROONDAS 7210-CTR-002-01</t>
  </si>
  <si>
    <t>SENSOR ATOLLO MICROONDAS 7210-CTR-003-01</t>
  </si>
  <si>
    <t>SENSOR ATOLLO MICROONDAS 7210-CTR-004-01</t>
  </si>
  <si>
    <t>7420-YS-0782A@F</t>
  </si>
  <si>
    <t>7420-SE/ST-0781</t>
  </si>
  <si>
    <t>07420-CTR-001-01</t>
  </si>
  <si>
    <t>SENSOR ATOLLO MICROOND 7420-CTR-001-01</t>
  </si>
  <si>
    <t>RASPADORES CORREA 7420-CTR-001</t>
  </si>
  <si>
    <t>CHUTE DESCARGA CORREA 7420-CTR-001</t>
  </si>
  <si>
    <t>CHUTE DESCARGA A ACOPIO 7120-CTR-001</t>
  </si>
  <si>
    <t>CHUTE DESCARGA CTR 7210-CTR-001</t>
  </si>
  <si>
    <t>CHUTE DESCARGA CTR. 7210-CTR-002</t>
  </si>
  <si>
    <t>ESTRUCTURA PPAL CTR. 7210-CTR-002</t>
  </si>
  <si>
    <t>CINTA CTR. 7210-CTR-004</t>
  </si>
  <si>
    <t>CINTA CTR. 7420-CTR-001</t>
  </si>
  <si>
    <t>CINTA CTR. 7210-CTR-001</t>
  </si>
  <si>
    <t>PCP</t>
  </si>
  <si>
    <t>07420-LE/LSHH-0787</t>
  </si>
  <si>
    <t>07420-LE/LX-0788</t>
  </si>
  <si>
    <t>BOCINA Y BALIZA CTR 7420-CTR-001</t>
  </si>
  <si>
    <t>07420-YL/YA-0786</t>
  </si>
  <si>
    <t>07210-YA/YL-0287</t>
  </si>
  <si>
    <t>07210-YA/YL-0230A@B</t>
  </si>
  <si>
    <t>07210-YA/YL-0267A@B</t>
  </si>
  <si>
    <t>07210-YA/YL-0277A@B</t>
  </si>
  <si>
    <t>07120-ZSH/ZSHH-120A@F</t>
  </si>
  <si>
    <t>07420-ZSH/ZSHH-0783A@F</t>
  </si>
  <si>
    <t>MOTOR ELEC CTR. 7210-CTR-004</t>
  </si>
  <si>
    <t>MOTOR ELEC CTR. 7420-CTR-001</t>
  </si>
  <si>
    <t>MOTOR ELEC CTR. 7210-CTR-001</t>
  </si>
  <si>
    <t>07210-CTR-003M</t>
  </si>
  <si>
    <t>REDUCTOR CTR. 7420-CTR-001</t>
  </si>
  <si>
    <t>REDUCTOR CTR. 7210-CTR-004</t>
  </si>
  <si>
    <t>REDUCTOR CTR. 7210-CTR-001</t>
  </si>
  <si>
    <t>07420-HSS-0784A@D</t>
  </si>
  <si>
    <t>PARADA DE EMERGENCIA CTR 7120-CTR-001</t>
  </si>
  <si>
    <t>PARADA DE EMERGENCIA CTR 7210-CTR-001</t>
  </si>
  <si>
    <t>PARADA DE EMERGENCIA CTR 7210-CTR-002</t>
  </si>
  <si>
    <t>PARADA DE EMERGENCIA CTR 7210-CTR-003</t>
  </si>
  <si>
    <t>PARADA DE EMERGENCIA CTR 7210-CTR-004</t>
  </si>
  <si>
    <t>PARADA DE EMERGENCIA CTR 7420-CTR-001</t>
  </si>
  <si>
    <t>FRENO BACKSTOP CTR. 7210-CTR-004</t>
  </si>
  <si>
    <t>FRENO BACKSTOP CTR. 7420-CTR-001</t>
  </si>
  <si>
    <t>TENSOR DE TORNILLO CTR. 7210-CTR-004</t>
  </si>
  <si>
    <t>TENSOR GRAVITACIONAL CTR. ALIM ACOP 1</t>
  </si>
  <si>
    <t>PTF</t>
  </si>
  <si>
    <t>07180-LE/LIT-0161A@B</t>
  </si>
  <si>
    <t>07180-LI-0161A@B</t>
  </si>
  <si>
    <t>07210-ZSH/ZSL-0204</t>
  </si>
  <si>
    <t>INTERRUPTOR POSICION STP 7180-STP-001</t>
  </si>
  <si>
    <t>07210-ZSH/ZSL-0205</t>
  </si>
  <si>
    <t>PANEL FIBRA OPTICA D</t>
  </si>
  <si>
    <t>TA1</t>
  </si>
  <si>
    <t>TA2</t>
  </si>
  <si>
    <t>TA3</t>
  </si>
  <si>
    <t>TI1</t>
  </si>
  <si>
    <t>TR3</t>
  </si>
  <si>
    <t>TRANSFORMADOR 750 KVA SALA ELE CH#1 7190</t>
  </si>
  <si>
    <t>TR4</t>
  </si>
  <si>
    <t>TRANSFORMADOR SECO AEREO 75 KVA</t>
  </si>
  <si>
    <t>UPS INSTRUMENTACION 3 KVA SALA 6540</t>
  </si>
  <si>
    <t>06540-UPS-0001</t>
  </si>
  <si>
    <t>GDC</t>
  </si>
  <si>
    <t>GMO</t>
  </si>
  <si>
    <t>EXTINTOR INCENDIO #1 SALA ELEC CH#1 7190</t>
  </si>
  <si>
    <t>EXTINTOR INCENDIO #2 SALA ELEC CH#1 7190</t>
  </si>
  <si>
    <t>EXTINTOR INCENDIO #1 7290-SEL-001</t>
  </si>
  <si>
    <t>EXTINTOR INCENDIO #2 7290-SEL-001</t>
  </si>
  <si>
    <t>EXTINTOR INCENDIO #1 FLOT 7390-EXT-001</t>
  </si>
  <si>
    <t>EXTINTOR INCENDIO #2 FLOT 7390-EXT-002</t>
  </si>
  <si>
    <t>EXTINTOR INCENDIO #1 FILTRA 7490-EXT-001</t>
  </si>
  <si>
    <t>EXTINTOR INCENDIO #2 FILTRA 7490-EXT-002</t>
  </si>
  <si>
    <t>EXTINTOR INCENDIO #1</t>
  </si>
  <si>
    <t>EXTINTOR INCENDIO #2</t>
  </si>
  <si>
    <t>TRF</t>
  </si>
  <si>
    <t>TRANSFORMADOR 3500 KVA SALA 7290-SEL-001</t>
  </si>
  <si>
    <t>TFZ</t>
  </si>
  <si>
    <t>TIN</t>
  </si>
  <si>
    <t>TAL</t>
  </si>
  <si>
    <t>SWP</t>
  </si>
  <si>
    <t>SISTEMA INSTRUMENTACION 7210-MSG-001</t>
  </si>
  <si>
    <t>07210-ZT-1105</t>
  </si>
  <si>
    <t>07210-TE/TT-1106</t>
  </si>
  <si>
    <t>07210-VE/VT-1106</t>
  </si>
  <si>
    <t>07210-TE/TT-1107</t>
  </si>
  <si>
    <t>07210-VE/VT-1107</t>
  </si>
  <si>
    <t>07210-TE-1108A@B</t>
  </si>
  <si>
    <t>07210-VE/VT-1108A@B</t>
  </si>
  <si>
    <t>07210-TE-1109A@F</t>
  </si>
  <si>
    <t>07210-SE/SIT-1111</t>
  </si>
  <si>
    <t>07210-TCV-1113</t>
  </si>
  <si>
    <t>07210-TE-1114A@C</t>
  </si>
  <si>
    <t>HEATER DESCANSOS ALIM. Y DESCGA. M. SAG</t>
  </si>
  <si>
    <t>07210-TSL-1115/1116/A@B</t>
  </si>
  <si>
    <t>VB1</t>
  </si>
  <si>
    <t>VB2</t>
  </si>
  <si>
    <t>VB3</t>
  </si>
  <si>
    <t>INTERRUPTOR PROX. FRENO ON/OFF M. SAG</t>
  </si>
  <si>
    <t>07210-ZSO-1117/ZSC-1117</t>
  </si>
  <si>
    <t>INTERRUPTOR NIVEL LIQUIDO FRENO M. SAG</t>
  </si>
  <si>
    <t>07210-LSL-1118/LSH-1118</t>
  </si>
  <si>
    <t>07210-SV-1119/SV-1123</t>
  </si>
  <si>
    <t>07210-TE/TT-1125A@C</t>
  </si>
  <si>
    <t>07210-PICV-1128A</t>
  </si>
  <si>
    <t>07210-TCV-1133</t>
  </si>
  <si>
    <t>07220-MBO-001M</t>
  </si>
  <si>
    <t>07220-MBO-001-03-3M</t>
  </si>
  <si>
    <t>07220-MBO-001-03-3</t>
  </si>
  <si>
    <t>07220-MBO-001M-01</t>
  </si>
  <si>
    <t>07220-MBO-001M-02</t>
  </si>
  <si>
    <t>07220-MBO-001M-03</t>
  </si>
  <si>
    <t>07220-MBO-001M-04</t>
  </si>
  <si>
    <t>VENTILADOR #1 MOTOR MBO 7220-MBO-001</t>
  </si>
  <si>
    <t>VENTILADOR #2 MOTOR MBO 7220-MBO-001</t>
  </si>
  <si>
    <t>VENTILADOR #3 MOTOR MBO 7220-MBO-001</t>
  </si>
  <si>
    <t>VENTILADOR #4 MOTOR MBO 7220-MBO-001</t>
  </si>
  <si>
    <t>VE3</t>
  </si>
  <si>
    <t>VE4</t>
  </si>
  <si>
    <t>CE1</t>
  </si>
  <si>
    <t>CE2</t>
  </si>
  <si>
    <t>CE3</t>
  </si>
  <si>
    <t>CE4</t>
  </si>
  <si>
    <t>CONJUNTO DE FRENO MBO 7220-MBO-001</t>
  </si>
  <si>
    <t>MORDAZAS FRENO MBO 7220-MBO-001</t>
  </si>
  <si>
    <t>SISTEMA HIDRAULICO FRENOS 7220-MBO-001</t>
  </si>
  <si>
    <t>CALEFACTOR UHD FRENOS MBO</t>
  </si>
  <si>
    <t>07220-MBO-001-03-1</t>
  </si>
  <si>
    <t>BOMBA MANUAL UHD MBO 7220-MBO-001</t>
  </si>
  <si>
    <t>07220-MBO-001-03-2</t>
  </si>
  <si>
    <t>07220-MBO-001-04</t>
  </si>
  <si>
    <t>CALEFACTOR #1 UN. LUBR. 7220-MBO-001</t>
  </si>
  <si>
    <t>CALEFACTOR #2 UN. LUBR. 7220-MBO-001</t>
  </si>
  <si>
    <t>CALEFACTOR #3 UN. LUBR. 7220-MBO-001</t>
  </si>
  <si>
    <t>CALEFACTOR #4 UN. LUBR. 7220-MBO-001</t>
  </si>
  <si>
    <t>CALEFACTOR #5 UN. LUBR. 7220-MBO-001</t>
  </si>
  <si>
    <t>CALEFACTOR #6 UN. LUBR. 7220-MBO-001</t>
  </si>
  <si>
    <t>07220-MBO-001-04-1</t>
  </si>
  <si>
    <t>07220-MBO-001-04-2</t>
  </si>
  <si>
    <t>07220-MBO-001-04-3</t>
  </si>
  <si>
    <t>07220-MBO-001-04-4</t>
  </si>
  <si>
    <t>07220-MBO-001-04-5</t>
  </si>
  <si>
    <t>07220-MBO-001-04-6</t>
  </si>
  <si>
    <t>CE5</t>
  </si>
  <si>
    <t>CE6</t>
  </si>
  <si>
    <t>BOMBA #1 ALTA PRES LUB DESCANSOS MBO</t>
  </si>
  <si>
    <t>07220-MBO-001-04-7</t>
  </si>
  <si>
    <t>MOTOR BBA #1 ALTA PRES LUB DESCANSOS MBO</t>
  </si>
  <si>
    <t>07220-MBO-001-04-8</t>
  </si>
  <si>
    <t>07220-MBO-001-04-8M</t>
  </si>
  <si>
    <t>07220-MBO-001-04-7M</t>
  </si>
  <si>
    <t>BOMBA #2 ALTA PRES LUB DESCANSOS MBO</t>
  </si>
  <si>
    <t>MOTOR BBA #2 ALTA PRES LUB DESCANSOS MBO</t>
  </si>
  <si>
    <t>BOMBA #3 ALTA PRES LUB DESCANSOS MBO</t>
  </si>
  <si>
    <t>MOTOR BBA #3 ALTA PRES LUB DESCANSOS MBO</t>
  </si>
  <si>
    <t>07220-MBO-001-04-9</t>
  </si>
  <si>
    <t>07220-MBO-001-04-9M</t>
  </si>
  <si>
    <t>BOMBA #1 BAJA PRES ENFR. ACEITE UDL MBO</t>
  </si>
  <si>
    <t>07220-MBO-001-04-10</t>
  </si>
  <si>
    <t>MOTOR BBA #1 BP ENFR. ACEITE UDL MBO</t>
  </si>
  <si>
    <t>07220-MBO-001-04-10M</t>
  </si>
  <si>
    <t>BOMBA #2 BAJA PRES ENFR. ACEITE UDL MBO</t>
  </si>
  <si>
    <t>MOTOR BBA #2 BP ENFR. ACEITE UDL MBO</t>
  </si>
  <si>
    <t>07220-MBO-001-04-11</t>
  </si>
  <si>
    <t>07220-MBO-001-04-11M</t>
  </si>
  <si>
    <t>BOMBA #1 BP LUBR RODAMIENTOS PIÑON MBO</t>
  </si>
  <si>
    <t>MOTOR BBA #1 BP LUBR RODAM. PIÑON MBO</t>
  </si>
  <si>
    <t>07220-MBO-001-04-12</t>
  </si>
  <si>
    <t>07220-MBO-001-04-12M</t>
  </si>
  <si>
    <t>BOMBA #2 BP LUBR RODAMIENTOS PIÑON MBO</t>
  </si>
  <si>
    <t>MOTOR BBA #2 BP LUBR RODAM. PIÑON MBO</t>
  </si>
  <si>
    <t>07220-MBO-001-04-13</t>
  </si>
  <si>
    <t>07220-MBO-001-04-13M</t>
  </si>
  <si>
    <t>07220-MBO-001-06</t>
  </si>
  <si>
    <t>UD1</t>
  </si>
  <si>
    <t>UNIDAD LUBR DESCANSOS PPALES Y ROD PIÑON</t>
  </si>
  <si>
    <t>UNIDAD LUBRICACION MOTOR MOLINO DE BOLAS</t>
  </si>
  <si>
    <t>CALEFACTOR UDL MOTOR MOLINO DE BOLAS</t>
  </si>
  <si>
    <t>07220-MBO-001-06-1</t>
  </si>
  <si>
    <t>BOMBA #1 ALTA PRES LUBR MOTOR MBO</t>
  </si>
  <si>
    <t>MOTOR BBA #1 ALTA PRES LUBR MOTOR MBO</t>
  </si>
  <si>
    <t>07220-MBO-001-06-2</t>
  </si>
  <si>
    <t>07220-MBO-001-06-2M</t>
  </si>
  <si>
    <t>BOMBA #2 ALTA PRES LUBR MOTOR MBO</t>
  </si>
  <si>
    <t>MOTOR BBA #2 ALTA PRES LUBR MOTOR MBO</t>
  </si>
  <si>
    <t>07220-MBO-001-06-3</t>
  </si>
  <si>
    <t>07220-MBO-001-06-3M</t>
  </si>
  <si>
    <t>07220-MBO-001-07</t>
  </si>
  <si>
    <t>SISTEMA ENGRASE PIÑON CORONA MBO</t>
  </si>
  <si>
    <t>BOMBA NEUMATICA ENGRASE 7220-MBO-001</t>
  </si>
  <si>
    <t>07220-MBO-001-07-1</t>
  </si>
  <si>
    <t>07220-MBO-001-07-2</t>
  </si>
  <si>
    <t>CALEFACTOR #1 DESCANSO FIJO 7220-MBO-001</t>
  </si>
  <si>
    <t>CALEFACTOR #2 DESCANSO FIJO 7220-MBO-001</t>
  </si>
  <si>
    <t>CALEFACTOR #1 DESCANSO LIBR 7220-MBO-001</t>
  </si>
  <si>
    <t>CALEFACTOR #2 DESCANSO LIBR 7220-MBO-001</t>
  </si>
  <si>
    <t>07220-MBO-001-08</t>
  </si>
  <si>
    <t>07220-MBO-001-09</t>
  </si>
  <si>
    <t>07220-MBO-001-10</t>
  </si>
  <si>
    <t>07220-MBO-001-11</t>
  </si>
  <si>
    <t>07210-TE/TT-1101A@C/1102A@C</t>
  </si>
  <si>
    <t>07220-TE/TT-1201A@C/1202A@C</t>
  </si>
  <si>
    <t>07220-ZT-1205</t>
  </si>
  <si>
    <t>07220-TE/TT-1206</t>
  </si>
  <si>
    <t>07220-VE/VT-1206</t>
  </si>
  <si>
    <t>07220-TE/TT-1207</t>
  </si>
  <si>
    <t>07220-VE/VT-1207</t>
  </si>
  <si>
    <t>07220-TE-1208A@B</t>
  </si>
  <si>
    <t>07220-TE-1209A@F</t>
  </si>
  <si>
    <t>07220-SE/SIT-1211</t>
  </si>
  <si>
    <t>07220-TCV-1213</t>
  </si>
  <si>
    <t>07220-TE-1214A@C</t>
  </si>
  <si>
    <t>07220-TSL-1215/1216/A@B</t>
  </si>
  <si>
    <t>07220-ZSO-1217/ZSC-1217/A@B</t>
  </si>
  <si>
    <t>07220-LS-1218</t>
  </si>
  <si>
    <t>07220-SV-1219/SV-1223</t>
  </si>
  <si>
    <t>07220-TE/TT-1225A@C</t>
  </si>
  <si>
    <t>07220-PICV-1228A</t>
  </si>
  <si>
    <t>07220-PICV-1228B</t>
  </si>
  <si>
    <t>07220-PICV-1228C</t>
  </si>
  <si>
    <t>07220-TCV-1233</t>
  </si>
  <si>
    <t>07220-TCV-1245</t>
  </si>
  <si>
    <t>HEATER DESCANSOS ALIM. Y DESCGA MBO</t>
  </si>
  <si>
    <t>INTERRUPTOR PROX FRENO ON/OFF MBO</t>
  </si>
  <si>
    <t>MT1</t>
  </si>
  <si>
    <t>MT2</t>
  </si>
  <si>
    <t>MTP</t>
  </si>
  <si>
    <t>MT3</t>
  </si>
  <si>
    <t>MT4</t>
  </si>
  <si>
    <t>MT5</t>
  </si>
  <si>
    <t>MT6</t>
  </si>
  <si>
    <t>MT7</t>
  </si>
  <si>
    <t>MT8</t>
  </si>
  <si>
    <t>MN1</t>
  </si>
  <si>
    <t>MN2</t>
  </si>
  <si>
    <t>MPN</t>
  </si>
  <si>
    <t>MP1</t>
  </si>
  <si>
    <t>MP2</t>
  </si>
  <si>
    <t>07420-CHU-011</t>
  </si>
  <si>
    <t>07210-CHU-011</t>
  </si>
  <si>
    <t>CHUTE RECOLECTOR FINOS CORREA ALTA PEND</t>
  </si>
  <si>
    <t>ALIMENTADOR PESOMETRICO CARGUIO CONCENTR</t>
  </si>
  <si>
    <t>SISTEMA ESTRUCTURAL ALIMENT 7420-ACT-003</t>
  </si>
  <si>
    <t>CHUTE DESCARGA ALIMENTADOR PESOMETRICO</t>
  </si>
  <si>
    <t>07420-ACT-003-02</t>
  </si>
  <si>
    <t>PUENTE GRUA SALA LUBR MOLINO SAG</t>
  </si>
  <si>
    <t>PUENTE GRUA SALA LUBR MOLINO BOLAS</t>
  </si>
  <si>
    <t>GP3</t>
  </si>
  <si>
    <t xml:space="preserve">07220-GPT-001 </t>
  </si>
  <si>
    <t>07240-BBA-001</t>
  </si>
  <si>
    <t>07240-BBA-001M</t>
  </si>
  <si>
    <t>BOMBA #1 SUMERGIBLE MOLIENDA</t>
  </si>
  <si>
    <t>PARTES HUMEDAS BBA 7240-BBA-001</t>
  </si>
  <si>
    <t>PIPING Y VALVULAS BBA 7240-BBA-001</t>
  </si>
  <si>
    <t>SISTEMA MOTRIZ BBA 7240-BBA-001</t>
  </si>
  <si>
    <t>MOTOR ELEC BBA 7240-BBA-001</t>
  </si>
  <si>
    <t>SISTEMA INSTRUMENTACION BBA 7240-BBA-001</t>
  </si>
  <si>
    <t>SISTEMA ELECTRICO BBA 7240-BBA-001</t>
  </si>
  <si>
    <t>BOTONERA LOCAL BBA 7240-BBA-001</t>
  </si>
  <si>
    <t>BOMBA #2 SUMERGIBLE MOLIENDA</t>
  </si>
  <si>
    <t>07240-BBA-002</t>
  </si>
  <si>
    <t>07240-BBA-002M</t>
  </si>
  <si>
    <t>PARTES HUMEDAS BBA 7240-BBA-002</t>
  </si>
  <si>
    <t>PIPING Y VALVULAS BBA 7240-BBA-002</t>
  </si>
  <si>
    <t>SISTEMA MOTRIZ BBA 7240-BBA-002</t>
  </si>
  <si>
    <t>MOTOR ELEC BBA 7240-BBA-002</t>
  </si>
  <si>
    <t>SISTEMA INSTRUMENTACION BBA 7240-BBA-002</t>
  </si>
  <si>
    <t>SISTEMA ELECTRICO BBA 7240-BBA-002</t>
  </si>
  <si>
    <t>BOTONERA LOCAL BBA 7240-BBA-002</t>
  </si>
  <si>
    <t>BOMBA SUMERGIBLE FLOTACION #1</t>
  </si>
  <si>
    <t>BOMBA SUMERGIBLE FLOTACION #2</t>
  </si>
  <si>
    <t>ANALIZADOR DE TAMAÑO DE PARTICULAS</t>
  </si>
  <si>
    <t>07240-AE/AIT-0499</t>
  </si>
  <si>
    <t>AIT</t>
  </si>
  <si>
    <t>CORTADOR DE MUESTRA</t>
  </si>
  <si>
    <t>UNIDAD DE CONTROL</t>
  </si>
  <si>
    <t>COMPONENTES ANALIZADOR TAMAÑO PARTICULAS</t>
  </si>
  <si>
    <t>07290-AIT-0499</t>
  </si>
  <si>
    <t>07290-AE-0499</t>
  </si>
  <si>
    <t xml:space="preserve">07290-AU-0499 </t>
  </si>
  <si>
    <t>ATP</t>
  </si>
  <si>
    <t>MOTOR BBA RETORNO ANALIZADOR DE PARTICUL</t>
  </si>
  <si>
    <t>BOMBA RETORNO ANALIZADOR DE PARTICULAS</t>
  </si>
  <si>
    <t>FLUJOMETRO SUPRESOR POLVO 7110-SDP-001</t>
  </si>
  <si>
    <t>07110-FE/FT-2202</t>
  </si>
  <si>
    <t>FLUJOMETRO SUPRESOR POLVO 7120-SDP-001</t>
  </si>
  <si>
    <t>07120-FE/FT-2212</t>
  </si>
  <si>
    <t>FLUJOMETRO SUPRESOR POLVO 7120-SDP-002</t>
  </si>
  <si>
    <t>07120-FE/FT-2222</t>
  </si>
  <si>
    <t>FLUJOMETRO SUPRESOR POLVO 7210-SDP-001</t>
  </si>
  <si>
    <t>07210-FE/FT-2262</t>
  </si>
  <si>
    <t>FLUJOMETRO SUPRESOR POLVO 7180-SDP-001</t>
  </si>
  <si>
    <t>07180-FE/FT-2252</t>
  </si>
  <si>
    <t>FLUJOMETRO SISTEMA BOMBEO SUPRESOR</t>
  </si>
  <si>
    <t>07120-FE/FQT-2240</t>
  </si>
  <si>
    <t xml:space="preserve">SISTEMA CONTROL/ELECTRICO 7210-GPT-001 </t>
  </si>
  <si>
    <t>SISTEMA ESTRUCTURAL PUENTE 7210-GPT-001</t>
  </si>
  <si>
    <t>SISTEMA IZAJE PUENTE 7210-GPT-001</t>
  </si>
  <si>
    <t>SISTEMA TRASLACION PUENTE 7210-GPT-001</t>
  </si>
  <si>
    <t>SISTEMA CONTROL/ELECTRICO 7220-GPT-001</t>
  </si>
  <si>
    <t xml:space="preserve">SISTEMA ESTRUCTURAL PUENTE 7220-GPT-001 </t>
  </si>
  <si>
    <t>SISTEMA IZAJE PUENTE 7220-GPT-001</t>
  </si>
  <si>
    <t>SISTEMA TRASLACION PUENTE 7220-GPT-001</t>
  </si>
  <si>
    <t>SISTEMA ESTRUCTURAL CAJON 7510-CAJ-002</t>
  </si>
  <si>
    <t>SISTEMA INSTRUMENTACION 7510-CAJ-002</t>
  </si>
  <si>
    <t>SRD</t>
  </si>
  <si>
    <t>SISTEMA ESTRUCTURAL 7420-EST-001</t>
  </si>
  <si>
    <t>SISTEMA IZAJE GRUA 7420-GPC-001</t>
  </si>
  <si>
    <t>SISTEMA RODADURA GRUA 7420-GPC-001</t>
  </si>
  <si>
    <t>SISTEMA ESTRUCTURAL GRUA 7420-GPC-001</t>
  </si>
  <si>
    <t>SISTEMA ESTRUCTURAL TK 7520-EST-001</t>
  </si>
  <si>
    <t>7420-HSS-774A@D</t>
  </si>
  <si>
    <t>7420-YS-772A@B</t>
  </si>
  <si>
    <t>INTERRUPTOR NIVEL LIQUIDO FRENO MBO</t>
  </si>
  <si>
    <t>TO1</t>
  </si>
  <si>
    <t>TO2</t>
  </si>
  <si>
    <t>TOLVA ALMACENAMIENTO BOLAS MOLINO SAG</t>
  </si>
  <si>
    <t>07250-TOL-001</t>
  </si>
  <si>
    <t>07250-TOL-002</t>
  </si>
  <si>
    <t>TOLVA ALMACENAMIENTO BOLAS MOLINO BOLAS</t>
  </si>
  <si>
    <t>PUERTA REGULADORA DE BOLAS 7250-TOL-001</t>
  </si>
  <si>
    <t>SISTEMA ESTRUCTURAL TOLVA 7250-TOL-001</t>
  </si>
  <si>
    <t>07250-ZZM-001</t>
  </si>
  <si>
    <t>SISTEMA ESTRUCTURAL TOLVA 7250-TOL-002</t>
  </si>
  <si>
    <t>PUERTA REGULADORA DE BOLAS 7250-TOL-002</t>
  </si>
  <si>
    <t>07250-ZZM-002</t>
  </si>
  <si>
    <t>CPC</t>
  </si>
  <si>
    <t>CAPACHO DE BOLAS</t>
  </si>
  <si>
    <t>07250-CBO-001</t>
  </si>
  <si>
    <t>SISTEMA ESTRUCTURAL CAPACHO DE BOLAS</t>
  </si>
  <si>
    <t>07240-BHI-001</t>
  </si>
  <si>
    <t>SISTEMA INSTRUMENTACION 7410-ESP-001</t>
  </si>
  <si>
    <t>07210-CHU-007/008</t>
  </si>
  <si>
    <t>CHUTE CALIBRACION DESCARGA ESCORIA</t>
  </si>
  <si>
    <t>SRP</t>
  </si>
  <si>
    <t>SISTEMA REMOVEDOR PERNOS MOLINO SAG</t>
  </si>
  <si>
    <t>SISTEMA ESTRUCTURAL 07210-MSG-001-01</t>
  </si>
  <si>
    <t>SISTEMA MOTRIZ 07210-MSG-001-01</t>
  </si>
  <si>
    <t>SISTEMA ESTRUCTURAL 07210-CHU-009</t>
  </si>
  <si>
    <t>SISTEMA MOTRIZ 07210-CHU-009</t>
  </si>
  <si>
    <t>PIPING Y VALVULAS 07290-ENF-001-01</t>
  </si>
  <si>
    <t>SISTEMA INSTRUMENTACION 7290-ENF-001-01</t>
  </si>
  <si>
    <t>SISTEMA ELECTRICO 07210-VEN-001</t>
  </si>
  <si>
    <t>SISTEMA MOTRIZ 07210-VEN-001</t>
  </si>
  <si>
    <t>SISTEMA ELECTRICO 07210-VEN-002</t>
  </si>
  <si>
    <t>SISTEMA MOTRIZ 07210-VEN-002</t>
  </si>
  <si>
    <t>SISTEMA ELECTRICO 07210-VEN-003</t>
  </si>
  <si>
    <t>SISTEMA MOTRIZ 07210-VEN-003</t>
  </si>
  <si>
    <t>SISTEMA ELECTRICO 07210-VEN-004</t>
  </si>
  <si>
    <t>SISTEMA MOTRIZ 07210-VEN-004</t>
  </si>
  <si>
    <t>SISTEMA ELECTRICO MAQUINA ENLAINADORA</t>
  </si>
  <si>
    <t>SISTEMA INSTRUMENTACION MAQUINA ENLAINAD</t>
  </si>
  <si>
    <t>SISTEMA ESTRUCTURAL MAQUINA ENLAINADORA</t>
  </si>
  <si>
    <t>SISTEMA MOVIMIENTOS MAQUINA ENLAINADORA</t>
  </si>
  <si>
    <t>ST2</t>
  </si>
  <si>
    <t>ST1</t>
  </si>
  <si>
    <t>SISTEMA TRANSPORTE CORAZAS MAQ ENLAINAD</t>
  </si>
  <si>
    <t>MAQUINA ENLAINADORA 7210-MAE-001</t>
  </si>
  <si>
    <t>VDF MT335 KW 4KV BBA 7240-BOC-001</t>
  </si>
  <si>
    <t>VDF MT335 KW 4KV BBA 7240-BOC-002</t>
  </si>
  <si>
    <t>TRANSFORMADOR DE AISLACION 7240-VDF-001</t>
  </si>
  <si>
    <t>TRANSFORMADOR DE AISLACION 7240-VDF-002</t>
  </si>
  <si>
    <t>TRANSFORMADOR SECO EXITATR 7210-MSG-001M</t>
  </si>
  <si>
    <t>TRANSFORMADOR AISLACION 7210-VDF-001 MSG</t>
  </si>
  <si>
    <t>VDF MOTOR ELEC 7210-MSG-001M</t>
  </si>
  <si>
    <t>TRANSFORMADOR SECO EXITATR 7220-MBO-001M</t>
  </si>
  <si>
    <t>TRANSFORMADOR AISLACION 7220-VDF-001 MBO</t>
  </si>
  <si>
    <t>VDF MOTOR ELEC 7220-MBO-001M</t>
  </si>
  <si>
    <t>07240-HV-0404B</t>
  </si>
  <si>
    <t>PIPING Y VALVULAS 7240-CAJ-002</t>
  </si>
  <si>
    <t>VVA SUCCION #1 BBA 7240-BOC-001 CAJ BHI</t>
  </si>
  <si>
    <t>VVA SUCCION #2 BBA 7240-BOC-001 CAJ BHI</t>
  </si>
  <si>
    <t>VVA DRENAJE SUCCION BBA 7240-BOC-001</t>
  </si>
  <si>
    <t>07240-HV-0050</t>
  </si>
  <si>
    <t>07240-HV-0051</t>
  </si>
  <si>
    <t>VVA SUCCION #1 BBA 7240-BOC-002 CAJ BHI</t>
  </si>
  <si>
    <t>VVA SUCCION #2 BBA 7240-BOC-002 CAJ BHI</t>
  </si>
  <si>
    <t>VVA DRENAJE SUCCION BBA 7240-BOC-002</t>
  </si>
  <si>
    <t>VVA DESC 7240-CAJ-002 PULPA GRUESA A BHI</t>
  </si>
  <si>
    <t>VVA DESC 7240-CAJ-003 PULPA GRUESA A BHI</t>
  </si>
  <si>
    <t>PIPING Y VALVULAS 7240-CAJ-003</t>
  </si>
  <si>
    <t>CALEFACTORES MOTOR MBO 7220-MBO-001</t>
  </si>
  <si>
    <t>07220-MBO-001M-05@8</t>
  </si>
  <si>
    <t>CALEFACTOR TAMBOR ENGRASE MBO</t>
  </si>
  <si>
    <t>CALEFACTOR TAMBOR SAG7210-MSG-001</t>
  </si>
  <si>
    <t>VDF 55KW, 600V 7330-BOC-001M</t>
  </si>
  <si>
    <t>VDF 55KW, 600V 7330-BOC-002M</t>
  </si>
  <si>
    <t>VDF 22KW, 600V 7410-BOC-001M</t>
  </si>
  <si>
    <t>VDF 22KW, 600V 7410-BOC-002M</t>
  </si>
  <si>
    <t>VDF 55KW, 600V 7510-BOC-001M</t>
  </si>
  <si>
    <t>VDF 55KW, 600V 7510-BOC-002M</t>
  </si>
  <si>
    <t>VDF 110KW 600V 6370-BOC-001M</t>
  </si>
  <si>
    <t>VDF 110KW 600V 6370-BOC-002M</t>
  </si>
  <si>
    <t>VDF 90KW 600V 6350-BOC-001M</t>
  </si>
  <si>
    <t>VDF 90KW 600V 6350-BOC-002M</t>
  </si>
  <si>
    <t>VDF 110KW 600V 7420-BOC-001M</t>
  </si>
  <si>
    <t>VDF 110KW 600V 7420-BOC-002M</t>
  </si>
  <si>
    <t>VDF MT 450KW 7520-BDP-001M</t>
  </si>
  <si>
    <t>VDF MT 450KW 7520-BDP-002M</t>
  </si>
  <si>
    <t>VDF 3.7KW, 600V 6370-BOC-001M</t>
  </si>
  <si>
    <t>VDF 3.7KW, 600V 6370-BOC-002M</t>
  </si>
  <si>
    <t>VDF 15KW, 600V 7410-BOC-001M</t>
  </si>
  <si>
    <t>VDF 15KW, 600V 7410-BOC-002M</t>
  </si>
  <si>
    <t>TRANSFORMADOR DE AISLACION 7520-VDF-001</t>
  </si>
  <si>
    <t>TRANSFORMADOR DE AISLACION 7520-VDF-002</t>
  </si>
  <si>
    <t>VDF 75KW, 600V 7520-BOC-001M</t>
  </si>
  <si>
    <t>VDF 75KW, 600V 7520-BOC-002M</t>
  </si>
  <si>
    <t>SISTEMA ELECTRICO 7510-CMU-001</t>
  </si>
  <si>
    <t>SISTEMA MOTRIZ 7510-CMU-001</t>
  </si>
  <si>
    <t>SISTEMA MECANICO 7510-CMU-001</t>
  </si>
  <si>
    <t>CORTADOR DE MUES COURIER ALIM FLOTAC #1</t>
  </si>
  <si>
    <t>CORTADOR DE MUES COURIER C. PRIM. FILA#1</t>
  </si>
  <si>
    <t>CORTADOR DE MUES COURIER C. PRIM. FILA#2</t>
  </si>
  <si>
    <t>CORTADOR DE MUES COURIER SCAVENG FILA#1</t>
  </si>
  <si>
    <t>CORTADOR DE MUES COURIER SCAVENG FILA#2</t>
  </si>
  <si>
    <t>CORTADOR DE MUES COURIER C. FINAL</t>
  </si>
  <si>
    <t>CORTADOR DE MUESTRA COURIER RELAVES</t>
  </si>
  <si>
    <t>06940-SEC-003</t>
  </si>
  <si>
    <t>SECADOR AIRE DE INSTRUMENTACION CHANCADO</t>
  </si>
  <si>
    <t>SECADOR AIRE DE INSTRUMENTAC FILTRACION</t>
  </si>
  <si>
    <t>SISTEMA ESTRUCTURAL 7420-COM-001</t>
  </si>
  <si>
    <t>SISTEMA ADMISION AIRE 6940-COM-001</t>
  </si>
  <si>
    <t>SISTEMA ADMISION DE AIRE 7420-COM-001</t>
  </si>
  <si>
    <t>SISTEMA ENFRIAMIENTO 7420-COM-001</t>
  </si>
  <si>
    <t>SISTEMA INSTRUMENTACION 7420-COM-001</t>
  </si>
  <si>
    <t>CONTENEDOR 6940-COM-001</t>
  </si>
  <si>
    <t>SOPORTES 6940-COM-001</t>
  </si>
  <si>
    <t>BASES 6940-COM-001</t>
  </si>
  <si>
    <t>PANELES 6940-COM-001</t>
  </si>
  <si>
    <t>PUERTAS 6940-COM-001</t>
  </si>
  <si>
    <t>FILTRO DE POLVO 6940-COM-001</t>
  </si>
  <si>
    <t>ELEMENTO FILTRO 6940-COM-001</t>
  </si>
  <si>
    <t>COMPRESOR TORNILLO 6940-COM-001</t>
  </si>
  <si>
    <t>MOTOR ELEC 6940-COM-001</t>
  </si>
  <si>
    <t>SEPARADOR DE ACEITE 6940-COM-001</t>
  </si>
  <si>
    <t>PIPING Y VVAS. 6940-COM-001</t>
  </si>
  <si>
    <t>FILTRO DE ACEITE 6940-COM-001</t>
  </si>
  <si>
    <t>PIPING 6940-COM-001</t>
  </si>
  <si>
    <t>INTERCAMBIADOR DE CALOR 6940-COM-001</t>
  </si>
  <si>
    <t>MOTOVENTILADOR 6940-COM-001</t>
  </si>
  <si>
    <t>SEPARADOR DE HUMEDAD 6940-COM-001</t>
  </si>
  <si>
    <t>SISTEMA INSTRUMENTACION 6940-COM-001</t>
  </si>
  <si>
    <t>PANEL DE CONTROL LOCAL 6940-COM-001</t>
  </si>
  <si>
    <t>CONTROLADOR 6940-COM-001</t>
  </si>
  <si>
    <t>CONTACTORES PRINCIPALES 6940-COM-001</t>
  </si>
  <si>
    <t>DISYUNTORES PRINCIPALES 6940-COM-001</t>
  </si>
  <si>
    <t>CONTENEDOR 6940-COM-002</t>
  </si>
  <si>
    <t>SOPORTES 6940-COM-002</t>
  </si>
  <si>
    <t>BASES 6940-COM-002</t>
  </si>
  <si>
    <t>PANELES 6940-COM-002</t>
  </si>
  <si>
    <t>PUERTAS 6940-COM-002</t>
  </si>
  <si>
    <t>FILTRO DE POLVO 6940-COM-002</t>
  </si>
  <si>
    <t>ELEMENTO FILTRO 6940-COM-002</t>
  </si>
  <si>
    <t>UNIDAD COMPRESORA 6940-COM-002</t>
  </si>
  <si>
    <t>COMPRESOR TORNILLO 6940-COM-002</t>
  </si>
  <si>
    <t>MOTOR ELEC 6940-COM-002</t>
  </si>
  <si>
    <t>SEPARADOR DE ACEITE 6940-COM-002</t>
  </si>
  <si>
    <t>PIPING Y VVAS. 6940-COM-002</t>
  </si>
  <si>
    <t>FILTRO DE ACEITE 6940-COM-002</t>
  </si>
  <si>
    <t>PIPING 6940-COM-002</t>
  </si>
  <si>
    <t>INTERCAMBIADOR DE CALOR 6940-COM-002</t>
  </si>
  <si>
    <t>MOTOVENTILADOR 6940-COM-002</t>
  </si>
  <si>
    <t>SEPARADOR DE HUMEDAD 6940-COM-002</t>
  </si>
  <si>
    <t>SISTEMA INSTRUMENTACION 6940-COM-002</t>
  </si>
  <si>
    <t>PANEL DE CONTROL LOCAL 6940-COM-002</t>
  </si>
  <si>
    <t>CONTROLADOR 6940-COM-002</t>
  </si>
  <si>
    <t>CONTACTORES PRINCIPALES 6940-COM-002</t>
  </si>
  <si>
    <t>DISYUNTORES PRINCIPALES 6940-COM-002</t>
  </si>
  <si>
    <t>SISTEMA ESTRUCTURAL 6940-COM-003</t>
  </si>
  <si>
    <t>CONTENEDOR 6940-COM-003</t>
  </si>
  <si>
    <t>SOPORTES 6940-COM-003</t>
  </si>
  <si>
    <t>BASES 6940-COM-003</t>
  </si>
  <si>
    <t>PANELES 6940-COM-003</t>
  </si>
  <si>
    <t>PUERTAS 6940-COM-003</t>
  </si>
  <si>
    <t>FILTRO DE POLVO 6940-COM-003</t>
  </si>
  <si>
    <t>ELEMENTO FILTRO 6940-COM-003</t>
  </si>
  <si>
    <t>UNIDAD COMPRESORA 6940-COM-003</t>
  </si>
  <si>
    <t>COMPRESOR TORNILLO 6940-COM-003</t>
  </si>
  <si>
    <t>MOTOR ELEC 6940-COM-003</t>
  </si>
  <si>
    <t>SEPARADOR DE ACEITE 6940-COM-003</t>
  </si>
  <si>
    <t>PIPING Y VVAS. 6940-COM-003</t>
  </si>
  <si>
    <t>FILTRO DE ACEITE 6940-COM-003</t>
  </si>
  <si>
    <t>PIPING 6940-COM-003</t>
  </si>
  <si>
    <t>INTERCAMBIADOR DE CALOR 6940-COM-003</t>
  </si>
  <si>
    <t>MOTOVENTILADOR 6940-COM-003</t>
  </si>
  <si>
    <t>SEPARADOR DE HUMEDAD 6940-COM-003</t>
  </si>
  <si>
    <t>SISTEMA INSTRUMENTACION 6940-COM-003</t>
  </si>
  <si>
    <t>PANEL DE CONTROL LOCAL 6940-COM-003</t>
  </si>
  <si>
    <t>CONTROLADOR 6940-COM-003</t>
  </si>
  <si>
    <t>CONTACTORES PRINCIPALES 6940-COM-003</t>
  </si>
  <si>
    <t>DISYUNTORES PRINCIPALES 6940-COM-003</t>
  </si>
  <si>
    <t>SISTEMA ADMISION DE AIRE 6940-COM-003</t>
  </si>
  <si>
    <t>SISTEMA ADIMISION DE AIRE 6940-COM-002</t>
  </si>
  <si>
    <t>UNIDAD COMPRESORA 7420-COM-001</t>
  </si>
  <si>
    <t>SISTEMA ESTRUCTURAL 7420-COM-002</t>
  </si>
  <si>
    <t>SISTEMA ADMISION DE AIRE 7420-COM-002</t>
  </si>
  <si>
    <t>UNIDAD COMPRESORA 7420-COM-002</t>
  </si>
  <si>
    <t>SISTEMA ENFRIAMIENTO 7420-COM-002</t>
  </si>
  <si>
    <t>SISTEMA INSTRUMENTACION 7420-COM-002</t>
  </si>
  <si>
    <t>SISTEMA ESTRUCTURAL 7420-COM-003</t>
  </si>
  <si>
    <t>SISTEMA ADMISION DE AIRE 7420-COM-003</t>
  </si>
  <si>
    <t>UNIDAD COMPRESORA 7420-COM-003</t>
  </si>
  <si>
    <t>SISTEMA ENFRIAMIENTO 7420-COM-003</t>
  </si>
  <si>
    <t>SISTEMA INSTRUMENTACION 7420-COM-003</t>
  </si>
  <si>
    <t>COMPRESOR AIRE FILTRACION #1</t>
  </si>
  <si>
    <t>COMPRESOR AIRE FILTRACION #2</t>
  </si>
  <si>
    <t>COMPRESOR AIRE FILTRACION #3 STAND BY</t>
  </si>
  <si>
    <t xml:space="preserve">TABLERO DISTRI ALUMBRADO 400-231V </t>
  </si>
  <si>
    <t>SISTEMA ALUMBRADO - 7490</t>
  </si>
  <si>
    <t>SISTEMA ALUMBRADO - 7390</t>
  </si>
  <si>
    <t>TABLERO DISTRI ALUMBRADO FILTRADO</t>
  </si>
  <si>
    <t>PLANTA TRATAMIENTO AGUA PARA AGUA SELLO</t>
  </si>
  <si>
    <t>IMPULSION DE RELAVES</t>
  </si>
  <si>
    <t>RVD</t>
  </si>
  <si>
    <t>RELAVEDUCTO</t>
  </si>
  <si>
    <t>PIPING Y VALVULAS RELAVEDUCTO BBA #1</t>
  </si>
  <si>
    <t>ANILLO DISIPADOR 6-PDO-014 7520-BDP-002</t>
  </si>
  <si>
    <t>ANILLO DISIPADOR 6-PDO-015 7520-BDP-002</t>
  </si>
  <si>
    <t>ANILLO DISIPADOR 6-PDO-016 7520-BDP-002</t>
  </si>
  <si>
    <t>ANILLO DISIPADOR 6-PDO-017 7520-BDP-002</t>
  </si>
  <si>
    <t>INSTRUMENTACION RELAVEDUCTO BBA #1</t>
  </si>
  <si>
    <t>07520-FIT-0870</t>
  </si>
  <si>
    <t>07520-PIT-0871</t>
  </si>
  <si>
    <t>07520-PIT-0873</t>
  </si>
  <si>
    <t>07520-PIT-0875</t>
  </si>
  <si>
    <t>07520-PIT-0878</t>
  </si>
  <si>
    <t>07520-FIT-0879</t>
  </si>
  <si>
    <t>FLUJOMETRO ESTACION KM0 RELAVEDUC BBA#1</t>
  </si>
  <si>
    <t>FLUJOMETRO ESTACION MONIT #3 RELAVED. #1</t>
  </si>
  <si>
    <t>PRESION ESTACION KM0 RELAVEDUC BBA #1</t>
  </si>
  <si>
    <t>PRESION ESTACION MONIT #3 RELAVED. #1</t>
  </si>
  <si>
    <t>PRESION #1 ESTACION MONIT #1 RELAVED. #1</t>
  </si>
  <si>
    <t>PRESION #2 ESTACION MONIT #1 RELAVED. #1</t>
  </si>
  <si>
    <t>MP3</t>
  </si>
  <si>
    <t>MP4</t>
  </si>
  <si>
    <t>INSTRUMENTACION RELAVEDUCTO BBA #2</t>
  </si>
  <si>
    <t>07520-FIT-0880</t>
  </si>
  <si>
    <t>07520-PIT-0885</t>
  </si>
  <si>
    <t>07520-PIT-0888</t>
  </si>
  <si>
    <t>07520-FIT-0889</t>
  </si>
  <si>
    <t>07520-PIT-0881</t>
  </si>
  <si>
    <t>FLUJOMETRO ESTACION KM0 RELAVEDUC BBA#2</t>
  </si>
  <si>
    <t>FLUJOMETRO ESTACION MONIT #3 RELAVED. #2</t>
  </si>
  <si>
    <t>PRESION ESTACION KM0 RELAVEDUC BBA #2</t>
  </si>
  <si>
    <t>PRESION #2 ESTACION MONIT #1 RELAVED. #2</t>
  </si>
  <si>
    <t>PRESION ESTACION MONIT #3 RELAVED. #2</t>
  </si>
  <si>
    <t>SPOOL ESPECIALES 6" RELAVEDUCTO BBA #1</t>
  </si>
  <si>
    <t>SPOOL ESPECIALES 7" RELAVEDUCTO BBA #1</t>
  </si>
  <si>
    <t>SPOOL ESPECIALES 6" RELAVEDUCTO BBA #2</t>
  </si>
  <si>
    <t>ACD</t>
  </si>
  <si>
    <t>CAÑERIA CONDUCCION AGUA FRESCA</t>
  </si>
  <si>
    <t>06330-PCV-0900</t>
  </si>
  <si>
    <t>VVA REGULADORA PRES ARRANQ MATRIZ AGUA</t>
  </si>
  <si>
    <t>06330-HV-0900</t>
  </si>
  <si>
    <t>VVA ON-OFF ARRANQ MATRIZ AGUA FRESCA</t>
  </si>
  <si>
    <t>FLUJOMETRO ARRANQUE MATRIZ AGUA FRESCA</t>
  </si>
  <si>
    <t>PIPING Y VALVULAS ESTANQUE AGUA TRATADA</t>
  </si>
  <si>
    <t>06350-LV-0940</t>
  </si>
  <si>
    <t>VVA ON-OFF ESTANQUE AGUA TRATADA</t>
  </si>
  <si>
    <t>INSTRUMENTACION ESTANQUE DE AGUA TRATADA</t>
  </si>
  <si>
    <t>06350-FIT-0941</t>
  </si>
  <si>
    <t>FLUJOMETRO DESCARGA ESTANQ AGUA TRATADA</t>
  </si>
  <si>
    <t>VVA REGULADORA PRES ALIM TK AGUA LAV F.</t>
  </si>
  <si>
    <t>INSTRUMENTACION TK AGUA LAVADO FILTRO</t>
  </si>
  <si>
    <t>06350-PCV-0906</t>
  </si>
  <si>
    <t>PRESION DESCARGA BBAS 6350-BOC-001 Y 002</t>
  </si>
  <si>
    <t>06350-PIT-0947</t>
  </si>
  <si>
    <t>06350-PIT-0948</t>
  </si>
  <si>
    <t>PRESION DESCARGA BBAS 6350-BOC-003 Y 004</t>
  </si>
  <si>
    <t>06350-LV-0907</t>
  </si>
  <si>
    <t>VVA ON-OFF ESTANQUE AGUA SELLO</t>
  </si>
  <si>
    <t>VVA ON-OFF SUCCION BBA 6350-BOC-001</t>
  </si>
  <si>
    <t>VVA ON-OFF DESCARGA BBA 6350-BOC-001</t>
  </si>
  <si>
    <t>06350-HV-0970</t>
  </si>
  <si>
    <t>06350-HV-0974</t>
  </si>
  <si>
    <t>06350-HV-0971</t>
  </si>
  <si>
    <t>06350-HV-0975</t>
  </si>
  <si>
    <t>VVA ON-OFF SUCCION BBA 6350-BOC-002</t>
  </si>
  <si>
    <t>VVA ON-OFF DESCARGA BBA 6350-BOC-002</t>
  </si>
  <si>
    <t>06350-HV-0972</t>
  </si>
  <si>
    <t>06350-HV-0976</t>
  </si>
  <si>
    <t>VVA ON-OFF SUCCION BBA 6350-BOC-003</t>
  </si>
  <si>
    <t>VVA ON-OFF DESCARGA BBA 6350-BOC-003</t>
  </si>
  <si>
    <t>06350-HV-0973</t>
  </si>
  <si>
    <t>06350-HV-0977</t>
  </si>
  <si>
    <t>VVA ON-OFF SUCCION BBA 6350-BOC-004</t>
  </si>
  <si>
    <t>VVA ON-OFF DESCARGA BBA 6350-BOC-004</t>
  </si>
  <si>
    <t>VVA ON-OFF TK AGUA LAVADO FILTROS</t>
  </si>
  <si>
    <t>PIPING Y VALVULAS TK AGUA LAVADO FILTROS</t>
  </si>
  <si>
    <t>PIPING Y VALVULAS TK AGUA SELLO</t>
  </si>
  <si>
    <t>06350-LV-0942</t>
  </si>
  <si>
    <t>INSTRUMENTACION ESTANQUE AGUA SELLO</t>
  </si>
  <si>
    <t>06350-FIT-0912</t>
  </si>
  <si>
    <t>FLUJOMETRO LOOP AGUA RETORN A TK EST-002</t>
  </si>
  <si>
    <t>06350-FIT-0910</t>
  </si>
  <si>
    <t>06350-PIT-0910</t>
  </si>
  <si>
    <t>06350-HV-0978</t>
  </si>
  <si>
    <t>06350-HV-0980</t>
  </si>
  <si>
    <t>VVA ON-OFF SUCCION BBA 6350-BOC-005</t>
  </si>
  <si>
    <t>VVA ON-OFF DESCARGA BBA 6350-BOC-005</t>
  </si>
  <si>
    <t>FLUJOMETRO DSCGA BBAS 6350-BOC-005 Y 006</t>
  </si>
  <si>
    <t>PRESION DESCARGA BBAS 6350-BOC-005 Y 006</t>
  </si>
  <si>
    <t>VVA ON-OFF SUCCION BBA 6350-BOC-006</t>
  </si>
  <si>
    <t>VVA ON-OFF DESCARGA BBA 6350-BOC-006</t>
  </si>
  <si>
    <t>06350-HV-0979</t>
  </si>
  <si>
    <t>06350-HV-0981</t>
  </si>
  <si>
    <t>06350-FV-0912</t>
  </si>
  <si>
    <t>VVA CTRL LOOP AGUA RETORN A TK EST-002</t>
  </si>
  <si>
    <t>06350-PCV-0937</t>
  </si>
  <si>
    <t>VVA REGULADORA PRESION AGUA SELLO BBA #1</t>
  </si>
  <si>
    <t>VVA REGULADORA PRESION AGUA SELLO BBA #2</t>
  </si>
  <si>
    <t>06350-PCV-0938</t>
  </si>
  <si>
    <t>VVA REGULADORA PRESION AGUA SELLO BBA #3</t>
  </si>
  <si>
    <t>BOMBA #1 DESCARGA ESPESADOR DE RELAVES</t>
  </si>
  <si>
    <t>BOMBA #2 DESCARGA ESPESADOR DE RELAVES</t>
  </si>
  <si>
    <t>06350-PCV-0935</t>
  </si>
  <si>
    <t>06350-PCV-0936</t>
  </si>
  <si>
    <t>VVA REGULADORA PRESION AGUA SELLO BBA #4</t>
  </si>
  <si>
    <t>BOMBA #1 DESCARGA ESPESADOR DE CONCENTR</t>
  </si>
  <si>
    <t>BOMBA #2 DESCARGA ESPESADOR DE CONCENTR</t>
  </si>
  <si>
    <t>VVA REGULADORA PRES AGUA SELLO BBA #1</t>
  </si>
  <si>
    <t>06350-PCV-0929</t>
  </si>
  <si>
    <t>VVA REGULADORA PRES AGUA SELLO BBA #2</t>
  </si>
  <si>
    <t>06350-PCV-0930</t>
  </si>
  <si>
    <t>BOMBA #1 ALIMENTACION FILTROS</t>
  </si>
  <si>
    <t>06350-PCV-0933</t>
  </si>
  <si>
    <t>BOMBA #1 IMPULSION RELAVES A ESPESAMIENT</t>
  </si>
  <si>
    <t>BOMBA #2 IMPULSION RELAVES A ESPESAMIENT</t>
  </si>
  <si>
    <t>06350-PCV-0934</t>
  </si>
  <si>
    <t>SISTEMA AGUA SELLO BBA. 7510-BOC-002</t>
  </si>
  <si>
    <t>PIPING Y VALVULAS BBA. 7510-BOC-002</t>
  </si>
  <si>
    <t>PARTES HUMEDAS BBA. 7510-BOC-002</t>
  </si>
  <si>
    <t>SISTEMA MOTRIZ BBA. 7510-BOC-002</t>
  </si>
  <si>
    <t>BOMBA #1 IMP. CONC. FINAL A ESPESAMIENTO</t>
  </si>
  <si>
    <t>BOMBA #2 IMP. CONC. FINAL A ESPESAMIENTO</t>
  </si>
  <si>
    <t>06350-PCV-0927</t>
  </si>
  <si>
    <t>06350-PCV-0928</t>
  </si>
  <si>
    <t>06350-PCV-0923</t>
  </si>
  <si>
    <t>06350-PCV-0924</t>
  </si>
  <si>
    <t>BOMBA #2 RECIRCULACION FLOTAC. SCAVENGER</t>
  </si>
  <si>
    <t>BOMBA #1 RECIRCULACION FLOTAC. SCAVENGER</t>
  </si>
  <si>
    <t>06350-PCV-0921</t>
  </si>
  <si>
    <t>06350-FIT-0921</t>
  </si>
  <si>
    <t>BOMBA #1 ALIMENTACION HIDROCICLONES</t>
  </si>
  <si>
    <t>BOMBA #2 ALIMENTACION HIDROCICLONES</t>
  </si>
  <si>
    <t>FLUJOMETRO AGUA SELLO BBA 7240-BOC-001</t>
  </si>
  <si>
    <t>FLUJOMETRO AGUA SELLO BBA 7240-BOC-002</t>
  </si>
  <si>
    <t>06350-PCV-0922</t>
  </si>
  <si>
    <t>06350-FIT-0922</t>
  </si>
  <si>
    <t>VVA ON-OFF SUCCION BBA 6370-BOC-001</t>
  </si>
  <si>
    <t>06370-HV-0964</t>
  </si>
  <si>
    <t>VVA ON-OFF DESCARGA BBA 6370-BOC-001</t>
  </si>
  <si>
    <t>06370-HV-0966</t>
  </si>
  <si>
    <t>06370-HV-0965</t>
  </si>
  <si>
    <t>06370-HV-0967</t>
  </si>
  <si>
    <t>BOMBA #1 DE IMPULSION AGUA PROCESO</t>
  </si>
  <si>
    <t>BOMBA #2 DE IMPULSION AGUA PROCESO</t>
  </si>
  <si>
    <t>VVA ON-OFF SUCCION BBA 6370-BOC-002</t>
  </si>
  <si>
    <t>VVA ON-OFF DESCARGA BBA 6370-BOC-002</t>
  </si>
  <si>
    <t>06370-PIT-0958</t>
  </si>
  <si>
    <t>PRESION MATRIZ DESCARGA TK AGUA PROCESO</t>
  </si>
  <si>
    <t>LINEA AGUA PROCESO 3" A MOLINO SAG</t>
  </si>
  <si>
    <t>VVA CTRL AGUA ALIMENTACION A MSG</t>
  </si>
  <si>
    <t>07210-FV-0251</t>
  </si>
  <si>
    <t>VVA CTRL AGUA LAVADO TROMMEL MSG</t>
  </si>
  <si>
    <t>07210-FV-0452</t>
  </si>
  <si>
    <t>FLUJOMETRO AGUA ALIMENTACION A MSG</t>
  </si>
  <si>
    <t>FLUJOMETRO AGUA LAVADO TROMMEL MSG</t>
  </si>
  <si>
    <t>07210-FIT-0251</t>
  </si>
  <si>
    <t>07210-FIT-0452</t>
  </si>
  <si>
    <t>PIPING Y VALVULAS AGUA PROCESO A M. SAG</t>
  </si>
  <si>
    <t>LINEA AGUA PROC LAVADO SUCCION BBAS HIDR</t>
  </si>
  <si>
    <t>LINEA AGUA PROC A CAJON ALIM BAT HIDROC</t>
  </si>
  <si>
    <t>07240-FV-0305</t>
  </si>
  <si>
    <t>07240-FIT-0305</t>
  </si>
  <si>
    <t>VVA CTRL AGUA PROCES A CAJON ALIMENT BHI</t>
  </si>
  <si>
    <t>FLUJOMETRO AGUA PROCES A CAJON ALIM BHI</t>
  </si>
  <si>
    <t>LINEA AGUA PROCESO A BATERIA HIDROCICLON</t>
  </si>
  <si>
    <t>PIPING Y VALVULAS AGUA P. A CAJ. AL. BHI</t>
  </si>
  <si>
    <t>INSTRUMENTACION AGUA PROC A CAJ. AL. BHI</t>
  </si>
  <si>
    <t>INSTRUMENTACION AGUA PROCES A MOLINO SAG</t>
  </si>
  <si>
    <t>PIPING Y VALVULAS AGUA PROCESO A BHI</t>
  </si>
  <si>
    <t>VVA CTRL AGUA PROCESO A BAT. HIDROC.</t>
  </si>
  <si>
    <t>INSTRUMENTACION AGUA PROCESO A BHI</t>
  </si>
  <si>
    <t>FLUJOMETRO AGUA PROCES A BAT. HIDROC.</t>
  </si>
  <si>
    <t>07220-FV-0301</t>
  </si>
  <si>
    <t>07220-FIT-0301</t>
  </si>
  <si>
    <t>LINEA AGUA PROCES CELDA FLOT PRIM F1 Y 2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</si>
  <si>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</si>
  <si>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</si>
  <si>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</si>
  <si>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</si>
  <si>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</si>
  <si>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</si>
  <si>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</si>
  <si>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</si>
  <si>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</si>
  <si>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</si>
  <si>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</si>
  <si>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</si>
  <si>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</si>
  <si>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</si>
  <si>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</si>
  <si>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</si>
  <si>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LINEA AGUA PRO LAV DCGA 7510-BOC-001/002</t>
  </si>
  <si>
    <t>LINEA AGUA PRO LAV DCGA 7410-BOC-001/002</t>
  </si>
  <si>
    <t>LINEA AGUA PROCESO A 7410-ESP-001</t>
  </si>
  <si>
    <t>PIPING Y VALVULAS AGUA PR A 7410-ESP-001</t>
  </si>
  <si>
    <t>06330-PCV-0959</t>
  </si>
  <si>
    <t>VVA CTRL AGUA MATAESPUMA A 7410-ESP-001</t>
  </si>
  <si>
    <t>LINEA AGUA PROCESO LAV DCGA 7410-ESP-001</t>
  </si>
  <si>
    <t>LINEA AGUA PROC LAV SUCC 7420-BOC-001/02</t>
  </si>
  <si>
    <t>LINEA AGUA PROCESO LAV DCGA 7510-ERV-001</t>
  </si>
  <si>
    <t>LINEA AGUA PROC LAV SUCC 7520-BOC-001/02</t>
  </si>
  <si>
    <t>LINEA AGUA PROC LAV SUCC 7510-BOC-001/02</t>
  </si>
  <si>
    <t>LINEA AGUA PROC LAV SUCC 7410-BOC-001/02</t>
  </si>
  <si>
    <t>LINEA AGUA PROC LAV SUCC 7330-BOC-001/02</t>
  </si>
  <si>
    <t>LINEA AGUA PROC LAV DCGA 7330-BOC-001/02</t>
  </si>
  <si>
    <t>INTERRUPTOR PRESION AIRE 7210-MSG-001</t>
  </si>
  <si>
    <t>INTERRUPTOR PRESION ACE. 7520-BDP-001</t>
  </si>
  <si>
    <t>INTERRUPTOR PRESION ACE. 7520-BDP-002</t>
  </si>
  <si>
    <t>PRESION 7520-BBA-001</t>
  </si>
  <si>
    <t>PRESION ACEITE 7520-BDP-002</t>
  </si>
  <si>
    <t>PRESION BBA. 7240-BOC-001</t>
  </si>
  <si>
    <t>PRESION BBA. 7240-BOC-002</t>
  </si>
  <si>
    <t>PRESION BHI. 7250-BHI-001</t>
  </si>
  <si>
    <t>PRESION BBA. 7330-BOC-001</t>
  </si>
  <si>
    <t>PRESION BBA. 7330-BBA-001</t>
  </si>
  <si>
    <t>PRESION CAMA 7410-ESP-001</t>
  </si>
  <si>
    <t>PRESION BBA 7410-BOC-003</t>
  </si>
  <si>
    <t>PRESION BBA 7410-BOC-004</t>
  </si>
  <si>
    <t>PRESION BBA. 7420-BOC-001</t>
  </si>
  <si>
    <t>PRESION BBA. 7420-BOC-002</t>
  </si>
  <si>
    <t>PRESION AIRE SEC. 7420-FTR-001</t>
  </si>
  <si>
    <t>PRESION AGUA LAV. 7420-FTR-001</t>
  </si>
  <si>
    <t>PRESION 1 UHD 7420-FTR-001-01</t>
  </si>
  <si>
    <t>PRESION 2 UHD 7420-FTR-001-01</t>
  </si>
  <si>
    <t>PRESION AIRE SEC. 7420-FTR-002</t>
  </si>
  <si>
    <t>PRESION AGUA LAV. 7420-FTR-002</t>
  </si>
  <si>
    <t>PRESION 1 UHD 7420-FTR-002-01</t>
  </si>
  <si>
    <t>PRESION 2 UHD 7420-FTR-002-01</t>
  </si>
  <si>
    <t>PRESION BBA. 7510-BOC-001</t>
  </si>
  <si>
    <t>PRESION BBA. 7510-BOC-002</t>
  </si>
  <si>
    <t>PRESION CAMA 7510-ERV-001</t>
  </si>
  <si>
    <t xml:space="preserve">PRESION BBA 7510-BOC-003  </t>
  </si>
  <si>
    <t xml:space="preserve">PRESION BBA 7510-BOC-004   </t>
  </si>
  <si>
    <t>PRESION BBA 7510-BBA-001</t>
  </si>
  <si>
    <t>PRESION 7520-BOC-001</t>
  </si>
  <si>
    <t>PRESION 7520-BOC-002</t>
  </si>
  <si>
    <t>PRESION ACEITE 7520-BDP-001</t>
  </si>
  <si>
    <t>PRESION 6370-BOC-001</t>
  </si>
  <si>
    <t>PRESION 6370-BOC-002</t>
  </si>
  <si>
    <t>PRESION 6370-BOC-003</t>
  </si>
  <si>
    <t>PRESION 6370-BOC-004</t>
  </si>
  <si>
    <t>PRESION 7610-BBA-001</t>
  </si>
  <si>
    <t>07240-PIT-0407</t>
  </si>
  <si>
    <t>07420-PIT-0419</t>
  </si>
  <si>
    <t>07330-PIT-0593</t>
  </si>
  <si>
    <t>07240-PIT-0413</t>
  </si>
  <si>
    <t>NIVEL BBA 7310-BBA-001</t>
  </si>
  <si>
    <t>07310-LIT-0502</t>
  </si>
  <si>
    <t>MOTOR ELEC BBA. 7330-BOC-002</t>
  </si>
  <si>
    <t>SISTEMA INSTRUMENTACION BBA 7330-BOC-002</t>
  </si>
  <si>
    <t>PRESION BBA. 7330-BOC-002</t>
  </si>
  <si>
    <t>SISTEMA ELECTRICO BBA. 7330-BOC-002</t>
  </si>
  <si>
    <t>BOTONERA LOCAL BBA. 7330-BOC-002</t>
  </si>
  <si>
    <t>NIVEL SLU APC. 7120-APC-001</t>
  </si>
  <si>
    <t>NIVEL UHD APC 7120-APC-001</t>
  </si>
  <si>
    <t>NIVEL ALTO ALTO 07120-CHU-003</t>
  </si>
  <si>
    <t>NIVEL ALTO ALTO 07120-CHU-001</t>
  </si>
  <si>
    <t>NIVEL REMOTO STP. 7180-STP-001</t>
  </si>
  <si>
    <t>NIVEL SLU APC. 7210-APC-001</t>
  </si>
  <si>
    <t>NIVEL UHD APC 7210-APC-001</t>
  </si>
  <si>
    <t>NIVEL SLU APC. 7210-APC-002</t>
  </si>
  <si>
    <t>NIVEL UHD APC 7210-APC-002</t>
  </si>
  <si>
    <t>NIVEL ULTRASON. 7310-CAJ-001</t>
  </si>
  <si>
    <t>NIVEL ULTRASONICO</t>
  </si>
  <si>
    <t>NIVEL ULTRASON. 7410-CAJ-001</t>
  </si>
  <si>
    <t>NIVEL ULTRASON. 7410-CAJ-002</t>
  </si>
  <si>
    <t>NIVEL INTERFASE 7410-ESP-001</t>
  </si>
  <si>
    <t>NIVEL TOLVA TOL 7420-TOL-003</t>
  </si>
  <si>
    <t>NIVEL INTERFASE 7510-ERV-001</t>
  </si>
  <si>
    <t>NIVEL ESTANQUE 6930-EST-004</t>
  </si>
  <si>
    <t>NIVEL ESTANQUE 6930-EST-005</t>
  </si>
  <si>
    <t>NIVEL ESTANQUE 6330-EST-001</t>
  </si>
  <si>
    <t>NIVEL ESTANQUE 6330-EST-002</t>
  </si>
  <si>
    <t>NIVEL ESTANQUE 7520-EST-001</t>
  </si>
  <si>
    <t>NIVEL ALTO ALTO 7420-CTR-001-01</t>
  </si>
  <si>
    <t>NIVEL ESTANQUE ALIMENTACION FILTRADO</t>
  </si>
  <si>
    <t>VIBRACION DESCANSO PIÑON ALIMENT M.SAG</t>
  </si>
  <si>
    <t>VIBRACION DESCANSO PIÑON DESCGA M.SAG</t>
  </si>
  <si>
    <t>VIBRACION DESCANSOS MOTOR M. SAG</t>
  </si>
  <si>
    <t>VIBRACION DESCANS PIÑON ALIMENT MBO</t>
  </si>
  <si>
    <t>VIBRACION DESCANSO PIÑON DESCGA MBO</t>
  </si>
  <si>
    <t>07420-TE-0775A@B</t>
  </si>
  <si>
    <t>NIVEL UHD ALIM. 7420-ACT-003</t>
  </si>
  <si>
    <t>07510-LE/LIT-0810</t>
  </si>
  <si>
    <t>NIVEL ULTRASONICO CAJON 7510-CAJ-002</t>
  </si>
  <si>
    <t>NIVEL ULTRASONICO 7510-CAJ-001</t>
  </si>
  <si>
    <t>07510-LE/LIT-0800</t>
  </si>
  <si>
    <t>07410-LE/LIT-0700</t>
  </si>
  <si>
    <t>07410-LE/LIT-0715</t>
  </si>
  <si>
    <t>ESTANQUE CAJON 7410-CAJ-002</t>
  </si>
  <si>
    <t>07410-LE/LIT-1401</t>
  </si>
  <si>
    <t>07510-LE/LIT-1451</t>
  </si>
  <si>
    <t>07520-LE/LIT-0827</t>
  </si>
  <si>
    <t>NIVEL ALTO ALTO 7120-CTR-001-05</t>
  </si>
  <si>
    <t>NIVEL ALTO ALTO 7210-CTR-001-05</t>
  </si>
  <si>
    <t>NIVEL ALTO ALTO 7210-CTR-002-01</t>
  </si>
  <si>
    <t>NIVEL ALTO ALTO 7210-CTR-003-01</t>
  </si>
  <si>
    <t>NIVEL ALTO ALTO 7210-CTR-004-01</t>
  </si>
  <si>
    <t>NIVEL STOCK PILE 7180-STP-001</t>
  </si>
  <si>
    <t>MNP</t>
  </si>
  <si>
    <t>LINEA AIRE PROCESO A CELDAS PRI FILA 1</t>
  </si>
  <si>
    <t>SISTEMA INSTRUMENTACION LINEA AIRE</t>
  </si>
  <si>
    <t>PRESION FLUJO AIRE</t>
  </si>
  <si>
    <t>LINEA AIRE PROCESO A CELDAS PRI FILA 2</t>
  </si>
  <si>
    <t>LINEA AIRE PROCESO A CELDAS SCA FILA 1</t>
  </si>
  <si>
    <t>LINEA AIRE PROCESO A CELDAS SCA FILA 2</t>
  </si>
  <si>
    <t>06940-PIT-0615</t>
  </si>
  <si>
    <t>06940-PIT-0535</t>
  </si>
  <si>
    <t>06940-PIT-0565</t>
  </si>
  <si>
    <t>06940-PIT-0585</t>
  </si>
  <si>
    <t>LINEA AIRE PLANTA A FLOTACION</t>
  </si>
  <si>
    <t>LINEA AIRE PLANTA A CONCENTRADO</t>
  </si>
  <si>
    <t>LINEA AIRE PLANTA A MOLIENDA</t>
  </si>
  <si>
    <t>LINEA AIRE PLANTA A CHANCADO</t>
  </si>
  <si>
    <t>LINEA AIRE PLANTA A SISTEMA AGUA PROCESO</t>
  </si>
  <si>
    <t>LINEA AIRE PLANTA A PLANTA FLOCULANTE</t>
  </si>
  <si>
    <t>06940-PIT-0981</t>
  </si>
  <si>
    <t>PRESION AUMULADOR DE AIRE #2</t>
  </si>
  <si>
    <t>TEMPERATRURA DESCANSOS 6940-SOP-001</t>
  </si>
  <si>
    <t>VIBRACION DESCASOS 6940-SOP-001</t>
  </si>
  <si>
    <t>VBR</t>
  </si>
  <si>
    <t>06940-TT-1374</t>
  </si>
  <si>
    <t>06940-VT-1375A/B</t>
  </si>
  <si>
    <t>06940-FV-1387</t>
  </si>
  <si>
    <t>06940-FV-1377</t>
  </si>
  <si>
    <t>VVA CTRL AIRE SILENCIADOR DE SOPLADOR #1</t>
  </si>
  <si>
    <t>06940-HV-1371</t>
  </si>
  <si>
    <t>06940-HV-0915</t>
  </si>
  <si>
    <t>VVA CTRL AIRE ENTRADA SOPLADOR #1</t>
  </si>
  <si>
    <t>VVA ON-OFF AIRE SOPLAD #1 A CELDAS FLOT</t>
  </si>
  <si>
    <t>06940-TT-1384</t>
  </si>
  <si>
    <t>06940-VT-1385A/B</t>
  </si>
  <si>
    <t>VVA CTRL AIRE SILENCIADOR DE SOPLADOR #2</t>
  </si>
  <si>
    <t>VVA CTRL AIRE ENTRADA SOPLADOR #2</t>
  </si>
  <si>
    <t>VVA ON-OFF AIRE SOPLAD #2 A CELDAS FLOT</t>
  </si>
  <si>
    <t>06940-HV-1381</t>
  </si>
  <si>
    <t>06940-HV-0916</t>
  </si>
  <si>
    <t>TEMPERATRURA DESCANSOS 6940-SOP-002</t>
  </si>
  <si>
    <t>VIBRACION DESCASOS 6940-SOP-002</t>
  </si>
  <si>
    <t>TEMPERATRURA DESCANSOS 6940-SOP-003</t>
  </si>
  <si>
    <t>VIBRACION DESCASOS 6940-SOP-003</t>
  </si>
  <si>
    <t>06940-TT-1394</t>
  </si>
  <si>
    <t>06940-VT-1395A/B</t>
  </si>
  <si>
    <t>VVA CTRL AIRE SILENCIADOR DE SOPLADOR #3</t>
  </si>
  <si>
    <t>VVA CTRL AIRE ENTRADA SOPLADOR #3</t>
  </si>
  <si>
    <t>VVA ON-OFF AIRE SOPLAD #3 A CELDAS FLOT</t>
  </si>
  <si>
    <t>06940-FV-1397</t>
  </si>
  <si>
    <t>06940-HV-1391</t>
  </si>
  <si>
    <t>06940-HV-0917</t>
  </si>
  <si>
    <t>07310-FV-1251</t>
  </si>
  <si>
    <t>07310-FIT-1251</t>
  </si>
  <si>
    <t>VVA CTRL AIRE DE ALIM 7310-CFL-001</t>
  </si>
  <si>
    <t>07310-FV-1252</t>
  </si>
  <si>
    <t>07310-FIT-1252</t>
  </si>
  <si>
    <t>07310-LIT-1252</t>
  </si>
  <si>
    <t>VVA CTRL AIRE DE ALIM 7310-CFL-002</t>
  </si>
  <si>
    <t>07310-LV-1253</t>
  </si>
  <si>
    <t>07310-LV-1254</t>
  </si>
  <si>
    <t>CAJON TRASPASO BANCO #1</t>
  </si>
  <si>
    <t>SISTEMA INSTRUMENTACION BANCO #1</t>
  </si>
  <si>
    <t>NIVEL INTERFAZ TRASPASO BANCO #1</t>
  </si>
  <si>
    <t>FLUJOMETRO CFL 7310-CFL-002</t>
  </si>
  <si>
    <t>VVA DARDO #1 CAJON TRASPASO BANCO #1</t>
  </si>
  <si>
    <t>VVA DARDO #2 CAJON TRASPASO BANCO #1</t>
  </si>
  <si>
    <t>07310-FV-1255</t>
  </si>
  <si>
    <t>07310-FIT-1255</t>
  </si>
  <si>
    <t>VVA CTRL AIRE DE ALIM 7310-CFL-003</t>
  </si>
  <si>
    <t>FLUJOMETRO CFL 7310-CFL-003</t>
  </si>
  <si>
    <t>VVA CTRL AIRE DE ALIM 7310-CFL-004</t>
  </si>
  <si>
    <t>FLUJOMETRO CFL 7310-CFL-004</t>
  </si>
  <si>
    <t>07310-FV-1256</t>
  </si>
  <si>
    <t>07310-FIT-1256</t>
  </si>
  <si>
    <t>VVA CTRL AIRE DE ALIM 7310-CFL-005</t>
  </si>
  <si>
    <t>07310-FV-1257</t>
  </si>
  <si>
    <t>NIVEL INTERFAZ TRASPASO BANCO #2</t>
  </si>
  <si>
    <t>07310-LIT-1257</t>
  </si>
  <si>
    <t>07310-FIT-1257</t>
  </si>
  <si>
    <t>FLUJOMETRO CFL 7310-CFL-005</t>
  </si>
  <si>
    <t>07310-LV-1258</t>
  </si>
  <si>
    <t>07310-LV-1259</t>
  </si>
  <si>
    <t>VVA DARDO #1 CAJON TRASPASO BANCO #2</t>
  </si>
  <si>
    <t>VVA DARDO #2 CAJON TRASPASO BANCO #2</t>
  </si>
  <si>
    <t>SISTEMA INSTRUMENTACION BANCO #2</t>
  </si>
  <si>
    <t>CAJON TRASPASO BANCO #2</t>
  </si>
  <si>
    <t>07310-FV-1275</t>
  </si>
  <si>
    <t>07310-FIT-1275</t>
  </si>
  <si>
    <t>VVA CTRL AIRE DE ALIM 7310-CFL-006</t>
  </si>
  <si>
    <t>FLUJOMETRO CFL 7310-CFL-006</t>
  </si>
  <si>
    <t>VVA CTRL AIRE DE ALIM 7310-CFL-007</t>
  </si>
  <si>
    <t>FLUJOMETRO CFL 7310-CFL-007</t>
  </si>
  <si>
    <t>07310-FV-1276</t>
  </si>
  <si>
    <t>07310-LIT-1276</t>
  </si>
  <si>
    <t>07310-FIT-1276</t>
  </si>
  <si>
    <t>07310-LV-1277</t>
  </si>
  <si>
    <t>07310-LV-1278</t>
  </si>
  <si>
    <t>VVA CTRL AIRE DE ALIM 7310-CFL-008</t>
  </si>
  <si>
    <t>FLUJOMETRO CFL 7310-CFL-008</t>
  </si>
  <si>
    <t>07310-FV-1279</t>
  </si>
  <si>
    <t>07310-FIT-1279</t>
  </si>
  <si>
    <t>VVA CTRL AIRE DE ALIM 7310-CFL-009</t>
  </si>
  <si>
    <t>FLUJOMETRO CFL 7310-CFL-009</t>
  </si>
  <si>
    <t>07310-FV-1280</t>
  </si>
  <si>
    <t>07310-FIT-1280</t>
  </si>
  <si>
    <t>VVA CTRL AIRE DE ALIM 7310-CFL-010</t>
  </si>
  <si>
    <t>FLUJOMETRO CFL 7310-CFL-010</t>
  </si>
  <si>
    <t>07310-FV-1281</t>
  </si>
  <si>
    <t>07310-LIT-1281</t>
  </si>
  <si>
    <t>07310-FIT-1281</t>
  </si>
  <si>
    <t>07310-LV-1282</t>
  </si>
  <si>
    <t>07310-LV-1283</t>
  </si>
  <si>
    <t>VVA CTRL AIRE DE ALIM 7330-CFL-001</t>
  </si>
  <si>
    <t>FLUJOMETRO CFL 7330-CFL-001</t>
  </si>
  <si>
    <t>07330-FV-1301</t>
  </si>
  <si>
    <t>07330-FIT-1301</t>
  </si>
  <si>
    <t>VVA CTRL AIRE DE ALIM 7330-CFL-002</t>
  </si>
  <si>
    <t>FLUJOMETRO CFL 7330-CFL-002</t>
  </si>
  <si>
    <t>07330-FV-1302</t>
  </si>
  <si>
    <t>07330-LIT-1302</t>
  </si>
  <si>
    <t>07330-FIT-1302</t>
  </si>
  <si>
    <t>07330-LV-1303</t>
  </si>
  <si>
    <t>07330-LV-1304</t>
  </si>
  <si>
    <t>VVA CTRL AIRE DE ALIM 7330-CFL-003</t>
  </si>
  <si>
    <t>FLUJOMETRO CFL 7330-CFL-003</t>
  </si>
  <si>
    <t>07330-FV-1305</t>
  </si>
  <si>
    <t>07330-FIT-1305</t>
  </si>
  <si>
    <t>VVA CTRL AIRE DE ALIM 7330-CFL-004</t>
  </si>
  <si>
    <t>FLUJOMETRO CFL 7330-CFL-004</t>
  </si>
  <si>
    <t>07330-FV-1306</t>
  </si>
  <si>
    <t>07330-FIT-1306</t>
  </si>
  <si>
    <t>VVA CTRL AIRE DE ALIM 7330-CFL-005</t>
  </si>
  <si>
    <t>FLUJOMETRO CFL 7330-CFL-005</t>
  </si>
  <si>
    <t>07330-FV-1307</t>
  </si>
  <si>
    <t>07330-LIT-1307</t>
  </si>
  <si>
    <t>07330-FIT-1307</t>
  </si>
  <si>
    <t>07330-LV-1308</t>
  </si>
  <si>
    <t>07330-LV-1309</t>
  </si>
  <si>
    <t>VVA CTRL AIRE DE ALIM 7330-CFL-006</t>
  </si>
  <si>
    <t>FLUJOMETRO CFL 7330-CFL-006</t>
  </si>
  <si>
    <t>07330-FV-1310</t>
  </si>
  <si>
    <t>07330-FIT-1310</t>
  </si>
  <si>
    <t>VVA CTRL AIRE DE ALIM 7330-CFL-007</t>
  </si>
  <si>
    <t>FLUJOMETRO CFL 7330-CFL-007</t>
  </si>
  <si>
    <t>07330-FV-1311</t>
  </si>
  <si>
    <t>07330-FIT-1311</t>
  </si>
  <si>
    <t>VVA CTRL AIRE DE ALIM 7330-CFL-008</t>
  </si>
  <si>
    <t>NIVEL INTERFAZ TRASPASO BANCO #3</t>
  </si>
  <si>
    <t>FLUJOMETRO CFL 7330-CFL-008</t>
  </si>
  <si>
    <t>07330-FV-1312</t>
  </si>
  <si>
    <t>07330-LIT-1312</t>
  </si>
  <si>
    <t>07330-FIT-1312</t>
  </si>
  <si>
    <t>CB3</t>
  </si>
  <si>
    <t>CAJON TRASPASO BANCO #3</t>
  </si>
  <si>
    <t>SISTEMA INSTRUMENTACION BANCO #3</t>
  </si>
  <si>
    <t>VVA DARDO #1 CAJON TRASPASO BANCO #3</t>
  </si>
  <si>
    <t>VVA DARDO #2 CAJON TRASPASO BANCO #3</t>
  </si>
  <si>
    <t>07330-LV-1313</t>
  </si>
  <si>
    <t>07330-LV-1314</t>
  </si>
  <si>
    <t>VVA CTRL AIRE DE ALIM 7330-CFL-009</t>
  </si>
  <si>
    <t>FLUJOMETRO CFL 7330-CFL-009</t>
  </si>
  <si>
    <t>07330-FV-1325</t>
  </si>
  <si>
    <t>07330-FIT-1325</t>
  </si>
  <si>
    <t>VVA CTRL AIRE DE ALIM 7330-CFL-010</t>
  </si>
  <si>
    <t>FLUJOMETRO CFL 7330-CFL-010</t>
  </si>
  <si>
    <t>07330-FV-1326</t>
  </si>
  <si>
    <t>07330-LIT-1326</t>
  </si>
  <si>
    <t>07330-FIT-1326</t>
  </si>
  <si>
    <t>07330-LV-1327</t>
  </si>
  <si>
    <t>07330-LV-1328</t>
  </si>
  <si>
    <t>VVA CTRL AIRE DE ALIM 7330-CFL-011</t>
  </si>
  <si>
    <t>FLUJOMETRO CFL 7330-CFL-011</t>
  </si>
  <si>
    <t>07330-FV-1329</t>
  </si>
  <si>
    <t>07330-FIT-1329</t>
  </si>
  <si>
    <t>VVA CTRL AIRE DE ALIM 7330-CFL-012</t>
  </si>
  <si>
    <t>FLUJOMETRO CFL 7330-CFL-012</t>
  </si>
  <si>
    <t>07330-FV-1330</t>
  </si>
  <si>
    <t>07330-FIT-1330</t>
  </si>
  <si>
    <t>VVA CTRL AIRE DE ALIM 7330-CFL-013</t>
  </si>
  <si>
    <t>FLUJOMETRO CFL 7330-CFL-013</t>
  </si>
  <si>
    <t>07330-FV-1331</t>
  </si>
  <si>
    <t>07330-LIT-1331</t>
  </si>
  <si>
    <t>07330-FIT-1331</t>
  </si>
  <si>
    <t>07330-LV-1332</t>
  </si>
  <si>
    <t>07330-LV-1333</t>
  </si>
  <si>
    <t>VVA CTRL AIRE DE ALIM 7330-CFL-014</t>
  </si>
  <si>
    <t>FLUJOMETRO CFL 7330-CFL-014</t>
  </si>
  <si>
    <t>07330-FV-1334</t>
  </si>
  <si>
    <t>07330-FIT-1334</t>
  </si>
  <si>
    <t>VVA CTRL AIRE DE ALIM 7330-CFL-015</t>
  </si>
  <si>
    <t>FLUJOMETRO CFL 7330-CFL-015</t>
  </si>
  <si>
    <t>07330-FV-1335</t>
  </si>
  <si>
    <t>07330-FIT-1335</t>
  </si>
  <si>
    <t>VVA CTRL AIRE DE ALIM 7330-CFL-016</t>
  </si>
  <si>
    <t>FLUJOMETRO CFL 7330-CFL-016</t>
  </si>
  <si>
    <t>07330-FV-1336</t>
  </si>
  <si>
    <t>07330-LIT-1336</t>
  </si>
  <si>
    <t>07330-FIT-1336</t>
  </si>
  <si>
    <t>07330-LV-1337</t>
  </si>
  <si>
    <t>07330-LV-1338</t>
  </si>
  <si>
    <t>SISTEMA ELECTRICO SALA ELEC 6540-SEL-001</t>
  </si>
  <si>
    <t>SALA DE CONTROL PLANTA TRATAM ESCORIA</t>
  </si>
  <si>
    <t>EO1</t>
  </si>
  <si>
    <t>EO2</t>
  </si>
  <si>
    <t>RCO</t>
  </si>
  <si>
    <t>EO3</t>
  </si>
  <si>
    <t>EO4</t>
  </si>
  <si>
    <t>SISTEMA DE CONTROL PTE</t>
  </si>
  <si>
    <t>ESTACION DE OPERACION #1 PTE</t>
  </si>
  <si>
    <t>ESTACION DE OPERACION #2 PTE</t>
  </si>
  <si>
    <t>ESTACION DE INGENIERIA #1 PTE</t>
  </si>
  <si>
    <t>ESTACION DE INGENIERIA #2 PTE</t>
  </si>
  <si>
    <t>06740-SCO-001</t>
  </si>
  <si>
    <t>06740-EOP-001</t>
  </si>
  <si>
    <t>06740-EOP-002</t>
  </si>
  <si>
    <t>06740-EIN-001</t>
  </si>
  <si>
    <t>06740-EIN-002</t>
  </si>
  <si>
    <t>SALA DE DATOS PLANTA TRATAM ESCORIA</t>
  </si>
  <si>
    <t>06750-SDA-001</t>
  </si>
  <si>
    <t>SISTEMA DE COMUNICACIONES PTE</t>
  </si>
  <si>
    <t>GS1</t>
  </si>
  <si>
    <t>GS2</t>
  </si>
  <si>
    <t>GABINETE SERVIDORES COMUNICACIONES PTE</t>
  </si>
  <si>
    <t>GABINETE SWITCH PTFE PLANTA TRAT ESCORIA</t>
  </si>
  <si>
    <t>06750-GSM-001</t>
  </si>
  <si>
    <t>06750-GSM-060</t>
  </si>
  <si>
    <t>GABINETE PLC ESTANQUES AGUA</t>
  </si>
  <si>
    <t>06330-PLC-001</t>
  </si>
  <si>
    <t>GABINETE PLC ESTACION MONITOREO #1</t>
  </si>
  <si>
    <t>GABINETE PLC ESTACION MONITOREO #3</t>
  </si>
  <si>
    <t>07520-PLC-001</t>
  </si>
  <si>
    <t>07520-PLC-002</t>
  </si>
  <si>
    <t>TCM</t>
  </si>
  <si>
    <t>TABLERO RACK REMOTO FILTRO Y COMPRESORES</t>
  </si>
  <si>
    <t>07490-TSM-1800</t>
  </si>
  <si>
    <t>SILENCIADOR FILTRO 07420-FTR-002</t>
  </si>
  <si>
    <t>SEMAFORO PLATAFORMA DESCARGA</t>
  </si>
  <si>
    <t>POSICION MOVIMTO AXIAL DESCGA SAG</t>
  </si>
  <si>
    <t>POSICION MOV. AXIAL . DSCGA MBO</t>
  </si>
  <si>
    <t>POSICION RASTRA 7410-ESP-001</t>
  </si>
  <si>
    <t>POSICION TELA FTR 7420-FTR-001</t>
  </si>
  <si>
    <t>POSICION PAQ. PLAC7420-FTR-001</t>
  </si>
  <si>
    <t>POSICION PINZA BLO7420-FTR-001</t>
  </si>
  <si>
    <t>POSICION SELLO 7420-FTR-001</t>
  </si>
  <si>
    <t>POSICION TELA FTR 7420-FTR-002</t>
  </si>
  <si>
    <t>POSICION PAQ. PLAC7420-FTR-002</t>
  </si>
  <si>
    <t>POSICION PINZA BLO7420-FTR-002</t>
  </si>
  <si>
    <t>POSICION SELLO 7420-FTR-002</t>
  </si>
  <si>
    <t>POSICION RASTRA 7510-ERV-001</t>
  </si>
  <si>
    <t>DISTRIBUCION FLOTACION</t>
  </si>
  <si>
    <t>RED EXTINCION DE INCENDIOS - 6340</t>
  </si>
  <si>
    <t>RELAVEDUCTO BBA DESPLAZAMTO POSITIVO #1</t>
  </si>
  <si>
    <t>RELAVEDUCTO BBA DESPLAZAMTO POSITIVO #2</t>
  </si>
  <si>
    <t>PIPING Y VALVULAS CONDUCC DE AGUA FRESCA</t>
  </si>
  <si>
    <t>VVA SUCCION DE CONO 1 7520-BDP-001</t>
  </si>
  <si>
    <t>VVA MANUAL ENT. AIRE ACU 6940-ACU-003</t>
  </si>
  <si>
    <t>VVA MANUAL SAL. AIRE ACU 6940-ACU-003</t>
  </si>
  <si>
    <t>VVA DESPICHE AGUA ACU 6940-ACU-003</t>
  </si>
  <si>
    <t>VVA LIBERACION DE PRESION 6940-ACU-003</t>
  </si>
  <si>
    <t>VVA MANUAL SAL. AIRE ACU 6940-ACU-002</t>
  </si>
  <si>
    <t>VVA MANUAL ENT. AIRE ACU 6940-ACU-002</t>
  </si>
  <si>
    <t>VVA DESPICHE AGUA ACU 6940-ACU-002</t>
  </si>
  <si>
    <t>VVA LIBERACION DE PRESION 6940-ACU-002</t>
  </si>
  <si>
    <t>VVA MANUAL SAL. AIRE ACU 6940-ACU-001</t>
  </si>
  <si>
    <t>VVA MANUAL ENT. AIRE ACU 6940-ACU-001</t>
  </si>
  <si>
    <t>VVA DESPICHE AGUA ACU 6940-ACU-001</t>
  </si>
  <si>
    <t>VVA LIBERACION DE PRESION 6940-ACU-001</t>
  </si>
  <si>
    <t>VVA TERMOSTATICA 6940-COM-003</t>
  </si>
  <si>
    <t>VVA CONTROL INGRESO AIRE 6940-COM-003</t>
  </si>
  <si>
    <t>VVA TERMOSTATICA 6940-COM-002</t>
  </si>
  <si>
    <t>VVA CONTROL INGRESO AIRE 6940-COM-002</t>
  </si>
  <si>
    <t>VVA DRENAJE A PISO EST 6930-EST-004</t>
  </si>
  <si>
    <t>VVA DESCARGA TK A BBA DOS1 6930-EST-004</t>
  </si>
  <si>
    <t>VVA DESCARGA TK A BBA DOS2 6930-EST-004</t>
  </si>
  <si>
    <t>VVA DRENAJE A PISO EST 6930-EST-005</t>
  </si>
  <si>
    <t>VVA DESC TK A BBA. DOS ESP 6930-EST-005</t>
  </si>
  <si>
    <t>VVA TERMOSTATICA 6940-COM-001</t>
  </si>
  <si>
    <t>VVA CONTROL INGRESO AIRE 6940-COM-001</t>
  </si>
  <si>
    <t>VVAS SOLENOIDES SAG 7210-MSG-001</t>
  </si>
  <si>
    <t>VVA CTRL. TEMP. ENFRIAMIENTO M. SAG</t>
  </si>
  <si>
    <t>VVAS SOLENOIDE FRENO M. SAG</t>
  </si>
  <si>
    <t>VVA CTRL. PRESION AIRE GRASA M. SAG</t>
  </si>
  <si>
    <t>VVA CTRL. PRES. AGUA ENFR. DESCANS. SAG</t>
  </si>
  <si>
    <t>VVA CUCHILLO #1 BHI. 7250-BHI-001</t>
  </si>
  <si>
    <t>VVA CUCHILLO #2 BHI. 7250-BHI-001</t>
  </si>
  <si>
    <t>VVA CUCHILLO #3 BHI. 7250-BHI-001</t>
  </si>
  <si>
    <t>VVA CUCHILLO #4 BHI. 7250-BHI-001</t>
  </si>
  <si>
    <t>VVA CUCHILLO #5 BHI. 7250-BHI-001</t>
  </si>
  <si>
    <t>VVA CUCHILLO #6 BHI. 7250-BHI-001</t>
  </si>
  <si>
    <t>VVA CUCHILLO #7 BHI. 7250-BHI-001</t>
  </si>
  <si>
    <t>VVA CUCHILLO #8 BHI. 7250-BHI-001</t>
  </si>
  <si>
    <t>VVA CUCHILLO #9 BHI. 7250-BHI-001</t>
  </si>
  <si>
    <t>VVA CUCHILLO #10 BHI. 7250-BHI-001</t>
  </si>
  <si>
    <t>VVA CTRL. TEMP. ENFRIAMIENTO MBO</t>
  </si>
  <si>
    <t>VVAS SOLENOIDE FRENO MBO</t>
  </si>
  <si>
    <t>VVA CTRL. PRES AIRE GRASA MBO</t>
  </si>
  <si>
    <t>VVA CTRL. PRES AIRE PURGA GRASA MBO</t>
  </si>
  <si>
    <t>VVA CTRL. PRES AIRE SPRAY GRASA MBO</t>
  </si>
  <si>
    <t>VVA CTRL. AGUA ENF. LUB. DESCANSOS MBO</t>
  </si>
  <si>
    <t>VVA CTRL. AGUA ENF. LUB DESCANS MOT MBO</t>
  </si>
  <si>
    <t>VVA DARDO 1 CAJON 7310-CAJ-001</t>
  </si>
  <si>
    <t>VVA DARDO 2 CAJON 7310-CAJ-001</t>
  </si>
  <si>
    <t>VVA DARDO 1 CAJON DISTR F SCAVENGER</t>
  </si>
  <si>
    <t>VVA DARDO 2 CAJON DISTR F SCAVENGER</t>
  </si>
  <si>
    <t>VVA PINCH FTR 7420-FTR-001</t>
  </si>
  <si>
    <t>VVA PINCH V05 FTR 7420-FTR-001</t>
  </si>
  <si>
    <t>VVA PINCH V06 FTR 7420-FTR-001</t>
  </si>
  <si>
    <t>VVA PINCH V07 FTR 7420-FTR-001</t>
  </si>
  <si>
    <t>VVA PINCH V12 FTR 7420-FTR-001</t>
  </si>
  <si>
    <t>VVA PINCH V17 FTR 7420-FTR-001</t>
  </si>
  <si>
    <t>VVA PINCH V27 FTR 7420-FTR-001</t>
  </si>
  <si>
    <t>VVA ALIM. PULPA CONC FTR 7420-FTR-001</t>
  </si>
  <si>
    <t>VVA ALIM. AGUA LAVADO TELA 7420-FTR-001</t>
  </si>
  <si>
    <t>VVA ALIM AIRE FTR 7420-FTR-001</t>
  </si>
  <si>
    <t>VVA PROPOR. #1 UHD FTR 7420-FTR-001-01</t>
  </si>
  <si>
    <t>VVA PROPOR. #2 UHD FTR 7420-FTR-001-01</t>
  </si>
  <si>
    <t>VVA SOLENOIDE UHD FTR 7420-FTR-001-01</t>
  </si>
  <si>
    <t>VVA PINCH FTR 7420-FTR-002</t>
  </si>
  <si>
    <t>VVA PINCH V05 FTR 7420-FTR-002</t>
  </si>
  <si>
    <t>VVA PINCH V06 FTR 7420-FTR-002</t>
  </si>
  <si>
    <t>VVA PINCH V07 FTR 7420-FTR-002</t>
  </si>
  <si>
    <t>VVA PINCH V12 FTR 7420-FTR-002</t>
  </si>
  <si>
    <t>VVA PINCH V17 FTR 7420-FTR-002</t>
  </si>
  <si>
    <t>VVA PINCH V27 FTR 7420-FTR-002</t>
  </si>
  <si>
    <t>VVA ALIM. PULPA CONC FTR 7420-FTR-002</t>
  </si>
  <si>
    <t>VVA ALIM. AGUA LAVADO TELA 7420-FTR-002</t>
  </si>
  <si>
    <t>VVA ALIM AIRE FTR 7420-FTR-002</t>
  </si>
  <si>
    <t>VVAS UHD FTR 7420-FTR-001-01</t>
  </si>
  <si>
    <t>VVAS UHD FTR 7420-FTR-002-01</t>
  </si>
  <si>
    <t>VVA DESCARGA DE CONO 1 7520-BDP-001</t>
  </si>
  <si>
    <t>VVA SUCCION DE CONO 2 7520-BDP-001</t>
  </si>
  <si>
    <t>VVA DESCARGA DE CONO 2 7520-BDP-001</t>
  </si>
  <si>
    <t>VVA SUCCION DE CONO 1 7520-BDP-002</t>
  </si>
  <si>
    <t>VVA DESCARGA DE CONO 1 7520-BDP-002</t>
  </si>
  <si>
    <t>VVA SUCCION DE CONO 2 7520-BDP-002</t>
  </si>
  <si>
    <t>VVA DESCARGA DE CONO 2 7520-BDP-002</t>
  </si>
  <si>
    <t>VVA BOLA HV-0855 BBA. 7520-BDP-001</t>
  </si>
  <si>
    <t>VVA BOLA HV-0861 BBA. 7520-BDP-001</t>
  </si>
  <si>
    <t>VVA BOLA HV-0863 BBA. 7520-BDP-001</t>
  </si>
  <si>
    <t>VVA BOLA HV-0871 BBA. 7520-BDP-001</t>
  </si>
  <si>
    <t>VVA BOLA HV-0872 BBA. 7520-BDP-001</t>
  </si>
  <si>
    <t>VVA BOLA HV-0874 BBA. 7520-BDP-001</t>
  </si>
  <si>
    <t>VVA BOLA HV-0856 BBA. 7520-BDP-002</t>
  </si>
  <si>
    <t>VVA BOLA HV-0862 BBA. 7520-BDP-002</t>
  </si>
  <si>
    <t>VVA BOLA HV-0864 BBA. 7520-BDP-002</t>
  </si>
  <si>
    <t>VVA BOLA HV-0881 BBA. 7520-BDP-002</t>
  </si>
  <si>
    <t>VVA BOLA HV-0882 BBA. 7520-BDP-002</t>
  </si>
  <si>
    <t>VVA BOLA HV-0884 BBA. 7520-BDP-002</t>
  </si>
  <si>
    <t>VVA DRENAJE A PISO EST 6330-EST-001</t>
  </si>
  <si>
    <t>VVA DESCARGA EST 6330-EST-001</t>
  </si>
  <si>
    <t>VVA DRENAJE A PISO EST 6330-EST-002</t>
  </si>
  <si>
    <t>VVA DESCARGA EST 6330-EST-002</t>
  </si>
  <si>
    <t>VVA CTRL PRES A PLANTA PTE</t>
  </si>
  <si>
    <t>VVA CTRL PRES RESPALDO A PLANTA PTE</t>
  </si>
  <si>
    <t>VVA CTRL PRES A TK AGUA PROCESO</t>
  </si>
  <si>
    <t>VVA ON-OFF ALIM ESTANQ AGUA PROCESO</t>
  </si>
  <si>
    <t>PIPING Y VALVULAS 7240-CAJ-001</t>
  </si>
  <si>
    <t>AD1</t>
  </si>
  <si>
    <t>AD2</t>
  </si>
  <si>
    <t>AD3</t>
  </si>
  <si>
    <t>AD4</t>
  </si>
  <si>
    <t>AD5</t>
  </si>
  <si>
    <t>AD6</t>
  </si>
  <si>
    <t>BARANDAS Y GRATINGS CFL. 7310-CFL-001</t>
  </si>
  <si>
    <t>BARANDAS Y GRATINGS CFL. 7310-CFL-002</t>
  </si>
  <si>
    <t>BARANDAS Y GRATINGS CFL. 7310-CFL-003</t>
  </si>
  <si>
    <t>BARANDAS Y GRATINGS CFL. 7310-CFL-004</t>
  </si>
  <si>
    <t>BARANDAS Y GRATINGS CFL. 7310-CFL-005</t>
  </si>
  <si>
    <t>BARANDAS Y GRATINGS CFL. 7310-CFL-006</t>
  </si>
  <si>
    <t>BARANDAS Y GRATINGS CFL. 7310-CFL-007</t>
  </si>
  <si>
    <t>BARANDAS Y GRATINGS CFL. 7310-CFL-008</t>
  </si>
  <si>
    <t>BARANDAS Y GRATINGS CFL. 7310-CFL-009</t>
  </si>
  <si>
    <t>BARANDAS Y GRATINGS CFL. 7310-CFL-010</t>
  </si>
  <si>
    <t>BARANDAS Y GRATINGS CFL. 7330-CFL-001</t>
  </si>
  <si>
    <t>BARANDAS Y GRATINGS CFL. 7330-CFL-002</t>
  </si>
  <si>
    <t>BARANDAS Y GRATINGS CFL. 7330-CFL-003</t>
  </si>
  <si>
    <t>BARANDAS Y GRATINGS CFL. 7330-CFL-004</t>
  </si>
  <si>
    <t>BARANDAS Y GRATINGS CFL. 7330-CFL-005</t>
  </si>
  <si>
    <t>BARANDAS Y GRATINGS CFL. 7330-CFL-006</t>
  </si>
  <si>
    <t>BARANDAS Y GRATINGS CFL. 7330-CFL-007</t>
  </si>
  <si>
    <t>BARANDAS Y GRATINGS CFL. 7330-CFL-008</t>
  </si>
  <si>
    <t>BARANDAS Y GRATINGS CFL. 7330-CFL-009</t>
  </si>
  <si>
    <t>BARANDAS Y GRATINGS CFL. 7330-CFL-010</t>
  </si>
  <si>
    <t>BARANDAS Y GRATINGS CFL. 7330-CFL-011</t>
  </si>
  <si>
    <t>BARANDAS Y GRATINGS CFL. 7330-CFL-012</t>
  </si>
  <si>
    <t>BARANDAS Y GRATINGS CFL. 7330-CFL-013</t>
  </si>
  <si>
    <t>BARANDAS Y GRATINGS CFL. 7330-CFL-014</t>
  </si>
  <si>
    <t>BARANDAS Y GRATINGS CFL. 7330-CFL-015</t>
  </si>
  <si>
    <t>BARANDAS Y GRATINGS CFL. 7330-CFL-016</t>
  </si>
  <si>
    <t>BARANDAS Y GRATING ESP CON 7410-ESP-001</t>
  </si>
  <si>
    <t>BARANDAS Y GRATINGS FTR 7420-FTR-001</t>
  </si>
  <si>
    <t>BARANDAS Y GRATINGS FTR 7420-FTR-002</t>
  </si>
  <si>
    <t>BARANDAS Y GRATING ESP REL 7510-ERV-001</t>
  </si>
  <si>
    <t>BARANDAS Y GRATINGS EST 6920-EST-001</t>
  </si>
  <si>
    <t>BARANDAS Y GRATINGS EST 6920-EST-002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</si>
  <si>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</si>
  <si>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</si>
  <si>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</si>
  <si>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</si>
  <si>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</si>
  <si>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</si>
  <si>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</si>
  <si>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</si>
  <si>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</si>
  <si>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</si>
  <si>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</si>
  <si>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</si>
  <si>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TECLE BBA SUMERG 7330-BBA-001 FLOTACION</t>
  </si>
  <si>
    <t>TECLE BBA SUMERG 7310-BBA-001 FLOTACION</t>
  </si>
  <si>
    <t>CALEFACTOR UHD CHANCADOR 7120-CHM-001</t>
  </si>
  <si>
    <t>CARRO LANZAS SLZ 7110-SLZ-001</t>
  </si>
  <si>
    <t>CN1</t>
  </si>
  <si>
    <t>CN2</t>
  </si>
  <si>
    <t>COMPONENTES SOPLADOR 6940-SOP-001</t>
  </si>
  <si>
    <t>COMPONENTES SOPLADOR 6940-SOP-002</t>
  </si>
  <si>
    <t>CTN</t>
  </si>
  <si>
    <t>TEMPERATURA DESC. L/MOT 7120-APC-001</t>
  </si>
  <si>
    <t>TEMPERATURA DESC. L/LIB 7120-APC-001</t>
  </si>
  <si>
    <t>TEMPERATURA PIÑON M. SAG</t>
  </si>
  <si>
    <t>TEMPERATURA PIÑON MBO</t>
  </si>
  <si>
    <t>TEMPERATURA UHD APC. 7120-APC-001</t>
  </si>
  <si>
    <t>TEMPERATURA DESCANSOS 07120-CHM-001</t>
  </si>
  <si>
    <t>TEMPERATURA MOTOR 07120-CHM-001</t>
  </si>
  <si>
    <t>TEMPERATURA DESC. L/MOT 7210-APC-001</t>
  </si>
  <si>
    <t>TEMPERATURA DESC. L/LIB 7210-APC-001</t>
  </si>
  <si>
    <t>TEMPERATURA UHD APC. 7210-APC-001</t>
  </si>
  <si>
    <t>TEMPERATURA DESC. L/MOT 7210-APC-002</t>
  </si>
  <si>
    <t>TEMPERATURA DESC. L/LIB 7210-APC-002</t>
  </si>
  <si>
    <t>TEMPERATURA UHD APC. 7210-APC-002</t>
  </si>
  <si>
    <t>TEMPERATURA ACEITE 7410-ESP-001</t>
  </si>
  <si>
    <t>TEMPERATURA ACEITE 7420-FTR-001-01</t>
  </si>
  <si>
    <t>TEMPERATURA ACEITE 7420-FTR-002-01</t>
  </si>
  <si>
    <t>TEMPERATURA UHD ALIM. 7420-ACT-003</t>
  </si>
  <si>
    <t>TEMPERATURA ALIM. 7420-ACT-003</t>
  </si>
  <si>
    <t>TEMPERATURA ACEITE 7510-ERV-001</t>
  </si>
  <si>
    <t>TEMPERATURA DESCANSOS ALIM. Y DCGA. SAG</t>
  </si>
  <si>
    <t>TEMPERATURA DESCANSO PIÑON ALIMENT M.SAG</t>
  </si>
  <si>
    <t>TEMPERATURA DESCANSO PIÑON DESCGA M.SAG</t>
  </si>
  <si>
    <t>TEMPERATURA DESCANSOS MOTOR M. SAG</t>
  </si>
  <si>
    <t>TEMPERATURA BOBINADOS MOTOR M. SAG</t>
  </si>
  <si>
    <t>TEMPERATURA ENT. Y SAL. AIRE ENFR. M.SAG</t>
  </si>
  <si>
    <t>TEMPERATURA DESCANSOS ALIM. Y DCGA. MBO</t>
  </si>
  <si>
    <t>TEMPERATURA DESCANS PIÑON ALIMENT MBO</t>
  </si>
  <si>
    <t>TEMPERATURA DESCANSO PIÑON DESCGA MBO</t>
  </si>
  <si>
    <t>TEMPERATURA DESCANSOS MOTOR MBO</t>
  </si>
  <si>
    <t>TEMPERATURA BOBINADOS MOTOR MBO</t>
  </si>
  <si>
    <t>TEMPERATURA ENT. Y SAL. AIRE ENFR. MBO</t>
  </si>
  <si>
    <t>INTERRUPTOR TEMP ACEITE 6940-COM-001</t>
  </si>
  <si>
    <t>INTERRUPTOR TEMP ACEITE 6940-COM-002</t>
  </si>
  <si>
    <t>INTERRUPTOR TEMP ACEITE 6940-COM-003</t>
  </si>
  <si>
    <t>VELOCIDAD MOLINO SAG</t>
  </si>
  <si>
    <t>VELOCIDAD CERO CTR 7210-CTR-002</t>
  </si>
  <si>
    <t>VELOCIDAD CERO CTR 7210-CTR-003</t>
  </si>
  <si>
    <t>VELOCIDAD CERO CTR 7210-CTR-004</t>
  </si>
  <si>
    <t>VELOCIDAD MOLINO BOLAS</t>
  </si>
  <si>
    <t>VELOCIDAD CERO 7420-ACT-003</t>
  </si>
  <si>
    <t>VELOCIDAD PES 7420-WIT-777</t>
  </si>
  <si>
    <t>VELOCIDAD CERO 7420-CTR-001</t>
  </si>
  <si>
    <t>VELOCIDAD PES 7210-PES-001</t>
  </si>
  <si>
    <t>VELOCIDAD CERO CTR 7210-CTR-001</t>
  </si>
  <si>
    <t>VELOCIDAD CERO APC. 7210-APC-002</t>
  </si>
  <si>
    <t>VELOCIDAD CERO APC. 7210-APC-001</t>
  </si>
  <si>
    <t>VELOCIDAD PES. 7120-PES-001</t>
  </si>
  <si>
    <t>VELOCIDAD CERO 7120-CTR-001</t>
  </si>
  <si>
    <t>VELOCIDAD CERO 7120-CHM-001</t>
  </si>
  <si>
    <t>VELOCIDAD CERO APC. 7120-APC-001</t>
  </si>
  <si>
    <t>POSICION SEGURID PTAS. FTR 7420-FTR-002</t>
  </si>
  <si>
    <t>SP5</t>
  </si>
  <si>
    <t>POSICION SEGURID PTAS. FTR 7420-FTR-001</t>
  </si>
  <si>
    <t>TORQUE RASTRA 7510-ERV-001</t>
  </si>
  <si>
    <t>TORQUE RASTRA 7410-ESP-001</t>
  </si>
  <si>
    <t>PLE</t>
  </si>
  <si>
    <t>POSICION CAMION PLATAFORMA DESCARGA</t>
  </si>
  <si>
    <t>NIVEL TOLVA 7110-TOL-001</t>
  </si>
  <si>
    <t>SWITCHGEAR GIS DOBLE BARRA SWG2</t>
  </si>
  <si>
    <t>GP4</t>
  </si>
  <si>
    <t>GP5</t>
  </si>
  <si>
    <t>SIN</t>
  </si>
  <si>
    <t>FJ3</t>
  </si>
  <si>
    <t>FJ4</t>
  </si>
  <si>
    <t>07420-CTR-001M</t>
  </si>
  <si>
    <t>07210-ZSH/ZSHH-0263A@D</t>
  </si>
  <si>
    <t>07210-YS-0281A@B</t>
  </si>
  <si>
    <t>07330-LIT-0590</t>
  </si>
  <si>
    <t>NIVEL CAJON RECIRC FLOTACION SCAVENGER</t>
  </si>
  <si>
    <t>07330-PIT-0597</t>
  </si>
  <si>
    <t>06330-FIT-0904</t>
  </si>
  <si>
    <t>07510-PIT-0803</t>
  </si>
  <si>
    <t>07510-PIT-0807</t>
  </si>
  <si>
    <t>07410-PIT-0703</t>
  </si>
  <si>
    <t>07410-PIT-0707</t>
  </si>
  <si>
    <t>07410-PIT-0723</t>
  </si>
  <si>
    <t>07410-PIT-0727</t>
  </si>
  <si>
    <t>07420-FTR-002-01M1</t>
  </si>
  <si>
    <t>07420-FTR-002-01M2</t>
  </si>
  <si>
    <t>07420-FTR-002-01-1</t>
  </si>
  <si>
    <t>07420-FTR-002-01-2</t>
  </si>
  <si>
    <t>07420-FTR-002-01-2M</t>
  </si>
  <si>
    <t>07490-GT-002</t>
  </si>
  <si>
    <t>7610-BBA-001M</t>
  </si>
  <si>
    <t>UNIDAD DE MEDICION DE PESO 7120-PES-001</t>
  </si>
  <si>
    <t>BOMBA UHD 7330-UHD-001</t>
  </si>
  <si>
    <t>ACUMULADOR PRESION UHD 7330-UHD-001</t>
  </si>
  <si>
    <t>ESTANQUE UHD 7330-UHD-001</t>
  </si>
  <si>
    <t>SISTEMA MOTRIZ UHD 7330-UHD-001</t>
  </si>
  <si>
    <t>PRESION BBA 7410-BOC-001</t>
  </si>
  <si>
    <t>PRESION BBA 7410-BOC-002</t>
  </si>
  <si>
    <t>TECLE MTTO. BBA. DESC. ESPESADOR CONC.1</t>
  </si>
  <si>
    <t>TECLE MTTO. BBA. DESC. ESPESADOR CONC.2</t>
  </si>
  <si>
    <t>ESTANQUE ALIMENTACION FILTROS</t>
  </si>
  <si>
    <t>MOTOR ELEC POLIPASTO AUX. 7420-GPT-001</t>
  </si>
  <si>
    <t>BOMBA HIDR LEVANTE ESP REL 7510-ERV-001</t>
  </si>
  <si>
    <t>PIPING Y VVAS UHD ESP. REL 7510-ERV-001</t>
  </si>
  <si>
    <t>ESTANQUE UHD ESP. REL. 7510-ERV-001</t>
  </si>
  <si>
    <t>TECLE MTTO. BBAS DESC ESPES. RELAVES #1</t>
  </si>
  <si>
    <t>TECLE MTTO. BBAS DESC ESPES. RELAVES #2</t>
  </si>
  <si>
    <t>ESTANQUE AGITADO RELAVES ESPESADOS</t>
  </si>
  <si>
    <t xml:space="preserve">MOTOR ELEC TRASL PUENTE 7220-GPT-001 </t>
  </si>
  <si>
    <t xml:space="preserve">MOTOR ELEC TRASL CARRO PTE 7220-GPT-001 </t>
  </si>
  <si>
    <t xml:space="preserve">VDF TRASLADO CARRO PUENTE 7220-GPT-001 </t>
  </si>
  <si>
    <t xml:space="preserve">VDF TRASLADO PUENTE PUENTE 7220-GPT-001 </t>
  </si>
  <si>
    <t>CIZ</t>
  </si>
  <si>
    <t xml:space="preserve">POLIPASTO PPAL. PUENTE 7220-GPT-001 </t>
  </si>
  <si>
    <t>BOTONERA LOCAL PUENTE 7220-GPT-001</t>
  </si>
  <si>
    <t>TABLERO ALIMENT. FZA PUENTE 7220-GPT-001</t>
  </si>
  <si>
    <t>VDF TRASLADO CARRO PUENTE 7210-GPT-001</t>
  </si>
  <si>
    <t>VDF TRASLADO PUENTE PUENTE 7210-GPT-001</t>
  </si>
  <si>
    <t>TABLERO ALIMENT. FZA PUENTE 7210-GPT-001</t>
  </si>
  <si>
    <t>BOTONERA LOCAL PUENTE 7210-GPT-001</t>
  </si>
  <si>
    <t>07210-GPT-001</t>
  </si>
  <si>
    <t>POLIPASTO PPAL. PUENTE 7210-GPT-001</t>
  </si>
  <si>
    <t>MOTOR ELEC TRASL PUENTE 7210-GPT-001</t>
  </si>
  <si>
    <t>MOTOR ELEC TRASL CARRO PTE 7210-GPT-001</t>
  </si>
  <si>
    <t>SISTEMA INSTRUMENTACION PLATAFORMA DESC</t>
  </si>
  <si>
    <t>SISTEMA INSTRUMENTACION TOLVA RECEPCION</t>
  </si>
  <si>
    <t>SISTEMA INSTRUMENTACION 7120-CHM-001</t>
  </si>
  <si>
    <t>SISTEMA HIDRAULICO 7120-CHM-001</t>
  </si>
  <si>
    <t>Carac.niv.sup.</t>
  </si>
  <si>
    <t>MOTOR HIDRAULICO DE 7420-ACT-003</t>
  </si>
  <si>
    <t>MOTOR HIDRAULICO APC 7120-APC-001</t>
  </si>
  <si>
    <t>MOTOR HIDRAULICO APC 7210-APC-001</t>
  </si>
  <si>
    <t>MOTOR HIDRAULICO APC 7210-APC-002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</si>
</sst>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charset val="204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87">
    <xf numFmtId="0" fontId="0" fillId="0" borderId="0" xfId="0"/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4" fillId="0" borderId="0" xfId="0" applyFont="1"/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0" borderId="1" xfId="0" applyFont="1" applyBorder="1"/>
    <xf numFmtId="0" fontId="3" fillId="5" borderId="10" xfId="0" applyFont="1" applyFill="1" applyBorder="1"/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5" borderId="20" xfId="0" applyFont="1" applyFill="1" applyBorder="1"/>
    <xf numFmtId="0" fontId="4" fillId="7" borderId="10" xfId="0" applyFont="1" applyFill="1" applyBorder="1"/>
    <xf numFmtId="0" fontId="3" fillId="4" borderId="13" xfId="0" applyFont="1" applyFill="1" applyBorder="1"/>
    <xf numFmtId="0" fontId="3" fillId="4" borderId="14" xfId="0" applyFont="1" applyFill="1" applyBorder="1"/>
    <xf numFmtId="0" fontId="3" fillId="4" borderId="5" xfId="0" applyFont="1" applyFill="1" applyBorder="1"/>
    <xf numFmtId="0" fontId="3" fillId="4" borderId="7" xfId="0" applyFont="1" applyFill="1" applyBorder="1"/>
    <xf numFmtId="0" fontId="4" fillId="7" borderId="20" xfId="0" applyFont="1" applyFill="1" applyBorder="1"/>
    <xf numFmtId="0" fontId="4" fillId="3" borderId="10" xfId="0" applyFont="1" applyFill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9" borderId="5" xfId="0" applyFont="1" applyFill="1" applyBorder="1"/>
    <xf numFmtId="0" fontId="4" fillId="9" borderId="6" xfId="0" applyFont="1" applyFill="1" applyBorder="1"/>
    <xf numFmtId="0" fontId="4" fillId="9" borderId="7" xfId="0" applyFont="1" applyFill="1" applyBorder="1"/>
    <xf numFmtId="0" fontId="4" fillId="3" borderId="20" xfId="0" applyFont="1" applyFill="1" applyBorder="1"/>
    <xf numFmtId="0" fontId="4" fillId="0" borderId="10" xfId="0" applyFont="1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5" xfId="0" applyFont="1" applyFill="1" applyBorder="1"/>
    <xf numFmtId="0" fontId="4" fillId="6" borderId="7" xfId="0" applyFont="1" applyFill="1" applyBorder="1"/>
    <xf numFmtId="0" fontId="4" fillId="0" borderId="17" xfId="0" applyFont="1" applyBorder="1"/>
    <xf numFmtId="0" fontId="4" fillId="0" borderId="16" xfId="0" applyFont="1" applyBorder="1"/>
    <xf numFmtId="0" fontId="4" fillId="0" borderId="14" xfId="0" applyFont="1" applyBorder="1"/>
    <xf numFmtId="0" fontId="3" fillId="5" borderId="9" xfId="0" applyFont="1" applyFill="1" applyBorder="1"/>
    <xf numFmtId="0" fontId="3" fillId="5" borderId="19" xfId="0" applyFont="1" applyFill="1" applyBorder="1"/>
    <xf numFmtId="0" fontId="4" fillId="7" borderId="9" xfId="0" applyFont="1" applyFill="1" applyBorder="1"/>
    <xf numFmtId="0" fontId="4" fillId="7" borderId="19" xfId="0" applyFont="1" applyFill="1" applyBorder="1"/>
    <xf numFmtId="0" fontId="4" fillId="3" borderId="9" xfId="0" applyFont="1" applyFill="1" applyBorder="1"/>
    <xf numFmtId="0" fontId="4" fillId="3" borderId="19" xfId="0" applyFont="1" applyFill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5" borderId="21" xfId="0" applyFont="1" applyFill="1" applyBorder="1"/>
    <xf numFmtId="0" fontId="3" fillId="5" borderId="22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4" fillId="7" borderId="21" xfId="0" applyFont="1" applyFill="1" applyBorder="1"/>
    <xf numFmtId="0" fontId="4" fillId="7" borderId="22" xfId="0" applyFont="1" applyFill="1" applyBorder="1"/>
    <xf numFmtId="0" fontId="4" fillId="9" borderId="11" xfId="0" applyFont="1" applyFill="1" applyBorder="1"/>
    <xf numFmtId="0" fontId="4" fillId="9" borderId="23" xfId="0" applyFont="1" applyFill="1" applyBorder="1"/>
    <xf numFmtId="0" fontId="4" fillId="9" borderId="12" xfId="0" applyFont="1" applyFill="1" applyBorder="1"/>
    <xf numFmtId="0" fontId="4" fillId="3" borderId="21" xfId="0" applyFont="1" applyFill="1" applyBorder="1"/>
    <xf numFmtId="0" fontId="4" fillId="3" borderId="22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4" fillId="0" borderId="24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12" xfId="0" applyFont="1" applyBorder="1"/>
    <xf numFmtId="0" fontId="0" fillId="6" borderId="0" xfId="0" applyFill="1"/>
    <xf numFmtId="0" fontId="0" fillId="3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0" fillId="4" borderId="0" xfId="0" applyFill="1"/>
    <xf numFmtId="0" fontId="6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/>
    <xf numFmtId="0" fontId="7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8" fillId="11" borderId="26" xfId="0" applyNumberFormat="1" applyFont="1" applyFill="1" applyBorder="1" applyAlignment="1">
      <alignment horizontal="center" vertical="top" wrapText="1"/>
    </xf>
    <xf numFmtId="0" fontId="8" fillId="11" borderId="40" xfId="0" applyNumberFormat="1" applyFont="1" applyFill="1" applyBorder="1" applyAlignment="1">
      <alignment horizontal="center" vertical="center" wrapText="1"/>
    </xf>
    <xf numFmtId="0" fontId="8" fillId="11" borderId="36" xfId="0" applyNumberFormat="1" applyFont="1" applyFill="1" applyBorder="1" applyAlignment="1">
      <alignment horizontal="center" vertical="center" wrapText="1"/>
    </xf>
    <xf numFmtId="0" fontId="8" fillId="11" borderId="41" xfId="0" applyNumberFormat="1" applyFont="1" applyFill="1" applyBorder="1" applyAlignment="1">
      <alignment horizontal="center" vertical="center" wrapText="1"/>
    </xf>
    <xf numFmtId="0" fontId="8" fillId="11" borderId="42" xfId="0" applyNumberFormat="1" applyFont="1" applyFill="1" applyBorder="1" applyAlignment="1">
      <alignment horizontal="center" vertical="center" wrapText="1"/>
    </xf>
    <xf numFmtId="49" fontId="8" fillId="11" borderId="36" xfId="0" applyNumberFormat="1" applyFont="1" applyFill="1" applyBorder="1" applyAlignment="1">
      <alignment horizontal="center" vertical="center" wrapText="1"/>
    </xf>
    <xf numFmtId="0" fontId="8" fillId="11" borderId="31" xfId="0" applyNumberFormat="1" applyFont="1" applyFill="1" applyBorder="1" applyAlignment="1">
      <alignment horizontal="center" vertical="center" wrapText="1"/>
    </xf>
    <xf numFmtId="0" fontId="8" fillId="11" borderId="32" xfId="0" applyNumberFormat="1" applyFont="1" applyFill="1" applyBorder="1" applyAlignment="1">
      <alignment horizontal="center" vertical="center" wrapText="1"/>
    </xf>
    <xf numFmtId="0" fontId="0" fillId="6" borderId="0" xfId="0" applyFont="1" applyFill="1"/>
    <xf numFmtId="0" fontId="0" fillId="7" borderId="0" xfId="0" applyFill="1" applyAlignment="1">
      <alignment horizontal="center"/>
    </xf>
    <xf numFmtId="0" fontId="10" fillId="6" borderId="0" xfId="0" applyFont="1" applyFill="1"/>
    <xf numFmtId="0" fontId="5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0" fontId="10" fillId="2" borderId="0" xfId="0" applyFont="1" applyFill="1" applyBorder="1" applyAlignment="1">
      <alignment horizontal="left"/>
    </xf>
    <xf numFmtId="0" fontId="16" fillId="8" borderId="0" xfId="0" applyFont="1" applyFill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0" xfId="0" applyFont="1" applyFill="1"/>
    <xf numFmtId="0" fontId="17" fillId="6" borderId="0" xfId="0" applyFont="1" applyFill="1"/>
    <xf numFmtId="0" fontId="17" fillId="3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7" fillId="6" borderId="0" xfId="0" applyFont="1" applyFill="1" applyAlignment="1">
      <alignment wrapText="1"/>
    </xf>
    <xf numFmtId="0" fontId="18" fillId="6" borderId="0" xfId="0" applyFont="1" applyFill="1"/>
    <xf numFmtId="0" fontId="18" fillId="6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8" fillId="11" borderId="25" xfId="0" applyNumberFormat="1" applyFont="1" applyFill="1" applyBorder="1" applyAlignment="1">
      <alignment horizontal="center" vertical="top" wrapText="1"/>
    </xf>
    <xf numFmtId="0" fontId="8" fillId="11" borderId="26" xfId="0" applyNumberFormat="1" applyFont="1" applyFill="1" applyBorder="1" applyAlignment="1">
      <alignment horizontal="center" vertical="top" wrapText="1"/>
    </xf>
    <xf numFmtId="0" fontId="8" fillId="11" borderId="27" xfId="0" applyNumberFormat="1" applyFont="1" applyFill="1" applyBorder="1" applyAlignment="1">
      <alignment horizontal="center" vertical="top" wrapText="1"/>
    </xf>
    <xf numFmtId="0" fontId="8" fillId="11" borderId="4" xfId="0" applyNumberFormat="1" applyFont="1" applyFill="1" applyBorder="1" applyAlignment="1">
      <alignment horizontal="center" vertical="center" wrapText="1"/>
    </xf>
    <xf numFmtId="0" fontId="8" fillId="11" borderId="14" xfId="0" applyNumberFormat="1" applyFont="1" applyFill="1" applyBorder="1" applyAlignment="1">
      <alignment horizontal="center" vertical="center" wrapText="1"/>
    </xf>
    <xf numFmtId="0" fontId="8" fillId="11" borderId="39" xfId="0" applyNumberFormat="1" applyFont="1" applyFill="1" applyBorder="1" applyAlignment="1">
      <alignment horizontal="center" vertical="center" wrapText="1"/>
    </xf>
    <xf numFmtId="0" fontId="8" fillId="11" borderId="33" xfId="0" applyNumberFormat="1" applyFont="1" applyFill="1" applyBorder="1" applyAlignment="1">
      <alignment horizontal="center" vertical="center" wrapText="1"/>
    </xf>
    <xf numFmtId="0" fontId="8" fillId="11" borderId="34" xfId="0" applyNumberFormat="1" applyFont="1" applyFill="1" applyBorder="1" applyAlignment="1">
      <alignment horizontal="center" vertical="center" wrapText="1"/>
    </xf>
    <xf numFmtId="0" fontId="8" fillId="11" borderId="35" xfId="0" applyNumberFormat="1" applyFont="1" applyFill="1" applyBorder="1" applyAlignment="1">
      <alignment horizontal="center" wrapText="1"/>
    </xf>
    <xf numFmtId="0" fontId="8" fillId="11" borderId="36" xfId="0" applyNumberFormat="1" applyFont="1" applyFill="1" applyBorder="1" applyAlignment="1">
      <alignment horizontal="center" wrapText="1"/>
    </xf>
    <xf numFmtId="0" fontId="9" fillId="11" borderId="25" xfId="0" applyNumberFormat="1" applyFont="1" applyFill="1" applyBorder="1" applyAlignment="1">
      <alignment horizontal="center" vertical="center"/>
    </xf>
    <xf numFmtId="0" fontId="9" fillId="11" borderId="26" xfId="0" applyNumberFormat="1" applyFont="1" applyFill="1" applyBorder="1" applyAlignment="1">
      <alignment horizontal="center" vertical="center"/>
    </xf>
    <xf numFmtId="0" fontId="9" fillId="11" borderId="27" xfId="0" applyNumberFormat="1" applyFont="1" applyFill="1" applyBorder="1" applyAlignment="1">
      <alignment horizontal="center" vertical="center"/>
    </xf>
    <xf numFmtId="0" fontId="8" fillId="11" borderId="28" xfId="0" applyNumberFormat="1" applyFont="1" applyFill="1" applyBorder="1" applyAlignment="1">
      <alignment horizontal="center" vertical="top" wrapText="1"/>
    </xf>
    <xf numFmtId="0" fontId="8" fillId="11" borderId="29" xfId="0" applyNumberFormat="1" applyFont="1" applyFill="1" applyBorder="1" applyAlignment="1">
      <alignment horizontal="center" vertical="top" wrapText="1"/>
    </xf>
    <xf numFmtId="0" fontId="8" fillId="11" borderId="30" xfId="0" applyNumberFormat="1" applyFont="1" applyFill="1" applyBorder="1" applyAlignment="1">
      <alignment horizontal="center" vertical="top" wrapText="1"/>
    </xf>
    <xf numFmtId="0" fontId="8" fillId="11" borderId="2" xfId="0" applyNumberFormat="1" applyFont="1" applyFill="1" applyBorder="1" applyAlignment="1">
      <alignment horizontal="center" vertical="center" wrapText="1"/>
    </xf>
    <xf numFmtId="0" fontId="8" fillId="11" borderId="13" xfId="0" applyNumberFormat="1" applyFont="1" applyFill="1" applyBorder="1" applyAlignment="1">
      <alignment horizontal="center" vertical="center" wrapText="1"/>
    </xf>
    <xf numFmtId="0" fontId="8" fillId="11" borderId="37" xfId="0" applyNumberFormat="1" applyFont="1" applyFill="1" applyBorder="1" applyAlignment="1">
      <alignment horizontal="center" vertical="center" wrapText="1"/>
    </xf>
    <xf numFmtId="0" fontId="8" fillId="11" borderId="3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0" fontId="8" fillId="11" borderId="38" xfId="0" applyNumberFormat="1" applyFont="1" applyFill="1" applyBorder="1" applyAlignment="1">
      <alignment horizontal="center" vertical="center" wrapText="1"/>
    </xf>
    <xf numFmtId="0" fontId="9" fillId="11" borderId="25" xfId="0" applyNumberFormat="1" applyFont="1" applyFill="1" applyBorder="1" applyAlignment="1">
      <alignment horizontal="center" vertical="center" wrapText="1"/>
    </xf>
    <xf numFmtId="0" fontId="9" fillId="11" borderId="26" xfId="0" applyNumberFormat="1" applyFont="1" applyFill="1" applyBorder="1" applyAlignment="1">
      <alignment horizontal="center" vertical="center" wrapText="1"/>
    </xf>
    <xf numFmtId="0" fontId="9" fillId="11" borderId="27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F9E1D4-D985-4837-AF4C-1CA847942AB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73D0-CA91-4CBD-A7A0-F49AFFE67D67}">
  <sheetPr>
    <tabColor rgb="FFFF0000"/>
  </sheetPr>
  <dimension ref="A1:M3297"/>
  <sheetViews>
    <sheetView tabSelected="1" zoomScale="70" zoomScaleNormal="70" workbookViewId="0">
      <pane ySplit="3" topLeftCell="A3038" activePane="bottomLeft" state="frozen"/>
      <selection pane="bottomLeft" activeCell="T3085" sqref="T3085"/>
    </sheetView>
  </sheetViews>
  <sheetFormatPr baseColWidth="10" defaultRowHeight="15.5" x14ac:dyDescent="0.35"/>
  <cols>
    <col min="1" max="1" width="5.81640625" style="135" bestFit="1" customWidth="1"/>
    <col min="2" max="2" width="4.453125" style="135" bestFit="1" customWidth="1"/>
    <col min="3" max="3" width="5.1796875" style="135" bestFit="1" customWidth="1"/>
    <col min="4" max="4" width="5.54296875" style="135" bestFit="1" customWidth="1"/>
    <col min="5" max="5" width="5.7265625" style="135" bestFit="1" customWidth="1"/>
    <col min="6" max="6" width="5.54296875" style="135" bestFit="1" customWidth="1"/>
    <col min="7" max="7" width="7.1796875" style="135" bestFit="1" customWidth="1"/>
    <col min="8" max="8" width="19.7265625" hidden="1" customWidth="1"/>
    <col min="9" max="9" width="35.7265625" style="135" customWidth="1"/>
    <col min="10" max="10" width="51.26953125" style="135" customWidth="1"/>
    <col min="11" max="11" width="5.7265625" style="136" customWidth="1"/>
    <col min="12" max="12" width="25.26953125" style="135" customWidth="1"/>
    <col min="13" max="13" width="6.453125" style="135" customWidth="1"/>
    <col min="14" max="16384" width="10.90625" style="135"/>
  </cols>
  <sheetData>
    <row r="1" spans="1:13" customFormat="1" ht="14.5" hidden="1" x14ac:dyDescent="0.35">
      <c r="I1" s="123" t="s">
        <v>5553</v>
      </c>
      <c r="K1" s="123" t="s">
        <v>5553</v>
      </c>
      <c r="L1" s="124"/>
    </row>
    <row r="2" spans="1:13" x14ac:dyDescent="0.35">
      <c r="A2" s="134" t="s">
        <v>487</v>
      </c>
      <c r="B2" s="134" t="s">
        <v>3809</v>
      </c>
      <c r="C2" s="134" t="s">
        <v>3803</v>
      </c>
      <c r="D2" s="134" t="s">
        <v>3804</v>
      </c>
      <c r="E2" s="134" t="s">
        <v>3805</v>
      </c>
      <c r="F2" s="134" t="s">
        <v>3806</v>
      </c>
      <c r="G2" s="134" t="s">
        <v>3807</v>
      </c>
      <c r="H2" s="122" t="s">
        <v>5436</v>
      </c>
      <c r="I2" s="134" t="s">
        <v>3808</v>
      </c>
      <c r="J2" s="134" t="s">
        <v>4220</v>
      </c>
      <c r="K2" s="134" t="s">
        <v>4154</v>
      </c>
      <c r="L2" s="134" t="s">
        <v>4156</v>
      </c>
      <c r="M2" s="134" t="s">
        <v>4155</v>
      </c>
    </row>
    <row r="3" spans="1:13" x14ac:dyDescent="0.35">
      <c r="A3" s="134"/>
      <c r="B3" s="134"/>
      <c r="C3" s="134"/>
      <c r="D3" s="134"/>
      <c r="E3" s="134"/>
      <c r="F3" s="134"/>
      <c r="G3" s="134"/>
      <c r="H3" s="121"/>
      <c r="I3" s="134"/>
      <c r="J3" s="134"/>
      <c r="K3" s="134"/>
      <c r="L3" s="134"/>
      <c r="M3" s="134"/>
    </row>
    <row r="4" spans="1:13" customFormat="1" ht="14.5" x14ac:dyDescent="0.35">
      <c r="A4" s="131" t="s">
        <v>487</v>
      </c>
      <c r="B4" s="131"/>
      <c r="C4" s="131"/>
      <c r="D4" s="131"/>
      <c r="E4" s="131"/>
      <c r="F4" s="131"/>
      <c r="G4" s="131"/>
      <c r="H4" s="85" t="str">
        <f t="shared" ref="H4:H5" si="0">CONCATENATE(A4,"-",B4,"-",C4,"-",D4,"-",E4,"-",F4,"-",G4)</f>
        <v>TCCN------</v>
      </c>
      <c r="I4" s="131" t="str">
        <f>MID(H4,1,(LEN(H4)-VLOOKUP(K4,datos!$B$2:$C$12,2,0)))</f>
        <v>TCCN</v>
      </c>
      <c r="J4" s="131" t="s">
        <v>4279</v>
      </c>
      <c r="K4" s="132">
        <f>VLOOKUP(LEN(SUBSTITUTE(H4,"-","")),datos!$A$1:$B$12,2,0)</f>
        <v>1</v>
      </c>
      <c r="L4" s="131"/>
      <c r="M4" s="131" t="s">
        <v>0</v>
      </c>
    </row>
    <row r="5" spans="1:13" customFormat="1" ht="14.5" x14ac:dyDescent="0.35">
      <c r="A5" s="125" t="s">
        <v>487</v>
      </c>
      <c r="B5" s="125" t="s">
        <v>3809</v>
      </c>
      <c r="C5" s="125"/>
      <c r="D5" s="125"/>
      <c r="E5" s="125"/>
      <c r="F5" s="125"/>
      <c r="G5" s="125"/>
      <c r="H5" s="84" t="str">
        <f t="shared" si="0"/>
        <v>TCCN-PTE-----</v>
      </c>
      <c r="I5" s="125" t="str">
        <f>MID(H5,1,(LEN(H5)-VLOOKUP(K5,datos!$B$2:$C$12,2,0)))</f>
        <v>TCCN-PTE</v>
      </c>
      <c r="J5" s="125" t="s">
        <v>152</v>
      </c>
      <c r="K5" s="126">
        <f>VLOOKUP(LEN(SUBSTITUTE(H5,"-","")),datos!$A$1:$B$12,2,0)</f>
        <v>2</v>
      </c>
      <c r="L5" s="125"/>
      <c r="M5" s="125" t="s">
        <v>0</v>
      </c>
    </row>
    <row r="6" spans="1:13" customFormat="1" ht="14.5" x14ac:dyDescent="0.35">
      <c r="A6" s="127" t="s">
        <v>487</v>
      </c>
      <c r="B6" s="127" t="s">
        <v>3809</v>
      </c>
      <c r="C6" s="127" t="s">
        <v>3810</v>
      </c>
      <c r="D6" s="127"/>
      <c r="E6" s="127"/>
      <c r="F6" s="127"/>
      <c r="G6" s="127"/>
      <c r="H6" s="86" t="str">
        <f>CONCATENATE(A6,"-",B6,"-",C6,"-",D6,"-",E6,"-",F6,"-",G6)</f>
        <v>TCCN-PTE-PCH----</v>
      </c>
      <c r="I6" s="127" t="str">
        <f>MID(H6,1,(LEN(H6)-VLOOKUP(K6,datos!$B$2:$C$12,2,0)))</f>
        <v>TCCN-PTE-PCH</v>
      </c>
      <c r="J6" s="127" t="s">
        <v>559</v>
      </c>
      <c r="K6" s="128">
        <f>VLOOKUP(LEN(SUBSTITUTE(H6,"-","")),datos!$A$1:$B$12,2,0)</f>
        <v>3</v>
      </c>
      <c r="L6" s="127"/>
      <c r="M6" s="127" t="s">
        <v>0</v>
      </c>
    </row>
    <row r="7" spans="1:13" customFormat="1" ht="14.5" x14ac:dyDescent="0.35">
      <c r="A7" s="84" t="s">
        <v>487</v>
      </c>
      <c r="B7" s="84" t="s">
        <v>3809</v>
      </c>
      <c r="C7" s="84" t="s">
        <v>3810</v>
      </c>
      <c r="D7" s="84" t="s">
        <v>3811</v>
      </c>
      <c r="E7" s="84"/>
      <c r="F7" s="84"/>
      <c r="G7" s="84"/>
      <c r="H7" s="84" t="str">
        <f t="shared" ref="H7:H71" si="1">CONCATENATE(A7,"-",B7,"-",C7,"-",D7,"-",E7,"-",F7,"-",G7)</f>
        <v>TCCN-PTE-PCH-CNP---</v>
      </c>
      <c r="I7" s="84" t="str">
        <f>MID(H7,1,(LEN(H7)-VLOOKUP(K7,datos!$B$2:$C$12,2,0)))</f>
        <v>TCCN-PTE-PCH-CNP</v>
      </c>
      <c r="J7" s="84" t="s">
        <v>4347</v>
      </c>
      <c r="K7" s="119">
        <f>VLOOKUP(LEN(SUBSTITUTE(H7,"-","")),datos!$A$1:$B$12,2,0)</f>
        <v>4</v>
      </c>
      <c r="L7" s="84"/>
      <c r="M7" s="84" t="s">
        <v>0</v>
      </c>
    </row>
    <row r="8" spans="1:13" customFormat="1" ht="14.5" x14ac:dyDescent="0.35">
      <c r="A8" s="129" t="s">
        <v>487</v>
      </c>
      <c r="B8" s="129" t="s">
        <v>3809</v>
      </c>
      <c r="C8" s="129" t="s">
        <v>3810</v>
      </c>
      <c r="D8" s="129" t="s">
        <v>3811</v>
      </c>
      <c r="E8" s="129" t="s">
        <v>6880</v>
      </c>
      <c r="F8" s="129"/>
      <c r="G8" s="129"/>
      <c r="H8" s="129" t="str">
        <f t="shared" ref="H8:H11" si="2">CONCATENATE(A8,"-",B8,"-",C8,"-",D8,"-",E8,"-",F8,"-",G8)</f>
        <v>TCCN-PTE-PCH-CNP-PTF--</v>
      </c>
      <c r="I8" s="129" t="str">
        <f>MID(H8,1,(LEN(H8)-VLOOKUP(K8,datos!$B$2:$C$12,2,0)))</f>
        <v>TCCN-PTE-PCH-CNP-PTF</v>
      </c>
      <c r="J8" s="129" t="s">
        <v>5691</v>
      </c>
      <c r="K8" s="130">
        <f>VLOOKUP(LEN(SUBSTITUTE(H8,"-","")),datos!$A$1:$B$12,2,0)</f>
        <v>5</v>
      </c>
      <c r="L8" s="129"/>
      <c r="M8" s="129" t="s">
        <v>0</v>
      </c>
    </row>
    <row r="9" spans="1:13" x14ac:dyDescent="0.35">
      <c r="A9" s="137" t="s">
        <v>487</v>
      </c>
      <c r="B9" s="137" t="s">
        <v>3809</v>
      </c>
      <c r="C9" s="137" t="s">
        <v>3810</v>
      </c>
      <c r="D9" s="137" t="s">
        <v>3811</v>
      </c>
      <c r="E9" s="137" t="s">
        <v>6880</v>
      </c>
      <c r="F9" s="137" t="s">
        <v>3831</v>
      </c>
      <c r="G9" s="137"/>
      <c r="H9" s="82" t="str">
        <f t="shared" si="2"/>
        <v>TCCN-PTE-PCH-CNP-PTF-INS-</v>
      </c>
      <c r="I9" s="137" t="str">
        <f>MID(H9,1,(LEN(H9)-VLOOKUP(K9,datos!$B$2:$C$12,2,0)))</f>
        <v>TCCN-PTE-PCH-CNP-PTF-INS</v>
      </c>
      <c r="J9" s="137" t="s">
        <v>8178</v>
      </c>
      <c r="K9" s="139">
        <f>VLOOKUP(LEN(SUBSTITUTE(H9,"-","")),datos!$A$1:$B$12,2,0)</f>
        <v>6</v>
      </c>
      <c r="L9" s="137"/>
      <c r="M9" s="137" t="s">
        <v>0</v>
      </c>
    </row>
    <row r="10" spans="1:13" x14ac:dyDescent="0.35">
      <c r="A10" s="138" t="s">
        <v>487</v>
      </c>
      <c r="B10" s="138" t="s">
        <v>3809</v>
      </c>
      <c r="C10" s="138" t="s">
        <v>3810</v>
      </c>
      <c r="D10" s="138" t="s">
        <v>3811</v>
      </c>
      <c r="E10" s="138" t="s">
        <v>6880</v>
      </c>
      <c r="F10" s="138" t="s">
        <v>3831</v>
      </c>
      <c r="G10" s="138" t="s">
        <v>5692</v>
      </c>
      <c r="H10" s="81" t="str">
        <f t="shared" si="2"/>
        <v>TCCN-PTE-PCH-CNP-PTF-INS-SMF</v>
      </c>
      <c r="I10" s="138" t="str">
        <f>MID(H10,1,(LEN(H10)-VLOOKUP(K10,datos!$B$2:$C$12,2,0)))</f>
        <v>TCCN-PTE-PCH-CNP-PTF-INS-SMF</v>
      </c>
      <c r="J10" s="138" t="s">
        <v>7881</v>
      </c>
      <c r="K10" s="140">
        <f>VLOOKUP(LEN(SUBSTITUTE(H10,"-","")),datos!$A$1:$B$12,2,0)</f>
        <v>7</v>
      </c>
      <c r="L10" s="138" t="s">
        <v>5694</v>
      </c>
      <c r="M10" s="138" t="s">
        <v>0</v>
      </c>
    </row>
    <row r="11" spans="1:13" x14ac:dyDescent="0.35">
      <c r="A11" s="138" t="s">
        <v>487</v>
      </c>
      <c r="B11" s="138" t="s">
        <v>3809</v>
      </c>
      <c r="C11" s="138" t="s">
        <v>3810</v>
      </c>
      <c r="D11" s="138" t="s">
        <v>3811</v>
      </c>
      <c r="E11" s="138" t="s">
        <v>6880</v>
      </c>
      <c r="F11" s="138" t="s">
        <v>3831</v>
      </c>
      <c r="G11" s="138" t="s">
        <v>4043</v>
      </c>
      <c r="H11" s="81" t="str">
        <f t="shared" si="2"/>
        <v>TCCN-PTE-PCH-CNP-PTF-INS-SPO</v>
      </c>
      <c r="I11" s="138" t="str">
        <f>MID(H11,1,(LEN(H11)-VLOOKUP(K11,datos!$B$2:$C$12,2,0)))</f>
        <v>TCCN-PTE-PCH-CNP-PTF-INS-SPO</v>
      </c>
      <c r="J11" s="138" t="s">
        <v>8117</v>
      </c>
      <c r="K11" s="140">
        <f>VLOOKUP(LEN(SUBSTITUTE(H11,"-","")),datos!$A$1:$B$12,2,0)</f>
        <v>7</v>
      </c>
      <c r="L11" s="138" t="s">
        <v>6749</v>
      </c>
      <c r="M11" s="138" t="s">
        <v>0</v>
      </c>
    </row>
    <row r="12" spans="1:13" customFormat="1" ht="14.5" x14ac:dyDescent="0.35">
      <c r="A12" s="129" t="s">
        <v>487</v>
      </c>
      <c r="B12" s="129" t="s">
        <v>3809</v>
      </c>
      <c r="C12" s="129" t="s">
        <v>3810</v>
      </c>
      <c r="D12" s="129" t="s">
        <v>3811</v>
      </c>
      <c r="E12" s="129" t="s">
        <v>3812</v>
      </c>
      <c r="F12" s="129"/>
      <c r="G12" s="129"/>
      <c r="H12" s="83" t="str">
        <f t="shared" si="1"/>
        <v>TCCN-PTE-PCH-CNP-TOL--</v>
      </c>
      <c r="I12" s="129" t="str">
        <f>MID(H12,1,(LEN(H12)-VLOOKUP(K12,datos!$B$2:$C$12,2,0)))</f>
        <v>TCCN-PTE-PCH-CNP-TOL</v>
      </c>
      <c r="J12" s="129" t="s">
        <v>5384</v>
      </c>
      <c r="K12" s="130">
        <f>VLOOKUP(LEN(SUBSTITUTE(H12,"-","")),datos!$A$1:$B$12,2,0)</f>
        <v>5</v>
      </c>
      <c r="L12" s="129" t="s">
        <v>3813</v>
      </c>
      <c r="M12" s="129" t="s">
        <v>0</v>
      </c>
    </row>
    <row r="13" spans="1:13" x14ac:dyDescent="0.35">
      <c r="A13" s="137" t="s">
        <v>487</v>
      </c>
      <c r="B13" s="137" t="s">
        <v>3809</v>
      </c>
      <c r="C13" s="137" t="s">
        <v>3810</v>
      </c>
      <c r="D13" s="137" t="s">
        <v>3811</v>
      </c>
      <c r="E13" s="137" t="s">
        <v>3812</v>
      </c>
      <c r="F13" s="137" t="s">
        <v>3831</v>
      </c>
      <c r="G13" s="137"/>
      <c r="H13" s="82" t="str">
        <f t="shared" si="1"/>
        <v>TCCN-PTE-PCH-CNP-TOL-INS-</v>
      </c>
      <c r="I13" s="137" t="str">
        <f>MID(H13,1,(LEN(H13)-VLOOKUP(K13,datos!$B$2:$C$12,2,0)))</f>
        <v>TCCN-PTE-PCH-CNP-TOL-INS</v>
      </c>
      <c r="J13" s="137" t="s">
        <v>8179</v>
      </c>
      <c r="K13" s="139">
        <f>VLOOKUP(LEN(SUBSTITUTE(H13,"-","")),datos!$A$1:$B$12,2,0)</f>
        <v>6</v>
      </c>
      <c r="L13" s="137"/>
      <c r="M13" s="137" t="s">
        <v>0</v>
      </c>
    </row>
    <row r="14" spans="1:13" x14ac:dyDescent="0.35">
      <c r="A14" s="138" t="s">
        <v>487</v>
      </c>
      <c r="B14" s="138" t="s">
        <v>3809</v>
      </c>
      <c r="C14" s="138" t="s">
        <v>3810</v>
      </c>
      <c r="D14" s="138" t="s">
        <v>3811</v>
      </c>
      <c r="E14" s="138" t="s">
        <v>3812</v>
      </c>
      <c r="F14" s="138" t="s">
        <v>3831</v>
      </c>
      <c r="G14" s="138" t="s">
        <v>5256</v>
      </c>
      <c r="H14" s="81" t="str">
        <f t="shared" si="1"/>
        <v>TCCN-PTE-PCH-CNP-TOL-INS-MNV</v>
      </c>
      <c r="I14" s="138" t="str">
        <f>MID(H14,1,(LEN(H14)-VLOOKUP(K14,datos!$B$2:$C$12,2,0)))</f>
        <v>TCCN-PTE-PCH-CNP-TOL-INS-MNV</v>
      </c>
      <c r="J14" s="138" t="s">
        <v>8118</v>
      </c>
      <c r="K14" s="140">
        <f>VLOOKUP(LEN(SUBSTITUTE(H14,"-","")),datos!$A$1:$B$12,2,0)</f>
        <v>7</v>
      </c>
      <c r="L14" s="138" t="s">
        <v>5693</v>
      </c>
      <c r="M14" s="138" t="s">
        <v>0</v>
      </c>
    </row>
    <row r="15" spans="1:13" customFormat="1" ht="14.5" x14ac:dyDescent="0.35">
      <c r="A15" s="129" t="s">
        <v>487</v>
      </c>
      <c r="B15" s="129" t="s">
        <v>3809</v>
      </c>
      <c r="C15" s="129" t="s">
        <v>3810</v>
      </c>
      <c r="D15" s="129" t="s">
        <v>3811</v>
      </c>
      <c r="E15" s="129" t="s">
        <v>3814</v>
      </c>
      <c r="F15" s="129"/>
      <c r="G15" s="129"/>
      <c r="H15" s="83" t="str">
        <f t="shared" si="1"/>
        <v>TCCN-PTE-PCH-CNP-SLZ--</v>
      </c>
      <c r="I15" s="129" t="str">
        <f>MID(H15,1,(LEN(H15)-VLOOKUP(K15,datos!$B$2:$C$12,2,0)))</f>
        <v>TCCN-PTE-PCH-CNP-SLZ</v>
      </c>
      <c r="J15" s="129" t="s">
        <v>545</v>
      </c>
      <c r="K15" s="130">
        <f>VLOOKUP(LEN(SUBSTITUTE(H15,"-","")),datos!$A$1:$B$12,2,0)</f>
        <v>5</v>
      </c>
      <c r="L15" s="129" t="s">
        <v>3815</v>
      </c>
      <c r="M15" s="129" t="s">
        <v>0</v>
      </c>
    </row>
    <row r="16" spans="1:13" x14ac:dyDescent="0.35">
      <c r="A16" s="137" t="s">
        <v>487</v>
      </c>
      <c r="B16" s="137" t="s">
        <v>3809</v>
      </c>
      <c r="C16" s="137" t="s">
        <v>3810</v>
      </c>
      <c r="D16" s="137" t="s">
        <v>3811</v>
      </c>
      <c r="E16" s="137" t="s">
        <v>3814</v>
      </c>
      <c r="F16" s="137" t="s">
        <v>3816</v>
      </c>
      <c r="G16" s="137"/>
      <c r="H16" s="82" t="str">
        <f t="shared" si="1"/>
        <v>TCCN-PTE-PCH-CNP-SLZ-SHI-</v>
      </c>
      <c r="I16" s="137" t="str">
        <f>MID(H16,1,(LEN(H16)-VLOOKUP(K16,datos!$B$2:$C$12,2,0)))</f>
        <v>TCCN-PTE-PCH-CNP-SLZ-SHI</v>
      </c>
      <c r="J16" s="137" t="s">
        <v>6263</v>
      </c>
      <c r="K16" s="139">
        <f>VLOOKUP(LEN(SUBSTITUTE(H16,"-","")),datos!$A$1:$B$12,2,0)</f>
        <v>6</v>
      </c>
      <c r="L16" s="137" t="s">
        <v>1</v>
      </c>
      <c r="M16" s="137" t="s">
        <v>0</v>
      </c>
    </row>
    <row r="17" spans="1:13" x14ac:dyDescent="0.35">
      <c r="A17" s="138" t="s">
        <v>487</v>
      </c>
      <c r="B17" s="138" t="s">
        <v>3809</v>
      </c>
      <c r="C17" s="138" t="s">
        <v>3810</v>
      </c>
      <c r="D17" s="138" t="s">
        <v>3811</v>
      </c>
      <c r="E17" s="138" t="s">
        <v>3814</v>
      </c>
      <c r="F17" s="138" t="s">
        <v>3816</v>
      </c>
      <c r="G17" s="138" t="s">
        <v>3817</v>
      </c>
      <c r="H17" s="81" t="str">
        <f t="shared" si="1"/>
        <v>TCCN-PTE-PCH-CNP-SLZ-SHI-CIH</v>
      </c>
      <c r="I17" s="138" t="str">
        <f>MID(H17,1,(LEN(H17)-VLOOKUP(K17,datos!$B$2:$C$12,2,0)))</f>
        <v>TCCN-PTE-PCH-CNP-SLZ-SHI-CIH</v>
      </c>
      <c r="J17" s="138" t="s">
        <v>6264</v>
      </c>
      <c r="K17" s="140">
        <f>VLOOKUP(LEN(SUBSTITUTE(H17,"-","")),datos!$A$1:$B$12,2,0)</f>
        <v>7</v>
      </c>
      <c r="L17" s="138"/>
      <c r="M17" s="138" t="s">
        <v>0</v>
      </c>
    </row>
    <row r="18" spans="1:13" x14ac:dyDescent="0.35">
      <c r="A18" s="138" t="s">
        <v>487</v>
      </c>
      <c r="B18" s="138" t="s">
        <v>3809</v>
      </c>
      <c r="C18" s="138" t="s">
        <v>3810</v>
      </c>
      <c r="D18" s="138" t="s">
        <v>3811</v>
      </c>
      <c r="E18" s="138" t="s">
        <v>3814</v>
      </c>
      <c r="F18" s="138" t="s">
        <v>3816</v>
      </c>
      <c r="G18" s="138" t="s">
        <v>3818</v>
      </c>
      <c r="H18" s="81" t="str">
        <f t="shared" si="1"/>
        <v>TCCN-PTE-PCH-CNP-SLZ-SHI-BBA</v>
      </c>
      <c r="I18" s="138" t="str">
        <f>MID(H18,1,(LEN(H18)-VLOOKUP(K18,datos!$B$2:$C$12,2,0)))</f>
        <v>TCCN-PTE-PCH-CNP-SLZ-SHI-BBA</v>
      </c>
      <c r="J18" s="138" t="s">
        <v>6265</v>
      </c>
      <c r="K18" s="140">
        <f>VLOOKUP(LEN(SUBSTITUTE(H18,"-","")),datos!$A$1:$B$12,2,0)</f>
        <v>7</v>
      </c>
      <c r="L18" s="138"/>
      <c r="M18" s="138" t="s">
        <v>0</v>
      </c>
    </row>
    <row r="19" spans="1:13" x14ac:dyDescent="0.35">
      <c r="A19" s="138" t="s">
        <v>487</v>
      </c>
      <c r="B19" s="138" t="s">
        <v>3809</v>
      </c>
      <c r="C19" s="138" t="s">
        <v>3810</v>
      </c>
      <c r="D19" s="138" t="s">
        <v>3811</v>
      </c>
      <c r="E19" s="138" t="s">
        <v>3814</v>
      </c>
      <c r="F19" s="138" t="s">
        <v>3816</v>
      </c>
      <c r="G19" s="138" t="s">
        <v>3853</v>
      </c>
      <c r="H19" s="81" t="str">
        <f t="shared" si="1"/>
        <v>TCCN-PTE-PCH-CNP-SLZ-SHI-EST</v>
      </c>
      <c r="I19" s="138" t="str">
        <f>MID(H19,1,(LEN(H19)-VLOOKUP(K19,datos!$B$2:$C$12,2,0)))</f>
        <v>TCCN-PTE-PCH-CNP-SLZ-SHI-EST</v>
      </c>
      <c r="J19" s="138" t="s">
        <v>6266</v>
      </c>
      <c r="K19" s="140">
        <f>VLOOKUP(LEN(SUBSTITUTE(H19,"-","")),datos!$A$1:$B$12,2,0)</f>
        <v>7</v>
      </c>
      <c r="L19" s="138"/>
      <c r="M19" s="138" t="s">
        <v>0</v>
      </c>
    </row>
    <row r="20" spans="1:13" x14ac:dyDescent="0.35">
      <c r="A20" s="138" t="s">
        <v>487</v>
      </c>
      <c r="B20" s="138" t="s">
        <v>3809</v>
      </c>
      <c r="C20" s="138" t="s">
        <v>3810</v>
      </c>
      <c r="D20" s="138" t="s">
        <v>3811</v>
      </c>
      <c r="E20" s="138" t="s">
        <v>3814</v>
      </c>
      <c r="F20" s="138" t="s">
        <v>3816</v>
      </c>
      <c r="G20" s="138" t="s">
        <v>3819</v>
      </c>
      <c r="H20" s="81" t="str">
        <f t="shared" si="1"/>
        <v>TCCN-PTE-PCH-CNP-SLZ-SHI-MOE</v>
      </c>
      <c r="I20" s="138" t="str">
        <f>MID(H20,1,(LEN(H20)-VLOOKUP(K20,datos!$B$2:$C$12,2,0)))</f>
        <v>TCCN-PTE-PCH-CNP-SLZ-SHI-MOE</v>
      </c>
      <c r="J20" s="138" t="s">
        <v>6267</v>
      </c>
      <c r="K20" s="140">
        <f>VLOOKUP(LEN(SUBSTITUTE(H20,"-","")),datos!$A$1:$B$12,2,0)</f>
        <v>7</v>
      </c>
      <c r="L20" s="138" t="s">
        <v>1565</v>
      </c>
      <c r="M20" s="138" t="s">
        <v>0</v>
      </c>
    </row>
    <row r="21" spans="1:13" x14ac:dyDescent="0.35">
      <c r="A21" s="138" t="s">
        <v>487</v>
      </c>
      <c r="B21" s="138" t="s">
        <v>3809</v>
      </c>
      <c r="C21" s="138" t="s">
        <v>3810</v>
      </c>
      <c r="D21" s="138" t="s">
        <v>3811</v>
      </c>
      <c r="E21" s="138" t="s">
        <v>3814</v>
      </c>
      <c r="F21" s="138" t="s">
        <v>3816</v>
      </c>
      <c r="G21" s="138" t="s">
        <v>3820</v>
      </c>
      <c r="H21" s="81" t="str">
        <f t="shared" si="1"/>
        <v>TCCN-PTE-PCH-CNP-SLZ-SHI-CUH</v>
      </c>
      <c r="I21" s="138" t="str">
        <f>MID(H21,1,(LEN(H21)-VLOOKUP(K21,datos!$B$2:$C$12,2,0)))</f>
        <v>TCCN-PTE-PCH-CNP-SLZ-SHI-CUH</v>
      </c>
      <c r="J21" s="138" t="s">
        <v>6268</v>
      </c>
      <c r="K21" s="140">
        <f>VLOOKUP(LEN(SUBSTITUTE(H21,"-","")),datos!$A$1:$B$12,2,0)</f>
        <v>7</v>
      </c>
      <c r="L21" s="138" t="s">
        <v>1566</v>
      </c>
      <c r="M21" s="138" t="s">
        <v>0</v>
      </c>
    </row>
    <row r="22" spans="1:13" x14ac:dyDescent="0.35">
      <c r="A22" s="137" t="s">
        <v>487</v>
      </c>
      <c r="B22" s="137" t="s">
        <v>3809</v>
      </c>
      <c r="C22" s="137" t="s">
        <v>3810</v>
      </c>
      <c r="D22" s="137" t="s">
        <v>3811</v>
      </c>
      <c r="E22" s="137" t="s">
        <v>3814</v>
      </c>
      <c r="F22" s="137" t="s">
        <v>3821</v>
      </c>
      <c r="G22" s="137"/>
      <c r="H22" s="82" t="str">
        <f t="shared" si="1"/>
        <v>TCCN-PTE-PCH-CNP-SLZ-SME-</v>
      </c>
      <c r="I22" s="137" t="str">
        <f>MID(H22,1,(LEN(H22)-VLOOKUP(K22,datos!$B$2:$C$12,2,0)))</f>
        <v>TCCN-PTE-PCH-CNP-SLZ-SME</v>
      </c>
      <c r="J22" s="137" t="s">
        <v>6269</v>
      </c>
      <c r="K22" s="139">
        <f>VLOOKUP(LEN(SUBSTITUTE(H22,"-","")),datos!$A$1:$B$12,2,0)</f>
        <v>6</v>
      </c>
      <c r="L22" s="137"/>
      <c r="M22" s="137" t="s">
        <v>0</v>
      </c>
    </row>
    <row r="23" spans="1:13" x14ac:dyDescent="0.35">
      <c r="A23" s="138" t="s">
        <v>487</v>
      </c>
      <c r="B23" s="138" t="s">
        <v>3809</v>
      </c>
      <c r="C23" s="138" t="s">
        <v>3810</v>
      </c>
      <c r="D23" s="138" t="s">
        <v>3811</v>
      </c>
      <c r="E23" s="138" t="s">
        <v>3814</v>
      </c>
      <c r="F23" s="138" t="s">
        <v>3821</v>
      </c>
      <c r="G23" s="138" t="s">
        <v>3822</v>
      </c>
      <c r="H23" s="81" t="str">
        <f t="shared" si="1"/>
        <v>TCCN-PTE-PCH-CNP-SLZ-SME-LAN</v>
      </c>
      <c r="I23" s="138" t="str">
        <f>MID(H23,1,(LEN(H23)-VLOOKUP(K23,datos!$B$2:$C$12,2,0)))</f>
        <v>TCCN-PTE-PCH-CNP-SLZ-SME-LAN</v>
      </c>
      <c r="J23" s="138" t="s">
        <v>6270</v>
      </c>
      <c r="K23" s="140">
        <f>VLOOKUP(LEN(SUBSTITUTE(H23,"-","")),datos!$A$1:$B$12,2,0)</f>
        <v>7</v>
      </c>
      <c r="L23" s="138"/>
      <c r="M23" s="138" t="s">
        <v>0</v>
      </c>
    </row>
    <row r="24" spans="1:13" x14ac:dyDescent="0.35">
      <c r="A24" s="138" t="s">
        <v>487</v>
      </c>
      <c r="B24" s="138" t="s">
        <v>3809</v>
      </c>
      <c r="C24" s="138" t="s">
        <v>3810</v>
      </c>
      <c r="D24" s="138" t="s">
        <v>3811</v>
      </c>
      <c r="E24" s="138" t="s">
        <v>3814</v>
      </c>
      <c r="F24" s="138" t="s">
        <v>3821</v>
      </c>
      <c r="G24" s="138" t="s">
        <v>3823</v>
      </c>
      <c r="H24" s="81" t="str">
        <f t="shared" si="1"/>
        <v>TCCN-PTE-PCH-CNP-SLZ-SME-CRL</v>
      </c>
      <c r="I24" s="138" t="str">
        <f>MID(H24,1,(LEN(H24)-VLOOKUP(K24,datos!$B$2:$C$12,2,0)))</f>
        <v>TCCN-PTE-PCH-CNP-SLZ-SME-CRL</v>
      </c>
      <c r="J24" s="138" t="s">
        <v>8055</v>
      </c>
      <c r="K24" s="140">
        <f>VLOOKUP(LEN(SUBSTITUTE(H24,"-","")),datos!$A$1:$B$12,2,0)</f>
        <v>7</v>
      </c>
      <c r="L24" s="138"/>
      <c r="M24" s="138" t="s">
        <v>0</v>
      </c>
    </row>
    <row r="25" spans="1:13" x14ac:dyDescent="0.35">
      <c r="A25" s="137" t="s">
        <v>487</v>
      </c>
      <c r="B25" s="137" t="s">
        <v>3809</v>
      </c>
      <c r="C25" s="137" t="s">
        <v>3810</v>
      </c>
      <c r="D25" s="137" t="s">
        <v>3811</v>
      </c>
      <c r="E25" s="137" t="s">
        <v>3814</v>
      </c>
      <c r="F25" s="137" t="s">
        <v>3824</v>
      </c>
      <c r="G25" s="137"/>
      <c r="H25" s="82" t="str">
        <f t="shared" si="1"/>
        <v>TCCN-PTE-PCH-CNP-SLZ-SES-</v>
      </c>
      <c r="I25" s="137" t="str">
        <f>MID(H25,1,(LEN(H25)-VLOOKUP(K25,datos!$B$2:$C$12,2,0)))</f>
        <v>TCCN-PTE-PCH-CNP-SLZ-SES</v>
      </c>
      <c r="J25" s="137" t="s">
        <v>6271</v>
      </c>
      <c r="K25" s="139">
        <f>VLOOKUP(LEN(SUBSTITUTE(H25,"-","")),datos!$A$1:$B$12,2,0)</f>
        <v>6</v>
      </c>
      <c r="L25" s="137"/>
      <c r="M25" s="137" t="s">
        <v>0</v>
      </c>
    </row>
    <row r="26" spans="1:13" x14ac:dyDescent="0.35">
      <c r="A26" s="138" t="s">
        <v>487</v>
      </c>
      <c r="B26" s="138" t="s">
        <v>3809</v>
      </c>
      <c r="C26" s="138" t="s">
        <v>3810</v>
      </c>
      <c r="D26" s="138" t="s">
        <v>3811</v>
      </c>
      <c r="E26" s="138" t="s">
        <v>3814</v>
      </c>
      <c r="F26" s="138" t="s">
        <v>3824</v>
      </c>
      <c r="G26" s="138" t="s">
        <v>3825</v>
      </c>
      <c r="H26" s="81" t="str">
        <f t="shared" si="1"/>
        <v>TCCN-PTE-PCH-CNP-SLZ-SES-CHU</v>
      </c>
      <c r="I26" s="138" t="str">
        <f>MID(H26,1,(LEN(H26)-VLOOKUP(K26,datos!$B$2:$C$12,2,0)))</f>
        <v>TCCN-PTE-PCH-CNP-SLZ-SES-CHU</v>
      </c>
      <c r="J26" s="138" t="s">
        <v>6272</v>
      </c>
      <c r="K26" s="140">
        <f>VLOOKUP(LEN(SUBSTITUTE(H26,"-","")),datos!$A$1:$B$12,2,0)</f>
        <v>7</v>
      </c>
      <c r="L26" s="138" t="s">
        <v>2</v>
      </c>
      <c r="M26" s="138" t="s">
        <v>0</v>
      </c>
    </row>
    <row r="27" spans="1:13" customFormat="1" ht="14.5" x14ac:dyDescent="0.35">
      <c r="A27" s="129" t="s">
        <v>487</v>
      </c>
      <c r="B27" s="129" t="s">
        <v>3809</v>
      </c>
      <c r="C27" s="129" t="s">
        <v>3810</v>
      </c>
      <c r="D27" s="129" t="s">
        <v>3811</v>
      </c>
      <c r="E27" s="129" t="s">
        <v>3874</v>
      </c>
      <c r="F27" s="129"/>
      <c r="G27" s="129"/>
      <c r="H27" s="83" t="str">
        <f t="shared" si="1"/>
        <v>TCCN-PTE-PCH-CNP-SD1--</v>
      </c>
      <c r="I27" s="129" t="str">
        <f>MID(H27,1,(LEN(H27)-VLOOKUP(K27,datos!$B$2:$C$12,2,0)))</f>
        <v>TCCN-PTE-PCH-CNP-SD1</v>
      </c>
      <c r="J27" s="129" t="s">
        <v>4768</v>
      </c>
      <c r="K27" s="130">
        <f>VLOOKUP(LEN(SUBSTITUTE(H27,"-","")),datos!$A$1:$B$12,2,0)</f>
        <v>5</v>
      </c>
      <c r="L27" s="129" t="s">
        <v>48</v>
      </c>
      <c r="M27" s="129" t="s">
        <v>0</v>
      </c>
    </row>
    <row r="28" spans="1:13" x14ac:dyDescent="0.35">
      <c r="A28" s="137" t="s">
        <v>487</v>
      </c>
      <c r="B28" s="137" t="s">
        <v>3809</v>
      </c>
      <c r="C28" s="137" t="s">
        <v>3810</v>
      </c>
      <c r="D28" s="137" t="s">
        <v>3811</v>
      </c>
      <c r="E28" s="137" t="s">
        <v>3874</v>
      </c>
      <c r="F28" s="137" t="s">
        <v>3875</v>
      </c>
      <c r="G28" s="137"/>
      <c r="H28" s="82" t="str">
        <f t="shared" si="1"/>
        <v>TCCN-PTE-PCH-CNP-SD1-SHN-</v>
      </c>
      <c r="I28" s="137" t="str">
        <f>MID(H28,1,(LEN(H28)-VLOOKUP(K28,datos!$B$2:$C$12,2,0)))</f>
        <v>TCCN-PTE-PCH-CNP-SD1-SHN</v>
      </c>
      <c r="J28" s="137" t="s">
        <v>6273</v>
      </c>
      <c r="K28" s="139">
        <f>VLOOKUP(LEN(SUBSTITUTE(H28,"-","")),datos!$A$1:$B$12,2,0)</f>
        <v>6</v>
      </c>
      <c r="L28" s="137"/>
      <c r="M28" s="137" t="s">
        <v>0</v>
      </c>
    </row>
    <row r="29" spans="1:13" x14ac:dyDescent="0.35">
      <c r="A29" s="138" t="s">
        <v>487</v>
      </c>
      <c r="B29" s="138" t="s">
        <v>3809</v>
      </c>
      <c r="C29" s="138" t="s">
        <v>3810</v>
      </c>
      <c r="D29" s="138" t="s">
        <v>3811</v>
      </c>
      <c r="E29" s="138" t="s">
        <v>3874</v>
      </c>
      <c r="F29" s="138" t="s">
        <v>3875</v>
      </c>
      <c r="G29" s="138" t="s">
        <v>3876</v>
      </c>
      <c r="H29" s="81" t="str">
        <f t="shared" si="1"/>
        <v>TCCN-PTE-PCH-CNP-SD1-SHN-BVV</v>
      </c>
      <c r="I29" s="138" t="str">
        <f>MID(H29,1,(LEN(H29)-VLOOKUP(K29,datos!$B$2:$C$12,2,0)))</f>
        <v>TCCN-PTE-PCH-CNP-SD1-SHN-BVV</v>
      </c>
      <c r="J29" s="138" t="s">
        <v>6695</v>
      </c>
      <c r="K29" s="140">
        <f>VLOOKUP(LEN(SUBSTITUTE(H29,"-","")),datos!$A$1:$B$12,2,0)</f>
        <v>7</v>
      </c>
      <c r="L29" s="138"/>
      <c r="M29" s="138" t="s">
        <v>0</v>
      </c>
    </row>
    <row r="30" spans="1:13" x14ac:dyDescent="0.35">
      <c r="A30" s="137" t="s">
        <v>487</v>
      </c>
      <c r="B30" s="137" t="s">
        <v>3809</v>
      </c>
      <c r="C30" s="137" t="s">
        <v>3810</v>
      </c>
      <c r="D30" s="137" t="s">
        <v>3811</v>
      </c>
      <c r="E30" s="137" t="s">
        <v>3874</v>
      </c>
      <c r="F30" s="137" t="s">
        <v>3831</v>
      </c>
      <c r="G30" s="137"/>
      <c r="H30" s="82" t="str">
        <f t="shared" si="1"/>
        <v>TCCN-PTE-PCH-CNP-SD1-INS-</v>
      </c>
      <c r="I30" s="137" t="str">
        <f>MID(H30,1,(LEN(H30)-VLOOKUP(K30,datos!$B$2:$C$12,2,0)))</f>
        <v>TCCN-PTE-PCH-CNP-SD1-INS</v>
      </c>
      <c r="J30" s="137" t="s">
        <v>6274</v>
      </c>
      <c r="K30" s="139">
        <f>VLOOKUP(LEN(SUBSTITUTE(H30,"-","")),datos!$A$1:$B$12,2,0)</f>
        <v>6</v>
      </c>
      <c r="L30" s="137"/>
      <c r="M30" s="137" t="s">
        <v>0</v>
      </c>
    </row>
    <row r="31" spans="1:13" x14ac:dyDescent="0.35">
      <c r="A31" s="138" t="s">
        <v>487</v>
      </c>
      <c r="B31" s="138" t="s">
        <v>3809</v>
      </c>
      <c r="C31" s="138" t="s">
        <v>3810</v>
      </c>
      <c r="D31" s="138" t="s">
        <v>3811</v>
      </c>
      <c r="E31" s="138" t="s">
        <v>3874</v>
      </c>
      <c r="F31" s="138" t="s">
        <v>3831</v>
      </c>
      <c r="G31" s="138" t="s">
        <v>6898</v>
      </c>
      <c r="H31" s="81" t="str">
        <f t="shared" si="1"/>
        <v>TCCN-PTE-PCH-CNP-SD1-INS-GMO</v>
      </c>
      <c r="I31" s="138" t="str">
        <f>MID(H31,1,(LEN(H31)-VLOOKUP(K31,datos!$B$2:$C$12,2,0)))</f>
        <v>TCCN-PTE-PCH-CNP-SD1-INS-GMO</v>
      </c>
      <c r="J31" s="138" t="s">
        <v>6275</v>
      </c>
      <c r="K31" s="140">
        <f>VLOOKUP(LEN(SUBSTITUTE(H31,"-","")),datos!$A$1:$B$12,2,0)</f>
        <v>7</v>
      </c>
      <c r="L31" s="138"/>
      <c r="M31" s="138" t="s">
        <v>0</v>
      </c>
    </row>
    <row r="32" spans="1:13" x14ac:dyDescent="0.35">
      <c r="A32" s="138" t="s">
        <v>487</v>
      </c>
      <c r="B32" s="138" t="s">
        <v>3809</v>
      </c>
      <c r="C32" s="138" t="s">
        <v>3810</v>
      </c>
      <c r="D32" s="138" t="s">
        <v>3811</v>
      </c>
      <c r="E32" s="138" t="s">
        <v>3874</v>
      </c>
      <c r="F32" s="138" t="s">
        <v>3831</v>
      </c>
      <c r="G32" s="138" t="s">
        <v>4002</v>
      </c>
      <c r="H32" s="81" t="str">
        <f t="shared" ref="H32" si="3">CONCATENATE(A32,"-",B32,"-",C32,"-",D32,"-",E32,"-",F32,"-",G32)</f>
        <v>TCCN-PTE-PCH-CNP-SD1-INS-FJM</v>
      </c>
      <c r="I32" s="138" t="str">
        <f>MID(H32,1,(LEN(H32)-VLOOKUP(K32,datos!$B$2:$C$12,2,0)))</f>
        <v>TCCN-PTE-PCH-CNP-SD1-INS-FJM</v>
      </c>
      <c r="J32" s="138" t="s">
        <v>7117</v>
      </c>
      <c r="K32" s="140">
        <f>VLOOKUP(LEN(SUBSTITUTE(H32,"-","")),datos!$A$1:$B$12,2,0)</f>
        <v>7</v>
      </c>
      <c r="L32" s="138" t="s">
        <v>7118</v>
      </c>
      <c r="M32" s="138" t="s">
        <v>0</v>
      </c>
    </row>
    <row r="33" spans="1:13" customFormat="1" ht="14.5" x14ac:dyDescent="0.35">
      <c r="A33" s="129" t="s">
        <v>487</v>
      </c>
      <c r="B33" s="129" t="s">
        <v>3809</v>
      </c>
      <c r="C33" s="129" t="s">
        <v>3810</v>
      </c>
      <c r="D33" s="129" t="s">
        <v>3811</v>
      </c>
      <c r="E33" s="129" t="s">
        <v>3826</v>
      </c>
      <c r="F33" s="129"/>
      <c r="G33" s="129"/>
      <c r="H33" s="83" t="str">
        <f t="shared" si="1"/>
        <v>TCCN-PTE-PCH-CNP-APC--</v>
      </c>
      <c r="I33" s="129" t="str">
        <f>MID(H33,1,(LEN(H33)-VLOOKUP(K33,datos!$B$2:$C$12,2,0)))</f>
        <v>TCCN-PTE-PCH-CNP-APC</v>
      </c>
      <c r="J33" s="129" t="s">
        <v>4771</v>
      </c>
      <c r="K33" s="130">
        <f>VLOOKUP(LEN(SUBSTITUTE(H33,"-","")),datos!$A$1:$B$12,2,0)</f>
        <v>5</v>
      </c>
      <c r="L33" s="129" t="s">
        <v>4</v>
      </c>
      <c r="M33" s="129" t="s">
        <v>0</v>
      </c>
    </row>
    <row r="34" spans="1:13" x14ac:dyDescent="0.35">
      <c r="A34" s="137" t="s">
        <v>487</v>
      </c>
      <c r="B34" s="137" t="s">
        <v>3809</v>
      </c>
      <c r="C34" s="137" t="s">
        <v>3810</v>
      </c>
      <c r="D34" s="137" t="s">
        <v>3811</v>
      </c>
      <c r="E34" s="137" t="s">
        <v>3826</v>
      </c>
      <c r="F34" s="137" t="s">
        <v>3821</v>
      </c>
      <c r="G34" s="137"/>
      <c r="H34" s="82" t="str">
        <f t="shared" si="1"/>
        <v>TCCN-PTE-PCH-CNP-APC-SME-</v>
      </c>
      <c r="I34" s="137" t="str">
        <f>MID(H34,1,(LEN(H34)-VLOOKUP(K34,datos!$B$2:$C$12,2,0)))</f>
        <v>TCCN-PTE-PCH-CNP-APC-SME</v>
      </c>
      <c r="J34" s="137" t="s">
        <v>6276</v>
      </c>
      <c r="K34" s="139">
        <f>VLOOKUP(LEN(SUBSTITUTE(H34,"-","")),datos!$A$1:$B$12,2,0)</f>
        <v>6</v>
      </c>
      <c r="L34" s="137"/>
      <c r="M34" s="137" t="s">
        <v>0</v>
      </c>
    </row>
    <row r="35" spans="1:13" x14ac:dyDescent="0.35">
      <c r="A35" s="138" t="s">
        <v>487</v>
      </c>
      <c r="B35" s="138" t="s">
        <v>3809</v>
      </c>
      <c r="C35" s="138" t="s">
        <v>3810</v>
      </c>
      <c r="D35" s="138" t="s">
        <v>3811</v>
      </c>
      <c r="E35" s="138" t="s">
        <v>3826</v>
      </c>
      <c r="F35" s="138" t="s">
        <v>3821</v>
      </c>
      <c r="G35" s="138" t="s">
        <v>3827</v>
      </c>
      <c r="H35" s="81" t="str">
        <f t="shared" si="1"/>
        <v>TCCN-PTE-PCH-CNP-APC-SME-RUE</v>
      </c>
      <c r="I35" s="138" t="str">
        <f>MID(H35,1,(LEN(H35)-VLOOKUP(K35,datos!$B$2:$C$12,2,0)))</f>
        <v>TCCN-PTE-PCH-CNP-APC-SME-RUE</v>
      </c>
      <c r="J35" s="138" t="s">
        <v>6277</v>
      </c>
      <c r="K35" s="140">
        <f>VLOOKUP(LEN(SUBSTITUTE(H35,"-","")),datos!$A$1:$B$12,2,0)</f>
        <v>7</v>
      </c>
      <c r="L35" s="138"/>
      <c r="M35" s="138" t="s">
        <v>0</v>
      </c>
    </row>
    <row r="36" spans="1:13" x14ac:dyDescent="0.35">
      <c r="A36" s="138" t="s">
        <v>487</v>
      </c>
      <c r="B36" s="138" t="s">
        <v>3809</v>
      </c>
      <c r="C36" s="138" t="s">
        <v>3810</v>
      </c>
      <c r="D36" s="138" t="s">
        <v>3811</v>
      </c>
      <c r="E36" s="138" t="s">
        <v>3826</v>
      </c>
      <c r="F36" s="138" t="s">
        <v>3821</v>
      </c>
      <c r="G36" s="138" t="s">
        <v>3828</v>
      </c>
      <c r="H36" s="81" t="str">
        <f t="shared" si="1"/>
        <v>TCCN-PTE-PCH-CNP-APC-SME-PNN</v>
      </c>
      <c r="I36" s="138" t="str">
        <f>MID(H36,1,(LEN(H36)-VLOOKUP(K36,datos!$B$2:$C$12,2,0)))</f>
        <v>TCCN-PTE-PCH-CNP-APC-SME-PNN</v>
      </c>
      <c r="J36" s="138" t="s">
        <v>6278</v>
      </c>
      <c r="K36" s="140">
        <f>VLOOKUP(LEN(SUBSTITUTE(H36,"-","")),datos!$A$1:$B$12,2,0)</f>
        <v>7</v>
      </c>
      <c r="L36" s="138"/>
      <c r="M36" s="138" t="s">
        <v>0</v>
      </c>
    </row>
    <row r="37" spans="1:13" x14ac:dyDescent="0.35">
      <c r="A37" s="138" t="s">
        <v>487</v>
      </c>
      <c r="B37" s="138" t="s">
        <v>3809</v>
      </c>
      <c r="C37" s="138" t="s">
        <v>3810</v>
      </c>
      <c r="D37" s="138" t="s">
        <v>3811</v>
      </c>
      <c r="E37" s="138" t="s">
        <v>3826</v>
      </c>
      <c r="F37" s="138" t="s">
        <v>3821</v>
      </c>
      <c r="G37" s="138" t="s">
        <v>3829</v>
      </c>
      <c r="H37" s="81" t="str">
        <f t="shared" si="1"/>
        <v>TCCN-PTE-PCH-CNP-APC-SME-CZP</v>
      </c>
      <c r="I37" s="138" t="str">
        <f>MID(H37,1,(LEN(H37)-VLOOKUP(K37,datos!$B$2:$C$12,2,0)))</f>
        <v>TCCN-PTE-PCH-CNP-APC-SME-CZP</v>
      </c>
      <c r="J37" s="138" t="s">
        <v>6279</v>
      </c>
      <c r="K37" s="140">
        <f>VLOOKUP(LEN(SUBSTITUTE(H37,"-","")),datos!$A$1:$B$12,2,0)</f>
        <v>7</v>
      </c>
      <c r="L37" s="138"/>
      <c r="M37" s="138" t="s">
        <v>0</v>
      </c>
    </row>
    <row r="38" spans="1:13" x14ac:dyDescent="0.35">
      <c r="A38" s="138" t="s">
        <v>487</v>
      </c>
      <c r="B38" s="138" t="s">
        <v>3809</v>
      </c>
      <c r="C38" s="138" t="s">
        <v>3810</v>
      </c>
      <c r="D38" s="138" t="s">
        <v>3811</v>
      </c>
      <c r="E38" s="138" t="s">
        <v>3826</v>
      </c>
      <c r="F38" s="138" t="s">
        <v>3821</v>
      </c>
      <c r="G38" s="138" t="s">
        <v>3830</v>
      </c>
      <c r="H38" s="81" t="str">
        <f t="shared" si="1"/>
        <v>TCCN-PTE-PCH-CNP-APC-SME-PLA</v>
      </c>
      <c r="I38" s="138" t="str">
        <f>MID(H38,1,(LEN(H38)-VLOOKUP(K38,datos!$B$2:$C$12,2,0)))</f>
        <v>TCCN-PTE-PCH-CNP-APC-SME-PLA</v>
      </c>
      <c r="J38" s="138" t="s">
        <v>6280</v>
      </c>
      <c r="K38" s="140">
        <f>VLOOKUP(LEN(SUBSTITUTE(H38,"-","")),datos!$A$1:$B$12,2,0)</f>
        <v>7</v>
      </c>
      <c r="L38" s="138"/>
      <c r="M38" s="138" t="s">
        <v>0</v>
      </c>
    </row>
    <row r="39" spans="1:13" x14ac:dyDescent="0.35">
      <c r="A39" s="137" t="s">
        <v>487</v>
      </c>
      <c r="B39" s="137" t="s">
        <v>3809</v>
      </c>
      <c r="C39" s="137" t="s">
        <v>3810</v>
      </c>
      <c r="D39" s="137" t="s">
        <v>3811</v>
      </c>
      <c r="E39" s="137" t="s">
        <v>3826</v>
      </c>
      <c r="F39" s="137" t="s">
        <v>3831</v>
      </c>
      <c r="G39" s="137"/>
      <c r="H39" s="82" t="str">
        <f t="shared" si="1"/>
        <v>TCCN-PTE-PCH-CNP-APC-INS-</v>
      </c>
      <c r="I39" s="137" t="str">
        <f>MID(H39,1,(LEN(H39)-VLOOKUP(K39,datos!$B$2:$C$12,2,0)))</f>
        <v>TCCN-PTE-PCH-CNP-APC-INS</v>
      </c>
      <c r="J39" s="137" t="s">
        <v>6281</v>
      </c>
      <c r="K39" s="139">
        <f>VLOOKUP(LEN(SUBSTITUTE(H39,"-","")),datos!$A$1:$B$12,2,0)</f>
        <v>6</v>
      </c>
      <c r="L39" s="137"/>
      <c r="M39" s="137" t="s">
        <v>0</v>
      </c>
    </row>
    <row r="40" spans="1:13" x14ac:dyDescent="0.35">
      <c r="A40" s="138" t="s">
        <v>487</v>
      </c>
      <c r="B40" s="138" t="s">
        <v>3809</v>
      </c>
      <c r="C40" s="138" t="s">
        <v>3810</v>
      </c>
      <c r="D40" s="138" t="s">
        <v>3811</v>
      </c>
      <c r="E40" s="138" t="s">
        <v>3826</v>
      </c>
      <c r="F40" s="138" t="s">
        <v>3831</v>
      </c>
      <c r="G40" s="138" t="s">
        <v>3832</v>
      </c>
      <c r="H40" s="81" t="str">
        <f t="shared" si="1"/>
        <v>TCCN-PTE-PCH-CNP-APC-INS-PE1</v>
      </c>
      <c r="I40" s="138" t="str">
        <f>MID(H40,1,(LEN(H40)-VLOOKUP(K40,datos!$B$2:$C$12,2,0)))</f>
        <v>TCCN-PTE-PCH-CNP-APC-INS-PE1</v>
      </c>
      <c r="J40" s="138" t="s">
        <v>6738</v>
      </c>
      <c r="K40" s="140">
        <f>VLOOKUP(LEN(SUBSTITUTE(H40,"-","")),datos!$A$1:$B$12,2,0)</f>
        <v>7</v>
      </c>
      <c r="L40" s="138" t="s">
        <v>6750</v>
      </c>
      <c r="M40" s="138" t="s">
        <v>0</v>
      </c>
    </row>
    <row r="41" spans="1:13" x14ac:dyDescent="0.35">
      <c r="A41" s="138" t="s">
        <v>487</v>
      </c>
      <c r="B41" s="138" t="s">
        <v>3809</v>
      </c>
      <c r="C41" s="138" t="s">
        <v>3810</v>
      </c>
      <c r="D41" s="138" t="s">
        <v>3811</v>
      </c>
      <c r="E41" s="138" t="s">
        <v>3826</v>
      </c>
      <c r="F41" s="138" t="s">
        <v>3831</v>
      </c>
      <c r="G41" s="138" t="s">
        <v>6814</v>
      </c>
      <c r="H41" s="81" t="str">
        <f t="shared" si="1"/>
        <v>TCCN-PTE-PCH-CNP-APC-INS-SAM</v>
      </c>
      <c r="I41" s="138" t="str">
        <f>MID(H41,1,(LEN(H41)-VLOOKUP(K41,datos!$B$2:$C$12,2,0)))</f>
        <v>TCCN-PTE-PCH-CNP-APC-INS-SAM</v>
      </c>
      <c r="J41" s="138" t="s">
        <v>6733</v>
      </c>
      <c r="K41" s="140">
        <f>VLOOKUP(LEN(SUBSTITUTE(H41,"-","")),datos!$A$1:$B$12,2,0)</f>
        <v>7</v>
      </c>
      <c r="L41" s="138" t="s">
        <v>6761</v>
      </c>
      <c r="M41" s="138" t="s">
        <v>0</v>
      </c>
    </row>
    <row r="42" spans="1:13" x14ac:dyDescent="0.35">
      <c r="A42" s="138" t="s">
        <v>487</v>
      </c>
      <c r="B42" s="138" t="s">
        <v>3809</v>
      </c>
      <c r="C42" s="138" t="s">
        <v>3810</v>
      </c>
      <c r="D42" s="138" t="s">
        <v>3811</v>
      </c>
      <c r="E42" s="138" t="s">
        <v>3826</v>
      </c>
      <c r="F42" s="138" t="s">
        <v>3831</v>
      </c>
      <c r="G42" s="138" t="s">
        <v>5202</v>
      </c>
      <c r="H42" s="81" t="str">
        <f t="shared" si="1"/>
        <v>TCCN-PTE-PCH-CNP-APC-INS-MVD</v>
      </c>
      <c r="I42" s="138" t="str">
        <f>MID(H42,1,(LEN(H42)-VLOOKUP(K42,datos!$B$2:$C$12,2,0)))</f>
        <v>TCCN-PTE-PCH-CNP-APC-INS-MVD</v>
      </c>
      <c r="J42" s="138" t="s">
        <v>8110</v>
      </c>
      <c r="K42" s="140">
        <f>VLOOKUP(LEN(SUBSTITUTE(H42,"-","")),datos!$A$1:$B$12,2,0)</f>
        <v>7</v>
      </c>
      <c r="L42" s="138" t="s">
        <v>1533</v>
      </c>
      <c r="M42" s="138" t="s">
        <v>0</v>
      </c>
    </row>
    <row r="43" spans="1:13" x14ac:dyDescent="0.35">
      <c r="A43" s="138" t="s">
        <v>487</v>
      </c>
      <c r="B43" s="138" t="s">
        <v>3809</v>
      </c>
      <c r="C43" s="138" t="s">
        <v>3810</v>
      </c>
      <c r="D43" s="138" t="s">
        <v>3811</v>
      </c>
      <c r="E43" s="138" t="s">
        <v>3826</v>
      </c>
      <c r="F43" s="138" t="s">
        <v>3831</v>
      </c>
      <c r="G43" s="138" t="s">
        <v>7058</v>
      </c>
      <c r="H43" s="81" t="str">
        <f t="shared" si="1"/>
        <v>TCCN-PTE-PCH-CNP-APC-INS-MT1</v>
      </c>
      <c r="I43" s="138" t="str">
        <f>MID(H43,1,(LEN(H43)-VLOOKUP(K43,datos!$B$2:$C$12,2,0)))</f>
        <v>TCCN-PTE-PCH-CNP-APC-INS-MT1</v>
      </c>
      <c r="J43" s="138" t="s">
        <v>8061</v>
      </c>
      <c r="K43" s="140">
        <f>VLOOKUP(LEN(SUBSTITUTE(H43,"-","")),datos!$A$1:$B$12,2,0)</f>
        <v>7</v>
      </c>
      <c r="L43" s="138" t="s">
        <v>1537</v>
      </c>
      <c r="M43" s="138" t="s">
        <v>0</v>
      </c>
    </row>
    <row r="44" spans="1:13" x14ac:dyDescent="0.35">
      <c r="A44" s="138" t="s">
        <v>487</v>
      </c>
      <c r="B44" s="138" t="s">
        <v>3809</v>
      </c>
      <c r="C44" s="138" t="s">
        <v>3810</v>
      </c>
      <c r="D44" s="138" t="s">
        <v>3811</v>
      </c>
      <c r="E44" s="138" t="s">
        <v>3826</v>
      </c>
      <c r="F44" s="138" t="s">
        <v>3831</v>
      </c>
      <c r="G44" s="138" t="s">
        <v>7059</v>
      </c>
      <c r="H44" s="81" t="str">
        <f t="shared" si="1"/>
        <v>TCCN-PTE-PCH-CNP-APC-INS-MT2</v>
      </c>
      <c r="I44" s="138" t="str">
        <f>MID(H44,1,(LEN(H44)-VLOOKUP(K44,datos!$B$2:$C$12,2,0)))</f>
        <v>TCCN-PTE-PCH-CNP-APC-INS-MT2</v>
      </c>
      <c r="J44" s="138" t="s">
        <v>8062</v>
      </c>
      <c r="K44" s="140">
        <f>VLOOKUP(LEN(SUBSTITUTE(H44,"-","")),datos!$A$1:$B$12,2,0)</f>
        <v>7</v>
      </c>
      <c r="L44" s="138" t="s">
        <v>1539</v>
      </c>
      <c r="M44" s="138" t="s">
        <v>0</v>
      </c>
    </row>
    <row r="45" spans="1:13" x14ac:dyDescent="0.35">
      <c r="A45" s="138" t="s">
        <v>487</v>
      </c>
      <c r="B45" s="138" t="s">
        <v>3809</v>
      </c>
      <c r="C45" s="138" t="s">
        <v>3810</v>
      </c>
      <c r="D45" s="138" t="s">
        <v>3811</v>
      </c>
      <c r="E45" s="138" t="s">
        <v>3826</v>
      </c>
      <c r="F45" s="138" t="s">
        <v>3831</v>
      </c>
      <c r="G45" s="138" t="s">
        <v>4088</v>
      </c>
      <c r="H45" s="81" t="str">
        <f t="shared" si="1"/>
        <v>TCCN-PTE-PCH-CNP-APC-INS-BYB</v>
      </c>
      <c r="I45" s="138" t="str">
        <f>MID(H45,1,(LEN(H45)-VLOOKUP(K45,datos!$B$2:$C$12,2,0)))</f>
        <v>TCCN-PTE-PCH-CNP-APC-INS-BYB</v>
      </c>
      <c r="J45" s="138" t="s">
        <v>6756</v>
      </c>
      <c r="K45" s="140">
        <f>VLOOKUP(LEN(SUBSTITUTE(H45,"-","")),datos!$A$1:$B$12,2,0)</f>
        <v>7</v>
      </c>
      <c r="L45" s="138" t="s">
        <v>6751</v>
      </c>
      <c r="M45" s="138" t="s">
        <v>0</v>
      </c>
    </row>
    <row r="46" spans="1:13" x14ac:dyDescent="0.35">
      <c r="A46" s="137" t="s">
        <v>487</v>
      </c>
      <c r="B46" s="137" t="s">
        <v>3809</v>
      </c>
      <c r="C46" s="137" t="s">
        <v>3810</v>
      </c>
      <c r="D46" s="137" t="s">
        <v>3811</v>
      </c>
      <c r="E46" s="137" t="s">
        <v>3826</v>
      </c>
      <c r="F46" s="137" t="s">
        <v>3836</v>
      </c>
      <c r="G46" s="137"/>
      <c r="H46" s="82" t="str">
        <f t="shared" si="1"/>
        <v>TCCN-PTE-PCH-CNP-APC-SLU-</v>
      </c>
      <c r="I46" s="137" t="str">
        <f>MID(H46,1,(LEN(H46)-VLOOKUP(K46,datos!$B$2:$C$12,2,0)))</f>
        <v>TCCN-PTE-PCH-CNP-APC-SLU</v>
      </c>
      <c r="J46" s="137" t="s">
        <v>6282</v>
      </c>
      <c r="K46" s="139">
        <f>VLOOKUP(LEN(SUBSTITUTE(H46,"-","")),datos!$A$1:$B$12,2,0)</f>
        <v>6</v>
      </c>
      <c r="L46" s="137" t="s">
        <v>10</v>
      </c>
      <c r="M46" s="137" t="s">
        <v>0</v>
      </c>
    </row>
    <row r="47" spans="1:13" x14ac:dyDescent="0.35">
      <c r="A47" s="138" t="s">
        <v>487</v>
      </c>
      <c r="B47" s="138" t="s">
        <v>3809</v>
      </c>
      <c r="C47" s="138" t="s">
        <v>3810</v>
      </c>
      <c r="D47" s="138" t="s">
        <v>3811</v>
      </c>
      <c r="E47" s="138" t="s">
        <v>3826</v>
      </c>
      <c r="F47" s="138" t="s">
        <v>3836</v>
      </c>
      <c r="G47" s="138" t="s">
        <v>3818</v>
      </c>
      <c r="H47" s="81" t="str">
        <f t="shared" si="1"/>
        <v>TCCN-PTE-PCH-CNP-APC-SLU-BBA</v>
      </c>
      <c r="I47" s="138" t="str">
        <f>MID(H47,1,(LEN(H47)-VLOOKUP(K47,datos!$B$2:$C$12,2,0)))</f>
        <v>TCCN-PTE-PCH-CNP-APC-SLU-BBA</v>
      </c>
      <c r="J47" s="138" t="s">
        <v>6283</v>
      </c>
      <c r="K47" s="140">
        <f>VLOOKUP(LEN(SUBSTITUTE(H47,"-","")),datos!$A$1:$B$12,2,0)</f>
        <v>7</v>
      </c>
      <c r="L47" s="138"/>
      <c r="M47" s="138" t="s">
        <v>0</v>
      </c>
    </row>
    <row r="48" spans="1:13" x14ac:dyDescent="0.35">
      <c r="A48" s="138" t="s">
        <v>487</v>
      </c>
      <c r="B48" s="138" t="s">
        <v>3809</v>
      </c>
      <c r="C48" s="138" t="s">
        <v>3810</v>
      </c>
      <c r="D48" s="138" t="s">
        <v>3811</v>
      </c>
      <c r="E48" s="138" t="s">
        <v>3826</v>
      </c>
      <c r="F48" s="138" t="s">
        <v>3836</v>
      </c>
      <c r="G48" s="138" t="s">
        <v>3819</v>
      </c>
      <c r="H48" s="81" t="str">
        <f t="shared" si="1"/>
        <v>TCCN-PTE-PCH-CNP-APC-SLU-MOE</v>
      </c>
      <c r="I48" s="138" t="str">
        <f>MID(H48,1,(LEN(H48)-VLOOKUP(K48,datos!$B$2:$C$12,2,0)))</f>
        <v>TCCN-PTE-PCH-CNP-APC-SLU-MOE</v>
      </c>
      <c r="J48" s="138" t="s">
        <v>6284</v>
      </c>
      <c r="K48" s="140">
        <f>VLOOKUP(LEN(SUBSTITUTE(H48,"-","")),datos!$A$1:$B$12,2,0)</f>
        <v>7</v>
      </c>
      <c r="L48" s="138" t="s">
        <v>1582</v>
      </c>
      <c r="M48" s="138" t="s">
        <v>0</v>
      </c>
    </row>
    <row r="49" spans="1:13" x14ac:dyDescent="0.35">
      <c r="A49" s="138" t="s">
        <v>487</v>
      </c>
      <c r="B49" s="138" t="s">
        <v>3809</v>
      </c>
      <c r="C49" s="138" t="s">
        <v>3810</v>
      </c>
      <c r="D49" s="138" t="s">
        <v>3811</v>
      </c>
      <c r="E49" s="138" t="s">
        <v>3826</v>
      </c>
      <c r="F49" s="138" t="s">
        <v>3836</v>
      </c>
      <c r="G49" s="138" t="s">
        <v>3837</v>
      </c>
      <c r="H49" s="81" t="str">
        <f t="shared" si="1"/>
        <v>TCCN-PTE-PCH-CNP-APC-SLU-MNF</v>
      </c>
      <c r="I49" s="138" t="str">
        <f>MID(H49,1,(LEN(H49)-VLOOKUP(K49,datos!$B$2:$C$12,2,0)))</f>
        <v>TCCN-PTE-PCH-CNP-APC-SLU-MNF</v>
      </c>
      <c r="J49" s="138" t="s">
        <v>6286</v>
      </c>
      <c r="K49" s="140">
        <f>VLOOKUP(LEN(SUBSTITUTE(H49,"-","")),datos!$A$1:$B$12,2,0)</f>
        <v>7</v>
      </c>
      <c r="L49" s="138"/>
      <c r="M49" s="138" t="s">
        <v>0</v>
      </c>
    </row>
    <row r="50" spans="1:13" x14ac:dyDescent="0.35">
      <c r="A50" s="138" t="s">
        <v>487</v>
      </c>
      <c r="B50" s="138" t="s">
        <v>3809</v>
      </c>
      <c r="C50" s="138" t="s">
        <v>3810</v>
      </c>
      <c r="D50" s="138" t="s">
        <v>3811</v>
      </c>
      <c r="E50" s="138" t="s">
        <v>3826</v>
      </c>
      <c r="F50" s="138" t="s">
        <v>3836</v>
      </c>
      <c r="G50" s="138" t="s">
        <v>5256</v>
      </c>
      <c r="H50" s="81" t="str">
        <f t="shared" si="1"/>
        <v>TCCN-PTE-PCH-CNP-APC-SLU-MNV</v>
      </c>
      <c r="I50" s="138" t="str">
        <f>MID(H50,1,(LEN(H50)-VLOOKUP(K50,datos!$B$2:$C$12,2,0)))</f>
        <v>TCCN-PTE-PCH-CNP-APC-SLU-MNV</v>
      </c>
      <c r="J50" s="138" t="s">
        <v>7600</v>
      </c>
      <c r="K50" s="140">
        <f>VLOOKUP(LEN(SUBSTITUTE(H50,"-","")),datos!$A$1:$B$12,2,0)</f>
        <v>7</v>
      </c>
      <c r="L50" s="138"/>
      <c r="M50" s="138" t="s">
        <v>0</v>
      </c>
    </row>
    <row r="51" spans="1:13" x14ac:dyDescent="0.35">
      <c r="A51" s="138" t="s">
        <v>487</v>
      </c>
      <c r="B51" s="138" t="s">
        <v>3809</v>
      </c>
      <c r="C51" s="138" t="s">
        <v>3810</v>
      </c>
      <c r="D51" s="138" t="s">
        <v>3811</v>
      </c>
      <c r="E51" s="138" t="s">
        <v>3826</v>
      </c>
      <c r="F51" s="138" t="s">
        <v>3836</v>
      </c>
      <c r="G51" s="138" t="s">
        <v>3838</v>
      </c>
      <c r="H51" s="81" t="str">
        <f t="shared" si="1"/>
        <v>TCCN-PTE-PCH-CNP-APC-SLU-SSS</v>
      </c>
      <c r="I51" s="138" t="str">
        <f>MID(H51,1,(LEN(H51)-VLOOKUP(K51,datos!$B$2:$C$12,2,0)))</f>
        <v>TCCN-PTE-PCH-CNP-APC-SLU-SSS</v>
      </c>
      <c r="J51" s="138" t="s">
        <v>6285</v>
      </c>
      <c r="K51" s="140">
        <f>VLOOKUP(LEN(SUBSTITUTE(H51,"-","")),datos!$A$1:$B$12,2,0)</f>
        <v>7</v>
      </c>
      <c r="L51" s="138"/>
      <c r="M51" s="138" t="s">
        <v>0</v>
      </c>
    </row>
    <row r="52" spans="1:13" x14ac:dyDescent="0.35">
      <c r="A52" s="137" t="s">
        <v>487</v>
      </c>
      <c r="B52" s="137" t="s">
        <v>3809</v>
      </c>
      <c r="C52" s="137" t="s">
        <v>3810</v>
      </c>
      <c r="D52" s="137" t="s">
        <v>3811</v>
      </c>
      <c r="E52" s="137" t="s">
        <v>3826</v>
      </c>
      <c r="F52" s="137" t="s">
        <v>3816</v>
      </c>
      <c r="G52" s="137"/>
      <c r="H52" s="82" t="str">
        <f t="shared" si="1"/>
        <v>TCCN-PTE-PCH-CNP-APC-SHI-</v>
      </c>
      <c r="I52" s="137" t="str">
        <f>MID(H52,1,(LEN(H52)-VLOOKUP(K52,datos!$B$2:$C$12,2,0)))</f>
        <v>TCCN-PTE-PCH-CNP-APC-SHI</v>
      </c>
      <c r="J52" s="137" t="s">
        <v>6287</v>
      </c>
      <c r="K52" s="139">
        <f>VLOOKUP(LEN(SUBSTITUTE(H52,"-","")),datos!$A$1:$B$12,2,0)</f>
        <v>6</v>
      </c>
      <c r="L52" s="137" t="s">
        <v>489</v>
      </c>
      <c r="M52" s="137" t="s">
        <v>0</v>
      </c>
    </row>
    <row r="53" spans="1:13" x14ac:dyDescent="0.35">
      <c r="A53" s="138" t="s">
        <v>487</v>
      </c>
      <c r="B53" s="138" t="s">
        <v>3809</v>
      </c>
      <c r="C53" s="138" t="s">
        <v>3810</v>
      </c>
      <c r="D53" s="138" t="s">
        <v>3811</v>
      </c>
      <c r="E53" s="138" t="s">
        <v>3826</v>
      </c>
      <c r="F53" s="138" t="s">
        <v>3816</v>
      </c>
      <c r="G53" s="138" t="s">
        <v>4042</v>
      </c>
      <c r="H53" s="81" t="str">
        <f t="shared" ref="H53" si="4">CONCATENATE(A53,"-",B53,"-",C53,"-",D53,"-",E53,"-",F53,"-",G53)</f>
        <v>TCCN-PTE-PCH-CNP-APC-SHI-MHD</v>
      </c>
      <c r="I53" s="138" t="str">
        <f>MID(H53,1,(LEN(H53)-VLOOKUP(K53,datos!$B$2:$C$12,2,0)))</f>
        <v>TCCN-PTE-PCH-CNP-APC-SHI-MHD</v>
      </c>
      <c r="J53" s="138" t="s">
        <v>8184</v>
      </c>
      <c r="K53" s="140">
        <f>VLOOKUP(LEN(SUBSTITUTE(H53,"-","")),datos!$A$1:$B$12,2,0)</f>
        <v>7</v>
      </c>
      <c r="L53" s="138"/>
      <c r="M53" s="138" t="s">
        <v>0</v>
      </c>
    </row>
    <row r="54" spans="1:13" x14ac:dyDescent="0.35">
      <c r="A54" s="138" t="s">
        <v>487</v>
      </c>
      <c r="B54" s="138" t="s">
        <v>3809</v>
      </c>
      <c r="C54" s="138" t="s">
        <v>3810</v>
      </c>
      <c r="D54" s="138" t="s">
        <v>3811</v>
      </c>
      <c r="E54" s="138" t="s">
        <v>3826</v>
      </c>
      <c r="F54" s="138" t="s">
        <v>3816</v>
      </c>
      <c r="G54" s="138" t="s">
        <v>3818</v>
      </c>
      <c r="H54" s="81" t="str">
        <f t="shared" si="1"/>
        <v>TCCN-PTE-PCH-CNP-APC-SHI-BBA</v>
      </c>
      <c r="I54" s="138" t="str">
        <f>MID(H54,1,(LEN(H54)-VLOOKUP(K54,datos!$B$2:$C$12,2,0)))</f>
        <v>TCCN-PTE-PCH-CNP-APC-SHI-BBA</v>
      </c>
      <c r="J54" s="138" t="s">
        <v>6288</v>
      </c>
      <c r="K54" s="140">
        <f>VLOOKUP(LEN(SUBSTITUTE(H54,"-","")),datos!$A$1:$B$12,2,0)</f>
        <v>7</v>
      </c>
      <c r="L54" s="138"/>
      <c r="M54" s="138" t="s">
        <v>0</v>
      </c>
    </row>
    <row r="55" spans="1:13" x14ac:dyDescent="0.35">
      <c r="A55" s="138" t="s">
        <v>487</v>
      </c>
      <c r="B55" s="138" t="s">
        <v>3809</v>
      </c>
      <c r="C55" s="138" t="s">
        <v>3810</v>
      </c>
      <c r="D55" s="138" t="s">
        <v>3811</v>
      </c>
      <c r="E55" s="138" t="s">
        <v>3826</v>
      </c>
      <c r="F55" s="138" t="s">
        <v>3816</v>
      </c>
      <c r="G55" s="138" t="s">
        <v>4095</v>
      </c>
      <c r="H55" s="81" t="str">
        <f t="shared" si="1"/>
        <v>TCCN-PTE-PCH-CNP-APC-SHI-ACU</v>
      </c>
      <c r="I55" s="138" t="str">
        <f>MID(H55,1,(LEN(H55)-VLOOKUP(K55,datos!$B$2:$C$12,2,0)))</f>
        <v>TCCN-PTE-PCH-CNP-APC-SHI-ACU</v>
      </c>
      <c r="J55" s="138" t="s">
        <v>6289</v>
      </c>
      <c r="K55" s="140">
        <f>VLOOKUP(LEN(SUBSTITUTE(H55,"-","")),datos!$A$1:$B$12,2,0)</f>
        <v>7</v>
      </c>
      <c r="L55" s="138"/>
      <c r="M55" s="138" t="s">
        <v>0</v>
      </c>
    </row>
    <row r="56" spans="1:13" x14ac:dyDescent="0.35">
      <c r="A56" s="138" t="s">
        <v>487</v>
      </c>
      <c r="B56" s="138" t="s">
        <v>3809</v>
      </c>
      <c r="C56" s="138" t="s">
        <v>3810</v>
      </c>
      <c r="D56" s="138" t="s">
        <v>3811</v>
      </c>
      <c r="E56" s="138" t="s">
        <v>3826</v>
      </c>
      <c r="F56" s="138" t="s">
        <v>3816</v>
      </c>
      <c r="G56" s="138" t="s">
        <v>3853</v>
      </c>
      <c r="H56" s="81" t="str">
        <f t="shared" si="1"/>
        <v>TCCN-PTE-PCH-CNP-APC-SHI-EST</v>
      </c>
      <c r="I56" s="138" t="str">
        <f>MID(H56,1,(LEN(H56)-VLOOKUP(K56,datos!$B$2:$C$12,2,0)))</f>
        <v>TCCN-PTE-PCH-CNP-APC-SHI-EST</v>
      </c>
      <c r="J56" s="138" t="s">
        <v>6290</v>
      </c>
      <c r="K56" s="140">
        <f>VLOOKUP(LEN(SUBSTITUTE(H56,"-","")),datos!$A$1:$B$12,2,0)</f>
        <v>7</v>
      </c>
      <c r="L56" s="138"/>
      <c r="M56" s="138" t="s">
        <v>0</v>
      </c>
    </row>
    <row r="57" spans="1:13" x14ac:dyDescent="0.35">
      <c r="A57" s="138" t="s">
        <v>487</v>
      </c>
      <c r="B57" s="138" t="s">
        <v>3809</v>
      </c>
      <c r="C57" s="138" t="s">
        <v>3810</v>
      </c>
      <c r="D57" s="138" t="s">
        <v>3811</v>
      </c>
      <c r="E57" s="138" t="s">
        <v>3826</v>
      </c>
      <c r="F57" s="138" t="s">
        <v>3816</v>
      </c>
      <c r="G57" s="138" t="s">
        <v>3839</v>
      </c>
      <c r="H57" s="81" t="str">
        <f t="shared" si="1"/>
        <v>TCCN-PTE-PCH-CNP-APC-SHI-MO1</v>
      </c>
      <c r="I57" s="138" t="str">
        <f>MID(H57,1,(LEN(H57)-VLOOKUP(K57,datos!$B$2:$C$12,2,0)))</f>
        <v>TCCN-PTE-PCH-CNP-APC-SHI-MO1</v>
      </c>
      <c r="J57" s="138" t="s">
        <v>6291</v>
      </c>
      <c r="K57" s="140">
        <f>VLOOKUP(LEN(SUBSTITUTE(H57,"-","")),datos!$A$1:$B$12,2,0)</f>
        <v>7</v>
      </c>
      <c r="L57" s="138" t="s">
        <v>5480</v>
      </c>
      <c r="M57" s="138" t="s">
        <v>0</v>
      </c>
    </row>
    <row r="58" spans="1:13" x14ac:dyDescent="0.35">
      <c r="A58" s="138" t="s">
        <v>487</v>
      </c>
      <c r="B58" s="138" t="s">
        <v>3809</v>
      </c>
      <c r="C58" s="138" t="s">
        <v>3810</v>
      </c>
      <c r="D58" s="138" t="s">
        <v>3811</v>
      </c>
      <c r="E58" s="138" t="s">
        <v>3826</v>
      </c>
      <c r="F58" s="138" t="s">
        <v>3816</v>
      </c>
      <c r="G58" s="138" t="s">
        <v>3840</v>
      </c>
      <c r="H58" s="81" t="str">
        <f t="shared" si="1"/>
        <v>TCCN-PTE-PCH-CNP-APC-SHI-MO2</v>
      </c>
      <c r="I58" s="138" t="str">
        <f>MID(H58,1,(LEN(H58)-VLOOKUP(K58,datos!$B$2:$C$12,2,0)))</f>
        <v>TCCN-PTE-PCH-CNP-APC-SHI-MO2</v>
      </c>
      <c r="J58" s="138" t="s">
        <v>6719</v>
      </c>
      <c r="K58" s="140">
        <f>VLOOKUP(LEN(SUBSTITUTE(H58,"-","")),datos!$A$1:$B$12,2,0)</f>
        <v>7</v>
      </c>
      <c r="L58" s="138" t="s">
        <v>5479</v>
      </c>
      <c r="M58" s="138" t="s">
        <v>0</v>
      </c>
    </row>
    <row r="59" spans="1:13" x14ac:dyDescent="0.35">
      <c r="A59" s="138" t="s">
        <v>487</v>
      </c>
      <c r="B59" s="138" t="s">
        <v>3809</v>
      </c>
      <c r="C59" s="138" t="s">
        <v>3810</v>
      </c>
      <c r="D59" s="138" t="s">
        <v>3811</v>
      </c>
      <c r="E59" s="138" t="s">
        <v>3826</v>
      </c>
      <c r="F59" s="138" t="s">
        <v>3816</v>
      </c>
      <c r="G59" s="138" t="s">
        <v>3841</v>
      </c>
      <c r="H59" s="81" t="str">
        <f t="shared" si="1"/>
        <v>TCCN-PTE-PCH-CNP-APC-SHI-MO3</v>
      </c>
      <c r="I59" s="138" t="str">
        <f>MID(H59,1,(LEN(H59)-VLOOKUP(K59,datos!$B$2:$C$12,2,0)))</f>
        <v>TCCN-PTE-PCH-CNP-APC-SHI-MO3</v>
      </c>
      <c r="J59" s="138" t="s">
        <v>5488</v>
      </c>
      <c r="K59" s="140">
        <f>VLOOKUP(LEN(SUBSTITUTE(H59,"-","")),datos!$A$1:$B$12,2,0)</f>
        <v>7</v>
      </c>
      <c r="L59" s="138" t="s">
        <v>5483</v>
      </c>
      <c r="M59" s="138" t="s">
        <v>0</v>
      </c>
    </row>
    <row r="60" spans="1:13" x14ac:dyDescent="0.35">
      <c r="A60" s="138" t="s">
        <v>487</v>
      </c>
      <c r="B60" s="138" t="s">
        <v>3809</v>
      </c>
      <c r="C60" s="138" t="s">
        <v>3810</v>
      </c>
      <c r="D60" s="138" t="s">
        <v>3811</v>
      </c>
      <c r="E60" s="138" t="s">
        <v>3826</v>
      </c>
      <c r="F60" s="138" t="s">
        <v>3816</v>
      </c>
      <c r="G60" s="138" t="s">
        <v>5484</v>
      </c>
      <c r="H60" s="81" t="str">
        <f t="shared" ref="H60" si="5">CONCATENATE(A60,"-",B60,"-",C60,"-",D60,"-",E60,"-",F60,"-",G60)</f>
        <v>TCCN-PTE-PCH-CNP-APC-SHI-EMA</v>
      </c>
      <c r="I60" s="138" t="str">
        <f>MID(H60,1,(LEN(H60)-VLOOKUP(K60,datos!$B$2:$C$12,2,0)))</f>
        <v>TCCN-PTE-PCH-CNP-APC-SHI-EMA</v>
      </c>
      <c r="J60" s="138" t="s">
        <v>6292</v>
      </c>
      <c r="K60" s="140">
        <f>VLOOKUP(LEN(SUBSTITUTE(H60,"-","")),datos!$A$1:$B$12,2,0)</f>
        <v>7</v>
      </c>
      <c r="L60" s="138" t="s">
        <v>5481</v>
      </c>
      <c r="M60" s="138" t="s">
        <v>0</v>
      </c>
    </row>
    <row r="61" spans="1:13" x14ac:dyDescent="0.35">
      <c r="A61" s="138" t="s">
        <v>487</v>
      </c>
      <c r="B61" s="138" t="s">
        <v>3809</v>
      </c>
      <c r="C61" s="138" t="s">
        <v>3810</v>
      </c>
      <c r="D61" s="138" t="s">
        <v>3811</v>
      </c>
      <c r="E61" s="138" t="s">
        <v>3826</v>
      </c>
      <c r="F61" s="138" t="s">
        <v>3816</v>
      </c>
      <c r="G61" s="138" t="s">
        <v>3820</v>
      </c>
      <c r="H61" s="81" t="str">
        <f t="shared" si="1"/>
        <v>TCCN-PTE-PCH-CNP-APC-SHI-CUH</v>
      </c>
      <c r="I61" s="138" t="str">
        <f>MID(H61,1,(LEN(H61)-VLOOKUP(K61,datos!$B$2:$C$12,2,0)))</f>
        <v>TCCN-PTE-PCH-CNP-APC-SHI-CUH</v>
      </c>
      <c r="J61" s="138" t="s">
        <v>6293</v>
      </c>
      <c r="K61" s="140">
        <f>VLOOKUP(LEN(SUBSTITUTE(H61,"-","")),datos!$A$1:$B$12,2,0)</f>
        <v>7</v>
      </c>
      <c r="L61" s="138" t="s">
        <v>5482</v>
      </c>
      <c r="M61" s="138" t="s">
        <v>0</v>
      </c>
    </row>
    <row r="62" spans="1:13" x14ac:dyDescent="0.35">
      <c r="A62" s="138" t="s">
        <v>487</v>
      </c>
      <c r="B62" s="138" t="s">
        <v>3809</v>
      </c>
      <c r="C62" s="138" t="s">
        <v>3810</v>
      </c>
      <c r="D62" s="138" t="s">
        <v>3811</v>
      </c>
      <c r="E62" s="138" t="s">
        <v>3826</v>
      </c>
      <c r="F62" s="138" t="s">
        <v>3816</v>
      </c>
      <c r="G62" s="138" t="s">
        <v>3946</v>
      </c>
      <c r="H62" s="81" t="str">
        <f t="shared" ref="H62" si="6">CONCATENATE(A62,"-",B62,"-",C62,"-",D62,"-",E62,"-",F62,"-",G62)</f>
        <v>TCCN-PTE-PCH-CNP-APC-SHI-ENF</v>
      </c>
      <c r="I62" s="138" t="str">
        <f>MID(H62,1,(LEN(H62)-VLOOKUP(K62,datos!$B$2:$C$12,2,0)))</f>
        <v>TCCN-PTE-PCH-CNP-APC-SHI-ENF</v>
      </c>
      <c r="J62" s="138" t="s">
        <v>6294</v>
      </c>
      <c r="K62" s="140">
        <f>VLOOKUP(LEN(SUBSTITUTE(H62,"-","")),datos!$A$1:$B$12,2,0)</f>
        <v>7</v>
      </c>
      <c r="L62" s="138" t="s">
        <v>5478</v>
      </c>
      <c r="M62" s="138" t="s">
        <v>0</v>
      </c>
    </row>
    <row r="63" spans="1:13" x14ac:dyDescent="0.35">
      <c r="A63" s="138" t="s">
        <v>487</v>
      </c>
      <c r="B63" s="138" t="s">
        <v>3809</v>
      </c>
      <c r="C63" s="138" t="s">
        <v>3810</v>
      </c>
      <c r="D63" s="138" t="s">
        <v>3811</v>
      </c>
      <c r="E63" s="138" t="s">
        <v>3826</v>
      </c>
      <c r="F63" s="138" t="s">
        <v>3816</v>
      </c>
      <c r="G63" s="138" t="s">
        <v>7060</v>
      </c>
      <c r="H63" s="81" t="str">
        <f t="shared" si="1"/>
        <v>TCCN-PTE-PCH-CNP-APC-SHI-MTP</v>
      </c>
      <c r="I63" s="138" t="str">
        <f>MID(H63,1,(LEN(H63)-VLOOKUP(K63,datos!$B$2:$C$12,2,0)))</f>
        <v>TCCN-PTE-PCH-CNP-APC-SHI-MTP</v>
      </c>
      <c r="J63" s="138" t="s">
        <v>8065</v>
      </c>
      <c r="K63" s="140">
        <f>VLOOKUP(LEN(SUBSTITUTE(H63,"-","")),datos!$A$1:$B$12,2,0)</f>
        <v>7</v>
      </c>
      <c r="L63" s="138" t="s">
        <v>1541</v>
      </c>
      <c r="M63" s="138" t="s">
        <v>0</v>
      </c>
    </row>
    <row r="64" spans="1:13" x14ac:dyDescent="0.35">
      <c r="A64" s="138" t="s">
        <v>487</v>
      </c>
      <c r="B64" s="138" t="s">
        <v>3809</v>
      </c>
      <c r="C64" s="138" t="s">
        <v>3810</v>
      </c>
      <c r="D64" s="138" t="s">
        <v>3811</v>
      </c>
      <c r="E64" s="138" t="s">
        <v>3826</v>
      </c>
      <c r="F64" s="138" t="s">
        <v>3816</v>
      </c>
      <c r="G64" s="138" t="s">
        <v>5256</v>
      </c>
      <c r="H64" s="81" t="str">
        <f t="shared" si="1"/>
        <v>TCCN-PTE-PCH-CNP-APC-SHI-MNV</v>
      </c>
      <c r="I64" s="138" t="str">
        <f>MID(H64,1,(LEN(H64)-VLOOKUP(K64,datos!$B$2:$C$12,2,0)))</f>
        <v>TCCN-PTE-PCH-CNP-APC-SHI-MNV</v>
      </c>
      <c r="J64" s="138" t="s">
        <v>7601</v>
      </c>
      <c r="K64" s="140">
        <f>VLOOKUP(LEN(SUBSTITUTE(H64,"-","")),datos!$A$1:$B$12,2,0)</f>
        <v>7</v>
      </c>
      <c r="L64" s="138" t="s">
        <v>1543</v>
      </c>
      <c r="M64" s="138" t="s">
        <v>0</v>
      </c>
    </row>
    <row r="65" spans="1:13" x14ac:dyDescent="0.35">
      <c r="A65" s="137" t="s">
        <v>487</v>
      </c>
      <c r="B65" s="137" t="s">
        <v>3809</v>
      </c>
      <c r="C65" s="137" t="s">
        <v>3810</v>
      </c>
      <c r="D65" s="137" t="s">
        <v>3811</v>
      </c>
      <c r="E65" s="137" t="s">
        <v>3826</v>
      </c>
      <c r="F65" s="137" t="s">
        <v>3824</v>
      </c>
      <c r="G65" s="137"/>
      <c r="H65" s="82" t="str">
        <f t="shared" si="1"/>
        <v>TCCN-PTE-PCH-CNP-APC-SES-</v>
      </c>
      <c r="I65" s="137" t="str">
        <f>MID(H65,1,(LEN(H65)-VLOOKUP(K65,datos!$B$2:$C$12,2,0)))</f>
        <v>TCCN-PTE-PCH-CNP-APC-SES</v>
      </c>
      <c r="J65" s="137" t="s">
        <v>5477</v>
      </c>
      <c r="K65" s="139">
        <f>VLOOKUP(LEN(SUBSTITUTE(H65,"-","")),datos!$A$1:$B$12,2,0)</f>
        <v>6</v>
      </c>
      <c r="L65" s="137"/>
      <c r="M65" s="137" t="s">
        <v>0</v>
      </c>
    </row>
    <row r="66" spans="1:13" x14ac:dyDescent="0.35">
      <c r="A66" s="138" t="s">
        <v>487</v>
      </c>
      <c r="B66" s="138" t="s">
        <v>3809</v>
      </c>
      <c r="C66" s="138" t="s">
        <v>3810</v>
      </c>
      <c r="D66" s="138" t="s">
        <v>3811</v>
      </c>
      <c r="E66" s="138" t="s">
        <v>3826</v>
      </c>
      <c r="F66" s="138" t="s">
        <v>3824</v>
      </c>
      <c r="G66" s="138" t="s">
        <v>3842</v>
      </c>
      <c r="H66" s="81" t="str">
        <f t="shared" si="1"/>
        <v>TCCN-PTE-PCH-CNP-APC-SES-CH1</v>
      </c>
      <c r="I66" s="138" t="str">
        <f>MID(H66,1,(LEN(H66)-VLOOKUP(K66,datos!$B$2:$C$12,2,0)))</f>
        <v>TCCN-PTE-PCH-CNP-APC-SES-CH1</v>
      </c>
      <c r="J66" s="138" t="s">
        <v>6295</v>
      </c>
      <c r="K66" s="140">
        <f>VLOOKUP(LEN(SUBSTITUTE(H66,"-","")),datos!$A$1:$B$12,2,0)</f>
        <v>7</v>
      </c>
      <c r="L66" s="138" t="s">
        <v>6</v>
      </c>
      <c r="M66" s="138" t="s">
        <v>0</v>
      </c>
    </row>
    <row r="67" spans="1:13" x14ac:dyDescent="0.35">
      <c r="A67" s="138" t="s">
        <v>487</v>
      </c>
      <c r="B67" s="138" t="s">
        <v>3809</v>
      </c>
      <c r="C67" s="138" t="s">
        <v>3810</v>
      </c>
      <c r="D67" s="138" t="s">
        <v>3811</v>
      </c>
      <c r="E67" s="138" t="s">
        <v>3826</v>
      </c>
      <c r="F67" s="138" t="s">
        <v>3824</v>
      </c>
      <c r="G67" s="138" t="s">
        <v>3843</v>
      </c>
      <c r="H67" s="81" t="str">
        <f t="shared" si="1"/>
        <v>TCCN-PTE-PCH-CNP-APC-SES-CH2</v>
      </c>
      <c r="I67" s="138" t="str">
        <f>MID(H67,1,(LEN(H67)-VLOOKUP(K67,datos!$B$2:$C$12,2,0)))</f>
        <v>TCCN-PTE-PCH-CNP-APC-SES-CH2</v>
      </c>
      <c r="J67" s="138" t="s">
        <v>6296</v>
      </c>
      <c r="K67" s="140">
        <f>VLOOKUP(LEN(SUBSTITUTE(H67,"-","")),datos!$A$1:$B$12,2,0)</f>
        <v>7</v>
      </c>
      <c r="L67" s="138" t="s">
        <v>21</v>
      </c>
      <c r="M67" s="138" t="s">
        <v>0</v>
      </c>
    </row>
    <row r="68" spans="1:13" customFormat="1" ht="14.5" x14ac:dyDescent="0.35">
      <c r="A68" s="129" t="s">
        <v>487</v>
      </c>
      <c r="B68" s="129" t="s">
        <v>3809</v>
      </c>
      <c r="C68" s="129" t="s">
        <v>3810</v>
      </c>
      <c r="D68" s="129" t="s">
        <v>3811</v>
      </c>
      <c r="E68" s="129" t="s">
        <v>3844</v>
      </c>
      <c r="F68" s="129"/>
      <c r="G68" s="129"/>
      <c r="H68" s="83" t="str">
        <f t="shared" si="1"/>
        <v>TCCN-PTE-PCH-CNP-CHM--</v>
      </c>
      <c r="I68" s="129" t="str">
        <f>MID(H68,1,(LEN(H68)-VLOOKUP(K68,datos!$B$2:$C$12,2,0)))</f>
        <v>TCCN-PTE-PCH-CNP-CHM</v>
      </c>
      <c r="J68" s="129" t="s">
        <v>436</v>
      </c>
      <c r="K68" s="130">
        <f>VLOOKUP(LEN(SUBSTITUTE(H68,"-","")),datos!$A$1:$B$12,2,0)</f>
        <v>5</v>
      </c>
      <c r="L68" s="129" t="s">
        <v>12</v>
      </c>
      <c r="M68" s="129" t="s">
        <v>0</v>
      </c>
    </row>
    <row r="69" spans="1:13" x14ac:dyDescent="0.35">
      <c r="A69" s="137" t="s">
        <v>487</v>
      </c>
      <c r="B69" s="137" t="s">
        <v>3809</v>
      </c>
      <c r="C69" s="137" t="s">
        <v>3810</v>
      </c>
      <c r="D69" s="137" t="s">
        <v>3811</v>
      </c>
      <c r="E69" s="137" t="s">
        <v>3844</v>
      </c>
      <c r="F69" s="137" t="s">
        <v>3824</v>
      </c>
      <c r="G69" s="137"/>
      <c r="H69" s="82" t="str">
        <f t="shared" si="1"/>
        <v>TCCN-PTE-PCH-CNP-CHM-SES-</v>
      </c>
      <c r="I69" s="137" t="str">
        <f>MID(H69,1,(LEN(H69)-VLOOKUP(K69,datos!$B$2:$C$12,2,0)))</f>
        <v>TCCN-PTE-PCH-CNP-CHM-SES</v>
      </c>
      <c r="J69" s="137" t="s">
        <v>4772</v>
      </c>
      <c r="K69" s="139">
        <f>VLOOKUP(LEN(SUBSTITUTE(H69,"-","")),datos!$A$1:$B$12,2,0)</f>
        <v>6</v>
      </c>
      <c r="L69" s="137"/>
      <c r="M69" s="137" t="s">
        <v>0</v>
      </c>
    </row>
    <row r="70" spans="1:13" x14ac:dyDescent="0.35">
      <c r="A70" s="138" t="s">
        <v>487</v>
      </c>
      <c r="B70" s="138" t="s">
        <v>3809</v>
      </c>
      <c r="C70" s="138" t="s">
        <v>3810</v>
      </c>
      <c r="D70" s="138" t="s">
        <v>3811</v>
      </c>
      <c r="E70" s="138" t="s">
        <v>3844</v>
      </c>
      <c r="F70" s="138" t="s">
        <v>3824</v>
      </c>
      <c r="G70" s="138" t="s">
        <v>3845</v>
      </c>
      <c r="H70" s="81" t="str">
        <f t="shared" si="1"/>
        <v>TCCN-PTE-PCH-CNP-CHM-SES-MDB</v>
      </c>
      <c r="I70" s="138" t="str">
        <f>MID(H70,1,(LEN(H70)-VLOOKUP(K70,datos!$B$2:$C$12,2,0)))</f>
        <v>TCCN-PTE-PCH-CNP-CHM-SES-MDB</v>
      </c>
      <c r="J70" s="138" t="s">
        <v>4773</v>
      </c>
      <c r="K70" s="140">
        <f>VLOOKUP(LEN(SUBSTITUTE(H70,"-","")),datos!$A$1:$B$12,2,0)</f>
        <v>7</v>
      </c>
      <c r="L70" s="138"/>
      <c r="M70" s="138" t="s">
        <v>0</v>
      </c>
    </row>
    <row r="71" spans="1:13" x14ac:dyDescent="0.35">
      <c r="A71" s="138" t="s">
        <v>487</v>
      </c>
      <c r="B71" s="138" t="s">
        <v>3809</v>
      </c>
      <c r="C71" s="138" t="s">
        <v>3810</v>
      </c>
      <c r="D71" s="138" t="s">
        <v>3811</v>
      </c>
      <c r="E71" s="138" t="s">
        <v>3844</v>
      </c>
      <c r="F71" s="138" t="s">
        <v>3824</v>
      </c>
      <c r="G71" s="138" t="s">
        <v>3846</v>
      </c>
      <c r="H71" s="81" t="str">
        <f t="shared" si="1"/>
        <v>TCCN-PTE-PCH-CNP-CHM-SES-ART</v>
      </c>
      <c r="I71" s="138" t="str">
        <f>MID(H71,1,(LEN(H71)-VLOOKUP(K71,datos!$B$2:$C$12,2,0)))</f>
        <v>TCCN-PTE-PCH-CNP-CHM-SES-ART</v>
      </c>
      <c r="J71" s="138" t="s">
        <v>4774</v>
      </c>
      <c r="K71" s="140">
        <f>VLOOKUP(LEN(SUBSTITUTE(H71,"-","")),datos!$A$1:$B$12,2,0)</f>
        <v>7</v>
      </c>
      <c r="L71" s="138"/>
      <c r="M71" s="138" t="s">
        <v>0</v>
      </c>
    </row>
    <row r="72" spans="1:13" x14ac:dyDescent="0.35">
      <c r="A72" s="138" t="s">
        <v>487</v>
      </c>
      <c r="B72" s="138" t="s">
        <v>3809</v>
      </c>
      <c r="C72" s="138" t="s">
        <v>3810</v>
      </c>
      <c r="D72" s="138" t="s">
        <v>3811</v>
      </c>
      <c r="E72" s="138" t="s">
        <v>3844</v>
      </c>
      <c r="F72" s="138" t="s">
        <v>3824</v>
      </c>
      <c r="G72" s="138" t="s">
        <v>3842</v>
      </c>
      <c r="H72" s="81" t="str">
        <f t="shared" ref="H72:H73" si="7">CONCATENATE(A72,"-",B72,"-",C72,"-",D72,"-",E72,"-",F72,"-",G72)</f>
        <v>TCCN-PTE-PCH-CNP-CHM-SES-CH1</v>
      </c>
      <c r="I72" s="138" t="str">
        <f>MID(H72,1,(LEN(H72)-VLOOKUP(K72,datos!$B$2:$C$12,2,0)))</f>
        <v>TCCN-PTE-PCH-CNP-CHM-SES-CH1</v>
      </c>
      <c r="J72" s="138" t="s">
        <v>4784</v>
      </c>
      <c r="K72" s="140">
        <f>VLOOKUP(LEN(SUBSTITUTE(H72,"-","")),datos!$A$1:$B$12,2,0)</f>
        <v>7</v>
      </c>
      <c r="L72" s="138" t="s">
        <v>19</v>
      </c>
      <c r="M72" s="138" t="s">
        <v>0</v>
      </c>
    </row>
    <row r="73" spans="1:13" x14ac:dyDescent="0.35">
      <c r="A73" s="138" t="s">
        <v>487</v>
      </c>
      <c r="B73" s="138" t="s">
        <v>3809</v>
      </c>
      <c r="C73" s="138" t="s">
        <v>3810</v>
      </c>
      <c r="D73" s="138" t="s">
        <v>3811</v>
      </c>
      <c r="E73" s="138" t="s">
        <v>3844</v>
      </c>
      <c r="F73" s="138" t="s">
        <v>3824</v>
      </c>
      <c r="G73" s="138" t="s">
        <v>3843</v>
      </c>
      <c r="H73" s="81" t="str">
        <f t="shared" si="7"/>
        <v>TCCN-PTE-PCH-CNP-CHM-SES-CH2</v>
      </c>
      <c r="I73" s="138" t="str">
        <f>MID(H73,1,(LEN(H73)-VLOOKUP(K73,datos!$B$2:$C$12,2,0)))</f>
        <v>TCCN-PTE-PCH-CNP-CHM-SES-CH2</v>
      </c>
      <c r="J73" s="138" t="s">
        <v>4785</v>
      </c>
      <c r="K73" s="140">
        <f>VLOOKUP(LEN(SUBSTITUTE(H73,"-","")),datos!$A$1:$B$12,2,0)</f>
        <v>7</v>
      </c>
      <c r="L73" s="138" t="s">
        <v>23</v>
      </c>
      <c r="M73" s="138" t="s">
        <v>0</v>
      </c>
    </row>
    <row r="74" spans="1:13" x14ac:dyDescent="0.35">
      <c r="A74" s="137" t="s">
        <v>487</v>
      </c>
      <c r="B74" s="137" t="s">
        <v>3809</v>
      </c>
      <c r="C74" s="137" t="s">
        <v>3810</v>
      </c>
      <c r="D74" s="137" t="s">
        <v>3811</v>
      </c>
      <c r="E74" s="137" t="s">
        <v>3844</v>
      </c>
      <c r="F74" s="137" t="s">
        <v>3847</v>
      </c>
      <c r="G74" s="137"/>
      <c r="H74" s="82" t="str">
        <f t="shared" ref="H74:H138" si="8">CONCATENATE(A74,"-",B74,"-",C74,"-",D74,"-",E74,"-",F74,"-",G74)</f>
        <v>TCCN-PTE-PCH-CNP-CHM-SMO-</v>
      </c>
      <c r="I74" s="137" t="str">
        <f>MID(H74,1,(LEN(H74)-VLOOKUP(K74,datos!$B$2:$C$12,2,0)))</f>
        <v>TCCN-PTE-PCH-CNP-CHM-SMO</v>
      </c>
      <c r="J74" s="137" t="s">
        <v>4775</v>
      </c>
      <c r="K74" s="139">
        <f>VLOOKUP(LEN(SUBSTITUTE(H74,"-","")),datos!$A$1:$B$12,2,0)</f>
        <v>6</v>
      </c>
      <c r="L74" s="137"/>
      <c r="M74" s="137" t="s">
        <v>0</v>
      </c>
    </row>
    <row r="75" spans="1:13" x14ac:dyDescent="0.35">
      <c r="A75" s="138" t="s">
        <v>487</v>
      </c>
      <c r="B75" s="138" t="s">
        <v>3809</v>
      </c>
      <c r="C75" s="138" t="s">
        <v>3810</v>
      </c>
      <c r="D75" s="138" t="s">
        <v>3811</v>
      </c>
      <c r="E75" s="138" t="s">
        <v>3844</v>
      </c>
      <c r="F75" s="138" t="s">
        <v>3847</v>
      </c>
      <c r="G75" s="138" t="s">
        <v>3819</v>
      </c>
      <c r="H75" s="81" t="str">
        <f t="shared" si="8"/>
        <v>TCCN-PTE-PCH-CNP-CHM-SMO-MOE</v>
      </c>
      <c r="I75" s="138" t="str">
        <f>MID(H75,1,(LEN(H75)-VLOOKUP(K75,datos!$B$2:$C$12,2,0)))</f>
        <v>TCCN-PTE-PCH-CNP-CHM-SMO-MOE</v>
      </c>
      <c r="J75" s="138" t="s">
        <v>4776</v>
      </c>
      <c r="K75" s="140">
        <f>VLOOKUP(LEN(SUBSTITUTE(H75,"-","")),datos!$A$1:$B$12,2,0)</f>
        <v>7</v>
      </c>
      <c r="L75" s="138" t="s">
        <v>17</v>
      </c>
      <c r="M75" s="138" t="s">
        <v>0</v>
      </c>
    </row>
    <row r="76" spans="1:13" x14ac:dyDescent="0.35">
      <c r="A76" s="138" t="s">
        <v>487</v>
      </c>
      <c r="B76" s="138" t="s">
        <v>3809</v>
      </c>
      <c r="C76" s="138" t="s">
        <v>3810</v>
      </c>
      <c r="D76" s="138" t="s">
        <v>3811</v>
      </c>
      <c r="E76" s="138" t="s">
        <v>3844</v>
      </c>
      <c r="F76" s="138" t="s">
        <v>3847</v>
      </c>
      <c r="G76" s="138" t="s">
        <v>3848</v>
      </c>
      <c r="H76" s="81" t="str">
        <f t="shared" si="8"/>
        <v>TCCN-PTE-PCH-CNP-CHM-SMO-TRN</v>
      </c>
      <c r="I76" s="138" t="str">
        <f>MID(H76,1,(LEN(H76)-VLOOKUP(K76,datos!$B$2:$C$12,2,0)))</f>
        <v>TCCN-PTE-PCH-CNP-CHM-SMO-TRN</v>
      </c>
      <c r="J76" s="138" t="s">
        <v>4777</v>
      </c>
      <c r="K76" s="140">
        <f>VLOOKUP(LEN(SUBSTITUTE(H76,"-","")),datos!$A$1:$B$12,2,0)</f>
        <v>7</v>
      </c>
      <c r="L76" s="138"/>
      <c r="M76" s="138" t="s">
        <v>0</v>
      </c>
    </row>
    <row r="77" spans="1:13" x14ac:dyDescent="0.35">
      <c r="A77" s="138" t="s">
        <v>487</v>
      </c>
      <c r="B77" s="138" t="s">
        <v>3809</v>
      </c>
      <c r="C77" s="138" t="s">
        <v>3810</v>
      </c>
      <c r="D77" s="138" t="s">
        <v>3811</v>
      </c>
      <c r="E77" s="138" t="s">
        <v>3844</v>
      </c>
      <c r="F77" s="138" t="s">
        <v>3847</v>
      </c>
      <c r="G77" s="138" t="s">
        <v>3849</v>
      </c>
      <c r="H77" s="81" t="str">
        <f t="shared" si="8"/>
        <v>TCCN-PTE-PCH-CNP-CHM-SMO-DES</v>
      </c>
      <c r="I77" s="138" t="str">
        <f>MID(H77,1,(LEN(H77)-VLOOKUP(K77,datos!$B$2:$C$12,2,0)))</f>
        <v>TCCN-PTE-PCH-CNP-CHM-SMO-DES</v>
      </c>
      <c r="J77" s="138" t="s">
        <v>4778</v>
      </c>
      <c r="K77" s="140">
        <f>VLOOKUP(LEN(SUBSTITUTE(H77,"-","")),datos!$A$1:$B$12,2,0)</f>
        <v>7</v>
      </c>
      <c r="L77" s="138"/>
      <c r="M77" s="138" t="s">
        <v>0</v>
      </c>
    </row>
    <row r="78" spans="1:13" x14ac:dyDescent="0.35">
      <c r="A78" s="137" t="s">
        <v>487</v>
      </c>
      <c r="B78" s="137" t="s">
        <v>3809</v>
      </c>
      <c r="C78" s="137" t="s">
        <v>3810</v>
      </c>
      <c r="D78" s="137" t="s">
        <v>3811</v>
      </c>
      <c r="E78" s="137" t="s">
        <v>3844</v>
      </c>
      <c r="F78" s="137" t="s">
        <v>3831</v>
      </c>
      <c r="G78" s="137"/>
      <c r="H78" s="82" t="str">
        <f t="shared" si="8"/>
        <v>TCCN-PTE-PCH-CNP-CHM-INS-</v>
      </c>
      <c r="I78" s="137" t="str">
        <f>MID(H78,1,(LEN(H78)-VLOOKUP(K78,datos!$B$2:$C$12,2,0)))</f>
        <v>TCCN-PTE-PCH-CNP-CHM-INS</v>
      </c>
      <c r="J78" s="137" t="s">
        <v>8180</v>
      </c>
      <c r="K78" s="139">
        <f>VLOOKUP(LEN(SUBSTITUTE(H78,"-","")),datos!$A$1:$B$12,2,0)</f>
        <v>6</v>
      </c>
      <c r="L78" s="137"/>
      <c r="M78" s="137" t="s">
        <v>0</v>
      </c>
    </row>
    <row r="79" spans="1:13" x14ac:dyDescent="0.35">
      <c r="A79" s="138" t="s">
        <v>487</v>
      </c>
      <c r="B79" s="138" t="s">
        <v>3809</v>
      </c>
      <c r="C79" s="138" t="s">
        <v>3810</v>
      </c>
      <c r="D79" s="138" t="s">
        <v>3811</v>
      </c>
      <c r="E79" s="138" t="s">
        <v>3844</v>
      </c>
      <c r="F79" s="138" t="s">
        <v>3831</v>
      </c>
      <c r="G79" s="138" t="s">
        <v>7067</v>
      </c>
      <c r="H79" s="81" t="str">
        <f t="shared" si="8"/>
        <v>TCCN-PTE-PCH-CNP-CHM-INS-MN1</v>
      </c>
      <c r="I79" s="138" t="str">
        <f>MID(H79,1,(LEN(H79)-VLOOKUP(K79,datos!$B$2:$C$12,2,0)))</f>
        <v>TCCN-PTE-PCH-CNP-CHM-INS-MN1</v>
      </c>
      <c r="J79" s="138" t="s">
        <v>7602</v>
      </c>
      <c r="K79" s="140">
        <f>VLOOKUP(LEN(SUBSTITUTE(H79,"-","")),datos!$A$1:$B$12,2,0)</f>
        <v>7</v>
      </c>
      <c r="L79" s="138" t="s">
        <v>6773</v>
      </c>
      <c r="M79" s="138" t="s">
        <v>0</v>
      </c>
    </row>
    <row r="80" spans="1:13" x14ac:dyDescent="0.35">
      <c r="A80" s="138" t="s">
        <v>487</v>
      </c>
      <c r="B80" s="138" t="s">
        <v>3809</v>
      </c>
      <c r="C80" s="138" t="s">
        <v>3810</v>
      </c>
      <c r="D80" s="138" t="s">
        <v>3811</v>
      </c>
      <c r="E80" s="138" t="s">
        <v>3844</v>
      </c>
      <c r="F80" s="138" t="s">
        <v>3831</v>
      </c>
      <c r="G80" s="138" t="s">
        <v>3834</v>
      </c>
      <c r="H80" s="81" t="str">
        <f t="shared" ref="H80" si="9">CONCATENATE(A80,"-",B80,"-",C80,"-",D80,"-",E80,"-",F80,"-",G80)</f>
        <v>TCCN-PTE-PCH-CNP-CHM-INS-SA1</v>
      </c>
      <c r="I80" s="138" t="str">
        <f>MID(H80,1,(LEN(H80)-VLOOKUP(K80,datos!$B$2:$C$12,2,0)))</f>
        <v>TCCN-PTE-PCH-CNP-CHM-INS-SA1</v>
      </c>
      <c r="J80" s="138" t="s">
        <v>6772</v>
      </c>
      <c r="K80" s="140">
        <f>VLOOKUP(LEN(SUBSTITUTE(H80,"-","")),datos!$A$1:$B$12,2,0)</f>
        <v>7</v>
      </c>
      <c r="L80" s="138" t="s">
        <v>6771</v>
      </c>
      <c r="M80" s="138" t="s">
        <v>0</v>
      </c>
    </row>
    <row r="81" spans="1:13" x14ac:dyDescent="0.35">
      <c r="A81" s="138" t="s">
        <v>487</v>
      </c>
      <c r="B81" s="138" t="s">
        <v>3809</v>
      </c>
      <c r="C81" s="138" t="s">
        <v>3810</v>
      </c>
      <c r="D81" s="138" t="s">
        <v>3811</v>
      </c>
      <c r="E81" s="138" t="s">
        <v>3844</v>
      </c>
      <c r="F81" s="138" t="s">
        <v>3831</v>
      </c>
      <c r="G81" s="138" t="s">
        <v>5202</v>
      </c>
      <c r="H81" s="81" t="str">
        <f t="shared" ref="H81:H84" si="10">CONCATENATE(A81,"-",B81,"-",C81,"-",D81,"-",E81,"-",F81,"-",G81)</f>
        <v>TCCN-PTE-PCH-CNP-CHM-INS-MVD</v>
      </c>
      <c r="I81" s="138" t="str">
        <f>MID(H81,1,(LEN(H81)-VLOOKUP(K81,datos!$B$2:$C$12,2,0)))</f>
        <v>TCCN-PTE-PCH-CNP-CHM-INS-MVD</v>
      </c>
      <c r="J81" s="138" t="s">
        <v>8109</v>
      </c>
      <c r="K81" s="140">
        <f>VLOOKUP(LEN(SUBSTITUTE(H81,"-","")),datos!$A$1:$B$12,2,0)</f>
        <v>7</v>
      </c>
      <c r="L81" s="138" t="s">
        <v>6768</v>
      </c>
      <c r="M81" s="138" t="s">
        <v>0</v>
      </c>
    </row>
    <row r="82" spans="1:13" x14ac:dyDescent="0.35">
      <c r="A82" s="138" t="s">
        <v>487</v>
      </c>
      <c r="B82" s="138" t="s">
        <v>3809</v>
      </c>
      <c r="C82" s="138" t="s">
        <v>3810</v>
      </c>
      <c r="D82" s="138" t="s">
        <v>3811</v>
      </c>
      <c r="E82" s="138" t="s">
        <v>3844</v>
      </c>
      <c r="F82" s="138" t="s">
        <v>3831</v>
      </c>
      <c r="G82" s="138" t="s">
        <v>5697</v>
      </c>
      <c r="H82" s="81" t="str">
        <f t="shared" si="10"/>
        <v>TCCN-PTE-PCH-CNP-CHM-INS-IN3</v>
      </c>
      <c r="I82" s="138" t="str">
        <f>MID(H82,1,(LEN(H82)-VLOOKUP(K82,datos!$B$2:$C$12,2,0)))</f>
        <v>TCCN-PTE-PCH-CNP-CHM-INS-IN3</v>
      </c>
      <c r="J82" s="138" t="s">
        <v>6770</v>
      </c>
      <c r="K82" s="140">
        <f>VLOOKUP(LEN(SUBSTITUTE(H82,"-","")),datos!$A$1:$B$12,2,0)</f>
        <v>7</v>
      </c>
      <c r="L82" s="138" t="s">
        <v>6769</v>
      </c>
      <c r="M82" s="138" t="s">
        <v>0</v>
      </c>
    </row>
    <row r="83" spans="1:13" x14ac:dyDescent="0.35">
      <c r="A83" s="138" t="s">
        <v>487</v>
      </c>
      <c r="B83" s="138" t="s">
        <v>3809</v>
      </c>
      <c r="C83" s="138" t="s">
        <v>3810</v>
      </c>
      <c r="D83" s="138" t="s">
        <v>3811</v>
      </c>
      <c r="E83" s="138" t="s">
        <v>3844</v>
      </c>
      <c r="F83" s="138" t="s">
        <v>3831</v>
      </c>
      <c r="G83" s="138" t="s">
        <v>7058</v>
      </c>
      <c r="H83" s="81" t="str">
        <f t="shared" si="10"/>
        <v>TCCN-PTE-PCH-CNP-CHM-INS-MT1</v>
      </c>
      <c r="I83" s="138" t="str">
        <f>MID(H83,1,(LEN(H83)-VLOOKUP(K83,datos!$B$2:$C$12,2,0)))</f>
        <v>TCCN-PTE-PCH-CNP-CHM-INS-MT1</v>
      </c>
      <c r="J83" s="138" t="s">
        <v>8066</v>
      </c>
      <c r="K83" s="140">
        <f>VLOOKUP(LEN(SUBSTITUTE(H83,"-","")),datos!$A$1:$B$12,2,0)</f>
        <v>7</v>
      </c>
      <c r="L83" s="138" t="s">
        <v>6774</v>
      </c>
      <c r="M83" s="138" t="s">
        <v>0</v>
      </c>
    </row>
    <row r="84" spans="1:13" x14ac:dyDescent="0.35">
      <c r="A84" s="138" t="s">
        <v>487</v>
      </c>
      <c r="B84" s="138" t="s">
        <v>3809</v>
      </c>
      <c r="C84" s="138" t="s">
        <v>3810</v>
      </c>
      <c r="D84" s="138" t="s">
        <v>3811</v>
      </c>
      <c r="E84" s="138" t="s">
        <v>3844</v>
      </c>
      <c r="F84" s="138" t="s">
        <v>3831</v>
      </c>
      <c r="G84" s="138" t="s">
        <v>7059</v>
      </c>
      <c r="H84" s="81" t="str">
        <f t="shared" si="10"/>
        <v>TCCN-PTE-PCH-CNP-CHM-INS-MT2</v>
      </c>
      <c r="I84" s="138" t="str">
        <f>MID(H84,1,(LEN(H84)-VLOOKUP(K84,datos!$B$2:$C$12,2,0)))</f>
        <v>TCCN-PTE-PCH-CNP-CHM-INS-MT2</v>
      </c>
      <c r="J84" s="138" t="s">
        <v>8067</v>
      </c>
      <c r="K84" s="140">
        <f>VLOOKUP(LEN(SUBSTITUTE(H84,"-","")),datos!$A$1:$B$12,2,0)</f>
        <v>7</v>
      </c>
      <c r="L84" s="138" t="s">
        <v>6775</v>
      </c>
      <c r="M84" s="138" t="s">
        <v>0</v>
      </c>
    </row>
    <row r="85" spans="1:13" x14ac:dyDescent="0.35">
      <c r="A85" s="138" t="s">
        <v>487</v>
      </c>
      <c r="B85" s="138" t="s">
        <v>3809</v>
      </c>
      <c r="C85" s="138" t="s">
        <v>3810</v>
      </c>
      <c r="D85" s="138" t="s">
        <v>3811</v>
      </c>
      <c r="E85" s="138" t="s">
        <v>3844</v>
      </c>
      <c r="F85" s="138" t="s">
        <v>3831</v>
      </c>
      <c r="G85" s="138" t="s">
        <v>3835</v>
      </c>
      <c r="H85" s="81" t="str">
        <f t="shared" ref="H85:H86" si="11">CONCATENATE(A85,"-",B85,"-",C85,"-",D85,"-",E85,"-",F85,"-",G85)</f>
        <v>TCCN-PTE-PCH-CNP-CHM-INS-SA2</v>
      </c>
      <c r="I85" s="138" t="str">
        <f>MID(H85,1,(LEN(H85)-VLOOKUP(K85,datos!$B$2:$C$12,2,0)))</f>
        <v>TCCN-PTE-PCH-CNP-CHM-INS-SA2</v>
      </c>
      <c r="J85" s="138" t="s">
        <v>6777</v>
      </c>
      <c r="K85" s="140">
        <f>VLOOKUP(LEN(SUBSTITUTE(H85,"-","")),datos!$A$1:$B$12,2,0)</f>
        <v>7</v>
      </c>
      <c r="L85" s="138" t="s">
        <v>6776</v>
      </c>
      <c r="M85" s="138" t="s">
        <v>0</v>
      </c>
    </row>
    <row r="86" spans="1:13" x14ac:dyDescent="0.35">
      <c r="A86" s="138" t="s">
        <v>487</v>
      </c>
      <c r="B86" s="138" t="s">
        <v>3809</v>
      </c>
      <c r="C86" s="138" t="s">
        <v>3810</v>
      </c>
      <c r="D86" s="138" t="s">
        <v>3811</v>
      </c>
      <c r="E86" s="138" t="s">
        <v>3844</v>
      </c>
      <c r="F86" s="138" t="s">
        <v>3831</v>
      </c>
      <c r="G86" s="138" t="s">
        <v>7068</v>
      </c>
      <c r="H86" s="81" t="str">
        <f t="shared" si="11"/>
        <v>TCCN-PTE-PCH-CNP-CHM-INS-MN2</v>
      </c>
      <c r="I86" s="138" t="str">
        <f>MID(H86,1,(LEN(H86)-VLOOKUP(K86,datos!$B$2:$C$12,2,0)))</f>
        <v>TCCN-PTE-PCH-CNP-CHM-INS-MN2</v>
      </c>
      <c r="J86" s="138" t="s">
        <v>7603</v>
      </c>
      <c r="K86" s="140">
        <f>VLOOKUP(LEN(SUBSTITUTE(H86,"-","")),datos!$A$1:$B$12,2,0)</f>
        <v>7</v>
      </c>
      <c r="L86" s="138" t="s">
        <v>6778</v>
      </c>
      <c r="M86" s="138" t="s">
        <v>0</v>
      </c>
    </row>
    <row r="87" spans="1:13" x14ac:dyDescent="0.35">
      <c r="A87" s="137" t="s">
        <v>487</v>
      </c>
      <c r="B87" s="137" t="s">
        <v>3809</v>
      </c>
      <c r="C87" s="137" t="s">
        <v>3810</v>
      </c>
      <c r="D87" s="137" t="s">
        <v>3811</v>
      </c>
      <c r="E87" s="137" t="s">
        <v>3844</v>
      </c>
      <c r="F87" s="137" t="s">
        <v>3816</v>
      </c>
      <c r="G87" s="137"/>
      <c r="H87" s="82" t="str">
        <f t="shared" si="8"/>
        <v>TCCN-PTE-PCH-CNP-CHM-SHI-</v>
      </c>
      <c r="I87" s="137" t="str">
        <f>MID(H87,1,(LEN(H87)-VLOOKUP(K87,datos!$B$2:$C$12,2,0)))</f>
        <v>TCCN-PTE-PCH-CNP-CHM-SHI</v>
      </c>
      <c r="J87" s="137" t="s">
        <v>8181</v>
      </c>
      <c r="K87" s="139">
        <f>VLOOKUP(LEN(SUBSTITUTE(H87,"-","")),datos!$A$1:$B$12,2,0)</f>
        <v>6</v>
      </c>
      <c r="L87" s="137" t="s">
        <v>18</v>
      </c>
      <c r="M87" s="137" t="s">
        <v>0</v>
      </c>
    </row>
    <row r="88" spans="1:13" x14ac:dyDescent="0.35">
      <c r="A88" s="138" t="s">
        <v>487</v>
      </c>
      <c r="B88" s="138" t="s">
        <v>3809</v>
      </c>
      <c r="C88" s="138" t="s">
        <v>3810</v>
      </c>
      <c r="D88" s="138" t="s">
        <v>3811</v>
      </c>
      <c r="E88" s="138" t="s">
        <v>3844</v>
      </c>
      <c r="F88" s="138" t="s">
        <v>3816</v>
      </c>
      <c r="G88" s="138" t="s">
        <v>3818</v>
      </c>
      <c r="H88" s="81" t="str">
        <f t="shared" si="8"/>
        <v>TCCN-PTE-PCH-CNP-CHM-SHI-BBA</v>
      </c>
      <c r="I88" s="138" t="str">
        <f>MID(H88,1,(LEN(H88)-VLOOKUP(K88,datos!$B$2:$C$12,2,0)))</f>
        <v>TCCN-PTE-PCH-CNP-CHM-SHI-BBA</v>
      </c>
      <c r="J88" s="138" t="s">
        <v>4780</v>
      </c>
      <c r="K88" s="140">
        <f>VLOOKUP(LEN(SUBSTITUTE(H88,"-","")),datos!$A$1:$B$12,2,0)</f>
        <v>7</v>
      </c>
      <c r="L88" s="138"/>
      <c r="M88" s="138" t="s">
        <v>0</v>
      </c>
    </row>
    <row r="89" spans="1:13" x14ac:dyDescent="0.35">
      <c r="A89" s="138" t="s">
        <v>487</v>
      </c>
      <c r="B89" s="138" t="s">
        <v>3809</v>
      </c>
      <c r="C89" s="138" t="s">
        <v>3810</v>
      </c>
      <c r="D89" s="138" t="s">
        <v>3811</v>
      </c>
      <c r="E89" s="138" t="s">
        <v>3844</v>
      </c>
      <c r="F89" s="138" t="s">
        <v>3816</v>
      </c>
      <c r="G89" s="138" t="s">
        <v>4095</v>
      </c>
      <c r="H89" s="81" t="str">
        <f t="shared" si="8"/>
        <v>TCCN-PTE-PCH-CNP-CHM-SHI-ACU</v>
      </c>
      <c r="I89" s="138" t="str">
        <f>MID(H89,1,(LEN(H89)-VLOOKUP(K89,datos!$B$2:$C$12,2,0)))</f>
        <v>TCCN-PTE-PCH-CNP-CHM-SHI-ACU</v>
      </c>
      <c r="J89" s="138" t="s">
        <v>5485</v>
      </c>
      <c r="K89" s="140">
        <f>VLOOKUP(LEN(SUBSTITUTE(H89,"-","")),datos!$A$1:$B$12,2,0)</f>
        <v>7</v>
      </c>
      <c r="L89" s="138"/>
      <c r="M89" s="138" t="s">
        <v>0</v>
      </c>
    </row>
    <row r="90" spans="1:13" x14ac:dyDescent="0.35">
      <c r="A90" s="138" t="s">
        <v>487</v>
      </c>
      <c r="B90" s="138" t="s">
        <v>3809</v>
      </c>
      <c r="C90" s="138" t="s">
        <v>3810</v>
      </c>
      <c r="D90" s="138" t="s">
        <v>3811</v>
      </c>
      <c r="E90" s="138" t="s">
        <v>3844</v>
      </c>
      <c r="F90" s="138" t="s">
        <v>3816</v>
      </c>
      <c r="G90" s="138" t="s">
        <v>3853</v>
      </c>
      <c r="H90" s="81" t="str">
        <f t="shared" si="8"/>
        <v>TCCN-PTE-PCH-CNP-CHM-SHI-EST</v>
      </c>
      <c r="I90" s="138" t="str">
        <f>MID(H90,1,(LEN(H90)-VLOOKUP(K90,datos!$B$2:$C$12,2,0)))</f>
        <v>TCCN-PTE-PCH-CNP-CHM-SHI-EST</v>
      </c>
      <c r="J90" s="138" t="s">
        <v>4781</v>
      </c>
      <c r="K90" s="140">
        <f>VLOOKUP(LEN(SUBSTITUTE(H90,"-","")),datos!$A$1:$B$12,2,0)</f>
        <v>7</v>
      </c>
      <c r="L90" s="138"/>
      <c r="M90" s="138" t="s">
        <v>0</v>
      </c>
    </row>
    <row r="91" spans="1:13" x14ac:dyDescent="0.35">
      <c r="A91" s="138" t="s">
        <v>487</v>
      </c>
      <c r="B91" s="138" t="s">
        <v>3809</v>
      </c>
      <c r="C91" s="138" t="s">
        <v>3810</v>
      </c>
      <c r="D91" s="138" t="s">
        <v>3811</v>
      </c>
      <c r="E91" s="138" t="s">
        <v>3844</v>
      </c>
      <c r="F91" s="138" t="s">
        <v>3816</v>
      </c>
      <c r="G91" s="138" t="s">
        <v>3819</v>
      </c>
      <c r="H91" s="81" t="str">
        <f t="shared" si="8"/>
        <v>TCCN-PTE-PCH-CNP-CHM-SHI-MOE</v>
      </c>
      <c r="I91" s="138" t="str">
        <f>MID(H91,1,(LEN(H91)-VLOOKUP(K91,datos!$B$2:$C$12,2,0)))</f>
        <v>TCCN-PTE-PCH-CNP-CHM-SHI-MOE</v>
      </c>
      <c r="J91" s="138" t="s">
        <v>4779</v>
      </c>
      <c r="K91" s="140">
        <f>VLOOKUP(LEN(SUBSTITUTE(H91,"-","")),datos!$A$1:$B$12,2,0)</f>
        <v>7</v>
      </c>
      <c r="L91" s="138" t="s">
        <v>1523</v>
      </c>
      <c r="M91" s="138" t="s">
        <v>0</v>
      </c>
    </row>
    <row r="92" spans="1:13" x14ac:dyDescent="0.35">
      <c r="A92" s="138" t="s">
        <v>487</v>
      </c>
      <c r="B92" s="138" t="s">
        <v>3809</v>
      </c>
      <c r="C92" s="138" t="s">
        <v>3810</v>
      </c>
      <c r="D92" s="138" t="s">
        <v>3811</v>
      </c>
      <c r="E92" s="138" t="s">
        <v>3844</v>
      </c>
      <c r="F92" s="138" t="s">
        <v>3816</v>
      </c>
      <c r="G92" s="138" t="s">
        <v>3820</v>
      </c>
      <c r="H92" s="81" t="str">
        <f t="shared" si="8"/>
        <v>TCCN-PTE-PCH-CNP-CHM-SHI-CUH</v>
      </c>
      <c r="I92" s="138" t="str">
        <f>MID(H92,1,(LEN(H92)-VLOOKUP(K92,datos!$B$2:$C$12,2,0)))</f>
        <v>TCCN-PTE-PCH-CNP-CHM-SHI-CUH</v>
      </c>
      <c r="J92" s="138" t="s">
        <v>8054</v>
      </c>
      <c r="K92" s="140">
        <f>VLOOKUP(LEN(SUBSTITUTE(H92,"-","")),datos!$A$1:$B$12,2,0)</f>
        <v>7</v>
      </c>
      <c r="L92" s="138"/>
      <c r="M92" s="138" t="s">
        <v>0</v>
      </c>
    </row>
    <row r="93" spans="1:13" x14ac:dyDescent="0.35">
      <c r="A93" s="138" t="s">
        <v>487</v>
      </c>
      <c r="B93" s="138" t="s">
        <v>3809</v>
      </c>
      <c r="C93" s="138" t="s">
        <v>3810</v>
      </c>
      <c r="D93" s="138" t="s">
        <v>3811</v>
      </c>
      <c r="E93" s="138" t="s">
        <v>3844</v>
      </c>
      <c r="F93" s="138" t="s">
        <v>3816</v>
      </c>
      <c r="G93" s="138" t="s">
        <v>3831</v>
      </c>
      <c r="H93" s="81" t="str">
        <f t="shared" ref="H93" si="12">CONCATENATE(A93,"-",B93,"-",C93,"-",D93,"-",E93,"-",F93,"-",G93)</f>
        <v>TCCN-PTE-PCH-CNP-CHM-SHI-INS</v>
      </c>
      <c r="I93" s="138" t="str">
        <f>MID(H93,1,(LEN(H93)-VLOOKUP(K93,datos!$B$2:$C$12,2,0)))</f>
        <v>TCCN-PTE-PCH-CNP-CHM-SHI-INS</v>
      </c>
      <c r="J93" s="138" t="s">
        <v>6779</v>
      </c>
      <c r="K93" s="140">
        <f>VLOOKUP(LEN(SUBSTITUTE(H93,"-","")),datos!$A$1:$B$12,2,0)</f>
        <v>7</v>
      </c>
      <c r="L93" s="138"/>
      <c r="M93" s="138" t="s">
        <v>0</v>
      </c>
    </row>
    <row r="94" spans="1:13" x14ac:dyDescent="0.35">
      <c r="A94" s="137" t="s">
        <v>487</v>
      </c>
      <c r="B94" s="137" t="s">
        <v>3809</v>
      </c>
      <c r="C94" s="137" t="s">
        <v>3810</v>
      </c>
      <c r="D94" s="137" t="s">
        <v>3811</v>
      </c>
      <c r="E94" s="137" t="s">
        <v>3844</v>
      </c>
      <c r="F94" s="137" t="s">
        <v>3836</v>
      </c>
      <c r="G94" s="137"/>
      <c r="H94" s="82" t="str">
        <f t="shared" si="8"/>
        <v>TCCN-PTE-PCH-CNP-CHM-SLU-</v>
      </c>
      <c r="I94" s="137" t="str">
        <f>MID(H94,1,(LEN(H94)-VLOOKUP(K94,datos!$B$2:$C$12,2,0)))</f>
        <v>TCCN-PTE-PCH-CNP-CHM-SLU</v>
      </c>
      <c r="J94" s="137" t="s">
        <v>4782</v>
      </c>
      <c r="K94" s="139">
        <f>VLOOKUP(LEN(SUBSTITUTE(H94,"-","")),datos!$A$1:$B$12,2,0)</f>
        <v>6</v>
      </c>
      <c r="L94" s="137" t="s">
        <v>14</v>
      </c>
      <c r="M94" s="137" t="s">
        <v>0</v>
      </c>
    </row>
    <row r="95" spans="1:13" x14ac:dyDescent="0.35">
      <c r="A95" s="138" t="s">
        <v>487</v>
      </c>
      <c r="B95" s="138" t="s">
        <v>3809</v>
      </c>
      <c r="C95" s="138" t="s">
        <v>3810</v>
      </c>
      <c r="D95" s="138" t="s">
        <v>3811</v>
      </c>
      <c r="E95" s="138" t="s">
        <v>3844</v>
      </c>
      <c r="F95" s="138" t="s">
        <v>3836</v>
      </c>
      <c r="G95" s="138" t="s">
        <v>3819</v>
      </c>
      <c r="H95" s="81" t="str">
        <f t="shared" si="8"/>
        <v>TCCN-PTE-PCH-CNP-CHM-SLU-MOE</v>
      </c>
      <c r="I95" s="138" t="str">
        <f>MID(H95,1,(LEN(H95)-VLOOKUP(K95,datos!$B$2:$C$12,2,0)))</f>
        <v>TCCN-PTE-PCH-CNP-CHM-SLU-MOE</v>
      </c>
      <c r="J95" s="138" t="s">
        <v>5331</v>
      </c>
      <c r="K95" s="140">
        <f>VLOOKUP(LEN(SUBSTITUTE(H95,"-","")),datos!$A$1:$B$12,2,0)</f>
        <v>7</v>
      </c>
      <c r="L95" s="138" t="s">
        <v>15</v>
      </c>
      <c r="M95" s="138" t="s">
        <v>0</v>
      </c>
    </row>
    <row r="96" spans="1:13" x14ac:dyDescent="0.35">
      <c r="A96" s="138" t="s">
        <v>487</v>
      </c>
      <c r="B96" s="138" t="s">
        <v>3809</v>
      </c>
      <c r="C96" s="138" t="s">
        <v>3810</v>
      </c>
      <c r="D96" s="138" t="s">
        <v>3811</v>
      </c>
      <c r="E96" s="138" t="s">
        <v>3844</v>
      </c>
      <c r="F96" s="138" t="s">
        <v>3836</v>
      </c>
      <c r="G96" s="138" t="s">
        <v>3851</v>
      </c>
      <c r="H96" s="81" t="str">
        <f t="shared" si="8"/>
        <v>TCCN-PTE-PCH-CNP-CHM-SLU-CDV</v>
      </c>
      <c r="I96" s="138" t="str">
        <f>MID(H96,1,(LEN(H96)-VLOOKUP(K96,datos!$B$2:$C$12,2,0)))</f>
        <v>TCCN-PTE-PCH-CNP-CHM-SLU-CDV</v>
      </c>
      <c r="J96" s="138" t="s">
        <v>4783</v>
      </c>
      <c r="K96" s="140">
        <f>VLOOKUP(LEN(SUBSTITUTE(H96,"-","")),datos!$A$1:$B$12,2,0)</f>
        <v>7</v>
      </c>
      <c r="L96" s="138"/>
      <c r="M96" s="138" t="s">
        <v>0</v>
      </c>
    </row>
    <row r="97" spans="1:13" x14ac:dyDescent="0.35">
      <c r="A97" s="138" t="s">
        <v>487</v>
      </c>
      <c r="B97" s="138" t="s">
        <v>3809</v>
      </c>
      <c r="C97" s="138" t="s">
        <v>3810</v>
      </c>
      <c r="D97" s="138" t="s">
        <v>3811</v>
      </c>
      <c r="E97" s="138" t="s">
        <v>3844</v>
      </c>
      <c r="F97" s="138" t="s">
        <v>3836</v>
      </c>
      <c r="G97" s="138" t="s">
        <v>3831</v>
      </c>
      <c r="H97" s="81" t="str">
        <f t="shared" ref="H97" si="13">CONCATENATE(A97,"-",B97,"-",C97,"-",D97,"-",E97,"-",F97,"-",G97)</f>
        <v>TCCN-PTE-PCH-CNP-CHM-SLU-INS</v>
      </c>
      <c r="I97" s="138" t="str">
        <f>MID(H97,1,(LEN(H97)-VLOOKUP(K97,datos!$B$2:$C$12,2,0)))</f>
        <v>TCCN-PTE-PCH-CNP-CHM-SLU-INS</v>
      </c>
      <c r="J97" s="138" t="s">
        <v>6780</v>
      </c>
      <c r="K97" s="140">
        <f>VLOOKUP(LEN(SUBSTITUTE(H97,"-","")),datos!$A$1:$B$12,2,0)</f>
        <v>7</v>
      </c>
      <c r="L97" s="138"/>
      <c r="M97" s="138" t="s">
        <v>0</v>
      </c>
    </row>
    <row r="98" spans="1:13" customFormat="1" ht="14.5" x14ac:dyDescent="0.35">
      <c r="A98" s="129" t="s">
        <v>487</v>
      </c>
      <c r="B98" s="129" t="s">
        <v>3809</v>
      </c>
      <c r="C98" s="129" t="s">
        <v>3810</v>
      </c>
      <c r="D98" s="129" t="s">
        <v>3811</v>
      </c>
      <c r="E98" s="129" t="s">
        <v>3852</v>
      </c>
      <c r="F98" s="129"/>
      <c r="G98" s="129"/>
      <c r="H98" s="83" t="str">
        <f t="shared" si="8"/>
        <v>TCCN-PTE-PCH-CNP-CTR--</v>
      </c>
      <c r="I98" s="129" t="str">
        <f>MID(H98,1,(LEN(H98)-VLOOKUP(K98,datos!$B$2:$C$12,2,0)))</f>
        <v>TCCN-PTE-PCH-CNP-CTR</v>
      </c>
      <c r="J98" s="129" t="s">
        <v>4701</v>
      </c>
      <c r="K98" s="130">
        <f>VLOOKUP(LEN(SUBSTITUTE(H98,"-","")),datos!$A$1:$B$12,2,0)</f>
        <v>5</v>
      </c>
      <c r="L98" s="129" t="s">
        <v>25</v>
      </c>
      <c r="M98" s="129" t="s">
        <v>0</v>
      </c>
    </row>
    <row r="99" spans="1:13" x14ac:dyDescent="0.35">
      <c r="A99" s="137" t="s">
        <v>487</v>
      </c>
      <c r="B99" s="137" t="s">
        <v>3809</v>
      </c>
      <c r="C99" s="137" t="s">
        <v>3810</v>
      </c>
      <c r="D99" s="137" t="s">
        <v>3811</v>
      </c>
      <c r="E99" s="137" t="s">
        <v>3852</v>
      </c>
      <c r="F99" s="137" t="s">
        <v>3824</v>
      </c>
      <c r="G99" s="137"/>
      <c r="H99" s="82" t="str">
        <f t="shared" si="8"/>
        <v>TCCN-PTE-PCH-CNP-CTR-SES-</v>
      </c>
      <c r="I99" s="137" t="str">
        <f>MID(H99,1,(LEN(H99)-VLOOKUP(K99,datos!$B$2:$C$12,2,0)))</f>
        <v>TCCN-PTE-PCH-CNP-CTR-SES</v>
      </c>
      <c r="J99" s="137" t="s">
        <v>6298</v>
      </c>
      <c r="K99" s="139">
        <f>VLOOKUP(LEN(SUBSTITUTE(H99,"-","")),datos!$A$1:$B$12,2,0)</f>
        <v>6</v>
      </c>
      <c r="L99" s="137"/>
      <c r="M99" s="137" t="s">
        <v>0</v>
      </c>
    </row>
    <row r="100" spans="1:13" x14ac:dyDescent="0.35">
      <c r="A100" s="138" t="s">
        <v>487</v>
      </c>
      <c r="B100" s="138" t="s">
        <v>3809</v>
      </c>
      <c r="C100" s="138" t="s">
        <v>3810</v>
      </c>
      <c r="D100" s="138" t="s">
        <v>3811</v>
      </c>
      <c r="E100" s="138" t="s">
        <v>3852</v>
      </c>
      <c r="F100" s="138" t="s">
        <v>3824</v>
      </c>
      <c r="G100" s="138" t="s">
        <v>3853</v>
      </c>
      <c r="H100" s="81" t="str">
        <f t="shared" si="8"/>
        <v>TCCN-PTE-PCH-CNP-CTR-SES-EST</v>
      </c>
      <c r="I100" s="138" t="str">
        <f>MID(H100,1,(LEN(H100)-VLOOKUP(K100,datos!$B$2:$C$12,2,0)))</f>
        <v>TCCN-PTE-PCH-CNP-CTR-SES-EST</v>
      </c>
      <c r="J100" s="138" t="s">
        <v>6299</v>
      </c>
      <c r="K100" s="140">
        <f>VLOOKUP(LEN(SUBSTITUTE(H100,"-","")),datos!$A$1:$B$12,2,0)</f>
        <v>7</v>
      </c>
      <c r="L100" s="138"/>
      <c r="M100" s="138" t="s">
        <v>0</v>
      </c>
    </row>
    <row r="101" spans="1:13" x14ac:dyDescent="0.35">
      <c r="A101" s="138" t="s">
        <v>487</v>
      </c>
      <c r="B101" s="138" t="s">
        <v>3809</v>
      </c>
      <c r="C101" s="138" t="s">
        <v>3810</v>
      </c>
      <c r="D101" s="138" t="s">
        <v>3811</v>
      </c>
      <c r="E101" s="138" t="s">
        <v>3852</v>
      </c>
      <c r="F101" s="138" t="s">
        <v>3824</v>
      </c>
      <c r="G101" s="138" t="s">
        <v>3825</v>
      </c>
      <c r="H101" s="81" t="str">
        <f t="shared" si="8"/>
        <v>TCCN-PTE-PCH-CNP-CTR-SES-CHU</v>
      </c>
      <c r="I101" s="138" t="str">
        <f>MID(H101,1,(LEN(H101)-VLOOKUP(K101,datos!$B$2:$C$12,2,0)))</f>
        <v>TCCN-PTE-PCH-CNP-CTR-SES-CHU</v>
      </c>
      <c r="J101" s="138" t="s">
        <v>6844</v>
      </c>
      <c r="K101" s="140">
        <f>VLOOKUP(LEN(SUBSTITUTE(H101,"-","")),datos!$A$1:$B$12,2,0)</f>
        <v>7</v>
      </c>
      <c r="L101" s="138" t="s">
        <v>27</v>
      </c>
      <c r="M101" s="138" t="s">
        <v>0</v>
      </c>
    </row>
    <row r="102" spans="1:13" x14ac:dyDescent="0.35">
      <c r="A102" s="137" t="s">
        <v>487</v>
      </c>
      <c r="B102" s="137" t="s">
        <v>3809</v>
      </c>
      <c r="C102" s="137" t="s">
        <v>3810</v>
      </c>
      <c r="D102" s="137" t="s">
        <v>3811</v>
      </c>
      <c r="E102" s="137" t="s">
        <v>3852</v>
      </c>
      <c r="F102" s="137" t="s">
        <v>3854</v>
      </c>
      <c r="G102" s="137"/>
      <c r="H102" s="82" t="str">
        <f t="shared" si="8"/>
        <v>TCCN-PTE-PCH-CNP-CTR-STR-</v>
      </c>
      <c r="I102" s="137" t="str">
        <f>MID(H102,1,(LEN(H102)-VLOOKUP(K102,datos!$B$2:$C$12,2,0)))</f>
        <v>TCCN-PTE-PCH-CNP-CTR-STR</v>
      </c>
      <c r="J102" s="137" t="s">
        <v>6300</v>
      </c>
      <c r="K102" s="139">
        <f>VLOOKUP(LEN(SUBSTITUTE(H102,"-","")),datos!$A$1:$B$12,2,0)</f>
        <v>6</v>
      </c>
      <c r="L102" s="137"/>
      <c r="M102" s="137" t="s">
        <v>0</v>
      </c>
    </row>
    <row r="103" spans="1:13" x14ac:dyDescent="0.35">
      <c r="A103" s="138" t="s">
        <v>487</v>
      </c>
      <c r="B103" s="138" t="s">
        <v>3809</v>
      </c>
      <c r="C103" s="138" t="s">
        <v>3810</v>
      </c>
      <c r="D103" s="138" t="s">
        <v>3811</v>
      </c>
      <c r="E103" s="138" t="s">
        <v>3852</v>
      </c>
      <c r="F103" s="138" t="s">
        <v>3854</v>
      </c>
      <c r="G103" s="138" t="s">
        <v>3855</v>
      </c>
      <c r="H103" s="81" t="str">
        <f t="shared" si="8"/>
        <v>TCCN-PTE-PCH-CNP-CTR-STR-CTA</v>
      </c>
      <c r="I103" s="138" t="str">
        <f>MID(H103,1,(LEN(H103)-VLOOKUP(K103,datos!$B$2:$C$12,2,0)))</f>
        <v>TCCN-PTE-PCH-CNP-CTR-STR-CTA</v>
      </c>
      <c r="J103" s="138" t="s">
        <v>6301</v>
      </c>
      <c r="K103" s="140">
        <f>VLOOKUP(LEN(SUBSTITUTE(H103,"-","")),datos!$A$1:$B$12,2,0)</f>
        <v>7</v>
      </c>
      <c r="L103" s="138"/>
      <c r="M103" s="138" t="s">
        <v>0</v>
      </c>
    </row>
    <row r="104" spans="1:13" x14ac:dyDescent="0.35">
      <c r="A104" s="138" t="s">
        <v>487</v>
      </c>
      <c r="B104" s="138" t="s">
        <v>3809</v>
      </c>
      <c r="C104" s="138" t="s">
        <v>3810</v>
      </c>
      <c r="D104" s="138" t="s">
        <v>3811</v>
      </c>
      <c r="E104" s="138" t="s">
        <v>3852</v>
      </c>
      <c r="F104" s="138" t="s">
        <v>3854</v>
      </c>
      <c r="G104" s="138" t="s">
        <v>3856</v>
      </c>
      <c r="H104" s="81" t="str">
        <f t="shared" si="8"/>
        <v>TCCN-PTE-PCH-CNP-CTR-STR-PDC</v>
      </c>
      <c r="I104" s="138" t="str">
        <f>MID(H104,1,(LEN(H104)-VLOOKUP(K104,datos!$B$2:$C$12,2,0)))</f>
        <v>TCCN-PTE-PCH-CNP-CTR-STR-PDC</v>
      </c>
      <c r="J104" s="138" t="s">
        <v>6302</v>
      </c>
      <c r="K104" s="140">
        <f>VLOOKUP(LEN(SUBSTITUTE(H104,"-","")),datos!$A$1:$B$12,2,0)</f>
        <v>7</v>
      </c>
      <c r="L104" s="138"/>
      <c r="M104" s="138" t="s">
        <v>0</v>
      </c>
    </row>
    <row r="105" spans="1:13" x14ac:dyDescent="0.35">
      <c r="A105" s="138" t="s">
        <v>487</v>
      </c>
      <c r="B105" s="138" t="s">
        <v>3809</v>
      </c>
      <c r="C105" s="138" t="s">
        <v>3810</v>
      </c>
      <c r="D105" s="138" t="s">
        <v>3811</v>
      </c>
      <c r="E105" s="138" t="s">
        <v>3852</v>
      </c>
      <c r="F105" s="138" t="s">
        <v>3854</v>
      </c>
      <c r="G105" s="138" t="s">
        <v>3857</v>
      </c>
      <c r="H105" s="81" t="str">
        <f t="shared" si="8"/>
        <v>TCCN-PTE-PCH-CNP-CTR-STR-PCO</v>
      </c>
      <c r="I105" s="138" t="str">
        <f>MID(H105,1,(LEN(H105)-VLOOKUP(K105,datos!$B$2:$C$12,2,0)))</f>
        <v>TCCN-PTE-PCH-CNP-CTR-STR-PCO</v>
      </c>
      <c r="J105" s="138" t="s">
        <v>4700</v>
      </c>
      <c r="K105" s="140">
        <f>VLOOKUP(LEN(SUBSTITUTE(H105,"-","")),datos!$A$1:$B$12,2,0)</f>
        <v>7</v>
      </c>
      <c r="L105" s="138"/>
      <c r="M105" s="138" t="s">
        <v>0</v>
      </c>
    </row>
    <row r="106" spans="1:13" x14ac:dyDescent="0.35">
      <c r="A106" s="138" t="s">
        <v>487</v>
      </c>
      <c r="B106" s="138" t="s">
        <v>3809</v>
      </c>
      <c r="C106" s="138" t="s">
        <v>3810</v>
      </c>
      <c r="D106" s="138" t="s">
        <v>3811</v>
      </c>
      <c r="E106" s="138" t="s">
        <v>3852</v>
      </c>
      <c r="F106" s="138" t="s">
        <v>3854</v>
      </c>
      <c r="G106" s="138" t="s">
        <v>3858</v>
      </c>
      <c r="H106" s="81" t="str">
        <f t="shared" si="8"/>
        <v>TCCN-PTE-PCH-CNP-CTR-STR-PDF</v>
      </c>
      <c r="I106" s="138" t="str">
        <f>MID(H106,1,(LEN(H106)-VLOOKUP(K106,datos!$B$2:$C$12,2,0)))</f>
        <v>TCCN-PTE-PCH-CNP-CTR-STR-PDF</v>
      </c>
      <c r="J106" s="138" t="s">
        <v>6303</v>
      </c>
      <c r="K106" s="140">
        <f>VLOOKUP(LEN(SUBSTITUTE(H106,"-","")),datos!$A$1:$B$12,2,0)</f>
        <v>7</v>
      </c>
      <c r="L106" s="138"/>
      <c r="M106" s="138" t="s">
        <v>0</v>
      </c>
    </row>
    <row r="107" spans="1:13" x14ac:dyDescent="0.35">
      <c r="A107" s="138" t="s">
        <v>487</v>
      </c>
      <c r="B107" s="138" t="s">
        <v>3809</v>
      </c>
      <c r="C107" s="138" t="s">
        <v>3810</v>
      </c>
      <c r="D107" s="138" t="s">
        <v>3811</v>
      </c>
      <c r="E107" s="138" t="s">
        <v>3852</v>
      </c>
      <c r="F107" s="138" t="s">
        <v>3854</v>
      </c>
      <c r="G107" s="138" t="s">
        <v>3922</v>
      </c>
      <c r="H107" s="81" t="str">
        <f t="shared" ref="H107:H112" si="14">CONCATENATE(A107,"-",B107,"-",C107,"-",D107,"-",E107,"-",F107,"-",G107)</f>
        <v>TCCN-PTE-PCH-CNP-CTR-STR-PO1</v>
      </c>
      <c r="I107" s="138" t="str">
        <f>MID(H107,1,(LEN(H107)-VLOOKUP(K107,datos!$B$2:$C$12,2,0)))</f>
        <v>TCCN-PTE-PCH-CNP-CTR-STR-PO1</v>
      </c>
      <c r="J107" s="138" t="s">
        <v>6788</v>
      </c>
      <c r="K107" s="140">
        <f>VLOOKUP(LEN(SUBSTITUTE(H107,"-","")),datos!$A$1:$B$12,2,0)</f>
        <v>7</v>
      </c>
      <c r="L107" s="138"/>
      <c r="M107" s="138" t="s">
        <v>0</v>
      </c>
    </row>
    <row r="108" spans="1:13" x14ac:dyDescent="0.35">
      <c r="A108" s="138" t="s">
        <v>487</v>
      </c>
      <c r="B108" s="138" t="s">
        <v>3809</v>
      </c>
      <c r="C108" s="138" t="s">
        <v>3810</v>
      </c>
      <c r="D108" s="138" t="s">
        <v>3811</v>
      </c>
      <c r="E108" s="138" t="s">
        <v>3852</v>
      </c>
      <c r="F108" s="138" t="s">
        <v>3854</v>
      </c>
      <c r="G108" s="138" t="s">
        <v>3923</v>
      </c>
      <c r="H108" s="81" t="str">
        <f t="shared" si="14"/>
        <v>TCCN-PTE-PCH-CNP-CTR-STR-PO2</v>
      </c>
      <c r="I108" s="138" t="str">
        <f>MID(H108,1,(LEN(H108)-VLOOKUP(K108,datos!$B$2:$C$12,2,0)))</f>
        <v>TCCN-PTE-PCH-CNP-CTR-STR-PO2</v>
      </c>
      <c r="J108" s="138" t="s">
        <v>6789</v>
      </c>
      <c r="K108" s="140">
        <f>VLOOKUP(LEN(SUBSTITUTE(H108,"-","")),datos!$A$1:$B$12,2,0)</f>
        <v>7</v>
      </c>
      <c r="L108" s="138"/>
      <c r="M108" s="138" t="s">
        <v>0</v>
      </c>
    </row>
    <row r="109" spans="1:13" x14ac:dyDescent="0.35">
      <c r="A109" s="138" t="s">
        <v>487</v>
      </c>
      <c r="B109" s="138" t="s">
        <v>3809</v>
      </c>
      <c r="C109" s="138" t="s">
        <v>3810</v>
      </c>
      <c r="D109" s="138" t="s">
        <v>3811</v>
      </c>
      <c r="E109" s="138" t="s">
        <v>3852</v>
      </c>
      <c r="F109" s="138" t="s">
        <v>3854</v>
      </c>
      <c r="G109" s="138" t="s">
        <v>3924</v>
      </c>
      <c r="H109" s="81" t="str">
        <f t="shared" si="14"/>
        <v>TCCN-PTE-PCH-CNP-CTR-STR-PO3</v>
      </c>
      <c r="I109" s="138" t="str">
        <f>MID(H109,1,(LEN(H109)-VLOOKUP(K109,datos!$B$2:$C$12,2,0)))</f>
        <v>TCCN-PTE-PCH-CNP-CTR-STR-PO3</v>
      </c>
      <c r="J109" s="138" t="s">
        <v>6790</v>
      </c>
      <c r="K109" s="140">
        <f>VLOOKUP(LEN(SUBSTITUTE(H109,"-","")),datos!$A$1:$B$12,2,0)</f>
        <v>7</v>
      </c>
      <c r="L109" s="138"/>
      <c r="M109" s="138" t="s">
        <v>0</v>
      </c>
    </row>
    <row r="110" spans="1:13" x14ac:dyDescent="0.35">
      <c r="A110" s="138" t="s">
        <v>487</v>
      </c>
      <c r="B110" s="138" t="s">
        <v>3809</v>
      </c>
      <c r="C110" s="138" t="s">
        <v>3810</v>
      </c>
      <c r="D110" s="138" t="s">
        <v>3811</v>
      </c>
      <c r="E110" s="138" t="s">
        <v>3852</v>
      </c>
      <c r="F110" s="138" t="s">
        <v>3854</v>
      </c>
      <c r="G110" s="138" t="s">
        <v>3925</v>
      </c>
      <c r="H110" s="81" t="str">
        <f t="shared" si="14"/>
        <v>TCCN-PTE-PCH-CNP-CTR-STR-PO4</v>
      </c>
      <c r="I110" s="138" t="str">
        <f>MID(H110,1,(LEN(H110)-VLOOKUP(K110,datos!$B$2:$C$12,2,0)))</f>
        <v>TCCN-PTE-PCH-CNP-CTR-STR-PO4</v>
      </c>
      <c r="J110" s="138" t="s">
        <v>6791</v>
      </c>
      <c r="K110" s="140">
        <f>VLOOKUP(LEN(SUBSTITUTE(H110,"-","")),datos!$A$1:$B$12,2,0)</f>
        <v>7</v>
      </c>
      <c r="L110" s="138"/>
      <c r="M110" s="138" t="s">
        <v>0</v>
      </c>
    </row>
    <row r="111" spans="1:13" x14ac:dyDescent="0.35">
      <c r="A111" s="138" t="s">
        <v>487</v>
      </c>
      <c r="B111" s="138" t="s">
        <v>3809</v>
      </c>
      <c r="C111" s="138" t="s">
        <v>3810</v>
      </c>
      <c r="D111" s="138" t="s">
        <v>3811</v>
      </c>
      <c r="E111" s="138" t="s">
        <v>3852</v>
      </c>
      <c r="F111" s="138" t="s">
        <v>3854</v>
      </c>
      <c r="G111" s="138" t="s">
        <v>3926</v>
      </c>
      <c r="H111" s="81" t="str">
        <f t="shared" si="14"/>
        <v>TCCN-PTE-PCH-CNP-CTR-STR-PO5</v>
      </c>
      <c r="I111" s="138" t="str">
        <f>MID(H111,1,(LEN(H111)-VLOOKUP(K111,datos!$B$2:$C$12,2,0)))</f>
        <v>TCCN-PTE-PCH-CNP-CTR-STR-PO5</v>
      </c>
      <c r="J111" s="138" t="s">
        <v>6792</v>
      </c>
      <c r="K111" s="140">
        <f>VLOOKUP(LEN(SUBSTITUTE(H111,"-","")),datos!$A$1:$B$12,2,0)</f>
        <v>7</v>
      </c>
      <c r="L111" s="138"/>
      <c r="M111" s="138" t="s">
        <v>0</v>
      </c>
    </row>
    <row r="112" spans="1:13" x14ac:dyDescent="0.35">
      <c r="A112" s="138" t="s">
        <v>487</v>
      </c>
      <c r="B112" s="138" t="s">
        <v>3809</v>
      </c>
      <c r="C112" s="138" t="s">
        <v>3810</v>
      </c>
      <c r="D112" s="138" t="s">
        <v>3811</v>
      </c>
      <c r="E112" s="138" t="s">
        <v>3852</v>
      </c>
      <c r="F112" s="138" t="s">
        <v>3854</v>
      </c>
      <c r="G112" s="138" t="s">
        <v>3927</v>
      </c>
      <c r="H112" s="81" t="str">
        <f t="shared" si="14"/>
        <v>TCCN-PTE-PCH-CNP-CTR-STR-PO6</v>
      </c>
      <c r="I112" s="138" t="str">
        <f>MID(H112,1,(LEN(H112)-VLOOKUP(K112,datos!$B$2:$C$12,2,0)))</f>
        <v>TCCN-PTE-PCH-CNP-CTR-STR-PO6</v>
      </c>
      <c r="J112" s="138" t="s">
        <v>6793</v>
      </c>
      <c r="K112" s="140">
        <f>VLOOKUP(LEN(SUBSTITUTE(H112,"-","")),datos!$A$1:$B$12,2,0)</f>
        <v>7</v>
      </c>
      <c r="L112" s="138"/>
      <c r="M112" s="138" t="s">
        <v>0</v>
      </c>
    </row>
    <row r="113" spans="1:13" x14ac:dyDescent="0.35">
      <c r="A113" s="138" t="s">
        <v>487</v>
      </c>
      <c r="B113" s="138" t="s">
        <v>3809</v>
      </c>
      <c r="C113" s="138" t="s">
        <v>3810</v>
      </c>
      <c r="D113" s="138" t="s">
        <v>3811</v>
      </c>
      <c r="E113" s="138" t="s">
        <v>3852</v>
      </c>
      <c r="F113" s="138" t="s">
        <v>3854</v>
      </c>
      <c r="G113" s="138" t="s">
        <v>6787</v>
      </c>
      <c r="H113" s="81" t="str">
        <f t="shared" ref="H113" si="15">CONCATENATE(A113,"-",B113,"-",C113,"-",D113,"-",E113,"-",F113,"-",G113)</f>
        <v>TCCN-PTE-PCH-CNP-CTR-STR-RAS</v>
      </c>
      <c r="I113" s="138" t="str">
        <f>MID(H113,1,(LEN(H113)-VLOOKUP(K113,datos!$B$2:$C$12,2,0)))</f>
        <v>TCCN-PTE-PCH-CNP-CTR-STR-RAS</v>
      </c>
      <c r="J113" s="138" t="s">
        <v>6786</v>
      </c>
      <c r="K113" s="140">
        <f>VLOOKUP(LEN(SUBSTITUTE(H113,"-","")),datos!$A$1:$B$12,2,0)</f>
        <v>7</v>
      </c>
      <c r="L113" s="138"/>
      <c r="M113" s="138" t="s">
        <v>0</v>
      </c>
    </row>
    <row r="114" spans="1:13" x14ac:dyDescent="0.35">
      <c r="A114" s="137" t="s">
        <v>487</v>
      </c>
      <c r="B114" s="137" t="s">
        <v>3809</v>
      </c>
      <c r="C114" s="137" t="s">
        <v>3810</v>
      </c>
      <c r="D114" s="137" t="s">
        <v>3811</v>
      </c>
      <c r="E114" s="137" t="s">
        <v>3852</v>
      </c>
      <c r="F114" s="137" t="s">
        <v>3859</v>
      </c>
      <c r="G114" s="137"/>
      <c r="H114" s="82" t="str">
        <f t="shared" si="8"/>
        <v>TCCN-PTE-PCH-CNP-CTR-STE-</v>
      </c>
      <c r="I114" s="137" t="str">
        <f>MID(H114,1,(LEN(H114)-VLOOKUP(K114,datos!$B$2:$C$12,2,0)))</f>
        <v>TCCN-PTE-PCH-CNP-CTR-STE</v>
      </c>
      <c r="J114" s="137" t="s">
        <v>6304</v>
      </c>
      <c r="K114" s="139">
        <f>VLOOKUP(LEN(SUBSTITUTE(H114,"-","")),datos!$A$1:$B$12,2,0)</f>
        <v>6</v>
      </c>
      <c r="L114" s="137"/>
      <c r="M114" s="137" t="s">
        <v>0</v>
      </c>
    </row>
    <row r="115" spans="1:13" x14ac:dyDescent="0.35">
      <c r="A115" s="138" t="s">
        <v>487</v>
      </c>
      <c r="B115" s="138" t="s">
        <v>3809</v>
      </c>
      <c r="C115" s="138" t="s">
        <v>3810</v>
      </c>
      <c r="D115" s="138" t="s">
        <v>3811</v>
      </c>
      <c r="E115" s="138" t="s">
        <v>3852</v>
      </c>
      <c r="F115" s="138" t="s">
        <v>3859</v>
      </c>
      <c r="G115" s="138" t="s">
        <v>3860</v>
      </c>
      <c r="H115" s="81" t="str">
        <f t="shared" si="8"/>
        <v>TCCN-PTE-PCH-CNP-CTR-STE-TEN</v>
      </c>
      <c r="I115" s="138" t="str">
        <f>MID(H115,1,(LEN(H115)-VLOOKUP(K115,datos!$B$2:$C$12,2,0)))</f>
        <v>TCCN-PTE-PCH-CNP-CTR-STE-TEN</v>
      </c>
      <c r="J115" s="138" t="s">
        <v>6305</v>
      </c>
      <c r="K115" s="140">
        <f>VLOOKUP(LEN(SUBSTITUTE(H115,"-","")),datos!$A$1:$B$12,2,0)</f>
        <v>7</v>
      </c>
      <c r="L115" s="138"/>
      <c r="M115" s="138" t="s">
        <v>0</v>
      </c>
    </row>
    <row r="116" spans="1:13" x14ac:dyDescent="0.35">
      <c r="A116" s="137" t="s">
        <v>487</v>
      </c>
      <c r="B116" s="137" t="s">
        <v>3809</v>
      </c>
      <c r="C116" s="137" t="s">
        <v>3810</v>
      </c>
      <c r="D116" s="137" t="s">
        <v>3811</v>
      </c>
      <c r="E116" s="137" t="s">
        <v>3852</v>
      </c>
      <c r="F116" s="137" t="s">
        <v>3847</v>
      </c>
      <c r="G116" s="137"/>
      <c r="H116" s="82" t="str">
        <f t="shared" si="8"/>
        <v>TCCN-PTE-PCH-CNP-CTR-SMO-</v>
      </c>
      <c r="I116" s="137" t="str">
        <f>MID(H116,1,(LEN(H116)-VLOOKUP(K116,datos!$B$2:$C$12,2,0)))</f>
        <v>TCCN-PTE-PCH-CNP-CTR-SMO</v>
      </c>
      <c r="J116" s="137" t="s">
        <v>6306</v>
      </c>
      <c r="K116" s="139">
        <f>VLOOKUP(LEN(SUBSTITUTE(H116,"-","")),datos!$A$1:$B$12,2,0)</f>
        <v>6</v>
      </c>
      <c r="L116" s="137"/>
      <c r="M116" s="137" t="s">
        <v>0</v>
      </c>
    </row>
    <row r="117" spans="1:13" x14ac:dyDescent="0.35">
      <c r="A117" s="138" t="s">
        <v>487</v>
      </c>
      <c r="B117" s="138" t="s">
        <v>3809</v>
      </c>
      <c r="C117" s="138" t="s">
        <v>3810</v>
      </c>
      <c r="D117" s="138" t="s">
        <v>3811</v>
      </c>
      <c r="E117" s="138" t="s">
        <v>3852</v>
      </c>
      <c r="F117" s="138" t="s">
        <v>3847</v>
      </c>
      <c r="G117" s="138" t="s">
        <v>3819</v>
      </c>
      <c r="H117" s="81" t="str">
        <f t="shared" si="8"/>
        <v>TCCN-PTE-PCH-CNP-CTR-SMO-MOE</v>
      </c>
      <c r="I117" s="138" t="str">
        <f>MID(H117,1,(LEN(H117)-VLOOKUP(K117,datos!$B$2:$C$12,2,0)))</f>
        <v>TCCN-PTE-PCH-CNP-CTR-SMO-MOE</v>
      </c>
      <c r="J117" s="138" t="s">
        <v>6307</v>
      </c>
      <c r="K117" s="140">
        <f>VLOOKUP(LEN(SUBSTITUTE(H117,"-","")),datos!$A$1:$B$12,2,0)</f>
        <v>7</v>
      </c>
      <c r="L117" s="138" t="s">
        <v>32</v>
      </c>
      <c r="M117" s="138" t="s">
        <v>0</v>
      </c>
    </row>
    <row r="118" spans="1:13" x14ac:dyDescent="0.35">
      <c r="A118" s="138" t="s">
        <v>487</v>
      </c>
      <c r="B118" s="138" t="s">
        <v>3809</v>
      </c>
      <c r="C118" s="138" t="s">
        <v>3810</v>
      </c>
      <c r="D118" s="138" t="s">
        <v>3811</v>
      </c>
      <c r="E118" s="138" t="s">
        <v>3852</v>
      </c>
      <c r="F118" s="138" t="s">
        <v>3847</v>
      </c>
      <c r="G118" s="138" t="s">
        <v>3861</v>
      </c>
      <c r="H118" s="81" t="str">
        <f t="shared" si="8"/>
        <v>TCCN-PTE-PCH-CNP-CTR-SMO-RED</v>
      </c>
      <c r="I118" s="138" t="str">
        <f>MID(H118,1,(LEN(H118)-VLOOKUP(K118,datos!$B$2:$C$12,2,0)))</f>
        <v>TCCN-PTE-PCH-CNP-CTR-SMO-RED</v>
      </c>
      <c r="J118" s="138" t="s">
        <v>6308</v>
      </c>
      <c r="K118" s="140">
        <f>VLOOKUP(LEN(SUBSTITUTE(H118,"-","")),datos!$A$1:$B$12,2,0)</f>
        <v>7</v>
      </c>
      <c r="L118" s="138"/>
      <c r="M118" s="138" t="s">
        <v>0</v>
      </c>
    </row>
    <row r="119" spans="1:13" x14ac:dyDescent="0.35">
      <c r="A119" s="138" t="s">
        <v>487</v>
      </c>
      <c r="B119" s="138" t="s">
        <v>3809</v>
      </c>
      <c r="C119" s="138" t="s">
        <v>3810</v>
      </c>
      <c r="D119" s="138" t="s">
        <v>3811</v>
      </c>
      <c r="E119" s="138" t="s">
        <v>3852</v>
      </c>
      <c r="F119" s="138" t="s">
        <v>3847</v>
      </c>
      <c r="G119" s="138" t="s">
        <v>3862</v>
      </c>
      <c r="H119" s="81" t="str">
        <f t="shared" si="8"/>
        <v>TCCN-PTE-PCH-CNP-CTR-SMO-ACP</v>
      </c>
      <c r="I119" s="138" t="str">
        <f>MID(H119,1,(LEN(H119)-VLOOKUP(K119,datos!$B$2:$C$12,2,0)))</f>
        <v>TCCN-PTE-PCH-CNP-CTR-SMO-ACP</v>
      </c>
      <c r="J119" s="138" t="s">
        <v>6309</v>
      </c>
      <c r="K119" s="140">
        <f>VLOOKUP(LEN(SUBSTITUTE(H119,"-","")),datos!$A$1:$B$12,2,0)</f>
        <v>7</v>
      </c>
      <c r="L119" s="138"/>
      <c r="M119" s="138" t="s">
        <v>0</v>
      </c>
    </row>
    <row r="120" spans="1:13" x14ac:dyDescent="0.35">
      <c r="A120" s="138" t="s">
        <v>487</v>
      </c>
      <c r="B120" s="138" t="s">
        <v>3809</v>
      </c>
      <c r="C120" s="138" t="s">
        <v>3810</v>
      </c>
      <c r="D120" s="138" t="s">
        <v>3811</v>
      </c>
      <c r="E120" s="138" t="s">
        <v>3852</v>
      </c>
      <c r="F120" s="138" t="s">
        <v>3847</v>
      </c>
      <c r="G120" s="138" t="s">
        <v>3863</v>
      </c>
      <c r="H120" s="81" t="str">
        <f t="shared" si="8"/>
        <v>TCCN-PTE-PCH-CNP-CTR-SMO-FSE</v>
      </c>
      <c r="I120" s="138" t="str">
        <f>MID(H120,1,(LEN(H120)-VLOOKUP(K120,datos!$B$2:$C$12,2,0)))</f>
        <v>TCCN-PTE-PCH-CNP-CTR-SMO-FSE</v>
      </c>
      <c r="J120" s="138" t="s">
        <v>6310</v>
      </c>
      <c r="K120" s="140">
        <f>VLOOKUP(LEN(SUBSTITUTE(H120,"-","")),datos!$A$1:$B$12,2,0)</f>
        <v>7</v>
      </c>
      <c r="L120" s="138"/>
      <c r="M120" s="138" t="s">
        <v>0</v>
      </c>
    </row>
    <row r="121" spans="1:13" x14ac:dyDescent="0.35">
      <c r="A121" s="138" t="s">
        <v>487</v>
      </c>
      <c r="B121" s="138" t="s">
        <v>3809</v>
      </c>
      <c r="C121" s="138" t="s">
        <v>3810</v>
      </c>
      <c r="D121" s="138" t="s">
        <v>3811</v>
      </c>
      <c r="E121" s="138" t="s">
        <v>3852</v>
      </c>
      <c r="F121" s="138" t="s">
        <v>3847</v>
      </c>
      <c r="G121" s="138" t="s">
        <v>3864</v>
      </c>
      <c r="H121" s="81" t="str">
        <f t="shared" si="8"/>
        <v>TCCN-PTE-PCH-CNP-CTR-SMO-PMO</v>
      </c>
      <c r="I121" s="138" t="str">
        <f>MID(H121,1,(LEN(H121)-VLOOKUP(K121,datos!$B$2:$C$12,2,0)))</f>
        <v>TCCN-PTE-PCH-CNP-CTR-SMO-PMO</v>
      </c>
      <c r="J121" s="138" t="s">
        <v>6311</v>
      </c>
      <c r="K121" s="140">
        <f>VLOOKUP(LEN(SUBSTITUTE(H121,"-","")),datos!$A$1:$B$12,2,0)</f>
        <v>7</v>
      </c>
      <c r="L121" s="138"/>
      <c r="M121" s="138" t="s">
        <v>0</v>
      </c>
    </row>
    <row r="122" spans="1:13" x14ac:dyDescent="0.35">
      <c r="A122" s="137" t="s">
        <v>487</v>
      </c>
      <c r="B122" s="137" t="s">
        <v>3809</v>
      </c>
      <c r="C122" s="137" t="s">
        <v>3810</v>
      </c>
      <c r="D122" s="137" t="s">
        <v>3811</v>
      </c>
      <c r="E122" s="137" t="s">
        <v>3852</v>
      </c>
      <c r="F122" s="137" t="s">
        <v>3831</v>
      </c>
      <c r="G122" s="137"/>
      <c r="H122" s="82" t="str">
        <f t="shared" si="8"/>
        <v>TCCN-PTE-PCH-CNP-CTR-INS-</v>
      </c>
      <c r="I122" s="137" t="str">
        <f>MID(H122,1,(LEN(H122)-VLOOKUP(K122,datos!$B$2:$C$12,2,0)))</f>
        <v>TCCN-PTE-PCH-CNP-CTR-INS</v>
      </c>
      <c r="J122" s="137" t="s">
        <v>6297</v>
      </c>
      <c r="K122" s="139">
        <f>VLOOKUP(LEN(SUBSTITUTE(H122,"-","")),datos!$A$1:$B$12,2,0)</f>
        <v>6</v>
      </c>
      <c r="L122" s="137"/>
      <c r="M122" s="137" t="s">
        <v>0</v>
      </c>
    </row>
    <row r="123" spans="1:13" x14ac:dyDescent="0.35">
      <c r="A123" s="138" t="s">
        <v>487</v>
      </c>
      <c r="B123" s="138" t="s">
        <v>3809</v>
      </c>
      <c r="C123" s="138" t="s">
        <v>3810</v>
      </c>
      <c r="D123" s="138" t="s">
        <v>3811</v>
      </c>
      <c r="E123" s="138" t="s">
        <v>3852</v>
      </c>
      <c r="F123" s="138" t="s">
        <v>3831</v>
      </c>
      <c r="G123" s="138" t="s">
        <v>5202</v>
      </c>
      <c r="H123" s="81" t="str">
        <f t="shared" si="8"/>
        <v>TCCN-PTE-PCH-CNP-CTR-INS-MVD</v>
      </c>
      <c r="I123" s="138" t="str">
        <f>MID(H123,1,(LEN(H123)-VLOOKUP(K123,datos!$B$2:$C$12,2,0)))</f>
        <v>TCCN-PTE-PCH-CNP-CTR-INS-MVD</v>
      </c>
      <c r="J123" s="138" t="s">
        <v>8108</v>
      </c>
      <c r="K123" s="140">
        <f>VLOOKUP(LEN(SUBSTITUTE(H123,"-","")),datos!$A$1:$B$12,2,0)</f>
        <v>7</v>
      </c>
      <c r="L123" s="138" t="s">
        <v>5695</v>
      </c>
      <c r="M123" s="138" t="s">
        <v>0</v>
      </c>
    </row>
    <row r="124" spans="1:13" x14ac:dyDescent="0.35">
      <c r="A124" s="138" t="s">
        <v>487</v>
      </c>
      <c r="B124" s="138" t="s">
        <v>3809</v>
      </c>
      <c r="C124" s="138" t="s">
        <v>3810</v>
      </c>
      <c r="D124" s="138" t="s">
        <v>3811</v>
      </c>
      <c r="E124" s="138" t="s">
        <v>3852</v>
      </c>
      <c r="F124" s="138" t="s">
        <v>3831</v>
      </c>
      <c r="G124" s="138" t="s">
        <v>5256</v>
      </c>
      <c r="H124" s="81" t="str">
        <f t="shared" ref="H124" si="16">CONCATENATE(A124,"-",B124,"-",C124,"-",D124,"-",E124,"-",F124,"-",G124)</f>
        <v>TCCN-PTE-PCH-CNP-CTR-INS-MNV</v>
      </c>
      <c r="I124" s="138" t="str">
        <f>MID(H124,1,(LEN(H124)-VLOOKUP(K124,datos!$B$2:$C$12,2,0)))</f>
        <v>TCCN-PTE-PCH-CNP-CTR-INS-MNV</v>
      </c>
      <c r="J124" s="138" t="s">
        <v>7640</v>
      </c>
      <c r="K124" s="140">
        <f>VLOOKUP(LEN(SUBSTITUTE(H124,"-","")),datos!$A$1:$B$12,2,0)</f>
        <v>7</v>
      </c>
      <c r="L124" s="138" t="s">
        <v>6784</v>
      </c>
      <c r="M124" s="138" t="s">
        <v>0</v>
      </c>
    </row>
    <row r="125" spans="1:13" x14ac:dyDescent="0.35">
      <c r="A125" s="138" t="s">
        <v>487</v>
      </c>
      <c r="B125" s="138" t="s">
        <v>3809</v>
      </c>
      <c r="C125" s="138" t="s">
        <v>3810</v>
      </c>
      <c r="D125" s="138" t="s">
        <v>3811</v>
      </c>
      <c r="E125" s="138" t="s">
        <v>3852</v>
      </c>
      <c r="F125" s="138" t="s">
        <v>3831</v>
      </c>
      <c r="G125" s="138" t="s">
        <v>4087</v>
      </c>
      <c r="H125" s="81" t="str">
        <f t="shared" si="8"/>
        <v>TCCN-PTE-PCH-CNP-CTR-INS-ICO</v>
      </c>
      <c r="I125" s="138" t="str">
        <f>MID(H125,1,(LEN(H125)-VLOOKUP(K125,datos!$B$2:$C$12,2,0)))</f>
        <v>TCCN-PTE-PCH-CNP-CTR-INS-ICO</v>
      </c>
      <c r="J125" s="138" t="s">
        <v>6312</v>
      </c>
      <c r="K125" s="140">
        <f>VLOOKUP(LEN(SUBSTITUTE(H125,"-","")),datos!$A$1:$B$12,2,0)</f>
        <v>7</v>
      </c>
      <c r="L125" s="138" t="s">
        <v>6752</v>
      </c>
      <c r="M125" s="138" t="s">
        <v>0</v>
      </c>
    </row>
    <row r="126" spans="1:13" x14ac:dyDescent="0.35">
      <c r="A126" s="138" t="s">
        <v>487</v>
      </c>
      <c r="B126" s="138" t="s">
        <v>3809</v>
      </c>
      <c r="C126" s="138" t="s">
        <v>3810</v>
      </c>
      <c r="D126" s="138" t="s">
        <v>3811</v>
      </c>
      <c r="E126" s="138" t="s">
        <v>3852</v>
      </c>
      <c r="F126" s="138" t="s">
        <v>3831</v>
      </c>
      <c r="G126" s="138" t="s">
        <v>4342</v>
      </c>
      <c r="H126" s="81" t="str">
        <f t="shared" si="8"/>
        <v>TCCN-PTE-PCH-CNP-CTR-INS-PEM</v>
      </c>
      <c r="I126" s="138" t="str">
        <f>MID(H126,1,(LEN(H126)-VLOOKUP(K126,datos!$B$2:$C$12,2,0)))</f>
        <v>TCCN-PTE-PCH-CNP-CTR-INS-PEM</v>
      </c>
      <c r="J126" s="138" t="s">
        <v>6870</v>
      </c>
      <c r="K126" s="140">
        <f>VLOOKUP(LEN(SUBSTITUTE(H126,"-","")),datos!$A$1:$B$12,2,0)</f>
        <v>7</v>
      </c>
      <c r="L126" s="138" t="s">
        <v>6753</v>
      </c>
      <c r="M126" s="138" t="s">
        <v>0</v>
      </c>
    </row>
    <row r="127" spans="1:13" x14ac:dyDescent="0.35">
      <c r="A127" s="138" t="s">
        <v>487</v>
      </c>
      <c r="B127" s="138" t="s">
        <v>3809</v>
      </c>
      <c r="C127" s="138" t="s">
        <v>3810</v>
      </c>
      <c r="D127" s="138" t="s">
        <v>3811</v>
      </c>
      <c r="E127" s="138" t="s">
        <v>3852</v>
      </c>
      <c r="F127" s="138" t="s">
        <v>3831</v>
      </c>
      <c r="G127" s="138" t="s">
        <v>6813</v>
      </c>
      <c r="H127" s="81" t="str">
        <f t="shared" si="8"/>
        <v>TCCN-PTE-PCH-CNP-CTR-INS-IDE</v>
      </c>
      <c r="I127" s="138" t="str">
        <f>MID(H127,1,(LEN(H127)-VLOOKUP(K127,datos!$B$2:$C$12,2,0)))</f>
        <v>TCCN-PTE-PCH-CNP-CTR-INS-IDE</v>
      </c>
      <c r="J127" s="138" t="s">
        <v>6313</v>
      </c>
      <c r="K127" s="140">
        <f>VLOOKUP(LEN(SUBSTITUTE(H127,"-","")),datos!$A$1:$B$12,2,0)</f>
        <v>7</v>
      </c>
      <c r="L127" s="138" t="s">
        <v>6860</v>
      </c>
      <c r="M127" s="138" t="s">
        <v>0</v>
      </c>
    </row>
    <row r="128" spans="1:13" x14ac:dyDescent="0.35">
      <c r="A128" s="138" t="s">
        <v>487</v>
      </c>
      <c r="B128" s="138" t="s">
        <v>3809</v>
      </c>
      <c r="C128" s="138" t="s">
        <v>3810</v>
      </c>
      <c r="D128" s="138" t="s">
        <v>3811</v>
      </c>
      <c r="E128" s="138" t="s">
        <v>3852</v>
      </c>
      <c r="F128" s="138" t="s">
        <v>3831</v>
      </c>
      <c r="G128" s="138" t="s">
        <v>4088</v>
      </c>
      <c r="H128" s="81" t="str">
        <f t="shared" si="8"/>
        <v>TCCN-PTE-PCH-CNP-CTR-INS-BYB</v>
      </c>
      <c r="I128" s="138" t="str">
        <f>MID(H128,1,(LEN(H128)-VLOOKUP(K128,datos!$B$2:$C$12,2,0)))</f>
        <v>TCCN-PTE-PCH-CNP-CTR-INS-BYB</v>
      </c>
      <c r="J128" s="138" t="s">
        <v>6314</v>
      </c>
      <c r="K128" s="140">
        <f>VLOOKUP(LEN(SUBSTITUTE(H128,"-","")),datos!$A$1:$B$12,2,0)</f>
        <v>7</v>
      </c>
      <c r="L128" s="138" t="s">
        <v>5696</v>
      </c>
      <c r="M128" s="138" t="s">
        <v>0</v>
      </c>
    </row>
    <row r="129" spans="1:13" x14ac:dyDescent="0.35">
      <c r="A129" s="138" t="s">
        <v>487</v>
      </c>
      <c r="B129" s="138" t="s">
        <v>3809</v>
      </c>
      <c r="C129" s="138" t="s">
        <v>3810</v>
      </c>
      <c r="D129" s="138" t="s">
        <v>3811</v>
      </c>
      <c r="E129" s="138" t="s">
        <v>3852</v>
      </c>
      <c r="F129" s="138" t="s">
        <v>3831</v>
      </c>
      <c r="G129" s="138" t="s">
        <v>6814</v>
      </c>
      <c r="H129" s="81" t="str">
        <f t="shared" si="8"/>
        <v>TCCN-PTE-PCH-CNP-CTR-INS-SAM</v>
      </c>
      <c r="I129" s="138" t="str">
        <f>MID(H129,1,(LEN(H129)-VLOOKUP(K129,datos!$B$2:$C$12,2,0)))</f>
        <v>TCCN-PTE-PCH-CNP-CTR-INS-SAM</v>
      </c>
      <c r="J129" s="138" t="s">
        <v>6754</v>
      </c>
      <c r="K129" s="140">
        <f>VLOOKUP(LEN(SUBSTITUTE(H129,"-","")),datos!$A$1:$B$12,2,0)</f>
        <v>7</v>
      </c>
      <c r="L129" s="138" t="s">
        <v>6755</v>
      </c>
      <c r="M129" s="138" t="s">
        <v>0</v>
      </c>
    </row>
    <row r="130" spans="1:13" customFormat="1" ht="14.5" x14ac:dyDescent="0.35">
      <c r="A130" s="129" t="s">
        <v>487</v>
      </c>
      <c r="B130" s="129" t="s">
        <v>3809</v>
      </c>
      <c r="C130" s="129" t="s">
        <v>3810</v>
      </c>
      <c r="D130" s="129" t="s">
        <v>3811</v>
      </c>
      <c r="E130" s="129" t="s">
        <v>3865</v>
      </c>
      <c r="F130" s="129"/>
      <c r="G130" s="129"/>
      <c r="H130" s="83" t="str">
        <f t="shared" si="8"/>
        <v>TCCN-PTE-PCH-CNP-PES--</v>
      </c>
      <c r="I130" s="129" t="str">
        <f>MID(H130,1,(LEN(H130)-VLOOKUP(K130,datos!$B$2:$C$12,2,0)))</f>
        <v>TCCN-PTE-PCH-CNP-PES</v>
      </c>
      <c r="J130" s="129" t="s">
        <v>4702</v>
      </c>
      <c r="K130" s="130">
        <f>VLOOKUP(LEN(SUBSTITUTE(H130,"-","")),datos!$A$1:$B$12,2,0)</f>
        <v>5</v>
      </c>
      <c r="L130" s="129" t="s">
        <v>34</v>
      </c>
      <c r="M130" s="129" t="s">
        <v>0</v>
      </c>
    </row>
    <row r="131" spans="1:13" x14ac:dyDescent="0.35">
      <c r="A131" s="137" t="s">
        <v>487</v>
      </c>
      <c r="B131" s="137" t="s">
        <v>3809</v>
      </c>
      <c r="C131" s="137" t="s">
        <v>3810</v>
      </c>
      <c r="D131" s="137" t="s">
        <v>3811</v>
      </c>
      <c r="E131" s="137" t="s">
        <v>3865</v>
      </c>
      <c r="F131" s="137" t="s">
        <v>5199</v>
      </c>
      <c r="G131" s="137"/>
      <c r="H131" s="82" t="str">
        <f t="shared" si="8"/>
        <v>TCCN-PTE-PCH-CNP-PES-SPJ-</v>
      </c>
      <c r="I131" s="137" t="str">
        <f>MID(H131,1,(LEN(H131)-VLOOKUP(K131,datos!$B$2:$C$12,2,0)))</f>
        <v>TCCN-PTE-PCH-CNP-PES-SPJ</v>
      </c>
      <c r="J131" s="137" t="s">
        <v>6315</v>
      </c>
      <c r="K131" s="139">
        <f>VLOOKUP(LEN(SUBSTITUTE(H131,"-","")),datos!$A$1:$B$12,2,0)</f>
        <v>6</v>
      </c>
      <c r="L131" s="137"/>
      <c r="M131" s="137" t="s">
        <v>0</v>
      </c>
    </row>
    <row r="132" spans="1:13" x14ac:dyDescent="0.35">
      <c r="A132" s="138" t="s">
        <v>487</v>
      </c>
      <c r="B132" s="138" t="s">
        <v>3809</v>
      </c>
      <c r="C132" s="138" t="s">
        <v>3810</v>
      </c>
      <c r="D132" s="138" t="s">
        <v>3811</v>
      </c>
      <c r="E132" s="138" t="s">
        <v>3865</v>
      </c>
      <c r="F132" s="138" t="s">
        <v>5199</v>
      </c>
      <c r="G132" s="138" t="s">
        <v>6320</v>
      </c>
      <c r="H132" s="81" t="str">
        <f t="shared" si="8"/>
        <v>TCCN-PTE-PCH-CNP-PES-SPJ-UMP</v>
      </c>
      <c r="I132" s="138" t="str">
        <f>MID(H132,1,(LEN(H132)-VLOOKUP(K132,datos!$B$2:$C$12,2,0)))</f>
        <v>TCCN-PTE-PCH-CNP-PES-SPJ-UMP</v>
      </c>
      <c r="J132" s="138" t="s">
        <v>8145</v>
      </c>
      <c r="K132" s="140">
        <f>VLOOKUP(LEN(SUBSTITUTE(H132,"-","")),datos!$A$1:$B$12,2,0)</f>
        <v>7</v>
      </c>
      <c r="L132" s="138" t="s">
        <v>6783</v>
      </c>
      <c r="M132" s="138" t="s">
        <v>0</v>
      </c>
    </row>
    <row r="133" spans="1:13" x14ac:dyDescent="0.35">
      <c r="A133" s="138" t="s">
        <v>487</v>
      </c>
      <c r="B133" s="138" t="s">
        <v>3809</v>
      </c>
      <c r="C133" s="138" t="s">
        <v>3810</v>
      </c>
      <c r="D133" s="138" t="s">
        <v>3811</v>
      </c>
      <c r="E133" s="138" t="s">
        <v>3865</v>
      </c>
      <c r="F133" s="138" t="s">
        <v>5199</v>
      </c>
      <c r="G133" s="138" t="s">
        <v>3958</v>
      </c>
      <c r="H133" s="81" t="str">
        <f t="shared" si="8"/>
        <v>TCCN-PTE-PCH-CNP-PES-SPJ-CDC</v>
      </c>
      <c r="I133" s="138" t="str">
        <f>MID(H133,1,(LEN(H133)-VLOOKUP(K133,datos!$B$2:$C$12,2,0)))</f>
        <v>TCCN-PTE-PCH-CNP-PES-SPJ-CDC</v>
      </c>
      <c r="J133" s="138" t="s">
        <v>6316</v>
      </c>
      <c r="K133" s="140">
        <f>VLOOKUP(LEN(SUBSTITUTE(H133,"-","")),datos!$A$1:$B$12,2,0)</f>
        <v>7</v>
      </c>
      <c r="L133" s="138" t="s">
        <v>6782</v>
      </c>
      <c r="M133" s="138" t="s">
        <v>0</v>
      </c>
    </row>
    <row r="134" spans="1:13" x14ac:dyDescent="0.35">
      <c r="A134" s="138" t="s">
        <v>487</v>
      </c>
      <c r="B134" s="138" t="s">
        <v>3809</v>
      </c>
      <c r="C134" s="138" t="s">
        <v>3810</v>
      </c>
      <c r="D134" s="138" t="s">
        <v>3811</v>
      </c>
      <c r="E134" s="138" t="s">
        <v>3865</v>
      </c>
      <c r="F134" s="138" t="s">
        <v>5199</v>
      </c>
      <c r="G134" s="138" t="s">
        <v>5200</v>
      </c>
      <c r="H134" s="81" t="str">
        <f t="shared" si="8"/>
        <v>TCCN-PTE-PCH-CNP-PES-SPJ-CSU</v>
      </c>
      <c r="I134" s="138" t="str">
        <f>MID(H134,1,(LEN(H134)-VLOOKUP(K134,datos!$B$2:$C$12,2,0)))</f>
        <v>TCCN-PTE-PCH-CNP-PES-SPJ-CSU</v>
      </c>
      <c r="J134" s="138" t="s">
        <v>6317</v>
      </c>
      <c r="K134" s="140">
        <f>VLOOKUP(LEN(SUBSTITUTE(H134,"-","")),datos!$A$1:$B$12,2,0)</f>
        <v>7</v>
      </c>
      <c r="L134" s="138"/>
      <c r="M134" s="138" t="s">
        <v>0</v>
      </c>
    </row>
    <row r="135" spans="1:13" x14ac:dyDescent="0.35">
      <c r="A135" s="138" t="s">
        <v>487</v>
      </c>
      <c r="B135" s="138" t="s">
        <v>3809</v>
      </c>
      <c r="C135" s="138" t="s">
        <v>3810</v>
      </c>
      <c r="D135" s="138" t="s">
        <v>3811</v>
      </c>
      <c r="E135" s="138" t="s">
        <v>3865</v>
      </c>
      <c r="F135" s="138" t="s">
        <v>5199</v>
      </c>
      <c r="G135" s="138" t="s">
        <v>5198</v>
      </c>
      <c r="H135" s="81" t="str">
        <f t="shared" si="8"/>
        <v>TCCN-PTE-PCH-CNP-PES-SPJ-POL</v>
      </c>
      <c r="I135" s="138" t="str">
        <f>MID(H135,1,(LEN(H135)-VLOOKUP(K135,datos!$B$2:$C$12,2,0)))</f>
        <v>TCCN-PTE-PCH-CNP-PES-SPJ-POL</v>
      </c>
      <c r="J135" s="138" t="s">
        <v>6318</v>
      </c>
      <c r="K135" s="140">
        <f>VLOOKUP(LEN(SUBSTITUTE(H135,"-","")),datos!$A$1:$B$12,2,0)</f>
        <v>7</v>
      </c>
      <c r="L135" s="138"/>
      <c r="M135" s="138" t="s">
        <v>0</v>
      </c>
    </row>
    <row r="136" spans="1:13" x14ac:dyDescent="0.35">
      <c r="A136" s="138" t="s">
        <v>487</v>
      </c>
      <c r="B136" s="138" t="s">
        <v>3809</v>
      </c>
      <c r="C136" s="138" t="s">
        <v>3810</v>
      </c>
      <c r="D136" s="138" t="s">
        <v>3811</v>
      </c>
      <c r="E136" s="138" t="s">
        <v>3865</v>
      </c>
      <c r="F136" s="138" t="s">
        <v>5199</v>
      </c>
      <c r="G136" s="138" t="s">
        <v>5201</v>
      </c>
      <c r="H136" s="81" t="str">
        <f t="shared" si="8"/>
        <v>TCCN-PTE-PCH-CNP-PES-SPJ-PAT</v>
      </c>
      <c r="I136" s="138" t="str">
        <f>MID(H136,1,(LEN(H136)-VLOOKUP(K136,datos!$B$2:$C$12,2,0)))</f>
        <v>TCCN-PTE-PCH-CNP-PES-SPJ-PAT</v>
      </c>
      <c r="J136" s="138" t="s">
        <v>6319</v>
      </c>
      <c r="K136" s="140">
        <f>VLOOKUP(LEN(SUBSTITUTE(H136,"-","")),datos!$A$1:$B$12,2,0)</f>
        <v>7</v>
      </c>
      <c r="L136" s="138"/>
      <c r="M136" s="138" t="s">
        <v>0</v>
      </c>
    </row>
    <row r="137" spans="1:13" x14ac:dyDescent="0.35">
      <c r="A137" s="138" t="s">
        <v>487</v>
      </c>
      <c r="B137" s="138" t="s">
        <v>3809</v>
      </c>
      <c r="C137" s="138" t="s">
        <v>3810</v>
      </c>
      <c r="D137" s="138" t="s">
        <v>3811</v>
      </c>
      <c r="E137" s="138" t="s">
        <v>3865</v>
      </c>
      <c r="F137" s="138" t="s">
        <v>5199</v>
      </c>
      <c r="G137" s="138" t="s">
        <v>5202</v>
      </c>
      <c r="H137" s="81" t="str">
        <f t="shared" si="8"/>
        <v>TCCN-PTE-PCH-CNP-PES-SPJ-MVD</v>
      </c>
      <c r="I137" s="138" t="str">
        <f>MID(H137,1,(LEN(H137)-VLOOKUP(K137,datos!$B$2:$C$12,2,0)))</f>
        <v>TCCN-PTE-PCH-CNP-PES-SPJ-MVD</v>
      </c>
      <c r="J137" s="138" t="s">
        <v>8107</v>
      </c>
      <c r="K137" s="140">
        <f>VLOOKUP(LEN(SUBSTITUTE(H137,"-","")),datos!$A$1:$B$12,2,0)</f>
        <v>7</v>
      </c>
      <c r="L137" s="138" t="s">
        <v>6781</v>
      </c>
      <c r="M137" s="138" t="s">
        <v>0</v>
      </c>
    </row>
    <row r="138" spans="1:13" customFormat="1" ht="14.5" x14ac:dyDescent="0.35">
      <c r="A138" s="129" t="s">
        <v>487</v>
      </c>
      <c r="B138" s="129" t="s">
        <v>3809</v>
      </c>
      <c r="C138" s="129" t="s">
        <v>3810</v>
      </c>
      <c r="D138" s="129" t="s">
        <v>3811</v>
      </c>
      <c r="E138" s="129" t="s">
        <v>3866</v>
      </c>
      <c r="F138" s="129"/>
      <c r="G138" s="129"/>
      <c r="H138" s="83" t="str">
        <f t="shared" si="8"/>
        <v>TCCN-PTE-PCH-CNP-TC1--</v>
      </c>
      <c r="I138" s="129" t="str">
        <f>MID(H138,1,(LEN(H138)-VLOOKUP(K138,datos!$B$2:$C$12,2,0)))</f>
        <v>TCCN-PTE-PCH-CNP-TC1</v>
      </c>
      <c r="J138" s="129" t="s">
        <v>36</v>
      </c>
      <c r="K138" s="130">
        <f>VLOOKUP(LEN(SUBSTITUTE(H138,"-","")),datos!$A$1:$B$12,2,0)</f>
        <v>5</v>
      </c>
      <c r="L138" s="129" t="s">
        <v>35</v>
      </c>
      <c r="M138" s="129" t="s">
        <v>0</v>
      </c>
    </row>
    <row r="139" spans="1:13" customFormat="1" ht="14.5" x14ac:dyDescent="0.35">
      <c r="A139" s="129" t="s">
        <v>487</v>
      </c>
      <c r="B139" s="129" t="s">
        <v>3809</v>
      </c>
      <c r="C139" s="129" t="s">
        <v>3810</v>
      </c>
      <c r="D139" s="129" t="s">
        <v>3811</v>
      </c>
      <c r="E139" s="129" t="s">
        <v>3871</v>
      </c>
      <c r="F139" s="129"/>
      <c r="G139" s="129"/>
      <c r="H139" s="83" t="str">
        <f t="shared" ref="H139:H164" si="17">CONCATENATE(A139,"-",B139,"-",C139,"-",D139,"-",E139,"-",F139,"-",G139)</f>
        <v>TCCN-PTE-PCH-CNP-TC2--</v>
      </c>
      <c r="I139" s="129" t="str">
        <f>MID(H139,1,(LEN(H139)-VLOOKUP(K139,datos!$B$2:$C$12,2,0)))</f>
        <v>TCCN-PTE-PCH-CNP-TC2</v>
      </c>
      <c r="J139" s="129" t="s">
        <v>40</v>
      </c>
      <c r="K139" s="130">
        <f>VLOOKUP(LEN(SUBSTITUTE(H139,"-","")),datos!$A$1:$B$12,2,0)</f>
        <v>5</v>
      </c>
      <c r="L139" s="129" t="s">
        <v>39</v>
      </c>
      <c r="M139" s="129" t="s">
        <v>0</v>
      </c>
    </row>
    <row r="140" spans="1:13" customFormat="1" ht="14.5" x14ac:dyDescent="0.35">
      <c r="A140" s="129" t="s">
        <v>487</v>
      </c>
      <c r="B140" s="129" t="s">
        <v>3809</v>
      </c>
      <c r="C140" s="129" t="s">
        <v>3810</v>
      </c>
      <c r="D140" s="129" t="s">
        <v>3811</v>
      </c>
      <c r="E140" s="129" t="s">
        <v>3872</v>
      </c>
      <c r="F140" s="129"/>
      <c r="G140" s="129"/>
      <c r="H140" s="83" t="str">
        <f t="shared" si="17"/>
        <v>TCCN-PTE-PCH-CNP-TC3--</v>
      </c>
      <c r="I140" s="129" t="str">
        <f>MID(H140,1,(LEN(H140)-VLOOKUP(K140,datos!$B$2:$C$12,2,0)))</f>
        <v>TCCN-PTE-PCH-CNP-TC3</v>
      </c>
      <c r="J140" s="129" t="s">
        <v>43</v>
      </c>
      <c r="K140" s="130">
        <f>VLOOKUP(LEN(SUBSTITUTE(H140,"-","")),datos!$A$1:$B$12,2,0)</f>
        <v>5</v>
      </c>
      <c r="L140" s="129" t="s">
        <v>42</v>
      </c>
      <c r="M140" s="129" t="s">
        <v>0</v>
      </c>
    </row>
    <row r="141" spans="1:13" customFormat="1" ht="14.5" x14ac:dyDescent="0.35">
      <c r="A141" s="129" t="s">
        <v>487</v>
      </c>
      <c r="B141" s="129" t="s">
        <v>3809</v>
      </c>
      <c r="C141" s="129" t="s">
        <v>3810</v>
      </c>
      <c r="D141" s="129" t="s">
        <v>3811</v>
      </c>
      <c r="E141" s="129" t="s">
        <v>3873</v>
      </c>
      <c r="F141" s="129"/>
      <c r="G141" s="129"/>
      <c r="H141" s="83" t="str">
        <f t="shared" si="17"/>
        <v>TCCN-PTE-PCH-CNP-HUI--</v>
      </c>
      <c r="I141" s="129" t="str">
        <f>MID(H141,1,(LEN(H141)-VLOOKUP(K141,datos!$B$2:$C$12,2,0)))</f>
        <v>TCCN-PTE-PCH-CNP-HUI</v>
      </c>
      <c r="J141" s="129" t="s">
        <v>4703</v>
      </c>
      <c r="K141" s="130">
        <f>VLOOKUP(LEN(SUBSTITUTE(H141,"-","")),datos!$A$1:$B$12,2,0)</f>
        <v>5</v>
      </c>
      <c r="L141" s="129" t="s">
        <v>46</v>
      </c>
      <c r="M141" s="129" t="s">
        <v>0</v>
      </c>
    </row>
    <row r="142" spans="1:13" customFormat="1" ht="14.5" x14ac:dyDescent="0.35">
      <c r="A142" s="129" t="s">
        <v>487</v>
      </c>
      <c r="B142" s="129" t="s">
        <v>3809</v>
      </c>
      <c r="C142" s="129" t="s">
        <v>3810</v>
      </c>
      <c r="D142" s="129" t="s">
        <v>3811</v>
      </c>
      <c r="E142" s="129" t="s">
        <v>4037</v>
      </c>
      <c r="F142" s="129"/>
      <c r="G142" s="129"/>
      <c r="H142" s="83" t="str">
        <f t="shared" si="17"/>
        <v>TCCN-PTE-PCH-CNP-ZZM--</v>
      </c>
      <c r="I142" s="129" t="str">
        <f>MID(H142,1,(LEN(H142)-VLOOKUP(K142,datos!$B$2:$C$12,2,0)))</f>
        <v>TCCN-PTE-PCH-CNP-ZZM</v>
      </c>
      <c r="J142" s="129" t="s">
        <v>4704</v>
      </c>
      <c r="K142" s="130">
        <f>VLOOKUP(LEN(SUBSTITUTE(H142,"-","")),datos!$A$1:$B$12,2,0)</f>
        <v>5</v>
      </c>
      <c r="L142" s="129" t="s">
        <v>4228</v>
      </c>
      <c r="M142" s="129" t="s">
        <v>0</v>
      </c>
    </row>
    <row r="143" spans="1:13" x14ac:dyDescent="0.35">
      <c r="A143" s="137" t="s">
        <v>487</v>
      </c>
      <c r="B143" s="137" t="s">
        <v>3809</v>
      </c>
      <c r="C143" s="137" t="s">
        <v>3810</v>
      </c>
      <c r="D143" s="137" t="s">
        <v>3811</v>
      </c>
      <c r="E143" s="137" t="s">
        <v>4037</v>
      </c>
      <c r="F143" s="137" t="s">
        <v>4229</v>
      </c>
      <c r="G143" s="137"/>
      <c r="H143" s="82" t="str">
        <f t="shared" si="17"/>
        <v>TCCN-PTE-PCH-CNP-ZZM-SBO-</v>
      </c>
      <c r="I143" s="137" t="str">
        <f>MID(H143,1,(LEN(H143)-VLOOKUP(K143,datos!$B$2:$C$12,2,0)))</f>
        <v>TCCN-PTE-PCH-CNP-ZZM-SBO</v>
      </c>
      <c r="J143" s="137" t="s">
        <v>4709</v>
      </c>
      <c r="K143" s="139">
        <f>VLOOKUP(LEN(SUBSTITUTE(H143,"-","")),datos!$A$1:$B$12,2,0)</f>
        <v>6</v>
      </c>
      <c r="L143" s="137"/>
      <c r="M143" s="137" t="s">
        <v>0</v>
      </c>
    </row>
    <row r="144" spans="1:13" x14ac:dyDescent="0.35">
      <c r="A144" s="138" t="s">
        <v>487</v>
      </c>
      <c r="B144" s="138" t="s">
        <v>3809</v>
      </c>
      <c r="C144" s="138" t="s">
        <v>3810</v>
      </c>
      <c r="D144" s="138" t="s">
        <v>3811</v>
      </c>
      <c r="E144" s="138" t="s">
        <v>4037</v>
      </c>
      <c r="F144" s="138" t="s">
        <v>4229</v>
      </c>
      <c r="G144" s="138" t="s">
        <v>3953</v>
      </c>
      <c r="H144" s="81" t="str">
        <f t="shared" si="17"/>
        <v>TCCN-PTE-PCH-CNP-ZZM-SBO-BB1</v>
      </c>
      <c r="I144" s="138" t="str">
        <f>MID(H144,1,(LEN(H144)-VLOOKUP(K144,datos!$B$2:$C$12,2,0)))</f>
        <v>TCCN-PTE-PCH-CNP-ZZM-SBO-BB1</v>
      </c>
      <c r="J144" s="138" t="s">
        <v>4705</v>
      </c>
      <c r="K144" s="140">
        <f>VLOOKUP(LEN(SUBSTITUTE(H144,"-","")),datos!$A$1:$B$12,2,0)</f>
        <v>7</v>
      </c>
      <c r="L144" s="138" t="s">
        <v>4226</v>
      </c>
      <c r="M144" s="138" t="s">
        <v>0</v>
      </c>
    </row>
    <row r="145" spans="1:13" x14ac:dyDescent="0.35">
      <c r="A145" s="138" t="s">
        <v>487</v>
      </c>
      <c r="B145" s="138" t="s">
        <v>3809</v>
      </c>
      <c r="C145" s="138" t="s">
        <v>3810</v>
      </c>
      <c r="D145" s="138" t="s">
        <v>3811</v>
      </c>
      <c r="E145" s="138" t="s">
        <v>4037</v>
      </c>
      <c r="F145" s="138" t="s">
        <v>4229</v>
      </c>
      <c r="G145" s="138" t="s">
        <v>3839</v>
      </c>
      <c r="H145" s="81" t="str">
        <f t="shared" si="17"/>
        <v>TCCN-PTE-PCH-CNP-ZZM-SBO-MO1</v>
      </c>
      <c r="I145" s="138" t="str">
        <f>MID(H145,1,(LEN(H145)-VLOOKUP(K145,datos!$B$2:$C$12,2,0)))</f>
        <v>TCCN-PTE-PCH-CNP-ZZM-SBO-MO1</v>
      </c>
      <c r="J145" s="138" t="s">
        <v>4708</v>
      </c>
      <c r="K145" s="140">
        <f>VLOOKUP(LEN(SUBSTITUTE(H145,"-","")),datos!$A$1:$B$12,2,0)</f>
        <v>7</v>
      </c>
      <c r="L145" s="138" t="s">
        <v>4230</v>
      </c>
      <c r="M145" s="138" t="s">
        <v>0</v>
      </c>
    </row>
    <row r="146" spans="1:13" x14ac:dyDescent="0.35">
      <c r="A146" s="138" t="s">
        <v>487</v>
      </c>
      <c r="B146" s="138" t="s">
        <v>3809</v>
      </c>
      <c r="C146" s="138" t="s">
        <v>3810</v>
      </c>
      <c r="D146" s="138" t="s">
        <v>3811</v>
      </c>
      <c r="E146" s="138" t="s">
        <v>4037</v>
      </c>
      <c r="F146" s="138" t="s">
        <v>4229</v>
      </c>
      <c r="G146" s="138" t="s">
        <v>3942</v>
      </c>
      <c r="H146" s="81" t="str">
        <f t="shared" si="17"/>
        <v>TCCN-PTE-PCH-CNP-ZZM-SBO-BB2</v>
      </c>
      <c r="I146" s="138" t="str">
        <f>MID(H146,1,(LEN(H146)-VLOOKUP(K146,datos!$B$2:$C$12,2,0)))</f>
        <v>TCCN-PTE-PCH-CNP-ZZM-SBO-BB2</v>
      </c>
      <c r="J146" s="138" t="s">
        <v>4706</v>
      </c>
      <c r="K146" s="140">
        <f>VLOOKUP(LEN(SUBSTITUTE(H146,"-","")),datos!$A$1:$B$12,2,0)</f>
        <v>7</v>
      </c>
      <c r="L146" s="138" t="s">
        <v>4227</v>
      </c>
      <c r="M146" s="138" t="s">
        <v>0</v>
      </c>
    </row>
    <row r="147" spans="1:13" x14ac:dyDescent="0.35">
      <c r="A147" s="138" t="s">
        <v>487</v>
      </c>
      <c r="B147" s="138" t="s">
        <v>3809</v>
      </c>
      <c r="C147" s="138" t="s">
        <v>3810</v>
      </c>
      <c r="D147" s="138" t="s">
        <v>3811</v>
      </c>
      <c r="E147" s="138" t="s">
        <v>4037</v>
      </c>
      <c r="F147" s="138" t="s">
        <v>4229</v>
      </c>
      <c r="G147" s="138" t="s">
        <v>3840</v>
      </c>
      <c r="H147" s="81" t="str">
        <f t="shared" si="17"/>
        <v>TCCN-PTE-PCH-CNP-ZZM-SBO-MO2</v>
      </c>
      <c r="I147" s="138" t="str">
        <f>MID(H147,1,(LEN(H147)-VLOOKUP(K147,datos!$B$2:$C$12,2,0)))</f>
        <v>TCCN-PTE-PCH-CNP-ZZM-SBO-MO2</v>
      </c>
      <c r="J147" s="138" t="s">
        <v>4707</v>
      </c>
      <c r="K147" s="140">
        <f>VLOOKUP(LEN(SUBSTITUTE(H147,"-","")),datos!$A$1:$B$12,2,0)</f>
        <v>7</v>
      </c>
      <c r="L147" s="138" t="s">
        <v>4231</v>
      </c>
      <c r="M147" s="138" t="s">
        <v>0</v>
      </c>
    </row>
    <row r="148" spans="1:13" x14ac:dyDescent="0.35">
      <c r="A148" s="138" t="s">
        <v>487</v>
      </c>
      <c r="B148" s="138" t="s">
        <v>3809</v>
      </c>
      <c r="C148" s="138" t="s">
        <v>3810</v>
      </c>
      <c r="D148" s="138" t="s">
        <v>3811</v>
      </c>
      <c r="E148" s="138" t="s">
        <v>4037</v>
      </c>
      <c r="F148" s="138" t="s">
        <v>4229</v>
      </c>
      <c r="G148" s="138" t="s">
        <v>4002</v>
      </c>
      <c r="H148" s="81" t="str">
        <f t="shared" ref="H148" si="18">CONCATENATE(A148,"-",B148,"-",C148,"-",D148,"-",E148,"-",F148,"-",G148)</f>
        <v>TCCN-PTE-PCH-CNP-ZZM-SBO-FJM</v>
      </c>
      <c r="I148" s="138" t="str">
        <f>MID(H148,1,(LEN(H148)-VLOOKUP(K148,datos!$B$2:$C$12,2,0)))</f>
        <v>TCCN-PTE-PCH-CNP-ZZM-SBO-FJM</v>
      </c>
      <c r="J148" s="138" t="s">
        <v>7127</v>
      </c>
      <c r="K148" s="140">
        <f>VLOOKUP(LEN(SUBSTITUTE(H148,"-","")),datos!$A$1:$B$12,2,0)</f>
        <v>7</v>
      </c>
      <c r="L148" s="138" t="s">
        <v>7128</v>
      </c>
      <c r="M148" s="138" t="s">
        <v>0</v>
      </c>
    </row>
    <row r="149" spans="1:13" customFormat="1" ht="14.5" x14ac:dyDescent="0.35">
      <c r="A149" s="129" t="s">
        <v>487</v>
      </c>
      <c r="B149" s="129" t="s">
        <v>3809</v>
      </c>
      <c r="C149" s="129" t="s">
        <v>3810</v>
      </c>
      <c r="D149" s="129" t="s">
        <v>3811</v>
      </c>
      <c r="E149" s="129" t="s">
        <v>3877</v>
      </c>
      <c r="F149" s="129"/>
      <c r="G149" s="129"/>
      <c r="H149" s="83" t="str">
        <f t="shared" si="17"/>
        <v>TCCN-PTE-PCH-CNP-SD2--</v>
      </c>
      <c r="I149" s="129" t="str">
        <f>MID(H149,1,(LEN(H149)-VLOOKUP(K149,datos!$B$2:$C$12,2,0)))</f>
        <v>TCCN-PTE-PCH-CNP-SD2</v>
      </c>
      <c r="J149" s="129" t="s">
        <v>4710</v>
      </c>
      <c r="K149" s="130">
        <f>VLOOKUP(LEN(SUBSTITUTE(H149,"-","")),datos!$A$1:$B$12,2,0)</f>
        <v>5</v>
      </c>
      <c r="L149" s="129" t="s">
        <v>51</v>
      </c>
      <c r="M149" s="129" t="s">
        <v>0</v>
      </c>
    </row>
    <row r="150" spans="1:13" x14ac:dyDescent="0.35">
      <c r="A150" s="137" t="s">
        <v>487</v>
      </c>
      <c r="B150" s="137" t="s">
        <v>3809</v>
      </c>
      <c r="C150" s="137" t="s">
        <v>3810</v>
      </c>
      <c r="D150" s="137" t="s">
        <v>3811</v>
      </c>
      <c r="E150" s="137" t="s">
        <v>3877</v>
      </c>
      <c r="F150" s="137" t="s">
        <v>3875</v>
      </c>
      <c r="G150" s="137"/>
      <c r="H150" s="82" t="str">
        <f t="shared" si="17"/>
        <v>TCCN-PTE-PCH-CNP-SD2-SHN-</v>
      </c>
      <c r="I150" s="137" t="str">
        <f>MID(H150,1,(LEN(H150)-VLOOKUP(K150,datos!$B$2:$C$12,2,0)))</f>
        <v>TCCN-PTE-PCH-CNP-SD2-SHN</v>
      </c>
      <c r="J150" s="137" t="s">
        <v>4712</v>
      </c>
      <c r="K150" s="139">
        <f>VLOOKUP(LEN(SUBSTITUTE(H150,"-","")),datos!$A$1:$B$12,2,0)</f>
        <v>6</v>
      </c>
      <c r="L150" s="137"/>
      <c r="M150" s="137" t="s">
        <v>0</v>
      </c>
    </row>
    <row r="151" spans="1:13" x14ac:dyDescent="0.35">
      <c r="A151" s="138" t="s">
        <v>487</v>
      </c>
      <c r="B151" s="138" t="s">
        <v>3809</v>
      </c>
      <c r="C151" s="138" t="s">
        <v>3810</v>
      </c>
      <c r="D151" s="138" t="s">
        <v>3811</v>
      </c>
      <c r="E151" s="138" t="s">
        <v>3877</v>
      </c>
      <c r="F151" s="138" t="s">
        <v>3875</v>
      </c>
      <c r="G151" s="138" t="s">
        <v>3876</v>
      </c>
      <c r="H151" s="81" t="str">
        <f t="shared" si="17"/>
        <v>TCCN-PTE-PCH-CNP-SD2-SHN-BVV</v>
      </c>
      <c r="I151" s="138" t="str">
        <f>MID(H151,1,(LEN(H151)-VLOOKUP(K151,datos!$B$2:$C$12,2,0)))</f>
        <v>TCCN-PTE-PCH-CNP-SD2-SHN-BVV</v>
      </c>
      <c r="J151" s="138" t="s">
        <v>6696</v>
      </c>
      <c r="K151" s="140">
        <f>VLOOKUP(LEN(SUBSTITUTE(H151,"-","")),datos!$A$1:$B$12,2,0)</f>
        <v>7</v>
      </c>
      <c r="L151" s="138"/>
      <c r="M151" s="138" t="s">
        <v>0</v>
      </c>
    </row>
    <row r="152" spans="1:13" x14ac:dyDescent="0.35">
      <c r="A152" s="137" t="s">
        <v>487</v>
      </c>
      <c r="B152" s="137" t="s">
        <v>3809</v>
      </c>
      <c r="C152" s="137" t="s">
        <v>3810</v>
      </c>
      <c r="D152" s="137" t="s">
        <v>3811</v>
      </c>
      <c r="E152" s="137" t="s">
        <v>3877</v>
      </c>
      <c r="F152" s="137" t="s">
        <v>3831</v>
      </c>
      <c r="G152" s="137"/>
      <c r="H152" s="82" t="str">
        <f t="shared" si="17"/>
        <v>TCCN-PTE-PCH-CNP-SD2-INS-</v>
      </c>
      <c r="I152" s="137" t="str">
        <f>MID(H152,1,(LEN(H152)-VLOOKUP(K152,datos!$B$2:$C$12,2,0)))</f>
        <v>TCCN-PTE-PCH-CNP-SD2-INS</v>
      </c>
      <c r="J152" s="137" t="s">
        <v>6709</v>
      </c>
      <c r="K152" s="139">
        <f>VLOOKUP(LEN(SUBSTITUTE(H152,"-","")),datos!$A$1:$B$12,2,0)</f>
        <v>6</v>
      </c>
      <c r="L152" s="137"/>
      <c r="M152" s="137" t="s">
        <v>0</v>
      </c>
    </row>
    <row r="153" spans="1:13" x14ac:dyDescent="0.35">
      <c r="A153" s="138" t="s">
        <v>487</v>
      </c>
      <c r="B153" s="138" t="s">
        <v>3809</v>
      </c>
      <c r="C153" s="138" t="s">
        <v>3810</v>
      </c>
      <c r="D153" s="138" t="s">
        <v>3811</v>
      </c>
      <c r="E153" s="138" t="s">
        <v>3877</v>
      </c>
      <c r="F153" s="138" t="s">
        <v>3831</v>
      </c>
      <c r="G153" s="138" t="s">
        <v>6898</v>
      </c>
      <c r="H153" s="81" t="str">
        <f t="shared" si="17"/>
        <v>TCCN-PTE-PCH-CNP-SD2-INS-GMO</v>
      </c>
      <c r="I153" s="138" t="str">
        <f>MID(H153,1,(LEN(H153)-VLOOKUP(K153,datos!$B$2:$C$12,2,0)))</f>
        <v>TCCN-PTE-PCH-CNP-SD2-INS-GMO</v>
      </c>
      <c r="J153" s="138" t="s">
        <v>6275</v>
      </c>
      <c r="K153" s="140">
        <f>VLOOKUP(LEN(SUBSTITUTE(H153,"-","")),datos!$A$1:$B$12,2,0)</f>
        <v>7</v>
      </c>
      <c r="L153" s="138"/>
      <c r="M153" s="138" t="s">
        <v>0</v>
      </c>
    </row>
    <row r="154" spans="1:13" x14ac:dyDescent="0.35">
      <c r="A154" s="138" t="s">
        <v>487</v>
      </c>
      <c r="B154" s="138" t="s">
        <v>3809</v>
      </c>
      <c r="C154" s="138" t="s">
        <v>3810</v>
      </c>
      <c r="D154" s="138" t="s">
        <v>3811</v>
      </c>
      <c r="E154" s="138" t="s">
        <v>3877</v>
      </c>
      <c r="F154" s="138" t="s">
        <v>3831</v>
      </c>
      <c r="G154" s="138" t="s">
        <v>4002</v>
      </c>
      <c r="H154" s="81" t="str">
        <f t="shared" ref="H154" si="19">CONCATENATE(A154,"-",B154,"-",C154,"-",D154,"-",E154,"-",F154,"-",G154)</f>
        <v>TCCN-PTE-PCH-CNP-SD2-INS-FJM</v>
      </c>
      <c r="I154" s="138" t="str">
        <f>MID(H154,1,(LEN(H154)-VLOOKUP(K154,datos!$B$2:$C$12,2,0)))</f>
        <v>TCCN-PTE-PCH-CNP-SD2-INS-FJM</v>
      </c>
      <c r="J154" s="138" t="s">
        <v>7119</v>
      </c>
      <c r="K154" s="140">
        <f>VLOOKUP(LEN(SUBSTITUTE(H154,"-","")),datos!$A$1:$B$12,2,0)</f>
        <v>7</v>
      </c>
      <c r="L154" s="138" t="s">
        <v>7120</v>
      </c>
      <c r="M154" s="138" t="s">
        <v>0</v>
      </c>
    </row>
    <row r="155" spans="1:13" customFormat="1" ht="14.5" x14ac:dyDescent="0.35">
      <c r="A155" s="129" t="s">
        <v>487</v>
      </c>
      <c r="B155" s="129" t="s">
        <v>3809</v>
      </c>
      <c r="C155" s="129" t="s">
        <v>3810</v>
      </c>
      <c r="D155" s="129" t="s">
        <v>3811</v>
      </c>
      <c r="E155" s="129" t="s">
        <v>3878</v>
      </c>
      <c r="F155" s="129"/>
      <c r="G155" s="129"/>
      <c r="H155" s="83" t="str">
        <f t="shared" si="17"/>
        <v>TCCN-PTE-PCH-CNP-SD3--</v>
      </c>
      <c r="I155" s="129" t="str">
        <f>MID(H155,1,(LEN(H155)-VLOOKUP(K155,datos!$B$2:$C$12,2,0)))</f>
        <v>TCCN-PTE-PCH-CNP-SD3</v>
      </c>
      <c r="J155" s="129" t="s">
        <v>4711</v>
      </c>
      <c r="K155" s="130">
        <f>VLOOKUP(LEN(SUBSTITUTE(H155,"-","")),datos!$A$1:$B$12,2,0)</f>
        <v>5</v>
      </c>
      <c r="L155" s="129" t="s">
        <v>53</v>
      </c>
      <c r="M155" s="129" t="s">
        <v>0</v>
      </c>
    </row>
    <row r="156" spans="1:13" x14ac:dyDescent="0.35">
      <c r="A156" s="137" t="s">
        <v>487</v>
      </c>
      <c r="B156" s="137" t="s">
        <v>3809</v>
      </c>
      <c r="C156" s="137" t="s">
        <v>3810</v>
      </c>
      <c r="D156" s="137" t="s">
        <v>3811</v>
      </c>
      <c r="E156" s="137" t="s">
        <v>3878</v>
      </c>
      <c r="F156" s="137" t="s">
        <v>3875</v>
      </c>
      <c r="G156" s="137"/>
      <c r="H156" s="82" t="str">
        <f t="shared" si="17"/>
        <v>TCCN-PTE-PCH-CNP-SD3-SHN-</v>
      </c>
      <c r="I156" s="137" t="str">
        <f>MID(H156,1,(LEN(H156)-VLOOKUP(K156,datos!$B$2:$C$12,2,0)))</f>
        <v>TCCN-PTE-PCH-CNP-SD3-SHN</v>
      </c>
      <c r="J156" s="137" t="s">
        <v>4713</v>
      </c>
      <c r="K156" s="139">
        <f>VLOOKUP(LEN(SUBSTITUTE(H156,"-","")),datos!$A$1:$B$12,2,0)</f>
        <v>6</v>
      </c>
      <c r="L156" s="137"/>
      <c r="M156" s="137" t="s">
        <v>0</v>
      </c>
    </row>
    <row r="157" spans="1:13" x14ac:dyDescent="0.35">
      <c r="A157" s="138" t="s">
        <v>487</v>
      </c>
      <c r="B157" s="138" t="s">
        <v>3809</v>
      </c>
      <c r="C157" s="138" t="s">
        <v>3810</v>
      </c>
      <c r="D157" s="138" t="s">
        <v>3811</v>
      </c>
      <c r="E157" s="138" t="s">
        <v>3878</v>
      </c>
      <c r="F157" s="138" t="s">
        <v>3875</v>
      </c>
      <c r="G157" s="138" t="s">
        <v>3876</v>
      </c>
      <c r="H157" s="81" t="str">
        <f t="shared" si="17"/>
        <v>TCCN-PTE-PCH-CNP-SD3-SHN-BVV</v>
      </c>
      <c r="I157" s="138" t="str">
        <f>MID(H157,1,(LEN(H157)-VLOOKUP(K157,datos!$B$2:$C$12,2,0)))</f>
        <v>TCCN-PTE-PCH-CNP-SD3-SHN-BVV</v>
      </c>
      <c r="J157" s="138" t="s">
        <v>6697</v>
      </c>
      <c r="K157" s="140">
        <f>VLOOKUP(LEN(SUBSTITUTE(H157,"-","")),datos!$A$1:$B$12,2,0)</f>
        <v>7</v>
      </c>
      <c r="L157" s="138"/>
      <c r="M157" s="138" t="s">
        <v>0</v>
      </c>
    </row>
    <row r="158" spans="1:13" x14ac:dyDescent="0.35">
      <c r="A158" s="137" t="s">
        <v>487</v>
      </c>
      <c r="B158" s="137" t="s">
        <v>3809</v>
      </c>
      <c r="C158" s="137" t="s">
        <v>3810</v>
      </c>
      <c r="D158" s="137" t="s">
        <v>3811</v>
      </c>
      <c r="E158" s="137" t="s">
        <v>3878</v>
      </c>
      <c r="F158" s="137" t="s">
        <v>3831</v>
      </c>
      <c r="G158" s="137"/>
      <c r="H158" s="82" t="str">
        <f t="shared" si="17"/>
        <v>TCCN-PTE-PCH-CNP-SD3-INS-</v>
      </c>
      <c r="I158" s="137" t="str">
        <f>MID(H158,1,(LEN(H158)-VLOOKUP(K158,datos!$B$2:$C$12,2,0)))</f>
        <v>TCCN-PTE-PCH-CNP-SD3-INS</v>
      </c>
      <c r="J158" s="137" t="s">
        <v>6710</v>
      </c>
      <c r="K158" s="139">
        <f>VLOOKUP(LEN(SUBSTITUTE(H158,"-","")),datos!$A$1:$B$12,2,0)</f>
        <v>6</v>
      </c>
      <c r="L158" s="137"/>
      <c r="M158" s="137" t="s">
        <v>0</v>
      </c>
    </row>
    <row r="159" spans="1:13" x14ac:dyDescent="0.35">
      <c r="A159" s="138" t="s">
        <v>487</v>
      </c>
      <c r="B159" s="138" t="s">
        <v>3809</v>
      </c>
      <c r="C159" s="138" t="s">
        <v>3810</v>
      </c>
      <c r="D159" s="138" t="s">
        <v>3811</v>
      </c>
      <c r="E159" s="138" t="s">
        <v>3878</v>
      </c>
      <c r="F159" s="138" t="s">
        <v>3831</v>
      </c>
      <c r="G159" s="138" t="s">
        <v>6898</v>
      </c>
      <c r="H159" s="81" t="str">
        <f t="shared" si="17"/>
        <v>TCCN-PTE-PCH-CNP-SD3-INS-GMO</v>
      </c>
      <c r="I159" s="138" t="str">
        <f>MID(H159,1,(LEN(H159)-VLOOKUP(K159,datos!$B$2:$C$12,2,0)))</f>
        <v>TCCN-PTE-PCH-CNP-SD3-INS-GMO</v>
      </c>
      <c r="J159" s="138" t="s">
        <v>6728</v>
      </c>
      <c r="K159" s="140">
        <f>VLOOKUP(LEN(SUBSTITUTE(H159,"-","")),datos!$A$1:$B$12,2,0)</f>
        <v>7</v>
      </c>
      <c r="L159" s="138"/>
      <c r="M159" s="138" t="s">
        <v>0</v>
      </c>
    </row>
    <row r="160" spans="1:13" x14ac:dyDescent="0.35">
      <c r="A160" s="138" t="s">
        <v>487</v>
      </c>
      <c r="B160" s="138" t="s">
        <v>3809</v>
      </c>
      <c r="C160" s="138" t="s">
        <v>3810</v>
      </c>
      <c r="D160" s="138" t="s">
        <v>3811</v>
      </c>
      <c r="E160" s="138" t="s">
        <v>3878</v>
      </c>
      <c r="F160" s="138" t="s">
        <v>3831</v>
      </c>
      <c r="G160" s="138" t="s">
        <v>4002</v>
      </c>
      <c r="H160" s="81" t="str">
        <f t="shared" ref="H160" si="20">CONCATENATE(A160,"-",B160,"-",C160,"-",D160,"-",E160,"-",F160,"-",G160)</f>
        <v>TCCN-PTE-PCH-CNP-SD3-INS-FJM</v>
      </c>
      <c r="I160" s="138" t="str">
        <f>MID(H160,1,(LEN(H160)-VLOOKUP(K160,datos!$B$2:$C$12,2,0)))</f>
        <v>TCCN-PTE-PCH-CNP-SD3-INS-FJM</v>
      </c>
      <c r="J160" s="138" t="s">
        <v>7121</v>
      </c>
      <c r="K160" s="140">
        <f>VLOOKUP(LEN(SUBSTITUTE(H160,"-","")),datos!$A$1:$B$12,2,0)</f>
        <v>7</v>
      </c>
      <c r="L160" s="138" t="s">
        <v>7122</v>
      </c>
      <c r="M160" s="138" t="s">
        <v>0</v>
      </c>
    </row>
    <row r="161" spans="1:13" customFormat="1" ht="14.5" x14ac:dyDescent="0.35">
      <c r="A161" s="129" t="s">
        <v>487</v>
      </c>
      <c r="B161" s="129" t="s">
        <v>3809</v>
      </c>
      <c r="C161" s="129" t="s">
        <v>3810</v>
      </c>
      <c r="D161" s="129" t="s">
        <v>3811</v>
      </c>
      <c r="E161" s="129" t="s">
        <v>3880</v>
      </c>
      <c r="F161" s="129"/>
      <c r="G161" s="129"/>
      <c r="H161" s="83" t="str">
        <f t="shared" si="17"/>
        <v>TCCN-PTE-PCH-CNP-DLO--</v>
      </c>
      <c r="I161" s="129" t="str">
        <f>MID(H161,1,(LEN(H161)-VLOOKUP(K161,datos!$B$2:$C$12,2,0)))</f>
        <v>TCCN-PTE-PCH-CNP-DLO</v>
      </c>
      <c r="J161" s="129" t="s">
        <v>169</v>
      </c>
      <c r="K161" s="130">
        <f>VLOOKUP(LEN(SUBSTITUTE(H161,"-","")),datos!$A$1:$B$12,2,0)</f>
        <v>5</v>
      </c>
      <c r="L161" s="129" t="s">
        <v>57</v>
      </c>
      <c r="M161" s="129" t="s">
        <v>0</v>
      </c>
    </row>
    <row r="162" spans="1:13" customFormat="1" ht="14.5" x14ac:dyDescent="0.35">
      <c r="A162" s="129" t="s">
        <v>487</v>
      </c>
      <c r="B162" s="129" t="s">
        <v>3809</v>
      </c>
      <c r="C162" s="129" t="s">
        <v>3810</v>
      </c>
      <c r="D162" s="129" t="s">
        <v>3811</v>
      </c>
      <c r="E162" s="129" t="s">
        <v>3881</v>
      </c>
      <c r="F162" s="129"/>
      <c r="G162" s="129"/>
      <c r="H162" s="83" t="str">
        <f t="shared" si="17"/>
        <v>TCCN-PTE-PCH-CNP-TC4--</v>
      </c>
      <c r="I162" s="129" t="str">
        <f>MID(H162,1,(LEN(H162)-VLOOKUP(K162,datos!$B$2:$C$12,2,0)))</f>
        <v>TCCN-PTE-PCH-CNP-TC4</v>
      </c>
      <c r="J162" s="129" t="s">
        <v>59</v>
      </c>
      <c r="K162" s="130">
        <f>VLOOKUP(LEN(SUBSTITUTE(H162,"-","")),datos!$A$1:$B$12,2,0)</f>
        <v>5</v>
      </c>
      <c r="L162" s="129" t="s">
        <v>58</v>
      </c>
      <c r="M162" s="129" t="s">
        <v>0</v>
      </c>
    </row>
    <row r="163" spans="1:13" customFormat="1" ht="14.5" x14ac:dyDescent="0.35">
      <c r="A163" s="129" t="s">
        <v>487</v>
      </c>
      <c r="B163" s="129" t="s">
        <v>3809</v>
      </c>
      <c r="C163" s="129" t="s">
        <v>3810</v>
      </c>
      <c r="D163" s="129" t="s">
        <v>3811</v>
      </c>
      <c r="E163" s="129" t="s">
        <v>3882</v>
      </c>
      <c r="F163" s="129"/>
      <c r="G163" s="129"/>
      <c r="H163" s="83" t="str">
        <f t="shared" si="17"/>
        <v>TCCN-PTE-PCH-CNP-TC5--</v>
      </c>
      <c r="I163" s="129" t="str">
        <f>MID(H163,1,(LEN(H163)-VLOOKUP(K163,datos!$B$2:$C$12,2,0)))</f>
        <v>TCCN-PTE-PCH-CNP-TC5</v>
      </c>
      <c r="J163" s="129" t="s">
        <v>62</v>
      </c>
      <c r="K163" s="130">
        <f>VLOOKUP(LEN(SUBSTITUTE(H163,"-","")),datos!$A$1:$B$12,2,0)</f>
        <v>5</v>
      </c>
      <c r="L163" s="129" t="s">
        <v>61</v>
      </c>
      <c r="M163" s="129" t="s">
        <v>0</v>
      </c>
    </row>
    <row r="164" spans="1:13" customFormat="1" ht="14.5" x14ac:dyDescent="0.35">
      <c r="A164" s="129" t="s">
        <v>487</v>
      </c>
      <c r="B164" s="129" t="s">
        <v>3809</v>
      </c>
      <c r="C164" s="129" t="s">
        <v>3810</v>
      </c>
      <c r="D164" s="129" t="s">
        <v>3811</v>
      </c>
      <c r="E164" s="129" t="s">
        <v>3883</v>
      </c>
      <c r="F164" s="129"/>
      <c r="G164" s="129"/>
      <c r="H164" s="83" t="str">
        <f t="shared" si="17"/>
        <v>TCCN-PTE-PCH-CNP-TC6--</v>
      </c>
      <c r="I164" s="129" t="str">
        <f>MID(H164,1,(LEN(H164)-VLOOKUP(K164,datos!$B$2:$C$12,2,0)))</f>
        <v>TCCN-PTE-PCH-CNP-TC6</v>
      </c>
      <c r="J164" s="129" t="s">
        <v>65</v>
      </c>
      <c r="K164" s="130">
        <f>VLOOKUP(LEN(SUBSTITUTE(H164,"-","")),datos!$A$1:$B$12,2,0)</f>
        <v>5</v>
      </c>
      <c r="L164" s="129" t="s">
        <v>64</v>
      </c>
      <c r="M164" s="129" t="s">
        <v>0</v>
      </c>
    </row>
    <row r="165" spans="1:13" customFormat="1" ht="14.5" x14ac:dyDescent="0.35">
      <c r="A165" s="129" t="s">
        <v>487</v>
      </c>
      <c r="B165" s="129" t="s">
        <v>3809</v>
      </c>
      <c r="C165" s="129" t="s">
        <v>3810</v>
      </c>
      <c r="D165" s="129" t="s">
        <v>3811</v>
      </c>
      <c r="E165" s="129" t="s">
        <v>3884</v>
      </c>
      <c r="F165" s="129"/>
      <c r="G165" s="129"/>
      <c r="H165" s="83" t="str">
        <f t="shared" ref="H165:H216" si="21">CONCATENATE(A165,"-",B165,"-",C165,"-",D165,"-",E165,"-",F165,"-",G165)</f>
        <v>TCCN-PTE-PCH-CNP-TC7--</v>
      </c>
      <c r="I165" s="129" t="str">
        <f>MID(H165,1,(LEN(H165)-VLOOKUP(K165,datos!$B$2:$C$12,2,0)))</f>
        <v>TCCN-PTE-PCH-CNP-TC7</v>
      </c>
      <c r="J165" s="129" t="s">
        <v>68</v>
      </c>
      <c r="K165" s="130">
        <f>VLOOKUP(LEN(SUBSTITUTE(H165,"-","")),datos!$A$1:$B$12,2,0)</f>
        <v>5</v>
      </c>
      <c r="L165" s="129" t="s">
        <v>67</v>
      </c>
      <c r="M165" s="129" t="s">
        <v>0</v>
      </c>
    </row>
    <row r="166" spans="1:13" customFormat="1" ht="14.5" x14ac:dyDescent="0.35">
      <c r="A166" s="129" t="s">
        <v>487</v>
      </c>
      <c r="B166" s="129" t="s">
        <v>3809</v>
      </c>
      <c r="C166" s="129" t="s">
        <v>3810</v>
      </c>
      <c r="D166" s="129" t="s">
        <v>3811</v>
      </c>
      <c r="E166" s="129" t="s">
        <v>3885</v>
      </c>
      <c r="F166" s="129"/>
      <c r="G166" s="129"/>
      <c r="H166" s="83" t="str">
        <f t="shared" si="21"/>
        <v>TCCN-PTE-PCH-CNP-STP--</v>
      </c>
      <c r="I166" s="129" t="str">
        <f>MID(H166,1,(LEN(H166)-VLOOKUP(K166,datos!$B$2:$C$12,2,0)))</f>
        <v>TCCN-PTE-PCH-CNP-STP</v>
      </c>
      <c r="J166" s="129" t="s">
        <v>70</v>
      </c>
      <c r="K166" s="130">
        <f>VLOOKUP(LEN(SUBSTITUTE(H166,"-","")),datos!$A$1:$B$12,2,0)</f>
        <v>5</v>
      </c>
      <c r="L166" s="129" t="s">
        <v>71</v>
      </c>
      <c r="M166" s="129" t="s">
        <v>0</v>
      </c>
    </row>
    <row r="167" spans="1:13" x14ac:dyDescent="0.35">
      <c r="A167" s="137" t="s">
        <v>487</v>
      </c>
      <c r="B167" s="137" t="s">
        <v>3809</v>
      </c>
      <c r="C167" s="137" t="s">
        <v>3810</v>
      </c>
      <c r="D167" s="137" t="s">
        <v>3811</v>
      </c>
      <c r="E167" s="137" t="s">
        <v>3885</v>
      </c>
      <c r="F167" s="137" t="s">
        <v>3824</v>
      </c>
      <c r="G167" s="137"/>
      <c r="H167" s="82" t="str">
        <f t="shared" si="21"/>
        <v>TCCN-PTE-PCH-CNP-STP-SES-</v>
      </c>
      <c r="I167" s="137" t="str">
        <f>MID(H167,1,(LEN(H167)-VLOOKUP(K167,datos!$B$2:$C$12,2,0)))</f>
        <v>TCCN-PTE-PCH-CNP-STP-SES</v>
      </c>
      <c r="J167" s="137" t="s">
        <v>5698</v>
      </c>
      <c r="K167" s="139">
        <f>VLOOKUP(LEN(SUBSTITUTE(H167,"-","")),datos!$A$1:$B$12,2,0)</f>
        <v>6</v>
      </c>
      <c r="L167" s="137"/>
      <c r="M167" s="137" t="s">
        <v>0</v>
      </c>
    </row>
    <row r="168" spans="1:13" x14ac:dyDescent="0.35">
      <c r="A168" s="138" t="s">
        <v>487</v>
      </c>
      <c r="B168" s="138" t="s">
        <v>3809</v>
      </c>
      <c r="C168" s="138" t="s">
        <v>3810</v>
      </c>
      <c r="D168" s="138" t="s">
        <v>3811</v>
      </c>
      <c r="E168" s="138" t="s">
        <v>3885</v>
      </c>
      <c r="F168" s="138" t="s">
        <v>3824</v>
      </c>
      <c r="G168" s="138" t="s">
        <v>3886</v>
      </c>
      <c r="H168" s="81" t="str">
        <f t="shared" si="21"/>
        <v>TCCN-PTE-PCH-CNP-STP-SES-DSP</v>
      </c>
      <c r="I168" s="138" t="str">
        <f>MID(H168,1,(LEN(H168)-VLOOKUP(K168,datos!$B$2:$C$12,2,0)))</f>
        <v>TCCN-PTE-PCH-CNP-STP-SES-DSP</v>
      </c>
      <c r="J168" s="138" t="s">
        <v>4714</v>
      </c>
      <c r="K168" s="140">
        <f>VLOOKUP(LEN(SUBSTITUTE(H168,"-","")),datos!$A$1:$B$12,2,0)</f>
        <v>7</v>
      </c>
      <c r="L168" s="138"/>
      <c r="M168" s="138" t="s">
        <v>0</v>
      </c>
    </row>
    <row r="169" spans="1:13" x14ac:dyDescent="0.35">
      <c r="A169" s="138" t="s">
        <v>487</v>
      </c>
      <c r="B169" s="138" t="s">
        <v>3809</v>
      </c>
      <c r="C169" s="138" t="s">
        <v>3810</v>
      </c>
      <c r="D169" s="138" t="s">
        <v>3811</v>
      </c>
      <c r="E169" s="138" t="s">
        <v>3885</v>
      </c>
      <c r="F169" s="138" t="s">
        <v>3824</v>
      </c>
      <c r="G169" s="138" t="s">
        <v>3842</v>
      </c>
      <c r="H169" s="81" t="str">
        <f t="shared" si="21"/>
        <v>TCCN-PTE-PCH-CNP-STP-SES-CH1</v>
      </c>
      <c r="I169" s="138" t="str">
        <f>MID(H169,1,(LEN(H169)-VLOOKUP(K169,datos!$B$2:$C$12,2,0)))</f>
        <v>TCCN-PTE-PCH-CNP-STP-SES-CH1</v>
      </c>
      <c r="J169" s="138" t="s">
        <v>5699</v>
      </c>
      <c r="K169" s="140">
        <f>VLOOKUP(LEN(SUBSTITUTE(H169,"-","")),datos!$A$1:$B$12,2,0)</f>
        <v>7</v>
      </c>
      <c r="L169" s="138" t="s">
        <v>5278</v>
      </c>
      <c r="M169" s="138" t="s">
        <v>0</v>
      </c>
    </row>
    <row r="170" spans="1:13" x14ac:dyDescent="0.35">
      <c r="A170" s="138" t="s">
        <v>487</v>
      </c>
      <c r="B170" s="138" t="s">
        <v>3809</v>
      </c>
      <c r="C170" s="138" t="s">
        <v>3810</v>
      </c>
      <c r="D170" s="138" t="s">
        <v>3811</v>
      </c>
      <c r="E170" s="138" t="s">
        <v>3885</v>
      </c>
      <c r="F170" s="138" t="s">
        <v>3824</v>
      </c>
      <c r="G170" s="138" t="s">
        <v>3843</v>
      </c>
      <c r="H170" s="81" t="str">
        <f t="shared" si="21"/>
        <v>TCCN-PTE-PCH-CNP-STP-SES-CH2</v>
      </c>
      <c r="I170" s="138" t="str">
        <f>MID(H170,1,(LEN(H170)-VLOOKUP(K170,datos!$B$2:$C$12,2,0)))</f>
        <v>TCCN-PTE-PCH-CNP-STP-SES-CH2</v>
      </c>
      <c r="J170" s="138" t="s">
        <v>5700</v>
      </c>
      <c r="K170" s="140">
        <f>VLOOKUP(LEN(SUBSTITUTE(H170,"-","")),datos!$A$1:$B$12,2,0)</f>
        <v>7</v>
      </c>
      <c r="L170" s="138" t="s">
        <v>5279</v>
      </c>
      <c r="M170" s="138" t="s">
        <v>0</v>
      </c>
    </row>
    <row r="171" spans="1:13" x14ac:dyDescent="0.35">
      <c r="A171" s="138" t="s">
        <v>487</v>
      </c>
      <c r="B171" s="138" t="s">
        <v>3809</v>
      </c>
      <c r="C171" s="138" t="s">
        <v>3810</v>
      </c>
      <c r="D171" s="138" t="s">
        <v>3811</v>
      </c>
      <c r="E171" s="138" t="s">
        <v>3885</v>
      </c>
      <c r="F171" s="138" t="s">
        <v>3824</v>
      </c>
      <c r="G171" s="138" t="s">
        <v>3887</v>
      </c>
      <c r="H171" s="81" t="str">
        <f t="shared" si="21"/>
        <v>TCCN-PTE-PCH-CNP-STP-SES-PMD</v>
      </c>
      <c r="I171" s="138" t="str">
        <f>MID(H171,1,(LEN(H171)-VLOOKUP(K171,datos!$B$2:$C$12,2,0)))</f>
        <v>TCCN-PTE-PCH-CNP-STP-SES-PMD</v>
      </c>
      <c r="J171" s="138" t="s">
        <v>5701</v>
      </c>
      <c r="K171" s="140">
        <f>VLOOKUP(LEN(SUBSTITUTE(H171,"-","")),datos!$A$1:$B$12,2,0)</f>
        <v>7</v>
      </c>
      <c r="L171" s="138" t="s">
        <v>73</v>
      </c>
      <c r="M171" s="138" t="s">
        <v>0</v>
      </c>
    </row>
    <row r="172" spans="1:13" x14ac:dyDescent="0.35">
      <c r="A172" s="137" t="s">
        <v>487</v>
      </c>
      <c r="B172" s="137" t="s">
        <v>3809</v>
      </c>
      <c r="C172" s="137" t="s">
        <v>3810</v>
      </c>
      <c r="D172" s="137" t="s">
        <v>3811</v>
      </c>
      <c r="E172" s="137" t="s">
        <v>3885</v>
      </c>
      <c r="F172" s="137" t="s">
        <v>3831</v>
      </c>
      <c r="G172" s="137"/>
      <c r="H172" s="82" t="str">
        <f t="shared" si="21"/>
        <v>TCCN-PTE-PCH-CNP-STP-INS-</v>
      </c>
      <c r="I172" s="137" t="str">
        <f>MID(H172,1,(LEN(H172)-VLOOKUP(K172,datos!$B$2:$C$12,2,0)))</f>
        <v>TCCN-PTE-PCH-CNP-STP-INS</v>
      </c>
      <c r="J172" s="137" t="s">
        <v>5702</v>
      </c>
      <c r="K172" s="139">
        <f>VLOOKUP(LEN(SUBSTITUTE(H172,"-","")),datos!$A$1:$B$12,2,0)</f>
        <v>6</v>
      </c>
      <c r="L172" s="137"/>
      <c r="M172" s="137" t="s">
        <v>0</v>
      </c>
    </row>
    <row r="173" spans="1:13" x14ac:dyDescent="0.35">
      <c r="A173" s="138" t="s">
        <v>487</v>
      </c>
      <c r="B173" s="138" t="s">
        <v>3809</v>
      </c>
      <c r="C173" s="138" t="s">
        <v>3810</v>
      </c>
      <c r="D173" s="138" t="s">
        <v>3811</v>
      </c>
      <c r="E173" s="138" t="s">
        <v>3885</v>
      </c>
      <c r="F173" s="138" t="s">
        <v>3831</v>
      </c>
      <c r="G173" s="138" t="s">
        <v>7067</v>
      </c>
      <c r="H173" s="81" t="str">
        <f t="shared" si="21"/>
        <v>TCCN-PTE-PCH-CNP-STP-INS-MN1</v>
      </c>
      <c r="I173" s="138" t="str">
        <f>MID(H173,1,(LEN(H173)-VLOOKUP(K173,datos!$B$2:$C$12,2,0)))</f>
        <v>TCCN-PTE-PCH-CNP-STP-INS-MN1</v>
      </c>
      <c r="J173" s="138" t="s">
        <v>7645</v>
      </c>
      <c r="K173" s="140">
        <f>VLOOKUP(LEN(SUBSTITUTE(H173,"-","")),datos!$A$1:$B$12,2,0)</f>
        <v>7</v>
      </c>
      <c r="L173" s="138" t="s">
        <v>6881</v>
      </c>
      <c r="M173" s="138" t="s">
        <v>0</v>
      </c>
    </row>
    <row r="174" spans="1:13" x14ac:dyDescent="0.35">
      <c r="A174" s="138" t="s">
        <v>487</v>
      </c>
      <c r="B174" s="138" t="s">
        <v>3809</v>
      </c>
      <c r="C174" s="138" t="s">
        <v>3810</v>
      </c>
      <c r="D174" s="138" t="s">
        <v>3811</v>
      </c>
      <c r="E174" s="138" t="s">
        <v>3885</v>
      </c>
      <c r="F174" s="138" t="s">
        <v>3831</v>
      </c>
      <c r="G174" s="138" t="s">
        <v>7068</v>
      </c>
      <c r="H174" s="81" t="str">
        <f t="shared" ref="H174:H176" si="22">CONCATENATE(A174,"-",B174,"-",C174,"-",D174,"-",E174,"-",F174,"-",G174)</f>
        <v>TCCN-PTE-PCH-CNP-STP-INS-MN2</v>
      </c>
      <c r="I174" s="138" t="str">
        <f>MID(H174,1,(LEN(H174)-VLOOKUP(K174,datos!$B$2:$C$12,2,0)))</f>
        <v>TCCN-PTE-PCH-CNP-STP-INS-MN2</v>
      </c>
      <c r="J174" s="138" t="s">
        <v>7604</v>
      </c>
      <c r="K174" s="140">
        <f>VLOOKUP(LEN(SUBSTITUTE(H174,"-","")),datos!$A$1:$B$12,2,0)</f>
        <v>7</v>
      </c>
      <c r="L174" s="138" t="s">
        <v>6882</v>
      </c>
      <c r="M174" s="138" t="s">
        <v>0</v>
      </c>
    </row>
    <row r="175" spans="1:13" x14ac:dyDescent="0.35">
      <c r="A175" s="138" t="s">
        <v>487</v>
      </c>
      <c r="B175" s="138" t="s">
        <v>3809</v>
      </c>
      <c r="C175" s="138" t="s">
        <v>3810</v>
      </c>
      <c r="D175" s="138" t="s">
        <v>3811</v>
      </c>
      <c r="E175" s="138" t="s">
        <v>3885</v>
      </c>
      <c r="F175" s="138" t="s">
        <v>3831</v>
      </c>
      <c r="G175" s="138" t="s">
        <v>4069</v>
      </c>
      <c r="H175" s="81" t="str">
        <f t="shared" si="22"/>
        <v>TCCN-PTE-PCH-CNP-STP-INS-SP1</v>
      </c>
      <c r="I175" s="138" t="str">
        <f>MID(H175,1,(LEN(H175)-VLOOKUP(K175,datos!$B$2:$C$12,2,0)))</f>
        <v>TCCN-PTE-PCH-CNP-STP-INS-SP1</v>
      </c>
      <c r="J175" s="141" t="s">
        <v>6884</v>
      </c>
      <c r="K175" s="140">
        <f>VLOOKUP(LEN(SUBSTITUTE(H175,"-","")),datos!$A$1:$B$12,2,0)</f>
        <v>7</v>
      </c>
      <c r="L175" s="138" t="s">
        <v>6883</v>
      </c>
      <c r="M175" s="138" t="s">
        <v>0</v>
      </c>
    </row>
    <row r="176" spans="1:13" x14ac:dyDescent="0.35">
      <c r="A176" s="138" t="s">
        <v>487</v>
      </c>
      <c r="B176" s="138" t="s">
        <v>3809</v>
      </c>
      <c r="C176" s="138" t="s">
        <v>3810</v>
      </c>
      <c r="D176" s="138" t="s">
        <v>3811</v>
      </c>
      <c r="E176" s="138" t="s">
        <v>3885</v>
      </c>
      <c r="F176" s="138" t="s">
        <v>3831</v>
      </c>
      <c r="G176" s="138" t="s">
        <v>4070</v>
      </c>
      <c r="H176" s="81" t="str">
        <f t="shared" si="22"/>
        <v>TCCN-PTE-PCH-CNP-STP-INS-SP2</v>
      </c>
      <c r="I176" s="138" t="str">
        <f>MID(H176,1,(LEN(H176)-VLOOKUP(K176,datos!$B$2:$C$12,2,0)))</f>
        <v>TCCN-PTE-PCH-CNP-STP-INS-SP2</v>
      </c>
      <c r="J176" s="141" t="s">
        <v>6884</v>
      </c>
      <c r="K176" s="140">
        <f>VLOOKUP(LEN(SUBSTITUTE(H176,"-","")),datos!$A$1:$B$12,2,0)</f>
        <v>7</v>
      </c>
      <c r="L176" s="138" t="s">
        <v>6885</v>
      </c>
      <c r="M176" s="138" t="s">
        <v>0</v>
      </c>
    </row>
    <row r="177" spans="1:13" customFormat="1" ht="14.5" x14ac:dyDescent="0.35">
      <c r="A177" s="129" t="s">
        <v>487</v>
      </c>
      <c r="B177" s="129" t="s">
        <v>3809</v>
      </c>
      <c r="C177" s="129" t="s">
        <v>3810</v>
      </c>
      <c r="D177" s="129" t="s">
        <v>3811</v>
      </c>
      <c r="E177" s="129" t="s">
        <v>3879</v>
      </c>
      <c r="F177" s="129"/>
      <c r="G177" s="129"/>
      <c r="H177" s="83" t="str">
        <f t="shared" si="21"/>
        <v>TCCN-PTE-PCH-CNP-SD4--</v>
      </c>
      <c r="I177" s="129" t="str">
        <f>MID(H177,1,(LEN(H177)-VLOOKUP(K177,datos!$B$2:$C$12,2,0)))</f>
        <v>TCCN-PTE-PCH-CNP-SD4</v>
      </c>
      <c r="J177" s="129" t="s">
        <v>4769</v>
      </c>
      <c r="K177" s="130">
        <f>VLOOKUP(LEN(SUBSTITUTE(H177,"-","")),datos!$A$1:$B$12,2,0)</f>
        <v>5</v>
      </c>
      <c r="L177" s="129" t="s">
        <v>55</v>
      </c>
      <c r="M177" s="129" t="s">
        <v>0</v>
      </c>
    </row>
    <row r="178" spans="1:13" x14ac:dyDescent="0.35">
      <c r="A178" s="137" t="s">
        <v>487</v>
      </c>
      <c r="B178" s="137" t="s">
        <v>3809</v>
      </c>
      <c r="C178" s="137" t="s">
        <v>3810</v>
      </c>
      <c r="D178" s="137" t="s">
        <v>3811</v>
      </c>
      <c r="E178" s="137" t="s">
        <v>3879</v>
      </c>
      <c r="F178" s="137" t="s">
        <v>3875</v>
      </c>
      <c r="G178" s="137"/>
      <c r="H178" s="82" t="str">
        <f t="shared" si="21"/>
        <v>TCCN-PTE-PCH-CNP-SD4-SHN-</v>
      </c>
      <c r="I178" s="137" t="str">
        <f>MID(H178,1,(LEN(H178)-VLOOKUP(K178,datos!$B$2:$C$12,2,0)))</f>
        <v>TCCN-PTE-PCH-CNP-SD4-SHN</v>
      </c>
      <c r="J178" s="137" t="s">
        <v>4770</v>
      </c>
      <c r="K178" s="139">
        <f>VLOOKUP(LEN(SUBSTITUTE(H178,"-","")),datos!$A$1:$B$12,2,0)</f>
        <v>6</v>
      </c>
      <c r="L178" s="137"/>
      <c r="M178" s="137" t="s">
        <v>0</v>
      </c>
    </row>
    <row r="179" spans="1:13" x14ac:dyDescent="0.35">
      <c r="A179" s="138" t="s">
        <v>487</v>
      </c>
      <c r="B179" s="138" t="s">
        <v>3809</v>
      </c>
      <c r="C179" s="138" t="s">
        <v>3810</v>
      </c>
      <c r="D179" s="138" t="s">
        <v>3811</v>
      </c>
      <c r="E179" s="138" t="s">
        <v>3879</v>
      </c>
      <c r="F179" s="138" t="s">
        <v>3875</v>
      </c>
      <c r="G179" s="138" t="s">
        <v>3876</v>
      </c>
      <c r="H179" s="81" t="str">
        <f t="shared" si="21"/>
        <v>TCCN-PTE-PCH-CNP-SD4-SHN-BVV</v>
      </c>
      <c r="I179" s="138" t="str">
        <f>MID(H179,1,(LEN(H179)-VLOOKUP(K179,datos!$B$2:$C$12,2,0)))</f>
        <v>TCCN-PTE-PCH-CNP-SD4-SHN-BVV</v>
      </c>
      <c r="J179" s="138" t="s">
        <v>6698</v>
      </c>
      <c r="K179" s="140">
        <f>VLOOKUP(LEN(SUBSTITUTE(H179,"-","")),datos!$A$1:$B$12,2,0)</f>
        <v>7</v>
      </c>
      <c r="L179" s="138"/>
      <c r="M179" s="138" t="s">
        <v>0</v>
      </c>
    </row>
    <row r="180" spans="1:13" x14ac:dyDescent="0.35">
      <c r="A180" s="137" t="s">
        <v>487</v>
      </c>
      <c r="B180" s="137" t="s">
        <v>3809</v>
      </c>
      <c r="C180" s="137" t="s">
        <v>3810</v>
      </c>
      <c r="D180" s="137" t="s">
        <v>3811</v>
      </c>
      <c r="E180" s="137" t="s">
        <v>3879</v>
      </c>
      <c r="F180" s="137" t="s">
        <v>3831</v>
      </c>
      <c r="G180" s="137"/>
      <c r="H180" s="82" t="str">
        <f t="shared" si="21"/>
        <v>TCCN-PTE-PCH-CNP-SD4-INS-</v>
      </c>
      <c r="I180" s="137" t="str">
        <f>MID(H180,1,(LEN(H180)-VLOOKUP(K180,datos!$B$2:$C$12,2,0)))</f>
        <v>TCCN-PTE-PCH-CNP-SD4-INS</v>
      </c>
      <c r="J180" s="137" t="s">
        <v>6711</v>
      </c>
      <c r="K180" s="139">
        <f>VLOOKUP(LEN(SUBSTITUTE(H180,"-","")),datos!$A$1:$B$12,2,0)</f>
        <v>6</v>
      </c>
      <c r="L180" s="137"/>
      <c r="M180" s="137" t="s">
        <v>0</v>
      </c>
    </row>
    <row r="181" spans="1:13" x14ac:dyDescent="0.35">
      <c r="A181" s="138" t="s">
        <v>487</v>
      </c>
      <c r="B181" s="138" t="s">
        <v>3809</v>
      </c>
      <c r="C181" s="138" t="s">
        <v>3810</v>
      </c>
      <c r="D181" s="138" t="s">
        <v>3811</v>
      </c>
      <c r="E181" s="138" t="s">
        <v>3879</v>
      </c>
      <c r="F181" s="138" t="s">
        <v>3831</v>
      </c>
      <c r="G181" s="138" t="s">
        <v>6898</v>
      </c>
      <c r="H181" s="81" t="str">
        <f t="shared" si="21"/>
        <v>TCCN-PTE-PCH-CNP-SD4-INS-GMO</v>
      </c>
      <c r="I181" s="138" t="str">
        <f>MID(H181,1,(LEN(H181)-VLOOKUP(K181,datos!$B$2:$C$12,2,0)))</f>
        <v>TCCN-PTE-PCH-CNP-SD4-INS-GMO</v>
      </c>
      <c r="J181" s="138" t="s">
        <v>6729</v>
      </c>
      <c r="K181" s="140">
        <f>VLOOKUP(LEN(SUBSTITUTE(H181,"-","")),datos!$A$1:$B$12,2,0)</f>
        <v>7</v>
      </c>
      <c r="L181" s="138"/>
      <c r="M181" s="138" t="s">
        <v>0</v>
      </c>
    </row>
    <row r="182" spans="1:13" x14ac:dyDescent="0.35">
      <c r="A182" s="138" t="s">
        <v>487</v>
      </c>
      <c r="B182" s="138" t="s">
        <v>3809</v>
      </c>
      <c r="C182" s="138" t="s">
        <v>3810</v>
      </c>
      <c r="D182" s="138" t="s">
        <v>3811</v>
      </c>
      <c r="E182" s="138" t="s">
        <v>3879</v>
      </c>
      <c r="F182" s="138" t="s">
        <v>3831</v>
      </c>
      <c r="G182" s="138" t="s">
        <v>4002</v>
      </c>
      <c r="H182" s="81" t="str">
        <f t="shared" ref="H182" si="23">CONCATENATE(A182,"-",B182,"-",C182,"-",D182,"-",E182,"-",F182,"-",G182)</f>
        <v>TCCN-PTE-PCH-CNP-SD4-INS-FJM</v>
      </c>
      <c r="I182" s="138" t="str">
        <f>MID(H182,1,(LEN(H182)-VLOOKUP(K182,datos!$B$2:$C$12,2,0)))</f>
        <v>TCCN-PTE-PCH-CNP-SD4-INS-FJM</v>
      </c>
      <c r="J182" s="138" t="s">
        <v>7125</v>
      </c>
      <c r="K182" s="140">
        <f>VLOOKUP(LEN(SUBSTITUTE(H182,"-","")),datos!$A$1:$B$12,2,0)</f>
        <v>7</v>
      </c>
      <c r="L182" s="138" t="s">
        <v>7126</v>
      </c>
      <c r="M182" s="138" t="s">
        <v>0</v>
      </c>
    </row>
    <row r="183" spans="1:13" customFormat="1" ht="14.5" x14ac:dyDescent="0.35">
      <c r="A183" s="84" t="s">
        <v>487</v>
      </c>
      <c r="B183" s="84" t="s">
        <v>3809</v>
      </c>
      <c r="C183" s="84" t="s">
        <v>3810</v>
      </c>
      <c r="D183" s="84" t="s">
        <v>3888</v>
      </c>
      <c r="E183" s="84"/>
      <c r="F183" s="84"/>
      <c r="G183" s="84"/>
      <c r="H183" s="84" t="str">
        <f>CONCATENATE(A183,"-",B183,"-",C183,"-",D183,"-",E183,"-",F183,"-",G183)</f>
        <v>TCCN-PTE-PCH-SEL---</v>
      </c>
      <c r="I183" s="84" t="str">
        <f>MID(H183,1,(LEN(H183)-VLOOKUP(K183,datos!$B$2:$C$12,2,0)))</f>
        <v>TCCN-PTE-PCH-SEL</v>
      </c>
      <c r="J183" s="84" t="s">
        <v>1356</v>
      </c>
      <c r="K183" s="119">
        <f>VLOOKUP(LEN(SUBSTITUTE(H183,"-","")),datos!$A$1:$B$12,2,0)</f>
        <v>4</v>
      </c>
      <c r="L183" s="84"/>
      <c r="M183" s="84" t="s">
        <v>0</v>
      </c>
    </row>
    <row r="184" spans="1:13" customFormat="1" ht="14.5" x14ac:dyDescent="0.35">
      <c r="A184" s="129" t="s">
        <v>487</v>
      </c>
      <c r="B184" s="129" t="s">
        <v>3809</v>
      </c>
      <c r="C184" s="129" t="s">
        <v>3810</v>
      </c>
      <c r="D184" s="129" t="s">
        <v>3888</v>
      </c>
      <c r="E184" s="129" t="s">
        <v>3889</v>
      </c>
      <c r="F184" s="129"/>
      <c r="G184" s="129"/>
      <c r="H184" s="83" t="str">
        <f t="shared" si="21"/>
        <v>TCCN-PTE-PCH-SEL-SAE--</v>
      </c>
      <c r="I184" s="129" t="str">
        <f>MID(H184,1,(LEN(H184)-VLOOKUP(K184,datos!$B$2:$C$12,2,0)))</f>
        <v>TCCN-PTE-PCH-SEL-SAE</v>
      </c>
      <c r="J184" s="129" t="s">
        <v>4786</v>
      </c>
      <c r="K184" s="130">
        <f>VLOOKUP(LEN(SUBSTITUTE(H184,"-","")),datos!$A$1:$B$12,2,0)</f>
        <v>5</v>
      </c>
      <c r="L184" s="129" t="s">
        <v>437</v>
      </c>
      <c r="M184" s="129" t="s">
        <v>0</v>
      </c>
    </row>
    <row r="185" spans="1:13" x14ac:dyDescent="0.35">
      <c r="A185" s="137" t="s">
        <v>487</v>
      </c>
      <c r="B185" s="137" t="s">
        <v>3809</v>
      </c>
      <c r="C185" s="137" t="s">
        <v>3810</v>
      </c>
      <c r="D185" s="137" t="s">
        <v>3888</v>
      </c>
      <c r="E185" s="137" t="s">
        <v>3889</v>
      </c>
      <c r="F185" s="137" t="s">
        <v>3869</v>
      </c>
      <c r="G185" s="137"/>
      <c r="H185" s="82" t="str">
        <f t="shared" si="21"/>
        <v>TCCN-PTE-PCH-SEL-SAE-SCE-</v>
      </c>
      <c r="I185" s="137" t="str">
        <f>MID(H185,1,(LEN(H185)-VLOOKUP(K185,datos!$B$2:$C$12,2,0)))</f>
        <v>TCCN-PTE-PCH-SEL-SAE-SCE</v>
      </c>
      <c r="J185" s="137" t="s">
        <v>4787</v>
      </c>
      <c r="K185" s="139">
        <f>VLOOKUP(LEN(SUBSTITUTE(H185,"-","")),datos!$A$1:$B$12,2,0)</f>
        <v>6</v>
      </c>
      <c r="L185" s="137"/>
      <c r="M185" s="137" t="s">
        <v>0</v>
      </c>
    </row>
    <row r="186" spans="1:13" x14ac:dyDescent="0.35">
      <c r="A186" s="138" t="s">
        <v>487</v>
      </c>
      <c r="B186" s="138" t="s">
        <v>3809</v>
      </c>
      <c r="C186" s="138" t="s">
        <v>3810</v>
      </c>
      <c r="D186" s="138" t="s">
        <v>3888</v>
      </c>
      <c r="E186" s="138" t="s">
        <v>3889</v>
      </c>
      <c r="F186" s="138" t="s">
        <v>3869</v>
      </c>
      <c r="G186" s="138" t="s">
        <v>3890</v>
      </c>
      <c r="H186" s="81" t="str">
        <f t="shared" si="21"/>
        <v>TCCN-PTE-PCH-SEL-SAE-SCE-CCM</v>
      </c>
      <c r="I186" s="138" t="str">
        <f>MID(H186,1,(LEN(H186)-VLOOKUP(K186,datos!$B$2:$C$12,2,0)))</f>
        <v>TCCN-PTE-PCH-SEL-SAE-SCE-CCM</v>
      </c>
      <c r="J186" s="138" t="s">
        <v>5249</v>
      </c>
      <c r="K186" s="140">
        <f>VLOOKUP(LEN(SUBSTITUTE(H186,"-","")),datos!$A$1:$B$12,2,0)</f>
        <v>7</v>
      </c>
      <c r="L186" s="138" t="s">
        <v>77</v>
      </c>
      <c r="M186" s="138" t="s">
        <v>0</v>
      </c>
    </row>
    <row r="187" spans="1:13" x14ac:dyDescent="0.35">
      <c r="A187" s="138" t="s">
        <v>487</v>
      </c>
      <c r="B187" s="138" t="s">
        <v>3809</v>
      </c>
      <c r="C187" s="138" t="s">
        <v>3810</v>
      </c>
      <c r="D187" s="138" t="s">
        <v>3888</v>
      </c>
      <c r="E187" s="138" t="s">
        <v>3889</v>
      </c>
      <c r="F187" s="138" t="s">
        <v>3869</v>
      </c>
      <c r="G187" s="138" t="s">
        <v>4066</v>
      </c>
      <c r="H187" s="81" t="str">
        <f t="shared" si="21"/>
        <v>TCCN-PTE-PCH-SEL-SAE-SCE-TR1</v>
      </c>
      <c r="I187" s="138" t="str">
        <f>MID(H187,1,(LEN(H187)-VLOOKUP(K187,datos!$B$2:$C$12,2,0)))</f>
        <v>TCCN-PTE-PCH-SEL-SAE-SCE-TR1</v>
      </c>
      <c r="J187" s="138" t="s">
        <v>6321</v>
      </c>
      <c r="K187" s="140">
        <f>VLOOKUP(LEN(SUBSTITUTE(H187,"-","")),datos!$A$1:$B$12,2,0)</f>
        <v>7</v>
      </c>
      <c r="L187" s="138" t="s">
        <v>75</v>
      </c>
      <c r="M187" s="138" t="s">
        <v>0</v>
      </c>
    </row>
    <row r="188" spans="1:13" x14ac:dyDescent="0.35">
      <c r="A188" s="138" t="s">
        <v>487</v>
      </c>
      <c r="B188" s="138" t="s">
        <v>3809</v>
      </c>
      <c r="C188" s="138" t="s">
        <v>3810</v>
      </c>
      <c r="D188" s="138" t="s">
        <v>3888</v>
      </c>
      <c r="E188" s="138" t="s">
        <v>3889</v>
      </c>
      <c r="F188" s="138" t="s">
        <v>3869</v>
      </c>
      <c r="G188" s="138" t="s">
        <v>4067</v>
      </c>
      <c r="H188" s="81" t="str">
        <f t="shared" si="21"/>
        <v>TCCN-PTE-PCH-SEL-SAE-SCE-TR2</v>
      </c>
      <c r="I188" s="138" t="str">
        <f>MID(H188,1,(LEN(H188)-VLOOKUP(K188,datos!$B$2:$C$12,2,0)))</f>
        <v>TCCN-PTE-PCH-SEL-SAE-SCE-TR2</v>
      </c>
      <c r="J188" s="138" t="s">
        <v>6322</v>
      </c>
      <c r="K188" s="140">
        <f>VLOOKUP(LEN(SUBSTITUTE(H188,"-","")),datos!$A$1:$B$12,2,0)</f>
        <v>7</v>
      </c>
      <c r="L188" s="138" t="s">
        <v>1629</v>
      </c>
      <c r="M188" s="138" t="s">
        <v>0</v>
      </c>
    </row>
    <row r="189" spans="1:13" x14ac:dyDescent="0.35">
      <c r="A189" s="138" t="s">
        <v>487</v>
      </c>
      <c r="B189" s="138" t="s">
        <v>3809</v>
      </c>
      <c r="C189" s="138" t="s">
        <v>3810</v>
      </c>
      <c r="D189" s="138" t="s">
        <v>3888</v>
      </c>
      <c r="E189" s="138" t="s">
        <v>3889</v>
      </c>
      <c r="F189" s="138" t="s">
        <v>3869</v>
      </c>
      <c r="G189" s="138" t="s">
        <v>3891</v>
      </c>
      <c r="H189" s="81" t="str">
        <f t="shared" si="21"/>
        <v>TCCN-PTE-PCH-SEL-SAE-SCE-TF1</v>
      </c>
      <c r="I189" s="138" t="str">
        <f>MID(H189,1,(LEN(H189)-VLOOKUP(K189,datos!$B$2:$C$12,2,0)))</f>
        <v>TCCN-PTE-PCH-SEL-SAE-SCE-TF1</v>
      </c>
      <c r="J189" s="138" t="s">
        <v>6323</v>
      </c>
      <c r="K189" s="140">
        <f>VLOOKUP(LEN(SUBSTITUTE(H189,"-","")),datos!$A$1:$B$12,2,0)</f>
        <v>7</v>
      </c>
      <c r="L189" s="138" t="s">
        <v>525</v>
      </c>
      <c r="M189" s="138" t="s">
        <v>0</v>
      </c>
    </row>
    <row r="190" spans="1:13" x14ac:dyDescent="0.35">
      <c r="A190" s="138" t="s">
        <v>487</v>
      </c>
      <c r="B190" s="138" t="s">
        <v>3809</v>
      </c>
      <c r="C190" s="138" t="s">
        <v>3810</v>
      </c>
      <c r="D190" s="138" t="s">
        <v>3888</v>
      </c>
      <c r="E190" s="138" t="s">
        <v>3889</v>
      </c>
      <c r="F190" s="138" t="s">
        <v>3869</v>
      </c>
      <c r="G190" s="138" t="s">
        <v>3892</v>
      </c>
      <c r="H190" s="81" t="str">
        <f t="shared" si="21"/>
        <v>TCCN-PTE-PCH-SEL-SAE-SCE-TF2</v>
      </c>
      <c r="I190" s="138" t="str">
        <f>MID(H190,1,(LEN(H190)-VLOOKUP(K190,datos!$B$2:$C$12,2,0)))</f>
        <v>TCCN-PTE-PCH-SEL-SAE-SCE-TF2</v>
      </c>
      <c r="J190" s="138" t="s">
        <v>6324</v>
      </c>
      <c r="K190" s="140">
        <f>VLOOKUP(LEN(SUBSTITUTE(H190,"-","")),datos!$A$1:$B$12,2,0)</f>
        <v>7</v>
      </c>
      <c r="L190" s="138" t="s">
        <v>526</v>
      </c>
      <c r="M190" s="138" t="s">
        <v>0</v>
      </c>
    </row>
    <row r="191" spans="1:13" x14ac:dyDescent="0.35">
      <c r="A191" s="138" t="s">
        <v>487</v>
      </c>
      <c r="B191" s="138" t="s">
        <v>3809</v>
      </c>
      <c r="C191" s="138" t="s">
        <v>3810</v>
      </c>
      <c r="D191" s="138" t="s">
        <v>3888</v>
      </c>
      <c r="E191" s="138" t="s">
        <v>3889</v>
      </c>
      <c r="F191" s="138" t="s">
        <v>3869</v>
      </c>
      <c r="G191" s="138" t="s">
        <v>3893</v>
      </c>
      <c r="H191" s="81" t="str">
        <f t="shared" si="21"/>
        <v>TCCN-PTE-PCH-SEL-SAE-SCE-TF3</v>
      </c>
      <c r="I191" s="138" t="str">
        <f>MID(H191,1,(LEN(H191)-VLOOKUP(K191,datos!$B$2:$C$12,2,0)))</f>
        <v>TCCN-PTE-PCH-SEL-SAE-SCE-TF3</v>
      </c>
      <c r="J191" s="138" t="s">
        <v>6712</v>
      </c>
      <c r="K191" s="140">
        <f>VLOOKUP(LEN(SUBSTITUTE(H191,"-","")),datos!$A$1:$B$12,2,0)</f>
        <v>7</v>
      </c>
      <c r="L191" s="138" t="s">
        <v>527</v>
      </c>
      <c r="M191" s="138" t="s">
        <v>0</v>
      </c>
    </row>
    <row r="192" spans="1:13" x14ac:dyDescent="0.35">
      <c r="A192" s="138" t="s">
        <v>487</v>
      </c>
      <c r="B192" s="138" t="s">
        <v>3809</v>
      </c>
      <c r="C192" s="138" t="s">
        <v>3810</v>
      </c>
      <c r="D192" s="138" t="s">
        <v>3888</v>
      </c>
      <c r="E192" s="138" t="s">
        <v>3889</v>
      </c>
      <c r="F192" s="138" t="s">
        <v>3869</v>
      </c>
      <c r="G192" s="138" t="s">
        <v>3895</v>
      </c>
      <c r="H192" s="81" t="str">
        <f t="shared" si="21"/>
        <v>TCCN-PTE-PCH-SEL-SAE-SCE-FTP</v>
      </c>
      <c r="I192" s="138" t="str">
        <f>MID(H192,1,(LEN(H192)-VLOOKUP(K192,datos!$B$2:$C$12,2,0)))</f>
        <v>TCCN-PTE-PCH-SEL-SAE-SCE-FTP</v>
      </c>
      <c r="J192" s="138" t="s">
        <v>6325</v>
      </c>
      <c r="K192" s="140">
        <f>VLOOKUP(LEN(SUBSTITUTE(H192,"-","")),datos!$A$1:$B$12,2,0)</f>
        <v>7</v>
      </c>
      <c r="L192" s="138" t="s">
        <v>528</v>
      </c>
      <c r="M192" s="138" t="s">
        <v>0</v>
      </c>
    </row>
    <row r="193" spans="1:13" x14ac:dyDescent="0.35">
      <c r="A193" s="138" t="s">
        <v>487</v>
      </c>
      <c r="B193" s="138" t="s">
        <v>3809</v>
      </c>
      <c r="C193" s="138" t="s">
        <v>3810</v>
      </c>
      <c r="D193" s="138" t="s">
        <v>3888</v>
      </c>
      <c r="E193" s="138" t="s">
        <v>3889</v>
      </c>
      <c r="F193" s="138" t="s">
        <v>3869</v>
      </c>
      <c r="G193" s="138" t="s">
        <v>3896</v>
      </c>
      <c r="H193" s="81" t="str">
        <f t="shared" si="21"/>
        <v>TCCN-PTE-PCH-SEL-SAE-SCE-CBN</v>
      </c>
      <c r="I193" s="138" t="str">
        <f>MID(H193,1,(LEN(H193)-VLOOKUP(K193,datos!$B$2:$C$12,2,0)))</f>
        <v>TCCN-PTE-PCH-SEL-SAE-SCE-CBN</v>
      </c>
      <c r="J193" s="138" t="s">
        <v>6326</v>
      </c>
      <c r="K193" s="140">
        <f>VLOOKUP(LEN(SUBSTITUTE(H193,"-","")),datos!$A$1:$B$12,2,0)</f>
        <v>7</v>
      </c>
      <c r="L193" s="138" t="s">
        <v>529</v>
      </c>
      <c r="M193" s="138" t="s">
        <v>0</v>
      </c>
    </row>
    <row r="194" spans="1:13" x14ac:dyDescent="0.35">
      <c r="A194" s="138" t="s">
        <v>487</v>
      </c>
      <c r="B194" s="138" t="s">
        <v>3809</v>
      </c>
      <c r="C194" s="138" t="s">
        <v>3810</v>
      </c>
      <c r="D194" s="138" t="s">
        <v>3888</v>
      </c>
      <c r="E194" s="138" t="s">
        <v>3889</v>
      </c>
      <c r="F194" s="138" t="s">
        <v>3869</v>
      </c>
      <c r="G194" s="138" t="s">
        <v>6897</v>
      </c>
      <c r="H194" s="81" t="str">
        <f t="shared" si="21"/>
        <v>TCCN-PTE-PCH-SEL-SAE-SCE-GDC</v>
      </c>
      <c r="I194" s="138" t="str">
        <f>MID(H194,1,(LEN(H194)-VLOOKUP(K194,datos!$B$2:$C$12,2,0)))</f>
        <v>TCCN-PTE-PCH-SEL-SAE-SCE-GDC</v>
      </c>
      <c r="J194" s="138" t="s">
        <v>6327</v>
      </c>
      <c r="K194" s="140">
        <f>VLOOKUP(LEN(SUBSTITUTE(H194,"-","")),datos!$A$1:$B$12,2,0)</f>
        <v>7</v>
      </c>
      <c r="L194" s="138" t="s">
        <v>530</v>
      </c>
      <c r="M194" s="138" t="s">
        <v>0</v>
      </c>
    </row>
    <row r="195" spans="1:13" x14ac:dyDescent="0.35">
      <c r="A195" s="138" t="s">
        <v>487</v>
      </c>
      <c r="B195" s="138" t="s">
        <v>3809</v>
      </c>
      <c r="C195" s="138" t="s">
        <v>3810</v>
      </c>
      <c r="D195" s="138" t="s">
        <v>3888</v>
      </c>
      <c r="E195" s="138" t="s">
        <v>3889</v>
      </c>
      <c r="F195" s="138" t="s">
        <v>3869</v>
      </c>
      <c r="G195" s="138" t="s">
        <v>3898</v>
      </c>
      <c r="H195" s="81" t="str">
        <f t="shared" si="21"/>
        <v>TCCN-PTE-PCH-SEL-SAE-SCE-EX1</v>
      </c>
      <c r="I195" s="138" t="str">
        <f>MID(H195,1,(LEN(H195)-VLOOKUP(K195,datos!$B$2:$C$12,2,0)))</f>
        <v>TCCN-PTE-PCH-SEL-SAE-SCE-EX1</v>
      </c>
      <c r="J195" s="138" t="s">
        <v>6899</v>
      </c>
      <c r="K195" s="140">
        <f>VLOOKUP(LEN(SUBSTITUTE(H195,"-","")),datos!$A$1:$B$12,2,0)</f>
        <v>7</v>
      </c>
      <c r="L195" s="138" t="s">
        <v>531</v>
      </c>
      <c r="M195" s="138" t="s">
        <v>0</v>
      </c>
    </row>
    <row r="196" spans="1:13" x14ac:dyDescent="0.35">
      <c r="A196" s="138" t="s">
        <v>487</v>
      </c>
      <c r="B196" s="138" t="s">
        <v>3809</v>
      </c>
      <c r="C196" s="138" t="s">
        <v>3810</v>
      </c>
      <c r="D196" s="138" t="s">
        <v>3888</v>
      </c>
      <c r="E196" s="138" t="s">
        <v>3889</v>
      </c>
      <c r="F196" s="138" t="s">
        <v>3869</v>
      </c>
      <c r="G196" s="138" t="s">
        <v>3899</v>
      </c>
      <c r="H196" s="81" t="str">
        <f t="shared" si="21"/>
        <v>TCCN-PTE-PCH-SEL-SAE-SCE-EX2</v>
      </c>
      <c r="I196" s="138" t="str">
        <f>MID(H196,1,(LEN(H196)-VLOOKUP(K196,datos!$B$2:$C$12,2,0)))</f>
        <v>TCCN-PTE-PCH-SEL-SAE-SCE-EX2</v>
      </c>
      <c r="J196" s="138" t="s">
        <v>6900</v>
      </c>
      <c r="K196" s="140">
        <f>VLOOKUP(LEN(SUBSTITUTE(H196,"-","")),datos!$A$1:$B$12,2,0)</f>
        <v>7</v>
      </c>
      <c r="L196" s="138" t="s">
        <v>532</v>
      </c>
      <c r="M196" s="138" t="s">
        <v>0</v>
      </c>
    </row>
    <row r="197" spans="1:13" x14ac:dyDescent="0.35">
      <c r="A197" s="138" t="s">
        <v>487</v>
      </c>
      <c r="B197" s="138" t="s">
        <v>3809</v>
      </c>
      <c r="C197" s="138" t="s">
        <v>3810</v>
      </c>
      <c r="D197" s="138" t="s">
        <v>3888</v>
      </c>
      <c r="E197" s="138" t="s">
        <v>3889</v>
      </c>
      <c r="F197" s="138" t="s">
        <v>3869</v>
      </c>
      <c r="G197" s="138" t="s">
        <v>8002</v>
      </c>
      <c r="H197" s="81" t="str">
        <f t="shared" si="21"/>
        <v>TCCN-PTE-PCH-SEL-SAE-SCE-AD1</v>
      </c>
      <c r="I197" s="138" t="str">
        <f>MID(H197,1,(LEN(H197)-VLOOKUP(K197,datos!$B$2:$C$12,2,0)))</f>
        <v>TCCN-PTE-PCH-SEL-SAE-SCE-AD1</v>
      </c>
      <c r="J197" s="138" t="s">
        <v>6328</v>
      </c>
      <c r="K197" s="140">
        <f>VLOOKUP(LEN(SUBSTITUTE(H197,"-","")),datos!$A$1:$B$12,2,0)</f>
        <v>7</v>
      </c>
      <c r="L197" s="138" t="s">
        <v>533</v>
      </c>
      <c r="M197" s="138" t="s">
        <v>0</v>
      </c>
    </row>
    <row r="198" spans="1:13" x14ac:dyDescent="0.35">
      <c r="A198" s="138" t="s">
        <v>487</v>
      </c>
      <c r="B198" s="138" t="s">
        <v>3809</v>
      </c>
      <c r="C198" s="138" t="s">
        <v>3810</v>
      </c>
      <c r="D198" s="138" t="s">
        <v>3888</v>
      </c>
      <c r="E198" s="138" t="s">
        <v>3889</v>
      </c>
      <c r="F198" s="138" t="s">
        <v>3869</v>
      </c>
      <c r="G198" s="138" t="s">
        <v>8003</v>
      </c>
      <c r="H198" s="81" t="str">
        <f t="shared" si="21"/>
        <v>TCCN-PTE-PCH-SEL-SAE-SCE-AD2</v>
      </c>
      <c r="I198" s="138" t="str">
        <f>MID(H198,1,(LEN(H198)-VLOOKUP(K198,datos!$B$2:$C$12,2,0)))</f>
        <v>TCCN-PTE-PCH-SEL-SAE-SCE-AD2</v>
      </c>
      <c r="J198" s="138" t="s">
        <v>6329</v>
      </c>
      <c r="K198" s="140">
        <f>VLOOKUP(LEN(SUBSTITUTE(H198,"-","")),datos!$A$1:$B$12,2,0)</f>
        <v>7</v>
      </c>
      <c r="L198" s="138" t="s">
        <v>534</v>
      </c>
      <c r="M198" s="138" t="s">
        <v>0</v>
      </c>
    </row>
    <row r="199" spans="1:13" x14ac:dyDescent="0.35">
      <c r="A199" s="138" t="s">
        <v>487</v>
      </c>
      <c r="B199" s="138" t="s">
        <v>3809</v>
      </c>
      <c r="C199" s="138" t="s">
        <v>3810</v>
      </c>
      <c r="D199" s="138" t="s">
        <v>3888</v>
      </c>
      <c r="E199" s="138" t="s">
        <v>3889</v>
      </c>
      <c r="F199" s="138" t="s">
        <v>3869</v>
      </c>
      <c r="G199" s="138" t="s">
        <v>3902</v>
      </c>
      <c r="H199" s="81" t="str">
        <f t="shared" si="21"/>
        <v>TCCN-PTE-PCH-SEL-SAE-SCE-SEC</v>
      </c>
      <c r="I199" s="138" t="str">
        <f>MID(H199,1,(LEN(H199)-VLOOKUP(K199,datos!$B$2:$C$12,2,0)))</f>
        <v>TCCN-PTE-PCH-SEL-SAE-SCE-SEC</v>
      </c>
      <c r="J199" s="138" t="s">
        <v>6330</v>
      </c>
      <c r="K199" s="140">
        <f>VLOOKUP(LEN(SUBSTITUTE(H199,"-","")),datos!$A$1:$B$12,2,0)</f>
        <v>7</v>
      </c>
      <c r="L199" s="138" t="s">
        <v>535</v>
      </c>
      <c r="M199" s="138" t="s">
        <v>0</v>
      </c>
    </row>
    <row r="200" spans="1:13" x14ac:dyDescent="0.35">
      <c r="A200" s="138" t="s">
        <v>487</v>
      </c>
      <c r="B200" s="138" t="s">
        <v>3809</v>
      </c>
      <c r="C200" s="138" t="s">
        <v>3810</v>
      </c>
      <c r="D200" s="138" t="s">
        <v>3888</v>
      </c>
      <c r="E200" s="138" t="s">
        <v>3889</v>
      </c>
      <c r="F200" s="138" t="s">
        <v>3869</v>
      </c>
      <c r="G200" s="138" t="s">
        <v>4148</v>
      </c>
      <c r="H200" s="81" t="str">
        <f t="shared" si="21"/>
        <v>TCCN-PTE-PCH-SEL-SAE-SCE-EPZ</v>
      </c>
      <c r="I200" s="138" t="str">
        <f>MID(H200,1,(LEN(H200)-VLOOKUP(K200,datos!$B$2:$C$12,2,0)))</f>
        <v>TCCN-PTE-PCH-SEL-SAE-SCE-EPZ</v>
      </c>
      <c r="J200" s="138" t="s">
        <v>6331</v>
      </c>
      <c r="K200" s="140">
        <f>VLOOKUP(LEN(SUBSTITUTE(H200,"-","")),datos!$A$1:$B$12,2,0)</f>
        <v>7</v>
      </c>
      <c r="L200" s="138" t="s">
        <v>536</v>
      </c>
      <c r="M200" s="138" t="s">
        <v>0</v>
      </c>
    </row>
    <row r="201" spans="1:13" x14ac:dyDescent="0.35">
      <c r="A201" s="138" t="s">
        <v>487</v>
      </c>
      <c r="B201" s="138" t="s">
        <v>3809</v>
      </c>
      <c r="C201" s="138" t="s">
        <v>3810</v>
      </c>
      <c r="D201" s="138" t="s">
        <v>3888</v>
      </c>
      <c r="E201" s="138" t="s">
        <v>3889</v>
      </c>
      <c r="F201" s="138" t="s">
        <v>3869</v>
      </c>
      <c r="G201" s="138" t="s">
        <v>6890</v>
      </c>
      <c r="H201" s="81" t="str">
        <f t="shared" si="21"/>
        <v>TCCN-PTE-PCH-SEL-SAE-SCE-TI1</v>
      </c>
      <c r="I201" s="138" t="str">
        <f>MID(H201,1,(LEN(H201)-VLOOKUP(K201,datos!$B$2:$C$12,2,0)))</f>
        <v>TCCN-PTE-PCH-SEL-SAE-SCE-TI1</v>
      </c>
      <c r="J201" s="138" t="s">
        <v>6332</v>
      </c>
      <c r="K201" s="140">
        <f>VLOOKUP(LEN(SUBSTITUTE(H201,"-","")),datos!$A$1:$B$12,2,0)</f>
        <v>7</v>
      </c>
      <c r="L201" s="138" t="s">
        <v>537</v>
      </c>
      <c r="M201" s="138" t="s">
        <v>0</v>
      </c>
    </row>
    <row r="202" spans="1:13" x14ac:dyDescent="0.35">
      <c r="A202" s="138" t="s">
        <v>487</v>
      </c>
      <c r="B202" s="138" t="s">
        <v>3809</v>
      </c>
      <c r="C202" s="138" t="s">
        <v>3810</v>
      </c>
      <c r="D202" s="138" t="s">
        <v>3888</v>
      </c>
      <c r="E202" s="138" t="s">
        <v>3889</v>
      </c>
      <c r="F202" s="138" t="s">
        <v>3869</v>
      </c>
      <c r="G202" s="138" t="s">
        <v>3903</v>
      </c>
      <c r="H202" s="81" t="str">
        <f t="shared" si="21"/>
        <v>TCCN-PTE-PCH-SEL-SAE-SCE-PC1</v>
      </c>
      <c r="I202" s="138" t="str">
        <f>MID(H202,1,(LEN(H202)-VLOOKUP(K202,datos!$B$2:$C$12,2,0)))</f>
        <v>TCCN-PTE-PCH-SEL-SAE-SCE-PC1</v>
      </c>
      <c r="J202" s="138" t="s">
        <v>6333</v>
      </c>
      <c r="K202" s="140">
        <f>VLOOKUP(LEN(SUBSTITUTE(H202,"-","")),datos!$A$1:$B$12,2,0)</f>
        <v>7</v>
      </c>
      <c r="L202" s="138" t="s">
        <v>538</v>
      </c>
      <c r="M202" s="138" t="s">
        <v>0</v>
      </c>
    </row>
    <row r="203" spans="1:13" x14ac:dyDescent="0.35">
      <c r="A203" s="138" t="s">
        <v>487</v>
      </c>
      <c r="B203" s="138" t="s">
        <v>3809</v>
      </c>
      <c r="C203" s="138" t="s">
        <v>3810</v>
      </c>
      <c r="D203" s="138" t="s">
        <v>3888</v>
      </c>
      <c r="E203" s="138" t="s">
        <v>3889</v>
      </c>
      <c r="F203" s="138" t="s">
        <v>3869</v>
      </c>
      <c r="G203" s="138" t="s">
        <v>3904</v>
      </c>
      <c r="H203" s="81" t="str">
        <f t="shared" si="21"/>
        <v>TCCN-PTE-PCH-SEL-SAE-SCE-PC2</v>
      </c>
      <c r="I203" s="138" t="str">
        <f>MID(H203,1,(LEN(H203)-VLOOKUP(K203,datos!$B$2:$C$12,2,0)))</f>
        <v>TCCN-PTE-PCH-SEL-SAE-SCE-PC2</v>
      </c>
      <c r="J203" s="138" t="s">
        <v>6334</v>
      </c>
      <c r="K203" s="140">
        <f>VLOOKUP(LEN(SUBSTITUTE(H203,"-","")),datos!$A$1:$B$12,2,0)</f>
        <v>7</v>
      </c>
      <c r="L203" s="138" t="s">
        <v>539</v>
      </c>
      <c r="M203" s="138" t="s">
        <v>0</v>
      </c>
    </row>
    <row r="204" spans="1:13" x14ac:dyDescent="0.35">
      <c r="A204" s="138" t="s">
        <v>487</v>
      </c>
      <c r="B204" s="138" t="s">
        <v>3809</v>
      </c>
      <c r="C204" s="138" t="s">
        <v>3810</v>
      </c>
      <c r="D204" s="138" t="s">
        <v>3888</v>
      </c>
      <c r="E204" s="138" t="s">
        <v>3889</v>
      </c>
      <c r="F204" s="138" t="s">
        <v>3869</v>
      </c>
      <c r="G204" s="138" t="s">
        <v>5290</v>
      </c>
      <c r="H204" s="81" t="str">
        <f t="shared" si="21"/>
        <v>TCCN-PTE-PCH-SEL-SAE-SCE-GBT</v>
      </c>
      <c r="I204" s="138" t="str">
        <f>MID(H204,1,(LEN(H204)-VLOOKUP(K204,datos!$B$2:$C$12,2,0)))</f>
        <v>TCCN-PTE-PCH-SEL-SAE-SCE-GBT</v>
      </c>
      <c r="J204" s="138" t="s">
        <v>6335</v>
      </c>
      <c r="K204" s="140">
        <f>VLOOKUP(LEN(SUBSTITUTE(H204,"-","")),datos!$A$1:$B$12,2,0)</f>
        <v>7</v>
      </c>
      <c r="L204" s="138" t="s">
        <v>540</v>
      </c>
      <c r="M204" s="138" t="s">
        <v>0</v>
      </c>
    </row>
    <row r="205" spans="1:13" x14ac:dyDescent="0.35">
      <c r="A205" s="138" t="s">
        <v>487</v>
      </c>
      <c r="B205" s="138" t="s">
        <v>3809</v>
      </c>
      <c r="C205" s="138" t="s">
        <v>3810</v>
      </c>
      <c r="D205" s="138" t="s">
        <v>3888</v>
      </c>
      <c r="E205" s="138" t="s">
        <v>3889</v>
      </c>
      <c r="F205" s="138" t="s">
        <v>3869</v>
      </c>
      <c r="G205" s="138" t="s">
        <v>3906</v>
      </c>
      <c r="H205" s="81" t="str">
        <f t="shared" si="21"/>
        <v>TCCN-PTE-PCH-SEL-SAE-SCE-RK1</v>
      </c>
      <c r="I205" s="138" t="str">
        <f>MID(H205,1,(LEN(H205)-VLOOKUP(K205,datos!$B$2:$C$12,2,0)))</f>
        <v>TCCN-PTE-PCH-SEL-SAE-SCE-RK1</v>
      </c>
      <c r="J205" s="138" t="s">
        <v>6336</v>
      </c>
      <c r="K205" s="140">
        <f>VLOOKUP(LEN(SUBSTITUTE(H205,"-","")),datos!$A$1:$B$12,2,0)</f>
        <v>7</v>
      </c>
      <c r="L205" s="138" t="s">
        <v>541</v>
      </c>
      <c r="M205" s="138" t="s">
        <v>0</v>
      </c>
    </row>
    <row r="206" spans="1:13" x14ac:dyDescent="0.35">
      <c r="A206" s="138" t="s">
        <v>487</v>
      </c>
      <c r="B206" s="138" t="s">
        <v>3809</v>
      </c>
      <c r="C206" s="138" t="s">
        <v>3810</v>
      </c>
      <c r="D206" s="138" t="s">
        <v>3888</v>
      </c>
      <c r="E206" s="138" t="s">
        <v>3889</v>
      </c>
      <c r="F206" s="138" t="s">
        <v>3869</v>
      </c>
      <c r="G206" s="138" t="s">
        <v>3908</v>
      </c>
      <c r="H206" s="81" t="str">
        <f t="shared" si="21"/>
        <v>TCCN-PTE-PCH-SEL-SAE-SCE-SCA</v>
      </c>
      <c r="I206" s="138" t="str">
        <f>MID(H206,1,(LEN(H206)-VLOOKUP(K206,datos!$B$2:$C$12,2,0)))</f>
        <v>TCCN-PTE-PCH-SEL-SAE-SCE-SCA</v>
      </c>
      <c r="J206" s="138" t="s">
        <v>6337</v>
      </c>
      <c r="K206" s="140">
        <f>VLOOKUP(LEN(SUBSTITUTE(H206,"-","")),datos!$A$1:$B$12,2,0)</f>
        <v>7</v>
      </c>
      <c r="L206" s="138" t="s">
        <v>542</v>
      </c>
      <c r="M206" s="138" t="s">
        <v>0</v>
      </c>
    </row>
    <row r="207" spans="1:13" x14ac:dyDescent="0.35">
      <c r="A207" s="138" t="s">
        <v>487</v>
      </c>
      <c r="B207" s="138" t="s">
        <v>3809</v>
      </c>
      <c r="C207" s="138" t="s">
        <v>3810</v>
      </c>
      <c r="D207" s="138" t="s">
        <v>3888</v>
      </c>
      <c r="E207" s="138" t="s">
        <v>3889</v>
      </c>
      <c r="F207" s="138" t="s">
        <v>3869</v>
      </c>
      <c r="G207" s="138" t="s">
        <v>3909</v>
      </c>
      <c r="H207" s="81" t="str">
        <f t="shared" si="21"/>
        <v>TCCN-PTE-PCH-SEL-SAE-SCE-GTS</v>
      </c>
      <c r="I207" s="138" t="str">
        <f>MID(H207,1,(LEN(H207)-VLOOKUP(K207,datos!$B$2:$C$12,2,0)))</f>
        <v>TCCN-PTE-PCH-SEL-SAE-SCE-GTS</v>
      </c>
      <c r="J207" s="138" t="s">
        <v>6338</v>
      </c>
      <c r="K207" s="140">
        <f>VLOOKUP(LEN(SUBSTITUTE(H207,"-","")),datos!$A$1:$B$12,2,0)</f>
        <v>7</v>
      </c>
      <c r="L207" s="138" t="s">
        <v>543</v>
      </c>
      <c r="M207" s="138" t="s">
        <v>0</v>
      </c>
    </row>
    <row r="208" spans="1:13" x14ac:dyDescent="0.35">
      <c r="A208" s="138" t="s">
        <v>487</v>
      </c>
      <c r="B208" s="138" t="s">
        <v>3809</v>
      </c>
      <c r="C208" s="138" t="s">
        <v>3810</v>
      </c>
      <c r="D208" s="138" t="s">
        <v>3888</v>
      </c>
      <c r="E208" s="138" t="s">
        <v>3889</v>
      </c>
      <c r="F208" s="138" t="s">
        <v>3869</v>
      </c>
      <c r="G208" s="138" t="s">
        <v>6891</v>
      </c>
      <c r="H208" s="81" t="str">
        <f t="shared" si="21"/>
        <v>TCCN-PTE-PCH-SEL-SAE-SCE-TR3</v>
      </c>
      <c r="I208" s="138" t="str">
        <f>MID(H208,1,(LEN(H208)-VLOOKUP(K208,datos!$B$2:$C$12,2,0)))</f>
        <v>TCCN-PTE-PCH-SEL-SAE-SCE-TR3</v>
      </c>
      <c r="J208" s="138" t="s">
        <v>6892</v>
      </c>
      <c r="K208" s="140">
        <f>VLOOKUP(LEN(SUBSTITUTE(H208,"-","")),datos!$A$1:$B$12,2,0)</f>
        <v>7</v>
      </c>
      <c r="L208" s="138" t="s">
        <v>74</v>
      </c>
      <c r="M208" s="138" t="s">
        <v>0</v>
      </c>
    </row>
    <row r="209" spans="1:13" x14ac:dyDescent="0.35">
      <c r="A209" s="138" t="s">
        <v>487</v>
      </c>
      <c r="B209" s="138" t="s">
        <v>3809</v>
      </c>
      <c r="C209" s="138" t="s">
        <v>3810</v>
      </c>
      <c r="D209" s="138" t="s">
        <v>3888</v>
      </c>
      <c r="E209" s="138" t="s">
        <v>3889</v>
      </c>
      <c r="F209" s="138" t="s">
        <v>3869</v>
      </c>
      <c r="G209" s="138" t="s">
        <v>3911</v>
      </c>
      <c r="H209" s="81" t="str">
        <f t="shared" si="21"/>
        <v>TCCN-PTE-PCH-SEL-SAE-SCE-BC2</v>
      </c>
      <c r="I209" s="138" t="str">
        <f>MID(H209,1,(LEN(H209)-VLOOKUP(K209,datos!$B$2:$C$12,2,0)))</f>
        <v>TCCN-PTE-PCH-SEL-SAE-SCE-BC2</v>
      </c>
      <c r="J209" s="138" t="s">
        <v>6339</v>
      </c>
      <c r="K209" s="140">
        <f>VLOOKUP(LEN(SUBSTITUTE(H209,"-","")),datos!$A$1:$B$12,2,0)</f>
        <v>7</v>
      </c>
      <c r="L209" s="138" t="s">
        <v>1425</v>
      </c>
      <c r="M209" s="138" t="s">
        <v>0</v>
      </c>
    </row>
    <row r="210" spans="1:13" x14ac:dyDescent="0.35">
      <c r="A210" s="138" t="s">
        <v>487</v>
      </c>
      <c r="B210" s="138" t="s">
        <v>3809</v>
      </c>
      <c r="C210" s="138" t="s">
        <v>3810</v>
      </c>
      <c r="D210" s="138" t="s">
        <v>3888</v>
      </c>
      <c r="E210" s="138" t="s">
        <v>3889</v>
      </c>
      <c r="F210" s="138" t="s">
        <v>3869</v>
      </c>
      <c r="G210" s="138" t="s">
        <v>3912</v>
      </c>
      <c r="H210" s="81" t="str">
        <f t="shared" si="21"/>
        <v>TCCN-PTE-PCH-SEL-SAE-SCE-BC3</v>
      </c>
      <c r="I210" s="138" t="str">
        <f>MID(H210,1,(LEN(H210)-VLOOKUP(K210,datos!$B$2:$C$12,2,0)))</f>
        <v>TCCN-PTE-PCH-SEL-SAE-SCE-BC3</v>
      </c>
      <c r="J210" s="138" t="s">
        <v>6339</v>
      </c>
      <c r="K210" s="140">
        <f>VLOOKUP(LEN(SUBSTITUTE(H210,"-","")),datos!$A$1:$B$12,2,0)</f>
        <v>7</v>
      </c>
      <c r="L210" s="138" t="s">
        <v>1426</v>
      </c>
      <c r="M210" s="138" t="s">
        <v>0</v>
      </c>
    </row>
    <row r="211" spans="1:13" x14ac:dyDescent="0.35">
      <c r="A211" s="137" t="s">
        <v>487</v>
      </c>
      <c r="B211" s="137" t="s">
        <v>3809</v>
      </c>
      <c r="C211" s="137" t="s">
        <v>3810</v>
      </c>
      <c r="D211" s="137" t="s">
        <v>3888</v>
      </c>
      <c r="E211" s="137" t="s">
        <v>3889</v>
      </c>
      <c r="F211" s="137" t="s">
        <v>5232</v>
      </c>
      <c r="G211" s="137"/>
      <c r="H211" s="82" t="str">
        <f t="shared" si="21"/>
        <v>TCCN-PTE-PCH-SEL-SAE-SAL-</v>
      </c>
      <c r="I211" s="137" t="str">
        <f>MID(H211,1,(LEN(H211)-VLOOKUP(K211,datos!$B$2:$C$12,2,0)))</f>
        <v>TCCN-PTE-PCH-SEL-SAE-SAL</v>
      </c>
      <c r="J211" s="137" t="s">
        <v>6340</v>
      </c>
      <c r="K211" s="139">
        <f>VLOOKUP(LEN(SUBSTITUTE(H211,"-","")),datos!$A$1:$B$12,2,0)</f>
        <v>6</v>
      </c>
      <c r="L211" s="137"/>
      <c r="M211" s="137" t="s">
        <v>0</v>
      </c>
    </row>
    <row r="212" spans="1:13" x14ac:dyDescent="0.35">
      <c r="A212" s="138" t="s">
        <v>487</v>
      </c>
      <c r="B212" s="138" t="s">
        <v>3809</v>
      </c>
      <c r="C212" s="138" t="s">
        <v>3810</v>
      </c>
      <c r="D212" s="138" t="s">
        <v>3888</v>
      </c>
      <c r="E212" s="138" t="s">
        <v>3889</v>
      </c>
      <c r="F212" s="138" t="s">
        <v>5232</v>
      </c>
      <c r="G212" s="138" t="s">
        <v>4066</v>
      </c>
      <c r="H212" s="81" t="str">
        <f t="shared" si="21"/>
        <v>TCCN-PTE-PCH-SEL-SAE-SAL-TR1</v>
      </c>
      <c r="I212" s="138" t="str">
        <f>MID(H212,1,(LEN(H212)-VLOOKUP(K212,datos!$B$2:$C$12,2,0)))</f>
        <v>TCCN-PTE-PCH-SEL-SAE-SAL-TR1</v>
      </c>
      <c r="J212" s="138" t="s">
        <v>886</v>
      </c>
      <c r="K212" s="140">
        <f>VLOOKUP(LEN(SUBSTITUTE(H212,"-","")),datos!$A$1:$B$12,2,0)</f>
        <v>7</v>
      </c>
      <c r="L212" s="138" t="s">
        <v>76</v>
      </c>
      <c r="M212" s="138" t="s">
        <v>0</v>
      </c>
    </row>
    <row r="213" spans="1:13" x14ac:dyDescent="0.35">
      <c r="A213" s="138" t="s">
        <v>487</v>
      </c>
      <c r="B213" s="138" t="s">
        <v>3809</v>
      </c>
      <c r="C213" s="138" t="s">
        <v>3810</v>
      </c>
      <c r="D213" s="138" t="s">
        <v>3888</v>
      </c>
      <c r="E213" s="138" t="s">
        <v>3889</v>
      </c>
      <c r="F213" s="138" t="s">
        <v>5232</v>
      </c>
      <c r="G213" s="138" t="s">
        <v>6887</v>
      </c>
      <c r="H213" s="81" t="str">
        <f t="shared" si="21"/>
        <v>TCCN-PTE-PCH-SEL-SAE-SAL-TA1</v>
      </c>
      <c r="I213" s="138" t="str">
        <f>MID(H213,1,(LEN(H213)-VLOOKUP(K213,datos!$B$2:$C$12,2,0)))</f>
        <v>TCCN-PTE-PCH-SEL-SAE-SAL-TA1</v>
      </c>
      <c r="J213" s="138" t="s">
        <v>5242</v>
      </c>
      <c r="K213" s="140">
        <f>VLOOKUP(LEN(SUBSTITUTE(H213,"-","")),datos!$A$1:$B$12,2,0)</f>
        <v>7</v>
      </c>
      <c r="L213" s="138" t="s">
        <v>5243</v>
      </c>
      <c r="M213" s="138" t="s">
        <v>0</v>
      </c>
    </row>
    <row r="214" spans="1:13" x14ac:dyDescent="0.35">
      <c r="A214" s="138" t="s">
        <v>487</v>
      </c>
      <c r="B214" s="138" t="s">
        <v>3809</v>
      </c>
      <c r="C214" s="138" t="s">
        <v>3810</v>
      </c>
      <c r="D214" s="138" t="s">
        <v>3888</v>
      </c>
      <c r="E214" s="138" t="s">
        <v>3889</v>
      </c>
      <c r="F214" s="138" t="s">
        <v>5232</v>
      </c>
      <c r="G214" s="138" t="s">
        <v>6888</v>
      </c>
      <c r="H214" s="81" t="str">
        <f t="shared" si="21"/>
        <v>TCCN-PTE-PCH-SEL-SAE-SAL-TA2</v>
      </c>
      <c r="I214" s="138" t="str">
        <f>MID(H214,1,(LEN(H214)-VLOOKUP(K214,datos!$B$2:$C$12,2,0)))</f>
        <v>TCCN-PTE-PCH-SEL-SAE-SAL-TA2</v>
      </c>
      <c r="J214" s="138" t="s">
        <v>5242</v>
      </c>
      <c r="K214" s="140">
        <f>VLOOKUP(LEN(SUBSTITUTE(H214,"-","")),datos!$A$1:$B$12,2,0)</f>
        <v>7</v>
      </c>
      <c r="L214" s="138" t="s">
        <v>5244</v>
      </c>
      <c r="M214" s="138" t="s">
        <v>0</v>
      </c>
    </row>
    <row r="215" spans="1:13" x14ac:dyDescent="0.35">
      <c r="A215" s="138" t="s">
        <v>487</v>
      </c>
      <c r="B215" s="138" t="s">
        <v>3809</v>
      </c>
      <c r="C215" s="138" t="s">
        <v>3810</v>
      </c>
      <c r="D215" s="138" t="s">
        <v>3888</v>
      </c>
      <c r="E215" s="138" t="s">
        <v>3889</v>
      </c>
      <c r="F215" s="138" t="s">
        <v>5232</v>
      </c>
      <c r="G215" s="138" t="s">
        <v>6889</v>
      </c>
      <c r="H215" s="81" t="str">
        <f t="shared" si="21"/>
        <v>TCCN-PTE-PCH-SEL-SAE-SAL-TA3</v>
      </c>
      <c r="I215" s="138" t="str">
        <f>MID(H215,1,(LEN(H215)-VLOOKUP(K215,datos!$B$2:$C$12,2,0)))</f>
        <v>TCCN-PTE-PCH-SEL-SAE-SAL-TA3</v>
      </c>
      <c r="J215" s="138" t="s">
        <v>5242</v>
      </c>
      <c r="K215" s="140">
        <f>VLOOKUP(LEN(SUBSTITUTE(H215,"-","")),datos!$A$1:$B$12,2,0)</f>
        <v>7</v>
      </c>
      <c r="L215" s="138" t="s">
        <v>5245</v>
      </c>
      <c r="M215" s="138" t="s">
        <v>0</v>
      </c>
    </row>
    <row r="216" spans="1:13" x14ac:dyDescent="0.35">
      <c r="A216" s="138" t="s">
        <v>487</v>
      </c>
      <c r="B216" s="138" t="s">
        <v>3809</v>
      </c>
      <c r="C216" s="138" t="s">
        <v>3810</v>
      </c>
      <c r="D216" s="138" t="s">
        <v>3888</v>
      </c>
      <c r="E216" s="138" t="s">
        <v>3889</v>
      </c>
      <c r="F216" s="138" t="s">
        <v>5232</v>
      </c>
      <c r="G216" s="138" t="s">
        <v>4067</v>
      </c>
      <c r="H216" s="81" t="str">
        <f t="shared" si="21"/>
        <v>TCCN-PTE-PCH-SEL-SAE-SAL-TR2</v>
      </c>
      <c r="I216" s="138" t="str">
        <f>MID(H216,1,(LEN(H216)-VLOOKUP(K216,datos!$B$2:$C$12,2,0)))</f>
        <v>TCCN-PTE-PCH-SEL-SAE-SAL-TR2</v>
      </c>
      <c r="J216" s="138" t="s">
        <v>6894</v>
      </c>
      <c r="K216" s="140">
        <f>VLOOKUP(LEN(SUBSTITUTE(H216,"-","")),datos!$A$1:$B$12,2,0)</f>
        <v>7</v>
      </c>
      <c r="L216" s="138" t="s">
        <v>5246</v>
      </c>
      <c r="M216" s="138" t="s">
        <v>0</v>
      </c>
    </row>
    <row r="217" spans="1:13" x14ac:dyDescent="0.35">
      <c r="A217" s="138" t="s">
        <v>487</v>
      </c>
      <c r="B217" s="138" t="s">
        <v>3809</v>
      </c>
      <c r="C217" s="138" t="s">
        <v>3810</v>
      </c>
      <c r="D217" s="138" t="s">
        <v>3888</v>
      </c>
      <c r="E217" s="138" t="s">
        <v>3889</v>
      </c>
      <c r="F217" s="138" t="s">
        <v>5232</v>
      </c>
      <c r="G217" s="138" t="s">
        <v>6911</v>
      </c>
      <c r="H217" s="81" t="str">
        <f t="shared" ref="H217:H276" si="24">CONCATENATE(A217,"-",B217,"-",C217,"-",D217,"-",E217,"-",F217,"-",G217)</f>
        <v>TCCN-PTE-PCH-SEL-SAE-SAL-TFZ</v>
      </c>
      <c r="I217" s="138" t="str">
        <f>MID(H217,1,(LEN(H217)-VLOOKUP(K217,datos!$B$2:$C$12,2,0)))</f>
        <v>TCCN-PTE-PCH-SEL-SAE-SAL-TFZ</v>
      </c>
      <c r="J217" s="138" t="s">
        <v>5247</v>
      </c>
      <c r="K217" s="140">
        <f>VLOOKUP(LEN(SUBSTITUTE(H217,"-","")),datos!$A$1:$B$12,2,0)</f>
        <v>7</v>
      </c>
      <c r="L217" s="138" t="s">
        <v>5248</v>
      </c>
      <c r="M217" s="138" t="s">
        <v>0</v>
      </c>
    </row>
    <row r="218" spans="1:13" x14ac:dyDescent="0.35">
      <c r="A218" s="137" t="s">
        <v>487</v>
      </c>
      <c r="B218" s="137" t="s">
        <v>3809</v>
      </c>
      <c r="C218" s="137" t="s">
        <v>3810</v>
      </c>
      <c r="D218" s="137" t="s">
        <v>3888</v>
      </c>
      <c r="E218" s="137" t="s">
        <v>3889</v>
      </c>
      <c r="F218" s="137" t="s">
        <v>3859</v>
      </c>
      <c r="G218" s="137"/>
      <c r="H218" s="82" t="str">
        <f t="shared" si="24"/>
        <v>TCCN-PTE-PCH-SEL-SAE-STE-</v>
      </c>
      <c r="I218" s="137" t="str">
        <f>MID(H218,1,(LEN(H218)-VLOOKUP(K218,datos!$B$2:$C$12,2,0)))</f>
        <v>TCCN-PTE-PCH-SEL-SAE-STE</v>
      </c>
      <c r="J218" s="137" t="s">
        <v>6341</v>
      </c>
      <c r="K218" s="139">
        <f>VLOOKUP(LEN(SUBSTITUTE(H218,"-","")),datos!$A$1:$B$12,2,0)</f>
        <v>6</v>
      </c>
      <c r="L218" s="137"/>
      <c r="M218" s="137" t="s">
        <v>0</v>
      </c>
    </row>
    <row r="219" spans="1:13" x14ac:dyDescent="0.35">
      <c r="A219" s="138" t="s">
        <v>487</v>
      </c>
      <c r="B219" s="138" t="s">
        <v>3809</v>
      </c>
      <c r="C219" s="138" t="s">
        <v>3810</v>
      </c>
      <c r="D219" s="138" t="s">
        <v>3888</v>
      </c>
      <c r="E219" s="138" t="s">
        <v>3889</v>
      </c>
      <c r="F219" s="138" t="s">
        <v>3859</v>
      </c>
      <c r="G219" s="138" t="s">
        <v>5290</v>
      </c>
      <c r="H219" s="81" t="str">
        <f t="shared" si="24"/>
        <v>TCCN-PTE-PCH-SEL-SAE-STE-GBT</v>
      </c>
      <c r="I219" s="138" t="str">
        <f>MID(H219,1,(LEN(H219)-VLOOKUP(K219,datos!$B$2:$C$12,2,0)))</f>
        <v>TCCN-PTE-PCH-SEL-SAE-STE-GBT</v>
      </c>
      <c r="J219" s="138" t="s">
        <v>4913</v>
      </c>
      <c r="K219" s="140">
        <f>VLOOKUP(LEN(SUBSTITUTE(H219,"-","")),datos!$A$1:$B$12,2,0)</f>
        <v>7</v>
      </c>
      <c r="L219" s="138" t="s">
        <v>4835</v>
      </c>
      <c r="M219" s="138" t="s">
        <v>0</v>
      </c>
    </row>
    <row r="220" spans="1:13" customFormat="1" ht="14.5" x14ac:dyDescent="0.35">
      <c r="A220" s="84" t="s">
        <v>487</v>
      </c>
      <c r="B220" s="84" t="s">
        <v>3809</v>
      </c>
      <c r="C220" s="84" t="s">
        <v>3810</v>
      </c>
      <c r="D220" s="84" t="s">
        <v>5282</v>
      </c>
      <c r="E220" s="84"/>
      <c r="F220" s="84"/>
      <c r="G220" s="84"/>
      <c r="H220" s="84" t="str">
        <f t="shared" si="24"/>
        <v>TCCN-PTE-PCH-CTV---</v>
      </c>
      <c r="I220" s="84" t="str">
        <f>MID(H220,1,(LEN(H220)-VLOOKUP(K220,datos!$B$2:$C$12,2,0)))</f>
        <v>TCCN-PTE-PCH-CTV</v>
      </c>
      <c r="J220" s="84" t="s">
        <v>4837</v>
      </c>
      <c r="K220" s="119">
        <f>VLOOKUP(LEN(SUBSTITUTE(H220,"-","")),datos!$A$1:$B$12,2,0)</f>
        <v>4</v>
      </c>
      <c r="L220" s="84"/>
      <c r="M220" s="84" t="s">
        <v>0</v>
      </c>
    </row>
    <row r="221" spans="1:13" customFormat="1" ht="14.5" x14ac:dyDescent="0.35">
      <c r="A221" s="129" t="s">
        <v>487</v>
      </c>
      <c r="B221" s="129" t="s">
        <v>3809</v>
      </c>
      <c r="C221" s="129" t="s">
        <v>3810</v>
      </c>
      <c r="D221" s="129" t="s">
        <v>5282</v>
      </c>
      <c r="E221" s="129" t="s">
        <v>3921</v>
      </c>
      <c r="F221" s="129"/>
      <c r="G221" s="129"/>
      <c r="H221" s="83" t="str">
        <f t="shared" si="24"/>
        <v>TCCN-PTE-PCH-CTV-CT1--</v>
      </c>
      <c r="I221" s="129" t="str">
        <f>MID(H221,1,(LEN(H221)-VLOOKUP(K221,datos!$B$2:$C$12,2,0)))</f>
        <v>TCCN-PTE-PCH-CTV-CT1</v>
      </c>
      <c r="J221" s="129" t="s">
        <v>4844</v>
      </c>
      <c r="K221" s="130">
        <f>VLOOKUP(LEN(SUBSTITUTE(H221,"-","")),datos!$A$1:$B$12,2,0)</f>
        <v>5</v>
      </c>
      <c r="L221" s="129" t="s">
        <v>4838</v>
      </c>
      <c r="M221" s="129" t="s">
        <v>0</v>
      </c>
    </row>
    <row r="222" spans="1:13" customFormat="1" ht="14.5" x14ac:dyDescent="0.35">
      <c r="A222" s="129" t="s">
        <v>487</v>
      </c>
      <c r="B222" s="129" t="s">
        <v>3809</v>
      </c>
      <c r="C222" s="129" t="s">
        <v>3810</v>
      </c>
      <c r="D222" s="129" t="s">
        <v>5282</v>
      </c>
      <c r="E222" s="129" t="s">
        <v>5300</v>
      </c>
      <c r="F222" s="129"/>
      <c r="G222" s="129"/>
      <c r="H222" s="83" t="str">
        <f t="shared" si="24"/>
        <v>TCCN-PTE-PCH-CTV-EC1--</v>
      </c>
      <c r="I222" s="129" t="str">
        <f>MID(H222,1,(LEN(H222)-VLOOKUP(K222,datos!$B$2:$C$12,2,0)))</f>
        <v>TCCN-PTE-PCH-CTV-EC1</v>
      </c>
      <c r="J222" s="129" t="s">
        <v>4845</v>
      </c>
      <c r="K222" s="130">
        <f>VLOOKUP(LEN(SUBSTITUTE(H222,"-","")),datos!$A$1:$B$12,2,0)</f>
        <v>5</v>
      </c>
      <c r="L222" s="129" t="s">
        <v>4839</v>
      </c>
      <c r="M222" s="129" t="s">
        <v>0</v>
      </c>
    </row>
    <row r="223" spans="1:13" customFormat="1" ht="14.5" x14ac:dyDescent="0.35">
      <c r="A223" s="129" t="s">
        <v>487</v>
      </c>
      <c r="B223" s="129" t="s">
        <v>3809</v>
      </c>
      <c r="C223" s="129" t="s">
        <v>3810</v>
      </c>
      <c r="D223" s="129" t="s">
        <v>5282</v>
      </c>
      <c r="E223" s="129" t="s">
        <v>3943</v>
      </c>
      <c r="F223" s="129"/>
      <c r="G223" s="129"/>
      <c r="H223" s="83" t="str">
        <f t="shared" si="24"/>
        <v>TCCN-PTE-PCH-CTV-CT2--</v>
      </c>
      <c r="I223" s="129" t="str">
        <f>MID(H223,1,(LEN(H223)-VLOOKUP(K223,datos!$B$2:$C$12,2,0)))</f>
        <v>TCCN-PTE-PCH-CTV-CT2</v>
      </c>
      <c r="J223" s="129" t="s">
        <v>4848</v>
      </c>
      <c r="K223" s="130">
        <f>VLOOKUP(LEN(SUBSTITUTE(H223,"-","")),datos!$A$1:$B$12,2,0)</f>
        <v>5</v>
      </c>
      <c r="L223" s="129" t="s">
        <v>4850</v>
      </c>
      <c r="M223" s="129" t="s">
        <v>0</v>
      </c>
    </row>
    <row r="224" spans="1:13" customFormat="1" ht="14.5" x14ac:dyDescent="0.35">
      <c r="A224" s="129" t="s">
        <v>487</v>
      </c>
      <c r="B224" s="129" t="s">
        <v>3809</v>
      </c>
      <c r="C224" s="129" t="s">
        <v>3810</v>
      </c>
      <c r="D224" s="129" t="s">
        <v>5282</v>
      </c>
      <c r="E224" s="129" t="s">
        <v>5301</v>
      </c>
      <c r="F224" s="129"/>
      <c r="G224" s="129"/>
      <c r="H224" s="83" t="str">
        <f t="shared" si="24"/>
        <v>TCCN-PTE-PCH-CTV-EC2--</v>
      </c>
      <c r="I224" s="129" t="str">
        <f>MID(H224,1,(LEN(H224)-VLOOKUP(K224,datos!$B$2:$C$12,2,0)))</f>
        <v>TCCN-PTE-PCH-CTV-EC2</v>
      </c>
      <c r="J224" s="129" t="s">
        <v>4849</v>
      </c>
      <c r="K224" s="130">
        <f>VLOOKUP(LEN(SUBSTITUTE(H224,"-","")),datos!$A$1:$B$12,2,0)</f>
        <v>5</v>
      </c>
      <c r="L224" s="129" t="s">
        <v>4851</v>
      </c>
      <c r="M224" s="129" t="s">
        <v>0</v>
      </c>
    </row>
    <row r="225" spans="1:13" customFormat="1" ht="14.5" x14ac:dyDescent="0.35">
      <c r="A225" s="129" t="s">
        <v>487</v>
      </c>
      <c r="B225" s="129" t="s">
        <v>3809</v>
      </c>
      <c r="C225" s="129" t="s">
        <v>3810</v>
      </c>
      <c r="D225" s="129" t="s">
        <v>5282</v>
      </c>
      <c r="E225" s="129" t="s">
        <v>3944</v>
      </c>
      <c r="F225" s="129"/>
      <c r="G225" s="129"/>
      <c r="H225" s="83" t="str">
        <f t="shared" si="24"/>
        <v>TCCN-PTE-PCH-CTV-CT3--</v>
      </c>
      <c r="I225" s="129" t="str">
        <f>MID(H225,1,(LEN(H225)-VLOOKUP(K225,datos!$B$2:$C$12,2,0)))</f>
        <v>TCCN-PTE-PCH-CTV-CT3</v>
      </c>
      <c r="J225" s="129" t="s">
        <v>4846</v>
      </c>
      <c r="K225" s="130">
        <f>VLOOKUP(LEN(SUBSTITUTE(H225,"-","")),datos!$A$1:$B$12,2,0)</f>
        <v>5</v>
      </c>
      <c r="L225" s="129" t="s">
        <v>4840</v>
      </c>
      <c r="M225" s="129" t="s">
        <v>0</v>
      </c>
    </row>
    <row r="226" spans="1:13" customFormat="1" ht="14.5" x14ac:dyDescent="0.35">
      <c r="A226" s="129" t="s">
        <v>487</v>
      </c>
      <c r="B226" s="129" t="s">
        <v>3809</v>
      </c>
      <c r="C226" s="129" t="s">
        <v>3810</v>
      </c>
      <c r="D226" s="129" t="s">
        <v>5282</v>
      </c>
      <c r="E226" s="129" t="s">
        <v>5302</v>
      </c>
      <c r="F226" s="129"/>
      <c r="G226" s="129"/>
      <c r="H226" s="83" t="str">
        <f t="shared" si="24"/>
        <v>TCCN-PTE-PCH-CTV-EC3--</v>
      </c>
      <c r="I226" s="129" t="str">
        <f>MID(H226,1,(LEN(H226)-VLOOKUP(K226,datos!$B$2:$C$12,2,0)))</f>
        <v>TCCN-PTE-PCH-CTV-EC3</v>
      </c>
      <c r="J226" s="129" t="s">
        <v>4847</v>
      </c>
      <c r="K226" s="130">
        <f>VLOOKUP(LEN(SUBSTITUTE(H226,"-","")),datos!$A$1:$B$12,2,0)</f>
        <v>5</v>
      </c>
      <c r="L226" s="129" t="s">
        <v>4841</v>
      </c>
      <c r="M226" s="129" t="s">
        <v>0</v>
      </c>
    </row>
    <row r="227" spans="1:13" customFormat="1" ht="14.5" x14ac:dyDescent="0.35">
      <c r="A227" s="129" t="s">
        <v>487</v>
      </c>
      <c r="B227" s="129" t="s">
        <v>3809</v>
      </c>
      <c r="C227" s="129" t="s">
        <v>3810</v>
      </c>
      <c r="D227" s="129" t="s">
        <v>5282</v>
      </c>
      <c r="E227" s="129" t="s">
        <v>3945</v>
      </c>
      <c r="F227" s="129"/>
      <c r="G227" s="129"/>
      <c r="H227" s="83" t="str">
        <f t="shared" si="24"/>
        <v>TCCN-PTE-PCH-CTV-CT4--</v>
      </c>
      <c r="I227" s="129" t="str">
        <f>MID(H227,1,(LEN(H227)-VLOOKUP(K227,datos!$B$2:$C$12,2,0)))</f>
        <v>TCCN-PTE-PCH-CTV-CT4</v>
      </c>
      <c r="J227" s="129" t="s">
        <v>4852</v>
      </c>
      <c r="K227" s="130">
        <f>VLOOKUP(LEN(SUBSTITUTE(H227,"-","")),datos!$A$1:$B$12,2,0)</f>
        <v>5</v>
      </c>
      <c r="L227" s="129" t="s">
        <v>4842</v>
      </c>
      <c r="M227" s="129" t="s">
        <v>0</v>
      </c>
    </row>
    <row r="228" spans="1:13" customFormat="1" ht="14.5" x14ac:dyDescent="0.35">
      <c r="A228" s="129" t="s">
        <v>487</v>
      </c>
      <c r="B228" s="129" t="s">
        <v>3809</v>
      </c>
      <c r="C228" s="129" t="s">
        <v>3810</v>
      </c>
      <c r="D228" s="129" t="s">
        <v>5282</v>
      </c>
      <c r="E228" s="129" t="s">
        <v>5303</v>
      </c>
      <c r="F228" s="129"/>
      <c r="G228" s="129"/>
      <c r="H228" s="83" t="str">
        <f t="shared" si="24"/>
        <v>TCCN-PTE-PCH-CTV-EC4--</v>
      </c>
      <c r="I228" s="129" t="str">
        <f>MID(H228,1,(LEN(H228)-VLOOKUP(K228,datos!$B$2:$C$12,2,0)))</f>
        <v>TCCN-PTE-PCH-CTV-EC4</v>
      </c>
      <c r="J228" s="129" t="s">
        <v>4853</v>
      </c>
      <c r="K228" s="130">
        <f>VLOOKUP(LEN(SUBSTITUTE(H228,"-","")),datos!$A$1:$B$12,2,0)</f>
        <v>5</v>
      </c>
      <c r="L228" s="129" t="s">
        <v>4843</v>
      </c>
      <c r="M228" s="129" t="s">
        <v>0</v>
      </c>
    </row>
    <row r="229" spans="1:13" customFormat="1" ht="14.5" x14ac:dyDescent="0.35">
      <c r="A229" s="127" t="s">
        <v>487</v>
      </c>
      <c r="B229" s="127" t="s">
        <v>3809</v>
      </c>
      <c r="C229" s="127" t="s">
        <v>3913</v>
      </c>
      <c r="D229" s="127"/>
      <c r="E229" s="127"/>
      <c r="F229" s="127"/>
      <c r="G229" s="127"/>
      <c r="H229" s="86" t="str">
        <f t="shared" si="24"/>
        <v>TCCN-PTE-PSG----</v>
      </c>
      <c r="I229" s="127" t="str">
        <f>MID(H229,1,(LEN(H229)-VLOOKUP(K229,datos!$B$2:$C$12,2,0)))</f>
        <v>TCCN-PTE-PSG</v>
      </c>
      <c r="J229" s="127" t="s">
        <v>560</v>
      </c>
      <c r="K229" s="128">
        <f>VLOOKUP(LEN(SUBSTITUTE(H229,"-","")),datos!$A$1:$B$12,2,0)</f>
        <v>3</v>
      </c>
      <c r="L229" s="127"/>
      <c r="M229" s="127" t="s">
        <v>0</v>
      </c>
    </row>
    <row r="230" spans="1:13" customFormat="1" ht="14.5" x14ac:dyDescent="0.35">
      <c r="A230" s="84" t="s">
        <v>487</v>
      </c>
      <c r="B230" s="84" t="s">
        <v>3809</v>
      </c>
      <c r="C230" s="84" t="s">
        <v>3913</v>
      </c>
      <c r="D230" s="84" t="s">
        <v>3914</v>
      </c>
      <c r="E230" s="84"/>
      <c r="F230" s="84"/>
      <c r="G230" s="84"/>
      <c r="H230" s="84" t="str">
        <f t="shared" si="24"/>
        <v>TCCN-PTE-PSG-SAG---</v>
      </c>
      <c r="I230" s="84" t="str">
        <f>MID(H230,1,(LEN(H230)-VLOOKUP(K230,datos!$B$2:$C$12,2,0)))</f>
        <v>TCCN-PTE-PSG-SAG</v>
      </c>
      <c r="J230" s="84" t="s">
        <v>1792</v>
      </c>
      <c r="K230" s="119">
        <f>VLOOKUP(LEN(SUBSTITUTE(H230,"-","")),datos!$A$1:$B$12,2,0)</f>
        <v>4</v>
      </c>
      <c r="L230" s="84"/>
      <c r="M230" s="84" t="s">
        <v>0</v>
      </c>
    </row>
    <row r="231" spans="1:13" customFormat="1" ht="14.5" x14ac:dyDescent="0.35">
      <c r="A231" s="129" t="s">
        <v>487</v>
      </c>
      <c r="B231" s="129" t="s">
        <v>3809</v>
      </c>
      <c r="C231" s="129" t="s">
        <v>3913</v>
      </c>
      <c r="D231" s="129" t="s">
        <v>3914</v>
      </c>
      <c r="E231" s="129" t="s">
        <v>3915</v>
      </c>
      <c r="F231" s="129"/>
      <c r="G231" s="129"/>
      <c r="H231" s="83" t="str">
        <f t="shared" si="24"/>
        <v>TCCN-PTE-PSG-SAG-SL1--</v>
      </c>
      <c r="I231" s="129" t="str">
        <f>MID(H231,1,(LEN(H231)-VLOOKUP(K231,datos!$B$2:$C$12,2,0)))</f>
        <v>TCCN-PTE-PSG-SAG-SL1</v>
      </c>
      <c r="J231" s="129" t="s">
        <v>5486</v>
      </c>
      <c r="K231" s="130">
        <f>VLOOKUP(LEN(SUBSTITUTE(H231,"-","")),datos!$A$1:$B$12,2,0)</f>
        <v>5</v>
      </c>
      <c r="L231" s="129" t="s">
        <v>82</v>
      </c>
      <c r="M231" s="129" t="s">
        <v>0</v>
      </c>
    </row>
    <row r="232" spans="1:13" x14ac:dyDescent="0.35">
      <c r="A232" s="137" t="s">
        <v>487</v>
      </c>
      <c r="B232" s="137" t="s">
        <v>3809</v>
      </c>
      <c r="C232" s="137" t="s">
        <v>3913</v>
      </c>
      <c r="D232" s="137" t="s">
        <v>3914</v>
      </c>
      <c r="E232" s="137" t="s">
        <v>3915</v>
      </c>
      <c r="F232" s="137" t="s">
        <v>3816</v>
      </c>
      <c r="G232" s="137"/>
      <c r="H232" s="82" t="str">
        <f t="shared" si="24"/>
        <v>TCCN-PTE-PSG-SAG-SL1-SHI-</v>
      </c>
      <c r="I232" s="137" t="str">
        <f>MID(H232,1,(LEN(H232)-VLOOKUP(K232,datos!$B$2:$C$12,2,0)))</f>
        <v>TCCN-PTE-PSG-SAG-SL1-SHI</v>
      </c>
      <c r="J232" s="137" t="s">
        <v>6342</v>
      </c>
      <c r="K232" s="139">
        <f>VLOOKUP(LEN(SUBSTITUTE(H232,"-","")),datos!$A$1:$B$12,2,0)</f>
        <v>6</v>
      </c>
      <c r="L232" s="137" t="s">
        <v>1568</v>
      </c>
      <c r="M232" s="137" t="s">
        <v>0</v>
      </c>
    </row>
    <row r="233" spans="1:13" x14ac:dyDescent="0.35">
      <c r="A233" s="138" t="s">
        <v>487</v>
      </c>
      <c r="B233" s="138" t="s">
        <v>3809</v>
      </c>
      <c r="C233" s="138" t="s">
        <v>3913</v>
      </c>
      <c r="D233" s="138" t="s">
        <v>3914</v>
      </c>
      <c r="E233" s="138" t="s">
        <v>3915</v>
      </c>
      <c r="F233" s="138" t="s">
        <v>3816</v>
      </c>
      <c r="G233" s="138" t="s">
        <v>3817</v>
      </c>
      <c r="H233" s="81" t="str">
        <f t="shared" si="24"/>
        <v>TCCN-PTE-PSG-SAG-SL1-SHI-CIH</v>
      </c>
      <c r="I233" s="138" t="str">
        <f>MID(H233,1,(LEN(H233)-VLOOKUP(K233,datos!$B$2:$C$12,2,0)))</f>
        <v>TCCN-PTE-PSG-SAG-SL1-SHI-CIH</v>
      </c>
      <c r="J233" s="138" t="s">
        <v>6343</v>
      </c>
      <c r="K233" s="140">
        <f>VLOOKUP(LEN(SUBSTITUTE(H233,"-","")),datos!$A$1:$B$12,2,0)</f>
        <v>7</v>
      </c>
      <c r="L233" s="138"/>
      <c r="M233" s="138" t="s">
        <v>0</v>
      </c>
    </row>
    <row r="234" spans="1:13" x14ac:dyDescent="0.35">
      <c r="A234" s="138" t="s">
        <v>487</v>
      </c>
      <c r="B234" s="138" t="s">
        <v>3809</v>
      </c>
      <c r="C234" s="138" t="s">
        <v>3913</v>
      </c>
      <c r="D234" s="138" t="s">
        <v>3914</v>
      </c>
      <c r="E234" s="138" t="s">
        <v>3915</v>
      </c>
      <c r="F234" s="138" t="s">
        <v>3816</v>
      </c>
      <c r="G234" s="138" t="s">
        <v>3818</v>
      </c>
      <c r="H234" s="81" t="str">
        <f t="shared" si="24"/>
        <v>TCCN-PTE-PSG-SAG-SL1-SHI-BBA</v>
      </c>
      <c r="I234" s="138" t="str">
        <f>MID(H234,1,(LEN(H234)-VLOOKUP(K234,datos!$B$2:$C$12,2,0)))</f>
        <v>TCCN-PTE-PSG-SAG-SL1-SHI-BBA</v>
      </c>
      <c r="J234" s="138" t="s">
        <v>6344</v>
      </c>
      <c r="K234" s="140">
        <f>VLOOKUP(LEN(SUBSTITUTE(H234,"-","")),datos!$A$1:$B$12,2,0)</f>
        <v>7</v>
      </c>
      <c r="L234" s="138"/>
      <c r="M234" s="138" t="s">
        <v>0</v>
      </c>
    </row>
    <row r="235" spans="1:13" x14ac:dyDescent="0.35">
      <c r="A235" s="138" t="s">
        <v>487</v>
      </c>
      <c r="B235" s="138" t="s">
        <v>3809</v>
      </c>
      <c r="C235" s="138" t="s">
        <v>3913</v>
      </c>
      <c r="D235" s="138" t="s">
        <v>3914</v>
      </c>
      <c r="E235" s="138" t="s">
        <v>3915</v>
      </c>
      <c r="F235" s="138" t="s">
        <v>3816</v>
      </c>
      <c r="G235" s="138" t="s">
        <v>3853</v>
      </c>
      <c r="H235" s="81" t="str">
        <f t="shared" si="24"/>
        <v>TCCN-PTE-PSG-SAG-SL1-SHI-EST</v>
      </c>
      <c r="I235" s="138" t="str">
        <f>MID(H235,1,(LEN(H235)-VLOOKUP(K235,datos!$B$2:$C$12,2,0)))</f>
        <v>TCCN-PTE-PSG-SAG-SL1-SHI-EST</v>
      </c>
      <c r="J235" s="138" t="s">
        <v>6345</v>
      </c>
      <c r="K235" s="140">
        <f>VLOOKUP(LEN(SUBSTITUTE(H235,"-","")),datos!$A$1:$B$12,2,0)</f>
        <v>7</v>
      </c>
      <c r="L235" s="138"/>
      <c r="M235" s="138" t="s">
        <v>0</v>
      </c>
    </row>
    <row r="236" spans="1:13" x14ac:dyDescent="0.35">
      <c r="A236" s="138" t="s">
        <v>487</v>
      </c>
      <c r="B236" s="138" t="s">
        <v>3809</v>
      </c>
      <c r="C236" s="138" t="s">
        <v>3913</v>
      </c>
      <c r="D236" s="138" t="s">
        <v>3914</v>
      </c>
      <c r="E236" s="138" t="s">
        <v>3915</v>
      </c>
      <c r="F236" s="138" t="s">
        <v>3816</v>
      </c>
      <c r="G236" s="138" t="s">
        <v>3819</v>
      </c>
      <c r="H236" s="81" t="str">
        <f t="shared" si="24"/>
        <v>TCCN-PTE-PSG-SAG-SL1-SHI-MOE</v>
      </c>
      <c r="I236" s="138" t="str">
        <f>MID(H236,1,(LEN(H236)-VLOOKUP(K236,datos!$B$2:$C$12,2,0)))</f>
        <v>TCCN-PTE-PSG-SAG-SL1-SHI-MOE</v>
      </c>
      <c r="J236" s="138" t="s">
        <v>6346</v>
      </c>
      <c r="K236" s="140">
        <f>VLOOKUP(LEN(SUBSTITUTE(H236,"-","")),datos!$A$1:$B$12,2,0)</f>
        <v>7</v>
      </c>
      <c r="L236" s="138" t="s">
        <v>1569</v>
      </c>
      <c r="M236" s="138" t="s">
        <v>0</v>
      </c>
    </row>
    <row r="237" spans="1:13" x14ac:dyDescent="0.35">
      <c r="A237" s="138" t="s">
        <v>487</v>
      </c>
      <c r="B237" s="138" t="s">
        <v>3809</v>
      </c>
      <c r="C237" s="138" t="s">
        <v>3913</v>
      </c>
      <c r="D237" s="138" t="s">
        <v>3914</v>
      </c>
      <c r="E237" s="138" t="s">
        <v>3915</v>
      </c>
      <c r="F237" s="138" t="s">
        <v>3816</v>
      </c>
      <c r="G237" s="138" t="s">
        <v>3820</v>
      </c>
      <c r="H237" s="81" t="str">
        <f t="shared" si="24"/>
        <v>TCCN-PTE-PSG-SAG-SL1-SHI-CUH</v>
      </c>
      <c r="I237" s="138" t="str">
        <f>MID(H237,1,(LEN(H237)-VLOOKUP(K237,datos!$B$2:$C$12,2,0)))</f>
        <v>TCCN-PTE-PSG-SAG-SL1-SHI-CUH</v>
      </c>
      <c r="J237" s="138" t="s">
        <v>6347</v>
      </c>
      <c r="K237" s="140">
        <f>VLOOKUP(LEN(SUBSTITUTE(H237,"-","")),datos!$A$1:$B$12,2,0)</f>
        <v>7</v>
      </c>
      <c r="L237" s="138" t="s">
        <v>1572</v>
      </c>
      <c r="M237" s="138" t="s">
        <v>0</v>
      </c>
    </row>
    <row r="238" spans="1:13" x14ac:dyDescent="0.35">
      <c r="A238" s="137" t="s">
        <v>487</v>
      </c>
      <c r="B238" s="137" t="s">
        <v>3809</v>
      </c>
      <c r="C238" s="137" t="s">
        <v>3913</v>
      </c>
      <c r="D238" s="137" t="s">
        <v>3914</v>
      </c>
      <c r="E238" s="137" t="s">
        <v>3915</v>
      </c>
      <c r="F238" s="137" t="s">
        <v>3821</v>
      </c>
      <c r="G238" s="137"/>
      <c r="H238" s="82" t="str">
        <f t="shared" si="24"/>
        <v>TCCN-PTE-PSG-SAG-SL1-SME-</v>
      </c>
      <c r="I238" s="137" t="str">
        <f>MID(H238,1,(LEN(H238)-VLOOKUP(K238,datos!$B$2:$C$12,2,0)))</f>
        <v>TCCN-PTE-PSG-SAG-SL1-SME</v>
      </c>
      <c r="J238" s="137" t="s">
        <v>6348</v>
      </c>
      <c r="K238" s="139">
        <f>VLOOKUP(LEN(SUBSTITUTE(H238,"-","")),datos!$A$1:$B$12,2,0)</f>
        <v>6</v>
      </c>
      <c r="L238" s="137"/>
      <c r="M238" s="137" t="s">
        <v>0</v>
      </c>
    </row>
    <row r="239" spans="1:13" x14ac:dyDescent="0.35">
      <c r="A239" s="138" t="s">
        <v>487</v>
      </c>
      <c r="B239" s="138" t="s">
        <v>3809</v>
      </c>
      <c r="C239" s="138" t="s">
        <v>3913</v>
      </c>
      <c r="D239" s="138" t="s">
        <v>3914</v>
      </c>
      <c r="E239" s="138" t="s">
        <v>3915</v>
      </c>
      <c r="F239" s="138" t="s">
        <v>3821</v>
      </c>
      <c r="G239" s="138" t="s">
        <v>3822</v>
      </c>
      <c r="H239" s="81" t="str">
        <f t="shared" si="24"/>
        <v>TCCN-PTE-PSG-SAG-SL1-SME-LAN</v>
      </c>
      <c r="I239" s="138" t="str">
        <f>MID(H239,1,(LEN(H239)-VLOOKUP(K239,datos!$B$2:$C$12,2,0)))</f>
        <v>TCCN-PTE-PSG-SAG-SL1-SME-LAN</v>
      </c>
      <c r="J239" s="138" t="s">
        <v>6349</v>
      </c>
      <c r="K239" s="140">
        <f>VLOOKUP(LEN(SUBSTITUTE(H239,"-","")),datos!$A$1:$B$12,2,0)</f>
        <v>7</v>
      </c>
      <c r="L239" s="138"/>
      <c r="M239" s="138" t="s">
        <v>0</v>
      </c>
    </row>
    <row r="240" spans="1:13" x14ac:dyDescent="0.35">
      <c r="A240" s="138" t="s">
        <v>487</v>
      </c>
      <c r="B240" s="138" t="s">
        <v>3809</v>
      </c>
      <c r="C240" s="138" t="s">
        <v>3913</v>
      </c>
      <c r="D240" s="138" t="s">
        <v>3914</v>
      </c>
      <c r="E240" s="138" t="s">
        <v>3915</v>
      </c>
      <c r="F240" s="138" t="s">
        <v>3821</v>
      </c>
      <c r="G240" s="138" t="s">
        <v>3823</v>
      </c>
      <c r="H240" s="81" t="str">
        <f t="shared" si="24"/>
        <v>TCCN-PTE-PSG-SAG-SL1-SME-CRL</v>
      </c>
      <c r="I240" s="138" t="str">
        <f>MID(H240,1,(LEN(H240)-VLOOKUP(K240,datos!$B$2:$C$12,2,0)))</f>
        <v>TCCN-PTE-PSG-SAG-SL1-SME-CRL</v>
      </c>
      <c r="J240" s="138" t="s">
        <v>6350</v>
      </c>
      <c r="K240" s="140">
        <f>VLOOKUP(LEN(SUBSTITUTE(H240,"-","")),datos!$A$1:$B$12,2,0)</f>
        <v>7</v>
      </c>
      <c r="L240" s="138"/>
      <c r="M240" s="138" t="s">
        <v>0</v>
      </c>
    </row>
    <row r="241" spans="1:13" x14ac:dyDescent="0.35">
      <c r="A241" s="137" t="s">
        <v>487</v>
      </c>
      <c r="B241" s="137" t="s">
        <v>3809</v>
      </c>
      <c r="C241" s="137" t="s">
        <v>3913</v>
      </c>
      <c r="D241" s="137" t="s">
        <v>3914</v>
      </c>
      <c r="E241" s="137" t="s">
        <v>3915</v>
      </c>
      <c r="F241" s="137" t="s">
        <v>3824</v>
      </c>
      <c r="G241" s="137"/>
      <c r="H241" s="82" t="str">
        <f t="shared" si="24"/>
        <v>TCCN-PTE-PSG-SAG-SL1-SES-</v>
      </c>
      <c r="I241" s="137" t="str">
        <f>MID(H241,1,(LEN(H241)-VLOOKUP(K241,datos!$B$2:$C$12,2,0)))</f>
        <v>TCCN-PTE-PSG-SAG-SL1-SES</v>
      </c>
      <c r="J241" s="137" t="s">
        <v>6351</v>
      </c>
      <c r="K241" s="139">
        <f>VLOOKUP(LEN(SUBSTITUTE(H241,"-","")),datos!$A$1:$B$12,2,0)</f>
        <v>6</v>
      </c>
      <c r="L241" s="137"/>
      <c r="M241" s="137" t="s">
        <v>0</v>
      </c>
    </row>
    <row r="242" spans="1:13" x14ac:dyDescent="0.35">
      <c r="A242" s="138" t="s">
        <v>487</v>
      </c>
      <c r="B242" s="138" t="s">
        <v>3809</v>
      </c>
      <c r="C242" s="138" t="s">
        <v>3913</v>
      </c>
      <c r="D242" s="138" t="s">
        <v>3914</v>
      </c>
      <c r="E242" s="138" t="s">
        <v>3915</v>
      </c>
      <c r="F242" s="138" t="s">
        <v>3824</v>
      </c>
      <c r="G242" s="138" t="s">
        <v>3825</v>
      </c>
      <c r="H242" s="81" t="str">
        <f t="shared" si="24"/>
        <v>TCCN-PTE-PSG-SAG-SL1-SES-CHU</v>
      </c>
      <c r="I242" s="138" t="str">
        <f>MID(H242,1,(LEN(H242)-VLOOKUP(K242,datos!$B$2:$C$12,2,0)))</f>
        <v>TCCN-PTE-PSG-SAG-SL1-SES-CHU</v>
      </c>
      <c r="J242" s="138" t="s">
        <v>6352</v>
      </c>
      <c r="K242" s="140">
        <f>VLOOKUP(LEN(SUBSTITUTE(H242,"-","")),datos!$A$1:$B$12,2,0)</f>
        <v>7</v>
      </c>
      <c r="L242" s="138" t="s">
        <v>83</v>
      </c>
      <c r="M242" s="138" t="s">
        <v>0</v>
      </c>
    </row>
    <row r="243" spans="1:13" customFormat="1" ht="14.5" x14ac:dyDescent="0.35">
      <c r="A243" s="129" t="s">
        <v>487</v>
      </c>
      <c r="B243" s="129" t="s">
        <v>3809</v>
      </c>
      <c r="C243" s="129" t="s">
        <v>3913</v>
      </c>
      <c r="D243" s="129" t="s">
        <v>3914</v>
      </c>
      <c r="E243" s="129" t="s">
        <v>3916</v>
      </c>
      <c r="F243" s="129"/>
      <c r="G243" s="129"/>
      <c r="H243" s="83" t="str">
        <f t="shared" si="24"/>
        <v>TCCN-PTE-PSG-SAG-AP1--</v>
      </c>
      <c r="I243" s="129" t="str">
        <f>MID(H243,1,(LEN(H243)-VLOOKUP(K243,datos!$B$2:$C$12,2,0)))</f>
        <v>TCCN-PTE-PSG-SAG-AP1</v>
      </c>
      <c r="J243" s="129" t="s">
        <v>5438</v>
      </c>
      <c r="K243" s="130">
        <f>VLOOKUP(LEN(SUBSTITUTE(H243,"-","")),datos!$A$1:$B$12,2,0)</f>
        <v>5</v>
      </c>
      <c r="L243" s="129" t="s">
        <v>78</v>
      </c>
      <c r="M243" s="129" t="s">
        <v>0</v>
      </c>
    </row>
    <row r="244" spans="1:13" x14ac:dyDescent="0.35">
      <c r="A244" s="137" t="s">
        <v>487</v>
      </c>
      <c r="B244" s="137" t="s">
        <v>3809</v>
      </c>
      <c r="C244" s="137" t="s">
        <v>3913</v>
      </c>
      <c r="D244" s="137" t="s">
        <v>3914</v>
      </c>
      <c r="E244" s="137" t="s">
        <v>3916</v>
      </c>
      <c r="F244" s="137" t="s">
        <v>3821</v>
      </c>
      <c r="G244" s="137"/>
      <c r="H244" s="82" t="str">
        <f t="shared" si="24"/>
        <v>TCCN-PTE-PSG-SAG-AP1-SME-</v>
      </c>
      <c r="I244" s="137" t="str">
        <f>MID(H244,1,(LEN(H244)-VLOOKUP(K244,datos!$B$2:$C$12,2,0)))</f>
        <v>TCCN-PTE-PSG-SAG-AP1-SME</v>
      </c>
      <c r="J244" s="137" t="s">
        <v>6353</v>
      </c>
      <c r="K244" s="139">
        <f>VLOOKUP(LEN(SUBSTITUTE(H244,"-","")),datos!$A$1:$B$12,2,0)</f>
        <v>6</v>
      </c>
      <c r="L244" s="137"/>
      <c r="M244" s="137" t="s">
        <v>0</v>
      </c>
    </row>
    <row r="245" spans="1:13" x14ac:dyDescent="0.35">
      <c r="A245" s="138" t="s">
        <v>487</v>
      </c>
      <c r="B245" s="138" t="s">
        <v>3809</v>
      </c>
      <c r="C245" s="138" t="s">
        <v>3913</v>
      </c>
      <c r="D245" s="138" t="s">
        <v>3914</v>
      </c>
      <c r="E245" s="138" t="s">
        <v>3916</v>
      </c>
      <c r="F245" s="138" t="s">
        <v>3821</v>
      </c>
      <c r="G245" s="138" t="s">
        <v>3827</v>
      </c>
      <c r="H245" s="81" t="str">
        <f t="shared" si="24"/>
        <v>TCCN-PTE-PSG-SAG-AP1-SME-RUE</v>
      </c>
      <c r="I245" s="138" t="str">
        <f>MID(H245,1,(LEN(H245)-VLOOKUP(K245,datos!$B$2:$C$12,2,0)))</f>
        <v>TCCN-PTE-PSG-SAG-AP1-SME-RUE</v>
      </c>
      <c r="J245" s="138" t="s">
        <v>6354</v>
      </c>
      <c r="K245" s="140">
        <f>VLOOKUP(LEN(SUBSTITUTE(H245,"-","")),datos!$A$1:$B$12,2,0)</f>
        <v>7</v>
      </c>
      <c r="L245" s="138"/>
      <c r="M245" s="138" t="s">
        <v>0</v>
      </c>
    </row>
    <row r="246" spans="1:13" x14ac:dyDescent="0.35">
      <c r="A246" s="138" t="s">
        <v>487</v>
      </c>
      <c r="B246" s="138" t="s">
        <v>3809</v>
      </c>
      <c r="C246" s="138" t="s">
        <v>3913</v>
      </c>
      <c r="D246" s="138" t="s">
        <v>3914</v>
      </c>
      <c r="E246" s="138" t="s">
        <v>3916</v>
      </c>
      <c r="F246" s="138" t="s">
        <v>3821</v>
      </c>
      <c r="G246" s="138" t="s">
        <v>3828</v>
      </c>
      <c r="H246" s="81" t="str">
        <f t="shared" si="24"/>
        <v>TCCN-PTE-PSG-SAG-AP1-SME-PNN</v>
      </c>
      <c r="I246" s="138" t="str">
        <f>MID(H246,1,(LEN(H246)-VLOOKUP(K246,datos!$B$2:$C$12,2,0)))</f>
        <v>TCCN-PTE-PSG-SAG-AP1-SME-PNN</v>
      </c>
      <c r="J246" s="138" t="s">
        <v>6355</v>
      </c>
      <c r="K246" s="140">
        <f>VLOOKUP(LEN(SUBSTITUTE(H246,"-","")),datos!$A$1:$B$12,2,0)</f>
        <v>7</v>
      </c>
      <c r="L246" s="138"/>
      <c r="M246" s="138" t="s">
        <v>0</v>
      </c>
    </row>
    <row r="247" spans="1:13" x14ac:dyDescent="0.35">
      <c r="A247" s="138" t="s">
        <v>487</v>
      </c>
      <c r="B247" s="138" t="s">
        <v>3809</v>
      </c>
      <c r="C247" s="138" t="s">
        <v>3913</v>
      </c>
      <c r="D247" s="138" t="s">
        <v>3914</v>
      </c>
      <c r="E247" s="138" t="s">
        <v>3916</v>
      </c>
      <c r="F247" s="138" t="s">
        <v>3821</v>
      </c>
      <c r="G247" s="138" t="s">
        <v>3829</v>
      </c>
      <c r="H247" s="81" t="str">
        <f t="shared" si="24"/>
        <v>TCCN-PTE-PSG-SAG-AP1-SME-CZP</v>
      </c>
      <c r="I247" s="138" t="str">
        <f>MID(H247,1,(LEN(H247)-VLOOKUP(K247,datos!$B$2:$C$12,2,0)))</f>
        <v>TCCN-PTE-PSG-SAG-AP1-SME-CZP</v>
      </c>
      <c r="J247" s="138" t="s">
        <v>6356</v>
      </c>
      <c r="K247" s="140">
        <f>VLOOKUP(LEN(SUBSTITUTE(H247,"-","")),datos!$A$1:$B$12,2,0)</f>
        <v>7</v>
      </c>
      <c r="L247" s="138"/>
      <c r="M247" s="138" t="s">
        <v>0</v>
      </c>
    </row>
    <row r="248" spans="1:13" x14ac:dyDescent="0.35">
      <c r="A248" s="138" t="s">
        <v>487</v>
      </c>
      <c r="B248" s="138" t="s">
        <v>3809</v>
      </c>
      <c r="C248" s="138" t="s">
        <v>3913</v>
      </c>
      <c r="D248" s="138" t="s">
        <v>3914</v>
      </c>
      <c r="E248" s="138" t="s">
        <v>3916</v>
      </c>
      <c r="F248" s="138" t="s">
        <v>3821</v>
      </c>
      <c r="G248" s="138" t="s">
        <v>3830</v>
      </c>
      <c r="H248" s="81" t="str">
        <f t="shared" si="24"/>
        <v>TCCN-PTE-PSG-SAG-AP1-SME-PLA</v>
      </c>
      <c r="I248" s="138" t="str">
        <f>MID(H248,1,(LEN(H248)-VLOOKUP(K248,datos!$B$2:$C$12,2,0)))</f>
        <v>TCCN-PTE-PSG-SAG-AP1-SME-PLA</v>
      </c>
      <c r="J248" s="138" t="s">
        <v>6357</v>
      </c>
      <c r="K248" s="140">
        <f>VLOOKUP(LEN(SUBSTITUTE(H248,"-","")),datos!$A$1:$B$12,2,0)</f>
        <v>7</v>
      </c>
      <c r="L248" s="138"/>
      <c r="M248" s="138" t="s">
        <v>0</v>
      </c>
    </row>
    <row r="249" spans="1:13" x14ac:dyDescent="0.35">
      <c r="A249" s="137" t="s">
        <v>487</v>
      </c>
      <c r="B249" s="137" t="s">
        <v>3809</v>
      </c>
      <c r="C249" s="137" t="s">
        <v>3913</v>
      </c>
      <c r="D249" s="137" t="s">
        <v>3914</v>
      </c>
      <c r="E249" s="137" t="s">
        <v>3916</v>
      </c>
      <c r="F249" s="137" t="s">
        <v>3831</v>
      </c>
      <c r="G249" s="137"/>
      <c r="H249" s="82" t="str">
        <f t="shared" si="24"/>
        <v>TCCN-PTE-PSG-SAG-AP1-INS-</v>
      </c>
      <c r="I249" s="137" t="str">
        <f>MID(H249,1,(LEN(H249)-VLOOKUP(K249,datos!$B$2:$C$12,2,0)))</f>
        <v>TCCN-PTE-PSG-SAG-AP1-INS</v>
      </c>
      <c r="J249" s="137" t="s">
        <v>6359</v>
      </c>
      <c r="K249" s="139">
        <f>VLOOKUP(LEN(SUBSTITUTE(H249,"-","")),datos!$A$1:$B$12,2,0)</f>
        <v>6</v>
      </c>
      <c r="L249" s="137"/>
      <c r="M249" s="137" t="s">
        <v>0</v>
      </c>
    </row>
    <row r="250" spans="1:13" x14ac:dyDescent="0.35">
      <c r="A250" s="138" t="s">
        <v>487</v>
      </c>
      <c r="B250" s="138" t="s">
        <v>3809</v>
      </c>
      <c r="C250" s="138" t="s">
        <v>3913</v>
      </c>
      <c r="D250" s="138" t="s">
        <v>3914</v>
      </c>
      <c r="E250" s="138" t="s">
        <v>3916</v>
      </c>
      <c r="F250" s="138" t="s">
        <v>3831</v>
      </c>
      <c r="G250" s="138" t="s">
        <v>3832</v>
      </c>
      <c r="H250" s="81" t="str">
        <f t="shared" si="24"/>
        <v>TCCN-PTE-PSG-SAG-AP1-INS-PE1</v>
      </c>
      <c r="I250" s="138" t="str">
        <f>MID(H250,1,(LEN(H250)-VLOOKUP(K250,datos!$B$2:$C$12,2,0)))</f>
        <v>TCCN-PTE-PSG-SAG-AP1-INS-PE1</v>
      </c>
      <c r="J250" s="138" t="s">
        <v>6736</v>
      </c>
      <c r="K250" s="140">
        <f>VLOOKUP(LEN(SUBSTITUTE(H250,"-","")),datos!$A$1:$B$12,2,0)</f>
        <v>7</v>
      </c>
      <c r="L250" s="138" t="s">
        <v>6757</v>
      </c>
      <c r="M250" s="138" t="s">
        <v>0</v>
      </c>
    </row>
    <row r="251" spans="1:13" x14ac:dyDescent="0.35">
      <c r="A251" s="138" t="s">
        <v>487</v>
      </c>
      <c r="B251" s="138" t="s">
        <v>3809</v>
      </c>
      <c r="C251" s="138" t="s">
        <v>3913</v>
      </c>
      <c r="D251" s="138" t="s">
        <v>3914</v>
      </c>
      <c r="E251" s="138" t="s">
        <v>3916</v>
      </c>
      <c r="F251" s="138" t="s">
        <v>3831</v>
      </c>
      <c r="G251" s="138" t="s">
        <v>6814</v>
      </c>
      <c r="H251" s="81" t="str">
        <f t="shared" si="24"/>
        <v>TCCN-PTE-PSG-SAG-AP1-INS-SAM</v>
      </c>
      <c r="I251" s="138" t="str">
        <f>MID(H251,1,(LEN(H251)-VLOOKUP(K251,datos!$B$2:$C$12,2,0)))</f>
        <v>TCCN-PTE-PSG-SAG-AP1-INS-SAM</v>
      </c>
      <c r="J251" s="138" t="s">
        <v>6358</v>
      </c>
      <c r="K251" s="140">
        <f>VLOOKUP(LEN(SUBSTITUTE(H251,"-","")),datos!$A$1:$B$12,2,0)</f>
        <v>7</v>
      </c>
      <c r="L251" s="138" t="s">
        <v>6758</v>
      </c>
      <c r="M251" s="138" t="s">
        <v>0</v>
      </c>
    </row>
    <row r="252" spans="1:13" x14ac:dyDescent="0.35">
      <c r="A252" s="138" t="s">
        <v>487</v>
      </c>
      <c r="B252" s="138" t="s">
        <v>3809</v>
      </c>
      <c r="C252" s="138" t="s">
        <v>3913</v>
      </c>
      <c r="D252" s="138" t="s">
        <v>3914</v>
      </c>
      <c r="E252" s="138" t="s">
        <v>3916</v>
      </c>
      <c r="F252" s="138" t="s">
        <v>3831</v>
      </c>
      <c r="G252" s="138" t="s">
        <v>5202</v>
      </c>
      <c r="H252" s="81" t="str">
        <f t="shared" si="24"/>
        <v>TCCN-PTE-PSG-SAG-AP1-INS-MVD</v>
      </c>
      <c r="I252" s="138" t="str">
        <f>MID(H252,1,(LEN(H252)-VLOOKUP(K252,datos!$B$2:$C$12,2,0)))</f>
        <v>TCCN-PTE-PSG-SAG-AP1-INS-MVD</v>
      </c>
      <c r="J252" s="138" t="s">
        <v>8106</v>
      </c>
      <c r="K252" s="140">
        <f>VLOOKUP(LEN(SUBSTITUTE(H252,"-","")),datos!$A$1:$B$12,2,0)</f>
        <v>7</v>
      </c>
      <c r="L252" s="138" t="s">
        <v>6765</v>
      </c>
      <c r="M252" s="138" t="s">
        <v>0</v>
      </c>
    </row>
    <row r="253" spans="1:13" x14ac:dyDescent="0.35">
      <c r="A253" s="138" t="s">
        <v>487</v>
      </c>
      <c r="B253" s="138" t="s">
        <v>3809</v>
      </c>
      <c r="C253" s="138" t="s">
        <v>3913</v>
      </c>
      <c r="D253" s="138" t="s">
        <v>3914</v>
      </c>
      <c r="E253" s="138" t="s">
        <v>3916</v>
      </c>
      <c r="F253" s="138" t="s">
        <v>3831</v>
      </c>
      <c r="G253" s="138" t="s">
        <v>7058</v>
      </c>
      <c r="H253" s="81" t="str">
        <f t="shared" si="24"/>
        <v>TCCN-PTE-PSG-SAG-AP1-INS-MT1</v>
      </c>
      <c r="I253" s="138" t="str">
        <f>MID(H253,1,(LEN(H253)-VLOOKUP(K253,datos!$B$2:$C$12,2,0)))</f>
        <v>TCCN-PTE-PSG-SAG-AP1-INS-MT1</v>
      </c>
      <c r="J253" s="138" t="s">
        <v>8068</v>
      </c>
      <c r="K253" s="140">
        <f>VLOOKUP(LEN(SUBSTITUTE(H253,"-","")),datos!$A$1:$B$12,2,0)</f>
        <v>7</v>
      </c>
      <c r="L253" s="138" t="s">
        <v>1549</v>
      </c>
      <c r="M253" s="138" t="s">
        <v>0</v>
      </c>
    </row>
    <row r="254" spans="1:13" x14ac:dyDescent="0.35">
      <c r="A254" s="138" t="s">
        <v>487</v>
      </c>
      <c r="B254" s="138" t="s">
        <v>3809</v>
      </c>
      <c r="C254" s="138" t="s">
        <v>3913</v>
      </c>
      <c r="D254" s="138" t="s">
        <v>3914</v>
      </c>
      <c r="E254" s="138" t="s">
        <v>3916</v>
      </c>
      <c r="F254" s="138" t="s">
        <v>3831</v>
      </c>
      <c r="G254" s="138" t="s">
        <v>7059</v>
      </c>
      <c r="H254" s="81" t="str">
        <f t="shared" si="24"/>
        <v>TCCN-PTE-PSG-SAG-AP1-INS-MT2</v>
      </c>
      <c r="I254" s="138" t="str">
        <f>MID(H254,1,(LEN(H254)-VLOOKUP(K254,datos!$B$2:$C$12,2,0)))</f>
        <v>TCCN-PTE-PSG-SAG-AP1-INS-MT2</v>
      </c>
      <c r="J254" s="138" t="s">
        <v>8069</v>
      </c>
      <c r="K254" s="140">
        <f>VLOOKUP(LEN(SUBSTITUTE(H254,"-","")),datos!$A$1:$B$12,2,0)</f>
        <v>7</v>
      </c>
      <c r="L254" s="138" t="s">
        <v>1550</v>
      </c>
      <c r="M254" s="138" t="s">
        <v>0</v>
      </c>
    </row>
    <row r="255" spans="1:13" x14ac:dyDescent="0.35">
      <c r="A255" s="138" t="s">
        <v>487</v>
      </c>
      <c r="B255" s="138" t="s">
        <v>3809</v>
      </c>
      <c r="C255" s="138" t="s">
        <v>3913</v>
      </c>
      <c r="D255" s="138" t="s">
        <v>3914</v>
      </c>
      <c r="E255" s="138" t="s">
        <v>3916</v>
      </c>
      <c r="F255" s="138" t="s">
        <v>3831</v>
      </c>
      <c r="G255" s="138" t="s">
        <v>4088</v>
      </c>
      <c r="H255" s="81" t="str">
        <f t="shared" si="24"/>
        <v>TCCN-PTE-PSG-SAG-AP1-INS-BYB</v>
      </c>
      <c r="I255" s="138" t="str">
        <f>MID(H255,1,(LEN(H255)-VLOOKUP(K255,datos!$B$2:$C$12,2,0)))</f>
        <v>TCCN-PTE-PSG-SAG-AP1-INS-BYB</v>
      </c>
      <c r="J255" s="138" t="s">
        <v>6760</v>
      </c>
      <c r="K255" s="140">
        <f>VLOOKUP(LEN(SUBSTITUTE(H255,"-","")),datos!$A$1:$B$12,2,0)</f>
        <v>7</v>
      </c>
      <c r="L255" s="138" t="s">
        <v>6759</v>
      </c>
      <c r="M255" s="138" t="s">
        <v>0</v>
      </c>
    </row>
    <row r="256" spans="1:13" x14ac:dyDescent="0.35">
      <c r="A256" s="137" t="s">
        <v>487</v>
      </c>
      <c r="B256" s="137" t="s">
        <v>3809</v>
      </c>
      <c r="C256" s="137" t="s">
        <v>3913</v>
      </c>
      <c r="D256" s="137" t="s">
        <v>3914</v>
      </c>
      <c r="E256" s="137" t="s">
        <v>3916</v>
      </c>
      <c r="F256" s="137" t="s">
        <v>3836</v>
      </c>
      <c r="G256" s="137"/>
      <c r="H256" s="82" t="str">
        <f t="shared" si="24"/>
        <v>TCCN-PTE-PSG-SAG-AP1-SLU-</v>
      </c>
      <c r="I256" s="137" t="str">
        <f>MID(H256,1,(LEN(H256)-VLOOKUP(K256,datos!$B$2:$C$12,2,0)))</f>
        <v>TCCN-PTE-PSG-SAG-AP1-SLU</v>
      </c>
      <c r="J256" s="137" t="s">
        <v>6360</v>
      </c>
      <c r="K256" s="139">
        <f>VLOOKUP(LEN(SUBSTITUTE(H256,"-","")),datos!$A$1:$B$12,2,0)</f>
        <v>6</v>
      </c>
      <c r="L256" s="137" t="s">
        <v>85</v>
      </c>
      <c r="M256" s="137" t="s">
        <v>0</v>
      </c>
    </row>
    <row r="257" spans="1:13" x14ac:dyDescent="0.35">
      <c r="A257" s="138" t="s">
        <v>487</v>
      </c>
      <c r="B257" s="138" t="s">
        <v>3809</v>
      </c>
      <c r="C257" s="138" t="s">
        <v>3913</v>
      </c>
      <c r="D257" s="138" t="s">
        <v>3914</v>
      </c>
      <c r="E257" s="138" t="s">
        <v>3916</v>
      </c>
      <c r="F257" s="138" t="s">
        <v>3836</v>
      </c>
      <c r="G257" s="138" t="s">
        <v>3818</v>
      </c>
      <c r="H257" s="81" t="str">
        <f t="shared" si="24"/>
        <v>TCCN-PTE-PSG-SAG-AP1-SLU-BBA</v>
      </c>
      <c r="I257" s="138" t="str">
        <f>MID(H257,1,(LEN(H257)-VLOOKUP(K257,datos!$B$2:$C$12,2,0)))</f>
        <v>TCCN-PTE-PSG-SAG-AP1-SLU-BBA</v>
      </c>
      <c r="J257" s="138" t="s">
        <v>6361</v>
      </c>
      <c r="K257" s="140">
        <f>VLOOKUP(LEN(SUBSTITUTE(H257,"-","")),datos!$A$1:$B$12,2,0)</f>
        <v>7</v>
      </c>
      <c r="L257" s="138"/>
      <c r="M257" s="138" t="s">
        <v>0</v>
      </c>
    </row>
    <row r="258" spans="1:13" x14ac:dyDescent="0.35">
      <c r="A258" s="138" t="s">
        <v>487</v>
      </c>
      <c r="B258" s="138" t="s">
        <v>3809</v>
      </c>
      <c r="C258" s="138" t="s">
        <v>3913</v>
      </c>
      <c r="D258" s="138" t="s">
        <v>3914</v>
      </c>
      <c r="E258" s="138" t="s">
        <v>3916</v>
      </c>
      <c r="F258" s="138" t="s">
        <v>3836</v>
      </c>
      <c r="G258" s="138" t="s">
        <v>3819</v>
      </c>
      <c r="H258" s="81" t="str">
        <f t="shared" si="24"/>
        <v>TCCN-PTE-PSG-SAG-AP1-SLU-MOE</v>
      </c>
      <c r="I258" s="138" t="str">
        <f>MID(H258,1,(LEN(H258)-VLOOKUP(K258,datos!$B$2:$C$12,2,0)))</f>
        <v>TCCN-PTE-PSG-SAG-AP1-SLU-MOE</v>
      </c>
      <c r="J258" s="138" t="s">
        <v>6362</v>
      </c>
      <c r="K258" s="140">
        <f>VLOOKUP(LEN(SUBSTITUTE(H258,"-","")),datos!$A$1:$B$12,2,0)</f>
        <v>7</v>
      </c>
      <c r="L258" s="138" t="s">
        <v>5494</v>
      </c>
      <c r="M258" s="138" t="s">
        <v>0</v>
      </c>
    </row>
    <row r="259" spans="1:13" x14ac:dyDescent="0.35">
      <c r="A259" s="138" t="s">
        <v>487</v>
      </c>
      <c r="B259" s="138" t="s">
        <v>3809</v>
      </c>
      <c r="C259" s="138" t="s">
        <v>3913</v>
      </c>
      <c r="D259" s="138" t="s">
        <v>3914</v>
      </c>
      <c r="E259" s="138" t="s">
        <v>3916</v>
      </c>
      <c r="F259" s="138" t="s">
        <v>3836</v>
      </c>
      <c r="G259" s="138" t="s">
        <v>3837</v>
      </c>
      <c r="H259" s="81" t="str">
        <f t="shared" si="24"/>
        <v>TCCN-PTE-PSG-SAG-AP1-SLU-MNF</v>
      </c>
      <c r="I259" s="138" t="str">
        <f>MID(H259,1,(LEN(H259)-VLOOKUP(K259,datos!$B$2:$C$12,2,0)))</f>
        <v>TCCN-PTE-PSG-SAG-AP1-SLU-MNF</v>
      </c>
      <c r="J259" s="138" t="s">
        <v>6363</v>
      </c>
      <c r="K259" s="140">
        <f>VLOOKUP(LEN(SUBSTITUTE(H259,"-","")),datos!$A$1:$B$12,2,0)</f>
        <v>7</v>
      </c>
      <c r="L259" s="138"/>
      <c r="M259" s="138" t="s">
        <v>0</v>
      </c>
    </row>
    <row r="260" spans="1:13" x14ac:dyDescent="0.35">
      <c r="A260" s="138" t="s">
        <v>487</v>
      </c>
      <c r="B260" s="138" t="s">
        <v>3809</v>
      </c>
      <c r="C260" s="138" t="s">
        <v>3913</v>
      </c>
      <c r="D260" s="138" t="s">
        <v>3914</v>
      </c>
      <c r="E260" s="138" t="s">
        <v>3916</v>
      </c>
      <c r="F260" s="138" t="s">
        <v>3836</v>
      </c>
      <c r="G260" s="138" t="s">
        <v>5256</v>
      </c>
      <c r="H260" s="81" t="str">
        <f t="shared" si="24"/>
        <v>TCCN-PTE-PSG-SAG-AP1-SLU-MNV</v>
      </c>
      <c r="I260" s="138" t="str">
        <f>MID(H260,1,(LEN(H260)-VLOOKUP(K260,datos!$B$2:$C$12,2,0)))</f>
        <v>TCCN-PTE-PSG-SAG-AP1-SLU-MNV</v>
      </c>
      <c r="J260" s="138" t="s">
        <v>7605</v>
      </c>
      <c r="K260" s="140">
        <f>VLOOKUP(LEN(SUBSTITUTE(H260,"-","")),datos!$A$1:$B$12,2,0)</f>
        <v>7</v>
      </c>
      <c r="L260" s="138"/>
      <c r="M260" s="138" t="s">
        <v>0</v>
      </c>
    </row>
    <row r="261" spans="1:13" x14ac:dyDescent="0.35">
      <c r="A261" s="138" t="s">
        <v>487</v>
      </c>
      <c r="B261" s="138" t="s">
        <v>3809</v>
      </c>
      <c r="C261" s="138" t="s">
        <v>3913</v>
      </c>
      <c r="D261" s="138" t="s">
        <v>3914</v>
      </c>
      <c r="E261" s="138" t="s">
        <v>3916</v>
      </c>
      <c r="F261" s="138" t="s">
        <v>3836</v>
      </c>
      <c r="G261" s="138" t="s">
        <v>3838</v>
      </c>
      <c r="H261" s="81" t="str">
        <f t="shared" si="24"/>
        <v>TCCN-PTE-PSG-SAG-AP1-SLU-SSS</v>
      </c>
      <c r="I261" s="138" t="str">
        <f>MID(H261,1,(LEN(H261)-VLOOKUP(K261,datos!$B$2:$C$12,2,0)))</f>
        <v>TCCN-PTE-PSG-SAG-AP1-SLU-SSS</v>
      </c>
      <c r="J261" s="138" t="s">
        <v>6364</v>
      </c>
      <c r="K261" s="140">
        <f>VLOOKUP(LEN(SUBSTITUTE(H261,"-","")),datos!$A$1:$B$12,2,0)</f>
        <v>7</v>
      </c>
      <c r="L261" s="138"/>
      <c r="M261" s="138" t="s">
        <v>0</v>
      </c>
    </row>
    <row r="262" spans="1:13" x14ac:dyDescent="0.35">
      <c r="A262" s="137" t="s">
        <v>487</v>
      </c>
      <c r="B262" s="137" t="s">
        <v>3809</v>
      </c>
      <c r="C262" s="137" t="s">
        <v>3913</v>
      </c>
      <c r="D262" s="137" t="s">
        <v>3914</v>
      </c>
      <c r="E262" s="137" t="s">
        <v>3916</v>
      </c>
      <c r="F262" s="137" t="s">
        <v>3816</v>
      </c>
      <c r="G262" s="137"/>
      <c r="H262" s="82" t="str">
        <f t="shared" si="24"/>
        <v>TCCN-PTE-PSG-SAG-AP1-SHI-</v>
      </c>
      <c r="I262" s="137" t="str">
        <f>MID(H262,1,(LEN(H262)-VLOOKUP(K262,datos!$B$2:$C$12,2,0)))</f>
        <v>TCCN-PTE-PSG-SAG-AP1-SHI</v>
      </c>
      <c r="J262" s="137" t="s">
        <v>6365</v>
      </c>
      <c r="K262" s="139">
        <f>VLOOKUP(LEN(SUBSTITUTE(H262,"-","")),datos!$A$1:$B$12,2,0)</f>
        <v>6</v>
      </c>
      <c r="L262" s="137" t="s">
        <v>84</v>
      </c>
      <c r="M262" s="137" t="s">
        <v>0</v>
      </c>
    </row>
    <row r="263" spans="1:13" x14ac:dyDescent="0.35">
      <c r="A263" s="138" t="s">
        <v>487</v>
      </c>
      <c r="B263" s="138" t="s">
        <v>3809</v>
      </c>
      <c r="C263" s="138" t="s">
        <v>3913</v>
      </c>
      <c r="D263" s="138" t="s">
        <v>3914</v>
      </c>
      <c r="E263" s="138" t="s">
        <v>3916</v>
      </c>
      <c r="F263" s="138" t="s">
        <v>3816</v>
      </c>
      <c r="G263" s="138" t="s">
        <v>4042</v>
      </c>
      <c r="H263" s="81" t="str">
        <f t="shared" si="24"/>
        <v>TCCN-PTE-PSG-SAG-AP1-SHI-MHD</v>
      </c>
      <c r="I263" s="138" t="str">
        <f>MID(H263,1,(LEN(H263)-VLOOKUP(K263,datos!$B$2:$C$12,2,0)))</f>
        <v>TCCN-PTE-PSG-SAG-AP1-SHI-MHD</v>
      </c>
      <c r="J263" s="138" t="s">
        <v>8185</v>
      </c>
      <c r="K263" s="140">
        <f>VLOOKUP(LEN(SUBSTITUTE(H263,"-","")),datos!$A$1:$B$12,2,0)</f>
        <v>7</v>
      </c>
      <c r="L263" s="138"/>
      <c r="M263" s="138" t="s">
        <v>0</v>
      </c>
    </row>
    <row r="264" spans="1:13" x14ac:dyDescent="0.35">
      <c r="A264" s="138" t="s">
        <v>487</v>
      </c>
      <c r="B264" s="138" t="s">
        <v>3809</v>
      </c>
      <c r="C264" s="138" t="s">
        <v>3913</v>
      </c>
      <c r="D264" s="138" t="s">
        <v>3914</v>
      </c>
      <c r="E264" s="138" t="s">
        <v>3916</v>
      </c>
      <c r="F264" s="138" t="s">
        <v>3816</v>
      </c>
      <c r="G264" s="138" t="s">
        <v>3818</v>
      </c>
      <c r="H264" s="81" t="str">
        <f t="shared" si="24"/>
        <v>TCCN-PTE-PSG-SAG-AP1-SHI-BBA</v>
      </c>
      <c r="I264" s="138" t="str">
        <f>MID(H264,1,(LEN(H264)-VLOOKUP(K264,datos!$B$2:$C$12,2,0)))</f>
        <v>TCCN-PTE-PSG-SAG-AP1-SHI-BBA</v>
      </c>
      <c r="J264" s="138" t="s">
        <v>6366</v>
      </c>
      <c r="K264" s="140">
        <f>VLOOKUP(LEN(SUBSTITUTE(H264,"-","")),datos!$A$1:$B$12,2,0)</f>
        <v>7</v>
      </c>
      <c r="L264" s="138"/>
      <c r="M264" s="138" t="s">
        <v>0</v>
      </c>
    </row>
    <row r="265" spans="1:13" x14ac:dyDescent="0.35">
      <c r="A265" s="138" t="s">
        <v>487</v>
      </c>
      <c r="B265" s="138" t="s">
        <v>3809</v>
      </c>
      <c r="C265" s="138" t="s">
        <v>3913</v>
      </c>
      <c r="D265" s="138" t="s">
        <v>3914</v>
      </c>
      <c r="E265" s="138" t="s">
        <v>3916</v>
      </c>
      <c r="F265" s="138" t="s">
        <v>3816</v>
      </c>
      <c r="G265" s="138" t="s">
        <v>4095</v>
      </c>
      <c r="H265" s="81" t="str">
        <f t="shared" si="24"/>
        <v>TCCN-PTE-PSG-SAG-AP1-SHI-ACU</v>
      </c>
      <c r="I265" s="138" t="str">
        <f>MID(H265,1,(LEN(H265)-VLOOKUP(K265,datos!$B$2:$C$12,2,0)))</f>
        <v>TCCN-PTE-PSG-SAG-AP1-SHI-ACU</v>
      </c>
      <c r="J265" s="138" t="s">
        <v>6367</v>
      </c>
      <c r="K265" s="140">
        <f>VLOOKUP(LEN(SUBSTITUTE(H265,"-","")),datos!$A$1:$B$12,2,0)</f>
        <v>7</v>
      </c>
      <c r="L265" s="138"/>
      <c r="M265" s="138" t="s">
        <v>0</v>
      </c>
    </row>
    <row r="266" spans="1:13" x14ac:dyDescent="0.35">
      <c r="A266" s="138" t="s">
        <v>487</v>
      </c>
      <c r="B266" s="138" t="s">
        <v>3809</v>
      </c>
      <c r="C266" s="138" t="s">
        <v>3913</v>
      </c>
      <c r="D266" s="138" t="s">
        <v>3914</v>
      </c>
      <c r="E266" s="138" t="s">
        <v>3916</v>
      </c>
      <c r="F266" s="138" t="s">
        <v>3816</v>
      </c>
      <c r="G266" s="138" t="s">
        <v>3853</v>
      </c>
      <c r="H266" s="81" t="str">
        <f t="shared" si="24"/>
        <v>TCCN-PTE-PSG-SAG-AP1-SHI-EST</v>
      </c>
      <c r="I266" s="138" t="str">
        <f>MID(H266,1,(LEN(H266)-VLOOKUP(K266,datos!$B$2:$C$12,2,0)))</f>
        <v>TCCN-PTE-PSG-SAG-AP1-SHI-EST</v>
      </c>
      <c r="J266" s="138" t="s">
        <v>6368</v>
      </c>
      <c r="K266" s="140">
        <f>VLOOKUP(LEN(SUBSTITUTE(H266,"-","")),datos!$A$1:$B$12,2,0)</f>
        <v>7</v>
      </c>
      <c r="L266" s="138"/>
      <c r="M266" s="138" t="s">
        <v>0</v>
      </c>
    </row>
    <row r="267" spans="1:13" x14ac:dyDescent="0.35">
      <c r="A267" s="138" t="s">
        <v>487</v>
      </c>
      <c r="B267" s="138" t="s">
        <v>3809</v>
      </c>
      <c r="C267" s="138" t="s">
        <v>3913</v>
      </c>
      <c r="D267" s="138" t="s">
        <v>3914</v>
      </c>
      <c r="E267" s="138" t="s">
        <v>3916</v>
      </c>
      <c r="F267" s="138" t="s">
        <v>3816</v>
      </c>
      <c r="G267" s="138" t="s">
        <v>3839</v>
      </c>
      <c r="H267" s="81" t="str">
        <f t="shared" si="24"/>
        <v>TCCN-PTE-PSG-SAG-AP1-SHI-MO1</v>
      </c>
      <c r="I267" s="138" t="str">
        <f>MID(H267,1,(LEN(H267)-VLOOKUP(K267,datos!$B$2:$C$12,2,0)))</f>
        <v>TCCN-PTE-PSG-SAG-AP1-SHI-MO1</v>
      </c>
      <c r="J267" s="138" t="s">
        <v>6369</v>
      </c>
      <c r="K267" s="140">
        <f>VLOOKUP(LEN(SUBSTITUTE(H267,"-","")),datos!$A$1:$B$12,2,0)</f>
        <v>7</v>
      </c>
      <c r="L267" s="138" t="s">
        <v>5492</v>
      </c>
      <c r="M267" s="138" t="s">
        <v>0</v>
      </c>
    </row>
    <row r="268" spans="1:13" x14ac:dyDescent="0.35">
      <c r="A268" s="138" t="s">
        <v>487</v>
      </c>
      <c r="B268" s="138" t="s">
        <v>3809</v>
      </c>
      <c r="C268" s="138" t="s">
        <v>3913</v>
      </c>
      <c r="D268" s="138" t="s">
        <v>3914</v>
      </c>
      <c r="E268" s="138" t="s">
        <v>3916</v>
      </c>
      <c r="F268" s="138" t="s">
        <v>3816</v>
      </c>
      <c r="G268" s="138" t="s">
        <v>3840</v>
      </c>
      <c r="H268" s="81" t="str">
        <f t="shared" si="24"/>
        <v>TCCN-PTE-PSG-SAG-AP1-SHI-MO2</v>
      </c>
      <c r="I268" s="138" t="str">
        <f>MID(H268,1,(LEN(H268)-VLOOKUP(K268,datos!$B$2:$C$12,2,0)))</f>
        <v>TCCN-PTE-PSG-SAG-AP1-SHI-MO2</v>
      </c>
      <c r="J268" s="138" t="s">
        <v>6375</v>
      </c>
      <c r="K268" s="140">
        <f>VLOOKUP(LEN(SUBSTITUTE(H268,"-","")),datos!$A$1:$B$12,2,0)</f>
        <v>7</v>
      </c>
      <c r="L268" s="138" t="s">
        <v>5495</v>
      </c>
      <c r="M268" s="138" t="s">
        <v>0</v>
      </c>
    </row>
    <row r="269" spans="1:13" x14ac:dyDescent="0.35">
      <c r="A269" s="138" t="s">
        <v>487</v>
      </c>
      <c r="B269" s="138" t="s">
        <v>3809</v>
      </c>
      <c r="C269" s="138" t="s">
        <v>3913</v>
      </c>
      <c r="D269" s="138" t="s">
        <v>3914</v>
      </c>
      <c r="E269" s="138" t="s">
        <v>3916</v>
      </c>
      <c r="F269" s="138" t="s">
        <v>3816</v>
      </c>
      <c r="G269" s="138" t="s">
        <v>3841</v>
      </c>
      <c r="H269" s="81" t="str">
        <f t="shared" si="24"/>
        <v>TCCN-PTE-PSG-SAG-AP1-SHI-MO3</v>
      </c>
      <c r="I269" s="138" t="str">
        <f>MID(H269,1,(LEN(H269)-VLOOKUP(K269,datos!$B$2:$C$12,2,0)))</f>
        <v>TCCN-PTE-PSG-SAG-AP1-SHI-MO3</v>
      </c>
      <c r="J269" s="138" t="s">
        <v>6374</v>
      </c>
      <c r="K269" s="140">
        <f>VLOOKUP(LEN(SUBSTITUTE(H269,"-","")),datos!$A$1:$B$12,2,0)</f>
        <v>7</v>
      </c>
      <c r="L269" s="138" t="s">
        <v>5490</v>
      </c>
      <c r="M269" s="138" t="s">
        <v>0</v>
      </c>
    </row>
    <row r="270" spans="1:13" x14ac:dyDescent="0.35">
      <c r="A270" s="138" t="s">
        <v>487</v>
      </c>
      <c r="B270" s="138" t="s">
        <v>3809</v>
      </c>
      <c r="C270" s="138" t="s">
        <v>3913</v>
      </c>
      <c r="D270" s="138" t="s">
        <v>3914</v>
      </c>
      <c r="E270" s="138" t="s">
        <v>3916</v>
      </c>
      <c r="F270" s="138" t="s">
        <v>3816</v>
      </c>
      <c r="G270" s="138" t="s">
        <v>5484</v>
      </c>
      <c r="H270" s="81" t="str">
        <f t="shared" ref="H270:H271" si="25">CONCATENATE(A270,"-",B270,"-",C270,"-",D270,"-",E270,"-",F270,"-",G270)</f>
        <v>TCCN-PTE-PSG-SAG-AP1-SHI-EMA</v>
      </c>
      <c r="I270" s="138" t="str">
        <f>MID(H270,1,(LEN(H270)-VLOOKUP(K270,datos!$B$2:$C$12,2,0)))</f>
        <v>TCCN-PTE-PSG-SAG-AP1-SHI-EMA</v>
      </c>
      <c r="J270" s="138" t="s">
        <v>6370</v>
      </c>
      <c r="K270" s="140">
        <f>VLOOKUP(LEN(SUBSTITUTE(H270,"-","")),datos!$A$1:$B$12,2,0)</f>
        <v>7</v>
      </c>
      <c r="L270" s="138" t="s">
        <v>5489</v>
      </c>
      <c r="M270" s="138" t="s">
        <v>0</v>
      </c>
    </row>
    <row r="271" spans="1:13" x14ac:dyDescent="0.35">
      <c r="A271" s="138" t="s">
        <v>487</v>
      </c>
      <c r="B271" s="138" t="s">
        <v>3809</v>
      </c>
      <c r="C271" s="138" t="s">
        <v>3913</v>
      </c>
      <c r="D271" s="138" t="s">
        <v>3914</v>
      </c>
      <c r="E271" s="138" t="s">
        <v>3916</v>
      </c>
      <c r="F271" s="138" t="s">
        <v>3816</v>
      </c>
      <c r="G271" s="138" t="s">
        <v>3820</v>
      </c>
      <c r="H271" s="81" t="str">
        <f t="shared" si="25"/>
        <v>TCCN-PTE-PSG-SAG-AP1-SHI-CUH</v>
      </c>
      <c r="I271" s="138" t="str">
        <f>MID(H271,1,(LEN(H271)-VLOOKUP(K271,datos!$B$2:$C$12,2,0)))</f>
        <v>TCCN-PTE-PSG-SAG-AP1-SHI-CUH</v>
      </c>
      <c r="J271" s="138" t="s">
        <v>6371</v>
      </c>
      <c r="K271" s="140">
        <f>VLOOKUP(LEN(SUBSTITUTE(H271,"-","")),datos!$A$1:$B$12,2,0)</f>
        <v>7</v>
      </c>
      <c r="L271" s="138" t="s">
        <v>5491</v>
      </c>
      <c r="M271" s="138" t="s">
        <v>0</v>
      </c>
    </row>
    <row r="272" spans="1:13" x14ac:dyDescent="0.35">
      <c r="A272" s="138" t="s">
        <v>487</v>
      </c>
      <c r="B272" s="138" t="s">
        <v>3809</v>
      </c>
      <c r="C272" s="138" t="s">
        <v>3913</v>
      </c>
      <c r="D272" s="138" t="s">
        <v>3914</v>
      </c>
      <c r="E272" s="138" t="s">
        <v>3916</v>
      </c>
      <c r="F272" s="138" t="s">
        <v>3816</v>
      </c>
      <c r="G272" s="138" t="s">
        <v>3946</v>
      </c>
      <c r="H272" s="81" t="str">
        <f t="shared" si="24"/>
        <v>TCCN-PTE-PSG-SAG-AP1-SHI-ENF</v>
      </c>
      <c r="I272" s="138" t="str">
        <f>MID(H272,1,(LEN(H272)-VLOOKUP(K272,datos!$B$2:$C$12,2,0)))</f>
        <v>TCCN-PTE-PSG-SAG-AP1-SHI-ENF</v>
      </c>
      <c r="J272" s="138" t="s">
        <v>6372</v>
      </c>
      <c r="K272" s="140">
        <f>VLOOKUP(LEN(SUBSTITUTE(H272,"-","")),datos!$A$1:$B$12,2,0)</f>
        <v>7</v>
      </c>
      <c r="L272" s="138" t="s">
        <v>5493</v>
      </c>
      <c r="M272" s="138" t="s">
        <v>0</v>
      </c>
    </row>
    <row r="273" spans="1:13" x14ac:dyDescent="0.35">
      <c r="A273" s="138" t="s">
        <v>487</v>
      </c>
      <c r="B273" s="138" t="s">
        <v>3809</v>
      </c>
      <c r="C273" s="138" t="s">
        <v>3913</v>
      </c>
      <c r="D273" s="138" t="s">
        <v>3914</v>
      </c>
      <c r="E273" s="138" t="s">
        <v>3916</v>
      </c>
      <c r="F273" s="138" t="s">
        <v>3816</v>
      </c>
      <c r="G273" s="138" t="s">
        <v>7060</v>
      </c>
      <c r="H273" s="81" t="str">
        <f t="shared" si="24"/>
        <v>TCCN-PTE-PSG-SAG-AP1-SHI-MTP</v>
      </c>
      <c r="I273" s="138" t="str">
        <f>MID(H273,1,(LEN(H273)-VLOOKUP(K273,datos!$B$2:$C$12,2,0)))</f>
        <v>TCCN-PTE-PSG-SAG-AP1-SHI-MTP</v>
      </c>
      <c r="J273" s="138" t="s">
        <v>8070</v>
      </c>
      <c r="K273" s="140">
        <f>VLOOKUP(LEN(SUBSTITUTE(H273,"-","")),datos!$A$1:$B$12,2,0)</f>
        <v>7</v>
      </c>
      <c r="L273" s="138" t="s">
        <v>1551</v>
      </c>
      <c r="M273" s="138" t="s">
        <v>0</v>
      </c>
    </row>
    <row r="274" spans="1:13" x14ac:dyDescent="0.35">
      <c r="A274" s="138" t="s">
        <v>487</v>
      </c>
      <c r="B274" s="138" t="s">
        <v>3809</v>
      </c>
      <c r="C274" s="138" t="s">
        <v>3913</v>
      </c>
      <c r="D274" s="138" t="s">
        <v>3914</v>
      </c>
      <c r="E274" s="138" t="s">
        <v>3916</v>
      </c>
      <c r="F274" s="138" t="s">
        <v>3816</v>
      </c>
      <c r="G274" s="138" t="s">
        <v>5256</v>
      </c>
      <c r="H274" s="81" t="str">
        <f t="shared" si="24"/>
        <v>TCCN-PTE-PSG-SAG-AP1-SHI-MNV</v>
      </c>
      <c r="I274" s="138" t="str">
        <f>MID(H274,1,(LEN(H274)-VLOOKUP(K274,datos!$B$2:$C$12,2,0)))</f>
        <v>TCCN-PTE-PSG-SAG-AP1-SHI-MNV</v>
      </c>
      <c r="J274" s="138" t="s">
        <v>7606</v>
      </c>
      <c r="K274" s="140">
        <f>VLOOKUP(LEN(SUBSTITUTE(H274,"-","")),datos!$A$1:$B$12,2,0)</f>
        <v>7</v>
      </c>
      <c r="L274" s="138" t="s">
        <v>1552</v>
      </c>
      <c r="M274" s="138" t="s">
        <v>0</v>
      </c>
    </row>
    <row r="275" spans="1:13" x14ac:dyDescent="0.35">
      <c r="A275" s="137" t="s">
        <v>487</v>
      </c>
      <c r="B275" s="137" t="s">
        <v>3809</v>
      </c>
      <c r="C275" s="137" t="s">
        <v>3913</v>
      </c>
      <c r="D275" s="137" t="s">
        <v>3914</v>
      </c>
      <c r="E275" s="137" t="s">
        <v>3916</v>
      </c>
      <c r="F275" s="137" t="s">
        <v>3824</v>
      </c>
      <c r="G275" s="137"/>
      <c r="H275" s="82" t="str">
        <f t="shared" si="24"/>
        <v>TCCN-PTE-PSG-SAG-AP1-SES-</v>
      </c>
      <c r="I275" s="137" t="str">
        <f>MID(H275,1,(LEN(H275)-VLOOKUP(K275,datos!$B$2:$C$12,2,0)))</f>
        <v>TCCN-PTE-PSG-SAG-AP1-SES</v>
      </c>
      <c r="J275" s="137" t="s">
        <v>6373</v>
      </c>
      <c r="K275" s="139">
        <f>VLOOKUP(LEN(SUBSTITUTE(H275,"-","")),datos!$A$1:$B$12,2,0)</f>
        <v>6</v>
      </c>
      <c r="L275" s="137"/>
      <c r="M275" s="137" t="s">
        <v>0</v>
      </c>
    </row>
    <row r="276" spans="1:13" x14ac:dyDescent="0.35">
      <c r="A276" s="138" t="s">
        <v>487</v>
      </c>
      <c r="B276" s="138" t="s">
        <v>3809</v>
      </c>
      <c r="C276" s="138" t="s">
        <v>3913</v>
      </c>
      <c r="D276" s="138" t="s">
        <v>3914</v>
      </c>
      <c r="E276" s="138" t="s">
        <v>3916</v>
      </c>
      <c r="F276" s="138" t="s">
        <v>3824</v>
      </c>
      <c r="G276" s="138" t="s">
        <v>3842</v>
      </c>
      <c r="H276" s="81" t="str">
        <f t="shared" si="24"/>
        <v>TCCN-PTE-PSG-SAG-AP1-SES-CH1</v>
      </c>
      <c r="I276" s="138" t="str">
        <f>MID(H276,1,(LEN(H276)-VLOOKUP(K276,datos!$B$2:$C$12,2,0)))</f>
        <v>TCCN-PTE-PSG-SAG-AP1-SES-CH1</v>
      </c>
      <c r="J276" s="138" t="s">
        <v>6376</v>
      </c>
      <c r="K276" s="140">
        <f>VLOOKUP(LEN(SUBSTITUTE(H276,"-","")),datos!$A$1:$B$12,2,0)</f>
        <v>7</v>
      </c>
      <c r="L276" s="138" t="s">
        <v>80</v>
      </c>
      <c r="M276" s="138" t="s">
        <v>0</v>
      </c>
    </row>
    <row r="277" spans="1:13" x14ac:dyDescent="0.35">
      <c r="A277" s="138" t="s">
        <v>487</v>
      </c>
      <c r="B277" s="138" t="s">
        <v>3809</v>
      </c>
      <c r="C277" s="138" t="s">
        <v>3913</v>
      </c>
      <c r="D277" s="138" t="s">
        <v>3914</v>
      </c>
      <c r="E277" s="138" t="s">
        <v>3916</v>
      </c>
      <c r="F277" s="138" t="s">
        <v>3824</v>
      </c>
      <c r="G277" s="138" t="s">
        <v>3843</v>
      </c>
      <c r="H277" s="81" t="str">
        <f t="shared" ref="H277:H336" si="26">CONCATENATE(A277,"-",B277,"-",C277,"-",D277,"-",E277,"-",F277,"-",G277)</f>
        <v>TCCN-PTE-PSG-SAG-AP1-SES-CH2</v>
      </c>
      <c r="I277" s="138" t="str">
        <f>MID(H277,1,(LEN(H277)-VLOOKUP(K277,datos!$B$2:$C$12,2,0)))</f>
        <v>TCCN-PTE-PSG-SAG-AP1-SES-CH2</v>
      </c>
      <c r="J277" s="138" t="s">
        <v>6377</v>
      </c>
      <c r="K277" s="140">
        <f>VLOOKUP(LEN(SUBSTITUTE(H277,"-","")),datos!$A$1:$B$12,2,0)</f>
        <v>7</v>
      </c>
      <c r="L277" s="138" t="s">
        <v>93</v>
      </c>
      <c r="M277" s="138" t="s">
        <v>0</v>
      </c>
    </row>
    <row r="278" spans="1:13" x14ac:dyDescent="0.35">
      <c r="A278" s="138" t="s">
        <v>487</v>
      </c>
      <c r="B278" s="138" t="s">
        <v>3809</v>
      </c>
      <c r="C278" s="138" t="s">
        <v>3913</v>
      </c>
      <c r="D278" s="138" t="s">
        <v>3914</v>
      </c>
      <c r="E278" s="138" t="s">
        <v>3916</v>
      </c>
      <c r="F278" s="138" t="s">
        <v>3824</v>
      </c>
      <c r="G278" s="138" t="s">
        <v>3917</v>
      </c>
      <c r="H278" s="81" t="str">
        <f t="shared" si="26"/>
        <v>TCCN-PTE-PSG-SAG-AP1-SES-CH3</v>
      </c>
      <c r="I278" s="138" t="str">
        <f>MID(H278,1,(LEN(H278)-VLOOKUP(K278,datos!$B$2:$C$12,2,0)))</f>
        <v>TCCN-PTE-PSG-SAG-AP1-SES-CH3</v>
      </c>
      <c r="J278" s="138" t="s">
        <v>6378</v>
      </c>
      <c r="K278" s="140">
        <f>VLOOKUP(LEN(SUBSTITUTE(H278,"-","")),datos!$A$1:$B$12,2,0)</f>
        <v>7</v>
      </c>
      <c r="L278" s="138" t="s">
        <v>97</v>
      </c>
      <c r="M278" s="138" t="s">
        <v>0</v>
      </c>
    </row>
    <row r="279" spans="1:13" customFormat="1" ht="14.5" x14ac:dyDescent="0.35">
      <c r="A279" s="129" t="s">
        <v>487</v>
      </c>
      <c r="B279" s="129" t="s">
        <v>3809</v>
      </c>
      <c r="C279" s="129" t="s">
        <v>3913</v>
      </c>
      <c r="D279" s="129" t="s">
        <v>3914</v>
      </c>
      <c r="E279" s="129" t="s">
        <v>3918</v>
      </c>
      <c r="F279" s="129"/>
      <c r="G279" s="129"/>
      <c r="H279" s="83" t="str">
        <f t="shared" si="26"/>
        <v>TCCN-PTE-PSG-SAG-SL2--</v>
      </c>
      <c r="I279" s="129" t="str">
        <f>MID(H279,1,(LEN(H279)-VLOOKUP(K279,datos!$B$2:$C$12,2,0)))</f>
        <v>TCCN-PTE-PSG-SAG-SL2</v>
      </c>
      <c r="J279" s="129" t="s">
        <v>5487</v>
      </c>
      <c r="K279" s="130">
        <f>VLOOKUP(LEN(SUBSTITUTE(H279,"-","")),datos!$A$1:$B$12,2,0)</f>
        <v>5</v>
      </c>
      <c r="L279" s="129" t="s">
        <v>1573</v>
      </c>
      <c r="M279" s="129" t="s">
        <v>0</v>
      </c>
    </row>
    <row r="280" spans="1:13" x14ac:dyDescent="0.35">
      <c r="A280" s="137" t="s">
        <v>487</v>
      </c>
      <c r="B280" s="137" t="s">
        <v>3809</v>
      </c>
      <c r="C280" s="137" t="s">
        <v>3913</v>
      </c>
      <c r="D280" s="137" t="s">
        <v>3914</v>
      </c>
      <c r="E280" s="137" t="s">
        <v>3918</v>
      </c>
      <c r="F280" s="137" t="s">
        <v>3816</v>
      </c>
      <c r="G280" s="137"/>
      <c r="H280" s="82" t="str">
        <f t="shared" si="26"/>
        <v>TCCN-PTE-PSG-SAG-SL2-SHI-</v>
      </c>
      <c r="I280" s="137" t="str">
        <f>MID(H280,1,(LEN(H280)-VLOOKUP(K280,datos!$B$2:$C$12,2,0)))</f>
        <v>TCCN-PTE-PSG-SAG-SL2-SHI</v>
      </c>
      <c r="J280" s="137" t="s">
        <v>6405</v>
      </c>
      <c r="K280" s="139">
        <f>VLOOKUP(LEN(SUBSTITUTE(H280,"-","")),datos!$A$1:$B$12,2,0)</f>
        <v>6</v>
      </c>
      <c r="L280" s="137" t="s">
        <v>1574</v>
      </c>
      <c r="M280" s="137" t="s">
        <v>0</v>
      </c>
    </row>
    <row r="281" spans="1:13" x14ac:dyDescent="0.35">
      <c r="A281" s="138" t="s">
        <v>487</v>
      </c>
      <c r="B281" s="138" t="s">
        <v>3809</v>
      </c>
      <c r="C281" s="138" t="s">
        <v>3913</v>
      </c>
      <c r="D281" s="138" t="s">
        <v>3914</v>
      </c>
      <c r="E281" s="138" t="s">
        <v>3918</v>
      </c>
      <c r="F281" s="138" t="s">
        <v>3816</v>
      </c>
      <c r="G281" s="138" t="s">
        <v>3817</v>
      </c>
      <c r="H281" s="81" t="str">
        <f t="shared" si="26"/>
        <v>TCCN-PTE-PSG-SAG-SL2-SHI-CIH</v>
      </c>
      <c r="I281" s="138" t="str">
        <f>MID(H281,1,(LEN(H281)-VLOOKUP(K281,datos!$B$2:$C$12,2,0)))</f>
        <v>TCCN-PTE-PSG-SAG-SL2-SHI-CIH</v>
      </c>
      <c r="J281" s="138" t="s">
        <v>6406</v>
      </c>
      <c r="K281" s="140">
        <f>VLOOKUP(LEN(SUBSTITUTE(H281,"-","")),datos!$A$1:$B$12,2,0)</f>
        <v>7</v>
      </c>
      <c r="L281" s="138"/>
      <c r="M281" s="138" t="s">
        <v>0</v>
      </c>
    </row>
    <row r="282" spans="1:13" x14ac:dyDescent="0.35">
      <c r="A282" s="138" t="s">
        <v>487</v>
      </c>
      <c r="B282" s="138" t="s">
        <v>3809</v>
      </c>
      <c r="C282" s="138" t="s">
        <v>3913</v>
      </c>
      <c r="D282" s="138" t="s">
        <v>3914</v>
      </c>
      <c r="E282" s="138" t="s">
        <v>3918</v>
      </c>
      <c r="F282" s="138" t="s">
        <v>3816</v>
      </c>
      <c r="G282" s="138" t="s">
        <v>3818</v>
      </c>
      <c r="H282" s="81" t="str">
        <f t="shared" si="26"/>
        <v>TCCN-PTE-PSG-SAG-SL2-SHI-BBA</v>
      </c>
      <c r="I282" s="138" t="str">
        <f>MID(H282,1,(LEN(H282)-VLOOKUP(K282,datos!$B$2:$C$12,2,0)))</f>
        <v>TCCN-PTE-PSG-SAG-SL2-SHI-BBA</v>
      </c>
      <c r="J282" s="138" t="s">
        <v>6407</v>
      </c>
      <c r="K282" s="140">
        <f>VLOOKUP(LEN(SUBSTITUTE(H282,"-","")),datos!$A$1:$B$12,2,0)</f>
        <v>7</v>
      </c>
      <c r="L282" s="138"/>
      <c r="M282" s="138" t="s">
        <v>0</v>
      </c>
    </row>
    <row r="283" spans="1:13" x14ac:dyDescent="0.35">
      <c r="A283" s="138" t="s">
        <v>487</v>
      </c>
      <c r="B283" s="138" t="s">
        <v>3809</v>
      </c>
      <c r="C283" s="138" t="s">
        <v>3913</v>
      </c>
      <c r="D283" s="138" t="s">
        <v>3914</v>
      </c>
      <c r="E283" s="138" t="s">
        <v>3918</v>
      </c>
      <c r="F283" s="138" t="s">
        <v>3816</v>
      </c>
      <c r="G283" s="138" t="s">
        <v>3853</v>
      </c>
      <c r="H283" s="81" t="str">
        <f t="shared" si="26"/>
        <v>TCCN-PTE-PSG-SAG-SL2-SHI-EST</v>
      </c>
      <c r="I283" s="138" t="str">
        <f>MID(H283,1,(LEN(H283)-VLOOKUP(K283,datos!$B$2:$C$12,2,0)))</f>
        <v>TCCN-PTE-PSG-SAG-SL2-SHI-EST</v>
      </c>
      <c r="J283" s="138" t="s">
        <v>6408</v>
      </c>
      <c r="K283" s="140">
        <f>VLOOKUP(LEN(SUBSTITUTE(H283,"-","")),datos!$A$1:$B$12,2,0)</f>
        <v>7</v>
      </c>
      <c r="L283" s="138"/>
      <c r="M283" s="138" t="s">
        <v>0</v>
      </c>
    </row>
    <row r="284" spans="1:13" x14ac:dyDescent="0.35">
      <c r="A284" s="138" t="s">
        <v>487</v>
      </c>
      <c r="B284" s="138" t="s">
        <v>3809</v>
      </c>
      <c r="C284" s="138" t="s">
        <v>3913</v>
      </c>
      <c r="D284" s="138" t="s">
        <v>3914</v>
      </c>
      <c r="E284" s="138" t="s">
        <v>3918</v>
      </c>
      <c r="F284" s="138" t="s">
        <v>3816</v>
      </c>
      <c r="G284" s="138" t="s">
        <v>3819</v>
      </c>
      <c r="H284" s="81" t="str">
        <f t="shared" si="26"/>
        <v>TCCN-PTE-PSG-SAG-SL2-SHI-MOE</v>
      </c>
      <c r="I284" s="138" t="str">
        <f>MID(H284,1,(LEN(H284)-VLOOKUP(K284,datos!$B$2:$C$12,2,0)))</f>
        <v>TCCN-PTE-PSG-SAG-SL2-SHI-MOE</v>
      </c>
      <c r="J284" s="138" t="s">
        <v>6409</v>
      </c>
      <c r="K284" s="140">
        <f>VLOOKUP(LEN(SUBSTITUTE(H284,"-","")),datos!$A$1:$B$12,2,0)</f>
        <v>7</v>
      </c>
      <c r="L284" s="138" t="s">
        <v>1575</v>
      </c>
      <c r="M284" s="138" t="s">
        <v>0</v>
      </c>
    </row>
    <row r="285" spans="1:13" x14ac:dyDescent="0.35">
      <c r="A285" s="138" t="s">
        <v>487</v>
      </c>
      <c r="B285" s="138" t="s">
        <v>3809</v>
      </c>
      <c r="C285" s="138" t="s">
        <v>3913</v>
      </c>
      <c r="D285" s="138" t="s">
        <v>3914</v>
      </c>
      <c r="E285" s="138" t="s">
        <v>3918</v>
      </c>
      <c r="F285" s="138" t="s">
        <v>3816</v>
      </c>
      <c r="G285" s="138" t="s">
        <v>3820</v>
      </c>
      <c r="H285" s="81" t="str">
        <f t="shared" si="26"/>
        <v>TCCN-PTE-PSG-SAG-SL2-SHI-CUH</v>
      </c>
      <c r="I285" s="138" t="str">
        <f>MID(H285,1,(LEN(H285)-VLOOKUP(K285,datos!$B$2:$C$12,2,0)))</f>
        <v>TCCN-PTE-PSG-SAG-SL2-SHI-CUH</v>
      </c>
      <c r="J285" s="138" t="s">
        <v>6410</v>
      </c>
      <c r="K285" s="140">
        <f>VLOOKUP(LEN(SUBSTITUTE(H285,"-","")),datos!$A$1:$B$12,2,0)</f>
        <v>7</v>
      </c>
      <c r="L285" s="138" t="s">
        <v>1576</v>
      </c>
      <c r="M285" s="138" t="s">
        <v>0</v>
      </c>
    </row>
    <row r="286" spans="1:13" x14ac:dyDescent="0.35">
      <c r="A286" s="137" t="s">
        <v>487</v>
      </c>
      <c r="B286" s="137" t="s">
        <v>3809</v>
      </c>
      <c r="C286" s="137" t="s">
        <v>3913</v>
      </c>
      <c r="D286" s="137" t="s">
        <v>3914</v>
      </c>
      <c r="E286" s="137" t="s">
        <v>3918</v>
      </c>
      <c r="F286" s="137" t="s">
        <v>3821</v>
      </c>
      <c r="G286" s="137"/>
      <c r="H286" s="82" t="str">
        <f t="shared" si="26"/>
        <v>TCCN-PTE-PSG-SAG-SL2-SME-</v>
      </c>
      <c r="I286" s="137" t="str">
        <f>MID(H286,1,(LEN(H286)-VLOOKUP(K286,datos!$B$2:$C$12,2,0)))</f>
        <v>TCCN-PTE-PSG-SAG-SL2-SME</v>
      </c>
      <c r="J286" s="137" t="s">
        <v>6411</v>
      </c>
      <c r="K286" s="139">
        <f>VLOOKUP(LEN(SUBSTITUTE(H286,"-","")),datos!$A$1:$B$12,2,0)</f>
        <v>6</v>
      </c>
      <c r="L286" s="137"/>
      <c r="M286" s="137" t="s">
        <v>0</v>
      </c>
    </row>
    <row r="287" spans="1:13" x14ac:dyDescent="0.35">
      <c r="A287" s="138" t="s">
        <v>487</v>
      </c>
      <c r="B287" s="138" t="s">
        <v>3809</v>
      </c>
      <c r="C287" s="138" t="s">
        <v>3913</v>
      </c>
      <c r="D287" s="138" t="s">
        <v>3914</v>
      </c>
      <c r="E287" s="138" t="s">
        <v>3918</v>
      </c>
      <c r="F287" s="138" t="s">
        <v>3821</v>
      </c>
      <c r="G287" s="138" t="s">
        <v>3822</v>
      </c>
      <c r="H287" s="81" t="str">
        <f t="shared" si="26"/>
        <v>TCCN-PTE-PSG-SAG-SL2-SME-LAN</v>
      </c>
      <c r="I287" s="138" t="str">
        <f>MID(H287,1,(LEN(H287)-VLOOKUP(K287,datos!$B$2:$C$12,2,0)))</f>
        <v>TCCN-PTE-PSG-SAG-SL2-SME-LAN</v>
      </c>
      <c r="J287" s="138" t="s">
        <v>6412</v>
      </c>
      <c r="K287" s="140">
        <f>VLOOKUP(LEN(SUBSTITUTE(H287,"-","")),datos!$A$1:$B$12,2,0)</f>
        <v>7</v>
      </c>
      <c r="L287" s="138"/>
      <c r="M287" s="138" t="s">
        <v>0</v>
      </c>
    </row>
    <row r="288" spans="1:13" x14ac:dyDescent="0.35">
      <c r="A288" s="138" t="s">
        <v>487</v>
      </c>
      <c r="B288" s="138" t="s">
        <v>3809</v>
      </c>
      <c r="C288" s="138" t="s">
        <v>3913</v>
      </c>
      <c r="D288" s="138" t="s">
        <v>3914</v>
      </c>
      <c r="E288" s="138" t="s">
        <v>3918</v>
      </c>
      <c r="F288" s="138" t="s">
        <v>3821</v>
      </c>
      <c r="G288" s="138" t="s">
        <v>3823</v>
      </c>
      <c r="H288" s="81" t="str">
        <f t="shared" si="26"/>
        <v>TCCN-PTE-PSG-SAG-SL2-SME-CRL</v>
      </c>
      <c r="I288" s="138" t="str">
        <f>MID(H288,1,(LEN(H288)-VLOOKUP(K288,datos!$B$2:$C$12,2,0)))</f>
        <v>TCCN-PTE-PSG-SAG-SL2-SME-CRL</v>
      </c>
      <c r="J288" s="138" t="s">
        <v>6413</v>
      </c>
      <c r="K288" s="140">
        <f>VLOOKUP(LEN(SUBSTITUTE(H288,"-","")),datos!$A$1:$B$12,2,0)</f>
        <v>7</v>
      </c>
      <c r="L288" s="138"/>
      <c r="M288" s="138" t="s">
        <v>0</v>
      </c>
    </row>
    <row r="289" spans="1:13" x14ac:dyDescent="0.35">
      <c r="A289" s="137" t="s">
        <v>487</v>
      </c>
      <c r="B289" s="137" t="s">
        <v>3809</v>
      </c>
      <c r="C289" s="137" t="s">
        <v>3913</v>
      </c>
      <c r="D289" s="137" t="s">
        <v>3914</v>
      </c>
      <c r="E289" s="137" t="s">
        <v>3918</v>
      </c>
      <c r="F289" s="137" t="s">
        <v>3824</v>
      </c>
      <c r="G289" s="137"/>
      <c r="H289" s="82" t="str">
        <f t="shared" si="26"/>
        <v>TCCN-PTE-PSG-SAG-SL2-SES-</v>
      </c>
      <c r="I289" s="137" t="str">
        <f>MID(H289,1,(LEN(H289)-VLOOKUP(K289,datos!$B$2:$C$12,2,0)))</f>
        <v>TCCN-PTE-PSG-SAG-SL2-SES</v>
      </c>
      <c r="J289" s="137" t="s">
        <v>6414</v>
      </c>
      <c r="K289" s="139">
        <f>VLOOKUP(LEN(SUBSTITUTE(H289,"-","")),datos!$A$1:$B$12,2,0)</f>
        <v>6</v>
      </c>
      <c r="L289" s="137"/>
      <c r="M289" s="137" t="s">
        <v>0</v>
      </c>
    </row>
    <row r="290" spans="1:13" x14ac:dyDescent="0.35">
      <c r="A290" s="138" t="s">
        <v>487</v>
      </c>
      <c r="B290" s="138" t="s">
        <v>3809</v>
      </c>
      <c r="C290" s="138" t="s">
        <v>3913</v>
      </c>
      <c r="D290" s="138" t="s">
        <v>3914</v>
      </c>
      <c r="E290" s="138" t="s">
        <v>3918</v>
      </c>
      <c r="F290" s="138" t="s">
        <v>3824</v>
      </c>
      <c r="G290" s="138" t="s">
        <v>3825</v>
      </c>
      <c r="H290" s="81" t="str">
        <f t="shared" si="26"/>
        <v>TCCN-PTE-PSG-SAG-SL2-SES-CHU</v>
      </c>
      <c r="I290" s="138" t="str">
        <f>MID(H290,1,(LEN(H290)-VLOOKUP(K290,datos!$B$2:$C$12,2,0)))</f>
        <v>TCCN-PTE-PSG-SAG-SL2-SES-CHU</v>
      </c>
      <c r="J290" s="138" t="s">
        <v>6415</v>
      </c>
      <c r="K290" s="140">
        <f>VLOOKUP(LEN(SUBSTITUTE(H290,"-","")),datos!$A$1:$B$12,2,0)</f>
        <v>7</v>
      </c>
      <c r="L290" s="138" t="s">
        <v>1577</v>
      </c>
      <c r="M290" s="138" t="s">
        <v>0</v>
      </c>
    </row>
    <row r="291" spans="1:13" customFormat="1" ht="14.5" x14ac:dyDescent="0.35">
      <c r="A291" s="129" t="s">
        <v>487</v>
      </c>
      <c r="B291" s="129" t="s">
        <v>3809</v>
      </c>
      <c r="C291" s="129" t="s">
        <v>3913</v>
      </c>
      <c r="D291" s="129" t="s">
        <v>3914</v>
      </c>
      <c r="E291" s="129" t="s">
        <v>3919</v>
      </c>
      <c r="F291" s="129"/>
      <c r="G291" s="129"/>
      <c r="H291" s="83" t="str">
        <f t="shared" si="26"/>
        <v>TCCN-PTE-PSG-SAG-AP2--</v>
      </c>
      <c r="I291" s="129" t="str">
        <f>MID(H291,1,(LEN(H291)-VLOOKUP(K291,datos!$B$2:$C$12,2,0)))</f>
        <v>TCCN-PTE-PSG-SAG-AP2</v>
      </c>
      <c r="J291" s="129" t="s">
        <v>5439</v>
      </c>
      <c r="K291" s="130">
        <f>VLOOKUP(LEN(SUBSTITUTE(H291,"-","")),datos!$A$1:$B$12,2,0)</f>
        <v>5</v>
      </c>
      <c r="L291" s="129" t="s">
        <v>86</v>
      </c>
      <c r="M291" s="129" t="s">
        <v>0</v>
      </c>
    </row>
    <row r="292" spans="1:13" x14ac:dyDescent="0.35">
      <c r="A292" s="137" t="s">
        <v>487</v>
      </c>
      <c r="B292" s="137" t="s">
        <v>3809</v>
      </c>
      <c r="C292" s="137" t="s">
        <v>3913</v>
      </c>
      <c r="D292" s="137" t="s">
        <v>3914</v>
      </c>
      <c r="E292" s="137" t="s">
        <v>3919</v>
      </c>
      <c r="F292" s="137" t="s">
        <v>3821</v>
      </c>
      <c r="G292" s="137"/>
      <c r="H292" s="82" t="str">
        <f t="shared" si="26"/>
        <v>TCCN-PTE-PSG-SAG-AP2-SME-</v>
      </c>
      <c r="I292" s="137" t="str">
        <f>MID(H292,1,(LEN(H292)-VLOOKUP(K292,datos!$B$2:$C$12,2,0)))</f>
        <v>TCCN-PTE-PSG-SAG-AP2-SME</v>
      </c>
      <c r="J292" s="137" t="s">
        <v>6379</v>
      </c>
      <c r="K292" s="139">
        <f>VLOOKUP(LEN(SUBSTITUTE(H292,"-","")),datos!$A$1:$B$12,2,0)</f>
        <v>6</v>
      </c>
      <c r="L292" s="137"/>
      <c r="M292" s="137" t="s">
        <v>0</v>
      </c>
    </row>
    <row r="293" spans="1:13" x14ac:dyDescent="0.35">
      <c r="A293" s="138" t="s">
        <v>487</v>
      </c>
      <c r="B293" s="138" t="s">
        <v>3809</v>
      </c>
      <c r="C293" s="138" t="s">
        <v>3913</v>
      </c>
      <c r="D293" s="138" t="s">
        <v>3914</v>
      </c>
      <c r="E293" s="138" t="s">
        <v>3919</v>
      </c>
      <c r="F293" s="138" t="s">
        <v>3821</v>
      </c>
      <c r="G293" s="138" t="s">
        <v>3827</v>
      </c>
      <c r="H293" s="81" t="str">
        <f t="shared" si="26"/>
        <v>TCCN-PTE-PSG-SAG-AP2-SME-RUE</v>
      </c>
      <c r="I293" s="138" t="str">
        <f>MID(H293,1,(LEN(H293)-VLOOKUP(K293,datos!$B$2:$C$12,2,0)))</f>
        <v>TCCN-PTE-PSG-SAG-AP2-SME-RUE</v>
      </c>
      <c r="J293" s="138" t="s">
        <v>6380</v>
      </c>
      <c r="K293" s="140">
        <f>VLOOKUP(LEN(SUBSTITUTE(H293,"-","")),datos!$A$1:$B$12,2,0)</f>
        <v>7</v>
      </c>
      <c r="L293" s="138"/>
      <c r="M293" s="138" t="s">
        <v>0</v>
      </c>
    </row>
    <row r="294" spans="1:13" x14ac:dyDescent="0.35">
      <c r="A294" s="138" t="s">
        <v>487</v>
      </c>
      <c r="B294" s="138" t="s">
        <v>3809</v>
      </c>
      <c r="C294" s="138" t="s">
        <v>3913</v>
      </c>
      <c r="D294" s="138" t="s">
        <v>3914</v>
      </c>
      <c r="E294" s="138" t="s">
        <v>3919</v>
      </c>
      <c r="F294" s="138" t="s">
        <v>3821</v>
      </c>
      <c r="G294" s="138" t="s">
        <v>3828</v>
      </c>
      <c r="H294" s="81" t="str">
        <f t="shared" si="26"/>
        <v>TCCN-PTE-PSG-SAG-AP2-SME-PNN</v>
      </c>
      <c r="I294" s="138" t="str">
        <f>MID(H294,1,(LEN(H294)-VLOOKUP(K294,datos!$B$2:$C$12,2,0)))</f>
        <v>TCCN-PTE-PSG-SAG-AP2-SME-PNN</v>
      </c>
      <c r="J294" s="138" t="s">
        <v>6381</v>
      </c>
      <c r="K294" s="140">
        <f>VLOOKUP(LEN(SUBSTITUTE(H294,"-","")),datos!$A$1:$B$12,2,0)</f>
        <v>7</v>
      </c>
      <c r="L294" s="138"/>
      <c r="M294" s="138" t="s">
        <v>0</v>
      </c>
    </row>
    <row r="295" spans="1:13" x14ac:dyDescent="0.35">
      <c r="A295" s="138" t="s">
        <v>487</v>
      </c>
      <c r="B295" s="138" t="s">
        <v>3809</v>
      </c>
      <c r="C295" s="138" t="s">
        <v>3913</v>
      </c>
      <c r="D295" s="138" t="s">
        <v>3914</v>
      </c>
      <c r="E295" s="138" t="s">
        <v>3919</v>
      </c>
      <c r="F295" s="138" t="s">
        <v>3821</v>
      </c>
      <c r="G295" s="138" t="s">
        <v>3829</v>
      </c>
      <c r="H295" s="81" t="str">
        <f t="shared" si="26"/>
        <v>TCCN-PTE-PSG-SAG-AP2-SME-CZP</v>
      </c>
      <c r="I295" s="138" t="str">
        <f>MID(H295,1,(LEN(H295)-VLOOKUP(K295,datos!$B$2:$C$12,2,0)))</f>
        <v>TCCN-PTE-PSG-SAG-AP2-SME-CZP</v>
      </c>
      <c r="J295" s="138" t="s">
        <v>6382</v>
      </c>
      <c r="K295" s="140">
        <f>VLOOKUP(LEN(SUBSTITUTE(H295,"-","")),datos!$A$1:$B$12,2,0)</f>
        <v>7</v>
      </c>
      <c r="L295" s="138"/>
      <c r="M295" s="138" t="s">
        <v>0</v>
      </c>
    </row>
    <row r="296" spans="1:13" x14ac:dyDescent="0.35">
      <c r="A296" s="138" t="s">
        <v>487</v>
      </c>
      <c r="B296" s="138" t="s">
        <v>3809</v>
      </c>
      <c r="C296" s="138" t="s">
        <v>3913</v>
      </c>
      <c r="D296" s="138" t="s">
        <v>3914</v>
      </c>
      <c r="E296" s="138" t="s">
        <v>3919</v>
      </c>
      <c r="F296" s="138" t="s">
        <v>3821</v>
      </c>
      <c r="G296" s="138" t="s">
        <v>3830</v>
      </c>
      <c r="H296" s="81" t="str">
        <f t="shared" si="26"/>
        <v>TCCN-PTE-PSG-SAG-AP2-SME-PLA</v>
      </c>
      <c r="I296" s="138" t="str">
        <f>MID(H296,1,(LEN(H296)-VLOOKUP(K296,datos!$B$2:$C$12,2,0)))</f>
        <v>TCCN-PTE-PSG-SAG-AP2-SME-PLA</v>
      </c>
      <c r="J296" s="138" t="s">
        <v>6383</v>
      </c>
      <c r="K296" s="140">
        <f>VLOOKUP(LEN(SUBSTITUTE(H296,"-","")),datos!$A$1:$B$12,2,0)</f>
        <v>7</v>
      </c>
      <c r="L296" s="138"/>
      <c r="M296" s="138" t="s">
        <v>0</v>
      </c>
    </row>
    <row r="297" spans="1:13" x14ac:dyDescent="0.35">
      <c r="A297" s="137" t="s">
        <v>487</v>
      </c>
      <c r="B297" s="137" t="s">
        <v>3809</v>
      </c>
      <c r="C297" s="137" t="s">
        <v>3913</v>
      </c>
      <c r="D297" s="137" t="s">
        <v>3914</v>
      </c>
      <c r="E297" s="137" t="s">
        <v>3919</v>
      </c>
      <c r="F297" s="137" t="s">
        <v>3831</v>
      </c>
      <c r="G297" s="137"/>
      <c r="H297" s="82" t="str">
        <f t="shared" si="26"/>
        <v>TCCN-PTE-PSG-SAG-AP2-INS-</v>
      </c>
      <c r="I297" s="137" t="str">
        <f>MID(H297,1,(LEN(H297)-VLOOKUP(K297,datos!$B$2:$C$12,2,0)))</f>
        <v>TCCN-PTE-PSG-SAG-AP2-INS</v>
      </c>
      <c r="J297" s="137" t="s">
        <v>6384</v>
      </c>
      <c r="K297" s="139">
        <f>VLOOKUP(LEN(SUBSTITUTE(H297,"-","")),datos!$A$1:$B$12,2,0)</f>
        <v>6</v>
      </c>
      <c r="L297" s="137"/>
      <c r="M297" s="137" t="s">
        <v>0</v>
      </c>
    </row>
    <row r="298" spans="1:13" x14ac:dyDescent="0.35">
      <c r="A298" s="138" t="s">
        <v>487</v>
      </c>
      <c r="B298" s="138" t="s">
        <v>3809</v>
      </c>
      <c r="C298" s="138" t="s">
        <v>3913</v>
      </c>
      <c r="D298" s="138" t="s">
        <v>3914</v>
      </c>
      <c r="E298" s="138" t="s">
        <v>3919</v>
      </c>
      <c r="F298" s="138" t="s">
        <v>3831</v>
      </c>
      <c r="G298" s="138" t="s">
        <v>3832</v>
      </c>
      <c r="H298" s="81" t="str">
        <f t="shared" si="26"/>
        <v>TCCN-PTE-PSG-SAG-AP2-INS-PE1</v>
      </c>
      <c r="I298" s="138" t="str">
        <f>MID(H298,1,(LEN(H298)-VLOOKUP(K298,datos!$B$2:$C$12,2,0)))</f>
        <v>TCCN-PTE-PSG-SAG-AP2-INS-PE1</v>
      </c>
      <c r="J298" s="138" t="s">
        <v>6737</v>
      </c>
      <c r="K298" s="140">
        <f>VLOOKUP(LEN(SUBSTITUTE(H298,"-","")),datos!$A$1:$B$12,2,0)</f>
        <v>7</v>
      </c>
      <c r="L298" s="138" t="s">
        <v>6762</v>
      </c>
      <c r="M298" s="138" t="s">
        <v>0</v>
      </c>
    </row>
    <row r="299" spans="1:13" x14ac:dyDescent="0.35">
      <c r="A299" s="138" t="s">
        <v>487</v>
      </c>
      <c r="B299" s="138" t="s">
        <v>3809</v>
      </c>
      <c r="C299" s="138" t="s">
        <v>3913</v>
      </c>
      <c r="D299" s="138" t="s">
        <v>3914</v>
      </c>
      <c r="E299" s="138" t="s">
        <v>3919</v>
      </c>
      <c r="F299" s="138" t="s">
        <v>3831</v>
      </c>
      <c r="G299" s="138" t="s">
        <v>6814</v>
      </c>
      <c r="H299" s="81" t="str">
        <f t="shared" si="26"/>
        <v>TCCN-PTE-PSG-SAG-AP2-INS-SAM</v>
      </c>
      <c r="I299" s="138" t="str">
        <f>MID(H299,1,(LEN(H299)-VLOOKUP(K299,datos!$B$2:$C$12,2,0)))</f>
        <v>TCCN-PTE-PSG-SAG-AP2-INS-SAM</v>
      </c>
      <c r="J299" s="138" t="s">
        <v>6385</v>
      </c>
      <c r="K299" s="140">
        <f>VLOOKUP(LEN(SUBSTITUTE(H299,"-","")),datos!$A$1:$B$12,2,0)</f>
        <v>7</v>
      </c>
      <c r="L299" s="138" t="s">
        <v>6763</v>
      </c>
      <c r="M299" s="138" t="s">
        <v>0</v>
      </c>
    </row>
    <row r="300" spans="1:13" x14ac:dyDescent="0.35">
      <c r="A300" s="138" t="s">
        <v>487</v>
      </c>
      <c r="B300" s="138" t="s">
        <v>3809</v>
      </c>
      <c r="C300" s="138" t="s">
        <v>3913</v>
      </c>
      <c r="D300" s="138" t="s">
        <v>3914</v>
      </c>
      <c r="E300" s="138" t="s">
        <v>3919</v>
      </c>
      <c r="F300" s="138" t="s">
        <v>3831</v>
      </c>
      <c r="G300" s="138" t="s">
        <v>5202</v>
      </c>
      <c r="H300" s="81" t="str">
        <f t="shared" si="26"/>
        <v>TCCN-PTE-PSG-SAG-AP2-INS-MVD</v>
      </c>
      <c r="I300" s="138" t="str">
        <f>MID(H300,1,(LEN(H300)-VLOOKUP(K300,datos!$B$2:$C$12,2,0)))</f>
        <v>TCCN-PTE-PSG-SAG-AP2-INS-MVD</v>
      </c>
      <c r="J300" s="138" t="s">
        <v>8105</v>
      </c>
      <c r="K300" s="140">
        <f>VLOOKUP(LEN(SUBSTITUTE(H300,"-","")),datos!$A$1:$B$12,2,0)</f>
        <v>7</v>
      </c>
      <c r="L300" s="138" t="s">
        <v>6764</v>
      </c>
      <c r="M300" s="138" t="s">
        <v>0</v>
      </c>
    </row>
    <row r="301" spans="1:13" x14ac:dyDescent="0.35">
      <c r="A301" s="138" t="s">
        <v>487</v>
      </c>
      <c r="B301" s="138" t="s">
        <v>3809</v>
      </c>
      <c r="C301" s="138" t="s">
        <v>3913</v>
      </c>
      <c r="D301" s="138" t="s">
        <v>3914</v>
      </c>
      <c r="E301" s="138" t="s">
        <v>3919</v>
      </c>
      <c r="F301" s="138" t="s">
        <v>3831</v>
      </c>
      <c r="G301" s="138" t="s">
        <v>7058</v>
      </c>
      <c r="H301" s="81" t="str">
        <f t="shared" si="26"/>
        <v>TCCN-PTE-PSG-SAG-AP2-INS-MT1</v>
      </c>
      <c r="I301" s="138" t="str">
        <f>MID(H301,1,(LEN(H301)-VLOOKUP(K301,datos!$B$2:$C$12,2,0)))</f>
        <v>TCCN-PTE-PSG-SAG-AP2-INS-MT1</v>
      </c>
      <c r="J301" s="138" t="s">
        <v>8071</v>
      </c>
      <c r="K301" s="140">
        <f>VLOOKUP(LEN(SUBSTITUTE(H301,"-","")),datos!$A$1:$B$12,2,0)</f>
        <v>7</v>
      </c>
      <c r="L301" s="138" t="s">
        <v>1559</v>
      </c>
      <c r="M301" s="138" t="s">
        <v>0</v>
      </c>
    </row>
    <row r="302" spans="1:13" x14ac:dyDescent="0.35">
      <c r="A302" s="138" t="s">
        <v>487</v>
      </c>
      <c r="B302" s="138" t="s">
        <v>3809</v>
      </c>
      <c r="C302" s="138" t="s">
        <v>3913</v>
      </c>
      <c r="D302" s="138" t="s">
        <v>3914</v>
      </c>
      <c r="E302" s="138" t="s">
        <v>3919</v>
      </c>
      <c r="F302" s="138" t="s">
        <v>3831</v>
      </c>
      <c r="G302" s="138" t="s">
        <v>7059</v>
      </c>
      <c r="H302" s="81" t="str">
        <f t="shared" si="26"/>
        <v>TCCN-PTE-PSG-SAG-AP2-INS-MT2</v>
      </c>
      <c r="I302" s="138" t="str">
        <f>MID(H302,1,(LEN(H302)-VLOOKUP(K302,datos!$B$2:$C$12,2,0)))</f>
        <v>TCCN-PTE-PSG-SAG-AP2-INS-MT2</v>
      </c>
      <c r="J302" s="138" t="s">
        <v>8072</v>
      </c>
      <c r="K302" s="140">
        <f>VLOOKUP(LEN(SUBSTITUTE(H302,"-","")),datos!$A$1:$B$12,2,0)</f>
        <v>7</v>
      </c>
      <c r="L302" s="138" t="s">
        <v>1560</v>
      </c>
      <c r="M302" s="138" t="s">
        <v>0</v>
      </c>
    </row>
    <row r="303" spans="1:13" x14ac:dyDescent="0.35">
      <c r="A303" s="138" t="s">
        <v>487</v>
      </c>
      <c r="B303" s="138" t="s">
        <v>3809</v>
      </c>
      <c r="C303" s="138" t="s">
        <v>3913</v>
      </c>
      <c r="D303" s="138" t="s">
        <v>3914</v>
      </c>
      <c r="E303" s="138" t="s">
        <v>3919</v>
      </c>
      <c r="F303" s="138" t="s">
        <v>3831</v>
      </c>
      <c r="G303" s="138" t="s">
        <v>4088</v>
      </c>
      <c r="H303" s="81" t="str">
        <f t="shared" si="26"/>
        <v>TCCN-PTE-PSG-SAG-AP2-INS-BYB</v>
      </c>
      <c r="I303" s="138" t="str">
        <f>MID(H303,1,(LEN(H303)-VLOOKUP(K303,datos!$B$2:$C$12,2,0)))</f>
        <v>TCCN-PTE-PSG-SAG-AP2-INS-BYB</v>
      </c>
      <c r="J303" s="138" t="s">
        <v>6767</v>
      </c>
      <c r="K303" s="140">
        <f>VLOOKUP(LEN(SUBSTITUTE(H303,"-","")),datos!$A$1:$B$12,2,0)</f>
        <v>7</v>
      </c>
      <c r="L303" s="138" t="s">
        <v>6766</v>
      </c>
      <c r="M303" s="138" t="s">
        <v>0</v>
      </c>
    </row>
    <row r="304" spans="1:13" x14ac:dyDescent="0.35">
      <c r="A304" s="137" t="s">
        <v>487</v>
      </c>
      <c r="B304" s="137" t="s">
        <v>3809</v>
      </c>
      <c r="C304" s="137" t="s">
        <v>3913</v>
      </c>
      <c r="D304" s="137" t="s">
        <v>3914</v>
      </c>
      <c r="E304" s="137" t="s">
        <v>3919</v>
      </c>
      <c r="F304" s="137" t="s">
        <v>3836</v>
      </c>
      <c r="G304" s="137"/>
      <c r="H304" s="82" t="str">
        <f t="shared" si="26"/>
        <v>TCCN-PTE-PSG-SAG-AP2-SLU-</v>
      </c>
      <c r="I304" s="137" t="str">
        <f>MID(H304,1,(LEN(H304)-VLOOKUP(K304,datos!$B$2:$C$12,2,0)))</f>
        <v>TCCN-PTE-PSG-SAG-AP2-SLU</v>
      </c>
      <c r="J304" s="137" t="s">
        <v>6386</v>
      </c>
      <c r="K304" s="139">
        <f>VLOOKUP(LEN(SUBSTITUTE(H304,"-","")),datos!$A$1:$B$12,2,0)</f>
        <v>6</v>
      </c>
      <c r="L304" s="137" t="s">
        <v>91</v>
      </c>
      <c r="M304" s="137" t="s">
        <v>0</v>
      </c>
    </row>
    <row r="305" spans="1:13" x14ac:dyDescent="0.35">
      <c r="A305" s="138" t="s">
        <v>487</v>
      </c>
      <c r="B305" s="138" t="s">
        <v>3809</v>
      </c>
      <c r="C305" s="138" t="s">
        <v>3913</v>
      </c>
      <c r="D305" s="138" t="s">
        <v>3914</v>
      </c>
      <c r="E305" s="138" t="s">
        <v>3919</v>
      </c>
      <c r="F305" s="138" t="s">
        <v>3836</v>
      </c>
      <c r="G305" s="138" t="s">
        <v>3818</v>
      </c>
      <c r="H305" s="81" t="str">
        <f t="shared" si="26"/>
        <v>TCCN-PTE-PSG-SAG-AP2-SLU-BBA</v>
      </c>
      <c r="I305" s="138" t="str">
        <f>MID(H305,1,(LEN(H305)-VLOOKUP(K305,datos!$B$2:$C$12,2,0)))</f>
        <v>TCCN-PTE-PSG-SAG-AP2-SLU-BBA</v>
      </c>
      <c r="J305" s="138" t="s">
        <v>6387</v>
      </c>
      <c r="K305" s="140">
        <f>VLOOKUP(LEN(SUBSTITUTE(H305,"-","")),datos!$A$1:$B$12,2,0)</f>
        <v>7</v>
      </c>
      <c r="L305" s="138"/>
      <c r="M305" s="138" t="s">
        <v>0</v>
      </c>
    </row>
    <row r="306" spans="1:13" x14ac:dyDescent="0.35">
      <c r="A306" s="138" t="s">
        <v>487</v>
      </c>
      <c r="B306" s="138" t="s">
        <v>3809</v>
      </c>
      <c r="C306" s="138" t="s">
        <v>3913</v>
      </c>
      <c r="D306" s="138" t="s">
        <v>3914</v>
      </c>
      <c r="E306" s="138" t="s">
        <v>3919</v>
      </c>
      <c r="F306" s="138" t="s">
        <v>3836</v>
      </c>
      <c r="G306" s="138" t="s">
        <v>3819</v>
      </c>
      <c r="H306" s="81" t="str">
        <f t="shared" si="26"/>
        <v>TCCN-PTE-PSG-SAG-AP2-SLU-MOE</v>
      </c>
      <c r="I306" s="138" t="str">
        <f>MID(H306,1,(LEN(H306)-VLOOKUP(K306,datos!$B$2:$C$12,2,0)))</f>
        <v>TCCN-PTE-PSG-SAG-AP2-SLU-MOE</v>
      </c>
      <c r="J306" s="138" t="s">
        <v>6388</v>
      </c>
      <c r="K306" s="140">
        <f>VLOOKUP(LEN(SUBSTITUTE(H306,"-","")),datos!$A$1:$B$12,2,0)</f>
        <v>7</v>
      </c>
      <c r="L306" s="138" t="s">
        <v>92</v>
      </c>
      <c r="M306" s="138" t="s">
        <v>0</v>
      </c>
    </row>
    <row r="307" spans="1:13" x14ac:dyDescent="0.35">
      <c r="A307" s="138" t="s">
        <v>487</v>
      </c>
      <c r="B307" s="138" t="s">
        <v>3809</v>
      </c>
      <c r="C307" s="138" t="s">
        <v>3913</v>
      </c>
      <c r="D307" s="138" t="s">
        <v>3914</v>
      </c>
      <c r="E307" s="138" t="s">
        <v>3919</v>
      </c>
      <c r="F307" s="138" t="s">
        <v>3836</v>
      </c>
      <c r="G307" s="138" t="s">
        <v>3837</v>
      </c>
      <c r="H307" s="81" t="str">
        <f t="shared" si="26"/>
        <v>TCCN-PTE-PSG-SAG-AP2-SLU-MNF</v>
      </c>
      <c r="I307" s="138" t="str">
        <f>MID(H307,1,(LEN(H307)-VLOOKUP(K307,datos!$B$2:$C$12,2,0)))</f>
        <v>TCCN-PTE-PSG-SAG-AP2-SLU-MNF</v>
      </c>
      <c r="J307" s="138" t="s">
        <v>6389</v>
      </c>
      <c r="K307" s="140">
        <f>VLOOKUP(LEN(SUBSTITUTE(H307,"-","")),datos!$A$1:$B$12,2,0)</f>
        <v>7</v>
      </c>
      <c r="L307" s="138"/>
      <c r="M307" s="138" t="s">
        <v>0</v>
      </c>
    </row>
    <row r="308" spans="1:13" x14ac:dyDescent="0.35">
      <c r="A308" s="138" t="s">
        <v>487</v>
      </c>
      <c r="B308" s="138" t="s">
        <v>3809</v>
      </c>
      <c r="C308" s="138" t="s">
        <v>3913</v>
      </c>
      <c r="D308" s="138" t="s">
        <v>3914</v>
      </c>
      <c r="E308" s="138" t="s">
        <v>3919</v>
      </c>
      <c r="F308" s="138" t="s">
        <v>3836</v>
      </c>
      <c r="G308" s="138" t="s">
        <v>5256</v>
      </c>
      <c r="H308" s="81" t="str">
        <f t="shared" si="26"/>
        <v>TCCN-PTE-PSG-SAG-AP2-SLU-MNV</v>
      </c>
      <c r="I308" s="138" t="str">
        <f>MID(H308,1,(LEN(H308)-VLOOKUP(K308,datos!$B$2:$C$12,2,0)))</f>
        <v>TCCN-PTE-PSG-SAG-AP2-SLU-MNV</v>
      </c>
      <c r="J308" s="138" t="s">
        <v>7607</v>
      </c>
      <c r="K308" s="140">
        <f>VLOOKUP(LEN(SUBSTITUTE(H308,"-","")),datos!$A$1:$B$12,2,0)</f>
        <v>7</v>
      </c>
      <c r="L308" s="138"/>
      <c r="M308" s="138" t="s">
        <v>0</v>
      </c>
    </row>
    <row r="309" spans="1:13" x14ac:dyDescent="0.35">
      <c r="A309" s="138" t="s">
        <v>487</v>
      </c>
      <c r="B309" s="138" t="s">
        <v>3809</v>
      </c>
      <c r="C309" s="138" t="s">
        <v>3913</v>
      </c>
      <c r="D309" s="138" t="s">
        <v>3914</v>
      </c>
      <c r="E309" s="138" t="s">
        <v>3919</v>
      </c>
      <c r="F309" s="138" t="s">
        <v>3836</v>
      </c>
      <c r="G309" s="138" t="s">
        <v>3838</v>
      </c>
      <c r="H309" s="81" t="str">
        <f t="shared" si="26"/>
        <v>TCCN-PTE-PSG-SAG-AP2-SLU-SSS</v>
      </c>
      <c r="I309" s="138" t="str">
        <f>MID(H309,1,(LEN(H309)-VLOOKUP(K309,datos!$B$2:$C$12,2,0)))</f>
        <v>TCCN-PTE-PSG-SAG-AP2-SLU-SSS</v>
      </c>
      <c r="J309" s="138" t="s">
        <v>6390</v>
      </c>
      <c r="K309" s="140">
        <f>VLOOKUP(LEN(SUBSTITUTE(H309,"-","")),datos!$A$1:$B$12,2,0)</f>
        <v>7</v>
      </c>
      <c r="L309" s="138"/>
      <c r="M309" s="138" t="s">
        <v>0</v>
      </c>
    </row>
    <row r="310" spans="1:13" x14ac:dyDescent="0.35">
      <c r="A310" s="137" t="s">
        <v>487</v>
      </c>
      <c r="B310" s="137" t="s">
        <v>3809</v>
      </c>
      <c r="C310" s="137" t="s">
        <v>3913</v>
      </c>
      <c r="D310" s="137" t="s">
        <v>3914</v>
      </c>
      <c r="E310" s="137" t="s">
        <v>3919</v>
      </c>
      <c r="F310" s="137" t="s">
        <v>3816</v>
      </c>
      <c r="G310" s="137"/>
      <c r="H310" s="82" t="str">
        <f t="shared" si="26"/>
        <v>TCCN-PTE-PSG-SAG-AP2-SHI-</v>
      </c>
      <c r="I310" s="137" t="str">
        <f>MID(H310,1,(LEN(H310)-VLOOKUP(K310,datos!$B$2:$C$12,2,0)))</f>
        <v>TCCN-PTE-PSG-SAG-AP2-SHI</v>
      </c>
      <c r="J310" s="137" t="s">
        <v>6391</v>
      </c>
      <c r="K310" s="139">
        <f>VLOOKUP(LEN(SUBSTITUTE(H310,"-","")),datos!$A$1:$B$12,2,0)</f>
        <v>6</v>
      </c>
      <c r="L310" s="137" t="s">
        <v>90</v>
      </c>
      <c r="M310" s="137" t="s">
        <v>0</v>
      </c>
    </row>
    <row r="311" spans="1:13" x14ac:dyDescent="0.35">
      <c r="A311" s="138" t="s">
        <v>487</v>
      </c>
      <c r="B311" s="138" t="s">
        <v>3809</v>
      </c>
      <c r="C311" s="138" t="s">
        <v>3913</v>
      </c>
      <c r="D311" s="138" t="s">
        <v>3914</v>
      </c>
      <c r="E311" s="138" t="s">
        <v>3919</v>
      </c>
      <c r="F311" s="138" t="s">
        <v>3816</v>
      </c>
      <c r="G311" s="138" t="s">
        <v>4042</v>
      </c>
      <c r="H311" s="81" t="str">
        <f t="shared" si="26"/>
        <v>TCCN-PTE-PSG-SAG-AP2-SHI-MHD</v>
      </c>
      <c r="I311" s="138" t="str">
        <f>MID(H311,1,(LEN(H311)-VLOOKUP(K311,datos!$B$2:$C$12,2,0)))</f>
        <v>TCCN-PTE-PSG-SAG-AP2-SHI-MHD</v>
      </c>
      <c r="J311" s="138" t="s">
        <v>8186</v>
      </c>
      <c r="K311" s="140">
        <f>VLOOKUP(LEN(SUBSTITUTE(H311,"-","")),datos!$A$1:$B$12,2,0)</f>
        <v>7</v>
      </c>
      <c r="L311" s="138"/>
      <c r="M311" s="138" t="s">
        <v>0</v>
      </c>
    </row>
    <row r="312" spans="1:13" x14ac:dyDescent="0.35">
      <c r="A312" s="138" t="s">
        <v>487</v>
      </c>
      <c r="B312" s="138" t="s">
        <v>3809</v>
      </c>
      <c r="C312" s="138" t="s">
        <v>3913</v>
      </c>
      <c r="D312" s="138" t="s">
        <v>3914</v>
      </c>
      <c r="E312" s="138" t="s">
        <v>3919</v>
      </c>
      <c r="F312" s="138" t="s">
        <v>3816</v>
      </c>
      <c r="G312" s="138" t="s">
        <v>3818</v>
      </c>
      <c r="H312" s="81" t="str">
        <f t="shared" si="26"/>
        <v>TCCN-PTE-PSG-SAG-AP2-SHI-BBA</v>
      </c>
      <c r="I312" s="138" t="str">
        <f>MID(H312,1,(LEN(H312)-VLOOKUP(K312,datos!$B$2:$C$12,2,0)))</f>
        <v>TCCN-PTE-PSG-SAG-AP2-SHI-BBA</v>
      </c>
      <c r="J312" s="138" t="s">
        <v>6392</v>
      </c>
      <c r="K312" s="140">
        <f>VLOOKUP(LEN(SUBSTITUTE(H312,"-","")),datos!$A$1:$B$12,2,0)</f>
        <v>7</v>
      </c>
      <c r="L312" s="138"/>
      <c r="M312" s="138" t="s">
        <v>0</v>
      </c>
    </row>
    <row r="313" spans="1:13" x14ac:dyDescent="0.35">
      <c r="A313" s="138" t="s">
        <v>487</v>
      </c>
      <c r="B313" s="138" t="s">
        <v>3809</v>
      </c>
      <c r="C313" s="138" t="s">
        <v>3913</v>
      </c>
      <c r="D313" s="138" t="s">
        <v>3914</v>
      </c>
      <c r="E313" s="138" t="s">
        <v>3919</v>
      </c>
      <c r="F313" s="138" t="s">
        <v>3816</v>
      </c>
      <c r="G313" s="138" t="s">
        <v>4095</v>
      </c>
      <c r="H313" s="81" t="str">
        <f t="shared" si="26"/>
        <v>TCCN-PTE-PSG-SAG-AP2-SHI-ACU</v>
      </c>
      <c r="I313" s="138" t="str">
        <f>MID(H313,1,(LEN(H313)-VLOOKUP(K313,datos!$B$2:$C$12,2,0)))</f>
        <v>TCCN-PTE-PSG-SAG-AP2-SHI-ACU</v>
      </c>
      <c r="J313" s="138" t="s">
        <v>6393</v>
      </c>
      <c r="K313" s="140">
        <f>VLOOKUP(LEN(SUBSTITUTE(H313,"-","")),datos!$A$1:$B$12,2,0)</f>
        <v>7</v>
      </c>
      <c r="L313" s="138"/>
      <c r="M313" s="138" t="s">
        <v>0</v>
      </c>
    </row>
    <row r="314" spans="1:13" x14ac:dyDescent="0.35">
      <c r="A314" s="138" t="s">
        <v>487</v>
      </c>
      <c r="B314" s="138" t="s">
        <v>3809</v>
      </c>
      <c r="C314" s="138" t="s">
        <v>3913</v>
      </c>
      <c r="D314" s="138" t="s">
        <v>3914</v>
      </c>
      <c r="E314" s="138" t="s">
        <v>3919</v>
      </c>
      <c r="F314" s="138" t="s">
        <v>3816</v>
      </c>
      <c r="G314" s="138" t="s">
        <v>3853</v>
      </c>
      <c r="H314" s="81" t="str">
        <f t="shared" si="26"/>
        <v>TCCN-PTE-PSG-SAG-AP2-SHI-EST</v>
      </c>
      <c r="I314" s="138" t="str">
        <f>MID(H314,1,(LEN(H314)-VLOOKUP(K314,datos!$B$2:$C$12,2,0)))</f>
        <v>TCCN-PTE-PSG-SAG-AP2-SHI-EST</v>
      </c>
      <c r="J314" s="138" t="s">
        <v>6394</v>
      </c>
      <c r="K314" s="140">
        <f>VLOOKUP(LEN(SUBSTITUTE(H314,"-","")),datos!$A$1:$B$12,2,0)</f>
        <v>7</v>
      </c>
      <c r="L314" s="138"/>
      <c r="M314" s="138" t="s">
        <v>0</v>
      </c>
    </row>
    <row r="315" spans="1:13" x14ac:dyDescent="0.35">
      <c r="A315" s="138" t="s">
        <v>487</v>
      </c>
      <c r="B315" s="138" t="s">
        <v>3809</v>
      </c>
      <c r="C315" s="138" t="s">
        <v>3913</v>
      </c>
      <c r="D315" s="138" t="s">
        <v>3914</v>
      </c>
      <c r="E315" s="138" t="s">
        <v>3919</v>
      </c>
      <c r="F315" s="138" t="s">
        <v>3816</v>
      </c>
      <c r="G315" s="138" t="s">
        <v>3839</v>
      </c>
      <c r="H315" s="81" t="str">
        <f t="shared" si="26"/>
        <v>TCCN-PTE-PSG-SAG-AP2-SHI-MO1</v>
      </c>
      <c r="I315" s="138" t="str">
        <f>MID(H315,1,(LEN(H315)-VLOOKUP(K315,datos!$B$2:$C$12,2,0)))</f>
        <v>TCCN-PTE-PSG-SAG-AP2-SHI-MO1</v>
      </c>
      <c r="J315" s="138" t="s">
        <v>6395</v>
      </c>
      <c r="K315" s="140">
        <f>VLOOKUP(LEN(SUBSTITUTE(H315,"-","")),datos!$A$1:$B$12,2,0)</f>
        <v>7</v>
      </c>
      <c r="L315" s="138" t="s">
        <v>5501</v>
      </c>
      <c r="M315" s="138" t="s">
        <v>0</v>
      </c>
    </row>
    <row r="316" spans="1:13" x14ac:dyDescent="0.35">
      <c r="A316" s="138" t="s">
        <v>487</v>
      </c>
      <c r="B316" s="138" t="s">
        <v>3809</v>
      </c>
      <c r="C316" s="138" t="s">
        <v>3913</v>
      </c>
      <c r="D316" s="138" t="s">
        <v>3914</v>
      </c>
      <c r="E316" s="138" t="s">
        <v>3919</v>
      </c>
      <c r="F316" s="138" t="s">
        <v>3816</v>
      </c>
      <c r="G316" s="138" t="s">
        <v>3840</v>
      </c>
      <c r="H316" s="81" t="str">
        <f t="shared" si="26"/>
        <v>TCCN-PTE-PSG-SAG-AP2-SHI-MO2</v>
      </c>
      <c r="I316" s="138" t="str">
        <f>MID(H316,1,(LEN(H316)-VLOOKUP(K316,datos!$B$2:$C$12,2,0)))</f>
        <v>TCCN-PTE-PSG-SAG-AP2-SHI-MO2</v>
      </c>
      <c r="J316" s="138" t="s">
        <v>6396</v>
      </c>
      <c r="K316" s="140">
        <f>VLOOKUP(LEN(SUBSTITUTE(H316,"-","")),datos!$A$1:$B$12,2,0)</f>
        <v>7</v>
      </c>
      <c r="L316" s="138" t="s">
        <v>5497</v>
      </c>
      <c r="M316" s="138" t="s">
        <v>0</v>
      </c>
    </row>
    <row r="317" spans="1:13" x14ac:dyDescent="0.35">
      <c r="A317" s="138" t="s">
        <v>487</v>
      </c>
      <c r="B317" s="138" t="s">
        <v>3809</v>
      </c>
      <c r="C317" s="138" t="s">
        <v>3913</v>
      </c>
      <c r="D317" s="138" t="s">
        <v>3914</v>
      </c>
      <c r="E317" s="138" t="s">
        <v>3919</v>
      </c>
      <c r="F317" s="138" t="s">
        <v>3816</v>
      </c>
      <c r="G317" s="138" t="s">
        <v>3841</v>
      </c>
      <c r="H317" s="81" t="str">
        <f t="shared" si="26"/>
        <v>TCCN-PTE-PSG-SAG-AP2-SHI-MO3</v>
      </c>
      <c r="I317" s="138" t="str">
        <f>MID(H317,1,(LEN(H317)-VLOOKUP(K317,datos!$B$2:$C$12,2,0)))</f>
        <v>TCCN-PTE-PSG-SAG-AP2-SHI-MO3</v>
      </c>
      <c r="J317" s="138" t="s">
        <v>6397</v>
      </c>
      <c r="K317" s="140">
        <f>VLOOKUP(LEN(SUBSTITUTE(H317,"-","")),datos!$A$1:$B$12,2,0)</f>
        <v>7</v>
      </c>
      <c r="L317" s="138" t="s">
        <v>5499</v>
      </c>
      <c r="M317" s="138" t="s">
        <v>0</v>
      </c>
    </row>
    <row r="318" spans="1:13" x14ac:dyDescent="0.35">
      <c r="A318" s="138" t="s">
        <v>487</v>
      </c>
      <c r="B318" s="138" t="s">
        <v>3809</v>
      </c>
      <c r="C318" s="138" t="s">
        <v>3913</v>
      </c>
      <c r="D318" s="138" t="s">
        <v>3914</v>
      </c>
      <c r="E318" s="138" t="s">
        <v>3919</v>
      </c>
      <c r="F318" s="138" t="s">
        <v>3816</v>
      </c>
      <c r="G318" s="138" t="s">
        <v>5484</v>
      </c>
      <c r="H318" s="81" t="str">
        <f t="shared" ref="H318:H319" si="27">CONCATENATE(A318,"-",B318,"-",C318,"-",D318,"-",E318,"-",F318,"-",G318)</f>
        <v>TCCN-PTE-PSG-SAG-AP2-SHI-EMA</v>
      </c>
      <c r="I318" s="138" t="str">
        <f>MID(H318,1,(LEN(H318)-VLOOKUP(K318,datos!$B$2:$C$12,2,0)))</f>
        <v>TCCN-PTE-PSG-SAG-AP2-SHI-EMA</v>
      </c>
      <c r="J318" s="138" t="s">
        <v>6398</v>
      </c>
      <c r="K318" s="140">
        <f>VLOOKUP(LEN(SUBSTITUTE(H318,"-","")),datos!$A$1:$B$12,2,0)</f>
        <v>7</v>
      </c>
      <c r="L318" s="138" t="s">
        <v>5498</v>
      </c>
      <c r="M318" s="138" t="s">
        <v>0</v>
      </c>
    </row>
    <row r="319" spans="1:13" x14ac:dyDescent="0.35">
      <c r="A319" s="138" t="s">
        <v>487</v>
      </c>
      <c r="B319" s="138" t="s">
        <v>3809</v>
      </c>
      <c r="C319" s="138" t="s">
        <v>3913</v>
      </c>
      <c r="D319" s="138" t="s">
        <v>3914</v>
      </c>
      <c r="E319" s="138" t="s">
        <v>3919</v>
      </c>
      <c r="F319" s="138" t="s">
        <v>3816</v>
      </c>
      <c r="G319" s="138" t="s">
        <v>3820</v>
      </c>
      <c r="H319" s="81" t="str">
        <f t="shared" si="27"/>
        <v>TCCN-PTE-PSG-SAG-AP2-SHI-CUH</v>
      </c>
      <c r="I319" s="138" t="str">
        <f>MID(H319,1,(LEN(H319)-VLOOKUP(K319,datos!$B$2:$C$12,2,0)))</f>
        <v>TCCN-PTE-PSG-SAG-AP2-SHI-CUH</v>
      </c>
      <c r="J319" s="138" t="s">
        <v>6399</v>
      </c>
      <c r="K319" s="140">
        <f>VLOOKUP(LEN(SUBSTITUTE(H319,"-","")),datos!$A$1:$B$12,2,0)</f>
        <v>7</v>
      </c>
      <c r="L319" s="138" t="s">
        <v>5500</v>
      </c>
      <c r="M319" s="138" t="s">
        <v>0</v>
      </c>
    </row>
    <row r="320" spans="1:13" x14ac:dyDescent="0.35">
      <c r="A320" s="138" t="s">
        <v>487</v>
      </c>
      <c r="B320" s="138" t="s">
        <v>3809</v>
      </c>
      <c r="C320" s="138" t="s">
        <v>3913</v>
      </c>
      <c r="D320" s="138" t="s">
        <v>3914</v>
      </c>
      <c r="E320" s="138" t="s">
        <v>3919</v>
      </c>
      <c r="F320" s="138" t="s">
        <v>3816</v>
      </c>
      <c r="G320" s="138" t="s">
        <v>4098</v>
      </c>
      <c r="H320" s="81" t="str">
        <f t="shared" si="26"/>
        <v>TCCN-PTE-PSG-SAG-AP2-SHI-SEA</v>
      </c>
      <c r="I320" s="138" t="str">
        <f>MID(H320,1,(LEN(H320)-VLOOKUP(K320,datos!$B$2:$C$12,2,0)))</f>
        <v>TCCN-PTE-PSG-SAG-AP2-SHI-SEA</v>
      </c>
      <c r="J320" s="138" t="s">
        <v>6400</v>
      </c>
      <c r="K320" s="140">
        <f>VLOOKUP(LEN(SUBSTITUTE(H320,"-","")),datos!$A$1:$B$12,2,0)</f>
        <v>7</v>
      </c>
      <c r="L320" s="138" t="s">
        <v>5496</v>
      </c>
      <c r="M320" s="138" t="s">
        <v>0</v>
      </c>
    </row>
    <row r="321" spans="1:13" x14ac:dyDescent="0.35">
      <c r="A321" s="138" t="s">
        <v>487</v>
      </c>
      <c r="B321" s="138" t="s">
        <v>3809</v>
      </c>
      <c r="C321" s="138" t="s">
        <v>3913</v>
      </c>
      <c r="D321" s="138" t="s">
        <v>3914</v>
      </c>
      <c r="E321" s="138" t="s">
        <v>3919</v>
      </c>
      <c r="F321" s="138" t="s">
        <v>3816</v>
      </c>
      <c r="G321" s="138" t="s">
        <v>7060</v>
      </c>
      <c r="H321" s="81" t="str">
        <f t="shared" si="26"/>
        <v>TCCN-PTE-PSG-SAG-AP2-SHI-MTP</v>
      </c>
      <c r="I321" s="138" t="str">
        <f>MID(H321,1,(LEN(H321)-VLOOKUP(K321,datos!$B$2:$C$12,2,0)))</f>
        <v>TCCN-PTE-PSG-SAG-AP2-SHI-MTP</v>
      </c>
      <c r="J321" s="138" t="s">
        <v>8073</v>
      </c>
      <c r="K321" s="140">
        <f>VLOOKUP(LEN(SUBSTITUTE(H321,"-","")),datos!$A$1:$B$12,2,0)</f>
        <v>7</v>
      </c>
      <c r="L321" s="138" t="s">
        <v>1561</v>
      </c>
      <c r="M321" s="138" t="s">
        <v>0</v>
      </c>
    </row>
    <row r="322" spans="1:13" x14ac:dyDescent="0.35">
      <c r="A322" s="138" t="s">
        <v>487</v>
      </c>
      <c r="B322" s="138" t="s">
        <v>3809</v>
      </c>
      <c r="C322" s="138" t="s">
        <v>3913</v>
      </c>
      <c r="D322" s="138" t="s">
        <v>3914</v>
      </c>
      <c r="E322" s="138" t="s">
        <v>3919</v>
      </c>
      <c r="F322" s="138" t="s">
        <v>3816</v>
      </c>
      <c r="G322" s="138" t="s">
        <v>5256</v>
      </c>
      <c r="H322" s="81" t="str">
        <f t="shared" si="26"/>
        <v>TCCN-PTE-PSG-SAG-AP2-SHI-MNV</v>
      </c>
      <c r="I322" s="138" t="str">
        <f>MID(H322,1,(LEN(H322)-VLOOKUP(K322,datos!$B$2:$C$12,2,0)))</f>
        <v>TCCN-PTE-PSG-SAG-AP2-SHI-MNV</v>
      </c>
      <c r="J322" s="138" t="s">
        <v>7608</v>
      </c>
      <c r="K322" s="140">
        <f>VLOOKUP(LEN(SUBSTITUTE(H322,"-","")),datos!$A$1:$B$12,2,0)</f>
        <v>7</v>
      </c>
      <c r="L322" s="138" t="s">
        <v>1562</v>
      </c>
      <c r="M322" s="138" t="s">
        <v>0</v>
      </c>
    </row>
    <row r="323" spans="1:13" x14ac:dyDescent="0.35">
      <c r="A323" s="137" t="s">
        <v>487</v>
      </c>
      <c r="B323" s="137" t="s">
        <v>3809</v>
      </c>
      <c r="C323" s="137" t="s">
        <v>3913</v>
      </c>
      <c r="D323" s="137" t="s">
        <v>3914</v>
      </c>
      <c r="E323" s="137" t="s">
        <v>3919</v>
      </c>
      <c r="F323" s="137" t="s">
        <v>3824</v>
      </c>
      <c r="G323" s="137"/>
      <c r="H323" s="82" t="str">
        <f t="shared" si="26"/>
        <v>TCCN-PTE-PSG-SAG-AP2-SES-</v>
      </c>
      <c r="I323" s="137" t="str">
        <f>MID(H323,1,(LEN(H323)-VLOOKUP(K323,datos!$B$2:$C$12,2,0)))</f>
        <v>TCCN-PTE-PSG-SAG-AP2-SES</v>
      </c>
      <c r="J323" s="137" t="s">
        <v>6401</v>
      </c>
      <c r="K323" s="139">
        <f>VLOOKUP(LEN(SUBSTITUTE(H323,"-","")),datos!$A$1:$B$12,2,0)</f>
        <v>6</v>
      </c>
      <c r="L323" s="137"/>
      <c r="M323" s="137" t="s">
        <v>0</v>
      </c>
    </row>
    <row r="324" spans="1:13" x14ac:dyDescent="0.35">
      <c r="A324" s="138" t="s">
        <v>487</v>
      </c>
      <c r="B324" s="138" t="s">
        <v>3809</v>
      </c>
      <c r="C324" s="138" t="s">
        <v>3913</v>
      </c>
      <c r="D324" s="138" t="s">
        <v>3914</v>
      </c>
      <c r="E324" s="138" t="s">
        <v>3919</v>
      </c>
      <c r="F324" s="138" t="s">
        <v>3824</v>
      </c>
      <c r="G324" s="138" t="s">
        <v>3842</v>
      </c>
      <c r="H324" s="81" t="str">
        <f t="shared" si="26"/>
        <v>TCCN-PTE-PSG-SAG-AP2-SES-CH1</v>
      </c>
      <c r="I324" s="138" t="str">
        <f>MID(H324,1,(LEN(H324)-VLOOKUP(K324,datos!$B$2:$C$12,2,0)))</f>
        <v>TCCN-PTE-PSG-SAG-AP2-SES-CH1</v>
      </c>
      <c r="J324" s="138" t="s">
        <v>6402</v>
      </c>
      <c r="K324" s="140">
        <f>VLOOKUP(LEN(SUBSTITUTE(H324,"-","")),datos!$A$1:$B$12,2,0)</f>
        <v>7</v>
      </c>
      <c r="L324" s="138" t="s">
        <v>88</v>
      </c>
      <c r="M324" s="138" t="s">
        <v>0</v>
      </c>
    </row>
    <row r="325" spans="1:13" x14ac:dyDescent="0.35">
      <c r="A325" s="138" t="s">
        <v>487</v>
      </c>
      <c r="B325" s="138" t="s">
        <v>3809</v>
      </c>
      <c r="C325" s="138" t="s">
        <v>3913</v>
      </c>
      <c r="D325" s="138" t="s">
        <v>3914</v>
      </c>
      <c r="E325" s="138" t="s">
        <v>3919</v>
      </c>
      <c r="F325" s="138" t="s">
        <v>3824</v>
      </c>
      <c r="G325" s="138" t="s">
        <v>3843</v>
      </c>
      <c r="H325" s="81" t="str">
        <f t="shared" si="26"/>
        <v>TCCN-PTE-PSG-SAG-AP2-SES-CH2</v>
      </c>
      <c r="I325" s="138" t="str">
        <f>MID(H325,1,(LEN(H325)-VLOOKUP(K325,datos!$B$2:$C$12,2,0)))</f>
        <v>TCCN-PTE-PSG-SAG-AP2-SES-CH2</v>
      </c>
      <c r="J325" s="138" t="s">
        <v>6403</v>
      </c>
      <c r="K325" s="140">
        <f>VLOOKUP(LEN(SUBSTITUTE(H325,"-","")),datos!$A$1:$B$12,2,0)</f>
        <v>7</v>
      </c>
      <c r="L325" s="138" t="s">
        <v>95</v>
      </c>
      <c r="M325" s="138" t="s">
        <v>0</v>
      </c>
    </row>
    <row r="326" spans="1:13" x14ac:dyDescent="0.35">
      <c r="A326" s="138" t="s">
        <v>487</v>
      </c>
      <c r="B326" s="138" t="s">
        <v>3809</v>
      </c>
      <c r="C326" s="138" t="s">
        <v>3913</v>
      </c>
      <c r="D326" s="138" t="s">
        <v>3914</v>
      </c>
      <c r="E326" s="138" t="s">
        <v>3919</v>
      </c>
      <c r="F326" s="138" t="s">
        <v>3824</v>
      </c>
      <c r="G326" s="138" t="s">
        <v>3917</v>
      </c>
      <c r="H326" s="81" t="str">
        <f t="shared" si="26"/>
        <v>TCCN-PTE-PSG-SAG-AP2-SES-CH3</v>
      </c>
      <c r="I326" s="138" t="str">
        <f>MID(H326,1,(LEN(H326)-VLOOKUP(K326,datos!$B$2:$C$12,2,0)))</f>
        <v>TCCN-PTE-PSG-SAG-AP2-SES-CH3</v>
      </c>
      <c r="J326" s="138" t="s">
        <v>6404</v>
      </c>
      <c r="K326" s="140">
        <f>VLOOKUP(LEN(SUBSTITUTE(H326,"-","")),datos!$A$1:$B$12,2,0)</f>
        <v>7</v>
      </c>
      <c r="L326" s="138" t="s">
        <v>99</v>
      </c>
      <c r="M326" s="138" t="s">
        <v>0</v>
      </c>
    </row>
    <row r="327" spans="1:13" customFormat="1" ht="14.5" x14ac:dyDescent="0.35">
      <c r="A327" s="129" t="s">
        <v>487</v>
      </c>
      <c r="B327" s="129" t="s">
        <v>3809</v>
      </c>
      <c r="C327" s="129" t="s">
        <v>3913</v>
      </c>
      <c r="D327" s="129" t="s">
        <v>3914</v>
      </c>
      <c r="E327" s="129" t="s">
        <v>3842</v>
      </c>
      <c r="F327" s="129"/>
      <c r="G327" s="129"/>
      <c r="H327" s="83" t="str">
        <f t="shared" si="26"/>
        <v>TCCN-PTE-PSG-SAG-CH1--</v>
      </c>
      <c r="I327" s="129" t="str">
        <f>MID(H327,1,(LEN(H327)-VLOOKUP(K327,datos!$B$2:$C$12,2,0)))</f>
        <v>TCCN-PTE-PSG-SAG-CH1</v>
      </c>
      <c r="J327" s="129" t="s">
        <v>7167</v>
      </c>
      <c r="K327" s="130">
        <f>VLOOKUP(LEN(SUBSTITUTE(H327,"-","")),datos!$A$1:$B$12,2,0)</f>
        <v>5</v>
      </c>
      <c r="L327" s="129" t="s">
        <v>7166</v>
      </c>
      <c r="M327" s="129" t="s">
        <v>0</v>
      </c>
    </row>
    <row r="328" spans="1:13" customFormat="1" ht="14.5" x14ac:dyDescent="0.35">
      <c r="A328" s="129" t="s">
        <v>487</v>
      </c>
      <c r="B328" s="129" t="s">
        <v>3809</v>
      </c>
      <c r="C328" s="129" t="s">
        <v>3913</v>
      </c>
      <c r="D328" s="129" t="s">
        <v>3914</v>
      </c>
      <c r="E328" s="129" t="s">
        <v>3920</v>
      </c>
      <c r="F328" s="129"/>
      <c r="G328" s="129"/>
      <c r="H328" s="83" t="str">
        <f t="shared" si="26"/>
        <v>TCCN-PTE-PSG-SAG-SDP--</v>
      </c>
      <c r="I328" s="129" t="str">
        <f>MID(H328,1,(LEN(H328)-VLOOKUP(K328,datos!$B$2:$C$12,2,0)))</f>
        <v>TCCN-PTE-PSG-SAG-SDP</v>
      </c>
      <c r="J328" s="129" t="s">
        <v>5476</v>
      </c>
      <c r="K328" s="130">
        <f>VLOOKUP(LEN(SUBSTITUTE(H328,"-","")),datos!$A$1:$B$12,2,0)</f>
        <v>5</v>
      </c>
      <c r="L328" s="129" t="s">
        <v>109</v>
      </c>
      <c r="M328" s="129" t="s">
        <v>0</v>
      </c>
    </row>
    <row r="329" spans="1:13" x14ac:dyDescent="0.35">
      <c r="A329" s="137" t="s">
        <v>487</v>
      </c>
      <c r="B329" s="137" t="s">
        <v>3809</v>
      </c>
      <c r="C329" s="137" t="s">
        <v>3913</v>
      </c>
      <c r="D329" s="137" t="s">
        <v>3914</v>
      </c>
      <c r="E329" s="137" t="s">
        <v>3920</v>
      </c>
      <c r="F329" s="137" t="s">
        <v>3875</v>
      </c>
      <c r="G329" s="137"/>
      <c r="H329" s="82" t="str">
        <f t="shared" si="26"/>
        <v>TCCN-PTE-PSG-SAG-SDP-SHN-</v>
      </c>
      <c r="I329" s="137" t="str">
        <f>MID(H329,1,(LEN(H329)-VLOOKUP(K329,datos!$B$2:$C$12,2,0)))</f>
        <v>TCCN-PTE-PSG-SAG-SDP-SHN</v>
      </c>
      <c r="J329" s="137" t="s">
        <v>6417</v>
      </c>
      <c r="K329" s="139">
        <f>VLOOKUP(LEN(SUBSTITUTE(H329,"-","")),datos!$A$1:$B$12,2,0)</f>
        <v>6</v>
      </c>
      <c r="L329" s="137"/>
      <c r="M329" s="137" t="s">
        <v>0</v>
      </c>
    </row>
    <row r="330" spans="1:13" x14ac:dyDescent="0.35">
      <c r="A330" s="138" t="s">
        <v>487</v>
      </c>
      <c r="B330" s="138" t="s">
        <v>3809</v>
      </c>
      <c r="C330" s="138" t="s">
        <v>3913</v>
      </c>
      <c r="D330" s="138" t="s">
        <v>3914</v>
      </c>
      <c r="E330" s="138" t="s">
        <v>3920</v>
      </c>
      <c r="F330" s="138" t="s">
        <v>3875</v>
      </c>
      <c r="G330" s="138" t="s">
        <v>3876</v>
      </c>
      <c r="H330" s="81" t="str">
        <f t="shared" si="26"/>
        <v>TCCN-PTE-PSG-SAG-SDP-SHN-BVV</v>
      </c>
      <c r="I330" s="138" t="str">
        <f>MID(H330,1,(LEN(H330)-VLOOKUP(K330,datos!$B$2:$C$12,2,0)))</f>
        <v>TCCN-PTE-PSG-SAG-SDP-SHN-BVV</v>
      </c>
      <c r="J330" s="138" t="s">
        <v>6699</v>
      </c>
      <c r="K330" s="140">
        <f>VLOOKUP(LEN(SUBSTITUTE(H330,"-","")),datos!$A$1:$B$12,2,0)</f>
        <v>7</v>
      </c>
      <c r="L330" s="138"/>
      <c r="M330" s="138" t="s">
        <v>0</v>
      </c>
    </row>
    <row r="331" spans="1:13" x14ac:dyDescent="0.35">
      <c r="A331" s="137" t="s">
        <v>487</v>
      </c>
      <c r="B331" s="137" t="s">
        <v>3809</v>
      </c>
      <c r="C331" s="137" t="s">
        <v>3913</v>
      </c>
      <c r="D331" s="137" t="s">
        <v>3914</v>
      </c>
      <c r="E331" s="137" t="s">
        <v>3920</v>
      </c>
      <c r="F331" s="137" t="s">
        <v>3831</v>
      </c>
      <c r="G331" s="137"/>
      <c r="H331" s="82" t="str">
        <f t="shared" si="26"/>
        <v>TCCN-PTE-PSG-SAG-SDP-INS-</v>
      </c>
      <c r="I331" s="137" t="str">
        <f>MID(H331,1,(LEN(H331)-VLOOKUP(K331,datos!$B$2:$C$12,2,0)))</f>
        <v>TCCN-PTE-PSG-SAG-SDP-INS</v>
      </c>
      <c r="J331" s="137" t="s">
        <v>6416</v>
      </c>
      <c r="K331" s="139">
        <f>VLOOKUP(LEN(SUBSTITUTE(H331,"-","")),datos!$A$1:$B$12,2,0)</f>
        <v>6</v>
      </c>
      <c r="L331" s="137"/>
      <c r="M331" s="137" t="s">
        <v>0</v>
      </c>
    </row>
    <row r="332" spans="1:13" x14ac:dyDescent="0.35">
      <c r="A332" s="138" t="s">
        <v>487</v>
      </c>
      <c r="B332" s="138" t="s">
        <v>3809</v>
      </c>
      <c r="C332" s="138" t="s">
        <v>3913</v>
      </c>
      <c r="D332" s="138" t="s">
        <v>3914</v>
      </c>
      <c r="E332" s="138" t="s">
        <v>3920</v>
      </c>
      <c r="F332" s="138" t="s">
        <v>3831</v>
      </c>
      <c r="G332" s="138" t="s">
        <v>6898</v>
      </c>
      <c r="H332" s="81" t="str">
        <f t="shared" si="26"/>
        <v>TCCN-PTE-PSG-SAG-SDP-INS-GMO</v>
      </c>
      <c r="I332" s="138" t="str">
        <f>MID(H332,1,(LEN(H332)-VLOOKUP(K332,datos!$B$2:$C$12,2,0)))</f>
        <v>TCCN-PTE-PSG-SAG-SDP-INS-GMO</v>
      </c>
      <c r="J332" s="138" t="s">
        <v>6730</v>
      </c>
      <c r="K332" s="140">
        <f>VLOOKUP(LEN(SUBSTITUTE(H332,"-","")),datos!$A$1:$B$12,2,0)</f>
        <v>7</v>
      </c>
      <c r="L332" s="138"/>
      <c r="M332" s="138" t="s">
        <v>0</v>
      </c>
    </row>
    <row r="333" spans="1:13" x14ac:dyDescent="0.35">
      <c r="A333" s="138" t="s">
        <v>487</v>
      </c>
      <c r="B333" s="138" t="s">
        <v>3809</v>
      </c>
      <c r="C333" s="138" t="s">
        <v>3913</v>
      </c>
      <c r="D333" s="138" t="s">
        <v>3914</v>
      </c>
      <c r="E333" s="138" t="s">
        <v>3920</v>
      </c>
      <c r="F333" s="138" t="s">
        <v>3831</v>
      </c>
      <c r="G333" s="138" t="s">
        <v>4002</v>
      </c>
      <c r="H333" s="81" t="str">
        <f t="shared" ref="H333" si="28">CONCATENATE(A333,"-",B333,"-",C333,"-",D333,"-",E333,"-",F333,"-",G333)</f>
        <v>TCCN-PTE-PSG-SAG-SDP-INS-FJM</v>
      </c>
      <c r="I333" s="138" t="str">
        <f>MID(H333,1,(LEN(H333)-VLOOKUP(K333,datos!$B$2:$C$12,2,0)))</f>
        <v>TCCN-PTE-PSG-SAG-SDP-INS-FJM</v>
      </c>
      <c r="J333" s="138" t="s">
        <v>7123</v>
      </c>
      <c r="K333" s="140">
        <f>VLOOKUP(LEN(SUBSTITUTE(H333,"-","")),datos!$A$1:$B$12,2,0)</f>
        <v>7</v>
      </c>
      <c r="L333" s="138" t="s">
        <v>7124</v>
      </c>
      <c r="M333" s="138" t="s">
        <v>0</v>
      </c>
    </row>
    <row r="334" spans="1:13" customFormat="1" ht="14.5" x14ac:dyDescent="0.35">
      <c r="A334" s="129" t="s">
        <v>487</v>
      </c>
      <c r="B334" s="129" t="s">
        <v>3809</v>
      </c>
      <c r="C334" s="129" t="s">
        <v>3913</v>
      </c>
      <c r="D334" s="129" t="s">
        <v>3914</v>
      </c>
      <c r="E334" s="129" t="s">
        <v>3921</v>
      </c>
      <c r="F334" s="129"/>
      <c r="G334" s="129"/>
      <c r="H334" s="83" t="str">
        <f t="shared" si="26"/>
        <v>TCCN-PTE-PSG-SAG-CT1--</v>
      </c>
      <c r="I334" s="129" t="str">
        <f>MID(H334,1,(LEN(H334)-VLOOKUP(K334,datos!$B$2:$C$12,2,0)))</f>
        <v>TCCN-PTE-PSG-SAG-CT1</v>
      </c>
      <c r="J334" s="129" t="s">
        <v>4484</v>
      </c>
      <c r="K334" s="130">
        <f>VLOOKUP(LEN(SUBSTITUTE(H334,"-","")),datos!$A$1:$B$12,2,0)</f>
        <v>5</v>
      </c>
      <c r="L334" s="129" t="s">
        <v>111</v>
      </c>
      <c r="M334" s="129" t="s">
        <v>0</v>
      </c>
    </row>
    <row r="335" spans="1:13" x14ac:dyDescent="0.35">
      <c r="A335" s="137" t="s">
        <v>487</v>
      </c>
      <c r="B335" s="137" t="s">
        <v>3809</v>
      </c>
      <c r="C335" s="137" t="s">
        <v>3913</v>
      </c>
      <c r="D335" s="137" t="s">
        <v>3914</v>
      </c>
      <c r="E335" s="137" t="s">
        <v>3921</v>
      </c>
      <c r="F335" s="137" t="s">
        <v>3824</v>
      </c>
      <c r="G335" s="137"/>
      <c r="H335" s="82" t="str">
        <f t="shared" si="26"/>
        <v>TCCN-PTE-PSG-SAG-CT1-SES-</v>
      </c>
      <c r="I335" s="137" t="str">
        <f>MID(H335,1,(LEN(H335)-VLOOKUP(K335,datos!$B$2:$C$12,2,0)))</f>
        <v>TCCN-PTE-PSG-SAG-CT1-SES</v>
      </c>
      <c r="J335" s="137" t="s">
        <v>6418</v>
      </c>
      <c r="K335" s="139">
        <f>VLOOKUP(LEN(SUBSTITUTE(H335,"-","")),datos!$A$1:$B$12,2,0)</f>
        <v>6</v>
      </c>
      <c r="L335" s="137"/>
      <c r="M335" s="137" t="s">
        <v>0</v>
      </c>
    </row>
    <row r="336" spans="1:13" x14ac:dyDescent="0.35">
      <c r="A336" s="138" t="s">
        <v>487</v>
      </c>
      <c r="B336" s="138" t="s">
        <v>3809</v>
      </c>
      <c r="C336" s="138" t="s">
        <v>3913</v>
      </c>
      <c r="D336" s="138" t="s">
        <v>3914</v>
      </c>
      <c r="E336" s="138" t="s">
        <v>3921</v>
      </c>
      <c r="F336" s="138" t="s">
        <v>3824</v>
      </c>
      <c r="G336" s="138" t="s">
        <v>3853</v>
      </c>
      <c r="H336" s="81" t="str">
        <f t="shared" si="26"/>
        <v>TCCN-PTE-PSG-SAG-CT1-SES-EST</v>
      </c>
      <c r="I336" s="138" t="str">
        <f>MID(H336,1,(LEN(H336)-VLOOKUP(K336,datos!$B$2:$C$12,2,0)))</f>
        <v>TCCN-PTE-PSG-SAG-CT1-SES-EST</v>
      </c>
      <c r="J336" s="138" t="s">
        <v>6419</v>
      </c>
      <c r="K336" s="140">
        <f>VLOOKUP(LEN(SUBSTITUTE(H336,"-","")),datos!$A$1:$B$12,2,0)</f>
        <v>7</v>
      </c>
      <c r="L336" s="138"/>
      <c r="M336" s="138" t="s">
        <v>0</v>
      </c>
    </row>
    <row r="337" spans="1:13" x14ac:dyDescent="0.35">
      <c r="A337" s="138" t="s">
        <v>487</v>
      </c>
      <c r="B337" s="138" t="s">
        <v>3809</v>
      </c>
      <c r="C337" s="138" t="s">
        <v>3913</v>
      </c>
      <c r="D337" s="138" t="s">
        <v>3914</v>
      </c>
      <c r="E337" s="138" t="s">
        <v>3921</v>
      </c>
      <c r="F337" s="138" t="s">
        <v>3824</v>
      </c>
      <c r="G337" s="138" t="s">
        <v>3825</v>
      </c>
      <c r="H337" s="81" t="str">
        <f t="shared" ref="H337:H413" si="29">CONCATENATE(A337,"-",B337,"-",C337,"-",D337,"-",E337,"-",F337,"-",G337)</f>
        <v>TCCN-PTE-PSG-SAG-CT1-SES-CHU</v>
      </c>
      <c r="I337" s="138" t="str">
        <f>MID(H337,1,(LEN(H337)-VLOOKUP(K337,datos!$B$2:$C$12,2,0)))</f>
        <v>TCCN-PTE-PSG-SAG-CT1-SES-CHU</v>
      </c>
      <c r="J337" s="138" t="s">
        <v>6845</v>
      </c>
      <c r="K337" s="140">
        <f>VLOOKUP(LEN(SUBSTITUTE(H337,"-","")),datos!$A$1:$B$12,2,0)</f>
        <v>7</v>
      </c>
      <c r="L337" s="138" t="s">
        <v>113</v>
      </c>
      <c r="M337" s="138" t="s">
        <v>0</v>
      </c>
    </row>
    <row r="338" spans="1:13" x14ac:dyDescent="0.35">
      <c r="A338" s="137" t="s">
        <v>487</v>
      </c>
      <c r="B338" s="137" t="s">
        <v>3809</v>
      </c>
      <c r="C338" s="137" t="s">
        <v>3913</v>
      </c>
      <c r="D338" s="137" t="s">
        <v>3914</v>
      </c>
      <c r="E338" s="137" t="s">
        <v>3921</v>
      </c>
      <c r="F338" s="137" t="s">
        <v>3854</v>
      </c>
      <c r="G338" s="137"/>
      <c r="H338" s="82" t="str">
        <f t="shared" si="29"/>
        <v>TCCN-PTE-PSG-SAG-CT1-STR-</v>
      </c>
      <c r="I338" s="137" t="str">
        <f>MID(H338,1,(LEN(H338)-VLOOKUP(K338,datos!$B$2:$C$12,2,0)))</f>
        <v>TCCN-PTE-PSG-SAG-CT1-STR</v>
      </c>
      <c r="J338" s="137" t="s">
        <v>6420</v>
      </c>
      <c r="K338" s="139">
        <f>VLOOKUP(LEN(SUBSTITUTE(H338,"-","")),datos!$A$1:$B$12,2,0)</f>
        <v>6</v>
      </c>
      <c r="L338" s="137"/>
      <c r="M338" s="137" t="s">
        <v>0</v>
      </c>
    </row>
    <row r="339" spans="1:13" x14ac:dyDescent="0.35">
      <c r="A339" s="138" t="s">
        <v>487</v>
      </c>
      <c r="B339" s="138" t="s">
        <v>3809</v>
      </c>
      <c r="C339" s="138" t="s">
        <v>3913</v>
      </c>
      <c r="D339" s="138" t="s">
        <v>3914</v>
      </c>
      <c r="E339" s="138" t="s">
        <v>3921</v>
      </c>
      <c r="F339" s="138" t="s">
        <v>3854</v>
      </c>
      <c r="G339" s="138" t="s">
        <v>3855</v>
      </c>
      <c r="H339" s="81" t="str">
        <f t="shared" si="29"/>
        <v>TCCN-PTE-PSG-SAG-CT1-STR-CTA</v>
      </c>
      <c r="I339" s="138" t="str">
        <f>MID(H339,1,(LEN(H339)-VLOOKUP(K339,datos!$B$2:$C$12,2,0)))</f>
        <v>TCCN-PTE-PSG-SAG-CT1-STR-CTA</v>
      </c>
      <c r="J339" s="138" t="s">
        <v>6850</v>
      </c>
      <c r="K339" s="140">
        <f>VLOOKUP(LEN(SUBSTITUTE(H339,"-","")),datos!$A$1:$B$12,2,0)</f>
        <v>7</v>
      </c>
      <c r="L339" s="138"/>
      <c r="M339" s="138" t="s">
        <v>0</v>
      </c>
    </row>
    <row r="340" spans="1:13" x14ac:dyDescent="0.35">
      <c r="A340" s="138" t="s">
        <v>487</v>
      </c>
      <c r="B340" s="138" t="s">
        <v>3809</v>
      </c>
      <c r="C340" s="138" t="s">
        <v>3913</v>
      </c>
      <c r="D340" s="138" t="s">
        <v>3914</v>
      </c>
      <c r="E340" s="138" t="s">
        <v>3921</v>
      </c>
      <c r="F340" s="138" t="s">
        <v>3854</v>
      </c>
      <c r="G340" s="138" t="s">
        <v>3857</v>
      </c>
      <c r="H340" s="81" t="str">
        <f t="shared" si="29"/>
        <v>TCCN-PTE-PSG-SAG-CT1-STR-PCO</v>
      </c>
      <c r="I340" s="138" t="str">
        <f>MID(H340,1,(LEN(H340)-VLOOKUP(K340,datos!$B$2:$C$12,2,0)))</f>
        <v>TCCN-PTE-PSG-SAG-CT1-STR-PCO</v>
      </c>
      <c r="J340" s="138" t="s">
        <v>6430</v>
      </c>
      <c r="K340" s="140">
        <f>VLOOKUP(LEN(SUBSTITUTE(H340,"-","")),datos!$A$1:$B$12,2,0)</f>
        <v>7</v>
      </c>
      <c r="L340" s="138"/>
      <c r="M340" s="138" t="s">
        <v>0</v>
      </c>
    </row>
    <row r="341" spans="1:13" x14ac:dyDescent="0.35">
      <c r="A341" s="138" t="s">
        <v>487</v>
      </c>
      <c r="B341" s="138" t="s">
        <v>3809</v>
      </c>
      <c r="C341" s="138" t="s">
        <v>3913</v>
      </c>
      <c r="D341" s="138" t="s">
        <v>3914</v>
      </c>
      <c r="E341" s="138" t="s">
        <v>3921</v>
      </c>
      <c r="F341" s="138" t="s">
        <v>3854</v>
      </c>
      <c r="G341" s="138" t="s">
        <v>6851</v>
      </c>
      <c r="H341" s="81" t="str">
        <f t="shared" si="29"/>
        <v>TCCN-PTE-PSG-SAG-CT1-STR-PCP</v>
      </c>
      <c r="I341" s="138" t="str">
        <f>MID(H341,1,(LEN(H341)-VLOOKUP(K341,datos!$B$2:$C$12,2,0)))</f>
        <v>TCCN-PTE-PSG-SAG-CT1-STR-PCP</v>
      </c>
      <c r="J341" s="138" t="s">
        <v>6421</v>
      </c>
      <c r="K341" s="140">
        <f>VLOOKUP(LEN(SUBSTITUTE(H341,"-","")),datos!$A$1:$B$12,2,0)</f>
        <v>7</v>
      </c>
      <c r="L341" s="138"/>
      <c r="M341" s="138" t="s">
        <v>0</v>
      </c>
    </row>
    <row r="342" spans="1:13" x14ac:dyDescent="0.35">
      <c r="A342" s="138" t="s">
        <v>487</v>
      </c>
      <c r="B342" s="138" t="s">
        <v>3809</v>
      </c>
      <c r="C342" s="138" t="s">
        <v>3913</v>
      </c>
      <c r="D342" s="138" t="s">
        <v>3914</v>
      </c>
      <c r="E342" s="138" t="s">
        <v>3921</v>
      </c>
      <c r="F342" s="138" t="s">
        <v>3854</v>
      </c>
      <c r="G342" s="138" t="s">
        <v>3922</v>
      </c>
      <c r="H342" s="81" t="str">
        <f t="shared" si="29"/>
        <v>TCCN-PTE-PSG-SAG-CT1-STR-PO1</v>
      </c>
      <c r="I342" s="138" t="str">
        <f>MID(H342,1,(LEN(H342)-VLOOKUP(K342,datos!$B$2:$C$12,2,0)))</f>
        <v>TCCN-PTE-PSG-SAG-CT1-STR-PO1</v>
      </c>
      <c r="J342" s="138" t="s">
        <v>6422</v>
      </c>
      <c r="K342" s="140">
        <f>VLOOKUP(LEN(SUBSTITUTE(H342,"-","")),datos!$A$1:$B$12,2,0)</f>
        <v>7</v>
      </c>
      <c r="L342" s="138"/>
      <c r="M342" s="138" t="s">
        <v>0</v>
      </c>
    </row>
    <row r="343" spans="1:13" x14ac:dyDescent="0.35">
      <c r="A343" s="138" t="s">
        <v>487</v>
      </c>
      <c r="B343" s="138" t="s">
        <v>3809</v>
      </c>
      <c r="C343" s="138" t="s">
        <v>3913</v>
      </c>
      <c r="D343" s="138" t="s">
        <v>3914</v>
      </c>
      <c r="E343" s="138" t="s">
        <v>3921</v>
      </c>
      <c r="F343" s="138" t="s">
        <v>3854</v>
      </c>
      <c r="G343" s="138" t="s">
        <v>3923</v>
      </c>
      <c r="H343" s="81" t="str">
        <f t="shared" si="29"/>
        <v>TCCN-PTE-PSG-SAG-CT1-STR-PO2</v>
      </c>
      <c r="I343" s="138" t="str">
        <f>MID(H343,1,(LEN(H343)-VLOOKUP(K343,datos!$B$2:$C$12,2,0)))</f>
        <v>TCCN-PTE-PSG-SAG-CT1-STR-PO2</v>
      </c>
      <c r="J343" s="138" t="s">
        <v>6423</v>
      </c>
      <c r="K343" s="140">
        <f>VLOOKUP(LEN(SUBSTITUTE(H343,"-","")),datos!$A$1:$B$12,2,0)</f>
        <v>7</v>
      </c>
      <c r="L343" s="138"/>
      <c r="M343" s="138" t="s">
        <v>0</v>
      </c>
    </row>
    <row r="344" spans="1:13" x14ac:dyDescent="0.35">
      <c r="A344" s="138" t="s">
        <v>487</v>
      </c>
      <c r="B344" s="138" t="s">
        <v>3809</v>
      </c>
      <c r="C344" s="138" t="s">
        <v>3913</v>
      </c>
      <c r="D344" s="138" t="s">
        <v>3914</v>
      </c>
      <c r="E344" s="138" t="s">
        <v>3921</v>
      </c>
      <c r="F344" s="138" t="s">
        <v>3854</v>
      </c>
      <c r="G344" s="138" t="s">
        <v>3924</v>
      </c>
      <c r="H344" s="81" t="str">
        <f t="shared" si="29"/>
        <v>TCCN-PTE-PSG-SAG-CT1-STR-PO3</v>
      </c>
      <c r="I344" s="138" t="str">
        <f>MID(H344,1,(LEN(H344)-VLOOKUP(K344,datos!$B$2:$C$12,2,0)))</f>
        <v>TCCN-PTE-PSG-SAG-CT1-STR-PO3</v>
      </c>
      <c r="J344" s="138" t="s">
        <v>6424</v>
      </c>
      <c r="K344" s="140">
        <f>VLOOKUP(LEN(SUBSTITUTE(H344,"-","")),datos!$A$1:$B$12,2,0)</f>
        <v>7</v>
      </c>
      <c r="L344" s="138"/>
      <c r="M344" s="138" t="s">
        <v>0</v>
      </c>
    </row>
    <row r="345" spans="1:13" x14ac:dyDescent="0.35">
      <c r="A345" s="138" t="s">
        <v>487</v>
      </c>
      <c r="B345" s="138" t="s">
        <v>3809</v>
      </c>
      <c r="C345" s="138" t="s">
        <v>3913</v>
      </c>
      <c r="D345" s="138" t="s">
        <v>3914</v>
      </c>
      <c r="E345" s="138" t="s">
        <v>3921</v>
      </c>
      <c r="F345" s="138" t="s">
        <v>3854</v>
      </c>
      <c r="G345" s="138" t="s">
        <v>3925</v>
      </c>
      <c r="H345" s="81" t="str">
        <f t="shared" si="29"/>
        <v>TCCN-PTE-PSG-SAG-CT1-STR-PO4</v>
      </c>
      <c r="I345" s="138" t="str">
        <f>MID(H345,1,(LEN(H345)-VLOOKUP(K345,datos!$B$2:$C$12,2,0)))</f>
        <v>TCCN-PTE-PSG-SAG-CT1-STR-PO4</v>
      </c>
      <c r="J345" s="138" t="s">
        <v>6425</v>
      </c>
      <c r="K345" s="140">
        <f>VLOOKUP(LEN(SUBSTITUTE(H345,"-","")),datos!$A$1:$B$12,2,0)</f>
        <v>7</v>
      </c>
      <c r="L345" s="138"/>
      <c r="M345" s="138" t="s">
        <v>0</v>
      </c>
    </row>
    <row r="346" spans="1:13" x14ac:dyDescent="0.35">
      <c r="A346" s="138" t="s">
        <v>487</v>
      </c>
      <c r="B346" s="138" t="s">
        <v>3809</v>
      </c>
      <c r="C346" s="138" t="s">
        <v>3913</v>
      </c>
      <c r="D346" s="138" t="s">
        <v>3914</v>
      </c>
      <c r="E346" s="138" t="s">
        <v>3921</v>
      </c>
      <c r="F346" s="138" t="s">
        <v>3854</v>
      </c>
      <c r="G346" s="138" t="s">
        <v>3926</v>
      </c>
      <c r="H346" s="81" t="str">
        <f t="shared" si="29"/>
        <v>TCCN-PTE-PSG-SAG-CT1-STR-PO5</v>
      </c>
      <c r="I346" s="138" t="str">
        <f>MID(H346,1,(LEN(H346)-VLOOKUP(K346,datos!$B$2:$C$12,2,0)))</f>
        <v>TCCN-PTE-PSG-SAG-CT1-STR-PO5</v>
      </c>
      <c r="J346" s="138" t="s">
        <v>6426</v>
      </c>
      <c r="K346" s="140">
        <f>VLOOKUP(LEN(SUBSTITUTE(H346,"-","")),datos!$A$1:$B$12,2,0)</f>
        <v>7</v>
      </c>
      <c r="L346" s="138"/>
      <c r="M346" s="138" t="s">
        <v>0</v>
      </c>
    </row>
    <row r="347" spans="1:13" x14ac:dyDescent="0.35">
      <c r="A347" s="138" t="s">
        <v>487</v>
      </c>
      <c r="B347" s="138" t="s">
        <v>3809</v>
      </c>
      <c r="C347" s="138" t="s">
        <v>3913</v>
      </c>
      <c r="D347" s="138" t="s">
        <v>3914</v>
      </c>
      <c r="E347" s="138" t="s">
        <v>3921</v>
      </c>
      <c r="F347" s="138" t="s">
        <v>3854</v>
      </c>
      <c r="G347" s="138" t="s">
        <v>3927</v>
      </c>
      <c r="H347" s="81" t="str">
        <f t="shared" si="29"/>
        <v>TCCN-PTE-PSG-SAG-CT1-STR-PO6</v>
      </c>
      <c r="I347" s="138" t="str">
        <f>MID(H347,1,(LEN(H347)-VLOOKUP(K347,datos!$B$2:$C$12,2,0)))</f>
        <v>TCCN-PTE-PSG-SAG-CT1-STR-PO6</v>
      </c>
      <c r="J347" s="138" t="s">
        <v>6427</v>
      </c>
      <c r="K347" s="140">
        <f>VLOOKUP(LEN(SUBSTITUTE(H347,"-","")),datos!$A$1:$B$12,2,0)</f>
        <v>7</v>
      </c>
      <c r="L347" s="138"/>
      <c r="M347" s="138" t="s">
        <v>0</v>
      </c>
    </row>
    <row r="348" spans="1:13" x14ac:dyDescent="0.35">
      <c r="A348" s="138" t="s">
        <v>487</v>
      </c>
      <c r="B348" s="138" t="s">
        <v>3809</v>
      </c>
      <c r="C348" s="138" t="s">
        <v>3913</v>
      </c>
      <c r="D348" s="138" t="s">
        <v>3914</v>
      </c>
      <c r="E348" s="138" t="s">
        <v>3921</v>
      </c>
      <c r="F348" s="138" t="s">
        <v>3854</v>
      </c>
      <c r="G348" s="138" t="s">
        <v>6787</v>
      </c>
      <c r="H348" s="81" t="str">
        <f>CONCATENATE(A348,"-",B348,"-",C348,"-",D348,"-",E348,"-",F348,"-",G348)</f>
        <v>TCCN-PTE-PSG-SAG-CT1-STR-RAS</v>
      </c>
      <c r="I348" s="138" t="str">
        <f>MID(H348,1,(LEN(H348)-VLOOKUP(K348,datos!$B$2:$C$12,2,0)))</f>
        <v>TCCN-PTE-PSG-SAG-CT1-STR-RAS</v>
      </c>
      <c r="J348" s="138" t="s">
        <v>6785</v>
      </c>
      <c r="K348" s="140">
        <f>VLOOKUP(LEN(SUBSTITUTE(H348,"-","")),datos!$A$1:$B$12,2,0)</f>
        <v>7</v>
      </c>
      <c r="L348" s="138"/>
      <c r="M348" s="138" t="s">
        <v>0</v>
      </c>
    </row>
    <row r="349" spans="1:13" x14ac:dyDescent="0.35">
      <c r="A349" s="137" t="s">
        <v>487</v>
      </c>
      <c r="B349" s="137" t="s">
        <v>3809</v>
      </c>
      <c r="C349" s="137" t="s">
        <v>3913</v>
      </c>
      <c r="D349" s="137" t="s">
        <v>3914</v>
      </c>
      <c r="E349" s="137" t="s">
        <v>3921</v>
      </c>
      <c r="F349" s="137" t="s">
        <v>3859</v>
      </c>
      <c r="G349" s="137"/>
      <c r="H349" s="82" t="str">
        <f t="shared" si="29"/>
        <v>TCCN-PTE-PSG-SAG-CT1-STE-</v>
      </c>
      <c r="I349" s="137" t="str">
        <f>MID(H349,1,(LEN(H349)-VLOOKUP(K349,datos!$B$2:$C$12,2,0)))</f>
        <v>TCCN-PTE-PSG-SAG-CT1-STE</v>
      </c>
      <c r="J349" s="137" t="s">
        <v>6428</v>
      </c>
      <c r="K349" s="139">
        <f>VLOOKUP(LEN(SUBSTITUTE(H349,"-","")),datos!$A$1:$B$12,2,0)</f>
        <v>6</v>
      </c>
      <c r="L349" s="137"/>
      <c r="M349" s="137" t="s">
        <v>0</v>
      </c>
    </row>
    <row r="350" spans="1:13" x14ac:dyDescent="0.35">
      <c r="A350" s="138" t="s">
        <v>487</v>
      </c>
      <c r="B350" s="138" t="s">
        <v>3809</v>
      </c>
      <c r="C350" s="138" t="s">
        <v>3913</v>
      </c>
      <c r="D350" s="138" t="s">
        <v>3914</v>
      </c>
      <c r="E350" s="138" t="s">
        <v>3921</v>
      </c>
      <c r="F350" s="138" t="s">
        <v>3859</v>
      </c>
      <c r="G350" s="138" t="s">
        <v>3860</v>
      </c>
      <c r="H350" s="81" t="str">
        <f t="shared" si="29"/>
        <v>TCCN-PTE-PSG-SAG-CT1-STE-TEN</v>
      </c>
      <c r="I350" s="138" t="str">
        <f>MID(H350,1,(LEN(H350)-VLOOKUP(K350,datos!$B$2:$C$12,2,0)))</f>
        <v>TCCN-PTE-PSG-SAG-CT1-STE-TEN</v>
      </c>
      <c r="J350" s="138" t="s">
        <v>6429</v>
      </c>
      <c r="K350" s="140">
        <f>VLOOKUP(LEN(SUBSTITUTE(H350,"-","")),datos!$A$1:$B$12,2,0)</f>
        <v>7</v>
      </c>
      <c r="L350" s="138"/>
      <c r="M350" s="138" t="s">
        <v>0</v>
      </c>
    </row>
    <row r="351" spans="1:13" x14ac:dyDescent="0.35">
      <c r="A351" s="137" t="s">
        <v>487</v>
      </c>
      <c r="B351" s="137" t="s">
        <v>3809</v>
      </c>
      <c r="C351" s="137" t="s">
        <v>3913</v>
      </c>
      <c r="D351" s="137" t="s">
        <v>3914</v>
      </c>
      <c r="E351" s="137" t="s">
        <v>3921</v>
      </c>
      <c r="F351" s="137" t="s">
        <v>3847</v>
      </c>
      <c r="G351" s="137"/>
      <c r="H351" s="82" t="str">
        <f t="shared" si="29"/>
        <v>TCCN-PTE-PSG-SAG-CT1-SMO-</v>
      </c>
      <c r="I351" s="137" t="str">
        <f>MID(H351,1,(LEN(H351)-VLOOKUP(K351,datos!$B$2:$C$12,2,0)))</f>
        <v>TCCN-PTE-PSG-SAG-CT1-SMO</v>
      </c>
      <c r="J351" s="137" t="s">
        <v>6431</v>
      </c>
      <c r="K351" s="139">
        <f>VLOOKUP(LEN(SUBSTITUTE(H351,"-","")),datos!$A$1:$B$12,2,0)</f>
        <v>6</v>
      </c>
      <c r="L351" s="137"/>
      <c r="M351" s="137" t="s">
        <v>0</v>
      </c>
    </row>
    <row r="352" spans="1:13" x14ac:dyDescent="0.35">
      <c r="A352" s="138" t="s">
        <v>487</v>
      </c>
      <c r="B352" s="138" t="s">
        <v>3809</v>
      </c>
      <c r="C352" s="138" t="s">
        <v>3913</v>
      </c>
      <c r="D352" s="138" t="s">
        <v>3914</v>
      </c>
      <c r="E352" s="138" t="s">
        <v>3921</v>
      </c>
      <c r="F352" s="138" t="s">
        <v>3847</v>
      </c>
      <c r="G352" s="138" t="s">
        <v>3864</v>
      </c>
      <c r="H352" s="81" t="str">
        <f t="shared" si="29"/>
        <v>TCCN-PTE-PSG-SAG-CT1-SMO-PMO</v>
      </c>
      <c r="I352" s="138" t="str">
        <f>MID(H352,1,(LEN(H352)-VLOOKUP(K352,datos!$B$2:$C$12,2,0)))</f>
        <v>TCCN-PTE-PSG-SAG-CT1-SMO-PMO</v>
      </c>
      <c r="J352" s="138" t="s">
        <v>6432</v>
      </c>
      <c r="K352" s="140">
        <f>VLOOKUP(LEN(SUBSTITUTE(H352,"-","")),datos!$A$1:$B$12,2,0)</f>
        <v>7</v>
      </c>
      <c r="L352" s="138"/>
      <c r="M352" s="138" t="s">
        <v>0</v>
      </c>
    </row>
    <row r="353" spans="1:13" x14ac:dyDescent="0.35">
      <c r="A353" s="138" t="s">
        <v>487</v>
      </c>
      <c r="B353" s="138" t="s">
        <v>3809</v>
      </c>
      <c r="C353" s="138" t="s">
        <v>3913</v>
      </c>
      <c r="D353" s="138" t="s">
        <v>3914</v>
      </c>
      <c r="E353" s="138" t="s">
        <v>3921</v>
      </c>
      <c r="F353" s="138" t="s">
        <v>3847</v>
      </c>
      <c r="G353" s="138" t="s">
        <v>3819</v>
      </c>
      <c r="H353" s="81" t="str">
        <f t="shared" si="29"/>
        <v>TCCN-PTE-PSG-SAG-CT1-SMO-MOE</v>
      </c>
      <c r="I353" s="138" t="str">
        <f>MID(H353,1,(LEN(H353)-VLOOKUP(K353,datos!$B$2:$C$12,2,0)))</f>
        <v>TCCN-PTE-PSG-SAG-CT1-SMO-MOE</v>
      </c>
      <c r="J353" s="138" t="s">
        <v>6864</v>
      </c>
      <c r="K353" s="140">
        <f>VLOOKUP(LEN(SUBSTITUTE(H353,"-","")),datos!$A$1:$B$12,2,0)</f>
        <v>7</v>
      </c>
      <c r="L353" s="138" t="s">
        <v>115</v>
      </c>
      <c r="M353" s="138" t="s">
        <v>0</v>
      </c>
    </row>
    <row r="354" spans="1:13" x14ac:dyDescent="0.35">
      <c r="A354" s="138" t="s">
        <v>487</v>
      </c>
      <c r="B354" s="138" t="s">
        <v>3809</v>
      </c>
      <c r="C354" s="138" t="s">
        <v>3913</v>
      </c>
      <c r="D354" s="138" t="s">
        <v>3914</v>
      </c>
      <c r="E354" s="138" t="s">
        <v>3921</v>
      </c>
      <c r="F354" s="138" t="s">
        <v>3847</v>
      </c>
      <c r="G354" s="138" t="s">
        <v>3861</v>
      </c>
      <c r="H354" s="81" t="str">
        <f t="shared" si="29"/>
        <v>TCCN-PTE-PSG-SAG-CT1-SMO-RED</v>
      </c>
      <c r="I354" s="138" t="str">
        <f>MID(H354,1,(LEN(H354)-VLOOKUP(K354,datos!$B$2:$C$12,2,0)))</f>
        <v>TCCN-PTE-PSG-SAG-CT1-SMO-RED</v>
      </c>
      <c r="J354" s="138" t="s">
        <v>6868</v>
      </c>
      <c r="K354" s="140">
        <f>VLOOKUP(LEN(SUBSTITUTE(H354,"-","")),datos!$A$1:$B$12,2,0)</f>
        <v>7</v>
      </c>
      <c r="L354" s="138"/>
      <c r="M354" s="138" t="s">
        <v>0</v>
      </c>
    </row>
    <row r="355" spans="1:13" x14ac:dyDescent="0.35">
      <c r="A355" s="137" t="s">
        <v>487</v>
      </c>
      <c r="B355" s="137" t="s">
        <v>3809</v>
      </c>
      <c r="C355" s="137" t="s">
        <v>3913</v>
      </c>
      <c r="D355" s="137" t="s">
        <v>3914</v>
      </c>
      <c r="E355" s="137" t="s">
        <v>3921</v>
      </c>
      <c r="F355" s="137" t="s">
        <v>3831</v>
      </c>
      <c r="G355" s="137"/>
      <c r="H355" s="82" t="str">
        <f t="shared" si="29"/>
        <v>TCCN-PTE-PSG-SAG-CT1-INS-</v>
      </c>
      <c r="I355" s="137" t="str">
        <f>MID(H355,1,(LEN(H355)-VLOOKUP(K355,datos!$B$2:$C$12,2,0)))</f>
        <v>TCCN-PTE-PSG-SAG-CT1-INS</v>
      </c>
      <c r="J355" s="137" t="s">
        <v>6433</v>
      </c>
      <c r="K355" s="139">
        <f>VLOOKUP(LEN(SUBSTITUTE(H355,"-","")),datos!$A$1:$B$12,2,0)</f>
        <v>6</v>
      </c>
      <c r="L355" s="137"/>
      <c r="M355" s="137" t="s">
        <v>0</v>
      </c>
    </row>
    <row r="356" spans="1:13" x14ac:dyDescent="0.35">
      <c r="A356" s="138" t="s">
        <v>487</v>
      </c>
      <c r="B356" s="138" t="s">
        <v>3809</v>
      </c>
      <c r="C356" s="138" t="s">
        <v>3913</v>
      </c>
      <c r="D356" s="138" t="s">
        <v>3914</v>
      </c>
      <c r="E356" s="138" t="s">
        <v>3921</v>
      </c>
      <c r="F356" s="138" t="s">
        <v>3831</v>
      </c>
      <c r="G356" s="138" t="s">
        <v>5202</v>
      </c>
      <c r="H356" s="81" t="str">
        <f t="shared" si="29"/>
        <v>TCCN-PTE-PSG-SAG-CT1-INS-MVD</v>
      </c>
      <c r="I356" s="138" t="str">
        <f>MID(H356,1,(LEN(H356)-VLOOKUP(K356,datos!$B$2:$C$12,2,0)))</f>
        <v>TCCN-PTE-PSG-SAG-CT1-INS-MVD</v>
      </c>
      <c r="J356" s="138" t="s">
        <v>8104</v>
      </c>
      <c r="K356" s="140">
        <f>VLOOKUP(LEN(SUBSTITUTE(H356,"-","")),datos!$A$1:$B$12,2,0)</f>
        <v>7</v>
      </c>
      <c r="L356" s="138" t="s">
        <v>5703</v>
      </c>
      <c r="M356" s="138" t="s">
        <v>0</v>
      </c>
    </row>
    <row r="357" spans="1:13" x14ac:dyDescent="0.35">
      <c r="A357" s="138" t="s">
        <v>487</v>
      </c>
      <c r="B357" s="138" t="s">
        <v>3809</v>
      </c>
      <c r="C357" s="138" t="s">
        <v>3913</v>
      </c>
      <c r="D357" s="138" t="s">
        <v>3914</v>
      </c>
      <c r="E357" s="138" t="s">
        <v>3921</v>
      </c>
      <c r="F357" s="138" t="s">
        <v>3831</v>
      </c>
      <c r="G357" s="138" t="s">
        <v>5256</v>
      </c>
      <c r="H357" s="81" t="str">
        <f t="shared" ref="H357" si="30">CONCATENATE(A357,"-",B357,"-",C357,"-",D357,"-",E357,"-",F357,"-",G357)</f>
        <v>TCCN-PTE-PSG-SAG-CT1-INS-MNV</v>
      </c>
      <c r="I357" s="138" t="str">
        <f>MID(H357,1,(LEN(H357)-VLOOKUP(K357,datos!$B$2:$C$12,2,0)))</f>
        <v>TCCN-PTE-PSG-SAG-CT1-INS-MNV</v>
      </c>
      <c r="J357" s="138" t="s">
        <v>7641</v>
      </c>
      <c r="K357" s="140">
        <f>VLOOKUP(LEN(SUBSTITUTE(H357,"-","")),datos!$A$1:$B$12,2,0)</f>
        <v>7</v>
      </c>
      <c r="L357" s="138" t="s">
        <v>6797</v>
      </c>
      <c r="M357" s="138" t="s">
        <v>0</v>
      </c>
    </row>
    <row r="358" spans="1:13" x14ac:dyDescent="0.35">
      <c r="A358" s="138" t="s">
        <v>487</v>
      </c>
      <c r="B358" s="138" t="s">
        <v>3809</v>
      </c>
      <c r="C358" s="138" t="s">
        <v>3913</v>
      </c>
      <c r="D358" s="138" t="s">
        <v>3914</v>
      </c>
      <c r="E358" s="138" t="s">
        <v>3921</v>
      </c>
      <c r="F358" s="138" t="s">
        <v>3831</v>
      </c>
      <c r="G358" s="138" t="s">
        <v>4087</v>
      </c>
      <c r="H358" s="81" t="str">
        <f t="shared" si="29"/>
        <v>TCCN-PTE-PSG-SAG-CT1-INS-ICO</v>
      </c>
      <c r="I358" s="138" t="str">
        <f>MID(H358,1,(LEN(H358)-VLOOKUP(K358,datos!$B$2:$C$12,2,0)))</f>
        <v>TCCN-PTE-PSG-SAG-CT1-INS-ICO</v>
      </c>
      <c r="J358" s="138" t="s">
        <v>6434</v>
      </c>
      <c r="K358" s="140">
        <f>VLOOKUP(LEN(SUBSTITUTE(H358,"-","")),datos!$A$1:$B$12,2,0)</f>
        <v>7</v>
      </c>
      <c r="L358" s="138" t="s">
        <v>6799</v>
      </c>
      <c r="M358" s="138" t="s">
        <v>0</v>
      </c>
    </row>
    <row r="359" spans="1:13" x14ac:dyDescent="0.35">
      <c r="A359" s="138" t="s">
        <v>487</v>
      </c>
      <c r="B359" s="138" t="s">
        <v>3809</v>
      </c>
      <c r="C359" s="138" t="s">
        <v>3913</v>
      </c>
      <c r="D359" s="138" t="s">
        <v>3914</v>
      </c>
      <c r="E359" s="138" t="s">
        <v>3921</v>
      </c>
      <c r="F359" s="138" t="s">
        <v>3831</v>
      </c>
      <c r="G359" s="138" t="s">
        <v>4342</v>
      </c>
      <c r="H359" s="81" t="str">
        <f t="shared" si="29"/>
        <v>TCCN-PTE-PSG-SAG-CT1-INS-PEM</v>
      </c>
      <c r="I359" s="138" t="str">
        <f>MID(H359,1,(LEN(H359)-VLOOKUP(K359,datos!$B$2:$C$12,2,0)))</f>
        <v>TCCN-PTE-PSG-SAG-CT1-INS-PEM</v>
      </c>
      <c r="J359" s="138" t="s">
        <v>6871</v>
      </c>
      <c r="K359" s="140">
        <f>VLOOKUP(LEN(SUBSTITUTE(H359,"-","")),datos!$A$1:$B$12,2,0)</f>
        <v>7</v>
      </c>
      <c r="L359" s="138" t="s">
        <v>6794</v>
      </c>
      <c r="M359" s="138" t="s">
        <v>0</v>
      </c>
    </row>
    <row r="360" spans="1:13" x14ac:dyDescent="0.35">
      <c r="A360" s="138" t="s">
        <v>487</v>
      </c>
      <c r="B360" s="138" t="s">
        <v>3809</v>
      </c>
      <c r="C360" s="138" t="s">
        <v>3913</v>
      </c>
      <c r="D360" s="138" t="s">
        <v>3914</v>
      </c>
      <c r="E360" s="138" t="s">
        <v>3921</v>
      </c>
      <c r="F360" s="138" t="s">
        <v>3831</v>
      </c>
      <c r="G360" s="138" t="s">
        <v>6813</v>
      </c>
      <c r="H360" s="81" t="str">
        <f t="shared" si="29"/>
        <v>TCCN-PTE-PSG-SAG-CT1-INS-IDE</v>
      </c>
      <c r="I360" s="138" t="str">
        <f>MID(H360,1,(LEN(H360)-VLOOKUP(K360,datos!$B$2:$C$12,2,0)))</f>
        <v>TCCN-PTE-PSG-SAG-CT1-INS-IDE</v>
      </c>
      <c r="J360" s="138" t="s">
        <v>6435</v>
      </c>
      <c r="K360" s="140">
        <f>VLOOKUP(LEN(SUBSTITUTE(H360,"-","")),datos!$A$1:$B$12,2,0)</f>
        <v>7</v>
      </c>
      <c r="L360" s="138" t="s">
        <v>6798</v>
      </c>
      <c r="M360" s="138" t="s">
        <v>0</v>
      </c>
    </row>
    <row r="361" spans="1:13" x14ac:dyDescent="0.35">
      <c r="A361" s="138" t="s">
        <v>487</v>
      </c>
      <c r="B361" s="138" t="s">
        <v>3809</v>
      </c>
      <c r="C361" s="138" t="s">
        <v>3913</v>
      </c>
      <c r="D361" s="138" t="s">
        <v>3914</v>
      </c>
      <c r="E361" s="138" t="s">
        <v>3921</v>
      </c>
      <c r="F361" s="138" t="s">
        <v>3831</v>
      </c>
      <c r="G361" s="138" t="s">
        <v>4088</v>
      </c>
      <c r="H361" s="81" t="str">
        <f t="shared" si="29"/>
        <v>TCCN-PTE-PSG-SAG-CT1-INS-BYB</v>
      </c>
      <c r="I361" s="138" t="str">
        <f>MID(H361,1,(LEN(H361)-VLOOKUP(K361,datos!$B$2:$C$12,2,0)))</f>
        <v>TCCN-PTE-PSG-SAG-CT1-INS-BYB</v>
      </c>
      <c r="J361" s="138" t="s">
        <v>6436</v>
      </c>
      <c r="K361" s="140">
        <f>VLOOKUP(LEN(SUBSTITUTE(H361,"-","")),datos!$A$1:$B$12,2,0)</f>
        <v>7</v>
      </c>
      <c r="L361" s="138" t="s">
        <v>6857</v>
      </c>
      <c r="M361" s="138" t="s">
        <v>0</v>
      </c>
    </row>
    <row r="362" spans="1:13" x14ac:dyDescent="0.35">
      <c r="A362" s="138" t="s">
        <v>487</v>
      </c>
      <c r="B362" s="138" t="s">
        <v>3809</v>
      </c>
      <c r="C362" s="138" t="s">
        <v>3913</v>
      </c>
      <c r="D362" s="138" t="s">
        <v>3914</v>
      </c>
      <c r="E362" s="138" t="s">
        <v>3921</v>
      </c>
      <c r="F362" s="138" t="s">
        <v>3831</v>
      </c>
      <c r="G362" s="138" t="s">
        <v>6814</v>
      </c>
      <c r="H362" s="81" t="str">
        <f t="shared" si="29"/>
        <v>TCCN-PTE-PSG-SAG-CT1-INS-SAM</v>
      </c>
      <c r="I362" s="138" t="str">
        <f>MID(H362,1,(LEN(H362)-VLOOKUP(K362,datos!$B$2:$C$12,2,0)))</f>
        <v>TCCN-PTE-PSG-SAG-CT1-INS-SAM</v>
      </c>
      <c r="J362" s="138" t="s">
        <v>6795</v>
      </c>
      <c r="K362" s="140">
        <f>VLOOKUP(LEN(SUBSTITUTE(H362,"-","")),datos!$A$1:$B$12,2,0)</f>
        <v>7</v>
      </c>
      <c r="L362" s="138" t="s">
        <v>6796</v>
      </c>
      <c r="M362" s="138" t="s">
        <v>0</v>
      </c>
    </row>
    <row r="363" spans="1:13" customFormat="1" ht="14.5" x14ac:dyDescent="0.35">
      <c r="A363" s="129" t="s">
        <v>487</v>
      </c>
      <c r="B363" s="129" t="s">
        <v>3809</v>
      </c>
      <c r="C363" s="129" t="s">
        <v>3913</v>
      </c>
      <c r="D363" s="129" t="s">
        <v>3914</v>
      </c>
      <c r="E363" s="129" t="s">
        <v>3865</v>
      </c>
      <c r="F363" s="129"/>
      <c r="G363" s="129"/>
      <c r="H363" s="83" t="str">
        <f t="shared" si="29"/>
        <v>TCCN-PTE-PSG-SAG-PES--</v>
      </c>
      <c r="I363" s="129" t="str">
        <f>MID(H363,1,(LEN(H363)-VLOOKUP(K363,datos!$B$2:$C$12,2,0)))</f>
        <v>TCCN-PTE-PSG-SAG-PES</v>
      </c>
      <c r="J363" s="129" t="s">
        <v>4485</v>
      </c>
      <c r="K363" s="130">
        <f>VLOOKUP(LEN(SUBSTITUTE(H363,"-","")),datos!$A$1:$B$12,2,0)</f>
        <v>5</v>
      </c>
      <c r="L363" s="129" t="s">
        <v>116</v>
      </c>
      <c r="M363" s="129" t="s">
        <v>0</v>
      </c>
    </row>
    <row r="364" spans="1:13" x14ac:dyDescent="0.35">
      <c r="A364" s="137" t="s">
        <v>487</v>
      </c>
      <c r="B364" s="137" t="s">
        <v>3809</v>
      </c>
      <c r="C364" s="137" t="s">
        <v>3913</v>
      </c>
      <c r="D364" s="137" t="s">
        <v>3914</v>
      </c>
      <c r="E364" s="137" t="s">
        <v>3865</v>
      </c>
      <c r="F364" s="137" t="s">
        <v>5199</v>
      </c>
      <c r="G364" s="137"/>
      <c r="H364" s="82" t="str">
        <f t="shared" si="29"/>
        <v>TCCN-PTE-PSG-SAG-PES-SPJ-</v>
      </c>
      <c r="I364" s="137" t="str">
        <f>MID(H364,1,(LEN(H364)-VLOOKUP(K364,datos!$B$2:$C$12,2,0)))</f>
        <v>TCCN-PTE-PSG-SAG-PES-SPJ</v>
      </c>
      <c r="J364" s="137" t="s">
        <v>6437</v>
      </c>
      <c r="K364" s="139">
        <f>VLOOKUP(LEN(SUBSTITUTE(H364,"-","")),datos!$A$1:$B$12,2,0)</f>
        <v>6</v>
      </c>
      <c r="L364" s="137"/>
      <c r="M364" s="137" t="s">
        <v>0</v>
      </c>
    </row>
    <row r="365" spans="1:13" x14ac:dyDescent="0.35">
      <c r="A365" s="138" t="s">
        <v>487</v>
      </c>
      <c r="B365" s="138" t="s">
        <v>3809</v>
      </c>
      <c r="C365" s="138" t="s">
        <v>3913</v>
      </c>
      <c r="D365" s="138" t="s">
        <v>3914</v>
      </c>
      <c r="E365" s="138" t="s">
        <v>3865</v>
      </c>
      <c r="F365" s="138" t="s">
        <v>5199</v>
      </c>
      <c r="G365" s="138" t="s">
        <v>6320</v>
      </c>
      <c r="H365" s="81" t="str">
        <f t="shared" si="29"/>
        <v>TCCN-PTE-PSG-SAG-PES-SPJ-UMP</v>
      </c>
      <c r="I365" s="138" t="str">
        <f>MID(H365,1,(LEN(H365)-VLOOKUP(K365,datos!$B$2:$C$12,2,0)))</f>
        <v>TCCN-PTE-PSG-SAG-PES-SPJ-UMP</v>
      </c>
      <c r="J365" s="138" t="s">
        <v>6438</v>
      </c>
      <c r="K365" s="140">
        <f>VLOOKUP(LEN(SUBSTITUTE(H365,"-","")),datos!$A$1:$B$12,2,0)</f>
        <v>7</v>
      </c>
      <c r="L365" s="138" t="s">
        <v>6802</v>
      </c>
      <c r="M365" s="138" t="s">
        <v>0</v>
      </c>
    </row>
    <row r="366" spans="1:13" x14ac:dyDescent="0.35">
      <c r="A366" s="138" t="s">
        <v>487</v>
      </c>
      <c r="B366" s="138" t="s">
        <v>3809</v>
      </c>
      <c r="C366" s="138" t="s">
        <v>3913</v>
      </c>
      <c r="D366" s="138" t="s">
        <v>3914</v>
      </c>
      <c r="E366" s="138" t="s">
        <v>3865</v>
      </c>
      <c r="F366" s="138" t="s">
        <v>5199</v>
      </c>
      <c r="G366" s="138" t="s">
        <v>3958</v>
      </c>
      <c r="H366" s="81" t="str">
        <f t="shared" si="29"/>
        <v>TCCN-PTE-PSG-SAG-PES-SPJ-CDC</v>
      </c>
      <c r="I366" s="138" t="str">
        <f>MID(H366,1,(LEN(H366)-VLOOKUP(K366,datos!$B$2:$C$12,2,0)))</f>
        <v>TCCN-PTE-PSG-SAG-PES-SPJ-CDC</v>
      </c>
      <c r="J366" s="138" t="s">
        <v>6439</v>
      </c>
      <c r="K366" s="140">
        <f>VLOOKUP(LEN(SUBSTITUTE(H366,"-","")),datos!$A$1:$B$12,2,0)</f>
        <v>7</v>
      </c>
      <c r="L366" s="138" t="s">
        <v>6801</v>
      </c>
      <c r="M366" s="138" t="s">
        <v>0</v>
      </c>
    </row>
    <row r="367" spans="1:13" x14ac:dyDescent="0.35">
      <c r="A367" s="138" t="s">
        <v>487</v>
      </c>
      <c r="B367" s="138" t="s">
        <v>3809</v>
      </c>
      <c r="C367" s="138" t="s">
        <v>3913</v>
      </c>
      <c r="D367" s="138" t="s">
        <v>3914</v>
      </c>
      <c r="E367" s="138" t="s">
        <v>3865</v>
      </c>
      <c r="F367" s="138" t="s">
        <v>5199</v>
      </c>
      <c r="G367" s="138" t="s">
        <v>5200</v>
      </c>
      <c r="H367" s="81" t="str">
        <f t="shared" si="29"/>
        <v>TCCN-PTE-PSG-SAG-PES-SPJ-CSU</v>
      </c>
      <c r="I367" s="138" t="str">
        <f>MID(H367,1,(LEN(H367)-VLOOKUP(K367,datos!$B$2:$C$12,2,0)))</f>
        <v>TCCN-PTE-PSG-SAG-PES-SPJ-CSU</v>
      </c>
      <c r="J367" s="138" t="s">
        <v>6440</v>
      </c>
      <c r="K367" s="140">
        <f>VLOOKUP(LEN(SUBSTITUTE(H367,"-","")),datos!$A$1:$B$12,2,0)</f>
        <v>7</v>
      </c>
      <c r="L367" s="138"/>
      <c r="M367" s="138" t="s">
        <v>0</v>
      </c>
    </row>
    <row r="368" spans="1:13" x14ac:dyDescent="0.35">
      <c r="A368" s="138" t="s">
        <v>487</v>
      </c>
      <c r="B368" s="138" t="s">
        <v>3809</v>
      </c>
      <c r="C368" s="138" t="s">
        <v>3913</v>
      </c>
      <c r="D368" s="138" t="s">
        <v>3914</v>
      </c>
      <c r="E368" s="138" t="s">
        <v>3865</v>
      </c>
      <c r="F368" s="138" t="s">
        <v>5199</v>
      </c>
      <c r="G368" s="138" t="s">
        <v>5198</v>
      </c>
      <c r="H368" s="81" t="str">
        <f t="shared" si="29"/>
        <v>TCCN-PTE-PSG-SAG-PES-SPJ-POL</v>
      </c>
      <c r="I368" s="138" t="str">
        <f>MID(H368,1,(LEN(H368)-VLOOKUP(K368,datos!$B$2:$C$12,2,0)))</f>
        <v>TCCN-PTE-PSG-SAG-PES-SPJ-POL</v>
      </c>
      <c r="J368" s="138" t="s">
        <v>6441</v>
      </c>
      <c r="K368" s="140">
        <f>VLOOKUP(LEN(SUBSTITUTE(H368,"-","")),datos!$A$1:$B$12,2,0)</f>
        <v>7</v>
      </c>
      <c r="L368" s="138"/>
      <c r="M368" s="138" t="s">
        <v>0</v>
      </c>
    </row>
    <row r="369" spans="1:13" x14ac:dyDescent="0.35">
      <c r="A369" s="138" t="s">
        <v>487</v>
      </c>
      <c r="B369" s="138" t="s">
        <v>3809</v>
      </c>
      <c r="C369" s="138" t="s">
        <v>3913</v>
      </c>
      <c r="D369" s="138" t="s">
        <v>3914</v>
      </c>
      <c r="E369" s="138" t="s">
        <v>3865</v>
      </c>
      <c r="F369" s="138" t="s">
        <v>5199</v>
      </c>
      <c r="G369" s="138" t="s">
        <v>5201</v>
      </c>
      <c r="H369" s="81" t="str">
        <f t="shared" si="29"/>
        <v>TCCN-PTE-PSG-SAG-PES-SPJ-PAT</v>
      </c>
      <c r="I369" s="138" t="str">
        <f>MID(H369,1,(LEN(H369)-VLOOKUP(K369,datos!$B$2:$C$12,2,0)))</f>
        <v>TCCN-PTE-PSG-SAG-PES-SPJ-PAT</v>
      </c>
      <c r="J369" s="138" t="s">
        <v>6442</v>
      </c>
      <c r="K369" s="140">
        <f>VLOOKUP(LEN(SUBSTITUTE(H369,"-","")),datos!$A$1:$B$12,2,0)</f>
        <v>7</v>
      </c>
      <c r="L369" s="138"/>
      <c r="M369" s="138" t="s">
        <v>0</v>
      </c>
    </row>
    <row r="370" spans="1:13" x14ac:dyDescent="0.35">
      <c r="A370" s="138" t="s">
        <v>487</v>
      </c>
      <c r="B370" s="138" t="s">
        <v>3809</v>
      </c>
      <c r="C370" s="138" t="s">
        <v>3913</v>
      </c>
      <c r="D370" s="138" t="s">
        <v>3914</v>
      </c>
      <c r="E370" s="138" t="s">
        <v>3865</v>
      </c>
      <c r="F370" s="138" t="s">
        <v>5199</v>
      </c>
      <c r="G370" s="138" t="s">
        <v>5202</v>
      </c>
      <c r="H370" s="81" t="str">
        <f t="shared" si="29"/>
        <v>TCCN-PTE-PSG-SAG-PES-SPJ-MVD</v>
      </c>
      <c r="I370" s="138" t="str">
        <f>MID(H370,1,(LEN(H370)-VLOOKUP(K370,datos!$B$2:$C$12,2,0)))</f>
        <v>TCCN-PTE-PSG-SAG-PES-SPJ-MVD</v>
      </c>
      <c r="J370" s="138" t="s">
        <v>8103</v>
      </c>
      <c r="K370" s="140">
        <f>VLOOKUP(LEN(SUBSTITUTE(H370,"-","")),datos!$A$1:$B$12,2,0)</f>
        <v>7</v>
      </c>
      <c r="L370" s="138" t="s">
        <v>6800</v>
      </c>
      <c r="M370" s="138" t="s">
        <v>0</v>
      </c>
    </row>
    <row r="371" spans="1:13" customFormat="1" ht="14.5" x14ac:dyDescent="0.35">
      <c r="A371" s="129" t="s">
        <v>487</v>
      </c>
      <c r="B371" s="129" t="s">
        <v>3809</v>
      </c>
      <c r="C371" s="129" t="s">
        <v>3913</v>
      </c>
      <c r="D371" s="129" t="s">
        <v>3914</v>
      </c>
      <c r="E371" s="129" t="s">
        <v>3928</v>
      </c>
      <c r="F371" s="129"/>
      <c r="G371" s="129"/>
      <c r="H371" s="83" t="str">
        <f t="shared" si="29"/>
        <v>TCCN-PTE-PSG-SAG-MSG--</v>
      </c>
      <c r="I371" s="129" t="str">
        <f>MID(H371,1,(LEN(H371)-VLOOKUP(K371,datos!$B$2:$C$12,2,0)))</f>
        <v>TCCN-PTE-PSG-SAG-MSG</v>
      </c>
      <c r="J371" s="129" t="s">
        <v>4483</v>
      </c>
      <c r="K371" s="130">
        <f>VLOOKUP(LEN(SUBSTITUTE(H371,"-","")),datos!$A$1:$B$12,2,0)</f>
        <v>5</v>
      </c>
      <c r="L371" s="129" t="s">
        <v>117</v>
      </c>
      <c r="M371" s="129" t="s">
        <v>0</v>
      </c>
    </row>
    <row r="372" spans="1:13" x14ac:dyDescent="0.35">
      <c r="A372" s="137" t="s">
        <v>487</v>
      </c>
      <c r="B372" s="137" t="s">
        <v>3809</v>
      </c>
      <c r="C372" s="137" t="s">
        <v>3913</v>
      </c>
      <c r="D372" s="137" t="s">
        <v>3914</v>
      </c>
      <c r="E372" s="137" t="s">
        <v>3928</v>
      </c>
      <c r="F372" s="137" t="s">
        <v>3847</v>
      </c>
      <c r="G372" s="137"/>
      <c r="H372" s="82" t="str">
        <f t="shared" si="29"/>
        <v>TCCN-PTE-PSG-SAG-MSG-SMO-</v>
      </c>
      <c r="I372" s="137" t="str">
        <f>MID(H372,1,(LEN(H372)-VLOOKUP(K372,datos!$B$2:$C$12,2,0)))</f>
        <v>TCCN-PTE-PSG-SAG-MSG-SMO</v>
      </c>
      <c r="J372" s="137" t="s">
        <v>4788</v>
      </c>
      <c r="K372" s="139">
        <f>VLOOKUP(LEN(SUBSTITUTE(H372,"-","")),datos!$A$1:$B$12,2,0)</f>
        <v>6</v>
      </c>
      <c r="L372" s="137"/>
      <c r="M372" s="137" t="s">
        <v>0</v>
      </c>
    </row>
    <row r="373" spans="1:13" x14ac:dyDescent="0.35">
      <c r="A373" s="138" t="s">
        <v>487</v>
      </c>
      <c r="B373" s="138" t="s">
        <v>3809</v>
      </c>
      <c r="C373" s="138" t="s">
        <v>3913</v>
      </c>
      <c r="D373" s="138" t="s">
        <v>3914</v>
      </c>
      <c r="E373" s="138" t="s">
        <v>3928</v>
      </c>
      <c r="F373" s="138" t="s">
        <v>3847</v>
      </c>
      <c r="G373" s="138" t="s">
        <v>3819</v>
      </c>
      <c r="H373" s="81" t="str">
        <f t="shared" si="29"/>
        <v>TCCN-PTE-PSG-SAG-MSG-SMO-MOE</v>
      </c>
      <c r="I373" s="138" t="str">
        <f>MID(H373,1,(LEN(H373)-VLOOKUP(K373,datos!$B$2:$C$12,2,0)))</f>
        <v>TCCN-PTE-PSG-SAG-MSG-SMO-MOE</v>
      </c>
      <c r="J373" s="138" t="s">
        <v>4789</v>
      </c>
      <c r="K373" s="140">
        <f>VLOOKUP(LEN(SUBSTITUTE(H373,"-","")),datos!$A$1:$B$12,2,0)</f>
        <v>7</v>
      </c>
      <c r="L373" s="138" t="s">
        <v>119</v>
      </c>
      <c r="M373" s="138" t="s">
        <v>0</v>
      </c>
    </row>
    <row r="374" spans="1:13" x14ac:dyDescent="0.35">
      <c r="A374" s="138" t="s">
        <v>487</v>
      </c>
      <c r="B374" s="138" t="s">
        <v>3809</v>
      </c>
      <c r="C374" s="138" t="s">
        <v>3913</v>
      </c>
      <c r="D374" s="138" t="s">
        <v>3914</v>
      </c>
      <c r="E374" s="138" t="s">
        <v>3928</v>
      </c>
      <c r="F374" s="138" t="s">
        <v>3847</v>
      </c>
      <c r="G374" s="138" t="s">
        <v>5445</v>
      </c>
      <c r="H374" s="81" t="str">
        <f t="shared" ref="H374:H376" si="31">CONCATENATE(A374,"-",B374,"-",C374,"-",D374,"-",E374,"-",F374,"-",G374)</f>
        <v>TCCN-PTE-PSG-SAG-MSG-SMO-VE1</v>
      </c>
      <c r="I374" s="138" t="str">
        <f>MID(H374,1,(LEN(H374)-VLOOKUP(K374,datos!$B$2:$C$12,2,0)))</f>
        <v>TCCN-PTE-PSG-SAG-MSG-SMO-VE1</v>
      </c>
      <c r="J374" s="138" t="s">
        <v>6443</v>
      </c>
      <c r="K374" s="140">
        <f>VLOOKUP(LEN(SUBSTITUTE(H374,"-","")),datos!$A$1:$B$12,2,0)</f>
        <v>7</v>
      </c>
      <c r="L374" s="138" t="s">
        <v>5447</v>
      </c>
      <c r="M374" s="138" t="s">
        <v>0</v>
      </c>
    </row>
    <row r="375" spans="1:13" x14ac:dyDescent="0.35">
      <c r="A375" s="138" t="s">
        <v>487</v>
      </c>
      <c r="B375" s="138" t="s">
        <v>3809</v>
      </c>
      <c r="C375" s="138" t="s">
        <v>3913</v>
      </c>
      <c r="D375" s="138" t="s">
        <v>3914</v>
      </c>
      <c r="E375" s="138" t="s">
        <v>3928</v>
      </c>
      <c r="F375" s="138" t="s">
        <v>3847</v>
      </c>
      <c r="G375" s="138" t="s">
        <v>5446</v>
      </c>
      <c r="H375" s="81" t="str">
        <f t="shared" si="31"/>
        <v>TCCN-PTE-PSG-SAG-MSG-SMO-VE2</v>
      </c>
      <c r="I375" s="138" t="str">
        <f>MID(H375,1,(LEN(H375)-VLOOKUP(K375,datos!$B$2:$C$12,2,0)))</f>
        <v>TCCN-PTE-PSG-SAG-MSG-SMO-VE2</v>
      </c>
      <c r="J375" s="138" t="s">
        <v>6444</v>
      </c>
      <c r="K375" s="140">
        <f>VLOOKUP(LEN(SUBSTITUTE(H375,"-","")),datos!$A$1:$B$12,2,0)</f>
        <v>7</v>
      </c>
      <c r="L375" s="138" t="s">
        <v>5448</v>
      </c>
      <c r="M375" s="138" t="s">
        <v>0</v>
      </c>
    </row>
    <row r="376" spans="1:13" x14ac:dyDescent="0.35">
      <c r="A376" s="138" t="s">
        <v>487</v>
      </c>
      <c r="B376" s="138" t="s">
        <v>3809</v>
      </c>
      <c r="C376" s="138" t="s">
        <v>3913</v>
      </c>
      <c r="D376" s="138" t="s">
        <v>3914</v>
      </c>
      <c r="E376" s="138" t="s">
        <v>3928</v>
      </c>
      <c r="F376" s="138" t="s">
        <v>3847</v>
      </c>
      <c r="G376" s="138" t="s">
        <v>5208</v>
      </c>
      <c r="H376" s="81" t="str">
        <f t="shared" si="31"/>
        <v>TCCN-PTE-PSG-SAG-MSG-SMO-CEC</v>
      </c>
      <c r="I376" s="138" t="str">
        <f>MID(H376,1,(LEN(H376)-VLOOKUP(K376,datos!$B$2:$C$12,2,0)))</f>
        <v>TCCN-PTE-PSG-SAG-MSG-SMO-CEC</v>
      </c>
      <c r="J376" s="138" t="s">
        <v>6445</v>
      </c>
      <c r="K376" s="140">
        <f>VLOOKUP(LEN(SUBSTITUTE(H376,"-","")),datos!$A$1:$B$12,2,0)</f>
        <v>7</v>
      </c>
      <c r="L376" s="138"/>
      <c r="M376" s="138" t="s">
        <v>0</v>
      </c>
    </row>
    <row r="377" spans="1:13" x14ac:dyDescent="0.35">
      <c r="A377" s="138" t="s">
        <v>487</v>
      </c>
      <c r="B377" s="138" t="s">
        <v>3809</v>
      </c>
      <c r="C377" s="138" t="s">
        <v>3913</v>
      </c>
      <c r="D377" s="138" t="s">
        <v>3914</v>
      </c>
      <c r="E377" s="138" t="s">
        <v>3928</v>
      </c>
      <c r="F377" s="138" t="s">
        <v>3847</v>
      </c>
      <c r="G377" s="138" t="s">
        <v>3862</v>
      </c>
      <c r="H377" s="81" t="str">
        <f t="shared" si="29"/>
        <v>TCCN-PTE-PSG-SAG-MSG-SMO-ACP</v>
      </c>
      <c r="I377" s="138" t="str">
        <f>MID(H377,1,(LEN(H377)-VLOOKUP(K377,datos!$B$2:$C$12,2,0)))</f>
        <v>TCCN-PTE-PSG-SAG-MSG-SMO-ACP</v>
      </c>
      <c r="J377" s="138" t="s">
        <v>4790</v>
      </c>
      <c r="K377" s="140">
        <f>VLOOKUP(LEN(SUBSTITUTE(H377,"-","")),datos!$A$1:$B$12,2,0)</f>
        <v>7</v>
      </c>
      <c r="L377" s="138"/>
      <c r="M377" s="138" t="s">
        <v>0</v>
      </c>
    </row>
    <row r="378" spans="1:13" x14ac:dyDescent="0.35">
      <c r="A378" s="138" t="s">
        <v>487</v>
      </c>
      <c r="B378" s="138" t="s">
        <v>3809</v>
      </c>
      <c r="C378" s="138" t="s">
        <v>3913</v>
      </c>
      <c r="D378" s="138" t="s">
        <v>3914</v>
      </c>
      <c r="E378" s="138" t="s">
        <v>3928</v>
      </c>
      <c r="F378" s="138" t="s">
        <v>3847</v>
      </c>
      <c r="G378" s="138" t="s">
        <v>3929</v>
      </c>
      <c r="H378" s="81" t="str">
        <f t="shared" si="29"/>
        <v>TCCN-PTE-PSG-SAG-MSG-SMO-COR</v>
      </c>
      <c r="I378" s="138" t="str">
        <f>MID(H378,1,(LEN(H378)-VLOOKUP(K378,datos!$B$2:$C$12,2,0)))</f>
        <v>TCCN-PTE-PSG-SAG-MSG-SMO-COR</v>
      </c>
      <c r="J378" s="138" t="s">
        <v>4791</v>
      </c>
      <c r="K378" s="140">
        <f>VLOOKUP(LEN(SUBSTITUTE(H378,"-","")),datos!$A$1:$B$12,2,0)</f>
        <v>7</v>
      </c>
      <c r="L378" s="138"/>
      <c r="M378" s="138" t="s">
        <v>0</v>
      </c>
    </row>
    <row r="379" spans="1:13" x14ac:dyDescent="0.35">
      <c r="A379" s="138" t="s">
        <v>487</v>
      </c>
      <c r="B379" s="138" t="s">
        <v>3809</v>
      </c>
      <c r="C379" s="138" t="s">
        <v>3913</v>
      </c>
      <c r="D379" s="138" t="s">
        <v>3914</v>
      </c>
      <c r="E379" s="138" t="s">
        <v>3928</v>
      </c>
      <c r="F379" s="138" t="s">
        <v>3847</v>
      </c>
      <c r="G379" s="138" t="s">
        <v>3828</v>
      </c>
      <c r="H379" s="81" t="str">
        <f t="shared" si="29"/>
        <v>TCCN-PTE-PSG-SAG-MSG-SMO-PNN</v>
      </c>
      <c r="I379" s="138" t="str">
        <f>MID(H379,1,(LEN(H379)-VLOOKUP(K379,datos!$B$2:$C$12,2,0)))</f>
        <v>TCCN-PTE-PSG-SAG-MSG-SMO-PNN</v>
      </c>
      <c r="J379" s="138" t="s">
        <v>4792</v>
      </c>
      <c r="K379" s="140">
        <f>VLOOKUP(LEN(SUBSTITUTE(H379,"-","")),datos!$A$1:$B$12,2,0)</f>
        <v>7</v>
      </c>
      <c r="L379" s="138"/>
      <c r="M379" s="138" t="s">
        <v>0</v>
      </c>
    </row>
    <row r="380" spans="1:13" x14ac:dyDescent="0.35">
      <c r="A380" s="137" t="s">
        <v>487</v>
      </c>
      <c r="B380" s="137" t="s">
        <v>3809</v>
      </c>
      <c r="C380" s="137" t="s">
        <v>3913</v>
      </c>
      <c r="D380" s="137" t="s">
        <v>3914</v>
      </c>
      <c r="E380" s="137" t="s">
        <v>3928</v>
      </c>
      <c r="F380" s="137" t="s">
        <v>3930</v>
      </c>
      <c r="G380" s="137"/>
      <c r="H380" s="82" t="str">
        <f t="shared" si="29"/>
        <v>TCCN-PTE-PSG-SAG-MSG-SFR-</v>
      </c>
      <c r="I380" s="137" t="str">
        <f>MID(H380,1,(LEN(H380)-VLOOKUP(K380,datos!$B$2:$C$12,2,0)))</f>
        <v>TCCN-PTE-PSG-SAG-MSG-SFR</v>
      </c>
      <c r="J380" s="137" t="s">
        <v>4793</v>
      </c>
      <c r="K380" s="139">
        <f>VLOOKUP(LEN(SUBSTITUTE(H380,"-","")),datos!$A$1:$B$12,2,0)</f>
        <v>6</v>
      </c>
      <c r="L380" s="137"/>
      <c r="M380" s="137" t="s">
        <v>0</v>
      </c>
    </row>
    <row r="381" spans="1:13" x14ac:dyDescent="0.35">
      <c r="A381" s="138" t="s">
        <v>487</v>
      </c>
      <c r="B381" s="138" t="s">
        <v>3809</v>
      </c>
      <c r="C381" s="138" t="s">
        <v>3913</v>
      </c>
      <c r="D381" s="138" t="s">
        <v>3914</v>
      </c>
      <c r="E381" s="138" t="s">
        <v>3928</v>
      </c>
      <c r="F381" s="138" t="s">
        <v>3930</v>
      </c>
      <c r="G381" s="138" t="s">
        <v>5444</v>
      </c>
      <c r="H381" s="81" t="str">
        <f t="shared" ref="H381" si="32">CONCATENATE(A381,"-",B381,"-",C381,"-",D381,"-",E381,"-",F381,"-",G381)</f>
        <v>TCCN-PTE-PSG-SAG-MSG-SFR-FDA</v>
      </c>
      <c r="I381" s="138" t="str">
        <f>MID(H381,1,(LEN(H381)-VLOOKUP(K381,datos!$B$2:$C$12,2,0)))</f>
        <v>TCCN-PTE-PSG-SAG-MSG-SFR-FDA</v>
      </c>
      <c r="J381" s="138" t="s">
        <v>6446</v>
      </c>
      <c r="K381" s="140">
        <f>VLOOKUP(LEN(SUBSTITUTE(H381,"-","")),datos!$A$1:$B$12,2,0)</f>
        <v>7</v>
      </c>
      <c r="L381" s="138"/>
      <c r="M381" s="138" t="s">
        <v>0</v>
      </c>
    </row>
    <row r="382" spans="1:13" x14ac:dyDescent="0.35">
      <c r="A382" s="138" t="s">
        <v>487</v>
      </c>
      <c r="B382" s="138" t="s">
        <v>3809</v>
      </c>
      <c r="C382" s="138" t="s">
        <v>3913</v>
      </c>
      <c r="D382" s="138" t="s">
        <v>3914</v>
      </c>
      <c r="E382" s="138" t="s">
        <v>3928</v>
      </c>
      <c r="F382" s="138" t="s">
        <v>3930</v>
      </c>
      <c r="G382" s="138" t="s">
        <v>3931</v>
      </c>
      <c r="H382" s="81" t="str">
        <f t="shared" si="29"/>
        <v>TCCN-PTE-PSG-SAG-MSG-SFR-MOR</v>
      </c>
      <c r="I382" s="138" t="str">
        <f>MID(H382,1,(LEN(H382)-VLOOKUP(K382,datos!$B$2:$C$12,2,0)))</f>
        <v>TCCN-PTE-PSG-SAG-MSG-SFR-MOR</v>
      </c>
      <c r="J382" s="138" t="s">
        <v>4794</v>
      </c>
      <c r="K382" s="140">
        <f>VLOOKUP(LEN(SUBSTITUTE(H382,"-","")),datos!$A$1:$B$12,2,0)</f>
        <v>7</v>
      </c>
      <c r="L382" s="138"/>
      <c r="M382" s="138" t="s">
        <v>0</v>
      </c>
    </row>
    <row r="383" spans="1:13" x14ac:dyDescent="0.35">
      <c r="A383" s="137" t="s">
        <v>487</v>
      </c>
      <c r="B383" s="137" t="s">
        <v>3809</v>
      </c>
      <c r="C383" s="137" t="s">
        <v>3913</v>
      </c>
      <c r="D383" s="137" t="s">
        <v>3914</v>
      </c>
      <c r="E383" s="137" t="s">
        <v>3928</v>
      </c>
      <c r="F383" s="137" t="s">
        <v>3836</v>
      </c>
      <c r="G383" s="137"/>
      <c r="H383" s="82" t="str">
        <f>CONCATENATE(A383,"-",B383,"-",C383,"-",D383,"-",E383,"-",F383,"-",G383)</f>
        <v>TCCN-PTE-PSG-SAG-MSG-SLU-</v>
      </c>
      <c r="I383" s="137" t="str">
        <f>MID(H383,1,(LEN(H383)-VLOOKUP(K383,datos!$B$2:$C$12,2,0)))</f>
        <v>TCCN-PTE-PSG-SAG-MSG-SLU</v>
      </c>
      <c r="J383" s="137" t="s">
        <v>5443</v>
      </c>
      <c r="K383" s="139">
        <f>VLOOKUP(LEN(SUBSTITUTE(H383,"-","")),datos!$A$1:$B$12,2,0)</f>
        <v>6</v>
      </c>
      <c r="L383" s="137" t="s">
        <v>5456</v>
      </c>
      <c r="M383" s="137" t="s">
        <v>0</v>
      </c>
    </row>
    <row r="384" spans="1:13" x14ac:dyDescent="0.35">
      <c r="A384" s="138" t="s">
        <v>487</v>
      </c>
      <c r="B384" s="138" t="s">
        <v>3809</v>
      </c>
      <c r="C384" s="138" t="s">
        <v>3913</v>
      </c>
      <c r="D384" s="138" t="s">
        <v>3914</v>
      </c>
      <c r="E384" s="138" t="s">
        <v>3928</v>
      </c>
      <c r="F384" s="138" t="s">
        <v>3836</v>
      </c>
      <c r="G384" s="138" t="s">
        <v>3953</v>
      </c>
      <c r="H384" s="81" t="str">
        <f>CONCATENATE(A384,"-",B384,"-",C384,"-",D384,"-",E384,"-",F384,"-",G384)</f>
        <v>TCCN-PTE-PSG-SAG-MSG-SLU-BB1</v>
      </c>
      <c r="I384" s="138" t="str">
        <f>MID(H384,1,(LEN(H384)-VLOOKUP(K384,datos!$B$2:$C$12,2,0)))</f>
        <v>TCCN-PTE-PSG-SAG-MSG-SLU-BB1</v>
      </c>
      <c r="J384" s="138" t="s">
        <v>6447</v>
      </c>
      <c r="K384" s="140">
        <f>VLOOKUP(LEN(SUBSTITUTE(H384,"-","")),datos!$A$1:$B$12,2,0)</f>
        <v>7</v>
      </c>
      <c r="L384" s="138" t="s">
        <v>5457</v>
      </c>
      <c r="M384" s="138" t="s">
        <v>0</v>
      </c>
    </row>
    <row r="385" spans="1:13" x14ac:dyDescent="0.35">
      <c r="A385" s="138" t="s">
        <v>487</v>
      </c>
      <c r="B385" s="138" t="s">
        <v>3809</v>
      </c>
      <c r="C385" s="138" t="s">
        <v>3913</v>
      </c>
      <c r="D385" s="138" t="s">
        <v>3914</v>
      </c>
      <c r="E385" s="138" t="s">
        <v>3928</v>
      </c>
      <c r="F385" s="138" t="s">
        <v>3836</v>
      </c>
      <c r="G385" s="138" t="s">
        <v>3839</v>
      </c>
      <c r="H385" s="81" t="str">
        <f t="shared" ref="H385:H387" si="33">CONCATENATE(A385,"-",B385,"-",C385,"-",D385,"-",E385,"-",F385,"-",G385)</f>
        <v>TCCN-PTE-PSG-SAG-MSG-SLU-MO1</v>
      </c>
      <c r="I385" s="138" t="str">
        <f>MID(H385,1,(LEN(H385)-VLOOKUP(K385,datos!$B$2:$C$12,2,0)))</f>
        <v>TCCN-PTE-PSG-SAG-MSG-SLU-MO1</v>
      </c>
      <c r="J385" s="138" t="s">
        <v>6448</v>
      </c>
      <c r="K385" s="140">
        <f>VLOOKUP(LEN(SUBSTITUTE(H385,"-","")),datos!$A$1:$B$12,2,0)</f>
        <v>7</v>
      </c>
      <c r="L385" s="138" t="s">
        <v>5458</v>
      </c>
      <c r="M385" s="138" t="s">
        <v>0</v>
      </c>
    </row>
    <row r="386" spans="1:13" x14ac:dyDescent="0.35">
      <c r="A386" s="138" t="s">
        <v>487</v>
      </c>
      <c r="B386" s="138" t="s">
        <v>3809</v>
      </c>
      <c r="C386" s="138" t="s">
        <v>3913</v>
      </c>
      <c r="D386" s="138" t="s">
        <v>3914</v>
      </c>
      <c r="E386" s="138" t="s">
        <v>3928</v>
      </c>
      <c r="F386" s="138" t="s">
        <v>3836</v>
      </c>
      <c r="G386" s="138" t="s">
        <v>3942</v>
      </c>
      <c r="H386" s="81" t="str">
        <f t="shared" si="33"/>
        <v>TCCN-PTE-PSG-SAG-MSG-SLU-BB2</v>
      </c>
      <c r="I386" s="138" t="str">
        <f>MID(H386,1,(LEN(H386)-VLOOKUP(K386,datos!$B$2:$C$12,2,0)))</f>
        <v>TCCN-PTE-PSG-SAG-MSG-SLU-BB2</v>
      </c>
      <c r="J386" s="138" t="s">
        <v>6449</v>
      </c>
      <c r="K386" s="140">
        <f>VLOOKUP(LEN(SUBSTITUTE(H386,"-","")),datos!$A$1:$B$12,2,0)</f>
        <v>7</v>
      </c>
      <c r="L386" s="138" t="s">
        <v>5459</v>
      </c>
      <c r="M386" s="138" t="s">
        <v>0</v>
      </c>
    </row>
    <row r="387" spans="1:13" x14ac:dyDescent="0.35">
      <c r="A387" s="138" t="s">
        <v>487</v>
      </c>
      <c r="B387" s="138" t="s">
        <v>3809</v>
      </c>
      <c r="C387" s="138" t="s">
        <v>3913</v>
      </c>
      <c r="D387" s="138" t="s">
        <v>3914</v>
      </c>
      <c r="E387" s="138" t="s">
        <v>3928</v>
      </c>
      <c r="F387" s="138" t="s">
        <v>3836</v>
      </c>
      <c r="G387" s="138" t="s">
        <v>3840</v>
      </c>
      <c r="H387" s="81" t="str">
        <f t="shared" si="33"/>
        <v>TCCN-PTE-PSG-SAG-MSG-SLU-MO2</v>
      </c>
      <c r="I387" s="138" t="str">
        <f>MID(H387,1,(LEN(H387)-VLOOKUP(K387,datos!$B$2:$C$12,2,0)))</f>
        <v>TCCN-PTE-PSG-SAG-MSG-SLU-MO2</v>
      </c>
      <c r="J387" s="138" t="s">
        <v>6450</v>
      </c>
      <c r="K387" s="140">
        <f>VLOOKUP(LEN(SUBSTITUTE(H387,"-","")),datos!$A$1:$B$12,2,0)</f>
        <v>7</v>
      </c>
      <c r="L387" s="138" t="s">
        <v>5460</v>
      </c>
      <c r="M387" s="138" t="s">
        <v>0</v>
      </c>
    </row>
    <row r="388" spans="1:13" x14ac:dyDescent="0.35">
      <c r="A388" s="138" t="s">
        <v>487</v>
      </c>
      <c r="B388" s="138" t="s">
        <v>3809</v>
      </c>
      <c r="C388" s="138" t="s">
        <v>3913</v>
      </c>
      <c r="D388" s="138" t="s">
        <v>3914</v>
      </c>
      <c r="E388" s="138" t="s">
        <v>3928</v>
      </c>
      <c r="F388" s="138" t="s">
        <v>3836</v>
      </c>
      <c r="G388" s="138" t="s">
        <v>5111</v>
      </c>
      <c r="H388" s="81" t="str">
        <f t="shared" ref="H388:H392" si="34">CONCATENATE(A388,"-",B388,"-",C388,"-",D388,"-",E388,"-",F388,"-",G388)</f>
        <v>TCCN-PTE-PSG-SAG-MSG-SLU-BB3</v>
      </c>
      <c r="I388" s="138" t="str">
        <f>MID(H388,1,(LEN(H388)-VLOOKUP(K388,datos!$B$2:$C$12,2,0)))</f>
        <v>TCCN-PTE-PSG-SAG-MSG-SLU-BB3</v>
      </c>
      <c r="J388" s="138" t="s">
        <v>6451</v>
      </c>
      <c r="K388" s="140">
        <f>VLOOKUP(LEN(SUBSTITUTE(H388,"-","")),datos!$A$1:$B$12,2,0)</f>
        <v>7</v>
      </c>
      <c r="L388" s="138" t="s">
        <v>5461</v>
      </c>
      <c r="M388" s="138" t="s">
        <v>0</v>
      </c>
    </row>
    <row r="389" spans="1:13" x14ac:dyDescent="0.35">
      <c r="A389" s="138" t="s">
        <v>487</v>
      </c>
      <c r="B389" s="138" t="s">
        <v>3809</v>
      </c>
      <c r="C389" s="138" t="s">
        <v>3913</v>
      </c>
      <c r="D389" s="138" t="s">
        <v>3914</v>
      </c>
      <c r="E389" s="138" t="s">
        <v>3928</v>
      </c>
      <c r="F389" s="138" t="s">
        <v>3836</v>
      </c>
      <c r="G389" s="138" t="s">
        <v>3841</v>
      </c>
      <c r="H389" s="81" t="str">
        <f t="shared" si="34"/>
        <v>TCCN-PTE-PSG-SAG-MSG-SLU-MO3</v>
      </c>
      <c r="I389" s="138" t="str">
        <f>MID(H389,1,(LEN(H389)-VLOOKUP(K389,datos!$B$2:$C$12,2,0)))</f>
        <v>TCCN-PTE-PSG-SAG-MSG-SLU-MO3</v>
      </c>
      <c r="J389" s="138" t="s">
        <v>6452</v>
      </c>
      <c r="K389" s="140">
        <f>VLOOKUP(LEN(SUBSTITUTE(H389,"-","")),datos!$A$1:$B$12,2,0)</f>
        <v>7</v>
      </c>
      <c r="L389" s="138" t="s">
        <v>5462</v>
      </c>
      <c r="M389" s="138" t="s">
        <v>0</v>
      </c>
    </row>
    <row r="390" spans="1:13" x14ac:dyDescent="0.35">
      <c r="A390" s="138" t="s">
        <v>487</v>
      </c>
      <c r="B390" s="138" t="s">
        <v>3809</v>
      </c>
      <c r="C390" s="138" t="s">
        <v>3913</v>
      </c>
      <c r="D390" s="138" t="s">
        <v>3914</v>
      </c>
      <c r="E390" s="138" t="s">
        <v>3928</v>
      </c>
      <c r="F390" s="138" t="s">
        <v>3836</v>
      </c>
      <c r="G390" s="138" t="s">
        <v>5114</v>
      </c>
      <c r="H390" s="81" t="str">
        <f t="shared" si="34"/>
        <v>TCCN-PTE-PSG-SAG-MSG-SLU-BB4</v>
      </c>
      <c r="I390" s="138" t="str">
        <f>MID(H390,1,(LEN(H390)-VLOOKUP(K390,datos!$B$2:$C$12,2,0)))</f>
        <v>TCCN-PTE-PSG-SAG-MSG-SLU-BB4</v>
      </c>
      <c r="J390" s="138" t="s">
        <v>6453</v>
      </c>
      <c r="K390" s="140">
        <f>VLOOKUP(LEN(SUBSTITUTE(H390,"-","")),datos!$A$1:$B$12,2,0)</f>
        <v>7</v>
      </c>
      <c r="L390" s="138" t="s">
        <v>5465</v>
      </c>
      <c r="M390" s="138" t="s">
        <v>0</v>
      </c>
    </row>
    <row r="391" spans="1:13" x14ac:dyDescent="0.35">
      <c r="A391" s="138" t="s">
        <v>487</v>
      </c>
      <c r="B391" s="138" t="s">
        <v>3809</v>
      </c>
      <c r="C391" s="138" t="s">
        <v>3913</v>
      </c>
      <c r="D391" s="138" t="s">
        <v>3914</v>
      </c>
      <c r="E391" s="138" t="s">
        <v>3928</v>
      </c>
      <c r="F391" s="138" t="s">
        <v>3836</v>
      </c>
      <c r="G391" s="138" t="s">
        <v>5463</v>
      </c>
      <c r="H391" s="81" t="str">
        <f t="shared" si="34"/>
        <v>TCCN-PTE-PSG-SAG-MSG-SLU-MO4</v>
      </c>
      <c r="I391" s="138" t="str">
        <f>MID(H391,1,(LEN(H391)-VLOOKUP(K391,datos!$B$2:$C$12,2,0)))</f>
        <v>TCCN-PTE-PSG-SAG-MSG-SLU-MO4</v>
      </c>
      <c r="J391" s="138" t="s">
        <v>6454</v>
      </c>
      <c r="K391" s="140">
        <f>VLOOKUP(LEN(SUBSTITUTE(H391,"-","")),datos!$A$1:$B$12,2,0)</f>
        <v>7</v>
      </c>
      <c r="L391" s="138" t="s">
        <v>5466</v>
      </c>
      <c r="M391" s="138" t="s">
        <v>0</v>
      </c>
    </row>
    <row r="392" spans="1:13" x14ac:dyDescent="0.35">
      <c r="A392" s="138" t="s">
        <v>487</v>
      </c>
      <c r="B392" s="138" t="s">
        <v>3809</v>
      </c>
      <c r="C392" s="138" t="s">
        <v>3913</v>
      </c>
      <c r="D392" s="138" t="s">
        <v>3914</v>
      </c>
      <c r="E392" s="138" t="s">
        <v>3928</v>
      </c>
      <c r="F392" s="138" t="s">
        <v>3836</v>
      </c>
      <c r="G392" s="138" t="s">
        <v>5121</v>
      </c>
      <c r="H392" s="81" t="str">
        <f t="shared" si="34"/>
        <v>TCCN-PTE-PSG-SAG-MSG-SLU-BB5</v>
      </c>
      <c r="I392" s="138" t="str">
        <f>MID(H392,1,(LEN(H392)-VLOOKUP(K392,datos!$B$2:$C$12,2,0)))</f>
        <v>TCCN-PTE-PSG-SAG-MSG-SLU-BB5</v>
      </c>
      <c r="J392" s="138" t="s">
        <v>6455</v>
      </c>
      <c r="K392" s="140">
        <f>VLOOKUP(LEN(SUBSTITUTE(H392,"-","")),datos!$A$1:$B$12,2,0)</f>
        <v>7</v>
      </c>
      <c r="L392" s="138" t="s">
        <v>5467</v>
      </c>
      <c r="M392" s="138" t="s">
        <v>0</v>
      </c>
    </row>
    <row r="393" spans="1:13" x14ac:dyDescent="0.35">
      <c r="A393" s="138" t="s">
        <v>487</v>
      </c>
      <c r="B393" s="138" t="s">
        <v>3809</v>
      </c>
      <c r="C393" s="138" t="s">
        <v>3913</v>
      </c>
      <c r="D393" s="138" t="s">
        <v>3914</v>
      </c>
      <c r="E393" s="138" t="s">
        <v>3928</v>
      </c>
      <c r="F393" s="138" t="s">
        <v>3836</v>
      </c>
      <c r="G393" s="138" t="s">
        <v>5464</v>
      </c>
      <c r="H393" s="81" t="str">
        <f t="shared" ref="H393:H397" si="35">CONCATENATE(A393,"-",B393,"-",C393,"-",D393,"-",E393,"-",F393,"-",G393)</f>
        <v>TCCN-PTE-PSG-SAG-MSG-SLU-MO5</v>
      </c>
      <c r="I393" s="138" t="str">
        <f>MID(H393,1,(LEN(H393)-VLOOKUP(K393,datos!$B$2:$C$12,2,0)))</f>
        <v>TCCN-PTE-PSG-SAG-MSG-SLU-MO5</v>
      </c>
      <c r="J393" s="138" t="s">
        <v>6456</v>
      </c>
      <c r="K393" s="140">
        <f>VLOOKUP(LEN(SUBSTITUTE(H393,"-","")),datos!$A$1:$B$12,2,0)</f>
        <v>7</v>
      </c>
      <c r="L393" s="138" t="s">
        <v>5468</v>
      </c>
      <c r="M393" s="138" t="s">
        <v>0</v>
      </c>
    </row>
    <row r="394" spans="1:13" x14ac:dyDescent="0.35">
      <c r="A394" s="138" t="s">
        <v>487</v>
      </c>
      <c r="B394" s="138" t="s">
        <v>3809</v>
      </c>
      <c r="C394" s="138" t="s">
        <v>3913</v>
      </c>
      <c r="D394" s="138" t="s">
        <v>3914</v>
      </c>
      <c r="E394" s="138" t="s">
        <v>3928</v>
      </c>
      <c r="F394" s="138" t="s">
        <v>3836</v>
      </c>
      <c r="G394" s="138" t="s">
        <v>5124</v>
      </c>
      <c r="H394" s="81" t="str">
        <f t="shared" si="35"/>
        <v>TCCN-PTE-PSG-SAG-MSG-SLU-BB6</v>
      </c>
      <c r="I394" s="138" t="str">
        <f>MID(H394,1,(LEN(H394)-VLOOKUP(K394,datos!$B$2:$C$12,2,0)))</f>
        <v>TCCN-PTE-PSG-SAG-MSG-SLU-BB6</v>
      </c>
      <c r="J394" s="138" t="s">
        <v>6457</v>
      </c>
      <c r="K394" s="140">
        <f>VLOOKUP(LEN(SUBSTITUTE(H394,"-","")),datos!$A$1:$B$12,2,0)</f>
        <v>7</v>
      </c>
      <c r="L394" s="138" t="s">
        <v>5469</v>
      </c>
      <c r="M394" s="138" t="s">
        <v>0</v>
      </c>
    </row>
    <row r="395" spans="1:13" x14ac:dyDescent="0.35">
      <c r="A395" s="138" t="s">
        <v>487</v>
      </c>
      <c r="B395" s="138" t="s">
        <v>3809</v>
      </c>
      <c r="C395" s="138" t="s">
        <v>3913</v>
      </c>
      <c r="D395" s="138" t="s">
        <v>3914</v>
      </c>
      <c r="E395" s="138" t="s">
        <v>3928</v>
      </c>
      <c r="F395" s="138" t="s">
        <v>3836</v>
      </c>
      <c r="G395" s="138" t="s">
        <v>5473</v>
      </c>
      <c r="H395" s="81" t="str">
        <f t="shared" si="35"/>
        <v>TCCN-PTE-PSG-SAG-MSG-SLU-MO6</v>
      </c>
      <c r="I395" s="138" t="str">
        <f>MID(H395,1,(LEN(H395)-VLOOKUP(K395,datos!$B$2:$C$12,2,0)))</f>
        <v>TCCN-PTE-PSG-SAG-MSG-SLU-MO6</v>
      </c>
      <c r="J395" s="138" t="s">
        <v>6460</v>
      </c>
      <c r="K395" s="140">
        <f>VLOOKUP(LEN(SUBSTITUTE(H395,"-","")),datos!$A$1:$B$12,2,0)</f>
        <v>7</v>
      </c>
      <c r="L395" s="138" t="s">
        <v>5470</v>
      </c>
      <c r="M395" s="138" t="s">
        <v>0</v>
      </c>
    </row>
    <row r="396" spans="1:13" x14ac:dyDescent="0.35">
      <c r="A396" s="138" t="s">
        <v>487</v>
      </c>
      <c r="B396" s="138" t="s">
        <v>3809</v>
      </c>
      <c r="C396" s="138" t="s">
        <v>3913</v>
      </c>
      <c r="D396" s="138" t="s">
        <v>3914</v>
      </c>
      <c r="E396" s="138" t="s">
        <v>3928</v>
      </c>
      <c r="F396" s="138" t="s">
        <v>3836</v>
      </c>
      <c r="G396" s="138" t="s">
        <v>5474</v>
      </c>
      <c r="H396" s="81" t="str">
        <f t="shared" si="35"/>
        <v>TCCN-PTE-PSG-SAG-MSG-SLU-BB7</v>
      </c>
      <c r="I396" s="138" t="str">
        <f>MID(H396,1,(LEN(H396)-VLOOKUP(K396,datos!$B$2:$C$12,2,0)))</f>
        <v>TCCN-PTE-PSG-SAG-MSG-SLU-BB7</v>
      </c>
      <c r="J396" s="138" t="s">
        <v>6458</v>
      </c>
      <c r="K396" s="140">
        <f>VLOOKUP(LEN(SUBSTITUTE(H396,"-","")),datos!$A$1:$B$12,2,0)</f>
        <v>7</v>
      </c>
      <c r="L396" s="138" t="s">
        <v>5471</v>
      </c>
      <c r="M396" s="138" t="s">
        <v>0</v>
      </c>
    </row>
    <row r="397" spans="1:13" x14ac:dyDescent="0.35">
      <c r="A397" s="138" t="s">
        <v>487</v>
      </c>
      <c r="B397" s="138" t="s">
        <v>3809</v>
      </c>
      <c r="C397" s="138" t="s">
        <v>3913</v>
      </c>
      <c r="D397" s="138" t="s">
        <v>3914</v>
      </c>
      <c r="E397" s="138" t="s">
        <v>3928</v>
      </c>
      <c r="F397" s="138" t="s">
        <v>3836</v>
      </c>
      <c r="G397" s="138" t="s">
        <v>5475</v>
      </c>
      <c r="H397" s="81" t="str">
        <f t="shared" si="35"/>
        <v>TCCN-PTE-PSG-SAG-MSG-SLU-MO7</v>
      </c>
      <c r="I397" s="138" t="str">
        <f>MID(H397,1,(LEN(H397)-VLOOKUP(K397,datos!$B$2:$C$12,2,0)))</f>
        <v>TCCN-PTE-PSG-SAG-MSG-SLU-MO7</v>
      </c>
      <c r="J397" s="138" t="s">
        <v>6459</v>
      </c>
      <c r="K397" s="140">
        <f>VLOOKUP(LEN(SUBSTITUTE(H397,"-","")),datos!$A$1:$B$12,2,0)</f>
        <v>7</v>
      </c>
      <c r="L397" s="138" t="s">
        <v>5472</v>
      </c>
      <c r="M397" s="138" t="s">
        <v>0</v>
      </c>
    </row>
    <row r="398" spans="1:13" x14ac:dyDescent="0.35">
      <c r="A398" s="138" t="s">
        <v>487</v>
      </c>
      <c r="B398" s="138" t="s">
        <v>3809</v>
      </c>
      <c r="C398" s="138" t="s">
        <v>3913</v>
      </c>
      <c r="D398" s="138" t="s">
        <v>3914</v>
      </c>
      <c r="E398" s="138" t="s">
        <v>3928</v>
      </c>
      <c r="F398" s="138" t="s">
        <v>3836</v>
      </c>
      <c r="G398" s="138" t="s">
        <v>3837</v>
      </c>
      <c r="H398" s="81" t="str">
        <f>CONCATENATE(A398,"-",B398,"-",C398,"-",D398,"-",E398,"-",F398,"-",G398)</f>
        <v>TCCN-PTE-PSG-SAG-MSG-SLU-MNF</v>
      </c>
      <c r="I398" s="138" t="str">
        <f>MID(H398,1,(LEN(H398)-VLOOKUP(K398,datos!$B$2:$C$12,2,0)))</f>
        <v>TCCN-PTE-PSG-SAG-MSG-SLU-MNF</v>
      </c>
      <c r="J398" s="138" t="s">
        <v>6461</v>
      </c>
      <c r="K398" s="140">
        <f>VLOOKUP(LEN(SUBSTITUTE(H398,"-","")),datos!$A$1:$B$12,2,0)</f>
        <v>7</v>
      </c>
      <c r="L398" s="138"/>
      <c r="M398" s="138" t="s">
        <v>0</v>
      </c>
    </row>
    <row r="399" spans="1:13" x14ac:dyDescent="0.35">
      <c r="A399" s="138" t="s">
        <v>487</v>
      </c>
      <c r="B399" s="138" t="s">
        <v>3809</v>
      </c>
      <c r="C399" s="138" t="s">
        <v>3913</v>
      </c>
      <c r="D399" s="138" t="s">
        <v>3914</v>
      </c>
      <c r="E399" s="138" t="s">
        <v>3928</v>
      </c>
      <c r="F399" s="138" t="s">
        <v>3836</v>
      </c>
      <c r="G399" s="138" t="s">
        <v>5208</v>
      </c>
      <c r="H399" s="81" t="str">
        <f>CONCATENATE(A399,"-",B399,"-",C399,"-",D399,"-",E399,"-",F399,"-",G399)</f>
        <v>TCCN-PTE-PSG-SAG-MSG-SLU-CEC</v>
      </c>
      <c r="I399" s="138" t="str">
        <f>MID(H399,1,(LEN(H399)-VLOOKUP(K399,datos!$B$2:$C$12,2,0)))</f>
        <v>TCCN-PTE-PSG-SAG-MSG-SLU-CEC</v>
      </c>
      <c r="J399" s="138" t="s">
        <v>6462</v>
      </c>
      <c r="K399" s="140">
        <f>VLOOKUP(LEN(SUBSTITUTE(H399,"-","")),datos!$A$1:$B$12,2,0)</f>
        <v>7</v>
      </c>
      <c r="L399" s="138" t="s">
        <v>5545</v>
      </c>
      <c r="M399" s="138" t="s">
        <v>0</v>
      </c>
    </row>
    <row r="400" spans="1:13" x14ac:dyDescent="0.35">
      <c r="A400" s="137" t="s">
        <v>487</v>
      </c>
      <c r="B400" s="137" t="s">
        <v>3809</v>
      </c>
      <c r="C400" s="137" t="s">
        <v>3913</v>
      </c>
      <c r="D400" s="137" t="s">
        <v>3914</v>
      </c>
      <c r="E400" s="137" t="s">
        <v>3928</v>
      </c>
      <c r="F400" s="137" t="s">
        <v>3933</v>
      </c>
      <c r="G400" s="137"/>
      <c r="H400" s="82" t="str">
        <f t="shared" si="29"/>
        <v>TCCN-PTE-PSG-SAG-MSG-SGR-</v>
      </c>
      <c r="I400" s="137" t="str">
        <f>MID(H400,1,(LEN(H400)-VLOOKUP(K400,datos!$B$2:$C$12,2,0)))</f>
        <v>TCCN-PTE-PSG-SAG-MSG-SGR</v>
      </c>
      <c r="J400" s="137" t="s">
        <v>4795</v>
      </c>
      <c r="K400" s="139">
        <f>VLOOKUP(LEN(SUBSTITUTE(H400,"-","")),datos!$A$1:$B$12,2,0)</f>
        <v>6</v>
      </c>
      <c r="L400" s="137" t="s">
        <v>5544</v>
      </c>
      <c r="M400" s="137" t="s">
        <v>0</v>
      </c>
    </row>
    <row r="401" spans="1:13" x14ac:dyDescent="0.35">
      <c r="A401" s="138" t="s">
        <v>487</v>
      </c>
      <c r="B401" s="138" t="s">
        <v>3809</v>
      </c>
      <c r="C401" s="138" t="s">
        <v>3913</v>
      </c>
      <c r="D401" s="138" t="s">
        <v>3914</v>
      </c>
      <c r="E401" s="138" t="s">
        <v>3928</v>
      </c>
      <c r="F401" s="138" t="s">
        <v>3933</v>
      </c>
      <c r="G401" s="138" t="s">
        <v>3818</v>
      </c>
      <c r="H401" s="81" t="str">
        <f t="shared" si="29"/>
        <v>TCCN-PTE-PSG-SAG-MSG-SGR-BBA</v>
      </c>
      <c r="I401" s="138" t="str">
        <f>MID(H401,1,(LEN(H401)-VLOOKUP(K401,datos!$B$2:$C$12,2,0)))</f>
        <v>TCCN-PTE-PSG-SAG-MSG-SGR-BBA</v>
      </c>
      <c r="J401" s="138" t="s">
        <v>6463</v>
      </c>
      <c r="K401" s="140">
        <f>VLOOKUP(LEN(SUBSTITUTE(H401,"-","")),datos!$A$1:$B$12,2,0)</f>
        <v>7</v>
      </c>
      <c r="L401" s="138" t="s">
        <v>5542</v>
      </c>
      <c r="M401" s="138" t="s">
        <v>0</v>
      </c>
    </row>
    <row r="402" spans="1:13" x14ac:dyDescent="0.35">
      <c r="A402" s="138" t="s">
        <v>487</v>
      </c>
      <c r="B402" s="138" t="s">
        <v>3809</v>
      </c>
      <c r="C402" s="138" t="s">
        <v>3913</v>
      </c>
      <c r="D402" s="138" t="s">
        <v>3914</v>
      </c>
      <c r="E402" s="138" t="s">
        <v>3928</v>
      </c>
      <c r="F402" s="138" t="s">
        <v>3933</v>
      </c>
      <c r="G402" s="138" t="s">
        <v>3850</v>
      </c>
      <c r="H402" s="81" t="str">
        <f t="shared" si="29"/>
        <v>TCCN-PTE-PSG-SAG-MSG-SGR-UCT</v>
      </c>
      <c r="I402" s="138" t="str">
        <f>MID(H402,1,(LEN(H402)-VLOOKUP(K402,datos!$B$2:$C$12,2,0)))</f>
        <v>TCCN-PTE-PSG-SAG-MSG-SGR-UCT</v>
      </c>
      <c r="J402" s="138" t="s">
        <v>6474</v>
      </c>
      <c r="K402" s="140">
        <f>VLOOKUP(LEN(SUBSTITUTE(H402,"-","")),datos!$A$1:$B$12,2,0)</f>
        <v>7</v>
      </c>
      <c r="L402" s="138"/>
      <c r="M402" s="138" t="s">
        <v>0</v>
      </c>
    </row>
    <row r="403" spans="1:13" x14ac:dyDescent="0.35">
      <c r="A403" s="138" t="s">
        <v>487</v>
      </c>
      <c r="B403" s="138" t="s">
        <v>3809</v>
      </c>
      <c r="C403" s="138" t="s">
        <v>3913</v>
      </c>
      <c r="D403" s="138" t="s">
        <v>3914</v>
      </c>
      <c r="E403" s="138" t="s">
        <v>3928</v>
      </c>
      <c r="F403" s="138" t="s">
        <v>3933</v>
      </c>
      <c r="G403" s="138" t="s">
        <v>5203</v>
      </c>
      <c r="H403" s="81" t="str">
        <f t="shared" si="29"/>
        <v>TCCN-PTE-PSG-SAG-MSG-SGR-BSP</v>
      </c>
      <c r="I403" s="138" t="str">
        <f>MID(H403,1,(LEN(H403)-VLOOKUP(K403,datos!$B$2:$C$12,2,0)))</f>
        <v>TCCN-PTE-PSG-SAG-MSG-SGR-BSP</v>
      </c>
      <c r="J403" s="138" t="s">
        <v>6464</v>
      </c>
      <c r="K403" s="140">
        <f>VLOOKUP(LEN(SUBSTITUTE(H403,"-","")),datos!$A$1:$B$12,2,0)</f>
        <v>7</v>
      </c>
      <c r="L403" s="138"/>
      <c r="M403" s="138" t="s">
        <v>0</v>
      </c>
    </row>
    <row r="404" spans="1:13" x14ac:dyDescent="0.35">
      <c r="A404" s="138" t="s">
        <v>487</v>
      </c>
      <c r="B404" s="138" t="s">
        <v>3809</v>
      </c>
      <c r="C404" s="138" t="s">
        <v>3913</v>
      </c>
      <c r="D404" s="138" t="s">
        <v>3914</v>
      </c>
      <c r="E404" s="138" t="s">
        <v>3928</v>
      </c>
      <c r="F404" s="138" t="s">
        <v>3933</v>
      </c>
      <c r="G404" s="138" t="s">
        <v>5204</v>
      </c>
      <c r="H404" s="81" t="str">
        <f t="shared" si="29"/>
        <v>TCCN-PTE-PSG-SAG-MSG-SGR-PCL</v>
      </c>
      <c r="I404" s="138" t="str">
        <f>MID(H404,1,(LEN(H404)-VLOOKUP(K404,datos!$B$2:$C$12,2,0)))</f>
        <v>TCCN-PTE-PSG-SAG-MSG-SGR-PCL</v>
      </c>
      <c r="J404" s="138" t="s">
        <v>6465</v>
      </c>
      <c r="K404" s="140">
        <f>VLOOKUP(LEN(SUBSTITUTE(H404,"-","")),datos!$A$1:$B$12,2,0)</f>
        <v>7</v>
      </c>
      <c r="L404" s="138"/>
      <c r="M404" s="138" t="s">
        <v>0</v>
      </c>
    </row>
    <row r="405" spans="1:13" x14ac:dyDescent="0.35">
      <c r="A405" s="138" t="s">
        <v>487</v>
      </c>
      <c r="B405" s="138" t="s">
        <v>3809</v>
      </c>
      <c r="C405" s="138" t="s">
        <v>3913</v>
      </c>
      <c r="D405" s="138" t="s">
        <v>3914</v>
      </c>
      <c r="E405" s="138" t="s">
        <v>3928</v>
      </c>
      <c r="F405" s="138" t="s">
        <v>3933</v>
      </c>
      <c r="G405" s="138" t="s">
        <v>5205</v>
      </c>
      <c r="H405" s="81" t="str">
        <f t="shared" si="29"/>
        <v>TCCN-PTE-PSG-SAG-MSG-SGR-PNE</v>
      </c>
      <c r="I405" s="138" t="str">
        <f>MID(H405,1,(LEN(H405)-VLOOKUP(K405,datos!$B$2:$C$12,2,0)))</f>
        <v>TCCN-PTE-PSG-SAG-MSG-SGR-PNE</v>
      </c>
      <c r="J405" s="138" t="s">
        <v>6466</v>
      </c>
      <c r="K405" s="140">
        <f>VLOOKUP(LEN(SUBSTITUTE(H405,"-","")),datos!$A$1:$B$12,2,0)</f>
        <v>7</v>
      </c>
      <c r="L405" s="138"/>
      <c r="M405" s="138" t="s">
        <v>0</v>
      </c>
    </row>
    <row r="406" spans="1:13" x14ac:dyDescent="0.35">
      <c r="A406" s="138" t="s">
        <v>487</v>
      </c>
      <c r="B406" s="138" t="s">
        <v>3809</v>
      </c>
      <c r="C406" s="138" t="s">
        <v>3913</v>
      </c>
      <c r="D406" s="138" t="s">
        <v>3914</v>
      </c>
      <c r="E406" s="138" t="s">
        <v>3928</v>
      </c>
      <c r="F406" s="138" t="s">
        <v>3933</v>
      </c>
      <c r="G406" s="138" t="s">
        <v>5256</v>
      </c>
      <c r="H406" s="81" t="str">
        <f t="shared" si="29"/>
        <v>TCCN-PTE-PSG-SAG-MSG-SGR-MNV</v>
      </c>
      <c r="I406" s="138" t="str">
        <f>MID(H406,1,(LEN(H406)-VLOOKUP(K406,datos!$B$2:$C$12,2,0)))</f>
        <v>TCCN-PTE-PSG-SAG-MSG-SGR-MNV</v>
      </c>
      <c r="J406" s="138" t="s">
        <v>6473</v>
      </c>
      <c r="K406" s="140">
        <f>VLOOKUP(LEN(SUBSTITUTE(H406,"-","")),datos!$A$1:$B$12,2,0)</f>
        <v>7</v>
      </c>
      <c r="L406" s="138" t="s">
        <v>5440</v>
      </c>
      <c r="M406" s="138" t="s">
        <v>0</v>
      </c>
    </row>
    <row r="407" spans="1:13" x14ac:dyDescent="0.35">
      <c r="A407" s="138" t="s">
        <v>487</v>
      </c>
      <c r="B407" s="138" t="s">
        <v>3809</v>
      </c>
      <c r="C407" s="138" t="s">
        <v>3913</v>
      </c>
      <c r="D407" s="138" t="s">
        <v>3914</v>
      </c>
      <c r="E407" s="138" t="s">
        <v>3928</v>
      </c>
      <c r="F407" s="138" t="s">
        <v>3933</v>
      </c>
      <c r="G407" s="138" t="s">
        <v>7069</v>
      </c>
      <c r="H407" s="81" t="str">
        <f t="shared" si="29"/>
        <v>TCCN-PTE-PSG-SAG-MSG-SGR-MPN</v>
      </c>
      <c r="I407" s="138" t="str">
        <f>MID(H407,1,(LEN(H407)-VLOOKUP(K407,datos!$B$2:$C$12,2,0)))</f>
        <v>TCCN-PTE-PSG-SAG-MSG-SGR-MPN</v>
      </c>
      <c r="J407" s="138" t="s">
        <v>7552</v>
      </c>
      <c r="K407" s="140">
        <f>VLOOKUP(LEN(SUBSTITUTE(H407,"-","")),datos!$A$1:$B$12,2,0)</f>
        <v>7</v>
      </c>
      <c r="L407" s="138" t="s">
        <v>5441</v>
      </c>
      <c r="M407" s="138" t="s">
        <v>0</v>
      </c>
    </row>
    <row r="408" spans="1:13" x14ac:dyDescent="0.35">
      <c r="A408" s="138" t="s">
        <v>487</v>
      </c>
      <c r="B408" s="138" t="s">
        <v>3809</v>
      </c>
      <c r="C408" s="138" t="s">
        <v>3913</v>
      </c>
      <c r="D408" s="138" t="s">
        <v>3914</v>
      </c>
      <c r="E408" s="138" t="s">
        <v>3928</v>
      </c>
      <c r="F408" s="138" t="s">
        <v>3933</v>
      </c>
      <c r="G408" s="138" t="s">
        <v>5206</v>
      </c>
      <c r="H408" s="81" t="str">
        <f t="shared" si="29"/>
        <v>TCCN-PTE-PSG-SAG-MSG-SGR-IFL</v>
      </c>
      <c r="I408" s="138" t="str">
        <f>MID(H408,1,(LEN(H408)-VLOOKUP(K408,datos!$B$2:$C$12,2,0)))</f>
        <v>TCCN-PTE-PSG-SAG-MSG-SGR-IFL</v>
      </c>
      <c r="J408" s="138" t="s">
        <v>6472</v>
      </c>
      <c r="K408" s="140">
        <f>VLOOKUP(LEN(SUBSTITUTE(H408,"-","")),datos!$A$1:$B$12,2,0)</f>
        <v>7</v>
      </c>
      <c r="L408" s="138"/>
      <c r="M408" s="138" t="s">
        <v>0</v>
      </c>
    </row>
    <row r="409" spans="1:13" x14ac:dyDescent="0.35">
      <c r="A409" s="138" t="s">
        <v>487</v>
      </c>
      <c r="B409" s="138" t="s">
        <v>3809</v>
      </c>
      <c r="C409" s="138" t="s">
        <v>3913</v>
      </c>
      <c r="D409" s="138" t="s">
        <v>3914</v>
      </c>
      <c r="E409" s="138" t="s">
        <v>3928</v>
      </c>
      <c r="F409" s="138" t="s">
        <v>3933</v>
      </c>
      <c r="G409" s="138" t="s">
        <v>5207</v>
      </c>
      <c r="H409" s="81" t="str">
        <f t="shared" si="29"/>
        <v>TCCN-PTE-PSG-SAG-MSG-SGR-SLN</v>
      </c>
      <c r="I409" s="138" t="str">
        <f>MID(H409,1,(LEN(H409)-VLOOKUP(K409,datos!$B$2:$C$12,2,0)))</f>
        <v>TCCN-PTE-PSG-SAG-MSG-SGR-SLN</v>
      </c>
      <c r="J409" s="138" t="s">
        <v>7923</v>
      </c>
      <c r="K409" s="140">
        <f>VLOOKUP(LEN(SUBSTITUTE(H409,"-","")),datos!$A$1:$B$12,2,0)</f>
        <v>7</v>
      </c>
      <c r="L409" s="138"/>
      <c r="M409" s="138" t="s">
        <v>0</v>
      </c>
    </row>
    <row r="410" spans="1:13" x14ac:dyDescent="0.35">
      <c r="A410" s="138" t="s">
        <v>487</v>
      </c>
      <c r="B410" s="138" t="s">
        <v>3809</v>
      </c>
      <c r="C410" s="138" t="s">
        <v>3913</v>
      </c>
      <c r="D410" s="138" t="s">
        <v>3914</v>
      </c>
      <c r="E410" s="138" t="s">
        <v>3928</v>
      </c>
      <c r="F410" s="138" t="s">
        <v>3933</v>
      </c>
      <c r="G410" s="138" t="s">
        <v>3868</v>
      </c>
      <c r="H410" s="81" t="str">
        <f t="shared" ref="H410" si="36">CONCATENATE(A410,"-",B410,"-",C410,"-",D410,"-",E410,"-",F410,"-",G410)</f>
        <v>TCCN-PTE-PSG-SAG-MSG-SGR-TBO</v>
      </c>
      <c r="I410" s="138" t="str">
        <f>MID(H410,1,(LEN(H410)-VLOOKUP(K410,datos!$B$2:$C$12,2,0)))</f>
        <v>TCCN-PTE-PSG-SAG-MSG-SGR-TBO</v>
      </c>
      <c r="J410" s="138" t="s">
        <v>6467</v>
      </c>
      <c r="K410" s="140">
        <f>VLOOKUP(LEN(SUBSTITUTE(H410,"-","")),datos!$A$1:$B$12,2,0)</f>
        <v>7</v>
      </c>
      <c r="L410" s="138"/>
      <c r="M410" s="138" t="s">
        <v>0</v>
      </c>
    </row>
    <row r="411" spans="1:13" x14ac:dyDescent="0.35">
      <c r="A411" s="138" t="s">
        <v>487</v>
      </c>
      <c r="B411" s="138" t="s">
        <v>3809</v>
      </c>
      <c r="C411" s="138" t="s">
        <v>3913</v>
      </c>
      <c r="D411" s="138" t="s">
        <v>3914</v>
      </c>
      <c r="E411" s="138" t="s">
        <v>3928</v>
      </c>
      <c r="F411" s="138" t="s">
        <v>3933</v>
      </c>
      <c r="G411" s="138" t="s">
        <v>5208</v>
      </c>
      <c r="H411" s="81" t="str">
        <f t="shared" si="29"/>
        <v>TCCN-PTE-PSG-SAG-MSG-SGR-CEC</v>
      </c>
      <c r="I411" s="138" t="str">
        <f>MID(H411,1,(LEN(H411)-VLOOKUP(K411,datos!$B$2:$C$12,2,0)))</f>
        <v>TCCN-PTE-PSG-SAG-MSG-SGR-CEC</v>
      </c>
      <c r="J411" s="138" t="s">
        <v>7218</v>
      </c>
      <c r="K411" s="140">
        <f>VLOOKUP(LEN(SUBSTITUTE(H411,"-","")),datos!$A$1:$B$12,2,0)</f>
        <v>7</v>
      </c>
      <c r="L411" s="138" t="s">
        <v>5442</v>
      </c>
      <c r="M411" s="138" t="s">
        <v>0</v>
      </c>
    </row>
    <row r="412" spans="1:13" x14ac:dyDescent="0.35">
      <c r="A412" s="137" t="s">
        <v>487</v>
      </c>
      <c r="B412" s="137" t="s">
        <v>3809</v>
      </c>
      <c r="C412" s="137" t="s">
        <v>3913</v>
      </c>
      <c r="D412" s="137" t="s">
        <v>3914</v>
      </c>
      <c r="E412" s="137" t="s">
        <v>3928</v>
      </c>
      <c r="F412" s="137" t="s">
        <v>3934</v>
      </c>
      <c r="G412" s="137"/>
      <c r="H412" s="82" t="str">
        <f t="shared" si="29"/>
        <v>TCCN-PTE-PSG-SAG-MSG-SLE-</v>
      </c>
      <c r="I412" s="137" t="str">
        <f>MID(H412,1,(LEN(H412)-VLOOKUP(K412,datos!$B$2:$C$12,2,0)))</f>
        <v>TCCN-PTE-PSG-SAG-MSG-SLE</v>
      </c>
      <c r="J412" s="137" t="s">
        <v>4796</v>
      </c>
      <c r="K412" s="139">
        <f>VLOOKUP(LEN(SUBSTITUTE(H412,"-","")),datos!$A$1:$B$12,2,0)</f>
        <v>6</v>
      </c>
      <c r="L412" s="137"/>
      <c r="M412" s="137" t="s">
        <v>0</v>
      </c>
    </row>
    <row r="413" spans="1:13" x14ac:dyDescent="0.35">
      <c r="A413" s="138" t="s">
        <v>487</v>
      </c>
      <c r="B413" s="138" t="s">
        <v>3809</v>
      </c>
      <c r="C413" s="138" t="s">
        <v>3913</v>
      </c>
      <c r="D413" s="138" t="s">
        <v>3914</v>
      </c>
      <c r="E413" s="138" t="s">
        <v>3928</v>
      </c>
      <c r="F413" s="138" t="s">
        <v>3934</v>
      </c>
      <c r="G413" s="138" t="s">
        <v>3830</v>
      </c>
      <c r="H413" s="81" t="str">
        <f t="shared" si="29"/>
        <v>TCCN-PTE-PSG-SAG-MSG-SLE-PLA</v>
      </c>
      <c r="I413" s="138" t="str">
        <f>MID(H413,1,(LEN(H413)-VLOOKUP(K413,datos!$B$2:$C$12,2,0)))</f>
        <v>TCCN-PTE-PSG-SAG-MSG-SLE-PLA</v>
      </c>
      <c r="J413" s="138" t="s">
        <v>4797</v>
      </c>
      <c r="K413" s="140">
        <f>VLOOKUP(LEN(SUBSTITUTE(H413,"-","")),datos!$A$1:$B$12,2,0)</f>
        <v>7</v>
      </c>
      <c r="L413" s="138"/>
      <c r="M413" s="138" t="s">
        <v>0</v>
      </c>
    </row>
    <row r="414" spans="1:13" x14ac:dyDescent="0.35">
      <c r="A414" s="138" t="s">
        <v>487</v>
      </c>
      <c r="B414" s="138" t="s">
        <v>3809</v>
      </c>
      <c r="C414" s="138" t="s">
        <v>3913</v>
      </c>
      <c r="D414" s="138" t="s">
        <v>3914</v>
      </c>
      <c r="E414" s="138" t="s">
        <v>3928</v>
      </c>
      <c r="F414" s="138" t="s">
        <v>3934</v>
      </c>
      <c r="G414" s="138" t="s">
        <v>3818</v>
      </c>
      <c r="H414" s="81" t="str">
        <f t="shared" ref="H414:H504" si="37">CONCATENATE(A414,"-",B414,"-",C414,"-",D414,"-",E414,"-",F414,"-",G414)</f>
        <v>TCCN-PTE-PSG-SAG-MSG-SLE-BBA</v>
      </c>
      <c r="I414" s="138" t="str">
        <f>MID(H414,1,(LEN(H414)-VLOOKUP(K414,datos!$B$2:$C$12,2,0)))</f>
        <v>TCCN-PTE-PSG-SAG-MSG-SLE-BBA</v>
      </c>
      <c r="J414" s="138" t="s">
        <v>4798</v>
      </c>
      <c r="K414" s="140">
        <f>VLOOKUP(LEN(SUBSTITUTE(H414,"-","")),datos!$A$1:$B$12,2,0)</f>
        <v>7</v>
      </c>
      <c r="L414" s="138"/>
      <c r="M414" s="138" t="s">
        <v>0</v>
      </c>
    </row>
    <row r="415" spans="1:13" x14ac:dyDescent="0.35">
      <c r="A415" s="138" t="s">
        <v>487</v>
      </c>
      <c r="B415" s="138" t="s">
        <v>3809</v>
      </c>
      <c r="C415" s="138" t="s">
        <v>3913</v>
      </c>
      <c r="D415" s="138" t="s">
        <v>3914</v>
      </c>
      <c r="E415" s="138" t="s">
        <v>3928</v>
      </c>
      <c r="F415" s="138" t="s">
        <v>3934</v>
      </c>
      <c r="G415" s="138" t="s">
        <v>3819</v>
      </c>
      <c r="H415" s="81" t="str">
        <f t="shared" si="37"/>
        <v>TCCN-PTE-PSG-SAG-MSG-SLE-MOE</v>
      </c>
      <c r="I415" s="138" t="str">
        <f>MID(H415,1,(LEN(H415)-VLOOKUP(K415,datos!$B$2:$C$12,2,0)))</f>
        <v>TCCN-PTE-PSG-SAG-MSG-SLE-MOE</v>
      </c>
      <c r="J415" s="138" t="s">
        <v>4799</v>
      </c>
      <c r="K415" s="140">
        <f>VLOOKUP(LEN(SUBSTITUTE(H415,"-","")),datos!$A$1:$B$12,2,0)</f>
        <v>7</v>
      </c>
      <c r="L415" s="138"/>
      <c r="M415" s="138" t="s">
        <v>0</v>
      </c>
    </row>
    <row r="416" spans="1:13" x14ac:dyDescent="0.35">
      <c r="A416" s="137" t="s">
        <v>487</v>
      </c>
      <c r="B416" s="137" t="s">
        <v>3809</v>
      </c>
      <c r="C416" s="137" t="s">
        <v>3913</v>
      </c>
      <c r="D416" s="137" t="s">
        <v>3914</v>
      </c>
      <c r="E416" s="137" t="s">
        <v>3928</v>
      </c>
      <c r="F416" s="137" t="s">
        <v>3824</v>
      </c>
      <c r="G416" s="137"/>
      <c r="H416" s="82" t="str">
        <f t="shared" si="37"/>
        <v>TCCN-PTE-PSG-SAG-MSG-SES-</v>
      </c>
      <c r="I416" s="137" t="str">
        <f>MID(H416,1,(LEN(H416)-VLOOKUP(K416,datos!$B$2:$C$12,2,0)))</f>
        <v>TCCN-PTE-PSG-SAG-MSG-SES</v>
      </c>
      <c r="J416" s="137" t="s">
        <v>4800</v>
      </c>
      <c r="K416" s="139">
        <f>VLOOKUP(LEN(SUBSTITUTE(H416,"-","")),datos!$A$1:$B$12,2,0)</f>
        <v>6</v>
      </c>
      <c r="L416" s="137"/>
      <c r="M416" s="137" t="s">
        <v>0</v>
      </c>
    </row>
    <row r="417" spans="1:13" x14ac:dyDescent="0.35">
      <c r="A417" s="138" t="s">
        <v>487</v>
      </c>
      <c r="B417" s="138" t="s">
        <v>3809</v>
      </c>
      <c r="C417" s="138" t="s">
        <v>3913</v>
      </c>
      <c r="D417" s="138" t="s">
        <v>3914</v>
      </c>
      <c r="E417" s="138" t="s">
        <v>3928</v>
      </c>
      <c r="F417" s="138" t="s">
        <v>3824</v>
      </c>
      <c r="G417" s="138" t="s">
        <v>3935</v>
      </c>
      <c r="H417" s="81" t="str">
        <f t="shared" si="37"/>
        <v>TCCN-PTE-PSG-SAG-MSG-SES-TN1</v>
      </c>
      <c r="I417" s="138" t="str">
        <f>MID(H417,1,(LEN(H417)-VLOOKUP(K417,datos!$B$2:$C$12,2,0)))</f>
        <v>TCCN-PTE-PSG-SAG-MSG-SES-TN1</v>
      </c>
      <c r="J417" s="138" t="s">
        <v>4801</v>
      </c>
      <c r="K417" s="140">
        <f>VLOOKUP(LEN(SUBSTITUTE(H417,"-","")),datos!$A$1:$B$12,2,0)</f>
        <v>7</v>
      </c>
      <c r="L417" s="138"/>
      <c r="M417" s="138" t="s">
        <v>0</v>
      </c>
    </row>
    <row r="418" spans="1:13" x14ac:dyDescent="0.35">
      <c r="A418" s="138" t="s">
        <v>487</v>
      </c>
      <c r="B418" s="138" t="s">
        <v>3809</v>
      </c>
      <c r="C418" s="138" t="s">
        <v>3913</v>
      </c>
      <c r="D418" s="138" t="s">
        <v>3914</v>
      </c>
      <c r="E418" s="138" t="s">
        <v>3928</v>
      </c>
      <c r="F418" s="138" t="s">
        <v>3824</v>
      </c>
      <c r="G418" s="138" t="s">
        <v>3936</v>
      </c>
      <c r="H418" s="81" t="str">
        <f t="shared" si="37"/>
        <v>TCCN-PTE-PSG-SAG-MSG-SES-TN2</v>
      </c>
      <c r="I418" s="138" t="str">
        <f>MID(H418,1,(LEN(H418)-VLOOKUP(K418,datos!$B$2:$C$12,2,0)))</f>
        <v>TCCN-PTE-PSG-SAG-MSG-SES-TN2</v>
      </c>
      <c r="J418" s="138" t="s">
        <v>4802</v>
      </c>
      <c r="K418" s="140">
        <f>VLOOKUP(LEN(SUBSTITUTE(H418,"-","")),datos!$A$1:$B$12,2,0)</f>
        <v>7</v>
      </c>
      <c r="L418" s="138"/>
      <c r="M418" s="138" t="s">
        <v>0</v>
      </c>
    </row>
    <row r="419" spans="1:13" x14ac:dyDescent="0.35">
      <c r="A419" s="138" t="s">
        <v>487</v>
      </c>
      <c r="B419" s="138" t="s">
        <v>3809</v>
      </c>
      <c r="C419" s="138" t="s">
        <v>3913</v>
      </c>
      <c r="D419" s="138" t="s">
        <v>3914</v>
      </c>
      <c r="E419" s="138" t="s">
        <v>3928</v>
      </c>
      <c r="F419" s="138" t="s">
        <v>3824</v>
      </c>
      <c r="G419" s="138" t="s">
        <v>3853</v>
      </c>
      <c r="H419" s="81" t="str">
        <f t="shared" si="37"/>
        <v>TCCN-PTE-PSG-SAG-MSG-SES-EST</v>
      </c>
      <c r="I419" s="138" t="str">
        <f>MID(H419,1,(LEN(H419)-VLOOKUP(K419,datos!$B$2:$C$12,2,0)))</f>
        <v>TCCN-PTE-PSG-SAG-MSG-SES-EST</v>
      </c>
      <c r="J419" s="138" t="s">
        <v>4803</v>
      </c>
      <c r="K419" s="140">
        <f>VLOOKUP(LEN(SUBSTITUTE(H419,"-","")),datos!$A$1:$B$12,2,0)</f>
        <v>7</v>
      </c>
      <c r="L419" s="138"/>
      <c r="M419" s="138" t="s">
        <v>0</v>
      </c>
    </row>
    <row r="420" spans="1:13" x14ac:dyDescent="0.35">
      <c r="A420" s="138" t="s">
        <v>487</v>
      </c>
      <c r="B420" s="138" t="s">
        <v>3809</v>
      </c>
      <c r="C420" s="138" t="s">
        <v>3913</v>
      </c>
      <c r="D420" s="138" t="s">
        <v>3914</v>
      </c>
      <c r="E420" s="138" t="s">
        <v>3928</v>
      </c>
      <c r="F420" s="138" t="s">
        <v>3824</v>
      </c>
      <c r="G420" s="138" t="s">
        <v>3937</v>
      </c>
      <c r="H420" s="81" t="str">
        <f t="shared" si="37"/>
        <v>TCCN-PTE-PSG-SAG-MSG-SES-RV1</v>
      </c>
      <c r="I420" s="138" t="str">
        <f>MID(H420,1,(LEN(H420)-VLOOKUP(K420,datos!$B$2:$C$12,2,0)))</f>
        <v>TCCN-PTE-PSG-SAG-MSG-SES-RV1</v>
      </c>
      <c r="J420" s="138" t="s">
        <v>4804</v>
      </c>
      <c r="K420" s="140">
        <f>VLOOKUP(LEN(SUBSTITUTE(H420,"-","")),datos!$A$1:$B$12,2,0)</f>
        <v>7</v>
      </c>
      <c r="L420" s="138"/>
      <c r="M420" s="138" t="s">
        <v>0</v>
      </c>
    </row>
    <row r="421" spans="1:13" x14ac:dyDescent="0.35">
      <c r="A421" s="138" t="s">
        <v>487</v>
      </c>
      <c r="B421" s="138" t="s">
        <v>3809</v>
      </c>
      <c r="C421" s="138" t="s">
        <v>3913</v>
      </c>
      <c r="D421" s="138" t="s">
        <v>3914</v>
      </c>
      <c r="E421" s="138" t="s">
        <v>3928</v>
      </c>
      <c r="F421" s="138" t="s">
        <v>3824</v>
      </c>
      <c r="G421" s="138" t="s">
        <v>3938</v>
      </c>
      <c r="H421" s="81" t="str">
        <f t="shared" si="37"/>
        <v>TCCN-PTE-PSG-SAG-MSG-SES-RV2</v>
      </c>
      <c r="I421" s="138" t="str">
        <f>MID(H421,1,(LEN(H421)-VLOOKUP(K421,datos!$B$2:$C$12,2,0)))</f>
        <v>TCCN-PTE-PSG-SAG-MSG-SES-RV2</v>
      </c>
      <c r="J421" s="138" t="s">
        <v>4805</v>
      </c>
      <c r="K421" s="140">
        <f>VLOOKUP(LEN(SUBSTITUTE(H421,"-","")),datos!$A$1:$B$12,2,0)</f>
        <v>7</v>
      </c>
      <c r="L421" s="138"/>
      <c r="M421" s="138" t="s">
        <v>0</v>
      </c>
    </row>
    <row r="422" spans="1:13" x14ac:dyDescent="0.35">
      <c r="A422" s="138" t="s">
        <v>487</v>
      </c>
      <c r="B422" s="138" t="s">
        <v>3809</v>
      </c>
      <c r="C422" s="138" t="s">
        <v>3913</v>
      </c>
      <c r="D422" s="138" t="s">
        <v>3914</v>
      </c>
      <c r="E422" s="138" t="s">
        <v>3928</v>
      </c>
      <c r="F422" s="138" t="s">
        <v>3824</v>
      </c>
      <c r="G422" s="138" t="s">
        <v>3939</v>
      </c>
      <c r="H422" s="81" t="str">
        <f t="shared" si="37"/>
        <v>TCCN-PTE-PSG-SAG-MSG-SES-RV3</v>
      </c>
      <c r="I422" s="138" t="str">
        <f>MID(H422,1,(LEN(H422)-VLOOKUP(K422,datos!$B$2:$C$12,2,0)))</f>
        <v>TCCN-PTE-PSG-SAG-MSG-SES-RV3</v>
      </c>
      <c r="J422" s="138" t="s">
        <v>4806</v>
      </c>
      <c r="K422" s="140">
        <f>VLOOKUP(LEN(SUBSTITUTE(H422,"-","")),datos!$A$1:$B$12,2,0)</f>
        <v>7</v>
      </c>
      <c r="L422" s="138"/>
      <c r="M422" s="138" t="s">
        <v>0</v>
      </c>
    </row>
    <row r="423" spans="1:13" x14ac:dyDescent="0.35">
      <c r="A423" s="138" t="s">
        <v>487</v>
      </c>
      <c r="B423" s="138" t="s">
        <v>3809</v>
      </c>
      <c r="C423" s="138" t="s">
        <v>3913</v>
      </c>
      <c r="D423" s="138" t="s">
        <v>3914</v>
      </c>
      <c r="E423" s="138" t="s">
        <v>3928</v>
      </c>
      <c r="F423" s="138" t="s">
        <v>3824</v>
      </c>
      <c r="G423" s="138" t="s">
        <v>3940</v>
      </c>
      <c r="H423" s="81" t="str">
        <f t="shared" si="37"/>
        <v>TCCN-PTE-PSG-SAG-MSG-SES-TRO</v>
      </c>
      <c r="I423" s="138" t="str">
        <f>MID(H423,1,(LEN(H423)-VLOOKUP(K423,datos!$B$2:$C$12,2,0)))</f>
        <v>TCCN-PTE-PSG-SAG-MSG-SES-TRO</v>
      </c>
      <c r="J423" s="138" t="s">
        <v>4807</v>
      </c>
      <c r="K423" s="140">
        <f>VLOOKUP(LEN(SUBSTITUTE(H423,"-","")),datos!$A$1:$B$12,2,0)</f>
        <v>7</v>
      </c>
      <c r="L423" s="138" t="s">
        <v>5543</v>
      </c>
      <c r="M423" s="138" t="s">
        <v>0</v>
      </c>
    </row>
    <row r="424" spans="1:13" x14ac:dyDescent="0.35">
      <c r="A424" s="138" t="s">
        <v>487</v>
      </c>
      <c r="B424" s="138" t="s">
        <v>3809</v>
      </c>
      <c r="C424" s="138" t="s">
        <v>3913</v>
      </c>
      <c r="D424" s="138" t="s">
        <v>3914</v>
      </c>
      <c r="E424" s="138" t="s">
        <v>3928</v>
      </c>
      <c r="F424" s="138" t="s">
        <v>3824</v>
      </c>
      <c r="G424" s="138" t="s">
        <v>3842</v>
      </c>
      <c r="H424" s="81" t="str">
        <f t="shared" si="37"/>
        <v>TCCN-PTE-PSG-SAG-MSG-SES-CH1</v>
      </c>
      <c r="I424" s="138" t="str">
        <f>MID(H424,1,(LEN(H424)-VLOOKUP(K424,datos!$B$2:$C$12,2,0)))</f>
        <v>TCCN-PTE-PSG-SAG-MSG-SES-CH1</v>
      </c>
      <c r="J424" s="138" t="s">
        <v>4808</v>
      </c>
      <c r="K424" s="140">
        <f>VLOOKUP(LEN(SUBSTITUTE(H424,"-","")),datos!$A$1:$B$12,2,0)</f>
        <v>7</v>
      </c>
      <c r="L424" s="138" t="s">
        <v>107</v>
      </c>
      <c r="M424" s="138" t="s">
        <v>0</v>
      </c>
    </row>
    <row r="425" spans="1:13" x14ac:dyDescent="0.35">
      <c r="A425" s="138" t="s">
        <v>487</v>
      </c>
      <c r="B425" s="138" t="s">
        <v>3809</v>
      </c>
      <c r="C425" s="138" t="s">
        <v>3913</v>
      </c>
      <c r="D425" s="138" t="s">
        <v>3914</v>
      </c>
      <c r="E425" s="138" t="s">
        <v>3928</v>
      </c>
      <c r="F425" s="138" t="s">
        <v>3824</v>
      </c>
      <c r="G425" s="138" t="s">
        <v>3843</v>
      </c>
      <c r="H425" s="81" t="str">
        <f t="shared" si="37"/>
        <v>TCCN-PTE-PSG-SAG-MSG-SES-CH2</v>
      </c>
      <c r="I425" s="138" t="str">
        <f>MID(H425,1,(LEN(H425)-VLOOKUP(K425,datos!$B$2:$C$12,2,0)))</f>
        <v>TCCN-PTE-PSG-SAG-MSG-SES-CH2</v>
      </c>
      <c r="J425" s="138" t="s">
        <v>4809</v>
      </c>
      <c r="K425" s="140">
        <f>VLOOKUP(LEN(SUBSTITUTE(H425,"-","")),datos!$A$1:$B$12,2,0)</f>
        <v>7</v>
      </c>
      <c r="L425" s="138" t="s">
        <v>1636</v>
      </c>
      <c r="M425" s="138" t="s">
        <v>0</v>
      </c>
    </row>
    <row r="426" spans="1:13" x14ac:dyDescent="0.35">
      <c r="A426" s="137" t="s">
        <v>487</v>
      </c>
      <c r="B426" s="137" t="s">
        <v>3809</v>
      </c>
      <c r="C426" s="137" t="s">
        <v>3913</v>
      </c>
      <c r="D426" s="137" t="s">
        <v>3914</v>
      </c>
      <c r="E426" s="137" t="s">
        <v>3928</v>
      </c>
      <c r="F426" s="137" t="s">
        <v>7168</v>
      </c>
      <c r="G426" s="137"/>
      <c r="H426" s="82" t="str">
        <f t="shared" ref="H426" si="38">CONCATENATE(A426,"-",B426,"-",C426,"-",D426,"-",E426,"-",F426,"-",G426)</f>
        <v>TCCN-PTE-PSG-SAG-MSG-SRP-</v>
      </c>
      <c r="I426" s="137" t="str">
        <f>MID(H426,1,(LEN(H426)-VLOOKUP(K426,datos!$B$2:$C$12,2,0)))</f>
        <v>TCCN-PTE-PSG-SAG-MSG-SRP</v>
      </c>
      <c r="J426" s="137" t="s">
        <v>7169</v>
      </c>
      <c r="K426" s="139">
        <f>VLOOKUP(LEN(SUBSTITUTE(H426,"-","")),datos!$A$1:$B$12,2,0)</f>
        <v>6</v>
      </c>
      <c r="L426" s="137"/>
      <c r="M426" s="137" t="s">
        <v>0</v>
      </c>
    </row>
    <row r="427" spans="1:13" x14ac:dyDescent="0.35">
      <c r="A427" s="138" t="s">
        <v>487</v>
      </c>
      <c r="B427" s="138" t="s">
        <v>3809</v>
      </c>
      <c r="C427" s="138" t="s">
        <v>3913</v>
      </c>
      <c r="D427" s="138" t="s">
        <v>3914</v>
      </c>
      <c r="E427" s="138" t="s">
        <v>3928</v>
      </c>
      <c r="F427" s="138" t="s">
        <v>7168</v>
      </c>
      <c r="G427" s="138" t="s">
        <v>5547</v>
      </c>
      <c r="H427" s="81" t="str">
        <f t="shared" ref="H427" si="39">CONCATENATE(A427,"-",B427,"-",C427,"-",D427,"-",E427,"-",F427,"-",G427)</f>
        <v>TCCN-PTE-PSG-SAG-MSG-SRP-RPR</v>
      </c>
      <c r="I427" s="138" t="str">
        <f>MID(H427,1,(LEN(H427)-VLOOKUP(K427,datos!$B$2:$C$12,2,0)))</f>
        <v>TCCN-PTE-PSG-SAG-MSG-SRP-RPR</v>
      </c>
      <c r="J427" s="138" t="s">
        <v>6468</v>
      </c>
      <c r="K427" s="140">
        <f>VLOOKUP(LEN(SUBSTITUTE(H427,"-","")),datos!$A$1:$B$12,2,0)</f>
        <v>7</v>
      </c>
      <c r="L427" s="138" t="s">
        <v>5546</v>
      </c>
      <c r="M427" s="138" t="s">
        <v>0</v>
      </c>
    </row>
    <row r="428" spans="1:13" x14ac:dyDescent="0.35">
      <c r="A428" s="138" t="s">
        <v>487</v>
      </c>
      <c r="B428" s="138" t="s">
        <v>3809</v>
      </c>
      <c r="C428" s="138" t="s">
        <v>3913</v>
      </c>
      <c r="D428" s="138" t="s">
        <v>3914</v>
      </c>
      <c r="E428" s="138" t="s">
        <v>3928</v>
      </c>
      <c r="F428" s="138" t="s">
        <v>7168</v>
      </c>
      <c r="G428" s="138" t="s">
        <v>5548</v>
      </c>
      <c r="H428" s="81" t="str">
        <f t="shared" ref="H428" si="40">CONCATENATE(A428,"-",B428,"-",C428,"-",D428,"-",E428,"-",F428,"-",G428)</f>
        <v>TCCN-PTE-PSG-SAG-MSG-SRP-RPH</v>
      </c>
      <c r="I428" s="138" t="str">
        <f>MID(H428,1,(LEN(H428)-VLOOKUP(K428,datos!$B$2:$C$12,2,0)))</f>
        <v>TCCN-PTE-PSG-SAG-MSG-SRP-RPH</v>
      </c>
      <c r="J428" s="138" t="s">
        <v>6469</v>
      </c>
      <c r="K428" s="140">
        <f>VLOOKUP(LEN(SUBSTITUTE(H428,"-","")),datos!$A$1:$B$12,2,0)</f>
        <v>7</v>
      </c>
      <c r="L428" s="138" t="s">
        <v>5549</v>
      </c>
      <c r="M428" s="138" t="s">
        <v>0</v>
      </c>
    </row>
    <row r="429" spans="1:13" x14ac:dyDescent="0.35">
      <c r="A429" s="138" t="s">
        <v>487</v>
      </c>
      <c r="B429" s="138" t="s">
        <v>3809</v>
      </c>
      <c r="C429" s="138" t="s">
        <v>3913</v>
      </c>
      <c r="D429" s="138" t="s">
        <v>3914</v>
      </c>
      <c r="E429" s="138" t="s">
        <v>3928</v>
      </c>
      <c r="F429" s="138" t="s">
        <v>7168</v>
      </c>
      <c r="G429" s="138" t="s">
        <v>5551</v>
      </c>
      <c r="H429" s="81" t="str">
        <f t="shared" ref="H429" si="41">CONCATENATE(A429,"-",B429,"-",C429,"-",D429,"-",E429,"-",F429,"-",G429)</f>
        <v>TCCN-PTE-PSG-SAG-MSG-SRP-RMO</v>
      </c>
      <c r="I429" s="138" t="str">
        <f>MID(H429,1,(LEN(H429)-VLOOKUP(K429,datos!$B$2:$C$12,2,0)))</f>
        <v>TCCN-PTE-PSG-SAG-MSG-SRP-RMO</v>
      </c>
      <c r="J429" s="138" t="s">
        <v>6471</v>
      </c>
      <c r="K429" s="140">
        <f>VLOOKUP(LEN(SUBSTITUTE(H429,"-","")),datos!$A$1:$B$12,2,0)</f>
        <v>7</v>
      </c>
      <c r="L429" s="138" t="s">
        <v>5552</v>
      </c>
      <c r="M429" s="138" t="s">
        <v>0</v>
      </c>
    </row>
    <row r="430" spans="1:13" x14ac:dyDescent="0.35">
      <c r="A430" s="137" t="s">
        <v>487</v>
      </c>
      <c r="B430" s="137" t="s">
        <v>3809</v>
      </c>
      <c r="C430" s="137" t="s">
        <v>3913</v>
      </c>
      <c r="D430" s="137" t="s">
        <v>3914</v>
      </c>
      <c r="E430" s="137" t="s">
        <v>3928</v>
      </c>
      <c r="F430" s="137" t="s">
        <v>5550</v>
      </c>
      <c r="G430" s="137"/>
      <c r="H430" s="82" t="str">
        <f t="shared" si="37"/>
        <v>TCCN-PTE-PSG-SAG-MSG-SH1-</v>
      </c>
      <c r="I430" s="137" t="str">
        <f>MID(H430,1,(LEN(H430)-VLOOKUP(K430,datos!$B$2:$C$12,2,0)))</f>
        <v>TCCN-PTE-PSG-SAG-MSG-SH1</v>
      </c>
      <c r="J430" s="137" t="s">
        <v>6470</v>
      </c>
      <c r="K430" s="139">
        <f>VLOOKUP(LEN(SUBSTITUTE(H430,"-","")),datos!$A$1:$B$12,2,0)</f>
        <v>6</v>
      </c>
      <c r="L430" s="137" t="s">
        <v>1641</v>
      </c>
      <c r="M430" s="137" t="s">
        <v>0</v>
      </c>
    </row>
    <row r="431" spans="1:13" x14ac:dyDescent="0.35">
      <c r="A431" s="138" t="s">
        <v>487</v>
      </c>
      <c r="B431" s="138" t="s">
        <v>3809</v>
      </c>
      <c r="C431" s="138" t="s">
        <v>3913</v>
      </c>
      <c r="D431" s="138" t="s">
        <v>3914</v>
      </c>
      <c r="E431" s="138" t="s">
        <v>3928</v>
      </c>
      <c r="F431" s="138" t="s">
        <v>5550</v>
      </c>
      <c r="G431" s="138" t="s">
        <v>3819</v>
      </c>
      <c r="H431" s="81" t="str">
        <f t="shared" si="37"/>
        <v>TCCN-PTE-PSG-SAG-MSG-SH1-MOE</v>
      </c>
      <c r="I431" s="138" t="str">
        <f>MID(H431,1,(LEN(H431)-VLOOKUP(K431,datos!$B$2:$C$12,2,0)))</f>
        <v>TCCN-PTE-PSG-SAG-MSG-SH1-MOE</v>
      </c>
      <c r="J431" s="138" t="s">
        <v>4810</v>
      </c>
      <c r="K431" s="140">
        <f>VLOOKUP(LEN(SUBSTITUTE(H431,"-","")),datos!$A$1:$B$12,2,0)</f>
        <v>7</v>
      </c>
      <c r="L431" s="138" t="s">
        <v>5455</v>
      </c>
      <c r="M431" s="138" t="s">
        <v>0</v>
      </c>
    </row>
    <row r="432" spans="1:13" x14ac:dyDescent="0.35">
      <c r="A432" s="138" t="s">
        <v>487</v>
      </c>
      <c r="B432" s="138" t="s">
        <v>3809</v>
      </c>
      <c r="C432" s="138" t="s">
        <v>3913</v>
      </c>
      <c r="D432" s="138" t="s">
        <v>3914</v>
      </c>
      <c r="E432" s="138" t="s">
        <v>3928</v>
      </c>
      <c r="F432" s="138" t="s">
        <v>5550</v>
      </c>
      <c r="G432" s="138" t="s">
        <v>3818</v>
      </c>
      <c r="H432" s="81" t="str">
        <f t="shared" si="37"/>
        <v>TCCN-PTE-PSG-SAG-MSG-SH1-BBA</v>
      </c>
      <c r="I432" s="138" t="str">
        <f>MID(H432,1,(LEN(H432)-VLOOKUP(K432,datos!$B$2:$C$12,2,0)))</f>
        <v>TCCN-PTE-PSG-SAG-MSG-SH1-BBA</v>
      </c>
      <c r="J432" s="138" t="s">
        <v>4811</v>
      </c>
      <c r="K432" s="140">
        <f>VLOOKUP(LEN(SUBSTITUTE(H432,"-","")),datos!$A$1:$B$12,2,0)</f>
        <v>7</v>
      </c>
      <c r="L432" s="138" t="s">
        <v>5454</v>
      </c>
      <c r="M432" s="138" t="s">
        <v>0</v>
      </c>
    </row>
    <row r="433" spans="1:13" x14ac:dyDescent="0.35">
      <c r="A433" s="138" t="s">
        <v>487</v>
      </c>
      <c r="B433" s="138" t="s">
        <v>3809</v>
      </c>
      <c r="C433" s="138" t="s">
        <v>3913</v>
      </c>
      <c r="D433" s="138" t="s">
        <v>3914</v>
      </c>
      <c r="E433" s="138" t="s">
        <v>3928</v>
      </c>
      <c r="F433" s="138" t="s">
        <v>5550</v>
      </c>
      <c r="G433" s="138" t="s">
        <v>5451</v>
      </c>
      <c r="H433" s="81" t="str">
        <f t="shared" ref="H433" si="42">CONCATENATE(A433,"-",B433,"-",C433,"-",D433,"-",E433,"-",F433,"-",G433)</f>
        <v>TCCN-PTE-PSG-SAG-MSG-SH1-BBM</v>
      </c>
      <c r="I433" s="138" t="str">
        <f>MID(H433,1,(LEN(H433)-VLOOKUP(K433,datos!$B$2:$C$12,2,0)))</f>
        <v>TCCN-PTE-PSG-SAG-MSG-SH1-BBM</v>
      </c>
      <c r="J433" s="138" t="s">
        <v>5452</v>
      </c>
      <c r="K433" s="140">
        <f>VLOOKUP(LEN(SUBSTITUTE(H433,"-","")),datos!$A$1:$B$12,2,0)</f>
        <v>7</v>
      </c>
      <c r="L433" s="138" t="s">
        <v>5453</v>
      </c>
      <c r="M433" s="138" t="s">
        <v>0</v>
      </c>
    </row>
    <row r="434" spans="1:13" x14ac:dyDescent="0.35">
      <c r="A434" s="138" t="s">
        <v>487</v>
      </c>
      <c r="B434" s="138" t="s">
        <v>3809</v>
      </c>
      <c r="C434" s="138" t="s">
        <v>3913</v>
      </c>
      <c r="D434" s="138" t="s">
        <v>3914</v>
      </c>
      <c r="E434" s="138" t="s">
        <v>3928</v>
      </c>
      <c r="F434" s="138" t="s">
        <v>5550</v>
      </c>
      <c r="G434" s="138" t="s">
        <v>4095</v>
      </c>
      <c r="H434" s="81" t="str">
        <f t="shared" si="37"/>
        <v>TCCN-PTE-PSG-SAG-MSG-SH1-ACU</v>
      </c>
      <c r="I434" s="138" t="str">
        <f>MID(H434,1,(LEN(H434)-VLOOKUP(K434,datos!$B$2:$C$12,2,0)))</f>
        <v>TCCN-PTE-PSG-SAG-MSG-SH1-ACU</v>
      </c>
      <c r="J434" s="138" t="s">
        <v>4813</v>
      </c>
      <c r="K434" s="140">
        <f>VLOOKUP(LEN(SUBSTITUTE(H434,"-","")),datos!$A$1:$B$12,2,0)</f>
        <v>7</v>
      </c>
      <c r="L434" s="138"/>
      <c r="M434" s="138" t="s">
        <v>0</v>
      </c>
    </row>
    <row r="435" spans="1:13" x14ac:dyDescent="0.35">
      <c r="A435" s="138" t="s">
        <v>487</v>
      </c>
      <c r="B435" s="138" t="s">
        <v>3809</v>
      </c>
      <c r="C435" s="138" t="s">
        <v>3913</v>
      </c>
      <c r="D435" s="138" t="s">
        <v>3914</v>
      </c>
      <c r="E435" s="138" t="s">
        <v>3928</v>
      </c>
      <c r="F435" s="138" t="s">
        <v>5550</v>
      </c>
      <c r="G435" s="138" t="s">
        <v>3853</v>
      </c>
      <c r="H435" s="81" t="str">
        <f t="shared" si="37"/>
        <v>TCCN-PTE-PSG-SAG-MSG-SH1-EST</v>
      </c>
      <c r="I435" s="138" t="str">
        <f>MID(H435,1,(LEN(H435)-VLOOKUP(K435,datos!$B$2:$C$12,2,0)))</f>
        <v>TCCN-PTE-PSG-SAG-MSG-SH1-EST</v>
      </c>
      <c r="J435" s="138" t="s">
        <v>4812</v>
      </c>
      <c r="K435" s="140">
        <f>VLOOKUP(LEN(SUBSTITUTE(H435,"-","")),datos!$A$1:$B$12,2,0)</f>
        <v>7</v>
      </c>
      <c r="L435" s="138"/>
      <c r="M435" s="138" t="s">
        <v>0</v>
      </c>
    </row>
    <row r="436" spans="1:13" x14ac:dyDescent="0.35">
      <c r="A436" s="138" t="s">
        <v>487</v>
      </c>
      <c r="B436" s="138" t="s">
        <v>3809</v>
      </c>
      <c r="C436" s="138" t="s">
        <v>3913</v>
      </c>
      <c r="D436" s="138" t="s">
        <v>3914</v>
      </c>
      <c r="E436" s="138" t="s">
        <v>3928</v>
      </c>
      <c r="F436" s="138" t="s">
        <v>5550</v>
      </c>
      <c r="G436" s="138" t="s">
        <v>3820</v>
      </c>
      <c r="H436" s="81" t="str">
        <f t="shared" ref="H436" si="43">CONCATENATE(A436,"-",B436,"-",C436,"-",D436,"-",E436,"-",F436,"-",G436)</f>
        <v>TCCN-PTE-PSG-SAG-MSG-SH1-CUH</v>
      </c>
      <c r="I436" s="138" t="str">
        <f>MID(H436,1,(LEN(H436)-VLOOKUP(K436,datos!$B$2:$C$12,2,0)))</f>
        <v>TCCN-PTE-PSG-SAG-MSG-SH1-CUH</v>
      </c>
      <c r="J436" s="138" t="s">
        <v>5449</v>
      </c>
      <c r="K436" s="140">
        <f>VLOOKUP(LEN(SUBSTITUTE(H436,"-","")),datos!$A$1:$B$12,2,0)</f>
        <v>7</v>
      </c>
      <c r="L436" s="138" t="s">
        <v>5450</v>
      </c>
      <c r="M436" s="138" t="s">
        <v>0</v>
      </c>
    </row>
    <row r="437" spans="1:13" x14ac:dyDescent="0.35">
      <c r="A437" s="137" t="s">
        <v>487</v>
      </c>
      <c r="B437" s="137" t="s">
        <v>3809</v>
      </c>
      <c r="C437" s="137" t="s">
        <v>3913</v>
      </c>
      <c r="D437" s="137" t="s">
        <v>3914</v>
      </c>
      <c r="E437" s="137" t="s">
        <v>3928</v>
      </c>
      <c r="F437" s="137" t="s">
        <v>3831</v>
      </c>
      <c r="G437" s="137"/>
      <c r="H437" s="82" t="str">
        <f t="shared" si="37"/>
        <v>TCCN-PTE-PSG-SAG-MSG-INS-</v>
      </c>
      <c r="I437" s="137" t="str">
        <f>MID(H437,1,(LEN(H437)-VLOOKUP(K437,datos!$B$2:$C$12,2,0)))</f>
        <v>TCCN-PTE-PSG-SAG-MSG-INS</v>
      </c>
      <c r="J437" s="137" t="s">
        <v>6915</v>
      </c>
      <c r="K437" s="139">
        <f>VLOOKUP(LEN(SUBSTITUTE(H437,"-","")),datos!$A$1:$B$12,2,0)</f>
        <v>6</v>
      </c>
      <c r="L437" s="137"/>
      <c r="M437" s="137" t="s">
        <v>0</v>
      </c>
    </row>
    <row r="438" spans="1:13" x14ac:dyDescent="0.35">
      <c r="A438" s="138" t="s">
        <v>487</v>
      </c>
      <c r="B438" s="138" t="s">
        <v>3809</v>
      </c>
      <c r="C438" s="138" t="s">
        <v>3913</v>
      </c>
      <c r="D438" s="138" t="s">
        <v>3914</v>
      </c>
      <c r="E438" s="138" t="s">
        <v>3928</v>
      </c>
      <c r="F438" s="138" t="s">
        <v>3831</v>
      </c>
      <c r="G438" s="138" t="s">
        <v>7058</v>
      </c>
      <c r="H438" s="81" t="str">
        <f t="shared" ref="H438:H448" si="44">CONCATENATE(A438,"-",B438,"-",C438,"-",D438,"-",E438,"-",F438,"-",G438)</f>
        <v>TCCN-PTE-PSG-SAG-MSG-INS-MT1</v>
      </c>
      <c r="I438" s="138" t="str">
        <f>MID(H438,1,(LEN(H438)-VLOOKUP(K438,datos!$B$2:$C$12,2,0)))</f>
        <v>TCCN-PTE-PSG-SAG-MSG-INS-MT1</v>
      </c>
      <c r="J438" s="138" t="s">
        <v>8080</v>
      </c>
      <c r="K438" s="140">
        <f>VLOOKUP(LEN(SUBSTITUTE(H438,"-","")),datos!$A$1:$B$12,2,0)</f>
        <v>7</v>
      </c>
      <c r="L438" s="138" t="s">
        <v>7034</v>
      </c>
      <c r="M438" s="138" t="s">
        <v>0</v>
      </c>
    </row>
    <row r="439" spans="1:13" x14ac:dyDescent="0.35">
      <c r="A439" s="138" t="s">
        <v>487</v>
      </c>
      <c r="B439" s="138" t="s">
        <v>3809</v>
      </c>
      <c r="C439" s="138" t="s">
        <v>3913</v>
      </c>
      <c r="D439" s="138" t="s">
        <v>3914</v>
      </c>
      <c r="E439" s="138" t="s">
        <v>3928</v>
      </c>
      <c r="F439" s="138" t="s">
        <v>3831</v>
      </c>
      <c r="G439" s="138" t="s">
        <v>4043</v>
      </c>
      <c r="H439" s="81" t="str">
        <f t="shared" si="44"/>
        <v>TCCN-PTE-PSG-SAG-MSG-INS-SPO</v>
      </c>
      <c r="I439" s="138" t="str">
        <f>MID(H439,1,(LEN(H439)-VLOOKUP(K439,datos!$B$2:$C$12,2,0)))</f>
        <v>TCCN-PTE-PSG-SAG-MSG-INS-SPO</v>
      </c>
      <c r="J439" s="138" t="s">
        <v>7882</v>
      </c>
      <c r="K439" s="140">
        <f>VLOOKUP(LEN(SUBSTITUTE(H439,"-","")),datos!$A$1:$B$12,2,0)</f>
        <v>7</v>
      </c>
      <c r="L439" s="138" t="s">
        <v>6916</v>
      </c>
      <c r="M439" s="138" t="s">
        <v>0</v>
      </c>
    </row>
    <row r="440" spans="1:13" x14ac:dyDescent="0.35">
      <c r="A440" s="138" t="s">
        <v>487</v>
      </c>
      <c r="B440" s="138" t="s">
        <v>3809</v>
      </c>
      <c r="C440" s="138" t="s">
        <v>3913</v>
      </c>
      <c r="D440" s="138" t="s">
        <v>3914</v>
      </c>
      <c r="E440" s="138" t="s">
        <v>3928</v>
      </c>
      <c r="F440" s="138" t="s">
        <v>3831</v>
      </c>
      <c r="G440" s="138" t="s">
        <v>7059</v>
      </c>
      <c r="H440" s="81" t="str">
        <f t="shared" si="44"/>
        <v>TCCN-PTE-PSG-SAG-MSG-INS-MT2</v>
      </c>
      <c r="I440" s="138" t="str">
        <f>MID(H440,1,(LEN(H440)-VLOOKUP(K440,datos!$B$2:$C$12,2,0)))</f>
        <v>TCCN-PTE-PSG-SAG-MSG-INS-MT2</v>
      </c>
      <c r="J440" s="138" t="s">
        <v>8081</v>
      </c>
      <c r="K440" s="140">
        <f>VLOOKUP(LEN(SUBSTITUTE(H440,"-","")),datos!$A$1:$B$12,2,0)</f>
        <v>7</v>
      </c>
      <c r="L440" s="138" t="s">
        <v>6917</v>
      </c>
      <c r="M440" s="138" t="s">
        <v>0</v>
      </c>
    </row>
    <row r="441" spans="1:13" x14ac:dyDescent="0.35">
      <c r="A441" s="138" t="s">
        <v>487</v>
      </c>
      <c r="B441" s="138" t="s">
        <v>3809</v>
      </c>
      <c r="C441" s="138" t="s">
        <v>3913</v>
      </c>
      <c r="D441" s="138" t="s">
        <v>3914</v>
      </c>
      <c r="E441" s="138" t="s">
        <v>3928</v>
      </c>
      <c r="F441" s="138" t="s">
        <v>3831</v>
      </c>
      <c r="G441" s="138" t="s">
        <v>6929</v>
      </c>
      <c r="H441" s="81" t="str">
        <f t="shared" si="44"/>
        <v>TCCN-PTE-PSG-SAG-MSG-INS-VB1</v>
      </c>
      <c r="I441" s="138" t="str">
        <f>MID(H441,1,(LEN(H441)-VLOOKUP(K441,datos!$B$2:$C$12,2,0)))</f>
        <v>TCCN-PTE-PSG-SAG-MSG-INS-VB1</v>
      </c>
      <c r="J441" s="138" t="s">
        <v>7623</v>
      </c>
      <c r="K441" s="140">
        <f>VLOOKUP(LEN(SUBSTITUTE(H441,"-","")),datos!$A$1:$B$12,2,0)</f>
        <v>7</v>
      </c>
      <c r="L441" s="138" t="s">
        <v>6918</v>
      </c>
      <c r="M441" s="138" t="s">
        <v>0</v>
      </c>
    </row>
    <row r="442" spans="1:13" x14ac:dyDescent="0.35">
      <c r="A442" s="138" t="s">
        <v>487</v>
      </c>
      <c r="B442" s="138" t="s">
        <v>3809</v>
      </c>
      <c r="C442" s="138" t="s">
        <v>3913</v>
      </c>
      <c r="D442" s="138" t="s">
        <v>3914</v>
      </c>
      <c r="E442" s="138" t="s">
        <v>3928</v>
      </c>
      <c r="F442" s="138" t="s">
        <v>3831</v>
      </c>
      <c r="G442" s="138" t="s">
        <v>7061</v>
      </c>
      <c r="H442" s="81" t="str">
        <f t="shared" si="44"/>
        <v>TCCN-PTE-PSG-SAG-MSG-INS-MT3</v>
      </c>
      <c r="I442" s="138" t="str">
        <f>MID(H442,1,(LEN(H442)-VLOOKUP(K442,datos!$B$2:$C$12,2,0)))</f>
        <v>TCCN-PTE-PSG-SAG-MSG-INS-MT3</v>
      </c>
      <c r="J442" s="138" t="s">
        <v>8082</v>
      </c>
      <c r="K442" s="140">
        <f>VLOOKUP(LEN(SUBSTITUTE(H442,"-","")),datos!$A$1:$B$12,2,0)</f>
        <v>7</v>
      </c>
      <c r="L442" s="138" t="s">
        <v>6919</v>
      </c>
      <c r="M442" s="138" t="s">
        <v>0</v>
      </c>
    </row>
    <row r="443" spans="1:13" x14ac:dyDescent="0.35">
      <c r="A443" s="138" t="s">
        <v>487</v>
      </c>
      <c r="B443" s="138" t="s">
        <v>3809</v>
      </c>
      <c r="C443" s="138" t="s">
        <v>3913</v>
      </c>
      <c r="D443" s="138" t="s">
        <v>3914</v>
      </c>
      <c r="E443" s="138" t="s">
        <v>3928</v>
      </c>
      <c r="F443" s="138" t="s">
        <v>3831</v>
      </c>
      <c r="G443" s="138" t="s">
        <v>6930</v>
      </c>
      <c r="H443" s="81" t="str">
        <f t="shared" si="44"/>
        <v>TCCN-PTE-PSG-SAG-MSG-INS-VB2</v>
      </c>
      <c r="I443" s="138" t="str">
        <f>MID(H443,1,(LEN(H443)-VLOOKUP(K443,datos!$B$2:$C$12,2,0)))</f>
        <v>TCCN-PTE-PSG-SAG-MSG-INS-VB2</v>
      </c>
      <c r="J443" s="138" t="s">
        <v>7624</v>
      </c>
      <c r="K443" s="140">
        <f>VLOOKUP(LEN(SUBSTITUTE(H443,"-","")),datos!$A$1:$B$12,2,0)</f>
        <v>7</v>
      </c>
      <c r="L443" s="138" t="s">
        <v>6920</v>
      </c>
      <c r="M443" s="138" t="s">
        <v>0</v>
      </c>
    </row>
    <row r="444" spans="1:13" x14ac:dyDescent="0.35">
      <c r="A444" s="138" t="s">
        <v>487</v>
      </c>
      <c r="B444" s="138" t="s">
        <v>3809</v>
      </c>
      <c r="C444" s="138" t="s">
        <v>3913</v>
      </c>
      <c r="D444" s="138" t="s">
        <v>3914</v>
      </c>
      <c r="E444" s="138" t="s">
        <v>3928</v>
      </c>
      <c r="F444" s="138" t="s">
        <v>3831</v>
      </c>
      <c r="G444" s="138" t="s">
        <v>7062</v>
      </c>
      <c r="H444" s="81" t="str">
        <f t="shared" si="44"/>
        <v>TCCN-PTE-PSG-SAG-MSG-INS-MT4</v>
      </c>
      <c r="I444" s="138" t="str">
        <f>MID(H444,1,(LEN(H444)-VLOOKUP(K444,datos!$B$2:$C$12,2,0)))</f>
        <v>TCCN-PTE-PSG-SAG-MSG-INS-MT4</v>
      </c>
      <c r="J444" s="138" t="s">
        <v>8083</v>
      </c>
      <c r="K444" s="140">
        <f>VLOOKUP(LEN(SUBSTITUTE(H444,"-","")),datos!$A$1:$B$12,2,0)</f>
        <v>7</v>
      </c>
      <c r="L444" s="138" t="s">
        <v>6921</v>
      </c>
      <c r="M444" s="138" t="s">
        <v>0</v>
      </c>
    </row>
    <row r="445" spans="1:13" x14ac:dyDescent="0.35">
      <c r="A445" s="138" t="s">
        <v>487</v>
      </c>
      <c r="B445" s="138" t="s">
        <v>3809</v>
      </c>
      <c r="C445" s="138" t="s">
        <v>3913</v>
      </c>
      <c r="D445" s="138" t="s">
        <v>3914</v>
      </c>
      <c r="E445" s="138" t="s">
        <v>3928</v>
      </c>
      <c r="F445" s="138" t="s">
        <v>3831</v>
      </c>
      <c r="G445" s="138" t="s">
        <v>6931</v>
      </c>
      <c r="H445" s="81" t="str">
        <f t="shared" si="44"/>
        <v>TCCN-PTE-PSG-SAG-MSG-INS-VB3</v>
      </c>
      <c r="I445" s="138" t="str">
        <f>MID(H445,1,(LEN(H445)-VLOOKUP(K445,datos!$B$2:$C$12,2,0)))</f>
        <v>TCCN-PTE-PSG-SAG-MSG-INS-VB3</v>
      </c>
      <c r="J445" s="138" t="s">
        <v>7625</v>
      </c>
      <c r="K445" s="140">
        <f>VLOOKUP(LEN(SUBSTITUTE(H445,"-","")),datos!$A$1:$B$12,2,0)</f>
        <v>7</v>
      </c>
      <c r="L445" s="138" t="s">
        <v>6922</v>
      </c>
      <c r="M445" s="138" t="s">
        <v>0</v>
      </c>
    </row>
    <row r="446" spans="1:13" x14ac:dyDescent="0.35">
      <c r="A446" s="138" t="s">
        <v>487</v>
      </c>
      <c r="B446" s="138" t="s">
        <v>3809</v>
      </c>
      <c r="C446" s="138" t="s">
        <v>3913</v>
      </c>
      <c r="D446" s="138" t="s">
        <v>3914</v>
      </c>
      <c r="E446" s="138" t="s">
        <v>3928</v>
      </c>
      <c r="F446" s="138" t="s">
        <v>3831</v>
      </c>
      <c r="G446" s="138" t="s">
        <v>7063</v>
      </c>
      <c r="H446" s="81" t="str">
        <f t="shared" si="44"/>
        <v>TCCN-PTE-PSG-SAG-MSG-INS-MT5</v>
      </c>
      <c r="I446" s="138" t="str">
        <f>MID(H446,1,(LEN(H446)-VLOOKUP(K446,datos!$B$2:$C$12,2,0)))</f>
        <v>TCCN-PTE-PSG-SAG-MSG-INS-MT5</v>
      </c>
      <c r="J446" s="138" t="s">
        <v>8084</v>
      </c>
      <c r="K446" s="140">
        <f>VLOOKUP(LEN(SUBSTITUTE(H446,"-","")),datos!$A$1:$B$12,2,0)</f>
        <v>7</v>
      </c>
      <c r="L446" s="138" t="s">
        <v>6923</v>
      </c>
      <c r="M446" s="138" t="s">
        <v>0</v>
      </c>
    </row>
    <row r="447" spans="1:13" x14ac:dyDescent="0.35">
      <c r="A447" s="138" t="s">
        <v>487</v>
      </c>
      <c r="B447" s="138" t="s">
        <v>3809</v>
      </c>
      <c r="C447" s="138" t="s">
        <v>3913</v>
      </c>
      <c r="D447" s="138" t="s">
        <v>3914</v>
      </c>
      <c r="E447" s="138" t="s">
        <v>3928</v>
      </c>
      <c r="F447" s="138" t="s">
        <v>3831</v>
      </c>
      <c r="G447" s="138" t="s">
        <v>5202</v>
      </c>
      <c r="H447" s="81" t="str">
        <f t="shared" si="44"/>
        <v>TCCN-PTE-PSG-SAG-MSG-INS-MVD</v>
      </c>
      <c r="I447" s="138" t="str">
        <f>MID(H447,1,(LEN(H447)-VLOOKUP(K447,datos!$B$2:$C$12,2,0)))</f>
        <v>TCCN-PTE-PSG-SAG-MSG-INS-MVD</v>
      </c>
      <c r="J447" s="138" t="s">
        <v>8095</v>
      </c>
      <c r="K447" s="140">
        <f>VLOOKUP(LEN(SUBSTITUTE(H447,"-","")),datos!$A$1:$B$12,2,0)</f>
        <v>7</v>
      </c>
      <c r="L447" s="138" t="s">
        <v>6924</v>
      </c>
      <c r="M447" s="138" t="s">
        <v>0</v>
      </c>
    </row>
    <row r="448" spans="1:13" x14ac:dyDescent="0.35">
      <c r="A448" s="138" t="s">
        <v>487</v>
      </c>
      <c r="B448" s="138" t="s">
        <v>3809</v>
      </c>
      <c r="C448" s="138" t="s">
        <v>3913</v>
      </c>
      <c r="D448" s="138" t="s">
        <v>3914</v>
      </c>
      <c r="E448" s="138" t="s">
        <v>3928</v>
      </c>
      <c r="F448" s="138" t="s">
        <v>3831</v>
      </c>
      <c r="G448" s="138" t="s">
        <v>3986</v>
      </c>
      <c r="H448" s="81" t="str">
        <f t="shared" si="44"/>
        <v>TCCN-PTE-PSG-SAG-MSG-INS-VV1</v>
      </c>
      <c r="I448" s="138" t="str">
        <f>MID(H448,1,(LEN(H448)-VLOOKUP(K448,datos!$B$2:$C$12,2,0)))</f>
        <v>TCCN-PTE-PSG-SAG-MSG-INS-VV1</v>
      </c>
      <c r="J448" s="138" t="s">
        <v>7924</v>
      </c>
      <c r="K448" s="140">
        <f>VLOOKUP(LEN(SUBSTITUTE(H448,"-","")),datos!$A$1:$B$12,2,0)</f>
        <v>7</v>
      </c>
      <c r="L448" s="138" t="s">
        <v>6925</v>
      </c>
      <c r="M448" s="138" t="s">
        <v>0</v>
      </c>
    </row>
    <row r="449" spans="1:13" x14ac:dyDescent="0.35">
      <c r="A449" s="138" t="s">
        <v>487</v>
      </c>
      <c r="B449" s="138" t="s">
        <v>3809</v>
      </c>
      <c r="C449" s="138" t="s">
        <v>3913</v>
      </c>
      <c r="D449" s="138" t="s">
        <v>3914</v>
      </c>
      <c r="E449" s="138" t="s">
        <v>3928</v>
      </c>
      <c r="F449" s="138" t="s">
        <v>3831</v>
      </c>
      <c r="G449" s="138" t="s">
        <v>7064</v>
      </c>
      <c r="H449" s="81" t="str">
        <f t="shared" ref="H449:H456" si="45">CONCATENATE(A449,"-",B449,"-",C449,"-",D449,"-",E449,"-",F449,"-",G449)</f>
        <v>TCCN-PTE-PSG-SAG-MSG-INS-MT6</v>
      </c>
      <c r="I449" s="138" t="str">
        <f>MID(H449,1,(LEN(H449)-VLOOKUP(K449,datos!$B$2:$C$12,2,0)))</f>
        <v>TCCN-PTE-PSG-SAG-MSG-INS-MT6</v>
      </c>
      <c r="J449" s="138" t="s">
        <v>8085</v>
      </c>
      <c r="K449" s="140">
        <f>VLOOKUP(LEN(SUBSTITUTE(H449,"-","")),datos!$A$1:$B$12,2,0)</f>
        <v>7</v>
      </c>
      <c r="L449" s="138" t="s">
        <v>6926</v>
      </c>
      <c r="M449" s="138" t="s">
        <v>0</v>
      </c>
    </row>
    <row r="450" spans="1:13" x14ac:dyDescent="0.35">
      <c r="A450" s="138" t="s">
        <v>487</v>
      </c>
      <c r="B450" s="138" t="s">
        <v>3809</v>
      </c>
      <c r="C450" s="138" t="s">
        <v>3913</v>
      </c>
      <c r="D450" s="138" t="s">
        <v>3914</v>
      </c>
      <c r="E450" s="138" t="s">
        <v>3928</v>
      </c>
      <c r="F450" s="138" t="s">
        <v>3831</v>
      </c>
      <c r="G450" s="138" t="s">
        <v>7065</v>
      </c>
      <c r="H450" s="81" t="str">
        <f t="shared" ref="H450:H454" si="46">CONCATENATE(A450,"-",B450,"-",C450,"-",D450,"-",E450,"-",F450,"-",G450)</f>
        <v>TCCN-PTE-PSG-SAG-MSG-INS-MT7</v>
      </c>
      <c r="I450" s="138" t="str">
        <f>MID(H450,1,(LEN(H450)-VLOOKUP(K450,datos!$B$2:$C$12,2,0)))</f>
        <v>TCCN-PTE-PSG-SAG-MSG-INS-MT7</v>
      </c>
      <c r="J450" s="138" t="s">
        <v>6927</v>
      </c>
      <c r="K450" s="140">
        <f>VLOOKUP(LEN(SUBSTITUTE(H450,"-","")),datos!$A$1:$B$12,2,0)</f>
        <v>7</v>
      </c>
      <c r="L450" s="138" t="s">
        <v>6928</v>
      </c>
      <c r="M450" s="138" t="s">
        <v>0</v>
      </c>
    </row>
    <row r="451" spans="1:13" x14ac:dyDescent="0.35">
      <c r="A451" s="138" t="s">
        <v>487</v>
      </c>
      <c r="B451" s="138" t="s">
        <v>3809</v>
      </c>
      <c r="C451" s="138" t="s">
        <v>3913</v>
      </c>
      <c r="D451" s="138" t="s">
        <v>3914</v>
      </c>
      <c r="E451" s="138" t="s">
        <v>3928</v>
      </c>
      <c r="F451" s="138" t="s">
        <v>3831</v>
      </c>
      <c r="G451" s="138" t="s">
        <v>4070</v>
      </c>
      <c r="H451" s="81" t="str">
        <f t="shared" si="46"/>
        <v>TCCN-PTE-PSG-SAG-MSG-INS-SP2</v>
      </c>
      <c r="I451" s="138" t="str">
        <f>MID(H451,1,(LEN(H451)-VLOOKUP(K451,datos!$B$2:$C$12,2,0)))</f>
        <v>TCCN-PTE-PSG-SAG-MSG-INS-SP2</v>
      </c>
      <c r="J451" s="138" t="s">
        <v>6932</v>
      </c>
      <c r="K451" s="140">
        <f>VLOOKUP(LEN(SUBSTITUTE(H451,"-","")),datos!$A$1:$B$12,2,0)</f>
        <v>7</v>
      </c>
      <c r="L451" s="138" t="s">
        <v>6933</v>
      </c>
      <c r="M451" s="138" t="s">
        <v>0</v>
      </c>
    </row>
    <row r="452" spans="1:13" x14ac:dyDescent="0.35">
      <c r="A452" s="138" t="s">
        <v>487</v>
      </c>
      <c r="B452" s="138" t="s">
        <v>3809</v>
      </c>
      <c r="C452" s="138" t="s">
        <v>3913</v>
      </c>
      <c r="D452" s="138" t="s">
        <v>3914</v>
      </c>
      <c r="E452" s="138" t="s">
        <v>3928</v>
      </c>
      <c r="F452" s="138" t="s">
        <v>3831</v>
      </c>
      <c r="G452" s="138" t="s">
        <v>5256</v>
      </c>
      <c r="H452" s="81" t="str">
        <f t="shared" si="46"/>
        <v>TCCN-PTE-PSG-SAG-MSG-INS-MNV</v>
      </c>
      <c r="I452" s="138" t="str">
        <f>MID(H452,1,(LEN(H452)-VLOOKUP(K452,datos!$B$2:$C$12,2,0)))</f>
        <v>TCCN-PTE-PSG-SAG-MSG-INS-MNV</v>
      </c>
      <c r="J452" s="138" t="s">
        <v>6934</v>
      </c>
      <c r="K452" s="140">
        <f>VLOOKUP(LEN(SUBSTITUTE(H452,"-","")),datos!$A$1:$B$12,2,0)</f>
        <v>7</v>
      </c>
      <c r="L452" s="138" t="s">
        <v>6935</v>
      </c>
      <c r="M452" s="138" t="s">
        <v>0</v>
      </c>
    </row>
    <row r="453" spans="1:13" x14ac:dyDescent="0.35">
      <c r="A453" s="138" t="s">
        <v>487</v>
      </c>
      <c r="B453" s="138" t="s">
        <v>3809</v>
      </c>
      <c r="C453" s="138" t="s">
        <v>3913</v>
      </c>
      <c r="D453" s="138" t="s">
        <v>3914</v>
      </c>
      <c r="E453" s="138" t="s">
        <v>3928</v>
      </c>
      <c r="F453" s="138" t="s">
        <v>3831</v>
      </c>
      <c r="G453" s="138" t="s">
        <v>5207</v>
      </c>
      <c r="H453" s="81" t="str">
        <f t="shared" si="46"/>
        <v>TCCN-PTE-PSG-SAG-MSG-INS-SLN</v>
      </c>
      <c r="I453" s="138" t="str">
        <f>MID(H453,1,(LEN(H453)-VLOOKUP(K453,datos!$B$2:$C$12,2,0)))</f>
        <v>TCCN-PTE-PSG-SAG-MSG-INS-SLN</v>
      </c>
      <c r="J453" s="138" t="s">
        <v>7925</v>
      </c>
      <c r="K453" s="140">
        <f>VLOOKUP(LEN(SUBSTITUTE(H453,"-","")),datos!$A$1:$B$12,2,0)</f>
        <v>7</v>
      </c>
      <c r="L453" s="138" t="s">
        <v>6936</v>
      </c>
      <c r="M453" s="138" t="s">
        <v>0</v>
      </c>
    </row>
    <row r="454" spans="1:13" x14ac:dyDescent="0.35">
      <c r="A454" s="138" t="s">
        <v>487</v>
      </c>
      <c r="B454" s="138" t="s">
        <v>3809</v>
      </c>
      <c r="C454" s="138" t="s">
        <v>3913</v>
      </c>
      <c r="D454" s="138" t="s">
        <v>3914</v>
      </c>
      <c r="E454" s="138" t="s">
        <v>3928</v>
      </c>
      <c r="F454" s="138" t="s">
        <v>3831</v>
      </c>
      <c r="G454" s="138" t="s">
        <v>7066</v>
      </c>
      <c r="H454" s="81" t="str">
        <f t="shared" si="46"/>
        <v>TCCN-PTE-PSG-SAG-MSG-INS-MT8</v>
      </c>
      <c r="I454" s="138" t="str">
        <f>MID(H454,1,(LEN(H454)-VLOOKUP(K454,datos!$B$2:$C$12,2,0)))</f>
        <v>TCCN-PTE-PSG-SAG-MSG-INS-MT8</v>
      </c>
      <c r="J454" s="138" t="s">
        <v>8063</v>
      </c>
      <c r="K454" s="140">
        <f>VLOOKUP(LEN(SUBSTITUTE(H454,"-","")),datos!$A$1:$B$12,2,0)</f>
        <v>7</v>
      </c>
      <c r="L454" s="138" t="s">
        <v>6937</v>
      </c>
      <c r="M454" s="138" t="s">
        <v>0</v>
      </c>
    </row>
    <row r="455" spans="1:13" x14ac:dyDescent="0.35">
      <c r="A455" s="138" t="s">
        <v>487</v>
      </c>
      <c r="B455" s="138" t="s">
        <v>3809</v>
      </c>
      <c r="C455" s="138" t="s">
        <v>3913</v>
      </c>
      <c r="D455" s="138" t="s">
        <v>3914</v>
      </c>
      <c r="E455" s="138" t="s">
        <v>3928</v>
      </c>
      <c r="F455" s="138" t="s">
        <v>3831</v>
      </c>
      <c r="G455" s="138" t="s">
        <v>3987</v>
      </c>
      <c r="H455" s="81" t="str">
        <f t="shared" si="45"/>
        <v>TCCN-PTE-PSG-SAG-MSG-INS-VV2</v>
      </c>
      <c r="I455" s="138" t="str">
        <f>MID(H455,1,(LEN(H455)-VLOOKUP(K455,datos!$B$2:$C$12,2,0)))</f>
        <v>TCCN-PTE-PSG-SAG-MSG-INS-VV2</v>
      </c>
      <c r="J455" s="138" t="s">
        <v>7926</v>
      </c>
      <c r="K455" s="140">
        <f>VLOOKUP(LEN(SUBSTITUTE(H455,"-","")),datos!$A$1:$B$12,2,0)</f>
        <v>7</v>
      </c>
      <c r="L455" s="138" t="s">
        <v>6938</v>
      </c>
      <c r="M455" s="138" t="s">
        <v>0</v>
      </c>
    </row>
    <row r="456" spans="1:13" x14ac:dyDescent="0.35">
      <c r="A456" s="138" t="s">
        <v>487</v>
      </c>
      <c r="B456" s="138" t="s">
        <v>3809</v>
      </c>
      <c r="C456" s="138" t="s">
        <v>3913</v>
      </c>
      <c r="D456" s="138" t="s">
        <v>3914</v>
      </c>
      <c r="E456" s="138" t="s">
        <v>3928</v>
      </c>
      <c r="F456" s="138" t="s">
        <v>3831</v>
      </c>
      <c r="G456" s="138" t="s">
        <v>4065</v>
      </c>
      <c r="H456" s="81" t="str">
        <f t="shared" si="45"/>
        <v>TCCN-PTE-PSG-SAG-MSG-INS-VV3</v>
      </c>
      <c r="I456" s="138" t="str">
        <f>MID(H456,1,(LEN(H456)-VLOOKUP(K456,datos!$B$2:$C$12,2,0)))</f>
        <v>TCCN-PTE-PSG-SAG-MSG-INS-VV3</v>
      </c>
      <c r="J456" s="138" t="s">
        <v>7927</v>
      </c>
      <c r="K456" s="140">
        <f>VLOOKUP(LEN(SUBSTITUTE(H456,"-","")),datos!$A$1:$B$12,2,0)</f>
        <v>7</v>
      </c>
      <c r="L456" s="138" t="s">
        <v>6939</v>
      </c>
      <c r="M456" s="138" t="s">
        <v>0</v>
      </c>
    </row>
    <row r="457" spans="1:13" customFormat="1" ht="14.5" x14ac:dyDescent="0.35">
      <c r="A457" s="129" t="s">
        <v>487</v>
      </c>
      <c r="B457" s="129" t="s">
        <v>3809</v>
      </c>
      <c r="C457" s="129" t="s">
        <v>3913</v>
      </c>
      <c r="D457" s="129" t="s">
        <v>3914</v>
      </c>
      <c r="E457" s="129" t="s">
        <v>3843</v>
      </c>
      <c r="F457" s="129"/>
      <c r="G457" s="129"/>
      <c r="H457" s="83" t="str">
        <f>CONCATENATE(A457,"-",B457,"-",C457,"-",D457,"-",E457,"-",F457,"-",G457)</f>
        <v>TCCN-PTE-PSG-SAG-CH2--</v>
      </c>
      <c r="I457" s="129" t="str">
        <f>MID(H457,1,(LEN(H457)-VLOOKUP(K457,datos!$B$2:$C$12,2,0)))</f>
        <v>TCCN-PTE-PSG-SAG-CH2</v>
      </c>
      <c r="J457" s="129" t="s">
        <v>1635</v>
      </c>
      <c r="K457" s="130">
        <f>VLOOKUP(LEN(SUBSTITUTE(H457,"-","")),datos!$A$1:$B$12,2,0)</f>
        <v>5</v>
      </c>
      <c r="L457" s="129" t="s">
        <v>1634</v>
      </c>
      <c r="M457" s="129" t="s">
        <v>0</v>
      </c>
    </row>
    <row r="458" spans="1:13" x14ac:dyDescent="0.35">
      <c r="A458" s="137" t="s">
        <v>487</v>
      </c>
      <c r="B458" s="137" t="s">
        <v>3809</v>
      </c>
      <c r="C458" s="137" t="s">
        <v>3913</v>
      </c>
      <c r="D458" s="137" t="s">
        <v>3914</v>
      </c>
      <c r="E458" s="137" t="s">
        <v>3843</v>
      </c>
      <c r="F458" s="137" t="s">
        <v>3824</v>
      </c>
      <c r="G458" s="137"/>
      <c r="H458" s="82" t="str">
        <f t="shared" ref="H458" si="47">CONCATENATE(A458,"-",B458,"-",C458,"-",D458,"-",E458,"-",F458,"-",G458)</f>
        <v>TCCN-PTE-PSG-SAG-CH2-SES-</v>
      </c>
      <c r="I458" s="137" t="str">
        <f>MID(H458,1,(LEN(H458)-VLOOKUP(K458,datos!$B$2:$C$12,2,0)))</f>
        <v>TCCN-PTE-PSG-SAG-CH2-SES</v>
      </c>
      <c r="J458" s="137" t="s">
        <v>7170</v>
      </c>
      <c r="K458" s="139">
        <f>VLOOKUP(LEN(SUBSTITUTE(H458,"-","")),datos!$A$1:$B$12,2,0)</f>
        <v>6</v>
      </c>
      <c r="L458" s="137"/>
      <c r="M458" s="137" t="s">
        <v>0</v>
      </c>
    </row>
    <row r="459" spans="1:13" x14ac:dyDescent="0.35">
      <c r="A459" s="137" t="s">
        <v>487</v>
      </c>
      <c r="B459" s="137" t="s">
        <v>3809</v>
      </c>
      <c r="C459" s="137" t="s">
        <v>3913</v>
      </c>
      <c r="D459" s="137" t="s">
        <v>3914</v>
      </c>
      <c r="E459" s="137" t="s">
        <v>3843</v>
      </c>
      <c r="F459" s="137" t="s">
        <v>3847</v>
      </c>
      <c r="G459" s="137"/>
      <c r="H459" s="82" t="str">
        <f t="shared" ref="H459" si="48">CONCATENATE(A459,"-",B459,"-",C459,"-",D459,"-",E459,"-",F459,"-",G459)</f>
        <v>TCCN-PTE-PSG-SAG-CH2-SMO-</v>
      </c>
      <c r="I459" s="137" t="str">
        <f>MID(H459,1,(LEN(H459)-VLOOKUP(K459,datos!$B$2:$C$12,2,0)))</f>
        <v>TCCN-PTE-PSG-SAG-CH2-SMO</v>
      </c>
      <c r="J459" s="137" t="s">
        <v>7171</v>
      </c>
      <c r="K459" s="139">
        <f>VLOOKUP(LEN(SUBSTITUTE(H459,"-","")),datos!$A$1:$B$12,2,0)</f>
        <v>6</v>
      </c>
      <c r="L459" s="137"/>
      <c r="M459" s="137" t="s">
        <v>0</v>
      </c>
    </row>
    <row r="460" spans="1:13" customFormat="1" ht="14.5" x14ac:dyDescent="0.35">
      <c r="A460" s="129" t="s">
        <v>487</v>
      </c>
      <c r="B460" s="129" t="s">
        <v>3809</v>
      </c>
      <c r="C460" s="129" t="s">
        <v>3913</v>
      </c>
      <c r="D460" s="129" t="s">
        <v>3914</v>
      </c>
      <c r="E460" s="129" t="s">
        <v>3917</v>
      </c>
      <c r="F460" s="129"/>
      <c r="G460" s="129"/>
      <c r="H460" s="83" t="str">
        <f>CONCATENATE(A460,"-",B460,"-",C460,"-",D460,"-",E460,"-",F460,"-",G460)</f>
        <v>TCCN-PTE-PSG-SAG-CH3--</v>
      </c>
      <c r="I460" s="129" t="str">
        <f>MID(H460,1,(LEN(H460)-VLOOKUP(K460,datos!$B$2:$C$12,2,0)))</f>
        <v>TCCN-PTE-PSG-SAG-CH3</v>
      </c>
      <c r="J460" s="129" t="s">
        <v>106</v>
      </c>
      <c r="K460" s="130">
        <f>VLOOKUP(LEN(SUBSTITUTE(H460,"-","")),datos!$A$1:$B$12,2,0)</f>
        <v>5</v>
      </c>
      <c r="L460" s="129" t="s">
        <v>105</v>
      </c>
      <c r="M460" s="129" t="s">
        <v>0</v>
      </c>
    </row>
    <row r="461" spans="1:13" x14ac:dyDescent="0.35">
      <c r="A461" s="137" t="s">
        <v>487</v>
      </c>
      <c r="B461" s="137" t="s">
        <v>3809</v>
      </c>
      <c r="C461" s="137" t="s">
        <v>3913</v>
      </c>
      <c r="D461" s="137" t="s">
        <v>3914</v>
      </c>
      <c r="E461" s="137" t="s">
        <v>3917</v>
      </c>
      <c r="F461" s="137" t="s">
        <v>3824</v>
      </c>
      <c r="G461" s="137"/>
      <c r="H461" s="82" t="str">
        <f t="shared" ref="H461:H462" si="49">CONCATENATE(A461,"-",B461,"-",C461,"-",D461,"-",E461,"-",F461,"-",G461)</f>
        <v>TCCN-PTE-PSG-SAG-CH3-SES-</v>
      </c>
      <c r="I461" s="137" t="str">
        <f>MID(H461,1,(LEN(H461)-VLOOKUP(K461,datos!$B$2:$C$12,2,0)))</f>
        <v>TCCN-PTE-PSG-SAG-CH3-SES</v>
      </c>
      <c r="J461" s="137" t="s">
        <v>7172</v>
      </c>
      <c r="K461" s="139">
        <f>VLOOKUP(LEN(SUBSTITUTE(H461,"-","")),datos!$A$1:$B$12,2,0)</f>
        <v>6</v>
      </c>
      <c r="L461" s="137"/>
      <c r="M461" s="137" t="s">
        <v>0</v>
      </c>
    </row>
    <row r="462" spans="1:13" x14ac:dyDescent="0.35">
      <c r="A462" s="137" t="s">
        <v>487</v>
      </c>
      <c r="B462" s="137" t="s">
        <v>3809</v>
      </c>
      <c r="C462" s="137" t="s">
        <v>3913</v>
      </c>
      <c r="D462" s="137" t="s">
        <v>3914</v>
      </c>
      <c r="E462" s="137" t="s">
        <v>3917</v>
      </c>
      <c r="F462" s="137" t="s">
        <v>3847</v>
      </c>
      <c r="G462" s="137"/>
      <c r="H462" s="82" t="str">
        <f t="shared" si="49"/>
        <v>TCCN-PTE-PSG-SAG-CH3-SMO-</v>
      </c>
      <c r="I462" s="137" t="str">
        <f>MID(H462,1,(LEN(H462)-VLOOKUP(K462,datos!$B$2:$C$12,2,0)))</f>
        <v>TCCN-PTE-PSG-SAG-CH3-SMO</v>
      </c>
      <c r="J462" s="137" t="s">
        <v>7173</v>
      </c>
      <c r="K462" s="139">
        <f>VLOOKUP(LEN(SUBSTITUTE(H462,"-","")),datos!$A$1:$B$12,2,0)</f>
        <v>6</v>
      </c>
      <c r="L462" s="137"/>
      <c r="M462" s="137" t="s">
        <v>0</v>
      </c>
    </row>
    <row r="463" spans="1:13" customFormat="1" ht="14.5" x14ac:dyDescent="0.35">
      <c r="A463" s="129" t="s">
        <v>487</v>
      </c>
      <c r="B463" s="129" t="s">
        <v>3809</v>
      </c>
      <c r="C463" s="129" t="s">
        <v>3913</v>
      </c>
      <c r="D463" s="129" t="s">
        <v>3914</v>
      </c>
      <c r="E463" s="129" t="s">
        <v>3943</v>
      </c>
      <c r="F463" s="129"/>
      <c r="G463" s="129"/>
      <c r="H463" s="83" t="str">
        <f t="shared" si="37"/>
        <v>TCCN-PTE-PSG-SAG-CT2--</v>
      </c>
      <c r="I463" s="129" t="str">
        <f>MID(H463,1,(LEN(H463)-VLOOKUP(K463,datos!$B$2:$C$12,2,0)))</f>
        <v>TCCN-PTE-PSG-SAG-CT2</v>
      </c>
      <c r="J463" s="129" t="s">
        <v>4814</v>
      </c>
      <c r="K463" s="130">
        <f>VLOOKUP(LEN(SUBSTITUTE(H463,"-","")),datos!$A$1:$B$12,2,0)</f>
        <v>5</v>
      </c>
      <c r="L463" s="129" t="s">
        <v>124</v>
      </c>
      <c r="M463" s="129" t="s">
        <v>0</v>
      </c>
    </row>
    <row r="464" spans="1:13" x14ac:dyDescent="0.35">
      <c r="A464" s="137" t="s">
        <v>487</v>
      </c>
      <c r="B464" s="137" t="s">
        <v>3809</v>
      </c>
      <c r="C464" s="137" t="s">
        <v>3913</v>
      </c>
      <c r="D464" s="137" t="s">
        <v>3914</v>
      </c>
      <c r="E464" s="137" t="s">
        <v>3943</v>
      </c>
      <c r="F464" s="137" t="s">
        <v>3824</v>
      </c>
      <c r="G464" s="137"/>
      <c r="H464" s="82" t="str">
        <f t="shared" si="37"/>
        <v>TCCN-PTE-PSG-SAG-CT2-SES-</v>
      </c>
      <c r="I464" s="137" t="str">
        <f>MID(H464,1,(LEN(H464)-VLOOKUP(K464,datos!$B$2:$C$12,2,0)))</f>
        <v>TCCN-PTE-PSG-SAG-CT2-SES</v>
      </c>
      <c r="J464" s="137" t="s">
        <v>5705</v>
      </c>
      <c r="K464" s="139">
        <f>VLOOKUP(LEN(SUBSTITUTE(H464,"-","")),datos!$A$1:$B$12,2,0)</f>
        <v>6</v>
      </c>
      <c r="L464" s="137"/>
      <c r="M464" s="137" t="s">
        <v>0</v>
      </c>
    </row>
    <row r="465" spans="1:13" x14ac:dyDescent="0.35">
      <c r="A465" s="138" t="s">
        <v>487</v>
      </c>
      <c r="B465" s="138" t="s">
        <v>3809</v>
      </c>
      <c r="C465" s="138" t="s">
        <v>3913</v>
      </c>
      <c r="D465" s="138" t="s">
        <v>3914</v>
      </c>
      <c r="E465" s="138" t="s">
        <v>3943</v>
      </c>
      <c r="F465" s="138" t="s">
        <v>3824</v>
      </c>
      <c r="G465" s="138" t="s">
        <v>3853</v>
      </c>
      <c r="H465" s="81" t="str">
        <f t="shared" si="37"/>
        <v>TCCN-PTE-PSG-SAG-CT2-SES-EST</v>
      </c>
      <c r="I465" s="138" t="str">
        <f>MID(H465,1,(LEN(H465)-VLOOKUP(K465,datos!$B$2:$C$12,2,0)))</f>
        <v>TCCN-PTE-PSG-SAG-CT2-SES-EST</v>
      </c>
      <c r="J465" s="138" t="s">
        <v>6847</v>
      </c>
      <c r="K465" s="140">
        <f>VLOOKUP(LEN(SUBSTITUTE(H465,"-","")),datos!$A$1:$B$12,2,0)</f>
        <v>7</v>
      </c>
      <c r="L465" s="138"/>
      <c r="M465" s="138" t="s">
        <v>0</v>
      </c>
    </row>
    <row r="466" spans="1:13" x14ac:dyDescent="0.35">
      <c r="A466" s="138" t="s">
        <v>487</v>
      </c>
      <c r="B466" s="138" t="s">
        <v>3809</v>
      </c>
      <c r="C466" s="138" t="s">
        <v>3913</v>
      </c>
      <c r="D466" s="138" t="s">
        <v>3914</v>
      </c>
      <c r="E466" s="138" t="s">
        <v>3943</v>
      </c>
      <c r="F466" s="138" t="s">
        <v>3824</v>
      </c>
      <c r="G466" s="138" t="s">
        <v>3825</v>
      </c>
      <c r="H466" s="81" t="str">
        <f t="shared" si="37"/>
        <v>TCCN-PTE-PSG-SAG-CT2-SES-CHU</v>
      </c>
      <c r="I466" s="138" t="str">
        <f>MID(H466,1,(LEN(H466)-VLOOKUP(K466,datos!$B$2:$C$12,2,0)))</f>
        <v>TCCN-PTE-PSG-SAG-CT2-SES-CHU</v>
      </c>
      <c r="J466" s="138" t="s">
        <v>6846</v>
      </c>
      <c r="K466" s="140">
        <f>VLOOKUP(LEN(SUBSTITUTE(H466,"-","")),datos!$A$1:$B$12,2,0)</f>
        <v>7</v>
      </c>
      <c r="L466" s="138" t="s">
        <v>126</v>
      </c>
      <c r="M466" s="138" t="s">
        <v>0</v>
      </c>
    </row>
    <row r="467" spans="1:13" x14ac:dyDescent="0.35">
      <c r="A467" s="137" t="s">
        <v>487</v>
      </c>
      <c r="B467" s="137" t="s">
        <v>3809</v>
      </c>
      <c r="C467" s="137" t="s">
        <v>3913</v>
      </c>
      <c r="D467" s="137" t="s">
        <v>3914</v>
      </c>
      <c r="E467" s="137" t="s">
        <v>3943</v>
      </c>
      <c r="F467" s="137" t="s">
        <v>3854</v>
      </c>
      <c r="G467" s="137"/>
      <c r="H467" s="82" t="str">
        <f t="shared" si="37"/>
        <v>TCCN-PTE-PSG-SAG-CT2-STR-</v>
      </c>
      <c r="I467" s="137" t="str">
        <f>MID(H467,1,(LEN(H467)-VLOOKUP(K467,datos!$B$2:$C$12,2,0)))</f>
        <v>TCCN-PTE-PSG-SAG-CT2-STR</v>
      </c>
      <c r="J467" s="137" t="s">
        <v>5706</v>
      </c>
      <c r="K467" s="139">
        <f>VLOOKUP(LEN(SUBSTITUTE(H467,"-","")),datos!$A$1:$B$12,2,0)</f>
        <v>6</v>
      </c>
      <c r="L467" s="137"/>
      <c r="M467" s="137" t="s">
        <v>0</v>
      </c>
    </row>
    <row r="468" spans="1:13" x14ac:dyDescent="0.35">
      <c r="A468" s="138" t="s">
        <v>487</v>
      </c>
      <c r="B468" s="138" t="s">
        <v>3809</v>
      </c>
      <c r="C468" s="138" t="s">
        <v>3913</v>
      </c>
      <c r="D468" s="138" t="s">
        <v>3914</v>
      </c>
      <c r="E468" s="138" t="s">
        <v>3943</v>
      </c>
      <c r="F468" s="138" t="s">
        <v>3854</v>
      </c>
      <c r="G468" s="138" t="s">
        <v>3855</v>
      </c>
      <c r="H468" s="81" t="str">
        <f t="shared" si="37"/>
        <v>TCCN-PTE-PSG-SAG-CT2-STR-CTA</v>
      </c>
      <c r="I468" s="138" t="str">
        <f>MID(H468,1,(LEN(H468)-VLOOKUP(K468,datos!$B$2:$C$12,2,0)))</f>
        <v>TCCN-PTE-PSG-SAG-CT2-STR-CTA</v>
      </c>
      <c r="J468" s="138" t="s">
        <v>5707</v>
      </c>
      <c r="K468" s="140">
        <f>VLOOKUP(LEN(SUBSTITUTE(H468,"-","")),datos!$A$1:$B$12,2,0)</f>
        <v>7</v>
      </c>
      <c r="L468" s="138"/>
      <c r="M468" s="138" t="s">
        <v>0</v>
      </c>
    </row>
    <row r="469" spans="1:13" x14ac:dyDescent="0.35">
      <c r="A469" s="138" t="s">
        <v>487</v>
      </c>
      <c r="B469" s="138" t="s">
        <v>3809</v>
      </c>
      <c r="C469" s="138" t="s">
        <v>3913</v>
      </c>
      <c r="D469" s="138" t="s">
        <v>3914</v>
      </c>
      <c r="E469" s="138" t="s">
        <v>3943</v>
      </c>
      <c r="F469" s="138" t="s">
        <v>3854</v>
      </c>
      <c r="G469" s="138" t="s">
        <v>3857</v>
      </c>
      <c r="H469" s="81" t="str">
        <f t="shared" si="37"/>
        <v>TCCN-PTE-PSG-SAG-CT2-STR-PCO</v>
      </c>
      <c r="I469" s="138" t="str">
        <f>MID(H469,1,(LEN(H469)-VLOOKUP(K469,datos!$B$2:$C$12,2,0)))</f>
        <v>TCCN-PTE-PSG-SAG-CT2-STR-PCO</v>
      </c>
      <c r="J469" s="138" t="s">
        <v>5708</v>
      </c>
      <c r="K469" s="140">
        <f>VLOOKUP(LEN(SUBSTITUTE(H469,"-","")),datos!$A$1:$B$12,2,0)</f>
        <v>7</v>
      </c>
      <c r="L469" s="138"/>
      <c r="M469" s="138" t="s">
        <v>0</v>
      </c>
    </row>
    <row r="470" spans="1:13" x14ac:dyDescent="0.35">
      <c r="A470" s="138" t="s">
        <v>487</v>
      </c>
      <c r="B470" s="138" t="s">
        <v>3809</v>
      </c>
      <c r="C470" s="138" t="s">
        <v>3913</v>
      </c>
      <c r="D470" s="138" t="s">
        <v>3914</v>
      </c>
      <c r="E470" s="138" t="s">
        <v>3943</v>
      </c>
      <c r="F470" s="138" t="s">
        <v>3854</v>
      </c>
      <c r="G470" s="138" t="s">
        <v>3922</v>
      </c>
      <c r="H470" s="81" t="str">
        <f t="shared" si="37"/>
        <v>TCCN-PTE-PSG-SAG-CT2-STR-PO1</v>
      </c>
      <c r="I470" s="138" t="str">
        <f>MID(H470,1,(LEN(H470)-VLOOKUP(K470,datos!$B$2:$C$12,2,0)))</f>
        <v>TCCN-PTE-PSG-SAG-CT2-STR-PO1</v>
      </c>
      <c r="J470" s="138" t="s">
        <v>5709</v>
      </c>
      <c r="K470" s="140">
        <f>VLOOKUP(LEN(SUBSTITUTE(H470,"-","")),datos!$A$1:$B$12,2,0)</f>
        <v>7</v>
      </c>
      <c r="L470" s="138"/>
      <c r="M470" s="138" t="s">
        <v>0</v>
      </c>
    </row>
    <row r="471" spans="1:13" x14ac:dyDescent="0.35">
      <c r="A471" s="138" t="s">
        <v>487</v>
      </c>
      <c r="B471" s="138" t="s">
        <v>3809</v>
      </c>
      <c r="C471" s="138" t="s">
        <v>3913</v>
      </c>
      <c r="D471" s="138" t="s">
        <v>3914</v>
      </c>
      <c r="E471" s="138" t="s">
        <v>3943</v>
      </c>
      <c r="F471" s="138" t="s">
        <v>3854</v>
      </c>
      <c r="G471" s="138" t="s">
        <v>3923</v>
      </c>
      <c r="H471" s="81" t="str">
        <f t="shared" si="37"/>
        <v>TCCN-PTE-PSG-SAG-CT2-STR-PO2</v>
      </c>
      <c r="I471" s="138" t="str">
        <f>MID(H471,1,(LEN(H471)-VLOOKUP(K471,datos!$B$2:$C$12,2,0)))</f>
        <v>TCCN-PTE-PSG-SAG-CT2-STR-PO2</v>
      </c>
      <c r="J471" s="138" t="s">
        <v>5710</v>
      </c>
      <c r="K471" s="140">
        <f>VLOOKUP(LEN(SUBSTITUTE(H471,"-","")),datos!$A$1:$B$12,2,0)</f>
        <v>7</v>
      </c>
      <c r="L471" s="138"/>
      <c r="M471" s="138" t="s">
        <v>0</v>
      </c>
    </row>
    <row r="472" spans="1:13" x14ac:dyDescent="0.35">
      <c r="A472" s="138" t="s">
        <v>487</v>
      </c>
      <c r="B472" s="138" t="s">
        <v>3809</v>
      </c>
      <c r="C472" s="138" t="s">
        <v>3913</v>
      </c>
      <c r="D472" s="138" t="s">
        <v>3914</v>
      </c>
      <c r="E472" s="138" t="s">
        <v>3943</v>
      </c>
      <c r="F472" s="138" t="s">
        <v>3854</v>
      </c>
      <c r="G472" s="138" t="s">
        <v>3924</v>
      </c>
      <c r="H472" s="81" t="str">
        <f t="shared" si="37"/>
        <v>TCCN-PTE-PSG-SAG-CT2-STR-PO3</v>
      </c>
      <c r="I472" s="138" t="str">
        <f>MID(H472,1,(LEN(H472)-VLOOKUP(K472,datos!$B$2:$C$12,2,0)))</f>
        <v>TCCN-PTE-PSG-SAG-CT2-STR-PO3</v>
      </c>
      <c r="J472" s="138" t="s">
        <v>5711</v>
      </c>
      <c r="K472" s="140">
        <f>VLOOKUP(LEN(SUBSTITUTE(H472,"-","")),datos!$A$1:$B$12,2,0)</f>
        <v>7</v>
      </c>
      <c r="L472" s="138"/>
      <c r="M472" s="138" t="s">
        <v>0</v>
      </c>
    </row>
    <row r="473" spans="1:13" x14ac:dyDescent="0.35">
      <c r="A473" s="138" t="s">
        <v>487</v>
      </c>
      <c r="B473" s="138" t="s">
        <v>3809</v>
      </c>
      <c r="C473" s="138" t="s">
        <v>3913</v>
      </c>
      <c r="D473" s="138" t="s">
        <v>3914</v>
      </c>
      <c r="E473" s="138" t="s">
        <v>3943</v>
      </c>
      <c r="F473" s="138" t="s">
        <v>3854</v>
      </c>
      <c r="G473" s="138" t="s">
        <v>3925</v>
      </c>
      <c r="H473" s="81" t="str">
        <f t="shared" si="37"/>
        <v>TCCN-PTE-PSG-SAG-CT2-STR-PO4</v>
      </c>
      <c r="I473" s="138" t="str">
        <f>MID(H473,1,(LEN(H473)-VLOOKUP(K473,datos!$B$2:$C$12,2,0)))</f>
        <v>TCCN-PTE-PSG-SAG-CT2-STR-PO4</v>
      </c>
      <c r="J473" s="138" t="s">
        <v>5712</v>
      </c>
      <c r="K473" s="140">
        <f>VLOOKUP(LEN(SUBSTITUTE(H473,"-","")),datos!$A$1:$B$12,2,0)</f>
        <v>7</v>
      </c>
      <c r="L473" s="138"/>
      <c r="M473" s="138" t="s">
        <v>0</v>
      </c>
    </row>
    <row r="474" spans="1:13" x14ac:dyDescent="0.35">
      <c r="A474" s="138" t="s">
        <v>487</v>
      </c>
      <c r="B474" s="138" t="s">
        <v>3809</v>
      </c>
      <c r="C474" s="138" t="s">
        <v>3913</v>
      </c>
      <c r="D474" s="138" t="s">
        <v>3914</v>
      </c>
      <c r="E474" s="138" t="s">
        <v>3943</v>
      </c>
      <c r="F474" s="138" t="s">
        <v>3854</v>
      </c>
      <c r="G474" s="138" t="s">
        <v>3926</v>
      </c>
      <c r="H474" s="81" t="str">
        <f t="shared" si="37"/>
        <v>TCCN-PTE-PSG-SAG-CT2-STR-PO5</v>
      </c>
      <c r="I474" s="138" t="str">
        <f>MID(H474,1,(LEN(H474)-VLOOKUP(K474,datos!$B$2:$C$12,2,0)))</f>
        <v>TCCN-PTE-PSG-SAG-CT2-STR-PO5</v>
      </c>
      <c r="J474" s="138" t="s">
        <v>5713</v>
      </c>
      <c r="K474" s="140">
        <f>VLOOKUP(LEN(SUBSTITUTE(H474,"-","")),datos!$A$1:$B$12,2,0)</f>
        <v>7</v>
      </c>
      <c r="L474" s="138"/>
      <c r="M474" s="138" t="s">
        <v>0</v>
      </c>
    </row>
    <row r="475" spans="1:13" x14ac:dyDescent="0.35">
      <c r="A475" s="138" t="s">
        <v>487</v>
      </c>
      <c r="B475" s="138" t="s">
        <v>3809</v>
      </c>
      <c r="C475" s="138" t="s">
        <v>3913</v>
      </c>
      <c r="D475" s="138" t="s">
        <v>3914</v>
      </c>
      <c r="E475" s="138" t="s">
        <v>3943</v>
      </c>
      <c r="F475" s="138" t="s">
        <v>3854</v>
      </c>
      <c r="G475" s="138" t="s">
        <v>3927</v>
      </c>
      <c r="H475" s="81" t="str">
        <f t="shared" si="37"/>
        <v>TCCN-PTE-PSG-SAG-CT2-STR-PO6</v>
      </c>
      <c r="I475" s="138" t="str">
        <f>MID(H475,1,(LEN(H475)-VLOOKUP(K475,datos!$B$2:$C$12,2,0)))</f>
        <v>TCCN-PTE-PSG-SAG-CT2-STR-PO6</v>
      </c>
      <c r="J475" s="138" t="s">
        <v>4815</v>
      </c>
      <c r="K475" s="140">
        <f>VLOOKUP(LEN(SUBSTITUTE(H475,"-","")),datos!$A$1:$B$12,2,0)</f>
        <v>7</v>
      </c>
      <c r="L475" s="138"/>
      <c r="M475" s="138" t="s">
        <v>0</v>
      </c>
    </row>
    <row r="476" spans="1:13" x14ac:dyDescent="0.35">
      <c r="A476" s="138" t="s">
        <v>487</v>
      </c>
      <c r="B476" s="138" t="s">
        <v>3809</v>
      </c>
      <c r="C476" s="138" t="s">
        <v>3913</v>
      </c>
      <c r="D476" s="138" t="s">
        <v>3914</v>
      </c>
      <c r="E476" s="138" t="s">
        <v>3943</v>
      </c>
      <c r="F476" s="138" t="s">
        <v>3854</v>
      </c>
      <c r="G476" s="138" t="s">
        <v>6787</v>
      </c>
      <c r="H476" s="81" t="str">
        <f>CONCATENATE(A476,"-",B476,"-",C476,"-",D476,"-",E476,"-",F476,"-",G476)</f>
        <v>TCCN-PTE-PSG-SAG-CT2-STR-RAS</v>
      </c>
      <c r="I476" s="138" t="str">
        <f>MID(H476,1,(LEN(H476)-VLOOKUP(K476,datos!$B$2:$C$12,2,0)))</f>
        <v>TCCN-PTE-PSG-SAG-CT2-STR-RAS</v>
      </c>
      <c r="J476" s="138" t="s">
        <v>6803</v>
      </c>
      <c r="K476" s="140">
        <f>VLOOKUP(LEN(SUBSTITUTE(H476,"-","")),datos!$A$1:$B$12,2,0)</f>
        <v>7</v>
      </c>
      <c r="L476" s="138"/>
      <c r="M476" s="138" t="s">
        <v>0</v>
      </c>
    </row>
    <row r="477" spans="1:13" x14ac:dyDescent="0.35">
      <c r="A477" s="137" t="s">
        <v>487</v>
      </c>
      <c r="B477" s="137" t="s">
        <v>3809</v>
      </c>
      <c r="C477" s="137" t="s">
        <v>3913</v>
      </c>
      <c r="D477" s="137" t="s">
        <v>3914</v>
      </c>
      <c r="E477" s="137" t="s">
        <v>3943</v>
      </c>
      <c r="F477" s="137" t="s">
        <v>3859</v>
      </c>
      <c r="G477" s="137"/>
      <c r="H477" s="82" t="str">
        <f t="shared" si="37"/>
        <v>TCCN-PTE-PSG-SAG-CT2-STE-</v>
      </c>
      <c r="I477" s="137" t="str">
        <f>MID(H477,1,(LEN(H477)-VLOOKUP(K477,datos!$B$2:$C$12,2,0)))</f>
        <v>TCCN-PTE-PSG-SAG-CT2-STE</v>
      </c>
      <c r="J477" s="137" t="s">
        <v>5714</v>
      </c>
      <c r="K477" s="139">
        <f>VLOOKUP(LEN(SUBSTITUTE(H477,"-","")),datos!$A$1:$B$12,2,0)</f>
        <v>6</v>
      </c>
      <c r="L477" s="137"/>
      <c r="M477" s="137" t="s">
        <v>0</v>
      </c>
    </row>
    <row r="478" spans="1:13" x14ac:dyDescent="0.35">
      <c r="A478" s="138" t="s">
        <v>487</v>
      </c>
      <c r="B478" s="138" t="s">
        <v>3809</v>
      </c>
      <c r="C478" s="138" t="s">
        <v>3913</v>
      </c>
      <c r="D478" s="138" t="s">
        <v>3914</v>
      </c>
      <c r="E478" s="138" t="s">
        <v>3943</v>
      </c>
      <c r="F478" s="138" t="s">
        <v>3859</v>
      </c>
      <c r="G478" s="138" t="s">
        <v>3860</v>
      </c>
      <c r="H478" s="81" t="str">
        <f t="shared" si="37"/>
        <v>TCCN-PTE-PSG-SAG-CT2-STE-TEN</v>
      </c>
      <c r="I478" s="138" t="str">
        <f>MID(H478,1,(LEN(H478)-VLOOKUP(K478,datos!$B$2:$C$12,2,0)))</f>
        <v>TCCN-PTE-PSG-SAG-CT2-STE-TEN</v>
      </c>
      <c r="J478" s="138" t="s">
        <v>5715</v>
      </c>
      <c r="K478" s="140">
        <f>VLOOKUP(LEN(SUBSTITUTE(H478,"-","")),datos!$A$1:$B$12,2,0)</f>
        <v>7</v>
      </c>
      <c r="L478" s="138"/>
      <c r="M478" s="138" t="s">
        <v>0</v>
      </c>
    </row>
    <row r="479" spans="1:13" x14ac:dyDescent="0.35">
      <c r="A479" s="137" t="s">
        <v>487</v>
      </c>
      <c r="B479" s="137" t="s">
        <v>3809</v>
      </c>
      <c r="C479" s="137" t="s">
        <v>3913</v>
      </c>
      <c r="D479" s="137" t="s">
        <v>3914</v>
      </c>
      <c r="E479" s="137" t="s">
        <v>3943</v>
      </c>
      <c r="F479" s="137" t="s">
        <v>3847</v>
      </c>
      <c r="G479" s="137"/>
      <c r="H479" s="82" t="str">
        <f t="shared" si="37"/>
        <v>TCCN-PTE-PSG-SAG-CT2-SMO-</v>
      </c>
      <c r="I479" s="137" t="str">
        <f>MID(H479,1,(LEN(H479)-VLOOKUP(K479,datos!$B$2:$C$12,2,0)))</f>
        <v>TCCN-PTE-PSG-SAG-CT2-SMO</v>
      </c>
      <c r="J479" s="137" t="s">
        <v>5716</v>
      </c>
      <c r="K479" s="139">
        <f>VLOOKUP(LEN(SUBSTITUTE(H479,"-","")),datos!$A$1:$B$12,2,0)</f>
        <v>6</v>
      </c>
      <c r="L479" s="137"/>
      <c r="M479" s="137" t="s">
        <v>0</v>
      </c>
    </row>
    <row r="480" spans="1:13" x14ac:dyDescent="0.35">
      <c r="A480" s="138" t="s">
        <v>487</v>
      </c>
      <c r="B480" s="138" t="s">
        <v>3809</v>
      </c>
      <c r="C480" s="138" t="s">
        <v>3913</v>
      </c>
      <c r="D480" s="138" t="s">
        <v>3914</v>
      </c>
      <c r="E480" s="138" t="s">
        <v>3943</v>
      </c>
      <c r="F480" s="138" t="s">
        <v>3847</v>
      </c>
      <c r="G480" s="138" t="s">
        <v>3819</v>
      </c>
      <c r="H480" s="81" t="str">
        <f t="shared" si="37"/>
        <v>TCCN-PTE-PSG-SAG-CT2-SMO-MOE</v>
      </c>
      <c r="I480" s="138" t="str">
        <f>MID(H480,1,(LEN(H480)-VLOOKUP(K480,datos!$B$2:$C$12,2,0)))</f>
        <v>TCCN-PTE-PSG-SAG-CT2-SMO-MOE</v>
      </c>
      <c r="J480" s="138" t="s">
        <v>5717</v>
      </c>
      <c r="K480" s="140">
        <f>VLOOKUP(LEN(SUBSTITUTE(H480,"-","")),datos!$A$1:$B$12,2,0)</f>
        <v>7</v>
      </c>
      <c r="L480" s="138" t="s">
        <v>128</v>
      </c>
      <c r="M480" s="138" t="s">
        <v>0</v>
      </c>
    </row>
    <row r="481" spans="1:13" x14ac:dyDescent="0.35">
      <c r="A481" s="138" t="s">
        <v>487</v>
      </c>
      <c r="B481" s="138" t="s">
        <v>3809</v>
      </c>
      <c r="C481" s="138" t="s">
        <v>3913</v>
      </c>
      <c r="D481" s="138" t="s">
        <v>3914</v>
      </c>
      <c r="E481" s="138" t="s">
        <v>3943</v>
      </c>
      <c r="F481" s="138" t="s">
        <v>3847</v>
      </c>
      <c r="G481" s="138" t="s">
        <v>3861</v>
      </c>
      <c r="H481" s="81" t="str">
        <f t="shared" si="37"/>
        <v>TCCN-PTE-PSG-SAG-CT2-SMO-RED</v>
      </c>
      <c r="I481" s="138" t="str">
        <f>MID(H481,1,(LEN(H481)-VLOOKUP(K481,datos!$B$2:$C$12,2,0)))</f>
        <v>TCCN-PTE-PSG-SAG-CT2-SMO-RED</v>
      </c>
      <c r="J481" s="138" t="s">
        <v>5718</v>
      </c>
      <c r="K481" s="140">
        <f>VLOOKUP(LEN(SUBSTITUTE(H481,"-","")),datos!$A$1:$B$12,2,0)</f>
        <v>7</v>
      </c>
      <c r="L481" s="138"/>
      <c r="M481" s="138" t="s">
        <v>0</v>
      </c>
    </row>
    <row r="482" spans="1:13" x14ac:dyDescent="0.35">
      <c r="A482" s="138" t="s">
        <v>487</v>
      </c>
      <c r="B482" s="138" t="s">
        <v>3809</v>
      </c>
      <c r="C482" s="138" t="s">
        <v>3913</v>
      </c>
      <c r="D482" s="138" t="s">
        <v>3914</v>
      </c>
      <c r="E482" s="138" t="s">
        <v>3943</v>
      </c>
      <c r="F482" s="138" t="s">
        <v>3847</v>
      </c>
      <c r="G482" s="138" t="s">
        <v>3863</v>
      </c>
      <c r="H482" s="81" t="str">
        <f t="shared" si="37"/>
        <v>TCCN-PTE-PSG-SAG-CT2-SMO-FSE</v>
      </c>
      <c r="I482" s="138" t="str">
        <f>MID(H482,1,(LEN(H482)-VLOOKUP(K482,datos!$B$2:$C$12,2,0)))</f>
        <v>TCCN-PTE-PSG-SAG-CT2-SMO-FSE</v>
      </c>
      <c r="J482" s="138" t="s">
        <v>5719</v>
      </c>
      <c r="K482" s="140">
        <f>VLOOKUP(LEN(SUBSTITUTE(H482,"-","")),datos!$A$1:$B$12,2,0)</f>
        <v>7</v>
      </c>
      <c r="L482" s="138"/>
      <c r="M482" s="138" t="s">
        <v>0</v>
      </c>
    </row>
    <row r="483" spans="1:13" x14ac:dyDescent="0.35">
      <c r="A483" s="138" t="s">
        <v>487</v>
      </c>
      <c r="B483" s="138" t="s">
        <v>3809</v>
      </c>
      <c r="C483" s="138" t="s">
        <v>3913</v>
      </c>
      <c r="D483" s="138" t="s">
        <v>3914</v>
      </c>
      <c r="E483" s="138" t="s">
        <v>3943</v>
      </c>
      <c r="F483" s="138" t="s">
        <v>3847</v>
      </c>
      <c r="G483" s="138" t="s">
        <v>3864</v>
      </c>
      <c r="H483" s="81" t="str">
        <f t="shared" si="37"/>
        <v>TCCN-PTE-PSG-SAG-CT2-SMO-PMO</v>
      </c>
      <c r="I483" s="138" t="str">
        <f>MID(H483,1,(LEN(H483)-VLOOKUP(K483,datos!$B$2:$C$12,2,0)))</f>
        <v>TCCN-PTE-PSG-SAG-CT2-SMO-PMO</v>
      </c>
      <c r="J483" s="138" t="s">
        <v>5720</v>
      </c>
      <c r="K483" s="140">
        <f>VLOOKUP(LEN(SUBSTITUTE(H483,"-","")),datos!$A$1:$B$12,2,0)</f>
        <v>7</v>
      </c>
      <c r="L483" s="138"/>
      <c r="M483" s="138" t="s">
        <v>0</v>
      </c>
    </row>
    <row r="484" spans="1:13" x14ac:dyDescent="0.35">
      <c r="A484" s="137" t="s">
        <v>487</v>
      </c>
      <c r="B484" s="137" t="s">
        <v>3809</v>
      </c>
      <c r="C484" s="137" t="s">
        <v>3913</v>
      </c>
      <c r="D484" s="137" t="s">
        <v>3914</v>
      </c>
      <c r="E484" s="137" t="s">
        <v>3943</v>
      </c>
      <c r="F484" s="137" t="s">
        <v>3831</v>
      </c>
      <c r="G484" s="137"/>
      <c r="H484" s="82" t="str">
        <f t="shared" si="37"/>
        <v>TCCN-PTE-PSG-SAG-CT2-INS-</v>
      </c>
      <c r="I484" s="137" t="str">
        <f>MID(H484,1,(LEN(H484)-VLOOKUP(K484,datos!$B$2:$C$12,2,0)))</f>
        <v>TCCN-PTE-PSG-SAG-CT2-INS</v>
      </c>
      <c r="J484" s="137" t="s">
        <v>5704</v>
      </c>
      <c r="K484" s="139">
        <f>VLOOKUP(LEN(SUBSTITUTE(H484,"-","")),datos!$A$1:$B$12,2,0)</f>
        <v>6</v>
      </c>
      <c r="L484" s="137"/>
      <c r="M484" s="137" t="s">
        <v>0</v>
      </c>
    </row>
    <row r="485" spans="1:13" x14ac:dyDescent="0.35">
      <c r="A485" s="138" t="s">
        <v>487</v>
      </c>
      <c r="B485" s="138" t="s">
        <v>3809</v>
      </c>
      <c r="C485" s="138" t="s">
        <v>3913</v>
      </c>
      <c r="D485" s="138" t="s">
        <v>3914</v>
      </c>
      <c r="E485" s="138" t="s">
        <v>3943</v>
      </c>
      <c r="F485" s="138" t="s">
        <v>3831</v>
      </c>
      <c r="G485" s="138" t="s">
        <v>5202</v>
      </c>
      <c r="H485" s="81" t="str">
        <f t="shared" ref="H485:H491" si="50">CONCATENATE(A485,"-",B485,"-",C485,"-",D485,"-",E485,"-",F485,"-",G485)</f>
        <v>TCCN-PTE-PSG-SAG-CT2-INS-MVD</v>
      </c>
      <c r="I485" s="138" t="str">
        <f>MID(H485,1,(LEN(H485)-VLOOKUP(K485,datos!$B$2:$C$12,2,0)))</f>
        <v>TCCN-PTE-PSG-SAG-CT2-INS-MVD</v>
      </c>
      <c r="J485" s="138" t="s">
        <v>8096</v>
      </c>
      <c r="K485" s="140">
        <f>VLOOKUP(LEN(SUBSTITUTE(H485,"-","")),datos!$A$1:$B$12,2,0)</f>
        <v>7</v>
      </c>
      <c r="L485" s="138" t="s">
        <v>6804</v>
      </c>
      <c r="M485" s="138" t="s">
        <v>0</v>
      </c>
    </row>
    <row r="486" spans="1:13" x14ac:dyDescent="0.35">
      <c r="A486" s="138" t="s">
        <v>487</v>
      </c>
      <c r="B486" s="138" t="s">
        <v>3809</v>
      </c>
      <c r="C486" s="138" t="s">
        <v>3913</v>
      </c>
      <c r="D486" s="138" t="s">
        <v>3914</v>
      </c>
      <c r="E486" s="138" t="s">
        <v>3943</v>
      </c>
      <c r="F486" s="138" t="s">
        <v>3831</v>
      </c>
      <c r="G486" s="138" t="s">
        <v>5256</v>
      </c>
      <c r="H486" s="81" t="str">
        <f t="shared" ref="H486:H489" si="51">CONCATENATE(A486,"-",B486,"-",C486,"-",D486,"-",E486,"-",F486,"-",G486)</f>
        <v>TCCN-PTE-PSG-SAG-CT2-INS-MNV</v>
      </c>
      <c r="I486" s="138" t="str">
        <f>MID(H486,1,(LEN(H486)-VLOOKUP(K486,datos!$B$2:$C$12,2,0)))</f>
        <v>TCCN-PTE-PSG-SAG-CT2-INS-MNV</v>
      </c>
      <c r="J486" s="138" t="s">
        <v>7642</v>
      </c>
      <c r="K486" s="140">
        <f>VLOOKUP(LEN(SUBSTITUTE(H486,"-","")),datos!$A$1:$B$12,2,0)</f>
        <v>7</v>
      </c>
      <c r="L486" s="138" t="s">
        <v>6809</v>
      </c>
      <c r="M486" s="138" t="s">
        <v>0</v>
      </c>
    </row>
    <row r="487" spans="1:13" x14ac:dyDescent="0.35">
      <c r="A487" s="138" t="s">
        <v>487</v>
      </c>
      <c r="B487" s="138" t="s">
        <v>3809</v>
      </c>
      <c r="C487" s="138" t="s">
        <v>3913</v>
      </c>
      <c r="D487" s="138" t="s">
        <v>3914</v>
      </c>
      <c r="E487" s="138" t="s">
        <v>3943</v>
      </c>
      <c r="F487" s="138" t="s">
        <v>3831</v>
      </c>
      <c r="G487" s="138" t="s">
        <v>4087</v>
      </c>
      <c r="H487" s="81" t="str">
        <f t="shared" si="51"/>
        <v>TCCN-PTE-PSG-SAG-CT2-INS-ICO</v>
      </c>
      <c r="I487" s="138" t="str">
        <f>MID(H487,1,(LEN(H487)-VLOOKUP(K487,datos!$B$2:$C$12,2,0)))</f>
        <v>TCCN-PTE-PSG-SAG-CT2-INS-ICO</v>
      </c>
      <c r="J487" s="138" t="s">
        <v>6810</v>
      </c>
      <c r="K487" s="140">
        <f>VLOOKUP(LEN(SUBSTITUTE(H487,"-","")),datos!$A$1:$B$12,2,0)</f>
        <v>7</v>
      </c>
      <c r="L487" s="138" t="s">
        <v>6805</v>
      </c>
      <c r="M487" s="138" t="s">
        <v>0</v>
      </c>
    </row>
    <row r="488" spans="1:13" x14ac:dyDescent="0.35">
      <c r="A488" s="138" t="s">
        <v>487</v>
      </c>
      <c r="B488" s="138" t="s">
        <v>3809</v>
      </c>
      <c r="C488" s="138" t="s">
        <v>3913</v>
      </c>
      <c r="D488" s="138" t="s">
        <v>3914</v>
      </c>
      <c r="E488" s="138" t="s">
        <v>3943</v>
      </c>
      <c r="F488" s="138" t="s">
        <v>3831</v>
      </c>
      <c r="G488" s="138" t="s">
        <v>4342</v>
      </c>
      <c r="H488" s="81" t="str">
        <f t="shared" si="51"/>
        <v>TCCN-PTE-PSG-SAG-CT2-INS-PEM</v>
      </c>
      <c r="I488" s="138" t="str">
        <f>MID(H488,1,(LEN(H488)-VLOOKUP(K488,datos!$B$2:$C$12,2,0)))</f>
        <v>TCCN-PTE-PSG-SAG-CT2-INS-PEM</v>
      </c>
      <c r="J488" s="138" t="s">
        <v>6872</v>
      </c>
      <c r="K488" s="140">
        <f>VLOOKUP(LEN(SUBSTITUTE(H488,"-","")),datos!$A$1:$B$12,2,0)</f>
        <v>7</v>
      </c>
      <c r="L488" s="138" t="s">
        <v>6806</v>
      </c>
      <c r="M488" s="138" t="s">
        <v>0</v>
      </c>
    </row>
    <row r="489" spans="1:13" x14ac:dyDescent="0.35">
      <c r="A489" s="138" t="s">
        <v>487</v>
      </c>
      <c r="B489" s="138" t="s">
        <v>3809</v>
      </c>
      <c r="C489" s="138" t="s">
        <v>3913</v>
      </c>
      <c r="D489" s="138" t="s">
        <v>3914</v>
      </c>
      <c r="E489" s="138" t="s">
        <v>3943</v>
      </c>
      <c r="F489" s="138" t="s">
        <v>3831</v>
      </c>
      <c r="G489" s="138" t="s">
        <v>6813</v>
      </c>
      <c r="H489" s="81" t="str">
        <f t="shared" si="51"/>
        <v>TCCN-PTE-PSG-SAG-CT2-INS-IDE</v>
      </c>
      <c r="I489" s="138" t="str">
        <f>MID(H489,1,(LEN(H489)-VLOOKUP(K489,datos!$B$2:$C$12,2,0)))</f>
        <v>TCCN-PTE-PSG-SAG-CT2-INS-IDE</v>
      </c>
      <c r="J489" s="138" t="s">
        <v>6811</v>
      </c>
      <c r="K489" s="140">
        <f>VLOOKUP(LEN(SUBSTITUTE(H489,"-","")),datos!$A$1:$B$12,2,0)</f>
        <v>7</v>
      </c>
      <c r="L489" s="138" t="s">
        <v>8126</v>
      </c>
      <c r="M489" s="138" t="s">
        <v>0</v>
      </c>
    </row>
    <row r="490" spans="1:13" x14ac:dyDescent="0.35">
      <c r="A490" s="138" t="s">
        <v>487</v>
      </c>
      <c r="B490" s="138" t="s">
        <v>3809</v>
      </c>
      <c r="C490" s="138" t="s">
        <v>3913</v>
      </c>
      <c r="D490" s="138" t="s">
        <v>3914</v>
      </c>
      <c r="E490" s="138" t="s">
        <v>3943</v>
      </c>
      <c r="F490" s="138" t="s">
        <v>3831</v>
      </c>
      <c r="G490" s="138" t="s">
        <v>4088</v>
      </c>
      <c r="H490" s="81" t="str">
        <f t="shared" si="50"/>
        <v>TCCN-PTE-PSG-SAG-CT2-INS-BYB</v>
      </c>
      <c r="I490" s="138" t="str">
        <f>MID(H490,1,(LEN(H490)-VLOOKUP(K490,datos!$B$2:$C$12,2,0)))</f>
        <v>TCCN-PTE-PSG-SAG-CT2-INS-BYB</v>
      </c>
      <c r="J490" s="138" t="s">
        <v>6812</v>
      </c>
      <c r="K490" s="140">
        <f>VLOOKUP(LEN(SUBSTITUTE(H490,"-","")),datos!$A$1:$B$12,2,0)</f>
        <v>7</v>
      </c>
      <c r="L490" s="138" t="s">
        <v>6858</v>
      </c>
      <c r="M490" s="138" t="s">
        <v>0</v>
      </c>
    </row>
    <row r="491" spans="1:13" x14ac:dyDescent="0.35">
      <c r="A491" s="138" t="s">
        <v>487</v>
      </c>
      <c r="B491" s="138" t="s">
        <v>3809</v>
      </c>
      <c r="C491" s="138" t="s">
        <v>3913</v>
      </c>
      <c r="D491" s="138" t="s">
        <v>3914</v>
      </c>
      <c r="E491" s="138" t="s">
        <v>3943</v>
      </c>
      <c r="F491" s="138" t="s">
        <v>3831</v>
      </c>
      <c r="G491" s="138" t="s">
        <v>6814</v>
      </c>
      <c r="H491" s="81" t="str">
        <f t="shared" si="50"/>
        <v>TCCN-PTE-PSG-SAG-CT2-INS-SAM</v>
      </c>
      <c r="I491" s="138" t="str">
        <f>MID(H491,1,(LEN(H491)-VLOOKUP(K491,datos!$B$2:$C$12,2,0)))</f>
        <v>TCCN-PTE-PSG-SAG-CT2-INS-SAM</v>
      </c>
      <c r="J491" s="138" t="s">
        <v>6835</v>
      </c>
      <c r="K491" s="140">
        <f>VLOOKUP(LEN(SUBSTITUTE(H491,"-","")),datos!$A$1:$B$12,2,0)</f>
        <v>7</v>
      </c>
      <c r="L491" s="138" t="s">
        <v>6808</v>
      </c>
      <c r="M491" s="138" t="s">
        <v>0</v>
      </c>
    </row>
    <row r="492" spans="1:13" customFormat="1" ht="14.5" x14ac:dyDescent="0.35">
      <c r="A492" s="129" t="s">
        <v>487</v>
      </c>
      <c r="B492" s="129" t="s">
        <v>3809</v>
      </c>
      <c r="C492" s="129" t="s">
        <v>3913</v>
      </c>
      <c r="D492" s="129" t="s">
        <v>3914</v>
      </c>
      <c r="E492" s="129" t="s">
        <v>3944</v>
      </c>
      <c r="F492" s="129"/>
      <c r="G492" s="129"/>
      <c r="H492" s="83" t="str">
        <f t="shared" si="37"/>
        <v>TCCN-PTE-PSG-SAG-CT3--</v>
      </c>
      <c r="I492" s="129" t="str">
        <f>MID(H492,1,(LEN(H492)-VLOOKUP(K492,datos!$B$2:$C$12,2,0)))</f>
        <v>TCCN-PTE-PSG-SAG-CT3</v>
      </c>
      <c r="J492" s="129" t="s">
        <v>4816</v>
      </c>
      <c r="K492" s="130">
        <f>VLOOKUP(LEN(SUBSTITUTE(H492,"-","")),datos!$A$1:$B$12,2,0)</f>
        <v>5</v>
      </c>
      <c r="L492" s="129" t="s">
        <v>129</v>
      </c>
      <c r="M492" s="129" t="s">
        <v>0</v>
      </c>
    </row>
    <row r="493" spans="1:13" x14ac:dyDescent="0.35">
      <c r="A493" s="137" t="s">
        <v>487</v>
      </c>
      <c r="B493" s="137" t="s">
        <v>3809</v>
      </c>
      <c r="C493" s="137" t="s">
        <v>3913</v>
      </c>
      <c r="D493" s="137" t="s">
        <v>3914</v>
      </c>
      <c r="E493" s="137" t="s">
        <v>3944</v>
      </c>
      <c r="F493" s="137" t="s">
        <v>3824</v>
      </c>
      <c r="G493" s="137"/>
      <c r="H493" s="82" t="str">
        <f t="shared" si="37"/>
        <v>TCCN-PTE-PSG-SAG-CT3-SES-</v>
      </c>
      <c r="I493" s="137" t="str">
        <f>MID(H493,1,(LEN(H493)-VLOOKUP(K493,datos!$B$2:$C$12,2,0)))</f>
        <v>TCCN-PTE-PSG-SAG-CT3-SES</v>
      </c>
      <c r="J493" s="137" t="s">
        <v>5721</v>
      </c>
      <c r="K493" s="139">
        <f>VLOOKUP(LEN(SUBSTITUTE(H493,"-","")),datos!$A$1:$B$12,2,0)</f>
        <v>6</v>
      </c>
      <c r="L493" s="137"/>
      <c r="M493" s="137" t="s">
        <v>0</v>
      </c>
    </row>
    <row r="494" spans="1:13" x14ac:dyDescent="0.35">
      <c r="A494" s="138" t="s">
        <v>487</v>
      </c>
      <c r="B494" s="138" t="s">
        <v>3809</v>
      </c>
      <c r="C494" s="138" t="s">
        <v>3913</v>
      </c>
      <c r="D494" s="138" t="s">
        <v>3914</v>
      </c>
      <c r="E494" s="138" t="s">
        <v>3944</v>
      </c>
      <c r="F494" s="138" t="s">
        <v>3824</v>
      </c>
      <c r="G494" s="138" t="s">
        <v>3853</v>
      </c>
      <c r="H494" s="81" t="str">
        <f t="shared" si="37"/>
        <v>TCCN-PTE-PSG-SAG-CT3-SES-EST</v>
      </c>
      <c r="I494" s="138" t="str">
        <f>MID(H494,1,(LEN(H494)-VLOOKUP(K494,datos!$B$2:$C$12,2,0)))</f>
        <v>TCCN-PTE-PSG-SAG-CT3-SES-EST</v>
      </c>
      <c r="J494" s="138" t="s">
        <v>5722</v>
      </c>
      <c r="K494" s="140">
        <f>VLOOKUP(LEN(SUBSTITUTE(H494,"-","")),datos!$A$1:$B$12,2,0)</f>
        <v>7</v>
      </c>
      <c r="L494" s="138"/>
      <c r="M494" s="138" t="s">
        <v>0</v>
      </c>
    </row>
    <row r="495" spans="1:13" x14ac:dyDescent="0.35">
      <c r="A495" s="138" t="s">
        <v>487</v>
      </c>
      <c r="B495" s="138" t="s">
        <v>3809</v>
      </c>
      <c r="C495" s="138" t="s">
        <v>3913</v>
      </c>
      <c r="D495" s="138" t="s">
        <v>3914</v>
      </c>
      <c r="E495" s="138" t="s">
        <v>3944</v>
      </c>
      <c r="F495" s="138" t="s">
        <v>3824</v>
      </c>
      <c r="G495" s="138" t="s">
        <v>3842</v>
      </c>
      <c r="H495" s="81" t="str">
        <f t="shared" si="37"/>
        <v>TCCN-PTE-PSG-SAG-CT3-SES-CH1</v>
      </c>
      <c r="I495" s="138" t="str">
        <f>MID(H495,1,(LEN(H495)-VLOOKUP(K495,datos!$B$2:$C$12,2,0)))</f>
        <v>TCCN-PTE-PSG-SAG-CT3-SES-CH1</v>
      </c>
      <c r="J495" s="138" t="s">
        <v>5724</v>
      </c>
      <c r="K495" s="140">
        <f>VLOOKUP(LEN(SUBSTITUTE(H495,"-","")),datos!$A$1:$B$12,2,0)</f>
        <v>7</v>
      </c>
      <c r="L495" s="138" t="s">
        <v>131</v>
      </c>
      <c r="M495" s="138" t="s">
        <v>0</v>
      </c>
    </row>
    <row r="496" spans="1:13" x14ac:dyDescent="0.35">
      <c r="A496" s="138" t="s">
        <v>487</v>
      </c>
      <c r="B496" s="138" t="s">
        <v>3809</v>
      </c>
      <c r="C496" s="138" t="s">
        <v>3913</v>
      </c>
      <c r="D496" s="138" t="s">
        <v>3914</v>
      </c>
      <c r="E496" s="138" t="s">
        <v>3944</v>
      </c>
      <c r="F496" s="138" t="s">
        <v>3824</v>
      </c>
      <c r="G496" s="138" t="s">
        <v>3843</v>
      </c>
      <c r="H496" s="81" t="str">
        <f t="shared" ref="H496" si="52">CONCATENATE(A496,"-",B496,"-",C496,"-",D496,"-",E496,"-",F496,"-",G496)</f>
        <v>TCCN-PTE-PSG-SAG-CT3-SES-CH2</v>
      </c>
      <c r="I496" s="138" t="str">
        <f>MID(H496,1,(LEN(H496)-VLOOKUP(K496,datos!$B$2:$C$12,2,0)))</f>
        <v>TCCN-PTE-PSG-SAG-CT3-SES-CH2</v>
      </c>
      <c r="J496" s="138" t="s">
        <v>7074</v>
      </c>
      <c r="K496" s="140">
        <f>VLOOKUP(LEN(SUBSTITUTE(H496,"-","")),datos!$A$1:$B$12,2,0)</f>
        <v>7</v>
      </c>
      <c r="L496" s="138" t="s">
        <v>7073</v>
      </c>
      <c r="M496" s="138" t="s">
        <v>0</v>
      </c>
    </row>
    <row r="497" spans="1:13" x14ac:dyDescent="0.35">
      <c r="A497" s="137" t="s">
        <v>487</v>
      </c>
      <c r="B497" s="137" t="s">
        <v>3809</v>
      </c>
      <c r="C497" s="137" t="s">
        <v>3913</v>
      </c>
      <c r="D497" s="137" t="s">
        <v>3914</v>
      </c>
      <c r="E497" s="137" t="s">
        <v>3944</v>
      </c>
      <c r="F497" s="137" t="s">
        <v>3854</v>
      </c>
      <c r="G497" s="137"/>
      <c r="H497" s="82" t="str">
        <f t="shared" si="37"/>
        <v>TCCN-PTE-PSG-SAG-CT3-STR-</v>
      </c>
      <c r="I497" s="137" t="str">
        <f>MID(H497,1,(LEN(H497)-VLOOKUP(K497,datos!$B$2:$C$12,2,0)))</f>
        <v>TCCN-PTE-PSG-SAG-CT3-STR</v>
      </c>
      <c r="J497" s="137" t="s">
        <v>5725</v>
      </c>
      <c r="K497" s="139">
        <f>VLOOKUP(LEN(SUBSTITUTE(H497,"-","")),datos!$A$1:$B$12,2,0)</f>
        <v>6</v>
      </c>
      <c r="L497" s="137"/>
      <c r="M497" s="137" t="s">
        <v>0</v>
      </c>
    </row>
    <row r="498" spans="1:13" x14ac:dyDescent="0.35">
      <c r="A498" s="138" t="s">
        <v>487</v>
      </c>
      <c r="B498" s="138" t="s">
        <v>3809</v>
      </c>
      <c r="C498" s="138" t="s">
        <v>3913</v>
      </c>
      <c r="D498" s="138" t="s">
        <v>3914</v>
      </c>
      <c r="E498" s="138" t="s">
        <v>3944</v>
      </c>
      <c r="F498" s="138" t="s">
        <v>3854</v>
      </c>
      <c r="G498" s="138" t="s">
        <v>3855</v>
      </c>
      <c r="H498" s="81" t="str">
        <f t="shared" si="37"/>
        <v>TCCN-PTE-PSG-SAG-CT3-STR-CTA</v>
      </c>
      <c r="I498" s="138" t="str">
        <f>MID(H498,1,(LEN(H498)-VLOOKUP(K498,datos!$B$2:$C$12,2,0)))</f>
        <v>TCCN-PTE-PSG-SAG-CT3-STR-CTA</v>
      </c>
      <c r="J498" s="138" t="s">
        <v>5726</v>
      </c>
      <c r="K498" s="140">
        <f>VLOOKUP(LEN(SUBSTITUTE(H498,"-","")),datos!$A$1:$B$12,2,0)</f>
        <v>7</v>
      </c>
      <c r="L498" s="138"/>
      <c r="M498" s="138" t="s">
        <v>0</v>
      </c>
    </row>
    <row r="499" spans="1:13" x14ac:dyDescent="0.35">
      <c r="A499" s="138" t="s">
        <v>487</v>
      </c>
      <c r="B499" s="138" t="s">
        <v>3809</v>
      </c>
      <c r="C499" s="138" t="s">
        <v>3913</v>
      </c>
      <c r="D499" s="138" t="s">
        <v>3914</v>
      </c>
      <c r="E499" s="138" t="s">
        <v>3944</v>
      </c>
      <c r="F499" s="138" t="s">
        <v>3854</v>
      </c>
      <c r="G499" s="138" t="s">
        <v>3857</v>
      </c>
      <c r="H499" s="81" t="str">
        <f t="shared" si="37"/>
        <v>TCCN-PTE-PSG-SAG-CT3-STR-PCO</v>
      </c>
      <c r="I499" s="138" t="str">
        <f>MID(H499,1,(LEN(H499)-VLOOKUP(K499,datos!$B$2:$C$12,2,0)))</f>
        <v>TCCN-PTE-PSG-SAG-CT3-STR-PCO</v>
      </c>
      <c r="J499" s="138" t="s">
        <v>5727</v>
      </c>
      <c r="K499" s="140">
        <f>VLOOKUP(LEN(SUBSTITUTE(H499,"-","")),datos!$A$1:$B$12,2,0)</f>
        <v>7</v>
      </c>
      <c r="L499" s="138"/>
      <c r="M499" s="138" t="s">
        <v>0</v>
      </c>
    </row>
    <row r="500" spans="1:13" x14ac:dyDescent="0.35">
      <c r="A500" s="138" t="s">
        <v>487</v>
      </c>
      <c r="B500" s="138" t="s">
        <v>3809</v>
      </c>
      <c r="C500" s="138" t="s">
        <v>3913</v>
      </c>
      <c r="D500" s="138" t="s">
        <v>3914</v>
      </c>
      <c r="E500" s="138" t="s">
        <v>3944</v>
      </c>
      <c r="F500" s="138" t="s">
        <v>3854</v>
      </c>
      <c r="G500" s="138" t="s">
        <v>3858</v>
      </c>
      <c r="H500" s="81" t="str">
        <f t="shared" si="37"/>
        <v>TCCN-PTE-PSG-SAG-CT3-STR-PDF</v>
      </c>
      <c r="I500" s="138" t="str">
        <f>MID(H500,1,(LEN(H500)-VLOOKUP(K500,datos!$B$2:$C$12,2,0)))</f>
        <v>TCCN-PTE-PSG-SAG-CT3-STR-PDF</v>
      </c>
      <c r="J500" s="138" t="s">
        <v>5728</v>
      </c>
      <c r="K500" s="140">
        <f>VLOOKUP(LEN(SUBSTITUTE(H500,"-","")),datos!$A$1:$B$12,2,0)</f>
        <v>7</v>
      </c>
      <c r="L500" s="138"/>
      <c r="M500" s="138" t="s">
        <v>0</v>
      </c>
    </row>
    <row r="501" spans="1:13" x14ac:dyDescent="0.35">
      <c r="A501" s="138" t="s">
        <v>487</v>
      </c>
      <c r="B501" s="138" t="s">
        <v>3809</v>
      </c>
      <c r="C501" s="138" t="s">
        <v>3913</v>
      </c>
      <c r="D501" s="138" t="s">
        <v>3914</v>
      </c>
      <c r="E501" s="138" t="s">
        <v>3944</v>
      </c>
      <c r="F501" s="138" t="s">
        <v>3854</v>
      </c>
      <c r="G501" s="138" t="s">
        <v>3827</v>
      </c>
      <c r="H501" s="81" t="str">
        <f t="shared" si="37"/>
        <v>TCCN-PTE-PSG-SAG-CT3-STR-RUE</v>
      </c>
      <c r="I501" s="138" t="str">
        <f>MID(H501,1,(LEN(H501)-VLOOKUP(K501,datos!$B$2:$C$12,2,0)))</f>
        <v>TCCN-PTE-PSG-SAG-CT3-STR-RUE</v>
      </c>
      <c r="J501" s="138" t="s">
        <v>5729</v>
      </c>
      <c r="K501" s="140">
        <f>VLOOKUP(LEN(SUBSTITUTE(H501,"-","")),datos!$A$1:$B$12,2,0)</f>
        <v>7</v>
      </c>
      <c r="L501" s="138"/>
      <c r="M501" s="138" t="s">
        <v>0</v>
      </c>
    </row>
    <row r="502" spans="1:13" x14ac:dyDescent="0.35">
      <c r="A502" s="138" t="s">
        <v>487</v>
      </c>
      <c r="B502" s="138" t="s">
        <v>3809</v>
      </c>
      <c r="C502" s="138" t="s">
        <v>3913</v>
      </c>
      <c r="D502" s="138" t="s">
        <v>3914</v>
      </c>
      <c r="E502" s="138" t="s">
        <v>3944</v>
      </c>
      <c r="F502" s="138" t="s">
        <v>3854</v>
      </c>
      <c r="G502" s="138" t="s">
        <v>3922</v>
      </c>
      <c r="H502" s="81" t="str">
        <f t="shared" si="37"/>
        <v>TCCN-PTE-PSG-SAG-CT3-STR-PO1</v>
      </c>
      <c r="I502" s="138" t="str">
        <f>MID(H502,1,(LEN(H502)-VLOOKUP(K502,datos!$B$2:$C$12,2,0)))</f>
        <v>TCCN-PTE-PSG-SAG-CT3-STR-PO1</v>
      </c>
      <c r="J502" s="138" t="s">
        <v>6817</v>
      </c>
      <c r="K502" s="140">
        <f>VLOOKUP(LEN(SUBSTITUTE(H502,"-","")),datos!$A$1:$B$12,2,0)</f>
        <v>7</v>
      </c>
      <c r="L502" s="138"/>
      <c r="M502" s="138" t="s">
        <v>0</v>
      </c>
    </row>
    <row r="503" spans="1:13" x14ac:dyDescent="0.35">
      <c r="A503" s="138" t="s">
        <v>487</v>
      </c>
      <c r="B503" s="138" t="s">
        <v>3809</v>
      </c>
      <c r="C503" s="138" t="s">
        <v>3913</v>
      </c>
      <c r="D503" s="138" t="s">
        <v>3914</v>
      </c>
      <c r="E503" s="138" t="s">
        <v>3944</v>
      </c>
      <c r="F503" s="138" t="s">
        <v>3854</v>
      </c>
      <c r="G503" s="138" t="s">
        <v>3923</v>
      </c>
      <c r="H503" s="81" t="str">
        <f t="shared" si="37"/>
        <v>TCCN-PTE-PSG-SAG-CT3-STR-PO2</v>
      </c>
      <c r="I503" s="138" t="str">
        <f>MID(H503,1,(LEN(H503)-VLOOKUP(K503,datos!$B$2:$C$12,2,0)))</f>
        <v>TCCN-PTE-PSG-SAG-CT3-STR-PO2</v>
      </c>
      <c r="J503" s="138" t="s">
        <v>5730</v>
      </c>
      <c r="K503" s="140">
        <f>VLOOKUP(LEN(SUBSTITUTE(H503,"-","")),datos!$A$1:$B$12,2,0)</f>
        <v>7</v>
      </c>
      <c r="L503" s="138"/>
      <c r="M503" s="138" t="s">
        <v>0</v>
      </c>
    </row>
    <row r="504" spans="1:13" x14ac:dyDescent="0.35">
      <c r="A504" s="138" t="s">
        <v>487</v>
      </c>
      <c r="B504" s="138" t="s">
        <v>3809</v>
      </c>
      <c r="C504" s="138" t="s">
        <v>3913</v>
      </c>
      <c r="D504" s="138" t="s">
        <v>3914</v>
      </c>
      <c r="E504" s="138" t="s">
        <v>3944</v>
      </c>
      <c r="F504" s="138" t="s">
        <v>3854</v>
      </c>
      <c r="G504" s="138" t="s">
        <v>3924</v>
      </c>
      <c r="H504" s="81" t="str">
        <f t="shared" si="37"/>
        <v>TCCN-PTE-PSG-SAG-CT3-STR-PO3</v>
      </c>
      <c r="I504" s="138" t="str">
        <f>MID(H504,1,(LEN(H504)-VLOOKUP(K504,datos!$B$2:$C$12,2,0)))</f>
        <v>TCCN-PTE-PSG-SAG-CT3-STR-PO3</v>
      </c>
      <c r="J504" s="138" t="s">
        <v>5731</v>
      </c>
      <c r="K504" s="140">
        <f>VLOOKUP(LEN(SUBSTITUTE(H504,"-","")),datos!$A$1:$B$12,2,0)</f>
        <v>7</v>
      </c>
      <c r="L504" s="138"/>
      <c r="M504" s="138" t="s">
        <v>0</v>
      </c>
    </row>
    <row r="505" spans="1:13" x14ac:dyDescent="0.35">
      <c r="A505" s="138" t="s">
        <v>487</v>
      </c>
      <c r="B505" s="138" t="s">
        <v>3809</v>
      </c>
      <c r="C505" s="138" t="s">
        <v>3913</v>
      </c>
      <c r="D505" s="138" t="s">
        <v>3914</v>
      </c>
      <c r="E505" s="138" t="s">
        <v>3944</v>
      </c>
      <c r="F505" s="138" t="s">
        <v>3854</v>
      </c>
      <c r="G505" s="138" t="s">
        <v>3925</v>
      </c>
      <c r="H505" s="81" t="str">
        <f t="shared" ref="H505:H650" si="53">CONCATENATE(A505,"-",B505,"-",C505,"-",D505,"-",E505,"-",F505,"-",G505)</f>
        <v>TCCN-PTE-PSG-SAG-CT3-STR-PO4</v>
      </c>
      <c r="I505" s="138" t="str">
        <f>MID(H505,1,(LEN(H505)-VLOOKUP(K505,datos!$B$2:$C$12,2,0)))</f>
        <v>TCCN-PTE-PSG-SAG-CT3-STR-PO4</v>
      </c>
      <c r="J505" s="138" t="s">
        <v>5732</v>
      </c>
      <c r="K505" s="140">
        <f>VLOOKUP(LEN(SUBSTITUTE(H505,"-","")),datos!$A$1:$B$12,2,0)</f>
        <v>7</v>
      </c>
      <c r="L505" s="138"/>
      <c r="M505" s="138" t="s">
        <v>0</v>
      </c>
    </row>
    <row r="506" spans="1:13" x14ac:dyDescent="0.35">
      <c r="A506" s="138" t="s">
        <v>487</v>
      </c>
      <c r="B506" s="138" t="s">
        <v>3809</v>
      </c>
      <c r="C506" s="138" t="s">
        <v>3913</v>
      </c>
      <c r="D506" s="138" t="s">
        <v>3914</v>
      </c>
      <c r="E506" s="138" t="s">
        <v>3944</v>
      </c>
      <c r="F506" s="138" t="s">
        <v>3854</v>
      </c>
      <c r="G506" s="138" t="s">
        <v>3926</v>
      </c>
      <c r="H506" s="81" t="str">
        <f t="shared" si="53"/>
        <v>TCCN-PTE-PSG-SAG-CT3-STR-PO5</v>
      </c>
      <c r="I506" s="138" t="str">
        <f>MID(H506,1,(LEN(H506)-VLOOKUP(K506,datos!$B$2:$C$12,2,0)))</f>
        <v>TCCN-PTE-PSG-SAG-CT3-STR-PO5</v>
      </c>
      <c r="J506" s="138" t="s">
        <v>5733</v>
      </c>
      <c r="K506" s="140">
        <f>VLOOKUP(LEN(SUBSTITUTE(H506,"-","")),datos!$A$1:$B$12,2,0)</f>
        <v>7</v>
      </c>
      <c r="L506" s="138"/>
      <c r="M506" s="138" t="s">
        <v>0</v>
      </c>
    </row>
    <row r="507" spans="1:13" x14ac:dyDescent="0.35">
      <c r="A507" s="138" t="s">
        <v>487</v>
      </c>
      <c r="B507" s="138" t="s">
        <v>3809</v>
      </c>
      <c r="C507" s="138" t="s">
        <v>3913</v>
      </c>
      <c r="D507" s="138" t="s">
        <v>3914</v>
      </c>
      <c r="E507" s="138" t="s">
        <v>3944</v>
      </c>
      <c r="F507" s="138" t="s">
        <v>3854</v>
      </c>
      <c r="G507" s="138" t="s">
        <v>3927</v>
      </c>
      <c r="H507" s="81" t="str">
        <f t="shared" si="53"/>
        <v>TCCN-PTE-PSG-SAG-CT3-STR-PO6</v>
      </c>
      <c r="I507" s="138" t="str">
        <f>MID(H507,1,(LEN(H507)-VLOOKUP(K507,datos!$B$2:$C$12,2,0)))</f>
        <v>TCCN-PTE-PSG-SAG-CT3-STR-PO6</v>
      </c>
      <c r="J507" s="138" t="s">
        <v>5734</v>
      </c>
      <c r="K507" s="140">
        <f>VLOOKUP(LEN(SUBSTITUTE(H507,"-","")),datos!$A$1:$B$12,2,0)</f>
        <v>7</v>
      </c>
      <c r="L507" s="138"/>
      <c r="M507" s="138" t="s">
        <v>0</v>
      </c>
    </row>
    <row r="508" spans="1:13" x14ac:dyDescent="0.35">
      <c r="A508" s="138" t="s">
        <v>487</v>
      </c>
      <c r="B508" s="138" t="s">
        <v>3809</v>
      </c>
      <c r="C508" s="138" t="s">
        <v>3913</v>
      </c>
      <c r="D508" s="138" t="s">
        <v>3914</v>
      </c>
      <c r="E508" s="138" t="s">
        <v>3944</v>
      </c>
      <c r="F508" s="138" t="s">
        <v>3854</v>
      </c>
      <c r="G508" s="138" t="s">
        <v>6787</v>
      </c>
      <c r="H508" s="81" t="str">
        <f>CONCATENATE(A508,"-",B508,"-",C508,"-",D508,"-",E508,"-",F508,"-",G508)</f>
        <v>TCCN-PTE-PSG-SAG-CT3-STR-RAS</v>
      </c>
      <c r="I508" s="138" t="str">
        <f>MID(H508,1,(LEN(H508)-VLOOKUP(K508,datos!$B$2:$C$12,2,0)))</f>
        <v>TCCN-PTE-PSG-SAG-CT3-STR-RAS</v>
      </c>
      <c r="J508" s="138" t="s">
        <v>5723</v>
      </c>
      <c r="K508" s="140">
        <f>VLOOKUP(LEN(SUBSTITUTE(H508,"-","")),datos!$A$1:$B$12,2,0)</f>
        <v>7</v>
      </c>
      <c r="L508" s="138"/>
      <c r="M508" s="138" t="s">
        <v>0</v>
      </c>
    </row>
    <row r="509" spans="1:13" x14ac:dyDescent="0.35">
      <c r="A509" s="137" t="s">
        <v>487</v>
      </c>
      <c r="B509" s="137" t="s">
        <v>3809</v>
      </c>
      <c r="C509" s="137" t="s">
        <v>3913</v>
      </c>
      <c r="D509" s="137" t="s">
        <v>3914</v>
      </c>
      <c r="E509" s="137" t="s">
        <v>3944</v>
      </c>
      <c r="F509" s="137" t="s">
        <v>3859</v>
      </c>
      <c r="G509" s="137"/>
      <c r="H509" s="82" t="str">
        <f t="shared" si="53"/>
        <v>TCCN-PTE-PSG-SAG-CT3-STE-</v>
      </c>
      <c r="I509" s="137" t="str">
        <f>MID(H509,1,(LEN(H509)-VLOOKUP(K509,datos!$B$2:$C$12,2,0)))</f>
        <v>TCCN-PTE-PSG-SAG-CT3-STE</v>
      </c>
      <c r="J509" s="137" t="s">
        <v>5735</v>
      </c>
      <c r="K509" s="139">
        <f>VLOOKUP(LEN(SUBSTITUTE(H509,"-","")),datos!$A$1:$B$12,2,0)</f>
        <v>6</v>
      </c>
      <c r="L509" s="137"/>
      <c r="M509" s="137" t="s">
        <v>0</v>
      </c>
    </row>
    <row r="510" spans="1:13" x14ac:dyDescent="0.35">
      <c r="A510" s="138" t="s">
        <v>487</v>
      </c>
      <c r="B510" s="138" t="s">
        <v>3809</v>
      </c>
      <c r="C510" s="138" t="s">
        <v>3913</v>
      </c>
      <c r="D510" s="138" t="s">
        <v>3914</v>
      </c>
      <c r="E510" s="138" t="s">
        <v>3944</v>
      </c>
      <c r="F510" s="138" t="s">
        <v>3859</v>
      </c>
      <c r="G510" s="138" t="s">
        <v>3860</v>
      </c>
      <c r="H510" s="81" t="str">
        <f t="shared" si="53"/>
        <v>TCCN-PTE-PSG-SAG-CT3-STE-TEN</v>
      </c>
      <c r="I510" s="138" t="str">
        <f>MID(H510,1,(LEN(H510)-VLOOKUP(K510,datos!$B$2:$C$12,2,0)))</f>
        <v>TCCN-PTE-PSG-SAG-CT3-STE-TEN</v>
      </c>
      <c r="J510" s="138" t="s">
        <v>5736</v>
      </c>
      <c r="K510" s="140">
        <f>VLOOKUP(LEN(SUBSTITUTE(H510,"-","")),datos!$A$1:$B$12,2,0)</f>
        <v>7</v>
      </c>
      <c r="L510" s="138"/>
      <c r="M510" s="138" t="s">
        <v>0</v>
      </c>
    </row>
    <row r="511" spans="1:13" x14ac:dyDescent="0.35">
      <c r="A511" s="137" t="s">
        <v>487</v>
      </c>
      <c r="B511" s="137" t="s">
        <v>3809</v>
      </c>
      <c r="C511" s="137" t="s">
        <v>3913</v>
      </c>
      <c r="D511" s="137" t="s">
        <v>3914</v>
      </c>
      <c r="E511" s="137" t="s">
        <v>3944</v>
      </c>
      <c r="F511" s="137" t="s">
        <v>3847</v>
      </c>
      <c r="G511" s="137"/>
      <c r="H511" s="82" t="str">
        <f t="shared" si="53"/>
        <v>TCCN-PTE-PSG-SAG-CT3-SMO-</v>
      </c>
      <c r="I511" s="137" t="str">
        <f>MID(H511,1,(LEN(H511)-VLOOKUP(K511,datos!$B$2:$C$12,2,0)))</f>
        <v>TCCN-PTE-PSG-SAG-CT3-SMO</v>
      </c>
      <c r="J511" s="137" t="s">
        <v>5737</v>
      </c>
      <c r="K511" s="139">
        <f>VLOOKUP(LEN(SUBSTITUTE(H511,"-","")),datos!$A$1:$B$12,2,0)</f>
        <v>6</v>
      </c>
      <c r="L511" s="137"/>
      <c r="M511" s="137" t="s">
        <v>0</v>
      </c>
    </row>
    <row r="512" spans="1:13" x14ac:dyDescent="0.35">
      <c r="A512" s="138" t="s">
        <v>487</v>
      </c>
      <c r="B512" s="138" t="s">
        <v>3809</v>
      </c>
      <c r="C512" s="138" t="s">
        <v>3913</v>
      </c>
      <c r="D512" s="138" t="s">
        <v>3914</v>
      </c>
      <c r="E512" s="138" t="s">
        <v>3944</v>
      </c>
      <c r="F512" s="138" t="s">
        <v>3847</v>
      </c>
      <c r="G512" s="138" t="s">
        <v>3819</v>
      </c>
      <c r="H512" s="81" t="str">
        <f t="shared" si="53"/>
        <v>TCCN-PTE-PSG-SAG-CT3-SMO-MOE</v>
      </c>
      <c r="I512" s="138" t="str">
        <f>MID(H512,1,(LEN(H512)-VLOOKUP(K512,datos!$B$2:$C$12,2,0)))</f>
        <v>TCCN-PTE-PSG-SAG-CT3-SMO-MOE</v>
      </c>
      <c r="J512" s="138" t="s">
        <v>5738</v>
      </c>
      <c r="K512" s="140">
        <f>VLOOKUP(LEN(SUBSTITUTE(H512,"-","")),datos!$A$1:$B$12,2,0)</f>
        <v>7</v>
      </c>
      <c r="L512" s="138" t="s">
        <v>6865</v>
      </c>
      <c r="M512" s="138" t="s">
        <v>0</v>
      </c>
    </row>
    <row r="513" spans="1:13" x14ac:dyDescent="0.35">
      <c r="A513" s="138" t="s">
        <v>487</v>
      </c>
      <c r="B513" s="138" t="s">
        <v>3809</v>
      </c>
      <c r="C513" s="138" t="s">
        <v>3913</v>
      </c>
      <c r="D513" s="138" t="s">
        <v>3914</v>
      </c>
      <c r="E513" s="138" t="s">
        <v>3944</v>
      </c>
      <c r="F513" s="138" t="s">
        <v>3847</v>
      </c>
      <c r="G513" s="138" t="s">
        <v>3861</v>
      </c>
      <c r="H513" s="81" t="str">
        <f t="shared" si="53"/>
        <v>TCCN-PTE-PSG-SAG-CT3-SMO-RED</v>
      </c>
      <c r="I513" s="138" t="str">
        <f>MID(H513,1,(LEN(H513)-VLOOKUP(K513,datos!$B$2:$C$12,2,0)))</f>
        <v>TCCN-PTE-PSG-SAG-CT3-SMO-RED</v>
      </c>
      <c r="J513" s="138" t="s">
        <v>5739</v>
      </c>
      <c r="K513" s="140">
        <f>VLOOKUP(LEN(SUBSTITUTE(H513,"-","")),datos!$A$1:$B$12,2,0)</f>
        <v>7</v>
      </c>
      <c r="L513" s="138"/>
      <c r="M513" s="138" t="s">
        <v>0</v>
      </c>
    </row>
    <row r="514" spans="1:13" x14ac:dyDescent="0.35">
      <c r="A514" s="138" t="s">
        <v>487</v>
      </c>
      <c r="B514" s="138" t="s">
        <v>3809</v>
      </c>
      <c r="C514" s="138" t="s">
        <v>3913</v>
      </c>
      <c r="D514" s="138" t="s">
        <v>3914</v>
      </c>
      <c r="E514" s="138" t="s">
        <v>3944</v>
      </c>
      <c r="F514" s="138" t="s">
        <v>3847</v>
      </c>
      <c r="G514" s="138" t="s">
        <v>3863</v>
      </c>
      <c r="H514" s="81" t="str">
        <f t="shared" si="53"/>
        <v>TCCN-PTE-PSG-SAG-CT3-SMO-FSE</v>
      </c>
      <c r="I514" s="138" t="str">
        <f>MID(H514,1,(LEN(H514)-VLOOKUP(K514,datos!$B$2:$C$12,2,0)))</f>
        <v>TCCN-PTE-PSG-SAG-CT3-SMO-FSE</v>
      </c>
      <c r="J514" s="138" t="s">
        <v>5740</v>
      </c>
      <c r="K514" s="140">
        <f>VLOOKUP(LEN(SUBSTITUTE(H514,"-","")),datos!$A$1:$B$12,2,0)</f>
        <v>7</v>
      </c>
      <c r="L514" s="138"/>
      <c r="M514" s="138" t="s">
        <v>0</v>
      </c>
    </row>
    <row r="515" spans="1:13" x14ac:dyDescent="0.35">
      <c r="A515" s="138" t="s">
        <v>487</v>
      </c>
      <c r="B515" s="138" t="s">
        <v>3809</v>
      </c>
      <c r="C515" s="138" t="s">
        <v>3913</v>
      </c>
      <c r="D515" s="138" t="s">
        <v>3914</v>
      </c>
      <c r="E515" s="138" t="s">
        <v>3944</v>
      </c>
      <c r="F515" s="138" t="s">
        <v>3847</v>
      </c>
      <c r="G515" s="138" t="s">
        <v>3864</v>
      </c>
      <c r="H515" s="81" t="str">
        <f t="shared" si="53"/>
        <v>TCCN-PTE-PSG-SAG-CT3-SMO-PMO</v>
      </c>
      <c r="I515" s="138" t="str">
        <f>MID(H515,1,(LEN(H515)-VLOOKUP(K515,datos!$B$2:$C$12,2,0)))</f>
        <v>TCCN-PTE-PSG-SAG-CT3-SMO-PMO</v>
      </c>
      <c r="J515" s="138" t="s">
        <v>5741</v>
      </c>
      <c r="K515" s="140">
        <f>VLOOKUP(LEN(SUBSTITUTE(H515,"-","")),datos!$A$1:$B$12,2,0)</f>
        <v>7</v>
      </c>
      <c r="L515" s="138"/>
      <c r="M515" s="138" t="s">
        <v>0</v>
      </c>
    </row>
    <row r="516" spans="1:13" x14ac:dyDescent="0.35">
      <c r="A516" s="137" t="s">
        <v>487</v>
      </c>
      <c r="B516" s="137" t="s">
        <v>3809</v>
      </c>
      <c r="C516" s="137" t="s">
        <v>3913</v>
      </c>
      <c r="D516" s="137" t="s">
        <v>3914</v>
      </c>
      <c r="E516" s="137" t="s">
        <v>3944</v>
      </c>
      <c r="F516" s="137" t="s">
        <v>3831</v>
      </c>
      <c r="G516" s="137"/>
      <c r="H516" s="82" t="str">
        <f t="shared" si="53"/>
        <v>TCCN-PTE-PSG-SAG-CT3-INS-</v>
      </c>
      <c r="I516" s="137" t="str">
        <f>MID(H516,1,(LEN(H516)-VLOOKUP(K516,datos!$B$2:$C$12,2,0)))</f>
        <v>TCCN-PTE-PSG-SAG-CT3-INS</v>
      </c>
      <c r="J516" s="137" t="s">
        <v>5742</v>
      </c>
      <c r="K516" s="139">
        <f>VLOOKUP(LEN(SUBSTITUTE(H516,"-","")),datos!$A$1:$B$12,2,0)</f>
        <v>6</v>
      </c>
      <c r="L516" s="137"/>
      <c r="M516" s="137" t="s">
        <v>0</v>
      </c>
    </row>
    <row r="517" spans="1:13" x14ac:dyDescent="0.35">
      <c r="A517" s="138" t="s">
        <v>487</v>
      </c>
      <c r="B517" s="138" t="s">
        <v>3809</v>
      </c>
      <c r="C517" s="138" t="s">
        <v>3913</v>
      </c>
      <c r="D517" s="138" t="s">
        <v>3914</v>
      </c>
      <c r="E517" s="138" t="s">
        <v>3944</v>
      </c>
      <c r="F517" s="138" t="s">
        <v>3831</v>
      </c>
      <c r="G517" s="138" t="s">
        <v>5202</v>
      </c>
      <c r="H517" s="81" t="str">
        <f t="shared" ref="H517:H523" si="54">CONCATENATE(A517,"-",B517,"-",C517,"-",D517,"-",E517,"-",F517,"-",G517)</f>
        <v>TCCN-PTE-PSG-SAG-CT3-INS-MVD</v>
      </c>
      <c r="I517" s="138" t="str">
        <f>MID(H517,1,(LEN(H517)-VLOOKUP(K517,datos!$B$2:$C$12,2,0)))</f>
        <v>TCCN-PTE-PSG-SAG-CT3-INS-MVD</v>
      </c>
      <c r="J517" s="138" t="s">
        <v>8097</v>
      </c>
      <c r="K517" s="140">
        <f>VLOOKUP(LEN(SUBSTITUTE(H517,"-","")),datos!$A$1:$B$12,2,0)</f>
        <v>7</v>
      </c>
      <c r="L517" s="138" t="s">
        <v>6815</v>
      </c>
      <c r="M517" s="138" t="s">
        <v>0</v>
      </c>
    </row>
    <row r="518" spans="1:13" x14ac:dyDescent="0.35">
      <c r="A518" s="138" t="s">
        <v>487</v>
      </c>
      <c r="B518" s="138" t="s">
        <v>3809</v>
      </c>
      <c r="C518" s="138" t="s">
        <v>3913</v>
      </c>
      <c r="D518" s="138" t="s">
        <v>3914</v>
      </c>
      <c r="E518" s="138" t="s">
        <v>3944</v>
      </c>
      <c r="F518" s="138" t="s">
        <v>3831</v>
      </c>
      <c r="G518" s="138" t="s">
        <v>5256</v>
      </c>
      <c r="H518" s="81" t="str">
        <f t="shared" si="54"/>
        <v>TCCN-PTE-PSG-SAG-CT3-INS-MNV</v>
      </c>
      <c r="I518" s="138" t="str">
        <f>MID(H518,1,(LEN(H518)-VLOOKUP(K518,datos!$B$2:$C$12,2,0)))</f>
        <v>TCCN-PTE-PSG-SAG-CT3-INS-MNV</v>
      </c>
      <c r="J518" s="138" t="s">
        <v>7643</v>
      </c>
      <c r="K518" s="140">
        <f>VLOOKUP(LEN(SUBSTITUTE(H518,"-","")),datos!$A$1:$B$12,2,0)</f>
        <v>7</v>
      </c>
      <c r="L518" s="138" t="s">
        <v>6819</v>
      </c>
      <c r="M518" s="138" t="s">
        <v>0</v>
      </c>
    </row>
    <row r="519" spans="1:13" x14ac:dyDescent="0.35">
      <c r="A519" s="138" t="s">
        <v>487</v>
      </c>
      <c r="B519" s="138" t="s">
        <v>3809</v>
      </c>
      <c r="C519" s="138" t="s">
        <v>3913</v>
      </c>
      <c r="D519" s="138" t="s">
        <v>3914</v>
      </c>
      <c r="E519" s="138" t="s">
        <v>3944</v>
      </c>
      <c r="F519" s="138" t="s">
        <v>3831</v>
      </c>
      <c r="G519" s="138" t="s">
        <v>4087</v>
      </c>
      <c r="H519" s="81" t="str">
        <f t="shared" si="54"/>
        <v>TCCN-PTE-PSG-SAG-CT3-INS-ICO</v>
      </c>
      <c r="I519" s="138" t="str">
        <f>MID(H519,1,(LEN(H519)-VLOOKUP(K519,datos!$B$2:$C$12,2,0)))</f>
        <v>TCCN-PTE-PSG-SAG-CT3-INS-ICO</v>
      </c>
      <c r="J519" s="138" t="s">
        <v>6825</v>
      </c>
      <c r="K519" s="140">
        <f>VLOOKUP(LEN(SUBSTITUTE(H519,"-","")),datos!$A$1:$B$12,2,0)</f>
        <v>7</v>
      </c>
      <c r="L519" s="138" t="s">
        <v>6816</v>
      </c>
      <c r="M519" s="138" t="s">
        <v>0</v>
      </c>
    </row>
    <row r="520" spans="1:13" x14ac:dyDescent="0.35">
      <c r="A520" s="138" t="s">
        <v>487</v>
      </c>
      <c r="B520" s="138" t="s">
        <v>3809</v>
      </c>
      <c r="C520" s="138" t="s">
        <v>3913</v>
      </c>
      <c r="D520" s="138" t="s">
        <v>3914</v>
      </c>
      <c r="E520" s="138" t="s">
        <v>3944</v>
      </c>
      <c r="F520" s="138" t="s">
        <v>3831</v>
      </c>
      <c r="G520" s="138" t="s">
        <v>4342</v>
      </c>
      <c r="H520" s="81" t="str">
        <f t="shared" si="54"/>
        <v>TCCN-PTE-PSG-SAG-CT3-INS-PEM</v>
      </c>
      <c r="I520" s="138" t="str">
        <f>MID(H520,1,(LEN(H520)-VLOOKUP(K520,datos!$B$2:$C$12,2,0)))</f>
        <v>TCCN-PTE-PSG-SAG-CT3-INS-PEM</v>
      </c>
      <c r="J520" s="138" t="s">
        <v>6873</v>
      </c>
      <c r="K520" s="140">
        <f>VLOOKUP(LEN(SUBSTITUTE(H520,"-","")),datos!$A$1:$B$12,2,0)</f>
        <v>7</v>
      </c>
      <c r="L520" s="138" t="s">
        <v>6818</v>
      </c>
      <c r="M520" s="138" t="s">
        <v>0</v>
      </c>
    </row>
    <row r="521" spans="1:13" x14ac:dyDescent="0.35">
      <c r="A521" s="138" t="s">
        <v>487</v>
      </c>
      <c r="B521" s="138" t="s">
        <v>3809</v>
      </c>
      <c r="C521" s="138" t="s">
        <v>3913</v>
      </c>
      <c r="D521" s="138" t="s">
        <v>3914</v>
      </c>
      <c r="E521" s="138" t="s">
        <v>3944</v>
      </c>
      <c r="F521" s="138" t="s">
        <v>3831</v>
      </c>
      <c r="G521" s="138" t="s">
        <v>6813</v>
      </c>
      <c r="H521" s="81" t="str">
        <f t="shared" si="54"/>
        <v>TCCN-PTE-PSG-SAG-CT3-INS-IDE</v>
      </c>
      <c r="I521" s="138" t="str">
        <f>MID(H521,1,(LEN(H521)-VLOOKUP(K521,datos!$B$2:$C$12,2,0)))</f>
        <v>TCCN-PTE-PSG-SAG-CT3-INS-IDE</v>
      </c>
      <c r="J521" s="138" t="s">
        <v>6826</v>
      </c>
      <c r="K521" s="140">
        <f>VLOOKUP(LEN(SUBSTITUTE(H521,"-","")),datos!$A$1:$B$12,2,0)</f>
        <v>7</v>
      </c>
      <c r="L521" s="138" t="s">
        <v>6807</v>
      </c>
      <c r="M521" s="138" t="s">
        <v>0</v>
      </c>
    </row>
    <row r="522" spans="1:13" x14ac:dyDescent="0.35">
      <c r="A522" s="138" t="s">
        <v>487</v>
      </c>
      <c r="B522" s="138" t="s">
        <v>3809</v>
      </c>
      <c r="C522" s="138" t="s">
        <v>3913</v>
      </c>
      <c r="D522" s="138" t="s">
        <v>3914</v>
      </c>
      <c r="E522" s="138" t="s">
        <v>3944</v>
      </c>
      <c r="F522" s="138" t="s">
        <v>3831</v>
      </c>
      <c r="G522" s="138" t="s">
        <v>4088</v>
      </c>
      <c r="H522" s="81" t="str">
        <f t="shared" si="54"/>
        <v>TCCN-PTE-PSG-SAG-CT3-INS-BYB</v>
      </c>
      <c r="I522" s="138" t="str">
        <f>MID(H522,1,(LEN(H522)-VLOOKUP(K522,datos!$B$2:$C$12,2,0)))</f>
        <v>TCCN-PTE-PSG-SAG-CT3-INS-BYB</v>
      </c>
      <c r="J522" s="138" t="s">
        <v>6827</v>
      </c>
      <c r="K522" s="140">
        <f>VLOOKUP(LEN(SUBSTITUTE(H522,"-","")),datos!$A$1:$B$12,2,0)</f>
        <v>7</v>
      </c>
      <c r="L522" s="138" t="s">
        <v>6859</v>
      </c>
      <c r="M522" s="138" t="s">
        <v>0</v>
      </c>
    </row>
    <row r="523" spans="1:13" x14ac:dyDescent="0.35">
      <c r="A523" s="138" t="s">
        <v>487</v>
      </c>
      <c r="B523" s="138" t="s">
        <v>3809</v>
      </c>
      <c r="C523" s="138" t="s">
        <v>3913</v>
      </c>
      <c r="D523" s="138" t="s">
        <v>3914</v>
      </c>
      <c r="E523" s="138" t="s">
        <v>3944</v>
      </c>
      <c r="F523" s="138" t="s">
        <v>3831</v>
      </c>
      <c r="G523" s="138" t="s">
        <v>6814</v>
      </c>
      <c r="H523" s="81" t="str">
        <f t="shared" si="54"/>
        <v>TCCN-PTE-PSG-SAG-CT3-INS-SAM</v>
      </c>
      <c r="I523" s="138" t="str">
        <f>MID(H523,1,(LEN(H523)-VLOOKUP(K523,datos!$B$2:$C$12,2,0)))</f>
        <v>TCCN-PTE-PSG-SAG-CT3-INS-SAM</v>
      </c>
      <c r="J523" s="138" t="s">
        <v>6836</v>
      </c>
      <c r="K523" s="140">
        <f>VLOOKUP(LEN(SUBSTITUTE(H523,"-","")),datos!$A$1:$B$12,2,0)</f>
        <v>7</v>
      </c>
      <c r="L523" s="138" t="s">
        <v>6820</v>
      </c>
      <c r="M523" s="138" t="s">
        <v>0</v>
      </c>
    </row>
    <row r="524" spans="1:13" customFormat="1" ht="14.5" x14ac:dyDescent="0.35">
      <c r="A524" s="129" t="s">
        <v>487</v>
      </c>
      <c r="B524" s="129" t="s">
        <v>3809</v>
      </c>
      <c r="C524" s="129" t="s">
        <v>3913</v>
      </c>
      <c r="D524" s="129" t="s">
        <v>3914</v>
      </c>
      <c r="E524" s="129" t="s">
        <v>3945</v>
      </c>
      <c r="F524" s="129"/>
      <c r="G524" s="129"/>
      <c r="H524" s="83" t="str">
        <f t="shared" si="53"/>
        <v>TCCN-PTE-PSG-SAG-CT4--</v>
      </c>
      <c r="I524" s="129" t="str">
        <f>MID(H524,1,(LEN(H524)-VLOOKUP(K524,datos!$B$2:$C$12,2,0)))</f>
        <v>TCCN-PTE-PSG-SAG-CT4</v>
      </c>
      <c r="J524" s="129" t="s">
        <v>4817</v>
      </c>
      <c r="K524" s="130">
        <f>VLOOKUP(LEN(SUBSTITUTE(H524,"-","")),datos!$A$1:$B$12,2,0)</f>
        <v>5</v>
      </c>
      <c r="L524" s="129" t="s">
        <v>133</v>
      </c>
      <c r="M524" s="129" t="s">
        <v>0</v>
      </c>
    </row>
    <row r="525" spans="1:13" x14ac:dyDescent="0.35">
      <c r="A525" s="137" t="s">
        <v>487</v>
      </c>
      <c r="B525" s="137" t="s">
        <v>3809</v>
      </c>
      <c r="C525" s="137" t="s">
        <v>3913</v>
      </c>
      <c r="D525" s="137" t="s">
        <v>3914</v>
      </c>
      <c r="E525" s="137" t="s">
        <v>3945</v>
      </c>
      <c r="F525" s="137" t="s">
        <v>3824</v>
      </c>
      <c r="G525" s="137"/>
      <c r="H525" s="82" t="str">
        <f t="shared" si="53"/>
        <v>TCCN-PTE-PSG-SAG-CT4-SES-</v>
      </c>
      <c r="I525" s="137" t="str">
        <f>MID(H525,1,(LEN(H525)-VLOOKUP(K525,datos!$B$2:$C$12,2,0)))</f>
        <v>TCCN-PTE-PSG-SAG-CT4-SES</v>
      </c>
      <c r="J525" s="137" t="s">
        <v>4821</v>
      </c>
      <c r="K525" s="139">
        <f>VLOOKUP(LEN(SUBSTITUTE(H525,"-","")),datos!$A$1:$B$12,2,0)</f>
        <v>6</v>
      </c>
      <c r="L525" s="137"/>
      <c r="M525" s="137" t="s">
        <v>0</v>
      </c>
    </row>
    <row r="526" spans="1:13" x14ac:dyDescent="0.35">
      <c r="A526" s="138" t="s">
        <v>487</v>
      </c>
      <c r="B526" s="138" t="s">
        <v>3809</v>
      </c>
      <c r="C526" s="138" t="s">
        <v>3913</v>
      </c>
      <c r="D526" s="138" t="s">
        <v>3914</v>
      </c>
      <c r="E526" s="138" t="s">
        <v>3945</v>
      </c>
      <c r="F526" s="138" t="s">
        <v>3824</v>
      </c>
      <c r="G526" s="138" t="s">
        <v>3853</v>
      </c>
      <c r="H526" s="81" t="str">
        <f t="shared" si="53"/>
        <v>TCCN-PTE-PSG-SAG-CT4-SES-EST</v>
      </c>
      <c r="I526" s="138" t="str">
        <f>MID(H526,1,(LEN(H526)-VLOOKUP(K526,datos!$B$2:$C$12,2,0)))</f>
        <v>TCCN-PTE-PSG-SAG-CT4-SES-EST</v>
      </c>
      <c r="J526" s="138" t="s">
        <v>4822</v>
      </c>
      <c r="K526" s="140">
        <f>VLOOKUP(LEN(SUBSTITUTE(H526,"-","")),datos!$A$1:$B$12,2,0)</f>
        <v>7</v>
      </c>
      <c r="L526" s="138"/>
      <c r="M526" s="138" t="s">
        <v>0</v>
      </c>
    </row>
    <row r="527" spans="1:13" x14ac:dyDescent="0.35">
      <c r="A527" s="138" t="s">
        <v>487</v>
      </c>
      <c r="B527" s="138" t="s">
        <v>3809</v>
      </c>
      <c r="C527" s="138" t="s">
        <v>3913</v>
      </c>
      <c r="D527" s="138" t="s">
        <v>3914</v>
      </c>
      <c r="E527" s="138" t="s">
        <v>3945</v>
      </c>
      <c r="F527" s="138" t="s">
        <v>3824</v>
      </c>
      <c r="G527" s="138" t="s">
        <v>3825</v>
      </c>
      <c r="H527" s="81" t="str">
        <f t="shared" si="53"/>
        <v>TCCN-PTE-PSG-SAG-CT4-SES-CHU</v>
      </c>
      <c r="I527" s="138" t="str">
        <f>MID(H527,1,(LEN(H527)-VLOOKUP(K527,datos!$B$2:$C$12,2,0)))</f>
        <v>TCCN-PTE-PSG-SAG-CT4-SES-CHU</v>
      </c>
      <c r="J527" s="138" t="s">
        <v>4823</v>
      </c>
      <c r="K527" s="140">
        <f>VLOOKUP(LEN(SUBSTITUTE(H527,"-","")),datos!$A$1:$B$12,2,0)</f>
        <v>7</v>
      </c>
      <c r="L527" s="138" t="s">
        <v>135</v>
      </c>
      <c r="M527" s="138" t="s">
        <v>0</v>
      </c>
    </row>
    <row r="528" spans="1:13" x14ac:dyDescent="0.35">
      <c r="A528" s="137" t="s">
        <v>487</v>
      </c>
      <c r="B528" s="137" t="s">
        <v>3809</v>
      </c>
      <c r="C528" s="137" t="s">
        <v>3913</v>
      </c>
      <c r="D528" s="137" t="s">
        <v>3914</v>
      </c>
      <c r="E528" s="137" t="s">
        <v>3945</v>
      </c>
      <c r="F528" s="137" t="s">
        <v>3854</v>
      </c>
      <c r="G528" s="137"/>
      <c r="H528" s="82" t="str">
        <f t="shared" si="53"/>
        <v>TCCN-PTE-PSG-SAG-CT4-STR-</v>
      </c>
      <c r="I528" s="137" t="str">
        <f>MID(H528,1,(LEN(H528)-VLOOKUP(K528,datos!$B$2:$C$12,2,0)))</f>
        <v>TCCN-PTE-PSG-SAG-CT4-STR</v>
      </c>
      <c r="J528" s="137" t="s">
        <v>4824</v>
      </c>
      <c r="K528" s="139">
        <f>VLOOKUP(LEN(SUBSTITUTE(H528,"-","")),datos!$A$1:$B$12,2,0)</f>
        <v>6</v>
      </c>
      <c r="L528" s="137"/>
      <c r="M528" s="137" t="s">
        <v>0</v>
      </c>
    </row>
    <row r="529" spans="1:13" x14ac:dyDescent="0.35">
      <c r="A529" s="138" t="s">
        <v>487</v>
      </c>
      <c r="B529" s="138" t="s">
        <v>3809</v>
      </c>
      <c r="C529" s="138" t="s">
        <v>3913</v>
      </c>
      <c r="D529" s="138" t="s">
        <v>3914</v>
      </c>
      <c r="E529" s="138" t="s">
        <v>3945</v>
      </c>
      <c r="F529" s="138" t="s">
        <v>3854</v>
      </c>
      <c r="G529" s="138" t="s">
        <v>3855</v>
      </c>
      <c r="H529" s="81" t="str">
        <f t="shared" si="53"/>
        <v>TCCN-PTE-PSG-SAG-CT4-STR-CTA</v>
      </c>
      <c r="I529" s="138" t="str">
        <f>MID(H529,1,(LEN(H529)-VLOOKUP(K529,datos!$B$2:$C$12,2,0)))</f>
        <v>TCCN-PTE-PSG-SAG-CT4-STR-CTA</v>
      </c>
      <c r="J529" s="138" t="s">
        <v>6848</v>
      </c>
      <c r="K529" s="140">
        <f>VLOOKUP(LEN(SUBSTITUTE(H529,"-","")),datos!$A$1:$B$12,2,0)</f>
        <v>7</v>
      </c>
      <c r="L529" s="138"/>
      <c r="M529" s="138" t="s">
        <v>0</v>
      </c>
    </row>
    <row r="530" spans="1:13" x14ac:dyDescent="0.35">
      <c r="A530" s="138" t="s">
        <v>487</v>
      </c>
      <c r="B530" s="138" t="s">
        <v>3809</v>
      </c>
      <c r="C530" s="138" t="s">
        <v>3913</v>
      </c>
      <c r="D530" s="138" t="s">
        <v>3914</v>
      </c>
      <c r="E530" s="138" t="s">
        <v>3945</v>
      </c>
      <c r="F530" s="138" t="s">
        <v>3854</v>
      </c>
      <c r="G530" s="138" t="s">
        <v>3857</v>
      </c>
      <c r="H530" s="81" t="str">
        <f t="shared" si="53"/>
        <v>TCCN-PTE-PSG-SAG-CT4-STR-PCO</v>
      </c>
      <c r="I530" s="138" t="str">
        <f>MID(H530,1,(LEN(H530)-VLOOKUP(K530,datos!$B$2:$C$12,2,0)))</f>
        <v>TCCN-PTE-PSG-SAG-CT4-STR-PCO</v>
      </c>
      <c r="J530" s="138" t="s">
        <v>4825</v>
      </c>
      <c r="K530" s="140">
        <f>VLOOKUP(LEN(SUBSTITUTE(H530,"-","")),datos!$A$1:$B$12,2,0)</f>
        <v>7</v>
      </c>
      <c r="L530" s="138"/>
      <c r="M530" s="138" t="s">
        <v>0</v>
      </c>
    </row>
    <row r="531" spans="1:13" x14ac:dyDescent="0.35">
      <c r="A531" s="138" t="s">
        <v>487</v>
      </c>
      <c r="B531" s="138" t="s">
        <v>3809</v>
      </c>
      <c r="C531" s="138" t="s">
        <v>3913</v>
      </c>
      <c r="D531" s="138" t="s">
        <v>3914</v>
      </c>
      <c r="E531" s="138" t="s">
        <v>3945</v>
      </c>
      <c r="F531" s="138" t="s">
        <v>3854</v>
      </c>
      <c r="G531" s="138" t="s">
        <v>3922</v>
      </c>
      <c r="H531" s="81" t="str">
        <f t="shared" si="53"/>
        <v>TCCN-PTE-PSG-SAG-CT4-STR-PO1</v>
      </c>
      <c r="I531" s="138" t="str">
        <f>MID(H531,1,(LEN(H531)-VLOOKUP(K531,datos!$B$2:$C$12,2,0)))</f>
        <v>TCCN-PTE-PSG-SAG-CT4-STR-PO1</v>
      </c>
      <c r="J531" s="138" t="s">
        <v>4826</v>
      </c>
      <c r="K531" s="140">
        <f>VLOOKUP(LEN(SUBSTITUTE(H531,"-","")),datos!$A$1:$B$12,2,0)</f>
        <v>7</v>
      </c>
      <c r="L531" s="138"/>
      <c r="M531" s="138" t="s">
        <v>0</v>
      </c>
    </row>
    <row r="532" spans="1:13" x14ac:dyDescent="0.35">
      <c r="A532" s="138" t="s">
        <v>487</v>
      </c>
      <c r="B532" s="138" t="s">
        <v>3809</v>
      </c>
      <c r="C532" s="138" t="s">
        <v>3913</v>
      </c>
      <c r="D532" s="138" t="s">
        <v>3914</v>
      </c>
      <c r="E532" s="138" t="s">
        <v>3945</v>
      </c>
      <c r="F532" s="138" t="s">
        <v>3854</v>
      </c>
      <c r="G532" s="138" t="s">
        <v>3923</v>
      </c>
      <c r="H532" s="81" t="str">
        <f t="shared" si="53"/>
        <v>TCCN-PTE-PSG-SAG-CT4-STR-PO2</v>
      </c>
      <c r="I532" s="138" t="str">
        <f>MID(H532,1,(LEN(H532)-VLOOKUP(K532,datos!$B$2:$C$12,2,0)))</f>
        <v>TCCN-PTE-PSG-SAG-CT4-STR-PO2</v>
      </c>
      <c r="J532" s="138" t="s">
        <v>4827</v>
      </c>
      <c r="K532" s="140">
        <f>VLOOKUP(LEN(SUBSTITUTE(H532,"-","")),datos!$A$1:$B$12,2,0)</f>
        <v>7</v>
      </c>
      <c r="L532" s="138"/>
      <c r="M532" s="138" t="s">
        <v>0</v>
      </c>
    </row>
    <row r="533" spans="1:13" x14ac:dyDescent="0.35">
      <c r="A533" s="138" t="s">
        <v>487</v>
      </c>
      <c r="B533" s="138" t="s">
        <v>3809</v>
      </c>
      <c r="C533" s="138" t="s">
        <v>3913</v>
      </c>
      <c r="D533" s="138" t="s">
        <v>3914</v>
      </c>
      <c r="E533" s="138" t="s">
        <v>3945</v>
      </c>
      <c r="F533" s="138" t="s">
        <v>3854</v>
      </c>
      <c r="G533" s="138" t="s">
        <v>3924</v>
      </c>
      <c r="H533" s="81" t="str">
        <f t="shared" si="53"/>
        <v>TCCN-PTE-PSG-SAG-CT4-STR-PO3</v>
      </c>
      <c r="I533" s="138" t="str">
        <f>MID(H533,1,(LEN(H533)-VLOOKUP(K533,datos!$B$2:$C$12,2,0)))</f>
        <v>TCCN-PTE-PSG-SAG-CT4-STR-PO3</v>
      </c>
      <c r="J533" s="138" t="s">
        <v>6834</v>
      </c>
      <c r="K533" s="140">
        <f>VLOOKUP(LEN(SUBSTITUTE(H533,"-","")),datos!$A$1:$B$12,2,0)</f>
        <v>7</v>
      </c>
      <c r="L533" s="138"/>
      <c r="M533" s="138" t="s">
        <v>0</v>
      </c>
    </row>
    <row r="534" spans="1:13" x14ac:dyDescent="0.35">
      <c r="A534" s="138" t="s">
        <v>487</v>
      </c>
      <c r="B534" s="138" t="s">
        <v>3809</v>
      </c>
      <c r="C534" s="138" t="s">
        <v>3913</v>
      </c>
      <c r="D534" s="138" t="s">
        <v>3914</v>
      </c>
      <c r="E534" s="138" t="s">
        <v>3945</v>
      </c>
      <c r="F534" s="138" t="s">
        <v>3854</v>
      </c>
      <c r="G534" s="138" t="s">
        <v>3925</v>
      </c>
      <c r="H534" s="81" t="str">
        <f t="shared" si="53"/>
        <v>TCCN-PTE-PSG-SAG-CT4-STR-PO4</v>
      </c>
      <c r="I534" s="138" t="str">
        <f>MID(H534,1,(LEN(H534)-VLOOKUP(K534,datos!$B$2:$C$12,2,0)))</f>
        <v>TCCN-PTE-PSG-SAG-CT4-STR-PO4</v>
      </c>
      <c r="J534" s="138" t="s">
        <v>4828</v>
      </c>
      <c r="K534" s="140">
        <f>VLOOKUP(LEN(SUBSTITUTE(H534,"-","")),datos!$A$1:$B$12,2,0)</f>
        <v>7</v>
      </c>
      <c r="L534" s="138"/>
      <c r="M534" s="138" t="s">
        <v>0</v>
      </c>
    </row>
    <row r="535" spans="1:13" x14ac:dyDescent="0.35">
      <c r="A535" s="138" t="s">
        <v>487</v>
      </c>
      <c r="B535" s="138" t="s">
        <v>3809</v>
      </c>
      <c r="C535" s="138" t="s">
        <v>3913</v>
      </c>
      <c r="D535" s="138" t="s">
        <v>3914</v>
      </c>
      <c r="E535" s="138" t="s">
        <v>3945</v>
      </c>
      <c r="F535" s="138" t="s">
        <v>3854</v>
      </c>
      <c r="G535" s="138" t="s">
        <v>3926</v>
      </c>
      <c r="H535" s="81" t="str">
        <f t="shared" si="53"/>
        <v>TCCN-PTE-PSG-SAG-CT4-STR-PO5</v>
      </c>
      <c r="I535" s="138" t="str">
        <f>MID(H535,1,(LEN(H535)-VLOOKUP(K535,datos!$B$2:$C$12,2,0)))</f>
        <v>TCCN-PTE-PSG-SAG-CT4-STR-PO5</v>
      </c>
      <c r="J535" s="138" t="s">
        <v>6833</v>
      </c>
      <c r="K535" s="140">
        <f>VLOOKUP(LEN(SUBSTITUTE(H535,"-","")),datos!$A$1:$B$12,2,0)</f>
        <v>7</v>
      </c>
      <c r="L535" s="138"/>
      <c r="M535" s="138" t="s">
        <v>0</v>
      </c>
    </row>
    <row r="536" spans="1:13" x14ac:dyDescent="0.35">
      <c r="A536" s="138" t="s">
        <v>487</v>
      </c>
      <c r="B536" s="138" t="s">
        <v>3809</v>
      </c>
      <c r="C536" s="138" t="s">
        <v>3913</v>
      </c>
      <c r="D536" s="138" t="s">
        <v>3914</v>
      </c>
      <c r="E536" s="138" t="s">
        <v>3945</v>
      </c>
      <c r="F536" s="138" t="s">
        <v>3824</v>
      </c>
      <c r="G536" s="138" t="s">
        <v>6787</v>
      </c>
      <c r="H536" s="81" t="str">
        <f>CONCATENATE(A536,"-",B536,"-",C536,"-",D536,"-",E536,"-",F536,"-",G536)</f>
        <v>TCCN-PTE-PSG-SAG-CT4-SES-RAS</v>
      </c>
      <c r="I536" s="138" t="str">
        <f>MID(H536,1,(LEN(H536)-VLOOKUP(K536,datos!$B$2:$C$12,2,0)))</f>
        <v>TCCN-PTE-PSG-SAG-CT4-SES-RAS</v>
      </c>
      <c r="J536" s="138" t="s">
        <v>6832</v>
      </c>
      <c r="K536" s="140">
        <f>VLOOKUP(LEN(SUBSTITUTE(H536,"-","")),datos!$A$1:$B$12,2,0)</f>
        <v>7</v>
      </c>
      <c r="L536" s="138"/>
      <c r="M536" s="138" t="s">
        <v>0</v>
      </c>
    </row>
    <row r="537" spans="1:13" x14ac:dyDescent="0.35">
      <c r="A537" s="137" t="s">
        <v>487</v>
      </c>
      <c r="B537" s="137" t="s">
        <v>3809</v>
      </c>
      <c r="C537" s="137" t="s">
        <v>3913</v>
      </c>
      <c r="D537" s="137" t="s">
        <v>3914</v>
      </c>
      <c r="E537" s="137" t="s">
        <v>3945</v>
      </c>
      <c r="F537" s="137" t="s">
        <v>3859</v>
      </c>
      <c r="G537" s="137"/>
      <c r="H537" s="82" t="str">
        <f t="shared" si="53"/>
        <v>TCCN-PTE-PSG-SAG-CT4-STE-</v>
      </c>
      <c r="I537" s="137" t="str">
        <f>MID(H537,1,(LEN(H537)-VLOOKUP(K537,datos!$B$2:$C$12,2,0)))</f>
        <v>TCCN-PTE-PSG-SAG-CT4-STE</v>
      </c>
      <c r="J537" s="137" t="s">
        <v>4818</v>
      </c>
      <c r="K537" s="139">
        <f>VLOOKUP(LEN(SUBSTITUTE(H537,"-","")),datos!$A$1:$B$12,2,0)</f>
        <v>6</v>
      </c>
      <c r="L537" s="137"/>
      <c r="M537" s="137" t="s">
        <v>0</v>
      </c>
    </row>
    <row r="538" spans="1:13" x14ac:dyDescent="0.35">
      <c r="A538" s="138" t="s">
        <v>487</v>
      </c>
      <c r="B538" s="138" t="s">
        <v>3809</v>
      </c>
      <c r="C538" s="138" t="s">
        <v>3913</v>
      </c>
      <c r="D538" s="138" t="s">
        <v>3914</v>
      </c>
      <c r="E538" s="138" t="s">
        <v>3945</v>
      </c>
      <c r="F538" s="138" t="s">
        <v>3859</v>
      </c>
      <c r="G538" s="138" t="s">
        <v>3860</v>
      </c>
      <c r="H538" s="81" t="str">
        <f t="shared" si="53"/>
        <v>TCCN-PTE-PSG-SAG-CT4-STE-TEN</v>
      </c>
      <c r="I538" s="138" t="str">
        <f>MID(H538,1,(LEN(H538)-VLOOKUP(K538,datos!$B$2:$C$12,2,0)))</f>
        <v>TCCN-PTE-PSG-SAG-CT4-STE-TEN</v>
      </c>
      <c r="J538" s="138" t="s">
        <v>6878</v>
      </c>
      <c r="K538" s="140">
        <f>VLOOKUP(LEN(SUBSTITUTE(H538,"-","")),datos!$A$1:$B$12,2,0)</f>
        <v>7</v>
      </c>
      <c r="L538" s="138"/>
      <c r="M538" s="138" t="s">
        <v>0</v>
      </c>
    </row>
    <row r="539" spans="1:13" x14ac:dyDescent="0.35">
      <c r="A539" s="137" t="s">
        <v>487</v>
      </c>
      <c r="B539" s="137" t="s">
        <v>3809</v>
      </c>
      <c r="C539" s="137" t="s">
        <v>3913</v>
      </c>
      <c r="D539" s="137" t="s">
        <v>3914</v>
      </c>
      <c r="E539" s="137" t="s">
        <v>3945</v>
      </c>
      <c r="F539" s="137" t="s">
        <v>3847</v>
      </c>
      <c r="G539" s="137"/>
      <c r="H539" s="82" t="str">
        <f t="shared" si="53"/>
        <v>TCCN-PTE-PSG-SAG-CT4-SMO-</v>
      </c>
      <c r="I539" s="137" t="str">
        <f>MID(H539,1,(LEN(H539)-VLOOKUP(K539,datos!$B$2:$C$12,2,0)))</f>
        <v>TCCN-PTE-PSG-SAG-CT4-SMO</v>
      </c>
      <c r="J539" s="137" t="s">
        <v>4819</v>
      </c>
      <c r="K539" s="139">
        <f>VLOOKUP(LEN(SUBSTITUTE(H539,"-","")),datos!$A$1:$B$12,2,0)</f>
        <v>6</v>
      </c>
      <c r="L539" s="137"/>
      <c r="M539" s="137" t="s">
        <v>0</v>
      </c>
    </row>
    <row r="540" spans="1:13" x14ac:dyDescent="0.35">
      <c r="A540" s="138" t="s">
        <v>487</v>
      </c>
      <c r="B540" s="138" t="s">
        <v>3809</v>
      </c>
      <c r="C540" s="138" t="s">
        <v>3913</v>
      </c>
      <c r="D540" s="138" t="s">
        <v>3914</v>
      </c>
      <c r="E540" s="138" t="s">
        <v>3945</v>
      </c>
      <c r="F540" s="138" t="s">
        <v>3847</v>
      </c>
      <c r="G540" s="138" t="s">
        <v>3819</v>
      </c>
      <c r="H540" s="81" t="str">
        <f t="shared" si="53"/>
        <v>TCCN-PTE-PSG-SAG-CT4-SMO-MOE</v>
      </c>
      <c r="I540" s="138" t="str">
        <f>MID(H540,1,(LEN(H540)-VLOOKUP(K540,datos!$B$2:$C$12,2,0)))</f>
        <v>TCCN-PTE-PSG-SAG-CT4-SMO-MOE</v>
      </c>
      <c r="J540" s="138" t="s">
        <v>6862</v>
      </c>
      <c r="K540" s="140">
        <f>VLOOKUP(LEN(SUBSTITUTE(H540,"-","")),datos!$A$1:$B$12,2,0)</f>
        <v>7</v>
      </c>
      <c r="L540" s="138" t="s">
        <v>137</v>
      </c>
      <c r="M540" s="138" t="s">
        <v>0</v>
      </c>
    </row>
    <row r="541" spans="1:13" x14ac:dyDescent="0.35">
      <c r="A541" s="138" t="s">
        <v>487</v>
      </c>
      <c r="B541" s="138" t="s">
        <v>3809</v>
      </c>
      <c r="C541" s="138" t="s">
        <v>3913</v>
      </c>
      <c r="D541" s="138" t="s">
        <v>3914</v>
      </c>
      <c r="E541" s="138" t="s">
        <v>3945</v>
      </c>
      <c r="F541" s="138" t="s">
        <v>3847</v>
      </c>
      <c r="G541" s="138" t="s">
        <v>3861</v>
      </c>
      <c r="H541" s="81" t="str">
        <f t="shared" si="53"/>
        <v>TCCN-PTE-PSG-SAG-CT4-SMO-RED</v>
      </c>
      <c r="I541" s="138" t="str">
        <f>MID(H541,1,(LEN(H541)-VLOOKUP(K541,datos!$B$2:$C$12,2,0)))</f>
        <v>TCCN-PTE-PSG-SAG-CT4-SMO-RED</v>
      </c>
      <c r="J541" s="138" t="s">
        <v>6867</v>
      </c>
      <c r="K541" s="140">
        <f>VLOOKUP(LEN(SUBSTITUTE(H541,"-","")),datos!$A$1:$B$12,2,0)</f>
        <v>7</v>
      </c>
      <c r="L541" s="138"/>
      <c r="M541" s="138" t="s">
        <v>0</v>
      </c>
    </row>
    <row r="542" spans="1:13" x14ac:dyDescent="0.35">
      <c r="A542" s="138" t="s">
        <v>487</v>
      </c>
      <c r="B542" s="138" t="s">
        <v>3809</v>
      </c>
      <c r="C542" s="138" t="s">
        <v>3913</v>
      </c>
      <c r="D542" s="138" t="s">
        <v>3914</v>
      </c>
      <c r="E542" s="138" t="s">
        <v>3945</v>
      </c>
      <c r="F542" s="138" t="s">
        <v>3847</v>
      </c>
      <c r="G542" s="138" t="s">
        <v>3863</v>
      </c>
      <c r="H542" s="81" t="str">
        <f t="shared" si="53"/>
        <v>TCCN-PTE-PSG-SAG-CT4-SMO-FSE</v>
      </c>
      <c r="I542" s="138" t="str">
        <f>MID(H542,1,(LEN(H542)-VLOOKUP(K542,datos!$B$2:$C$12,2,0)))</f>
        <v>TCCN-PTE-PSG-SAG-CT4-SMO-FSE</v>
      </c>
      <c r="J542" s="138" t="s">
        <v>6876</v>
      </c>
      <c r="K542" s="140">
        <f>VLOOKUP(LEN(SUBSTITUTE(H542,"-","")),datos!$A$1:$B$12,2,0)</f>
        <v>7</v>
      </c>
      <c r="L542" s="138"/>
      <c r="M542" s="138" t="s">
        <v>0</v>
      </c>
    </row>
    <row r="543" spans="1:13" x14ac:dyDescent="0.35">
      <c r="A543" s="138" t="s">
        <v>487</v>
      </c>
      <c r="B543" s="138" t="s">
        <v>3809</v>
      </c>
      <c r="C543" s="138" t="s">
        <v>3913</v>
      </c>
      <c r="D543" s="138" t="s">
        <v>3914</v>
      </c>
      <c r="E543" s="138" t="s">
        <v>3945</v>
      </c>
      <c r="F543" s="138" t="s">
        <v>3847</v>
      </c>
      <c r="G543" s="138" t="s">
        <v>3864</v>
      </c>
      <c r="H543" s="81" t="str">
        <f t="shared" si="53"/>
        <v>TCCN-PTE-PSG-SAG-CT4-SMO-PMO</v>
      </c>
      <c r="I543" s="138" t="str">
        <f>MID(H543,1,(LEN(H543)-VLOOKUP(K543,datos!$B$2:$C$12,2,0)))</f>
        <v>TCCN-PTE-PSG-SAG-CT4-SMO-PMO</v>
      </c>
      <c r="J543" s="138" t="s">
        <v>4820</v>
      </c>
      <c r="K543" s="140">
        <f>VLOOKUP(LEN(SUBSTITUTE(H543,"-","")),datos!$A$1:$B$12,2,0)</f>
        <v>7</v>
      </c>
      <c r="L543" s="138"/>
      <c r="M543" s="138" t="s">
        <v>0</v>
      </c>
    </row>
    <row r="544" spans="1:13" x14ac:dyDescent="0.35">
      <c r="A544" s="137" t="s">
        <v>487</v>
      </c>
      <c r="B544" s="137" t="s">
        <v>3809</v>
      </c>
      <c r="C544" s="137" t="s">
        <v>3913</v>
      </c>
      <c r="D544" s="137" t="s">
        <v>3914</v>
      </c>
      <c r="E544" s="137" t="s">
        <v>3945</v>
      </c>
      <c r="F544" s="137" t="s">
        <v>3831</v>
      </c>
      <c r="G544" s="137"/>
      <c r="H544" s="82" t="str">
        <f t="shared" si="53"/>
        <v>TCCN-PTE-PSG-SAG-CT4-INS-</v>
      </c>
      <c r="I544" s="137" t="str">
        <f>MID(H544,1,(LEN(H544)-VLOOKUP(K544,datos!$B$2:$C$12,2,0)))</f>
        <v>TCCN-PTE-PSG-SAG-CT4-INS</v>
      </c>
      <c r="J544" s="137" t="s">
        <v>6747</v>
      </c>
      <c r="K544" s="139">
        <f>VLOOKUP(LEN(SUBSTITUTE(H544,"-","")),datos!$A$1:$B$12,2,0)</f>
        <v>6</v>
      </c>
      <c r="L544" s="137"/>
      <c r="M544" s="137" t="s">
        <v>0</v>
      </c>
    </row>
    <row r="545" spans="1:13" x14ac:dyDescent="0.35">
      <c r="A545" s="138" t="s">
        <v>487</v>
      </c>
      <c r="B545" s="138" t="s">
        <v>3809</v>
      </c>
      <c r="C545" s="138" t="s">
        <v>3913</v>
      </c>
      <c r="D545" s="138" t="s">
        <v>3914</v>
      </c>
      <c r="E545" s="138" t="s">
        <v>3945</v>
      </c>
      <c r="F545" s="138" t="s">
        <v>3831</v>
      </c>
      <c r="G545" s="138" t="s">
        <v>5202</v>
      </c>
      <c r="H545" s="81" t="str">
        <f t="shared" ref="H545:H551" si="55">CONCATENATE(A545,"-",B545,"-",C545,"-",D545,"-",E545,"-",F545,"-",G545)</f>
        <v>TCCN-PTE-PSG-SAG-CT4-INS-MVD</v>
      </c>
      <c r="I545" s="138" t="str">
        <f>MID(H545,1,(LEN(H545)-VLOOKUP(K545,datos!$B$2:$C$12,2,0)))</f>
        <v>TCCN-PTE-PSG-SAG-CT4-INS-MVD</v>
      </c>
      <c r="J545" s="138" t="s">
        <v>8098</v>
      </c>
      <c r="K545" s="140">
        <f>VLOOKUP(LEN(SUBSTITUTE(H545,"-","")),datos!$A$1:$B$12,2,0)</f>
        <v>7</v>
      </c>
      <c r="L545" s="138" t="s">
        <v>6821</v>
      </c>
      <c r="M545" s="138" t="s">
        <v>0</v>
      </c>
    </row>
    <row r="546" spans="1:13" x14ac:dyDescent="0.35">
      <c r="A546" s="138" t="s">
        <v>487</v>
      </c>
      <c r="B546" s="138" t="s">
        <v>3809</v>
      </c>
      <c r="C546" s="138" t="s">
        <v>3913</v>
      </c>
      <c r="D546" s="138" t="s">
        <v>3914</v>
      </c>
      <c r="E546" s="138" t="s">
        <v>3945</v>
      </c>
      <c r="F546" s="138" t="s">
        <v>3831</v>
      </c>
      <c r="G546" s="138" t="s">
        <v>5256</v>
      </c>
      <c r="H546" s="81" t="str">
        <f t="shared" si="55"/>
        <v>TCCN-PTE-PSG-SAG-CT4-INS-MNV</v>
      </c>
      <c r="I546" s="138" t="str">
        <f>MID(H546,1,(LEN(H546)-VLOOKUP(K546,datos!$B$2:$C$12,2,0)))</f>
        <v>TCCN-PTE-PSG-SAG-CT4-INS-MNV</v>
      </c>
      <c r="J546" s="138" t="s">
        <v>7644</v>
      </c>
      <c r="K546" s="140">
        <f>VLOOKUP(LEN(SUBSTITUTE(H546,"-","")),datos!$A$1:$B$12,2,0)</f>
        <v>7</v>
      </c>
      <c r="L546" s="138" t="s">
        <v>6830</v>
      </c>
      <c r="M546" s="138" t="s">
        <v>0</v>
      </c>
    </row>
    <row r="547" spans="1:13" x14ac:dyDescent="0.35">
      <c r="A547" s="138" t="s">
        <v>487</v>
      </c>
      <c r="B547" s="138" t="s">
        <v>3809</v>
      </c>
      <c r="C547" s="138" t="s">
        <v>3913</v>
      </c>
      <c r="D547" s="138" t="s">
        <v>3914</v>
      </c>
      <c r="E547" s="138" t="s">
        <v>3945</v>
      </c>
      <c r="F547" s="138" t="s">
        <v>3831</v>
      </c>
      <c r="G547" s="138" t="s">
        <v>4087</v>
      </c>
      <c r="H547" s="81" t="str">
        <f t="shared" si="55"/>
        <v>TCCN-PTE-PSG-SAG-CT4-INS-ICO</v>
      </c>
      <c r="I547" s="138" t="str">
        <f>MID(H547,1,(LEN(H547)-VLOOKUP(K547,datos!$B$2:$C$12,2,0)))</f>
        <v>TCCN-PTE-PSG-SAG-CT4-INS-ICO</v>
      </c>
      <c r="J547" s="138" t="s">
        <v>6822</v>
      </c>
      <c r="K547" s="140">
        <f>VLOOKUP(LEN(SUBSTITUTE(H547,"-","")),datos!$A$1:$B$12,2,0)</f>
        <v>7</v>
      </c>
      <c r="L547" s="138" t="s">
        <v>8127</v>
      </c>
      <c r="M547" s="138" t="s">
        <v>0</v>
      </c>
    </row>
    <row r="548" spans="1:13" x14ac:dyDescent="0.35">
      <c r="A548" s="138" t="s">
        <v>487</v>
      </c>
      <c r="B548" s="138" t="s">
        <v>3809</v>
      </c>
      <c r="C548" s="138" t="s">
        <v>3913</v>
      </c>
      <c r="D548" s="138" t="s">
        <v>3914</v>
      </c>
      <c r="E548" s="138" t="s">
        <v>3945</v>
      </c>
      <c r="F548" s="138" t="s">
        <v>3831</v>
      </c>
      <c r="G548" s="138" t="s">
        <v>4342</v>
      </c>
      <c r="H548" s="81" t="str">
        <f t="shared" si="55"/>
        <v>TCCN-PTE-PSG-SAG-CT4-INS-PEM</v>
      </c>
      <c r="I548" s="138" t="str">
        <f>MID(H548,1,(LEN(H548)-VLOOKUP(K548,datos!$B$2:$C$12,2,0)))</f>
        <v>TCCN-PTE-PSG-SAG-CT4-INS-PEM</v>
      </c>
      <c r="J548" s="138" t="s">
        <v>6874</v>
      </c>
      <c r="K548" s="140">
        <f>VLOOKUP(LEN(SUBSTITUTE(H548,"-","")),datos!$A$1:$B$12,2,0)</f>
        <v>7</v>
      </c>
      <c r="L548" s="138" t="s">
        <v>6828</v>
      </c>
      <c r="M548" s="138" t="s">
        <v>0</v>
      </c>
    </row>
    <row r="549" spans="1:13" x14ac:dyDescent="0.35">
      <c r="A549" s="138" t="s">
        <v>487</v>
      </c>
      <c r="B549" s="138" t="s">
        <v>3809</v>
      </c>
      <c r="C549" s="138" t="s">
        <v>3913</v>
      </c>
      <c r="D549" s="138" t="s">
        <v>3914</v>
      </c>
      <c r="E549" s="138" t="s">
        <v>3945</v>
      </c>
      <c r="F549" s="138" t="s">
        <v>3831</v>
      </c>
      <c r="G549" s="138" t="s">
        <v>6813</v>
      </c>
      <c r="H549" s="81" t="str">
        <f t="shared" si="55"/>
        <v>TCCN-PTE-PSG-SAG-CT4-INS-IDE</v>
      </c>
      <c r="I549" s="138" t="str">
        <f>MID(H549,1,(LEN(H549)-VLOOKUP(K549,datos!$B$2:$C$12,2,0)))</f>
        <v>TCCN-PTE-PSG-SAG-CT4-INS-IDE</v>
      </c>
      <c r="J549" s="138" t="s">
        <v>6823</v>
      </c>
      <c r="K549" s="140">
        <f>VLOOKUP(LEN(SUBSTITUTE(H549,"-","")),datos!$A$1:$B$12,2,0)</f>
        <v>7</v>
      </c>
      <c r="L549" s="138" t="s">
        <v>6829</v>
      </c>
      <c r="M549" s="138" t="s">
        <v>0</v>
      </c>
    </row>
    <row r="550" spans="1:13" x14ac:dyDescent="0.35">
      <c r="A550" s="138" t="s">
        <v>487</v>
      </c>
      <c r="B550" s="138" t="s">
        <v>3809</v>
      </c>
      <c r="C550" s="138" t="s">
        <v>3913</v>
      </c>
      <c r="D550" s="138" t="s">
        <v>3914</v>
      </c>
      <c r="E550" s="138" t="s">
        <v>3945</v>
      </c>
      <c r="F550" s="138" t="s">
        <v>3831</v>
      </c>
      <c r="G550" s="138" t="s">
        <v>4088</v>
      </c>
      <c r="H550" s="81" t="str">
        <f t="shared" si="55"/>
        <v>TCCN-PTE-PSG-SAG-CT4-INS-BYB</v>
      </c>
      <c r="I550" s="138" t="str">
        <f>MID(H550,1,(LEN(H550)-VLOOKUP(K550,datos!$B$2:$C$12,2,0)))</f>
        <v>TCCN-PTE-PSG-SAG-CT4-INS-BYB</v>
      </c>
      <c r="J550" s="138" t="s">
        <v>6824</v>
      </c>
      <c r="K550" s="140">
        <f>VLOOKUP(LEN(SUBSTITUTE(H550,"-","")),datos!$A$1:$B$12,2,0)</f>
        <v>7</v>
      </c>
      <c r="L550" s="138" t="s">
        <v>6856</v>
      </c>
      <c r="M550" s="138" t="s">
        <v>0</v>
      </c>
    </row>
    <row r="551" spans="1:13" x14ac:dyDescent="0.35">
      <c r="A551" s="138" t="s">
        <v>487</v>
      </c>
      <c r="B551" s="138" t="s">
        <v>3809</v>
      </c>
      <c r="C551" s="138" t="s">
        <v>3913</v>
      </c>
      <c r="D551" s="138" t="s">
        <v>3914</v>
      </c>
      <c r="E551" s="138" t="s">
        <v>3945</v>
      </c>
      <c r="F551" s="138" t="s">
        <v>3831</v>
      </c>
      <c r="G551" s="138" t="s">
        <v>6814</v>
      </c>
      <c r="H551" s="81" t="str">
        <f t="shared" si="55"/>
        <v>TCCN-PTE-PSG-SAG-CT4-INS-SAM</v>
      </c>
      <c r="I551" s="138" t="str">
        <f>MID(H551,1,(LEN(H551)-VLOOKUP(K551,datos!$B$2:$C$12,2,0)))</f>
        <v>TCCN-PTE-PSG-SAG-CT4-INS-SAM</v>
      </c>
      <c r="J551" s="138" t="s">
        <v>6837</v>
      </c>
      <c r="K551" s="140">
        <f>VLOOKUP(LEN(SUBSTITUTE(H551,"-","")),datos!$A$1:$B$12,2,0)</f>
        <v>7</v>
      </c>
      <c r="L551" s="138" t="s">
        <v>6831</v>
      </c>
      <c r="M551" s="138" t="s">
        <v>0</v>
      </c>
    </row>
    <row r="552" spans="1:13" customFormat="1" ht="14.5" x14ac:dyDescent="0.35">
      <c r="A552" s="129" t="s">
        <v>487</v>
      </c>
      <c r="B552" s="129" t="s">
        <v>3809</v>
      </c>
      <c r="C552" s="129" t="s">
        <v>3913</v>
      </c>
      <c r="D552" s="129" t="s">
        <v>3914</v>
      </c>
      <c r="E552" s="129" t="s">
        <v>3946</v>
      </c>
      <c r="F552" s="129"/>
      <c r="G552" s="129"/>
      <c r="H552" s="83" t="str">
        <f t="shared" si="53"/>
        <v>TCCN-PTE-PSG-SAG-ENF--</v>
      </c>
      <c r="I552" s="129" t="str">
        <f>MID(H552,1,(LEN(H552)-VLOOKUP(K552,datos!$B$2:$C$12,2,0)))</f>
        <v>TCCN-PTE-PSG-SAG-ENF</v>
      </c>
      <c r="J552" s="129" t="s">
        <v>4348</v>
      </c>
      <c r="K552" s="130">
        <f>VLOOKUP(LEN(SUBSTITUTE(H552,"-","")),datos!$A$1:$B$12,2,0)</f>
        <v>5</v>
      </c>
      <c r="L552" s="129" t="s">
        <v>1642</v>
      </c>
      <c r="M552" s="129" t="s">
        <v>0</v>
      </c>
    </row>
    <row r="553" spans="1:13" x14ac:dyDescent="0.35">
      <c r="A553" s="137" t="s">
        <v>487</v>
      </c>
      <c r="B553" s="137" t="s">
        <v>3809</v>
      </c>
      <c r="C553" s="137" t="s">
        <v>3913</v>
      </c>
      <c r="D553" s="137" t="s">
        <v>3914</v>
      </c>
      <c r="E553" s="137" t="s">
        <v>3946</v>
      </c>
      <c r="F553" s="137" t="s">
        <v>3954</v>
      </c>
      <c r="G553" s="137"/>
      <c r="H553" s="82" t="str">
        <f t="shared" si="53"/>
        <v>TCCN-PTE-PSG-SAG-ENF-SEN-</v>
      </c>
      <c r="I553" s="137" t="str">
        <f>MID(H553,1,(LEN(H553)-VLOOKUP(K553,datos!$B$2:$C$12,2,0)))</f>
        <v>TCCN-PTE-PSG-SAG-ENF-SEN</v>
      </c>
      <c r="J553" s="137" t="s">
        <v>5566</v>
      </c>
      <c r="K553" s="139">
        <f>VLOOKUP(LEN(SUBSTITUTE(H553,"-","")),datos!$A$1:$B$12,2,0)</f>
        <v>6</v>
      </c>
      <c r="L553" s="137" t="s">
        <v>5209</v>
      </c>
      <c r="M553" s="137" t="s">
        <v>0</v>
      </c>
    </row>
    <row r="554" spans="1:13" x14ac:dyDescent="0.35">
      <c r="A554" s="138" t="s">
        <v>487</v>
      </c>
      <c r="B554" s="138" t="s">
        <v>3809</v>
      </c>
      <c r="C554" s="138" t="s">
        <v>3913</v>
      </c>
      <c r="D554" s="138" t="s">
        <v>3914</v>
      </c>
      <c r="E554" s="138" t="s">
        <v>3946</v>
      </c>
      <c r="F554" s="138" t="s">
        <v>3954</v>
      </c>
      <c r="G554" s="138" t="s">
        <v>4098</v>
      </c>
      <c r="H554" s="81" t="str">
        <f t="shared" si="53"/>
        <v>TCCN-PTE-PSG-SAG-ENF-SEN-SEA</v>
      </c>
      <c r="I554" s="138" t="str">
        <f>MID(H554,1,(LEN(H554)-VLOOKUP(K554,datos!$B$2:$C$12,2,0)))</f>
        <v>TCCN-PTE-PSG-SAG-ENF-SEN-SEA</v>
      </c>
      <c r="J554" s="138" t="s">
        <v>5210</v>
      </c>
      <c r="K554" s="140">
        <f>VLOOKUP(LEN(SUBSTITUTE(H554,"-","")),datos!$A$1:$B$12,2,0)</f>
        <v>7</v>
      </c>
      <c r="L554" s="138" t="s">
        <v>5211</v>
      </c>
      <c r="M554" s="138" t="s">
        <v>0</v>
      </c>
    </row>
    <row r="555" spans="1:13" x14ac:dyDescent="0.35">
      <c r="A555" s="138" t="s">
        <v>487</v>
      </c>
      <c r="B555" s="138" t="s">
        <v>3809</v>
      </c>
      <c r="C555" s="138" t="s">
        <v>3913</v>
      </c>
      <c r="D555" s="138" t="s">
        <v>3914</v>
      </c>
      <c r="E555" s="138" t="s">
        <v>3946</v>
      </c>
      <c r="F555" s="138" t="s">
        <v>3954</v>
      </c>
      <c r="G555" s="138" t="s">
        <v>3853</v>
      </c>
      <c r="H555" s="81" t="str">
        <f t="shared" si="53"/>
        <v>TCCN-PTE-PSG-SAG-ENF-SEN-EST</v>
      </c>
      <c r="I555" s="138" t="str">
        <f>MID(H555,1,(LEN(H555)-VLOOKUP(K555,datos!$B$2:$C$12,2,0)))</f>
        <v>TCCN-PTE-PSG-SAG-ENF-SEN-EST</v>
      </c>
      <c r="J555" s="138" t="s">
        <v>5212</v>
      </c>
      <c r="K555" s="140">
        <f>VLOOKUP(LEN(SUBSTITUTE(H555,"-","")),datos!$A$1:$B$12,2,0)</f>
        <v>7</v>
      </c>
      <c r="L555" s="138" t="s">
        <v>5213</v>
      </c>
      <c r="M555" s="138" t="s">
        <v>0</v>
      </c>
    </row>
    <row r="556" spans="1:13" x14ac:dyDescent="0.35">
      <c r="A556" s="138" t="s">
        <v>487</v>
      </c>
      <c r="B556" s="138" t="s">
        <v>3809</v>
      </c>
      <c r="C556" s="138" t="s">
        <v>3913</v>
      </c>
      <c r="D556" s="138" t="s">
        <v>3914</v>
      </c>
      <c r="E556" s="138" t="s">
        <v>3946</v>
      </c>
      <c r="F556" s="138" t="s">
        <v>3954</v>
      </c>
      <c r="G556" s="138" t="s">
        <v>5197</v>
      </c>
      <c r="H556" s="81" t="str">
        <f t="shared" si="53"/>
        <v>TCCN-PTE-PSG-SAG-ENF-SEN-FTR</v>
      </c>
      <c r="I556" s="138" t="str">
        <f>MID(H556,1,(LEN(H556)-VLOOKUP(K556,datos!$B$2:$C$12,2,0)))</f>
        <v>TCCN-PTE-PSG-SAG-ENF-SEN-FTR</v>
      </c>
      <c r="J556" s="138" t="s">
        <v>6726</v>
      </c>
      <c r="K556" s="140">
        <f>VLOOKUP(LEN(SUBSTITUTE(H556,"-","")),datos!$A$1:$B$12,2,0)</f>
        <v>7</v>
      </c>
      <c r="L556" s="138" t="s">
        <v>5214</v>
      </c>
      <c r="M556" s="138" t="s">
        <v>0</v>
      </c>
    </row>
    <row r="557" spans="1:13" x14ac:dyDescent="0.35">
      <c r="A557" s="138" t="s">
        <v>487</v>
      </c>
      <c r="B557" s="138" t="s">
        <v>3809</v>
      </c>
      <c r="C557" s="138" t="s">
        <v>3913</v>
      </c>
      <c r="D557" s="138" t="s">
        <v>3914</v>
      </c>
      <c r="E557" s="138" t="s">
        <v>3946</v>
      </c>
      <c r="F557" s="138" t="s">
        <v>3954</v>
      </c>
      <c r="G557" s="138" t="s">
        <v>3818</v>
      </c>
      <c r="H557" s="81" t="str">
        <f t="shared" si="53"/>
        <v>TCCN-PTE-PSG-SAG-ENF-SEN-BBA</v>
      </c>
      <c r="I557" s="138" t="str">
        <f>MID(H557,1,(LEN(H557)-VLOOKUP(K557,datos!$B$2:$C$12,2,0)))</f>
        <v>TCCN-PTE-PSG-SAG-ENF-SEN-BBA</v>
      </c>
      <c r="J557" s="138" t="s">
        <v>5215</v>
      </c>
      <c r="K557" s="140">
        <f>VLOOKUP(LEN(SUBSTITUTE(H557,"-","")),datos!$A$1:$B$12,2,0)</f>
        <v>7</v>
      </c>
      <c r="L557" s="138" t="s">
        <v>5216</v>
      </c>
      <c r="M557" s="138" t="s">
        <v>0</v>
      </c>
    </row>
    <row r="558" spans="1:13" x14ac:dyDescent="0.35">
      <c r="A558" s="138" t="s">
        <v>487</v>
      </c>
      <c r="B558" s="138" t="s">
        <v>3809</v>
      </c>
      <c r="C558" s="138" t="s">
        <v>3913</v>
      </c>
      <c r="D558" s="138" t="s">
        <v>3914</v>
      </c>
      <c r="E558" s="138" t="s">
        <v>3946</v>
      </c>
      <c r="F558" s="138" t="s">
        <v>3954</v>
      </c>
      <c r="G558" s="138" t="s">
        <v>3953</v>
      </c>
      <c r="H558" s="81" t="str">
        <f t="shared" si="53"/>
        <v>TCCN-PTE-PSG-SAG-ENF-SEN-BB1</v>
      </c>
      <c r="I558" s="138" t="str">
        <f>MID(H558,1,(LEN(H558)-VLOOKUP(K558,datos!$B$2:$C$12,2,0)))</f>
        <v>TCCN-PTE-PSG-SAG-ENF-SEN-BB1</v>
      </c>
      <c r="J558" s="138" t="s">
        <v>6717</v>
      </c>
      <c r="K558" s="140">
        <f>VLOOKUP(LEN(SUBSTITUTE(H558,"-","")),datos!$A$1:$B$12,2,0)</f>
        <v>7</v>
      </c>
      <c r="L558" s="138" t="s">
        <v>5217</v>
      </c>
      <c r="M558" s="138" t="s">
        <v>0</v>
      </c>
    </row>
    <row r="559" spans="1:13" x14ac:dyDescent="0.35">
      <c r="A559" s="138" t="s">
        <v>487</v>
      </c>
      <c r="B559" s="138" t="s">
        <v>3809</v>
      </c>
      <c r="C559" s="138" t="s">
        <v>3913</v>
      </c>
      <c r="D559" s="138" t="s">
        <v>3914</v>
      </c>
      <c r="E559" s="138" t="s">
        <v>3946</v>
      </c>
      <c r="F559" s="138" t="s">
        <v>3954</v>
      </c>
      <c r="G559" s="138" t="s">
        <v>3942</v>
      </c>
      <c r="H559" s="81" t="str">
        <f t="shared" si="53"/>
        <v>TCCN-PTE-PSG-SAG-ENF-SEN-BB2</v>
      </c>
      <c r="I559" s="138" t="str">
        <f>MID(H559,1,(LEN(H559)-VLOOKUP(K559,datos!$B$2:$C$12,2,0)))</f>
        <v>TCCN-PTE-PSG-SAG-ENF-SEN-BB2</v>
      </c>
      <c r="J559" s="138" t="s">
        <v>6718</v>
      </c>
      <c r="K559" s="140">
        <f>VLOOKUP(LEN(SUBSTITUTE(H559,"-","")),datos!$A$1:$B$12,2,0)</f>
        <v>7</v>
      </c>
      <c r="L559" s="138" t="s">
        <v>5218</v>
      </c>
      <c r="M559" s="138" t="s">
        <v>0</v>
      </c>
    </row>
    <row r="560" spans="1:13" x14ac:dyDescent="0.35">
      <c r="A560" s="137" t="s">
        <v>487</v>
      </c>
      <c r="B560" s="137" t="s">
        <v>3809</v>
      </c>
      <c r="C560" s="137" t="s">
        <v>3913</v>
      </c>
      <c r="D560" s="137" t="s">
        <v>3914</v>
      </c>
      <c r="E560" s="137" t="s">
        <v>3946</v>
      </c>
      <c r="F560" s="137" t="s">
        <v>4073</v>
      </c>
      <c r="G560" s="137"/>
      <c r="H560" s="82" t="str">
        <f t="shared" ref="H560" si="56">CONCATENATE(A560,"-",B560,"-",C560,"-",D560,"-",E560,"-",F560,"-",G560)</f>
        <v>TCCN-PTE-PSG-SAG-ENF-PYV-</v>
      </c>
      <c r="I560" s="137" t="str">
        <f>MID(H560,1,(LEN(H560)-VLOOKUP(K560,datos!$B$2:$C$12,2,0)))</f>
        <v>TCCN-PTE-PSG-SAG-ENF-PYV</v>
      </c>
      <c r="J560" s="137" t="s">
        <v>7174</v>
      </c>
      <c r="K560" s="139">
        <f>VLOOKUP(LEN(SUBSTITUTE(H560,"-","")),datos!$A$1:$B$12,2,0)</f>
        <v>6</v>
      </c>
      <c r="L560" s="137"/>
      <c r="M560" s="137" t="s">
        <v>0</v>
      </c>
    </row>
    <row r="561" spans="1:13" x14ac:dyDescent="0.35">
      <c r="A561" s="137" t="s">
        <v>487</v>
      </c>
      <c r="B561" s="137" t="s">
        <v>3809</v>
      </c>
      <c r="C561" s="137" t="s">
        <v>3913</v>
      </c>
      <c r="D561" s="137" t="s">
        <v>3914</v>
      </c>
      <c r="E561" s="137" t="s">
        <v>3946</v>
      </c>
      <c r="F561" s="137" t="s">
        <v>3831</v>
      </c>
      <c r="G561" s="137"/>
      <c r="H561" s="82" t="str">
        <f t="shared" ref="H561" si="57">CONCATENATE(A561,"-",B561,"-",C561,"-",D561,"-",E561,"-",F561,"-",G561)</f>
        <v>TCCN-PTE-PSG-SAG-ENF-INS-</v>
      </c>
      <c r="I561" s="137" t="str">
        <f>MID(H561,1,(LEN(H561)-VLOOKUP(K561,datos!$B$2:$C$12,2,0)))</f>
        <v>TCCN-PTE-PSG-SAG-ENF-INS</v>
      </c>
      <c r="J561" s="137" t="s">
        <v>7175</v>
      </c>
      <c r="K561" s="139">
        <f>VLOOKUP(LEN(SUBSTITUTE(H561,"-","")),datos!$A$1:$B$12,2,0)</f>
        <v>6</v>
      </c>
      <c r="L561" s="137"/>
      <c r="M561" s="137" t="s">
        <v>0</v>
      </c>
    </row>
    <row r="562" spans="1:13" customFormat="1" ht="14.5" x14ac:dyDescent="0.35">
      <c r="A562" s="129" t="s">
        <v>487</v>
      </c>
      <c r="B562" s="129" t="s">
        <v>3809</v>
      </c>
      <c r="C562" s="129" t="s">
        <v>3913</v>
      </c>
      <c r="D562" s="129" t="s">
        <v>3914</v>
      </c>
      <c r="E562" s="129" t="s">
        <v>8040</v>
      </c>
      <c r="F562" s="129"/>
      <c r="G562" s="129"/>
      <c r="H562" s="83" t="str">
        <f t="shared" ref="H562" si="58">CONCATENATE(A562,"-",B562,"-",C562,"-",D562,"-",E562,"-",F562,"-",G562)</f>
        <v>TCCN-PTE-PSG-SAG-T01--</v>
      </c>
      <c r="I562" s="129" t="str">
        <f>MID(H562,1,(LEN(H562)-VLOOKUP(K562,datos!$B$2:$C$12,2,0)))</f>
        <v>TCCN-PTE-PSG-SAG-T01</v>
      </c>
      <c r="J562" s="129" t="s">
        <v>5502</v>
      </c>
      <c r="K562" s="130">
        <f>VLOOKUP(LEN(SUBSTITUTE(H562,"-","")),datos!$A$1:$B$12,2,0)</f>
        <v>5</v>
      </c>
      <c r="L562" s="129" t="s">
        <v>5503</v>
      </c>
      <c r="M562" s="129" t="s">
        <v>0</v>
      </c>
    </row>
    <row r="563" spans="1:13" customFormat="1" ht="14.5" x14ac:dyDescent="0.35">
      <c r="A563" s="129" t="s">
        <v>487</v>
      </c>
      <c r="B563" s="129" t="s">
        <v>3809</v>
      </c>
      <c r="C563" s="129" t="s">
        <v>3913</v>
      </c>
      <c r="D563" s="129" t="s">
        <v>3914</v>
      </c>
      <c r="E563" s="129" t="s">
        <v>8041</v>
      </c>
      <c r="F563" s="129"/>
      <c r="G563" s="129"/>
      <c r="H563" s="83" t="str">
        <f t="shared" ref="H563:H564" si="59">CONCATENATE(A563,"-",B563,"-",C563,"-",D563,"-",E563,"-",F563,"-",G563)</f>
        <v>TCCN-PTE-PSG-SAG-T02--</v>
      </c>
      <c r="I563" s="129" t="str">
        <f>MID(H563,1,(LEN(H563)-VLOOKUP(K563,datos!$B$2:$C$12,2,0)))</f>
        <v>TCCN-PTE-PSG-SAG-T02</v>
      </c>
      <c r="J563" s="129" t="s">
        <v>5504</v>
      </c>
      <c r="K563" s="130">
        <f>VLOOKUP(LEN(SUBSTITUTE(H563,"-","")),datos!$A$1:$B$12,2,0)</f>
        <v>5</v>
      </c>
      <c r="L563" s="129" t="s">
        <v>5506</v>
      </c>
      <c r="M563" s="129" t="s">
        <v>0</v>
      </c>
    </row>
    <row r="564" spans="1:13" customFormat="1" ht="14.5" x14ac:dyDescent="0.35">
      <c r="A564" s="129" t="s">
        <v>487</v>
      </c>
      <c r="B564" s="129" t="s">
        <v>3809</v>
      </c>
      <c r="C564" s="129" t="s">
        <v>3913</v>
      </c>
      <c r="D564" s="129" t="s">
        <v>3914</v>
      </c>
      <c r="E564" s="129" t="s">
        <v>8042</v>
      </c>
      <c r="F564" s="129"/>
      <c r="G564" s="129"/>
      <c r="H564" s="83" t="str">
        <f t="shared" si="59"/>
        <v>TCCN-PTE-PSG-SAG-T03--</v>
      </c>
      <c r="I564" s="129" t="str">
        <f>MID(H564,1,(LEN(H564)-VLOOKUP(K564,datos!$B$2:$C$12,2,0)))</f>
        <v>TCCN-PTE-PSG-SAG-T03</v>
      </c>
      <c r="J564" s="129" t="s">
        <v>5505</v>
      </c>
      <c r="K564" s="130">
        <f>VLOOKUP(LEN(SUBSTITUTE(H564,"-","")),datos!$A$1:$B$12,2,0)</f>
        <v>5</v>
      </c>
      <c r="L564" s="129" t="s">
        <v>5507</v>
      </c>
      <c r="M564" s="129" t="s">
        <v>0</v>
      </c>
    </row>
    <row r="565" spans="1:13" customFormat="1" ht="14.5" x14ac:dyDescent="0.35">
      <c r="A565" s="129" t="s">
        <v>487</v>
      </c>
      <c r="B565" s="129" t="s">
        <v>3809</v>
      </c>
      <c r="C565" s="129" t="s">
        <v>3913</v>
      </c>
      <c r="D565" s="129" t="s">
        <v>3914</v>
      </c>
      <c r="E565" s="129" t="s">
        <v>8043</v>
      </c>
      <c r="F565" s="129"/>
      <c r="G565" s="129"/>
      <c r="H565" s="83" t="str">
        <f t="shared" ref="H565:H566" si="60">CONCATENATE(A565,"-",B565,"-",C565,"-",D565,"-",E565,"-",F565,"-",G565)</f>
        <v>TCCN-PTE-PSG-SAG-T04--</v>
      </c>
      <c r="I565" s="129" t="str">
        <f>MID(H565,1,(LEN(H565)-VLOOKUP(K565,datos!$B$2:$C$12,2,0)))</f>
        <v>TCCN-PTE-PSG-SAG-T04</v>
      </c>
      <c r="J565" s="129" t="s">
        <v>5508</v>
      </c>
      <c r="K565" s="130">
        <f>VLOOKUP(LEN(SUBSTITUTE(H565,"-","")),datos!$A$1:$B$12,2,0)</f>
        <v>5</v>
      </c>
      <c r="L565" s="129" t="s">
        <v>5510</v>
      </c>
      <c r="M565" s="129" t="s">
        <v>0</v>
      </c>
    </row>
    <row r="566" spans="1:13" customFormat="1" ht="14.5" x14ac:dyDescent="0.35">
      <c r="A566" s="129" t="s">
        <v>487</v>
      </c>
      <c r="B566" s="129" t="s">
        <v>3809</v>
      </c>
      <c r="C566" s="129" t="s">
        <v>3913</v>
      </c>
      <c r="D566" s="129" t="s">
        <v>3914</v>
      </c>
      <c r="E566" s="129" t="s">
        <v>8044</v>
      </c>
      <c r="F566" s="129"/>
      <c r="G566" s="129"/>
      <c r="H566" s="83" t="str">
        <f t="shared" si="60"/>
        <v>TCCN-PTE-PSG-SAG-T05--</v>
      </c>
      <c r="I566" s="129" t="str">
        <f>MID(H566,1,(LEN(H566)-VLOOKUP(K566,datos!$B$2:$C$12,2,0)))</f>
        <v>TCCN-PTE-PSG-SAG-T05</v>
      </c>
      <c r="J566" s="129" t="s">
        <v>5509</v>
      </c>
      <c r="K566" s="130">
        <f>VLOOKUP(LEN(SUBSTITUTE(H566,"-","")),datos!$A$1:$B$12,2,0)</f>
        <v>5</v>
      </c>
      <c r="L566" s="129" t="s">
        <v>5511</v>
      </c>
      <c r="M566" s="129" t="s">
        <v>0</v>
      </c>
    </row>
    <row r="567" spans="1:13" customFormat="1" ht="14.5" x14ac:dyDescent="0.35">
      <c r="A567" s="129" t="s">
        <v>487</v>
      </c>
      <c r="B567" s="129" t="s">
        <v>3809</v>
      </c>
      <c r="C567" s="129" t="s">
        <v>3913</v>
      </c>
      <c r="D567" s="129" t="s">
        <v>3914</v>
      </c>
      <c r="E567" s="129" t="s">
        <v>8045</v>
      </c>
      <c r="F567" s="129"/>
      <c r="G567" s="129"/>
      <c r="H567" s="83" t="str">
        <f t="shared" ref="H567" si="61">CONCATENATE(A567,"-",B567,"-",C567,"-",D567,"-",E567,"-",F567,"-",G567)</f>
        <v>TCCN-PTE-PSG-SAG-T06--</v>
      </c>
      <c r="I567" s="129" t="str">
        <f>MID(H567,1,(LEN(H567)-VLOOKUP(K567,datos!$B$2:$C$12,2,0)))</f>
        <v>TCCN-PTE-PSG-SAG-T06</v>
      </c>
      <c r="J567" s="129" t="s">
        <v>5513</v>
      </c>
      <c r="K567" s="130">
        <f>VLOOKUP(LEN(SUBSTITUTE(H567,"-","")),datos!$A$1:$B$12,2,0)</f>
        <v>5</v>
      </c>
      <c r="L567" s="129" t="s">
        <v>5512</v>
      </c>
      <c r="M567" s="129" t="s">
        <v>0</v>
      </c>
    </row>
    <row r="568" spans="1:13" customFormat="1" ht="14.5" x14ac:dyDescent="0.35">
      <c r="A568" s="129" t="s">
        <v>487</v>
      </c>
      <c r="B568" s="129" t="s">
        <v>3809</v>
      </c>
      <c r="C568" s="129" t="s">
        <v>3913</v>
      </c>
      <c r="D568" s="129" t="s">
        <v>3914</v>
      </c>
      <c r="E568" s="129" t="s">
        <v>8046</v>
      </c>
      <c r="F568" s="129"/>
      <c r="G568" s="129"/>
      <c r="H568" s="83" t="str">
        <f t="shared" ref="H568:H570" si="62">CONCATENATE(A568,"-",B568,"-",C568,"-",D568,"-",E568,"-",F568,"-",G568)</f>
        <v>TCCN-PTE-PSG-SAG-T07--</v>
      </c>
      <c r="I568" s="129" t="str">
        <f>MID(H568,1,(LEN(H568)-VLOOKUP(K568,datos!$B$2:$C$12,2,0)))</f>
        <v>TCCN-PTE-PSG-SAG-T07</v>
      </c>
      <c r="J568" s="129" t="s">
        <v>5515</v>
      </c>
      <c r="K568" s="130">
        <f>VLOOKUP(LEN(SUBSTITUTE(H568,"-","")),datos!$A$1:$B$12,2,0)</f>
        <v>5</v>
      </c>
      <c r="L568" s="129" t="s">
        <v>5516</v>
      </c>
      <c r="M568" s="129" t="s">
        <v>0</v>
      </c>
    </row>
    <row r="569" spans="1:13" customFormat="1" ht="14.5" x14ac:dyDescent="0.35">
      <c r="A569" s="129" t="s">
        <v>487</v>
      </c>
      <c r="B569" s="129" t="s">
        <v>3809</v>
      </c>
      <c r="C569" s="129" t="s">
        <v>3913</v>
      </c>
      <c r="D569" s="129" t="s">
        <v>3914</v>
      </c>
      <c r="E569" s="129" t="s">
        <v>8047</v>
      </c>
      <c r="F569" s="129"/>
      <c r="G569" s="129"/>
      <c r="H569" s="83" t="str">
        <f t="shared" si="62"/>
        <v>TCCN-PTE-PSG-SAG-T08--</v>
      </c>
      <c r="I569" s="129" t="str">
        <f>MID(H569,1,(LEN(H569)-VLOOKUP(K569,datos!$B$2:$C$12,2,0)))</f>
        <v>TCCN-PTE-PSG-SAG-T08</v>
      </c>
      <c r="J569" s="129" t="s">
        <v>5514</v>
      </c>
      <c r="K569" s="130">
        <f>VLOOKUP(LEN(SUBSTITUTE(H569,"-","")),datos!$A$1:$B$12,2,0)</f>
        <v>5</v>
      </c>
      <c r="L569" s="129" t="s">
        <v>5517</v>
      </c>
      <c r="M569" s="129" t="s">
        <v>0</v>
      </c>
    </row>
    <row r="570" spans="1:13" customFormat="1" ht="14.5" x14ac:dyDescent="0.35">
      <c r="A570" s="129" t="s">
        <v>487</v>
      </c>
      <c r="B570" s="129" t="s">
        <v>3809</v>
      </c>
      <c r="C570" s="129" t="s">
        <v>3913</v>
      </c>
      <c r="D570" s="129" t="s">
        <v>3914</v>
      </c>
      <c r="E570" s="129" t="s">
        <v>8048</v>
      </c>
      <c r="F570" s="129"/>
      <c r="G570" s="129"/>
      <c r="H570" s="83" t="str">
        <f t="shared" si="62"/>
        <v>TCCN-PTE-PSG-SAG-T09--</v>
      </c>
      <c r="I570" s="129" t="str">
        <f>MID(H570,1,(LEN(H570)-VLOOKUP(K570,datos!$B$2:$C$12,2,0)))</f>
        <v>TCCN-PTE-PSG-SAG-T09</v>
      </c>
      <c r="J570" s="129" t="s">
        <v>5518</v>
      </c>
      <c r="K570" s="130">
        <f>VLOOKUP(LEN(SUBSTITUTE(H570,"-","")),datos!$A$1:$B$12,2,0)</f>
        <v>5</v>
      </c>
      <c r="L570" s="129" t="s">
        <v>5519</v>
      </c>
      <c r="M570" s="129" t="s">
        <v>0</v>
      </c>
    </row>
    <row r="571" spans="1:13" customFormat="1" ht="14.5" x14ac:dyDescent="0.35">
      <c r="A571" s="129" t="s">
        <v>487</v>
      </c>
      <c r="B571" s="129" t="s">
        <v>3809</v>
      </c>
      <c r="C571" s="129" t="s">
        <v>3913</v>
      </c>
      <c r="D571" s="129" t="s">
        <v>3914</v>
      </c>
      <c r="E571" s="129" t="s">
        <v>8049</v>
      </c>
      <c r="F571" s="129"/>
      <c r="G571" s="129"/>
      <c r="H571" s="83" t="str">
        <f>CONCATENATE(A571,"-",B571,"-",C571,"-",D571,"-",E571,"-",F571,"-",G571)</f>
        <v>TCCN-PTE-PSG-SAG-T10--</v>
      </c>
      <c r="I571" s="129" t="str">
        <f>MID(H571,1,(LEN(H571)-VLOOKUP(K571,datos!$B$2:$C$12,2,0)))</f>
        <v>TCCN-PTE-PSG-SAG-T10</v>
      </c>
      <c r="J571" s="129" t="s">
        <v>5532</v>
      </c>
      <c r="K571" s="130">
        <f>VLOOKUP(LEN(SUBSTITUTE(H571,"-","")),datos!$A$1:$B$12,2,0)</f>
        <v>5</v>
      </c>
      <c r="L571" s="129" t="s">
        <v>5533</v>
      </c>
      <c r="M571" s="129" t="s">
        <v>0</v>
      </c>
    </row>
    <row r="572" spans="1:13" customFormat="1" ht="14.5" x14ac:dyDescent="0.35">
      <c r="A572" s="129" t="s">
        <v>487</v>
      </c>
      <c r="B572" s="129" t="s">
        <v>3809</v>
      </c>
      <c r="C572" s="129" t="s">
        <v>3913</v>
      </c>
      <c r="D572" s="129" t="s">
        <v>3914</v>
      </c>
      <c r="E572" s="129" t="s">
        <v>8050</v>
      </c>
      <c r="F572" s="129"/>
      <c r="G572" s="129"/>
      <c r="H572" s="83" t="str">
        <f>CONCATENATE(A572,"-",B572,"-",C572,"-",D572,"-",E572,"-",F572,"-",G572)</f>
        <v>TCCN-PTE-PSG-SAG-T11--</v>
      </c>
      <c r="I572" s="129" t="str">
        <f>MID(H572,1,(LEN(H572)-VLOOKUP(K572,datos!$B$2:$C$12,2,0)))</f>
        <v>TCCN-PTE-PSG-SAG-T11</v>
      </c>
      <c r="J572" s="129" t="s">
        <v>5534</v>
      </c>
      <c r="K572" s="130">
        <f>VLOOKUP(LEN(SUBSTITUTE(H572,"-","")),datos!$A$1:$B$12,2,0)</f>
        <v>5</v>
      </c>
      <c r="L572" s="129" t="s">
        <v>5535</v>
      </c>
      <c r="M572" s="129" t="s">
        <v>0</v>
      </c>
    </row>
    <row r="573" spans="1:13" customFormat="1" ht="14.5" x14ac:dyDescent="0.35">
      <c r="A573" s="129" t="s">
        <v>487</v>
      </c>
      <c r="B573" s="129" t="s">
        <v>3809</v>
      </c>
      <c r="C573" s="129" t="s">
        <v>3913</v>
      </c>
      <c r="D573" s="129" t="s">
        <v>3914</v>
      </c>
      <c r="E573" s="129" t="s">
        <v>8051</v>
      </c>
      <c r="F573" s="129"/>
      <c r="G573" s="129"/>
      <c r="H573" s="83" t="str">
        <f>CONCATENATE(A573,"-",B573,"-",C573,"-",D573,"-",E573,"-",F573,"-",G573)</f>
        <v>TCCN-PTE-PSG-SAG-T12--</v>
      </c>
      <c r="I573" s="129" t="str">
        <f>MID(H573,1,(LEN(H573)-VLOOKUP(K573,datos!$B$2:$C$12,2,0)))</f>
        <v>TCCN-PTE-PSG-SAG-T12</v>
      </c>
      <c r="J573" s="129" t="s">
        <v>5536</v>
      </c>
      <c r="K573" s="130">
        <f>VLOOKUP(LEN(SUBSTITUTE(H573,"-","")),datos!$A$1:$B$12,2,0)</f>
        <v>5</v>
      </c>
      <c r="L573" s="129" t="s">
        <v>5537</v>
      </c>
      <c r="M573" s="129" t="s">
        <v>0</v>
      </c>
    </row>
    <row r="574" spans="1:13" customFormat="1" ht="14.5" x14ac:dyDescent="0.35">
      <c r="A574" s="129" t="s">
        <v>487</v>
      </c>
      <c r="B574" s="129" t="s">
        <v>3809</v>
      </c>
      <c r="C574" s="129" t="s">
        <v>3913</v>
      </c>
      <c r="D574" s="129" t="s">
        <v>3914</v>
      </c>
      <c r="E574" s="129" t="s">
        <v>4115</v>
      </c>
      <c r="F574" s="129"/>
      <c r="G574" s="129"/>
      <c r="H574" s="83" t="str">
        <f t="shared" ref="H574:H575" si="63">CONCATENATE(A574,"-",B574,"-",C574,"-",D574,"-",E574,"-",F574,"-",G574)</f>
        <v>TCCN-PTE-PSG-SAG-GP1--</v>
      </c>
      <c r="I574" s="129" t="str">
        <f>MID(H574,1,(LEN(H574)-VLOOKUP(K574,datos!$B$2:$C$12,2,0)))</f>
        <v>TCCN-PTE-PSG-SAG-GP1</v>
      </c>
      <c r="J574" s="129" t="s">
        <v>5538</v>
      </c>
      <c r="K574" s="130">
        <f>VLOOKUP(LEN(SUBSTITUTE(H574,"-","")),datos!$A$1:$B$12,2,0)</f>
        <v>5</v>
      </c>
      <c r="L574" s="129" t="s">
        <v>5540</v>
      </c>
      <c r="M574" s="129" t="s">
        <v>0</v>
      </c>
    </row>
    <row r="575" spans="1:13" customFormat="1" ht="14.5" x14ac:dyDescent="0.35">
      <c r="A575" s="129" t="s">
        <v>487</v>
      </c>
      <c r="B575" s="129" t="s">
        <v>3809</v>
      </c>
      <c r="C575" s="129" t="s">
        <v>3913</v>
      </c>
      <c r="D575" s="129" t="s">
        <v>3914</v>
      </c>
      <c r="E575" s="129" t="s">
        <v>4122</v>
      </c>
      <c r="F575" s="129"/>
      <c r="G575" s="129"/>
      <c r="H575" s="83" t="str">
        <f t="shared" si="63"/>
        <v>TCCN-PTE-PSG-SAG-GP2--</v>
      </c>
      <c r="I575" s="129" t="str">
        <f>MID(H575,1,(LEN(H575)-VLOOKUP(K575,datos!$B$2:$C$12,2,0)))</f>
        <v>TCCN-PTE-PSG-SAG-GP2</v>
      </c>
      <c r="J575" s="129" t="s">
        <v>5539</v>
      </c>
      <c r="K575" s="130">
        <f>VLOOKUP(LEN(SUBSTITUTE(H575,"-","")),datos!$A$1:$B$12,2,0)</f>
        <v>5</v>
      </c>
      <c r="L575" s="129" t="s">
        <v>5541</v>
      </c>
      <c r="M575" s="129" t="s">
        <v>0</v>
      </c>
    </row>
    <row r="576" spans="1:13" customFormat="1" ht="14.5" x14ac:dyDescent="0.35">
      <c r="A576" s="129" t="s">
        <v>487</v>
      </c>
      <c r="B576" s="129" t="s">
        <v>3809</v>
      </c>
      <c r="C576" s="129" t="s">
        <v>3913</v>
      </c>
      <c r="D576" s="129" t="s">
        <v>3914</v>
      </c>
      <c r="E576" s="129" t="s">
        <v>7081</v>
      </c>
      <c r="F576" s="129"/>
      <c r="G576" s="129"/>
      <c r="H576" s="83" t="str">
        <f t="shared" ref="H576:H588" si="64">CONCATENATE(A576,"-",B576,"-",C576,"-",D576,"-",E576,"-",F576,"-",G576)</f>
        <v>TCCN-PTE-PSG-SAG-GP3--</v>
      </c>
      <c r="I576" s="129" t="str">
        <f>MID(H576,1,(LEN(H576)-VLOOKUP(K576,datos!$B$2:$C$12,2,0)))</f>
        <v>TCCN-PTE-PSG-SAG-GP3</v>
      </c>
      <c r="J576" s="129" t="s">
        <v>7079</v>
      </c>
      <c r="K576" s="130">
        <f>VLOOKUP(LEN(SUBSTITUTE(H576,"-","")),datos!$A$1:$B$12,2,0)</f>
        <v>5</v>
      </c>
      <c r="L576" s="129" t="s">
        <v>8174</v>
      </c>
      <c r="M576" s="129" t="s">
        <v>0</v>
      </c>
    </row>
    <row r="577" spans="1:13" x14ac:dyDescent="0.35">
      <c r="A577" s="137" t="s">
        <v>487</v>
      </c>
      <c r="B577" s="137" t="s">
        <v>3809</v>
      </c>
      <c r="C577" s="137" t="s">
        <v>3913</v>
      </c>
      <c r="D577" s="137" t="s">
        <v>3914</v>
      </c>
      <c r="E577" s="137" t="s">
        <v>7081</v>
      </c>
      <c r="F577" s="137" t="s">
        <v>3869</v>
      </c>
      <c r="G577" s="137"/>
      <c r="H577" s="82" t="str">
        <f t="shared" si="64"/>
        <v>TCCN-PTE-PSG-SAG-GP3-SCE-</v>
      </c>
      <c r="I577" s="137" t="str">
        <f>MID(H577,1,(LEN(H577)-VLOOKUP(K577,datos!$B$2:$C$12,2,0)))</f>
        <v>TCCN-PTE-PSG-SAG-GP3-SCE</v>
      </c>
      <c r="J577" s="137" t="s">
        <v>7129</v>
      </c>
      <c r="K577" s="139">
        <f>VLOOKUP(LEN(SUBSTITUTE(H577,"-","")),datos!$A$1:$B$12,2,0)</f>
        <v>6</v>
      </c>
      <c r="L577" s="137"/>
      <c r="M577" s="137" t="s">
        <v>0</v>
      </c>
    </row>
    <row r="578" spans="1:13" x14ac:dyDescent="0.35">
      <c r="A578" s="138" t="s">
        <v>487</v>
      </c>
      <c r="B578" s="138" t="s">
        <v>3809</v>
      </c>
      <c r="C578" s="138" t="s">
        <v>3913</v>
      </c>
      <c r="D578" s="138" t="s">
        <v>3914</v>
      </c>
      <c r="E578" s="138" t="s">
        <v>7081</v>
      </c>
      <c r="F578" s="138" t="s">
        <v>3869</v>
      </c>
      <c r="G578" s="138" t="s">
        <v>4717</v>
      </c>
      <c r="H578" s="81" t="str">
        <f t="shared" si="64"/>
        <v>TCCN-PTE-PSG-SAG-GP3-SCE-VD1</v>
      </c>
      <c r="I578" s="138" t="str">
        <f>MID(H578,1,(LEN(H578)-VLOOKUP(K578,datos!$B$2:$C$12,2,0)))</f>
        <v>TCCN-PTE-PSG-SAG-GP3-SCE-VD1</v>
      </c>
      <c r="J578" s="138" t="s">
        <v>8170</v>
      </c>
      <c r="K578" s="140">
        <f>VLOOKUP(LEN(SUBSTITUTE(H578,"-","")),datos!$A$1:$B$12,2,0)</f>
        <v>7</v>
      </c>
      <c r="L578" s="138"/>
      <c r="M578" s="138" t="s">
        <v>0</v>
      </c>
    </row>
    <row r="579" spans="1:13" x14ac:dyDescent="0.35">
      <c r="A579" s="138" t="s">
        <v>487</v>
      </c>
      <c r="B579" s="138" t="s">
        <v>3809</v>
      </c>
      <c r="C579" s="138" t="s">
        <v>3913</v>
      </c>
      <c r="D579" s="138" t="s">
        <v>3914</v>
      </c>
      <c r="E579" s="138" t="s">
        <v>7081</v>
      </c>
      <c r="F579" s="138" t="s">
        <v>3869</v>
      </c>
      <c r="G579" s="138" t="s">
        <v>4718</v>
      </c>
      <c r="H579" s="81" t="str">
        <f t="shared" si="64"/>
        <v>TCCN-PTE-PSG-SAG-GP3-SCE-VD2</v>
      </c>
      <c r="I579" s="138" t="str">
        <f>MID(H579,1,(LEN(H579)-VLOOKUP(K579,datos!$B$2:$C$12,2,0)))</f>
        <v>TCCN-PTE-PSG-SAG-GP3-SCE-VD2</v>
      </c>
      <c r="J579" s="138" t="s">
        <v>8171</v>
      </c>
      <c r="K579" s="140">
        <f>VLOOKUP(LEN(SUBSTITUTE(H579,"-","")),datos!$A$1:$B$12,2,0)</f>
        <v>7</v>
      </c>
      <c r="L579" s="138"/>
      <c r="M579" s="138" t="s">
        <v>0</v>
      </c>
    </row>
    <row r="580" spans="1:13" x14ac:dyDescent="0.35">
      <c r="A580" s="138" t="s">
        <v>487</v>
      </c>
      <c r="B580" s="138" t="s">
        <v>3809</v>
      </c>
      <c r="C580" s="138" t="s">
        <v>3913</v>
      </c>
      <c r="D580" s="138" t="s">
        <v>3914</v>
      </c>
      <c r="E580" s="138" t="s">
        <v>7081</v>
      </c>
      <c r="F580" s="138" t="s">
        <v>3869</v>
      </c>
      <c r="G580" s="138" t="s">
        <v>6911</v>
      </c>
      <c r="H580" s="81" t="str">
        <f t="shared" si="64"/>
        <v>TCCN-PTE-PSG-SAG-GP3-SCE-TFZ</v>
      </c>
      <c r="I580" s="138" t="str">
        <f>MID(H580,1,(LEN(H580)-VLOOKUP(K580,datos!$B$2:$C$12,2,0)))</f>
        <v>TCCN-PTE-PSG-SAG-GP3-SCE-TFZ</v>
      </c>
      <c r="J580" s="138" t="s">
        <v>8172</v>
      </c>
      <c r="K580" s="140">
        <f>VLOOKUP(LEN(SUBSTITUTE(H580,"-","")),datos!$A$1:$B$12,2,0)</f>
        <v>7</v>
      </c>
      <c r="L580" s="138"/>
      <c r="M580" s="138" t="s">
        <v>0</v>
      </c>
    </row>
    <row r="581" spans="1:13" x14ac:dyDescent="0.35">
      <c r="A581" s="138" t="s">
        <v>487</v>
      </c>
      <c r="B581" s="138" t="s">
        <v>3809</v>
      </c>
      <c r="C581" s="138" t="s">
        <v>3913</v>
      </c>
      <c r="D581" s="138" t="s">
        <v>3914</v>
      </c>
      <c r="E581" s="138" t="s">
        <v>7081</v>
      </c>
      <c r="F581" s="138" t="s">
        <v>3869</v>
      </c>
      <c r="G581" s="138" t="s">
        <v>3870</v>
      </c>
      <c r="H581" s="81" t="str">
        <f t="shared" si="64"/>
        <v>TCCN-PTE-PSG-SAG-GP3-SCE-BTN</v>
      </c>
      <c r="I581" s="138" t="str">
        <f>MID(H581,1,(LEN(H581)-VLOOKUP(K581,datos!$B$2:$C$12,2,0)))</f>
        <v>TCCN-PTE-PSG-SAG-GP3-SCE-BTN</v>
      </c>
      <c r="J581" s="138" t="s">
        <v>8173</v>
      </c>
      <c r="K581" s="140">
        <f>VLOOKUP(LEN(SUBSTITUTE(H581,"-","")),datos!$A$1:$B$12,2,0)</f>
        <v>7</v>
      </c>
      <c r="L581" s="138"/>
      <c r="M581" s="138" t="s">
        <v>0</v>
      </c>
    </row>
    <row r="582" spans="1:13" x14ac:dyDescent="0.35">
      <c r="A582" s="137" t="s">
        <v>487</v>
      </c>
      <c r="B582" s="137" t="s">
        <v>3809</v>
      </c>
      <c r="C582" s="137" t="s">
        <v>3913</v>
      </c>
      <c r="D582" s="137" t="s">
        <v>3914</v>
      </c>
      <c r="E582" s="137" t="s">
        <v>7081</v>
      </c>
      <c r="F582" s="137" t="s">
        <v>3824</v>
      </c>
      <c r="G582" s="137"/>
      <c r="H582" s="82" t="str">
        <f t="shared" si="64"/>
        <v>TCCN-PTE-PSG-SAG-GP3-SES-</v>
      </c>
      <c r="I582" s="137" t="str">
        <f>MID(H582,1,(LEN(H582)-VLOOKUP(K582,datos!$B$2:$C$12,2,0)))</f>
        <v>TCCN-PTE-PSG-SAG-GP3-SES</v>
      </c>
      <c r="J582" s="137" t="s">
        <v>7130</v>
      </c>
      <c r="K582" s="139">
        <f>VLOOKUP(LEN(SUBSTITUTE(H582,"-","")),datos!$A$1:$B$12,2,0)</f>
        <v>6</v>
      </c>
      <c r="L582" s="137"/>
      <c r="M582" s="137" t="s">
        <v>0</v>
      </c>
    </row>
    <row r="583" spans="1:13" x14ac:dyDescent="0.35">
      <c r="A583" s="137" t="s">
        <v>487</v>
      </c>
      <c r="B583" s="137" t="s">
        <v>3809</v>
      </c>
      <c r="C583" s="137" t="s">
        <v>3913</v>
      </c>
      <c r="D583" s="137" t="s">
        <v>3914</v>
      </c>
      <c r="E583" s="137" t="s">
        <v>7081</v>
      </c>
      <c r="F583" s="137" t="s">
        <v>3867</v>
      </c>
      <c r="G583" s="137"/>
      <c r="H583" s="82" t="str">
        <f t="shared" si="64"/>
        <v>TCCN-PTE-PSG-SAG-GP3-SIZ-</v>
      </c>
      <c r="I583" s="137" t="str">
        <f>MID(H583,1,(LEN(H583)-VLOOKUP(K583,datos!$B$2:$C$12,2,0)))</f>
        <v>TCCN-PTE-PSG-SAG-GP3-SIZ</v>
      </c>
      <c r="J583" s="137" t="s">
        <v>7131</v>
      </c>
      <c r="K583" s="139">
        <f>VLOOKUP(LEN(SUBSTITUTE(H583,"-","")),datos!$A$1:$B$12,2,0)</f>
        <v>6</v>
      </c>
      <c r="L583" s="137"/>
      <c r="M583" s="137" t="s">
        <v>0</v>
      </c>
    </row>
    <row r="584" spans="1:13" x14ac:dyDescent="0.35">
      <c r="A584" s="138" t="s">
        <v>487</v>
      </c>
      <c r="B584" s="138" t="s">
        <v>3809</v>
      </c>
      <c r="C584" s="138" t="s">
        <v>3913</v>
      </c>
      <c r="D584" s="138" t="s">
        <v>3914</v>
      </c>
      <c r="E584" s="138" t="s">
        <v>7081</v>
      </c>
      <c r="F584" s="138" t="s">
        <v>3867</v>
      </c>
      <c r="G584" s="138" t="s">
        <v>8166</v>
      </c>
      <c r="H584" s="81" t="str">
        <f t="shared" si="64"/>
        <v>TCCN-PTE-PSG-SAG-GP3-SIZ-CIZ</v>
      </c>
      <c r="I584" s="138" t="str">
        <f>MID(H584,1,(LEN(H584)-VLOOKUP(K584,datos!$B$2:$C$12,2,0)))</f>
        <v>TCCN-PTE-PSG-SAG-GP3-SIZ-CIZ</v>
      </c>
      <c r="J584" s="138" t="s">
        <v>8175</v>
      </c>
      <c r="K584" s="140">
        <f>VLOOKUP(LEN(SUBSTITUTE(H584,"-","")),datos!$A$1:$B$12,2,0)</f>
        <v>7</v>
      </c>
      <c r="L584" s="138"/>
      <c r="M584" s="138" t="s">
        <v>0</v>
      </c>
    </row>
    <row r="585" spans="1:13" x14ac:dyDescent="0.35">
      <c r="A585" s="137" t="s">
        <v>487</v>
      </c>
      <c r="B585" s="137" t="s">
        <v>3809</v>
      </c>
      <c r="C585" s="137" t="s">
        <v>3913</v>
      </c>
      <c r="D585" s="137" t="s">
        <v>3914</v>
      </c>
      <c r="E585" s="137" t="s">
        <v>7081</v>
      </c>
      <c r="F585" s="137" t="s">
        <v>3854</v>
      </c>
      <c r="G585" s="137"/>
      <c r="H585" s="82" t="str">
        <f t="shared" si="64"/>
        <v>TCCN-PTE-PSG-SAG-GP3-STR-</v>
      </c>
      <c r="I585" s="137" t="str">
        <f>MID(H585,1,(LEN(H585)-VLOOKUP(K585,datos!$B$2:$C$12,2,0)))</f>
        <v>TCCN-PTE-PSG-SAG-GP3-STR</v>
      </c>
      <c r="J585" s="137" t="s">
        <v>7132</v>
      </c>
      <c r="K585" s="139">
        <f>VLOOKUP(LEN(SUBSTITUTE(H585,"-","")),datos!$A$1:$B$12,2,0)</f>
        <v>6</v>
      </c>
      <c r="L585" s="137"/>
      <c r="M585" s="137" t="s">
        <v>0</v>
      </c>
    </row>
    <row r="586" spans="1:13" x14ac:dyDescent="0.35">
      <c r="A586" s="138" t="s">
        <v>487</v>
      </c>
      <c r="B586" s="138" t="s">
        <v>3809</v>
      </c>
      <c r="C586" s="138" t="s">
        <v>3913</v>
      </c>
      <c r="D586" s="138" t="s">
        <v>3914</v>
      </c>
      <c r="E586" s="138" t="s">
        <v>7081</v>
      </c>
      <c r="F586" s="138" t="s">
        <v>3854</v>
      </c>
      <c r="G586" s="138" t="s">
        <v>3839</v>
      </c>
      <c r="H586" s="81" t="str">
        <f t="shared" si="64"/>
        <v>TCCN-PTE-PSG-SAG-GP3-STR-MO1</v>
      </c>
      <c r="I586" s="138" t="str">
        <f>MID(H586,1,(LEN(H586)-VLOOKUP(K586,datos!$B$2:$C$12,2,0)))</f>
        <v>TCCN-PTE-PSG-SAG-GP3-STR-MO1</v>
      </c>
      <c r="J586" s="138" t="s">
        <v>8176</v>
      </c>
      <c r="K586" s="140">
        <f>VLOOKUP(LEN(SUBSTITUTE(H586,"-","")),datos!$A$1:$B$12,2,0)</f>
        <v>7</v>
      </c>
      <c r="L586" s="138"/>
      <c r="M586" s="138" t="s">
        <v>0</v>
      </c>
    </row>
    <row r="587" spans="1:13" x14ac:dyDescent="0.35">
      <c r="A587" s="138" t="s">
        <v>487</v>
      </c>
      <c r="B587" s="138" t="s">
        <v>3809</v>
      </c>
      <c r="C587" s="138" t="s">
        <v>3913</v>
      </c>
      <c r="D587" s="138" t="s">
        <v>3914</v>
      </c>
      <c r="E587" s="138" t="s">
        <v>7081</v>
      </c>
      <c r="F587" s="138" t="s">
        <v>3854</v>
      </c>
      <c r="G587" s="138" t="s">
        <v>3840</v>
      </c>
      <c r="H587" s="81" t="str">
        <f t="shared" si="64"/>
        <v>TCCN-PTE-PSG-SAG-GP3-STR-MO2</v>
      </c>
      <c r="I587" s="138" t="str">
        <f>MID(H587,1,(LEN(H587)-VLOOKUP(K587,datos!$B$2:$C$12,2,0)))</f>
        <v>TCCN-PTE-PSG-SAG-GP3-STR-MO2</v>
      </c>
      <c r="J587" s="138" t="s">
        <v>8177</v>
      </c>
      <c r="K587" s="140">
        <f>VLOOKUP(LEN(SUBSTITUTE(H587,"-","")),datos!$A$1:$B$12,2,0)</f>
        <v>7</v>
      </c>
      <c r="L587" s="138"/>
      <c r="M587" s="138" t="s">
        <v>0</v>
      </c>
    </row>
    <row r="588" spans="1:13" customFormat="1" ht="14.5" x14ac:dyDescent="0.35">
      <c r="A588" s="129" t="s">
        <v>487</v>
      </c>
      <c r="B588" s="129" t="s">
        <v>3809</v>
      </c>
      <c r="C588" s="129" t="s">
        <v>3913</v>
      </c>
      <c r="D588" s="129" t="s">
        <v>3914</v>
      </c>
      <c r="E588" s="129" t="s">
        <v>8120</v>
      </c>
      <c r="F588" s="129"/>
      <c r="G588" s="129"/>
      <c r="H588" s="83" t="str">
        <f t="shared" si="64"/>
        <v>TCCN-PTE-PSG-SAG-GP4--</v>
      </c>
      <c r="I588" s="129" t="str">
        <f>MID(H588,1,(LEN(H588)-VLOOKUP(K588,datos!$B$2:$C$12,2,0)))</f>
        <v>TCCN-PTE-PSG-SAG-GP4</v>
      </c>
      <c r="J588" s="129" t="s">
        <v>7080</v>
      </c>
      <c r="K588" s="130">
        <f>VLOOKUP(LEN(SUBSTITUTE(H588,"-","")),datos!$A$1:$B$12,2,0)</f>
        <v>5</v>
      </c>
      <c r="L588" s="129" t="s">
        <v>7082</v>
      </c>
      <c r="M588" s="129" t="s">
        <v>0</v>
      </c>
    </row>
    <row r="589" spans="1:13" x14ac:dyDescent="0.35">
      <c r="A589" s="137" t="s">
        <v>487</v>
      </c>
      <c r="B589" s="137" t="s">
        <v>3809</v>
      </c>
      <c r="C589" s="137" t="s">
        <v>3913</v>
      </c>
      <c r="D589" s="137" t="s">
        <v>3914</v>
      </c>
      <c r="E589" s="137" t="s">
        <v>8120</v>
      </c>
      <c r="F589" s="137" t="s">
        <v>3869</v>
      </c>
      <c r="G589" s="137"/>
      <c r="H589" s="82" t="str">
        <f t="shared" ref="H589:H599" si="65">CONCATENATE(A589,"-",B589,"-",C589,"-",D589,"-",E589,"-",F589,"-",G589)</f>
        <v>TCCN-PTE-PSG-SAG-GP4-SCE-</v>
      </c>
      <c r="I589" s="137" t="str">
        <f>MID(H589,1,(LEN(H589)-VLOOKUP(K589,datos!$B$2:$C$12,2,0)))</f>
        <v>TCCN-PTE-PSG-SAG-GP4-SCE</v>
      </c>
      <c r="J589" s="137" t="s">
        <v>7133</v>
      </c>
      <c r="K589" s="139">
        <f>VLOOKUP(LEN(SUBSTITUTE(H589,"-","")),datos!$A$1:$B$12,2,0)</f>
        <v>6</v>
      </c>
      <c r="L589" s="137"/>
      <c r="M589" s="137" t="s">
        <v>0</v>
      </c>
    </row>
    <row r="590" spans="1:13" x14ac:dyDescent="0.35">
      <c r="A590" s="138" t="s">
        <v>487</v>
      </c>
      <c r="B590" s="138" t="s">
        <v>3809</v>
      </c>
      <c r="C590" s="138" t="s">
        <v>3913</v>
      </c>
      <c r="D590" s="138" t="s">
        <v>3914</v>
      </c>
      <c r="E590" s="138" t="s">
        <v>8120</v>
      </c>
      <c r="F590" s="138" t="s">
        <v>3869</v>
      </c>
      <c r="G590" s="138" t="s">
        <v>4717</v>
      </c>
      <c r="H590" s="81" t="str">
        <f t="shared" si="65"/>
        <v>TCCN-PTE-PSG-SAG-GP4-SCE-VD1</v>
      </c>
      <c r="I590" s="138" t="str">
        <f>MID(H590,1,(LEN(H590)-VLOOKUP(K590,datos!$B$2:$C$12,2,0)))</f>
        <v>TCCN-PTE-PSG-SAG-GP4-SCE-VD1</v>
      </c>
      <c r="J590" s="138" t="s">
        <v>8164</v>
      </c>
      <c r="K590" s="140">
        <f>VLOOKUP(LEN(SUBSTITUTE(H590,"-","")),datos!$A$1:$B$12,2,0)</f>
        <v>7</v>
      </c>
      <c r="L590" s="138"/>
      <c r="M590" s="138" t="s">
        <v>0</v>
      </c>
    </row>
    <row r="591" spans="1:13" x14ac:dyDescent="0.35">
      <c r="A591" s="138" t="s">
        <v>487</v>
      </c>
      <c r="B591" s="138" t="s">
        <v>3809</v>
      </c>
      <c r="C591" s="138" t="s">
        <v>3913</v>
      </c>
      <c r="D591" s="138" t="s">
        <v>3914</v>
      </c>
      <c r="E591" s="138" t="s">
        <v>8120</v>
      </c>
      <c r="F591" s="138" t="s">
        <v>3869</v>
      </c>
      <c r="G591" s="138" t="s">
        <v>4718</v>
      </c>
      <c r="H591" s="81" t="str">
        <f t="shared" si="65"/>
        <v>TCCN-PTE-PSG-SAG-GP4-SCE-VD2</v>
      </c>
      <c r="I591" s="138" t="str">
        <f>MID(H591,1,(LEN(H591)-VLOOKUP(K591,datos!$B$2:$C$12,2,0)))</f>
        <v>TCCN-PTE-PSG-SAG-GP4-SCE-VD2</v>
      </c>
      <c r="J591" s="138" t="s">
        <v>8165</v>
      </c>
      <c r="K591" s="140">
        <f>VLOOKUP(LEN(SUBSTITUTE(H591,"-","")),datos!$A$1:$B$12,2,0)</f>
        <v>7</v>
      </c>
      <c r="L591" s="138"/>
      <c r="M591" s="138" t="s">
        <v>0</v>
      </c>
    </row>
    <row r="592" spans="1:13" x14ac:dyDescent="0.35">
      <c r="A592" s="138" t="s">
        <v>487</v>
      </c>
      <c r="B592" s="138" t="s">
        <v>3809</v>
      </c>
      <c r="C592" s="138" t="s">
        <v>3913</v>
      </c>
      <c r="D592" s="138" t="s">
        <v>3914</v>
      </c>
      <c r="E592" s="138" t="s">
        <v>8120</v>
      </c>
      <c r="F592" s="138" t="s">
        <v>3869</v>
      </c>
      <c r="G592" s="138" t="s">
        <v>6911</v>
      </c>
      <c r="H592" s="81" t="str">
        <f t="shared" si="65"/>
        <v>TCCN-PTE-PSG-SAG-GP4-SCE-TFZ</v>
      </c>
      <c r="I592" s="138" t="str">
        <f>MID(H592,1,(LEN(H592)-VLOOKUP(K592,datos!$B$2:$C$12,2,0)))</f>
        <v>TCCN-PTE-PSG-SAG-GP4-SCE-TFZ</v>
      </c>
      <c r="J592" s="138" t="s">
        <v>8169</v>
      </c>
      <c r="K592" s="140">
        <f>VLOOKUP(LEN(SUBSTITUTE(H592,"-","")),datos!$A$1:$B$12,2,0)</f>
        <v>7</v>
      </c>
      <c r="L592" s="138"/>
      <c r="M592" s="138" t="s">
        <v>0</v>
      </c>
    </row>
    <row r="593" spans="1:13" x14ac:dyDescent="0.35">
      <c r="A593" s="138" t="s">
        <v>487</v>
      </c>
      <c r="B593" s="138" t="s">
        <v>3809</v>
      </c>
      <c r="C593" s="138" t="s">
        <v>3913</v>
      </c>
      <c r="D593" s="138" t="s">
        <v>3914</v>
      </c>
      <c r="E593" s="138" t="s">
        <v>8120</v>
      </c>
      <c r="F593" s="138" t="s">
        <v>3869</v>
      </c>
      <c r="G593" s="138" t="s">
        <v>3870</v>
      </c>
      <c r="H593" s="81" t="str">
        <f t="shared" si="65"/>
        <v>TCCN-PTE-PSG-SAG-GP4-SCE-BTN</v>
      </c>
      <c r="I593" s="138" t="str">
        <f>MID(H593,1,(LEN(H593)-VLOOKUP(K593,datos!$B$2:$C$12,2,0)))</f>
        <v>TCCN-PTE-PSG-SAG-GP4-SCE-BTN</v>
      </c>
      <c r="J593" s="138" t="s">
        <v>8168</v>
      </c>
      <c r="K593" s="140">
        <f>VLOOKUP(LEN(SUBSTITUTE(H593,"-","")),datos!$A$1:$B$12,2,0)</f>
        <v>7</v>
      </c>
      <c r="L593" s="138"/>
      <c r="M593" s="138" t="s">
        <v>0</v>
      </c>
    </row>
    <row r="594" spans="1:13" x14ac:dyDescent="0.35">
      <c r="A594" s="137" t="s">
        <v>487</v>
      </c>
      <c r="B594" s="137" t="s">
        <v>3809</v>
      </c>
      <c r="C594" s="137" t="s">
        <v>3913</v>
      </c>
      <c r="D594" s="137" t="s">
        <v>3914</v>
      </c>
      <c r="E594" s="137" t="s">
        <v>8120</v>
      </c>
      <c r="F594" s="137" t="s">
        <v>3824</v>
      </c>
      <c r="G594" s="137"/>
      <c r="H594" s="82" t="str">
        <f t="shared" si="65"/>
        <v>TCCN-PTE-PSG-SAG-GP4-SES-</v>
      </c>
      <c r="I594" s="137" t="str">
        <f>MID(H594,1,(LEN(H594)-VLOOKUP(K594,datos!$B$2:$C$12,2,0)))</f>
        <v>TCCN-PTE-PSG-SAG-GP4-SES</v>
      </c>
      <c r="J594" s="137" t="s">
        <v>7134</v>
      </c>
      <c r="K594" s="139">
        <f>VLOOKUP(LEN(SUBSTITUTE(H594,"-","")),datos!$A$1:$B$12,2,0)</f>
        <v>6</v>
      </c>
      <c r="L594" s="137"/>
      <c r="M594" s="137" t="s">
        <v>0</v>
      </c>
    </row>
    <row r="595" spans="1:13" x14ac:dyDescent="0.35">
      <c r="A595" s="137" t="s">
        <v>487</v>
      </c>
      <c r="B595" s="137" t="s">
        <v>3809</v>
      </c>
      <c r="C595" s="137" t="s">
        <v>3913</v>
      </c>
      <c r="D595" s="137" t="s">
        <v>3914</v>
      </c>
      <c r="E595" s="137" t="s">
        <v>8120</v>
      </c>
      <c r="F595" s="137" t="s">
        <v>3867</v>
      </c>
      <c r="G595" s="137"/>
      <c r="H595" s="82" t="str">
        <f t="shared" si="65"/>
        <v>TCCN-PTE-PSG-SAG-GP4-SIZ-</v>
      </c>
      <c r="I595" s="137" t="str">
        <f>MID(H595,1,(LEN(H595)-VLOOKUP(K595,datos!$B$2:$C$12,2,0)))</f>
        <v>TCCN-PTE-PSG-SAG-GP4-SIZ</v>
      </c>
      <c r="J595" s="137" t="s">
        <v>7135</v>
      </c>
      <c r="K595" s="139">
        <f>VLOOKUP(LEN(SUBSTITUTE(H595,"-","")),datos!$A$1:$B$12,2,0)</f>
        <v>6</v>
      </c>
      <c r="L595" s="137"/>
      <c r="M595" s="137" t="s">
        <v>0</v>
      </c>
    </row>
    <row r="596" spans="1:13" x14ac:dyDescent="0.35">
      <c r="A596" s="138" t="s">
        <v>487</v>
      </c>
      <c r="B596" s="138" t="s">
        <v>3809</v>
      </c>
      <c r="C596" s="138" t="s">
        <v>3913</v>
      </c>
      <c r="D596" s="138" t="s">
        <v>3914</v>
      </c>
      <c r="E596" s="138" t="s">
        <v>8120</v>
      </c>
      <c r="F596" s="138" t="s">
        <v>3867</v>
      </c>
      <c r="G596" s="138" t="s">
        <v>8166</v>
      </c>
      <c r="H596" s="81" t="str">
        <f t="shared" si="65"/>
        <v>TCCN-PTE-PSG-SAG-GP4-SIZ-CIZ</v>
      </c>
      <c r="I596" s="138" t="str">
        <f>MID(H596,1,(LEN(H596)-VLOOKUP(K596,datos!$B$2:$C$12,2,0)))</f>
        <v>TCCN-PTE-PSG-SAG-GP4-SIZ-CIZ</v>
      </c>
      <c r="J596" s="138" t="s">
        <v>8167</v>
      </c>
      <c r="K596" s="140">
        <f>VLOOKUP(LEN(SUBSTITUTE(H596,"-","")),datos!$A$1:$B$12,2,0)</f>
        <v>7</v>
      </c>
      <c r="L596" s="138"/>
      <c r="M596" s="138" t="s">
        <v>0</v>
      </c>
    </row>
    <row r="597" spans="1:13" x14ac:dyDescent="0.35">
      <c r="A597" s="137" t="s">
        <v>487</v>
      </c>
      <c r="B597" s="137" t="s">
        <v>3809</v>
      </c>
      <c r="C597" s="137" t="s">
        <v>3913</v>
      </c>
      <c r="D597" s="137" t="s">
        <v>3914</v>
      </c>
      <c r="E597" s="137" t="s">
        <v>8120</v>
      </c>
      <c r="F597" s="137" t="s">
        <v>3854</v>
      </c>
      <c r="G597" s="137"/>
      <c r="H597" s="82" t="str">
        <f t="shared" si="65"/>
        <v>TCCN-PTE-PSG-SAG-GP4-STR-</v>
      </c>
      <c r="I597" s="137" t="str">
        <f>MID(H597,1,(LEN(H597)-VLOOKUP(K597,datos!$B$2:$C$12,2,0)))</f>
        <v>TCCN-PTE-PSG-SAG-GP4-STR</v>
      </c>
      <c r="J597" s="137" t="s">
        <v>7136</v>
      </c>
      <c r="K597" s="139">
        <f>VLOOKUP(LEN(SUBSTITUTE(H597,"-","")),datos!$A$1:$B$12,2,0)</f>
        <v>6</v>
      </c>
      <c r="L597" s="137"/>
      <c r="M597" s="137" t="s">
        <v>0</v>
      </c>
    </row>
    <row r="598" spans="1:13" x14ac:dyDescent="0.35">
      <c r="A598" s="138" t="s">
        <v>487</v>
      </c>
      <c r="B598" s="138" t="s">
        <v>3809</v>
      </c>
      <c r="C598" s="138" t="s">
        <v>3913</v>
      </c>
      <c r="D598" s="138" t="s">
        <v>3914</v>
      </c>
      <c r="E598" s="138" t="s">
        <v>8120</v>
      </c>
      <c r="F598" s="138" t="s">
        <v>3854</v>
      </c>
      <c r="G598" s="138" t="s">
        <v>3839</v>
      </c>
      <c r="H598" s="81" t="str">
        <f t="shared" si="65"/>
        <v>TCCN-PTE-PSG-SAG-GP4-STR-MO1</v>
      </c>
      <c r="I598" s="138" t="str">
        <f>MID(H598,1,(LEN(H598)-VLOOKUP(K598,datos!$B$2:$C$12,2,0)))</f>
        <v>TCCN-PTE-PSG-SAG-GP4-STR-MO1</v>
      </c>
      <c r="J598" s="138" t="s">
        <v>8162</v>
      </c>
      <c r="K598" s="140">
        <f>VLOOKUP(LEN(SUBSTITUTE(H598,"-","")),datos!$A$1:$B$12,2,0)</f>
        <v>7</v>
      </c>
      <c r="L598" s="138"/>
      <c r="M598" s="138" t="s">
        <v>0</v>
      </c>
    </row>
    <row r="599" spans="1:13" x14ac:dyDescent="0.35">
      <c r="A599" s="138" t="s">
        <v>487</v>
      </c>
      <c r="B599" s="138" t="s">
        <v>3809</v>
      </c>
      <c r="C599" s="138" t="s">
        <v>3913</v>
      </c>
      <c r="D599" s="138" t="s">
        <v>3914</v>
      </c>
      <c r="E599" s="138" t="s">
        <v>8120</v>
      </c>
      <c r="F599" s="138" t="s">
        <v>3854</v>
      </c>
      <c r="G599" s="138" t="s">
        <v>3840</v>
      </c>
      <c r="H599" s="81" t="str">
        <f t="shared" si="65"/>
        <v>TCCN-PTE-PSG-SAG-GP4-STR-MO2</v>
      </c>
      <c r="I599" s="138" t="str">
        <f>MID(H599,1,(LEN(H599)-VLOOKUP(K599,datos!$B$2:$C$12,2,0)))</f>
        <v>TCCN-PTE-PSG-SAG-GP4-STR-MO2</v>
      </c>
      <c r="J599" s="138" t="s">
        <v>8163</v>
      </c>
      <c r="K599" s="140">
        <f>VLOOKUP(LEN(SUBSTITUTE(H599,"-","")),datos!$A$1:$B$12,2,0)</f>
        <v>7</v>
      </c>
      <c r="L599" s="138"/>
      <c r="M599" s="138" t="s">
        <v>0</v>
      </c>
    </row>
    <row r="600" spans="1:13" customFormat="1" ht="14.5" x14ac:dyDescent="0.35">
      <c r="A600" s="129" t="s">
        <v>487</v>
      </c>
      <c r="B600" s="129" t="s">
        <v>3809</v>
      </c>
      <c r="C600" s="129" t="s">
        <v>3913</v>
      </c>
      <c r="D600" s="129" t="s">
        <v>3914</v>
      </c>
      <c r="E600" s="129" t="s">
        <v>8121</v>
      </c>
      <c r="F600" s="129"/>
      <c r="G600" s="129"/>
      <c r="H600" s="83" t="str">
        <f t="shared" ref="H600:H618" si="66">CONCATENATE(A600,"-",B600,"-",C600,"-",D600,"-",E600,"-",F600,"-",G600)</f>
        <v>TCCN-PTE-PSG-SAG-GP5--</v>
      </c>
      <c r="I600" s="129" t="str">
        <f>MID(H600,1,(LEN(H600)-VLOOKUP(K600,datos!$B$2:$C$12,2,0)))</f>
        <v>TCCN-PTE-PSG-SAG-GP5</v>
      </c>
      <c r="J600" s="129" t="s">
        <v>4715</v>
      </c>
      <c r="K600" s="130">
        <f>VLOOKUP(LEN(SUBSTITUTE(H600,"-","")),datos!$A$1:$B$12,2,0)</f>
        <v>5</v>
      </c>
      <c r="L600" s="129" t="s">
        <v>4716</v>
      </c>
      <c r="M600" s="129" t="s">
        <v>0</v>
      </c>
    </row>
    <row r="601" spans="1:13" x14ac:dyDescent="0.35">
      <c r="A601" s="137" t="s">
        <v>487</v>
      </c>
      <c r="B601" s="137" t="s">
        <v>3809</v>
      </c>
      <c r="C601" s="137" t="s">
        <v>3913</v>
      </c>
      <c r="D601" s="137" t="s">
        <v>3914</v>
      </c>
      <c r="E601" s="137" t="s">
        <v>8121</v>
      </c>
      <c r="F601" s="137" t="s">
        <v>3869</v>
      </c>
      <c r="G601" s="137"/>
      <c r="H601" s="82" t="str">
        <f t="shared" si="66"/>
        <v>TCCN-PTE-PSG-SAG-GP5-SCE-</v>
      </c>
      <c r="I601" s="137" t="str">
        <f>MID(H601,1,(LEN(H601)-VLOOKUP(K601,datos!$B$2:$C$12,2,0)))</f>
        <v>TCCN-PTE-PSG-SAG-GP5-SCE</v>
      </c>
      <c r="J601" s="137" t="s">
        <v>4725</v>
      </c>
      <c r="K601" s="139">
        <f>VLOOKUP(LEN(SUBSTITUTE(H601,"-","")),datos!$A$1:$B$12,2,0)</f>
        <v>6</v>
      </c>
      <c r="L601" s="137"/>
      <c r="M601" s="137" t="s">
        <v>0</v>
      </c>
    </row>
    <row r="602" spans="1:13" x14ac:dyDescent="0.35">
      <c r="A602" s="138" t="s">
        <v>487</v>
      </c>
      <c r="B602" s="138" t="s">
        <v>3809</v>
      </c>
      <c r="C602" s="138" t="s">
        <v>3913</v>
      </c>
      <c r="D602" s="138" t="s">
        <v>3914</v>
      </c>
      <c r="E602" s="138" t="s">
        <v>8121</v>
      </c>
      <c r="F602" s="138" t="s">
        <v>3869</v>
      </c>
      <c r="G602" s="138" t="s">
        <v>4717</v>
      </c>
      <c r="H602" s="81" t="str">
        <f t="shared" si="66"/>
        <v>TCCN-PTE-PSG-SAG-GP5-SCE-VD1</v>
      </c>
      <c r="I602" s="138" t="str">
        <f>MID(H602,1,(LEN(H602)-VLOOKUP(K602,datos!$B$2:$C$12,2,0)))</f>
        <v>TCCN-PTE-PSG-SAG-GP5-SCE-VD1</v>
      </c>
      <c r="J602" s="138" t="s">
        <v>4726</v>
      </c>
      <c r="K602" s="140">
        <f>VLOOKUP(LEN(SUBSTITUTE(H602,"-","")),datos!$A$1:$B$12,2,0)</f>
        <v>7</v>
      </c>
      <c r="L602" s="138"/>
      <c r="M602" s="138" t="s">
        <v>0</v>
      </c>
    </row>
    <row r="603" spans="1:13" x14ac:dyDescent="0.35">
      <c r="A603" s="138" t="s">
        <v>487</v>
      </c>
      <c r="B603" s="138" t="s">
        <v>3809</v>
      </c>
      <c r="C603" s="138" t="s">
        <v>3913</v>
      </c>
      <c r="D603" s="138" t="s">
        <v>3914</v>
      </c>
      <c r="E603" s="138" t="s">
        <v>8121</v>
      </c>
      <c r="F603" s="138" t="s">
        <v>3869</v>
      </c>
      <c r="G603" s="138" t="s">
        <v>4718</v>
      </c>
      <c r="H603" s="81" t="str">
        <f t="shared" si="66"/>
        <v>TCCN-PTE-PSG-SAG-GP5-SCE-VD2</v>
      </c>
      <c r="I603" s="138" t="str">
        <f>MID(H603,1,(LEN(H603)-VLOOKUP(K603,datos!$B$2:$C$12,2,0)))</f>
        <v>TCCN-PTE-PSG-SAG-GP5-SCE-VD2</v>
      </c>
      <c r="J603" s="138" t="s">
        <v>4727</v>
      </c>
      <c r="K603" s="140">
        <f>VLOOKUP(LEN(SUBSTITUTE(H603,"-","")),datos!$A$1:$B$12,2,0)</f>
        <v>7</v>
      </c>
      <c r="L603" s="138"/>
      <c r="M603" s="138" t="s">
        <v>0</v>
      </c>
    </row>
    <row r="604" spans="1:13" x14ac:dyDescent="0.35">
      <c r="A604" s="138" t="s">
        <v>487</v>
      </c>
      <c r="B604" s="138" t="s">
        <v>3809</v>
      </c>
      <c r="C604" s="138" t="s">
        <v>3913</v>
      </c>
      <c r="D604" s="138" t="s">
        <v>3914</v>
      </c>
      <c r="E604" s="138" t="s">
        <v>8121</v>
      </c>
      <c r="F604" s="138" t="s">
        <v>3869</v>
      </c>
      <c r="G604" s="138" t="s">
        <v>4719</v>
      </c>
      <c r="H604" s="81" t="str">
        <f t="shared" si="66"/>
        <v>TCCN-PTE-PSG-SAG-GP5-SCE-VD3</v>
      </c>
      <c r="I604" s="138" t="str">
        <f>MID(H604,1,(LEN(H604)-VLOOKUP(K604,datos!$B$2:$C$12,2,0)))</f>
        <v>TCCN-PTE-PSG-SAG-GP5-SCE-VD3</v>
      </c>
      <c r="J604" s="138" t="s">
        <v>4733</v>
      </c>
      <c r="K604" s="140">
        <f>VLOOKUP(LEN(SUBSTITUTE(H604,"-","")),datos!$A$1:$B$12,2,0)</f>
        <v>7</v>
      </c>
      <c r="L604" s="138"/>
      <c r="M604" s="138" t="s">
        <v>0</v>
      </c>
    </row>
    <row r="605" spans="1:13" x14ac:dyDescent="0.35">
      <c r="A605" s="138" t="s">
        <v>487</v>
      </c>
      <c r="B605" s="138" t="s">
        <v>3809</v>
      </c>
      <c r="C605" s="138" t="s">
        <v>3913</v>
      </c>
      <c r="D605" s="138" t="s">
        <v>3914</v>
      </c>
      <c r="E605" s="138" t="s">
        <v>8121</v>
      </c>
      <c r="F605" s="138" t="s">
        <v>3869</v>
      </c>
      <c r="G605" s="138" t="s">
        <v>4720</v>
      </c>
      <c r="H605" s="81" t="str">
        <f t="shared" si="66"/>
        <v>TCCN-PTE-PSG-SAG-GP5-SCE-VD4</v>
      </c>
      <c r="I605" s="138" t="str">
        <f>MID(H605,1,(LEN(H605)-VLOOKUP(K605,datos!$B$2:$C$12,2,0)))</f>
        <v>TCCN-PTE-PSG-SAG-GP5-SCE-VD4</v>
      </c>
      <c r="J605" s="138" t="s">
        <v>4732</v>
      </c>
      <c r="K605" s="140">
        <f>VLOOKUP(LEN(SUBSTITUTE(H605,"-","")),datos!$A$1:$B$12,2,0)</f>
        <v>7</v>
      </c>
      <c r="L605" s="138"/>
      <c r="M605" s="138" t="s">
        <v>0</v>
      </c>
    </row>
    <row r="606" spans="1:13" x14ac:dyDescent="0.35">
      <c r="A606" s="138" t="s">
        <v>487</v>
      </c>
      <c r="B606" s="138" t="s">
        <v>3809</v>
      </c>
      <c r="C606" s="138" t="s">
        <v>3913</v>
      </c>
      <c r="D606" s="138" t="s">
        <v>3914</v>
      </c>
      <c r="E606" s="138" t="s">
        <v>8121</v>
      </c>
      <c r="F606" s="138" t="s">
        <v>3869</v>
      </c>
      <c r="G606" s="138" t="s">
        <v>6911</v>
      </c>
      <c r="H606" s="81" t="str">
        <f t="shared" si="66"/>
        <v>TCCN-PTE-PSG-SAG-GP5-SCE-TFZ</v>
      </c>
      <c r="I606" s="138" t="str">
        <f>MID(H606,1,(LEN(H606)-VLOOKUP(K606,datos!$B$2:$C$12,2,0)))</f>
        <v>TCCN-PTE-PSG-SAG-GP5-SCE-TFZ</v>
      </c>
      <c r="J606" s="138" t="s">
        <v>4731</v>
      </c>
      <c r="K606" s="140">
        <f>VLOOKUP(LEN(SUBSTITUTE(H606,"-","")),datos!$A$1:$B$12,2,0)</f>
        <v>7</v>
      </c>
      <c r="L606" s="138"/>
      <c r="M606" s="138" t="s">
        <v>0</v>
      </c>
    </row>
    <row r="607" spans="1:13" x14ac:dyDescent="0.35">
      <c r="A607" s="138" t="s">
        <v>487</v>
      </c>
      <c r="B607" s="138" t="s">
        <v>3809</v>
      </c>
      <c r="C607" s="138" t="s">
        <v>3913</v>
      </c>
      <c r="D607" s="138" t="s">
        <v>3914</v>
      </c>
      <c r="E607" s="138" t="s">
        <v>8121</v>
      </c>
      <c r="F607" s="138" t="s">
        <v>3869</v>
      </c>
      <c r="G607" s="138" t="s">
        <v>4016</v>
      </c>
      <c r="H607" s="81" t="str">
        <f t="shared" si="66"/>
        <v>TCCN-PTE-PSG-SAG-GP5-SCE-PAN</v>
      </c>
      <c r="I607" s="138" t="str">
        <f>MID(H607,1,(LEN(H607)-VLOOKUP(K607,datos!$B$2:$C$12,2,0)))</f>
        <v>TCCN-PTE-PSG-SAG-GP5-SCE-PAN</v>
      </c>
      <c r="J607" s="138" t="s">
        <v>4728</v>
      </c>
      <c r="K607" s="140">
        <f>VLOOKUP(LEN(SUBSTITUTE(H607,"-","")),datos!$A$1:$B$12,2,0)</f>
        <v>7</v>
      </c>
      <c r="L607" s="138"/>
      <c r="M607" s="138" t="s">
        <v>0</v>
      </c>
    </row>
    <row r="608" spans="1:13" x14ac:dyDescent="0.35">
      <c r="A608" s="138" t="s">
        <v>487</v>
      </c>
      <c r="B608" s="138" t="s">
        <v>3809</v>
      </c>
      <c r="C608" s="138" t="s">
        <v>3913</v>
      </c>
      <c r="D608" s="138" t="s">
        <v>3914</v>
      </c>
      <c r="E608" s="138" t="s">
        <v>8121</v>
      </c>
      <c r="F608" s="138" t="s">
        <v>3869</v>
      </c>
      <c r="G608" s="138" t="s">
        <v>3870</v>
      </c>
      <c r="H608" s="81" t="str">
        <f t="shared" si="66"/>
        <v>TCCN-PTE-PSG-SAG-GP5-SCE-BTN</v>
      </c>
      <c r="I608" s="138" t="str">
        <f>MID(H608,1,(LEN(H608)-VLOOKUP(K608,datos!$B$2:$C$12,2,0)))</f>
        <v>TCCN-PTE-PSG-SAG-GP5-SCE-BTN</v>
      </c>
      <c r="J608" s="138" t="s">
        <v>6739</v>
      </c>
      <c r="K608" s="140">
        <f>VLOOKUP(LEN(SUBSTITUTE(H608,"-","")),datos!$A$1:$B$12,2,0)</f>
        <v>7</v>
      </c>
      <c r="L608" s="138"/>
      <c r="M608" s="138" t="s">
        <v>0</v>
      </c>
    </row>
    <row r="609" spans="1:13" x14ac:dyDescent="0.35">
      <c r="A609" s="138" t="s">
        <v>487</v>
      </c>
      <c r="B609" s="138" t="s">
        <v>3809</v>
      </c>
      <c r="C609" s="138" t="s">
        <v>3913</v>
      </c>
      <c r="D609" s="138" t="s">
        <v>3914</v>
      </c>
      <c r="E609" s="138" t="s">
        <v>8121</v>
      </c>
      <c r="F609" s="138" t="s">
        <v>3869</v>
      </c>
      <c r="G609" s="138" t="s">
        <v>3852</v>
      </c>
      <c r="H609" s="81" t="str">
        <f t="shared" si="66"/>
        <v>TCCN-PTE-PSG-SAG-GP5-SCE-CTR</v>
      </c>
      <c r="I609" s="138" t="str">
        <f>MID(H609,1,(LEN(H609)-VLOOKUP(K609,datos!$B$2:$C$12,2,0)))</f>
        <v>TCCN-PTE-PSG-SAG-GP5-SCE-CTR</v>
      </c>
      <c r="J609" s="138" t="s">
        <v>4729</v>
      </c>
      <c r="K609" s="140">
        <f>VLOOKUP(LEN(SUBSTITUTE(H609,"-","")),datos!$A$1:$B$12,2,0)</f>
        <v>7</v>
      </c>
      <c r="L609" s="138"/>
      <c r="M609" s="138" t="s">
        <v>0</v>
      </c>
    </row>
    <row r="610" spans="1:13" x14ac:dyDescent="0.35">
      <c r="A610" s="137" t="s">
        <v>487</v>
      </c>
      <c r="B610" s="137" t="s">
        <v>3809</v>
      </c>
      <c r="C610" s="137" t="s">
        <v>3913</v>
      </c>
      <c r="D610" s="137" t="s">
        <v>3914</v>
      </c>
      <c r="E610" s="137" t="s">
        <v>8121</v>
      </c>
      <c r="F610" s="137" t="s">
        <v>3824</v>
      </c>
      <c r="G610" s="137"/>
      <c r="H610" s="82" t="str">
        <f t="shared" si="66"/>
        <v>TCCN-PTE-PSG-SAG-GP5-SES-</v>
      </c>
      <c r="I610" s="137" t="str">
        <f>MID(H610,1,(LEN(H610)-VLOOKUP(K610,datos!$B$2:$C$12,2,0)))</f>
        <v>TCCN-PTE-PSG-SAG-GP5-SES</v>
      </c>
      <c r="J610" s="137" t="s">
        <v>4730</v>
      </c>
      <c r="K610" s="139">
        <f>VLOOKUP(LEN(SUBSTITUTE(H610,"-","")),datos!$A$1:$B$12,2,0)</f>
        <v>6</v>
      </c>
      <c r="L610" s="137"/>
      <c r="M610" s="137" t="s">
        <v>0</v>
      </c>
    </row>
    <row r="611" spans="1:13" x14ac:dyDescent="0.35">
      <c r="A611" s="137" t="s">
        <v>487</v>
      </c>
      <c r="B611" s="137" t="s">
        <v>3809</v>
      </c>
      <c r="C611" s="137" t="s">
        <v>3913</v>
      </c>
      <c r="D611" s="137" t="s">
        <v>3914</v>
      </c>
      <c r="E611" s="137" t="s">
        <v>8121</v>
      </c>
      <c r="F611" s="137" t="s">
        <v>3867</v>
      </c>
      <c r="G611" s="137"/>
      <c r="H611" s="82" t="str">
        <f t="shared" si="66"/>
        <v>TCCN-PTE-PSG-SAG-GP5-SIZ-</v>
      </c>
      <c r="I611" s="137" t="str">
        <f>MID(H611,1,(LEN(H611)-VLOOKUP(K611,datos!$B$2:$C$12,2,0)))</f>
        <v>TCCN-PTE-PSG-SAG-GP5-SIZ</v>
      </c>
      <c r="J611" s="137" t="s">
        <v>4734</v>
      </c>
      <c r="K611" s="139">
        <f>VLOOKUP(LEN(SUBSTITUTE(H611,"-","")),datos!$A$1:$B$12,2,0)</f>
        <v>6</v>
      </c>
      <c r="L611" s="137"/>
      <c r="M611" s="137" t="s">
        <v>0</v>
      </c>
    </row>
    <row r="612" spans="1:13" x14ac:dyDescent="0.35">
      <c r="A612" s="138" t="s">
        <v>487</v>
      </c>
      <c r="B612" s="138" t="s">
        <v>3809</v>
      </c>
      <c r="C612" s="138" t="s">
        <v>3913</v>
      </c>
      <c r="D612" s="138" t="s">
        <v>3914</v>
      </c>
      <c r="E612" s="138" t="s">
        <v>8121</v>
      </c>
      <c r="F612" s="138" t="s">
        <v>3867</v>
      </c>
      <c r="G612" s="138" t="s">
        <v>3897</v>
      </c>
      <c r="H612" s="81" t="str">
        <f t="shared" si="66"/>
        <v>TCCN-PTE-PSG-SAG-GP5-SIZ-GA1</v>
      </c>
      <c r="I612" s="138" t="str">
        <f>MID(H612,1,(LEN(H612)-VLOOKUP(K612,datos!$B$2:$C$12,2,0)))</f>
        <v>TCCN-PTE-PSG-SAG-GP5-SIZ-GA1</v>
      </c>
      <c r="J612" s="138" t="s">
        <v>4735</v>
      </c>
      <c r="K612" s="140">
        <f>VLOOKUP(LEN(SUBSTITUTE(H612,"-","")),datos!$A$1:$B$12,2,0)</f>
        <v>7</v>
      </c>
      <c r="L612" s="138"/>
      <c r="M612" s="138" t="s">
        <v>0</v>
      </c>
    </row>
    <row r="613" spans="1:13" x14ac:dyDescent="0.35">
      <c r="A613" s="138" t="s">
        <v>487</v>
      </c>
      <c r="B613" s="138" t="s">
        <v>3809</v>
      </c>
      <c r="C613" s="138" t="s">
        <v>3913</v>
      </c>
      <c r="D613" s="138" t="s">
        <v>3914</v>
      </c>
      <c r="E613" s="138" t="s">
        <v>8121</v>
      </c>
      <c r="F613" s="138" t="s">
        <v>3867</v>
      </c>
      <c r="G613" s="138" t="s">
        <v>3905</v>
      </c>
      <c r="H613" s="81" t="str">
        <f t="shared" si="66"/>
        <v>TCCN-PTE-PSG-SAG-GP5-SIZ-GA2</v>
      </c>
      <c r="I613" s="138" t="str">
        <f>MID(H613,1,(LEN(H613)-VLOOKUP(K613,datos!$B$2:$C$12,2,0)))</f>
        <v>TCCN-PTE-PSG-SAG-GP5-SIZ-GA2</v>
      </c>
      <c r="J613" s="138" t="s">
        <v>4736</v>
      </c>
      <c r="K613" s="140">
        <f>VLOOKUP(LEN(SUBSTITUTE(H613,"-","")),datos!$A$1:$B$12,2,0)</f>
        <v>7</v>
      </c>
      <c r="L613" s="138"/>
      <c r="M613" s="138" t="s">
        <v>0</v>
      </c>
    </row>
    <row r="614" spans="1:13" x14ac:dyDescent="0.35">
      <c r="A614" s="138" t="s">
        <v>487</v>
      </c>
      <c r="B614" s="138" t="s">
        <v>3809</v>
      </c>
      <c r="C614" s="138" t="s">
        <v>3913</v>
      </c>
      <c r="D614" s="138" t="s">
        <v>3914</v>
      </c>
      <c r="E614" s="138" t="s">
        <v>8121</v>
      </c>
      <c r="F614" s="138" t="s">
        <v>3867</v>
      </c>
      <c r="G614" s="138" t="s">
        <v>3839</v>
      </c>
      <c r="H614" s="81" t="str">
        <f t="shared" si="66"/>
        <v>TCCN-PTE-PSG-SAG-GP5-SIZ-MO1</v>
      </c>
      <c r="I614" s="138" t="str">
        <f>MID(H614,1,(LEN(H614)-VLOOKUP(K614,datos!$B$2:$C$12,2,0)))</f>
        <v>TCCN-PTE-PSG-SAG-GP5-SIZ-MO1</v>
      </c>
      <c r="J614" s="138" t="s">
        <v>5335</v>
      </c>
      <c r="K614" s="140">
        <f>VLOOKUP(LEN(SUBSTITUTE(H614,"-","")),datos!$A$1:$B$12,2,0)</f>
        <v>7</v>
      </c>
      <c r="L614" s="138"/>
      <c r="M614" s="138" t="s">
        <v>0</v>
      </c>
    </row>
    <row r="615" spans="1:13" x14ac:dyDescent="0.35">
      <c r="A615" s="138" t="s">
        <v>487</v>
      </c>
      <c r="B615" s="138" t="s">
        <v>3809</v>
      </c>
      <c r="C615" s="138" t="s">
        <v>3913</v>
      </c>
      <c r="D615" s="138" t="s">
        <v>3914</v>
      </c>
      <c r="E615" s="138" t="s">
        <v>8121</v>
      </c>
      <c r="F615" s="138" t="s">
        <v>3867</v>
      </c>
      <c r="G615" s="138" t="s">
        <v>3840</v>
      </c>
      <c r="H615" s="81" t="str">
        <f t="shared" si="66"/>
        <v>TCCN-PTE-PSG-SAG-GP5-SIZ-MO2</v>
      </c>
      <c r="I615" s="138" t="str">
        <f>MID(H615,1,(LEN(H615)-VLOOKUP(K615,datos!$B$2:$C$12,2,0)))</f>
        <v>TCCN-PTE-PSG-SAG-GP5-SIZ-MO2</v>
      </c>
      <c r="J615" s="138" t="s">
        <v>5336</v>
      </c>
      <c r="K615" s="140">
        <f>VLOOKUP(LEN(SUBSTITUTE(H615,"-","")),datos!$A$1:$B$12,2,0)</f>
        <v>7</v>
      </c>
      <c r="L615" s="138"/>
      <c r="M615" s="138" t="s">
        <v>0</v>
      </c>
    </row>
    <row r="616" spans="1:13" x14ac:dyDescent="0.35">
      <c r="A616" s="137" t="s">
        <v>487</v>
      </c>
      <c r="B616" s="137" t="s">
        <v>3809</v>
      </c>
      <c r="C616" s="137" t="s">
        <v>3913</v>
      </c>
      <c r="D616" s="137" t="s">
        <v>3914</v>
      </c>
      <c r="E616" s="137" t="s">
        <v>8121</v>
      </c>
      <c r="F616" s="137" t="s">
        <v>3854</v>
      </c>
      <c r="G616" s="137"/>
      <c r="H616" s="82" t="str">
        <f t="shared" si="66"/>
        <v>TCCN-PTE-PSG-SAG-GP5-STR-</v>
      </c>
      <c r="I616" s="137" t="str">
        <f>MID(H616,1,(LEN(H616)-VLOOKUP(K616,datos!$B$2:$C$12,2,0)))</f>
        <v>TCCN-PTE-PSG-SAG-GP5-STR</v>
      </c>
      <c r="J616" s="137" t="s">
        <v>4737</v>
      </c>
      <c r="K616" s="139">
        <f>VLOOKUP(LEN(SUBSTITUTE(H616,"-","")),datos!$A$1:$B$12,2,0)</f>
        <v>6</v>
      </c>
      <c r="L616" s="137"/>
      <c r="M616" s="137" t="s">
        <v>0</v>
      </c>
    </row>
    <row r="617" spans="1:13" x14ac:dyDescent="0.35">
      <c r="A617" s="138" t="s">
        <v>487</v>
      </c>
      <c r="B617" s="138" t="s">
        <v>3809</v>
      </c>
      <c r="C617" s="138" t="s">
        <v>3913</v>
      </c>
      <c r="D617" s="138" t="s">
        <v>3914</v>
      </c>
      <c r="E617" s="138" t="s">
        <v>8121</v>
      </c>
      <c r="F617" s="138" t="s">
        <v>3854</v>
      </c>
      <c r="G617" s="138" t="s">
        <v>3839</v>
      </c>
      <c r="H617" s="81" t="str">
        <f t="shared" si="66"/>
        <v>TCCN-PTE-PSG-SAG-GP5-STR-MO1</v>
      </c>
      <c r="I617" s="138" t="str">
        <f>MID(H617,1,(LEN(H617)-VLOOKUP(K617,datos!$B$2:$C$12,2,0)))</f>
        <v>TCCN-PTE-PSG-SAG-GP5-STR-MO1</v>
      </c>
      <c r="J617" s="138" t="s">
        <v>5337</v>
      </c>
      <c r="K617" s="140">
        <f>VLOOKUP(LEN(SUBSTITUTE(H617,"-","")),datos!$A$1:$B$12,2,0)</f>
        <v>7</v>
      </c>
      <c r="L617" s="138"/>
      <c r="M617" s="138" t="s">
        <v>0</v>
      </c>
    </row>
    <row r="618" spans="1:13" x14ac:dyDescent="0.35">
      <c r="A618" s="138" t="s">
        <v>487</v>
      </c>
      <c r="B618" s="138" t="s">
        <v>3809</v>
      </c>
      <c r="C618" s="138" t="s">
        <v>3913</v>
      </c>
      <c r="D618" s="138" t="s">
        <v>3914</v>
      </c>
      <c r="E618" s="138" t="s">
        <v>8121</v>
      </c>
      <c r="F618" s="138" t="s">
        <v>3854</v>
      </c>
      <c r="G618" s="138" t="s">
        <v>3840</v>
      </c>
      <c r="H618" s="81" t="str">
        <f t="shared" si="66"/>
        <v>TCCN-PTE-PSG-SAG-GP5-STR-MO2</v>
      </c>
      <c r="I618" s="138" t="str">
        <f>MID(H618,1,(LEN(H618)-VLOOKUP(K618,datos!$B$2:$C$12,2,0)))</f>
        <v>TCCN-PTE-PSG-SAG-GP5-STR-MO2</v>
      </c>
      <c r="J618" s="138" t="s">
        <v>6704</v>
      </c>
      <c r="K618" s="140">
        <f>VLOOKUP(LEN(SUBSTITUTE(H618,"-","")),datos!$A$1:$B$12,2,0)</f>
        <v>7</v>
      </c>
      <c r="L618" s="138"/>
      <c r="M618" s="138" t="s">
        <v>0</v>
      </c>
    </row>
    <row r="619" spans="1:13" customFormat="1" ht="14.5" x14ac:dyDescent="0.35">
      <c r="A619" s="129" t="s">
        <v>487</v>
      </c>
      <c r="B619" s="129" t="s">
        <v>3809</v>
      </c>
      <c r="C619" s="129" t="s">
        <v>3913</v>
      </c>
      <c r="D619" s="129" t="s">
        <v>3914</v>
      </c>
      <c r="E619" s="129" t="s">
        <v>5314</v>
      </c>
      <c r="F619" s="129"/>
      <c r="G619" s="129"/>
      <c r="H619" s="83" t="str">
        <f t="shared" si="53"/>
        <v>TCCN-PTE-PSG-SAG-UV1--</v>
      </c>
      <c r="I619" s="129" t="str">
        <f>MID(H619,1,(LEN(H619)-VLOOKUP(K619,datos!$B$2:$C$12,2,0)))</f>
        <v>TCCN-PTE-PSG-SAG-UV1</v>
      </c>
      <c r="J619" s="129" t="s">
        <v>5310</v>
      </c>
      <c r="K619" s="130">
        <f>VLOOKUP(LEN(SUBSTITUTE(H619,"-","")),datos!$A$1:$B$12,2,0)</f>
        <v>5</v>
      </c>
      <c r="L619" s="129" t="s">
        <v>4349</v>
      </c>
      <c r="M619" s="129" t="s">
        <v>0</v>
      </c>
    </row>
    <row r="620" spans="1:13" x14ac:dyDescent="0.35">
      <c r="A620" s="137" t="s">
        <v>487</v>
      </c>
      <c r="B620" s="137" t="s">
        <v>3809</v>
      </c>
      <c r="C620" s="137" t="s">
        <v>3913</v>
      </c>
      <c r="D620" s="137" t="s">
        <v>3914</v>
      </c>
      <c r="E620" s="137" t="s">
        <v>5314</v>
      </c>
      <c r="F620" s="137" t="s">
        <v>3869</v>
      </c>
      <c r="G620" s="137"/>
      <c r="H620" s="82" t="str">
        <f t="shared" ref="H620:H621" si="67">CONCATENATE(A620,"-",B620,"-",C620,"-",D620,"-",E620,"-",F620,"-",G620)</f>
        <v>TCCN-PTE-PSG-SAG-UV1-SCE-</v>
      </c>
      <c r="I620" s="137" t="str">
        <f>MID(H620,1,(LEN(H620)-VLOOKUP(K620,datos!$B$2:$C$12,2,0)))</f>
        <v>TCCN-PTE-PSG-SAG-UV1-SCE</v>
      </c>
      <c r="J620" s="137" t="s">
        <v>7176</v>
      </c>
      <c r="K620" s="139">
        <f>VLOOKUP(LEN(SUBSTITUTE(H620,"-","")),datos!$A$1:$B$12,2,0)</f>
        <v>6</v>
      </c>
      <c r="L620" s="137"/>
      <c r="M620" s="137" t="s">
        <v>0</v>
      </c>
    </row>
    <row r="621" spans="1:13" x14ac:dyDescent="0.35">
      <c r="A621" s="137" t="s">
        <v>487</v>
      </c>
      <c r="B621" s="137" t="s">
        <v>3809</v>
      </c>
      <c r="C621" s="137" t="s">
        <v>3913</v>
      </c>
      <c r="D621" s="137" t="s">
        <v>3914</v>
      </c>
      <c r="E621" s="137" t="s">
        <v>5314</v>
      </c>
      <c r="F621" s="137" t="s">
        <v>3847</v>
      </c>
      <c r="G621" s="137"/>
      <c r="H621" s="82" t="str">
        <f t="shared" si="67"/>
        <v>TCCN-PTE-PSG-SAG-UV1-SMO-</v>
      </c>
      <c r="I621" s="137" t="str">
        <f>MID(H621,1,(LEN(H621)-VLOOKUP(K621,datos!$B$2:$C$12,2,0)))</f>
        <v>TCCN-PTE-PSG-SAG-UV1-SMO</v>
      </c>
      <c r="J621" s="137" t="s">
        <v>7177</v>
      </c>
      <c r="K621" s="139">
        <f>VLOOKUP(LEN(SUBSTITUTE(H621,"-","")),datos!$A$1:$B$12,2,0)</f>
        <v>6</v>
      </c>
      <c r="L621" s="137"/>
      <c r="M621" s="137" t="s">
        <v>0</v>
      </c>
    </row>
    <row r="622" spans="1:13" customFormat="1" ht="14.5" x14ac:dyDescent="0.35">
      <c r="A622" s="129" t="s">
        <v>487</v>
      </c>
      <c r="B622" s="129" t="s">
        <v>3809</v>
      </c>
      <c r="C622" s="129" t="s">
        <v>3913</v>
      </c>
      <c r="D622" s="129" t="s">
        <v>3914</v>
      </c>
      <c r="E622" s="129" t="s">
        <v>5315</v>
      </c>
      <c r="F622" s="129"/>
      <c r="G622" s="129"/>
      <c r="H622" s="83" t="str">
        <f t="shared" si="53"/>
        <v>TCCN-PTE-PSG-SAG-UV2--</v>
      </c>
      <c r="I622" s="129" t="str">
        <f>MID(H622,1,(LEN(H622)-VLOOKUP(K622,datos!$B$2:$C$12,2,0)))</f>
        <v>TCCN-PTE-PSG-SAG-UV2</v>
      </c>
      <c r="J622" s="129" t="s">
        <v>5311</v>
      </c>
      <c r="K622" s="130">
        <f>VLOOKUP(LEN(SUBSTITUTE(H622,"-","")),datos!$A$1:$B$12,2,0)</f>
        <v>5</v>
      </c>
      <c r="L622" s="129" t="s">
        <v>4350</v>
      </c>
      <c r="M622" s="129" t="s">
        <v>0</v>
      </c>
    </row>
    <row r="623" spans="1:13" x14ac:dyDescent="0.35">
      <c r="A623" s="137" t="s">
        <v>487</v>
      </c>
      <c r="B623" s="137" t="s">
        <v>3809</v>
      </c>
      <c r="C623" s="137" t="s">
        <v>3913</v>
      </c>
      <c r="D623" s="137" t="s">
        <v>3914</v>
      </c>
      <c r="E623" s="137" t="s">
        <v>5315</v>
      </c>
      <c r="F623" s="137" t="s">
        <v>3869</v>
      </c>
      <c r="G623" s="137"/>
      <c r="H623" s="82" t="str">
        <f t="shared" si="53"/>
        <v>TCCN-PTE-PSG-SAG-UV2-SCE-</v>
      </c>
      <c r="I623" s="137" t="str">
        <f>MID(H623,1,(LEN(H623)-VLOOKUP(K623,datos!$B$2:$C$12,2,0)))</f>
        <v>TCCN-PTE-PSG-SAG-UV2-SCE</v>
      </c>
      <c r="J623" s="137" t="s">
        <v>7178</v>
      </c>
      <c r="K623" s="139">
        <f>VLOOKUP(LEN(SUBSTITUTE(H623,"-","")),datos!$A$1:$B$12,2,0)</f>
        <v>6</v>
      </c>
      <c r="L623" s="137"/>
      <c r="M623" s="137" t="s">
        <v>0</v>
      </c>
    </row>
    <row r="624" spans="1:13" x14ac:dyDescent="0.35">
      <c r="A624" s="137" t="s">
        <v>487</v>
      </c>
      <c r="B624" s="137" t="s">
        <v>3809</v>
      </c>
      <c r="C624" s="137" t="s">
        <v>3913</v>
      </c>
      <c r="D624" s="137" t="s">
        <v>3914</v>
      </c>
      <c r="E624" s="137" t="s">
        <v>5315</v>
      </c>
      <c r="F624" s="137" t="s">
        <v>3847</v>
      </c>
      <c r="G624" s="137"/>
      <c r="H624" s="82" t="str">
        <f t="shared" si="53"/>
        <v>TCCN-PTE-PSG-SAG-UV2-SMO-</v>
      </c>
      <c r="I624" s="137" t="str">
        <f>MID(H624,1,(LEN(H624)-VLOOKUP(K624,datos!$B$2:$C$12,2,0)))</f>
        <v>TCCN-PTE-PSG-SAG-UV2-SMO</v>
      </c>
      <c r="J624" s="137" t="s">
        <v>7179</v>
      </c>
      <c r="K624" s="139">
        <f>VLOOKUP(LEN(SUBSTITUTE(H624,"-","")),datos!$A$1:$B$12,2,0)</f>
        <v>6</v>
      </c>
      <c r="L624" s="137"/>
      <c r="M624" s="137" t="s">
        <v>0</v>
      </c>
    </row>
    <row r="625" spans="1:13" customFormat="1" ht="14.5" x14ac:dyDescent="0.35">
      <c r="A625" s="129" t="s">
        <v>487</v>
      </c>
      <c r="B625" s="129" t="s">
        <v>3809</v>
      </c>
      <c r="C625" s="129" t="s">
        <v>3913</v>
      </c>
      <c r="D625" s="129" t="s">
        <v>3914</v>
      </c>
      <c r="E625" s="129" t="s">
        <v>5316</v>
      </c>
      <c r="F625" s="129"/>
      <c r="G625" s="129"/>
      <c r="H625" s="83" t="str">
        <f t="shared" si="53"/>
        <v>TCCN-PTE-PSG-SAG-UV3--</v>
      </c>
      <c r="I625" s="129" t="str">
        <f>MID(H625,1,(LEN(H625)-VLOOKUP(K625,datos!$B$2:$C$12,2,0)))</f>
        <v>TCCN-PTE-PSG-SAG-UV3</v>
      </c>
      <c r="J625" s="129" t="s">
        <v>5312</v>
      </c>
      <c r="K625" s="130">
        <f>VLOOKUP(LEN(SUBSTITUTE(H625,"-","")),datos!$A$1:$B$12,2,0)</f>
        <v>5</v>
      </c>
      <c r="L625" s="129" t="s">
        <v>4351</v>
      </c>
      <c r="M625" s="129" t="s">
        <v>0</v>
      </c>
    </row>
    <row r="626" spans="1:13" x14ac:dyDescent="0.35">
      <c r="A626" s="137" t="s">
        <v>487</v>
      </c>
      <c r="B626" s="137" t="s">
        <v>3809</v>
      </c>
      <c r="C626" s="137" t="s">
        <v>3913</v>
      </c>
      <c r="D626" s="137" t="s">
        <v>3914</v>
      </c>
      <c r="E626" s="137" t="s">
        <v>5316</v>
      </c>
      <c r="F626" s="137" t="s">
        <v>3869</v>
      </c>
      <c r="G626" s="137"/>
      <c r="H626" s="82" t="str">
        <f t="shared" ref="H626:H627" si="68">CONCATENATE(A626,"-",B626,"-",C626,"-",D626,"-",E626,"-",F626,"-",G626)</f>
        <v>TCCN-PTE-PSG-SAG-UV3-SCE-</v>
      </c>
      <c r="I626" s="137" t="str">
        <f>MID(H626,1,(LEN(H626)-VLOOKUP(K626,datos!$B$2:$C$12,2,0)))</f>
        <v>TCCN-PTE-PSG-SAG-UV3-SCE</v>
      </c>
      <c r="J626" s="137" t="s">
        <v>7180</v>
      </c>
      <c r="K626" s="139">
        <f>VLOOKUP(LEN(SUBSTITUTE(H626,"-","")),datos!$A$1:$B$12,2,0)</f>
        <v>6</v>
      </c>
      <c r="L626" s="137"/>
      <c r="M626" s="137" t="s">
        <v>0</v>
      </c>
    </row>
    <row r="627" spans="1:13" x14ac:dyDescent="0.35">
      <c r="A627" s="137" t="s">
        <v>487</v>
      </c>
      <c r="B627" s="137" t="s">
        <v>3809</v>
      </c>
      <c r="C627" s="137" t="s">
        <v>3913</v>
      </c>
      <c r="D627" s="137" t="s">
        <v>3914</v>
      </c>
      <c r="E627" s="137" t="s">
        <v>5316</v>
      </c>
      <c r="F627" s="137" t="s">
        <v>3847</v>
      </c>
      <c r="G627" s="137"/>
      <c r="H627" s="82" t="str">
        <f t="shared" si="68"/>
        <v>TCCN-PTE-PSG-SAG-UV3-SMO-</v>
      </c>
      <c r="I627" s="137" t="str">
        <f>MID(H627,1,(LEN(H627)-VLOOKUP(K627,datos!$B$2:$C$12,2,0)))</f>
        <v>TCCN-PTE-PSG-SAG-UV3-SMO</v>
      </c>
      <c r="J627" s="137" t="s">
        <v>7181</v>
      </c>
      <c r="K627" s="139">
        <f>VLOOKUP(LEN(SUBSTITUTE(H627,"-","")),datos!$A$1:$B$12,2,0)</f>
        <v>6</v>
      </c>
      <c r="L627" s="137"/>
      <c r="M627" s="137" t="s">
        <v>0</v>
      </c>
    </row>
    <row r="628" spans="1:13" customFormat="1" ht="14.5" x14ac:dyDescent="0.35">
      <c r="A628" s="129" t="s">
        <v>487</v>
      </c>
      <c r="B628" s="129" t="s">
        <v>3809</v>
      </c>
      <c r="C628" s="129" t="s">
        <v>3913</v>
      </c>
      <c r="D628" s="129" t="s">
        <v>3914</v>
      </c>
      <c r="E628" s="129" t="s">
        <v>5317</v>
      </c>
      <c r="F628" s="129"/>
      <c r="G628" s="129"/>
      <c r="H628" s="83" t="str">
        <f t="shared" si="53"/>
        <v>TCCN-PTE-PSG-SAG-UV4--</v>
      </c>
      <c r="I628" s="129" t="str">
        <f>MID(H628,1,(LEN(H628)-VLOOKUP(K628,datos!$B$2:$C$12,2,0)))</f>
        <v>TCCN-PTE-PSG-SAG-UV4</v>
      </c>
      <c r="J628" s="129" t="s">
        <v>5313</v>
      </c>
      <c r="K628" s="130">
        <f>VLOOKUP(LEN(SUBSTITUTE(H628,"-","")),datos!$A$1:$B$12,2,0)</f>
        <v>5</v>
      </c>
      <c r="L628" s="129" t="s">
        <v>4352</v>
      </c>
      <c r="M628" s="129" t="s">
        <v>0</v>
      </c>
    </row>
    <row r="629" spans="1:13" x14ac:dyDescent="0.35">
      <c r="A629" s="137" t="s">
        <v>487</v>
      </c>
      <c r="B629" s="137" t="s">
        <v>3809</v>
      </c>
      <c r="C629" s="137" t="s">
        <v>3913</v>
      </c>
      <c r="D629" s="137" t="s">
        <v>3914</v>
      </c>
      <c r="E629" s="137" t="s">
        <v>5317</v>
      </c>
      <c r="F629" s="137" t="s">
        <v>3869</v>
      </c>
      <c r="G629" s="137"/>
      <c r="H629" s="82" t="str">
        <f t="shared" si="53"/>
        <v>TCCN-PTE-PSG-SAG-UV4-SCE-</v>
      </c>
      <c r="I629" s="137" t="str">
        <f>MID(H629,1,(LEN(H629)-VLOOKUP(K629,datos!$B$2:$C$12,2,0)))</f>
        <v>TCCN-PTE-PSG-SAG-UV4-SCE</v>
      </c>
      <c r="J629" s="137" t="s">
        <v>7182</v>
      </c>
      <c r="K629" s="139">
        <f>VLOOKUP(LEN(SUBSTITUTE(H629,"-","")),datos!$A$1:$B$12,2,0)</f>
        <v>6</v>
      </c>
      <c r="L629" s="137"/>
      <c r="M629" s="137" t="s">
        <v>0</v>
      </c>
    </row>
    <row r="630" spans="1:13" x14ac:dyDescent="0.35">
      <c r="A630" s="137" t="s">
        <v>487</v>
      </c>
      <c r="B630" s="137" t="s">
        <v>3809</v>
      </c>
      <c r="C630" s="137" t="s">
        <v>3913</v>
      </c>
      <c r="D630" s="137" t="s">
        <v>3914</v>
      </c>
      <c r="E630" s="137" t="s">
        <v>5317</v>
      </c>
      <c r="F630" s="137" t="s">
        <v>3847</v>
      </c>
      <c r="G630" s="137"/>
      <c r="H630" s="82" t="str">
        <f t="shared" si="53"/>
        <v>TCCN-PTE-PSG-SAG-UV4-SMO-</v>
      </c>
      <c r="I630" s="137" t="str">
        <f>MID(H630,1,(LEN(H630)-VLOOKUP(K630,datos!$B$2:$C$12,2,0)))</f>
        <v>TCCN-PTE-PSG-SAG-UV4-SMO</v>
      </c>
      <c r="J630" s="137" t="s">
        <v>7183</v>
      </c>
      <c r="K630" s="139">
        <f>VLOOKUP(LEN(SUBSTITUTE(H630,"-","")),datos!$A$1:$B$12,2,0)</f>
        <v>6</v>
      </c>
      <c r="L630" s="137"/>
      <c r="M630" s="137" t="s">
        <v>0</v>
      </c>
    </row>
    <row r="631" spans="1:13" customFormat="1" ht="14.5" x14ac:dyDescent="0.35">
      <c r="A631" s="129" t="s">
        <v>487</v>
      </c>
      <c r="B631" s="129" t="s">
        <v>3809</v>
      </c>
      <c r="C631" s="129" t="s">
        <v>3913</v>
      </c>
      <c r="D631" s="129" t="s">
        <v>3914</v>
      </c>
      <c r="E631" s="129" t="s">
        <v>5520</v>
      </c>
      <c r="F631" s="129"/>
      <c r="G631" s="129"/>
      <c r="H631" s="83" t="str">
        <f t="shared" si="53"/>
        <v>TCCN-PTE-PSG-SAG-MAE--</v>
      </c>
      <c r="I631" s="129" t="str">
        <f>MID(H631,1,(LEN(H631)-VLOOKUP(K631,datos!$B$2:$C$12,2,0)))</f>
        <v>TCCN-PTE-PSG-SAG-MAE</v>
      </c>
      <c r="J631" s="129" t="s">
        <v>7191</v>
      </c>
      <c r="K631" s="130">
        <f>VLOOKUP(LEN(SUBSTITUTE(H631,"-","")),datos!$A$1:$B$12,2,0)</f>
        <v>5</v>
      </c>
      <c r="L631" s="129" t="s">
        <v>1639</v>
      </c>
      <c r="M631" s="129" t="s">
        <v>0</v>
      </c>
    </row>
    <row r="632" spans="1:13" x14ac:dyDescent="0.35">
      <c r="A632" s="137" t="s">
        <v>487</v>
      </c>
      <c r="B632" s="137" t="s">
        <v>3809</v>
      </c>
      <c r="C632" s="137" t="s">
        <v>3913</v>
      </c>
      <c r="D632" s="137" t="s">
        <v>3914</v>
      </c>
      <c r="E632" s="137" t="s">
        <v>5520</v>
      </c>
      <c r="F632" s="137" t="s">
        <v>3816</v>
      </c>
      <c r="G632" s="137"/>
      <c r="H632" s="82" t="str">
        <f t="shared" ref="H632:H638" si="69">CONCATENATE(A632,"-",B632,"-",C632,"-",D632,"-",E632,"-",F632,"-",G632)</f>
        <v>TCCN-PTE-PSG-SAG-MAE-SHI-</v>
      </c>
      <c r="I632" s="137" t="str">
        <f>MID(H632,1,(LEN(H632)-VLOOKUP(K632,datos!$B$2:$C$12,2,0)))</f>
        <v>TCCN-PTE-PSG-SAG-MAE-SHI</v>
      </c>
      <c r="J632" s="137" t="s">
        <v>5521</v>
      </c>
      <c r="K632" s="139">
        <f>VLOOKUP(LEN(SUBSTITUTE(H632,"-","")),datos!$A$1:$B$12,2,0)</f>
        <v>6</v>
      </c>
      <c r="L632" s="137" t="s">
        <v>5522</v>
      </c>
      <c r="M632" s="137" t="s">
        <v>0</v>
      </c>
    </row>
    <row r="633" spans="1:13" x14ac:dyDescent="0.35">
      <c r="A633" s="137" t="s">
        <v>487</v>
      </c>
      <c r="B633" s="137" t="s">
        <v>3809</v>
      </c>
      <c r="C633" s="137" t="s">
        <v>3913</v>
      </c>
      <c r="D633" s="137" t="s">
        <v>3914</v>
      </c>
      <c r="E633" s="137" t="s">
        <v>5520</v>
      </c>
      <c r="F633" s="137" t="s">
        <v>3824</v>
      </c>
      <c r="G633" s="137"/>
      <c r="H633" s="82" t="str">
        <f t="shared" ref="H633:H634" si="70">CONCATENATE(A633,"-",B633,"-",C633,"-",D633,"-",E633,"-",F633,"-",G633)</f>
        <v>TCCN-PTE-PSG-SAG-MAE-SES-</v>
      </c>
      <c r="I633" s="137" t="str">
        <f>MID(H633,1,(LEN(H633)-VLOOKUP(K633,datos!$B$2:$C$12,2,0)))</f>
        <v>TCCN-PTE-PSG-SAG-MAE-SES</v>
      </c>
      <c r="J633" s="137" t="s">
        <v>7186</v>
      </c>
      <c r="K633" s="139">
        <f>VLOOKUP(LEN(SUBSTITUTE(H633,"-","")),datos!$A$1:$B$12,2,0)</f>
        <v>6</v>
      </c>
      <c r="L633" s="137"/>
      <c r="M633" s="137" t="s">
        <v>0</v>
      </c>
    </row>
    <row r="634" spans="1:13" x14ac:dyDescent="0.35">
      <c r="A634" s="137" t="s">
        <v>487</v>
      </c>
      <c r="B634" s="137" t="s">
        <v>3809</v>
      </c>
      <c r="C634" s="137" t="s">
        <v>3913</v>
      </c>
      <c r="D634" s="137" t="s">
        <v>3914</v>
      </c>
      <c r="E634" s="137" t="s">
        <v>5520</v>
      </c>
      <c r="F634" s="137" t="s">
        <v>7189</v>
      </c>
      <c r="G634" s="137"/>
      <c r="H634" s="82" t="str">
        <f t="shared" si="70"/>
        <v>TCCN-PTE-PSG-SAG-MAE-ST1-</v>
      </c>
      <c r="I634" s="137" t="str">
        <f>MID(H634,1,(LEN(H634)-VLOOKUP(K634,datos!$B$2:$C$12,2,0)))</f>
        <v>TCCN-PTE-PSG-SAG-MAE-ST1</v>
      </c>
      <c r="J634" s="137" t="s">
        <v>7187</v>
      </c>
      <c r="K634" s="139">
        <f>VLOOKUP(LEN(SUBSTITUTE(H634,"-","")),datos!$A$1:$B$12,2,0)</f>
        <v>6</v>
      </c>
      <c r="L634" s="137"/>
      <c r="M634" s="137" t="s">
        <v>0</v>
      </c>
    </row>
    <row r="635" spans="1:13" x14ac:dyDescent="0.35">
      <c r="A635" s="137" t="s">
        <v>487</v>
      </c>
      <c r="B635" s="137" t="s">
        <v>3809</v>
      </c>
      <c r="C635" s="137" t="s">
        <v>3913</v>
      </c>
      <c r="D635" s="137" t="s">
        <v>3914</v>
      </c>
      <c r="E635" s="137" t="s">
        <v>5520</v>
      </c>
      <c r="F635" s="137" t="s">
        <v>7188</v>
      </c>
      <c r="G635" s="137"/>
      <c r="H635" s="82" t="str">
        <f t="shared" ref="H635" si="71">CONCATENATE(A635,"-",B635,"-",C635,"-",D635,"-",E635,"-",F635,"-",G635)</f>
        <v>TCCN-PTE-PSG-SAG-MAE-ST2-</v>
      </c>
      <c r="I635" s="137" t="str">
        <f>MID(H635,1,(LEN(H635)-VLOOKUP(K635,datos!$B$2:$C$12,2,0)))</f>
        <v>TCCN-PTE-PSG-SAG-MAE-ST2</v>
      </c>
      <c r="J635" s="137" t="s">
        <v>7190</v>
      </c>
      <c r="K635" s="139">
        <f>VLOOKUP(LEN(SUBSTITUTE(H635,"-","")),datos!$A$1:$B$12,2,0)</f>
        <v>6</v>
      </c>
      <c r="L635" s="137"/>
      <c r="M635" s="137" t="s">
        <v>0</v>
      </c>
    </row>
    <row r="636" spans="1:13" x14ac:dyDescent="0.35">
      <c r="A636" s="137" t="s">
        <v>487</v>
      </c>
      <c r="B636" s="137" t="s">
        <v>3809</v>
      </c>
      <c r="C636" s="137" t="s">
        <v>3913</v>
      </c>
      <c r="D636" s="137" t="s">
        <v>3914</v>
      </c>
      <c r="E636" s="137" t="s">
        <v>5520</v>
      </c>
      <c r="F636" s="137" t="s">
        <v>3869</v>
      </c>
      <c r="G636" s="137"/>
      <c r="H636" s="82" t="str">
        <f t="shared" ref="H636" si="72">CONCATENATE(A636,"-",B636,"-",C636,"-",D636,"-",E636,"-",F636,"-",G636)</f>
        <v>TCCN-PTE-PSG-SAG-MAE-SCE-</v>
      </c>
      <c r="I636" s="137" t="str">
        <f>MID(H636,1,(LEN(H636)-VLOOKUP(K636,datos!$B$2:$C$12,2,0)))</f>
        <v>TCCN-PTE-PSG-SAG-MAE-SCE</v>
      </c>
      <c r="J636" s="137" t="s">
        <v>7184</v>
      </c>
      <c r="K636" s="139">
        <f>VLOOKUP(LEN(SUBSTITUTE(H636,"-","")),datos!$A$1:$B$12,2,0)</f>
        <v>6</v>
      </c>
      <c r="L636" s="137"/>
      <c r="M636" s="137" t="s">
        <v>0</v>
      </c>
    </row>
    <row r="637" spans="1:13" x14ac:dyDescent="0.35">
      <c r="A637" s="137" t="s">
        <v>487</v>
      </c>
      <c r="B637" s="137" t="s">
        <v>3809</v>
      </c>
      <c r="C637" s="137" t="s">
        <v>3913</v>
      </c>
      <c r="D637" s="137" t="s">
        <v>3914</v>
      </c>
      <c r="E637" s="137" t="s">
        <v>5520</v>
      </c>
      <c r="F637" s="137" t="s">
        <v>3831</v>
      </c>
      <c r="G637" s="137"/>
      <c r="H637" s="82" t="str">
        <f t="shared" ref="H637" si="73">CONCATENATE(A637,"-",B637,"-",C637,"-",D637,"-",E637,"-",F637,"-",G637)</f>
        <v>TCCN-PTE-PSG-SAG-MAE-INS-</v>
      </c>
      <c r="I637" s="137" t="str">
        <f>MID(H637,1,(LEN(H637)-VLOOKUP(K637,datos!$B$2:$C$12,2,0)))</f>
        <v>TCCN-PTE-PSG-SAG-MAE-INS</v>
      </c>
      <c r="J637" s="137" t="s">
        <v>7185</v>
      </c>
      <c r="K637" s="139">
        <f>VLOOKUP(LEN(SUBSTITUTE(H637,"-","")),datos!$A$1:$B$12,2,0)</f>
        <v>6</v>
      </c>
      <c r="L637" s="137"/>
      <c r="M637" s="137" t="s">
        <v>0</v>
      </c>
    </row>
    <row r="638" spans="1:13" customFormat="1" ht="14.5" x14ac:dyDescent="0.35">
      <c r="A638" s="129" t="s">
        <v>487</v>
      </c>
      <c r="B638" s="129" t="s">
        <v>3809</v>
      </c>
      <c r="C638" s="129" t="s">
        <v>3913</v>
      </c>
      <c r="D638" s="129" t="s">
        <v>3914</v>
      </c>
      <c r="E638" s="129" t="s">
        <v>3947</v>
      </c>
      <c r="F638" s="129"/>
      <c r="G638" s="129"/>
      <c r="H638" s="83" t="str">
        <f t="shared" si="69"/>
        <v>TCCN-PTE-PSG-SAG-B01--</v>
      </c>
      <c r="I638" s="129" t="str">
        <f>MID(H638,1,(LEN(H638)-VLOOKUP(K638,datos!$B$2:$C$12,2,0)))</f>
        <v>TCCN-PTE-PSG-SAG-B01</v>
      </c>
      <c r="J638" s="129" t="s">
        <v>7477</v>
      </c>
      <c r="K638" s="130">
        <f>VLOOKUP(LEN(SUBSTITUTE(H638,"-","")),datos!$A$1:$B$12,2,0)</f>
        <v>5</v>
      </c>
      <c r="L638" s="129" t="s">
        <v>143</v>
      </c>
      <c r="M638" s="129" t="s">
        <v>0</v>
      </c>
    </row>
    <row r="639" spans="1:13" x14ac:dyDescent="0.35">
      <c r="A639" s="137" t="s">
        <v>487</v>
      </c>
      <c r="B639" s="137" t="s">
        <v>3809</v>
      </c>
      <c r="C639" s="137" t="s">
        <v>3913</v>
      </c>
      <c r="D639" s="137" t="s">
        <v>3914</v>
      </c>
      <c r="E639" s="137" t="s">
        <v>3947</v>
      </c>
      <c r="F639" s="137" t="s">
        <v>5106</v>
      </c>
      <c r="G639" s="137"/>
      <c r="H639" s="82" t="str">
        <f t="shared" si="53"/>
        <v>TCCN-PTE-PSG-SAG-B01-PHU-</v>
      </c>
      <c r="I639" s="137" t="str">
        <f>MID(H639,1,(LEN(H639)-VLOOKUP(K639,datos!$B$2:$C$12,2,0)))</f>
        <v>TCCN-PTE-PSG-SAG-B01-PHU</v>
      </c>
      <c r="J639" s="137" t="s">
        <v>4830</v>
      </c>
      <c r="K639" s="139">
        <f>VLOOKUP(LEN(SUBSTITUTE(H639,"-","")),datos!$A$1:$B$12,2,0)</f>
        <v>6</v>
      </c>
      <c r="L639" s="137"/>
      <c r="M639" s="137" t="s">
        <v>0</v>
      </c>
    </row>
    <row r="640" spans="1:13" x14ac:dyDescent="0.35">
      <c r="A640" s="137" t="s">
        <v>487</v>
      </c>
      <c r="B640" s="137" t="s">
        <v>3809</v>
      </c>
      <c r="C640" s="137" t="s">
        <v>3913</v>
      </c>
      <c r="D640" s="137" t="s">
        <v>3914</v>
      </c>
      <c r="E640" s="137" t="s">
        <v>3947</v>
      </c>
      <c r="F640" s="137" t="s">
        <v>4073</v>
      </c>
      <c r="G640" s="137"/>
      <c r="H640" s="82" t="str">
        <f t="shared" si="53"/>
        <v>TCCN-PTE-PSG-SAG-B01-PYV-</v>
      </c>
      <c r="I640" s="137" t="str">
        <f>MID(H640,1,(LEN(H640)-VLOOKUP(K640,datos!$B$2:$C$12,2,0)))</f>
        <v>TCCN-PTE-PSG-SAG-B01-PYV</v>
      </c>
      <c r="J640" s="137" t="s">
        <v>4831</v>
      </c>
      <c r="K640" s="139">
        <f>VLOOKUP(LEN(SUBSTITUTE(H640,"-","")),datos!$A$1:$B$12,2,0)</f>
        <v>6</v>
      </c>
      <c r="L640" s="137"/>
      <c r="M640" s="137" t="s">
        <v>0</v>
      </c>
    </row>
    <row r="641" spans="1:13" x14ac:dyDescent="0.35">
      <c r="A641" s="137" t="s">
        <v>487</v>
      </c>
      <c r="B641" s="137" t="s">
        <v>3809</v>
      </c>
      <c r="C641" s="137" t="s">
        <v>3913</v>
      </c>
      <c r="D641" s="137" t="s">
        <v>3914</v>
      </c>
      <c r="E641" s="137" t="s">
        <v>3947</v>
      </c>
      <c r="F641" s="137" t="s">
        <v>5107</v>
      </c>
      <c r="G641" s="137"/>
      <c r="H641" s="82" t="str">
        <f t="shared" si="53"/>
        <v>TCCN-PTE-PSG-SAG-B01-SAS-</v>
      </c>
      <c r="I641" s="137" t="str">
        <f>MID(H641,1,(LEN(H641)-VLOOKUP(K641,datos!$B$2:$C$12,2,0)))</f>
        <v>TCCN-PTE-PSG-SAG-B01-SAS</v>
      </c>
      <c r="J641" s="137" t="s">
        <v>4832</v>
      </c>
      <c r="K641" s="139">
        <f>VLOOKUP(LEN(SUBSTITUTE(H641,"-","")),datos!$A$1:$B$12,2,0)</f>
        <v>6</v>
      </c>
      <c r="L641" s="137"/>
      <c r="M641" s="137" t="s">
        <v>0</v>
      </c>
    </row>
    <row r="642" spans="1:13" x14ac:dyDescent="0.35">
      <c r="A642" s="138" t="s">
        <v>487</v>
      </c>
      <c r="B642" s="138" t="s">
        <v>3809</v>
      </c>
      <c r="C642" s="138" t="s">
        <v>3913</v>
      </c>
      <c r="D642" s="138" t="s">
        <v>3914</v>
      </c>
      <c r="E642" s="138" t="s">
        <v>3947</v>
      </c>
      <c r="F642" s="138" t="s">
        <v>5107</v>
      </c>
      <c r="G642" s="138" t="s">
        <v>4075</v>
      </c>
      <c r="H642" s="81" t="str">
        <f t="shared" ref="H642" si="74">CONCATENATE(A642,"-",B642,"-",C642,"-",D642,"-",E642,"-",F642,"-",G642)</f>
        <v>TCCN-PTE-PSG-SAG-B01-SAS-VVA</v>
      </c>
      <c r="I642" s="138" t="str">
        <f>MID(H642,1,(LEN(H642)-VLOOKUP(K642,datos!$B$2:$C$12,2,0)))</f>
        <v>TCCN-PTE-PSG-SAG-B01-SAS-VVA</v>
      </c>
      <c r="J642" s="138" t="s">
        <v>7443</v>
      </c>
      <c r="K642" s="140">
        <f>VLOOKUP(LEN(SUBSTITUTE(H642,"-","")),datos!$A$1:$B$12,2,0)</f>
        <v>7</v>
      </c>
      <c r="L642" s="138" t="s">
        <v>7475</v>
      </c>
      <c r="M642" s="138" t="s">
        <v>0</v>
      </c>
    </row>
    <row r="643" spans="1:13" x14ac:dyDescent="0.35">
      <c r="A643" s="138" t="s">
        <v>487</v>
      </c>
      <c r="B643" s="138" t="s">
        <v>3809</v>
      </c>
      <c r="C643" s="138" t="s">
        <v>3913</v>
      </c>
      <c r="D643" s="138" t="s">
        <v>3914</v>
      </c>
      <c r="E643" s="138" t="s">
        <v>3947</v>
      </c>
      <c r="F643" s="138" t="s">
        <v>5107</v>
      </c>
      <c r="G643" s="138" t="s">
        <v>4002</v>
      </c>
      <c r="H643" s="81" t="str">
        <f t="shared" ref="H643" si="75">CONCATENATE(A643,"-",B643,"-",C643,"-",D643,"-",E643,"-",F643,"-",G643)</f>
        <v>TCCN-PTE-PSG-SAG-B01-SAS-FJM</v>
      </c>
      <c r="I643" s="138" t="str">
        <f>MID(H643,1,(LEN(H643)-VLOOKUP(K643,datos!$B$2:$C$12,2,0)))</f>
        <v>TCCN-PTE-PSG-SAG-B01-SAS-FJM</v>
      </c>
      <c r="J643" s="138" t="s">
        <v>7479</v>
      </c>
      <c r="K643" s="140">
        <f>VLOOKUP(LEN(SUBSTITUTE(H643,"-","")),datos!$A$1:$B$12,2,0)</f>
        <v>7</v>
      </c>
      <c r="L643" s="138" t="s">
        <v>7476</v>
      </c>
      <c r="M643" s="138" t="s">
        <v>0</v>
      </c>
    </row>
    <row r="644" spans="1:13" x14ac:dyDescent="0.35">
      <c r="A644" s="137" t="s">
        <v>487</v>
      </c>
      <c r="B644" s="137" t="s">
        <v>3809</v>
      </c>
      <c r="C644" s="137" t="s">
        <v>3913</v>
      </c>
      <c r="D644" s="137" t="s">
        <v>3914</v>
      </c>
      <c r="E644" s="137" t="s">
        <v>3947</v>
      </c>
      <c r="F644" s="137" t="s">
        <v>3847</v>
      </c>
      <c r="G644" s="137"/>
      <c r="H644" s="82" t="str">
        <f t="shared" si="53"/>
        <v>TCCN-PTE-PSG-SAG-B01-SMO-</v>
      </c>
      <c r="I644" s="137" t="str">
        <f>MID(H644,1,(LEN(H644)-VLOOKUP(K644,datos!$B$2:$C$12,2,0)))</f>
        <v>TCCN-PTE-PSG-SAG-B01-SMO</v>
      </c>
      <c r="J644" s="137" t="s">
        <v>4833</v>
      </c>
      <c r="K644" s="139">
        <f>VLOOKUP(LEN(SUBSTITUTE(H644,"-","")),datos!$A$1:$B$12,2,0)</f>
        <v>6</v>
      </c>
      <c r="L644" s="137"/>
      <c r="M644" s="137" t="s">
        <v>0</v>
      </c>
    </row>
    <row r="645" spans="1:13" x14ac:dyDescent="0.35">
      <c r="A645" s="138" t="s">
        <v>487</v>
      </c>
      <c r="B645" s="138" t="s">
        <v>3809</v>
      </c>
      <c r="C645" s="138" t="s">
        <v>3913</v>
      </c>
      <c r="D645" s="138" t="s">
        <v>3914</v>
      </c>
      <c r="E645" s="138" t="s">
        <v>3947</v>
      </c>
      <c r="F645" s="138" t="s">
        <v>3847</v>
      </c>
      <c r="G645" s="138" t="s">
        <v>3819</v>
      </c>
      <c r="H645" s="81" t="str">
        <f t="shared" si="53"/>
        <v>TCCN-PTE-PSG-SAG-B01-SMO-MOE</v>
      </c>
      <c r="I645" s="138" t="str">
        <f>MID(H645,1,(LEN(H645)-VLOOKUP(K645,datos!$B$2:$C$12,2,0)))</f>
        <v>TCCN-PTE-PSG-SAG-B01-SMO-MOE</v>
      </c>
      <c r="J645" s="138" t="s">
        <v>5338</v>
      </c>
      <c r="K645" s="140">
        <f>VLOOKUP(LEN(SUBSTITUTE(H645,"-","")),datos!$A$1:$B$12,2,0)</f>
        <v>7</v>
      </c>
      <c r="L645" s="138" t="s">
        <v>5523</v>
      </c>
      <c r="M645" s="138" t="s">
        <v>0</v>
      </c>
    </row>
    <row r="646" spans="1:13" x14ac:dyDescent="0.35">
      <c r="A646" s="137" t="s">
        <v>487</v>
      </c>
      <c r="B646" s="137" t="s">
        <v>3809</v>
      </c>
      <c r="C646" s="137" t="s">
        <v>3913</v>
      </c>
      <c r="D646" s="137" t="s">
        <v>3914</v>
      </c>
      <c r="E646" s="137" t="s">
        <v>3947</v>
      </c>
      <c r="F646" s="137" t="s">
        <v>3831</v>
      </c>
      <c r="G646" s="137"/>
      <c r="H646" s="82" t="str">
        <f t="shared" si="53"/>
        <v>TCCN-PTE-PSG-SAG-B01-INS-</v>
      </c>
      <c r="I646" s="137" t="str">
        <f>MID(H646,1,(LEN(H646)-VLOOKUP(K646,datos!$B$2:$C$12,2,0)))</f>
        <v>TCCN-PTE-PSG-SAG-B01-INS</v>
      </c>
      <c r="J646" s="137" t="s">
        <v>5524</v>
      </c>
      <c r="K646" s="139">
        <f>VLOOKUP(LEN(SUBSTITUTE(H646,"-","")),datos!$A$1:$B$12,2,0)</f>
        <v>6</v>
      </c>
      <c r="L646" s="137"/>
      <c r="M646" s="137" t="s">
        <v>0</v>
      </c>
    </row>
    <row r="647" spans="1:13" x14ac:dyDescent="0.35">
      <c r="A647" s="138" t="s">
        <v>487</v>
      </c>
      <c r="B647" s="138" t="s">
        <v>3809</v>
      </c>
      <c r="C647" s="138" t="s">
        <v>3913</v>
      </c>
      <c r="D647" s="138" t="s">
        <v>3914</v>
      </c>
      <c r="E647" s="138" t="s">
        <v>3947</v>
      </c>
      <c r="F647" s="138" t="s">
        <v>3831</v>
      </c>
      <c r="G647" s="138" t="s">
        <v>7069</v>
      </c>
      <c r="H647" s="81" t="str">
        <f t="shared" si="53"/>
        <v>TCCN-PTE-PSG-SAG-B01-INS-MPN</v>
      </c>
      <c r="I647" s="138" t="str">
        <f>MID(H647,1,(LEN(H647)-VLOOKUP(K647,datos!$B$2:$C$12,2,0)))</f>
        <v>TCCN-PTE-PSG-SAG-B01-INS-MPN</v>
      </c>
      <c r="J647" s="138" t="s">
        <v>7557</v>
      </c>
      <c r="K647" s="140">
        <f>VLOOKUP(LEN(SUBSTITUTE(H647,"-","")),datos!$A$1:$B$12,2,0)</f>
        <v>7</v>
      </c>
      <c r="L647" s="138" t="s">
        <v>7589</v>
      </c>
      <c r="M647" s="138" t="s">
        <v>0</v>
      </c>
    </row>
    <row r="648" spans="1:13" x14ac:dyDescent="0.35">
      <c r="A648" s="137" t="s">
        <v>487</v>
      </c>
      <c r="B648" s="137" t="s">
        <v>3809</v>
      </c>
      <c r="C648" s="137" t="s">
        <v>3913</v>
      </c>
      <c r="D648" s="137" t="s">
        <v>3914</v>
      </c>
      <c r="E648" s="137" t="s">
        <v>3947</v>
      </c>
      <c r="F648" s="137" t="s">
        <v>3869</v>
      </c>
      <c r="G648" s="137"/>
      <c r="H648" s="82" t="str">
        <f t="shared" si="53"/>
        <v>TCCN-PTE-PSG-SAG-B01-SCE-</v>
      </c>
      <c r="I648" s="137" t="str">
        <f>MID(H648,1,(LEN(H648)-VLOOKUP(K648,datos!$B$2:$C$12,2,0)))</f>
        <v>TCCN-PTE-PSG-SAG-B01-SCE</v>
      </c>
      <c r="J648" s="137" t="s">
        <v>5686</v>
      </c>
      <c r="K648" s="139">
        <f>VLOOKUP(LEN(SUBSTITUTE(H648,"-","")),datos!$A$1:$B$12,2,0)</f>
        <v>6</v>
      </c>
      <c r="L648" s="137"/>
      <c r="M648" s="137" t="s">
        <v>0</v>
      </c>
    </row>
    <row r="649" spans="1:13" x14ac:dyDescent="0.35">
      <c r="A649" s="138" t="s">
        <v>487</v>
      </c>
      <c r="B649" s="138" t="s">
        <v>3809</v>
      </c>
      <c r="C649" s="138" t="s">
        <v>3913</v>
      </c>
      <c r="D649" s="138" t="s">
        <v>3914</v>
      </c>
      <c r="E649" s="138" t="s">
        <v>3947</v>
      </c>
      <c r="F649" s="138" t="s">
        <v>3869</v>
      </c>
      <c r="G649" s="138" t="s">
        <v>3870</v>
      </c>
      <c r="H649" s="81" t="str">
        <f t="shared" si="53"/>
        <v>TCCN-PTE-PSG-SAG-B01-SCE-BTN</v>
      </c>
      <c r="I649" s="138" t="str">
        <f>MID(H649,1,(LEN(H649)-VLOOKUP(K649,datos!$B$2:$C$12,2,0)))</f>
        <v>TCCN-PTE-PSG-SAG-B01-SCE-BTN</v>
      </c>
      <c r="J649" s="138" t="s">
        <v>5687</v>
      </c>
      <c r="K649" s="140">
        <f>VLOOKUP(LEN(SUBSTITUTE(H649,"-","")),datos!$A$1:$B$12,2,0)</f>
        <v>7</v>
      </c>
      <c r="L649" s="138"/>
      <c r="M649" s="138" t="s">
        <v>0</v>
      </c>
    </row>
    <row r="650" spans="1:13" customFormat="1" ht="14.5" x14ac:dyDescent="0.35">
      <c r="A650" s="129" t="s">
        <v>487</v>
      </c>
      <c r="B650" s="129" t="s">
        <v>3809</v>
      </c>
      <c r="C650" s="129" t="s">
        <v>3913</v>
      </c>
      <c r="D650" s="129" t="s">
        <v>3914</v>
      </c>
      <c r="E650" s="129" t="s">
        <v>3949</v>
      </c>
      <c r="F650" s="129"/>
      <c r="G650" s="129"/>
      <c r="H650" s="83" t="str">
        <f t="shared" si="53"/>
        <v>TCCN-PTE-PSG-SAG-B02--</v>
      </c>
      <c r="I650" s="129" t="str">
        <f>MID(H650,1,(LEN(H650)-VLOOKUP(K650,datos!$B$2:$C$12,2,0)))</f>
        <v>TCCN-PTE-PSG-SAG-B02</v>
      </c>
      <c r="J650" s="129" t="s">
        <v>7478</v>
      </c>
      <c r="K650" s="130">
        <f>VLOOKUP(LEN(SUBSTITUTE(H650,"-","")),datos!$A$1:$B$12,2,0)</f>
        <v>5</v>
      </c>
      <c r="L650" s="129" t="s">
        <v>145</v>
      </c>
      <c r="M650" s="129" t="s">
        <v>0</v>
      </c>
    </row>
    <row r="651" spans="1:13" x14ac:dyDescent="0.35">
      <c r="A651" s="137" t="s">
        <v>487</v>
      </c>
      <c r="B651" s="137" t="s">
        <v>3809</v>
      </c>
      <c r="C651" s="137" t="s">
        <v>3913</v>
      </c>
      <c r="D651" s="137" t="s">
        <v>3914</v>
      </c>
      <c r="E651" s="137" t="s">
        <v>3949</v>
      </c>
      <c r="F651" s="137" t="s">
        <v>5106</v>
      </c>
      <c r="G651" s="137"/>
      <c r="H651" s="82" t="str">
        <f t="shared" ref="H651:H746" si="76">CONCATENATE(A651,"-",B651,"-",C651,"-",D651,"-",E651,"-",F651,"-",G651)</f>
        <v>TCCN-PTE-PSG-SAG-B02-PHU-</v>
      </c>
      <c r="I651" s="137" t="str">
        <f>MID(H651,1,(LEN(H651)-VLOOKUP(K651,datos!$B$2:$C$12,2,0)))</f>
        <v>TCCN-PTE-PSG-SAG-B02-PHU</v>
      </c>
      <c r="J651" s="137" t="s">
        <v>5327</v>
      </c>
      <c r="K651" s="139">
        <f>VLOOKUP(LEN(SUBSTITUTE(H651,"-","")),datos!$A$1:$B$12,2,0)</f>
        <v>6</v>
      </c>
      <c r="L651" s="137"/>
      <c r="M651" s="137" t="s">
        <v>0</v>
      </c>
    </row>
    <row r="652" spans="1:13" x14ac:dyDescent="0.35">
      <c r="A652" s="137" t="s">
        <v>487</v>
      </c>
      <c r="B652" s="137" t="s">
        <v>3809</v>
      </c>
      <c r="C652" s="137" t="s">
        <v>3913</v>
      </c>
      <c r="D652" s="137" t="s">
        <v>3914</v>
      </c>
      <c r="E652" s="137" t="s">
        <v>3949</v>
      </c>
      <c r="F652" s="137" t="s">
        <v>4073</v>
      </c>
      <c r="G652" s="137"/>
      <c r="H652" s="82" t="str">
        <f t="shared" si="76"/>
        <v>TCCN-PTE-PSG-SAG-B02-PYV-</v>
      </c>
      <c r="I652" s="137" t="str">
        <f>MID(H652,1,(LEN(H652)-VLOOKUP(K652,datos!$B$2:$C$12,2,0)))</f>
        <v>TCCN-PTE-PSG-SAG-B02-PYV</v>
      </c>
      <c r="J652" s="137" t="s">
        <v>5328</v>
      </c>
      <c r="K652" s="139">
        <f>VLOOKUP(LEN(SUBSTITUTE(H652,"-","")),datos!$A$1:$B$12,2,0)</f>
        <v>6</v>
      </c>
      <c r="L652" s="137"/>
      <c r="M652" s="137" t="s">
        <v>0</v>
      </c>
    </row>
    <row r="653" spans="1:13" x14ac:dyDescent="0.35">
      <c r="A653" s="137" t="s">
        <v>487</v>
      </c>
      <c r="B653" s="137" t="s">
        <v>3809</v>
      </c>
      <c r="C653" s="137" t="s">
        <v>3913</v>
      </c>
      <c r="D653" s="137" t="s">
        <v>3914</v>
      </c>
      <c r="E653" s="137" t="s">
        <v>3949</v>
      </c>
      <c r="F653" s="137" t="s">
        <v>5107</v>
      </c>
      <c r="G653" s="137"/>
      <c r="H653" s="82" t="str">
        <f t="shared" si="76"/>
        <v>TCCN-PTE-PSG-SAG-B02-SAS-</v>
      </c>
      <c r="I653" s="137" t="str">
        <f>MID(H653,1,(LEN(H653)-VLOOKUP(K653,datos!$B$2:$C$12,2,0)))</f>
        <v>TCCN-PTE-PSG-SAG-B02-SAS</v>
      </c>
      <c r="J653" s="137" t="s">
        <v>5330</v>
      </c>
      <c r="K653" s="139">
        <f>VLOOKUP(LEN(SUBSTITUTE(H653,"-","")),datos!$A$1:$B$12,2,0)</f>
        <v>6</v>
      </c>
      <c r="L653" s="137"/>
      <c r="M653" s="137" t="s">
        <v>0</v>
      </c>
    </row>
    <row r="654" spans="1:13" x14ac:dyDescent="0.35">
      <c r="A654" s="138" t="s">
        <v>487</v>
      </c>
      <c r="B654" s="138" t="s">
        <v>3809</v>
      </c>
      <c r="C654" s="138" t="s">
        <v>3913</v>
      </c>
      <c r="D654" s="138" t="s">
        <v>3914</v>
      </c>
      <c r="E654" s="138" t="s">
        <v>3949</v>
      </c>
      <c r="F654" s="138" t="s">
        <v>5107</v>
      </c>
      <c r="G654" s="138" t="s">
        <v>4075</v>
      </c>
      <c r="H654" s="81" t="str">
        <f t="shared" si="76"/>
        <v>TCCN-PTE-PSG-SAG-B02-SAS-VVA</v>
      </c>
      <c r="I654" s="138" t="str">
        <f>MID(H654,1,(LEN(H654)-VLOOKUP(K654,datos!$B$2:$C$12,2,0)))</f>
        <v>TCCN-PTE-PSG-SAG-B02-SAS-VVA</v>
      </c>
      <c r="J654" s="138" t="s">
        <v>7444</v>
      </c>
      <c r="K654" s="140">
        <f>VLOOKUP(LEN(SUBSTITUTE(H654,"-","")),datos!$A$1:$B$12,2,0)</f>
        <v>7</v>
      </c>
      <c r="L654" s="138" t="s">
        <v>7481</v>
      </c>
      <c r="M654" s="138" t="s">
        <v>0</v>
      </c>
    </row>
    <row r="655" spans="1:13" x14ac:dyDescent="0.35">
      <c r="A655" s="138" t="s">
        <v>487</v>
      </c>
      <c r="B655" s="138" t="s">
        <v>3809</v>
      </c>
      <c r="C655" s="138" t="s">
        <v>3913</v>
      </c>
      <c r="D655" s="138" t="s">
        <v>3914</v>
      </c>
      <c r="E655" s="138" t="s">
        <v>3949</v>
      </c>
      <c r="F655" s="138" t="s">
        <v>5107</v>
      </c>
      <c r="G655" s="138" t="s">
        <v>4002</v>
      </c>
      <c r="H655" s="81" t="str">
        <f t="shared" si="76"/>
        <v>TCCN-PTE-PSG-SAG-B02-SAS-FJM</v>
      </c>
      <c r="I655" s="138" t="str">
        <f>MID(H655,1,(LEN(H655)-VLOOKUP(K655,datos!$B$2:$C$12,2,0)))</f>
        <v>TCCN-PTE-PSG-SAG-B02-SAS-FJM</v>
      </c>
      <c r="J655" s="138" t="s">
        <v>7480</v>
      </c>
      <c r="K655" s="140">
        <f>VLOOKUP(LEN(SUBSTITUTE(H655,"-","")),datos!$A$1:$B$12,2,0)</f>
        <v>7</v>
      </c>
      <c r="L655" s="138" t="s">
        <v>7482</v>
      </c>
      <c r="M655" s="138" t="s">
        <v>0</v>
      </c>
    </row>
    <row r="656" spans="1:13" x14ac:dyDescent="0.35">
      <c r="A656" s="137" t="s">
        <v>487</v>
      </c>
      <c r="B656" s="137" t="s">
        <v>3809</v>
      </c>
      <c r="C656" s="137" t="s">
        <v>3913</v>
      </c>
      <c r="D656" s="137" t="s">
        <v>3914</v>
      </c>
      <c r="E656" s="137" t="s">
        <v>3949</v>
      </c>
      <c r="F656" s="137" t="s">
        <v>3847</v>
      </c>
      <c r="G656" s="137"/>
      <c r="H656" s="82" t="str">
        <f t="shared" si="76"/>
        <v>TCCN-PTE-PSG-SAG-B02-SMO-</v>
      </c>
      <c r="I656" s="137" t="str">
        <f>MID(H656,1,(LEN(H656)-VLOOKUP(K656,datos!$B$2:$C$12,2,0)))</f>
        <v>TCCN-PTE-PSG-SAG-B02-SMO</v>
      </c>
      <c r="J656" s="137" t="s">
        <v>5329</v>
      </c>
      <c r="K656" s="139">
        <f>VLOOKUP(LEN(SUBSTITUTE(H656,"-","")),datos!$A$1:$B$12,2,0)</f>
        <v>6</v>
      </c>
      <c r="L656" s="137"/>
      <c r="M656" s="137" t="s">
        <v>0</v>
      </c>
    </row>
    <row r="657" spans="1:13" x14ac:dyDescent="0.35">
      <c r="A657" s="138" t="s">
        <v>487</v>
      </c>
      <c r="B657" s="138" t="s">
        <v>3809</v>
      </c>
      <c r="C657" s="138" t="s">
        <v>3913</v>
      </c>
      <c r="D657" s="138" t="s">
        <v>3914</v>
      </c>
      <c r="E657" s="138" t="s">
        <v>3949</v>
      </c>
      <c r="F657" s="138" t="s">
        <v>3847</v>
      </c>
      <c r="G657" s="138" t="s">
        <v>3819</v>
      </c>
      <c r="H657" s="81" t="str">
        <f t="shared" si="76"/>
        <v>TCCN-PTE-PSG-SAG-B02-SMO-MOE</v>
      </c>
      <c r="I657" s="138" t="str">
        <f>MID(H657,1,(LEN(H657)-VLOOKUP(K657,datos!$B$2:$C$12,2,0)))</f>
        <v>TCCN-PTE-PSG-SAG-B02-SMO-MOE</v>
      </c>
      <c r="J657" s="138" t="s">
        <v>5332</v>
      </c>
      <c r="K657" s="140">
        <f>VLOOKUP(LEN(SUBSTITUTE(H657,"-","")),datos!$A$1:$B$12,2,0)</f>
        <v>7</v>
      </c>
      <c r="L657" s="138" t="s">
        <v>5525</v>
      </c>
      <c r="M657" s="138" t="s">
        <v>0</v>
      </c>
    </row>
    <row r="658" spans="1:13" x14ac:dyDescent="0.35">
      <c r="A658" s="137" t="s">
        <v>487</v>
      </c>
      <c r="B658" s="137" t="s">
        <v>3809</v>
      </c>
      <c r="C658" s="137" t="s">
        <v>3913</v>
      </c>
      <c r="D658" s="137" t="s">
        <v>3914</v>
      </c>
      <c r="E658" s="137" t="s">
        <v>3949</v>
      </c>
      <c r="F658" s="137" t="s">
        <v>3831</v>
      </c>
      <c r="G658" s="137"/>
      <c r="H658" s="82" t="str">
        <f t="shared" si="76"/>
        <v>TCCN-PTE-PSG-SAG-B02-INS-</v>
      </c>
      <c r="I658" s="137" t="str">
        <f>MID(H658,1,(LEN(H658)-VLOOKUP(K658,datos!$B$2:$C$12,2,0)))</f>
        <v>TCCN-PTE-PSG-SAG-B02-INS</v>
      </c>
      <c r="J658" s="137" t="s">
        <v>5683</v>
      </c>
      <c r="K658" s="139">
        <f>VLOOKUP(LEN(SUBSTITUTE(H658,"-","")),datos!$A$1:$B$12,2,0)</f>
        <v>6</v>
      </c>
      <c r="L658" s="137"/>
      <c r="M658" s="137" t="s">
        <v>0</v>
      </c>
    </row>
    <row r="659" spans="1:13" x14ac:dyDescent="0.35">
      <c r="A659" s="138" t="s">
        <v>487</v>
      </c>
      <c r="B659" s="138" t="s">
        <v>3809</v>
      </c>
      <c r="C659" s="138" t="s">
        <v>3913</v>
      </c>
      <c r="D659" s="138" t="s">
        <v>3914</v>
      </c>
      <c r="E659" s="138" t="s">
        <v>3949</v>
      </c>
      <c r="F659" s="138" t="s">
        <v>3831</v>
      </c>
      <c r="G659" s="138" t="s">
        <v>7069</v>
      </c>
      <c r="H659" s="81" t="str">
        <f t="shared" si="76"/>
        <v>TCCN-PTE-PSG-SAG-B02-INS-MPN</v>
      </c>
      <c r="I659" s="138" t="str">
        <f>MID(H659,1,(LEN(H659)-VLOOKUP(K659,datos!$B$2:$C$12,2,0)))</f>
        <v>TCCN-PTE-PSG-SAG-B02-INS-MPN</v>
      </c>
      <c r="J659" s="138" t="s">
        <v>7558</v>
      </c>
      <c r="K659" s="140">
        <f>VLOOKUP(LEN(SUBSTITUTE(H659,"-","")),datos!$A$1:$B$12,2,0)</f>
        <v>7</v>
      </c>
      <c r="L659" s="138" t="s">
        <v>7592</v>
      </c>
      <c r="M659" s="138" t="s">
        <v>0</v>
      </c>
    </row>
    <row r="660" spans="1:13" x14ac:dyDescent="0.35">
      <c r="A660" s="137" t="s">
        <v>487</v>
      </c>
      <c r="B660" s="137" t="s">
        <v>3809</v>
      </c>
      <c r="C660" s="137" t="s">
        <v>3913</v>
      </c>
      <c r="D660" s="137" t="s">
        <v>3914</v>
      </c>
      <c r="E660" s="137" t="s">
        <v>3949</v>
      </c>
      <c r="F660" s="137" t="s">
        <v>3869</v>
      </c>
      <c r="G660" s="137"/>
      <c r="H660" s="82" t="str">
        <f t="shared" si="76"/>
        <v>TCCN-PTE-PSG-SAG-B02-SCE-</v>
      </c>
      <c r="I660" s="137" t="str">
        <f>MID(H660,1,(LEN(H660)-VLOOKUP(K660,datos!$B$2:$C$12,2,0)))</f>
        <v>TCCN-PTE-PSG-SAG-B02-SCE</v>
      </c>
      <c r="J660" s="137" t="s">
        <v>5684</v>
      </c>
      <c r="K660" s="139">
        <f>VLOOKUP(LEN(SUBSTITUTE(H660,"-","")),datos!$A$1:$B$12,2,0)</f>
        <v>6</v>
      </c>
      <c r="L660" s="137"/>
      <c r="M660" s="137" t="s">
        <v>0</v>
      </c>
    </row>
    <row r="661" spans="1:13" x14ac:dyDescent="0.35">
      <c r="A661" s="138" t="s">
        <v>487</v>
      </c>
      <c r="B661" s="138" t="s">
        <v>3809</v>
      </c>
      <c r="C661" s="138" t="s">
        <v>3913</v>
      </c>
      <c r="D661" s="138" t="s">
        <v>3914</v>
      </c>
      <c r="E661" s="138" t="s">
        <v>3949</v>
      </c>
      <c r="F661" s="138" t="s">
        <v>3869</v>
      </c>
      <c r="G661" s="138" t="s">
        <v>3870</v>
      </c>
      <c r="H661" s="81" t="str">
        <f t="shared" si="76"/>
        <v>TCCN-PTE-PSG-SAG-B02-SCE-BTN</v>
      </c>
      <c r="I661" s="138" t="str">
        <f>MID(H661,1,(LEN(H661)-VLOOKUP(K661,datos!$B$2:$C$12,2,0)))</f>
        <v>TCCN-PTE-PSG-SAG-B02-SCE-BTN</v>
      </c>
      <c r="J661" s="138" t="s">
        <v>5685</v>
      </c>
      <c r="K661" s="140">
        <f>VLOOKUP(LEN(SUBSTITUTE(H661,"-","")),datos!$A$1:$B$12,2,0)</f>
        <v>7</v>
      </c>
      <c r="L661" s="138"/>
      <c r="M661" s="138" t="s">
        <v>0</v>
      </c>
    </row>
    <row r="662" spans="1:13" customFormat="1" ht="14.5" x14ac:dyDescent="0.35">
      <c r="A662" s="129" t="s">
        <v>487</v>
      </c>
      <c r="B662" s="129" t="s">
        <v>3809</v>
      </c>
      <c r="C662" s="129" t="s">
        <v>3913</v>
      </c>
      <c r="D662" s="129" t="s">
        <v>3914</v>
      </c>
      <c r="E662" s="129" t="s">
        <v>4017</v>
      </c>
      <c r="F662" s="129"/>
      <c r="G662" s="129"/>
      <c r="H662" s="83" t="str">
        <f t="shared" si="76"/>
        <v>TCCN-PTE-PSG-SAG-B03--</v>
      </c>
      <c r="I662" s="129" t="str">
        <f>MID(H662,1,(LEN(H662)-VLOOKUP(K662,datos!$B$2:$C$12,2,0)))</f>
        <v>TCCN-PTE-PSG-SAG-B03</v>
      </c>
      <c r="J662" s="129" t="s">
        <v>7085</v>
      </c>
      <c r="K662" s="130">
        <f>VLOOKUP(LEN(SUBSTITUTE(H662,"-","")),datos!$A$1:$B$12,2,0)</f>
        <v>5</v>
      </c>
      <c r="L662" s="129" t="s">
        <v>7083</v>
      </c>
      <c r="M662" s="129" t="s">
        <v>0</v>
      </c>
    </row>
    <row r="663" spans="1:13" x14ac:dyDescent="0.35">
      <c r="A663" s="137" t="s">
        <v>487</v>
      </c>
      <c r="B663" s="137" t="s">
        <v>3809</v>
      </c>
      <c r="C663" s="137" t="s">
        <v>3913</v>
      </c>
      <c r="D663" s="137" t="s">
        <v>3914</v>
      </c>
      <c r="E663" s="137" t="s">
        <v>4017</v>
      </c>
      <c r="F663" s="137" t="s">
        <v>5106</v>
      </c>
      <c r="G663" s="137"/>
      <c r="H663" s="82" t="str">
        <f t="shared" ref="H663:H670" si="77">CONCATENATE(A663,"-",B663,"-",C663,"-",D663,"-",E663,"-",F663,"-",G663)</f>
        <v>TCCN-PTE-PSG-SAG-B03-PHU-</v>
      </c>
      <c r="I663" s="137" t="str">
        <f>MID(H663,1,(LEN(H663)-VLOOKUP(K663,datos!$B$2:$C$12,2,0)))</f>
        <v>TCCN-PTE-PSG-SAG-B03-PHU</v>
      </c>
      <c r="J663" s="137" t="s">
        <v>7086</v>
      </c>
      <c r="K663" s="139">
        <f>VLOOKUP(LEN(SUBSTITUTE(H663,"-","")),datos!$A$1:$B$12,2,0)</f>
        <v>6</v>
      </c>
      <c r="L663" s="137"/>
      <c r="M663" s="137" t="s">
        <v>0</v>
      </c>
    </row>
    <row r="664" spans="1:13" x14ac:dyDescent="0.35">
      <c r="A664" s="137" t="s">
        <v>487</v>
      </c>
      <c r="B664" s="137" t="s">
        <v>3809</v>
      </c>
      <c r="C664" s="137" t="s">
        <v>3913</v>
      </c>
      <c r="D664" s="137" t="s">
        <v>3914</v>
      </c>
      <c r="E664" s="137" t="s">
        <v>4017</v>
      </c>
      <c r="F664" s="137" t="s">
        <v>4073</v>
      </c>
      <c r="G664" s="137"/>
      <c r="H664" s="82" t="str">
        <f t="shared" si="77"/>
        <v>TCCN-PTE-PSG-SAG-B03-PYV-</v>
      </c>
      <c r="I664" s="137" t="str">
        <f>MID(H664,1,(LEN(H664)-VLOOKUP(K664,datos!$B$2:$C$12,2,0)))</f>
        <v>TCCN-PTE-PSG-SAG-B03-PYV</v>
      </c>
      <c r="J664" s="137" t="s">
        <v>7087</v>
      </c>
      <c r="K664" s="139">
        <f>VLOOKUP(LEN(SUBSTITUTE(H664,"-","")),datos!$A$1:$B$12,2,0)</f>
        <v>6</v>
      </c>
      <c r="L664" s="137"/>
      <c r="M664" s="137" t="s">
        <v>0</v>
      </c>
    </row>
    <row r="665" spans="1:13" x14ac:dyDescent="0.35">
      <c r="A665" s="137" t="s">
        <v>487</v>
      </c>
      <c r="B665" s="137" t="s">
        <v>3809</v>
      </c>
      <c r="C665" s="137" t="s">
        <v>3913</v>
      </c>
      <c r="D665" s="137" t="s">
        <v>3914</v>
      </c>
      <c r="E665" s="137" t="s">
        <v>4017</v>
      </c>
      <c r="F665" s="137" t="s">
        <v>3847</v>
      </c>
      <c r="G665" s="137"/>
      <c r="H665" s="82" t="str">
        <f t="shared" si="77"/>
        <v>TCCN-PTE-PSG-SAG-B03-SMO-</v>
      </c>
      <c r="I665" s="137" t="str">
        <f>MID(H665,1,(LEN(H665)-VLOOKUP(K665,datos!$B$2:$C$12,2,0)))</f>
        <v>TCCN-PTE-PSG-SAG-B03-SMO</v>
      </c>
      <c r="J665" s="137" t="s">
        <v>7088</v>
      </c>
      <c r="K665" s="139">
        <f>VLOOKUP(LEN(SUBSTITUTE(H665,"-","")),datos!$A$1:$B$12,2,0)</f>
        <v>6</v>
      </c>
      <c r="L665" s="137"/>
      <c r="M665" s="137" t="s">
        <v>0</v>
      </c>
    </row>
    <row r="666" spans="1:13" x14ac:dyDescent="0.35">
      <c r="A666" s="138" t="s">
        <v>487</v>
      </c>
      <c r="B666" s="138" t="s">
        <v>3809</v>
      </c>
      <c r="C666" s="138" t="s">
        <v>3913</v>
      </c>
      <c r="D666" s="138" t="s">
        <v>3914</v>
      </c>
      <c r="E666" s="138" t="s">
        <v>4017</v>
      </c>
      <c r="F666" s="138" t="s">
        <v>3847</v>
      </c>
      <c r="G666" s="138" t="s">
        <v>3819</v>
      </c>
      <c r="H666" s="81" t="str">
        <f t="shared" si="77"/>
        <v>TCCN-PTE-PSG-SAG-B03-SMO-MOE</v>
      </c>
      <c r="I666" s="138" t="str">
        <f>MID(H666,1,(LEN(H666)-VLOOKUP(K666,datos!$B$2:$C$12,2,0)))</f>
        <v>TCCN-PTE-PSG-SAG-B03-SMO-MOE</v>
      </c>
      <c r="J666" s="138" t="s">
        <v>7089</v>
      </c>
      <c r="K666" s="140">
        <f>VLOOKUP(LEN(SUBSTITUTE(H666,"-","")),datos!$A$1:$B$12,2,0)</f>
        <v>7</v>
      </c>
      <c r="L666" s="138" t="s">
        <v>7084</v>
      </c>
      <c r="M666" s="138" t="s">
        <v>0</v>
      </c>
    </row>
    <row r="667" spans="1:13" x14ac:dyDescent="0.35">
      <c r="A667" s="137" t="s">
        <v>487</v>
      </c>
      <c r="B667" s="137" t="s">
        <v>3809</v>
      </c>
      <c r="C667" s="137" t="s">
        <v>3913</v>
      </c>
      <c r="D667" s="137" t="s">
        <v>3914</v>
      </c>
      <c r="E667" s="137" t="s">
        <v>4017</v>
      </c>
      <c r="F667" s="137" t="s">
        <v>3831</v>
      </c>
      <c r="G667" s="137"/>
      <c r="H667" s="82" t="str">
        <f t="shared" si="77"/>
        <v>TCCN-PTE-PSG-SAG-B03-INS-</v>
      </c>
      <c r="I667" s="137" t="str">
        <f>MID(H667,1,(LEN(H667)-VLOOKUP(K667,datos!$B$2:$C$12,2,0)))</f>
        <v>TCCN-PTE-PSG-SAG-B03-INS</v>
      </c>
      <c r="J667" s="137" t="s">
        <v>7090</v>
      </c>
      <c r="K667" s="139">
        <f>VLOOKUP(LEN(SUBSTITUTE(H667,"-","")),datos!$A$1:$B$12,2,0)</f>
        <v>6</v>
      </c>
      <c r="L667" s="137"/>
      <c r="M667" s="137" t="s">
        <v>0</v>
      </c>
    </row>
    <row r="668" spans="1:13" x14ac:dyDescent="0.35">
      <c r="A668" s="137" t="s">
        <v>487</v>
      </c>
      <c r="B668" s="137" t="s">
        <v>3809</v>
      </c>
      <c r="C668" s="137" t="s">
        <v>3913</v>
      </c>
      <c r="D668" s="137" t="s">
        <v>3914</v>
      </c>
      <c r="E668" s="137" t="s">
        <v>4017</v>
      </c>
      <c r="F668" s="137" t="s">
        <v>3869</v>
      </c>
      <c r="G668" s="137"/>
      <c r="H668" s="82" t="str">
        <f t="shared" si="77"/>
        <v>TCCN-PTE-PSG-SAG-B03-SCE-</v>
      </c>
      <c r="I668" s="137" t="str">
        <f>MID(H668,1,(LEN(H668)-VLOOKUP(K668,datos!$B$2:$C$12,2,0)))</f>
        <v>TCCN-PTE-PSG-SAG-B03-SCE</v>
      </c>
      <c r="J668" s="137" t="s">
        <v>7091</v>
      </c>
      <c r="K668" s="139">
        <f>VLOOKUP(LEN(SUBSTITUTE(H668,"-","")),datos!$A$1:$B$12,2,0)</f>
        <v>6</v>
      </c>
      <c r="L668" s="137"/>
      <c r="M668" s="137" t="s">
        <v>0</v>
      </c>
    </row>
    <row r="669" spans="1:13" x14ac:dyDescent="0.35">
      <c r="A669" s="138" t="s">
        <v>487</v>
      </c>
      <c r="B669" s="138" t="s">
        <v>3809</v>
      </c>
      <c r="C669" s="138" t="s">
        <v>3913</v>
      </c>
      <c r="D669" s="138" t="s">
        <v>3914</v>
      </c>
      <c r="E669" s="138" t="s">
        <v>4017</v>
      </c>
      <c r="F669" s="138" t="s">
        <v>3869</v>
      </c>
      <c r="G669" s="138" t="s">
        <v>3870</v>
      </c>
      <c r="H669" s="81" t="str">
        <f t="shared" si="77"/>
        <v>TCCN-PTE-PSG-SAG-B03-SCE-BTN</v>
      </c>
      <c r="I669" s="138" t="str">
        <f>MID(H669,1,(LEN(H669)-VLOOKUP(K669,datos!$B$2:$C$12,2,0)))</f>
        <v>TCCN-PTE-PSG-SAG-B03-SCE-BTN</v>
      </c>
      <c r="J669" s="138" t="s">
        <v>7092</v>
      </c>
      <c r="K669" s="140">
        <f>VLOOKUP(LEN(SUBSTITUTE(H669,"-","")),datos!$A$1:$B$12,2,0)</f>
        <v>7</v>
      </c>
      <c r="L669" s="138"/>
      <c r="M669" s="138" t="s">
        <v>0</v>
      </c>
    </row>
    <row r="670" spans="1:13" customFormat="1" ht="14.5" x14ac:dyDescent="0.35">
      <c r="A670" s="129" t="s">
        <v>487</v>
      </c>
      <c r="B670" s="129" t="s">
        <v>3809</v>
      </c>
      <c r="C670" s="129" t="s">
        <v>3913</v>
      </c>
      <c r="D670" s="129" t="s">
        <v>3914</v>
      </c>
      <c r="E670" s="129" t="s">
        <v>4049</v>
      </c>
      <c r="F670" s="129"/>
      <c r="G670" s="129"/>
      <c r="H670" s="83" t="str">
        <f t="shared" si="77"/>
        <v>TCCN-PTE-PSG-SAG-B04--</v>
      </c>
      <c r="I670" s="129" t="str">
        <f>MID(H670,1,(LEN(H670)-VLOOKUP(K670,datos!$B$2:$C$12,2,0)))</f>
        <v>TCCN-PTE-PSG-SAG-B04</v>
      </c>
      <c r="J670" s="129" t="s">
        <v>7093</v>
      </c>
      <c r="K670" s="130">
        <f>VLOOKUP(LEN(SUBSTITUTE(H670,"-","")),datos!$A$1:$B$12,2,0)</f>
        <v>5</v>
      </c>
      <c r="L670" s="129" t="s">
        <v>7094</v>
      </c>
      <c r="M670" s="129" t="s">
        <v>0</v>
      </c>
    </row>
    <row r="671" spans="1:13" x14ac:dyDescent="0.35">
      <c r="A671" s="137" t="s">
        <v>487</v>
      </c>
      <c r="B671" s="137" t="s">
        <v>3809</v>
      </c>
      <c r="C671" s="137" t="s">
        <v>3913</v>
      </c>
      <c r="D671" s="137" t="s">
        <v>3914</v>
      </c>
      <c r="E671" s="137" t="s">
        <v>4049</v>
      </c>
      <c r="F671" s="137" t="s">
        <v>5106</v>
      </c>
      <c r="G671" s="137"/>
      <c r="H671" s="82" t="str">
        <f t="shared" ref="H671:H677" si="78">CONCATENATE(A671,"-",B671,"-",C671,"-",D671,"-",E671,"-",F671,"-",G671)</f>
        <v>TCCN-PTE-PSG-SAG-B04-PHU-</v>
      </c>
      <c r="I671" s="137" t="str">
        <f>MID(H671,1,(LEN(H671)-VLOOKUP(K671,datos!$B$2:$C$12,2,0)))</f>
        <v>TCCN-PTE-PSG-SAG-B04-PHU</v>
      </c>
      <c r="J671" s="137" t="s">
        <v>7096</v>
      </c>
      <c r="K671" s="139">
        <f>VLOOKUP(LEN(SUBSTITUTE(H671,"-","")),datos!$A$1:$B$12,2,0)</f>
        <v>6</v>
      </c>
      <c r="L671" s="137"/>
      <c r="M671" s="137" t="s">
        <v>0</v>
      </c>
    </row>
    <row r="672" spans="1:13" x14ac:dyDescent="0.35">
      <c r="A672" s="137" t="s">
        <v>487</v>
      </c>
      <c r="B672" s="137" t="s">
        <v>3809</v>
      </c>
      <c r="C672" s="137" t="s">
        <v>3913</v>
      </c>
      <c r="D672" s="137" t="s">
        <v>3914</v>
      </c>
      <c r="E672" s="137" t="s">
        <v>4049</v>
      </c>
      <c r="F672" s="137" t="s">
        <v>4073</v>
      </c>
      <c r="G672" s="137"/>
      <c r="H672" s="82" t="str">
        <f t="shared" si="78"/>
        <v>TCCN-PTE-PSG-SAG-B04-PYV-</v>
      </c>
      <c r="I672" s="137" t="str">
        <f>MID(H672,1,(LEN(H672)-VLOOKUP(K672,datos!$B$2:$C$12,2,0)))</f>
        <v>TCCN-PTE-PSG-SAG-B04-PYV</v>
      </c>
      <c r="J672" s="137" t="s">
        <v>7097</v>
      </c>
      <c r="K672" s="139">
        <f>VLOOKUP(LEN(SUBSTITUTE(H672,"-","")),datos!$A$1:$B$12,2,0)</f>
        <v>6</v>
      </c>
      <c r="L672" s="137"/>
      <c r="M672" s="137" t="s">
        <v>0</v>
      </c>
    </row>
    <row r="673" spans="1:13" x14ac:dyDescent="0.35">
      <c r="A673" s="137" t="s">
        <v>487</v>
      </c>
      <c r="B673" s="137" t="s">
        <v>3809</v>
      </c>
      <c r="C673" s="137" t="s">
        <v>3913</v>
      </c>
      <c r="D673" s="137" t="s">
        <v>3914</v>
      </c>
      <c r="E673" s="137" t="s">
        <v>4049</v>
      </c>
      <c r="F673" s="137" t="s">
        <v>3847</v>
      </c>
      <c r="G673" s="137"/>
      <c r="H673" s="82" t="str">
        <f t="shared" si="78"/>
        <v>TCCN-PTE-PSG-SAG-B04-SMO-</v>
      </c>
      <c r="I673" s="137" t="str">
        <f>MID(H673,1,(LEN(H673)-VLOOKUP(K673,datos!$B$2:$C$12,2,0)))</f>
        <v>TCCN-PTE-PSG-SAG-B04-SMO</v>
      </c>
      <c r="J673" s="137" t="s">
        <v>7098</v>
      </c>
      <c r="K673" s="139">
        <f>VLOOKUP(LEN(SUBSTITUTE(H673,"-","")),datos!$A$1:$B$12,2,0)</f>
        <v>6</v>
      </c>
      <c r="L673" s="137"/>
      <c r="M673" s="137" t="s">
        <v>0</v>
      </c>
    </row>
    <row r="674" spans="1:13" x14ac:dyDescent="0.35">
      <c r="A674" s="138" t="s">
        <v>487</v>
      </c>
      <c r="B674" s="138" t="s">
        <v>3809</v>
      </c>
      <c r="C674" s="138" t="s">
        <v>3913</v>
      </c>
      <c r="D674" s="138" t="s">
        <v>3914</v>
      </c>
      <c r="E674" s="138" t="s">
        <v>4049</v>
      </c>
      <c r="F674" s="138" t="s">
        <v>3847</v>
      </c>
      <c r="G674" s="138" t="s">
        <v>3819</v>
      </c>
      <c r="H674" s="81" t="str">
        <f t="shared" si="78"/>
        <v>TCCN-PTE-PSG-SAG-B04-SMO-MOE</v>
      </c>
      <c r="I674" s="138" t="str">
        <f>MID(H674,1,(LEN(H674)-VLOOKUP(K674,datos!$B$2:$C$12,2,0)))</f>
        <v>TCCN-PTE-PSG-SAG-B04-SMO-MOE</v>
      </c>
      <c r="J674" s="138" t="s">
        <v>7099</v>
      </c>
      <c r="K674" s="140">
        <f>VLOOKUP(LEN(SUBSTITUTE(H674,"-","")),datos!$A$1:$B$12,2,0)</f>
        <v>7</v>
      </c>
      <c r="L674" s="138" t="s">
        <v>7095</v>
      </c>
      <c r="M674" s="138" t="s">
        <v>0</v>
      </c>
    </row>
    <row r="675" spans="1:13" x14ac:dyDescent="0.35">
      <c r="A675" s="137" t="s">
        <v>487</v>
      </c>
      <c r="B675" s="137" t="s">
        <v>3809</v>
      </c>
      <c r="C675" s="137" t="s">
        <v>3913</v>
      </c>
      <c r="D675" s="137" t="s">
        <v>3914</v>
      </c>
      <c r="E675" s="137" t="s">
        <v>4049</v>
      </c>
      <c r="F675" s="137" t="s">
        <v>3831</v>
      </c>
      <c r="G675" s="137"/>
      <c r="H675" s="82" t="str">
        <f t="shared" si="78"/>
        <v>TCCN-PTE-PSG-SAG-B04-INS-</v>
      </c>
      <c r="I675" s="137" t="str">
        <f>MID(H675,1,(LEN(H675)-VLOOKUP(K675,datos!$B$2:$C$12,2,0)))</f>
        <v>TCCN-PTE-PSG-SAG-B04-INS</v>
      </c>
      <c r="J675" s="137" t="s">
        <v>7100</v>
      </c>
      <c r="K675" s="139">
        <f>VLOOKUP(LEN(SUBSTITUTE(H675,"-","")),datos!$A$1:$B$12,2,0)</f>
        <v>6</v>
      </c>
      <c r="L675" s="137"/>
      <c r="M675" s="137" t="s">
        <v>0</v>
      </c>
    </row>
    <row r="676" spans="1:13" x14ac:dyDescent="0.35">
      <c r="A676" s="137" t="s">
        <v>487</v>
      </c>
      <c r="B676" s="137" t="s">
        <v>3809</v>
      </c>
      <c r="C676" s="137" t="s">
        <v>3913</v>
      </c>
      <c r="D676" s="137" t="s">
        <v>3914</v>
      </c>
      <c r="E676" s="137" t="s">
        <v>4049</v>
      </c>
      <c r="F676" s="137" t="s">
        <v>3869</v>
      </c>
      <c r="G676" s="137"/>
      <c r="H676" s="82" t="str">
        <f t="shared" si="78"/>
        <v>TCCN-PTE-PSG-SAG-B04-SCE-</v>
      </c>
      <c r="I676" s="137" t="str">
        <f>MID(H676,1,(LEN(H676)-VLOOKUP(K676,datos!$B$2:$C$12,2,0)))</f>
        <v>TCCN-PTE-PSG-SAG-B04-SCE</v>
      </c>
      <c r="J676" s="137" t="s">
        <v>7101</v>
      </c>
      <c r="K676" s="139">
        <f>VLOOKUP(LEN(SUBSTITUTE(H676,"-","")),datos!$A$1:$B$12,2,0)</f>
        <v>6</v>
      </c>
      <c r="L676" s="137"/>
      <c r="M676" s="137" t="s">
        <v>0</v>
      </c>
    </row>
    <row r="677" spans="1:13" x14ac:dyDescent="0.35">
      <c r="A677" s="138" t="s">
        <v>487</v>
      </c>
      <c r="B677" s="138" t="s">
        <v>3809</v>
      </c>
      <c r="C677" s="138" t="s">
        <v>3913</v>
      </c>
      <c r="D677" s="138" t="s">
        <v>3914</v>
      </c>
      <c r="E677" s="138" t="s">
        <v>4049</v>
      </c>
      <c r="F677" s="138" t="s">
        <v>3869</v>
      </c>
      <c r="G677" s="138" t="s">
        <v>3870</v>
      </c>
      <c r="H677" s="81" t="str">
        <f t="shared" si="78"/>
        <v>TCCN-PTE-PSG-SAG-B04-SCE-BTN</v>
      </c>
      <c r="I677" s="138" t="str">
        <f>MID(H677,1,(LEN(H677)-VLOOKUP(K677,datos!$B$2:$C$12,2,0)))</f>
        <v>TCCN-PTE-PSG-SAG-B04-SCE-BTN</v>
      </c>
      <c r="J677" s="138" t="s">
        <v>7102</v>
      </c>
      <c r="K677" s="140">
        <f>VLOOKUP(LEN(SUBSTITUTE(H677,"-","")),datos!$A$1:$B$12,2,0)</f>
        <v>7</v>
      </c>
      <c r="L677" s="138"/>
      <c r="M677" s="138" t="s">
        <v>0</v>
      </c>
    </row>
    <row r="678" spans="1:13" customFormat="1" ht="14.5" x14ac:dyDescent="0.35">
      <c r="A678" s="129" t="s">
        <v>487</v>
      </c>
      <c r="B678" s="129" t="s">
        <v>3809</v>
      </c>
      <c r="C678" s="129" t="s">
        <v>3913</v>
      </c>
      <c r="D678" s="129" t="s">
        <v>3914</v>
      </c>
      <c r="E678" s="129" t="s">
        <v>3985</v>
      </c>
      <c r="F678" s="129"/>
      <c r="G678" s="129"/>
      <c r="H678" s="83" t="str">
        <f t="shared" ref="H678" si="79">CONCATENATE(A678,"-",B678,"-",C678,"-",D678,"-",E678,"-",F678,"-",G678)</f>
        <v>TCCN-PTE-PSG-SAG-CA1--</v>
      </c>
      <c r="I678" s="129" t="str">
        <f>MID(H678,1,(LEN(H678)-VLOOKUP(K678,datos!$B$2:$C$12,2,0)))</f>
        <v>TCCN-PTE-PSG-SAG-CA1</v>
      </c>
      <c r="J678" s="129" t="s">
        <v>5526</v>
      </c>
      <c r="K678" s="130">
        <f>VLOOKUP(LEN(SUBSTITUTE(H678,"-","")),datos!$A$1:$B$12,2,0)</f>
        <v>5</v>
      </c>
      <c r="L678" s="129" t="s">
        <v>5527</v>
      </c>
      <c r="M678" s="129" t="s">
        <v>0</v>
      </c>
    </row>
    <row r="679" spans="1:13" x14ac:dyDescent="0.35">
      <c r="A679" s="137" t="s">
        <v>487</v>
      </c>
      <c r="B679" s="137" t="s">
        <v>3809</v>
      </c>
      <c r="C679" s="137" t="s">
        <v>3913</v>
      </c>
      <c r="D679" s="137" t="s">
        <v>3914</v>
      </c>
      <c r="E679" s="137" t="s">
        <v>3985</v>
      </c>
      <c r="F679" s="137" t="s">
        <v>4073</v>
      </c>
      <c r="G679" s="137"/>
      <c r="H679" s="82" t="str">
        <f t="shared" ref="H679:H685" si="80">CONCATENATE(A679,"-",B679,"-",C679,"-",D679,"-",E679,"-",F679,"-",G679)</f>
        <v>TCCN-PTE-PSG-SAG-CA1-PYV-</v>
      </c>
      <c r="I679" s="137" t="str">
        <f>MID(H679,1,(LEN(H679)-VLOOKUP(K679,datos!$B$2:$C$12,2,0)))</f>
        <v>TCCN-PTE-PSG-SAG-CA1-PYV</v>
      </c>
      <c r="J679" s="137" t="s">
        <v>8001</v>
      </c>
      <c r="K679" s="139">
        <f>VLOOKUP(LEN(SUBSTITUTE(H679,"-","")),datos!$A$1:$B$12,2,0)</f>
        <v>6</v>
      </c>
      <c r="L679" s="137"/>
      <c r="M679" s="137" t="s">
        <v>0</v>
      </c>
    </row>
    <row r="680" spans="1:13" x14ac:dyDescent="0.35">
      <c r="A680" s="138" t="s">
        <v>487</v>
      </c>
      <c r="B680" s="138" t="s">
        <v>3809</v>
      </c>
      <c r="C680" s="138" t="s">
        <v>3913</v>
      </c>
      <c r="D680" s="138" t="s">
        <v>3914</v>
      </c>
      <c r="E680" s="138" t="s">
        <v>3985</v>
      </c>
      <c r="F680" s="138" t="s">
        <v>4073</v>
      </c>
      <c r="G680" s="138" t="s">
        <v>3986</v>
      </c>
      <c r="H680" s="81" t="str">
        <f t="shared" si="80"/>
        <v>TCCN-PTE-PSG-SAG-CA1-PYV-VV1</v>
      </c>
      <c r="I680" s="138" t="str">
        <f>MID(H680,1,(LEN(H680)-VLOOKUP(K680,datos!$B$2:$C$12,2,0)))</f>
        <v>TCCN-PTE-PSG-SAG-CA1-PYV-VV1</v>
      </c>
      <c r="J680" s="138" t="s">
        <v>7204</v>
      </c>
      <c r="K680" s="140">
        <f>VLOOKUP(LEN(SUBSTITUTE(H680,"-","")),datos!$A$1:$B$12,2,0)</f>
        <v>7</v>
      </c>
      <c r="L680" s="138" t="s">
        <v>5743</v>
      </c>
      <c r="M680" s="138" t="s">
        <v>0</v>
      </c>
    </row>
    <row r="681" spans="1:13" x14ac:dyDescent="0.35">
      <c r="A681" s="138" t="s">
        <v>487</v>
      </c>
      <c r="B681" s="138" t="s">
        <v>3809</v>
      </c>
      <c r="C681" s="138" t="s">
        <v>3913</v>
      </c>
      <c r="D681" s="138" t="s">
        <v>3914</v>
      </c>
      <c r="E681" s="138" t="s">
        <v>3985</v>
      </c>
      <c r="F681" s="138" t="s">
        <v>4073</v>
      </c>
      <c r="G681" s="138" t="s">
        <v>3987</v>
      </c>
      <c r="H681" s="81" t="str">
        <f t="shared" si="80"/>
        <v>TCCN-PTE-PSG-SAG-CA1-PYV-VV2</v>
      </c>
      <c r="I681" s="138" t="str">
        <f>MID(H681,1,(LEN(H681)-VLOOKUP(K681,datos!$B$2:$C$12,2,0)))</f>
        <v>TCCN-PTE-PSG-SAG-CA1-PYV-VV2</v>
      </c>
      <c r="J681" s="138" t="s">
        <v>7205</v>
      </c>
      <c r="K681" s="140">
        <f>VLOOKUP(LEN(SUBSTITUTE(H681,"-","")),datos!$A$1:$B$12,2,0)</f>
        <v>7</v>
      </c>
      <c r="L681" s="138" t="s">
        <v>7202</v>
      </c>
      <c r="M681" s="138" t="s">
        <v>0</v>
      </c>
    </row>
    <row r="682" spans="1:13" x14ac:dyDescent="0.35">
      <c r="A682" s="138" t="s">
        <v>487</v>
      </c>
      <c r="B682" s="138" t="s">
        <v>3809</v>
      </c>
      <c r="C682" s="138" t="s">
        <v>3913</v>
      </c>
      <c r="D682" s="138" t="s">
        <v>3914</v>
      </c>
      <c r="E682" s="138" t="s">
        <v>3985</v>
      </c>
      <c r="F682" s="138" t="s">
        <v>4073</v>
      </c>
      <c r="G682" s="138" t="s">
        <v>4065</v>
      </c>
      <c r="H682" s="81" t="str">
        <f t="shared" si="80"/>
        <v>TCCN-PTE-PSG-SAG-CA1-PYV-VV3</v>
      </c>
      <c r="I682" s="138" t="str">
        <f>MID(H682,1,(LEN(H682)-VLOOKUP(K682,datos!$B$2:$C$12,2,0)))</f>
        <v>TCCN-PTE-PSG-SAG-CA1-PYV-VV3</v>
      </c>
      <c r="J682" s="138" t="s">
        <v>7206</v>
      </c>
      <c r="K682" s="140">
        <f>VLOOKUP(LEN(SUBSTITUTE(H682,"-","")),datos!$A$1:$B$12,2,0)</f>
        <v>7</v>
      </c>
      <c r="L682" s="138" t="s">
        <v>7207</v>
      </c>
      <c r="M682" s="138" t="s">
        <v>0</v>
      </c>
    </row>
    <row r="683" spans="1:13" x14ac:dyDescent="0.35">
      <c r="A683" s="138" t="s">
        <v>487</v>
      </c>
      <c r="B683" s="138" t="s">
        <v>3809</v>
      </c>
      <c r="C683" s="138" t="s">
        <v>3913</v>
      </c>
      <c r="D683" s="138" t="s">
        <v>3914</v>
      </c>
      <c r="E683" s="138" t="s">
        <v>3985</v>
      </c>
      <c r="F683" s="138" t="s">
        <v>4073</v>
      </c>
      <c r="G683" s="138" t="s">
        <v>5554</v>
      </c>
      <c r="H683" s="81" t="str">
        <f t="shared" si="80"/>
        <v>TCCN-PTE-PSG-SAG-CA1-PYV-VV4</v>
      </c>
      <c r="I683" s="138" t="str">
        <f>MID(H683,1,(LEN(H683)-VLOOKUP(K683,datos!$B$2:$C$12,2,0)))</f>
        <v>TCCN-PTE-PSG-SAG-CA1-PYV-VV4</v>
      </c>
      <c r="J683" s="138" t="s">
        <v>7209</v>
      </c>
      <c r="K683" s="140">
        <f>VLOOKUP(LEN(SUBSTITUTE(H683,"-","")),datos!$A$1:$B$12,2,0)</f>
        <v>7</v>
      </c>
      <c r="L683" s="138" t="s">
        <v>5744</v>
      </c>
      <c r="M683" s="138" t="s">
        <v>0</v>
      </c>
    </row>
    <row r="684" spans="1:13" x14ac:dyDescent="0.35">
      <c r="A684" s="138" t="s">
        <v>487</v>
      </c>
      <c r="B684" s="138" t="s">
        <v>3809</v>
      </c>
      <c r="C684" s="138" t="s">
        <v>3913</v>
      </c>
      <c r="D684" s="138" t="s">
        <v>3914</v>
      </c>
      <c r="E684" s="138" t="s">
        <v>3985</v>
      </c>
      <c r="F684" s="138" t="s">
        <v>4073</v>
      </c>
      <c r="G684" s="138" t="s">
        <v>5555</v>
      </c>
      <c r="H684" s="81" t="str">
        <f t="shared" si="80"/>
        <v>TCCN-PTE-PSG-SAG-CA1-PYV-VV5</v>
      </c>
      <c r="I684" s="138" t="str">
        <f>MID(H684,1,(LEN(H684)-VLOOKUP(K684,datos!$B$2:$C$12,2,0)))</f>
        <v>TCCN-PTE-PSG-SAG-CA1-PYV-VV5</v>
      </c>
      <c r="J684" s="138" t="s">
        <v>7210</v>
      </c>
      <c r="K684" s="140">
        <f>VLOOKUP(LEN(SUBSTITUTE(H684,"-","")),datos!$A$1:$B$12,2,0)</f>
        <v>7</v>
      </c>
      <c r="L684" s="138" t="s">
        <v>5745</v>
      </c>
      <c r="M684" s="138" t="s">
        <v>0</v>
      </c>
    </row>
    <row r="685" spans="1:13" x14ac:dyDescent="0.35">
      <c r="A685" s="138" t="s">
        <v>487</v>
      </c>
      <c r="B685" s="138" t="s">
        <v>3809</v>
      </c>
      <c r="C685" s="138" t="s">
        <v>3913</v>
      </c>
      <c r="D685" s="138" t="s">
        <v>3914</v>
      </c>
      <c r="E685" s="138" t="s">
        <v>3985</v>
      </c>
      <c r="F685" s="138" t="s">
        <v>4073</v>
      </c>
      <c r="G685" s="138" t="s">
        <v>5556</v>
      </c>
      <c r="H685" s="81" t="str">
        <f t="shared" si="80"/>
        <v>TCCN-PTE-PSG-SAG-CA1-PYV-VV6</v>
      </c>
      <c r="I685" s="138" t="str">
        <f>MID(H685,1,(LEN(H685)-VLOOKUP(K685,datos!$B$2:$C$12,2,0)))</f>
        <v>TCCN-PTE-PSG-SAG-CA1-PYV-VV6</v>
      </c>
      <c r="J685" s="138" t="s">
        <v>7211</v>
      </c>
      <c r="K685" s="140">
        <f>VLOOKUP(LEN(SUBSTITUTE(H685,"-","")),datos!$A$1:$B$12,2,0)</f>
        <v>7</v>
      </c>
      <c r="L685" s="138" t="s">
        <v>7208</v>
      </c>
      <c r="M685" s="138" t="s">
        <v>0</v>
      </c>
    </row>
    <row r="686" spans="1:13" customFormat="1" ht="14.5" x14ac:dyDescent="0.35">
      <c r="A686" s="129" t="s">
        <v>487</v>
      </c>
      <c r="B686" s="129" t="s">
        <v>3809</v>
      </c>
      <c r="C686" s="129" t="s">
        <v>3913</v>
      </c>
      <c r="D686" s="129" t="s">
        <v>3914</v>
      </c>
      <c r="E686" s="129" t="s">
        <v>4014</v>
      </c>
      <c r="F686" s="129"/>
      <c r="G686" s="129"/>
      <c r="H686" s="83" t="str">
        <f t="shared" ref="H686:H689" si="81">CONCATENATE(A686,"-",B686,"-",C686,"-",D686,"-",E686,"-",F686,"-",G686)</f>
        <v>TCCN-PTE-PSG-SAG-CA2--</v>
      </c>
      <c r="I686" s="129" t="str">
        <f>MID(H686,1,(LEN(H686)-VLOOKUP(K686,datos!$B$2:$C$12,2,0)))</f>
        <v>TCCN-PTE-PSG-SAG-CA2</v>
      </c>
      <c r="J686" s="129" t="s">
        <v>5528</v>
      </c>
      <c r="K686" s="130">
        <f>VLOOKUP(LEN(SUBSTITUTE(H686,"-","")),datos!$A$1:$B$12,2,0)</f>
        <v>5</v>
      </c>
      <c r="L686" s="129" t="s">
        <v>5530</v>
      </c>
      <c r="M686" s="129" t="s">
        <v>0</v>
      </c>
    </row>
    <row r="687" spans="1:13" x14ac:dyDescent="0.35">
      <c r="A687" s="137" t="s">
        <v>487</v>
      </c>
      <c r="B687" s="137" t="s">
        <v>3809</v>
      </c>
      <c r="C687" s="137" t="s">
        <v>3913</v>
      </c>
      <c r="D687" s="137" t="s">
        <v>3914</v>
      </c>
      <c r="E687" s="137" t="s">
        <v>4014</v>
      </c>
      <c r="F687" s="137" t="s">
        <v>4073</v>
      </c>
      <c r="G687" s="137"/>
      <c r="H687" s="82" t="str">
        <f>CONCATENATE(A687,"-",B687,"-",C687,"-",D687,"-",E687,"-",F687,"-",G687)</f>
        <v>TCCN-PTE-PSG-SAG-CA2-PYV-</v>
      </c>
      <c r="I687" s="137" t="str">
        <f>MID(H687,1,(LEN(H687)-VLOOKUP(K687,datos!$B$2:$C$12,2,0)))</f>
        <v>TCCN-PTE-PSG-SAG-CA2-PYV</v>
      </c>
      <c r="J687" s="137" t="s">
        <v>7203</v>
      </c>
      <c r="K687" s="139">
        <f>VLOOKUP(LEN(SUBSTITUTE(H687,"-","")),datos!$A$1:$B$12,2,0)</f>
        <v>6</v>
      </c>
      <c r="L687" s="137"/>
      <c r="M687" s="137" t="s">
        <v>0</v>
      </c>
    </row>
    <row r="688" spans="1:13" x14ac:dyDescent="0.35">
      <c r="A688" s="138" t="s">
        <v>487</v>
      </c>
      <c r="B688" s="138" t="s">
        <v>3809</v>
      </c>
      <c r="C688" s="138" t="s">
        <v>3913</v>
      </c>
      <c r="D688" s="138" t="s">
        <v>3914</v>
      </c>
      <c r="E688" s="138" t="s">
        <v>4014</v>
      </c>
      <c r="F688" s="138" t="s">
        <v>4073</v>
      </c>
      <c r="G688" s="138" t="s">
        <v>4075</v>
      </c>
      <c r="H688" s="81" t="str">
        <f>CONCATENATE(A688,"-",B688,"-",C688,"-",D688,"-",E688,"-",F688,"-",G688)</f>
        <v>TCCN-PTE-PSG-SAG-CA2-PYV-VVA</v>
      </c>
      <c r="I688" s="138" t="str">
        <f>MID(H688,1,(LEN(H688)-VLOOKUP(K688,datos!$B$2:$C$12,2,0)))</f>
        <v>TCCN-PTE-PSG-SAG-CA2-PYV-VVA</v>
      </c>
      <c r="J688" s="138" t="s">
        <v>7212</v>
      </c>
      <c r="K688" s="140">
        <f>VLOOKUP(LEN(SUBSTITUTE(H688,"-","")),datos!$A$1:$B$12,2,0)</f>
        <v>7</v>
      </c>
      <c r="L688" s="138" t="s">
        <v>5752</v>
      </c>
      <c r="M688" s="138" t="s">
        <v>0</v>
      </c>
    </row>
    <row r="689" spans="1:13" customFormat="1" ht="14.5" x14ac:dyDescent="0.35">
      <c r="A689" s="129" t="s">
        <v>487</v>
      </c>
      <c r="B689" s="129" t="s">
        <v>3809</v>
      </c>
      <c r="C689" s="129" t="s">
        <v>3913</v>
      </c>
      <c r="D689" s="129" t="s">
        <v>3914</v>
      </c>
      <c r="E689" s="129" t="s">
        <v>4015</v>
      </c>
      <c r="F689" s="129"/>
      <c r="G689" s="129"/>
      <c r="H689" s="83" t="str">
        <f t="shared" si="81"/>
        <v>TCCN-PTE-PSG-SAG-CA3--</v>
      </c>
      <c r="I689" s="129" t="str">
        <f>MID(H689,1,(LEN(H689)-VLOOKUP(K689,datos!$B$2:$C$12,2,0)))</f>
        <v>TCCN-PTE-PSG-SAG-CA3</v>
      </c>
      <c r="J689" s="129" t="s">
        <v>5529</v>
      </c>
      <c r="K689" s="130">
        <f>VLOOKUP(LEN(SUBSTITUTE(H689,"-","")),datos!$A$1:$B$12,2,0)</f>
        <v>5</v>
      </c>
      <c r="L689" s="129" t="s">
        <v>5531</v>
      </c>
      <c r="M689" s="129" t="s">
        <v>0</v>
      </c>
    </row>
    <row r="690" spans="1:13" x14ac:dyDescent="0.35">
      <c r="A690" s="137" t="s">
        <v>487</v>
      </c>
      <c r="B690" s="137" t="s">
        <v>3809</v>
      </c>
      <c r="C690" s="137" t="s">
        <v>3913</v>
      </c>
      <c r="D690" s="137" t="s">
        <v>3914</v>
      </c>
      <c r="E690" s="137" t="s">
        <v>4015</v>
      </c>
      <c r="F690" s="137" t="s">
        <v>4073</v>
      </c>
      <c r="G690" s="137"/>
      <c r="H690" s="82" t="str">
        <f>CONCATENATE(A690,"-",B690,"-",C690,"-",D690,"-",E690,"-",F690,"-",G690)</f>
        <v>TCCN-PTE-PSG-SAG-CA3-PYV-</v>
      </c>
      <c r="I690" s="137" t="str">
        <f>MID(H690,1,(LEN(H690)-VLOOKUP(K690,datos!$B$2:$C$12,2,0)))</f>
        <v>TCCN-PTE-PSG-SAG-CA3-PYV</v>
      </c>
      <c r="J690" s="137" t="s">
        <v>7214</v>
      </c>
      <c r="K690" s="139">
        <f>VLOOKUP(LEN(SUBSTITUTE(H690,"-","")),datos!$A$1:$B$12,2,0)</f>
        <v>6</v>
      </c>
      <c r="L690" s="137"/>
      <c r="M690" s="137" t="s">
        <v>0</v>
      </c>
    </row>
    <row r="691" spans="1:13" x14ac:dyDescent="0.35">
      <c r="A691" s="138" t="s">
        <v>487</v>
      </c>
      <c r="B691" s="138" t="s">
        <v>3809</v>
      </c>
      <c r="C691" s="138" t="s">
        <v>3913</v>
      </c>
      <c r="D691" s="138" t="s">
        <v>3914</v>
      </c>
      <c r="E691" s="138" t="s">
        <v>4015</v>
      </c>
      <c r="F691" s="138" t="s">
        <v>4073</v>
      </c>
      <c r="G691" s="138" t="s">
        <v>4075</v>
      </c>
      <c r="H691" s="81" t="str">
        <f>CONCATENATE(A691,"-",B691,"-",C691,"-",D691,"-",E691,"-",F691,"-",G691)</f>
        <v>TCCN-PTE-PSG-SAG-CA3-PYV-VVA</v>
      </c>
      <c r="I691" s="138" t="str">
        <f>MID(H691,1,(LEN(H691)-VLOOKUP(K691,datos!$B$2:$C$12,2,0)))</f>
        <v>TCCN-PTE-PSG-SAG-CA3-PYV-VVA</v>
      </c>
      <c r="J691" s="138" t="s">
        <v>7213</v>
      </c>
      <c r="K691" s="140">
        <f>VLOOKUP(LEN(SUBSTITUTE(H691,"-","")),datos!$A$1:$B$12,2,0)</f>
        <v>7</v>
      </c>
      <c r="L691" s="138" t="s">
        <v>5753</v>
      </c>
      <c r="M691" s="138" t="s">
        <v>0</v>
      </c>
    </row>
    <row r="692" spans="1:13" customFormat="1" ht="14.5" x14ac:dyDescent="0.35">
      <c r="A692" s="129" t="s">
        <v>487</v>
      </c>
      <c r="B692" s="129" t="s">
        <v>3809</v>
      </c>
      <c r="C692" s="129" t="s">
        <v>3913</v>
      </c>
      <c r="D692" s="129" t="s">
        <v>3914</v>
      </c>
      <c r="E692" s="129" t="s">
        <v>4045</v>
      </c>
      <c r="F692" s="129"/>
      <c r="G692" s="129"/>
      <c r="H692" s="83" t="str">
        <f t="shared" si="76"/>
        <v>TCCN-PTE-PSG-SAG-UH1--</v>
      </c>
      <c r="I692" s="129" t="str">
        <f>MID(H692,1,(LEN(H692)-VLOOKUP(K692,datos!$B$2:$C$12,2,0)))</f>
        <v>TCCN-PTE-PSG-SAG-UH1</v>
      </c>
      <c r="J692" s="129" t="s">
        <v>4962</v>
      </c>
      <c r="K692" s="130">
        <f>VLOOKUP(LEN(SUBSTITUTE(H692,"-","")),datos!$A$1:$B$12,2,0)</f>
        <v>5</v>
      </c>
      <c r="L692" s="129" t="s">
        <v>4959</v>
      </c>
      <c r="M692" s="129" t="s">
        <v>0</v>
      </c>
    </row>
    <row r="693" spans="1:13" x14ac:dyDescent="0.35">
      <c r="A693" s="137" t="s">
        <v>487</v>
      </c>
      <c r="B693" s="137" t="s">
        <v>3809</v>
      </c>
      <c r="C693" s="137" t="s">
        <v>3913</v>
      </c>
      <c r="D693" s="137" t="s">
        <v>3914</v>
      </c>
      <c r="E693" s="137" t="s">
        <v>4045</v>
      </c>
      <c r="F693" s="137" t="s">
        <v>3816</v>
      </c>
      <c r="G693" s="137"/>
      <c r="H693" s="82" t="str">
        <f t="shared" si="76"/>
        <v>TCCN-PTE-PSG-SAG-UH1-SHI-</v>
      </c>
      <c r="I693" s="137" t="str">
        <f>MID(H693,1,(LEN(H693)-VLOOKUP(K693,datos!$B$2:$C$12,2,0)))</f>
        <v>TCCN-PTE-PSG-SAG-UH1-SHI</v>
      </c>
      <c r="J693" s="137" t="s">
        <v>5746</v>
      </c>
      <c r="K693" s="139">
        <f>VLOOKUP(LEN(SUBSTITUTE(H693,"-","")),datos!$A$1:$B$12,2,0)</f>
        <v>6</v>
      </c>
      <c r="L693" s="137"/>
      <c r="M693" s="137" t="s">
        <v>0</v>
      </c>
    </row>
    <row r="694" spans="1:13" x14ac:dyDescent="0.35">
      <c r="A694" s="138" t="s">
        <v>487</v>
      </c>
      <c r="B694" s="138" t="s">
        <v>3809</v>
      </c>
      <c r="C694" s="138" t="s">
        <v>3913</v>
      </c>
      <c r="D694" s="138" t="s">
        <v>3914</v>
      </c>
      <c r="E694" s="138" t="s">
        <v>4045</v>
      </c>
      <c r="F694" s="138" t="s">
        <v>3816</v>
      </c>
      <c r="G694" s="138" t="s">
        <v>3818</v>
      </c>
      <c r="H694" s="81" t="str">
        <f t="shared" si="76"/>
        <v>TCCN-PTE-PSG-SAG-UH1-SHI-BBA</v>
      </c>
      <c r="I694" s="138" t="str">
        <f>MID(H694,1,(LEN(H694)-VLOOKUP(K694,datos!$B$2:$C$12,2,0)))</f>
        <v>TCCN-PTE-PSG-SAG-UH1-SHI-BBA</v>
      </c>
      <c r="J694" s="138" t="s">
        <v>5747</v>
      </c>
      <c r="K694" s="140">
        <f>VLOOKUP(LEN(SUBSTITUTE(H694,"-","")),datos!$A$1:$B$12,2,0)</f>
        <v>7</v>
      </c>
      <c r="L694" s="138"/>
      <c r="M694" s="138" t="s">
        <v>0</v>
      </c>
    </row>
    <row r="695" spans="1:13" x14ac:dyDescent="0.35">
      <c r="A695" s="138" t="s">
        <v>487</v>
      </c>
      <c r="B695" s="138" t="s">
        <v>3809</v>
      </c>
      <c r="C695" s="138" t="s">
        <v>3913</v>
      </c>
      <c r="D695" s="138" t="s">
        <v>3914</v>
      </c>
      <c r="E695" s="138" t="s">
        <v>4045</v>
      </c>
      <c r="F695" s="138" t="s">
        <v>3816</v>
      </c>
      <c r="G695" s="138" t="s">
        <v>4095</v>
      </c>
      <c r="H695" s="81" t="str">
        <f t="shared" si="76"/>
        <v>TCCN-PTE-PSG-SAG-UH1-SHI-ACU</v>
      </c>
      <c r="I695" s="138" t="str">
        <f>MID(H695,1,(LEN(H695)-VLOOKUP(K695,datos!$B$2:$C$12,2,0)))</f>
        <v>TCCN-PTE-PSG-SAG-UH1-SHI-ACU</v>
      </c>
      <c r="J695" s="138" t="s">
        <v>5748</v>
      </c>
      <c r="K695" s="140">
        <f>VLOOKUP(LEN(SUBSTITUTE(H695,"-","")),datos!$A$1:$B$12,2,0)</f>
        <v>7</v>
      </c>
      <c r="L695" s="138"/>
      <c r="M695" s="138" t="s">
        <v>0</v>
      </c>
    </row>
    <row r="696" spans="1:13" x14ac:dyDescent="0.35">
      <c r="A696" s="138" t="s">
        <v>487</v>
      </c>
      <c r="B696" s="138" t="s">
        <v>3809</v>
      </c>
      <c r="C696" s="138" t="s">
        <v>3913</v>
      </c>
      <c r="D696" s="138" t="s">
        <v>3914</v>
      </c>
      <c r="E696" s="138" t="s">
        <v>4045</v>
      </c>
      <c r="F696" s="138" t="s">
        <v>3816</v>
      </c>
      <c r="G696" s="138" t="s">
        <v>3853</v>
      </c>
      <c r="H696" s="81" t="str">
        <f t="shared" si="76"/>
        <v>TCCN-PTE-PSG-SAG-UH1-SHI-EST</v>
      </c>
      <c r="I696" s="138" t="str">
        <f>MID(H696,1,(LEN(H696)-VLOOKUP(K696,datos!$B$2:$C$12,2,0)))</f>
        <v>TCCN-PTE-PSG-SAG-UH1-SHI-EST</v>
      </c>
      <c r="J696" s="138" t="s">
        <v>5749</v>
      </c>
      <c r="K696" s="140">
        <f>VLOOKUP(LEN(SUBSTITUTE(H696,"-","")),datos!$A$1:$B$12,2,0)</f>
        <v>7</v>
      </c>
      <c r="L696" s="138"/>
      <c r="M696" s="138" t="s">
        <v>0</v>
      </c>
    </row>
    <row r="697" spans="1:13" x14ac:dyDescent="0.35">
      <c r="A697" s="137" t="s">
        <v>487</v>
      </c>
      <c r="B697" s="137" t="s">
        <v>3809</v>
      </c>
      <c r="C697" s="137" t="s">
        <v>3913</v>
      </c>
      <c r="D697" s="137" t="s">
        <v>3914</v>
      </c>
      <c r="E697" s="137" t="s">
        <v>4045</v>
      </c>
      <c r="F697" s="137" t="s">
        <v>3847</v>
      </c>
      <c r="G697" s="137"/>
      <c r="H697" s="82" t="str">
        <f t="shared" si="76"/>
        <v>TCCN-PTE-PSG-SAG-UH1-SMO-</v>
      </c>
      <c r="I697" s="137" t="str">
        <f>MID(H697,1,(LEN(H697)-VLOOKUP(K697,datos!$B$2:$C$12,2,0)))</f>
        <v>TCCN-PTE-PSG-SAG-UH1-SMO</v>
      </c>
      <c r="J697" s="137" t="s">
        <v>5750</v>
      </c>
      <c r="K697" s="139">
        <f>VLOOKUP(LEN(SUBSTITUTE(H697,"-","")),datos!$A$1:$B$12,2,0)</f>
        <v>6</v>
      </c>
      <c r="L697" s="137"/>
      <c r="M697" s="137" t="s">
        <v>0</v>
      </c>
    </row>
    <row r="698" spans="1:13" x14ac:dyDescent="0.35">
      <c r="A698" s="138" t="s">
        <v>487</v>
      </c>
      <c r="B698" s="138" t="s">
        <v>3809</v>
      </c>
      <c r="C698" s="138" t="s">
        <v>3913</v>
      </c>
      <c r="D698" s="138" t="s">
        <v>3914</v>
      </c>
      <c r="E698" s="138" t="s">
        <v>4045</v>
      </c>
      <c r="F698" s="138" t="s">
        <v>3847</v>
      </c>
      <c r="G698" s="138" t="s">
        <v>3819</v>
      </c>
      <c r="H698" s="81" t="str">
        <f t="shared" si="76"/>
        <v>TCCN-PTE-PSG-SAG-UH1-SMO-MOE</v>
      </c>
      <c r="I698" s="138" t="str">
        <f>MID(H698,1,(LEN(H698)-VLOOKUP(K698,datos!$B$2:$C$12,2,0)))</f>
        <v>TCCN-PTE-PSG-SAG-UH1-SMO-MOE</v>
      </c>
      <c r="J698" s="138" t="s">
        <v>5751</v>
      </c>
      <c r="K698" s="140">
        <f>VLOOKUP(LEN(SUBSTITUTE(H698,"-","")),datos!$A$1:$B$12,2,0)</f>
        <v>7</v>
      </c>
      <c r="L698" s="138"/>
      <c r="M698" s="138" t="s">
        <v>0</v>
      </c>
    </row>
    <row r="699" spans="1:13" x14ac:dyDescent="0.35">
      <c r="A699" s="137" t="s">
        <v>487</v>
      </c>
      <c r="B699" s="137" t="s">
        <v>3809</v>
      </c>
      <c r="C699" s="137" t="s">
        <v>3913</v>
      </c>
      <c r="D699" s="137" t="s">
        <v>3914</v>
      </c>
      <c r="E699" s="137" t="s">
        <v>4045</v>
      </c>
      <c r="F699" s="137" t="s">
        <v>3831</v>
      </c>
      <c r="G699" s="137"/>
      <c r="H699" s="82" t="str">
        <f t="shared" si="76"/>
        <v>TCCN-PTE-PSG-SAG-UH1-INS-</v>
      </c>
      <c r="I699" s="137" t="str">
        <f>MID(H699,1,(LEN(H699)-VLOOKUP(K699,datos!$B$2:$C$12,2,0)))</f>
        <v>TCCN-PTE-PSG-SAG-UH1-INS</v>
      </c>
      <c r="J699" s="137" t="s">
        <v>4965</v>
      </c>
      <c r="K699" s="139">
        <f>VLOOKUP(LEN(SUBSTITUTE(H699,"-","")),datos!$A$1:$B$12,2,0)</f>
        <v>6</v>
      </c>
      <c r="L699" s="137"/>
      <c r="M699" s="137" t="s">
        <v>0</v>
      </c>
    </row>
    <row r="700" spans="1:13" customFormat="1" ht="14.5" x14ac:dyDescent="0.35">
      <c r="A700" s="129" t="s">
        <v>487</v>
      </c>
      <c r="B700" s="129" t="s">
        <v>3809</v>
      </c>
      <c r="C700" s="129" t="s">
        <v>3913</v>
      </c>
      <c r="D700" s="129" t="s">
        <v>3914</v>
      </c>
      <c r="E700" s="129" t="s">
        <v>4047</v>
      </c>
      <c r="F700" s="129"/>
      <c r="G700" s="129"/>
      <c r="H700" s="83" t="str">
        <f t="shared" si="76"/>
        <v>TCCN-PTE-PSG-SAG-UH2--</v>
      </c>
      <c r="I700" s="129" t="str">
        <f>MID(H700,1,(LEN(H700)-VLOOKUP(K700,datos!$B$2:$C$12,2,0)))</f>
        <v>TCCN-PTE-PSG-SAG-UH2</v>
      </c>
      <c r="J700" s="129" t="s">
        <v>4963</v>
      </c>
      <c r="K700" s="130">
        <f>VLOOKUP(LEN(SUBSTITUTE(H700,"-","")),datos!$A$1:$B$12,2,0)</f>
        <v>5</v>
      </c>
      <c r="L700" s="129" t="s">
        <v>4960</v>
      </c>
      <c r="M700" s="129" t="s">
        <v>0</v>
      </c>
    </row>
    <row r="701" spans="1:13" x14ac:dyDescent="0.35">
      <c r="A701" s="137" t="s">
        <v>487</v>
      </c>
      <c r="B701" s="137" t="s">
        <v>3809</v>
      </c>
      <c r="C701" s="137" t="s">
        <v>3913</v>
      </c>
      <c r="D701" s="137" t="s">
        <v>3914</v>
      </c>
      <c r="E701" s="137" t="s">
        <v>4047</v>
      </c>
      <c r="F701" s="137" t="s">
        <v>3816</v>
      </c>
      <c r="G701" s="137"/>
      <c r="H701" s="82" t="str">
        <f t="shared" si="76"/>
        <v>TCCN-PTE-PSG-SAG-UH2-SHI-</v>
      </c>
      <c r="I701" s="137" t="str">
        <f>MID(H701,1,(LEN(H701)-VLOOKUP(K701,datos!$B$2:$C$12,2,0)))</f>
        <v>TCCN-PTE-PSG-SAG-UH2-SHI</v>
      </c>
      <c r="J701" s="137" t="s">
        <v>4966</v>
      </c>
      <c r="K701" s="139">
        <f>VLOOKUP(LEN(SUBSTITUTE(H701,"-","")),datos!$A$1:$B$12,2,0)</f>
        <v>6</v>
      </c>
      <c r="L701" s="137"/>
      <c r="M701" s="137" t="s">
        <v>0</v>
      </c>
    </row>
    <row r="702" spans="1:13" x14ac:dyDescent="0.35">
      <c r="A702" s="138" t="s">
        <v>487</v>
      </c>
      <c r="B702" s="138" t="s">
        <v>3809</v>
      </c>
      <c r="C702" s="138" t="s">
        <v>3913</v>
      </c>
      <c r="D702" s="138" t="s">
        <v>3914</v>
      </c>
      <c r="E702" s="138" t="s">
        <v>4047</v>
      </c>
      <c r="F702" s="138" t="s">
        <v>3816</v>
      </c>
      <c r="G702" s="138" t="s">
        <v>3818</v>
      </c>
      <c r="H702" s="81" t="str">
        <f t="shared" si="76"/>
        <v>TCCN-PTE-PSG-SAG-UH2-SHI-BBA</v>
      </c>
      <c r="I702" s="138" t="str">
        <f>MID(H702,1,(LEN(H702)-VLOOKUP(K702,datos!$B$2:$C$12,2,0)))</f>
        <v>TCCN-PTE-PSG-SAG-UH2-SHI-BBA</v>
      </c>
      <c r="J702" s="138" t="s">
        <v>4967</v>
      </c>
      <c r="K702" s="140">
        <f>VLOOKUP(LEN(SUBSTITUTE(H702,"-","")),datos!$A$1:$B$12,2,0)</f>
        <v>7</v>
      </c>
      <c r="L702" s="138"/>
      <c r="M702" s="138" t="s">
        <v>0</v>
      </c>
    </row>
    <row r="703" spans="1:13" x14ac:dyDescent="0.35">
      <c r="A703" s="138" t="s">
        <v>487</v>
      </c>
      <c r="B703" s="138" t="s">
        <v>3809</v>
      </c>
      <c r="C703" s="138" t="s">
        <v>3913</v>
      </c>
      <c r="D703" s="138" t="s">
        <v>3914</v>
      </c>
      <c r="E703" s="138" t="s">
        <v>4047</v>
      </c>
      <c r="F703" s="138" t="s">
        <v>3816</v>
      </c>
      <c r="G703" s="138" t="s">
        <v>4095</v>
      </c>
      <c r="H703" s="81" t="str">
        <f t="shared" si="76"/>
        <v>TCCN-PTE-PSG-SAG-UH2-SHI-ACU</v>
      </c>
      <c r="I703" s="138" t="str">
        <f>MID(H703,1,(LEN(H703)-VLOOKUP(K703,datos!$B$2:$C$12,2,0)))</f>
        <v>TCCN-PTE-PSG-SAG-UH2-SHI-ACU</v>
      </c>
      <c r="J703" s="138" t="s">
        <v>4968</v>
      </c>
      <c r="K703" s="140">
        <f>VLOOKUP(LEN(SUBSTITUTE(H703,"-","")),datos!$A$1:$B$12,2,0)</f>
        <v>7</v>
      </c>
      <c r="L703" s="138"/>
      <c r="M703" s="138" t="s">
        <v>0</v>
      </c>
    </row>
    <row r="704" spans="1:13" x14ac:dyDescent="0.35">
      <c r="A704" s="138" t="s">
        <v>487</v>
      </c>
      <c r="B704" s="138" t="s">
        <v>3809</v>
      </c>
      <c r="C704" s="138" t="s">
        <v>3913</v>
      </c>
      <c r="D704" s="138" t="s">
        <v>3914</v>
      </c>
      <c r="E704" s="138" t="s">
        <v>4047</v>
      </c>
      <c r="F704" s="138" t="s">
        <v>3816</v>
      </c>
      <c r="G704" s="138" t="s">
        <v>3853</v>
      </c>
      <c r="H704" s="81" t="str">
        <f t="shared" si="76"/>
        <v>TCCN-PTE-PSG-SAG-UH2-SHI-EST</v>
      </c>
      <c r="I704" s="138" t="str">
        <f>MID(H704,1,(LEN(H704)-VLOOKUP(K704,datos!$B$2:$C$12,2,0)))</f>
        <v>TCCN-PTE-PSG-SAG-UH2-SHI-EST</v>
      </c>
      <c r="J704" s="138" t="s">
        <v>4969</v>
      </c>
      <c r="K704" s="140">
        <f>VLOOKUP(LEN(SUBSTITUTE(H704,"-","")),datos!$A$1:$B$12,2,0)</f>
        <v>7</v>
      </c>
      <c r="L704" s="138"/>
      <c r="M704" s="138" t="s">
        <v>0</v>
      </c>
    </row>
    <row r="705" spans="1:13" x14ac:dyDescent="0.35">
      <c r="A705" s="137" t="s">
        <v>487</v>
      </c>
      <c r="B705" s="137" t="s">
        <v>3809</v>
      </c>
      <c r="C705" s="137" t="s">
        <v>3913</v>
      </c>
      <c r="D705" s="137" t="s">
        <v>3914</v>
      </c>
      <c r="E705" s="137" t="s">
        <v>4047</v>
      </c>
      <c r="F705" s="137" t="s">
        <v>3847</v>
      </c>
      <c r="G705" s="137"/>
      <c r="H705" s="82" t="str">
        <f t="shared" si="76"/>
        <v>TCCN-PTE-PSG-SAG-UH2-SMO-</v>
      </c>
      <c r="I705" s="137" t="str">
        <f>MID(H705,1,(LEN(H705)-VLOOKUP(K705,datos!$B$2:$C$12,2,0)))</f>
        <v>TCCN-PTE-PSG-SAG-UH2-SMO</v>
      </c>
      <c r="J705" s="137" t="s">
        <v>4970</v>
      </c>
      <c r="K705" s="139">
        <f>VLOOKUP(LEN(SUBSTITUTE(H705,"-","")),datos!$A$1:$B$12,2,0)</f>
        <v>6</v>
      </c>
      <c r="L705" s="137"/>
      <c r="M705" s="137" t="s">
        <v>0</v>
      </c>
    </row>
    <row r="706" spans="1:13" x14ac:dyDescent="0.35">
      <c r="A706" s="138" t="s">
        <v>487</v>
      </c>
      <c r="B706" s="138" t="s">
        <v>3809</v>
      </c>
      <c r="C706" s="138" t="s">
        <v>3913</v>
      </c>
      <c r="D706" s="138" t="s">
        <v>3914</v>
      </c>
      <c r="E706" s="138" t="s">
        <v>4047</v>
      </c>
      <c r="F706" s="138" t="s">
        <v>3847</v>
      </c>
      <c r="G706" s="138" t="s">
        <v>3819</v>
      </c>
      <c r="H706" s="81" t="str">
        <f t="shared" si="76"/>
        <v>TCCN-PTE-PSG-SAG-UH2-SMO-MOE</v>
      </c>
      <c r="I706" s="138" t="str">
        <f>MID(H706,1,(LEN(H706)-VLOOKUP(K706,datos!$B$2:$C$12,2,0)))</f>
        <v>TCCN-PTE-PSG-SAG-UH2-SMO-MOE</v>
      </c>
      <c r="J706" s="138" t="s">
        <v>5333</v>
      </c>
      <c r="K706" s="140">
        <f>VLOOKUP(LEN(SUBSTITUTE(H706,"-","")),datos!$A$1:$B$12,2,0)</f>
        <v>7</v>
      </c>
      <c r="L706" s="138"/>
      <c r="M706" s="138" t="s">
        <v>0</v>
      </c>
    </row>
    <row r="707" spans="1:13" x14ac:dyDescent="0.35">
      <c r="A707" s="137" t="s">
        <v>487</v>
      </c>
      <c r="B707" s="137" t="s">
        <v>3809</v>
      </c>
      <c r="C707" s="137" t="s">
        <v>3913</v>
      </c>
      <c r="D707" s="137" t="s">
        <v>3914</v>
      </c>
      <c r="E707" s="137" t="s">
        <v>4047</v>
      </c>
      <c r="F707" s="137" t="s">
        <v>3831</v>
      </c>
      <c r="G707" s="137"/>
      <c r="H707" s="82" t="str">
        <f t="shared" si="76"/>
        <v>TCCN-PTE-PSG-SAG-UH2-INS-</v>
      </c>
      <c r="I707" s="137" t="str">
        <f>MID(H707,1,(LEN(H707)-VLOOKUP(K707,datos!$B$2:$C$12,2,0)))</f>
        <v>TCCN-PTE-PSG-SAG-UH2-INS</v>
      </c>
      <c r="J707" s="137" t="s">
        <v>4971</v>
      </c>
      <c r="K707" s="139">
        <f>VLOOKUP(LEN(SUBSTITUTE(H707,"-","")),datos!$A$1:$B$12,2,0)</f>
        <v>6</v>
      </c>
      <c r="L707" s="137"/>
      <c r="M707" s="137" t="s">
        <v>0</v>
      </c>
    </row>
    <row r="708" spans="1:13" customFormat="1" ht="14.5" x14ac:dyDescent="0.35">
      <c r="A708" s="129" t="s">
        <v>487</v>
      </c>
      <c r="B708" s="129" t="s">
        <v>3809</v>
      </c>
      <c r="C708" s="129" t="s">
        <v>3913</v>
      </c>
      <c r="D708" s="129" t="s">
        <v>3914</v>
      </c>
      <c r="E708" s="129" t="s">
        <v>4048</v>
      </c>
      <c r="F708" s="129"/>
      <c r="G708" s="129"/>
      <c r="H708" s="83" t="str">
        <f t="shared" si="76"/>
        <v>TCCN-PTE-PSG-SAG-UH3--</v>
      </c>
      <c r="I708" s="129" t="str">
        <f>MID(H708,1,(LEN(H708)-VLOOKUP(K708,datos!$B$2:$C$12,2,0)))</f>
        <v>TCCN-PTE-PSG-SAG-UH3</v>
      </c>
      <c r="J708" s="129" t="s">
        <v>4964</v>
      </c>
      <c r="K708" s="130">
        <f>VLOOKUP(LEN(SUBSTITUTE(H708,"-","")),datos!$A$1:$B$12,2,0)</f>
        <v>5</v>
      </c>
      <c r="L708" s="129" t="s">
        <v>4961</v>
      </c>
      <c r="M708" s="129" t="s">
        <v>0</v>
      </c>
    </row>
    <row r="709" spans="1:13" x14ac:dyDescent="0.35">
      <c r="A709" s="137" t="s">
        <v>487</v>
      </c>
      <c r="B709" s="137" t="s">
        <v>3809</v>
      </c>
      <c r="C709" s="137" t="s">
        <v>3913</v>
      </c>
      <c r="D709" s="137" t="s">
        <v>3914</v>
      </c>
      <c r="E709" s="137" t="s">
        <v>4048</v>
      </c>
      <c r="F709" s="137" t="s">
        <v>3816</v>
      </c>
      <c r="G709" s="137"/>
      <c r="H709" s="82" t="str">
        <f t="shared" si="76"/>
        <v>TCCN-PTE-PSG-SAG-UH3-SHI-</v>
      </c>
      <c r="I709" s="137" t="str">
        <f>MID(H709,1,(LEN(H709)-VLOOKUP(K709,datos!$B$2:$C$12,2,0)))</f>
        <v>TCCN-PTE-PSG-SAG-UH3-SHI</v>
      </c>
      <c r="J709" s="137" t="s">
        <v>4972</v>
      </c>
      <c r="K709" s="139">
        <f>VLOOKUP(LEN(SUBSTITUTE(H709,"-","")),datos!$A$1:$B$12,2,0)</f>
        <v>6</v>
      </c>
      <c r="L709" s="137"/>
      <c r="M709" s="137" t="s">
        <v>0</v>
      </c>
    </row>
    <row r="710" spans="1:13" x14ac:dyDescent="0.35">
      <c r="A710" s="138" t="s">
        <v>487</v>
      </c>
      <c r="B710" s="138" t="s">
        <v>3809</v>
      </c>
      <c r="C710" s="138" t="s">
        <v>3913</v>
      </c>
      <c r="D710" s="138" t="s">
        <v>3914</v>
      </c>
      <c r="E710" s="138" t="s">
        <v>4048</v>
      </c>
      <c r="F710" s="138" t="s">
        <v>3816</v>
      </c>
      <c r="G710" s="138" t="s">
        <v>3818</v>
      </c>
      <c r="H710" s="81" t="str">
        <f t="shared" si="76"/>
        <v>TCCN-PTE-PSG-SAG-UH3-SHI-BBA</v>
      </c>
      <c r="I710" s="138" t="str">
        <f>MID(H710,1,(LEN(H710)-VLOOKUP(K710,datos!$B$2:$C$12,2,0)))</f>
        <v>TCCN-PTE-PSG-SAG-UH3-SHI-BBA</v>
      </c>
      <c r="J710" s="138" t="s">
        <v>4973</v>
      </c>
      <c r="K710" s="140">
        <f>VLOOKUP(LEN(SUBSTITUTE(H710,"-","")),datos!$A$1:$B$12,2,0)</f>
        <v>7</v>
      </c>
      <c r="L710" s="138"/>
      <c r="M710" s="138" t="s">
        <v>0</v>
      </c>
    </row>
    <row r="711" spans="1:13" x14ac:dyDescent="0.35">
      <c r="A711" s="138" t="s">
        <v>487</v>
      </c>
      <c r="B711" s="138" t="s">
        <v>3809</v>
      </c>
      <c r="C711" s="138" t="s">
        <v>3913</v>
      </c>
      <c r="D711" s="138" t="s">
        <v>3914</v>
      </c>
      <c r="E711" s="138" t="s">
        <v>4048</v>
      </c>
      <c r="F711" s="138" t="s">
        <v>3816</v>
      </c>
      <c r="G711" s="138" t="s">
        <v>4095</v>
      </c>
      <c r="H711" s="81" t="str">
        <f t="shared" si="76"/>
        <v>TCCN-PTE-PSG-SAG-UH3-SHI-ACU</v>
      </c>
      <c r="I711" s="138" t="str">
        <f>MID(H711,1,(LEN(H711)-VLOOKUP(K711,datos!$B$2:$C$12,2,0)))</f>
        <v>TCCN-PTE-PSG-SAG-UH3-SHI-ACU</v>
      </c>
      <c r="J711" s="138" t="s">
        <v>4974</v>
      </c>
      <c r="K711" s="140">
        <f>VLOOKUP(LEN(SUBSTITUTE(H711,"-","")),datos!$A$1:$B$12,2,0)</f>
        <v>7</v>
      </c>
      <c r="L711" s="138"/>
      <c r="M711" s="138" t="s">
        <v>0</v>
      </c>
    </row>
    <row r="712" spans="1:13" x14ac:dyDescent="0.35">
      <c r="A712" s="138" t="s">
        <v>487</v>
      </c>
      <c r="B712" s="138" t="s">
        <v>3809</v>
      </c>
      <c r="C712" s="138" t="s">
        <v>3913</v>
      </c>
      <c r="D712" s="138" t="s">
        <v>3914</v>
      </c>
      <c r="E712" s="138" t="s">
        <v>4048</v>
      </c>
      <c r="F712" s="138" t="s">
        <v>3816</v>
      </c>
      <c r="G712" s="138" t="s">
        <v>3853</v>
      </c>
      <c r="H712" s="81" t="str">
        <f t="shared" si="76"/>
        <v>TCCN-PTE-PSG-SAG-UH3-SHI-EST</v>
      </c>
      <c r="I712" s="138" t="str">
        <f>MID(H712,1,(LEN(H712)-VLOOKUP(K712,datos!$B$2:$C$12,2,0)))</f>
        <v>TCCN-PTE-PSG-SAG-UH3-SHI-EST</v>
      </c>
      <c r="J712" s="138" t="s">
        <v>4975</v>
      </c>
      <c r="K712" s="140">
        <f>VLOOKUP(LEN(SUBSTITUTE(H712,"-","")),datos!$A$1:$B$12,2,0)</f>
        <v>7</v>
      </c>
      <c r="L712" s="138"/>
      <c r="M712" s="138" t="s">
        <v>0</v>
      </c>
    </row>
    <row r="713" spans="1:13" x14ac:dyDescent="0.35">
      <c r="A713" s="137" t="s">
        <v>487</v>
      </c>
      <c r="B713" s="137" t="s">
        <v>3809</v>
      </c>
      <c r="C713" s="137" t="s">
        <v>3913</v>
      </c>
      <c r="D713" s="137" t="s">
        <v>3914</v>
      </c>
      <c r="E713" s="137" t="s">
        <v>4048</v>
      </c>
      <c r="F713" s="137" t="s">
        <v>3847</v>
      </c>
      <c r="G713" s="137"/>
      <c r="H713" s="82" t="str">
        <f t="shared" si="76"/>
        <v>TCCN-PTE-PSG-SAG-UH3-SMO-</v>
      </c>
      <c r="I713" s="137" t="str">
        <f>MID(H713,1,(LEN(H713)-VLOOKUP(K713,datos!$B$2:$C$12,2,0)))</f>
        <v>TCCN-PTE-PSG-SAG-UH3-SMO</v>
      </c>
      <c r="J713" s="137" t="s">
        <v>4976</v>
      </c>
      <c r="K713" s="139">
        <f>VLOOKUP(LEN(SUBSTITUTE(H713,"-","")),datos!$A$1:$B$12,2,0)</f>
        <v>6</v>
      </c>
      <c r="L713" s="137"/>
      <c r="M713" s="137" t="s">
        <v>0</v>
      </c>
    </row>
    <row r="714" spans="1:13" x14ac:dyDescent="0.35">
      <c r="A714" s="138" t="s">
        <v>487</v>
      </c>
      <c r="B714" s="138" t="s">
        <v>3809</v>
      </c>
      <c r="C714" s="138" t="s">
        <v>3913</v>
      </c>
      <c r="D714" s="138" t="s">
        <v>3914</v>
      </c>
      <c r="E714" s="138" t="s">
        <v>4048</v>
      </c>
      <c r="F714" s="138" t="s">
        <v>3847</v>
      </c>
      <c r="G714" s="138" t="s">
        <v>3819</v>
      </c>
      <c r="H714" s="81" t="str">
        <f t="shared" si="76"/>
        <v>TCCN-PTE-PSG-SAG-UH3-SMO-MOE</v>
      </c>
      <c r="I714" s="138" t="str">
        <f>MID(H714,1,(LEN(H714)-VLOOKUP(K714,datos!$B$2:$C$12,2,0)))</f>
        <v>TCCN-PTE-PSG-SAG-UH3-SMO-MOE</v>
      </c>
      <c r="J714" s="138" t="s">
        <v>5334</v>
      </c>
      <c r="K714" s="140">
        <f>VLOOKUP(LEN(SUBSTITUTE(H714,"-","")),datos!$A$1:$B$12,2,0)</f>
        <v>7</v>
      </c>
      <c r="L714" s="138"/>
      <c r="M714" s="138" t="s">
        <v>0</v>
      </c>
    </row>
    <row r="715" spans="1:13" x14ac:dyDescent="0.35">
      <c r="A715" s="137" t="s">
        <v>487</v>
      </c>
      <c r="B715" s="137" t="s">
        <v>3809</v>
      </c>
      <c r="C715" s="137" t="s">
        <v>3913</v>
      </c>
      <c r="D715" s="137" t="s">
        <v>3914</v>
      </c>
      <c r="E715" s="137" t="s">
        <v>4048</v>
      </c>
      <c r="F715" s="137" t="s">
        <v>3831</v>
      </c>
      <c r="G715" s="137"/>
      <c r="H715" s="82" t="str">
        <f t="shared" si="76"/>
        <v>TCCN-PTE-PSG-SAG-UH3-INS-</v>
      </c>
      <c r="I715" s="137" t="str">
        <f>MID(H715,1,(LEN(H715)-VLOOKUP(K715,datos!$B$2:$C$12,2,0)))</f>
        <v>TCCN-PTE-PSG-SAG-UH3-INS</v>
      </c>
      <c r="J715" s="137" t="s">
        <v>4977</v>
      </c>
      <c r="K715" s="139">
        <f>VLOOKUP(LEN(SUBSTITUTE(H715,"-","")),datos!$A$1:$B$12,2,0)</f>
        <v>6</v>
      </c>
      <c r="L715" s="137"/>
      <c r="M715" s="137" t="s">
        <v>0</v>
      </c>
    </row>
    <row r="716" spans="1:13" customFormat="1" ht="14.5" x14ac:dyDescent="0.35">
      <c r="A716" s="129" t="s">
        <v>487</v>
      </c>
      <c r="B716" s="129" t="s">
        <v>3809</v>
      </c>
      <c r="C716" s="129" t="s">
        <v>3913</v>
      </c>
      <c r="D716" s="129" t="s">
        <v>3914</v>
      </c>
      <c r="E716" s="129" t="s">
        <v>3950</v>
      </c>
      <c r="F716" s="129"/>
      <c r="G716" s="129"/>
      <c r="H716" s="83" t="str">
        <f t="shared" si="76"/>
        <v>TCCN-PTE-PSG-SAG-BHI--</v>
      </c>
      <c r="I716" s="129" t="str">
        <f>MID(H716,1,(LEN(H716)-VLOOKUP(K716,datos!$B$2:$C$12,2,0)))</f>
        <v>TCCN-PTE-PSG-SAG-BHI</v>
      </c>
      <c r="J716" s="129" t="s">
        <v>6748</v>
      </c>
      <c r="K716" s="130">
        <f>VLOOKUP(LEN(SUBSTITUTE(H716,"-","")),datos!$A$1:$B$12,2,0)</f>
        <v>5</v>
      </c>
      <c r="L716" s="129" t="s">
        <v>7164</v>
      </c>
      <c r="M716" s="129" t="s">
        <v>0</v>
      </c>
    </row>
    <row r="717" spans="1:13" x14ac:dyDescent="0.35">
      <c r="A717" s="137" t="s">
        <v>487</v>
      </c>
      <c r="B717" s="137" t="s">
        <v>3809</v>
      </c>
      <c r="C717" s="137" t="s">
        <v>3913</v>
      </c>
      <c r="D717" s="137" t="s">
        <v>3914</v>
      </c>
      <c r="E717" s="137" t="s">
        <v>3950</v>
      </c>
      <c r="F717" s="137" t="s">
        <v>3824</v>
      </c>
      <c r="G717" s="137"/>
      <c r="H717" s="82" t="str">
        <f t="shared" si="76"/>
        <v>TCCN-PTE-PSG-SAG-BHI-SES-</v>
      </c>
      <c r="I717" s="137" t="str">
        <f>MID(H717,1,(LEN(H717)-VLOOKUP(K717,datos!$B$2:$C$12,2,0)))</f>
        <v>TCCN-PTE-PSG-SAG-BHI-SES</v>
      </c>
      <c r="J717" s="137" t="s">
        <v>5754</v>
      </c>
      <c r="K717" s="139">
        <f>VLOOKUP(LEN(SUBSTITUTE(H717,"-","")),datos!$A$1:$B$12,2,0)</f>
        <v>6</v>
      </c>
      <c r="L717" s="137"/>
      <c r="M717" s="137" t="s">
        <v>0</v>
      </c>
    </row>
    <row r="718" spans="1:13" x14ac:dyDescent="0.35">
      <c r="A718" s="138" t="s">
        <v>487</v>
      </c>
      <c r="B718" s="138" t="s">
        <v>3809</v>
      </c>
      <c r="C718" s="138" t="s">
        <v>3913</v>
      </c>
      <c r="D718" s="138" t="s">
        <v>3914</v>
      </c>
      <c r="E718" s="138" t="s">
        <v>3950</v>
      </c>
      <c r="F718" s="138" t="s">
        <v>3824</v>
      </c>
      <c r="G718" s="138" t="s">
        <v>3951</v>
      </c>
      <c r="H718" s="81" t="str">
        <f t="shared" si="76"/>
        <v>TCCN-PTE-PSG-SAG-BHI-SES-RVT</v>
      </c>
      <c r="I718" s="138" t="str">
        <f>MID(H718,1,(LEN(H718)-VLOOKUP(K718,datos!$B$2:$C$12,2,0)))</f>
        <v>TCCN-PTE-PSG-SAG-BHI-SES-RVT</v>
      </c>
      <c r="J718" s="138" t="s">
        <v>5755</v>
      </c>
      <c r="K718" s="140">
        <f>VLOOKUP(LEN(SUBSTITUTE(H718,"-","")),datos!$A$1:$B$12,2,0)</f>
        <v>7</v>
      </c>
      <c r="L718" s="138" t="s">
        <v>142</v>
      </c>
      <c r="M718" s="138" t="s">
        <v>0</v>
      </c>
    </row>
    <row r="719" spans="1:13" x14ac:dyDescent="0.35">
      <c r="A719" s="138" t="s">
        <v>487</v>
      </c>
      <c r="B719" s="138" t="s">
        <v>3809</v>
      </c>
      <c r="C719" s="138" t="s">
        <v>3913</v>
      </c>
      <c r="D719" s="138" t="s">
        <v>3914</v>
      </c>
      <c r="E719" s="138" t="s">
        <v>3950</v>
      </c>
      <c r="F719" s="138" t="s">
        <v>3824</v>
      </c>
      <c r="G719" s="138" t="s">
        <v>3876</v>
      </c>
      <c r="H719" s="81" t="str">
        <f t="shared" si="76"/>
        <v>TCCN-PTE-PSG-SAG-BHI-SES-BVV</v>
      </c>
      <c r="I719" s="138" t="str">
        <f>MID(H719,1,(LEN(H719)-VLOOKUP(K719,datos!$B$2:$C$12,2,0)))</f>
        <v>TCCN-PTE-PSG-SAG-BHI-SES-BVV</v>
      </c>
      <c r="J719" s="138" t="s">
        <v>6700</v>
      </c>
      <c r="K719" s="140">
        <f>VLOOKUP(LEN(SUBSTITUTE(H719,"-","")),datos!$A$1:$B$12,2,0)</f>
        <v>7</v>
      </c>
      <c r="L719" s="138"/>
      <c r="M719" s="138" t="s">
        <v>0</v>
      </c>
    </row>
    <row r="720" spans="1:13" x14ac:dyDescent="0.35">
      <c r="A720" s="137" t="s">
        <v>487</v>
      </c>
      <c r="B720" s="137" t="s">
        <v>3809</v>
      </c>
      <c r="C720" s="137" t="s">
        <v>3913</v>
      </c>
      <c r="D720" s="137" t="s">
        <v>3914</v>
      </c>
      <c r="E720" s="137" t="s">
        <v>3950</v>
      </c>
      <c r="F720" s="137" t="s">
        <v>3831</v>
      </c>
      <c r="G720" s="137"/>
      <c r="H720" s="82" t="str">
        <f t="shared" si="76"/>
        <v>TCCN-PTE-PSG-SAG-BHI-INS-</v>
      </c>
      <c r="I720" s="137" t="str">
        <f>MID(H720,1,(LEN(H720)-VLOOKUP(K720,datos!$B$2:$C$12,2,0)))</f>
        <v>TCCN-PTE-PSG-SAG-BHI-INS</v>
      </c>
      <c r="J720" s="137" t="s">
        <v>5756</v>
      </c>
      <c r="K720" s="139">
        <f>VLOOKUP(LEN(SUBSTITUTE(H720,"-","")),datos!$A$1:$B$12,2,0)</f>
        <v>6</v>
      </c>
      <c r="L720" s="137"/>
      <c r="M720" s="137" t="s">
        <v>0</v>
      </c>
    </row>
    <row r="721" spans="1:13" x14ac:dyDescent="0.35">
      <c r="A721" s="138" t="s">
        <v>487</v>
      </c>
      <c r="B721" s="138" t="s">
        <v>3809</v>
      </c>
      <c r="C721" s="138" t="s">
        <v>3913</v>
      </c>
      <c r="D721" s="138" t="s">
        <v>3914</v>
      </c>
      <c r="E721" s="138" t="s">
        <v>3950</v>
      </c>
      <c r="F721" s="138" t="s">
        <v>3831</v>
      </c>
      <c r="G721" s="138" t="s">
        <v>3894</v>
      </c>
      <c r="H721" s="81" t="str">
        <f t="shared" si="76"/>
        <v>TCCN-PTE-PSG-SAG-BHI-INS-TB1</v>
      </c>
      <c r="I721" s="138" t="str">
        <f>MID(H721,1,(LEN(H721)-VLOOKUP(K721,datos!$B$2:$C$12,2,0)))</f>
        <v>TCCN-PTE-PSG-SAG-BHI-INS-TB1</v>
      </c>
      <c r="J721" s="138" t="s">
        <v>5757</v>
      </c>
      <c r="K721" s="140">
        <f>VLOOKUP(LEN(SUBSTITUTE(H721,"-","")),datos!$A$1:$B$12,2,0)</f>
        <v>7</v>
      </c>
      <c r="L721" s="138"/>
      <c r="M721" s="138" t="s">
        <v>0</v>
      </c>
    </row>
    <row r="722" spans="1:13" x14ac:dyDescent="0.35">
      <c r="A722" s="138" t="s">
        <v>487</v>
      </c>
      <c r="B722" s="138" t="s">
        <v>3809</v>
      </c>
      <c r="C722" s="138" t="s">
        <v>3913</v>
      </c>
      <c r="D722" s="138" t="s">
        <v>3914</v>
      </c>
      <c r="E722" s="138" t="s">
        <v>3950</v>
      </c>
      <c r="F722" s="138" t="s">
        <v>3831</v>
      </c>
      <c r="G722" s="138" t="s">
        <v>7069</v>
      </c>
      <c r="H722" s="81" t="str">
        <f t="shared" si="76"/>
        <v>TCCN-PTE-PSG-SAG-BHI-INS-MPN</v>
      </c>
      <c r="I722" s="138" t="str">
        <f>MID(H722,1,(LEN(H722)-VLOOKUP(K722,datos!$B$2:$C$12,2,0)))</f>
        <v>TCCN-PTE-PSG-SAG-BHI-INS-MPN</v>
      </c>
      <c r="J722" s="138" t="s">
        <v>7559</v>
      </c>
      <c r="K722" s="140">
        <f>VLOOKUP(LEN(SUBSTITUTE(H722,"-","")),datos!$A$1:$B$12,2,0)</f>
        <v>7</v>
      </c>
      <c r="L722" s="138" t="s">
        <v>7590</v>
      </c>
      <c r="M722" s="138" t="s">
        <v>0</v>
      </c>
    </row>
    <row r="723" spans="1:13" x14ac:dyDescent="0.35">
      <c r="A723" s="137" t="s">
        <v>487</v>
      </c>
      <c r="B723" s="137" t="s">
        <v>3809</v>
      </c>
      <c r="C723" s="137" t="s">
        <v>3913</v>
      </c>
      <c r="D723" s="137" t="s">
        <v>3914</v>
      </c>
      <c r="E723" s="137" t="s">
        <v>3950</v>
      </c>
      <c r="F723" s="137" t="s">
        <v>5193</v>
      </c>
      <c r="G723" s="137"/>
      <c r="H723" s="82" t="str">
        <f t="shared" si="76"/>
        <v>TCCN-PTE-PSG-SAG-BHI-COM-</v>
      </c>
      <c r="I723" s="137" t="str">
        <f>MID(H723,1,(LEN(H723)-VLOOKUP(K723,datos!$B$2:$C$12,2,0)))</f>
        <v>TCCN-PTE-PSG-SAG-BHI-COM</v>
      </c>
      <c r="J723" s="137" t="s">
        <v>5758</v>
      </c>
      <c r="K723" s="139">
        <f>VLOOKUP(LEN(SUBSTITUTE(H723,"-","")),datos!$A$1:$B$12,2,0)</f>
        <v>6</v>
      </c>
      <c r="L723" s="137"/>
      <c r="M723" s="137" t="s">
        <v>0</v>
      </c>
    </row>
    <row r="724" spans="1:13" x14ac:dyDescent="0.35">
      <c r="A724" s="138" t="s">
        <v>487</v>
      </c>
      <c r="B724" s="138" t="s">
        <v>3809</v>
      </c>
      <c r="C724" s="138" t="s">
        <v>3913</v>
      </c>
      <c r="D724" s="138" t="s">
        <v>3914</v>
      </c>
      <c r="E724" s="138" t="s">
        <v>3950</v>
      </c>
      <c r="F724" s="138" t="s">
        <v>5193</v>
      </c>
      <c r="G724" s="138" t="s">
        <v>3837</v>
      </c>
      <c r="H724" s="81" t="str">
        <f t="shared" si="76"/>
        <v>TCCN-PTE-PSG-SAG-BHI-COM-MNF</v>
      </c>
      <c r="I724" s="138" t="str">
        <f>MID(H724,1,(LEN(H724)-VLOOKUP(K724,datos!$B$2:$C$12,2,0)))</f>
        <v>TCCN-PTE-PSG-SAG-BHI-COM-MNF</v>
      </c>
      <c r="J724" s="138" t="s">
        <v>5759</v>
      </c>
      <c r="K724" s="140">
        <f>VLOOKUP(LEN(SUBSTITUTE(H724,"-","")),datos!$A$1:$B$12,2,0)</f>
        <v>7</v>
      </c>
      <c r="L724" s="138"/>
      <c r="M724" s="138" t="s">
        <v>0</v>
      </c>
    </row>
    <row r="725" spans="1:13" x14ac:dyDescent="0.35">
      <c r="A725" s="138" t="s">
        <v>487</v>
      </c>
      <c r="B725" s="138" t="s">
        <v>3809</v>
      </c>
      <c r="C725" s="138" t="s">
        <v>3913</v>
      </c>
      <c r="D725" s="138" t="s">
        <v>3914</v>
      </c>
      <c r="E725" s="138" t="s">
        <v>3950</v>
      </c>
      <c r="F725" s="138" t="s">
        <v>5193</v>
      </c>
      <c r="G725" s="138" t="s">
        <v>5219</v>
      </c>
      <c r="H725" s="81" t="str">
        <f t="shared" si="76"/>
        <v>TCCN-PTE-PSG-SAG-BHI-COM-HD1</v>
      </c>
      <c r="I725" s="138" t="str">
        <f>MID(H725,1,(LEN(H725)-VLOOKUP(K725,datos!$B$2:$C$12,2,0)))</f>
        <v>TCCN-PTE-PSG-SAG-BHI-COM-HD1</v>
      </c>
      <c r="J725" s="138" t="s">
        <v>5760</v>
      </c>
      <c r="K725" s="140">
        <f>VLOOKUP(LEN(SUBSTITUTE(H725,"-","")),datos!$A$1:$B$12,2,0)</f>
        <v>7</v>
      </c>
      <c r="L725" s="138"/>
      <c r="M725" s="138" t="s">
        <v>0</v>
      </c>
    </row>
    <row r="726" spans="1:13" x14ac:dyDescent="0.35">
      <c r="A726" s="138" t="s">
        <v>487</v>
      </c>
      <c r="B726" s="138" t="s">
        <v>3809</v>
      </c>
      <c r="C726" s="138" t="s">
        <v>3913</v>
      </c>
      <c r="D726" s="138" t="s">
        <v>3914</v>
      </c>
      <c r="E726" s="138" t="s">
        <v>3950</v>
      </c>
      <c r="F726" s="138" t="s">
        <v>5193</v>
      </c>
      <c r="G726" s="138" t="s">
        <v>5220</v>
      </c>
      <c r="H726" s="81" t="str">
        <f t="shared" si="76"/>
        <v>TCCN-PTE-PSG-SAG-BHI-COM-HD2</v>
      </c>
      <c r="I726" s="138" t="str">
        <f>MID(H726,1,(LEN(H726)-VLOOKUP(K726,datos!$B$2:$C$12,2,0)))</f>
        <v>TCCN-PTE-PSG-SAG-BHI-COM-HD2</v>
      </c>
      <c r="J726" s="138" t="s">
        <v>5761</v>
      </c>
      <c r="K726" s="140">
        <f>VLOOKUP(LEN(SUBSTITUTE(H726,"-","")),datos!$A$1:$B$12,2,0)</f>
        <v>7</v>
      </c>
      <c r="L726" s="138"/>
      <c r="M726" s="138" t="s">
        <v>0</v>
      </c>
    </row>
    <row r="727" spans="1:13" x14ac:dyDescent="0.35">
      <c r="A727" s="138" t="s">
        <v>487</v>
      </c>
      <c r="B727" s="138" t="s">
        <v>3809</v>
      </c>
      <c r="C727" s="138" t="s">
        <v>3913</v>
      </c>
      <c r="D727" s="138" t="s">
        <v>3914</v>
      </c>
      <c r="E727" s="138" t="s">
        <v>3950</v>
      </c>
      <c r="F727" s="138" t="s">
        <v>5193</v>
      </c>
      <c r="G727" s="138" t="s">
        <v>5221</v>
      </c>
      <c r="H727" s="81" t="str">
        <f t="shared" si="76"/>
        <v>TCCN-PTE-PSG-SAG-BHI-COM-HD3</v>
      </c>
      <c r="I727" s="138" t="str">
        <f>MID(H727,1,(LEN(H727)-VLOOKUP(K727,datos!$B$2:$C$12,2,0)))</f>
        <v>TCCN-PTE-PSG-SAG-BHI-COM-HD3</v>
      </c>
      <c r="J727" s="138" t="s">
        <v>5762</v>
      </c>
      <c r="K727" s="140">
        <f>VLOOKUP(LEN(SUBSTITUTE(H727,"-","")),datos!$A$1:$B$12,2,0)</f>
        <v>7</v>
      </c>
      <c r="L727" s="138"/>
      <c r="M727" s="138" t="s">
        <v>0</v>
      </c>
    </row>
    <row r="728" spans="1:13" x14ac:dyDescent="0.35">
      <c r="A728" s="138" t="s">
        <v>487</v>
      </c>
      <c r="B728" s="138" t="s">
        <v>3809</v>
      </c>
      <c r="C728" s="138" t="s">
        <v>3913</v>
      </c>
      <c r="D728" s="138" t="s">
        <v>3914</v>
      </c>
      <c r="E728" s="138" t="s">
        <v>3950</v>
      </c>
      <c r="F728" s="138" t="s">
        <v>5193</v>
      </c>
      <c r="G728" s="138" t="s">
        <v>5222</v>
      </c>
      <c r="H728" s="81" t="str">
        <f t="shared" si="76"/>
        <v>TCCN-PTE-PSG-SAG-BHI-COM-HD4</v>
      </c>
      <c r="I728" s="138" t="str">
        <f>MID(H728,1,(LEN(H728)-VLOOKUP(K728,datos!$B$2:$C$12,2,0)))</f>
        <v>TCCN-PTE-PSG-SAG-BHI-COM-HD4</v>
      </c>
      <c r="J728" s="138" t="s">
        <v>5763</v>
      </c>
      <c r="K728" s="140">
        <f>VLOOKUP(LEN(SUBSTITUTE(H728,"-","")),datos!$A$1:$B$12,2,0)</f>
        <v>7</v>
      </c>
      <c r="L728" s="138"/>
      <c r="M728" s="138" t="s">
        <v>0</v>
      </c>
    </row>
    <row r="729" spans="1:13" x14ac:dyDescent="0.35">
      <c r="A729" s="138" t="s">
        <v>487</v>
      </c>
      <c r="B729" s="138" t="s">
        <v>3809</v>
      </c>
      <c r="C729" s="138" t="s">
        <v>3913</v>
      </c>
      <c r="D729" s="138" t="s">
        <v>3914</v>
      </c>
      <c r="E729" s="138" t="s">
        <v>3950</v>
      </c>
      <c r="F729" s="138" t="s">
        <v>5193</v>
      </c>
      <c r="G729" s="138" t="s">
        <v>5223</v>
      </c>
      <c r="H729" s="81" t="str">
        <f t="shared" si="76"/>
        <v>TCCN-PTE-PSG-SAG-BHI-COM-HD5</v>
      </c>
      <c r="I729" s="138" t="str">
        <f>MID(H729,1,(LEN(H729)-VLOOKUP(K729,datos!$B$2:$C$12,2,0)))</f>
        <v>TCCN-PTE-PSG-SAG-BHI-COM-HD5</v>
      </c>
      <c r="J729" s="138" t="s">
        <v>5764</v>
      </c>
      <c r="K729" s="140">
        <f>VLOOKUP(LEN(SUBSTITUTE(H729,"-","")),datos!$A$1:$B$12,2,0)</f>
        <v>7</v>
      </c>
      <c r="L729" s="138"/>
      <c r="M729" s="138" t="s">
        <v>0</v>
      </c>
    </row>
    <row r="730" spans="1:13" x14ac:dyDescent="0.35">
      <c r="A730" s="138" t="s">
        <v>487</v>
      </c>
      <c r="B730" s="138" t="s">
        <v>3809</v>
      </c>
      <c r="C730" s="138" t="s">
        <v>3913</v>
      </c>
      <c r="D730" s="138" t="s">
        <v>3914</v>
      </c>
      <c r="E730" s="138" t="s">
        <v>3950</v>
      </c>
      <c r="F730" s="138" t="s">
        <v>5193</v>
      </c>
      <c r="G730" s="138" t="s">
        <v>5224</v>
      </c>
      <c r="H730" s="81" t="str">
        <f t="shared" si="76"/>
        <v>TCCN-PTE-PSG-SAG-BHI-COM-HD6</v>
      </c>
      <c r="I730" s="138" t="str">
        <f>MID(H730,1,(LEN(H730)-VLOOKUP(K730,datos!$B$2:$C$12,2,0)))</f>
        <v>TCCN-PTE-PSG-SAG-BHI-COM-HD6</v>
      </c>
      <c r="J730" s="138" t="s">
        <v>5765</v>
      </c>
      <c r="K730" s="140">
        <f>VLOOKUP(LEN(SUBSTITUTE(H730,"-","")),datos!$A$1:$B$12,2,0)</f>
        <v>7</v>
      </c>
      <c r="L730" s="138"/>
      <c r="M730" s="138" t="s">
        <v>0</v>
      </c>
    </row>
    <row r="731" spans="1:13" x14ac:dyDescent="0.35">
      <c r="A731" s="138" t="s">
        <v>487</v>
      </c>
      <c r="B731" s="138" t="s">
        <v>3809</v>
      </c>
      <c r="C731" s="138" t="s">
        <v>3913</v>
      </c>
      <c r="D731" s="138" t="s">
        <v>3914</v>
      </c>
      <c r="E731" s="138" t="s">
        <v>3950</v>
      </c>
      <c r="F731" s="138" t="s">
        <v>5193</v>
      </c>
      <c r="G731" s="138" t="s">
        <v>5225</v>
      </c>
      <c r="H731" s="81" t="str">
        <f t="shared" si="76"/>
        <v>TCCN-PTE-PSG-SAG-BHI-COM-HD7</v>
      </c>
      <c r="I731" s="138" t="str">
        <f>MID(H731,1,(LEN(H731)-VLOOKUP(K731,datos!$B$2:$C$12,2,0)))</f>
        <v>TCCN-PTE-PSG-SAG-BHI-COM-HD7</v>
      </c>
      <c r="J731" s="138" t="s">
        <v>5766</v>
      </c>
      <c r="K731" s="140">
        <f>VLOOKUP(LEN(SUBSTITUTE(H731,"-","")),datos!$A$1:$B$12,2,0)</f>
        <v>7</v>
      </c>
      <c r="L731" s="138"/>
      <c r="M731" s="138" t="s">
        <v>0</v>
      </c>
    </row>
    <row r="732" spans="1:13" x14ac:dyDescent="0.35">
      <c r="A732" s="138" t="s">
        <v>487</v>
      </c>
      <c r="B732" s="138" t="s">
        <v>3809</v>
      </c>
      <c r="C732" s="138" t="s">
        <v>3913</v>
      </c>
      <c r="D732" s="138" t="s">
        <v>3914</v>
      </c>
      <c r="E732" s="138" t="s">
        <v>3950</v>
      </c>
      <c r="F732" s="138" t="s">
        <v>5193</v>
      </c>
      <c r="G732" s="138" t="s">
        <v>5226</v>
      </c>
      <c r="H732" s="81" t="str">
        <f t="shared" si="76"/>
        <v>TCCN-PTE-PSG-SAG-BHI-COM-HD8</v>
      </c>
      <c r="I732" s="138" t="str">
        <f>MID(H732,1,(LEN(H732)-VLOOKUP(K732,datos!$B$2:$C$12,2,0)))</f>
        <v>TCCN-PTE-PSG-SAG-BHI-COM-HD8</v>
      </c>
      <c r="J732" s="138" t="s">
        <v>5767</v>
      </c>
      <c r="K732" s="140">
        <f>VLOOKUP(LEN(SUBSTITUTE(H732,"-","")),datos!$A$1:$B$12,2,0)</f>
        <v>7</v>
      </c>
      <c r="L732" s="138"/>
      <c r="M732" s="138" t="s">
        <v>0</v>
      </c>
    </row>
    <row r="733" spans="1:13" x14ac:dyDescent="0.35">
      <c r="A733" s="138" t="s">
        <v>487</v>
      </c>
      <c r="B733" s="138" t="s">
        <v>3809</v>
      </c>
      <c r="C733" s="138" t="s">
        <v>3913</v>
      </c>
      <c r="D733" s="138" t="s">
        <v>3914</v>
      </c>
      <c r="E733" s="138" t="s">
        <v>3950</v>
      </c>
      <c r="F733" s="138" t="s">
        <v>5193</v>
      </c>
      <c r="G733" s="138" t="s">
        <v>5227</v>
      </c>
      <c r="H733" s="81" t="str">
        <f t="shared" si="76"/>
        <v>TCCN-PTE-PSG-SAG-BHI-COM-HD9</v>
      </c>
      <c r="I733" s="138" t="str">
        <f>MID(H733,1,(LEN(H733)-VLOOKUP(K733,datos!$B$2:$C$12,2,0)))</f>
        <v>TCCN-PTE-PSG-SAG-BHI-COM-HD9</v>
      </c>
      <c r="J733" s="138" t="s">
        <v>5768</v>
      </c>
      <c r="K733" s="140">
        <f>VLOOKUP(LEN(SUBSTITUTE(H733,"-","")),datos!$A$1:$B$12,2,0)</f>
        <v>7</v>
      </c>
      <c r="L733" s="138"/>
      <c r="M733" s="138" t="s">
        <v>0</v>
      </c>
    </row>
    <row r="734" spans="1:13" x14ac:dyDescent="0.35">
      <c r="A734" s="138" t="s">
        <v>487</v>
      </c>
      <c r="B734" s="138" t="s">
        <v>3809</v>
      </c>
      <c r="C734" s="138" t="s">
        <v>3913</v>
      </c>
      <c r="D734" s="138" t="s">
        <v>3914</v>
      </c>
      <c r="E734" s="138" t="s">
        <v>3950</v>
      </c>
      <c r="F734" s="138" t="s">
        <v>5193</v>
      </c>
      <c r="G734" s="138" t="s">
        <v>5437</v>
      </c>
      <c r="H734" s="81" t="str">
        <f t="shared" si="76"/>
        <v>TCCN-PTE-PSG-SAG-BHI-COM-H10</v>
      </c>
      <c r="I734" s="138" t="str">
        <f>MID(H734,1,(LEN(H734)-VLOOKUP(K734,datos!$B$2:$C$12,2,0)))</f>
        <v>TCCN-PTE-PSG-SAG-BHI-COM-H10</v>
      </c>
      <c r="J734" s="138" t="s">
        <v>5769</v>
      </c>
      <c r="K734" s="140">
        <f>VLOOKUP(LEN(SUBSTITUTE(H734,"-","")),datos!$A$1:$B$12,2,0)</f>
        <v>7</v>
      </c>
      <c r="L734" s="138"/>
      <c r="M734" s="138" t="s">
        <v>0</v>
      </c>
    </row>
    <row r="735" spans="1:13" x14ac:dyDescent="0.35">
      <c r="A735" s="137" t="s">
        <v>487</v>
      </c>
      <c r="B735" s="137" t="s">
        <v>3809</v>
      </c>
      <c r="C735" s="137" t="s">
        <v>3913</v>
      </c>
      <c r="D735" s="137" t="s">
        <v>3914</v>
      </c>
      <c r="E735" s="137" t="s">
        <v>3950</v>
      </c>
      <c r="F735" s="137" t="s">
        <v>4073</v>
      </c>
      <c r="G735" s="137"/>
      <c r="H735" s="82" t="str">
        <f t="shared" si="76"/>
        <v>TCCN-PTE-PSG-SAG-BHI-PYV-</v>
      </c>
      <c r="I735" s="137" t="str">
        <f>MID(H735,1,(LEN(H735)-VLOOKUP(K735,datos!$B$2:$C$12,2,0)))</f>
        <v>TCCN-PTE-PSG-SAG-BHI-PYV</v>
      </c>
      <c r="J735" s="137" t="s">
        <v>5770</v>
      </c>
      <c r="K735" s="139">
        <f>VLOOKUP(LEN(SUBSTITUTE(H735,"-","")),datos!$A$1:$B$12,2,0)</f>
        <v>6</v>
      </c>
      <c r="L735" s="137"/>
      <c r="M735" s="137" t="s">
        <v>0</v>
      </c>
    </row>
    <row r="736" spans="1:13" x14ac:dyDescent="0.35">
      <c r="A736" s="138" t="s">
        <v>487</v>
      </c>
      <c r="B736" s="138" t="s">
        <v>3809</v>
      </c>
      <c r="C736" s="138" t="s">
        <v>3913</v>
      </c>
      <c r="D736" s="138" t="s">
        <v>3914</v>
      </c>
      <c r="E736" s="138" t="s">
        <v>3950</v>
      </c>
      <c r="F736" s="138" t="s">
        <v>4073</v>
      </c>
      <c r="G736" s="138" t="s">
        <v>5557</v>
      </c>
      <c r="H736" s="81" t="str">
        <f t="shared" si="76"/>
        <v>TCCN-PTE-PSG-SAG-BHI-PYV-V01</v>
      </c>
      <c r="I736" s="138" t="str">
        <f>MID(H736,1,(LEN(H736)-VLOOKUP(K736,datos!$B$2:$C$12,2,0)))</f>
        <v>TCCN-PTE-PSG-SAG-BHI-PYV-V01</v>
      </c>
      <c r="J736" s="138" t="s">
        <v>7928</v>
      </c>
      <c r="K736" s="140">
        <f>VLOOKUP(LEN(SUBSTITUTE(H736,"-","")),datos!$A$1:$B$12,2,0)</f>
        <v>7</v>
      </c>
      <c r="L736" s="138"/>
      <c r="M736" s="138" t="s">
        <v>0</v>
      </c>
    </row>
    <row r="737" spans="1:13" x14ac:dyDescent="0.35">
      <c r="A737" s="138" t="s">
        <v>487</v>
      </c>
      <c r="B737" s="138" t="s">
        <v>3809</v>
      </c>
      <c r="C737" s="138" t="s">
        <v>3913</v>
      </c>
      <c r="D737" s="138" t="s">
        <v>3914</v>
      </c>
      <c r="E737" s="138" t="s">
        <v>3950</v>
      </c>
      <c r="F737" s="138" t="s">
        <v>4073</v>
      </c>
      <c r="G737" s="138" t="s">
        <v>5558</v>
      </c>
      <c r="H737" s="81" t="str">
        <f t="shared" si="76"/>
        <v>TCCN-PTE-PSG-SAG-BHI-PYV-V02</v>
      </c>
      <c r="I737" s="138" t="str">
        <f>MID(H737,1,(LEN(H737)-VLOOKUP(K737,datos!$B$2:$C$12,2,0)))</f>
        <v>TCCN-PTE-PSG-SAG-BHI-PYV-V02</v>
      </c>
      <c r="J737" s="138" t="s">
        <v>7929</v>
      </c>
      <c r="K737" s="140">
        <f>VLOOKUP(LEN(SUBSTITUTE(H737,"-","")),datos!$A$1:$B$12,2,0)</f>
        <v>7</v>
      </c>
      <c r="L737" s="138"/>
      <c r="M737" s="138" t="s">
        <v>0</v>
      </c>
    </row>
    <row r="738" spans="1:13" x14ac:dyDescent="0.35">
      <c r="A738" s="138" t="s">
        <v>487</v>
      </c>
      <c r="B738" s="138" t="s">
        <v>3809</v>
      </c>
      <c r="C738" s="138" t="s">
        <v>3913</v>
      </c>
      <c r="D738" s="138" t="s">
        <v>3914</v>
      </c>
      <c r="E738" s="138" t="s">
        <v>3950</v>
      </c>
      <c r="F738" s="138" t="s">
        <v>4073</v>
      </c>
      <c r="G738" s="138" t="s">
        <v>5559</v>
      </c>
      <c r="H738" s="81" t="str">
        <f t="shared" si="76"/>
        <v>TCCN-PTE-PSG-SAG-BHI-PYV-V03</v>
      </c>
      <c r="I738" s="138" t="str">
        <f>MID(H738,1,(LEN(H738)-VLOOKUP(K738,datos!$B$2:$C$12,2,0)))</f>
        <v>TCCN-PTE-PSG-SAG-BHI-PYV-V03</v>
      </c>
      <c r="J738" s="138" t="s">
        <v>7930</v>
      </c>
      <c r="K738" s="140">
        <f>VLOOKUP(LEN(SUBSTITUTE(H738,"-","")),datos!$A$1:$B$12,2,0)</f>
        <v>7</v>
      </c>
      <c r="L738" s="138"/>
      <c r="M738" s="138" t="s">
        <v>0</v>
      </c>
    </row>
    <row r="739" spans="1:13" x14ac:dyDescent="0.35">
      <c r="A739" s="138" t="s">
        <v>487</v>
      </c>
      <c r="B739" s="138" t="s">
        <v>3809</v>
      </c>
      <c r="C739" s="138" t="s">
        <v>3913</v>
      </c>
      <c r="D739" s="138" t="s">
        <v>3914</v>
      </c>
      <c r="E739" s="138" t="s">
        <v>3950</v>
      </c>
      <c r="F739" s="138" t="s">
        <v>4073</v>
      </c>
      <c r="G739" s="138" t="s">
        <v>5560</v>
      </c>
      <c r="H739" s="81" t="str">
        <f t="shared" si="76"/>
        <v>TCCN-PTE-PSG-SAG-BHI-PYV-V04</v>
      </c>
      <c r="I739" s="138" t="str">
        <f>MID(H739,1,(LEN(H739)-VLOOKUP(K739,datos!$B$2:$C$12,2,0)))</f>
        <v>TCCN-PTE-PSG-SAG-BHI-PYV-V04</v>
      </c>
      <c r="J739" s="138" t="s">
        <v>7931</v>
      </c>
      <c r="K739" s="140">
        <f>VLOOKUP(LEN(SUBSTITUTE(H739,"-","")),datos!$A$1:$B$12,2,0)</f>
        <v>7</v>
      </c>
      <c r="L739" s="138"/>
      <c r="M739" s="138" t="s">
        <v>0</v>
      </c>
    </row>
    <row r="740" spans="1:13" x14ac:dyDescent="0.35">
      <c r="A740" s="138" t="s">
        <v>487</v>
      </c>
      <c r="B740" s="138" t="s">
        <v>3809</v>
      </c>
      <c r="C740" s="138" t="s">
        <v>3913</v>
      </c>
      <c r="D740" s="138" t="s">
        <v>3914</v>
      </c>
      <c r="E740" s="138" t="s">
        <v>3950</v>
      </c>
      <c r="F740" s="138" t="s">
        <v>4073</v>
      </c>
      <c r="G740" s="138" t="s">
        <v>5561</v>
      </c>
      <c r="H740" s="81" t="str">
        <f t="shared" si="76"/>
        <v>TCCN-PTE-PSG-SAG-BHI-PYV-V05</v>
      </c>
      <c r="I740" s="138" t="str">
        <f>MID(H740,1,(LEN(H740)-VLOOKUP(K740,datos!$B$2:$C$12,2,0)))</f>
        <v>TCCN-PTE-PSG-SAG-BHI-PYV-V05</v>
      </c>
      <c r="J740" s="138" t="s">
        <v>7932</v>
      </c>
      <c r="K740" s="140">
        <f>VLOOKUP(LEN(SUBSTITUTE(H740,"-","")),datos!$A$1:$B$12,2,0)</f>
        <v>7</v>
      </c>
      <c r="L740" s="138"/>
      <c r="M740" s="138" t="s">
        <v>0</v>
      </c>
    </row>
    <row r="741" spans="1:13" x14ac:dyDescent="0.35">
      <c r="A741" s="138" t="s">
        <v>487</v>
      </c>
      <c r="B741" s="138" t="s">
        <v>3809</v>
      </c>
      <c r="C741" s="138" t="s">
        <v>3913</v>
      </c>
      <c r="D741" s="138" t="s">
        <v>3914</v>
      </c>
      <c r="E741" s="138" t="s">
        <v>3950</v>
      </c>
      <c r="F741" s="138" t="s">
        <v>4073</v>
      </c>
      <c r="G741" s="138" t="s">
        <v>5562</v>
      </c>
      <c r="H741" s="81" t="str">
        <f t="shared" si="76"/>
        <v>TCCN-PTE-PSG-SAG-BHI-PYV-V06</v>
      </c>
      <c r="I741" s="138" t="str">
        <f>MID(H741,1,(LEN(H741)-VLOOKUP(K741,datos!$B$2:$C$12,2,0)))</f>
        <v>TCCN-PTE-PSG-SAG-BHI-PYV-V06</v>
      </c>
      <c r="J741" s="138" t="s">
        <v>7933</v>
      </c>
      <c r="K741" s="140">
        <f>VLOOKUP(LEN(SUBSTITUTE(H741,"-","")),datos!$A$1:$B$12,2,0)</f>
        <v>7</v>
      </c>
      <c r="L741" s="138"/>
      <c r="M741" s="138" t="s">
        <v>0</v>
      </c>
    </row>
    <row r="742" spans="1:13" x14ac:dyDescent="0.35">
      <c r="A742" s="138" t="s">
        <v>487</v>
      </c>
      <c r="B742" s="138" t="s">
        <v>3809</v>
      </c>
      <c r="C742" s="138" t="s">
        <v>3913</v>
      </c>
      <c r="D742" s="138" t="s">
        <v>3914</v>
      </c>
      <c r="E742" s="138" t="s">
        <v>3950</v>
      </c>
      <c r="F742" s="138" t="s">
        <v>4073</v>
      </c>
      <c r="G742" s="138" t="s">
        <v>5563</v>
      </c>
      <c r="H742" s="81" t="str">
        <f t="shared" si="76"/>
        <v>TCCN-PTE-PSG-SAG-BHI-PYV-V07</v>
      </c>
      <c r="I742" s="138" t="str">
        <f>MID(H742,1,(LEN(H742)-VLOOKUP(K742,datos!$B$2:$C$12,2,0)))</f>
        <v>TCCN-PTE-PSG-SAG-BHI-PYV-V07</v>
      </c>
      <c r="J742" s="138" t="s">
        <v>7934</v>
      </c>
      <c r="K742" s="140">
        <f>VLOOKUP(LEN(SUBSTITUTE(H742,"-","")),datos!$A$1:$B$12,2,0)</f>
        <v>7</v>
      </c>
      <c r="L742" s="138"/>
      <c r="M742" s="138" t="s">
        <v>0</v>
      </c>
    </row>
    <row r="743" spans="1:13" x14ac:dyDescent="0.35">
      <c r="A743" s="138" t="s">
        <v>487</v>
      </c>
      <c r="B743" s="138" t="s">
        <v>3809</v>
      </c>
      <c r="C743" s="138" t="s">
        <v>3913</v>
      </c>
      <c r="D743" s="138" t="s">
        <v>3914</v>
      </c>
      <c r="E743" s="138" t="s">
        <v>3950</v>
      </c>
      <c r="F743" s="138" t="s">
        <v>4073</v>
      </c>
      <c r="G743" s="138" t="s">
        <v>5564</v>
      </c>
      <c r="H743" s="81" t="str">
        <f t="shared" si="76"/>
        <v>TCCN-PTE-PSG-SAG-BHI-PYV-V08</v>
      </c>
      <c r="I743" s="138" t="str">
        <f>MID(H743,1,(LEN(H743)-VLOOKUP(K743,datos!$B$2:$C$12,2,0)))</f>
        <v>TCCN-PTE-PSG-SAG-BHI-PYV-V08</v>
      </c>
      <c r="J743" s="138" t="s">
        <v>7935</v>
      </c>
      <c r="K743" s="140">
        <f>VLOOKUP(LEN(SUBSTITUTE(H743,"-","")),datos!$A$1:$B$12,2,0)</f>
        <v>7</v>
      </c>
      <c r="L743" s="138"/>
      <c r="M743" s="138" t="s">
        <v>0</v>
      </c>
    </row>
    <row r="744" spans="1:13" x14ac:dyDescent="0.35">
      <c r="A744" s="138" t="s">
        <v>487</v>
      </c>
      <c r="B744" s="138" t="s">
        <v>3809</v>
      </c>
      <c r="C744" s="138" t="s">
        <v>3913</v>
      </c>
      <c r="D744" s="138" t="s">
        <v>3914</v>
      </c>
      <c r="E744" s="138" t="s">
        <v>3950</v>
      </c>
      <c r="F744" s="138" t="s">
        <v>4073</v>
      </c>
      <c r="G744" s="138" t="s">
        <v>5565</v>
      </c>
      <c r="H744" s="81" t="str">
        <f t="shared" si="76"/>
        <v>TCCN-PTE-PSG-SAG-BHI-PYV-V09</v>
      </c>
      <c r="I744" s="138" t="str">
        <f>MID(H744,1,(LEN(H744)-VLOOKUP(K744,datos!$B$2:$C$12,2,0)))</f>
        <v>TCCN-PTE-PSG-SAG-BHI-PYV-V09</v>
      </c>
      <c r="J744" s="138" t="s">
        <v>7936</v>
      </c>
      <c r="K744" s="140">
        <f>VLOOKUP(LEN(SUBSTITUTE(H744,"-","")),datos!$A$1:$B$12,2,0)</f>
        <v>7</v>
      </c>
      <c r="L744" s="138"/>
      <c r="M744" s="138" t="s">
        <v>0</v>
      </c>
    </row>
    <row r="745" spans="1:13" x14ac:dyDescent="0.35">
      <c r="A745" s="138" t="s">
        <v>487</v>
      </c>
      <c r="B745" s="138" t="s">
        <v>3809</v>
      </c>
      <c r="C745" s="138" t="s">
        <v>3913</v>
      </c>
      <c r="D745" s="138" t="s">
        <v>3914</v>
      </c>
      <c r="E745" s="138" t="s">
        <v>3950</v>
      </c>
      <c r="F745" s="138" t="s">
        <v>4073</v>
      </c>
      <c r="G745" s="138" t="s">
        <v>4102</v>
      </c>
      <c r="H745" s="81" t="str">
        <f t="shared" si="76"/>
        <v>TCCN-PTE-PSG-SAG-BHI-PYV-V10</v>
      </c>
      <c r="I745" s="138" t="str">
        <f>MID(H745,1,(LEN(H745)-VLOOKUP(K745,datos!$B$2:$C$12,2,0)))</f>
        <v>TCCN-PTE-PSG-SAG-BHI-PYV-V10</v>
      </c>
      <c r="J745" s="138" t="s">
        <v>7937</v>
      </c>
      <c r="K745" s="140">
        <f>VLOOKUP(LEN(SUBSTITUTE(H745,"-","")),datos!$A$1:$B$12,2,0)</f>
        <v>7</v>
      </c>
      <c r="L745" s="138"/>
      <c r="M745" s="138" t="s">
        <v>0</v>
      </c>
    </row>
    <row r="746" spans="1:13" customFormat="1" ht="14.5" x14ac:dyDescent="0.35">
      <c r="A746" s="129" t="s">
        <v>487</v>
      </c>
      <c r="B746" s="129" t="s">
        <v>3809</v>
      </c>
      <c r="C746" s="129" t="s">
        <v>3913</v>
      </c>
      <c r="D746" s="129" t="s">
        <v>3914</v>
      </c>
      <c r="E746" s="129" t="s">
        <v>3952</v>
      </c>
      <c r="F746" s="129"/>
      <c r="G746" s="129"/>
      <c r="H746" s="83" t="str">
        <f t="shared" si="76"/>
        <v>TCCN-PTE-PSG-SAG-MBO--</v>
      </c>
      <c r="I746" s="129" t="str">
        <f>MID(H746,1,(LEN(H746)-VLOOKUP(K746,datos!$B$2:$C$12,2,0)))</f>
        <v>TCCN-PTE-PSG-SAG-MBO</v>
      </c>
      <c r="J746" s="129" t="s">
        <v>4482</v>
      </c>
      <c r="K746" s="130">
        <f>VLOOKUP(LEN(SUBSTITUTE(H746,"-","")),datos!$A$1:$B$12,2,0)</f>
        <v>5</v>
      </c>
      <c r="L746" s="129" t="s">
        <v>149</v>
      </c>
      <c r="M746" s="129" t="s">
        <v>0</v>
      </c>
    </row>
    <row r="747" spans="1:13" x14ac:dyDescent="0.35">
      <c r="A747" s="137" t="s">
        <v>487</v>
      </c>
      <c r="B747" s="137" t="s">
        <v>3809</v>
      </c>
      <c r="C747" s="137" t="s">
        <v>3913</v>
      </c>
      <c r="D747" s="137" t="s">
        <v>3914</v>
      </c>
      <c r="E747" s="137" t="s">
        <v>3952</v>
      </c>
      <c r="F747" s="137" t="s">
        <v>3824</v>
      </c>
      <c r="G747" s="137"/>
      <c r="H747" s="82" t="str">
        <f t="shared" ref="H747:H864" si="82">CONCATENATE(A747,"-",B747,"-",C747,"-",D747,"-",E747,"-",F747,"-",G747)</f>
        <v>TCCN-PTE-PSG-SAG-MBO-SES-</v>
      </c>
      <c r="I747" s="137" t="str">
        <f>MID(H747,1,(LEN(H747)-VLOOKUP(K747,datos!$B$2:$C$12,2,0)))</f>
        <v>TCCN-PTE-PSG-SAG-MBO-SES</v>
      </c>
      <c r="J747" s="137" t="s">
        <v>6475</v>
      </c>
      <c r="K747" s="139">
        <f>VLOOKUP(LEN(SUBSTITUTE(H747,"-","")),datos!$A$1:$B$12,2,0)</f>
        <v>6</v>
      </c>
      <c r="L747" s="137"/>
      <c r="M747" s="137" t="s">
        <v>0</v>
      </c>
    </row>
    <row r="748" spans="1:13" x14ac:dyDescent="0.35">
      <c r="A748" s="138" t="s">
        <v>487</v>
      </c>
      <c r="B748" s="138" t="s">
        <v>3809</v>
      </c>
      <c r="C748" s="138" t="s">
        <v>3913</v>
      </c>
      <c r="D748" s="138" t="s">
        <v>3914</v>
      </c>
      <c r="E748" s="138" t="s">
        <v>3952</v>
      </c>
      <c r="F748" s="138" t="s">
        <v>3824</v>
      </c>
      <c r="G748" s="138" t="s">
        <v>3935</v>
      </c>
      <c r="H748" s="81" t="str">
        <f t="shared" si="82"/>
        <v>TCCN-PTE-PSG-SAG-MBO-SES-TN1</v>
      </c>
      <c r="I748" s="138" t="str">
        <f>MID(H748,1,(LEN(H748)-VLOOKUP(K748,datos!$B$2:$C$12,2,0)))</f>
        <v>TCCN-PTE-PSG-SAG-MBO-SES-TN1</v>
      </c>
      <c r="J748" s="138" t="s">
        <v>6476</v>
      </c>
      <c r="K748" s="140">
        <f>VLOOKUP(LEN(SUBSTITUTE(H748,"-","")),datos!$A$1:$B$12,2,0)</f>
        <v>7</v>
      </c>
      <c r="L748" s="138"/>
      <c r="M748" s="138" t="s">
        <v>0</v>
      </c>
    </row>
    <row r="749" spans="1:13" x14ac:dyDescent="0.35">
      <c r="A749" s="138" t="s">
        <v>487</v>
      </c>
      <c r="B749" s="138" t="s">
        <v>3809</v>
      </c>
      <c r="C749" s="138" t="s">
        <v>3913</v>
      </c>
      <c r="D749" s="138" t="s">
        <v>3914</v>
      </c>
      <c r="E749" s="138" t="s">
        <v>3952</v>
      </c>
      <c r="F749" s="138" t="s">
        <v>3824</v>
      </c>
      <c r="G749" s="138" t="s">
        <v>3936</v>
      </c>
      <c r="H749" s="81" t="str">
        <f t="shared" si="82"/>
        <v>TCCN-PTE-PSG-SAG-MBO-SES-TN2</v>
      </c>
      <c r="I749" s="138" t="str">
        <f>MID(H749,1,(LEN(H749)-VLOOKUP(K749,datos!$B$2:$C$12,2,0)))</f>
        <v>TCCN-PTE-PSG-SAG-MBO-SES-TN2</v>
      </c>
      <c r="J749" s="138" t="s">
        <v>6477</v>
      </c>
      <c r="K749" s="140">
        <f>VLOOKUP(LEN(SUBSTITUTE(H749,"-","")),datos!$A$1:$B$12,2,0)</f>
        <v>7</v>
      </c>
      <c r="L749" s="138"/>
      <c r="M749" s="138" t="s">
        <v>0</v>
      </c>
    </row>
    <row r="750" spans="1:13" x14ac:dyDescent="0.35">
      <c r="A750" s="138" t="s">
        <v>487</v>
      </c>
      <c r="B750" s="138" t="s">
        <v>3809</v>
      </c>
      <c r="C750" s="138" t="s">
        <v>3913</v>
      </c>
      <c r="D750" s="138" t="s">
        <v>3914</v>
      </c>
      <c r="E750" s="138" t="s">
        <v>3952</v>
      </c>
      <c r="F750" s="138" t="s">
        <v>3824</v>
      </c>
      <c r="G750" s="138" t="s">
        <v>3842</v>
      </c>
      <c r="H750" s="81" t="str">
        <f t="shared" si="82"/>
        <v>TCCN-PTE-PSG-SAG-MBO-SES-CH1</v>
      </c>
      <c r="I750" s="138" t="str">
        <f>MID(H750,1,(LEN(H750)-VLOOKUP(K750,datos!$B$2:$C$12,2,0)))</f>
        <v>TCCN-PTE-PSG-SAG-MBO-SES-CH1</v>
      </c>
      <c r="J750" s="138" t="s">
        <v>6478</v>
      </c>
      <c r="K750" s="140">
        <f>VLOOKUP(LEN(SUBSTITUTE(H750,"-","")),datos!$A$1:$B$12,2,0)</f>
        <v>7</v>
      </c>
      <c r="L750" s="138" t="s">
        <v>1645</v>
      </c>
      <c r="M750" s="138" t="s">
        <v>0</v>
      </c>
    </row>
    <row r="751" spans="1:13" x14ac:dyDescent="0.35">
      <c r="A751" s="138" t="s">
        <v>487</v>
      </c>
      <c r="B751" s="138" t="s">
        <v>3809</v>
      </c>
      <c r="C751" s="138" t="s">
        <v>3913</v>
      </c>
      <c r="D751" s="138" t="s">
        <v>3914</v>
      </c>
      <c r="E751" s="138" t="s">
        <v>3952</v>
      </c>
      <c r="F751" s="138" t="s">
        <v>3824</v>
      </c>
      <c r="G751" s="138" t="s">
        <v>3843</v>
      </c>
      <c r="H751" s="81" t="str">
        <f t="shared" si="82"/>
        <v>TCCN-PTE-PSG-SAG-MBO-SES-CH2</v>
      </c>
      <c r="I751" s="138" t="str">
        <f>MID(H751,1,(LEN(H751)-VLOOKUP(K751,datos!$B$2:$C$12,2,0)))</f>
        <v>TCCN-PTE-PSG-SAG-MBO-SES-CH2</v>
      </c>
      <c r="J751" s="138" t="s">
        <v>6479</v>
      </c>
      <c r="K751" s="140">
        <f>VLOOKUP(LEN(SUBSTITUTE(H751,"-","")),datos!$A$1:$B$12,2,0)</f>
        <v>7</v>
      </c>
      <c r="L751" s="138" t="s">
        <v>1647</v>
      </c>
      <c r="M751" s="138" t="s">
        <v>0</v>
      </c>
    </row>
    <row r="752" spans="1:13" x14ac:dyDescent="0.35">
      <c r="A752" s="138" t="s">
        <v>487</v>
      </c>
      <c r="B752" s="138" t="s">
        <v>3809</v>
      </c>
      <c r="C752" s="138" t="s">
        <v>3913</v>
      </c>
      <c r="D752" s="138" t="s">
        <v>3914</v>
      </c>
      <c r="E752" s="138" t="s">
        <v>3952</v>
      </c>
      <c r="F752" s="138" t="s">
        <v>3824</v>
      </c>
      <c r="G752" s="138" t="s">
        <v>3937</v>
      </c>
      <c r="H752" s="81" t="str">
        <f>CONCATENATE(A752,"-",B752,"-",C752,"-",D752,"-",E752,"-",F752,"-",G752)</f>
        <v>TCCN-PTE-PSG-SAG-MBO-SES-RV1</v>
      </c>
      <c r="I752" s="138" t="str">
        <f>MID(H752,1,(LEN(H752)-VLOOKUP(K752,datos!$B$2:$C$12,2,0)))</f>
        <v>TCCN-PTE-PSG-SAG-MBO-SES-RV1</v>
      </c>
      <c r="J752" s="138" t="s">
        <v>6490</v>
      </c>
      <c r="K752" s="140">
        <f>VLOOKUP(LEN(SUBSTITUTE(H752,"-","")),datos!$A$1:$B$12,2,0)</f>
        <v>7</v>
      </c>
      <c r="L752" s="138"/>
      <c r="M752" s="138" t="s">
        <v>0</v>
      </c>
    </row>
    <row r="753" spans="1:13" x14ac:dyDescent="0.35">
      <c r="A753" s="138" t="s">
        <v>487</v>
      </c>
      <c r="B753" s="138" t="s">
        <v>3809</v>
      </c>
      <c r="C753" s="138" t="s">
        <v>3913</v>
      </c>
      <c r="D753" s="138" t="s">
        <v>3914</v>
      </c>
      <c r="E753" s="138" t="s">
        <v>3952</v>
      </c>
      <c r="F753" s="138" t="s">
        <v>3824</v>
      </c>
      <c r="G753" s="138" t="s">
        <v>3938</v>
      </c>
      <c r="H753" s="81" t="str">
        <f>CONCATENATE(A753,"-",B753,"-",C753,"-",D753,"-",E753,"-",F753,"-",G753)</f>
        <v>TCCN-PTE-PSG-SAG-MBO-SES-RV2</v>
      </c>
      <c r="I753" s="138" t="str">
        <f>MID(H753,1,(LEN(H753)-VLOOKUP(K753,datos!$B$2:$C$12,2,0)))</f>
        <v>TCCN-PTE-PSG-SAG-MBO-SES-RV2</v>
      </c>
      <c r="J753" s="138" t="s">
        <v>6491</v>
      </c>
      <c r="K753" s="140">
        <f>VLOOKUP(LEN(SUBSTITUTE(H753,"-","")),datos!$A$1:$B$12,2,0)</f>
        <v>7</v>
      </c>
      <c r="L753" s="138"/>
      <c r="M753" s="138" t="s">
        <v>0</v>
      </c>
    </row>
    <row r="754" spans="1:13" x14ac:dyDescent="0.35">
      <c r="A754" s="138" t="s">
        <v>487</v>
      </c>
      <c r="B754" s="138" t="s">
        <v>3809</v>
      </c>
      <c r="C754" s="138" t="s">
        <v>3913</v>
      </c>
      <c r="D754" s="138" t="s">
        <v>3914</v>
      </c>
      <c r="E754" s="138" t="s">
        <v>3952</v>
      </c>
      <c r="F754" s="138" t="s">
        <v>3824</v>
      </c>
      <c r="G754" s="138" t="s">
        <v>3939</v>
      </c>
      <c r="H754" s="81" t="str">
        <f>CONCATENATE(A754,"-",B754,"-",C754,"-",D754,"-",E754,"-",F754,"-",G754)</f>
        <v>TCCN-PTE-PSG-SAG-MBO-SES-RV3</v>
      </c>
      <c r="I754" s="138" t="str">
        <f>MID(H754,1,(LEN(H754)-VLOOKUP(K754,datos!$B$2:$C$12,2,0)))</f>
        <v>TCCN-PTE-PSG-SAG-MBO-SES-RV3</v>
      </c>
      <c r="J754" s="138" t="s">
        <v>6492</v>
      </c>
      <c r="K754" s="140">
        <f>VLOOKUP(LEN(SUBSTITUTE(H754,"-","")),datos!$A$1:$B$12,2,0)</f>
        <v>7</v>
      </c>
      <c r="L754" s="138"/>
      <c r="M754" s="138" t="s">
        <v>0</v>
      </c>
    </row>
    <row r="755" spans="1:13" x14ac:dyDescent="0.35">
      <c r="A755" s="138" t="s">
        <v>487</v>
      </c>
      <c r="B755" s="138" t="s">
        <v>3809</v>
      </c>
      <c r="C755" s="138" t="s">
        <v>3913</v>
      </c>
      <c r="D755" s="138" t="s">
        <v>3914</v>
      </c>
      <c r="E755" s="138" t="s">
        <v>3952</v>
      </c>
      <c r="F755" s="138" t="s">
        <v>3824</v>
      </c>
      <c r="G755" s="138" t="s">
        <v>6953</v>
      </c>
      <c r="H755" s="81" t="str">
        <f t="shared" ref="H755:H758" si="83">CONCATENATE(A755,"-",B755,"-",C755,"-",D755,"-",E755,"-",F755,"-",G755)</f>
        <v>TCCN-PTE-PSG-SAG-MBO-SES-CE1</v>
      </c>
      <c r="I755" s="138" t="str">
        <f>MID(H755,1,(LEN(H755)-VLOOKUP(K755,datos!$B$2:$C$12,2,0)))</f>
        <v>TCCN-PTE-PSG-SAG-MBO-SES-CE1</v>
      </c>
      <c r="J755" s="138" t="s">
        <v>7026</v>
      </c>
      <c r="K755" s="140">
        <f>VLOOKUP(LEN(SUBSTITUTE(H755,"-","")),datos!$A$1:$B$12,2,0)</f>
        <v>7</v>
      </c>
      <c r="L755" s="138" t="s">
        <v>7030</v>
      </c>
      <c r="M755" s="138" t="s">
        <v>0</v>
      </c>
    </row>
    <row r="756" spans="1:13" x14ac:dyDescent="0.35">
      <c r="A756" s="138" t="s">
        <v>487</v>
      </c>
      <c r="B756" s="138" t="s">
        <v>3809</v>
      </c>
      <c r="C756" s="138" t="s">
        <v>3913</v>
      </c>
      <c r="D756" s="138" t="s">
        <v>3914</v>
      </c>
      <c r="E756" s="138" t="s">
        <v>3952</v>
      </c>
      <c r="F756" s="138" t="s">
        <v>3824</v>
      </c>
      <c r="G756" s="138" t="s">
        <v>6954</v>
      </c>
      <c r="H756" s="81" t="str">
        <f t="shared" si="83"/>
        <v>TCCN-PTE-PSG-SAG-MBO-SES-CE2</v>
      </c>
      <c r="I756" s="138" t="str">
        <f>MID(H756,1,(LEN(H756)-VLOOKUP(K756,datos!$B$2:$C$12,2,0)))</f>
        <v>TCCN-PTE-PSG-SAG-MBO-SES-CE2</v>
      </c>
      <c r="J756" s="138" t="s">
        <v>7027</v>
      </c>
      <c r="K756" s="140">
        <f>VLOOKUP(LEN(SUBSTITUTE(H756,"-","")),datos!$A$1:$B$12,2,0)</f>
        <v>7</v>
      </c>
      <c r="L756" s="138" t="s">
        <v>7031</v>
      </c>
      <c r="M756" s="138" t="s">
        <v>0</v>
      </c>
    </row>
    <row r="757" spans="1:13" x14ac:dyDescent="0.35">
      <c r="A757" s="138" t="s">
        <v>487</v>
      </c>
      <c r="B757" s="138" t="s">
        <v>3809</v>
      </c>
      <c r="C757" s="138" t="s">
        <v>3913</v>
      </c>
      <c r="D757" s="138" t="s">
        <v>3914</v>
      </c>
      <c r="E757" s="138" t="s">
        <v>3952</v>
      </c>
      <c r="F757" s="138" t="s">
        <v>3824</v>
      </c>
      <c r="G757" s="138" t="s">
        <v>6955</v>
      </c>
      <c r="H757" s="81" t="str">
        <f t="shared" si="83"/>
        <v>TCCN-PTE-PSG-SAG-MBO-SES-CE3</v>
      </c>
      <c r="I757" s="138" t="str">
        <f>MID(H757,1,(LEN(H757)-VLOOKUP(K757,datos!$B$2:$C$12,2,0)))</f>
        <v>TCCN-PTE-PSG-SAG-MBO-SES-CE3</v>
      </c>
      <c r="J757" s="138" t="s">
        <v>7028</v>
      </c>
      <c r="K757" s="140">
        <f>VLOOKUP(LEN(SUBSTITUTE(H757,"-","")),datos!$A$1:$B$12,2,0)</f>
        <v>7</v>
      </c>
      <c r="L757" s="138" t="s">
        <v>7032</v>
      </c>
      <c r="M757" s="138" t="s">
        <v>0</v>
      </c>
    </row>
    <row r="758" spans="1:13" x14ac:dyDescent="0.35">
      <c r="A758" s="138" t="s">
        <v>487</v>
      </c>
      <c r="B758" s="138" t="s">
        <v>3809</v>
      </c>
      <c r="C758" s="138" t="s">
        <v>3913</v>
      </c>
      <c r="D758" s="138" t="s">
        <v>3914</v>
      </c>
      <c r="E758" s="138" t="s">
        <v>3952</v>
      </c>
      <c r="F758" s="138" t="s">
        <v>3824</v>
      </c>
      <c r="G758" s="138" t="s">
        <v>6956</v>
      </c>
      <c r="H758" s="81" t="str">
        <f t="shared" si="83"/>
        <v>TCCN-PTE-PSG-SAG-MBO-SES-CE4</v>
      </c>
      <c r="I758" s="138" t="str">
        <f>MID(H758,1,(LEN(H758)-VLOOKUP(K758,datos!$B$2:$C$12,2,0)))</f>
        <v>TCCN-PTE-PSG-SAG-MBO-SES-CE4</v>
      </c>
      <c r="J758" s="138" t="s">
        <v>7029</v>
      </c>
      <c r="K758" s="140">
        <f>VLOOKUP(LEN(SUBSTITUTE(H758,"-","")),datos!$A$1:$B$12,2,0)</f>
        <v>7</v>
      </c>
      <c r="L758" s="138" t="s">
        <v>7033</v>
      </c>
      <c r="M758" s="138" t="s">
        <v>0</v>
      </c>
    </row>
    <row r="759" spans="1:13" x14ac:dyDescent="0.35">
      <c r="A759" s="137" t="s">
        <v>487</v>
      </c>
      <c r="B759" s="137" t="s">
        <v>3809</v>
      </c>
      <c r="C759" s="137" t="s">
        <v>3913</v>
      </c>
      <c r="D759" s="137" t="s">
        <v>3914</v>
      </c>
      <c r="E759" s="137" t="s">
        <v>3952</v>
      </c>
      <c r="F759" s="137" t="s">
        <v>3847</v>
      </c>
      <c r="G759" s="137"/>
      <c r="H759" s="82" t="str">
        <f t="shared" si="82"/>
        <v>TCCN-PTE-PSG-SAG-MBO-SMO-</v>
      </c>
      <c r="I759" s="137" t="str">
        <f>MID(H759,1,(LEN(H759)-VLOOKUP(K759,datos!$B$2:$C$12,2,0)))</f>
        <v>TCCN-PTE-PSG-SAG-MBO-SMO</v>
      </c>
      <c r="J759" s="137" t="s">
        <v>6480</v>
      </c>
      <c r="K759" s="139">
        <f>VLOOKUP(LEN(SUBSTITUTE(H759,"-","")),datos!$A$1:$B$12,2,0)</f>
        <v>6</v>
      </c>
      <c r="L759" s="137"/>
      <c r="M759" s="137" t="s">
        <v>0</v>
      </c>
    </row>
    <row r="760" spans="1:13" x14ac:dyDescent="0.35">
      <c r="A760" s="138" t="s">
        <v>487</v>
      </c>
      <c r="B760" s="138" t="s">
        <v>3809</v>
      </c>
      <c r="C760" s="138" t="s">
        <v>3913</v>
      </c>
      <c r="D760" s="138" t="s">
        <v>3914</v>
      </c>
      <c r="E760" s="138" t="s">
        <v>3952</v>
      </c>
      <c r="F760" s="138" t="s">
        <v>3847</v>
      </c>
      <c r="G760" s="138" t="s">
        <v>3819</v>
      </c>
      <c r="H760" s="81" t="str">
        <f t="shared" si="82"/>
        <v>TCCN-PTE-PSG-SAG-MBO-SMO-MOE</v>
      </c>
      <c r="I760" s="138" t="str">
        <f>MID(H760,1,(LEN(H760)-VLOOKUP(K760,datos!$B$2:$C$12,2,0)))</f>
        <v>TCCN-PTE-PSG-SAG-MBO-SMO-MOE</v>
      </c>
      <c r="J760" s="138" t="s">
        <v>6481</v>
      </c>
      <c r="K760" s="140">
        <f>VLOOKUP(LEN(SUBSTITUTE(H760,"-","")),datos!$A$1:$B$12,2,0)</f>
        <v>7</v>
      </c>
      <c r="L760" s="138" t="s">
        <v>6940</v>
      </c>
      <c r="M760" s="138" t="s">
        <v>0</v>
      </c>
    </row>
    <row r="761" spans="1:13" x14ac:dyDescent="0.35">
      <c r="A761" s="138" t="s">
        <v>487</v>
      </c>
      <c r="B761" s="138" t="s">
        <v>3809</v>
      </c>
      <c r="C761" s="138" t="s">
        <v>3913</v>
      </c>
      <c r="D761" s="138" t="s">
        <v>3914</v>
      </c>
      <c r="E761" s="138" t="s">
        <v>3952</v>
      </c>
      <c r="F761" s="138" t="s">
        <v>3847</v>
      </c>
      <c r="G761" s="138" t="s">
        <v>5445</v>
      </c>
      <c r="H761" s="81" t="str">
        <f t="shared" ref="H761:H765" si="84">CONCATENATE(A761,"-",B761,"-",C761,"-",D761,"-",E761,"-",F761,"-",G761)</f>
        <v>TCCN-PTE-PSG-SAG-MBO-SMO-VE1</v>
      </c>
      <c r="I761" s="138" t="str">
        <f>MID(H761,1,(LEN(H761)-VLOOKUP(K761,datos!$B$2:$C$12,2,0)))</f>
        <v>TCCN-PTE-PSG-SAG-MBO-SMO-VE1</v>
      </c>
      <c r="J761" s="138" t="s">
        <v>6947</v>
      </c>
      <c r="K761" s="140">
        <f>VLOOKUP(LEN(SUBSTITUTE(H761,"-","")),datos!$A$1:$B$12,2,0)</f>
        <v>7</v>
      </c>
      <c r="L761" s="138" t="s">
        <v>6943</v>
      </c>
      <c r="M761" s="138" t="s">
        <v>0</v>
      </c>
    </row>
    <row r="762" spans="1:13" x14ac:dyDescent="0.35">
      <c r="A762" s="138" t="s">
        <v>487</v>
      </c>
      <c r="B762" s="138" t="s">
        <v>3809</v>
      </c>
      <c r="C762" s="138" t="s">
        <v>3913</v>
      </c>
      <c r="D762" s="138" t="s">
        <v>3914</v>
      </c>
      <c r="E762" s="138" t="s">
        <v>3952</v>
      </c>
      <c r="F762" s="138" t="s">
        <v>3847</v>
      </c>
      <c r="G762" s="138" t="s">
        <v>5446</v>
      </c>
      <c r="H762" s="81" t="str">
        <f t="shared" si="84"/>
        <v>TCCN-PTE-PSG-SAG-MBO-SMO-VE2</v>
      </c>
      <c r="I762" s="138" t="str">
        <f>MID(H762,1,(LEN(H762)-VLOOKUP(K762,datos!$B$2:$C$12,2,0)))</f>
        <v>TCCN-PTE-PSG-SAG-MBO-SMO-VE2</v>
      </c>
      <c r="J762" s="138" t="s">
        <v>6948</v>
      </c>
      <c r="K762" s="140">
        <f>VLOOKUP(LEN(SUBSTITUTE(H762,"-","")),datos!$A$1:$B$12,2,0)</f>
        <v>7</v>
      </c>
      <c r="L762" s="138" t="s">
        <v>6944</v>
      </c>
      <c r="M762" s="138" t="s">
        <v>0</v>
      </c>
    </row>
    <row r="763" spans="1:13" x14ac:dyDescent="0.35">
      <c r="A763" s="138" t="s">
        <v>487</v>
      </c>
      <c r="B763" s="138" t="s">
        <v>3809</v>
      </c>
      <c r="C763" s="138" t="s">
        <v>3913</v>
      </c>
      <c r="D763" s="138" t="s">
        <v>3914</v>
      </c>
      <c r="E763" s="138" t="s">
        <v>3952</v>
      </c>
      <c r="F763" s="138" t="s">
        <v>3847</v>
      </c>
      <c r="G763" s="138" t="s">
        <v>6951</v>
      </c>
      <c r="H763" s="81" t="str">
        <f t="shared" si="84"/>
        <v>TCCN-PTE-PSG-SAG-MBO-SMO-VE3</v>
      </c>
      <c r="I763" s="138" t="str">
        <f>MID(H763,1,(LEN(H763)-VLOOKUP(K763,datos!$B$2:$C$12,2,0)))</f>
        <v>TCCN-PTE-PSG-SAG-MBO-SMO-VE3</v>
      </c>
      <c r="J763" s="138" t="s">
        <v>6949</v>
      </c>
      <c r="K763" s="140">
        <f>VLOOKUP(LEN(SUBSTITUTE(H763,"-","")),datos!$A$1:$B$12,2,0)</f>
        <v>7</v>
      </c>
      <c r="L763" s="138" t="s">
        <v>6945</v>
      </c>
      <c r="M763" s="138" t="s">
        <v>0</v>
      </c>
    </row>
    <row r="764" spans="1:13" x14ac:dyDescent="0.35">
      <c r="A764" s="138" t="s">
        <v>487</v>
      </c>
      <c r="B764" s="138" t="s">
        <v>3809</v>
      </c>
      <c r="C764" s="138" t="s">
        <v>3913</v>
      </c>
      <c r="D764" s="138" t="s">
        <v>3914</v>
      </c>
      <c r="E764" s="138" t="s">
        <v>3952</v>
      </c>
      <c r="F764" s="138" t="s">
        <v>3847</v>
      </c>
      <c r="G764" s="138" t="s">
        <v>6952</v>
      </c>
      <c r="H764" s="81" t="str">
        <f t="shared" si="84"/>
        <v>TCCN-PTE-PSG-SAG-MBO-SMO-VE4</v>
      </c>
      <c r="I764" s="138" t="str">
        <f>MID(H764,1,(LEN(H764)-VLOOKUP(K764,datos!$B$2:$C$12,2,0)))</f>
        <v>TCCN-PTE-PSG-SAG-MBO-SMO-VE4</v>
      </c>
      <c r="J764" s="138" t="s">
        <v>6950</v>
      </c>
      <c r="K764" s="140">
        <f>VLOOKUP(LEN(SUBSTITUTE(H764,"-","")),datos!$A$1:$B$12,2,0)</f>
        <v>7</v>
      </c>
      <c r="L764" s="138" t="s">
        <v>6946</v>
      </c>
      <c r="M764" s="138" t="s">
        <v>0</v>
      </c>
    </row>
    <row r="765" spans="1:13" x14ac:dyDescent="0.35">
      <c r="A765" s="138" t="s">
        <v>487</v>
      </c>
      <c r="B765" s="138" t="s">
        <v>3809</v>
      </c>
      <c r="C765" s="138" t="s">
        <v>3913</v>
      </c>
      <c r="D765" s="138" t="s">
        <v>3914</v>
      </c>
      <c r="E765" s="138" t="s">
        <v>3952</v>
      </c>
      <c r="F765" s="138" t="s">
        <v>3847</v>
      </c>
      <c r="G765" s="138" t="s">
        <v>5208</v>
      </c>
      <c r="H765" s="81" t="str">
        <f t="shared" si="84"/>
        <v>TCCN-PTE-PSG-SAG-MBO-SMO-CEC</v>
      </c>
      <c r="I765" s="138" t="str">
        <f>MID(H765,1,(LEN(H765)-VLOOKUP(K765,datos!$B$2:$C$12,2,0)))</f>
        <v>TCCN-PTE-PSG-SAG-MBO-SMO-CEC</v>
      </c>
      <c r="J765" s="138" t="s">
        <v>7215</v>
      </c>
      <c r="K765" s="140">
        <f>VLOOKUP(LEN(SUBSTITUTE(H765,"-","")),datos!$A$1:$B$12,2,0)</f>
        <v>7</v>
      </c>
      <c r="L765" s="138" t="s">
        <v>7216</v>
      </c>
      <c r="M765" s="138" t="s">
        <v>0</v>
      </c>
    </row>
    <row r="766" spans="1:13" x14ac:dyDescent="0.35">
      <c r="A766" s="138" t="s">
        <v>487</v>
      </c>
      <c r="B766" s="138" t="s">
        <v>3809</v>
      </c>
      <c r="C766" s="138" t="s">
        <v>3913</v>
      </c>
      <c r="D766" s="138" t="s">
        <v>3914</v>
      </c>
      <c r="E766" s="138" t="s">
        <v>3952</v>
      </c>
      <c r="F766" s="138" t="s">
        <v>3847</v>
      </c>
      <c r="G766" s="138" t="s">
        <v>3862</v>
      </c>
      <c r="H766" s="81" t="str">
        <f t="shared" si="82"/>
        <v>TCCN-PTE-PSG-SAG-MBO-SMO-ACP</v>
      </c>
      <c r="I766" s="138" t="str">
        <f>MID(H766,1,(LEN(H766)-VLOOKUP(K766,datos!$B$2:$C$12,2,0)))</f>
        <v>TCCN-PTE-PSG-SAG-MBO-SMO-ACP</v>
      </c>
      <c r="J766" s="138" t="s">
        <v>6482</v>
      </c>
      <c r="K766" s="140">
        <f>VLOOKUP(LEN(SUBSTITUTE(H766,"-","")),datos!$A$1:$B$12,2,0)</f>
        <v>7</v>
      </c>
      <c r="L766" s="138"/>
      <c r="M766" s="138" t="s">
        <v>0</v>
      </c>
    </row>
    <row r="767" spans="1:13" x14ac:dyDescent="0.35">
      <c r="A767" s="138" t="s">
        <v>487</v>
      </c>
      <c r="B767" s="138" t="s">
        <v>3809</v>
      </c>
      <c r="C767" s="138" t="s">
        <v>3913</v>
      </c>
      <c r="D767" s="138" t="s">
        <v>3914</v>
      </c>
      <c r="E767" s="138" t="s">
        <v>3952</v>
      </c>
      <c r="F767" s="138" t="s">
        <v>3847</v>
      </c>
      <c r="G767" s="138" t="s">
        <v>3929</v>
      </c>
      <c r="H767" s="81" t="str">
        <f t="shared" si="82"/>
        <v>TCCN-PTE-PSG-SAG-MBO-SMO-COR</v>
      </c>
      <c r="I767" s="138" t="str">
        <f>MID(H767,1,(LEN(H767)-VLOOKUP(K767,datos!$B$2:$C$12,2,0)))</f>
        <v>TCCN-PTE-PSG-SAG-MBO-SMO-COR</v>
      </c>
      <c r="J767" s="138" t="s">
        <v>6483</v>
      </c>
      <c r="K767" s="140">
        <f>VLOOKUP(LEN(SUBSTITUTE(H767,"-","")),datos!$A$1:$B$12,2,0)</f>
        <v>7</v>
      </c>
      <c r="L767" s="138"/>
      <c r="M767" s="138" t="s">
        <v>0</v>
      </c>
    </row>
    <row r="768" spans="1:13" x14ac:dyDescent="0.35">
      <c r="A768" s="138" t="s">
        <v>487</v>
      </c>
      <c r="B768" s="138" t="s">
        <v>3809</v>
      </c>
      <c r="C768" s="138" t="s">
        <v>3913</v>
      </c>
      <c r="D768" s="138" t="s">
        <v>3914</v>
      </c>
      <c r="E768" s="138" t="s">
        <v>3952</v>
      </c>
      <c r="F768" s="138" t="s">
        <v>3847</v>
      </c>
      <c r="G768" s="138" t="s">
        <v>3828</v>
      </c>
      <c r="H768" s="81" t="str">
        <f t="shared" si="82"/>
        <v>TCCN-PTE-PSG-SAG-MBO-SMO-PNN</v>
      </c>
      <c r="I768" s="138" t="str">
        <f>MID(H768,1,(LEN(H768)-VLOOKUP(K768,datos!$B$2:$C$12,2,0)))</f>
        <v>TCCN-PTE-PSG-SAG-MBO-SMO-PNN</v>
      </c>
      <c r="J768" s="138" t="s">
        <v>6484</v>
      </c>
      <c r="K768" s="140">
        <f>VLOOKUP(LEN(SUBSTITUTE(H768,"-","")),datos!$A$1:$B$12,2,0)</f>
        <v>7</v>
      </c>
      <c r="L768" s="138"/>
      <c r="M768" s="138" t="s">
        <v>0</v>
      </c>
    </row>
    <row r="769" spans="1:13" x14ac:dyDescent="0.35">
      <c r="A769" s="137" t="s">
        <v>487</v>
      </c>
      <c r="B769" s="137" t="s">
        <v>3809</v>
      </c>
      <c r="C769" s="137" t="s">
        <v>3913</v>
      </c>
      <c r="D769" s="137" t="s">
        <v>3914</v>
      </c>
      <c r="E769" s="137" t="s">
        <v>3952</v>
      </c>
      <c r="F769" s="137" t="s">
        <v>3930</v>
      </c>
      <c r="G769" s="137"/>
      <c r="H769" s="82" t="str">
        <f t="shared" si="82"/>
        <v>TCCN-PTE-PSG-SAG-MBO-SFR-</v>
      </c>
      <c r="I769" s="137" t="str">
        <f>MID(H769,1,(LEN(H769)-VLOOKUP(K769,datos!$B$2:$C$12,2,0)))</f>
        <v>TCCN-PTE-PSG-SAG-MBO-SFR</v>
      </c>
      <c r="J769" s="137" t="s">
        <v>6485</v>
      </c>
      <c r="K769" s="139">
        <f>VLOOKUP(LEN(SUBSTITUTE(H769,"-","")),datos!$A$1:$B$12,2,0)</f>
        <v>6</v>
      </c>
      <c r="L769" s="137"/>
      <c r="M769" s="137" t="s">
        <v>0</v>
      </c>
    </row>
    <row r="770" spans="1:13" x14ac:dyDescent="0.35">
      <c r="A770" s="138" t="s">
        <v>487</v>
      </c>
      <c r="B770" s="138" t="s">
        <v>3809</v>
      </c>
      <c r="C770" s="138" t="s">
        <v>3913</v>
      </c>
      <c r="D770" s="138" t="s">
        <v>3914</v>
      </c>
      <c r="E770" s="138" t="s">
        <v>3952</v>
      </c>
      <c r="F770" s="138" t="s">
        <v>3930</v>
      </c>
      <c r="G770" s="138" t="s">
        <v>3819</v>
      </c>
      <c r="H770" s="81" t="str">
        <f t="shared" si="82"/>
        <v>TCCN-PTE-PSG-SAG-MBO-SFR-MOE</v>
      </c>
      <c r="I770" s="138" t="str">
        <f>MID(H770,1,(LEN(H770)-VLOOKUP(K770,datos!$B$2:$C$12,2,0)))</f>
        <v>TCCN-PTE-PSG-SAG-MBO-SFR-MOE</v>
      </c>
      <c r="J770" s="138" t="s">
        <v>6957</v>
      </c>
      <c r="K770" s="140">
        <f>VLOOKUP(LEN(SUBSTITUTE(H770,"-","")),datos!$A$1:$B$12,2,0)</f>
        <v>7</v>
      </c>
      <c r="L770" s="138"/>
      <c r="M770" s="138" t="s">
        <v>0</v>
      </c>
    </row>
    <row r="771" spans="1:13" x14ac:dyDescent="0.35">
      <c r="A771" s="138" t="s">
        <v>487</v>
      </c>
      <c r="B771" s="138" t="s">
        <v>3809</v>
      </c>
      <c r="C771" s="138" t="s">
        <v>3913</v>
      </c>
      <c r="D771" s="138" t="s">
        <v>3914</v>
      </c>
      <c r="E771" s="138" t="s">
        <v>3952</v>
      </c>
      <c r="F771" s="138" t="s">
        <v>3930</v>
      </c>
      <c r="G771" s="138" t="s">
        <v>3931</v>
      </c>
      <c r="H771" s="81" t="str">
        <f t="shared" si="82"/>
        <v>TCCN-PTE-PSG-SAG-MBO-SFR-MOR</v>
      </c>
      <c r="I771" s="138" t="str">
        <f>MID(H771,1,(LEN(H771)-VLOOKUP(K771,datos!$B$2:$C$12,2,0)))</f>
        <v>TCCN-PTE-PSG-SAG-MBO-SFR-MOR</v>
      </c>
      <c r="J771" s="138" t="s">
        <v>6958</v>
      </c>
      <c r="K771" s="140">
        <f>VLOOKUP(LEN(SUBSTITUTE(H771,"-","")),datos!$A$1:$B$12,2,0)</f>
        <v>7</v>
      </c>
      <c r="L771" s="138"/>
      <c r="M771" s="138" t="s">
        <v>0</v>
      </c>
    </row>
    <row r="772" spans="1:13" x14ac:dyDescent="0.35">
      <c r="A772" s="137" t="s">
        <v>487</v>
      </c>
      <c r="B772" s="137" t="s">
        <v>3809</v>
      </c>
      <c r="C772" s="137" t="s">
        <v>3913</v>
      </c>
      <c r="D772" s="137" t="s">
        <v>3914</v>
      </c>
      <c r="E772" s="137" t="s">
        <v>3952</v>
      </c>
      <c r="F772" s="137" t="s">
        <v>3933</v>
      </c>
      <c r="G772" s="137"/>
      <c r="H772" s="82" t="str">
        <f t="shared" si="82"/>
        <v>TCCN-PTE-PSG-SAG-MBO-SGR-</v>
      </c>
      <c r="I772" s="137" t="str">
        <f>MID(H772,1,(LEN(H772)-VLOOKUP(K772,datos!$B$2:$C$12,2,0)))</f>
        <v>TCCN-PTE-PSG-SAG-MBO-SGR</v>
      </c>
      <c r="J772" s="137" t="s">
        <v>7022</v>
      </c>
      <c r="K772" s="139">
        <f>VLOOKUP(LEN(SUBSTITUTE(H772,"-","")),datos!$A$1:$B$12,2,0)</f>
        <v>6</v>
      </c>
      <c r="L772" s="137" t="s">
        <v>7021</v>
      </c>
      <c r="M772" s="137" t="s">
        <v>0</v>
      </c>
    </row>
    <row r="773" spans="1:13" x14ac:dyDescent="0.35">
      <c r="A773" s="138" t="s">
        <v>487</v>
      </c>
      <c r="B773" s="138" t="s">
        <v>3809</v>
      </c>
      <c r="C773" s="138" t="s">
        <v>3913</v>
      </c>
      <c r="D773" s="138" t="s">
        <v>3914</v>
      </c>
      <c r="E773" s="138" t="s">
        <v>3952</v>
      </c>
      <c r="F773" s="138" t="s">
        <v>3933</v>
      </c>
      <c r="G773" s="138" t="s">
        <v>3818</v>
      </c>
      <c r="H773" s="81" t="str">
        <f t="shared" si="82"/>
        <v>TCCN-PTE-PSG-SAG-MBO-SGR-BBA</v>
      </c>
      <c r="I773" s="138" t="str">
        <f>MID(H773,1,(LEN(H773)-VLOOKUP(K773,datos!$B$2:$C$12,2,0)))</f>
        <v>TCCN-PTE-PSG-SAG-MBO-SGR-BBA</v>
      </c>
      <c r="J773" s="138" t="s">
        <v>7023</v>
      </c>
      <c r="K773" s="140">
        <f>VLOOKUP(LEN(SUBSTITUTE(H773,"-","")),datos!$A$1:$B$12,2,0)</f>
        <v>7</v>
      </c>
      <c r="L773" s="138" t="s">
        <v>7024</v>
      </c>
      <c r="M773" s="138" t="s">
        <v>0</v>
      </c>
    </row>
    <row r="774" spans="1:13" x14ac:dyDescent="0.35">
      <c r="A774" s="138" t="s">
        <v>487</v>
      </c>
      <c r="B774" s="138" t="s">
        <v>3809</v>
      </c>
      <c r="C774" s="138" t="s">
        <v>3913</v>
      </c>
      <c r="D774" s="138" t="s">
        <v>3914</v>
      </c>
      <c r="E774" s="138" t="s">
        <v>3952</v>
      </c>
      <c r="F774" s="138" t="s">
        <v>3933</v>
      </c>
      <c r="G774" s="138" t="s">
        <v>5208</v>
      </c>
      <c r="H774" s="81" t="str">
        <f t="shared" si="82"/>
        <v>TCCN-PTE-PSG-SAG-MBO-SGR-CEC</v>
      </c>
      <c r="I774" s="138" t="str">
        <f>MID(H774,1,(LEN(H774)-VLOOKUP(K774,datos!$B$2:$C$12,2,0)))</f>
        <v>TCCN-PTE-PSG-SAG-MBO-SGR-CEC</v>
      </c>
      <c r="J774" s="138" t="s">
        <v>7217</v>
      </c>
      <c r="K774" s="140">
        <f>VLOOKUP(LEN(SUBSTITUTE(H774,"-","")),datos!$A$1:$B$12,2,0)</f>
        <v>7</v>
      </c>
      <c r="L774" s="138" t="s">
        <v>7025</v>
      </c>
      <c r="M774" s="138" t="s">
        <v>0</v>
      </c>
    </row>
    <row r="775" spans="1:13" x14ac:dyDescent="0.35">
      <c r="A775" s="137" t="s">
        <v>487</v>
      </c>
      <c r="B775" s="137" t="s">
        <v>3809</v>
      </c>
      <c r="C775" s="137" t="s">
        <v>3913</v>
      </c>
      <c r="D775" s="137" t="s">
        <v>3914</v>
      </c>
      <c r="E775" s="137" t="s">
        <v>3952</v>
      </c>
      <c r="F775" s="137" t="s">
        <v>3934</v>
      </c>
      <c r="G775" s="137"/>
      <c r="H775" s="82" t="str">
        <f t="shared" si="82"/>
        <v>TCCN-PTE-PSG-SAG-MBO-SLE-</v>
      </c>
      <c r="I775" s="137" t="str">
        <f>MID(H775,1,(LEN(H775)-VLOOKUP(K775,datos!$B$2:$C$12,2,0)))</f>
        <v>TCCN-PTE-PSG-SAG-MBO-SLE</v>
      </c>
      <c r="J775" s="137" t="s">
        <v>6487</v>
      </c>
      <c r="K775" s="139">
        <f>VLOOKUP(LEN(SUBSTITUTE(H775,"-","")),datos!$A$1:$B$12,2,0)</f>
        <v>6</v>
      </c>
      <c r="L775" s="137"/>
      <c r="M775" s="137" t="s">
        <v>0</v>
      </c>
    </row>
    <row r="776" spans="1:13" x14ac:dyDescent="0.35">
      <c r="A776" s="138" t="s">
        <v>487</v>
      </c>
      <c r="B776" s="138" t="s">
        <v>3809</v>
      </c>
      <c r="C776" s="138" t="s">
        <v>3913</v>
      </c>
      <c r="D776" s="138" t="s">
        <v>3914</v>
      </c>
      <c r="E776" s="138" t="s">
        <v>3952</v>
      </c>
      <c r="F776" s="138" t="s">
        <v>3934</v>
      </c>
      <c r="G776" s="138" t="s">
        <v>3830</v>
      </c>
      <c r="H776" s="81" t="str">
        <f t="shared" si="82"/>
        <v>TCCN-PTE-PSG-SAG-MBO-SLE-PLA</v>
      </c>
      <c r="I776" s="138" t="str">
        <f>MID(H776,1,(LEN(H776)-VLOOKUP(K776,datos!$B$2:$C$12,2,0)))</f>
        <v>TCCN-PTE-PSG-SAG-MBO-SLE-PLA</v>
      </c>
      <c r="J776" s="138" t="s">
        <v>6488</v>
      </c>
      <c r="K776" s="140">
        <f>VLOOKUP(LEN(SUBSTITUTE(H776,"-","")),datos!$A$1:$B$12,2,0)</f>
        <v>7</v>
      </c>
      <c r="L776" s="138"/>
      <c r="M776" s="138" t="s">
        <v>0</v>
      </c>
    </row>
    <row r="777" spans="1:13" x14ac:dyDescent="0.35">
      <c r="A777" s="138" t="s">
        <v>487</v>
      </c>
      <c r="B777" s="138" t="s">
        <v>3809</v>
      </c>
      <c r="C777" s="138" t="s">
        <v>3913</v>
      </c>
      <c r="D777" s="138" t="s">
        <v>3914</v>
      </c>
      <c r="E777" s="138" t="s">
        <v>3952</v>
      </c>
      <c r="F777" s="138" t="s">
        <v>3934</v>
      </c>
      <c r="G777" s="138" t="s">
        <v>3818</v>
      </c>
      <c r="H777" s="81" t="str">
        <f t="shared" si="82"/>
        <v>TCCN-PTE-PSG-SAG-MBO-SLE-BBA</v>
      </c>
      <c r="I777" s="138" t="str">
        <f>MID(H777,1,(LEN(H777)-VLOOKUP(K777,datos!$B$2:$C$12,2,0)))</f>
        <v>TCCN-PTE-PSG-SAG-MBO-SLE-BBA</v>
      </c>
      <c r="J777" s="138" t="s">
        <v>6489</v>
      </c>
      <c r="K777" s="140">
        <f>VLOOKUP(LEN(SUBSTITUTE(H777,"-","")),datos!$A$1:$B$12,2,0)</f>
        <v>7</v>
      </c>
      <c r="L777" s="138"/>
      <c r="M777" s="138" t="s">
        <v>0</v>
      </c>
    </row>
    <row r="778" spans="1:13" x14ac:dyDescent="0.35">
      <c r="A778" s="138" t="s">
        <v>487</v>
      </c>
      <c r="B778" s="138" t="s">
        <v>3809</v>
      </c>
      <c r="C778" s="138" t="s">
        <v>3913</v>
      </c>
      <c r="D778" s="138" t="s">
        <v>3914</v>
      </c>
      <c r="E778" s="138" t="s">
        <v>3952</v>
      </c>
      <c r="F778" s="138" t="s">
        <v>3934</v>
      </c>
      <c r="G778" s="138" t="s">
        <v>3819</v>
      </c>
      <c r="H778" s="81" t="str">
        <f t="shared" si="82"/>
        <v>TCCN-PTE-PSG-SAG-MBO-SLE-MOE</v>
      </c>
      <c r="I778" s="138" t="str">
        <f>MID(H778,1,(LEN(H778)-VLOOKUP(K778,datos!$B$2:$C$12,2,0)))</f>
        <v>TCCN-PTE-PSG-SAG-MBO-SLE-MOE</v>
      </c>
      <c r="J778" s="138" t="s">
        <v>6481</v>
      </c>
      <c r="K778" s="140">
        <f>VLOOKUP(LEN(SUBSTITUTE(H778,"-","")),datos!$A$1:$B$12,2,0)</f>
        <v>7</v>
      </c>
      <c r="L778" s="138"/>
      <c r="M778" s="138" t="s">
        <v>0</v>
      </c>
    </row>
    <row r="779" spans="1:13" x14ac:dyDescent="0.35">
      <c r="A779" s="137" t="s">
        <v>487</v>
      </c>
      <c r="B779" s="137" t="s">
        <v>3809</v>
      </c>
      <c r="C779" s="137" t="s">
        <v>3913</v>
      </c>
      <c r="D779" s="137" t="s">
        <v>3914</v>
      </c>
      <c r="E779" s="137" t="s">
        <v>3952</v>
      </c>
      <c r="F779" s="137" t="s">
        <v>3816</v>
      </c>
      <c r="G779" s="137"/>
      <c r="H779" s="82" t="str">
        <f t="shared" si="82"/>
        <v>TCCN-PTE-PSG-SAG-MBO-SHI-</v>
      </c>
      <c r="I779" s="137" t="str">
        <f>MID(H779,1,(LEN(H779)-VLOOKUP(K779,datos!$B$2:$C$12,2,0)))</f>
        <v>TCCN-PTE-PSG-SAG-MBO-SHI</v>
      </c>
      <c r="J779" s="137" t="s">
        <v>6959</v>
      </c>
      <c r="K779" s="139">
        <f>VLOOKUP(LEN(SUBSTITUTE(H779,"-","")),datos!$A$1:$B$12,2,0)</f>
        <v>6</v>
      </c>
      <c r="L779" s="137" t="s">
        <v>1648</v>
      </c>
      <c r="M779" s="137" t="s">
        <v>0</v>
      </c>
    </row>
    <row r="780" spans="1:13" x14ac:dyDescent="0.35">
      <c r="A780" s="138" t="s">
        <v>487</v>
      </c>
      <c r="B780" s="138" t="s">
        <v>3809</v>
      </c>
      <c r="C780" s="138" t="s">
        <v>3913</v>
      </c>
      <c r="D780" s="138" t="s">
        <v>3914</v>
      </c>
      <c r="E780" s="138" t="s">
        <v>3952</v>
      </c>
      <c r="F780" s="138" t="s">
        <v>3816</v>
      </c>
      <c r="G780" s="138" t="s">
        <v>3820</v>
      </c>
      <c r="H780" s="81" t="str">
        <f t="shared" ref="H780" si="85">CONCATENATE(A780,"-",B780,"-",C780,"-",D780,"-",E780,"-",F780,"-",G780)</f>
        <v>TCCN-PTE-PSG-SAG-MBO-SHI-CUH</v>
      </c>
      <c r="I780" s="138" t="str">
        <f>MID(H780,1,(LEN(H780)-VLOOKUP(K780,datos!$B$2:$C$12,2,0)))</f>
        <v>TCCN-PTE-PSG-SAG-MBO-SHI-CUH</v>
      </c>
      <c r="J780" s="138" t="s">
        <v>6960</v>
      </c>
      <c r="K780" s="140">
        <f>VLOOKUP(LEN(SUBSTITUTE(H780,"-","")),datos!$A$1:$B$12,2,0)</f>
        <v>7</v>
      </c>
      <c r="L780" s="138" t="s">
        <v>6961</v>
      </c>
      <c r="M780" s="138" t="s">
        <v>0</v>
      </c>
    </row>
    <row r="781" spans="1:13" x14ac:dyDescent="0.35">
      <c r="A781" s="138" t="s">
        <v>487</v>
      </c>
      <c r="B781" s="138" t="s">
        <v>3809</v>
      </c>
      <c r="C781" s="138" t="s">
        <v>3913</v>
      </c>
      <c r="D781" s="138" t="s">
        <v>3914</v>
      </c>
      <c r="E781" s="138" t="s">
        <v>3952</v>
      </c>
      <c r="F781" s="138" t="s">
        <v>3816</v>
      </c>
      <c r="G781" s="138" t="s">
        <v>3953</v>
      </c>
      <c r="H781" s="81" t="str">
        <f t="shared" si="82"/>
        <v>TCCN-PTE-PSG-SAG-MBO-SHI-BB1</v>
      </c>
      <c r="I781" s="138" t="str">
        <f>MID(H781,1,(LEN(H781)-VLOOKUP(K781,datos!$B$2:$C$12,2,0)))</f>
        <v>TCCN-PTE-PSG-SAG-MBO-SHI-BB1</v>
      </c>
      <c r="J781" s="138" t="s">
        <v>6493</v>
      </c>
      <c r="K781" s="140">
        <f>VLOOKUP(LEN(SUBSTITUTE(H781,"-","")),datos!$A$1:$B$12,2,0)</f>
        <v>7</v>
      </c>
      <c r="L781" s="138" t="s">
        <v>6942</v>
      </c>
      <c r="M781" s="138" t="s">
        <v>0</v>
      </c>
    </row>
    <row r="782" spans="1:13" x14ac:dyDescent="0.35">
      <c r="A782" s="138" t="s">
        <v>487</v>
      </c>
      <c r="B782" s="138" t="s">
        <v>3809</v>
      </c>
      <c r="C782" s="138" t="s">
        <v>3913</v>
      </c>
      <c r="D782" s="138" t="s">
        <v>3914</v>
      </c>
      <c r="E782" s="138" t="s">
        <v>3952</v>
      </c>
      <c r="F782" s="138" t="s">
        <v>3816</v>
      </c>
      <c r="G782" s="138" t="s">
        <v>3942</v>
      </c>
      <c r="H782" s="81" t="str">
        <f t="shared" ref="H782" si="86">CONCATENATE(A782,"-",B782,"-",C782,"-",D782,"-",E782,"-",F782,"-",G782)</f>
        <v>TCCN-PTE-PSG-SAG-MBO-SHI-BB2</v>
      </c>
      <c r="I782" s="138" t="str">
        <f>MID(H782,1,(LEN(H782)-VLOOKUP(K782,datos!$B$2:$C$12,2,0)))</f>
        <v>TCCN-PTE-PSG-SAG-MBO-SHI-BB2</v>
      </c>
      <c r="J782" s="138" t="s">
        <v>6962</v>
      </c>
      <c r="K782" s="140">
        <f>VLOOKUP(LEN(SUBSTITUTE(H782,"-","")),datos!$A$1:$B$12,2,0)</f>
        <v>7</v>
      </c>
      <c r="L782" s="138" t="s">
        <v>6963</v>
      </c>
      <c r="M782" s="138" t="s">
        <v>0</v>
      </c>
    </row>
    <row r="783" spans="1:13" x14ac:dyDescent="0.35">
      <c r="A783" s="138" t="s">
        <v>487</v>
      </c>
      <c r="B783" s="138" t="s">
        <v>3809</v>
      </c>
      <c r="C783" s="138" t="s">
        <v>3913</v>
      </c>
      <c r="D783" s="138" t="s">
        <v>3914</v>
      </c>
      <c r="E783" s="138" t="s">
        <v>3952</v>
      </c>
      <c r="F783" s="138" t="s">
        <v>3816</v>
      </c>
      <c r="G783" s="138" t="s">
        <v>4095</v>
      </c>
      <c r="H783" s="81" t="str">
        <f t="shared" si="82"/>
        <v>TCCN-PTE-PSG-SAG-MBO-SHI-ACU</v>
      </c>
      <c r="I783" s="138" t="str">
        <f>MID(H783,1,(LEN(H783)-VLOOKUP(K783,datos!$B$2:$C$12,2,0)))</f>
        <v>TCCN-PTE-PSG-SAG-MBO-SHI-ACU</v>
      </c>
      <c r="J783" s="138" t="s">
        <v>6496</v>
      </c>
      <c r="K783" s="140">
        <f>VLOOKUP(LEN(SUBSTITUTE(H783,"-","")),datos!$A$1:$B$12,2,0)</f>
        <v>7</v>
      </c>
      <c r="L783" s="138"/>
      <c r="M783" s="138" t="s">
        <v>0</v>
      </c>
    </row>
    <row r="784" spans="1:13" x14ac:dyDescent="0.35">
      <c r="A784" s="138" t="s">
        <v>487</v>
      </c>
      <c r="B784" s="138" t="s">
        <v>3809</v>
      </c>
      <c r="C784" s="138" t="s">
        <v>3913</v>
      </c>
      <c r="D784" s="138" t="s">
        <v>3914</v>
      </c>
      <c r="E784" s="138" t="s">
        <v>3952</v>
      </c>
      <c r="F784" s="138" t="s">
        <v>3816</v>
      </c>
      <c r="G784" s="138" t="s">
        <v>3853</v>
      </c>
      <c r="H784" s="81" t="str">
        <f t="shared" si="82"/>
        <v>TCCN-PTE-PSG-SAG-MBO-SHI-EST</v>
      </c>
      <c r="I784" s="138" t="str">
        <f>MID(H784,1,(LEN(H784)-VLOOKUP(K784,datos!$B$2:$C$12,2,0)))</f>
        <v>TCCN-PTE-PSG-SAG-MBO-SHI-EST</v>
      </c>
      <c r="J784" s="138" t="s">
        <v>6494</v>
      </c>
      <c r="K784" s="140">
        <f>VLOOKUP(LEN(SUBSTITUTE(H784,"-","")),datos!$A$1:$B$12,2,0)</f>
        <v>7</v>
      </c>
      <c r="L784" s="138"/>
      <c r="M784" s="138" t="s">
        <v>0</v>
      </c>
    </row>
    <row r="785" spans="1:13" x14ac:dyDescent="0.35">
      <c r="A785" s="138" t="s">
        <v>487</v>
      </c>
      <c r="B785" s="138" t="s">
        <v>3809</v>
      </c>
      <c r="C785" s="138" t="s">
        <v>3913</v>
      </c>
      <c r="D785" s="138" t="s">
        <v>3914</v>
      </c>
      <c r="E785" s="138" t="s">
        <v>3952</v>
      </c>
      <c r="F785" s="138" t="s">
        <v>3816</v>
      </c>
      <c r="G785" s="138" t="s">
        <v>3819</v>
      </c>
      <c r="H785" s="81" t="str">
        <f t="shared" si="82"/>
        <v>TCCN-PTE-PSG-SAG-MBO-SHI-MOE</v>
      </c>
      <c r="I785" s="138" t="str">
        <f>MID(H785,1,(LEN(H785)-VLOOKUP(K785,datos!$B$2:$C$12,2,0)))</f>
        <v>TCCN-PTE-PSG-SAG-MBO-SHI-MOE</v>
      </c>
      <c r="J785" s="138" t="s">
        <v>6495</v>
      </c>
      <c r="K785" s="140">
        <f>VLOOKUP(LEN(SUBSTITUTE(H785,"-","")),datos!$A$1:$B$12,2,0)</f>
        <v>7</v>
      </c>
      <c r="L785" s="138" t="s">
        <v>6941</v>
      </c>
      <c r="M785" s="138" t="s">
        <v>0</v>
      </c>
    </row>
    <row r="786" spans="1:13" x14ac:dyDescent="0.35">
      <c r="A786" s="137" t="s">
        <v>487</v>
      </c>
      <c r="B786" s="137" t="s">
        <v>3809</v>
      </c>
      <c r="C786" s="137" t="s">
        <v>3913</v>
      </c>
      <c r="D786" s="137" t="s">
        <v>3914</v>
      </c>
      <c r="E786" s="137" t="s">
        <v>3952</v>
      </c>
      <c r="F786" s="137" t="s">
        <v>3915</v>
      </c>
      <c r="G786" s="137"/>
      <c r="H786" s="82" t="str">
        <f t="shared" si="82"/>
        <v>TCCN-PTE-PSG-SAG-MBO-SL1-</v>
      </c>
      <c r="I786" s="137" t="str">
        <f>MID(H786,1,(LEN(H786)-VLOOKUP(K786,datos!$B$2:$C$12,2,0)))</f>
        <v>TCCN-PTE-PSG-SAG-MBO-SL1</v>
      </c>
      <c r="J786" s="137" t="s">
        <v>6486</v>
      </c>
      <c r="K786" s="139">
        <f>VLOOKUP(LEN(SUBSTITUTE(H786,"-","")),datos!$A$1:$B$12,2,0)</f>
        <v>6</v>
      </c>
      <c r="L786" s="137"/>
      <c r="M786" s="137" t="s">
        <v>0</v>
      </c>
    </row>
    <row r="787" spans="1:13" x14ac:dyDescent="0.35">
      <c r="A787" s="138" t="s">
        <v>487</v>
      </c>
      <c r="B787" s="138" t="s">
        <v>3809</v>
      </c>
      <c r="C787" s="138" t="s">
        <v>3913</v>
      </c>
      <c r="D787" s="138" t="s">
        <v>3914</v>
      </c>
      <c r="E787" s="138" t="s">
        <v>3952</v>
      </c>
      <c r="F787" s="138" t="s">
        <v>3915</v>
      </c>
      <c r="G787" s="138" t="s">
        <v>7008</v>
      </c>
      <c r="H787" s="81" t="str">
        <f t="shared" si="82"/>
        <v>TCCN-PTE-PSG-SAG-MBO-SL1-UD1</v>
      </c>
      <c r="I787" s="138" t="str">
        <f>MID(H787,1,(LEN(H787)-VLOOKUP(K787,datos!$B$2:$C$12,2,0)))</f>
        <v>TCCN-PTE-PSG-SAG-MBO-SL1-UD1</v>
      </c>
      <c r="J787" s="138" t="s">
        <v>7009</v>
      </c>
      <c r="K787" s="140">
        <f>VLOOKUP(LEN(SUBSTITUTE(H787,"-","")),datos!$A$1:$B$12,2,0)</f>
        <v>7</v>
      </c>
      <c r="L787" s="138" t="s">
        <v>6964</v>
      </c>
      <c r="M787" s="138" t="s">
        <v>0</v>
      </c>
    </row>
    <row r="788" spans="1:13" x14ac:dyDescent="0.35">
      <c r="A788" s="138" t="s">
        <v>487</v>
      </c>
      <c r="B788" s="138" t="s">
        <v>3809</v>
      </c>
      <c r="C788" s="138" t="s">
        <v>3913</v>
      </c>
      <c r="D788" s="138" t="s">
        <v>3914</v>
      </c>
      <c r="E788" s="138" t="s">
        <v>3952</v>
      </c>
      <c r="F788" s="138" t="s">
        <v>3915</v>
      </c>
      <c r="G788" s="138" t="s">
        <v>6953</v>
      </c>
      <c r="H788" s="81" t="str">
        <f t="shared" ref="H788:H804" si="87">CONCATENATE(A788,"-",B788,"-",C788,"-",D788,"-",E788,"-",F788,"-",G788)</f>
        <v>TCCN-PTE-PSG-SAG-MBO-SL1-CE1</v>
      </c>
      <c r="I788" s="138" t="str">
        <f>MID(H788,1,(LEN(H788)-VLOOKUP(K788,datos!$B$2:$C$12,2,0)))</f>
        <v>TCCN-PTE-PSG-SAG-MBO-SL1-CE1</v>
      </c>
      <c r="J788" s="138" t="s">
        <v>6965</v>
      </c>
      <c r="K788" s="140">
        <f>VLOOKUP(LEN(SUBSTITUTE(H788,"-","")),datos!$A$1:$B$12,2,0)</f>
        <v>7</v>
      </c>
      <c r="L788" s="138" t="s">
        <v>6971</v>
      </c>
      <c r="M788" s="138" t="s">
        <v>0</v>
      </c>
    </row>
    <row r="789" spans="1:13" x14ac:dyDescent="0.35">
      <c r="A789" s="138" t="s">
        <v>487</v>
      </c>
      <c r="B789" s="138" t="s">
        <v>3809</v>
      </c>
      <c r="C789" s="138" t="s">
        <v>3913</v>
      </c>
      <c r="D789" s="138" t="s">
        <v>3914</v>
      </c>
      <c r="E789" s="138" t="s">
        <v>3952</v>
      </c>
      <c r="F789" s="138" t="s">
        <v>3915</v>
      </c>
      <c r="G789" s="138" t="s">
        <v>6954</v>
      </c>
      <c r="H789" s="81" t="str">
        <f t="shared" si="87"/>
        <v>TCCN-PTE-PSG-SAG-MBO-SL1-CE2</v>
      </c>
      <c r="I789" s="138" t="str">
        <f>MID(H789,1,(LEN(H789)-VLOOKUP(K789,datos!$B$2:$C$12,2,0)))</f>
        <v>TCCN-PTE-PSG-SAG-MBO-SL1-CE2</v>
      </c>
      <c r="J789" s="138" t="s">
        <v>6966</v>
      </c>
      <c r="K789" s="140">
        <f>VLOOKUP(LEN(SUBSTITUTE(H789,"-","")),datos!$A$1:$B$12,2,0)</f>
        <v>7</v>
      </c>
      <c r="L789" s="138" t="s">
        <v>6972</v>
      </c>
      <c r="M789" s="138" t="s">
        <v>0</v>
      </c>
    </row>
    <row r="790" spans="1:13" x14ac:dyDescent="0.35">
      <c r="A790" s="138" t="s">
        <v>487</v>
      </c>
      <c r="B790" s="138" t="s">
        <v>3809</v>
      </c>
      <c r="C790" s="138" t="s">
        <v>3913</v>
      </c>
      <c r="D790" s="138" t="s">
        <v>3914</v>
      </c>
      <c r="E790" s="138" t="s">
        <v>3952</v>
      </c>
      <c r="F790" s="138" t="s">
        <v>3915</v>
      </c>
      <c r="G790" s="138" t="s">
        <v>6955</v>
      </c>
      <c r="H790" s="81" t="str">
        <f t="shared" si="87"/>
        <v>TCCN-PTE-PSG-SAG-MBO-SL1-CE3</v>
      </c>
      <c r="I790" s="138" t="str">
        <f>MID(H790,1,(LEN(H790)-VLOOKUP(K790,datos!$B$2:$C$12,2,0)))</f>
        <v>TCCN-PTE-PSG-SAG-MBO-SL1-CE3</v>
      </c>
      <c r="J790" s="138" t="s">
        <v>6967</v>
      </c>
      <c r="K790" s="140">
        <f>VLOOKUP(LEN(SUBSTITUTE(H790,"-","")),datos!$A$1:$B$12,2,0)</f>
        <v>7</v>
      </c>
      <c r="L790" s="138" t="s">
        <v>6973</v>
      </c>
      <c r="M790" s="138" t="s">
        <v>0</v>
      </c>
    </row>
    <row r="791" spans="1:13" x14ac:dyDescent="0.35">
      <c r="A791" s="138" t="s">
        <v>487</v>
      </c>
      <c r="B791" s="138" t="s">
        <v>3809</v>
      </c>
      <c r="C791" s="138" t="s">
        <v>3913</v>
      </c>
      <c r="D791" s="138" t="s">
        <v>3914</v>
      </c>
      <c r="E791" s="138" t="s">
        <v>3952</v>
      </c>
      <c r="F791" s="138" t="s">
        <v>3915</v>
      </c>
      <c r="G791" s="138" t="s">
        <v>6956</v>
      </c>
      <c r="H791" s="81" t="str">
        <f t="shared" si="87"/>
        <v>TCCN-PTE-PSG-SAG-MBO-SL1-CE4</v>
      </c>
      <c r="I791" s="138" t="str">
        <f>MID(H791,1,(LEN(H791)-VLOOKUP(K791,datos!$B$2:$C$12,2,0)))</f>
        <v>TCCN-PTE-PSG-SAG-MBO-SL1-CE4</v>
      </c>
      <c r="J791" s="138" t="s">
        <v>6968</v>
      </c>
      <c r="K791" s="140">
        <f>VLOOKUP(LEN(SUBSTITUTE(H791,"-","")),datos!$A$1:$B$12,2,0)</f>
        <v>7</v>
      </c>
      <c r="L791" s="138" t="s">
        <v>6974</v>
      </c>
      <c r="M791" s="138" t="s">
        <v>0</v>
      </c>
    </row>
    <row r="792" spans="1:13" x14ac:dyDescent="0.35">
      <c r="A792" s="138" t="s">
        <v>487</v>
      </c>
      <c r="B792" s="138" t="s">
        <v>3809</v>
      </c>
      <c r="C792" s="138" t="s">
        <v>3913</v>
      </c>
      <c r="D792" s="138" t="s">
        <v>3914</v>
      </c>
      <c r="E792" s="138" t="s">
        <v>3952</v>
      </c>
      <c r="F792" s="138" t="s">
        <v>3915</v>
      </c>
      <c r="G792" s="138" t="s">
        <v>6977</v>
      </c>
      <c r="H792" s="81" t="str">
        <f t="shared" si="87"/>
        <v>TCCN-PTE-PSG-SAG-MBO-SL1-CE5</v>
      </c>
      <c r="I792" s="138" t="str">
        <f>MID(H792,1,(LEN(H792)-VLOOKUP(K792,datos!$B$2:$C$12,2,0)))</f>
        <v>TCCN-PTE-PSG-SAG-MBO-SL1-CE5</v>
      </c>
      <c r="J792" s="138" t="s">
        <v>6969</v>
      </c>
      <c r="K792" s="140">
        <f>VLOOKUP(LEN(SUBSTITUTE(H792,"-","")),datos!$A$1:$B$12,2,0)</f>
        <v>7</v>
      </c>
      <c r="L792" s="138" t="s">
        <v>6975</v>
      </c>
      <c r="M792" s="138" t="s">
        <v>0</v>
      </c>
    </row>
    <row r="793" spans="1:13" x14ac:dyDescent="0.35">
      <c r="A793" s="138" t="s">
        <v>487</v>
      </c>
      <c r="B793" s="138" t="s">
        <v>3809</v>
      </c>
      <c r="C793" s="138" t="s">
        <v>3913</v>
      </c>
      <c r="D793" s="138" t="s">
        <v>3914</v>
      </c>
      <c r="E793" s="138" t="s">
        <v>3952</v>
      </c>
      <c r="F793" s="138" t="s">
        <v>3915</v>
      </c>
      <c r="G793" s="138" t="s">
        <v>6978</v>
      </c>
      <c r="H793" s="81" t="str">
        <f t="shared" si="87"/>
        <v>TCCN-PTE-PSG-SAG-MBO-SL1-CE6</v>
      </c>
      <c r="I793" s="138" t="str">
        <f>MID(H793,1,(LEN(H793)-VLOOKUP(K793,datos!$B$2:$C$12,2,0)))</f>
        <v>TCCN-PTE-PSG-SAG-MBO-SL1-CE6</v>
      </c>
      <c r="J793" s="138" t="s">
        <v>6970</v>
      </c>
      <c r="K793" s="140">
        <f>VLOOKUP(LEN(SUBSTITUTE(H793,"-","")),datos!$A$1:$B$12,2,0)</f>
        <v>7</v>
      </c>
      <c r="L793" s="138" t="s">
        <v>6976</v>
      </c>
      <c r="M793" s="138" t="s">
        <v>0</v>
      </c>
    </row>
    <row r="794" spans="1:13" x14ac:dyDescent="0.35">
      <c r="A794" s="138" t="s">
        <v>487</v>
      </c>
      <c r="B794" s="138" t="s">
        <v>3809</v>
      </c>
      <c r="C794" s="138" t="s">
        <v>3913</v>
      </c>
      <c r="D794" s="138" t="s">
        <v>3914</v>
      </c>
      <c r="E794" s="138" t="s">
        <v>3952</v>
      </c>
      <c r="F794" s="138" t="s">
        <v>3915</v>
      </c>
      <c r="G794" s="138" t="s">
        <v>3953</v>
      </c>
      <c r="H794" s="81" t="str">
        <f t="shared" ref="H794:H799" si="88">CONCATENATE(A794,"-",B794,"-",C794,"-",D794,"-",E794,"-",F794,"-",G794)</f>
        <v>TCCN-PTE-PSG-SAG-MBO-SL1-BB1</v>
      </c>
      <c r="I794" s="138" t="str">
        <f>MID(H794,1,(LEN(H794)-VLOOKUP(K794,datos!$B$2:$C$12,2,0)))</f>
        <v>TCCN-PTE-PSG-SAG-MBO-SL1-BB1</v>
      </c>
      <c r="J794" s="138" t="s">
        <v>6979</v>
      </c>
      <c r="K794" s="140">
        <f>VLOOKUP(LEN(SUBSTITUTE(H794,"-","")),datos!$A$1:$B$12,2,0)</f>
        <v>7</v>
      </c>
      <c r="L794" s="138" t="s">
        <v>6980</v>
      </c>
      <c r="M794" s="138" t="s">
        <v>0</v>
      </c>
    </row>
    <row r="795" spans="1:13" x14ac:dyDescent="0.35">
      <c r="A795" s="138" t="s">
        <v>487</v>
      </c>
      <c r="B795" s="138" t="s">
        <v>3809</v>
      </c>
      <c r="C795" s="138" t="s">
        <v>3913</v>
      </c>
      <c r="D795" s="138" t="s">
        <v>3914</v>
      </c>
      <c r="E795" s="138" t="s">
        <v>3952</v>
      </c>
      <c r="F795" s="138" t="s">
        <v>3915</v>
      </c>
      <c r="G795" s="138" t="s">
        <v>3839</v>
      </c>
      <c r="H795" s="81" t="str">
        <f t="shared" si="88"/>
        <v>TCCN-PTE-PSG-SAG-MBO-SL1-MO1</v>
      </c>
      <c r="I795" s="138" t="str">
        <f>MID(H795,1,(LEN(H795)-VLOOKUP(K795,datos!$B$2:$C$12,2,0)))</f>
        <v>TCCN-PTE-PSG-SAG-MBO-SL1-MO1</v>
      </c>
      <c r="J795" s="138" t="s">
        <v>6981</v>
      </c>
      <c r="K795" s="140">
        <f>VLOOKUP(LEN(SUBSTITUTE(H795,"-","")),datos!$A$1:$B$12,2,0)</f>
        <v>7</v>
      </c>
      <c r="L795" s="138" t="s">
        <v>6984</v>
      </c>
      <c r="M795" s="138" t="s">
        <v>0</v>
      </c>
    </row>
    <row r="796" spans="1:13" x14ac:dyDescent="0.35">
      <c r="A796" s="138" t="s">
        <v>487</v>
      </c>
      <c r="B796" s="138" t="s">
        <v>3809</v>
      </c>
      <c r="C796" s="138" t="s">
        <v>3913</v>
      </c>
      <c r="D796" s="138" t="s">
        <v>3914</v>
      </c>
      <c r="E796" s="138" t="s">
        <v>3952</v>
      </c>
      <c r="F796" s="138" t="s">
        <v>3915</v>
      </c>
      <c r="G796" s="138" t="s">
        <v>3942</v>
      </c>
      <c r="H796" s="81" t="str">
        <f t="shared" si="88"/>
        <v>TCCN-PTE-PSG-SAG-MBO-SL1-BB2</v>
      </c>
      <c r="I796" s="138" t="str">
        <f>MID(H796,1,(LEN(H796)-VLOOKUP(K796,datos!$B$2:$C$12,2,0)))</f>
        <v>TCCN-PTE-PSG-SAG-MBO-SL1-BB2</v>
      </c>
      <c r="J796" s="138" t="s">
        <v>6985</v>
      </c>
      <c r="K796" s="140">
        <f>VLOOKUP(LEN(SUBSTITUTE(H796,"-","")),datos!$A$1:$B$12,2,0)</f>
        <v>7</v>
      </c>
      <c r="L796" s="138" t="s">
        <v>6982</v>
      </c>
      <c r="M796" s="138" t="s">
        <v>0</v>
      </c>
    </row>
    <row r="797" spans="1:13" x14ac:dyDescent="0.35">
      <c r="A797" s="138" t="s">
        <v>487</v>
      </c>
      <c r="B797" s="138" t="s">
        <v>3809</v>
      </c>
      <c r="C797" s="138" t="s">
        <v>3913</v>
      </c>
      <c r="D797" s="138" t="s">
        <v>3914</v>
      </c>
      <c r="E797" s="138" t="s">
        <v>3952</v>
      </c>
      <c r="F797" s="138" t="s">
        <v>3915</v>
      </c>
      <c r="G797" s="138" t="s">
        <v>3840</v>
      </c>
      <c r="H797" s="81" t="str">
        <f t="shared" si="88"/>
        <v>TCCN-PTE-PSG-SAG-MBO-SL1-MO2</v>
      </c>
      <c r="I797" s="138" t="str">
        <f>MID(H797,1,(LEN(H797)-VLOOKUP(K797,datos!$B$2:$C$12,2,0)))</f>
        <v>TCCN-PTE-PSG-SAG-MBO-SL1-MO2</v>
      </c>
      <c r="J797" s="138" t="s">
        <v>6986</v>
      </c>
      <c r="K797" s="140">
        <f>VLOOKUP(LEN(SUBSTITUTE(H797,"-","")),datos!$A$1:$B$12,2,0)</f>
        <v>7</v>
      </c>
      <c r="L797" s="138" t="s">
        <v>6983</v>
      </c>
      <c r="M797" s="138" t="s">
        <v>0</v>
      </c>
    </row>
    <row r="798" spans="1:13" x14ac:dyDescent="0.35">
      <c r="A798" s="138" t="s">
        <v>487</v>
      </c>
      <c r="B798" s="138" t="s">
        <v>3809</v>
      </c>
      <c r="C798" s="138" t="s">
        <v>3913</v>
      </c>
      <c r="D798" s="138" t="s">
        <v>3914</v>
      </c>
      <c r="E798" s="138" t="s">
        <v>3952</v>
      </c>
      <c r="F798" s="138" t="s">
        <v>3915</v>
      </c>
      <c r="G798" s="138" t="s">
        <v>5111</v>
      </c>
      <c r="H798" s="81" t="str">
        <f t="shared" si="88"/>
        <v>TCCN-PTE-PSG-SAG-MBO-SL1-BB3</v>
      </c>
      <c r="I798" s="138" t="str">
        <f>MID(H798,1,(LEN(H798)-VLOOKUP(K798,datos!$B$2:$C$12,2,0)))</f>
        <v>TCCN-PTE-PSG-SAG-MBO-SL1-BB3</v>
      </c>
      <c r="J798" s="138" t="s">
        <v>6987</v>
      </c>
      <c r="K798" s="140">
        <f>VLOOKUP(LEN(SUBSTITUTE(H798,"-","")),datos!$A$1:$B$12,2,0)</f>
        <v>7</v>
      </c>
      <c r="L798" s="138" t="s">
        <v>6989</v>
      </c>
      <c r="M798" s="138" t="s">
        <v>0</v>
      </c>
    </row>
    <row r="799" spans="1:13" x14ac:dyDescent="0.35">
      <c r="A799" s="138" t="s">
        <v>487</v>
      </c>
      <c r="B799" s="138" t="s">
        <v>3809</v>
      </c>
      <c r="C799" s="138" t="s">
        <v>3913</v>
      </c>
      <c r="D799" s="138" t="s">
        <v>3914</v>
      </c>
      <c r="E799" s="138" t="s">
        <v>3952</v>
      </c>
      <c r="F799" s="138" t="s">
        <v>3915</v>
      </c>
      <c r="G799" s="138" t="s">
        <v>3841</v>
      </c>
      <c r="H799" s="81" t="str">
        <f t="shared" si="88"/>
        <v>TCCN-PTE-PSG-SAG-MBO-SL1-MO3</v>
      </c>
      <c r="I799" s="138" t="str">
        <f>MID(H799,1,(LEN(H799)-VLOOKUP(K799,datos!$B$2:$C$12,2,0)))</f>
        <v>TCCN-PTE-PSG-SAG-MBO-SL1-MO3</v>
      </c>
      <c r="J799" s="138" t="s">
        <v>6988</v>
      </c>
      <c r="K799" s="140">
        <f>VLOOKUP(LEN(SUBSTITUTE(H799,"-","")),datos!$A$1:$B$12,2,0)</f>
        <v>7</v>
      </c>
      <c r="L799" s="138" t="s">
        <v>6990</v>
      </c>
      <c r="M799" s="138" t="s">
        <v>0</v>
      </c>
    </row>
    <row r="800" spans="1:13" x14ac:dyDescent="0.35">
      <c r="A800" s="138" t="s">
        <v>487</v>
      </c>
      <c r="B800" s="138" t="s">
        <v>3809</v>
      </c>
      <c r="C800" s="138" t="s">
        <v>3913</v>
      </c>
      <c r="D800" s="138" t="s">
        <v>3914</v>
      </c>
      <c r="E800" s="138" t="s">
        <v>3952</v>
      </c>
      <c r="F800" s="138" t="s">
        <v>3915</v>
      </c>
      <c r="G800" s="138" t="s">
        <v>5114</v>
      </c>
      <c r="H800" s="81" t="str">
        <f t="shared" si="87"/>
        <v>TCCN-PTE-PSG-SAG-MBO-SL1-BB4</v>
      </c>
      <c r="I800" s="138" t="str">
        <f>MID(H800,1,(LEN(H800)-VLOOKUP(K800,datos!$B$2:$C$12,2,0)))</f>
        <v>TCCN-PTE-PSG-SAG-MBO-SL1-BB4</v>
      </c>
      <c r="J800" s="138" t="s">
        <v>6991</v>
      </c>
      <c r="K800" s="140">
        <f>VLOOKUP(LEN(SUBSTITUTE(H800,"-","")),datos!$A$1:$B$12,2,0)</f>
        <v>7</v>
      </c>
      <c r="L800" s="138" t="s">
        <v>6992</v>
      </c>
      <c r="M800" s="138" t="s">
        <v>0</v>
      </c>
    </row>
    <row r="801" spans="1:13" x14ac:dyDescent="0.35">
      <c r="A801" s="138" t="s">
        <v>487</v>
      </c>
      <c r="B801" s="138" t="s">
        <v>3809</v>
      </c>
      <c r="C801" s="138" t="s">
        <v>3913</v>
      </c>
      <c r="D801" s="138" t="s">
        <v>3914</v>
      </c>
      <c r="E801" s="138" t="s">
        <v>3952</v>
      </c>
      <c r="F801" s="138" t="s">
        <v>3915</v>
      </c>
      <c r="G801" s="138" t="s">
        <v>5463</v>
      </c>
      <c r="H801" s="81" t="str">
        <f t="shared" si="87"/>
        <v>TCCN-PTE-PSG-SAG-MBO-SL1-MO4</v>
      </c>
      <c r="I801" s="138" t="str">
        <f>MID(H801,1,(LEN(H801)-VLOOKUP(K801,datos!$B$2:$C$12,2,0)))</f>
        <v>TCCN-PTE-PSG-SAG-MBO-SL1-MO4</v>
      </c>
      <c r="J801" s="138" t="s">
        <v>6993</v>
      </c>
      <c r="K801" s="140">
        <f>VLOOKUP(LEN(SUBSTITUTE(H801,"-","")),datos!$A$1:$B$12,2,0)</f>
        <v>7</v>
      </c>
      <c r="L801" s="138" t="s">
        <v>6994</v>
      </c>
      <c r="M801" s="138" t="s">
        <v>0</v>
      </c>
    </row>
    <row r="802" spans="1:13" x14ac:dyDescent="0.35">
      <c r="A802" s="138" t="s">
        <v>487</v>
      </c>
      <c r="B802" s="138" t="s">
        <v>3809</v>
      </c>
      <c r="C802" s="138" t="s">
        <v>3913</v>
      </c>
      <c r="D802" s="138" t="s">
        <v>3914</v>
      </c>
      <c r="E802" s="138" t="s">
        <v>3952</v>
      </c>
      <c r="F802" s="138" t="s">
        <v>3915</v>
      </c>
      <c r="G802" s="138" t="s">
        <v>5121</v>
      </c>
      <c r="H802" s="81" t="str">
        <f t="shared" si="87"/>
        <v>TCCN-PTE-PSG-SAG-MBO-SL1-BB5</v>
      </c>
      <c r="I802" s="138" t="str">
        <f>MID(H802,1,(LEN(H802)-VLOOKUP(K802,datos!$B$2:$C$12,2,0)))</f>
        <v>TCCN-PTE-PSG-SAG-MBO-SL1-BB5</v>
      </c>
      <c r="J802" s="138" t="s">
        <v>6995</v>
      </c>
      <c r="K802" s="140">
        <f>VLOOKUP(LEN(SUBSTITUTE(H802,"-","")),datos!$A$1:$B$12,2,0)</f>
        <v>7</v>
      </c>
      <c r="L802" s="138" t="s">
        <v>6997</v>
      </c>
      <c r="M802" s="138" t="s">
        <v>0</v>
      </c>
    </row>
    <row r="803" spans="1:13" x14ac:dyDescent="0.35">
      <c r="A803" s="138" t="s">
        <v>487</v>
      </c>
      <c r="B803" s="138" t="s">
        <v>3809</v>
      </c>
      <c r="C803" s="138" t="s">
        <v>3913</v>
      </c>
      <c r="D803" s="138" t="s">
        <v>3914</v>
      </c>
      <c r="E803" s="138" t="s">
        <v>3952</v>
      </c>
      <c r="F803" s="138" t="s">
        <v>3915</v>
      </c>
      <c r="G803" s="138" t="s">
        <v>5464</v>
      </c>
      <c r="H803" s="81" t="str">
        <f t="shared" si="87"/>
        <v>TCCN-PTE-PSG-SAG-MBO-SL1-MO5</v>
      </c>
      <c r="I803" s="138" t="str">
        <f>MID(H803,1,(LEN(H803)-VLOOKUP(K803,datos!$B$2:$C$12,2,0)))</f>
        <v>TCCN-PTE-PSG-SAG-MBO-SL1-MO5</v>
      </c>
      <c r="J803" s="138" t="s">
        <v>6996</v>
      </c>
      <c r="K803" s="140">
        <f>VLOOKUP(LEN(SUBSTITUTE(H803,"-","")),datos!$A$1:$B$12,2,0)</f>
        <v>7</v>
      </c>
      <c r="L803" s="138" t="s">
        <v>6998</v>
      </c>
      <c r="M803" s="138" t="s">
        <v>0</v>
      </c>
    </row>
    <row r="804" spans="1:13" x14ac:dyDescent="0.35">
      <c r="A804" s="138" t="s">
        <v>487</v>
      </c>
      <c r="B804" s="138" t="s">
        <v>3809</v>
      </c>
      <c r="C804" s="138" t="s">
        <v>3913</v>
      </c>
      <c r="D804" s="138" t="s">
        <v>3914</v>
      </c>
      <c r="E804" s="138" t="s">
        <v>3952</v>
      </c>
      <c r="F804" s="138" t="s">
        <v>3915</v>
      </c>
      <c r="G804" s="138" t="s">
        <v>5124</v>
      </c>
      <c r="H804" s="81" t="str">
        <f t="shared" si="87"/>
        <v>TCCN-PTE-PSG-SAG-MBO-SL1-BB6</v>
      </c>
      <c r="I804" s="138" t="str">
        <f>MID(H804,1,(LEN(H804)-VLOOKUP(K804,datos!$B$2:$C$12,2,0)))</f>
        <v>TCCN-PTE-PSG-SAG-MBO-SL1-BB6</v>
      </c>
      <c r="J804" s="138" t="s">
        <v>6999</v>
      </c>
      <c r="K804" s="140">
        <f>VLOOKUP(LEN(SUBSTITUTE(H804,"-","")),datos!$A$1:$B$12,2,0)</f>
        <v>7</v>
      </c>
      <c r="L804" s="138" t="s">
        <v>7001</v>
      </c>
      <c r="M804" s="138" t="s">
        <v>0</v>
      </c>
    </row>
    <row r="805" spans="1:13" x14ac:dyDescent="0.35">
      <c r="A805" s="138" t="s">
        <v>487</v>
      </c>
      <c r="B805" s="138" t="s">
        <v>3809</v>
      </c>
      <c r="C805" s="138" t="s">
        <v>3913</v>
      </c>
      <c r="D805" s="138" t="s">
        <v>3914</v>
      </c>
      <c r="E805" s="138" t="s">
        <v>3952</v>
      </c>
      <c r="F805" s="138" t="s">
        <v>3915</v>
      </c>
      <c r="G805" s="138" t="s">
        <v>5473</v>
      </c>
      <c r="H805" s="81" t="str">
        <f t="shared" ref="H805" si="89">CONCATENATE(A805,"-",B805,"-",C805,"-",D805,"-",E805,"-",F805,"-",G805)</f>
        <v>TCCN-PTE-PSG-SAG-MBO-SL1-MO6</v>
      </c>
      <c r="I805" s="138" t="str">
        <f>MID(H805,1,(LEN(H805)-VLOOKUP(K805,datos!$B$2:$C$12,2,0)))</f>
        <v>TCCN-PTE-PSG-SAG-MBO-SL1-MO6</v>
      </c>
      <c r="J805" s="138" t="s">
        <v>7000</v>
      </c>
      <c r="K805" s="140">
        <f>VLOOKUP(LEN(SUBSTITUTE(H805,"-","")),datos!$A$1:$B$12,2,0)</f>
        <v>7</v>
      </c>
      <c r="L805" s="138" t="s">
        <v>7002</v>
      </c>
      <c r="M805" s="138" t="s">
        <v>0</v>
      </c>
    </row>
    <row r="806" spans="1:13" x14ac:dyDescent="0.35">
      <c r="A806" s="138" t="s">
        <v>487</v>
      </c>
      <c r="B806" s="138" t="s">
        <v>3809</v>
      </c>
      <c r="C806" s="138" t="s">
        <v>3913</v>
      </c>
      <c r="D806" s="138" t="s">
        <v>3914</v>
      </c>
      <c r="E806" s="138" t="s">
        <v>3952</v>
      </c>
      <c r="F806" s="138" t="s">
        <v>3915</v>
      </c>
      <c r="G806" s="138" t="s">
        <v>5474</v>
      </c>
      <c r="H806" s="81" t="str">
        <f t="shared" ref="H806:H811" si="90">CONCATENATE(A806,"-",B806,"-",C806,"-",D806,"-",E806,"-",F806,"-",G806)</f>
        <v>TCCN-PTE-PSG-SAG-MBO-SL1-BB7</v>
      </c>
      <c r="I806" s="138" t="str">
        <f>MID(H806,1,(LEN(H806)-VLOOKUP(K806,datos!$B$2:$C$12,2,0)))</f>
        <v>TCCN-PTE-PSG-SAG-MBO-SL1-BB7</v>
      </c>
      <c r="J806" s="138" t="s">
        <v>7003</v>
      </c>
      <c r="K806" s="140">
        <f>VLOOKUP(LEN(SUBSTITUTE(H806,"-","")),datos!$A$1:$B$12,2,0)</f>
        <v>7</v>
      </c>
      <c r="L806" s="138" t="s">
        <v>7005</v>
      </c>
      <c r="M806" s="138" t="s">
        <v>0</v>
      </c>
    </row>
    <row r="807" spans="1:13" x14ac:dyDescent="0.35">
      <c r="A807" s="138" t="s">
        <v>487</v>
      </c>
      <c r="B807" s="138" t="s">
        <v>3809</v>
      </c>
      <c r="C807" s="138" t="s">
        <v>3913</v>
      </c>
      <c r="D807" s="138" t="s">
        <v>3914</v>
      </c>
      <c r="E807" s="138" t="s">
        <v>3952</v>
      </c>
      <c r="F807" s="138" t="s">
        <v>3915</v>
      </c>
      <c r="G807" s="138" t="s">
        <v>5475</v>
      </c>
      <c r="H807" s="81" t="str">
        <f t="shared" si="90"/>
        <v>TCCN-PTE-PSG-SAG-MBO-SL1-MO7</v>
      </c>
      <c r="I807" s="138" t="str">
        <f>MID(H807,1,(LEN(H807)-VLOOKUP(K807,datos!$B$2:$C$12,2,0)))</f>
        <v>TCCN-PTE-PSG-SAG-MBO-SL1-MO7</v>
      </c>
      <c r="J807" s="138" t="s">
        <v>7004</v>
      </c>
      <c r="K807" s="140">
        <f>VLOOKUP(LEN(SUBSTITUTE(H807,"-","")),datos!$A$1:$B$12,2,0)</f>
        <v>7</v>
      </c>
      <c r="L807" s="138" t="s">
        <v>7006</v>
      </c>
      <c r="M807" s="138" t="s">
        <v>0</v>
      </c>
    </row>
    <row r="808" spans="1:13" x14ac:dyDescent="0.35">
      <c r="A808" s="137" t="s">
        <v>487</v>
      </c>
      <c r="B808" s="137" t="s">
        <v>3809</v>
      </c>
      <c r="C808" s="137" t="s">
        <v>3913</v>
      </c>
      <c r="D808" s="137" t="s">
        <v>3914</v>
      </c>
      <c r="E808" s="137" t="s">
        <v>3952</v>
      </c>
      <c r="F808" s="137" t="s">
        <v>3918</v>
      </c>
      <c r="G808" s="137"/>
      <c r="H808" s="82" t="str">
        <f t="shared" si="90"/>
        <v>TCCN-PTE-PSG-SAG-MBO-SL2-</v>
      </c>
      <c r="I808" s="137" t="str">
        <f>MID(H808,1,(LEN(H808)-VLOOKUP(K808,datos!$B$2:$C$12,2,0)))</f>
        <v>TCCN-PTE-PSG-SAG-MBO-SL2</v>
      </c>
      <c r="J808" s="137" t="s">
        <v>7010</v>
      </c>
      <c r="K808" s="139">
        <f>VLOOKUP(LEN(SUBSTITUTE(H808,"-","")),datos!$A$1:$B$12,2,0)</f>
        <v>6</v>
      </c>
      <c r="L808" s="137" t="s">
        <v>7007</v>
      </c>
      <c r="M808" s="137" t="s">
        <v>0</v>
      </c>
    </row>
    <row r="809" spans="1:13" x14ac:dyDescent="0.35">
      <c r="A809" s="138" t="s">
        <v>487</v>
      </c>
      <c r="B809" s="138" t="s">
        <v>3809</v>
      </c>
      <c r="C809" s="138" t="s">
        <v>3913</v>
      </c>
      <c r="D809" s="138" t="s">
        <v>3914</v>
      </c>
      <c r="E809" s="138" t="s">
        <v>3952</v>
      </c>
      <c r="F809" s="138" t="s">
        <v>3918</v>
      </c>
      <c r="G809" s="138" t="s">
        <v>5208</v>
      </c>
      <c r="H809" s="81" t="str">
        <f t="shared" si="90"/>
        <v>TCCN-PTE-PSG-SAG-MBO-SL2-CEC</v>
      </c>
      <c r="I809" s="138" t="str">
        <f>MID(H809,1,(LEN(H809)-VLOOKUP(K809,datos!$B$2:$C$12,2,0)))</f>
        <v>TCCN-PTE-PSG-SAG-MBO-SL2-CEC</v>
      </c>
      <c r="J809" s="138" t="s">
        <v>7011</v>
      </c>
      <c r="K809" s="140">
        <f>VLOOKUP(LEN(SUBSTITUTE(H809,"-","")),datos!$A$1:$B$12,2,0)</f>
        <v>7</v>
      </c>
      <c r="L809" s="138" t="s">
        <v>7012</v>
      </c>
      <c r="M809" s="138" t="s">
        <v>0</v>
      </c>
    </row>
    <row r="810" spans="1:13" x14ac:dyDescent="0.35">
      <c r="A810" s="138" t="s">
        <v>487</v>
      </c>
      <c r="B810" s="138" t="s">
        <v>3809</v>
      </c>
      <c r="C810" s="138" t="s">
        <v>3913</v>
      </c>
      <c r="D810" s="138" t="s">
        <v>3914</v>
      </c>
      <c r="E810" s="138" t="s">
        <v>3952</v>
      </c>
      <c r="F810" s="138" t="s">
        <v>3918</v>
      </c>
      <c r="G810" s="138" t="s">
        <v>3953</v>
      </c>
      <c r="H810" s="81" t="str">
        <f t="shared" si="90"/>
        <v>TCCN-PTE-PSG-SAG-MBO-SL2-BB1</v>
      </c>
      <c r="I810" s="138" t="str">
        <f>MID(H810,1,(LEN(H810)-VLOOKUP(K810,datos!$B$2:$C$12,2,0)))</f>
        <v>TCCN-PTE-PSG-SAG-MBO-SL2-BB1</v>
      </c>
      <c r="J810" s="138" t="s">
        <v>7013</v>
      </c>
      <c r="K810" s="140">
        <f>VLOOKUP(LEN(SUBSTITUTE(H810,"-","")),datos!$A$1:$B$12,2,0)</f>
        <v>7</v>
      </c>
      <c r="L810" s="138" t="s">
        <v>7015</v>
      </c>
      <c r="M810" s="138" t="s">
        <v>0</v>
      </c>
    </row>
    <row r="811" spans="1:13" x14ac:dyDescent="0.35">
      <c r="A811" s="138" t="s">
        <v>487</v>
      </c>
      <c r="B811" s="138" t="s">
        <v>3809</v>
      </c>
      <c r="C811" s="138" t="s">
        <v>3913</v>
      </c>
      <c r="D811" s="138" t="s">
        <v>3914</v>
      </c>
      <c r="E811" s="138" t="s">
        <v>3952</v>
      </c>
      <c r="F811" s="138" t="s">
        <v>3918</v>
      </c>
      <c r="G811" s="138" t="s">
        <v>3839</v>
      </c>
      <c r="H811" s="81" t="str">
        <f t="shared" si="90"/>
        <v>TCCN-PTE-PSG-SAG-MBO-SL2-MO1</v>
      </c>
      <c r="I811" s="138" t="str">
        <f>MID(H811,1,(LEN(H811)-VLOOKUP(K811,datos!$B$2:$C$12,2,0)))</f>
        <v>TCCN-PTE-PSG-SAG-MBO-SL2-MO1</v>
      </c>
      <c r="J811" s="138" t="s">
        <v>7014</v>
      </c>
      <c r="K811" s="140">
        <f>VLOOKUP(LEN(SUBSTITUTE(H811,"-","")),datos!$A$1:$B$12,2,0)</f>
        <v>7</v>
      </c>
      <c r="L811" s="138" t="s">
        <v>7016</v>
      </c>
      <c r="M811" s="138" t="s">
        <v>0</v>
      </c>
    </row>
    <row r="812" spans="1:13" x14ac:dyDescent="0.35">
      <c r="A812" s="138" t="s">
        <v>487</v>
      </c>
      <c r="B812" s="138" t="s">
        <v>3809</v>
      </c>
      <c r="C812" s="138" t="s">
        <v>3913</v>
      </c>
      <c r="D812" s="138" t="s">
        <v>3914</v>
      </c>
      <c r="E812" s="138" t="s">
        <v>3952</v>
      </c>
      <c r="F812" s="138" t="s">
        <v>3918</v>
      </c>
      <c r="G812" s="138" t="s">
        <v>3942</v>
      </c>
      <c r="H812" s="81" t="str">
        <f t="shared" ref="H812:H813" si="91">CONCATENATE(A812,"-",B812,"-",C812,"-",D812,"-",E812,"-",F812,"-",G812)</f>
        <v>TCCN-PTE-PSG-SAG-MBO-SL2-BB2</v>
      </c>
      <c r="I812" s="138" t="str">
        <f>MID(H812,1,(LEN(H812)-VLOOKUP(K812,datos!$B$2:$C$12,2,0)))</f>
        <v>TCCN-PTE-PSG-SAG-MBO-SL2-BB2</v>
      </c>
      <c r="J812" s="138" t="s">
        <v>7017</v>
      </c>
      <c r="K812" s="140">
        <f>VLOOKUP(LEN(SUBSTITUTE(H812,"-","")),datos!$A$1:$B$12,2,0)</f>
        <v>7</v>
      </c>
      <c r="L812" s="138" t="s">
        <v>7019</v>
      </c>
      <c r="M812" s="138" t="s">
        <v>0</v>
      </c>
    </row>
    <row r="813" spans="1:13" x14ac:dyDescent="0.35">
      <c r="A813" s="138" t="s">
        <v>487</v>
      </c>
      <c r="B813" s="138" t="s">
        <v>3809</v>
      </c>
      <c r="C813" s="138" t="s">
        <v>3913</v>
      </c>
      <c r="D813" s="138" t="s">
        <v>3914</v>
      </c>
      <c r="E813" s="138" t="s">
        <v>3952</v>
      </c>
      <c r="F813" s="138" t="s">
        <v>3918</v>
      </c>
      <c r="G813" s="138" t="s">
        <v>3840</v>
      </c>
      <c r="H813" s="81" t="str">
        <f t="shared" si="91"/>
        <v>TCCN-PTE-PSG-SAG-MBO-SL2-MO2</v>
      </c>
      <c r="I813" s="138" t="str">
        <f>MID(H813,1,(LEN(H813)-VLOOKUP(K813,datos!$B$2:$C$12,2,0)))</f>
        <v>TCCN-PTE-PSG-SAG-MBO-SL2-MO2</v>
      </c>
      <c r="J813" s="138" t="s">
        <v>7018</v>
      </c>
      <c r="K813" s="140">
        <f>VLOOKUP(LEN(SUBSTITUTE(H813,"-","")),datos!$A$1:$B$12,2,0)</f>
        <v>7</v>
      </c>
      <c r="L813" s="138" t="s">
        <v>7020</v>
      </c>
      <c r="M813" s="138" t="s">
        <v>0</v>
      </c>
    </row>
    <row r="814" spans="1:13" x14ac:dyDescent="0.35">
      <c r="A814" s="137" t="s">
        <v>487</v>
      </c>
      <c r="B814" s="137" t="s">
        <v>3809</v>
      </c>
      <c r="C814" s="137" t="s">
        <v>3913</v>
      </c>
      <c r="D814" s="137" t="s">
        <v>3914</v>
      </c>
      <c r="E814" s="137" t="s">
        <v>3952</v>
      </c>
      <c r="F814" s="137" t="s">
        <v>3831</v>
      </c>
      <c r="G814" s="137"/>
      <c r="H814" s="82" t="str">
        <f t="shared" si="82"/>
        <v>TCCN-PTE-PSG-SAG-MBO-INS-</v>
      </c>
      <c r="I814" s="137" t="str">
        <f>MID(H814,1,(LEN(H814)-VLOOKUP(K814,datos!$B$2:$C$12,2,0)))</f>
        <v>TCCN-PTE-PSG-SAG-MBO-INS</v>
      </c>
      <c r="J814" s="137" t="s">
        <v>6497</v>
      </c>
      <c r="K814" s="139">
        <f>VLOOKUP(LEN(SUBSTITUTE(H814,"-","")),datos!$A$1:$B$12,2,0)</f>
        <v>6</v>
      </c>
      <c r="L814" s="137"/>
      <c r="M814" s="137" t="s">
        <v>0</v>
      </c>
    </row>
    <row r="815" spans="1:13" x14ac:dyDescent="0.35">
      <c r="A815" s="138" t="s">
        <v>487</v>
      </c>
      <c r="B815" s="138" t="s">
        <v>3809</v>
      </c>
      <c r="C815" s="138" t="s">
        <v>3913</v>
      </c>
      <c r="D815" s="138" t="s">
        <v>3914</v>
      </c>
      <c r="E815" s="138" t="s">
        <v>3952</v>
      </c>
      <c r="F815" s="138" t="s">
        <v>3831</v>
      </c>
      <c r="G815" s="138" t="s">
        <v>7058</v>
      </c>
      <c r="H815" s="81" t="str">
        <f t="shared" si="82"/>
        <v>TCCN-PTE-PSG-SAG-MBO-INS-MT1</v>
      </c>
      <c r="I815" s="138" t="str">
        <f>MID(H815,1,(LEN(H815)-VLOOKUP(K815,datos!$B$2:$C$12,2,0)))</f>
        <v>TCCN-PTE-PSG-SAG-MBO-INS-MT1</v>
      </c>
      <c r="J815" s="138" t="s">
        <v>8086</v>
      </c>
      <c r="K815" s="140">
        <f>VLOOKUP(LEN(SUBSTITUTE(H815,"-","")),datos!$A$1:$B$12,2,0)</f>
        <v>7</v>
      </c>
      <c r="L815" s="138" t="s">
        <v>7035</v>
      </c>
      <c r="M815" s="138" t="s">
        <v>0</v>
      </c>
    </row>
    <row r="816" spans="1:13" x14ac:dyDescent="0.35">
      <c r="A816" s="138" t="s">
        <v>487</v>
      </c>
      <c r="B816" s="138" t="s">
        <v>3809</v>
      </c>
      <c r="C816" s="138" t="s">
        <v>3913</v>
      </c>
      <c r="D816" s="138" t="s">
        <v>3914</v>
      </c>
      <c r="E816" s="138" t="s">
        <v>3952</v>
      </c>
      <c r="F816" s="138" t="s">
        <v>3831</v>
      </c>
      <c r="G816" s="138" t="s">
        <v>4043</v>
      </c>
      <c r="H816" s="81" t="str">
        <f t="shared" si="82"/>
        <v>TCCN-PTE-PSG-SAG-MBO-INS-SPO</v>
      </c>
      <c r="I816" s="138" t="str">
        <f>MID(H816,1,(LEN(H816)-VLOOKUP(K816,datos!$B$2:$C$12,2,0)))</f>
        <v>TCCN-PTE-PSG-SAG-MBO-INS-SPO</v>
      </c>
      <c r="J816" s="138" t="s">
        <v>7883</v>
      </c>
      <c r="K816" s="140">
        <f>VLOOKUP(LEN(SUBSTITUTE(H816,"-","")),datos!$A$1:$B$12,2,0)</f>
        <v>7</v>
      </c>
      <c r="L816" s="138" t="s">
        <v>7036</v>
      </c>
      <c r="M816" s="138" t="s">
        <v>0</v>
      </c>
    </row>
    <row r="817" spans="1:13" x14ac:dyDescent="0.35">
      <c r="A817" s="138" t="s">
        <v>487</v>
      </c>
      <c r="B817" s="138" t="s">
        <v>3809</v>
      </c>
      <c r="C817" s="138" t="s">
        <v>3913</v>
      </c>
      <c r="D817" s="138" t="s">
        <v>3914</v>
      </c>
      <c r="E817" s="138" t="s">
        <v>3952</v>
      </c>
      <c r="F817" s="138" t="s">
        <v>3831</v>
      </c>
      <c r="G817" s="138" t="s">
        <v>7059</v>
      </c>
      <c r="H817" s="81" t="str">
        <f t="shared" si="82"/>
        <v>TCCN-PTE-PSG-SAG-MBO-INS-MT2</v>
      </c>
      <c r="I817" s="138" t="str">
        <f>MID(H817,1,(LEN(H817)-VLOOKUP(K817,datos!$B$2:$C$12,2,0)))</f>
        <v>TCCN-PTE-PSG-SAG-MBO-INS-MT2</v>
      </c>
      <c r="J817" s="138" t="s">
        <v>8087</v>
      </c>
      <c r="K817" s="140">
        <f>VLOOKUP(LEN(SUBSTITUTE(H817,"-","")),datos!$A$1:$B$12,2,0)</f>
        <v>7</v>
      </c>
      <c r="L817" s="138" t="s">
        <v>7037</v>
      </c>
      <c r="M817" s="138" t="s">
        <v>0</v>
      </c>
    </row>
    <row r="818" spans="1:13" x14ac:dyDescent="0.35">
      <c r="A818" s="138" t="s">
        <v>487</v>
      </c>
      <c r="B818" s="138" t="s">
        <v>3809</v>
      </c>
      <c r="C818" s="138" t="s">
        <v>3913</v>
      </c>
      <c r="D818" s="138" t="s">
        <v>3914</v>
      </c>
      <c r="E818" s="138" t="s">
        <v>3952</v>
      </c>
      <c r="F818" s="138" t="s">
        <v>3831</v>
      </c>
      <c r="G818" s="138" t="s">
        <v>6929</v>
      </c>
      <c r="H818" s="81" t="str">
        <f t="shared" si="82"/>
        <v>TCCN-PTE-PSG-SAG-MBO-INS-VB1</v>
      </c>
      <c r="I818" s="138" t="str">
        <f>MID(H818,1,(LEN(H818)-VLOOKUP(K818,datos!$B$2:$C$12,2,0)))</f>
        <v>TCCN-PTE-PSG-SAG-MBO-INS-VB1</v>
      </c>
      <c r="J818" s="138" t="s">
        <v>7626</v>
      </c>
      <c r="K818" s="140">
        <f>VLOOKUP(LEN(SUBSTITUTE(H818,"-","")),datos!$A$1:$B$12,2,0)</f>
        <v>7</v>
      </c>
      <c r="L818" s="138" t="s">
        <v>7038</v>
      </c>
      <c r="M818" s="138" t="s">
        <v>0</v>
      </c>
    </row>
    <row r="819" spans="1:13" x14ac:dyDescent="0.35">
      <c r="A819" s="138" t="s">
        <v>487</v>
      </c>
      <c r="B819" s="138" t="s">
        <v>3809</v>
      </c>
      <c r="C819" s="138" t="s">
        <v>3913</v>
      </c>
      <c r="D819" s="138" t="s">
        <v>3914</v>
      </c>
      <c r="E819" s="138" t="s">
        <v>3952</v>
      </c>
      <c r="F819" s="138" t="s">
        <v>3831</v>
      </c>
      <c r="G819" s="138" t="s">
        <v>7061</v>
      </c>
      <c r="H819" s="81" t="str">
        <f t="shared" si="82"/>
        <v>TCCN-PTE-PSG-SAG-MBO-INS-MT3</v>
      </c>
      <c r="I819" s="138" t="str">
        <f>MID(H819,1,(LEN(H819)-VLOOKUP(K819,datos!$B$2:$C$12,2,0)))</f>
        <v>TCCN-PTE-PSG-SAG-MBO-INS-MT3</v>
      </c>
      <c r="J819" s="138" t="s">
        <v>8088</v>
      </c>
      <c r="K819" s="140">
        <f>VLOOKUP(LEN(SUBSTITUTE(H819,"-","")),datos!$A$1:$B$12,2,0)</f>
        <v>7</v>
      </c>
      <c r="L819" s="138" t="s">
        <v>7039</v>
      </c>
      <c r="M819" s="138" t="s">
        <v>0</v>
      </c>
    </row>
    <row r="820" spans="1:13" x14ac:dyDescent="0.35">
      <c r="A820" s="138" t="s">
        <v>487</v>
      </c>
      <c r="B820" s="138" t="s">
        <v>3809</v>
      </c>
      <c r="C820" s="138" t="s">
        <v>3913</v>
      </c>
      <c r="D820" s="138" t="s">
        <v>3914</v>
      </c>
      <c r="E820" s="138" t="s">
        <v>3952</v>
      </c>
      <c r="F820" s="138" t="s">
        <v>3831</v>
      </c>
      <c r="G820" s="138" t="s">
        <v>6930</v>
      </c>
      <c r="H820" s="81" t="str">
        <f t="shared" si="82"/>
        <v>TCCN-PTE-PSG-SAG-MBO-INS-VB2</v>
      </c>
      <c r="I820" s="138" t="str">
        <f>MID(H820,1,(LEN(H820)-VLOOKUP(K820,datos!$B$2:$C$12,2,0)))</f>
        <v>TCCN-PTE-PSG-SAG-MBO-INS-VB2</v>
      </c>
      <c r="J820" s="138" t="s">
        <v>7627</v>
      </c>
      <c r="K820" s="140">
        <f>VLOOKUP(LEN(SUBSTITUTE(H820,"-","")),datos!$A$1:$B$12,2,0)</f>
        <v>7</v>
      </c>
      <c r="L820" s="138" t="s">
        <v>7040</v>
      </c>
      <c r="M820" s="138" t="s">
        <v>0</v>
      </c>
    </row>
    <row r="821" spans="1:13" x14ac:dyDescent="0.35">
      <c r="A821" s="138" t="s">
        <v>487</v>
      </c>
      <c r="B821" s="138" t="s">
        <v>3809</v>
      </c>
      <c r="C821" s="138" t="s">
        <v>3913</v>
      </c>
      <c r="D821" s="138" t="s">
        <v>3914</v>
      </c>
      <c r="E821" s="138" t="s">
        <v>3952</v>
      </c>
      <c r="F821" s="138" t="s">
        <v>3831</v>
      </c>
      <c r="G821" s="138" t="s">
        <v>7062</v>
      </c>
      <c r="H821" s="81" t="str">
        <f t="shared" si="82"/>
        <v>TCCN-PTE-PSG-SAG-MBO-INS-MT4</v>
      </c>
      <c r="I821" s="138" t="str">
        <f>MID(H821,1,(LEN(H821)-VLOOKUP(K821,datos!$B$2:$C$12,2,0)))</f>
        <v>TCCN-PTE-PSG-SAG-MBO-INS-MT4</v>
      </c>
      <c r="J821" s="138" t="s">
        <v>8089</v>
      </c>
      <c r="K821" s="140">
        <f>VLOOKUP(LEN(SUBSTITUTE(H821,"-","")),datos!$A$1:$B$12,2,0)</f>
        <v>7</v>
      </c>
      <c r="L821" s="138" t="s">
        <v>7041</v>
      </c>
      <c r="M821" s="138" t="s">
        <v>0</v>
      </c>
    </row>
    <row r="822" spans="1:13" x14ac:dyDescent="0.35">
      <c r="A822" s="138" t="s">
        <v>487</v>
      </c>
      <c r="B822" s="138" t="s">
        <v>3809</v>
      </c>
      <c r="C822" s="138" t="s">
        <v>3913</v>
      </c>
      <c r="D822" s="138" t="s">
        <v>3914</v>
      </c>
      <c r="E822" s="138" t="s">
        <v>3952</v>
      </c>
      <c r="F822" s="138" t="s">
        <v>3831</v>
      </c>
      <c r="G822" s="138" t="s">
        <v>7063</v>
      </c>
      <c r="H822" s="81" t="str">
        <f t="shared" si="82"/>
        <v>TCCN-PTE-PSG-SAG-MBO-INS-MT5</v>
      </c>
      <c r="I822" s="138" t="str">
        <f>MID(H822,1,(LEN(H822)-VLOOKUP(K822,datos!$B$2:$C$12,2,0)))</f>
        <v>TCCN-PTE-PSG-SAG-MBO-INS-MT5</v>
      </c>
      <c r="J822" s="138" t="s">
        <v>8090</v>
      </c>
      <c r="K822" s="140">
        <f>VLOOKUP(LEN(SUBSTITUTE(H822,"-","")),datos!$A$1:$B$12,2,0)</f>
        <v>7</v>
      </c>
      <c r="L822" s="138" t="s">
        <v>7042</v>
      </c>
      <c r="M822" s="138" t="s">
        <v>0</v>
      </c>
    </row>
    <row r="823" spans="1:13" x14ac:dyDescent="0.35">
      <c r="A823" s="138" t="s">
        <v>487</v>
      </c>
      <c r="B823" s="138" t="s">
        <v>3809</v>
      </c>
      <c r="C823" s="138" t="s">
        <v>3913</v>
      </c>
      <c r="D823" s="138" t="s">
        <v>3914</v>
      </c>
      <c r="E823" s="138" t="s">
        <v>3952</v>
      </c>
      <c r="F823" s="138" t="s">
        <v>3831</v>
      </c>
      <c r="G823" s="138" t="s">
        <v>5202</v>
      </c>
      <c r="H823" s="81" t="str">
        <f t="shared" si="82"/>
        <v>TCCN-PTE-PSG-SAG-MBO-INS-MVD</v>
      </c>
      <c r="I823" s="138" t="str">
        <f>MID(H823,1,(LEN(H823)-VLOOKUP(K823,datos!$B$2:$C$12,2,0)))</f>
        <v>TCCN-PTE-PSG-SAG-MBO-INS-MVD</v>
      </c>
      <c r="J823" s="138" t="s">
        <v>8099</v>
      </c>
      <c r="K823" s="140">
        <f>VLOOKUP(LEN(SUBSTITUTE(H823,"-","")),datos!$A$1:$B$12,2,0)</f>
        <v>7</v>
      </c>
      <c r="L823" s="138" t="s">
        <v>7043</v>
      </c>
      <c r="M823" s="138" t="s">
        <v>0</v>
      </c>
    </row>
    <row r="824" spans="1:13" x14ac:dyDescent="0.35">
      <c r="A824" s="138" t="s">
        <v>487</v>
      </c>
      <c r="B824" s="138" t="s">
        <v>3809</v>
      </c>
      <c r="C824" s="138" t="s">
        <v>3913</v>
      </c>
      <c r="D824" s="138" t="s">
        <v>3914</v>
      </c>
      <c r="E824" s="138" t="s">
        <v>3952</v>
      </c>
      <c r="F824" s="138" t="s">
        <v>3831</v>
      </c>
      <c r="G824" s="138" t="s">
        <v>3986</v>
      </c>
      <c r="H824" s="81" t="str">
        <f t="shared" si="82"/>
        <v>TCCN-PTE-PSG-SAG-MBO-INS-VV1</v>
      </c>
      <c r="I824" s="138" t="str">
        <f>MID(H824,1,(LEN(H824)-VLOOKUP(K824,datos!$B$2:$C$12,2,0)))</f>
        <v>TCCN-PTE-PSG-SAG-MBO-INS-VV1</v>
      </c>
      <c r="J824" s="138" t="s">
        <v>7938</v>
      </c>
      <c r="K824" s="140">
        <f>VLOOKUP(LEN(SUBSTITUTE(H824,"-","")),datos!$A$1:$B$12,2,0)</f>
        <v>7</v>
      </c>
      <c r="L824" s="138" t="s">
        <v>7044</v>
      </c>
      <c r="M824" s="138" t="s">
        <v>0</v>
      </c>
    </row>
    <row r="825" spans="1:13" x14ac:dyDescent="0.35">
      <c r="A825" s="138" t="s">
        <v>487</v>
      </c>
      <c r="B825" s="138" t="s">
        <v>3809</v>
      </c>
      <c r="C825" s="138" t="s">
        <v>3913</v>
      </c>
      <c r="D825" s="138" t="s">
        <v>3914</v>
      </c>
      <c r="E825" s="138" t="s">
        <v>3952</v>
      </c>
      <c r="F825" s="138" t="s">
        <v>3831</v>
      </c>
      <c r="G825" s="138" t="s">
        <v>7064</v>
      </c>
      <c r="H825" s="81" t="str">
        <f t="shared" si="82"/>
        <v>TCCN-PTE-PSG-SAG-MBO-INS-MT6</v>
      </c>
      <c r="I825" s="138" t="str">
        <f>MID(H825,1,(LEN(H825)-VLOOKUP(K825,datos!$B$2:$C$12,2,0)))</f>
        <v>TCCN-PTE-PSG-SAG-MBO-INS-MT6</v>
      </c>
      <c r="J825" s="138" t="s">
        <v>8091</v>
      </c>
      <c r="K825" s="140">
        <f>VLOOKUP(LEN(SUBSTITUTE(H825,"-","")),datos!$A$1:$B$12,2,0)</f>
        <v>7</v>
      </c>
      <c r="L825" s="138" t="s">
        <v>7045</v>
      </c>
      <c r="M825" s="138" t="s">
        <v>0</v>
      </c>
    </row>
    <row r="826" spans="1:13" x14ac:dyDescent="0.35">
      <c r="A826" s="138" t="s">
        <v>487</v>
      </c>
      <c r="B826" s="138" t="s">
        <v>3809</v>
      </c>
      <c r="C826" s="138" t="s">
        <v>3913</v>
      </c>
      <c r="D826" s="138" t="s">
        <v>3914</v>
      </c>
      <c r="E826" s="138" t="s">
        <v>3952</v>
      </c>
      <c r="F826" s="138" t="s">
        <v>3831</v>
      </c>
      <c r="G826" s="138" t="s">
        <v>7065</v>
      </c>
      <c r="H826" s="81" t="str">
        <f t="shared" si="82"/>
        <v>TCCN-PTE-PSG-SAG-MBO-INS-MT7</v>
      </c>
      <c r="I826" s="138" t="str">
        <f>MID(H826,1,(LEN(H826)-VLOOKUP(K826,datos!$B$2:$C$12,2,0)))</f>
        <v>TCCN-PTE-PSG-SAG-MBO-INS-MT7</v>
      </c>
      <c r="J826" s="138" t="s">
        <v>7056</v>
      </c>
      <c r="K826" s="140">
        <f>VLOOKUP(LEN(SUBSTITUTE(H826,"-","")),datos!$A$1:$B$12,2,0)</f>
        <v>7</v>
      </c>
      <c r="L826" s="138" t="s">
        <v>7046</v>
      </c>
      <c r="M826" s="138" t="s">
        <v>0</v>
      </c>
    </row>
    <row r="827" spans="1:13" x14ac:dyDescent="0.35">
      <c r="A827" s="138" t="s">
        <v>487</v>
      </c>
      <c r="B827" s="138" t="s">
        <v>3809</v>
      </c>
      <c r="C827" s="138" t="s">
        <v>3913</v>
      </c>
      <c r="D827" s="138" t="s">
        <v>3914</v>
      </c>
      <c r="E827" s="138" t="s">
        <v>3952</v>
      </c>
      <c r="F827" s="138" t="s">
        <v>3831</v>
      </c>
      <c r="G827" s="138" t="s">
        <v>4070</v>
      </c>
      <c r="H827" s="81" t="str">
        <f t="shared" si="82"/>
        <v>TCCN-PTE-PSG-SAG-MBO-INS-SP2</v>
      </c>
      <c r="I827" s="138" t="str">
        <f>MID(H827,1,(LEN(H827)-VLOOKUP(K827,datos!$B$2:$C$12,2,0)))</f>
        <v>TCCN-PTE-PSG-SAG-MBO-INS-SP2</v>
      </c>
      <c r="J827" s="138" t="s">
        <v>7057</v>
      </c>
      <c r="K827" s="140">
        <f>VLOOKUP(LEN(SUBSTITUTE(H827,"-","")),datos!$A$1:$B$12,2,0)</f>
        <v>7</v>
      </c>
      <c r="L827" s="138" t="s">
        <v>7047</v>
      </c>
      <c r="M827" s="138" t="s">
        <v>0</v>
      </c>
    </row>
    <row r="828" spans="1:13" x14ac:dyDescent="0.35">
      <c r="A828" s="138" t="s">
        <v>487</v>
      </c>
      <c r="B828" s="138" t="s">
        <v>3809</v>
      </c>
      <c r="C828" s="138" t="s">
        <v>3913</v>
      </c>
      <c r="D828" s="138" t="s">
        <v>3914</v>
      </c>
      <c r="E828" s="138" t="s">
        <v>3952</v>
      </c>
      <c r="F828" s="138" t="s">
        <v>3831</v>
      </c>
      <c r="G828" s="138" t="s">
        <v>5256</v>
      </c>
      <c r="H828" s="81" t="str">
        <f t="shared" si="82"/>
        <v>TCCN-PTE-PSG-SAG-MBO-INS-MNV</v>
      </c>
      <c r="I828" s="138" t="str">
        <f>MID(H828,1,(LEN(H828)-VLOOKUP(K828,datos!$B$2:$C$12,2,0)))</f>
        <v>TCCN-PTE-PSG-SAG-MBO-INS-MNV</v>
      </c>
      <c r="J828" s="138" t="s">
        <v>7147</v>
      </c>
      <c r="K828" s="140">
        <f>VLOOKUP(LEN(SUBSTITUTE(H828,"-","")),datos!$A$1:$B$12,2,0)</f>
        <v>7</v>
      </c>
      <c r="L828" s="138" t="s">
        <v>7048</v>
      </c>
      <c r="M828" s="138" t="s">
        <v>0</v>
      </c>
    </row>
    <row r="829" spans="1:13" x14ac:dyDescent="0.35">
      <c r="A829" s="138" t="s">
        <v>487</v>
      </c>
      <c r="B829" s="138" t="s">
        <v>3809</v>
      </c>
      <c r="C829" s="138" t="s">
        <v>3913</v>
      </c>
      <c r="D829" s="138" t="s">
        <v>3914</v>
      </c>
      <c r="E829" s="138" t="s">
        <v>3952</v>
      </c>
      <c r="F829" s="138" t="s">
        <v>3831</v>
      </c>
      <c r="G829" s="138" t="s">
        <v>5207</v>
      </c>
      <c r="H829" s="81" t="str">
        <f t="shared" si="82"/>
        <v>TCCN-PTE-PSG-SAG-MBO-INS-SLN</v>
      </c>
      <c r="I829" s="138" t="str">
        <f>MID(H829,1,(LEN(H829)-VLOOKUP(K829,datos!$B$2:$C$12,2,0)))</f>
        <v>TCCN-PTE-PSG-SAG-MBO-INS-SLN</v>
      </c>
      <c r="J829" s="138" t="s">
        <v>7939</v>
      </c>
      <c r="K829" s="140">
        <f>VLOOKUP(LEN(SUBSTITUTE(H829,"-","")),datos!$A$1:$B$12,2,0)</f>
        <v>7</v>
      </c>
      <c r="L829" s="138" t="s">
        <v>7049</v>
      </c>
      <c r="M829" s="138" t="s">
        <v>0</v>
      </c>
    </row>
    <row r="830" spans="1:13" x14ac:dyDescent="0.35">
      <c r="A830" s="138" t="s">
        <v>487</v>
      </c>
      <c r="B830" s="138" t="s">
        <v>3809</v>
      </c>
      <c r="C830" s="138" t="s">
        <v>3913</v>
      </c>
      <c r="D830" s="138" t="s">
        <v>3914</v>
      </c>
      <c r="E830" s="138" t="s">
        <v>3952</v>
      </c>
      <c r="F830" s="138" t="s">
        <v>3831</v>
      </c>
      <c r="G830" s="138" t="s">
        <v>7066</v>
      </c>
      <c r="H830" s="81" t="str">
        <f t="shared" si="82"/>
        <v>TCCN-PTE-PSG-SAG-MBO-INS-MT8</v>
      </c>
      <c r="I830" s="138" t="str">
        <f>MID(H830,1,(LEN(H830)-VLOOKUP(K830,datos!$B$2:$C$12,2,0)))</f>
        <v>TCCN-PTE-PSG-SAG-MBO-INS-MT8</v>
      </c>
      <c r="J830" s="138" t="s">
        <v>8064</v>
      </c>
      <c r="K830" s="140">
        <f>VLOOKUP(LEN(SUBSTITUTE(H830,"-","")),datos!$A$1:$B$12,2,0)</f>
        <v>7</v>
      </c>
      <c r="L830" s="138" t="s">
        <v>7050</v>
      </c>
      <c r="M830" s="138" t="s">
        <v>0</v>
      </c>
    </row>
    <row r="831" spans="1:13" x14ac:dyDescent="0.35">
      <c r="A831" s="138" t="s">
        <v>487</v>
      </c>
      <c r="B831" s="138" t="s">
        <v>3809</v>
      </c>
      <c r="C831" s="138" t="s">
        <v>3913</v>
      </c>
      <c r="D831" s="138" t="s">
        <v>3914</v>
      </c>
      <c r="E831" s="138" t="s">
        <v>3952</v>
      </c>
      <c r="F831" s="138" t="s">
        <v>3831</v>
      </c>
      <c r="G831" s="138" t="s">
        <v>3987</v>
      </c>
      <c r="H831" s="81" t="str">
        <f t="shared" si="82"/>
        <v>TCCN-PTE-PSG-SAG-MBO-INS-VV2</v>
      </c>
      <c r="I831" s="138" t="str">
        <f>MID(H831,1,(LEN(H831)-VLOOKUP(K831,datos!$B$2:$C$12,2,0)))</f>
        <v>TCCN-PTE-PSG-SAG-MBO-INS-VV2</v>
      </c>
      <c r="J831" s="138" t="s">
        <v>7940</v>
      </c>
      <c r="K831" s="140">
        <f>VLOOKUP(LEN(SUBSTITUTE(H831,"-","")),datos!$A$1:$B$12,2,0)</f>
        <v>7</v>
      </c>
      <c r="L831" s="138" t="s">
        <v>7051</v>
      </c>
      <c r="M831" s="138" t="s">
        <v>0</v>
      </c>
    </row>
    <row r="832" spans="1:13" x14ac:dyDescent="0.35">
      <c r="A832" s="138" t="s">
        <v>487</v>
      </c>
      <c r="B832" s="138" t="s">
        <v>3809</v>
      </c>
      <c r="C832" s="138" t="s">
        <v>3913</v>
      </c>
      <c r="D832" s="138" t="s">
        <v>3914</v>
      </c>
      <c r="E832" s="138" t="s">
        <v>3952</v>
      </c>
      <c r="F832" s="138" t="s">
        <v>3831</v>
      </c>
      <c r="G832" s="138" t="s">
        <v>4065</v>
      </c>
      <c r="H832" s="81" t="str">
        <f t="shared" si="82"/>
        <v>TCCN-PTE-PSG-SAG-MBO-INS-VV3</v>
      </c>
      <c r="I832" s="138" t="str">
        <f>MID(H832,1,(LEN(H832)-VLOOKUP(K832,datos!$B$2:$C$12,2,0)))</f>
        <v>TCCN-PTE-PSG-SAG-MBO-INS-VV3</v>
      </c>
      <c r="J832" s="138" t="s">
        <v>7941</v>
      </c>
      <c r="K832" s="140">
        <f>VLOOKUP(LEN(SUBSTITUTE(H832,"-","")),datos!$A$1:$B$12,2,0)</f>
        <v>7</v>
      </c>
      <c r="L832" s="138" t="s">
        <v>7052</v>
      </c>
      <c r="M832" s="138" t="s">
        <v>0</v>
      </c>
    </row>
    <row r="833" spans="1:13" x14ac:dyDescent="0.35">
      <c r="A833" s="138" t="s">
        <v>487</v>
      </c>
      <c r="B833" s="138" t="s">
        <v>3809</v>
      </c>
      <c r="C833" s="138" t="s">
        <v>3913</v>
      </c>
      <c r="D833" s="138" t="s">
        <v>3914</v>
      </c>
      <c r="E833" s="138" t="s">
        <v>3952</v>
      </c>
      <c r="F833" s="138" t="s">
        <v>3831</v>
      </c>
      <c r="G833" s="138" t="s">
        <v>5554</v>
      </c>
      <c r="H833" s="81" t="str">
        <f t="shared" si="82"/>
        <v>TCCN-PTE-PSG-SAG-MBO-INS-VV4</v>
      </c>
      <c r="I833" s="138" t="str">
        <f>MID(H833,1,(LEN(H833)-VLOOKUP(K833,datos!$B$2:$C$12,2,0)))</f>
        <v>TCCN-PTE-PSG-SAG-MBO-INS-VV4</v>
      </c>
      <c r="J833" s="138" t="s">
        <v>7942</v>
      </c>
      <c r="K833" s="140">
        <f>VLOOKUP(LEN(SUBSTITUTE(H833,"-","")),datos!$A$1:$B$12,2,0)</f>
        <v>7</v>
      </c>
      <c r="L833" s="138" t="s">
        <v>7053</v>
      </c>
      <c r="M833" s="138" t="s">
        <v>0</v>
      </c>
    </row>
    <row r="834" spans="1:13" x14ac:dyDescent="0.35">
      <c r="A834" s="138" t="s">
        <v>487</v>
      </c>
      <c r="B834" s="138" t="s">
        <v>3809</v>
      </c>
      <c r="C834" s="138" t="s">
        <v>3913</v>
      </c>
      <c r="D834" s="138" t="s">
        <v>3914</v>
      </c>
      <c r="E834" s="138" t="s">
        <v>3952</v>
      </c>
      <c r="F834" s="138" t="s">
        <v>3831</v>
      </c>
      <c r="G834" s="138" t="s">
        <v>5555</v>
      </c>
      <c r="H834" s="81" t="str">
        <f t="shared" si="82"/>
        <v>TCCN-PTE-PSG-SAG-MBO-INS-VV5</v>
      </c>
      <c r="I834" s="138" t="str">
        <f>MID(H834,1,(LEN(H834)-VLOOKUP(K834,datos!$B$2:$C$12,2,0)))</f>
        <v>TCCN-PTE-PSG-SAG-MBO-INS-VV5</v>
      </c>
      <c r="J834" s="138" t="s">
        <v>7943</v>
      </c>
      <c r="K834" s="140">
        <f>VLOOKUP(LEN(SUBSTITUTE(H834,"-","")),datos!$A$1:$B$12,2,0)</f>
        <v>7</v>
      </c>
      <c r="L834" s="138" t="s">
        <v>7054</v>
      </c>
      <c r="M834" s="138" t="s">
        <v>0</v>
      </c>
    </row>
    <row r="835" spans="1:13" x14ac:dyDescent="0.35">
      <c r="A835" s="138" t="s">
        <v>487</v>
      </c>
      <c r="B835" s="138" t="s">
        <v>3809</v>
      </c>
      <c r="C835" s="138" t="s">
        <v>3913</v>
      </c>
      <c r="D835" s="138" t="s">
        <v>3914</v>
      </c>
      <c r="E835" s="138" t="s">
        <v>3952</v>
      </c>
      <c r="F835" s="138" t="s">
        <v>3831</v>
      </c>
      <c r="G835" s="138" t="s">
        <v>5556</v>
      </c>
      <c r="H835" s="81" t="str">
        <f t="shared" si="82"/>
        <v>TCCN-PTE-PSG-SAG-MBO-INS-VV6</v>
      </c>
      <c r="I835" s="138" t="str">
        <f>MID(H835,1,(LEN(H835)-VLOOKUP(K835,datos!$B$2:$C$12,2,0)))</f>
        <v>TCCN-PTE-PSG-SAG-MBO-INS-VV6</v>
      </c>
      <c r="J835" s="138" t="s">
        <v>7944</v>
      </c>
      <c r="K835" s="140">
        <f>VLOOKUP(LEN(SUBSTITUTE(H835,"-","")),datos!$A$1:$B$12,2,0)</f>
        <v>7</v>
      </c>
      <c r="L835" s="138" t="s">
        <v>7055</v>
      </c>
      <c r="M835" s="138" t="s">
        <v>0</v>
      </c>
    </row>
    <row r="836" spans="1:13" customFormat="1" ht="14.5" x14ac:dyDescent="0.35">
      <c r="A836" s="129" t="s">
        <v>487</v>
      </c>
      <c r="B836" s="129" t="s">
        <v>3809</v>
      </c>
      <c r="C836" s="129" t="s">
        <v>3913</v>
      </c>
      <c r="D836" s="129" t="s">
        <v>3914</v>
      </c>
      <c r="E836" s="129" t="s">
        <v>7107</v>
      </c>
      <c r="F836" s="129"/>
      <c r="G836" s="129"/>
      <c r="H836" s="83" t="str">
        <f t="shared" ref="H836:H840" si="92">CONCATENATE(A836,"-",B836,"-",C836,"-",D836,"-",E836,"-",F836,"-",G836)</f>
        <v>TCCN-PTE-PSG-SAG-AIT--</v>
      </c>
      <c r="I836" s="129" t="str">
        <f>MID(H836,1,(LEN(H836)-VLOOKUP(K836,datos!$B$2:$C$12,2,0)))</f>
        <v>TCCN-PTE-PSG-SAG-AIT</v>
      </c>
      <c r="J836" s="129" t="s">
        <v>7105</v>
      </c>
      <c r="K836" s="130">
        <f>VLOOKUP(LEN(SUBSTITUTE(H836,"-","")),datos!$A$1:$B$12,2,0)</f>
        <v>5</v>
      </c>
      <c r="L836" s="129" t="s">
        <v>7106</v>
      </c>
      <c r="M836" s="129" t="s">
        <v>0</v>
      </c>
    </row>
    <row r="837" spans="1:13" x14ac:dyDescent="0.35">
      <c r="A837" s="137" t="s">
        <v>487</v>
      </c>
      <c r="B837" s="137" t="s">
        <v>3809</v>
      </c>
      <c r="C837" s="137" t="s">
        <v>3913</v>
      </c>
      <c r="D837" s="137" t="s">
        <v>3914</v>
      </c>
      <c r="E837" s="137" t="s">
        <v>7107</v>
      </c>
      <c r="F837" s="137" t="s">
        <v>5193</v>
      </c>
      <c r="G837" s="137"/>
      <c r="H837" s="82" t="str">
        <f t="shared" si="92"/>
        <v>TCCN-PTE-PSG-SAG-AIT-COM-</v>
      </c>
      <c r="I837" s="137" t="str">
        <f>MID(H837,1,(LEN(H837)-VLOOKUP(K837,datos!$B$2:$C$12,2,0)))</f>
        <v>TCCN-PTE-PSG-SAG-AIT-COM</v>
      </c>
      <c r="J837" s="137" t="s">
        <v>7110</v>
      </c>
      <c r="K837" s="139">
        <f>VLOOKUP(LEN(SUBSTITUTE(H837,"-","")),datos!$A$1:$B$12,2,0)</f>
        <v>6</v>
      </c>
      <c r="L837" s="137"/>
      <c r="M837" s="137" t="s">
        <v>0</v>
      </c>
    </row>
    <row r="838" spans="1:13" x14ac:dyDescent="0.35">
      <c r="A838" s="138" t="s">
        <v>487</v>
      </c>
      <c r="B838" s="138" t="s">
        <v>3809</v>
      </c>
      <c r="C838" s="138" t="s">
        <v>3913</v>
      </c>
      <c r="D838" s="138" t="s">
        <v>3914</v>
      </c>
      <c r="E838" s="138" t="s">
        <v>7107</v>
      </c>
      <c r="F838" s="138" t="s">
        <v>5193</v>
      </c>
      <c r="G838" s="138" t="s">
        <v>3988</v>
      </c>
      <c r="H838" s="81" t="str">
        <f t="shared" si="92"/>
        <v>TCCN-PTE-PSG-SAG-AIT-COM-CMU</v>
      </c>
      <c r="I838" s="138" t="str">
        <f>MID(H838,1,(LEN(H838)-VLOOKUP(K838,datos!$B$2:$C$12,2,0)))</f>
        <v>TCCN-PTE-PSG-SAG-AIT-COM-CMU</v>
      </c>
      <c r="J838" s="138" t="s">
        <v>7108</v>
      </c>
      <c r="K838" s="140">
        <f>VLOOKUP(LEN(SUBSTITUTE(H838,"-","")),datos!$A$1:$B$12,2,0)</f>
        <v>7</v>
      </c>
      <c r="L838" s="138" t="s">
        <v>7113</v>
      </c>
      <c r="M838" s="138" t="s">
        <v>0</v>
      </c>
    </row>
    <row r="839" spans="1:13" x14ac:dyDescent="0.35">
      <c r="A839" s="138" t="s">
        <v>487</v>
      </c>
      <c r="B839" s="138" t="s">
        <v>3809</v>
      </c>
      <c r="C839" s="138" t="s">
        <v>3913</v>
      </c>
      <c r="D839" s="138" t="s">
        <v>3914</v>
      </c>
      <c r="E839" s="138" t="s">
        <v>7107</v>
      </c>
      <c r="F839" s="138" t="s">
        <v>5193</v>
      </c>
      <c r="G839" s="138" t="s">
        <v>7114</v>
      </c>
      <c r="H839" s="81" t="str">
        <f t="shared" ref="H839" si="93">CONCATENATE(A839,"-",B839,"-",C839,"-",D839,"-",E839,"-",F839,"-",G839)</f>
        <v>TCCN-PTE-PSG-SAG-AIT-COM-ATP</v>
      </c>
      <c r="I839" s="138" t="str">
        <f>MID(H839,1,(LEN(H839)-VLOOKUP(K839,datos!$B$2:$C$12,2,0)))</f>
        <v>TCCN-PTE-PSG-SAG-AIT-COM-ATP</v>
      </c>
      <c r="J839" s="138" t="s">
        <v>7105</v>
      </c>
      <c r="K839" s="140">
        <f>VLOOKUP(LEN(SUBSTITUTE(H839,"-","")),datos!$A$1:$B$12,2,0)</f>
        <v>7</v>
      </c>
      <c r="L839" s="138" t="s">
        <v>7112</v>
      </c>
      <c r="M839" s="138" t="s">
        <v>0</v>
      </c>
    </row>
    <row r="840" spans="1:13" x14ac:dyDescent="0.35">
      <c r="A840" s="138" t="s">
        <v>487</v>
      </c>
      <c r="B840" s="138" t="s">
        <v>3809</v>
      </c>
      <c r="C840" s="138" t="s">
        <v>3913</v>
      </c>
      <c r="D840" s="138" t="s">
        <v>3914</v>
      </c>
      <c r="E840" s="138" t="s">
        <v>7107</v>
      </c>
      <c r="F840" s="138" t="s">
        <v>5193</v>
      </c>
      <c r="G840" s="138" t="s">
        <v>3850</v>
      </c>
      <c r="H840" s="81" t="str">
        <f t="shared" si="92"/>
        <v>TCCN-PTE-PSG-SAG-AIT-COM-UCT</v>
      </c>
      <c r="I840" s="138" t="str">
        <f>MID(H840,1,(LEN(H840)-VLOOKUP(K840,datos!$B$2:$C$12,2,0)))</f>
        <v>TCCN-PTE-PSG-SAG-AIT-COM-UCT</v>
      </c>
      <c r="J840" s="138" t="s">
        <v>7109</v>
      </c>
      <c r="K840" s="140">
        <f>VLOOKUP(LEN(SUBSTITUTE(H840,"-","")),datos!$A$1:$B$12,2,0)</f>
        <v>7</v>
      </c>
      <c r="L840" s="138" t="s">
        <v>7111</v>
      </c>
      <c r="M840" s="138" t="s">
        <v>0</v>
      </c>
    </row>
    <row r="841" spans="1:13" x14ac:dyDescent="0.35">
      <c r="A841" s="138" t="s">
        <v>487</v>
      </c>
      <c r="B841" s="138" t="s">
        <v>3809</v>
      </c>
      <c r="C841" s="138" t="s">
        <v>3913</v>
      </c>
      <c r="D841" s="138" t="s">
        <v>3914</v>
      </c>
      <c r="E841" s="138" t="s">
        <v>7107</v>
      </c>
      <c r="F841" s="138" t="s">
        <v>5193</v>
      </c>
      <c r="G841" s="138" t="s">
        <v>3818</v>
      </c>
      <c r="H841" s="81" t="str">
        <f t="shared" ref="H841" si="94">CONCATENATE(A841,"-",B841,"-",C841,"-",D841,"-",E841,"-",F841,"-",G841)</f>
        <v>TCCN-PTE-PSG-SAG-AIT-COM-BBA</v>
      </c>
      <c r="I841" s="138" t="str">
        <f>MID(H841,1,(LEN(H841)-VLOOKUP(K841,datos!$B$2:$C$12,2,0)))</f>
        <v>TCCN-PTE-PSG-SAG-AIT-COM-BBA</v>
      </c>
      <c r="J841" s="138" t="s">
        <v>7116</v>
      </c>
      <c r="K841" s="140">
        <f>VLOOKUP(LEN(SUBSTITUTE(H841,"-","")),datos!$A$1:$B$12,2,0)</f>
        <v>7</v>
      </c>
      <c r="L841" s="138"/>
      <c r="M841" s="138" t="s">
        <v>0</v>
      </c>
    </row>
    <row r="842" spans="1:13" x14ac:dyDescent="0.35">
      <c r="A842" s="138" t="s">
        <v>487</v>
      </c>
      <c r="B842" s="138" t="s">
        <v>3809</v>
      </c>
      <c r="C842" s="138" t="s">
        <v>3913</v>
      </c>
      <c r="D842" s="138" t="s">
        <v>3914</v>
      </c>
      <c r="E842" s="138" t="s">
        <v>7107</v>
      </c>
      <c r="F842" s="138" t="s">
        <v>5193</v>
      </c>
      <c r="G842" s="138" t="s">
        <v>3819</v>
      </c>
      <c r="H842" s="81" t="str">
        <f t="shared" ref="H842:H846" si="95">CONCATENATE(A842,"-",B842,"-",C842,"-",D842,"-",E842,"-",F842,"-",G842)</f>
        <v>TCCN-PTE-PSG-SAG-AIT-COM-MOE</v>
      </c>
      <c r="I842" s="138" t="str">
        <f>MID(H842,1,(LEN(H842)-VLOOKUP(K842,datos!$B$2:$C$12,2,0)))</f>
        <v>TCCN-PTE-PSG-SAG-AIT-COM-MOE</v>
      </c>
      <c r="J842" s="138" t="s">
        <v>7115</v>
      </c>
      <c r="K842" s="140">
        <f>VLOOKUP(LEN(SUBSTITUTE(H842,"-","")),datos!$A$1:$B$12,2,0)</f>
        <v>7</v>
      </c>
      <c r="L842" s="138"/>
      <c r="M842" s="138" t="s">
        <v>0</v>
      </c>
    </row>
    <row r="843" spans="1:13" customFormat="1" ht="14.5" x14ac:dyDescent="0.35">
      <c r="A843" s="129" t="s">
        <v>487</v>
      </c>
      <c r="B843" s="129" t="s">
        <v>3809</v>
      </c>
      <c r="C843" s="129" t="s">
        <v>3913</v>
      </c>
      <c r="D843" s="129" t="s">
        <v>3914</v>
      </c>
      <c r="E843" s="129" t="s">
        <v>7148</v>
      </c>
      <c r="F843" s="129"/>
      <c r="G843" s="129"/>
      <c r="H843" s="83" t="str">
        <f t="shared" si="95"/>
        <v>TCCN-PTE-PSG-SAG-TO1--</v>
      </c>
      <c r="I843" s="129" t="str">
        <f>MID(H843,1,(LEN(H843)-VLOOKUP(K843,datos!$B$2:$C$12,2,0)))</f>
        <v>TCCN-PTE-PSG-SAG-TO1</v>
      </c>
      <c r="J843" s="129" t="s">
        <v>7150</v>
      </c>
      <c r="K843" s="130">
        <f>VLOOKUP(LEN(SUBSTITUTE(H843,"-","")),datos!$A$1:$B$12,2,0)</f>
        <v>5</v>
      </c>
      <c r="L843" s="129" t="s">
        <v>7151</v>
      </c>
      <c r="M843" s="129" t="s">
        <v>0</v>
      </c>
    </row>
    <row r="844" spans="1:13" x14ac:dyDescent="0.35">
      <c r="A844" s="137" t="s">
        <v>487</v>
      </c>
      <c r="B844" s="137" t="s">
        <v>3809</v>
      </c>
      <c r="C844" s="137" t="s">
        <v>3913</v>
      </c>
      <c r="D844" s="137" t="s">
        <v>3914</v>
      </c>
      <c r="E844" s="137" t="s">
        <v>7148</v>
      </c>
      <c r="F844" s="137" t="s">
        <v>3824</v>
      </c>
      <c r="G844" s="137"/>
      <c r="H844" s="82" t="str">
        <f t="shared" si="95"/>
        <v>TCCN-PTE-PSG-SAG-TO1-SES-</v>
      </c>
      <c r="I844" s="137" t="str">
        <f>MID(H844,1,(LEN(H844)-VLOOKUP(K844,datos!$B$2:$C$12,2,0)))</f>
        <v>TCCN-PTE-PSG-SAG-TO1-SES</v>
      </c>
      <c r="J844" s="137" t="s">
        <v>7155</v>
      </c>
      <c r="K844" s="139">
        <f>VLOOKUP(LEN(SUBSTITUTE(H844,"-","")),datos!$A$1:$B$12,2,0)</f>
        <v>6</v>
      </c>
      <c r="L844" s="137"/>
      <c r="M844" s="137" t="s">
        <v>0</v>
      </c>
    </row>
    <row r="845" spans="1:13" x14ac:dyDescent="0.35">
      <c r="A845" s="138" t="s">
        <v>487</v>
      </c>
      <c r="B845" s="138" t="s">
        <v>3809</v>
      </c>
      <c r="C845" s="138" t="s">
        <v>3913</v>
      </c>
      <c r="D845" s="138" t="s">
        <v>3914</v>
      </c>
      <c r="E845" s="138" t="s">
        <v>7148</v>
      </c>
      <c r="F845" s="138" t="s">
        <v>3824</v>
      </c>
      <c r="G845" s="138" t="s">
        <v>3993</v>
      </c>
      <c r="H845" s="81" t="str">
        <f t="shared" si="95"/>
        <v>TCCN-PTE-PSG-SAG-TO1-SES-POR</v>
      </c>
      <c r="I845" s="138" t="str">
        <f>MID(H845,1,(LEN(H845)-VLOOKUP(K845,datos!$B$2:$C$12,2,0)))</f>
        <v>TCCN-PTE-PSG-SAG-TO1-SES-POR</v>
      </c>
      <c r="J845" s="138" t="s">
        <v>7154</v>
      </c>
      <c r="K845" s="140">
        <f>VLOOKUP(LEN(SUBSTITUTE(H845,"-","")),datos!$A$1:$B$12,2,0)</f>
        <v>7</v>
      </c>
      <c r="L845" s="138" t="s">
        <v>7156</v>
      </c>
      <c r="M845" s="138" t="s">
        <v>0</v>
      </c>
    </row>
    <row r="846" spans="1:13" customFormat="1" ht="14.5" x14ac:dyDescent="0.35">
      <c r="A846" s="129" t="s">
        <v>487</v>
      </c>
      <c r="B846" s="129" t="s">
        <v>3809</v>
      </c>
      <c r="C846" s="129" t="s">
        <v>3913</v>
      </c>
      <c r="D846" s="129" t="s">
        <v>3914</v>
      </c>
      <c r="E846" s="129" t="s">
        <v>7149</v>
      </c>
      <c r="F846" s="129"/>
      <c r="G846" s="129"/>
      <c r="H846" s="83" t="str">
        <f t="shared" si="95"/>
        <v>TCCN-PTE-PSG-SAG-TO2--</v>
      </c>
      <c r="I846" s="129" t="str">
        <f>MID(H846,1,(LEN(H846)-VLOOKUP(K846,datos!$B$2:$C$12,2,0)))</f>
        <v>TCCN-PTE-PSG-SAG-TO2</v>
      </c>
      <c r="J846" s="129" t="s">
        <v>7153</v>
      </c>
      <c r="K846" s="130">
        <f>VLOOKUP(LEN(SUBSTITUTE(H846,"-","")),datos!$A$1:$B$12,2,0)</f>
        <v>5</v>
      </c>
      <c r="L846" s="129" t="s">
        <v>7152</v>
      </c>
      <c r="M846" s="129" t="s">
        <v>0</v>
      </c>
    </row>
    <row r="847" spans="1:13" x14ac:dyDescent="0.35">
      <c r="A847" s="137" t="s">
        <v>487</v>
      </c>
      <c r="B847" s="137" t="s">
        <v>3809</v>
      </c>
      <c r="C847" s="137" t="s">
        <v>3913</v>
      </c>
      <c r="D847" s="137" t="s">
        <v>3914</v>
      </c>
      <c r="E847" s="137" t="s">
        <v>7149</v>
      </c>
      <c r="F847" s="137" t="s">
        <v>3824</v>
      </c>
      <c r="G847" s="137"/>
      <c r="H847" s="82" t="str">
        <f t="shared" ref="H847:H849" si="96">CONCATENATE(A847,"-",B847,"-",C847,"-",D847,"-",E847,"-",F847,"-",G847)</f>
        <v>TCCN-PTE-PSG-SAG-TO2-SES-</v>
      </c>
      <c r="I847" s="137" t="str">
        <f>MID(H847,1,(LEN(H847)-VLOOKUP(K847,datos!$B$2:$C$12,2,0)))</f>
        <v>TCCN-PTE-PSG-SAG-TO2-SES</v>
      </c>
      <c r="J847" s="137" t="s">
        <v>7157</v>
      </c>
      <c r="K847" s="139">
        <f>VLOOKUP(LEN(SUBSTITUTE(H847,"-","")),datos!$A$1:$B$12,2,0)</f>
        <v>6</v>
      </c>
      <c r="L847" s="137"/>
      <c r="M847" s="137" t="s">
        <v>0</v>
      </c>
    </row>
    <row r="848" spans="1:13" x14ac:dyDescent="0.35">
      <c r="A848" s="138" t="s">
        <v>487</v>
      </c>
      <c r="B848" s="138" t="s">
        <v>3809</v>
      </c>
      <c r="C848" s="138" t="s">
        <v>3913</v>
      </c>
      <c r="D848" s="138" t="s">
        <v>3914</v>
      </c>
      <c r="E848" s="138" t="s">
        <v>7149</v>
      </c>
      <c r="F848" s="138" t="s">
        <v>3824</v>
      </c>
      <c r="G848" s="138" t="s">
        <v>3993</v>
      </c>
      <c r="H848" s="81" t="str">
        <f t="shared" si="96"/>
        <v>TCCN-PTE-PSG-SAG-TO2-SES-POR</v>
      </c>
      <c r="I848" s="138" t="str">
        <f>MID(H848,1,(LEN(H848)-VLOOKUP(K848,datos!$B$2:$C$12,2,0)))</f>
        <v>TCCN-PTE-PSG-SAG-TO2-SES-POR</v>
      </c>
      <c r="J848" s="138" t="s">
        <v>7158</v>
      </c>
      <c r="K848" s="140">
        <f>VLOOKUP(LEN(SUBSTITUTE(H848,"-","")),datos!$A$1:$B$12,2,0)</f>
        <v>7</v>
      </c>
      <c r="L848" s="138" t="s">
        <v>7159</v>
      </c>
      <c r="M848" s="138" t="s">
        <v>0</v>
      </c>
    </row>
    <row r="849" spans="1:13" customFormat="1" ht="14.5" x14ac:dyDescent="0.35">
      <c r="A849" s="129" t="s">
        <v>487</v>
      </c>
      <c r="B849" s="129" t="s">
        <v>3809</v>
      </c>
      <c r="C849" s="129" t="s">
        <v>3913</v>
      </c>
      <c r="D849" s="129" t="s">
        <v>3914</v>
      </c>
      <c r="E849" s="129" t="s">
        <v>7160</v>
      </c>
      <c r="F849" s="129"/>
      <c r="G849" s="129"/>
      <c r="H849" s="83" t="str">
        <f t="shared" si="96"/>
        <v>TCCN-PTE-PSG-SAG-CPC--</v>
      </c>
      <c r="I849" s="129" t="str">
        <f>MID(H849,1,(LEN(H849)-VLOOKUP(K849,datos!$B$2:$C$12,2,0)))</f>
        <v>TCCN-PTE-PSG-SAG-CPC</v>
      </c>
      <c r="J849" s="129" t="s">
        <v>7161</v>
      </c>
      <c r="K849" s="130">
        <f>VLOOKUP(LEN(SUBSTITUTE(H849,"-","")),datos!$A$1:$B$12,2,0)</f>
        <v>5</v>
      </c>
      <c r="L849" s="129" t="s">
        <v>7162</v>
      </c>
      <c r="M849" s="129" t="s">
        <v>0</v>
      </c>
    </row>
    <row r="850" spans="1:13" x14ac:dyDescent="0.35">
      <c r="A850" s="137" t="s">
        <v>487</v>
      </c>
      <c r="B850" s="137" t="s">
        <v>3809</v>
      </c>
      <c r="C850" s="137" t="s">
        <v>3913</v>
      </c>
      <c r="D850" s="137" t="s">
        <v>3914</v>
      </c>
      <c r="E850" s="137" t="s">
        <v>7160</v>
      </c>
      <c r="F850" s="137" t="s">
        <v>3824</v>
      </c>
      <c r="G850" s="137"/>
      <c r="H850" s="82" t="str">
        <f t="shared" ref="H850" si="97">CONCATENATE(A850,"-",B850,"-",C850,"-",D850,"-",E850,"-",F850,"-",G850)</f>
        <v>TCCN-PTE-PSG-SAG-CPC-SES-</v>
      </c>
      <c r="I850" s="137" t="str">
        <f>MID(H850,1,(LEN(H850)-VLOOKUP(K850,datos!$B$2:$C$12,2,0)))</f>
        <v>TCCN-PTE-PSG-SAG-CPC-SES</v>
      </c>
      <c r="J850" s="137" t="s">
        <v>7163</v>
      </c>
      <c r="K850" s="139">
        <f>VLOOKUP(LEN(SUBSTITUTE(H850,"-","")),datos!$A$1:$B$12,2,0)</f>
        <v>6</v>
      </c>
      <c r="L850" s="137"/>
      <c r="M850" s="137" t="s">
        <v>0</v>
      </c>
    </row>
    <row r="851" spans="1:13" customFormat="1" ht="14.5" x14ac:dyDescent="0.35">
      <c r="A851" s="129" t="s">
        <v>487</v>
      </c>
      <c r="B851" s="129" t="s">
        <v>3809</v>
      </c>
      <c r="C851" s="129" t="s">
        <v>3913</v>
      </c>
      <c r="D851" s="129" t="s">
        <v>3914</v>
      </c>
      <c r="E851" s="129" t="s">
        <v>3880</v>
      </c>
      <c r="F851" s="129"/>
      <c r="G851" s="129"/>
      <c r="H851" s="83" t="str">
        <f t="shared" si="82"/>
        <v>TCCN-PTE-PSG-SAG-DLO--</v>
      </c>
      <c r="I851" s="129" t="str">
        <f>MID(H851,1,(LEN(H851)-VLOOKUP(K851,datos!$B$2:$C$12,2,0)))</f>
        <v>TCCN-PTE-PSG-SAG-DLO</v>
      </c>
      <c r="J851" s="129" t="s">
        <v>169</v>
      </c>
      <c r="K851" s="130">
        <f>VLOOKUP(LEN(SUBSTITUTE(H851,"-","")),datos!$A$1:$B$12,2,0)</f>
        <v>5</v>
      </c>
      <c r="L851" s="129" t="s">
        <v>586</v>
      </c>
      <c r="M851" s="129" t="s">
        <v>0</v>
      </c>
    </row>
    <row r="852" spans="1:13" customFormat="1" ht="14.5" x14ac:dyDescent="0.35">
      <c r="A852" s="84" t="s">
        <v>487</v>
      </c>
      <c r="B852" s="84" t="s">
        <v>3809</v>
      </c>
      <c r="C852" s="84" t="s">
        <v>3913</v>
      </c>
      <c r="D852" s="84" t="s">
        <v>3888</v>
      </c>
      <c r="E852" s="84"/>
      <c r="F852" s="84"/>
      <c r="G852" s="84"/>
      <c r="H852" s="84" t="str">
        <f t="shared" si="82"/>
        <v>TCCN-PTE-PSG-SEL---</v>
      </c>
      <c r="I852" s="84" t="str">
        <f>MID(H852,1,(LEN(H852)-VLOOKUP(K852,datos!$B$2:$C$12,2,0)))</f>
        <v>TCCN-PTE-PSG-SEL</v>
      </c>
      <c r="J852" s="84" t="s">
        <v>1795</v>
      </c>
      <c r="K852" s="119">
        <f>VLOOKUP(LEN(SUBSTITUTE(H852,"-","")),datos!$A$1:$B$12,2,0)</f>
        <v>4</v>
      </c>
      <c r="L852" s="84"/>
      <c r="M852" s="84" t="s">
        <v>0</v>
      </c>
    </row>
    <row r="853" spans="1:13" customFormat="1" ht="14.5" x14ac:dyDescent="0.35">
      <c r="A853" s="129" t="s">
        <v>487</v>
      </c>
      <c r="B853" s="129" t="s">
        <v>3809</v>
      </c>
      <c r="C853" s="129" t="s">
        <v>3913</v>
      </c>
      <c r="D853" s="129" t="s">
        <v>3888</v>
      </c>
      <c r="E853" s="129" t="s">
        <v>3834</v>
      </c>
      <c r="F853" s="129"/>
      <c r="G853" s="129"/>
      <c r="H853" s="83" t="str">
        <f t="shared" si="82"/>
        <v>TCCN-PTE-PSG-SEL-SA1--</v>
      </c>
      <c r="I853" s="129" t="str">
        <f>MID(H853,1,(LEN(H853)-VLOOKUP(K853,datos!$B$2:$C$12,2,0)))</f>
        <v>TCCN-PTE-PSG-SEL-SA1</v>
      </c>
      <c r="J853" s="129" t="s">
        <v>546</v>
      </c>
      <c r="K853" s="130">
        <f>VLOOKUP(LEN(SUBSTITUTE(H853,"-","")),datos!$A$1:$B$12,2,0)</f>
        <v>5</v>
      </c>
      <c r="L853" s="129" t="s">
        <v>1796</v>
      </c>
      <c r="M853" s="129" t="s">
        <v>0</v>
      </c>
    </row>
    <row r="854" spans="1:13" x14ac:dyDescent="0.35">
      <c r="A854" s="137" t="s">
        <v>487</v>
      </c>
      <c r="B854" s="137" t="s">
        <v>3809</v>
      </c>
      <c r="C854" s="137" t="s">
        <v>3913</v>
      </c>
      <c r="D854" s="137" t="s">
        <v>3888</v>
      </c>
      <c r="E854" s="137" t="s">
        <v>3834</v>
      </c>
      <c r="F854" s="137" t="s">
        <v>3869</v>
      </c>
      <c r="G854" s="137"/>
      <c r="H854" s="82" t="str">
        <f t="shared" si="82"/>
        <v>TCCN-PTE-PSG-SEL-SA1-SCE-</v>
      </c>
      <c r="I854" s="137" t="str">
        <f>MID(H854,1,(LEN(H854)-VLOOKUP(K854,datos!$B$2:$C$12,2,0)))</f>
        <v>TCCN-PTE-PSG-SEL-SA1-SCE</v>
      </c>
      <c r="J854" s="137" t="s">
        <v>6499</v>
      </c>
      <c r="K854" s="139">
        <f>VLOOKUP(LEN(SUBSTITUTE(H854,"-","")),datos!$A$1:$B$12,2,0)</f>
        <v>6</v>
      </c>
      <c r="L854" s="137"/>
      <c r="M854" s="137" t="s">
        <v>0</v>
      </c>
    </row>
    <row r="855" spans="1:13" x14ac:dyDescent="0.35">
      <c r="A855" s="138" t="s">
        <v>487</v>
      </c>
      <c r="B855" s="138" t="s">
        <v>3809</v>
      </c>
      <c r="C855" s="138" t="s">
        <v>3913</v>
      </c>
      <c r="D855" s="138" t="s">
        <v>3888</v>
      </c>
      <c r="E855" s="138" t="s">
        <v>3834</v>
      </c>
      <c r="F855" s="138" t="s">
        <v>3869</v>
      </c>
      <c r="G855" s="138" t="s">
        <v>3955</v>
      </c>
      <c r="H855" s="81" t="str">
        <f t="shared" si="82"/>
        <v>TCCN-PTE-PSG-SEL-SA1-SCE-SW1</v>
      </c>
      <c r="I855" s="138" t="str">
        <f>MID(H855,1,(LEN(H855)-VLOOKUP(K855,datos!$B$2:$C$12,2,0)))</f>
        <v>TCCN-PTE-PSG-SEL-SA1-SCE-SW1</v>
      </c>
      <c r="J855" s="138" t="s">
        <v>1471</v>
      </c>
      <c r="K855" s="140">
        <f>VLOOKUP(LEN(SUBSTITUTE(H855,"-","")),datos!$A$1:$B$12,2,0)</f>
        <v>7</v>
      </c>
      <c r="L855" s="138" t="s">
        <v>1411</v>
      </c>
      <c r="M855" s="138" t="s">
        <v>0</v>
      </c>
    </row>
    <row r="856" spans="1:13" x14ac:dyDescent="0.35">
      <c r="A856" s="138" t="s">
        <v>487</v>
      </c>
      <c r="B856" s="138" t="s">
        <v>3809</v>
      </c>
      <c r="C856" s="138" t="s">
        <v>3913</v>
      </c>
      <c r="D856" s="138" t="s">
        <v>3888</v>
      </c>
      <c r="E856" s="138" t="s">
        <v>3834</v>
      </c>
      <c r="F856" s="138" t="s">
        <v>3869</v>
      </c>
      <c r="G856" s="138" t="s">
        <v>3956</v>
      </c>
      <c r="H856" s="81" t="str">
        <f t="shared" si="82"/>
        <v>TCCN-PTE-PSG-SEL-SA1-SCE-VF1</v>
      </c>
      <c r="I856" s="138" t="str">
        <f>MID(H856,1,(LEN(H856)-VLOOKUP(K856,datos!$B$2:$C$12,2,0)))</f>
        <v>TCCN-PTE-PSG-SEL-SA1-SCE-VF1</v>
      </c>
      <c r="J856" s="138" t="s">
        <v>6261</v>
      </c>
      <c r="K856" s="140">
        <f>VLOOKUP(LEN(SUBSTITUTE(H856,"-","")),datos!$A$1:$B$12,2,0)</f>
        <v>7</v>
      </c>
      <c r="L856" s="138" t="s">
        <v>1413</v>
      </c>
      <c r="M856" s="138" t="s">
        <v>0</v>
      </c>
    </row>
    <row r="857" spans="1:13" x14ac:dyDescent="0.35">
      <c r="A857" s="138" t="s">
        <v>487</v>
      </c>
      <c r="B857" s="138" t="s">
        <v>3809</v>
      </c>
      <c r="C857" s="138" t="s">
        <v>3913</v>
      </c>
      <c r="D857" s="138" t="s">
        <v>3888</v>
      </c>
      <c r="E857" s="138" t="s">
        <v>3834</v>
      </c>
      <c r="F857" s="138" t="s">
        <v>3869</v>
      </c>
      <c r="G857" s="138" t="s">
        <v>3957</v>
      </c>
      <c r="H857" s="81" t="str">
        <f t="shared" si="82"/>
        <v>TCCN-PTE-PSG-SEL-SA1-SCE-VF2</v>
      </c>
      <c r="I857" s="138" t="str">
        <f>MID(H857,1,(LEN(H857)-VLOOKUP(K857,datos!$B$2:$C$12,2,0)))</f>
        <v>TCCN-PTE-PSG-SEL-SA1-SCE-VF2</v>
      </c>
      <c r="J857" s="138" t="s">
        <v>6262</v>
      </c>
      <c r="K857" s="140">
        <f>VLOOKUP(LEN(SUBSTITUTE(H857,"-","")),datos!$A$1:$B$12,2,0)</f>
        <v>7</v>
      </c>
      <c r="L857" s="138" t="s">
        <v>1415</v>
      </c>
      <c r="M857" s="138" t="s">
        <v>0</v>
      </c>
    </row>
    <row r="858" spans="1:13" x14ac:dyDescent="0.35">
      <c r="A858" s="138" t="s">
        <v>487</v>
      </c>
      <c r="B858" s="138" t="s">
        <v>3809</v>
      </c>
      <c r="C858" s="138" t="s">
        <v>3913</v>
      </c>
      <c r="D858" s="138" t="s">
        <v>3888</v>
      </c>
      <c r="E858" s="138" t="s">
        <v>3834</v>
      </c>
      <c r="F858" s="138" t="s">
        <v>3869</v>
      </c>
      <c r="G858" s="138" t="s">
        <v>3958</v>
      </c>
      <c r="H858" s="81" t="str">
        <f t="shared" si="82"/>
        <v>TCCN-PTE-PSG-SEL-SA1-SCE-CDC</v>
      </c>
      <c r="I858" s="138" t="str">
        <f>MID(H858,1,(LEN(H858)-VLOOKUP(K858,datos!$B$2:$C$12,2,0)))</f>
        <v>TCCN-PTE-PSG-SEL-SA1-SCE-CDC</v>
      </c>
      <c r="J858" s="138" t="s">
        <v>856</v>
      </c>
      <c r="K858" s="140">
        <f>VLOOKUP(LEN(SUBSTITUTE(H858,"-","")),datos!$A$1:$B$12,2,0)</f>
        <v>7</v>
      </c>
      <c r="L858" s="138" t="s">
        <v>490</v>
      </c>
      <c r="M858" s="138" t="s">
        <v>0</v>
      </c>
    </row>
    <row r="859" spans="1:13" x14ac:dyDescent="0.35">
      <c r="A859" s="138" t="s">
        <v>487</v>
      </c>
      <c r="B859" s="138" t="s">
        <v>3809</v>
      </c>
      <c r="C859" s="138" t="s">
        <v>3913</v>
      </c>
      <c r="D859" s="138" t="s">
        <v>3888</v>
      </c>
      <c r="E859" s="138" t="s">
        <v>3834</v>
      </c>
      <c r="F859" s="138" t="s">
        <v>3869</v>
      </c>
      <c r="G859" s="138" t="s">
        <v>3959</v>
      </c>
      <c r="H859" s="81" t="str">
        <f t="shared" si="82"/>
        <v>TCCN-PTE-PSG-SEL-SA1-SCE-SW2</v>
      </c>
      <c r="I859" s="138" t="str">
        <f>MID(H859,1,(LEN(H859)-VLOOKUP(K859,datos!$B$2:$C$12,2,0)))</f>
        <v>TCCN-PTE-PSG-SEL-SA1-SCE-SW2</v>
      </c>
      <c r="J859" s="138" t="s">
        <v>857</v>
      </c>
      <c r="K859" s="140">
        <f>VLOOKUP(LEN(SUBSTITUTE(H859,"-","")),datos!$A$1:$B$12,2,0)</f>
        <v>7</v>
      </c>
      <c r="L859" s="138" t="s">
        <v>491</v>
      </c>
      <c r="M859" s="138" t="s">
        <v>0</v>
      </c>
    </row>
    <row r="860" spans="1:13" x14ac:dyDescent="0.35">
      <c r="A860" s="138" t="s">
        <v>487</v>
      </c>
      <c r="B860" s="138" t="s">
        <v>3809</v>
      </c>
      <c r="C860" s="138" t="s">
        <v>3913</v>
      </c>
      <c r="D860" s="138" t="s">
        <v>3888</v>
      </c>
      <c r="E860" s="138" t="s">
        <v>3834</v>
      </c>
      <c r="F860" s="138" t="s">
        <v>3869</v>
      </c>
      <c r="G860" s="138" t="s">
        <v>3960</v>
      </c>
      <c r="H860" s="81" t="str">
        <f t="shared" si="82"/>
        <v>TCCN-PTE-PSG-SEL-SA1-SCE-CC1</v>
      </c>
      <c r="I860" s="138" t="str">
        <f>MID(H860,1,(LEN(H860)-VLOOKUP(K860,datos!$B$2:$C$12,2,0)))</f>
        <v>TCCN-PTE-PSG-SEL-SA1-SCE-CC1</v>
      </c>
      <c r="J860" s="138" t="s">
        <v>1352</v>
      </c>
      <c r="K860" s="140">
        <f>VLOOKUP(LEN(SUBSTITUTE(H860,"-","")),datos!$A$1:$B$12,2,0)</f>
        <v>7</v>
      </c>
      <c r="L860" s="138" t="s">
        <v>141</v>
      </c>
      <c r="M860" s="138" t="s">
        <v>0</v>
      </c>
    </row>
    <row r="861" spans="1:13" x14ac:dyDescent="0.35">
      <c r="A861" s="138" t="s">
        <v>487</v>
      </c>
      <c r="B861" s="138" t="s">
        <v>3809</v>
      </c>
      <c r="C861" s="138" t="s">
        <v>3913</v>
      </c>
      <c r="D861" s="138" t="s">
        <v>3888</v>
      </c>
      <c r="E861" s="138" t="s">
        <v>3834</v>
      </c>
      <c r="F861" s="138" t="s">
        <v>3869</v>
      </c>
      <c r="G861" s="138" t="s">
        <v>3961</v>
      </c>
      <c r="H861" s="81" t="str">
        <f t="shared" si="82"/>
        <v>TCCN-PTE-PSG-SEL-SA1-SCE-CC2</v>
      </c>
      <c r="I861" s="138" t="str">
        <f>MID(H861,1,(LEN(H861)-VLOOKUP(K861,datos!$B$2:$C$12,2,0)))</f>
        <v>TCCN-PTE-PSG-SEL-SA1-SCE-CC2</v>
      </c>
      <c r="J861" s="138" t="s">
        <v>1353</v>
      </c>
      <c r="K861" s="140">
        <f>VLOOKUP(LEN(SUBSTITUTE(H861,"-","")),datos!$A$1:$B$12,2,0)</f>
        <v>7</v>
      </c>
      <c r="L861" s="138" t="s">
        <v>140</v>
      </c>
      <c r="M861" s="138" t="s">
        <v>0</v>
      </c>
    </row>
    <row r="862" spans="1:13" x14ac:dyDescent="0.35">
      <c r="A862" s="138" t="s">
        <v>487</v>
      </c>
      <c r="B862" s="138" t="s">
        <v>3809</v>
      </c>
      <c r="C862" s="138" t="s">
        <v>3913</v>
      </c>
      <c r="D862" s="138" t="s">
        <v>3888</v>
      </c>
      <c r="E862" s="138" t="s">
        <v>3834</v>
      </c>
      <c r="F862" s="138" t="s">
        <v>3869</v>
      </c>
      <c r="G862" s="138" t="s">
        <v>4066</v>
      </c>
      <c r="H862" s="81" t="str">
        <f t="shared" si="82"/>
        <v>TCCN-PTE-PSG-SEL-SA1-SCE-TR1</v>
      </c>
      <c r="I862" s="138" t="str">
        <f>MID(H862,1,(LEN(H862)-VLOOKUP(K862,datos!$B$2:$C$12,2,0)))</f>
        <v>TCCN-PTE-PSG-SEL-SA1-SCE-TR1</v>
      </c>
      <c r="J862" s="138" t="s">
        <v>858</v>
      </c>
      <c r="K862" s="140">
        <f>VLOOKUP(LEN(SUBSTITUTE(H862,"-","")),datos!$A$1:$B$12,2,0)</f>
        <v>7</v>
      </c>
      <c r="L862" s="138" t="s">
        <v>139</v>
      </c>
      <c r="M862" s="138" t="s">
        <v>0</v>
      </c>
    </row>
    <row r="863" spans="1:13" x14ac:dyDescent="0.35">
      <c r="A863" s="138" t="s">
        <v>487</v>
      </c>
      <c r="B863" s="138" t="s">
        <v>3809</v>
      </c>
      <c r="C863" s="138" t="s">
        <v>3913</v>
      </c>
      <c r="D863" s="138" t="s">
        <v>3888</v>
      </c>
      <c r="E863" s="138" t="s">
        <v>3834</v>
      </c>
      <c r="F863" s="138" t="s">
        <v>3869</v>
      </c>
      <c r="G863" s="138" t="s">
        <v>3891</v>
      </c>
      <c r="H863" s="81" t="str">
        <f t="shared" si="82"/>
        <v>TCCN-PTE-PSG-SEL-SA1-SCE-TF1</v>
      </c>
      <c r="I863" s="138" t="str">
        <f>MID(H863,1,(LEN(H863)-VLOOKUP(K863,datos!$B$2:$C$12,2,0)))</f>
        <v>TCCN-PTE-PSG-SEL-SA1-SCE-TF1</v>
      </c>
      <c r="J863" s="138" t="s">
        <v>859</v>
      </c>
      <c r="K863" s="140">
        <f>VLOOKUP(LEN(SUBSTITUTE(H863,"-","")),datos!$A$1:$B$12,2,0)</f>
        <v>7</v>
      </c>
      <c r="L863" s="138" t="s">
        <v>492</v>
      </c>
      <c r="M863" s="138" t="s">
        <v>0</v>
      </c>
    </row>
    <row r="864" spans="1:13" x14ac:dyDescent="0.35">
      <c r="A864" s="138" t="s">
        <v>487</v>
      </c>
      <c r="B864" s="138" t="s">
        <v>3809</v>
      </c>
      <c r="C864" s="138" t="s">
        <v>3913</v>
      </c>
      <c r="D864" s="138" t="s">
        <v>3888</v>
      </c>
      <c r="E864" s="138" t="s">
        <v>3834</v>
      </c>
      <c r="F864" s="138" t="s">
        <v>3869</v>
      </c>
      <c r="G864" s="138" t="s">
        <v>3906</v>
      </c>
      <c r="H864" s="81" t="str">
        <f t="shared" si="82"/>
        <v>TCCN-PTE-PSG-SEL-SA1-SCE-RK1</v>
      </c>
      <c r="I864" s="138" t="str">
        <f>MID(H864,1,(LEN(H864)-VLOOKUP(K864,datos!$B$2:$C$12,2,0)))</f>
        <v>TCCN-PTE-PSG-SEL-SA1-SCE-RK1</v>
      </c>
      <c r="J864" s="138" t="s">
        <v>860</v>
      </c>
      <c r="K864" s="140">
        <f>VLOOKUP(LEN(SUBSTITUTE(H864,"-","")),datos!$A$1:$B$12,2,0)</f>
        <v>7</v>
      </c>
      <c r="L864" s="138" t="s">
        <v>493</v>
      </c>
      <c r="M864" s="138" t="s">
        <v>0</v>
      </c>
    </row>
    <row r="865" spans="1:13" x14ac:dyDescent="0.35">
      <c r="A865" s="138" t="s">
        <v>487</v>
      </c>
      <c r="B865" s="138" t="s">
        <v>3809</v>
      </c>
      <c r="C865" s="138" t="s">
        <v>3913</v>
      </c>
      <c r="D865" s="138" t="s">
        <v>3888</v>
      </c>
      <c r="E865" s="138" t="s">
        <v>3834</v>
      </c>
      <c r="F865" s="138" t="s">
        <v>3869</v>
      </c>
      <c r="G865" s="138" t="s">
        <v>3893</v>
      </c>
      <c r="H865" s="81" t="str">
        <f t="shared" ref="H865:H926" si="98">CONCATENATE(A865,"-",B865,"-",C865,"-",D865,"-",E865,"-",F865,"-",G865)</f>
        <v>TCCN-PTE-PSG-SEL-SA1-SCE-TF3</v>
      </c>
      <c r="I865" s="138" t="str">
        <f>MID(H865,1,(LEN(H865)-VLOOKUP(K865,datos!$B$2:$C$12,2,0)))</f>
        <v>TCCN-PTE-PSG-SEL-SA1-SCE-TF3</v>
      </c>
      <c r="J865" s="138" t="s">
        <v>624</v>
      </c>
      <c r="K865" s="140">
        <f>VLOOKUP(LEN(SUBSTITUTE(H865,"-","")),datos!$A$1:$B$12,2,0)</f>
        <v>7</v>
      </c>
      <c r="L865" s="138" t="s">
        <v>495</v>
      </c>
      <c r="M865" s="138" t="s">
        <v>0</v>
      </c>
    </row>
    <row r="866" spans="1:13" x14ac:dyDescent="0.35">
      <c r="A866" s="138" t="s">
        <v>487</v>
      </c>
      <c r="B866" s="138" t="s">
        <v>3809</v>
      </c>
      <c r="C866" s="138" t="s">
        <v>3913</v>
      </c>
      <c r="D866" s="138" t="s">
        <v>3888</v>
      </c>
      <c r="E866" s="138" t="s">
        <v>3834</v>
      </c>
      <c r="F866" s="138" t="s">
        <v>3869</v>
      </c>
      <c r="G866" s="138" t="s">
        <v>3962</v>
      </c>
      <c r="H866" s="81" t="str">
        <f t="shared" si="98"/>
        <v>TCCN-PTE-PSG-SEL-SA1-SCE-VF3</v>
      </c>
      <c r="I866" s="138" t="str">
        <f>MID(H866,1,(LEN(H866)-VLOOKUP(K866,datos!$B$2:$C$12,2,0)))</f>
        <v>TCCN-PTE-PSG-SEL-SA1-SCE-VF3</v>
      </c>
      <c r="J866" s="138" t="s">
        <v>7192</v>
      </c>
      <c r="K866" s="140">
        <f>VLOOKUP(LEN(SUBSTITUTE(H866,"-","")),datos!$A$1:$B$12,2,0)</f>
        <v>7</v>
      </c>
      <c r="L866" s="138" t="s">
        <v>496</v>
      </c>
      <c r="M866" s="138" t="s">
        <v>0</v>
      </c>
    </row>
    <row r="867" spans="1:13" x14ac:dyDescent="0.35">
      <c r="A867" s="138" t="s">
        <v>487</v>
      </c>
      <c r="B867" s="138" t="s">
        <v>3809</v>
      </c>
      <c r="C867" s="138" t="s">
        <v>3913</v>
      </c>
      <c r="D867" s="138" t="s">
        <v>3888</v>
      </c>
      <c r="E867" s="138" t="s">
        <v>3834</v>
      </c>
      <c r="F867" s="138" t="s">
        <v>3869</v>
      </c>
      <c r="G867" s="138" t="s">
        <v>5228</v>
      </c>
      <c r="H867" s="81" t="str">
        <f t="shared" si="98"/>
        <v>TCCN-PTE-PSG-SEL-SA1-SCE-EF1</v>
      </c>
      <c r="I867" s="138" t="str">
        <f>MID(H867,1,(LEN(H867)-VLOOKUP(K867,datos!$B$2:$C$12,2,0)))</f>
        <v>TCCN-PTE-PSG-SEL-SA1-SCE-EF1</v>
      </c>
      <c r="J867" s="138" t="s">
        <v>5229</v>
      </c>
      <c r="K867" s="140">
        <f>VLOOKUP(LEN(SUBSTITUTE(H867,"-","")),datos!$A$1:$B$12,2,0)</f>
        <v>7</v>
      </c>
      <c r="L867" s="138"/>
      <c r="M867" s="138" t="s">
        <v>0</v>
      </c>
    </row>
    <row r="868" spans="1:13" x14ac:dyDescent="0.35">
      <c r="A868" s="138" t="s">
        <v>487</v>
      </c>
      <c r="B868" s="138" t="s">
        <v>3809</v>
      </c>
      <c r="C868" s="138" t="s">
        <v>3913</v>
      </c>
      <c r="D868" s="138" t="s">
        <v>3888</v>
      </c>
      <c r="E868" s="138" t="s">
        <v>3834</v>
      </c>
      <c r="F868" s="138" t="s">
        <v>3869</v>
      </c>
      <c r="G868" s="138" t="s">
        <v>5230</v>
      </c>
      <c r="H868" s="81" t="str">
        <f t="shared" si="98"/>
        <v>TCCN-PTE-PSG-SEL-SA1-SCE-EF2</v>
      </c>
      <c r="I868" s="138" t="str">
        <f>MID(H868,1,(LEN(H868)-VLOOKUP(K868,datos!$B$2:$C$12,2,0)))</f>
        <v>TCCN-PTE-PSG-SEL-SA1-SCE-EF2</v>
      </c>
      <c r="J868" s="138" t="s">
        <v>5231</v>
      </c>
      <c r="K868" s="140">
        <f>VLOOKUP(LEN(SUBSTITUTE(H868,"-","")),datos!$A$1:$B$12,2,0)</f>
        <v>7</v>
      </c>
      <c r="L868" s="138"/>
      <c r="M868" s="138" t="s">
        <v>0</v>
      </c>
    </row>
    <row r="869" spans="1:13" x14ac:dyDescent="0.35">
      <c r="A869" s="138" t="s">
        <v>487</v>
      </c>
      <c r="B869" s="138" t="s">
        <v>3809</v>
      </c>
      <c r="C869" s="138" t="s">
        <v>3913</v>
      </c>
      <c r="D869" s="138" t="s">
        <v>3888</v>
      </c>
      <c r="E869" s="138" t="s">
        <v>3834</v>
      </c>
      <c r="F869" s="138" t="s">
        <v>3869</v>
      </c>
      <c r="G869" s="138" t="s">
        <v>3963</v>
      </c>
      <c r="H869" s="81" t="str">
        <f t="shared" si="98"/>
        <v>TCCN-PTE-PSG-SEL-SA1-SCE-VF4</v>
      </c>
      <c r="I869" s="138" t="str">
        <f>MID(H869,1,(LEN(H869)-VLOOKUP(K869,datos!$B$2:$C$12,2,0)))</f>
        <v>TCCN-PTE-PSG-SEL-SA1-SCE-VF4</v>
      </c>
      <c r="J869" s="138" t="s">
        <v>7193</v>
      </c>
      <c r="K869" s="140">
        <f>VLOOKUP(LEN(SUBSTITUTE(H869,"-","")),datos!$A$1:$B$12,2,0)</f>
        <v>7</v>
      </c>
      <c r="L869" s="138" t="s">
        <v>497</v>
      </c>
      <c r="M869" s="138" t="s">
        <v>0</v>
      </c>
    </row>
    <row r="870" spans="1:13" x14ac:dyDescent="0.35">
      <c r="A870" s="138" t="s">
        <v>487</v>
      </c>
      <c r="B870" s="138" t="s">
        <v>3809</v>
      </c>
      <c r="C870" s="138" t="s">
        <v>3913</v>
      </c>
      <c r="D870" s="138" t="s">
        <v>3888</v>
      </c>
      <c r="E870" s="138" t="s">
        <v>3834</v>
      </c>
      <c r="F870" s="138" t="s">
        <v>3869</v>
      </c>
      <c r="G870" s="138" t="s">
        <v>3964</v>
      </c>
      <c r="H870" s="81" t="str">
        <f t="shared" si="98"/>
        <v>TCCN-PTE-PSG-SEL-SA1-SCE-UPS</v>
      </c>
      <c r="I870" s="138" t="str">
        <f>MID(H870,1,(LEN(H870)-VLOOKUP(K870,datos!$B$2:$C$12,2,0)))</f>
        <v>TCCN-PTE-PSG-SEL-SA1-SCE-UPS</v>
      </c>
      <c r="J870" s="138" t="s">
        <v>862</v>
      </c>
      <c r="K870" s="140">
        <f>VLOOKUP(LEN(SUBSTITUTE(H870,"-","")),datos!$A$1:$B$12,2,0)</f>
        <v>7</v>
      </c>
      <c r="L870" s="138" t="s">
        <v>498</v>
      </c>
      <c r="M870" s="138" t="s">
        <v>0</v>
      </c>
    </row>
    <row r="871" spans="1:13" x14ac:dyDescent="0.35">
      <c r="A871" s="138" t="s">
        <v>487</v>
      </c>
      <c r="B871" s="138" t="s">
        <v>3809</v>
      </c>
      <c r="C871" s="138" t="s">
        <v>3913</v>
      </c>
      <c r="D871" s="138" t="s">
        <v>3888</v>
      </c>
      <c r="E871" s="138" t="s">
        <v>3834</v>
      </c>
      <c r="F871" s="138" t="s">
        <v>3869</v>
      </c>
      <c r="G871" s="138" t="s">
        <v>5290</v>
      </c>
      <c r="H871" s="81" t="str">
        <f t="shared" si="98"/>
        <v>TCCN-PTE-PSG-SEL-SA1-SCE-GBT</v>
      </c>
      <c r="I871" s="138" t="str">
        <f>MID(H871,1,(LEN(H871)-VLOOKUP(K871,datos!$B$2:$C$12,2,0)))</f>
        <v>TCCN-PTE-PSG-SEL-SA1-SCE-GBT</v>
      </c>
      <c r="J871" s="138" t="s">
        <v>863</v>
      </c>
      <c r="K871" s="140">
        <f>VLOOKUP(LEN(SUBSTITUTE(H871,"-","")),datos!$A$1:$B$12,2,0)</f>
        <v>7</v>
      </c>
      <c r="L871" s="138" t="s">
        <v>499</v>
      </c>
      <c r="M871" s="138" t="s">
        <v>0</v>
      </c>
    </row>
    <row r="872" spans="1:13" x14ac:dyDescent="0.35">
      <c r="A872" s="138" t="s">
        <v>487</v>
      </c>
      <c r="B872" s="138" t="s">
        <v>3809</v>
      </c>
      <c r="C872" s="138" t="s">
        <v>3913</v>
      </c>
      <c r="D872" s="138" t="s">
        <v>3888</v>
      </c>
      <c r="E872" s="138" t="s">
        <v>3834</v>
      </c>
      <c r="F872" s="138" t="s">
        <v>3869</v>
      </c>
      <c r="G872" s="138" t="s">
        <v>3907</v>
      </c>
      <c r="H872" s="81" t="str">
        <f t="shared" si="98"/>
        <v>TCCN-PTE-PSG-SEL-SA1-SCE-RK2</v>
      </c>
      <c r="I872" s="138" t="str">
        <f>MID(H872,1,(LEN(H872)-VLOOKUP(K872,datos!$B$2:$C$12,2,0)))</f>
        <v>TCCN-PTE-PSG-SEL-SA1-SCE-RK2</v>
      </c>
      <c r="J872" s="138" t="s">
        <v>860</v>
      </c>
      <c r="K872" s="140">
        <f>VLOOKUP(LEN(SUBSTITUTE(H872,"-","")),datos!$A$1:$B$12,2,0)</f>
        <v>7</v>
      </c>
      <c r="L872" s="138" t="s">
        <v>500</v>
      </c>
      <c r="M872" s="138" t="s">
        <v>0</v>
      </c>
    </row>
    <row r="873" spans="1:13" x14ac:dyDescent="0.35">
      <c r="A873" s="138" t="s">
        <v>487</v>
      </c>
      <c r="B873" s="138" t="s">
        <v>3809</v>
      </c>
      <c r="C873" s="138" t="s">
        <v>3913</v>
      </c>
      <c r="D873" s="138" t="s">
        <v>3888</v>
      </c>
      <c r="E873" s="138" t="s">
        <v>3834</v>
      </c>
      <c r="F873" s="138" t="s">
        <v>3869</v>
      </c>
      <c r="G873" s="138" t="s">
        <v>6912</v>
      </c>
      <c r="H873" s="81" t="str">
        <f t="shared" si="98"/>
        <v>TCCN-PTE-PSG-SEL-SA1-SCE-TIN</v>
      </c>
      <c r="I873" s="138" t="str">
        <f>MID(H873,1,(LEN(H873)-VLOOKUP(K873,datos!$B$2:$C$12,2,0)))</f>
        <v>TCCN-PTE-PSG-SEL-SA1-SCE-TIN</v>
      </c>
      <c r="J873" s="138" t="s">
        <v>864</v>
      </c>
      <c r="K873" s="140">
        <f>VLOOKUP(LEN(SUBSTITUTE(H873,"-","")),datos!$A$1:$B$12,2,0)</f>
        <v>7</v>
      </c>
      <c r="L873" s="138" t="s">
        <v>501</v>
      </c>
      <c r="M873" s="138" t="s">
        <v>0</v>
      </c>
    </row>
    <row r="874" spans="1:13" x14ac:dyDescent="0.35">
      <c r="A874" s="138" t="s">
        <v>487</v>
      </c>
      <c r="B874" s="138" t="s">
        <v>3809</v>
      </c>
      <c r="C874" s="138" t="s">
        <v>3913</v>
      </c>
      <c r="D874" s="138" t="s">
        <v>3888</v>
      </c>
      <c r="E874" s="138" t="s">
        <v>3834</v>
      </c>
      <c r="F874" s="138" t="s">
        <v>3869</v>
      </c>
      <c r="G874" s="138" t="s">
        <v>3908</v>
      </c>
      <c r="H874" s="81" t="str">
        <f t="shared" si="98"/>
        <v>TCCN-PTE-PSG-SEL-SA1-SCE-SCA</v>
      </c>
      <c r="I874" s="138" t="str">
        <f>MID(H874,1,(LEN(H874)-VLOOKUP(K874,datos!$B$2:$C$12,2,0)))</f>
        <v>TCCN-PTE-PSG-SEL-SA1-SCE-SCA</v>
      </c>
      <c r="J874" s="138" t="s">
        <v>865</v>
      </c>
      <c r="K874" s="140">
        <f>VLOOKUP(LEN(SUBSTITUTE(H874,"-","")),datos!$A$1:$B$12,2,0)</f>
        <v>7</v>
      </c>
      <c r="L874" s="138" t="s">
        <v>502</v>
      </c>
      <c r="M874" s="138" t="s">
        <v>0</v>
      </c>
    </row>
    <row r="875" spans="1:13" x14ac:dyDescent="0.35">
      <c r="A875" s="138" t="s">
        <v>487</v>
      </c>
      <c r="B875" s="138" t="s">
        <v>3809</v>
      </c>
      <c r="C875" s="138" t="s">
        <v>3913</v>
      </c>
      <c r="D875" s="138" t="s">
        <v>3888</v>
      </c>
      <c r="E875" s="138" t="s">
        <v>3834</v>
      </c>
      <c r="F875" s="138" t="s">
        <v>3869</v>
      </c>
      <c r="G875" s="138" t="s">
        <v>3903</v>
      </c>
      <c r="H875" s="81" t="str">
        <f t="shared" si="98"/>
        <v>TCCN-PTE-PSG-SEL-SA1-SCE-PC1</v>
      </c>
      <c r="I875" s="138" t="str">
        <f>MID(H875,1,(LEN(H875)-VLOOKUP(K875,datos!$B$2:$C$12,2,0)))</f>
        <v>TCCN-PTE-PSG-SEL-SA1-SCE-PC1</v>
      </c>
      <c r="J875" s="138" t="s">
        <v>1348</v>
      </c>
      <c r="K875" s="140">
        <f>VLOOKUP(LEN(SUBSTITUTE(H875,"-","")),datos!$A$1:$B$12,2,0)</f>
        <v>7</v>
      </c>
      <c r="L875" s="138" t="s">
        <v>503</v>
      </c>
      <c r="M875" s="138" t="s">
        <v>0</v>
      </c>
    </row>
    <row r="876" spans="1:13" x14ac:dyDescent="0.35">
      <c r="A876" s="138" t="s">
        <v>487</v>
      </c>
      <c r="B876" s="138" t="s">
        <v>3809</v>
      </c>
      <c r="C876" s="138" t="s">
        <v>3913</v>
      </c>
      <c r="D876" s="138" t="s">
        <v>3888</v>
      </c>
      <c r="E876" s="138" t="s">
        <v>3834</v>
      </c>
      <c r="F876" s="138" t="s">
        <v>3869</v>
      </c>
      <c r="G876" s="138" t="s">
        <v>3904</v>
      </c>
      <c r="H876" s="81" t="str">
        <f t="shared" si="98"/>
        <v>TCCN-PTE-PSG-SEL-SA1-SCE-PC2</v>
      </c>
      <c r="I876" s="138" t="str">
        <f>MID(H876,1,(LEN(H876)-VLOOKUP(K876,datos!$B$2:$C$12,2,0)))</f>
        <v>TCCN-PTE-PSG-SEL-SA1-SCE-PC2</v>
      </c>
      <c r="J876" s="138" t="s">
        <v>1349</v>
      </c>
      <c r="K876" s="140">
        <f>VLOOKUP(LEN(SUBSTITUTE(H876,"-","")),datos!$A$1:$B$12,2,0)</f>
        <v>7</v>
      </c>
      <c r="L876" s="138" t="s">
        <v>504</v>
      </c>
      <c r="M876" s="138" t="s">
        <v>0</v>
      </c>
    </row>
    <row r="877" spans="1:13" x14ac:dyDescent="0.35">
      <c r="A877" s="138" t="s">
        <v>487</v>
      </c>
      <c r="B877" s="138" t="s">
        <v>3809</v>
      </c>
      <c r="C877" s="138" t="s">
        <v>3913</v>
      </c>
      <c r="D877" s="138" t="s">
        <v>3888</v>
      </c>
      <c r="E877" s="138" t="s">
        <v>3834</v>
      </c>
      <c r="F877" s="138" t="s">
        <v>3869</v>
      </c>
      <c r="G877" s="138" t="s">
        <v>3910</v>
      </c>
      <c r="H877" s="81" t="str">
        <f t="shared" si="98"/>
        <v>TCCN-PTE-PSG-SEL-SA1-SCE-TF4</v>
      </c>
      <c r="I877" s="138" t="str">
        <f>MID(H877,1,(LEN(H877)-VLOOKUP(K877,datos!$B$2:$C$12,2,0)))</f>
        <v>TCCN-PTE-PSG-SEL-SA1-SCE-TF4</v>
      </c>
      <c r="J877" s="138" t="s">
        <v>866</v>
      </c>
      <c r="K877" s="140">
        <f>VLOOKUP(LEN(SUBSTITUTE(H877,"-","")),datos!$A$1:$B$12,2,0)</f>
        <v>7</v>
      </c>
      <c r="L877" s="138" t="s">
        <v>505</v>
      </c>
      <c r="M877" s="138" t="s">
        <v>0</v>
      </c>
    </row>
    <row r="878" spans="1:13" x14ac:dyDescent="0.35">
      <c r="A878" s="138" t="s">
        <v>487</v>
      </c>
      <c r="B878" s="138" t="s">
        <v>3809</v>
      </c>
      <c r="C878" s="138" t="s">
        <v>3913</v>
      </c>
      <c r="D878" s="138" t="s">
        <v>3888</v>
      </c>
      <c r="E878" s="138" t="s">
        <v>3834</v>
      </c>
      <c r="F878" s="138" t="s">
        <v>3869</v>
      </c>
      <c r="G878" s="138" t="s">
        <v>3965</v>
      </c>
      <c r="H878" s="81" t="str">
        <f t="shared" si="98"/>
        <v>TCCN-PTE-PSG-SEL-SA1-SCE-CB1</v>
      </c>
      <c r="I878" s="138" t="str">
        <f>MID(H878,1,(LEN(H878)-VLOOKUP(K878,datos!$B$2:$C$12,2,0)))</f>
        <v>TCCN-PTE-PSG-SEL-SA1-SCE-CB1</v>
      </c>
      <c r="J878" s="138" t="s">
        <v>1346</v>
      </c>
      <c r="K878" s="140">
        <f>VLOOKUP(LEN(SUBSTITUTE(H878,"-","")),datos!$A$1:$B$12,2,0)</f>
        <v>7</v>
      </c>
      <c r="L878" s="138" t="s">
        <v>506</v>
      </c>
      <c r="M878" s="138" t="s">
        <v>0</v>
      </c>
    </row>
    <row r="879" spans="1:13" x14ac:dyDescent="0.35">
      <c r="A879" s="138" t="s">
        <v>487</v>
      </c>
      <c r="B879" s="138" t="s">
        <v>3809</v>
      </c>
      <c r="C879" s="138" t="s">
        <v>3913</v>
      </c>
      <c r="D879" s="138" t="s">
        <v>3888</v>
      </c>
      <c r="E879" s="138" t="s">
        <v>3834</v>
      </c>
      <c r="F879" s="138" t="s">
        <v>3869</v>
      </c>
      <c r="G879" s="138" t="s">
        <v>3966</v>
      </c>
      <c r="H879" s="81" t="str">
        <f t="shared" si="98"/>
        <v>TCCN-PTE-PSG-SEL-SA1-SCE-CB2</v>
      </c>
      <c r="I879" s="138" t="str">
        <f>MID(H879,1,(LEN(H879)-VLOOKUP(K879,datos!$B$2:$C$12,2,0)))</f>
        <v>TCCN-PTE-PSG-SEL-SA1-SCE-CB2</v>
      </c>
      <c r="J879" s="138" t="s">
        <v>1347</v>
      </c>
      <c r="K879" s="140">
        <f>VLOOKUP(LEN(SUBSTITUTE(H879,"-","")),datos!$A$1:$B$12,2,0)</f>
        <v>7</v>
      </c>
      <c r="L879" s="138" t="s">
        <v>507</v>
      </c>
      <c r="M879" s="138" t="s">
        <v>0</v>
      </c>
    </row>
    <row r="880" spans="1:13" x14ac:dyDescent="0.35">
      <c r="A880" s="138" t="s">
        <v>487</v>
      </c>
      <c r="B880" s="138" t="s">
        <v>3809</v>
      </c>
      <c r="C880" s="138" t="s">
        <v>3913</v>
      </c>
      <c r="D880" s="138" t="s">
        <v>3888</v>
      </c>
      <c r="E880" s="138" t="s">
        <v>3834</v>
      </c>
      <c r="F880" s="138" t="s">
        <v>3869</v>
      </c>
      <c r="G880" s="138" t="s">
        <v>3967</v>
      </c>
      <c r="H880" s="81" t="str">
        <f t="shared" si="98"/>
        <v>TCCN-PTE-PSG-SEL-SA1-SCE-BCB</v>
      </c>
      <c r="I880" s="138" t="str">
        <f>MID(H880,1,(LEN(H880)-VLOOKUP(K880,datos!$B$2:$C$12,2,0)))</f>
        <v>TCCN-PTE-PSG-SEL-SA1-SCE-BCB</v>
      </c>
      <c r="J880" s="138" t="s">
        <v>867</v>
      </c>
      <c r="K880" s="140">
        <f>VLOOKUP(LEN(SUBSTITUTE(H880,"-","")),datos!$A$1:$B$12,2,0)</f>
        <v>7</v>
      </c>
      <c r="L880" s="138" t="s">
        <v>508</v>
      </c>
      <c r="M880" s="138" t="s">
        <v>0</v>
      </c>
    </row>
    <row r="881" spans="1:13" x14ac:dyDescent="0.35">
      <c r="A881" s="138" t="s">
        <v>487</v>
      </c>
      <c r="B881" s="138" t="s">
        <v>3809</v>
      </c>
      <c r="C881" s="138" t="s">
        <v>3913</v>
      </c>
      <c r="D881" s="138" t="s">
        <v>3888</v>
      </c>
      <c r="E881" s="138" t="s">
        <v>3834</v>
      </c>
      <c r="F881" s="138" t="s">
        <v>3869</v>
      </c>
      <c r="G881" s="138" t="s">
        <v>6897</v>
      </c>
      <c r="H881" s="81" t="str">
        <f t="shared" si="98"/>
        <v>TCCN-PTE-PSG-SEL-SA1-SCE-GDC</v>
      </c>
      <c r="I881" s="138" t="str">
        <f>MID(H881,1,(LEN(H881)-VLOOKUP(K881,datos!$B$2:$C$12,2,0)))</f>
        <v>TCCN-PTE-PSG-SEL-SA1-SCE-GDC</v>
      </c>
      <c r="J881" s="138" t="s">
        <v>868</v>
      </c>
      <c r="K881" s="140">
        <f>VLOOKUP(LEN(SUBSTITUTE(H881,"-","")),datos!$A$1:$B$12,2,0)</f>
        <v>7</v>
      </c>
      <c r="L881" s="138" t="s">
        <v>509</v>
      </c>
      <c r="M881" s="138" t="s">
        <v>0</v>
      </c>
    </row>
    <row r="882" spans="1:13" x14ac:dyDescent="0.35">
      <c r="A882" s="138" t="s">
        <v>487</v>
      </c>
      <c r="B882" s="138" t="s">
        <v>3809</v>
      </c>
      <c r="C882" s="138" t="s">
        <v>3913</v>
      </c>
      <c r="D882" s="138" t="s">
        <v>3888</v>
      </c>
      <c r="E882" s="138" t="s">
        <v>3834</v>
      </c>
      <c r="F882" s="138" t="s">
        <v>3869</v>
      </c>
      <c r="G882" s="138" t="s">
        <v>8002</v>
      </c>
      <c r="H882" s="81" t="str">
        <f t="shared" si="98"/>
        <v>TCCN-PTE-PSG-SEL-SA1-SCE-AD1</v>
      </c>
      <c r="I882" s="138" t="str">
        <f>MID(H882,1,(LEN(H882)-VLOOKUP(K882,datos!$B$2:$C$12,2,0)))</f>
        <v>TCCN-PTE-PSG-SEL-SA1-SCE-AD1</v>
      </c>
      <c r="J882" s="138" t="s">
        <v>1340</v>
      </c>
      <c r="K882" s="140">
        <f>VLOOKUP(LEN(SUBSTITUTE(H882,"-","")),datos!$A$1:$B$12,2,0)</f>
        <v>7</v>
      </c>
      <c r="L882" s="138" t="s">
        <v>510</v>
      </c>
      <c r="M882" s="138" t="s">
        <v>0</v>
      </c>
    </row>
    <row r="883" spans="1:13" x14ac:dyDescent="0.35">
      <c r="A883" s="138" t="s">
        <v>487</v>
      </c>
      <c r="B883" s="138" t="s">
        <v>3809</v>
      </c>
      <c r="C883" s="138" t="s">
        <v>3913</v>
      </c>
      <c r="D883" s="138" t="s">
        <v>3888</v>
      </c>
      <c r="E883" s="138" t="s">
        <v>3834</v>
      </c>
      <c r="F883" s="138" t="s">
        <v>3869</v>
      </c>
      <c r="G883" s="138" t="s">
        <v>8003</v>
      </c>
      <c r="H883" s="81" t="str">
        <f t="shared" si="98"/>
        <v>TCCN-PTE-PSG-SEL-SA1-SCE-AD2</v>
      </c>
      <c r="I883" s="138" t="str">
        <f>MID(H883,1,(LEN(H883)-VLOOKUP(K883,datos!$B$2:$C$12,2,0)))</f>
        <v>TCCN-PTE-PSG-SEL-SA1-SCE-AD2</v>
      </c>
      <c r="J883" s="138" t="s">
        <v>1341</v>
      </c>
      <c r="K883" s="140">
        <f>VLOOKUP(LEN(SUBSTITUTE(H883,"-","")),datos!$A$1:$B$12,2,0)</f>
        <v>7</v>
      </c>
      <c r="L883" s="138" t="s">
        <v>511</v>
      </c>
      <c r="M883" s="138" t="s">
        <v>0</v>
      </c>
    </row>
    <row r="884" spans="1:13" x14ac:dyDescent="0.35">
      <c r="A884" s="138" t="s">
        <v>487</v>
      </c>
      <c r="B884" s="138" t="s">
        <v>3809</v>
      </c>
      <c r="C884" s="138" t="s">
        <v>3913</v>
      </c>
      <c r="D884" s="138" t="s">
        <v>3888</v>
      </c>
      <c r="E884" s="138" t="s">
        <v>3834</v>
      </c>
      <c r="F884" s="138" t="s">
        <v>3869</v>
      </c>
      <c r="G884" s="138" t="s">
        <v>8004</v>
      </c>
      <c r="H884" s="81" t="str">
        <f t="shared" si="98"/>
        <v>TCCN-PTE-PSG-SEL-SA1-SCE-AD3</v>
      </c>
      <c r="I884" s="138" t="str">
        <f>MID(H884,1,(LEN(H884)-VLOOKUP(K884,datos!$B$2:$C$12,2,0)))</f>
        <v>TCCN-PTE-PSG-SEL-SA1-SCE-AD3</v>
      </c>
      <c r="J884" s="138" t="s">
        <v>1342</v>
      </c>
      <c r="K884" s="140">
        <f>VLOOKUP(LEN(SUBSTITUTE(H884,"-","")),datos!$A$1:$B$12,2,0)</f>
        <v>7</v>
      </c>
      <c r="L884" s="138" t="s">
        <v>512</v>
      </c>
      <c r="M884" s="138" t="s">
        <v>0</v>
      </c>
    </row>
    <row r="885" spans="1:13" x14ac:dyDescent="0.35">
      <c r="A885" s="138" t="s">
        <v>487</v>
      </c>
      <c r="B885" s="138" t="s">
        <v>3809</v>
      </c>
      <c r="C885" s="138" t="s">
        <v>3913</v>
      </c>
      <c r="D885" s="138" t="s">
        <v>3888</v>
      </c>
      <c r="E885" s="138" t="s">
        <v>3834</v>
      </c>
      <c r="F885" s="138" t="s">
        <v>3869</v>
      </c>
      <c r="G885" s="138" t="s">
        <v>8005</v>
      </c>
      <c r="H885" s="81" t="str">
        <f t="shared" si="98"/>
        <v>TCCN-PTE-PSG-SEL-SA1-SCE-AD4</v>
      </c>
      <c r="I885" s="138" t="str">
        <f>MID(H885,1,(LEN(H885)-VLOOKUP(K885,datos!$B$2:$C$12,2,0)))</f>
        <v>TCCN-PTE-PSG-SEL-SA1-SCE-AD4</v>
      </c>
      <c r="J885" s="138" t="s">
        <v>1343</v>
      </c>
      <c r="K885" s="140">
        <f>VLOOKUP(LEN(SUBSTITUTE(H885,"-","")),datos!$A$1:$B$12,2,0)</f>
        <v>7</v>
      </c>
      <c r="L885" s="138" t="s">
        <v>513</v>
      </c>
      <c r="M885" s="138" t="s">
        <v>0</v>
      </c>
    </row>
    <row r="886" spans="1:13" x14ac:dyDescent="0.35">
      <c r="A886" s="138" t="s">
        <v>487</v>
      </c>
      <c r="B886" s="138" t="s">
        <v>3809</v>
      </c>
      <c r="C886" s="138" t="s">
        <v>3913</v>
      </c>
      <c r="D886" s="138" t="s">
        <v>3888</v>
      </c>
      <c r="E886" s="138" t="s">
        <v>3834</v>
      </c>
      <c r="F886" s="138" t="s">
        <v>3869</v>
      </c>
      <c r="G886" s="138" t="s">
        <v>8006</v>
      </c>
      <c r="H886" s="81" t="str">
        <f t="shared" si="98"/>
        <v>TCCN-PTE-PSG-SEL-SA1-SCE-AD5</v>
      </c>
      <c r="I886" s="138" t="str">
        <f>MID(H886,1,(LEN(H886)-VLOOKUP(K886,datos!$B$2:$C$12,2,0)))</f>
        <v>TCCN-PTE-PSG-SEL-SA1-SCE-AD5</v>
      </c>
      <c r="J886" s="138" t="s">
        <v>1344</v>
      </c>
      <c r="K886" s="140">
        <f>VLOOKUP(LEN(SUBSTITUTE(H886,"-","")),datos!$A$1:$B$12,2,0)</f>
        <v>7</v>
      </c>
      <c r="L886" s="138" t="s">
        <v>514</v>
      </c>
      <c r="M886" s="138" t="s">
        <v>0</v>
      </c>
    </row>
    <row r="887" spans="1:13" x14ac:dyDescent="0.35">
      <c r="A887" s="138" t="s">
        <v>487</v>
      </c>
      <c r="B887" s="138" t="s">
        <v>3809</v>
      </c>
      <c r="C887" s="138" t="s">
        <v>3913</v>
      </c>
      <c r="D887" s="138" t="s">
        <v>3888</v>
      </c>
      <c r="E887" s="138" t="s">
        <v>3834</v>
      </c>
      <c r="F887" s="138" t="s">
        <v>3869</v>
      </c>
      <c r="G887" s="138" t="s">
        <v>8007</v>
      </c>
      <c r="H887" s="81" t="str">
        <f t="shared" si="98"/>
        <v>TCCN-PTE-PSG-SEL-SA1-SCE-AD6</v>
      </c>
      <c r="I887" s="138" t="str">
        <f>MID(H887,1,(LEN(H887)-VLOOKUP(K887,datos!$B$2:$C$12,2,0)))</f>
        <v>TCCN-PTE-PSG-SEL-SA1-SCE-AD6</v>
      </c>
      <c r="J887" s="138" t="s">
        <v>1345</v>
      </c>
      <c r="K887" s="140">
        <f>VLOOKUP(LEN(SUBSTITUTE(H887,"-","")),datos!$A$1:$B$12,2,0)</f>
        <v>7</v>
      </c>
      <c r="L887" s="138" t="s">
        <v>515</v>
      </c>
      <c r="M887" s="138" t="s">
        <v>0</v>
      </c>
    </row>
    <row r="888" spans="1:13" x14ac:dyDescent="0.35">
      <c r="A888" s="138" t="s">
        <v>487</v>
      </c>
      <c r="B888" s="138" t="s">
        <v>3809</v>
      </c>
      <c r="C888" s="138" t="s">
        <v>3913</v>
      </c>
      <c r="D888" s="138" t="s">
        <v>3888</v>
      </c>
      <c r="E888" s="138" t="s">
        <v>3834</v>
      </c>
      <c r="F888" s="138" t="s">
        <v>3869</v>
      </c>
      <c r="G888" s="138" t="s">
        <v>3969</v>
      </c>
      <c r="H888" s="81" t="str">
        <f t="shared" si="98"/>
        <v>TCCN-PTE-PSG-SEL-SA1-SCE-SE1</v>
      </c>
      <c r="I888" s="138" t="str">
        <f>MID(H888,1,(LEN(H888)-VLOOKUP(K888,datos!$B$2:$C$12,2,0)))</f>
        <v>TCCN-PTE-PSG-SEL-SA1-SCE-SE1</v>
      </c>
      <c r="J888" s="138" t="s">
        <v>1337</v>
      </c>
      <c r="K888" s="140">
        <f>VLOOKUP(LEN(SUBSTITUTE(H888,"-","")),datos!$A$1:$B$12,2,0)</f>
        <v>7</v>
      </c>
      <c r="L888" s="138" t="s">
        <v>516</v>
      </c>
      <c r="M888" s="138" t="s">
        <v>0</v>
      </c>
    </row>
    <row r="889" spans="1:13" x14ac:dyDescent="0.35">
      <c r="A889" s="138" t="s">
        <v>487</v>
      </c>
      <c r="B889" s="138" t="s">
        <v>3809</v>
      </c>
      <c r="C889" s="138" t="s">
        <v>3913</v>
      </c>
      <c r="D889" s="138" t="s">
        <v>3888</v>
      </c>
      <c r="E889" s="138" t="s">
        <v>3834</v>
      </c>
      <c r="F889" s="138" t="s">
        <v>3869</v>
      </c>
      <c r="G889" s="138" t="s">
        <v>3970</v>
      </c>
      <c r="H889" s="81" t="str">
        <f t="shared" si="98"/>
        <v>TCCN-PTE-PSG-SEL-SA1-SCE-SE2</v>
      </c>
      <c r="I889" s="138" t="str">
        <f>MID(H889,1,(LEN(H889)-VLOOKUP(K889,datos!$B$2:$C$12,2,0)))</f>
        <v>TCCN-PTE-PSG-SEL-SA1-SCE-SE2</v>
      </c>
      <c r="J889" s="138" t="s">
        <v>1338</v>
      </c>
      <c r="K889" s="140">
        <f>VLOOKUP(LEN(SUBSTITUTE(H889,"-","")),datos!$A$1:$B$12,2,0)</f>
        <v>7</v>
      </c>
      <c r="L889" s="138" t="s">
        <v>517</v>
      </c>
      <c r="M889" s="138" t="s">
        <v>0</v>
      </c>
    </row>
    <row r="890" spans="1:13" x14ac:dyDescent="0.35">
      <c r="A890" s="138" t="s">
        <v>487</v>
      </c>
      <c r="B890" s="138" t="s">
        <v>3809</v>
      </c>
      <c r="C890" s="138" t="s">
        <v>3913</v>
      </c>
      <c r="D890" s="138" t="s">
        <v>3888</v>
      </c>
      <c r="E890" s="138" t="s">
        <v>3834</v>
      </c>
      <c r="F890" s="138" t="s">
        <v>3869</v>
      </c>
      <c r="G890" s="138" t="s">
        <v>3971</v>
      </c>
      <c r="H890" s="81" t="str">
        <f t="shared" si="98"/>
        <v>TCCN-PTE-PSG-SEL-SA1-SCE-SE3</v>
      </c>
      <c r="I890" s="138" t="str">
        <f>MID(H890,1,(LEN(H890)-VLOOKUP(K890,datos!$B$2:$C$12,2,0)))</f>
        <v>TCCN-PTE-PSG-SEL-SA1-SCE-SE3</v>
      </c>
      <c r="J890" s="138" t="s">
        <v>1339</v>
      </c>
      <c r="K890" s="140">
        <f>VLOOKUP(LEN(SUBSTITUTE(H890,"-","")),datos!$A$1:$B$12,2,0)</f>
        <v>7</v>
      </c>
      <c r="L890" s="138" t="s">
        <v>518</v>
      </c>
      <c r="M890" s="138" t="s">
        <v>0</v>
      </c>
    </row>
    <row r="891" spans="1:13" x14ac:dyDescent="0.35">
      <c r="A891" s="138" t="s">
        <v>487</v>
      </c>
      <c r="B891" s="138" t="s">
        <v>3809</v>
      </c>
      <c r="C891" s="138" t="s">
        <v>3913</v>
      </c>
      <c r="D891" s="138" t="s">
        <v>3888</v>
      </c>
      <c r="E891" s="138" t="s">
        <v>3834</v>
      </c>
      <c r="F891" s="138" t="s">
        <v>3869</v>
      </c>
      <c r="G891" s="138" t="s">
        <v>4148</v>
      </c>
      <c r="H891" s="81" t="str">
        <f t="shared" si="98"/>
        <v>TCCN-PTE-PSG-SEL-SA1-SCE-EPZ</v>
      </c>
      <c r="I891" s="138" t="str">
        <f>MID(H891,1,(LEN(H891)-VLOOKUP(K891,datos!$B$2:$C$12,2,0)))</f>
        <v>TCCN-PTE-PSG-SEL-SA1-SCE-EPZ</v>
      </c>
      <c r="J891" s="138" t="s">
        <v>869</v>
      </c>
      <c r="K891" s="140">
        <f>VLOOKUP(LEN(SUBSTITUTE(H891,"-","")),datos!$A$1:$B$12,2,0)</f>
        <v>7</v>
      </c>
      <c r="L891" s="138" t="s">
        <v>519</v>
      </c>
      <c r="M891" s="138" t="s">
        <v>0</v>
      </c>
    </row>
    <row r="892" spans="1:13" x14ac:dyDescent="0.35">
      <c r="A892" s="138" t="s">
        <v>487</v>
      </c>
      <c r="B892" s="138" t="s">
        <v>3809</v>
      </c>
      <c r="C892" s="138" t="s">
        <v>3913</v>
      </c>
      <c r="D892" s="138" t="s">
        <v>3888</v>
      </c>
      <c r="E892" s="138" t="s">
        <v>3834</v>
      </c>
      <c r="F892" s="138" t="s">
        <v>3869</v>
      </c>
      <c r="G892" s="138" t="s">
        <v>3896</v>
      </c>
      <c r="H892" s="81" t="str">
        <f t="shared" si="98"/>
        <v>TCCN-PTE-PSG-SEL-SA1-SCE-CBN</v>
      </c>
      <c r="I892" s="138" t="str">
        <f>MID(H892,1,(LEN(H892)-VLOOKUP(K892,datos!$B$2:$C$12,2,0)))</f>
        <v>TCCN-PTE-PSG-SEL-SA1-SCE-CBN</v>
      </c>
      <c r="J892" s="138" t="s">
        <v>870</v>
      </c>
      <c r="K892" s="140">
        <f>VLOOKUP(LEN(SUBSTITUTE(H892,"-","")),datos!$A$1:$B$12,2,0)</f>
        <v>7</v>
      </c>
      <c r="L892" s="138" t="s">
        <v>520</v>
      </c>
      <c r="M892" s="138" t="s">
        <v>0</v>
      </c>
    </row>
    <row r="893" spans="1:13" x14ac:dyDescent="0.35">
      <c r="A893" s="138" t="s">
        <v>487</v>
      </c>
      <c r="B893" s="138" t="s">
        <v>3809</v>
      </c>
      <c r="C893" s="138" t="s">
        <v>3913</v>
      </c>
      <c r="D893" s="138" t="s">
        <v>3888</v>
      </c>
      <c r="E893" s="138" t="s">
        <v>3834</v>
      </c>
      <c r="F893" s="138" t="s">
        <v>3869</v>
      </c>
      <c r="G893" s="138" t="s">
        <v>3898</v>
      </c>
      <c r="H893" s="81" t="str">
        <f t="shared" si="98"/>
        <v>TCCN-PTE-PSG-SEL-SA1-SCE-EX1</v>
      </c>
      <c r="I893" s="138" t="str">
        <f>MID(H893,1,(LEN(H893)-VLOOKUP(K893,datos!$B$2:$C$12,2,0)))</f>
        <v>TCCN-PTE-PSG-SEL-SA1-SCE-EX1</v>
      </c>
      <c r="J893" s="138" t="s">
        <v>6901</v>
      </c>
      <c r="K893" s="140">
        <f>VLOOKUP(LEN(SUBSTITUTE(H893,"-","")),datos!$A$1:$B$12,2,0)</f>
        <v>7</v>
      </c>
      <c r="L893" s="138" t="s">
        <v>521</v>
      </c>
      <c r="M893" s="138" t="s">
        <v>0</v>
      </c>
    </row>
    <row r="894" spans="1:13" x14ac:dyDescent="0.35">
      <c r="A894" s="138" t="s">
        <v>487</v>
      </c>
      <c r="B894" s="138" t="s">
        <v>3809</v>
      </c>
      <c r="C894" s="138" t="s">
        <v>3913</v>
      </c>
      <c r="D894" s="138" t="s">
        <v>3888</v>
      </c>
      <c r="E894" s="138" t="s">
        <v>3834</v>
      </c>
      <c r="F894" s="138" t="s">
        <v>3869</v>
      </c>
      <c r="G894" s="138" t="s">
        <v>3899</v>
      </c>
      <c r="H894" s="81" t="str">
        <f t="shared" si="98"/>
        <v>TCCN-PTE-PSG-SEL-SA1-SCE-EX2</v>
      </c>
      <c r="I894" s="138" t="str">
        <f>MID(H894,1,(LEN(H894)-VLOOKUP(K894,datos!$B$2:$C$12,2,0)))</f>
        <v>TCCN-PTE-PSG-SEL-SA1-SCE-EX2</v>
      </c>
      <c r="J894" s="138" t="s">
        <v>6902</v>
      </c>
      <c r="K894" s="140">
        <f>VLOOKUP(LEN(SUBSTITUTE(H894,"-","")),datos!$A$1:$B$12,2,0)</f>
        <v>7</v>
      </c>
      <c r="L894" s="138" t="s">
        <v>522</v>
      </c>
      <c r="M894" s="138" t="s">
        <v>0</v>
      </c>
    </row>
    <row r="895" spans="1:13" x14ac:dyDescent="0.35">
      <c r="A895" s="138" t="s">
        <v>487</v>
      </c>
      <c r="B895" s="138" t="s">
        <v>3809</v>
      </c>
      <c r="C895" s="138" t="s">
        <v>3913</v>
      </c>
      <c r="D895" s="138" t="s">
        <v>3888</v>
      </c>
      <c r="E895" s="138" t="s">
        <v>3834</v>
      </c>
      <c r="F895" s="138" t="s">
        <v>3869</v>
      </c>
      <c r="G895" s="138" t="s">
        <v>3972</v>
      </c>
      <c r="H895" s="81" t="str">
        <f t="shared" si="98"/>
        <v>TCCN-PTE-PSG-SEL-SA1-SCE-RTU</v>
      </c>
      <c r="I895" s="138" t="str">
        <f>MID(H895,1,(LEN(H895)-VLOOKUP(K895,datos!$B$2:$C$12,2,0)))</f>
        <v>TCCN-PTE-PSG-SEL-SA1-SCE-RTU</v>
      </c>
      <c r="J895" s="138" t="s">
        <v>872</v>
      </c>
      <c r="K895" s="140">
        <f>VLOOKUP(LEN(SUBSTITUTE(H895,"-","")),datos!$A$1:$B$12,2,0)</f>
        <v>7</v>
      </c>
      <c r="L895" s="138" t="s">
        <v>523</v>
      </c>
      <c r="M895" s="138" t="s">
        <v>0</v>
      </c>
    </row>
    <row r="896" spans="1:13" x14ac:dyDescent="0.35">
      <c r="A896" s="138" t="s">
        <v>487</v>
      </c>
      <c r="B896" s="138" t="s">
        <v>3809</v>
      </c>
      <c r="C896" s="138" t="s">
        <v>3913</v>
      </c>
      <c r="D896" s="138" t="s">
        <v>3888</v>
      </c>
      <c r="E896" s="138" t="s">
        <v>3834</v>
      </c>
      <c r="F896" s="138" t="s">
        <v>3869</v>
      </c>
      <c r="G896" s="138" t="s">
        <v>3909</v>
      </c>
      <c r="H896" s="81" t="str">
        <f t="shared" si="98"/>
        <v>TCCN-PTE-PSG-SEL-SA1-SCE-GTS</v>
      </c>
      <c r="I896" s="138" t="str">
        <f>MID(H896,1,(LEN(H896)-VLOOKUP(K896,datos!$B$2:$C$12,2,0)))</f>
        <v>TCCN-PTE-PSG-SEL-SA1-SCE-GTS</v>
      </c>
      <c r="J896" s="138" t="s">
        <v>873</v>
      </c>
      <c r="K896" s="140">
        <f>VLOOKUP(LEN(SUBSTITUTE(H896,"-","")),datos!$A$1:$B$12,2,0)</f>
        <v>7</v>
      </c>
      <c r="L896" s="138" t="s">
        <v>524</v>
      </c>
      <c r="M896" s="138" t="s">
        <v>0</v>
      </c>
    </row>
    <row r="897" spans="1:13" x14ac:dyDescent="0.35">
      <c r="A897" s="138" t="s">
        <v>487</v>
      </c>
      <c r="B897" s="138" t="s">
        <v>3809</v>
      </c>
      <c r="C897" s="138" t="s">
        <v>3913</v>
      </c>
      <c r="D897" s="138" t="s">
        <v>3888</v>
      </c>
      <c r="E897" s="138" t="s">
        <v>3834</v>
      </c>
      <c r="F897" s="138" t="s">
        <v>3869</v>
      </c>
      <c r="G897" s="138" t="s">
        <v>4067</v>
      </c>
      <c r="H897" s="81" t="str">
        <f t="shared" si="98"/>
        <v>TCCN-PTE-PSG-SEL-SA1-SCE-TR2</v>
      </c>
      <c r="I897" s="138" t="str">
        <f>MID(H897,1,(LEN(H897)-VLOOKUP(K897,datos!$B$2:$C$12,2,0)))</f>
        <v>TCCN-PTE-PSG-SEL-SA1-SCE-TR2</v>
      </c>
      <c r="J897" s="138" t="s">
        <v>6910</v>
      </c>
      <c r="K897" s="140">
        <f>VLOOKUP(LEN(SUBSTITUTE(H897,"-","")),datos!$A$1:$B$12,2,0)</f>
        <v>7</v>
      </c>
      <c r="L897" s="138" t="s">
        <v>138</v>
      </c>
      <c r="M897" s="138" t="s">
        <v>0</v>
      </c>
    </row>
    <row r="898" spans="1:13" x14ac:dyDescent="0.35">
      <c r="A898" s="138" t="s">
        <v>487</v>
      </c>
      <c r="B898" s="138" t="s">
        <v>3809</v>
      </c>
      <c r="C898" s="138" t="s">
        <v>3913</v>
      </c>
      <c r="D898" s="138" t="s">
        <v>3888</v>
      </c>
      <c r="E898" s="138" t="s">
        <v>3834</v>
      </c>
      <c r="F898" s="138" t="s">
        <v>3869</v>
      </c>
      <c r="G898" s="138" t="s">
        <v>6891</v>
      </c>
      <c r="H898" s="81" t="str">
        <f t="shared" si="98"/>
        <v>TCCN-PTE-PSG-SEL-SA1-SCE-TR3</v>
      </c>
      <c r="I898" s="138" t="str">
        <f>MID(H898,1,(LEN(H898)-VLOOKUP(K898,datos!$B$2:$C$12,2,0)))</f>
        <v>TCCN-PTE-PSG-SEL-SA1-SCE-TR3</v>
      </c>
      <c r="J898" s="138" t="s">
        <v>7194</v>
      </c>
      <c r="K898" s="140">
        <f>VLOOKUP(LEN(SUBSTITUTE(H898,"-","")),datos!$A$1:$B$12,2,0)</f>
        <v>7</v>
      </c>
      <c r="L898" s="138" t="s">
        <v>1416</v>
      </c>
      <c r="M898" s="138" t="s">
        <v>0</v>
      </c>
    </row>
    <row r="899" spans="1:13" x14ac:dyDescent="0.35">
      <c r="A899" s="138" t="s">
        <v>487</v>
      </c>
      <c r="B899" s="138" t="s">
        <v>3809</v>
      </c>
      <c r="C899" s="138" t="s">
        <v>3913</v>
      </c>
      <c r="D899" s="138" t="s">
        <v>3888</v>
      </c>
      <c r="E899" s="138" t="s">
        <v>3834</v>
      </c>
      <c r="F899" s="138" t="s">
        <v>3869</v>
      </c>
      <c r="G899" s="138" t="s">
        <v>6893</v>
      </c>
      <c r="H899" s="81" t="str">
        <f t="shared" si="98"/>
        <v>TCCN-PTE-PSG-SEL-SA1-SCE-TR4</v>
      </c>
      <c r="I899" s="138" t="str">
        <f>MID(H899,1,(LEN(H899)-VLOOKUP(K899,datos!$B$2:$C$12,2,0)))</f>
        <v>TCCN-PTE-PSG-SEL-SA1-SCE-TR4</v>
      </c>
      <c r="J899" s="138" t="s">
        <v>7195</v>
      </c>
      <c r="K899" s="140">
        <f>VLOOKUP(LEN(SUBSTITUTE(H899,"-","")),datos!$A$1:$B$12,2,0)</f>
        <v>7</v>
      </c>
      <c r="L899" s="138" t="s">
        <v>1417</v>
      </c>
      <c r="M899" s="138" t="s">
        <v>0</v>
      </c>
    </row>
    <row r="900" spans="1:13" x14ac:dyDescent="0.35">
      <c r="A900" s="138" t="s">
        <v>487</v>
      </c>
      <c r="B900" s="138" t="s">
        <v>3809</v>
      </c>
      <c r="C900" s="138" t="s">
        <v>3913</v>
      </c>
      <c r="D900" s="138" t="s">
        <v>3888</v>
      </c>
      <c r="E900" s="138" t="s">
        <v>3834</v>
      </c>
      <c r="F900" s="138" t="s">
        <v>3869</v>
      </c>
      <c r="G900" s="138" t="s">
        <v>3973</v>
      </c>
      <c r="H900" s="81" t="str">
        <f t="shared" si="98"/>
        <v>TCCN-PTE-PSG-SEL-SA1-SCE-DDB</v>
      </c>
      <c r="I900" s="138" t="str">
        <f>MID(H900,1,(LEN(H900)-VLOOKUP(K900,datos!$B$2:$C$12,2,0)))</f>
        <v>TCCN-PTE-PSG-SEL-SA1-SCE-DDB</v>
      </c>
      <c r="J900" s="138" t="s">
        <v>875</v>
      </c>
      <c r="K900" s="140">
        <f>VLOOKUP(LEN(SUBSTITUTE(H900,"-","")),datos!$A$1:$B$12,2,0)</f>
        <v>7</v>
      </c>
      <c r="L900" s="138" t="s">
        <v>547</v>
      </c>
      <c r="M900" s="138" t="s">
        <v>0</v>
      </c>
    </row>
    <row r="901" spans="1:13" x14ac:dyDescent="0.35">
      <c r="A901" s="138" t="s">
        <v>487</v>
      </c>
      <c r="B901" s="138" t="s">
        <v>3809</v>
      </c>
      <c r="C901" s="138" t="s">
        <v>3913</v>
      </c>
      <c r="D901" s="138" t="s">
        <v>3888</v>
      </c>
      <c r="E901" s="138" t="s">
        <v>3834</v>
      </c>
      <c r="F901" s="138" t="s">
        <v>3869</v>
      </c>
      <c r="G901" s="138" t="s">
        <v>3974</v>
      </c>
      <c r="H901" s="81" t="str">
        <f t="shared" si="98"/>
        <v>TCCN-PTE-PSG-SEL-SA1-SCE-DC1</v>
      </c>
      <c r="I901" s="138" t="str">
        <f>MID(H901,1,(LEN(H901)-VLOOKUP(K901,datos!$B$2:$C$12,2,0)))</f>
        <v>TCCN-PTE-PSG-SEL-SA1-SCE-DC1</v>
      </c>
      <c r="J901" s="138" t="s">
        <v>1472</v>
      </c>
      <c r="K901" s="140">
        <f>VLOOKUP(LEN(SUBSTITUTE(H901,"-","")),datos!$A$1:$B$12,2,0)</f>
        <v>7</v>
      </c>
      <c r="L901" s="138" t="s">
        <v>1418</v>
      </c>
      <c r="M901" s="138" t="s">
        <v>0</v>
      </c>
    </row>
    <row r="902" spans="1:13" x14ac:dyDescent="0.35">
      <c r="A902" s="138" t="s">
        <v>487</v>
      </c>
      <c r="B902" s="138" t="s">
        <v>3809</v>
      </c>
      <c r="C902" s="138" t="s">
        <v>3913</v>
      </c>
      <c r="D902" s="138" t="s">
        <v>3888</v>
      </c>
      <c r="E902" s="138" t="s">
        <v>3834</v>
      </c>
      <c r="F902" s="138" t="s">
        <v>3869</v>
      </c>
      <c r="G902" s="138" t="s">
        <v>3975</v>
      </c>
      <c r="H902" s="81" t="str">
        <f t="shared" si="98"/>
        <v>TCCN-PTE-PSG-SEL-SA1-SCE-DC2</v>
      </c>
      <c r="I902" s="138" t="str">
        <f>MID(H902,1,(LEN(H902)-VLOOKUP(K902,datos!$B$2:$C$12,2,0)))</f>
        <v>TCCN-PTE-PSG-SEL-SA1-SCE-DC2</v>
      </c>
      <c r="J902" s="138" t="s">
        <v>1473</v>
      </c>
      <c r="K902" s="140">
        <f>VLOOKUP(LEN(SUBSTITUTE(H902,"-","")),datos!$A$1:$B$12,2,0)</f>
        <v>7</v>
      </c>
      <c r="L902" s="138" t="s">
        <v>1419</v>
      </c>
      <c r="M902" s="138" t="s">
        <v>0</v>
      </c>
    </row>
    <row r="903" spans="1:13" x14ac:dyDescent="0.35">
      <c r="A903" s="138" t="s">
        <v>487</v>
      </c>
      <c r="B903" s="138" t="s">
        <v>3809</v>
      </c>
      <c r="C903" s="138" t="s">
        <v>3913</v>
      </c>
      <c r="D903" s="138" t="s">
        <v>3888</v>
      </c>
      <c r="E903" s="138" t="s">
        <v>3834</v>
      </c>
      <c r="F903" s="138" t="s">
        <v>3869</v>
      </c>
      <c r="G903" s="138" t="s">
        <v>3976</v>
      </c>
      <c r="H903" s="81" t="str">
        <f t="shared" si="98"/>
        <v>TCCN-PTE-PSG-SEL-SA1-SCE-DC3</v>
      </c>
      <c r="I903" s="138" t="str">
        <f>MID(H903,1,(LEN(H903)-VLOOKUP(K903,datos!$B$2:$C$12,2,0)))</f>
        <v>TCCN-PTE-PSG-SEL-SA1-SCE-DC3</v>
      </c>
      <c r="J903" s="138" t="s">
        <v>1474</v>
      </c>
      <c r="K903" s="140">
        <f>VLOOKUP(LEN(SUBSTITUTE(H903,"-","")),datos!$A$1:$B$12,2,0)</f>
        <v>7</v>
      </c>
      <c r="L903" s="138" t="s">
        <v>1420</v>
      </c>
      <c r="M903" s="138" t="s">
        <v>0</v>
      </c>
    </row>
    <row r="904" spans="1:13" x14ac:dyDescent="0.35">
      <c r="A904" s="138" t="s">
        <v>487</v>
      </c>
      <c r="B904" s="138" t="s">
        <v>3809</v>
      </c>
      <c r="C904" s="138" t="s">
        <v>3913</v>
      </c>
      <c r="D904" s="138" t="s">
        <v>3888</v>
      </c>
      <c r="E904" s="138" t="s">
        <v>3834</v>
      </c>
      <c r="F904" s="138" t="s">
        <v>3869</v>
      </c>
      <c r="G904" s="138" t="s">
        <v>3977</v>
      </c>
      <c r="H904" s="81" t="str">
        <f t="shared" si="98"/>
        <v>TCCN-PTE-PSG-SEL-SA1-SCE-DC4</v>
      </c>
      <c r="I904" s="138" t="str">
        <f>MID(H904,1,(LEN(H904)-VLOOKUP(K904,datos!$B$2:$C$12,2,0)))</f>
        <v>TCCN-PTE-PSG-SEL-SA1-SCE-DC4</v>
      </c>
      <c r="J904" s="138" t="s">
        <v>1475</v>
      </c>
      <c r="K904" s="140">
        <f>VLOOKUP(LEN(SUBSTITUTE(H904,"-","")),datos!$A$1:$B$12,2,0)</f>
        <v>7</v>
      </c>
      <c r="L904" s="138" t="s">
        <v>1421</v>
      </c>
      <c r="M904" s="138" t="s">
        <v>0</v>
      </c>
    </row>
    <row r="905" spans="1:13" x14ac:dyDescent="0.35">
      <c r="A905" s="138" t="s">
        <v>487</v>
      </c>
      <c r="B905" s="138" t="s">
        <v>3809</v>
      </c>
      <c r="C905" s="138" t="s">
        <v>3913</v>
      </c>
      <c r="D905" s="138" t="s">
        <v>3888</v>
      </c>
      <c r="E905" s="138" t="s">
        <v>3834</v>
      </c>
      <c r="F905" s="138" t="s">
        <v>3869</v>
      </c>
      <c r="G905" s="138" t="s">
        <v>3978</v>
      </c>
      <c r="H905" s="81" t="str">
        <f t="shared" si="98"/>
        <v>TCCN-PTE-PSG-SEL-SA1-SCE-DC5</v>
      </c>
      <c r="I905" s="138" t="str">
        <f>MID(H905,1,(LEN(H905)-VLOOKUP(K905,datos!$B$2:$C$12,2,0)))</f>
        <v>TCCN-PTE-PSG-SEL-SA1-SCE-DC5</v>
      </c>
      <c r="J905" s="138" t="s">
        <v>1476</v>
      </c>
      <c r="K905" s="140">
        <f>VLOOKUP(LEN(SUBSTITUTE(H905,"-","")),datos!$A$1:$B$12,2,0)</f>
        <v>7</v>
      </c>
      <c r="L905" s="138" t="s">
        <v>1422</v>
      </c>
      <c r="M905" s="138" t="s">
        <v>0</v>
      </c>
    </row>
    <row r="906" spans="1:13" x14ac:dyDescent="0.35">
      <c r="A906" s="138" t="s">
        <v>487</v>
      </c>
      <c r="B906" s="138" t="s">
        <v>3809</v>
      </c>
      <c r="C906" s="138" t="s">
        <v>3913</v>
      </c>
      <c r="D906" s="138" t="s">
        <v>3888</v>
      </c>
      <c r="E906" s="138" t="s">
        <v>3834</v>
      </c>
      <c r="F906" s="138" t="s">
        <v>3869</v>
      </c>
      <c r="G906" s="138" t="s">
        <v>3979</v>
      </c>
      <c r="H906" s="81" t="str">
        <f t="shared" si="98"/>
        <v>TCCN-PTE-PSG-SEL-SA1-SCE-DC6</v>
      </c>
      <c r="I906" s="138" t="str">
        <f>MID(H906,1,(LEN(H906)-VLOOKUP(K906,datos!$B$2:$C$12,2,0)))</f>
        <v>TCCN-PTE-PSG-SEL-SA1-SCE-DC6</v>
      </c>
      <c r="J906" s="138" t="s">
        <v>1477</v>
      </c>
      <c r="K906" s="140">
        <f>VLOOKUP(LEN(SUBSTITUTE(H906,"-","")),datos!$A$1:$B$12,2,0)</f>
        <v>7</v>
      </c>
      <c r="L906" s="138" t="s">
        <v>1423</v>
      </c>
      <c r="M906" s="138" t="s">
        <v>0</v>
      </c>
    </row>
    <row r="907" spans="1:13" x14ac:dyDescent="0.35">
      <c r="A907" s="137" t="s">
        <v>487</v>
      </c>
      <c r="B907" s="137" t="s">
        <v>3809</v>
      </c>
      <c r="C907" s="137" t="s">
        <v>3913</v>
      </c>
      <c r="D907" s="137" t="s">
        <v>3888</v>
      </c>
      <c r="E907" s="137" t="s">
        <v>3834</v>
      </c>
      <c r="F907" s="137" t="s">
        <v>5232</v>
      </c>
      <c r="G907" s="137"/>
      <c r="H907" s="82" t="str">
        <f t="shared" si="98"/>
        <v>TCCN-PTE-PSG-SEL-SA1-SAL-</v>
      </c>
      <c r="I907" s="137" t="str">
        <f>MID(H907,1,(LEN(H907)-VLOOKUP(K907,datos!$B$2:$C$12,2,0)))</f>
        <v>TCCN-PTE-PSG-SEL-SA1-SAL</v>
      </c>
      <c r="J907" s="137" t="s">
        <v>5250</v>
      </c>
      <c r="K907" s="139">
        <f>VLOOKUP(LEN(SUBSTITUTE(H907,"-","")),datos!$A$1:$B$12,2,0)</f>
        <v>6</v>
      </c>
      <c r="L907" s="137"/>
      <c r="M907" s="137" t="s">
        <v>0</v>
      </c>
    </row>
    <row r="908" spans="1:13" x14ac:dyDescent="0.35">
      <c r="A908" s="138" t="s">
        <v>487</v>
      </c>
      <c r="B908" s="138" t="s">
        <v>3809</v>
      </c>
      <c r="C908" s="138" t="s">
        <v>3913</v>
      </c>
      <c r="D908" s="138" t="s">
        <v>3888</v>
      </c>
      <c r="E908" s="138" t="s">
        <v>3834</v>
      </c>
      <c r="F908" s="138" t="s">
        <v>5232</v>
      </c>
      <c r="G908" s="138" t="s">
        <v>6913</v>
      </c>
      <c r="H908" s="81" t="str">
        <f t="shared" si="98"/>
        <v>TCCN-PTE-PSG-SEL-SA1-SAL-TAL</v>
      </c>
      <c r="I908" s="138" t="str">
        <f>MID(H908,1,(LEN(H908)-VLOOKUP(K908,datos!$B$2:$C$12,2,0)))</f>
        <v>TCCN-PTE-PSG-SEL-SA1-SAL-TAL</v>
      </c>
      <c r="J908" s="138" t="s">
        <v>861</v>
      </c>
      <c r="K908" s="140">
        <f>VLOOKUP(LEN(SUBSTITUTE(H908,"-","")),datos!$A$1:$B$12,2,0)</f>
        <v>7</v>
      </c>
      <c r="L908" s="138" t="s">
        <v>494</v>
      </c>
      <c r="M908" s="138" t="s">
        <v>0</v>
      </c>
    </row>
    <row r="909" spans="1:13" customFormat="1" ht="14.5" x14ac:dyDescent="0.35">
      <c r="A909" s="129" t="s">
        <v>487</v>
      </c>
      <c r="B909" s="129" t="s">
        <v>3809</v>
      </c>
      <c r="C909" s="129" t="s">
        <v>3913</v>
      </c>
      <c r="D909" s="129" t="s">
        <v>3888</v>
      </c>
      <c r="E909" s="129" t="s">
        <v>3835</v>
      </c>
      <c r="F909" s="129"/>
      <c r="G909" s="129"/>
      <c r="H909" s="83" t="str">
        <f t="shared" si="98"/>
        <v>TCCN-PTE-PSG-SEL-SA2--</v>
      </c>
      <c r="I909" s="129" t="str">
        <f>MID(H909,1,(LEN(H909)-VLOOKUP(K909,datos!$B$2:$C$12,2,0)))</f>
        <v>TCCN-PTE-PSG-SEL-SA2</v>
      </c>
      <c r="J909" s="129" t="s">
        <v>558</v>
      </c>
      <c r="K909" s="130">
        <f>VLOOKUP(LEN(SUBSTITUTE(H909,"-","")),datos!$A$1:$B$12,2,0)</f>
        <v>5</v>
      </c>
      <c r="L909" s="129" t="s">
        <v>6498</v>
      </c>
      <c r="M909" s="129" t="s">
        <v>0</v>
      </c>
    </row>
    <row r="910" spans="1:13" x14ac:dyDescent="0.35">
      <c r="A910" s="137" t="s">
        <v>487</v>
      </c>
      <c r="B910" s="137" t="s">
        <v>3809</v>
      </c>
      <c r="C910" s="137" t="s">
        <v>3913</v>
      </c>
      <c r="D910" s="137" t="s">
        <v>3888</v>
      </c>
      <c r="E910" s="137" t="s">
        <v>3835</v>
      </c>
      <c r="F910" s="137" t="s">
        <v>3869</v>
      </c>
      <c r="G910" s="137"/>
      <c r="H910" s="82" t="str">
        <f t="shared" si="98"/>
        <v>TCCN-PTE-PSG-SEL-SA2-SCE-</v>
      </c>
      <c r="I910" s="137" t="str">
        <f>MID(H910,1,(LEN(H910)-VLOOKUP(K910,datos!$B$2:$C$12,2,0)))</f>
        <v>TCCN-PTE-PSG-SEL-SA2-SCE</v>
      </c>
      <c r="J910" s="137" t="s">
        <v>123</v>
      </c>
      <c r="K910" s="139">
        <f>VLOOKUP(LEN(SUBSTITUTE(H910,"-","")),datos!$A$1:$B$12,2,0)</f>
        <v>6</v>
      </c>
      <c r="L910" s="137"/>
      <c r="M910" s="137" t="s">
        <v>0</v>
      </c>
    </row>
    <row r="911" spans="1:13" x14ac:dyDescent="0.35">
      <c r="A911" s="138" t="s">
        <v>487</v>
      </c>
      <c r="B911" s="138" t="s">
        <v>3809</v>
      </c>
      <c r="C911" s="138" t="s">
        <v>3913</v>
      </c>
      <c r="D911" s="138" t="s">
        <v>3888</v>
      </c>
      <c r="E911" s="138" t="s">
        <v>3835</v>
      </c>
      <c r="F911" s="138" t="s">
        <v>3869</v>
      </c>
      <c r="G911" s="138" t="s">
        <v>4066</v>
      </c>
      <c r="H911" s="81" t="str">
        <f t="shared" si="98"/>
        <v>TCCN-PTE-PSG-SEL-SA2-SCE-TR1</v>
      </c>
      <c r="I911" s="138" t="str">
        <f>MID(H911,1,(LEN(H911)-VLOOKUP(K911,datos!$B$2:$C$12,2,0)))</f>
        <v>TCCN-PTE-PSG-SEL-SA2-SCE-TR1</v>
      </c>
      <c r="J911" s="138" t="s">
        <v>7196</v>
      </c>
      <c r="K911" s="140">
        <f>VLOOKUP(LEN(SUBSTITUTE(H911,"-","")),datos!$A$1:$B$12,2,0)</f>
        <v>7</v>
      </c>
      <c r="L911" s="138" t="s">
        <v>548</v>
      </c>
      <c r="M911" s="138" t="s">
        <v>0</v>
      </c>
    </row>
    <row r="912" spans="1:13" x14ac:dyDescent="0.35">
      <c r="A912" s="138" t="s">
        <v>487</v>
      </c>
      <c r="B912" s="138" t="s">
        <v>3809</v>
      </c>
      <c r="C912" s="138" t="s">
        <v>3913</v>
      </c>
      <c r="D912" s="138" t="s">
        <v>3888</v>
      </c>
      <c r="E912" s="138" t="s">
        <v>3835</v>
      </c>
      <c r="F912" s="138" t="s">
        <v>3869</v>
      </c>
      <c r="G912" s="138" t="s">
        <v>4067</v>
      </c>
      <c r="H912" s="81" t="str">
        <f t="shared" si="98"/>
        <v>TCCN-PTE-PSG-SEL-SA2-SCE-TR2</v>
      </c>
      <c r="I912" s="138" t="str">
        <f>MID(H912,1,(LEN(H912)-VLOOKUP(K912,datos!$B$2:$C$12,2,0)))</f>
        <v>TCCN-PTE-PSG-SEL-SA2-SCE-TR2</v>
      </c>
      <c r="J912" s="138" t="s">
        <v>7197</v>
      </c>
      <c r="K912" s="140">
        <f>VLOOKUP(LEN(SUBSTITUTE(H912,"-","")),datos!$A$1:$B$12,2,0)</f>
        <v>7</v>
      </c>
      <c r="L912" s="138" t="s">
        <v>549</v>
      </c>
      <c r="M912" s="138" t="s">
        <v>0</v>
      </c>
    </row>
    <row r="913" spans="1:13" x14ac:dyDescent="0.35">
      <c r="A913" s="138" t="s">
        <v>487</v>
      </c>
      <c r="B913" s="138" t="s">
        <v>3809</v>
      </c>
      <c r="C913" s="138" t="s">
        <v>3913</v>
      </c>
      <c r="D913" s="138" t="s">
        <v>3888</v>
      </c>
      <c r="E913" s="138" t="s">
        <v>3835</v>
      </c>
      <c r="F913" s="138" t="s">
        <v>3869</v>
      </c>
      <c r="G913" s="138" t="s">
        <v>3956</v>
      </c>
      <c r="H913" s="81" t="str">
        <f t="shared" si="98"/>
        <v>TCCN-PTE-PSG-SEL-SA2-SCE-VF1</v>
      </c>
      <c r="I913" s="138" t="str">
        <f>MID(H913,1,(LEN(H913)-VLOOKUP(K913,datos!$B$2:$C$12,2,0)))</f>
        <v>TCCN-PTE-PSG-SEL-SA2-SCE-VF1</v>
      </c>
      <c r="J913" s="138" t="s">
        <v>7198</v>
      </c>
      <c r="K913" s="140">
        <f>VLOOKUP(LEN(SUBSTITUTE(H913,"-","")),datos!$A$1:$B$12,2,0)</f>
        <v>7</v>
      </c>
      <c r="L913" s="138" t="s">
        <v>550</v>
      </c>
      <c r="M913" s="138" t="s">
        <v>0</v>
      </c>
    </row>
    <row r="914" spans="1:13" x14ac:dyDescent="0.35">
      <c r="A914" s="138" t="s">
        <v>487</v>
      </c>
      <c r="B914" s="138" t="s">
        <v>3809</v>
      </c>
      <c r="C914" s="138" t="s">
        <v>3913</v>
      </c>
      <c r="D914" s="138" t="s">
        <v>3888</v>
      </c>
      <c r="E914" s="138" t="s">
        <v>3835</v>
      </c>
      <c r="F914" s="138" t="s">
        <v>3869</v>
      </c>
      <c r="G914" s="138" t="s">
        <v>6891</v>
      </c>
      <c r="H914" s="81" t="str">
        <f t="shared" si="98"/>
        <v>TCCN-PTE-PSG-SEL-SA2-SCE-TR3</v>
      </c>
      <c r="I914" s="138" t="str">
        <f>MID(H914,1,(LEN(H914)-VLOOKUP(K914,datos!$B$2:$C$12,2,0)))</f>
        <v>TCCN-PTE-PSG-SEL-SA2-SCE-TR3</v>
      </c>
      <c r="J914" s="138" t="s">
        <v>7199</v>
      </c>
      <c r="K914" s="140">
        <f>VLOOKUP(LEN(SUBSTITUTE(H914,"-","")),datos!$A$1:$B$12,2,0)</f>
        <v>7</v>
      </c>
      <c r="L914" s="138" t="s">
        <v>551</v>
      </c>
      <c r="M914" s="138" t="s">
        <v>0</v>
      </c>
    </row>
    <row r="915" spans="1:13" x14ac:dyDescent="0.35">
      <c r="A915" s="138" t="s">
        <v>487</v>
      </c>
      <c r="B915" s="138" t="s">
        <v>3809</v>
      </c>
      <c r="C915" s="138" t="s">
        <v>3913</v>
      </c>
      <c r="D915" s="138" t="s">
        <v>3888</v>
      </c>
      <c r="E915" s="138" t="s">
        <v>3835</v>
      </c>
      <c r="F915" s="138" t="s">
        <v>3869</v>
      </c>
      <c r="G915" s="138" t="s">
        <v>6893</v>
      </c>
      <c r="H915" s="81" t="str">
        <f t="shared" si="98"/>
        <v>TCCN-PTE-PSG-SEL-SA2-SCE-TR4</v>
      </c>
      <c r="I915" s="138" t="str">
        <f>MID(H915,1,(LEN(H915)-VLOOKUP(K915,datos!$B$2:$C$12,2,0)))</f>
        <v>TCCN-PTE-PSG-SEL-SA2-SCE-TR4</v>
      </c>
      <c r="J915" s="138" t="s">
        <v>7200</v>
      </c>
      <c r="K915" s="140">
        <f>VLOOKUP(LEN(SUBSTITUTE(H915,"-","")),datos!$A$1:$B$12,2,0)</f>
        <v>7</v>
      </c>
      <c r="L915" s="138" t="s">
        <v>552</v>
      </c>
      <c r="M915" s="138" t="s">
        <v>0</v>
      </c>
    </row>
    <row r="916" spans="1:13" x14ac:dyDescent="0.35">
      <c r="A916" s="138" t="s">
        <v>487</v>
      </c>
      <c r="B916" s="138" t="s">
        <v>3809</v>
      </c>
      <c r="C916" s="138" t="s">
        <v>3913</v>
      </c>
      <c r="D916" s="138" t="s">
        <v>3888</v>
      </c>
      <c r="E916" s="138" t="s">
        <v>3835</v>
      </c>
      <c r="F916" s="138" t="s">
        <v>3869</v>
      </c>
      <c r="G916" s="138" t="s">
        <v>3957</v>
      </c>
      <c r="H916" s="81" t="str">
        <f t="shared" si="98"/>
        <v>TCCN-PTE-PSG-SEL-SA2-SCE-VF2</v>
      </c>
      <c r="I916" s="138" t="str">
        <f>MID(H916,1,(LEN(H916)-VLOOKUP(K916,datos!$B$2:$C$12,2,0)))</f>
        <v>TCCN-PTE-PSG-SEL-SA2-SCE-VF2</v>
      </c>
      <c r="J916" s="138" t="s">
        <v>7201</v>
      </c>
      <c r="K916" s="140">
        <f>VLOOKUP(LEN(SUBSTITUTE(H916,"-","")),datos!$A$1:$B$12,2,0)</f>
        <v>7</v>
      </c>
      <c r="L916" s="138" t="s">
        <v>553</v>
      </c>
      <c r="M916" s="138" t="s">
        <v>0</v>
      </c>
    </row>
    <row r="917" spans="1:13" x14ac:dyDescent="0.35">
      <c r="A917" s="138" t="s">
        <v>487</v>
      </c>
      <c r="B917" s="138" t="s">
        <v>3809</v>
      </c>
      <c r="C917" s="138" t="s">
        <v>3913</v>
      </c>
      <c r="D917" s="138" t="s">
        <v>3888</v>
      </c>
      <c r="E917" s="138" t="s">
        <v>3835</v>
      </c>
      <c r="F917" s="138" t="s">
        <v>3869</v>
      </c>
      <c r="G917" s="138" t="s">
        <v>3890</v>
      </c>
      <c r="H917" s="81" t="str">
        <f t="shared" si="98"/>
        <v>TCCN-PTE-PSG-SEL-SA2-SCE-CCM</v>
      </c>
      <c r="I917" s="138" t="str">
        <f>MID(H917,1,(LEN(H917)-VLOOKUP(K917,datos!$B$2:$C$12,2,0)))</f>
        <v>TCCN-PTE-PSG-SEL-SA2-SCE-CCM</v>
      </c>
      <c r="J917" s="138" t="s">
        <v>879</v>
      </c>
      <c r="K917" s="140">
        <f>VLOOKUP(LEN(SUBSTITUTE(H917,"-","")),datos!$A$1:$B$12,2,0)</f>
        <v>7</v>
      </c>
      <c r="L917" s="138" t="s">
        <v>554</v>
      </c>
      <c r="M917" s="138" t="s">
        <v>0</v>
      </c>
    </row>
    <row r="918" spans="1:13" x14ac:dyDescent="0.35">
      <c r="A918" s="138" t="s">
        <v>487</v>
      </c>
      <c r="B918" s="138" t="s">
        <v>3809</v>
      </c>
      <c r="C918" s="138" t="s">
        <v>3913</v>
      </c>
      <c r="D918" s="138" t="s">
        <v>3888</v>
      </c>
      <c r="E918" s="138" t="s">
        <v>3835</v>
      </c>
      <c r="F918" s="138" t="s">
        <v>3869</v>
      </c>
      <c r="G918" s="138" t="s">
        <v>3903</v>
      </c>
      <c r="H918" s="81" t="str">
        <f t="shared" si="98"/>
        <v>TCCN-PTE-PSG-SEL-SA2-SCE-PC1</v>
      </c>
      <c r="I918" s="138" t="str">
        <f>MID(H918,1,(LEN(H918)-VLOOKUP(K918,datos!$B$2:$C$12,2,0)))</f>
        <v>TCCN-PTE-PSG-SEL-SA2-SCE-PC1</v>
      </c>
      <c r="J918" s="138" t="s">
        <v>880</v>
      </c>
      <c r="K918" s="140">
        <f>VLOOKUP(LEN(SUBSTITUTE(H918,"-","")),datos!$A$1:$B$12,2,0)</f>
        <v>7</v>
      </c>
      <c r="L918" s="138" t="s">
        <v>555</v>
      </c>
      <c r="M918" s="138" t="s">
        <v>0</v>
      </c>
    </row>
    <row r="919" spans="1:13" x14ac:dyDescent="0.35">
      <c r="A919" s="138" t="s">
        <v>487</v>
      </c>
      <c r="B919" s="138" t="s">
        <v>3809</v>
      </c>
      <c r="C919" s="138" t="s">
        <v>3913</v>
      </c>
      <c r="D919" s="138" t="s">
        <v>3888</v>
      </c>
      <c r="E919" s="138" t="s">
        <v>3835</v>
      </c>
      <c r="F919" s="138" t="s">
        <v>3869</v>
      </c>
      <c r="G919" s="138" t="s">
        <v>6911</v>
      </c>
      <c r="H919" s="81" t="str">
        <f t="shared" si="98"/>
        <v>TCCN-PTE-PSG-SEL-SA2-SCE-TFZ</v>
      </c>
      <c r="I919" s="138" t="str">
        <f>MID(H919,1,(LEN(H919)-VLOOKUP(K919,datos!$B$2:$C$12,2,0)))</f>
        <v>TCCN-PTE-PSG-SEL-SA2-SCE-TFZ</v>
      </c>
      <c r="J919" s="138" t="s">
        <v>881</v>
      </c>
      <c r="K919" s="140">
        <f>VLOOKUP(LEN(SUBSTITUTE(H919,"-","")),datos!$A$1:$B$12,2,0)</f>
        <v>7</v>
      </c>
      <c r="L919" s="138" t="s">
        <v>556</v>
      </c>
      <c r="M919" s="138" t="s">
        <v>0</v>
      </c>
    </row>
    <row r="920" spans="1:13" x14ac:dyDescent="0.35">
      <c r="A920" s="137" t="s">
        <v>487</v>
      </c>
      <c r="B920" s="137" t="s">
        <v>3809</v>
      </c>
      <c r="C920" s="137" t="s">
        <v>3913</v>
      </c>
      <c r="D920" s="137" t="s">
        <v>3888</v>
      </c>
      <c r="E920" s="137" t="s">
        <v>3835</v>
      </c>
      <c r="F920" s="137" t="s">
        <v>5232</v>
      </c>
      <c r="G920" s="137"/>
      <c r="H920" s="82" t="str">
        <f t="shared" si="98"/>
        <v>TCCN-PTE-PSG-SEL-SA2-SAL-</v>
      </c>
      <c r="I920" s="137" t="str">
        <f>MID(H920,1,(LEN(H920)-VLOOKUP(K920,datos!$B$2:$C$12,2,0)))</f>
        <v>TCCN-PTE-PSG-SEL-SA2-SAL</v>
      </c>
      <c r="J920" s="137" t="s">
        <v>5251</v>
      </c>
      <c r="K920" s="139">
        <f>VLOOKUP(LEN(SUBSTITUTE(H920,"-","")),datos!$A$1:$B$12,2,0)</f>
        <v>6</v>
      </c>
      <c r="L920" s="137"/>
      <c r="M920" s="137" t="s">
        <v>0</v>
      </c>
    </row>
    <row r="921" spans="1:13" x14ac:dyDescent="0.35">
      <c r="A921" s="138" t="s">
        <v>487</v>
      </c>
      <c r="B921" s="138" t="s">
        <v>3809</v>
      </c>
      <c r="C921" s="138" t="s">
        <v>3913</v>
      </c>
      <c r="D921" s="138" t="s">
        <v>3888</v>
      </c>
      <c r="E921" s="138" t="s">
        <v>3835</v>
      </c>
      <c r="F921" s="138" t="s">
        <v>5232</v>
      </c>
      <c r="G921" s="138" t="s">
        <v>6909</v>
      </c>
      <c r="H921" s="81" t="str">
        <f t="shared" si="98"/>
        <v>TCCN-PTE-PSG-SEL-SA2-SAL-TRF</v>
      </c>
      <c r="I921" s="138" t="str">
        <f>MID(H921,1,(LEN(H921)-VLOOKUP(K921,datos!$B$2:$C$12,2,0)))</f>
        <v>TCCN-PTE-PSG-SEL-SA2-SAL-TRF</v>
      </c>
      <c r="J921" s="138" t="s">
        <v>882</v>
      </c>
      <c r="K921" s="140">
        <f>VLOOKUP(LEN(SUBSTITUTE(H921,"-","")),datos!$A$1:$B$12,2,0)</f>
        <v>7</v>
      </c>
      <c r="L921" s="138" t="s">
        <v>557</v>
      </c>
      <c r="M921" s="138" t="s">
        <v>0</v>
      </c>
    </row>
    <row r="922" spans="1:13" x14ac:dyDescent="0.35">
      <c r="A922" s="137" t="s">
        <v>487</v>
      </c>
      <c r="B922" s="137" t="s">
        <v>3809</v>
      </c>
      <c r="C922" s="137" t="s">
        <v>3913</v>
      </c>
      <c r="D922" s="137" t="s">
        <v>3888</v>
      </c>
      <c r="E922" s="137" t="s">
        <v>3835</v>
      </c>
      <c r="F922" s="137" t="s">
        <v>5567</v>
      </c>
      <c r="G922" s="137"/>
      <c r="H922" s="82" t="str">
        <f t="shared" si="98"/>
        <v>TCCN-PTE-PSG-SEL-SA2-STV-</v>
      </c>
      <c r="I922" s="137" t="str">
        <f>MID(H922,1,(LEN(H922)-VLOOKUP(K922,datos!$B$2:$C$12,2,0)))</f>
        <v>TCCN-PTE-PSG-SEL-SA2-STV</v>
      </c>
      <c r="J922" s="137" t="s">
        <v>4834</v>
      </c>
      <c r="K922" s="139">
        <f>VLOOKUP(LEN(SUBSTITUTE(H922,"-","")),datos!$A$1:$B$12,2,0)</f>
        <v>6</v>
      </c>
      <c r="L922" s="137"/>
      <c r="M922" s="137" t="s">
        <v>0</v>
      </c>
    </row>
    <row r="923" spans="1:13" x14ac:dyDescent="0.35">
      <c r="A923" s="138" t="s">
        <v>487</v>
      </c>
      <c r="B923" s="138" t="s">
        <v>3809</v>
      </c>
      <c r="C923" s="138" t="s">
        <v>3913</v>
      </c>
      <c r="D923" s="138" t="s">
        <v>3888</v>
      </c>
      <c r="E923" s="138" t="s">
        <v>3835</v>
      </c>
      <c r="F923" s="138" t="s">
        <v>5567</v>
      </c>
      <c r="G923" s="138" t="s">
        <v>5290</v>
      </c>
      <c r="H923" s="81" t="str">
        <f t="shared" si="98"/>
        <v>TCCN-PTE-PSG-SEL-SA2-STV-GBT</v>
      </c>
      <c r="I923" s="138" t="str">
        <f>MID(H923,1,(LEN(H923)-VLOOKUP(K923,datos!$B$2:$C$12,2,0)))</f>
        <v>TCCN-PTE-PSG-SEL-SA2-STV-GBT</v>
      </c>
      <c r="J923" s="138" t="s">
        <v>4913</v>
      </c>
      <c r="K923" s="140">
        <f>VLOOKUP(LEN(SUBSTITUTE(H923,"-","")),datos!$A$1:$B$12,2,0)</f>
        <v>7</v>
      </c>
      <c r="L923" s="138"/>
      <c r="M923" s="138" t="s">
        <v>0</v>
      </c>
    </row>
    <row r="924" spans="1:13" x14ac:dyDescent="0.35">
      <c r="A924" s="138" t="s">
        <v>487</v>
      </c>
      <c r="B924" s="138" t="s">
        <v>3809</v>
      </c>
      <c r="C924" s="138" t="s">
        <v>3913</v>
      </c>
      <c r="D924" s="138" t="s">
        <v>3888</v>
      </c>
      <c r="E924" s="138" t="s">
        <v>3835</v>
      </c>
      <c r="F924" s="138" t="s">
        <v>5567</v>
      </c>
      <c r="G924" s="138" t="s">
        <v>5324</v>
      </c>
      <c r="H924" s="81" t="str">
        <f t="shared" si="98"/>
        <v>TCCN-PTE-PSG-SEL-SA2-STV-PF1</v>
      </c>
      <c r="I924" s="138" t="str">
        <f>MID(H924,1,(LEN(H924)-VLOOKUP(K924,datos!$B$2:$C$12,2,0)))</f>
        <v>TCCN-PTE-PSG-SEL-SA2-STV-PF1</v>
      </c>
      <c r="J924" s="138" t="s">
        <v>4836</v>
      </c>
      <c r="K924" s="140">
        <f>VLOOKUP(LEN(SUBSTITUTE(H924,"-","")),datos!$A$1:$B$12,2,0)</f>
        <v>7</v>
      </c>
      <c r="L924" s="138" t="s">
        <v>4854</v>
      </c>
      <c r="M924" s="138" t="s">
        <v>0</v>
      </c>
    </row>
    <row r="925" spans="1:13" x14ac:dyDescent="0.35">
      <c r="A925" s="138" t="s">
        <v>487</v>
      </c>
      <c r="B925" s="138" t="s">
        <v>3809</v>
      </c>
      <c r="C925" s="138" t="s">
        <v>3913</v>
      </c>
      <c r="D925" s="138" t="s">
        <v>3888</v>
      </c>
      <c r="E925" s="138" t="s">
        <v>3835</v>
      </c>
      <c r="F925" s="138" t="s">
        <v>5567</v>
      </c>
      <c r="G925" s="138" t="s">
        <v>5325</v>
      </c>
      <c r="H925" s="81" t="str">
        <f t="shared" si="98"/>
        <v>TCCN-PTE-PSG-SEL-SA2-STV-PF2</v>
      </c>
      <c r="I925" s="138" t="str">
        <f>MID(H925,1,(LEN(H925)-VLOOKUP(K925,datos!$B$2:$C$12,2,0)))</f>
        <v>TCCN-PTE-PSG-SEL-SA2-STV-PF2</v>
      </c>
      <c r="J925" s="138" t="s">
        <v>4836</v>
      </c>
      <c r="K925" s="140">
        <f>VLOOKUP(LEN(SUBSTITUTE(H925,"-","")),datos!$A$1:$B$12,2,0)</f>
        <v>7</v>
      </c>
      <c r="L925" s="138" t="s">
        <v>4855</v>
      </c>
      <c r="M925" s="138" t="s">
        <v>0</v>
      </c>
    </row>
    <row r="926" spans="1:13" x14ac:dyDescent="0.35">
      <c r="A926" s="138" t="s">
        <v>487</v>
      </c>
      <c r="B926" s="138" t="s">
        <v>3809</v>
      </c>
      <c r="C926" s="138" t="s">
        <v>3913</v>
      </c>
      <c r="D926" s="138" t="s">
        <v>3888</v>
      </c>
      <c r="E926" s="138" t="s">
        <v>3835</v>
      </c>
      <c r="F926" s="138" t="s">
        <v>5567</v>
      </c>
      <c r="G926" s="138" t="s">
        <v>5326</v>
      </c>
      <c r="H926" s="81" t="str">
        <f t="shared" si="98"/>
        <v>TCCN-PTE-PSG-SEL-SA2-STV-PF3</v>
      </c>
      <c r="I926" s="138" t="str">
        <f>MID(H926,1,(LEN(H926)-VLOOKUP(K926,datos!$B$2:$C$12,2,0)))</f>
        <v>TCCN-PTE-PSG-SEL-SA2-STV-PF3</v>
      </c>
      <c r="J926" s="138" t="s">
        <v>4836</v>
      </c>
      <c r="K926" s="140">
        <f>VLOOKUP(LEN(SUBSTITUTE(H926,"-","")),datos!$A$1:$B$12,2,0)</f>
        <v>7</v>
      </c>
      <c r="L926" s="138" t="s">
        <v>4856</v>
      </c>
      <c r="M926" s="138" t="s">
        <v>0</v>
      </c>
    </row>
    <row r="927" spans="1:13" customFormat="1" ht="14.5" x14ac:dyDescent="0.35">
      <c r="A927" s="84" t="s">
        <v>487</v>
      </c>
      <c r="B927" s="84" t="s">
        <v>3809</v>
      </c>
      <c r="C927" s="84" t="s">
        <v>3913</v>
      </c>
      <c r="D927" s="84" t="s">
        <v>5282</v>
      </c>
      <c r="E927" s="84"/>
      <c r="F927" s="84"/>
      <c r="G927" s="84"/>
      <c r="H927" s="84" t="str">
        <f t="shared" ref="H927:H955" si="99">CONCATENATE(A927,"-",B927,"-",C927,"-",D927,"-",E927,"-",F927,"-",G927)</f>
        <v>TCCN-PTE-PSG-CTV---</v>
      </c>
      <c r="I927" s="84" t="str">
        <f>MID(H927,1,(LEN(H927)-VLOOKUP(K927,datos!$B$2:$C$12,2,0)))</f>
        <v>TCCN-PTE-PSG-CTV</v>
      </c>
      <c r="J927" s="84" t="s">
        <v>4881</v>
      </c>
      <c r="K927" s="119">
        <f>VLOOKUP(LEN(SUBSTITUTE(H927,"-","")),datos!$A$1:$B$12,2,0)</f>
        <v>4</v>
      </c>
      <c r="L927" s="84"/>
      <c r="M927" s="84" t="s">
        <v>0</v>
      </c>
    </row>
    <row r="928" spans="1:13" customFormat="1" ht="14.5" x14ac:dyDescent="0.35">
      <c r="A928" s="129" t="s">
        <v>487</v>
      </c>
      <c r="B928" s="129" t="s">
        <v>3809</v>
      </c>
      <c r="C928" s="129" t="s">
        <v>3913</v>
      </c>
      <c r="D928" s="129" t="s">
        <v>5282</v>
      </c>
      <c r="E928" s="129" t="s">
        <v>3921</v>
      </c>
      <c r="F928" s="129"/>
      <c r="G928" s="129"/>
      <c r="H928" s="83" t="str">
        <f t="shared" si="99"/>
        <v>TCCN-PTE-PSG-CTV-CT1--</v>
      </c>
      <c r="I928" s="129" t="str">
        <f>MID(H928,1,(LEN(H928)-VLOOKUP(K928,datos!$B$2:$C$12,2,0)))</f>
        <v>TCCN-PTE-PSG-CTV-CT1</v>
      </c>
      <c r="J928" s="129" t="s">
        <v>4857</v>
      </c>
      <c r="K928" s="130">
        <f>VLOOKUP(LEN(SUBSTITUTE(H928,"-","")),datos!$A$1:$B$12,2,0)</f>
        <v>5</v>
      </c>
      <c r="L928" s="129" t="s">
        <v>4863</v>
      </c>
      <c r="M928" s="129" t="s">
        <v>0</v>
      </c>
    </row>
    <row r="929" spans="1:13" customFormat="1" ht="14.5" x14ac:dyDescent="0.35">
      <c r="A929" s="129" t="s">
        <v>487</v>
      </c>
      <c r="B929" s="129" t="s">
        <v>3809</v>
      </c>
      <c r="C929" s="129" t="s">
        <v>3913</v>
      </c>
      <c r="D929" s="129" t="s">
        <v>5282</v>
      </c>
      <c r="E929" s="129" t="s">
        <v>5300</v>
      </c>
      <c r="F929" s="129"/>
      <c r="G929" s="129"/>
      <c r="H929" s="83" t="str">
        <f t="shared" si="99"/>
        <v>TCCN-PTE-PSG-CTV-EC1--</v>
      </c>
      <c r="I929" s="129" t="str">
        <f>MID(H929,1,(LEN(H929)-VLOOKUP(K929,datos!$B$2:$C$12,2,0)))</f>
        <v>TCCN-PTE-PSG-CTV-EC1</v>
      </c>
      <c r="J929" s="129" t="s">
        <v>4858</v>
      </c>
      <c r="K929" s="130">
        <f>VLOOKUP(LEN(SUBSTITUTE(H929,"-","")),datos!$A$1:$B$12,2,0)</f>
        <v>5</v>
      </c>
      <c r="L929" s="129" t="s">
        <v>4862</v>
      </c>
      <c r="M929" s="129" t="s">
        <v>0</v>
      </c>
    </row>
    <row r="930" spans="1:13" customFormat="1" ht="14.5" x14ac:dyDescent="0.35">
      <c r="A930" s="129" t="s">
        <v>487</v>
      </c>
      <c r="B930" s="129" t="s">
        <v>3809</v>
      </c>
      <c r="C930" s="129" t="s">
        <v>3913</v>
      </c>
      <c r="D930" s="129" t="s">
        <v>5282</v>
      </c>
      <c r="E930" s="129" t="s">
        <v>3943</v>
      </c>
      <c r="F930" s="129"/>
      <c r="G930" s="129"/>
      <c r="H930" s="83" t="str">
        <f t="shared" si="99"/>
        <v>TCCN-PTE-PSG-CTV-CT2--</v>
      </c>
      <c r="I930" s="129" t="str">
        <f>MID(H930,1,(LEN(H930)-VLOOKUP(K930,datos!$B$2:$C$12,2,0)))</f>
        <v>TCCN-PTE-PSG-CTV-CT2</v>
      </c>
      <c r="J930" s="129" t="s">
        <v>4859</v>
      </c>
      <c r="K930" s="130">
        <f>VLOOKUP(LEN(SUBSTITUTE(H930,"-","")),datos!$A$1:$B$12,2,0)</f>
        <v>5</v>
      </c>
      <c r="L930" s="129" t="s">
        <v>4861</v>
      </c>
      <c r="M930" s="129" t="s">
        <v>0</v>
      </c>
    </row>
    <row r="931" spans="1:13" customFormat="1" ht="14.5" x14ac:dyDescent="0.35">
      <c r="A931" s="129" t="s">
        <v>487</v>
      </c>
      <c r="B931" s="129" t="s">
        <v>3809</v>
      </c>
      <c r="C931" s="129" t="s">
        <v>3913</v>
      </c>
      <c r="D931" s="129" t="s">
        <v>5282</v>
      </c>
      <c r="E931" s="129" t="s">
        <v>5301</v>
      </c>
      <c r="F931" s="129"/>
      <c r="G931" s="129"/>
      <c r="H931" s="83" t="str">
        <f t="shared" si="99"/>
        <v>TCCN-PTE-PSG-CTV-EC2--</v>
      </c>
      <c r="I931" s="129" t="str">
        <f>MID(H931,1,(LEN(H931)-VLOOKUP(K931,datos!$B$2:$C$12,2,0)))</f>
        <v>TCCN-PTE-PSG-CTV-EC2</v>
      </c>
      <c r="J931" s="129" t="s">
        <v>4860</v>
      </c>
      <c r="K931" s="130">
        <f>VLOOKUP(LEN(SUBSTITUTE(H931,"-","")),datos!$A$1:$B$12,2,0)</f>
        <v>5</v>
      </c>
      <c r="L931" s="129" t="s">
        <v>4864</v>
      </c>
      <c r="M931" s="129" t="s">
        <v>0</v>
      </c>
    </row>
    <row r="932" spans="1:13" customFormat="1" ht="14.5" x14ac:dyDescent="0.35">
      <c r="A932" s="129" t="s">
        <v>487</v>
      </c>
      <c r="B932" s="129" t="s">
        <v>3809</v>
      </c>
      <c r="C932" s="129" t="s">
        <v>3913</v>
      </c>
      <c r="D932" s="129" t="s">
        <v>5282</v>
      </c>
      <c r="E932" s="129" t="s">
        <v>3944</v>
      </c>
      <c r="F932" s="129"/>
      <c r="G932" s="129"/>
      <c r="H932" s="83" t="str">
        <f t="shared" si="99"/>
        <v>TCCN-PTE-PSG-CTV-CT3--</v>
      </c>
      <c r="I932" s="129" t="str">
        <f>MID(H932,1,(LEN(H932)-VLOOKUP(K932,datos!$B$2:$C$12,2,0)))</f>
        <v>TCCN-PTE-PSG-CTV-CT3</v>
      </c>
      <c r="J932" s="129" t="s">
        <v>4865</v>
      </c>
      <c r="K932" s="130">
        <f>VLOOKUP(LEN(SUBSTITUTE(H932,"-","")),datos!$A$1:$B$12,2,0)</f>
        <v>5</v>
      </c>
      <c r="L932" s="129" t="s">
        <v>4866</v>
      </c>
      <c r="M932" s="129" t="s">
        <v>0</v>
      </c>
    </row>
    <row r="933" spans="1:13" customFormat="1" ht="14.5" x14ac:dyDescent="0.35">
      <c r="A933" s="129" t="s">
        <v>487</v>
      </c>
      <c r="B933" s="129" t="s">
        <v>3809</v>
      </c>
      <c r="C933" s="129" t="s">
        <v>3913</v>
      </c>
      <c r="D933" s="129" t="s">
        <v>5282</v>
      </c>
      <c r="E933" s="129" t="s">
        <v>5302</v>
      </c>
      <c r="F933" s="129"/>
      <c r="G933" s="129"/>
      <c r="H933" s="83" t="str">
        <f t="shared" si="99"/>
        <v>TCCN-PTE-PSG-CTV-EC3--</v>
      </c>
      <c r="I933" s="129" t="str">
        <f>MID(H933,1,(LEN(H933)-VLOOKUP(K933,datos!$B$2:$C$12,2,0)))</f>
        <v>TCCN-PTE-PSG-CTV-EC3</v>
      </c>
      <c r="J933" s="129" t="s">
        <v>4868</v>
      </c>
      <c r="K933" s="130">
        <f>VLOOKUP(LEN(SUBSTITUTE(H933,"-","")),datos!$A$1:$B$12,2,0)</f>
        <v>5</v>
      </c>
      <c r="L933" s="129" t="s">
        <v>4867</v>
      </c>
      <c r="M933" s="129" t="s">
        <v>0</v>
      </c>
    </row>
    <row r="934" spans="1:13" customFormat="1" ht="14.5" x14ac:dyDescent="0.35">
      <c r="A934" s="129" t="s">
        <v>487</v>
      </c>
      <c r="B934" s="129" t="s">
        <v>3809</v>
      </c>
      <c r="C934" s="129" t="s">
        <v>3913</v>
      </c>
      <c r="D934" s="129" t="s">
        <v>5282</v>
      </c>
      <c r="E934" s="129" t="s">
        <v>3945</v>
      </c>
      <c r="F934" s="129"/>
      <c r="G934" s="129"/>
      <c r="H934" s="83" t="str">
        <f t="shared" si="99"/>
        <v>TCCN-PTE-PSG-CTV-CT4--</v>
      </c>
      <c r="I934" s="129" t="str">
        <f>MID(H934,1,(LEN(H934)-VLOOKUP(K934,datos!$B$2:$C$12,2,0)))</f>
        <v>TCCN-PTE-PSG-CTV-CT4</v>
      </c>
      <c r="J934" s="129" t="s">
        <v>4869</v>
      </c>
      <c r="K934" s="130">
        <f>VLOOKUP(LEN(SUBSTITUTE(H934,"-","")),datos!$A$1:$B$12,2,0)</f>
        <v>5</v>
      </c>
      <c r="L934" s="129" t="s">
        <v>4870</v>
      </c>
      <c r="M934" s="129" t="s">
        <v>0</v>
      </c>
    </row>
    <row r="935" spans="1:13" customFormat="1" ht="14.5" x14ac:dyDescent="0.35">
      <c r="A935" s="129" t="s">
        <v>487</v>
      </c>
      <c r="B935" s="129" t="s">
        <v>3809</v>
      </c>
      <c r="C935" s="129" t="s">
        <v>3913</v>
      </c>
      <c r="D935" s="129" t="s">
        <v>5282</v>
      </c>
      <c r="E935" s="129" t="s">
        <v>5303</v>
      </c>
      <c r="F935" s="129"/>
      <c r="G935" s="129"/>
      <c r="H935" s="83" t="str">
        <f t="shared" si="99"/>
        <v>TCCN-PTE-PSG-CTV-EC4--</v>
      </c>
      <c r="I935" s="129" t="str">
        <f>MID(H935,1,(LEN(H935)-VLOOKUP(K935,datos!$B$2:$C$12,2,0)))</f>
        <v>TCCN-PTE-PSG-CTV-EC4</v>
      </c>
      <c r="J935" s="129" t="s">
        <v>4872</v>
      </c>
      <c r="K935" s="130">
        <f>VLOOKUP(LEN(SUBSTITUTE(H935,"-","")),datos!$A$1:$B$12,2,0)</f>
        <v>5</v>
      </c>
      <c r="L935" s="129" t="s">
        <v>4871</v>
      </c>
      <c r="M935" s="129" t="s">
        <v>0</v>
      </c>
    </row>
    <row r="936" spans="1:13" customFormat="1" ht="14.5" x14ac:dyDescent="0.35">
      <c r="A936" s="129" t="s">
        <v>487</v>
      </c>
      <c r="B936" s="129" t="s">
        <v>3809</v>
      </c>
      <c r="C936" s="129" t="s">
        <v>3913</v>
      </c>
      <c r="D936" s="129" t="s">
        <v>5282</v>
      </c>
      <c r="E936" s="129" t="s">
        <v>5296</v>
      </c>
      <c r="F936" s="129"/>
      <c r="G936" s="129"/>
      <c r="H936" s="83" t="str">
        <f t="shared" si="99"/>
        <v>TCCN-PTE-PSG-CTV-CT5--</v>
      </c>
      <c r="I936" s="129" t="str">
        <f>MID(H936,1,(LEN(H936)-VLOOKUP(K936,datos!$B$2:$C$12,2,0)))</f>
        <v>TCCN-PTE-PSG-CTV-CT5</v>
      </c>
      <c r="J936" s="129" t="s">
        <v>4873</v>
      </c>
      <c r="K936" s="130">
        <f>VLOOKUP(LEN(SUBSTITUTE(H936,"-","")),datos!$A$1:$B$12,2,0)</f>
        <v>5</v>
      </c>
      <c r="L936" s="129" t="s">
        <v>4875</v>
      </c>
      <c r="M936" s="129" t="s">
        <v>0</v>
      </c>
    </row>
    <row r="937" spans="1:13" customFormat="1" ht="14.5" x14ac:dyDescent="0.35">
      <c r="A937" s="129" t="s">
        <v>487</v>
      </c>
      <c r="B937" s="129" t="s">
        <v>3809</v>
      </c>
      <c r="C937" s="129" t="s">
        <v>3913</v>
      </c>
      <c r="D937" s="129" t="s">
        <v>5282</v>
      </c>
      <c r="E937" s="129" t="s">
        <v>5304</v>
      </c>
      <c r="F937" s="129"/>
      <c r="G937" s="129"/>
      <c r="H937" s="83" t="str">
        <f t="shared" si="99"/>
        <v>TCCN-PTE-PSG-CTV-EC5--</v>
      </c>
      <c r="I937" s="129" t="str">
        <f>MID(H937,1,(LEN(H937)-VLOOKUP(K937,datos!$B$2:$C$12,2,0)))</f>
        <v>TCCN-PTE-PSG-CTV-EC5</v>
      </c>
      <c r="J937" s="129" t="s">
        <v>4874</v>
      </c>
      <c r="K937" s="130">
        <f>VLOOKUP(LEN(SUBSTITUTE(H937,"-","")),datos!$A$1:$B$12,2,0)</f>
        <v>5</v>
      </c>
      <c r="L937" s="129" t="s">
        <v>4876</v>
      </c>
      <c r="M937" s="129" t="s">
        <v>0</v>
      </c>
    </row>
    <row r="938" spans="1:13" customFormat="1" ht="14.5" x14ac:dyDescent="0.35">
      <c r="A938" s="129" t="s">
        <v>487</v>
      </c>
      <c r="B938" s="129" t="s">
        <v>3809</v>
      </c>
      <c r="C938" s="129" t="s">
        <v>3913</v>
      </c>
      <c r="D938" s="129" t="s">
        <v>5282</v>
      </c>
      <c r="E938" s="129" t="s">
        <v>5305</v>
      </c>
      <c r="F938" s="129"/>
      <c r="G938" s="129"/>
      <c r="H938" s="83" t="str">
        <f t="shared" si="99"/>
        <v>TCCN-PTE-PSG-CTV-CT6--</v>
      </c>
      <c r="I938" s="129" t="str">
        <f>MID(H938,1,(LEN(H938)-VLOOKUP(K938,datos!$B$2:$C$12,2,0)))</f>
        <v>TCCN-PTE-PSG-CTV-CT6</v>
      </c>
      <c r="J938" s="129" t="s">
        <v>4877</v>
      </c>
      <c r="K938" s="130">
        <f>VLOOKUP(LEN(SUBSTITUTE(H938,"-","")),datos!$A$1:$B$12,2,0)</f>
        <v>5</v>
      </c>
      <c r="L938" s="129" t="s">
        <v>4879</v>
      </c>
      <c r="M938" s="129" t="s">
        <v>0</v>
      </c>
    </row>
    <row r="939" spans="1:13" customFormat="1" ht="14.5" x14ac:dyDescent="0.35">
      <c r="A939" s="129" t="s">
        <v>487</v>
      </c>
      <c r="B939" s="129" t="s">
        <v>3809</v>
      </c>
      <c r="C939" s="129" t="s">
        <v>3913</v>
      </c>
      <c r="D939" s="129" t="s">
        <v>5282</v>
      </c>
      <c r="E939" s="129" t="s">
        <v>5306</v>
      </c>
      <c r="F939" s="129"/>
      <c r="G939" s="129"/>
      <c r="H939" s="83" t="str">
        <f t="shared" si="99"/>
        <v>TCCN-PTE-PSG-CTV-EC6--</v>
      </c>
      <c r="I939" s="129" t="str">
        <f>MID(H939,1,(LEN(H939)-VLOOKUP(K939,datos!$B$2:$C$12,2,0)))</f>
        <v>TCCN-PTE-PSG-CTV-EC6</v>
      </c>
      <c r="J939" s="129" t="s">
        <v>4878</v>
      </c>
      <c r="K939" s="130">
        <f>VLOOKUP(LEN(SUBSTITUTE(H939,"-","")),datos!$A$1:$B$12,2,0)</f>
        <v>5</v>
      </c>
      <c r="L939" s="129" t="s">
        <v>4880</v>
      </c>
      <c r="M939" s="129" t="s">
        <v>0</v>
      </c>
    </row>
    <row r="940" spans="1:13" customFormat="1" ht="14.5" x14ac:dyDescent="0.35">
      <c r="A940" s="127" t="s">
        <v>487</v>
      </c>
      <c r="B940" s="127" t="s">
        <v>3809</v>
      </c>
      <c r="C940" s="127" t="s">
        <v>3983</v>
      </c>
      <c r="D940" s="127"/>
      <c r="E940" s="127"/>
      <c r="F940" s="127"/>
      <c r="G940" s="127"/>
      <c r="H940" s="86" t="str">
        <f t="shared" si="99"/>
        <v>TCCN-PTE-PFL----</v>
      </c>
      <c r="I940" s="127" t="str">
        <f>MID(H940,1,(LEN(H940)-VLOOKUP(K940,datos!$B$2:$C$12,2,0)))</f>
        <v>TCCN-PTE-PFL</v>
      </c>
      <c r="J940" s="127" t="s">
        <v>563</v>
      </c>
      <c r="K940" s="128">
        <f>VLOOKUP(LEN(SUBSTITUTE(H940,"-","")),datos!$A$1:$B$12,2,0)</f>
        <v>3</v>
      </c>
      <c r="L940" s="127"/>
      <c r="M940" s="127" t="s">
        <v>0</v>
      </c>
    </row>
    <row r="941" spans="1:13" customFormat="1" ht="14.5" x14ac:dyDescent="0.35">
      <c r="A941" s="84" t="s">
        <v>487</v>
      </c>
      <c r="B941" s="84" t="s">
        <v>3809</v>
      </c>
      <c r="C941" s="84" t="s">
        <v>3983</v>
      </c>
      <c r="D941" s="84" t="s">
        <v>3984</v>
      </c>
      <c r="E941" s="84"/>
      <c r="F941" s="84"/>
      <c r="G941" s="84"/>
      <c r="H941" s="84" t="str">
        <f t="shared" si="99"/>
        <v>TCCN-PTE-PFL-PRG---</v>
      </c>
      <c r="I941" s="84" t="str">
        <f>MID(H941,1,(LEN(H941)-VLOOKUP(K941,datos!$B$2:$C$12,2,0)))</f>
        <v>TCCN-PTE-PFL-PRG</v>
      </c>
      <c r="J941" s="84" t="s">
        <v>7894</v>
      </c>
      <c r="K941" s="119">
        <f>VLOOKUP(LEN(SUBSTITUTE(H941,"-","")),datos!$A$1:$B$12,2,0)</f>
        <v>4</v>
      </c>
      <c r="L941" s="84"/>
      <c r="M941" s="84" t="s">
        <v>0</v>
      </c>
    </row>
    <row r="942" spans="1:13" customFormat="1" ht="14.5" x14ac:dyDescent="0.35">
      <c r="A942" s="129" t="s">
        <v>487</v>
      </c>
      <c r="B942" s="129" t="s">
        <v>3809</v>
      </c>
      <c r="C942" s="129" t="s">
        <v>3983</v>
      </c>
      <c r="D942" s="129" t="s">
        <v>3984</v>
      </c>
      <c r="E942" s="129" t="s">
        <v>5028</v>
      </c>
      <c r="F942" s="129"/>
      <c r="G942" s="129"/>
      <c r="H942" s="83" t="str">
        <f t="shared" si="99"/>
        <v>TCCN-PTE-PFL-PRG-CAJ--</v>
      </c>
      <c r="I942" s="129" t="str">
        <f>MID(H942,1,(LEN(H942)-VLOOKUP(K942,datos!$B$2:$C$12,2,0)))</f>
        <v>TCCN-PTE-PFL-PRG-CAJ</v>
      </c>
      <c r="J942" s="129" t="s">
        <v>4481</v>
      </c>
      <c r="K942" s="130">
        <f>VLOOKUP(LEN(SUBSTITUTE(H942,"-","")),datos!$A$1:$B$12,2,0)</f>
        <v>5</v>
      </c>
      <c r="L942" s="129" t="s">
        <v>155</v>
      </c>
      <c r="M942" s="129" t="s">
        <v>0</v>
      </c>
    </row>
    <row r="943" spans="1:13" x14ac:dyDescent="0.35">
      <c r="A943" s="137" t="s">
        <v>487</v>
      </c>
      <c r="B943" s="137" t="s">
        <v>3809</v>
      </c>
      <c r="C943" s="137" t="s">
        <v>3983</v>
      </c>
      <c r="D943" s="137" t="s">
        <v>3984</v>
      </c>
      <c r="E943" s="137" t="s">
        <v>5028</v>
      </c>
      <c r="F943" s="137" t="s">
        <v>3821</v>
      </c>
      <c r="G943" s="137"/>
      <c r="H943" s="82" t="str">
        <f t="shared" si="99"/>
        <v>TCCN-PTE-PFL-PRG-CAJ-SME-</v>
      </c>
      <c r="I943" s="137" t="str">
        <f>MID(H943,1,(LEN(H943)-VLOOKUP(K943,datos!$B$2:$C$12,2,0)))</f>
        <v>TCCN-PTE-PFL-PRG-CAJ-SME</v>
      </c>
      <c r="J943" s="137" t="s">
        <v>4683</v>
      </c>
      <c r="K943" s="139">
        <f>VLOOKUP(LEN(SUBSTITUTE(H943,"-","")),datos!$A$1:$B$12,2,0)</f>
        <v>6</v>
      </c>
      <c r="L943" s="137"/>
      <c r="M943" s="137" t="s">
        <v>0</v>
      </c>
    </row>
    <row r="944" spans="1:13" x14ac:dyDescent="0.35">
      <c r="A944" s="138" t="s">
        <v>487</v>
      </c>
      <c r="B944" s="138" t="s">
        <v>3809</v>
      </c>
      <c r="C944" s="138" t="s">
        <v>3983</v>
      </c>
      <c r="D944" s="138" t="s">
        <v>3984</v>
      </c>
      <c r="E944" s="138" t="s">
        <v>5028</v>
      </c>
      <c r="F944" s="138" t="s">
        <v>3821</v>
      </c>
      <c r="G944" s="138" t="s">
        <v>3986</v>
      </c>
      <c r="H944" s="81" t="str">
        <f t="shared" si="99"/>
        <v>TCCN-PTE-PFL-PRG-CAJ-SME-VV1</v>
      </c>
      <c r="I944" s="138" t="str">
        <f>MID(H944,1,(LEN(H944)-VLOOKUP(K944,datos!$B$2:$C$12,2,0)))</f>
        <v>TCCN-PTE-PFL-PRG-CAJ-SME-VV1</v>
      </c>
      <c r="J944" s="138" t="s">
        <v>7945</v>
      </c>
      <c r="K944" s="140">
        <f>VLOOKUP(LEN(SUBSTITUTE(H944,"-","")),datos!$A$1:$B$12,2,0)</f>
        <v>7</v>
      </c>
      <c r="L944" s="138" t="s">
        <v>156</v>
      </c>
      <c r="M944" s="138" t="s">
        <v>0</v>
      </c>
    </row>
    <row r="945" spans="1:13" x14ac:dyDescent="0.35">
      <c r="A945" s="138" t="s">
        <v>487</v>
      </c>
      <c r="B945" s="138" t="s">
        <v>3809</v>
      </c>
      <c r="C945" s="138" t="s">
        <v>3983</v>
      </c>
      <c r="D945" s="138" t="s">
        <v>3984</v>
      </c>
      <c r="E945" s="138" t="s">
        <v>5028</v>
      </c>
      <c r="F945" s="138" t="s">
        <v>3821</v>
      </c>
      <c r="G945" s="138" t="s">
        <v>3987</v>
      </c>
      <c r="H945" s="81" t="str">
        <f t="shared" si="99"/>
        <v>TCCN-PTE-PFL-PRG-CAJ-SME-VV2</v>
      </c>
      <c r="I945" s="138" t="str">
        <f>MID(H945,1,(LEN(H945)-VLOOKUP(K945,datos!$B$2:$C$12,2,0)))</f>
        <v>TCCN-PTE-PFL-PRG-CAJ-SME-VV2</v>
      </c>
      <c r="J945" s="138" t="s">
        <v>7946</v>
      </c>
      <c r="K945" s="140">
        <f>VLOOKUP(LEN(SUBSTITUTE(H945,"-","")),datos!$A$1:$B$12,2,0)</f>
        <v>7</v>
      </c>
      <c r="L945" s="138" t="s">
        <v>157</v>
      </c>
      <c r="M945" s="138" t="s">
        <v>0</v>
      </c>
    </row>
    <row r="946" spans="1:13" x14ac:dyDescent="0.35">
      <c r="A946" s="137" t="s">
        <v>487</v>
      </c>
      <c r="B946" s="137" t="s">
        <v>3809</v>
      </c>
      <c r="C946" s="137" t="s">
        <v>3983</v>
      </c>
      <c r="D946" s="137" t="s">
        <v>3984</v>
      </c>
      <c r="E946" s="137" t="s">
        <v>5028</v>
      </c>
      <c r="F946" s="137" t="s">
        <v>3831</v>
      </c>
      <c r="G946" s="137"/>
      <c r="H946" s="82" t="str">
        <f t="shared" si="99"/>
        <v>TCCN-PTE-PFL-PRG-CAJ-INS-</v>
      </c>
      <c r="I946" s="137" t="str">
        <f>MID(H946,1,(LEN(H946)-VLOOKUP(K946,datos!$B$2:$C$12,2,0)))</f>
        <v>TCCN-PTE-PFL-PRG-CAJ-INS</v>
      </c>
      <c r="J946" s="137" t="s">
        <v>4684</v>
      </c>
      <c r="K946" s="139">
        <f>VLOOKUP(LEN(SUBSTITUTE(H946,"-","")),datos!$A$1:$B$12,2,0)</f>
        <v>6</v>
      </c>
      <c r="L946" s="137"/>
      <c r="M946" s="137" t="s">
        <v>0</v>
      </c>
    </row>
    <row r="947" spans="1:13" x14ac:dyDescent="0.35">
      <c r="A947" s="138" t="s">
        <v>487</v>
      </c>
      <c r="B947" s="138" t="s">
        <v>3809</v>
      </c>
      <c r="C947" s="138" t="s">
        <v>3983</v>
      </c>
      <c r="D947" s="138" t="s">
        <v>3984</v>
      </c>
      <c r="E947" s="138" t="s">
        <v>5028</v>
      </c>
      <c r="F947" s="138" t="s">
        <v>3831</v>
      </c>
      <c r="G947" s="138" t="s">
        <v>5256</v>
      </c>
      <c r="H947" s="81" t="str">
        <f t="shared" si="99"/>
        <v>TCCN-PTE-PFL-PRG-CAJ-INS-MNV</v>
      </c>
      <c r="I947" s="138" t="str">
        <f>MID(H947,1,(LEN(H947)-VLOOKUP(K947,datos!$B$2:$C$12,2,0)))</f>
        <v>TCCN-PTE-PFL-PRG-CAJ-INS-MNV</v>
      </c>
      <c r="J947" s="138" t="s">
        <v>7609</v>
      </c>
      <c r="K947" s="140">
        <f>VLOOKUP(LEN(SUBSTITUTE(H947,"-","")),datos!$A$1:$B$12,2,0)</f>
        <v>7</v>
      </c>
      <c r="L947" s="138" t="s">
        <v>1653</v>
      </c>
      <c r="M947" s="138" t="s">
        <v>0</v>
      </c>
    </row>
    <row r="948" spans="1:13" x14ac:dyDescent="0.35">
      <c r="A948" s="137" t="s">
        <v>487</v>
      </c>
      <c r="B948" s="137" t="s">
        <v>3809</v>
      </c>
      <c r="C948" s="137" t="s">
        <v>3983</v>
      </c>
      <c r="D948" s="137" t="s">
        <v>3984</v>
      </c>
      <c r="E948" s="137" t="s">
        <v>5028</v>
      </c>
      <c r="F948" s="137" t="s">
        <v>3932</v>
      </c>
      <c r="G948" s="137"/>
      <c r="H948" s="82" t="str">
        <f t="shared" si="99"/>
        <v>TCCN-PTE-PFL-PRG-CAJ-UHD-</v>
      </c>
      <c r="I948" s="137" t="str">
        <f>MID(H948,1,(LEN(H948)-VLOOKUP(K948,datos!$B$2:$C$12,2,0)))</f>
        <v>TCCN-PTE-PFL-PRG-CAJ-UHD</v>
      </c>
      <c r="J948" s="137" t="s">
        <v>4685</v>
      </c>
      <c r="K948" s="139">
        <f>VLOOKUP(LEN(SUBSTITUTE(H948,"-","")),datos!$A$1:$B$12,2,0)</f>
        <v>6</v>
      </c>
      <c r="L948" s="137" t="s">
        <v>158</v>
      </c>
      <c r="M948" s="137" t="s">
        <v>0</v>
      </c>
    </row>
    <row r="949" spans="1:13" x14ac:dyDescent="0.35">
      <c r="A949" s="138" t="s">
        <v>487</v>
      </c>
      <c r="B949" s="138" t="s">
        <v>3809</v>
      </c>
      <c r="C949" s="138" t="s">
        <v>3983</v>
      </c>
      <c r="D949" s="138" t="s">
        <v>3984</v>
      </c>
      <c r="E949" s="138" t="s">
        <v>5028</v>
      </c>
      <c r="F949" s="138" t="s">
        <v>3932</v>
      </c>
      <c r="G949" s="138" t="s">
        <v>3818</v>
      </c>
      <c r="H949" s="81" t="str">
        <f t="shared" si="99"/>
        <v>TCCN-PTE-PFL-PRG-CAJ-UHD-BBA</v>
      </c>
      <c r="I949" s="138" t="str">
        <f>MID(H949,1,(LEN(H949)-VLOOKUP(K949,datos!$B$2:$C$12,2,0)))</f>
        <v>TCCN-PTE-PFL-PRG-CAJ-UHD-BBA</v>
      </c>
      <c r="J949" s="138" t="s">
        <v>6500</v>
      </c>
      <c r="K949" s="140">
        <f>VLOOKUP(LEN(SUBSTITUTE(H949,"-","")),datos!$A$1:$B$12,2,0)</f>
        <v>7</v>
      </c>
      <c r="L949" s="138"/>
      <c r="M949" s="138" t="s">
        <v>0</v>
      </c>
    </row>
    <row r="950" spans="1:13" x14ac:dyDescent="0.35">
      <c r="A950" s="138" t="s">
        <v>487</v>
      </c>
      <c r="B950" s="138" t="s">
        <v>3809</v>
      </c>
      <c r="C950" s="138" t="s">
        <v>3983</v>
      </c>
      <c r="D950" s="138" t="s">
        <v>3984</v>
      </c>
      <c r="E950" s="138" t="s">
        <v>5028</v>
      </c>
      <c r="F950" s="138" t="s">
        <v>3932</v>
      </c>
      <c r="G950" s="138" t="s">
        <v>4095</v>
      </c>
      <c r="H950" s="81" t="str">
        <f t="shared" si="99"/>
        <v>TCCN-PTE-PFL-PRG-CAJ-UHD-ACU</v>
      </c>
      <c r="I950" s="138" t="str">
        <f>MID(H950,1,(LEN(H950)-VLOOKUP(K950,datos!$B$2:$C$12,2,0)))</f>
        <v>TCCN-PTE-PFL-PRG-CAJ-UHD-ACU</v>
      </c>
      <c r="J950" s="138" t="s">
        <v>6501</v>
      </c>
      <c r="K950" s="140">
        <f>VLOOKUP(LEN(SUBSTITUTE(H950,"-","")),datos!$A$1:$B$12,2,0)</f>
        <v>7</v>
      </c>
      <c r="L950" s="138"/>
      <c r="M950" s="138" t="s">
        <v>0</v>
      </c>
    </row>
    <row r="951" spans="1:13" x14ac:dyDescent="0.35">
      <c r="A951" s="138" t="s">
        <v>487</v>
      </c>
      <c r="B951" s="138" t="s">
        <v>3809</v>
      </c>
      <c r="C951" s="138" t="s">
        <v>3983</v>
      </c>
      <c r="D951" s="138" t="s">
        <v>3984</v>
      </c>
      <c r="E951" s="138" t="s">
        <v>5028</v>
      </c>
      <c r="F951" s="138" t="s">
        <v>3932</v>
      </c>
      <c r="G951" s="138" t="s">
        <v>3853</v>
      </c>
      <c r="H951" s="81" t="str">
        <f t="shared" si="99"/>
        <v>TCCN-PTE-PFL-PRG-CAJ-UHD-EST</v>
      </c>
      <c r="I951" s="138" t="str">
        <f>MID(H951,1,(LEN(H951)-VLOOKUP(K951,datos!$B$2:$C$12,2,0)))</f>
        <v>TCCN-PTE-PFL-PRG-CAJ-UHD-EST</v>
      </c>
      <c r="J951" s="138" t="s">
        <v>6502</v>
      </c>
      <c r="K951" s="140">
        <f>VLOOKUP(LEN(SUBSTITUTE(H951,"-","")),datos!$A$1:$B$12,2,0)</f>
        <v>7</v>
      </c>
      <c r="L951" s="138"/>
      <c r="M951" s="138" t="s">
        <v>0</v>
      </c>
    </row>
    <row r="952" spans="1:13" x14ac:dyDescent="0.35">
      <c r="A952" s="138" t="s">
        <v>487</v>
      </c>
      <c r="B952" s="138" t="s">
        <v>3809</v>
      </c>
      <c r="C952" s="138" t="s">
        <v>3983</v>
      </c>
      <c r="D952" s="138" t="s">
        <v>3984</v>
      </c>
      <c r="E952" s="138" t="s">
        <v>5028</v>
      </c>
      <c r="F952" s="138" t="s">
        <v>3932</v>
      </c>
      <c r="G952" s="138" t="s">
        <v>3819</v>
      </c>
      <c r="H952" s="81" t="str">
        <f t="shared" si="99"/>
        <v>TCCN-PTE-PFL-PRG-CAJ-UHD-MOE</v>
      </c>
      <c r="I952" s="138" t="str">
        <f>MID(H952,1,(LEN(H952)-VLOOKUP(K952,datos!$B$2:$C$12,2,0)))</f>
        <v>TCCN-PTE-PFL-PRG-CAJ-UHD-MOE</v>
      </c>
      <c r="J952" s="138" t="s">
        <v>6722</v>
      </c>
      <c r="K952" s="140">
        <f>VLOOKUP(LEN(SUBSTITUTE(H952,"-","")),datos!$A$1:$B$12,2,0)</f>
        <v>7</v>
      </c>
      <c r="L952" s="138" t="s">
        <v>159</v>
      </c>
      <c r="M952" s="138" t="s">
        <v>0</v>
      </c>
    </row>
    <row r="953" spans="1:13" x14ac:dyDescent="0.35">
      <c r="A953" s="138" t="s">
        <v>487</v>
      </c>
      <c r="B953" s="138" t="s">
        <v>3809</v>
      </c>
      <c r="C953" s="138" t="s">
        <v>3983</v>
      </c>
      <c r="D953" s="138" t="s">
        <v>3984</v>
      </c>
      <c r="E953" s="138" t="s">
        <v>5028</v>
      </c>
      <c r="F953" s="138" t="s">
        <v>3932</v>
      </c>
      <c r="G953" s="138" t="s">
        <v>3870</v>
      </c>
      <c r="H953" s="81" t="str">
        <f t="shared" si="99"/>
        <v>TCCN-PTE-PFL-PRG-CAJ-UHD-BTN</v>
      </c>
      <c r="I953" s="138" t="str">
        <f>MID(H953,1,(LEN(H953)-VLOOKUP(K953,datos!$B$2:$C$12,2,0)))</f>
        <v>TCCN-PTE-PFL-PRG-CAJ-UHD-BTN</v>
      </c>
      <c r="J953" s="138" t="s">
        <v>6503</v>
      </c>
      <c r="K953" s="140">
        <f>VLOOKUP(LEN(SUBSTITUTE(H953,"-","")),datos!$A$1:$B$12,2,0)</f>
        <v>7</v>
      </c>
      <c r="L953" s="138"/>
      <c r="M953" s="138" t="s">
        <v>0</v>
      </c>
    </row>
    <row r="954" spans="1:13" x14ac:dyDescent="0.35">
      <c r="A954" s="138" t="s">
        <v>487</v>
      </c>
      <c r="B954" s="138" t="s">
        <v>3809</v>
      </c>
      <c r="C954" s="138" t="s">
        <v>3983</v>
      </c>
      <c r="D954" s="138" t="s">
        <v>3984</v>
      </c>
      <c r="E954" s="138" t="s">
        <v>5028</v>
      </c>
      <c r="F954" s="138" t="s">
        <v>3932</v>
      </c>
      <c r="G954" s="138" t="s">
        <v>4016</v>
      </c>
      <c r="H954" s="81" t="str">
        <f t="shared" si="99"/>
        <v>TCCN-PTE-PFL-PRG-CAJ-UHD-PAN</v>
      </c>
      <c r="I954" s="138" t="str">
        <f>MID(H954,1,(LEN(H954)-VLOOKUP(K954,datos!$B$2:$C$12,2,0)))</f>
        <v>TCCN-PTE-PFL-PRG-CAJ-UHD-PAN</v>
      </c>
      <c r="J954" s="138" t="s">
        <v>6504</v>
      </c>
      <c r="K954" s="140">
        <f>VLOOKUP(LEN(SUBSTITUTE(H954,"-","")),datos!$A$1:$B$12,2,0)</f>
        <v>7</v>
      </c>
      <c r="L954" s="138"/>
      <c r="M954" s="138" t="s">
        <v>0</v>
      </c>
    </row>
    <row r="955" spans="1:13" customFormat="1" ht="14.5" x14ac:dyDescent="0.35">
      <c r="A955" s="129" t="s">
        <v>487</v>
      </c>
      <c r="B955" s="129" t="s">
        <v>3809</v>
      </c>
      <c r="C955" s="129" t="s">
        <v>3983</v>
      </c>
      <c r="D955" s="129" t="s">
        <v>3984</v>
      </c>
      <c r="E955" s="129" t="s">
        <v>3947</v>
      </c>
      <c r="F955" s="129"/>
      <c r="G955" s="129"/>
      <c r="H955" s="83" t="str">
        <f t="shared" si="99"/>
        <v>TCCN-PTE-PFL-PRG-B01--</v>
      </c>
      <c r="I955" s="129" t="str">
        <f>MID(H955,1,(LEN(H955)-VLOOKUP(K955,datos!$B$2:$C$12,2,0)))</f>
        <v>TCCN-PTE-PFL-PRG-B01</v>
      </c>
      <c r="J955" s="129" t="s">
        <v>7103</v>
      </c>
      <c r="K955" s="130">
        <f>VLOOKUP(LEN(SUBSTITUTE(H955,"-","")),datos!$A$1:$B$12,2,0)</f>
        <v>5</v>
      </c>
      <c r="L955" s="129" t="s">
        <v>160</v>
      </c>
      <c r="M955" s="129" t="s">
        <v>0</v>
      </c>
    </row>
    <row r="956" spans="1:13" x14ac:dyDescent="0.35">
      <c r="A956" s="137" t="s">
        <v>487</v>
      </c>
      <c r="B956" s="137" t="s">
        <v>3809</v>
      </c>
      <c r="C956" s="137" t="s">
        <v>3983</v>
      </c>
      <c r="D956" s="137" t="s">
        <v>3984</v>
      </c>
      <c r="E956" s="137" t="s">
        <v>3947</v>
      </c>
      <c r="F956" s="137" t="s">
        <v>5193</v>
      </c>
      <c r="G956" s="137"/>
      <c r="H956" s="82" t="str">
        <f t="shared" ref="H956:H1013" si="100">CONCATENATE(A956,"-",B956,"-",C956,"-",D956,"-",E956,"-",F956,"-",G956)</f>
        <v>TCCN-PTE-PFL-PRG-B01-COM-</v>
      </c>
      <c r="I956" s="137" t="str">
        <f>MID(H956,1,(LEN(H956)-VLOOKUP(K956,datos!$B$2:$C$12,2,0)))</f>
        <v>TCCN-PTE-PFL-PRG-B01-COM</v>
      </c>
      <c r="J956" s="137" t="s">
        <v>5423</v>
      </c>
      <c r="K956" s="139">
        <f>VLOOKUP(LEN(SUBSTITUTE(H956,"-","")),datos!$A$1:$B$12,2,0)</f>
        <v>6</v>
      </c>
      <c r="L956" s="137"/>
      <c r="M956" s="137" t="s">
        <v>0</v>
      </c>
    </row>
    <row r="957" spans="1:13" x14ac:dyDescent="0.35">
      <c r="A957" s="137" t="s">
        <v>487</v>
      </c>
      <c r="B957" s="137" t="s">
        <v>3809</v>
      </c>
      <c r="C957" s="137" t="s">
        <v>3983</v>
      </c>
      <c r="D957" s="137" t="s">
        <v>3984</v>
      </c>
      <c r="E957" s="137" t="s">
        <v>3947</v>
      </c>
      <c r="F957" s="137" t="s">
        <v>5106</v>
      </c>
      <c r="G957" s="137"/>
      <c r="H957" s="82" t="str">
        <f t="shared" si="100"/>
        <v>TCCN-PTE-PFL-PRG-B01-PHU-</v>
      </c>
      <c r="I957" s="137" t="str">
        <f>MID(H957,1,(LEN(H957)-VLOOKUP(K957,datos!$B$2:$C$12,2,0)))</f>
        <v>TCCN-PTE-PFL-PRG-B01-PHU</v>
      </c>
      <c r="J957" s="137" t="s">
        <v>5424</v>
      </c>
      <c r="K957" s="139">
        <f>VLOOKUP(LEN(SUBSTITUTE(H957,"-","")),datos!$A$1:$B$12,2,0)</f>
        <v>6</v>
      </c>
      <c r="L957" s="137"/>
      <c r="M957" s="137" t="s">
        <v>0</v>
      </c>
    </row>
    <row r="958" spans="1:13" x14ac:dyDescent="0.35">
      <c r="A958" s="137" t="s">
        <v>487</v>
      </c>
      <c r="B958" s="137" t="s">
        <v>3809</v>
      </c>
      <c r="C958" s="137" t="s">
        <v>3983</v>
      </c>
      <c r="D958" s="137" t="s">
        <v>3984</v>
      </c>
      <c r="E958" s="137" t="s">
        <v>3947</v>
      </c>
      <c r="F958" s="137" t="s">
        <v>4073</v>
      </c>
      <c r="G958" s="137"/>
      <c r="H958" s="82" t="str">
        <f t="shared" si="100"/>
        <v>TCCN-PTE-PFL-PRG-B01-PYV-</v>
      </c>
      <c r="I958" s="137" t="str">
        <f>MID(H958,1,(LEN(H958)-VLOOKUP(K958,datos!$B$2:$C$12,2,0)))</f>
        <v>TCCN-PTE-PFL-PRG-B01-PYV</v>
      </c>
      <c r="J958" s="137" t="s">
        <v>5425</v>
      </c>
      <c r="K958" s="139">
        <f>VLOOKUP(LEN(SUBSTITUTE(H958,"-","")),datos!$A$1:$B$12,2,0)</f>
        <v>6</v>
      </c>
      <c r="L958" s="137"/>
      <c r="M958" s="137" t="s">
        <v>0</v>
      </c>
    </row>
    <row r="959" spans="1:13" x14ac:dyDescent="0.35">
      <c r="A959" s="137" t="s">
        <v>487</v>
      </c>
      <c r="B959" s="137" t="s">
        <v>3809</v>
      </c>
      <c r="C959" s="137" t="s">
        <v>3983</v>
      </c>
      <c r="D959" s="137" t="s">
        <v>3984</v>
      </c>
      <c r="E959" s="137" t="s">
        <v>3947</v>
      </c>
      <c r="F959" s="137" t="s">
        <v>3847</v>
      </c>
      <c r="G959" s="137"/>
      <c r="H959" s="82" t="str">
        <f t="shared" si="100"/>
        <v>TCCN-PTE-PFL-PRG-B01-SMO-</v>
      </c>
      <c r="I959" s="137" t="str">
        <f>MID(H959,1,(LEN(H959)-VLOOKUP(K959,datos!$B$2:$C$12,2,0)))</f>
        <v>TCCN-PTE-PFL-PRG-B01-SMO</v>
      </c>
      <c r="J959" s="137" t="s">
        <v>5426</v>
      </c>
      <c r="K959" s="139">
        <f>VLOOKUP(LEN(SUBSTITUTE(H959,"-","")),datos!$A$1:$B$12,2,0)</f>
        <v>6</v>
      </c>
      <c r="L959" s="137"/>
      <c r="M959" s="137" t="s">
        <v>0</v>
      </c>
    </row>
    <row r="960" spans="1:13" x14ac:dyDescent="0.35">
      <c r="A960" s="138" t="s">
        <v>487</v>
      </c>
      <c r="B960" s="138" t="s">
        <v>3809</v>
      </c>
      <c r="C960" s="138" t="s">
        <v>3983</v>
      </c>
      <c r="D960" s="138" t="s">
        <v>3984</v>
      </c>
      <c r="E960" s="138" t="s">
        <v>3947</v>
      </c>
      <c r="F960" s="138" t="s">
        <v>3847</v>
      </c>
      <c r="G960" s="138" t="s">
        <v>3819</v>
      </c>
      <c r="H960" s="81" t="str">
        <f t="shared" si="100"/>
        <v>TCCN-PTE-PFL-PRG-B01-SMO-MOE</v>
      </c>
      <c r="I960" s="138" t="str">
        <f>MID(H960,1,(LEN(H960)-VLOOKUP(K960,datos!$B$2:$C$12,2,0)))</f>
        <v>TCCN-PTE-PFL-PRG-B01-SMO-MOE</v>
      </c>
      <c r="J960" s="138" t="s">
        <v>5427</v>
      </c>
      <c r="K960" s="140">
        <f>VLOOKUP(LEN(SUBSTITUTE(H960,"-","")),datos!$A$1:$B$12,2,0)</f>
        <v>7</v>
      </c>
      <c r="L960" s="138"/>
      <c r="M960" s="138" t="s">
        <v>0</v>
      </c>
    </row>
    <row r="961" spans="1:13" x14ac:dyDescent="0.35">
      <c r="A961" s="137" t="s">
        <v>487</v>
      </c>
      <c r="B961" s="137" t="s">
        <v>3809</v>
      </c>
      <c r="C961" s="137" t="s">
        <v>3983</v>
      </c>
      <c r="D961" s="137" t="s">
        <v>3984</v>
      </c>
      <c r="E961" s="137" t="s">
        <v>3947</v>
      </c>
      <c r="F961" s="137" t="s">
        <v>3831</v>
      </c>
      <c r="G961" s="137"/>
      <c r="H961" s="82" t="str">
        <f t="shared" si="100"/>
        <v>TCCN-PTE-PFL-PRG-B01-INS-</v>
      </c>
      <c r="I961" s="137" t="str">
        <f>MID(H961,1,(LEN(H961)-VLOOKUP(K961,datos!$B$2:$C$12,2,0)))</f>
        <v>TCCN-PTE-PFL-PRG-B01-INS</v>
      </c>
      <c r="J961" s="137" t="s">
        <v>5681</v>
      </c>
      <c r="K961" s="139">
        <f>VLOOKUP(LEN(SUBSTITUTE(H961,"-","")),datos!$A$1:$B$12,2,0)</f>
        <v>6</v>
      </c>
      <c r="L961" s="137"/>
      <c r="M961" s="137" t="s">
        <v>0</v>
      </c>
    </row>
    <row r="962" spans="1:13" x14ac:dyDescent="0.35">
      <c r="A962" s="138" t="s">
        <v>487</v>
      </c>
      <c r="B962" s="138" t="s">
        <v>3809</v>
      </c>
      <c r="C962" s="138" t="s">
        <v>3983</v>
      </c>
      <c r="D962" s="138" t="s">
        <v>3984</v>
      </c>
      <c r="E962" s="138" t="s">
        <v>3947</v>
      </c>
      <c r="F962" s="138" t="s">
        <v>3831</v>
      </c>
      <c r="G962" s="138" t="s">
        <v>5256</v>
      </c>
      <c r="H962" s="81" t="str">
        <f t="shared" si="100"/>
        <v>TCCN-PTE-PFL-PRG-B01-INS-MNV</v>
      </c>
      <c r="I962" s="138" t="str">
        <f>MID(H962,1,(LEN(H962)-VLOOKUP(K962,datos!$B$2:$C$12,2,0)))</f>
        <v>TCCN-PTE-PFL-PRG-B01-INS-MNV</v>
      </c>
      <c r="J962" s="138" t="s">
        <v>7593</v>
      </c>
      <c r="K962" s="140">
        <f>VLOOKUP(LEN(SUBSTITUTE(H962,"-","")),datos!$A$1:$B$12,2,0)</f>
        <v>7</v>
      </c>
      <c r="L962" s="138" t="s">
        <v>7594</v>
      </c>
      <c r="M962" s="138" t="s">
        <v>0</v>
      </c>
    </row>
    <row r="963" spans="1:13" x14ac:dyDescent="0.35">
      <c r="A963" s="137" t="s">
        <v>487</v>
      </c>
      <c r="B963" s="137" t="s">
        <v>3809</v>
      </c>
      <c r="C963" s="137" t="s">
        <v>3983</v>
      </c>
      <c r="D963" s="137" t="s">
        <v>3984</v>
      </c>
      <c r="E963" s="137" t="s">
        <v>3947</v>
      </c>
      <c r="F963" s="137" t="s">
        <v>3869</v>
      </c>
      <c r="G963" s="137"/>
      <c r="H963" s="82" t="str">
        <f t="shared" si="100"/>
        <v>TCCN-PTE-PFL-PRG-B01-SCE-</v>
      </c>
      <c r="I963" s="137" t="str">
        <f>MID(H963,1,(LEN(H963)-VLOOKUP(K963,datos!$B$2:$C$12,2,0)))</f>
        <v>TCCN-PTE-PFL-PRG-B01-SCE</v>
      </c>
      <c r="J963" s="137" t="s">
        <v>5428</v>
      </c>
      <c r="K963" s="139">
        <f>VLOOKUP(LEN(SUBSTITUTE(H963,"-","")),datos!$A$1:$B$12,2,0)</f>
        <v>6</v>
      </c>
      <c r="L963" s="137"/>
      <c r="M963" s="137" t="s">
        <v>0</v>
      </c>
    </row>
    <row r="964" spans="1:13" x14ac:dyDescent="0.35">
      <c r="A964" s="138" t="s">
        <v>487</v>
      </c>
      <c r="B964" s="138" t="s">
        <v>3809</v>
      </c>
      <c r="C964" s="138" t="s">
        <v>3983</v>
      </c>
      <c r="D964" s="138" t="s">
        <v>3984</v>
      </c>
      <c r="E964" s="138" t="s">
        <v>3947</v>
      </c>
      <c r="F964" s="138" t="s">
        <v>3869</v>
      </c>
      <c r="G964" s="138" t="s">
        <v>3870</v>
      </c>
      <c r="H964" s="81" t="str">
        <f t="shared" si="100"/>
        <v>TCCN-PTE-PFL-PRG-B01-SCE-BTN</v>
      </c>
      <c r="I964" s="138" t="str">
        <f>MID(H964,1,(LEN(H964)-VLOOKUP(K964,datos!$B$2:$C$12,2,0)))</f>
        <v>TCCN-PTE-PFL-PRG-B01-SCE-BTN</v>
      </c>
      <c r="J964" s="138" t="s">
        <v>5682</v>
      </c>
      <c r="K964" s="140">
        <f>VLOOKUP(LEN(SUBSTITUTE(H964,"-","")),datos!$A$1:$B$12,2,0)</f>
        <v>7</v>
      </c>
      <c r="L964" s="138"/>
      <c r="M964" s="138" t="s">
        <v>0</v>
      </c>
    </row>
    <row r="965" spans="1:13" customFormat="1" ht="14.5" x14ac:dyDescent="0.35">
      <c r="A965" s="129" t="s">
        <v>487</v>
      </c>
      <c r="B965" s="129" t="s">
        <v>3809</v>
      </c>
      <c r="C965" s="129" t="s">
        <v>3983</v>
      </c>
      <c r="D965" s="129" t="s">
        <v>3984</v>
      </c>
      <c r="E965" s="129" t="s">
        <v>4018</v>
      </c>
      <c r="F965" s="129"/>
      <c r="G965" s="129"/>
      <c r="H965" s="83" t="str">
        <f t="shared" si="100"/>
        <v>TCCN-PTE-PFL-PRG-TCL--</v>
      </c>
      <c r="I965" s="129" t="str">
        <f>MID(H965,1,(LEN(H965)-VLOOKUP(K965,datos!$B$2:$C$12,2,0)))</f>
        <v>TCCN-PTE-PFL-PRG-TCL</v>
      </c>
      <c r="J965" s="129" t="s">
        <v>8053</v>
      </c>
      <c r="K965" s="130">
        <f>VLOOKUP(LEN(SUBSTITUTE(H965,"-","")),datos!$A$1:$B$12,2,0)</f>
        <v>5</v>
      </c>
      <c r="L965" s="129" t="s">
        <v>162</v>
      </c>
      <c r="M965" s="129" t="s">
        <v>0</v>
      </c>
    </row>
    <row r="966" spans="1:13" customFormat="1" ht="14.5" x14ac:dyDescent="0.35">
      <c r="A966" s="129" t="s">
        <v>487</v>
      </c>
      <c r="B966" s="129" t="s">
        <v>3809</v>
      </c>
      <c r="C966" s="129" t="s">
        <v>3983</v>
      </c>
      <c r="D966" s="129" t="s">
        <v>3984</v>
      </c>
      <c r="E966" s="129" t="s">
        <v>3988</v>
      </c>
      <c r="F966" s="129"/>
      <c r="G966" s="129"/>
      <c r="H966" s="83" t="str">
        <f t="shared" si="100"/>
        <v>TCCN-PTE-PFL-PRG-CMU--</v>
      </c>
      <c r="I966" s="129" t="str">
        <f>MID(H966,1,(LEN(H966)-VLOOKUP(K966,datos!$B$2:$C$12,2,0)))</f>
        <v>TCCN-PTE-PFL-PRG-CMU</v>
      </c>
      <c r="J966" s="129" t="s">
        <v>4682</v>
      </c>
      <c r="K966" s="130">
        <f>VLOOKUP(LEN(SUBSTITUTE(H966,"-","")),datos!$A$1:$B$12,2,0)</f>
        <v>5</v>
      </c>
      <c r="L966" s="129" t="s">
        <v>163</v>
      </c>
      <c r="M966" s="129" t="s">
        <v>0</v>
      </c>
    </row>
    <row r="967" spans="1:13" x14ac:dyDescent="0.35">
      <c r="A967" s="137" t="s">
        <v>487</v>
      </c>
      <c r="B967" s="137" t="s">
        <v>3809</v>
      </c>
      <c r="C967" s="137" t="s">
        <v>3983</v>
      </c>
      <c r="D967" s="137" t="s">
        <v>3984</v>
      </c>
      <c r="E967" s="137" t="s">
        <v>3988</v>
      </c>
      <c r="F967" s="137" t="s">
        <v>3821</v>
      </c>
      <c r="G967" s="137"/>
      <c r="H967" s="82" t="str">
        <f t="shared" si="100"/>
        <v>TCCN-PTE-PFL-PRG-CMU-SME-</v>
      </c>
      <c r="I967" s="137" t="str">
        <f>MID(H967,1,(LEN(H967)-VLOOKUP(K967,datos!$B$2:$C$12,2,0)))</f>
        <v>TCCN-PTE-PFL-PRG-CMU-SME</v>
      </c>
      <c r="J967" s="137" t="s">
        <v>5435</v>
      </c>
      <c r="K967" s="139">
        <f>VLOOKUP(LEN(SUBSTITUTE(H967,"-","")),datos!$A$1:$B$12,2,0)</f>
        <v>6</v>
      </c>
      <c r="L967" s="137"/>
      <c r="M967" s="137" t="s">
        <v>0</v>
      </c>
    </row>
    <row r="968" spans="1:13" x14ac:dyDescent="0.35">
      <c r="A968" s="138" t="s">
        <v>487</v>
      </c>
      <c r="B968" s="138" t="s">
        <v>3809</v>
      </c>
      <c r="C968" s="138" t="s">
        <v>3983</v>
      </c>
      <c r="D968" s="138" t="s">
        <v>3984</v>
      </c>
      <c r="E968" s="138" t="s">
        <v>3988</v>
      </c>
      <c r="F968" s="138" t="s">
        <v>3821</v>
      </c>
      <c r="G968" s="138" t="s">
        <v>3818</v>
      </c>
      <c r="H968" s="81" t="str">
        <f t="shared" si="100"/>
        <v>TCCN-PTE-PFL-PRG-CMU-SME-BBA</v>
      </c>
      <c r="I968" s="138" t="str">
        <f>MID(H968,1,(LEN(H968)-VLOOKUP(K968,datos!$B$2:$C$12,2,0)))</f>
        <v>TCCN-PTE-PFL-PRG-CMU-SME-BBA</v>
      </c>
      <c r="J968" s="138" t="s">
        <v>5429</v>
      </c>
      <c r="K968" s="140">
        <f>VLOOKUP(LEN(SUBSTITUTE(H968,"-","")),datos!$A$1:$B$12,2,0)</f>
        <v>7</v>
      </c>
      <c r="L968" s="138" t="s">
        <v>165</v>
      </c>
      <c r="M968" s="138" t="s">
        <v>0</v>
      </c>
    </row>
    <row r="969" spans="1:13" x14ac:dyDescent="0.35">
      <c r="A969" s="138" t="s">
        <v>487</v>
      </c>
      <c r="B969" s="138" t="s">
        <v>3809</v>
      </c>
      <c r="C969" s="138" t="s">
        <v>3983</v>
      </c>
      <c r="D969" s="138" t="s">
        <v>3984</v>
      </c>
      <c r="E969" s="138" t="s">
        <v>3988</v>
      </c>
      <c r="F969" s="138" t="s">
        <v>3821</v>
      </c>
      <c r="G969" s="138" t="s">
        <v>3989</v>
      </c>
      <c r="H969" s="81" t="str">
        <f t="shared" si="100"/>
        <v>TCCN-PTE-PFL-PRG-CMU-SME-MTD</v>
      </c>
      <c r="I969" s="138" t="str">
        <f>MID(H969,1,(LEN(H969)-VLOOKUP(K969,datos!$B$2:$C$12,2,0)))</f>
        <v>TCCN-PTE-PFL-PRG-CMU-SME-MTD</v>
      </c>
      <c r="J969" s="138" t="s">
        <v>5430</v>
      </c>
      <c r="K969" s="140">
        <f>VLOOKUP(LEN(SUBSTITUTE(H969,"-","")),datos!$A$1:$B$12,2,0)</f>
        <v>7</v>
      </c>
      <c r="L969" s="138" t="s">
        <v>167</v>
      </c>
      <c r="M969" s="138" t="s">
        <v>0</v>
      </c>
    </row>
    <row r="970" spans="1:13" x14ac:dyDescent="0.35">
      <c r="A970" s="137" t="s">
        <v>487</v>
      </c>
      <c r="B970" s="137" t="s">
        <v>3809</v>
      </c>
      <c r="C970" s="137" t="s">
        <v>3983</v>
      </c>
      <c r="D970" s="137" t="s">
        <v>3984</v>
      </c>
      <c r="E970" s="137" t="s">
        <v>3988</v>
      </c>
      <c r="F970" s="137" t="s">
        <v>3847</v>
      </c>
      <c r="G970" s="137"/>
      <c r="H970" s="82" t="str">
        <f t="shared" si="100"/>
        <v>TCCN-PTE-PFL-PRG-CMU-SMO-</v>
      </c>
      <c r="I970" s="137" t="str">
        <f>MID(H970,1,(LEN(H970)-VLOOKUP(K970,datos!$B$2:$C$12,2,0)))</f>
        <v>TCCN-PTE-PFL-PRG-CMU-SMO</v>
      </c>
      <c r="J970" s="137" t="s">
        <v>5431</v>
      </c>
      <c r="K970" s="139">
        <f>VLOOKUP(LEN(SUBSTITUTE(H970,"-","")),datos!$A$1:$B$12,2,0)</f>
        <v>6</v>
      </c>
      <c r="L970" s="137"/>
      <c r="M970" s="137" t="s">
        <v>0</v>
      </c>
    </row>
    <row r="971" spans="1:13" x14ac:dyDescent="0.35">
      <c r="A971" s="138" t="s">
        <v>487</v>
      </c>
      <c r="B971" s="138" t="s">
        <v>3809</v>
      </c>
      <c r="C971" s="138" t="s">
        <v>3983</v>
      </c>
      <c r="D971" s="138" t="s">
        <v>3984</v>
      </c>
      <c r="E971" s="138" t="s">
        <v>3988</v>
      </c>
      <c r="F971" s="138" t="s">
        <v>3847</v>
      </c>
      <c r="G971" s="138" t="s">
        <v>3839</v>
      </c>
      <c r="H971" s="81" t="str">
        <f t="shared" si="100"/>
        <v>TCCN-PTE-PFL-PRG-CMU-SMO-MO1</v>
      </c>
      <c r="I971" s="138" t="str">
        <f>MID(H971,1,(LEN(H971)-VLOOKUP(K971,datos!$B$2:$C$12,2,0)))</f>
        <v>TCCN-PTE-PFL-PRG-CMU-SMO-MO1</v>
      </c>
      <c r="J971" s="138" t="s">
        <v>5432</v>
      </c>
      <c r="K971" s="140">
        <f>VLOOKUP(LEN(SUBSTITUTE(H971,"-","")),datos!$A$1:$B$12,2,0)</f>
        <v>7</v>
      </c>
      <c r="L971" s="138" t="s">
        <v>164</v>
      </c>
      <c r="M971" s="138" t="s">
        <v>0</v>
      </c>
    </row>
    <row r="972" spans="1:13" x14ac:dyDescent="0.35">
      <c r="A972" s="138" t="s">
        <v>487</v>
      </c>
      <c r="B972" s="138" t="s">
        <v>3809</v>
      </c>
      <c r="C972" s="138" t="s">
        <v>3983</v>
      </c>
      <c r="D972" s="138" t="s">
        <v>3984</v>
      </c>
      <c r="E972" s="138" t="s">
        <v>3988</v>
      </c>
      <c r="F972" s="138" t="s">
        <v>3847</v>
      </c>
      <c r="G972" s="138" t="s">
        <v>3840</v>
      </c>
      <c r="H972" s="81" t="str">
        <f t="shared" si="100"/>
        <v>TCCN-PTE-PFL-PRG-CMU-SMO-MO2</v>
      </c>
      <c r="I972" s="138" t="str">
        <f>MID(H972,1,(LEN(H972)-VLOOKUP(K972,datos!$B$2:$C$12,2,0)))</f>
        <v>TCCN-PTE-PFL-PRG-CMU-SMO-MO2</v>
      </c>
      <c r="J972" s="138" t="s">
        <v>5432</v>
      </c>
      <c r="K972" s="140">
        <f>VLOOKUP(LEN(SUBSTITUTE(H972,"-","")),datos!$A$1:$B$12,2,0)</f>
        <v>7</v>
      </c>
      <c r="L972" s="138" t="s">
        <v>168</v>
      </c>
      <c r="M972" s="138" t="s">
        <v>0</v>
      </c>
    </row>
    <row r="973" spans="1:13" x14ac:dyDescent="0.35">
      <c r="A973" s="138" t="s">
        <v>487</v>
      </c>
      <c r="B973" s="138" t="s">
        <v>3809</v>
      </c>
      <c r="C973" s="138" t="s">
        <v>3983</v>
      </c>
      <c r="D973" s="138" t="s">
        <v>3984</v>
      </c>
      <c r="E973" s="138" t="s">
        <v>3988</v>
      </c>
      <c r="F973" s="138" t="s">
        <v>3847</v>
      </c>
      <c r="G973" s="138" t="s">
        <v>3841</v>
      </c>
      <c r="H973" s="81" t="str">
        <f t="shared" si="100"/>
        <v>TCCN-PTE-PFL-PRG-CMU-SMO-MO3</v>
      </c>
      <c r="I973" s="138" t="str">
        <f>MID(H973,1,(LEN(H973)-VLOOKUP(K973,datos!$B$2:$C$12,2,0)))</f>
        <v>TCCN-PTE-PFL-PRG-CMU-SMO-MO3</v>
      </c>
      <c r="J973" s="138" t="s">
        <v>5433</v>
      </c>
      <c r="K973" s="140">
        <f>VLOOKUP(LEN(SUBSTITUTE(H973,"-","")),datos!$A$1:$B$12,2,0)</f>
        <v>7</v>
      </c>
      <c r="L973" s="138" t="s">
        <v>166</v>
      </c>
      <c r="M973" s="138" t="s">
        <v>0</v>
      </c>
    </row>
    <row r="974" spans="1:13" x14ac:dyDescent="0.35">
      <c r="A974" s="137" t="s">
        <v>487</v>
      </c>
      <c r="B974" s="137" t="s">
        <v>3809</v>
      </c>
      <c r="C974" s="137" t="s">
        <v>3983</v>
      </c>
      <c r="D974" s="137" t="s">
        <v>3984</v>
      </c>
      <c r="E974" s="137" t="s">
        <v>3988</v>
      </c>
      <c r="F974" s="137" t="s">
        <v>3869</v>
      </c>
      <c r="G974" s="137"/>
      <c r="H974" s="82" t="str">
        <f t="shared" si="100"/>
        <v>TCCN-PTE-PFL-PRG-CMU-SCE-</v>
      </c>
      <c r="I974" s="137" t="str">
        <f>MID(H974,1,(LEN(H974)-VLOOKUP(K974,datos!$B$2:$C$12,2,0)))</f>
        <v>TCCN-PTE-PFL-PRG-CMU-SCE</v>
      </c>
      <c r="J974" s="137" t="s">
        <v>5434</v>
      </c>
      <c r="K974" s="139">
        <f>VLOOKUP(LEN(SUBSTITUTE(H974,"-","")),datos!$A$1:$B$12,2,0)</f>
        <v>6</v>
      </c>
      <c r="L974" s="137"/>
      <c r="M974" s="137" t="s">
        <v>0</v>
      </c>
    </row>
    <row r="975" spans="1:13" customFormat="1" ht="14.5" x14ac:dyDescent="0.35">
      <c r="A975" s="129" t="s">
        <v>487</v>
      </c>
      <c r="B975" s="129" t="s">
        <v>3809</v>
      </c>
      <c r="C975" s="129" t="s">
        <v>3983</v>
      </c>
      <c r="D975" s="129" t="s">
        <v>3984</v>
      </c>
      <c r="E975" s="129" t="s">
        <v>3880</v>
      </c>
      <c r="F975" s="129"/>
      <c r="G975" s="129"/>
      <c r="H975" s="83" t="str">
        <f t="shared" si="100"/>
        <v>TCCN-PTE-PFL-PRG-DLO--</v>
      </c>
      <c r="I975" s="129" t="str">
        <f>MID(H975,1,(LEN(H975)-VLOOKUP(K975,datos!$B$2:$C$12,2,0)))</f>
        <v>TCCN-PTE-PFL-PRG-DLO</v>
      </c>
      <c r="J975" s="129" t="s">
        <v>169</v>
      </c>
      <c r="K975" s="130">
        <f>VLOOKUP(LEN(SUBSTITUTE(H975,"-","")),datos!$A$1:$B$12,2,0)</f>
        <v>5</v>
      </c>
      <c r="L975" s="129" t="s">
        <v>170</v>
      </c>
      <c r="M975" s="129" t="s">
        <v>0</v>
      </c>
    </row>
    <row r="976" spans="1:13" customFormat="1" ht="14.5" x14ac:dyDescent="0.35">
      <c r="A976" s="84" t="s">
        <v>487</v>
      </c>
      <c r="B976" s="84" t="s">
        <v>3809</v>
      </c>
      <c r="C976" s="84" t="s">
        <v>3983</v>
      </c>
      <c r="D976" s="84" t="s">
        <v>3991</v>
      </c>
      <c r="E976" s="84"/>
      <c r="F976" s="84"/>
      <c r="G976" s="84"/>
      <c r="H976" s="84" t="str">
        <f t="shared" si="100"/>
        <v>TCCN-PTE-PFL-PR1---</v>
      </c>
      <c r="I976" s="84" t="str">
        <f>MID(H976,1,(LEN(H976)-VLOOKUP(K976,datos!$B$2:$C$12,2,0)))</f>
        <v>TCCN-PTE-PFL-PR1</v>
      </c>
      <c r="J976" s="84" t="s">
        <v>1610</v>
      </c>
      <c r="K976" s="119">
        <f>VLOOKUP(LEN(SUBSTITUTE(H976,"-","")),datos!$A$1:$B$12,2,0)</f>
        <v>4</v>
      </c>
      <c r="L976" s="84"/>
      <c r="M976" s="84" t="s">
        <v>0</v>
      </c>
    </row>
    <row r="977" spans="1:13" customFormat="1" ht="14.5" x14ac:dyDescent="0.35">
      <c r="A977" s="129" t="s">
        <v>487</v>
      </c>
      <c r="B977" s="129" t="s">
        <v>3809</v>
      </c>
      <c r="C977" s="129" t="s">
        <v>3983</v>
      </c>
      <c r="D977" s="129" t="s">
        <v>3991</v>
      </c>
      <c r="E977" s="129" t="s">
        <v>3992</v>
      </c>
      <c r="F977" s="129"/>
      <c r="G977" s="129"/>
      <c r="H977" s="83" t="str">
        <f t="shared" si="100"/>
        <v>TCCN-PTE-PFL-PR1-CF1--</v>
      </c>
      <c r="I977" s="129" t="str">
        <f>MID(H977,1,(LEN(H977)-VLOOKUP(K977,datos!$B$2:$C$12,2,0)))</f>
        <v>TCCN-PTE-PFL-PR1-CF1</v>
      </c>
      <c r="J977" s="129" t="s">
        <v>440</v>
      </c>
      <c r="K977" s="130">
        <f>VLOOKUP(LEN(SUBSTITUTE(H977,"-","")),datos!$A$1:$B$12,2,0)</f>
        <v>5</v>
      </c>
      <c r="L977" s="129" t="s">
        <v>171</v>
      </c>
      <c r="M977" s="129" t="s">
        <v>0</v>
      </c>
    </row>
    <row r="978" spans="1:13" x14ac:dyDescent="0.35">
      <c r="A978" s="137" t="s">
        <v>487</v>
      </c>
      <c r="B978" s="137" t="s">
        <v>3809</v>
      </c>
      <c r="C978" s="137" t="s">
        <v>3983</v>
      </c>
      <c r="D978" s="137" t="s">
        <v>3991</v>
      </c>
      <c r="E978" s="137" t="s">
        <v>3992</v>
      </c>
      <c r="F978" s="137" t="s">
        <v>3948</v>
      </c>
      <c r="G978" s="137"/>
      <c r="H978" s="82" t="str">
        <f t="shared" si="100"/>
        <v>TCCN-PTE-PFL-PR1-CF1-SCP-</v>
      </c>
      <c r="I978" s="137" t="str">
        <f>MID(H978,1,(LEN(H978)-VLOOKUP(K978,datos!$B$2:$C$12,2,0)))</f>
        <v>TCCN-PTE-PFL-PR1-CF1-SCP</v>
      </c>
      <c r="J978" s="137" t="s">
        <v>5771</v>
      </c>
      <c r="K978" s="139">
        <f>VLOOKUP(LEN(SUBSTITUTE(H978,"-","")),datos!$A$1:$B$12,2,0)</f>
        <v>6</v>
      </c>
      <c r="L978" s="137"/>
      <c r="M978" s="137" t="s">
        <v>0</v>
      </c>
    </row>
    <row r="979" spans="1:13" x14ac:dyDescent="0.35">
      <c r="A979" s="138" t="s">
        <v>487</v>
      </c>
      <c r="B979" s="138" t="s">
        <v>3809</v>
      </c>
      <c r="C979" s="138" t="s">
        <v>3983</v>
      </c>
      <c r="D979" s="138" t="s">
        <v>3991</v>
      </c>
      <c r="E979" s="138" t="s">
        <v>3992</v>
      </c>
      <c r="F979" s="138" t="s">
        <v>3948</v>
      </c>
      <c r="G979" s="138" t="s">
        <v>3993</v>
      </c>
      <c r="H979" s="81" t="str">
        <f t="shared" si="100"/>
        <v>TCCN-PTE-PFL-PR1-CF1-SCP-POR</v>
      </c>
      <c r="I979" s="138" t="str">
        <f>MID(H979,1,(LEN(H979)-VLOOKUP(K979,datos!$B$2:$C$12,2,0)))</f>
        <v>TCCN-PTE-PFL-PR1-CF1-SCP-POR</v>
      </c>
      <c r="J979" s="138" t="s">
        <v>5772</v>
      </c>
      <c r="K979" s="140">
        <f>VLOOKUP(LEN(SUBSTITUTE(H979,"-","")),datos!$A$1:$B$12,2,0)</f>
        <v>7</v>
      </c>
      <c r="L979" s="138"/>
      <c r="M979" s="138" t="s">
        <v>0</v>
      </c>
    </row>
    <row r="980" spans="1:13" x14ac:dyDescent="0.35">
      <c r="A980" s="138" t="s">
        <v>487</v>
      </c>
      <c r="B980" s="138" t="s">
        <v>3809</v>
      </c>
      <c r="C980" s="138" t="s">
        <v>3983</v>
      </c>
      <c r="D980" s="138" t="s">
        <v>3991</v>
      </c>
      <c r="E980" s="138" t="s">
        <v>3992</v>
      </c>
      <c r="F980" s="138" t="s">
        <v>3948</v>
      </c>
      <c r="G980" s="138" t="s">
        <v>3994</v>
      </c>
      <c r="H980" s="81" t="str">
        <f t="shared" si="100"/>
        <v>TCCN-PTE-PFL-PR1-CF1-SCP-RTO</v>
      </c>
      <c r="I980" s="138" t="str">
        <f>MID(H980,1,(LEN(H980)-VLOOKUP(K980,datos!$B$2:$C$12,2,0)))</f>
        <v>TCCN-PTE-PFL-PR1-CF1-SCP-RTO</v>
      </c>
      <c r="J980" s="138" t="s">
        <v>5773</v>
      </c>
      <c r="K980" s="140">
        <f>VLOOKUP(LEN(SUBSTITUTE(H980,"-","")),datos!$A$1:$B$12,2,0)</f>
        <v>7</v>
      </c>
      <c r="L980" s="138"/>
      <c r="M980" s="138" t="s">
        <v>0</v>
      </c>
    </row>
    <row r="981" spans="1:13" x14ac:dyDescent="0.35">
      <c r="A981" s="138" t="s">
        <v>487</v>
      </c>
      <c r="B981" s="138" t="s">
        <v>3809</v>
      </c>
      <c r="C981" s="138" t="s">
        <v>3983</v>
      </c>
      <c r="D981" s="138" t="s">
        <v>3991</v>
      </c>
      <c r="E981" s="138" t="s">
        <v>3992</v>
      </c>
      <c r="F981" s="138" t="s">
        <v>3948</v>
      </c>
      <c r="G981" s="138" t="s">
        <v>3995</v>
      </c>
      <c r="H981" s="81" t="str">
        <f t="shared" si="100"/>
        <v>TCCN-PTE-PFL-PR1-CF1-SCP-ETT</v>
      </c>
      <c r="I981" s="138" t="str">
        <f>MID(H981,1,(LEN(H981)-VLOOKUP(K981,datos!$B$2:$C$12,2,0)))</f>
        <v>TCCN-PTE-PFL-PR1-CF1-SCP-ETT</v>
      </c>
      <c r="J981" s="138" t="s">
        <v>5774</v>
      </c>
      <c r="K981" s="140">
        <f>VLOOKUP(LEN(SUBSTITUTE(H981,"-","")),datos!$A$1:$B$12,2,0)</f>
        <v>7</v>
      </c>
      <c r="L981" s="138"/>
      <c r="M981" s="138" t="s">
        <v>0</v>
      </c>
    </row>
    <row r="982" spans="1:13" x14ac:dyDescent="0.35">
      <c r="A982" s="138" t="s">
        <v>487</v>
      </c>
      <c r="B982" s="138" t="s">
        <v>3809</v>
      </c>
      <c r="C982" s="138" t="s">
        <v>3983</v>
      </c>
      <c r="D982" s="138" t="s">
        <v>3991</v>
      </c>
      <c r="E982" s="138" t="s">
        <v>3992</v>
      </c>
      <c r="F982" s="138" t="s">
        <v>3948</v>
      </c>
      <c r="G982" s="138" t="s">
        <v>3996</v>
      </c>
      <c r="H982" s="81" t="str">
        <f t="shared" si="100"/>
        <v>TCCN-PTE-PFL-PR1-CF1-SCP-DDT</v>
      </c>
      <c r="I982" s="138" t="str">
        <f>MID(H982,1,(LEN(H982)-VLOOKUP(K982,datos!$B$2:$C$12,2,0)))</f>
        <v>TCCN-PTE-PFL-PR1-CF1-SCP-DDT</v>
      </c>
      <c r="J982" s="138" t="s">
        <v>5775</v>
      </c>
      <c r="K982" s="140">
        <f>VLOOKUP(LEN(SUBSTITUTE(H982,"-","")),datos!$A$1:$B$12,2,0)</f>
        <v>7</v>
      </c>
      <c r="L982" s="138"/>
      <c r="M982" s="138" t="s">
        <v>0</v>
      </c>
    </row>
    <row r="983" spans="1:13" x14ac:dyDescent="0.35">
      <c r="A983" s="138" t="s">
        <v>487</v>
      </c>
      <c r="B983" s="138" t="s">
        <v>3809</v>
      </c>
      <c r="C983" s="138" t="s">
        <v>3983</v>
      </c>
      <c r="D983" s="138" t="s">
        <v>3991</v>
      </c>
      <c r="E983" s="138" t="s">
        <v>3992</v>
      </c>
      <c r="F983" s="138" t="s">
        <v>3948</v>
      </c>
      <c r="G983" s="138" t="s">
        <v>3997</v>
      </c>
      <c r="H983" s="81" t="str">
        <f t="shared" si="100"/>
        <v>TCCN-PTE-PFL-PR1-CF1-SCP-EJE</v>
      </c>
      <c r="I983" s="138" t="str">
        <f>MID(H983,1,(LEN(H983)-VLOOKUP(K983,datos!$B$2:$C$12,2,0)))</f>
        <v>TCCN-PTE-PFL-PR1-CF1-SCP-EJE</v>
      </c>
      <c r="J983" s="138" t="s">
        <v>5776</v>
      </c>
      <c r="K983" s="140">
        <f>VLOOKUP(LEN(SUBSTITUTE(H983,"-","")),datos!$A$1:$B$12,2,0)</f>
        <v>7</v>
      </c>
      <c r="L983" s="138"/>
      <c r="M983" s="138" t="s">
        <v>0</v>
      </c>
    </row>
    <row r="984" spans="1:13" x14ac:dyDescent="0.35">
      <c r="A984" s="137" t="s">
        <v>487</v>
      </c>
      <c r="B984" s="137" t="s">
        <v>3809</v>
      </c>
      <c r="C984" s="137" t="s">
        <v>3983</v>
      </c>
      <c r="D984" s="137" t="s">
        <v>3991</v>
      </c>
      <c r="E984" s="137" t="s">
        <v>3992</v>
      </c>
      <c r="F984" s="137" t="s">
        <v>3824</v>
      </c>
      <c r="G984" s="137"/>
      <c r="H984" s="82" t="str">
        <f t="shared" si="100"/>
        <v>TCCN-PTE-PFL-PR1-CF1-SES-</v>
      </c>
      <c r="I984" s="137" t="str">
        <f>MID(H984,1,(LEN(H984)-VLOOKUP(K984,datos!$B$2:$C$12,2,0)))</f>
        <v>TCCN-PTE-PFL-PR1-CF1-SES</v>
      </c>
      <c r="J984" s="137" t="s">
        <v>5777</v>
      </c>
      <c r="K984" s="139">
        <f>VLOOKUP(LEN(SUBSTITUTE(H984,"-","")),datos!$A$1:$B$12,2,0)</f>
        <v>6</v>
      </c>
      <c r="L984" s="137"/>
      <c r="M984" s="137" t="s">
        <v>0</v>
      </c>
    </row>
    <row r="985" spans="1:13" x14ac:dyDescent="0.35">
      <c r="A985" s="138" t="s">
        <v>487</v>
      </c>
      <c r="B985" s="138" t="s">
        <v>3809</v>
      </c>
      <c r="C985" s="138" t="s">
        <v>3983</v>
      </c>
      <c r="D985" s="138" t="s">
        <v>3991</v>
      </c>
      <c r="E985" s="138" t="s">
        <v>3992</v>
      </c>
      <c r="F985" s="138" t="s">
        <v>3824</v>
      </c>
      <c r="G985" s="138" t="s">
        <v>3998</v>
      </c>
      <c r="H985" s="81" t="str">
        <f t="shared" si="100"/>
        <v>TCCN-PTE-PFL-PR1-CF1-SES-BYG</v>
      </c>
      <c r="I985" s="138" t="str">
        <f>MID(H985,1,(LEN(H985)-VLOOKUP(K985,datos!$B$2:$C$12,2,0)))</f>
        <v>TCCN-PTE-PFL-PR1-CF1-SES-BYG</v>
      </c>
      <c r="J985" s="138" t="s">
        <v>8008</v>
      </c>
      <c r="K985" s="140">
        <f>VLOOKUP(LEN(SUBSTITUTE(H985,"-","")),datos!$A$1:$B$12,2,0)</f>
        <v>7</v>
      </c>
      <c r="L985" s="138"/>
      <c r="M985" s="138" t="s">
        <v>0</v>
      </c>
    </row>
    <row r="986" spans="1:13" x14ac:dyDescent="0.35">
      <c r="A986" s="138" t="s">
        <v>487</v>
      </c>
      <c r="B986" s="138" t="s">
        <v>3809</v>
      </c>
      <c r="C986" s="138" t="s">
        <v>3983</v>
      </c>
      <c r="D986" s="138" t="s">
        <v>3991</v>
      </c>
      <c r="E986" s="138" t="s">
        <v>3992</v>
      </c>
      <c r="F986" s="138" t="s">
        <v>3824</v>
      </c>
      <c r="G986" s="138" t="s">
        <v>3999</v>
      </c>
      <c r="H986" s="81" t="str">
        <f t="shared" si="100"/>
        <v>TCCN-PTE-PFL-PR1-CF1-SES-RDP</v>
      </c>
      <c r="I986" s="138" t="str">
        <f>MID(H986,1,(LEN(H986)-VLOOKUP(K986,datos!$B$2:$C$12,2,0)))</f>
        <v>TCCN-PTE-PFL-PR1-CF1-SES-RDP</v>
      </c>
      <c r="J986" s="138" t="s">
        <v>5778</v>
      </c>
      <c r="K986" s="140">
        <f>VLOOKUP(LEN(SUBSTITUTE(H986,"-","")),datos!$A$1:$B$12,2,0)</f>
        <v>7</v>
      </c>
      <c r="L986" s="138"/>
      <c r="M986" s="138" t="s">
        <v>0</v>
      </c>
    </row>
    <row r="987" spans="1:13" x14ac:dyDescent="0.35">
      <c r="A987" s="138" t="s">
        <v>487</v>
      </c>
      <c r="B987" s="138" t="s">
        <v>3809</v>
      </c>
      <c r="C987" s="138" t="s">
        <v>3983</v>
      </c>
      <c r="D987" s="138" t="s">
        <v>3991</v>
      </c>
      <c r="E987" s="138" t="s">
        <v>3992</v>
      </c>
      <c r="F987" s="138" t="s">
        <v>3824</v>
      </c>
      <c r="G987" s="138" t="s">
        <v>3853</v>
      </c>
      <c r="H987" s="81" t="str">
        <f t="shared" si="100"/>
        <v>TCCN-PTE-PFL-PR1-CF1-SES-EST</v>
      </c>
      <c r="I987" s="138" t="str">
        <f>MID(H987,1,(LEN(H987)-VLOOKUP(K987,datos!$B$2:$C$12,2,0)))</f>
        <v>TCCN-PTE-PFL-PR1-CF1-SES-EST</v>
      </c>
      <c r="J987" s="138" t="s">
        <v>5779</v>
      </c>
      <c r="K987" s="140">
        <f>VLOOKUP(LEN(SUBSTITUTE(H987,"-","")),datos!$A$1:$B$12,2,0)</f>
        <v>7</v>
      </c>
      <c r="L987" s="138"/>
      <c r="M987" s="138" t="s">
        <v>0</v>
      </c>
    </row>
    <row r="988" spans="1:13" x14ac:dyDescent="0.35">
      <c r="A988" s="138" t="s">
        <v>487</v>
      </c>
      <c r="B988" s="138" t="s">
        <v>3809</v>
      </c>
      <c r="C988" s="138" t="s">
        <v>3983</v>
      </c>
      <c r="D988" s="138" t="s">
        <v>3991</v>
      </c>
      <c r="E988" s="138" t="s">
        <v>3992</v>
      </c>
      <c r="F988" s="138" t="s">
        <v>3824</v>
      </c>
      <c r="G988" s="138" t="s">
        <v>4000</v>
      </c>
      <c r="H988" s="81" t="str">
        <f t="shared" si="100"/>
        <v>TCCN-PTE-PFL-PR1-CF1-SES-CRW</v>
      </c>
      <c r="I988" s="138" t="str">
        <f>MID(H988,1,(LEN(H988)-VLOOKUP(K988,datos!$B$2:$C$12,2,0)))</f>
        <v>TCCN-PTE-PFL-PR1-CF1-SES-CRW</v>
      </c>
      <c r="J988" s="138" t="s">
        <v>5780</v>
      </c>
      <c r="K988" s="140">
        <f>VLOOKUP(LEN(SUBSTITUTE(H988,"-","")),datos!$A$1:$B$12,2,0)</f>
        <v>7</v>
      </c>
      <c r="L988" s="138"/>
      <c r="M988" s="138" t="s">
        <v>0</v>
      </c>
    </row>
    <row r="989" spans="1:13" x14ac:dyDescent="0.35">
      <c r="A989" s="137" t="s">
        <v>487</v>
      </c>
      <c r="B989" s="137" t="s">
        <v>3809</v>
      </c>
      <c r="C989" s="137" t="s">
        <v>3983</v>
      </c>
      <c r="D989" s="137" t="s">
        <v>3991</v>
      </c>
      <c r="E989" s="137" t="s">
        <v>3992</v>
      </c>
      <c r="F989" s="137" t="s">
        <v>3847</v>
      </c>
      <c r="G989" s="137"/>
      <c r="H989" s="82" t="str">
        <f t="shared" si="100"/>
        <v>TCCN-PTE-PFL-PR1-CF1-SMO-</v>
      </c>
      <c r="I989" s="137" t="str">
        <f>MID(H989,1,(LEN(H989)-VLOOKUP(K989,datos!$B$2:$C$12,2,0)))</f>
        <v>TCCN-PTE-PFL-PR1-CF1-SMO</v>
      </c>
      <c r="J989" s="137" t="s">
        <v>5781</v>
      </c>
      <c r="K989" s="139">
        <f>VLOOKUP(LEN(SUBSTITUTE(H989,"-","")),datos!$A$1:$B$12,2,0)</f>
        <v>6</v>
      </c>
      <c r="L989" s="137"/>
      <c r="M989" s="137" t="s">
        <v>0</v>
      </c>
    </row>
    <row r="990" spans="1:13" x14ac:dyDescent="0.35">
      <c r="A990" s="138" t="s">
        <v>487</v>
      </c>
      <c r="B990" s="138" t="s">
        <v>3809</v>
      </c>
      <c r="C990" s="138" t="s">
        <v>3983</v>
      </c>
      <c r="D990" s="138" t="s">
        <v>3991</v>
      </c>
      <c r="E990" s="138" t="s">
        <v>3992</v>
      </c>
      <c r="F990" s="138" t="s">
        <v>3847</v>
      </c>
      <c r="G990" s="138" t="s">
        <v>3819</v>
      </c>
      <c r="H990" s="81" t="str">
        <f t="shared" si="100"/>
        <v>TCCN-PTE-PFL-PR1-CF1-SMO-MOE</v>
      </c>
      <c r="I990" s="138" t="str">
        <f>MID(H990,1,(LEN(H990)-VLOOKUP(K990,datos!$B$2:$C$12,2,0)))</f>
        <v>TCCN-PTE-PFL-PR1-CF1-SMO-MOE</v>
      </c>
      <c r="J990" s="138" t="s">
        <v>5782</v>
      </c>
      <c r="K990" s="140">
        <f>VLOOKUP(LEN(SUBSTITUTE(H990,"-","")),datos!$A$1:$B$12,2,0)</f>
        <v>7</v>
      </c>
      <c r="L990" s="138" t="s">
        <v>172</v>
      </c>
      <c r="M990" s="138" t="s">
        <v>0</v>
      </c>
    </row>
    <row r="991" spans="1:13" x14ac:dyDescent="0.35">
      <c r="A991" s="138" t="s">
        <v>487</v>
      </c>
      <c r="B991" s="138" t="s">
        <v>3809</v>
      </c>
      <c r="C991" s="138" t="s">
        <v>3983</v>
      </c>
      <c r="D991" s="138" t="s">
        <v>3991</v>
      </c>
      <c r="E991" s="138" t="s">
        <v>3992</v>
      </c>
      <c r="F991" s="138" t="s">
        <v>3847</v>
      </c>
      <c r="G991" s="138" t="s">
        <v>3864</v>
      </c>
      <c r="H991" s="81" t="str">
        <f t="shared" si="100"/>
        <v>TCCN-PTE-PFL-PR1-CF1-SMO-PMO</v>
      </c>
      <c r="I991" s="138" t="str">
        <f>MID(H991,1,(LEN(H991)-VLOOKUP(K991,datos!$B$2:$C$12,2,0)))</f>
        <v>TCCN-PTE-PFL-PR1-CF1-SMO-PMO</v>
      </c>
      <c r="J991" s="138" t="s">
        <v>5783</v>
      </c>
      <c r="K991" s="140">
        <f>VLOOKUP(LEN(SUBSTITUTE(H991,"-","")),datos!$A$1:$B$12,2,0)</f>
        <v>7</v>
      </c>
      <c r="L991" s="138"/>
      <c r="M991" s="138" t="s">
        <v>0</v>
      </c>
    </row>
    <row r="992" spans="1:13" x14ac:dyDescent="0.35">
      <c r="A992" s="138" t="s">
        <v>487</v>
      </c>
      <c r="B992" s="138" t="s">
        <v>3809</v>
      </c>
      <c r="C992" s="138" t="s">
        <v>3983</v>
      </c>
      <c r="D992" s="138" t="s">
        <v>3991</v>
      </c>
      <c r="E992" s="138" t="s">
        <v>3992</v>
      </c>
      <c r="F992" s="138" t="s">
        <v>3847</v>
      </c>
      <c r="G992" s="138" t="s">
        <v>8116</v>
      </c>
      <c r="H992" s="81" t="str">
        <f t="shared" si="100"/>
        <v>TCCN-PTE-PFL-PR1-CF1-SMO-PLE</v>
      </c>
      <c r="I992" s="138" t="str">
        <f>MID(H992,1,(LEN(H992)-VLOOKUP(K992,datos!$B$2:$C$12,2,0)))</f>
        <v>TCCN-PTE-PFL-PR1-CF1-SMO-PLE</v>
      </c>
      <c r="J992" s="138" t="s">
        <v>5784</v>
      </c>
      <c r="K992" s="140">
        <f>VLOOKUP(LEN(SUBSTITUTE(H992,"-","")),datos!$A$1:$B$12,2,0)</f>
        <v>7</v>
      </c>
      <c r="L992" s="138"/>
      <c r="M992" s="138" t="s">
        <v>0</v>
      </c>
    </row>
    <row r="993" spans="1:13" x14ac:dyDescent="0.35">
      <c r="A993" s="138" t="s">
        <v>487</v>
      </c>
      <c r="B993" s="138" t="s">
        <v>3809</v>
      </c>
      <c r="C993" s="138" t="s">
        <v>3983</v>
      </c>
      <c r="D993" s="138" t="s">
        <v>3991</v>
      </c>
      <c r="E993" s="138" t="s">
        <v>3992</v>
      </c>
      <c r="F993" s="138" t="s">
        <v>3847</v>
      </c>
      <c r="G993" s="138" t="s">
        <v>5688</v>
      </c>
      <c r="H993" s="81" t="str">
        <f t="shared" si="100"/>
        <v>TCCN-PTE-PFL-PR1-CF1-SMO-PRP</v>
      </c>
      <c r="I993" s="138" t="str">
        <f>MID(H993,1,(LEN(H993)-VLOOKUP(K993,datos!$B$2:$C$12,2,0)))</f>
        <v>TCCN-PTE-PFL-PR1-CF1-SMO-PRP</v>
      </c>
      <c r="J993" s="138" t="s">
        <v>5785</v>
      </c>
      <c r="K993" s="140">
        <f>VLOOKUP(LEN(SUBSTITUTE(H993,"-","")),datos!$A$1:$B$12,2,0)</f>
        <v>7</v>
      </c>
      <c r="L993" s="138"/>
      <c r="M993" s="138" t="s">
        <v>0</v>
      </c>
    </row>
    <row r="994" spans="1:13" x14ac:dyDescent="0.35">
      <c r="A994" s="137" t="s">
        <v>487</v>
      </c>
      <c r="B994" s="137" t="s">
        <v>3809</v>
      </c>
      <c r="C994" s="137" t="s">
        <v>3983</v>
      </c>
      <c r="D994" s="137" t="s">
        <v>3991</v>
      </c>
      <c r="E994" s="137" t="s">
        <v>3992</v>
      </c>
      <c r="F994" s="137" t="s">
        <v>3831</v>
      </c>
      <c r="G994" s="137"/>
      <c r="H994" s="82" t="str">
        <f t="shared" si="100"/>
        <v>TCCN-PTE-PFL-PR1-CF1-INS-</v>
      </c>
      <c r="I994" s="137" t="str">
        <f>MID(H994,1,(LEN(H994)-VLOOKUP(K994,datos!$B$2:$C$12,2,0)))</f>
        <v>TCCN-PTE-PFL-PR1-CF1-INS</v>
      </c>
      <c r="J994" s="137" t="s">
        <v>5786</v>
      </c>
      <c r="K994" s="139">
        <f>VLOOKUP(LEN(SUBSTITUTE(H994,"-","")),datos!$A$1:$B$12,2,0)</f>
        <v>6</v>
      </c>
      <c r="L994" s="137"/>
      <c r="M994" s="137" t="s">
        <v>0</v>
      </c>
    </row>
    <row r="995" spans="1:13" x14ac:dyDescent="0.35">
      <c r="A995" s="138" t="s">
        <v>487</v>
      </c>
      <c r="B995" s="138" t="s">
        <v>3809</v>
      </c>
      <c r="C995" s="138" t="s">
        <v>3983</v>
      </c>
      <c r="D995" s="138" t="s">
        <v>3991</v>
      </c>
      <c r="E995" s="138" t="s">
        <v>3992</v>
      </c>
      <c r="F995" s="138" t="s">
        <v>3831</v>
      </c>
      <c r="G995" s="138" t="s">
        <v>4075</v>
      </c>
      <c r="H995" s="81" t="str">
        <f t="shared" si="100"/>
        <v>TCCN-PTE-PFL-PR1-CF1-INS-VVA</v>
      </c>
      <c r="I995" s="138" t="str">
        <f>MID(H995,1,(LEN(H995)-VLOOKUP(K995,datos!$B$2:$C$12,2,0)))</f>
        <v>TCCN-PTE-PFL-PR1-CF1-INS-VVA</v>
      </c>
      <c r="J995" s="138" t="s">
        <v>7698</v>
      </c>
      <c r="K995" s="140">
        <f>VLOOKUP(LEN(SUBSTITUTE(H995,"-","")),datos!$A$1:$B$12,2,0)</f>
        <v>7</v>
      </c>
      <c r="L995" s="138" t="s">
        <v>7696</v>
      </c>
      <c r="M995" s="138" t="s">
        <v>0</v>
      </c>
    </row>
    <row r="996" spans="1:13" x14ac:dyDescent="0.35">
      <c r="A996" s="138" t="s">
        <v>487</v>
      </c>
      <c r="B996" s="138" t="s">
        <v>3809</v>
      </c>
      <c r="C996" s="138" t="s">
        <v>3983</v>
      </c>
      <c r="D996" s="138" t="s">
        <v>3991</v>
      </c>
      <c r="E996" s="138" t="s">
        <v>3992</v>
      </c>
      <c r="F996" s="138" t="s">
        <v>3831</v>
      </c>
      <c r="G996" s="138" t="s">
        <v>4002</v>
      </c>
      <c r="H996" s="81" t="str">
        <f t="shared" si="100"/>
        <v>TCCN-PTE-PFL-PR1-CF1-INS-FJM</v>
      </c>
      <c r="I996" s="138" t="str">
        <f>MID(H996,1,(LEN(H996)-VLOOKUP(K996,datos!$B$2:$C$12,2,0)))</f>
        <v>TCCN-PTE-PFL-PR1-CF1-INS-FJM</v>
      </c>
      <c r="J996" s="138" t="s">
        <v>5787</v>
      </c>
      <c r="K996" s="140">
        <f>VLOOKUP(LEN(SUBSTITUTE(H996,"-","")),datos!$A$1:$B$12,2,0)</f>
        <v>7</v>
      </c>
      <c r="L996" s="138" t="s">
        <v>7697</v>
      </c>
      <c r="M996" s="138" t="s">
        <v>0</v>
      </c>
    </row>
    <row r="997" spans="1:13" x14ac:dyDescent="0.35">
      <c r="A997" s="137" t="s">
        <v>487</v>
      </c>
      <c r="B997" s="137" t="s">
        <v>3809</v>
      </c>
      <c r="C997" s="137" t="s">
        <v>3983</v>
      </c>
      <c r="D997" s="137" t="s">
        <v>3991</v>
      </c>
      <c r="E997" s="137" t="s">
        <v>3992</v>
      </c>
      <c r="F997" s="137" t="s">
        <v>3869</v>
      </c>
      <c r="G997" s="137"/>
      <c r="H997" s="82" t="str">
        <f t="shared" si="100"/>
        <v>TCCN-PTE-PFL-PR1-CF1-SCE-</v>
      </c>
      <c r="I997" s="137" t="str">
        <f>MID(H997,1,(LEN(H997)-VLOOKUP(K997,datos!$B$2:$C$12,2,0)))</f>
        <v>TCCN-PTE-PFL-PR1-CF1-SCE</v>
      </c>
      <c r="J997" s="137" t="s">
        <v>5788</v>
      </c>
      <c r="K997" s="139">
        <f>VLOOKUP(LEN(SUBSTITUTE(H997,"-","")),datos!$A$1:$B$12,2,0)</f>
        <v>6</v>
      </c>
      <c r="L997" s="137"/>
      <c r="M997" s="137" t="s">
        <v>0</v>
      </c>
    </row>
    <row r="998" spans="1:13" x14ac:dyDescent="0.35">
      <c r="A998" s="138" t="s">
        <v>487</v>
      </c>
      <c r="B998" s="138" t="s">
        <v>3809</v>
      </c>
      <c r="C998" s="138" t="s">
        <v>3983</v>
      </c>
      <c r="D998" s="138" t="s">
        <v>3991</v>
      </c>
      <c r="E998" s="138" t="s">
        <v>3992</v>
      </c>
      <c r="F998" s="138" t="s">
        <v>3869</v>
      </c>
      <c r="G998" s="138" t="s">
        <v>3870</v>
      </c>
      <c r="H998" s="81" t="str">
        <f t="shared" si="100"/>
        <v>TCCN-PTE-PFL-PR1-CF1-SCE-BTN</v>
      </c>
      <c r="I998" s="138" t="str">
        <f>MID(H998,1,(LEN(H998)-VLOOKUP(K998,datos!$B$2:$C$12,2,0)))</f>
        <v>TCCN-PTE-PFL-PR1-CF1-SCE-BTN</v>
      </c>
      <c r="J998" s="138" t="s">
        <v>5789</v>
      </c>
      <c r="K998" s="140">
        <f>VLOOKUP(LEN(SUBSTITUTE(H998,"-","")),datos!$A$1:$B$12,2,0)</f>
        <v>7</v>
      </c>
      <c r="L998" s="138"/>
      <c r="M998" s="138" t="s">
        <v>0</v>
      </c>
    </row>
    <row r="999" spans="1:13" customFormat="1" ht="14.5" x14ac:dyDescent="0.35">
      <c r="A999" s="129" t="s">
        <v>487</v>
      </c>
      <c r="B999" s="129" t="s">
        <v>3809</v>
      </c>
      <c r="C999" s="129" t="s">
        <v>3983</v>
      </c>
      <c r="D999" s="129" t="s">
        <v>3991</v>
      </c>
      <c r="E999" s="129" t="s">
        <v>4003</v>
      </c>
      <c r="F999" s="129"/>
      <c r="G999" s="129"/>
      <c r="H999" s="83" t="str">
        <f t="shared" si="100"/>
        <v>TCCN-PTE-PFL-PR1-CF2--</v>
      </c>
      <c r="I999" s="129" t="str">
        <f>MID(H999,1,(LEN(H999)-VLOOKUP(K999,datos!$B$2:$C$12,2,0)))</f>
        <v>TCCN-PTE-PFL-PR1-CF2</v>
      </c>
      <c r="J999" s="129" t="s">
        <v>441</v>
      </c>
      <c r="K999" s="130">
        <f>VLOOKUP(LEN(SUBSTITUTE(H999,"-","")),datos!$A$1:$B$12,2,0)</f>
        <v>5</v>
      </c>
      <c r="L999" s="129" t="s">
        <v>173</v>
      </c>
      <c r="M999" s="129" t="s">
        <v>0</v>
      </c>
    </row>
    <row r="1000" spans="1:13" x14ac:dyDescent="0.35">
      <c r="A1000" s="137" t="s">
        <v>487</v>
      </c>
      <c r="B1000" s="137" t="s">
        <v>3809</v>
      </c>
      <c r="C1000" s="137" t="s">
        <v>3983</v>
      </c>
      <c r="D1000" s="137" t="s">
        <v>3991</v>
      </c>
      <c r="E1000" s="137" t="s">
        <v>4003</v>
      </c>
      <c r="F1000" s="137" t="s">
        <v>3948</v>
      </c>
      <c r="G1000" s="137"/>
      <c r="H1000" s="82" t="str">
        <f t="shared" si="100"/>
        <v>TCCN-PTE-PFL-PR1-CF2-SCP-</v>
      </c>
      <c r="I1000" s="137" t="str">
        <f>MID(H1000,1,(LEN(H1000)-VLOOKUP(K1000,datos!$B$2:$C$12,2,0)))</f>
        <v>TCCN-PTE-PFL-PR1-CF2-SCP</v>
      </c>
      <c r="J1000" s="137" t="s">
        <v>5844</v>
      </c>
      <c r="K1000" s="139">
        <f>VLOOKUP(LEN(SUBSTITUTE(H1000,"-","")),datos!$A$1:$B$12,2,0)</f>
        <v>6</v>
      </c>
      <c r="L1000" s="137"/>
      <c r="M1000" s="137" t="s">
        <v>0</v>
      </c>
    </row>
    <row r="1001" spans="1:13" x14ac:dyDescent="0.35">
      <c r="A1001" s="138" t="s">
        <v>487</v>
      </c>
      <c r="B1001" s="138" t="s">
        <v>3809</v>
      </c>
      <c r="C1001" s="138" t="s">
        <v>3983</v>
      </c>
      <c r="D1001" s="138" t="s">
        <v>3991</v>
      </c>
      <c r="E1001" s="138" t="s">
        <v>4003</v>
      </c>
      <c r="F1001" s="138" t="s">
        <v>3948</v>
      </c>
      <c r="G1001" s="138" t="s">
        <v>3993</v>
      </c>
      <c r="H1001" s="81" t="str">
        <f t="shared" si="100"/>
        <v>TCCN-PTE-PFL-PR1-CF2-SCP-POR</v>
      </c>
      <c r="I1001" s="138" t="str">
        <f>MID(H1001,1,(LEN(H1001)-VLOOKUP(K1001,datos!$B$2:$C$12,2,0)))</f>
        <v>TCCN-PTE-PFL-PR1-CF2-SCP-POR</v>
      </c>
      <c r="J1001" s="138" t="s">
        <v>5845</v>
      </c>
      <c r="K1001" s="140">
        <f>VLOOKUP(LEN(SUBSTITUTE(H1001,"-","")),datos!$A$1:$B$12,2,0)</f>
        <v>7</v>
      </c>
      <c r="L1001" s="138"/>
      <c r="M1001" s="138" t="s">
        <v>0</v>
      </c>
    </row>
    <row r="1002" spans="1:13" x14ac:dyDescent="0.35">
      <c r="A1002" s="138" t="s">
        <v>487</v>
      </c>
      <c r="B1002" s="138" t="s">
        <v>3809</v>
      </c>
      <c r="C1002" s="138" t="s">
        <v>3983</v>
      </c>
      <c r="D1002" s="138" t="s">
        <v>3991</v>
      </c>
      <c r="E1002" s="138" t="s">
        <v>4003</v>
      </c>
      <c r="F1002" s="138" t="s">
        <v>3948</v>
      </c>
      <c r="G1002" s="138" t="s">
        <v>3994</v>
      </c>
      <c r="H1002" s="81" t="str">
        <f t="shared" si="100"/>
        <v>TCCN-PTE-PFL-PR1-CF2-SCP-RTO</v>
      </c>
      <c r="I1002" s="138" t="str">
        <f>MID(H1002,1,(LEN(H1002)-VLOOKUP(K1002,datos!$B$2:$C$12,2,0)))</f>
        <v>TCCN-PTE-PFL-PR1-CF2-SCP-RTO</v>
      </c>
      <c r="J1002" s="138" t="s">
        <v>5846</v>
      </c>
      <c r="K1002" s="140">
        <f>VLOOKUP(LEN(SUBSTITUTE(H1002,"-","")),datos!$A$1:$B$12,2,0)</f>
        <v>7</v>
      </c>
      <c r="L1002" s="138"/>
      <c r="M1002" s="138" t="s">
        <v>0</v>
      </c>
    </row>
    <row r="1003" spans="1:13" x14ac:dyDescent="0.35">
      <c r="A1003" s="138" t="s">
        <v>487</v>
      </c>
      <c r="B1003" s="138" t="s">
        <v>3809</v>
      </c>
      <c r="C1003" s="138" t="s">
        <v>3983</v>
      </c>
      <c r="D1003" s="138" t="s">
        <v>3991</v>
      </c>
      <c r="E1003" s="138" t="s">
        <v>4003</v>
      </c>
      <c r="F1003" s="138" t="s">
        <v>3948</v>
      </c>
      <c r="G1003" s="138" t="s">
        <v>3995</v>
      </c>
      <c r="H1003" s="81" t="str">
        <f t="shared" si="100"/>
        <v>TCCN-PTE-PFL-PR1-CF2-SCP-ETT</v>
      </c>
      <c r="I1003" s="138" t="str">
        <f>MID(H1003,1,(LEN(H1003)-VLOOKUP(K1003,datos!$B$2:$C$12,2,0)))</f>
        <v>TCCN-PTE-PFL-PR1-CF2-SCP-ETT</v>
      </c>
      <c r="J1003" s="138" t="s">
        <v>5847</v>
      </c>
      <c r="K1003" s="140">
        <f>VLOOKUP(LEN(SUBSTITUTE(H1003,"-","")),datos!$A$1:$B$12,2,0)</f>
        <v>7</v>
      </c>
      <c r="L1003" s="138"/>
      <c r="M1003" s="138" t="s">
        <v>0</v>
      </c>
    </row>
    <row r="1004" spans="1:13" x14ac:dyDescent="0.35">
      <c r="A1004" s="138" t="s">
        <v>487</v>
      </c>
      <c r="B1004" s="138" t="s">
        <v>3809</v>
      </c>
      <c r="C1004" s="138" t="s">
        <v>3983</v>
      </c>
      <c r="D1004" s="138" t="s">
        <v>3991</v>
      </c>
      <c r="E1004" s="138" t="s">
        <v>4003</v>
      </c>
      <c r="F1004" s="138" t="s">
        <v>3948</v>
      </c>
      <c r="G1004" s="138" t="s">
        <v>3996</v>
      </c>
      <c r="H1004" s="81" t="str">
        <f t="shared" si="100"/>
        <v>TCCN-PTE-PFL-PR1-CF2-SCP-DDT</v>
      </c>
      <c r="I1004" s="138" t="str">
        <f>MID(H1004,1,(LEN(H1004)-VLOOKUP(K1004,datos!$B$2:$C$12,2,0)))</f>
        <v>TCCN-PTE-PFL-PR1-CF2-SCP-DDT</v>
      </c>
      <c r="J1004" s="138" t="s">
        <v>5848</v>
      </c>
      <c r="K1004" s="140">
        <f>VLOOKUP(LEN(SUBSTITUTE(H1004,"-","")),datos!$A$1:$B$12,2,0)</f>
        <v>7</v>
      </c>
      <c r="L1004" s="138"/>
      <c r="M1004" s="138" t="s">
        <v>0</v>
      </c>
    </row>
    <row r="1005" spans="1:13" x14ac:dyDescent="0.35">
      <c r="A1005" s="138" t="s">
        <v>487</v>
      </c>
      <c r="B1005" s="138" t="s">
        <v>3809</v>
      </c>
      <c r="C1005" s="138" t="s">
        <v>3983</v>
      </c>
      <c r="D1005" s="138" t="s">
        <v>3991</v>
      </c>
      <c r="E1005" s="138" t="s">
        <v>4003</v>
      </c>
      <c r="F1005" s="138" t="s">
        <v>3948</v>
      </c>
      <c r="G1005" s="138" t="s">
        <v>3997</v>
      </c>
      <c r="H1005" s="81" t="str">
        <f t="shared" si="100"/>
        <v>TCCN-PTE-PFL-PR1-CF2-SCP-EJE</v>
      </c>
      <c r="I1005" s="138" t="str">
        <f>MID(H1005,1,(LEN(H1005)-VLOOKUP(K1005,datos!$B$2:$C$12,2,0)))</f>
        <v>TCCN-PTE-PFL-PR1-CF2-SCP-EJE</v>
      </c>
      <c r="J1005" s="138" t="s">
        <v>5849</v>
      </c>
      <c r="K1005" s="140">
        <f>VLOOKUP(LEN(SUBSTITUTE(H1005,"-","")),datos!$A$1:$B$12,2,0)</f>
        <v>7</v>
      </c>
      <c r="L1005" s="138"/>
      <c r="M1005" s="138" t="s">
        <v>0</v>
      </c>
    </row>
    <row r="1006" spans="1:13" x14ac:dyDescent="0.35">
      <c r="A1006" s="137" t="s">
        <v>487</v>
      </c>
      <c r="B1006" s="137" t="s">
        <v>3809</v>
      </c>
      <c r="C1006" s="137" t="s">
        <v>3983</v>
      </c>
      <c r="D1006" s="137" t="s">
        <v>3991</v>
      </c>
      <c r="E1006" s="137" t="s">
        <v>4003</v>
      </c>
      <c r="F1006" s="137" t="s">
        <v>3824</v>
      </c>
      <c r="G1006" s="137"/>
      <c r="H1006" s="82" t="str">
        <f t="shared" si="100"/>
        <v>TCCN-PTE-PFL-PR1-CF2-SES-</v>
      </c>
      <c r="I1006" s="137" t="str">
        <f>MID(H1006,1,(LEN(H1006)-VLOOKUP(K1006,datos!$B$2:$C$12,2,0)))</f>
        <v>TCCN-PTE-PFL-PR1-CF2-SES</v>
      </c>
      <c r="J1006" s="137" t="s">
        <v>5850</v>
      </c>
      <c r="K1006" s="139">
        <f>VLOOKUP(LEN(SUBSTITUTE(H1006,"-","")),datos!$A$1:$B$12,2,0)</f>
        <v>6</v>
      </c>
      <c r="L1006" s="137"/>
      <c r="M1006" s="137" t="s">
        <v>0</v>
      </c>
    </row>
    <row r="1007" spans="1:13" x14ac:dyDescent="0.35">
      <c r="A1007" s="138" t="s">
        <v>487</v>
      </c>
      <c r="B1007" s="138" t="s">
        <v>3809</v>
      </c>
      <c r="C1007" s="138" t="s">
        <v>3983</v>
      </c>
      <c r="D1007" s="138" t="s">
        <v>3991</v>
      </c>
      <c r="E1007" s="138" t="s">
        <v>4003</v>
      </c>
      <c r="F1007" s="138" t="s">
        <v>3824</v>
      </c>
      <c r="G1007" s="138" t="s">
        <v>3998</v>
      </c>
      <c r="H1007" s="81" t="str">
        <f t="shared" si="100"/>
        <v>TCCN-PTE-PFL-PR1-CF2-SES-BYG</v>
      </c>
      <c r="I1007" s="138" t="str">
        <f>MID(H1007,1,(LEN(H1007)-VLOOKUP(K1007,datos!$B$2:$C$12,2,0)))</f>
        <v>TCCN-PTE-PFL-PR1-CF2-SES-BYG</v>
      </c>
      <c r="J1007" s="138" t="s">
        <v>8009</v>
      </c>
      <c r="K1007" s="140">
        <f>VLOOKUP(LEN(SUBSTITUTE(H1007,"-","")),datos!$A$1:$B$12,2,0)</f>
        <v>7</v>
      </c>
      <c r="L1007" s="138"/>
      <c r="M1007" s="138" t="s">
        <v>0</v>
      </c>
    </row>
    <row r="1008" spans="1:13" x14ac:dyDescent="0.35">
      <c r="A1008" s="138" t="s">
        <v>487</v>
      </c>
      <c r="B1008" s="138" t="s">
        <v>3809</v>
      </c>
      <c r="C1008" s="138" t="s">
        <v>3983</v>
      </c>
      <c r="D1008" s="138" t="s">
        <v>3991</v>
      </c>
      <c r="E1008" s="138" t="s">
        <v>4003</v>
      </c>
      <c r="F1008" s="138" t="s">
        <v>3824</v>
      </c>
      <c r="G1008" s="138" t="s">
        <v>3999</v>
      </c>
      <c r="H1008" s="81" t="str">
        <f t="shared" si="100"/>
        <v>TCCN-PTE-PFL-PR1-CF2-SES-RDP</v>
      </c>
      <c r="I1008" s="138" t="str">
        <f>MID(H1008,1,(LEN(H1008)-VLOOKUP(K1008,datos!$B$2:$C$12,2,0)))</f>
        <v>TCCN-PTE-PFL-PR1-CF2-SES-RDP</v>
      </c>
      <c r="J1008" s="138" t="s">
        <v>5851</v>
      </c>
      <c r="K1008" s="140">
        <f>VLOOKUP(LEN(SUBSTITUTE(H1008,"-","")),datos!$A$1:$B$12,2,0)</f>
        <v>7</v>
      </c>
      <c r="L1008" s="138"/>
      <c r="M1008" s="138" t="s">
        <v>0</v>
      </c>
    </row>
    <row r="1009" spans="1:13" x14ac:dyDescent="0.35">
      <c r="A1009" s="138" t="s">
        <v>487</v>
      </c>
      <c r="B1009" s="138" t="s">
        <v>3809</v>
      </c>
      <c r="C1009" s="138" t="s">
        <v>3983</v>
      </c>
      <c r="D1009" s="138" t="s">
        <v>3991</v>
      </c>
      <c r="E1009" s="138" t="s">
        <v>4003</v>
      </c>
      <c r="F1009" s="138" t="s">
        <v>3824</v>
      </c>
      <c r="G1009" s="138" t="s">
        <v>3853</v>
      </c>
      <c r="H1009" s="81" t="str">
        <f t="shared" si="100"/>
        <v>TCCN-PTE-PFL-PR1-CF2-SES-EST</v>
      </c>
      <c r="I1009" s="138" t="str">
        <f>MID(H1009,1,(LEN(H1009)-VLOOKUP(K1009,datos!$B$2:$C$12,2,0)))</f>
        <v>TCCN-PTE-PFL-PR1-CF2-SES-EST</v>
      </c>
      <c r="J1009" s="138" t="s">
        <v>5852</v>
      </c>
      <c r="K1009" s="140">
        <f>VLOOKUP(LEN(SUBSTITUTE(H1009,"-","")),datos!$A$1:$B$12,2,0)</f>
        <v>7</v>
      </c>
      <c r="L1009" s="138"/>
      <c r="M1009" s="138" t="s">
        <v>0</v>
      </c>
    </row>
    <row r="1010" spans="1:13" x14ac:dyDescent="0.35">
      <c r="A1010" s="138" t="s">
        <v>487</v>
      </c>
      <c r="B1010" s="138" t="s">
        <v>3809</v>
      </c>
      <c r="C1010" s="138" t="s">
        <v>3983</v>
      </c>
      <c r="D1010" s="138" t="s">
        <v>3991</v>
      </c>
      <c r="E1010" s="138" t="s">
        <v>4003</v>
      </c>
      <c r="F1010" s="138" t="s">
        <v>3824</v>
      </c>
      <c r="G1010" s="138" t="s">
        <v>4000</v>
      </c>
      <c r="H1010" s="81" t="str">
        <f t="shared" si="100"/>
        <v>TCCN-PTE-PFL-PR1-CF2-SES-CRW</v>
      </c>
      <c r="I1010" s="138" t="str">
        <f>MID(H1010,1,(LEN(H1010)-VLOOKUP(K1010,datos!$B$2:$C$12,2,0)))</f>
        <v>TCCN-PTE-PFL-PR1-CF2-SES-CRW</v>
      </c>
      <c r="J1010" s="138" t="s">
        <v>5853</v>
      </c>
      <c r="K1010" s="140">
        <f>VLOOKUP(LEN(SUBSTITUTE(H1010,"-","")),datos!$A$1:$B$12,2,0)</f>
        <v>7</v>
      </c>
      <c r="L1010" s="138"/>
      <c r="M1010" s="138" t="s">
        <v>0</v>
      </c>
    </row>
    <row r="1011" spans="1:13" x14ac:dyDescent="0.35">
      <c r="A1011" s="137" t="s">
        <v>487</v>
      </c>
      <c r="B1011" s="137" t="s">
        <v>3809</v>
      </c>
      <c r="C1011" s="137" t="s">
        <v>3983</v>
      </c>
      <c r="D1011" s="137" t="s">
        <v>3991</v>
      </c>
      <c r="E1011" s="137" t="s">
        <v>4003</v>
      </c>
      <c r="F1011" s="137" t="s">
        <v>3847</v>
      </c>
      <c r="G1011" s="137"/>
      <c r="H1011" s="82" t="str">
        <f t="shared" si="100"/>
        <v>TCCN-PTE-PFL-PR1-CF2-SMO-</v>
      </c>
      <c r="I1011" s="137" t="str">
        <f>MID(H1011,1,(LEN(H1011)-VLOOKUP(K1011,datos!$B$2:$C$12,2,0)))</f>
        <v>TCCN-PTE-PFL-PR1-CF2-SMO</v>
      </c>
      <c r="J1011" s="137" t="s">
        <v>5861</v>
      </c>
      <c r="K1011" s="139">
        <f>VLOOKUP(LEN(SUBSTITUTE(H1011,"-","")),datos!$A$1:$B$12,2,0)</f>
        <v>6</v>
      </c>
      <c r="L1011" s="137"/>
      <c r="M1011" s="137" t="s">
        <v>0</v>
      </c>
    </row>
    <row r="1012" spans="1:13" x14ac:dyDescent="0.35">
      <c r="A1012" s="138" t="s">
        <v>487</v>
      </c>
      <c r="B1012" s="138" t="s">
        <v>3809</v>
      </c>
      <c r="C1012" s="138" t="s">
        <v>3983</v>
      </c>
      <c r="D1012" s="138" t="s">
        <v>3991</v>
      </c>
      <c r="E1012" s="138" t="s">
        <v>4003</v>
      </c>
      <c r="F1012" s="138" t="s">
        <v>3847</v>
      </c>
      <c r="G1012" s="138" t="s">
        <v>3819</v>
      </c>
      <c r="H1012" s="81" t="str">
        <f t="shared" si="100"/>
        <v>TCCN-PTE-PFL-PR1-CF2-SMO-MOE</v>
      </c>
      <c r="I1012" s="138" t="str">
        <f>MID(H1012,1,(LEN(H1012)-VLOOKUP(K1012,datos!$B$2:$C$12,2,0)))</f>
        <v>TCCN-PTE-PFL-PR1-CF2-SMO-MOE</v>
      </c>
      <c r="J1012" s="138" t="s">
        <v>5854</v>
      </c>
      <c r="K1012" s="140">
        <f>VLOOKUP(LEN(SUBSTITUTE(H1012,"-","")),datos!$A$1:$B$12,2,0)</f>
        <v>7</v>
      </c>
      <c r="L1012" s="138" t="s">
        <v>174</v>
      </c>
      <c r="M1012" s="138" t="s">
        <v>0</v>
      </c>
    </row>
    <row r="1013" spans="1:13" x14ac:dyDescent="0.35">
      <c r="A1013" s="138" t="s">
        <v>487</v>
      </c>
      <c r="B1013" s="138" t="s">
        <v>3809</v>
      </c>
      <c r="C1013" s="138" t="s">
        <v>3983</v>
      </c>
      <c r="D1013" s="138" t="s">
        <v>3991</v>
      </c>
      <c r="E1013" s="138" t="s">
        <v>4003</v>
      </c>
      <c r="F1013" s="138" t="s">
        <v>3847</v>
      </c>
      <c r="G1013" s="138" t="s">
        <v>3864</v>
      </c>
      <c r="H1013" s="81" t="str">
        <f t="shared" si="100"/>
        <v>TCCN-PTE-PFL-PR1-CF2-SMO-PMO</v>
      </c>
      <c r="I1013" s="138" t="str">
        <f>MID(H1013,1,(LEN(H1013)-VLOOKUP(K1013,datos!$B$2:$C$12,2,0)))</f>
        <v>TCCN-PTE-PFL-PR1-CF2-SMO-PMO</v>
      </c>
      <c r="J1013" s="138" t="s">
        <v>5855</v>
      </c>
      <c r="K1013" s="140">
        <f>VLOOKUP(LEN(SUBSTITUTE(H1013,"-","")),datos!$A$1:$B$12,2,0)</f>
        <v>7</v>
      </c>
      <c r="L1013" s="138"/>
      <c r="M1013" s="138" t="s">
        <v>0</v>
      </c>
    </row>
    <row r="1014" spans="1:13" x14ac:dyDescent="0.35">
      <c r="A1014" s="138" t="s">
        <v>487</v>
      </c>
      <c r="B1014" s="138" t="s">
        <v>3809</v>
      </c>
      <c r="C1014" s="138" t="s">
        <v>3983</v>
      </c>
      <c r="D1014" s="138" t="s">
        <v>3991</v>
      </c>
      <c r="E1014" s="138" t="s">
        <v>4003</v>
      </c>
      <c r="F1014" s="138" t="s">
        <v>3847</v>
      </c>
      <c r="G1014" s="138" t="s">
        <v>8116</v>
      </c>
      <c r="H1014" s="81" t="str">
        <f t="shared" ref="H1014:H1073" si="101">CONCATENATE(A1014,"-",B1014,"-",C1014,"-",D1014,"-",E1014,"-",F1014,"-",G1014)</f>
        <v>TCCN-PTE-PFL-PR1-CF2-SMO-PLE</v>
      </c>
      <c r="I1014" s="138" t="str">
        <f>MID(H1014,1,(LEN(H1014)-VLOOKUP(K1014,datos!$B$2:$C$12,2,0)))</f>
        <v>TCCN-PTE-PFL-PR1-CF2-SMO-PLE</v>
      </c>
      <c r="J1014" s="138" t="s">
        <v>5856</v>
      </c>
      <c r="K1014" s="140">
        <f>VLOOKUP(LEN(SUBSTITUTE(H1014,"-","")),datos!$A$1:$B$12,2,0)</f>
        <v>7</v>
      </c>
      <c r="L1014" s="138"/>
      <c r="M1014" s="138" t="s">
        <v>0</v>
      </c>
    </row>
    <row r="1015" spans="1:13" x14ac:dyDescent="0.35">
      <c r="A1015" s="138" t="s">
        <v>487</v>
      </c>
      <c r="B1015" s="138" t="s">
        <v>3809</v>
      </c>
      <c r="C1015" s="138" t="s">
        <v>3983</v>
      </c>
      <c r="D1015" s="138" t="s">
        <v>3991</v>
      </c>
      <c r="E1015" s="138" t="s">
        <v>4003</v>
      </c>
      <c r="F1015" s="138" t="s">
        <v>3847</v>
      </c>
      <c r="G1015" s="138" t="s">
        <v>5688</v>
      </c>
      <c r="H1015" s="81" t="str">
        <f t="shared" si="101"/>
        <v>TCCN-PTE-PFL-PR1-CF2-SMO-PRP</v>
      </c>
      <c r="I1015" s="138" t="str">
        <f>MID(H1015,1,(LEN(H1015)-VLOOKUP(K1015,datos!$B$2:$C$12,2,0)))</f>
        <v>TCCN-PTE-PFL-PR1-CF2-SMO-PRP</v>
      </c>
      <c r="J1015" s="138" t="s">
        <v>5857</v>
      </c>
      <c r="K1015" s="140">
        <f>VLOOKUP(LEN(SUBSTITUTE(H1015,"-","")),datos!$A$1:$B$12,2,0)</f>
        <v>7</v>
      </c>
      <c r="L1015" s="138"/>
      <c r="M1015" s="138" t="s">
        <v>0</v>
      </c>
    </row>
    <row r="1016" spans="1:13" x14ac:dyDescent="0.35">
      <c r="A1016" s="137" t="s">
        <v>487</v>
      </c>
      <c r="B1016" s="137" t="s">
        <v>3809</v>
      </c>
      <c r="C1016" s="137" t="s">
        <v>3983</v>
      </c>
      <c r="D1016" s="137" t="s">
        <v>3991</v>
      </c>
      <c r="E1016" s="137" t="s">
        <v>4003</v>
      </c>
      <c r="F1016" s="137" t="s">
        <v>3831</v>
      </c>
      <c r="G1016" s="137"/>
      <c r="H1016" s="82" t="str">
        <f t="shared" si="101"/>
        <v>TCCN-PTE-PFL-PR1-CF2-INS-</v>
      </c>
      <c r="I1016" s="137" t="str">
        <f>MID(H1016,1,(LEN(H1016)-VLOOKUP(K1016,datos!$B$2:$C$12,2,0)))</f>
        <v>TCCN-PTE-PFL-PR1-CF2-INS</v>
      </c>
      <c r="J1016" s="137" t="s">
        <v>5858</v>
      </c>
      <c r="K1016" s="139">
        <f>VLOOKUP(LEN(SUBSTITUTE(H1016,"-","")),datos!$A$1:$B$12,2,0)</f>
        <v>6</v>
      </c>
      <c r="L1016" s="137"/>
      <c r="M1016" s="137" t="s">
        <v>0</v>
      </c>
    </row>
    <row r="1017" spans="1:13" x14ac:dyDescent="0.35">
      <c r="A1017" s="138" t="s">
        <v>487</v>
      </c>
      <c r="B1017" s="138" t="s">
        <v>3809</v>
      </c>
      <c r="C1017" s="138" t="s">
        <v>3983</v>
      </c>
      <c r="D1017" s="138" t="s">
        <v>3991</v>
      </c>
      <c r="E1017" s="138" t="s">
        <v>4003</v>
      </c>
      <c r="F1017" s="138" t="s">
        <v>3831</v>
      </c>
      <c r="G1017" s="138" t="s">
        <v>4075</v>
      </c>
      <c r="H1017" s="81" t="str">
        <f t="shared" si="101"/>
        <v>TCCN-PTE-PFL-PR1-CF2-INS-VVA</v>
      </c>
      <c r="I1017" s="138" t="str">
        <f>MID(H1017,1,(LEN(H1017)-VLOOKUP(K1017,datos!$B$2:$C$12,2,0)))</f>
        <v>TCCN-PTE-PFL-PR1-CF2-INS-VVA</v>
      </c>
      <c r="J1017" s="138" t="s">
        <v>7702</v>
      </c>
      <c r="K1017" s="140">
        <f>VLOOKUP(LEN(SUBSTITUTE(H1017,"-","")),datos!$A$1:$B$12,2,0)</f>
        <v>7</v>
      </c>
      <c r="L1017" s="138" t="s">
        <v>7699</v>
      </c>
      <c r="M1017" s="138" t="s">
        <v>0</v>
      </c>
    </row>
    <row r="1018" spans="1:13" x14ac:dyDescent="0.35">
      <c r="A1018" s="138" t="s">
        <v>487</v>
      </c>
      <c r="B1018" s="138" t="s">
        <v>3809</v>
      </c>
      <c r="C1018" s="138" t="s">
        <v>3983</v>
      </c>
      <c r="D1018" s="138" t="s">
        <v>3991</v>
      </c>
      <c r="E1018" s="138" t="s">
        <v>4003</v>
      </c>
      <c r="F1018" s="138" t="s">
        <v>3831</v>
      </c>
      <c r="G1018" s="138" t="s">
        <v>5256</v>
      </c>
      <c r="H1018" s="81" t="str">
        <f t="shared" si="101"/>
        <v>TCCN-PTE-PFL-PR1-CF2-INS-MNV</v>
      </c>
      <c r="I1018" s="138" t="str">
        <f>MID(H1018,1,(LEN(H1018)-VLOOKUP(K1018,datos!$B$2:$C$12,2,0)))</f>
        <v>TCCN-PTE-PFL-PR1-CF2-INS-MNV</v>
      </c>
      <c r="J1018" s="138" t="s">
        <v>7707</v>
      </c>
      <c r="K1018" s="140">
        <f>VLOOKUP(LEN(SUBSTITUTE(H1018,"-","")),datos!$A$1:$B$12,2,0)</f>
        <v>7</v>
      </c>
      <c r="L1018" s="138" t="s">
        <v>7701</v>
      </c>
      <c r="M1018" s="138" t="s">
        <v>0</v>
      </c>
    </row>
    <row r="1019" spans="1:13" x14ac:dyDescent="0.35">
      <c r="A1019" s="138" t="s">
        <v>487</v>
      </c>
      <c r="B1019" s="138" t="s">
        <v>3809</v>
      </c>
      <c r="C1019" s="138" t="s">
        <v>3983</v>
      </c>
      <c r="D1019" s="138" t="s">
        <v>3991</v>
      </c>
      <c r="E1019" s="138" t="s">
        <v>4003</v>
      </c>
      <c r="F1019" s="138" t="s">
        <v>3831</v>
      </c>
      <c r="G1019" s="138" t="s">
        <v>4002</v>
      </c>
      <c r="H1019" s="81" t="str">
        <f t="shared" si="101"/>
        <v>TCCN-PTE-PFL-PR1-CF2-INS-FJM</v>
      </c>
      <c r="I1019" s="138" t="str">
        <f>MID(H1019,1,(LEN(H1019)-VLOOKUP(K1019,datos!$B$2:$C$12,2,0)))</f>
        <v>TCCN-PTE-PFL-PR1-CF2-INS-FJM</v>
      </c>
      <c r="J1019" s="138" t="s">
        <v>7708</v>
      </c>
      <c r="K1019" s="140">
        <f>VLOOKUP(LEN(SUBSTITUTE(H1019,"-","")),datos!$A$1:$B$12,2,0)</f>
        <v>7</v>
      </c>
      <c r="L1019" s="138" t="s">
        <v>7700</v>
      </c>
      <c r="M1019" s="138" t="s">
        <v>0</v>
      </c>
    </row>
    <row r="1020" spans="1:13" x14ac:dyDescent="0.35">
      <c r="A1020" s="137" t="s">
        <v>487</v>
      </c>
      <c r="B1020" s="137" t="s">
        <v>3809</v>
      </c>
      <c r="C1020" s="137" t="s">
        <v>3983</v>
      </c>
      <c r="D1020" s="137" t="s">
        <v>3991</v>
      </c>
      <c r="E1020" s="137" t="s">
        <v>4003</v>
      </c>
      <c r="F1020" s="137" t="s">
        <v>3869</v>
      </c>
      <c r="G1020" s="137"/>
      <c r="H1020" s="82" t="str">
        <f t="shared" si="101"/>
        <v>TCCN-PTE-PFL-PR1-CF2-SCE-</v>
      </c>
      <c r="I1020" s="137" t="str">
        <f>MID(H1020,1,(LEN(H1020)-VLOOKUP(K1020,datos!$B$2:$C$12,2,0)))</f>
        <v>TCCN-PTE-PFL-PR1-CF2-SCE</v>
      </c>
      <c r="J1020" s="137" t="s">
        <v>5859</v>
      </c>
      <c r="K1020" s="139">
        <f>VLOOKUP(LEN(SUBSTITUTE(H1020,"-","")),datos!$A$1:$B$12,2,0)</f>
        <v>6</v>
      </c>
      <c r="L1020" s="137"/>
      <c r="M1020" s="137" t="s">
        <v>0</v>
      </c>
    </row>
    <row r="1021" spans="1:13" x14ac:dyDescent="0.35">
      <c r="A1021" s="138" t="s">
        <v>487</v>
      </c>
      <c r="B1021" s="138" t="s">
        <v>3809</v>
      </c>
      <c r="C1021" s="138" t="s">
        <v>3983</v>
      </c>
      <c r="D1021" s="138" t="s">
        <v>3991</v>
      </c>
      <c r="E1021" s="138" t="s">
        <v>4003</v>
      </c>
      <c r="F1021" s="138" t="s">
        <v>3869</v>
      </c>
      <c r="G1021" s="138" t="s">
        <v>3870</v>
      </c>
      <c r="H1021" s="81" t="str">
        <f t="shared" si="101"/>
        <v>TCCN-PTE-PFL-PR1-CF2-SCE-BTN</v>
      </c>
      <c r="I1021" s="138" t="str">
        <f>MID(H1021,1,(LEN(H1021)-VLOOKUP(K1021,datos!$B$2:$C$12,2,0)))</f>
        <v>TCCN-PTE-PFL-PR1-CF2-SCE-BTN</v>
      </c>
      <c r="J1021" s="138" t="s">
        <v>5860</v>
      </c>
      <c r="K1021" s="140">
        <f>VLOOKUP(LEN(SUBSTITUTE(H1021,"-","")),datos!$A$1:$B$12,2,0)</f>
        <v>7</v>
      </c>
      <c r="L1021" s="138"/>
      <c r="M1021" s="138" t="s">
        <v>0</v>
      </c>
    </row>
    <row r="1022" spans="1:13" customFormat="1" ht="14.5" x14ac:dyDescent="0.35">
      <c r="A1022" s="129" t="s">
        <v>487</v>
      </c>
      <c r="B1022" s="129" t="s">
        <v>3809</v>
      </c>
      <c r="C1022" s="129" t="s">
        <v>3983</v>
      </c>
      <c r="D1022" s="129" t="s">
        <v>3991</v>
      </c>
      <c r="E1022" s="129" t="s">
        <v>3965</v>
      </c>
      <c r="F1022" s="129"/>
      <c r="G1022" s="129"/>
      <c r="H1022" s="83" t="str">
        <f t="shared" ref="H1022:H1024" si="102">CONCATENATE(A1022,"-",B1022,"-",C1022,"-",D1022,"-",E1022,"-",F1022,"-",G1022)</f>
        <v>TCCN-PTE-PFL-PR1-CB1--</v>
      </c>
      <c r="I1022" s="129" t="str">
        <f>MID(H1022,1,(LEN(H1022)-VLOOKUP(K1022,datos!$B$2:$C$12,2,0)))</f>
        <v>TCCN-PTE-PFL-PR1-CB1</v>
      </c>
      <c r="J1022" s="129" t="s">
        <v>7705</v>
      </c>
      <c r="K1022" s="130">
        <f>VLOOKUP(LEN(SUBSTITUTE(H1022,"-","")),datos!$A$1:$B$12,2,0)</f>
        <v>5</v>
      </c>
      <c r="L1022" s="129"/>
      <c r="M1022" s="129" t="s">
        <v>0</v>
      </c>
    </row>
    <row r="1023" spans="1:13" x14ac:dyDescent="0.35">
      <c r="A1023" s="137" t="s">
        <v>487</v>
      </c>
      <c r="B1023" s="137" t="s">
        <v>3809</v>
      </c>
      <c r="C1023" s="137" t="s">
        <v>3983</v>
      </c>
      <c r="D1023" s="137" t="s">
        <v>3991</v>
      </c>
      <c r="E1023" s="137" t="s">
        <v>3965</v>
      </c>
      <c r="F1023" s="137" t="s">
        <v>3831</v>
      </c>
      <c r="G1023" s="137"/>
      <c r="H1023" s="82" t="str">
        <f t="shared" si="102"/>
        <v>TCCN-PTE-PFL-PR1-CB1-INS-</v>
      </c>
      <c r="I1023" s="137" t="str">
        <f>MID(H1023,1,(LEN(H1023)-VLOOKUP(K1023,datos!$B$2:$C$12,2,0)))</f>
        <v>TCCN-PTE-PFL-PR1-CB1-INS</v>
      </c>
      <c r="J1023" s="137" t="s">
        <v>7706</v>
      </c>
      <c r="K1023" s="139">
        <f>VLOOKUP(LEN(SUBSTITUTE(H1023,"-","")),datos!$A$1:$B$12,2,0)</f>
        <v>6</v>
      </c>
      <c r="L1023" s="137"/>
      <c r="M1023" s="137" t="s">
        <v>0</v>
      </c>
    </row>
    <row r="1024" spans="1:13" x14ac:dyDescent="0.35">
      <c r="A1024" s="138" t="s">
        <v>487</v>
      </c>
      <c r="B1024" s="138" t="s">
        <v>3809</v>
      </c>
      <c r="C1024" s="138" t="s">
        <v>3983</v>
      </c>
      <c r="D1024" s="138" t="s">
        <v>3991</v>
      </c>
      <c r="E1024" s="138" t="s">
        <v>3965</v>
      </c>
      <c r="F1024" s="138" t="s">
        <v>3831</v>
      </c>
      <c r="G1024" s="138" t="s">
        <v>3986</v>
      </c>
      <c r="H1024" s="81" t="str">
        <f t="shared" si="102"/>
        <v>TCCN-PTE-PFL-PR1-CB1-INS-VV1</v>
      </c>
      <c r="I1024" s="138" t="str">
        <f>MID(H1024,1,(LEN(H1024)-VLOOKUP(K1024,datos!$B$2:$C$12,2,0)))</f>
        <v>TCCN-PTE-PFL-PR1-CB1-INS-VV1</v>
      </c>
      <c r="J1024" s="138" t="s">
        <v>7709</v>
      </c>
      <c r="K1024" s="140">
        <f>VLOOKUP(LEN(SUBSTITUTE(H1024,"-","")),datos!$A$1:$B$12,2,0)</f>
        <v>7</v>
      </c>
      <c r="L1024" s="138" t="s">
        <v>7703</v>
      </c>
      <c r="M1024" s="138" t="s">
        <v>0</v>
      </c>
    </row>
    <row r="1025" spans="1:13" x14ac:dyDescent="0.35">
      <c r="A1025" s="138" t="s">
        <v>487</v>
      </c>
      <c r="B1025" s="138" t="s">
        <v>3809</v>
      </c>
      <c r="C1025" s="138" t="s">
        <v>3983</v>
      </c>
      <c r="D1025" s="138" t="s">
        <v>3991</v>
      </c>
      <c r="E1025" s="138" t="s">
        <v>3965</v>
      </c>
      <c r="F1025" s="138" t="s">
        <v>3831</v>
      </c>
      <c r="G1025" s="138" t="s">
        <v>3987</v>
      </c>
      <c r="H1025" s="81" t="str">
        <f t="shared" ref="H1025" si="103">CONCATENATE(A1025,"-",B1025,"-",C1025,"-",D1025,"-",E1025,"-",F1025,"-",G1025)</f>
        <v>TCCN-PTE-PFL-PR1-CB1-INS-VV2</v>
      </c>
      <c r="I1025" s="138" t="str">
        <f>MID(H1025,1,(LEN(H1025)-VLOOKUP(K1025,datos!$B$2:$C$12,2,0)))</f>
        <v>TCCN-PTE-PFL-PR1-CB1-INS-VV2</v>
      </c>
      <c r="J1025" s="138" t="s">
        <v>7710</v>
      </c>
      <c r="K1025" s="140">
        <f>VLOOKUP(LEN(SUBSTITUTE(H1025,"-","")),datos!$A$1:$B$12,2,0)</f>
        <v>7</v>
      </c>
      <c r="L1025" s="138" t="s">
        <v>7704</v>
      </c>
      <c r="M1025" s="138" t="s">
        <v>0</v>
      </c>
    </row>
    <row r="1026" spans="1:13" customFormat="1" ht="14.5" x14ac:dyDescent="0.35">
      <c r="A1026" s="129" t="s">
        <v>487</v>
      </c>
      <c r="B1026" s="129" t="s">
        <v>3809</v>
      </c>
      <c r="C1026" s="129" t="s">
        <v>3983</v>
      </c>
      <c r="D1026" s="129" t="s">
        <v>3991</v>
      </c>
      <c r="E1026" s="129" t="s">
        <v>4004</v>
      </c>
      <c r="F1026" s="129"/>
      <c r="G1026" s="129"/>
      <c r="H1026" s="83" t="str">
        <f t="shared" si="101"/>
        <v>TCCN-PTE-PFL-PR1-CF3--</v>
      </c>
      <c r="I1026" s="129" t="str">
        <f>MID(H1026,1,(LEN(H1026)-VLOOKUP(K1026,datos!$B$2:$C$12,2,0)))</f>
        <v>TCCN-PTE-PFL-PR1-CF3</v>
      </c>
      <c r="J1026" s="129" t="s">
        <v>442</v>
      </c>
      <c r="K1026" s="130">
        <f>VLOOKUP(LEN(SUBSTITUTE(H1026,"-","")),datos!$A$1:$B$12,2,0)</f>
        <v>5</v>
      </c>
      <c r="L1026" s="129" t="s">
        <v>175</v>
      </c>
      <c r="M1026" s="129" t="s">
        <v>0</v>
      </c>
    </row>
    <row r="1027" spans="1:13" x14ac:dyDescent="0.35">
      <c r="A1027" s="137" t="s">
        <v>487</v>
      </c>
      <c r="B1027" s="137" t="s">
        <v>3809</v>
      </c>
      <c r="C1027" s="137" t="s">
        <v>3983</v>
      </c>
      <c r="D1027" s="137" t="s">
        <v>3991</v>
      </c>
      <c r="E1027" s="137" t="s">
        <v>4004</v>
      </c>
      <c r="F1027" s="137" t="s">
        <v>3948</v>
      </c>
      <c r="G1027" s="137"/>
      <c r="H1027" s="82" t="str">
        <f t="shared" si="101"/>
        <v>TCCN-PTE-PFL-PR1-CF3-SCP-</v>
      </c>
      <c r="I1027" s="137" t="str">
        <f>MID(H1027,1,(LEN(H1027)-VLOOKUP(K1027,datos!$B$2:$C$12,2,0)))</f>
        <v>TCCN-PTE-PFL-PR1-CF3-SCP</v>
      </c>
      <c r="J1027" s="137" t="s">
        <v>5826</v>
      </c>
      <c r="K1027" s="139">
        <f>VLOOKUP(LEN(SUBSTITUTE(H1027,"-","")),datos!$A$1:$B$12,2,0)</f>
        <v>6</v>
      </c>
      <c r="L1027" s="137"/>
      <c r="M1027" s="137" t="s">
        <v>0</v>
      </c>
    </row>
    <row r="1028" spans="1:13" x14ac:dyDescent="0.35">
      <c r="A1028" s="138" t="s">
        <v>487</v>
      </c>
      <c r="B1028" s="138" t="s">
        <v>3809</v>
      </c>
      <c r="C1028" s="138" t="s">
        <v>3983</v>
      </c>
      <c r="D1028" s="138" t="s">
        <v>3991</v>
      </c>
      <c r="E1028" s="138" t="s">
        <v>4004</v>
      </c>
      <c r="F1028" s="138" t="s">
        <v>3948</v>
      </c>
      <c r="G1028" s="138" t="s">
        <v>3993</v>
      </c>
      <c r="H1028" s="81" t="str">
        <f t="shared" si="101"/>
        <v>TCCN-PTE-PFL-PR1-CF3-SCP-POR</v>
      </c>
      <c r="I1028" s="138" t="str">
        <f>MID(H1028,1,(LEN(H1028)-VLOOKUP(K1028,datos!$B$2:$C$12,2,0)))</f>
        <v>TCCN-PTE-PFL-PR1-CF3-SCP-POR</v>
      </c>
      <c r="J1028" s="138" t="s">
        <v>5827</v>
      </c>
      <c r="K1028" s="140">
        <f>VLOOKUP(LEN(SUBSTITUTE(H1028,"-","")),datos!$A$1:$B$12,2,0)</f>
        <v>7</v>
      </c>
      <c r="L1028" s="138"/>
      <c r="M1028" s="138" t="s">
        <v>0</v>
      </c>
    </row>
    <row r="1029" spans="1:13" x14ac:dyDescent="0.35">
      <c r="A1029" s="138" t="s">
        <v>487</v>
      </c>
      <c r="B1029" s="138" t="s">
        <v>3809</v>
      </c>
      <c r="C1029" s="138" t="s">
        <v>3983</v>
      </c>
      <c r="D1029" s="138" t="s">
        <v>3991</v>
      </c>
      <c r="E1029" s="138" t="s">
        <v>4004</v>
      </c>
      <c r="F1029" s="138" t="s">
        <v>3948</v>
      </c>
      <c r="G1029" s="138" t="s">
        <v>3994</v>
      </c>
      <c r="H1029" s="81" t="str">
        <f t="shared" si="101"/>
        <v>TCCN-PTE-PFL-PR1-CF3-SCP-RTO</v>
      </c>
      <c r="I1029" s="138" t="str">
        <f>MID(H1029,1,(LEN(H1029)-VLOOKUP(K1029,datos!$B$2:$C$12,2,0)))</f>
        <v>TCCN-PTE-PFL-PR1-CF3-SCP-RTO</v>
      </c>
      <c r="J1029" s="138" t="s">
        <v>5828</v>
      </c>
      <c r="K1029" s="140">
        <f>VLOOKUP(LEN(SUBSTITUTE(H1029,"-","")),datos!$A$1:$B$12,2,0)</f>
        <v>7</v>
      </c>
      <c r="L1029" s="138"/>
      <c r="M1029" s="138" t="s">
        <v>0</v>
      </c>
    </row>
    <row r="1030" spans="1:13" x14ac:dyDescent="0.35">
      <c r="A1030" s="138" t="s">
        <v>487</v>
      </c>
      <c r="B1030" s="138" t="s">
        <v>3809</v>
      </c>
      <c r="C1030" s="138" t="s">
        <v>3983</v>
      </c>
      <c r="D1030" s="138" t="s">
        <v>3991</v>
      </c>
      <c r="E1030" s="138" t="s">
        <v>4004</v>
      </c>
      <c r="F1030" s="138" t="s">
        <v>3948</v>
      </c>
      <c r="G1030" s="138" t="s">
        <v>3995</v>
      </c>
      <c r="H1030" s="81" t="str">
        <f t="shared" si="101"/>
        <v>TCCN-PTE-PFL-PR1-CF3-SCP-ETT</v>
      </c>
      <c r="I1030" s="138" t="str">
        <f>MID(H1030,1,(LEN(H1030)-VLOOKUP(K1030,datos!$B$2:$C$12,2,0)))</f>
        <v>TCCN-PTE-PFL-PR1-CF3-SCP-ETT</v>
      </c>
      <c r="J1030" s="138" t="s">
        <v>5829</v>
      </c>
      <c r="K1030" s="140">
        <f>VLOOKUP(LEN(SUBSTITUTE(H1030,"-","")),datos!$A$1:$B$12,2,0)</f>
        <v>7</v>
      </c>
      <c r="L1030" s="138"/>
      <c r="M1030" s="138" t="s">
        <v>0</v>
      </c>
    </row>
    <row r="1031" spans="1:13" x14ac:dyDescent="0.35">
      <c r="A1031" s="138" t="s">
        <v>487</v>
      </c>
      <c r="B1031" s="138" t="s">
        <v>3809</v>
      </c>
      <c r="C1031" s="138" t="s">
        <v>3983</v>
      </c>
      <c r="D1031" s="138" t="s">
        <v>3991</v>
      </c>
      <c r="E1031" s="138" t="s">
        <v>4004</v>
      </c>
      <c r="F1031" s="138" t="s">
        <v>3948</v>
      </c>
      <c r="G1031" s="138" t="s">
        <v>3996</v>
      </c>
      <c r="H1031" s="81" t="str">
        <f t="shared" si="101"/>
        <v>TCCN-PTE-PFL-PR1-CF3-SCP-DDT</v>
      </c>
      <c r="I1031" s="138" t="str">
        <f>MID(H1031,1,(LEN(H1031)-VLOOKUP(K1031,datos!$B$2:$C$12,2,0)))</f>
        <v>TCCN-PTE-PFL-PR1-CF3-SCP-DDT</v>
      </c>
      <c r="J1031" s="138" t="s">
        <v>5830</v>
      </c>
      <c r="K1031" s="140">
        <f>VLOOKUP(LEN(SUBSTITUTE(H1031,"-","")),datos!$A$1:$B$12,2,0)</f>
        <v>7</v>
      </c>
      <c r="L1031" s="138"/>
      <c r="M1031" s="138" t="s">
        <v>0</v>
      </c>
    </row>
    <row r="1032" spans="1:13" x14ac:dyDescent="0.35">
      <c r="A1032" s="138" t="s">
        <v>487</v>
      </c>
      <c r="B1032" s="138" t="s">
        <v>3809</v>
      </c>
      <c r="C1032" s="138" t="s">
        <v>3983</v>
      </c>
      <c r="D1032" s="138" t="s">
        <v>3991</v>
      </c>
      <c r="E1032" s="138" t="s">
        <v>4004</v>
      </c>
      <c r="F1032" s="138" t="s">
        <v>3948</v>
      </c>
      <c r="G1032" s="138" t="s">
        <v>3997</v>
      </c>
      <c r="H1032" s="81" t="str">
        <f t="shared" si="101"/>
        <v>TCCN-PTE-PFL-PR1-CF3-SCP-EJE</v>
      </c>
      <c r="I1032" s="138" t="str">
        <f>MID(H1032,1,(LEN(H1032)-VLOOKUP(K1032,datos!$B$2:$C$12,2,0)))</f>
        <v>TCCN-PTE-PFL-PR1-CF3-SCP-EJE</v>
      </c>
      <c r="J1032" s="138" t="s">
        <v>5831</v>
      </c>
      <c r="K1032" s="140">
        <f>VLOOKUP(LEN(SUBSTITUTE(H1032,"-","")),datos!$A$1:$B$12,2,0)</f>
        <v>7</v>
      </c>
      <c r="L1032" s="138"/>
      <c r="M1032" s="138" t="s">
        <v>0</v>
      </c>
    </row>
    <row r="1033" spans="1:13" x14ac:dyDescent="0.35">
      <c r="A1033" s="137" t="s">
        <v>487</v>
      </c>
      <c r="B1033" s="137" t="s">
        <v>3809</v>
      </c>
      <c r="C1033" s="137" t="s">
        <v>3983</v>
      </c>
      <c r="D1033" s="137" t="s">
        <v>3991</v>
      </c>
      <c r="E1033" s="137" t="s">
        <v>4004</v>
      </c>
      <c r="F1033" s="137" t="s">
        <v>3824</v>
      </c>
      <c r="G1033" s="137"/>
      <c r="H1033" s="82" t="str">
        <f t="shared" si="101"/>
        <v>TCCN-PTE-PFL-PR1-CF3-SES-</v>
      </c>
      <c r="I1033" s="137" t="str">
        <f>MID(H1033,1,(LEN(H1033)-VLOOKUP(K1033,datos!$B$2:$C$12,2,0)))</f>
        <v>TCCN-PTE-PFL-PR1-CF3-SES</v>
      </c>
      <c r="J1033" s="137" t="s">
        <v>5832</v>
      </c>
      <c r="K1033" s="139">
        <f>VLOOKUP(LEN(SUBSTITUTE(H1033,"-","")),datos!$A$1:$B$12,2,0)</f>
        <v>6</v>
      </c>
      <c r="L1033" s="137"/>
      <c r="M1033" s="137" t="s">
        <v>0</v>
      </c>
    </row>
    <row r="1034" spans="1:13" x14ac:dyDescent="0.35">
      <c r="A1034" s="138" t="s">
        <v>487</v>
      </c>
      <c r="B1034" s="138" t="s">
        <v>3809</v>
      </c>
      <c r="C1034" s="138" t="s">
        <v>3983</v>
      </c>
      <c r="D1034" s="138" t="s">
        <v>3991</v>
      </c>
      <c r="E1034" s="138" t="s">
        <v>4004</v>
      </c>
      <c r="F1034" s="138" t="s">
        <v>3824</v>
      </c>
      <c r="G1034" s="138" t="s">
        <v>3998</v>
      </c>
      <c r="H1034" s="81" t="str">
        <f t="shared" si="101"/>
        <v>TCCN-PTE-PFL-PR1-CF3-SES-BYG</v>
      </c>
      <c r="I1034" s="138" t="str">
        <f>MID(H1034,1,(LEN(H1034)-VLOOKUP(K1034,datos!$B$2:$C$12,2,0)))</f>
        <v>TCCN-PTE-PFL-PR1-CF3-SES-BYG</v>
      </c>
      <c r="J1034" s="138" t="s">
        <v>8010</v>
      </c>
      <c r="K1034" s="140">
        <f>VLOOKUP(LEN(SUBSTITUTE(H1034,"-","")),datos!$A$1:$B$12,2,0)</f>
        <v>7</v>
      </c>
      <c r="L1034" s="138"/>
      <c r="M1034" s="138" t="s">
        <v>0</v>
      </c>
    </row>
    <row r="1035" spans="1:13" x14ac:dyDescent="0.35">
      <c r="A1035" s="138" t="s">
        <v>487</v>
      </c>
      <c r="B1035" s="138" t="s">
        <v>3809</v>
      </c>
      <c r="C1035" s="138" t="s">
        <v>3983</v>
      </c>
      <c r="D1035" s="138" t="s">
        <v>3991</v>
      </c>
      <c r="E1035" s="138" t="s">
        <v>4004</v>
      </c>
      <c r="F1035" s="138" t="s">
        <v>3824</v>
      </c>
      <c r="G1035" s="138" t="s">
        <v>3999</v>
      </c>
      <c r="H1035" s="81" t="str">
        <f t="shared" si="101"/>
        <v>TCCN-PTE-PFL-PR1-CF3-SES-RDP</v>
      </c>
      <c r="I1035" s="138" t="str">
        <f>MID(H1035,1,(LEN(H1035)-VLOOKUP(K1035,datos!$B$2:$C$12,2,0)))</f>
        <v>TCCN-PTE-PFL-PR1-CF3-SES-RDP</v>
      </c>
      <c r="J1035" s="138" t="s">
        <v>5833</v>
      </c>
      <c r="K1035" s="140">
        <f>VLOOKUP(LEN(SUBSTITUTE(H1035,"-","")),datos!$A$1:$B$12,2,0)</f>
        <v>7</v>
      </c>
      <c r="L1035" s="138"/>
      <c r="M1035" s="138" t="s">
        <v>0</v>
      </c>
    </row>
    <row r="1036" spans="1:13" x14ac:dyDescent="0.35">
      <c r="A1036" s="138" t="s">
        <v>487</v>
      </c>
      <c r="B1036" s="138" t="s">
        <v>3809</v>
      </c>
      <c r="C1036" s="138" t="s">
        <v>3983</v>
      </c>
      <c r="D1036" s="138" t="s">
        <v>3991</v>
      </c>
      <c r="E1036" s="138" t="s">
        <v>4004</v>
      </c>
      <c r="F1036" s="138" t="s">
        <v>3824</v>
      </c>
      <c r="G1036" s="138" t="s">
        <v>3853</v>
      </c>
      <c r="H1036" s="81" t="str">
        <f t="shared" si="101"/>
        <v>TCCN-PTE-PFL-PR1-CF3-SES-EST</v>
      </c>
      <c r="I1036" s="138" t="str">
        <f>MID(H1036,1,(LEN(H1036)-VLOOKUP(K1036,datos!$B$2:$C$12,2,0)))</f>
        <v>TCCN-PTE-PFL-PR1-CF3-SES-EST</v>
      </c>
      <c r="J1036" s="138" t="s">
        <v>5834</v>
      </c>
      <c r="K1036" s="140">
        <f>VLOOKUP(LEN(SUBSTITUTE(H1036,"-","")),datos!$A$1:$B$12,2,0)</f>
        <v>7</v>
      </c>
      <c r="L1036" s="138"/>
      <c r="M1036" s="138" t="s">
        <v>0</v>
      </c>
    </row>
    <row r="1037" spans="1:13" x14ac:dyDescent="0.35">
      <c r="A1037" s="138" t="s">
        <v>487</v>
      </c>
      <c r="B1037" s="138" t="s">
        <v>3809</v>
      </c>
      <c r="C1037" s="138" t="s">
        <v>3983</v>
      </c>
      <c r="D1037" s="138" t="s">
        <v>3991</v>
      </c>
      <c r="E1037" s="138" t="s">
        <v>4004</v>
      </c>
      <c r="F1037" s="138" t="s">
        <v>3824</v>
      </c>
      <c r="G1037" s="138" t="s">
        <v>4000</v>
      </c>
      <c r="H1037" s="81" t="str">
        <f t="shared" si="101"/>
        <v>TCCN-PTE-PFL-PR1-CF3-SES-CRW</v>
      </c>
      <c r="I1037" s="138" t="str">
        <f>MID(H1037,1,(LEN(H1037)-VLOOKUP(K1037,datos!$B$2:$C$12,2,0)))</f>
        <v>TCCN-PTE-PFL-PR1-CF3-SES-CRW</v>
      </c>
      <c r="J1037" s="138" t="s">
        <v>5835</v>
      </c>
      <c r="K1037" s="140">
        <f>VLOOKUP(LEN(SUBSTITUTE(H1037,"-","")),datos!$A$1:$B$12,2,0)</f>
        <v>7</v>
      </c>
      <c r="L1037" s="138"/>
      <c r="M1037" s="138" t="s">
        <v>0</v>
      </c>
    </row>
    <row r="1038" spans="1:13" x14ac:dyDescent="0.35">
      <c r="A1038" s="137" t="s">
        <v>487</v>
      </c>
      <c r="B1038" s="137" t="s">
        <v>3809</v>
      </c>
      <c r="C1038" s="137" t="s">
        <v>3983</v>
      </c>
      <c r="D1038" s="137" t="s">
        <v>3991</v>
      </c>
      <c r="E1038" s="137" t="s">
        <v>4004</v>
      </c>
      <c r="F1038" s="137" t="s">
        <v>3847</v>
      </c>
      <c r="G1038" s="137"/>
      <c r="H1038" s="82" t="str">
        <f t="shared" si="101"/>
        <v>TCCN-PTE-PFL-PR1-CF3-SMO-</v>
      </c>
      <c r="I1038" s="137" t="str">
        <f>MID(H1038,1,(LEN(H1038)-VLOOKUP(K1038,datos!$B$2:$C$12,2,0)))</f>
        <v>TCCN-PTE-PFL-PR1-CF3-SMO</v>
      </c>
      <c r="J1038" s="137" t="s">
        <v>5836</v>
      </c>
      <c r="K1038" s="139">
        <f>VLOOKUP(LEN(SUBSTITUTE(H1038,"-","")),datos!$A$1:$B$12,2,0)</f>
        <v>6</v>
      </c>
      <c r="L1038" s="137"/>
      <c r="M1038" s="137" t="s">
        <v>0</v>
      </c>
    </row>
    <row r="1039" spans="1:13" x14ac:dyDescent="0.35">
      <c r="A1039" s="138" t="s">
        <v>487</v>
      </c>
      <c r="B1039" s="138" t="s">
        <v>3809</v>
      </c>
      <c r="C1039" s="138" t="s">
        <v>3983</v>
      </c>
      <c r="D1039" s="138" t="s">
        <v>3991</v>
      </c>
      <c r="E1039" s="138" t="s">
        <v>4004</v>
      </c>
      <c r="F1039" s="138" t="s">
        <v>3847</v>
      </c>
      <c r="G1039" s="138" t="s">
        <v>3819</v>
      </c>
      <c r="H1039" s="81" t="str">
        <f t="shared" si="101"/>
        <v>TCCN-PTE-PFL-PR1-CF3-SMO-MOE</v>
      </c>
      <c r="I1039" s="138" t="str">
        <f>MID(H1039,1,(LEN(H1039)-VLOOKUP(K1039,datos!$B$2:$C$12,2,0)))</f>
        <v>TCCN-PTE-PFL-PR1-CF3-SMO-MOE</v>
      </c>
      <c r="J1039" s="138" t="s">
        <v>5837</v>
      </c>
      <c r="K1039" s="140">
        <f>VLOOKUP(LEN(SUBSTITUTE(H1039,"-","")),datos!$A$1:$B$12,2,0)</f>
        <v>7</v>
      </c>
      <c r="L1039" s="138" t="s">
        <v>176</v>
      </c>
      <c r="M1039" s="138" t="s">
        <v>0</v>
      </c>
    </row>
    <row r="1040" spans="1:13" x14ac:dyDescent="0.35">
      <c r="A1040" s="138" t="s">
        <v>487</v>
      </c>
      <c r="B1040" s="138" t="s">
        <v>3809</v>
      </c>
      <c r="C1040" s="138" t="s">
        <v>3983</v>
      </c>
      <c r="D1040" s="138" t="s">
        <v>3991</v>
      </c>
      <c r="E1040" s="138" t="s">
        <v>4004</v>
      </c>
      <c r="F1040" s="138" t="s">
        <v>3847</v>
      </c>
      <c r="G1040" s="138" t="s">
        <v>3864</v>
      </c>
      <c r="H1040" s="81" t="str">
        <f t="shared" si="101"/>
        <v>TCCN-PTE-PFL-PR1-CF3-SMO-PMO</v>
      </c>
      <c r="I1040" s="138" t="str">
        <f>MID(H1040,1,(LEN(H1040)-VLOOKUP(K1040,datos!$B$2:$C$12,2,0)))</f>
        <v>TCCN-PTE-PFL-PR1-CF3-SMO-PMO</v>
      </c>
      <c r="J1040" s="138" t="s">
        <v>5838</v>
      </c>
      <c r="K1040" s="140">
        <f>VLOOKUP(LEN(SUBSTITUTE(H1040,"-","")),datos!$A$1:$B$12,2,0)</f>
        <v>7</v>
      </c>
      <c r="L1040" s="138"/>
      <c r="M1040" s="138" t="s">
        <v>0</v>
      </c>
    </row>
    <row r="1041" spans="1:13" x14ac:dyDescent="0.35">
      <c r="A1041" s="138" t="s">
        <v>487</v>
      </c>
      <c r="B1041" s="138" t="s">
        <v>3809</v>
      </c>
      <c r="C1041" s="138" t="s">
        <v>3983</v>
      </c>
      <c r="D1041" s="138" t="s">
        <v>3991</v>
      </c>
      <c r="E1041" s="138" t="s">
        <v>4004</v>
      </c>
      <c r="F1041" s="138" t="s">
        <v>3847</v>
      </c>
      <c r="G1041" s="138" t="s">
        <v>8116</v>
      </c>
      <c r="H1041" s="81" t="str">
        <f t="shared" si="101"/>
        <v>TCCN-PTE-PFL-PR1-CF3-SMO-PLE</v>
      </c>
      <c r="I1041" s="138" t="str">
        <f>MID(H1041,1,(LEN(H1041)-VLOOKUP(K1041,datos!$B$2:$C$12,2,0)))</f>
        <v>TCCN-PTE-PFL-PR1-CF3-SMO-PLE</v>
      </c>
      <c r="J1041" s="138" t="s">
        <v>5839</v>
      </c>
      <c r="K1041" s="140">
        <f>VLOOKUP(LEN(SUBSTITUTE(H1041,"-","")),datos!$A$1:$B$12,2,0)</f>
        <v>7</v>
      </c>
      <c r="L1041" s="138"/>
      <c r="M1041" s="138" t="s">
        <v>0</v>
      </c>
    </row>
    <row r="1042" spans="1:13" x14ac:dyDescent="0.35">
      <c r="A1042" s="138" t="s">
        <v>487</v>
      </c>
      <c r="B1042" s="138" t="s">
        <v>3809</v>
      </c>
      <c r="C1042" s="138" t="s">
        <v>3983</v>
      </c>
      <c r="D1042" s="138" t="s">
        <v>3991</v>
      </c>
      <c r="E1042" s="138" t="s">
        <v>4004</v>
      </c>
      <c r="F1042" s="138" t="s">
        <v>3847</v>
      </c>
      <c r="G1042" s="138" t="s">
        <v>5688</v>
      </c>
      <c r="H1042" s="81" t="str">
        <f t="shared" si="101"/>
        <v>TCCN-PTE-PFL-PR1-CF3-SMO-PRP</v>
      </c>
      <c r="I1042" s="138" t="str">
        <f>MID(H1042,1,(LEN(H1042)-VLOOKUP(K1042,datos!$B$2:$C$12,2,0)))</f>
        <v>TCCN-PTE-PFL-PR1-CF3-SMO-PRP</v>
      </c>
      <c r="J1042" s="138" t="s">
        <v>5840</v>
      </c>
      <c r="K1042" s="140">
        <f>VLOOKUP(LEN(SUBSTITUTE(H1042,"-","")),datos!$A$1:$B$12,2,0)</f>
        <v>7</v>
      </c>
      <c r="L1042" s="138"/>
      <c r="M1042" s="138" t="s">
        <v>0</v>
      </c>
    </row>
    <row r="1043" spans="1:13" x14ac:dyDescent="0.35">
      <c r="A1043" s="137" t="s">
        <v>487</v>
      </c>
      <c r="B1043" s="137" t="s">
        <v>3809</v>
      </c>
      <c r="C1043" s="137" t="s">
        <v>3983</v>
      </c>
      <c r="D1043" s="137" t="s">
        <v>3991</v>
      </c>
      <c r="E1043" s="137" t="s">
        <v>4004</v>
      </c>
      <c r="F1043" s="137" t="s">
        <v>3831</v>
      </c>
      <c r="G1043" s="137"/>
      <c r="H1043" s="82" t="str">
        <f t="shared" si="101"/>
        <v>TCCN-PTE-PFL-PR1-CF3-INS-</v>
      </c>
      <c r="I1043" s="137" t="str">
        <f>MID(H1043,1,(LEN(H1043)-VLOOKUP(K1043,datos!$B$2:$C$12,2,0)))</f>
        <v>TCCN-PTE-PFL-PR1-CF3-INS</v>
      </c>
      <c r="J1043" s="137" t="s">
        <v>5843</v>
      </c>
      <c r="K1043" s="139">
        <f>VLOOKUP(LEN(SUBSTITUTE(H1043,"-","")),datos!$A$1:$B$12,2,0)</f>
        <v>6</v>
      </c>
      <c r="L1043" s="137"/>
      <c r="M1043" s="137" t="s">
        <v>0</v>
      </c>
    </row>
    <row r="1044" spans="1:13" x14ac:dyDescent="0.35">
      <c r="A1044" s="138" t="s">
        <v>487</v>
      </c>
      <c r="B1044" s="138" t="s">
        <v>3809</v>
      </c>
      <c r="C1044" s="138" t="s">
        <v>3983</v>
      </c>
      <c r="D1044" s="138" t="s">
        <v>3991</v>
      </c>
      <c r="E1044" s="138" t="s">
        <v>4004</v>
      </c>
      <c r="F1044" s="138" t="s">
        <v>3831</v>
      </c>
      <c r="G1044" s="138" t="s">
        <v>4075</v>
      </c>
      <c r="H1044" s="81" t="str">
        <f t="shared" si="101"/>
        <v>TCCN-PTE-PFL-PR1-CF3-INS-VVA</v>
      </c>
      <c r="I1044" s="138" t="str">
        <f>MID(H1044,1,(LEN(H1044)-VLOOKUP(K1044,datos!$B$2:$C$12,2,0)))</f>
        <v>TCCN-PTE-PFL-PR1-CF3-INS-VVA</v>
      </c>
      <c r="J1044" s="138" t="s">
        <v>7713</v>
      </c>
      <c r="K1044" s="140">
        <f>VLOOKUP(LEN(SUBSTITUTE(H1044,"-","")),datos!$A$1:$B$12,2,0)</f>
        <v>7</v>
      </c>
      <c r="L1044" s="138" t="s">
        <v>7711</v>
      </c>
      <c r="M1044" s="138" t="s">
        <v>0</v>
      </c>
    </row>
    <row r="1045" spans="1:13" x14ac:dyDescent="0.35">
      <c r="A1045" s="138" t="s">
        <v>487</v>
      </c>
      <c r="B1045" s="138" t="s">
        <v>3809</v>
      </c>
      <c r="C1045" s="138" t="s">
        <v>3983</v>
      </c>
      <c r="D1045" s="138" t="s">
        <v>3991</v>
      </c>
      <c r="E1045" s="138" t="s">
        <v>4004</v>
      </c>
      <c r="F1045" s="138" t="s">
        <v>3831</v>
      </c>
      <c r="G1045" s="138" t="s">
        <v>4002</v>
      </c>
      <c r="H1045" s="81" t="str">
        <f t="shared" si="101"/>
        <v>TCCN-PTE-PFL-PR1-CF3-INS-FJM</v>
      </c>
      <c r="I1045" s="138" t="str">
        <f>MID(H1045,1,(LEN(H1045)-VLOOKUP(K1045,datos!$B$2:$C$12,2,0)))</f>
        <v>TCCN-PTE-PFL-PR1-CF3-INS-FJM</v>
      </c>
      <c r="J1045" s="138" t="s">
        <v>7714</v>
      </c>
      <c r="K1045" s="140">
        <f>VLOOKUP(LEN(SUBSTITUTE(H1045,"-","")),datos!$A$1:$B$12,2,0)</f>
        <v>7</v>
      </c>
      <c r="L1045" s="138" t="s">
        <v>7712</v>
      </c>
      <c r="M1045" s="138" t="s">
        <v>0</v>
      </c>
    </row>
    <row r="1046" spans="1:13" x14ac:dyDescent="0.35">
      <c r="A1046" s="137" t="s">
        <v>487</v>
      </c>
      <c r="B1046" s="137" t="s">
        <v>3809</v>
      </c>
      <c r="C1046" s="137" t="s">
        <v>3983</v>
      </c>
      <c r="D1046" s="137" t="s">
        <v>3991</v>
      </c>
      <c r="E1046" s="137" t="s">
        <v>4004</v>
      </c>
      <c r="F1046" s="137" t="s">
        <v>3869</v>
      </c>
      <c r="G1046" s="137"/>
      <c r="H1046" s="82" t="str">
        <f t="shared" si="101"/>
        <v>TCCN-PTE-PFL-PR1-CF3-SCE-</v>
      </c>
      <c r="I1046" s="137" t="str">
        <f>MID(H1046,1,(LEN(H1046)-VLOOKUP(K1046,datos!$B$2:$C$12,2,0)))</f>
        <v>TCCN-PTE-PFL-PR1-CF3-SCE</v>
      </c>
      <c r="J1046" s="137" t="s">
        <v>5841</v>
      </c>
      <c r="K1046" s="139">
        <f>VLOOKUP(LEN(SUBSTITUTE(H1046,"-","")),datos!$A$1:$B$12,2,0)</f>
        <v>6</v>
      </c>
      <c r="L1046" s="137"/>
      <c r="M1046" s="137" t="s">
        <v>0</v>
      </c>
    </row>
    <row r="1047" spans="1:13" x14ac:dyDescent="0.35">
      <c r="A1047" s="138" t="s">
        <v>487</v>
      </c>
      <c r="B1047" s="138" t="s">
        <v>3809</v>
      </c>
      <c r="C1047" s="138" t="s">
        <v>3983</v>
      </c>
      <c r="D1047" s="138" t="s">
        <v>3991</v>
      </c>
      <c r="E1047" s="138" t="s">
        <v>4004</v>
      </c>
      <c r="F1047" s="138" t="s">
        <v>3869</v>
      </c>
      <c r="G1047" s="138" t="s">
        <v>3870</v>
      </c>
      <c r="H1047" s="81" t="str">
        <f t="shared" si="101"/>
        <v>TCCN-PTE-PFL-PR1-CF3-SCE-BTN</v>
      </c>
      <c r="I1047" s="138" t="str">
        <f>MID(H1047,1,(LEN(H1047)-VLOOKUP(K1047,datos!$B$2:$C$12,2,0)))</f>
        <v>TCCN-PTE-PFL-PR1-CF3-SCE-BTN</v>
      </c>
      <c r="J1047" s="138" t="s">
        <v>5842</v>
      </c>
      <c r="K1047" s="140">
        <f>VLOOKUP(LEN(SUBSTITUTE(H1047,"-","")),datos!$A$1:$B$12,2,0)</f>
        <v>7</v>
      </c>
      <c r="L1047" s="138"/>
      <c r="M1047" s="138" t="s">
        <v>0</v>
      </c>
    </row>
    <row r="1048" spans="1:13" customFormat="1" ht="14.5" x14ac:dyDescent="0.35">
      <c r="A1048" s="129" t="s">
        <v>487</v>
      </c>
      <c r="B1048" s="129" t="s">
        <v>3809</v>
      </c>
      <c r="C1048" s="129" t="s">
        <v>3983</v>
      </c>
      <c r="D1048" s="129" t="s">
        <v>3991</v>
      </c>
      <c r="E1048" s="129" t="s">
        <v>4005</v>
      </c>
      <c r="F1048" s="129"/>
      <c r="G1048" s="129"/>
      <c r="H1048" s="83" t="str">
        <f t="shared" si="101"/>
        <v>TCCN-PTE-PFL-PR1-CF4--</v>
      </c>
      <c r="I1048" s="129" t="str">
        <f>MID(H1048,1,(LEN(H1048)-VLOOKUP(K1048,datos!$B$2:$C$12,2,0)))</f>
        <v>TCCN-PTE-PFL-PR1-CF4</v>
      </c>
      <c r="J1048" s="129" t="s">
        <v>443</v>
      </c>
      <c r="K1048" s="130">
        <f>VLOOKUP(LEN(SUBSTITUTE(H1048,"-","")),datos!$A$1:$B$12,2,0)</f>
        <v>5</v>
      </c>
      <c r="L1048" s="129" t="s">
        <v>177</v>
      </c>
      <c r="M1048" s="129" t="s">
        <v>0</v>
      </c>
    </row>
    <row r="1049" spans="1:13" x14ac:dyDescent="0.35">
      <c r="A1049" s="137" t="s">
        <v>487</v>
      </c>
      <c r="B1049" s="137" t="s">
        <v>3809</v>
      </c>
      <c r="C1049" s="137" t="s">
        <v>3983</v>
      </c>
      <c r="D1049" s="137" t="s">
        <v>3991</v>
      </c>
      <c r="E1049" s="137" t="s">
        <v>4005</v>
      </c>
      <c r="F1049" s="137" t="s">
        <v>3948</v>
      </c>
      <c r="G1049" s="137"/>
      <c r="H1049" s="82" t="str">
        <f t="shared" si="101"/>
        <v>TCCN-PTE-PFL-PR1-CF4-SCP-</v>
      </c>
      <c r="I1049" s="137" t="str">
        <f>MID(H1049,1,(LEN(H1049)-VLOOKUP(K1049,datos!$B$2:$C$12,2,0)))</f>
        <v>TCCN-PTE-PFL-PR1-CF4-SCP</v>
      </c>
      <c r="J1049" s="137" t="s">
        <v>5808</v>
      </c>
      <c r="K1049" s="139">
        <f>VLOOKUP(LEN(SUBSTITUTE(H1049,"-","")),datos!$A$1:$B$12,2,0)</f>
        <v>6</v>
      </c>
      <c r="L1049" s="137"/>
      <c r="M1049" s="137" t="s">
        <v>0</v>
      </c>
    </row>
    <row r="1050" spans="1:13" x14ac:dyDescent="0.35">
      <c r="A1050" s="138" t="s">
        <v>487</v>
      </c>
      <c r="B1050" s="138" t="s">
        <v>3809</v>
      </c>
      <c r="C1050" s="138" t="s">
        <v>3983</v>
      </c>
      <c r="D1050" s="138" t="s">
        <v>3991</v>
      </c>
      <c r="E1050" s="138" t="s">
        <v>4005</v>
      </c>
      <c r="F1050" s="138" t="s">
        <v>3948</v>
      </c>
      <c r="G1050" s="138" t="s">
        <v>3993</v>
      </c>
      <c r="H1050" s="81" t="str">
        <f t="shared" si="101"/>
        <v>TCCN-PTE-PFL-PR1-CF4-SCP-POR</v>
      </c>
      <c r="I1050" s="138" t="str">
        <f>MID(H1050,1,(LEN(H1050)-VLOOKUP(K1050,datos!$B$2:$C$12,2,0)))</f>
        <v>TCCN-PTE-PFL-PR1-CF4-SCP-POR</v>
      </c>
      <c r="J1050" s="138" t="s">
        <v>5809</v>
      </c>
      <c r="K1050" s="140">
        <f>VLOOKUP(LEN(SUBSTITUTE(H1050,"-","")),datos!$A$1:$B$12,2,0)</f>
        <v>7</v>
      </c>
      <c r="L1050" s="138"/>
      <c r="M1050" s="138" t="s">
        <v>0</v>
      </c>
    </row>
    <row r="1051" spans="1:13" x14ac:dyDescent="0.35">
      <c r="A1051" s="138" t="s">
        <v>487</v>
      </c>
      <c r="B1051" s="138" t="s">
        <v>3809</v>
      </c>
      <c r="C1051" s="138" t="s">
        <v>3983</v>
      </c>
      <c r="D1051" s="138" t="s">
        <v>3991</v>
      </c>
      <c r="E1051" s="138" t="s">
        <v>4005</v>
      </c>
      <c r="F1051" s="138" t="s">
        <v>3948</v>
      </c>
      <c r="G1051" s="138" t="s">
        <v>3994</v>
      </c>
      <c r="H1051" s="81" t="str">
        <f t="shared" si="101"/>
        <v>TCCN-PTE-PFL-PR1-CF4-SCP-RTO</v>
      </c>
      <c r="I1051" s="138" t="str">
        <f>MID(H1051,1,(LEN(H1051)-VLOOKUP(K1051,datos!$B$2:$C$12,2,0)))</f>
        <v>TCCN-PTE-PFL-PR1-CF4-SCP-RTO</v>
      </c>
      <c r="J1051" s="138" t="s">
        <v>5810</v>
      </c>
      <c r="K1051" s="140">
        <f>VLOOKUP(LEN(SUBSTITUTE(H1051,"-","")),datos!$A$1:$B$12,2,0)</f>
        <v>7</v>
      </c>
      <c r="L1051" s="138"/>
      <c r="M1051" s="138" t="s">
        <v>0</v>
      </c>
    </row>
    <row r="1052" spans="1:13" x14ac:dyDescent="0.35">
      <c r="A1052" s="138" t="s">
        <v>487</v>
      </c>
      <c r="B1052" s="138" t="s">
        <v>3809</v>
      </c>
      <c r="C1052" s="138" t="s">
        <v>3983</v>
      </c>
      <c r="D1052" s="138" t="s">
        <v>3991</v>
      </c>
      <c r="E1052" s="138" t="s">
        <v>4005</v>
      </c>
      <c r="F1052" s="138" t="s">
        <v>3948</v>
      </c>
      <c r="G1052" s="138" t="s">
        <v>3995</v>
      </c>
      <c r="H1052" s="81" t="str">
        <f t="shared" si="101"/>
        <v>TCCN-PTE-PFL-PR1-CF4-SCP-ETT</v>
      </c>
      <c r="I1052" s="138" t="str">
        <f>MID(H1052,1,(LEN(H1052)-VLOOKUP(K1052,datos!$B$2:$C$12,2,0)))</f>
        <v>TCCN-PTE-PFL-PR1-CF4-SCP-ETT</v>
      </c>
      <c r="J1052" s="138" t="s">
        <v>5811</v>
      </c>
      <c r="K1052" s="140">
        <f>VLOOKUP(LEN(SUBSTITUTE(H1052,"-","")),datos!$A$1:$B$12,2,0)</f>
        <v>7</v>
      </c>
      <c r="L1052" s="138"/>
      <c r="M1052" s="138" t="s">
        <v>0</v>
      </c>
    </row>
    <row r="1053" spans="1:13" x14ac:dyDescent="0.35">
      <c r="A1053" s="138" t="s">
        <v>487</v>
      </c>
      <c r="B1053" s="138" t="s">
        <v>3809</v>
      </c>
      <c r="C1053" s="138" t="s">
        <v>3983</v>
      </c>
      <c r="D1053" s="138" t="s">
        <v>3991</v>
      </c>
      <c r="E1053" s="138" t="s">
        <v>4005</v>
      </c>
      <c r="F1053" s="138" t="s">
        <v>3948</v>
      </c>
      <c r="G1053" s="138" t="s">
        <v>3996</v>
      </c>
      <c r="H1053" s="81" t="str">
        <f t="shared" si="101"/>
        <v>TCCN-PTE-PFL-PR1-CF4-SCP-DDT</v>
      </c>
      <c r="I1053" s="138" t="str">
        <f>MID(H1053,1,(LEN(H1053)-VLOOKUP(K1053,datos!$B$2:$C$12,2,0)))</f>
        <v>TCCN-PTE-PFL-PR1-CF4-SCP-DDT</v>
      </c>
      <c r="J1053" s="138" t="s">
        <v>5812</v>
      </c>
      <c r="K1053" s="140">
        <f>VLOOKUP(LEN(SUBSTITUTE(H1053,"-","")),datos!$A$1:$B$12,2,0)</f>
        <v>7</v>
      </c>
      <c r="L1053" s="138"/>
      <c r="M1053" s="138" t="s">
        <v>0</v>
      </c>
    </row>
    <row r="1054" spans="1:13" x14ac:dyDescent="0.35">
      <c r="A1054" s="138" t="s">
        <v>487</v>
      </c>
      <c r="B1054" s="138" t="s">
        <v>3809</v>
      </c>
      <c r="C1054" s="138" t="s">
        <v>3983</v>
      </c>
      <c r="D1054" s="138" t="s">
        <v>3991</v>
      </c>
      <c r="E1054" s="138" t="s">
        <v>4005</v>
      </c>
      <c r="F1054" s="138" t="s">
        <v>3948</v>
      </c>
      <c r="G1054" s="138" t="s">
        <v>3997</v>
      </c>
      <c r="H1054" s="81" t="str">
        <f t="shared" si="101"/>
        <v>TCCN-PTE-PFL-PR1-CF4-SCP-EJE</v>
      </c>
      <c r="I1054" s="138" t="str">
        <f>MID(H1054,1,(LEN(H1054)-VLOOKUP(K1054,datos!$B$2:$C$12,2,0)))</f>
        <v>TCCN-PTE-PFL-PR1-CF4-SCP-EJE</v>
      </c>
      <c r="J1054" s="138" t="s">
        <v>5813</v>
      </c>
      <c r="K1054" s="140">
        <f>VLOOKUP(LEN(SUBSTITUTE(H1054,"-","")),datos!$A$1:$B$12,2,0)</f>
        <v>7</v>
      </c>
      <c r="L1054" s="138"/>
      <c r="M1054" s="138" t="s">
        <v>0</v>
      </c>
    </row>
    <row r="1055" spans="1:13" x14ac:dyDescent="0.35">
      <c r="A1055" s="137" t="s">
        <v>487</v>
      </c>
      <c r="B1055" s="137" t="s">
        <v>3809</v>
      </c>
      <c r="C1055" s="137" t="s">
        <v>3983</v>
      </c>
      <c r="D1055" s="137" t="s">
        <v>3991</v>
      </c>
      <c r="E1055" s="137" t="s">
        <v>4005</v>
      </c>
      <c r="F1055" s="137" t="s">
        <v>3824</v>
      </c>
      <c r="G1055" s="137"/>
      <c r="H1055" s="82" t="str">
        <f t="shared" si="101"/>
        <v>TCCN-PTE-PFL-PR1-CF4-SES-</v>
      </c>
      <c r="I1055" s="137" t="str">
        <f>MID(H1055,1,(LEN(H1055)-VLOOKUP(K1055,datos!$B$2:$C$12,2,0)))</f>
        <v>TCCN-PTE-PFL-PR1-CF4-SES</v>
      </c>
      <c r="J1055" s="137" t="s">
        <v>5814</v>
      </c>
      <c r="K1055" s="139">
        <f>VLOOKUP(LEN(SUBSTITUTE(H1055,"-","")),datos!$A$1:$B$12,2,0)</f>
        <v>6</v>
      </c>
      <c r="L1055" s="137"/>
      <c r="M1055" s="137" t="s">
        <v>0</v>
      </c>
    </row>
    <row r="1056" spans="1:13" x14ac:dyDescent="0.35">
      <c r="A1056" s="138" t="s">
        <v>487</v>
      </c>
      <c r="B1056" s="138" t="s">
        <v>3809</v>
      </c>
      <c r="C1056" s="138" t="s">
        <v>3983</v>
      </c>
      <c r="D1056" s="138" t="s">
        <v>3991</v>
      </c>
      <c r="E1056" s="138" t="s">
        <v>4005</v>
      </c>
      <c r="F1056" s="138" t="s">
        <v>3824</v>
      </c>
      <c r="G1056" s="138" t="s">
        <v>3998</v>
      </c>
      <c r="H1056" s="81" t="str">
        <f t="shared" si="101"/>
        <v>TCCN-PTE-PFL-PR1-CF4-SES-BYG</v>
      </c>
      <c r="I1056" s="138" t="str">
        <f>MID(H1056,1,(LEN(H1056)-VLOOKUP(K1056,datos!$B$2:$C$12,2,0)))</f>
        <v>TCCN-PTE-PFL-PR1-CF4-SES-BYG</v>
      </c>
      <c r="J1056" s="138" t="s">
        <v>8011</v>
      </c>
      <c r="K1056" s="140">
        <f>VLOOKUP(LEN(SUBSTITUTE(H1056,"-","")),datos!$A$1:$B$12,2,0)</f>
        <v>7</v>
      </c>
      <c r="L1056" s="138"/>
      <c r="M1056" s="138" t="s">
        <v>0</v>
      </c>
    </row>
    <row r="1057" spans="1:13" x14ac:dyDescent="0.35">
      <c r="A1057" s="138" t="s">
        <v>487</v>
      </c>
      <c r="B1057" s="138" t="s">
        <v>3809</v>
      </c>
      <c r="C1057" s="138" t="s">
        <v>3983</v>
      </c>
      <c r="D1057" s="138" t="s">
        <v>3991</v>
      </c>
      <c r="E1057" s="138" t="s">
        <v>4005</v>
      </c>
      <c r="F1057" s="138" t="s">
        <v>3824</v>
      </c>
      <c r="G1057" s="138" t="s">
        <v>3999</v>
      </c>
      <c r="H1057" s="81" t="str">
        <f t="shared" si="101"/>
        <v>TCCN-PTE-PFL-PR1-CF4-SES-RDP</v>
      </c>
      <c r="I1057" s="138" t="str">
        <f>MID(H1057,1,(LEN(H1057)-VLOOKUP(K1057,datos!$B$2:$C$12,2,0)))</f>
        <v>TCCN-PTE-PFL-PR1-CF4-SES-RDP</v>
      </c>
      <c r="J1057" s="138" t="s">
        <v>5815</v>
      </c>
      <c r="K1057" s="140">
        <f>VLOOKUP(LEN(SUBSTITUTE(H1057,"-","")),datos!$A$1:$B$12,2,0)</f>
        <v>7</v>
      </c>
      <c r="L1057" s="138"/>
      <c r="M1057" s="138" t="s">
        <v>0</v>
      </c>
    </row>
    <row r="1058" spans="1:13" x14ac:dyDescent="0.35">
      <c r="A1058" s="138" t="s">
        <v>487</v>
      </c>
      <c r="B1058" s="138" t="s">
        <v>3809</v>
      </c>
      <c r="C1058" s="138" t="s">
        <v>3983</v>
      </c>
      <c r="D1058" s="138" t="s">
        <v>3991</v>
      </c>
      <c r="E1058" s="138" t="s">
        <v>4005</v>
      </c>
      <c r="F1058" s="138" t="s">
        <v>3824</v>
      </c>
      <c r="G1058" s="138" t="s">
        <v>3853</v>
      </c>
      <c r="H1058" s="81" t="str">
        <f t="shared" si="101"/>
        <v>TCCN-PTE-PFL-PR1-CF4-SES-EST</v>
      </c>
      <c r="I1058" s="138" t="str">
        <f>MID(H1058,1,(LEN(H1058)-VLOOKUP(K1058,datos!$B$2:$C$12,2,0)))</f>
        <v>TCCN-PTE-PFL-PR1-CF4-SES-EST</v>
      </c>
      <c r="J1058" s="138" t="s">
        <v>5816</v>
      </c>
      <c r="K1058" s="140">
        <f>VLOOKUP(LEN(SUBSTITUTE(H1058,"-","")),datos!$A$1:$B$12,2,0)</f>
        <v>7</v>
      </c>
      <c r="L1058" s="138"/>
      <c r="M1058" s="138" t="s">
        <v>0</v>
      </c>
    </row>
    <row r="1059" spans="1:13" x14ac:dyDescent="0.35">
      <c r="A1059" s="138" t="s">
        <v>487</v>
      </c>
      <c r="B1059" s="138" t="s">
        <v>3809</v>
      </c>
      <c r="C1059" s="138" t="s">
        <v>3983</v>
      </c>
      <c r="D1059" s="138" t="s">
        <v>3991</v>
      </c>
      <c r="E1059" s="138" t="s">
        <v>4005</v>
      </c>
      <c r="F1059" s="138" t="s">
        <v>3824</v>
      </c>
      <c r="G1059" s="138" t="s">
        <v>4000</v>
      </c>
      <c r="H1059" s="81" t="str">
        <f t="shared" si="101"/>
        <v>TCCN-PTE-PFL-PR1-CF4-SES-CRW</v>
      </c>
      <c r="I1059" s="138" t="str">
        <f>MID(H1059,1,(LEN(H1059)-VLOOKUP(K1059,datos!$B$2:$C$12,2,0)))</f>
        <v>TCCN-PTE-PFL-PR1-CF4-SES-CRW</v>
      </c>
      <c r="J1059" s="138" t="s">
        <v>5817</v>
      </c>
      <c r="K1059" s="140">
        <f>VLOOKUP(LEN(SUBSTITUTE(H1059,"-","")),datos!$A$1:$B$12,2,0)</f>
        <v>7</v>
      </c>
      <c r="L1059" s="138"/>
      <c r="M1059" s="138" t="s">
        <v>0</v>
      </c>
    </row>
    <row r="1060" spans="1:13" x14ac:dyDescent="0.35">
      <c r="A1060" s="137" t="s">
        <v>487</v>
      </c>
      <c r="B1060" s="137" t="s">
        <v>3809</v>
      </c>
      <c r="C1060" s="137" t="s">
        <v>3983</v>
      </c>
      <c r="D1060" s="137" t="s">
        <v>3991</v>
      </c>
      <c r="E1060" s="137" t="s">
        <v>4005</v>
      </c>
      <c r="F1060" s="137" t="s">
        <v>3847</v>
      </c>
      <c r="G1060" s="137"/>
      <c r="H1060" s="82" t="str">
        <f t="shared" si="101"/>
        <v>TCCN-PTE-PFL-PR1-CF4-SMO-</v>
      </c>
      <c r="I1060" s="137" t="str">
        <f>MID(H1060,1,(LEN(H1060)-VLOOKUP(K1060,datos!$B$2:$C$12,2,0)))</f>
        <v>TCCN-PTE-PFL-PR1-CF4-SMO</v>
      </c>
      <c r="J1060" s="137" t="s">
        <v>5818</v>
      </c>
      <c r="K1060" s="139">
        <f>VLOOKUP(LEN(SUBSTITUTE(H1060,"-","")),datos!$A$1:$B$12,2,0)</f>
        <v>6</v>
      </c>
      <c r="L1060" s="137"/>
      <c r="M1060" s="137" t="s">
        <v>0</v>
      </c>
    </row>
    <row r="1061" spans="1:13" x14ac:dyDescent="0.35">
      <c r="A1061" s="138" t="s">
        <v>487</v>
      </c>
      <c r="B1061" s="138" t="s">
        <v>3809</v>
      </c>
      <c r="C1061" s="138" t="s">
        <v>3983</v>
      </c>
      <c r="D1061" s="138" t="s">
        <v>3991</v>
      </c>
      <c r="E1061" s="138" t="s">
        <v>4005</v>
      </c>
      <c r="F1061" s="138" t="s">
        <v>3847</v>
      </c>
      <c r="G1061" s="138" t="s">
        <v>3819</v>
      </c>
      <c r="H1061" s="81" t="str">
        <f t="shared" si="101"/>
        <v>TCCN-PTE-PFL-PR1-CF4-SMO-MOE</v>
      </c>
      <c r="I1061" s="138" t="str">
        <f>MID(H1061,1,(LEN(H1061)-VLOOKUP(K1061,datos!$B$2:$C$12,2,0)))</f>
        <v>TCCN-PTE-PFL-PR1-CF4-SMO-MOE</v>
      </c>
      <c r="J1061" s="138" t="s">
        <v>5819</v>
      </c>
      <c r="K1061" s="140">
        <f>VLOOKUP(LEN(SUBSTITUTE(H1061,"-","")),datos!$A$1:$B$12,2,0)</f>
        <v>7</v>
      </c>
      <c r="L1061" s="138" t="s">
        <v>178</v>
      </c>
      <c r="M1061" s="138" t="s">
        <v>0</v>
      </c>
    </row>
    <row r="1062" spans="1:13" x14ac:dyDescent="0.35">
      <c r="A1062" s="138" t="s">
        <v>487</v>
      </c>
      <c r="B1062" s="138" t="s">
        <v>3809</v>
      </c>
      <c r="C1062" s="138" t="s">
        <v>3983</v>
      </c>
      <c r="D1062" s="138" t="s">
        <v>3991</v>
      </c>
      <c r="E1062" s="138" t="s">
        <v>4005</v>
      </c>
      <c r="F1062" s="138" t="s">
        <v>3847</v>
      </c>
      <c r="G1062" s="138" t="s">
        <v>3864</v>
      </c>
      <c r="H1062" s="81" t="str">
        <f t="shared" si="101"/>
        <v>TCCN-PTE-PFL-PR1-CF4-SMO-PMO</v>
      </c>
      <c r="I1062" s="138" t="str">
        <f>MID(H1062,1,(LEN(H1062)-VLOOKUP(K1062,datos!$B$2:$C$12,2,0)))</f>
        <v>TCCN-PTE-PFL-PR1-CF4-SMO-PMO</v>
      </c>
      <c r="J1062" s="138" t="s">
        <v>5820</v>
      </c>
      <c r="K1062" s="140">
        <f>VLOOKUP(LEN(SUBSTITUTE(H1062,"-","")),datos!$A$1:$B$12,2,0)</f>
        <v>7</v>
      </c>
      <c r="L1062" s="138"/>
      <c r="M1062" s="138" t="s">
        <v>0</v>
      </c>
    </row>
    <row r="1063" spans="1:13" x14ac:dyDescent="0.35">
      <c r="A1063" s="138" t="s">
        <v>487</v>
      </c>
      <c r="B1063" s="138" t="s">
        <v>3809</v>
      </c>
      <c r="C1063" s="138" t="s">
        <v>3983</v>
      </c>
      <c r="D1063" s="138" t="s">
        <v>3991</v>
      </c>
      <c r="E1063" s="138" t="s">
        <v>4005</v>
      </c>
      <c r="F1063" s="138" t="s">
        <v>3847</v>
      </c>
      <c r="G1063" s="138" t="s">
        <v>8116</v>
      </c>
      <c r="H1063" s="81" t="str">
        <f t="shared" si="101"/>
        <v>TCCN-PTE-PFL-PR1-CF4-SMO-PLE</v>
      </c>
      <c r="I1063" s="138" t="str">
        <f>MID(H1063,1,(LEN(H1063)-VLOOKUP(K1063,datos!$B$2:$C$12,2,0)))</f>
        <v>TCCN-PTE-PFL-PR1-CF4-SMO-PLE</v>
      </c>
      <c r="J1063" s="138" t="s">
        <v>5821</v>
      </c>
      <c r="K1063" s="140">
        <f>VLOOKUP(LEN(SUBSTITUTE(H1063,"-","")),datos!$A$1:$B$12,2,0)</f>
        <v>7</v>
      </c>
      <c r="L1063" s="138"/>
      <c r="M1063" s="138" t="s">
        <v>0</v>
      </c>
    </row>
    <row r="1064" spans="1:13" x14ac:dyDescent="0.35">
      <c r="A1064" s="138" t="s">
        <v>487</v>
      </c>
      <c r="B1064" s="138" t="s">
        <v>3809</v>
      </c>
      <c r="C1064" s="138" t="s">
        <v>3983</v>
      </c>
      <c r="D1064" s="138" t="s">
        <v>3991</v>
      </c>
      <c r="E1064" s="138" t="s">
        <v>4005</v>
      </c>
      <c r="F1064" s="138" t="s">
        <v>3847</v>
      </c>
      <c r="G1064" s="138" t="s">
        <v>5688</v>
      </c>
      <c r="H1064" s="81" t="str">
        <f t="shared" si="101"/>
        <v>TCCN-PTE-PFL-PR1-CF4-SMO-PRP</v>
      </c>
      <c r="I1064" s="138" t="str">
        <f>MID(H1064,1,(LEN(H1064)-VLOOKUP(K1064,datos!$B$2:$C$12,2,0)))</f>
        <v>TCCN-PTE-PFL-PR1-CF4-SMO-PRP</v>
      </c>
      <c r="J1064" s="138" t="s">
        <v>5822</v>
      </c>
      <c r="K1064" s="140">
        <f>VLOOKUP(LEN(SUBSTITUTE(H1064,"-","")),datos!$A$1:$B$12,2,0)</f>
        <v>7</v>
      </c>
      <c r="L1064" s="138"/>
      <c r="M1064" s="138" t="s">
        <v>0</v>
      </c>
    </row>
    <row r="1065" spans="1:13" x14ac:dyDescent="0.35">
      <c r="A1065" s="137" t="s">
        <v>487</v>
      </c>
      <c r="B1065" s="137" t="s">
        <v>3809</v>
      </c>
      <c r="C1065" s="137" t="s">
        <v>3983</v>
      </c>
      <c r="D1065" s="137" t="s">
        <v>3991</v>
      </c>
      <c r="E1065" s="137" t="s">
        <v>4005</v>
      </c>
      <c r="F1065" s="137" t="s">
        <v>3831</v>
      </c>
      <c r="G1065" s="137"/>
      <c r="H1065" s="82" t="str">
        <f t="shared" si="101"/>
        <v>TCCN-PTE-PFL-PR1-CF4-INS-</v>
      </c>
      <c r="I1065" s="137" t="str">
        <f>MID(H1065,1,(LEN(H1065)-VLOOKUP(K1065,datos!$B$2:$C$12,2,0)))</f>
        <v>TCCN-PTE-PFL-PR1-CF4-INS</v>
      </c>
      <c r="J1065" s="137" t="s">
        <v>5823</v>
      </c>
      <c r="K1065" s="139">
        <f>VLOOKUP(LEN(SUBSTITUTE(H1065,"-","")),datos!$A$1:$B$12,2,0)</f>
        <v>6</v>
      </c>
      <c r="L1065" s="137"/>
      <c r="M1065" s="137" t="s">
        <v>0</v>
      </c>
    </row>
    <row r="1066" spans="1:13" x14ac:dyDescent="0.35">
      <c r="A1066" s="138" t="s">
        <v>487</v>
      </c>
      <c r="B1066" s="138" t="s">
        <v>3809</v>
      </c>
      <c r="C1066" s="138" t="s">
        <v>3983</v>
      </c>
      <c r="D1066" s="138" t="s">
        <v>3991</v>
      </c>
      <c r="E1066" s="138" t="s">
        <v>4005</v>
      </c>
      <c r="F1066" s="138" t="s">
        <v>3831</v>
      </c>
      <c r="G1066" s="138" t="s">
        <v>4075</v>
      </c>
      <c r="H1066" s="81" t="str">
        <f t="shared" ref="H1066:H1067" si="104">CONCATENATE(A1066,"-",B1066,"-",C1066,"-",D1066,"-",E1066,"-",F1066,"-",G1066)</f>
        <v>TCCN-PTE-PFL-PR1-CF4-INS-VVA</v>
      </c>
      <c r="I1066" s="138" t="str">
        <f>MID(H1066,1,(LEN(H1066)-VLOOKUP(K1066,datos!$B$2:$C$12,2,0)))</f>
        <v>TCCN-PTE-PFL-PR1-CF4-INS-VVA</v>
      </c>
      <c r="J1066" s="138" t="s">
        <v>7715</v>
      </c>
      <c r="K1066" s="140">
        <f>VLOOKUP(LEN(SUBSTITUTE(H1066,"-","")),datos!$A$1:$B$12,2,0)</f>
        <v>7</v>
      </c>
      <c r="L1066" s="138" t="s">
        <v>7717</v>
      </c>
      <c r="M1066" s="138" t="s">
        <v>0</v>
      </c>
    </row>
    <row r="1067" spans="1:13" x14ac:dyDescent="0.35">
      <c r="A1067" s="138" t="s">
        <v>487</v>
      </c>
      <c r="B1067" s="138" t="s">
        <v>3809</v>
      </c>
      <c r="C1067" s="138" t="s">
        <v>3983</v>
      </c>
      <c r="D1067" s="138" t="s">
        <v>3991</v>
      </c>
      <c r="E1067" s="138" t="s">
        <v>4005</v>
      </c>
      <c r="F1067" s="138" t="s">
        <v>3831</v>
      </c>
      <c r="G1067" s="138" t="s">
        <v>4002</v>
      </c>
      <c r="H1067" s="81" t="str">
        <f t="shared" si="104"/>
        <v>TCCN-PTE-PFL-PR1-CF4-INS-FJM</v>
      </c>
      <c r="I1067" s="138" t="str">
        <f>MID(H1067,1,(LEN(H1067)-VLOOKUP(K1067,datos!$B$2:$C$12,2,0)))</f>
        <v>TCCN-PTE-PFL-PR1-CF4-INS-FJM</v>
      </c>
      <c r="J1067" s="138" t="s">
        <v>7716</v>
      </c>
      <c r="K1067" s="140">
        <f>VLOOKUP(LEN(SUBSTITUTE(H1067,"-","")),datos!$A$1:$B$12,2,0)</f>
        <v>7</v>
      </c>
      <c r="L1067" s="138" t="s">
        <v>7718</v>
      </c>
      <c r="M1067" s="138" t="s">
        <v>0</v>
      </c>
    </row>
    <row r="1068" spans="1:13" x14ac:dyDescent="0.35">
      <c r="A1068" s="137" t="s">
        <v>487</v>
      </c>
      <c r="B1068" s="137" t="s">
        <v>3809</v>
      </c>
      <c r="C1068" s="137" t="s">
        <v>3983</v>
      </c>
      <c r="D1068" s="137" t="s">
        <v>3991</v>
      </c>
      <c r="E1068" s="137" t="s">
        <v>4005</v>
      </c>
      <c r="F1068" s="137" t="s">
        <v>3869</v>
      </c>
      <c r="G1068" s="137"/>
      <c r="H1068" s="82" t="str">
        <f t="shared" si="101"/>
        <v>TCCN-PTE-PFL-PR1-CF4-SCE-</v>
      </c>
      <c r="I1068" s="137" t="str">
        <f>MID(H1068,1,(LEN(H1068)-VLOOKUP(K1068,datos!$B$2:$C$12,2,0)))</f>
        <v>TCCN-PTE-PFL-PR1-CF4-SCE</v>
      </c>
      <c r="J1068" s="137" t="s">
        <v>5824</v>
      </c>
      <c r="K1068" s="139">
        <f>VLOOKUP(LEN(SUBSTITUTE(H1068,"-","")),datos!$A$1:$B$12,2,0)</f>
        <v>6</v>
      </c>
      <c r="L1068" s="137"/>
      <c r="M1068" s="137" t="s">
        <v>0</v>
      </c>
    </row>
    <row r="1069" spans="1:13" x14ac:dyDescent="0.35">
      <c r="A1069" s="138" t="s">
        <v>487</v>
      </c>
      <c r="B1069" s="138" t="s">
        <v>3809</v>
      </c>
      <c r="C1069" s="138" t="s">
        <v>3983</v>
      </c>
      <c r="D1069" s="138" t="s">
        <v>3991</v>
      </c>
      <c r="E1069" s="138" t="s">
        <v>4005</v>
      </c>
      <c r="F1069" s="138" t="s">
        <v>3869</v>
      </c>
      <c r="G1069" s="138" t="s">
        <v>3870</v>
      </c>
      <c r="H1069" s="81" t="str">
        <f t="shared" si="101"/>
        <v>TCCN-PTE-PFL-PR1-CF4-SCE-BTN</v>
      </c>
      <c r="I1069" s="138" t="str">
        <f>MID(H1069,1,(LEN(H1069)-VLOOKUP(K1069,datos!$B$2:$C$12,2,0)))</f>
        <v>TCCN-PTE-PFL-PR1-CF4-SCE-BTN</v>
      </c>
      <c r="J1069" s="138" t="s">
        <v>5825</v>
      </c>
      <c r="K1069" s="140">
        <f>VLOOKUP(LEN(SUBSTITUTE(H1069,"-","")),datos!$A$1:$B$12,2,0)</f>
        <v>7</v>
      </c>
      <c r="L1069" s="138"/>
      <c r="M1069" s="138" t="s">
        <v>0</v>
      </c>
    </row>
    <row r="1070" spans="1:13" customFormat="1" ht="14.5" x14ac:dyDescent="0.35">
      <c r="A1070" s="129" t="s">
        <v>487</v>
      </c>
      <c r="B1070" s="129" t="s">
        <v>3809</v>
      </c>
      <c r="C1070" s="129" t="s">
        <v>3983</v>
      </c>
      <c r="D1070" s="129" t="s">
        <v>3991</v>
      </c>
      <c r="E1070" s="129" t="s">
        <v>4006</v>
      </c>
      <c r="F1070" s="129"/>
      <c r="G1070" s="129"/>
      <c r="H1070" s="83" t="str">
        <f t="shared" si="101"/>
        <v>TCCN-PTE-PFL-PR1-CF5--</v>
      </c>
      <c r="I1070" s="129" t="str">
        <f>MID(H1070,1,(LEN(H1070)-VLOOKUP(K1070,datos!$B$2:$C$12,2,0)))</f>
        <v>TCCN-PTE-PFL-PR1-CF5</v>
      </c>
      <c r="J1070" s="129" t="s">
        <v>444</v>
      </c>
      <c r="K1070" s="130">
        <f>VLOOKUP(LEN(SUBSTITUTE(H1070,"-","")),datos!$A$1:$B$12,2,0)</f>
        <v>5</v>
      </c>
      <c r="L1070" s="129" t="s">
        <v>179</v>
      </c>
      <c r="M1070" s="129" t="s">
        <v>0</v>
      </c>
    </row>
    <row r="1071" spans="1:13" x14ac:dyDescent="0.35">
      <c r="A1071" s="137" t="s">
        <v>487</v>
      </c>
      <c r="B1071" s="137" t="s">
        <v>3809</v>
      </c>
      <c r="C1071" s="137" t="s">
        <v>3983</v>
      </c>
      <c r="D1071" s="137" t="s">
        <v>3991</v>
      </c>
      <c r="E1071" s="137" t="s">
        <v>4006</v>
      </c>
      <c r="F1071" s="137" t="s">
        <v>3948</v>
      </c>
      <c r="G1071" s="137"/>
      <c r="H1071" s="82" t="str">
        <f t="shared" si="101"/>
        <v>TCCN-PTE-PFL-PR1-CF5-SCP-</v>
      </c>
      <c r="I1071" s="137" t="str">
        <f>MID(H1071,1,(LEN(H1071)-VLOOKUP(K1071,datos!$B$2:$C$12,2,0)))</f>
        <v>TCCN-PTE-PFL-PR1-CF5-SCP</v>
      </c>
      <c r="J1071" s="137" t="s">
        <v>5790</v>
      </c>
      <c r="K1071" s="139">
        <f>VLOOKUP(LEN(SUBSTITUTE(H1071,"-","")),datos!$A$1:$B$12,2,0)</f>
        <v>6</v>
      </c>
      <c r="L1071" s="137"/>
      <c r="M1071" s="137" t="s">
        <v>0</v>
      </c>
    </row>
    <row r="1072" spans="1:13" x14ac:dyDescent="0.35">
      <c r="A1072" s="138" t="s">
        <v>487</v>
      </c>
      <c r="B1072" s="138" t="s">
        <v>3809</v>
      </c>
      <c r="C1072" s="138" t="s">
        <v>3983</v>
      </c>
      <c r="D1072" s="138" t="s">
        <v>3991</v>
      </c>
      <c r="E1072" s="138" t="s">
        <v>4006</v>
      </c>
      <c r="F1072" s="138" t="s">
        <v>3948</v>
      </c>
      <c r="G1072" s="138" t="s">
        <v>3993</v>
      </c>
      <c r="H1072" s="81" t="str">
        <f t="shared" si="101"/>
        <v>TCCN-PTE-PFL-PR1-CF5-SCP-POR</v>
      </c>
      <c r="I1072" s="138" t="str">
        <f>MID(H1072,1,(LEN(H1072)-VLOOKUP(K1072,datos!$B$2:$C$12,2,0)))</f>
        <v>TCCN-PTE-PFL-PR1-CF5-SCP-POR</v>
      </c>
      <c r="J1072" s="138" t="s">
        <v>5791</v>
      </c>
      <c r="K1072" s="140">
        <f>VLOOKUP(LEN(SUBSTITUTE(H1072,"-","")),datos!$A$1:$B$12,2,0)</f>
        <v>7</v>
      </c>
      <c r="L1072" s="138"/>
      <c r="M1072" s="138" t="s">
        <v>0</v>
      </c>
    </row>
    <row r="1073" spans="1:13" x14ac:dyDescent="0.35">
      <c r="A1073" s="138" t="s">
        <v>487</v>
      </c>
      <c r="B1073" s="138" t="s">
        <v>3809</v>
      </c>
      <c r="C1073" s="138" t="s">
        <v>3983</v>
      </c>
      <c r="D1073" s="138" t="s">
        <v>3991</v>
      </c>
      <c r="E1073" s="138" t="s">
        <v>4006</v>
      </c>
      <c r="F1073" s="138" t="s">
        <v>3948</v>
      </c>
      <c r="G1073" s="138" t="s">
        <v>3994</v>
      </c>
      <c r="H1073" s="81" t="str">
        <f t="shared" si="101"/>
        <v>TCCN-PTE-PFL-PR1-CF5-SCP-RTO</v>
      </c>
      <c r="I1073" s="138" t="str">
        <f>MID(H1073,1,(LEN(H1073)-VLOOKUP(K1073,datos!$B$2:$C$12,2,0)))</f>
        <v>TCCN-PTE-PFL-PR1-CF5-SCP-RTO</v>
      </c>
      <c r="J1073" s="138" t="s">
        <v>5792</v>
      </c>
      <c r="K1073" s="140">
        <f>VLOOKUP(LEN(SUBSTITUTE(H1073,"-","")),datos!$A$1:$B$12,2,0)</f>
        <v>7</v>
      </c>
      <c r="L1073" s="138"/>
      <c r="M1073" s="138" t="s">
        <v>0</v>
      </c>
    </row>
    <row r="1074" spans="1:13" x14ac:dyDescent="0.35">
      <c r="A1074" s="138" t="s">
        <v>487</v>
      </c>
      <c r="B1074" s="138" t="s">
        <v>3809</v>
      </c>
      <c r="C1074" s="138" t="s">
        <v>3983</v>
      </c>
      <c r="D1074" s="138" t="s">
        <v>3991</v>
      </c>
      <c r="E1074" s="138" t="s">
        <v>4006</v>
      </c>
      <c r="F1074" s="138" t="s">
        <v>3948</v>
      </c>
      <c r="G1074" s="138" t="s">
        <v>3995</v>
      </c>
      <c r="H1074" s="81" t="str">
        <f t="shared" ref="H1074:H1136" si="105">CONCATENATE(A1074,"-",B1074,"-",C1074,"-",D1074,"-",E1074,"-",F1074,"-",G1074)</f>
        <v>TCCN-PTE-PFL-PR1-CF5-SCP-ETT</v>
      </c>
      <c r="I1074" s="138" t="str">
        <f>MID(H1074,1,(LEN(H1074)-VLOOKUP(K1074,datos!$B$2:$C$12,2,0)))</f>
        <v>TCCN-PTE-PFL-PR1-CF5-SCP-ETT</v>
      </c>
      <c r="J1074" s="138" t="s">
        <v>5793</v>
      </c>
      <c r="K1074" s="140">
        <f>VLOOKUP(LEN(SUBSTITUTE(H1074,"-","")),datos!$A$1:$B$12,2,0)</f>
        <v>7</v>
      </c>
      <c r="L1074" s="138"/>
      <c r="M1074" s="138" t="s">
        <v>0</v>
      </c>
    </row>
    <row r="1075" spans="1:13" x14ac:dyDescent="0.35">
      <c r="A1075" s="138" t="s">
        <v>487</v>
      </c>
      <c r="B1075" s="138" t="s">
        <v>3809</v>
      </c>
      <c r="C1075" s="138" t="s">
        <v>3983</v>
      </c>
      <c r="D1075" s="138" t="s">
        <v>3991</v>
      </c>
      <c r="E1075" s="138" t="s">
        <v>4006</v>
      </c>
      <c r="F1075" s="138" t="s">
        <v>3948</v>
      </c>
      <c r="G1075" s="138" t="s">
        <v>3996</v>
      </c>
      <c r="H1075" s="81" t="str">
        <f t="shared" si="105"/>
        <v>TCCN-PTE-PFL-PR1-CF5-SCP-DDT</v>
      </c>
      <c r="I1075" s="138" t="str">
        <f>MID(H1075,1,(LEN(H1075)-VLOOKUP(K1075,datos!$B$2:$C$12,2,0)))</f>
        <v>TCCN-PTE-PFL-PR1-CF5-SCP-DDT</v>
      </c>
      <c r="J1075" s="138" t="s">
        <v>5794</v>
      </c>
      <c r="K1075" s="140">
        <f>VLOOKUP(LEN(SUBSTITUTE(H1075,"-","")),datos!$A$1:$B$12,2,0)</f>
        <v>7</v>
      </c>
      <c r="L1075" s="138"/>
      <c r="M1075" s="138" t="s">
        <v>0</v>
      </c>
    </row>
    <row r="1076" spans="1:13" x14ac:dyDescent="0.35">
      <c r="A1076" s="138" t="s">
        <v>487</v>
      </c>
      <c r="B1076" s="138" t="s">
        <v>3809</v>
      </c>
      <c r="C1076" s="138" t="s">
        <v>3983</v>
      </c>
      <c r="D1076" s="138" t="s">
        <v>3991</v>
      </c>
      <c r="E1076" s="138" t="s">
        <v>4006</v>
      </c>
      <c r="F1076" s="138" t="s">
        <v>3948</v>
      </c>
      <c r="G1076" s="138" t="s">
        <v>3997</v>
      </c>
      <c r="H1076" s="81" t="str">
        <f t="shared" si="105"/>
        <v>TCCN-PTE-PFL-PR1-CF5-SCP-EJE</v>
      </c>
      <c r="I1076" s="138" t="str">
        <f>MID(H1076,1,(LEN(H1076)-VLOOKUP(K1076,datos!$B$2:$C$12,2,0)))</f>
        <v>TCCN-PTE-PFL-PR1-CF5-SCP-EJE</v>
      </c>
      <c r="J1076" s="138" t="s">
        <v>5795</v>
      </c>
      <c r="K1076" s="140">
        <f>VLOOKUP(LEN(SUBSTITUTE(H1076,"-","")),datos!$A$1:$B$12,2,0)</f>
        <v>7</v>
      </c>
      <c r="L1076" s="138"/>
      <c r="M1076" s="138" t="s">
        <v>0</v>
      </c>
    </row>
    <row r="1077" spans="1:13" x14ac:dyDescent="0.35">
      <c r="A1077" s="137" t="s">
        <v>487</v>
      </c>
      <c r="B1077" s="137" t="s">
        <v>3809</v>
      </c>
      <c r="C1077" s="137" t="s">
        <v>3983</v>
      </c>
      <c r="D1077" s="137" t="s">
        <v>3991</v>
      </c>
      <c r="E1077" s="137" t="s">
        <v>4006</v>
      </c>
      <c r="F1077" s="137" t="s">
        <v>3824</v>
      </c>
      <c r="G1077" s="137"/>
      <c r="H1077" s="82" t="str">
        <f t="shared" si="105"/>
        <v>TCCN-PTE-PFL-PR1-CF5-SES-</v>
      </c>
      <c r="I1077" s="137" t="str">
        <f>MID(H1077,1,(LEN(H1077)-VLOOKUP(K1077,datos!$B$2:$C$12,2,0)))</f>
        <v>TCCN-PTE-PFL-PR1-CF5-SES</v>
      </c>
      <c r="J1077" s="137" t="s">
        <v>5796</v>
      </c>
      <c r="K1077" s="139">
        <f>VLOOKUP(LEN(SUBSTITUTE(H1077,"-","")),datos!$A$1:$B$12,2,0)</f>
        <v>6</v>
      </c>
      <c r="L1077" s="137"/>
      <c r="M1077" s="137" t="s">
        <v>0</v>
      </c>
    </row>
    <row r="1078" spans="1:13" x14ac:dyDescent="0.35">
      <c r="A1078" s="138" t="s">
        <v>487</v>
      </c>
      <c r="B1078" s="138" t="s">
        <v>3809</v>
      </c>
      <c r="C1078" s="138" t="s">
        <v>3983</v>
      </c>
      <c r="D1078" s="138" t="s">
        <v>3991</v>
      </c>
      <c r="E1078" s="138" t="s">
        <v>4006</v>
      </c>
      <c r="F1078" s="138" t="s">
        <v>3824</v>
      </c>
      <c r="G1078" s="138" t="s">
        <v>3998</v>
      </c>
      <c r="H1078" s="81" t="str">
        <f t="shared" si="105"/>
        <v>TCCN-PTE-PFL-PR1-CF5-SES-BYG</v>
      </c>
      <c r="I1078" s="138" t="str">
        <f>MID(H1078,1,(LEN(H1078)-VLOOKUP(K1078,datos!$B$2:$C$12,2,0)))</f>
        <v>TCCN-PTE-PFL-PR1-CF5-SES-BYG</v>
      </c>
      <c r="J1078" s="138" t="s">
        <v>8012</v>
      </c>
      <c r="K1078" s="140">
        <f>VLOOKUP(LEN(SUBSTITUTE(H1078,"-","")),datos!$A$1:$B$12,2,0)</f>
        <v>7</v>
      </c>
      <c r="L1078" s="138"/>
      <c r="M1078" s="138" t="s">
        <v>0</v>
      </c>
    </row>
    <row r="1079" spans="1:13" x14ac:dyDescent="0.35">
      <c r="A1079" s="138" t="s">
        <v>487</v>
      </c>
      <c r="B1079" s="138" t="s">
        <v>3809</v>
      </c>
      <c r="C1079" s="138" t="s">
        <v>3983</v>
      </c>
      <c r="D1079" s="138" t="s">
        <v>3991</v>
      </c>
      <c r="E1079" s="138" t="s">
        <v>4006</v>
      </c>
      <c r="F1079" s="138" t="s">
        <v>3824</v>
      </c>
      <c r="G1079" s="138" t="s">
        <v>3999</v>
      </c>
      <c r="H1079" s="81" t="str">
        <f t="shared" si="105"/>
        <v>TCCN-PTE-PFL-PR1-CF5-SES-RDP</v>
      </c>
      <c r="I1079" s="138" t="str">
        <f>MID(H1079,1,(LEN(H1079)-VLOOKUP(K1079,datos!$B$2:$C$12,2,0)))</f>
        <v>TCCN-PTE-PFL-PR1-CF5-SES-RDP</v>
      </c>
      <c r="J1079" s="138" t="s">
        <v>5797</v>
      </c>
      <c r="K1079" s="140">
        <f>VLOOKUP(LEN(SUBSTITUTE(H1079,"-","")),datos!$A$1:$B$12,2,0)</f>
        <v>7</v>
      </c>
      <c r="L1079" s="138"/>
      <c r="M1079" s="138" t="s">
        <v>0</v>
      </c>
    </row>
    <row r="1080" spans="1:13" x14ac:dyDescent="0.35">
      <c r="A1080" s="138" t="s">
        <v>487</v>
      </c>
      <c r="B1080" s="138" t="s">
        <v>3809</v>
      </c>
      <c r="C1080" s="138" t="s">
        <v>3983</v>
      </c>
      <c r="D1080" s="138" t="s">
        <v>3991</v>
      </c>
      <c r="E1080" s="138" t="s">
        <v>4006</v>
      </c>
      <c r="F1080" s="138" t="s">
        <v>3824</v>
      </c>
      <c r="G1080" s="138" t="s">
        <v>3853</v>
      </c>
      <c r="H1080" s="81" t="str">
        <f t="shared" si="105"/>
        <v>TCCN-PTE-PFL-PR1-CF5-SES-EST</v>
      </c>
      <c r="I1080" s="138" t="str">
        <f>MID(H1080,1,(LEN(H1080)-VLOOKUP(K1080,datos!$B$2:$C$12,2,0)))</f>
        <v>TCCN-PTE-PFL-PR1-CF5-SES-EST</v>
      </c>
      <c r="J1080" s="138" t="s">
        <v>5798</v>
      </c>
      <c r="K1080" s="140">
        <f>VLOOKUP(LEN(SUBSTITUTE(H1080,"-","")),datos!$A$1:$B$12,2,0)</f>
        <v>7</v>
      </c>
      <c r="L1080" s="138"/>
      <c r="M1080" s="138" t="s">
        <v>0</v>
      </c>
    </row>
    <row r="1081" spans="1:13" x14ac:dyDescent="0.35">
      <c r="A1081" s="138" t="s">
        <v>487</v>
      </c>
      <c r="B1081" s="138" t="s">
        <v>3809</v>
      </c>
      <c r="C1081" s="138" t="s">
        <v>3983</v>
      </c>
      <c r="D1081" s="138" t="s">
        <v>3991</v>
      </c>
      <c r="E1081" s="138" t="s">
        <v>4006</v>
      </c>
      <c r="F1081" s="138" t="s">
        <v>3824</v>
      </c>
      <c r="G1081" s="138" t="s">
        <v>4000</v>
      </c>
      <c r="H1081" s="81" t="str">
        <f t="shared" si="105"/>
        <v>TCCN-PTE-PFL-PR1-CF5-SES-CRW</v>
      </c>
      <c r="I1081" s="138" t="str">
        <f>MID(H1081,1,(LEN(H1081)-VLOOKUP(K1081,datos!$B$2:$C$12,2,0)))</f>
        <v>TCCN-PTE-PFL-PR1-CF5-SES-CRW</v>
      </c>
      <c r="J1081" s="138" t="s">
        <v>5799</v>
      </c>
      <c r="K1081" s="140">
        <f>VLOOKUP(LEN(SUBSTITUTE(H1081,"-","")),datos!$A$1:$B$12,2,0)</f>
        <v>7</v>
      </c>
      <c r="L1081" s="138"/>
      <c r="M1081" s="138" t="s">
        <v>0</v>
      </c>
    </row>
    <row r="1082" spans="1:13" x14ac:dyDescent="0.35">
      <c r="A1082" s="137" t="s">
        <v>487</v>
      </c>
      <c r="B1082" s="137" t="s">
        <v>3809</v>
      </c>
      <c r="C1082" s="137" t="s">
        <v>3983</v>
      </c>
      <c r="D1082" s="137" t="s">
        <v>3991</v>
      </c>
      <c r="E1082" s="137" t="s">
        <v>4006</v>
      </c>
      <c r="F1082" s="137" t="s">
        <v>3847</v>
      </c>
      <c r="G1082" s="137"/>
      <c r="H1082" s="82" t="str">
        <f t="shared" si="105"/>
        <v>TCCN-PTE-PFL-PR1-CF5-SMO-</v>
      </c>
      <c r="I1082" s="137" t="str">
        <f>MID(H1082,1,(LEN(H1082)-VLOOKUP(K1082,datos!$B$2:$C$12,2,0)))</f>
        <v>TCCN-PTE-PFL-PR1-CF5-SMO</v>
      </c>
      <c r="J1082" s="137" t="s">
        <v>5800</v>
      </c>
      <c r="K1082" s="139">
        <f>VLOOKUP(LEN(SUBSTITUTE(H1082,"-","")),datos!$A$1:$B$12,2,0)</f>
        <v>6</v>
      </c>
      <c r="L1082" s="137"/>
      <c r="M1082" s="137" t="s">
        <v>0</v>
      </c>
    </row>
    <row r="1083" spans="1:13" x14ac:dyDescent="0.35">
      <c r="A1083" s="138" t="s">
        <v>487</v>
      </c>
      <c r="B1083" s="138" t="s">
        <v>3809</v>
      </c>
      <c r="C1083" s="138" t="s">
        <v>3983</v>
      </c>
      <c r="D1083" s="138" t="s">
        <v>3991</v>
      </c>
      <c r="E1083" s="138" t="s">
        <v>4006</v>
      </c>
      <c r="F1083" s="138" t="s">
        <v>3847</v>
      </c>
      <c r="G1083" s="138" t="s">
        <v>3819</v>
      </c>
      <c r="H1083" s="81" t="str">
        <f t="shared" si="105"/>
        <v>TCCN-PTE-PFL-PR1-CF5-SMO-MOE</v>
      </c>
      <c r="I1083" s="138" t="str">
        <f>MID(H1083,1,(LEN(H1083)-VLOOKUP(K1083,datos!$B$2:$C$12,2,0)))</f>
        <v>TCCN-PTE-PFL-PR1-CF5-SMO-MOE</v>
      </c>
      <c r="J1083" s="138" t="s">
        <v>5801</v>
      </c>
      <c r="K1083" s="140">
        <f>VLOOKUP(LEN(SUBSTITUTE(H1083,"-","")),datos!$A$1:$B$12,2,0)</f>
        <v>7</v>
      </c>
      <c r="L1083" s="138" t="s">
        <v>180</v>
      </c>
      <c r="M1083" s="138" t="s">
        <v>0</v>
      </c>
    </row>
    <row r="1084" spans="1:13" x14ac:dyDescent="0.35">
      <c r="A1084" s="138" t="s">
        <v>487</v>
      </c>
      <c r="B1084" s="138" t="s">
        <v>3809</v>
      </c>
      <c r="C1084" s="138" t="s">
        <v>3983</v>
      </c>
      <c r="D1084" s="138" t="s">
        <v>3991</v>
      </c>
      <c r="E1084" s="138" t="s">
        <v>4006</v>
      </c>
      <c r="F1084" s="138" t="s">
        <v>3847</v>
      </c>
      <c r="G1084" s="138" t="s">
        <v>3864</v>
      </c>
      <c r="H1084" s="81" t="str">
        <f t="shared" si="105"/>
        <v>TCCN-PTE-PFL-PR1-CF5-SMO-PMO</v>
      </c>
      <c r="I1084" s="138" t="str">
        <f>MID(H1084,1,(LEN(H1084)-VLOOKUP(K1084,datos!$B$2:$C$12,2,0)))</f>
        <v>TCCN-PTE-PFL-PR1-CF5-SMO-PMO</v>
      </c>
      <c r="J1084" s="138" t="s">
        <v>5802</v>
      </c>
      <c r="K1084" s="140">
        <f>VLOOKUP(LEN(SUBSTITUTE(H1084,"-","")),datos!$A$1:$B$12,2,0)</f>
        <v>7</v>
      </c>
      <c r="L1084" s="138"/>
      <c r="M1084" s="138" t="s">
        <v>0</v>
      </c>
    </row>
    <row r="1085" spans="1:13" x14ac:dyDescent="0.35">
      <c r="A1085" s="138" t="s">
        <v>487</v>
      </c>
      <c r="B1085" s="138" t="s">
        <v>3809</v>
      </c>
      <c r="C1085" s="138" t="s">
        <v>3983</v>
      </c>
      <c r="D1085" s="138" t="s">
        <v>3991</v>
      </c>
      <c r="E1085" s="138" t="s">
        <v>4006</v>
      </c>
      <c r="F1085" s="138" t="s">
        <v>3847</v>
      </c>
      <c r="G1085" s="138" t="s">
        <v>8116</v>
      </c>
      <c r="H1085" s="81" t="str">
        <f t="shared" si="105"/>
        <v>TCCN-PTE-PFL-PR1-CF5-SMO-PLE</v>
      </c>
      <c r="I1085" s="138" t="str">
        <f>MID(H1085,1,(LEN(H1085)-VLOOKUP(K1085,datos!$B$2:$C$12,2,0)))</f>
        <v>TCCN-PTE-PFL-PR1-CF5-SMO-PLE</v>
      </c>
      <c r="J1085" s="138" t="s">
        <v>5803</v>
      </c>
      <c r="K1085" s="140">
        <f>VLOOKUP(LEN(SUBSTITUTE(H1085,"-","")),datos!$A$1:$B$12,2,0)</f>
        <v>7</v>
      </c>
      <c r="L1085" s="138"/>
      <c r="M1085" s="138" t="s">
        <v>0</v>
      </c>
    </row>
    <row r="1086" spans="1:13" x14ac:dyDescent="0.35">
      <c r="A1086" s="138" t="s">
        <v>487</v>
      </c>
      <c r="B1086" s="138" t="s">
        <v>3809</v>
      </c>
      <c r="C1086" s="138" t="s">
        <v>3983</v>
      </c>
      <c r="D1086" s="138" t="s">
        <v>3991</v>
      </c>
      <c r="E1086" s="138" t="s">
        <v>4006</v>
      </c>
      <c r="F1086" s="138" t="s">
        <v>3847</v>
      </c>
      <c r="G1086" s="138" t="s">
        <v>5688</v>
      </c>
      <c r="H1086" s="81" t="str">
        <f t="shared" si="105"/>
        <v>TCCN-PTE-PFL-PR1-CF5-SMO-PRP</v>
      </c>
      <c r="I1086" s="138" t="str">
        <f>MID(H1086,1,(LEN(H1086)-VLOOKUP(K1086,datos!$B$2:$C$12,2,0)))</f>
        <v>TCCN-PTE-PFL-PR1-CF5-SMO-PRP</v>
      </c>
      <c r="J1086" s="138" t="s">
        <v>5804</v>
      </c>
      <c r="K1086" s="140">
        <f>VLOOKUP(LEN(SUBSTITUTE(H1086,"-","")),datos!$A$1:$B$12,2,0)</f>
        <v>7</v>
      </c>
      <c r="L1086" s="138"/>
      <c r="M1086" s="138" t="s">
        <v>0</v>
      </c>
    </row>
    <row r="1087" spans="1:13" x14ac:dyDescent="0.35">
      <c r="A1087" s="137" t="s">
        <v>487</v>
      </c>
      <c r="B1087" s="137" t="s">
        <v>3809</v>
      </c>
      <c r="C1087" s="137" t="s">
        <v>3983</v>
      </c>
      <c r="D1087" s="137" t="s">
        <v>3991</v>
      </c>
      <c r="E1087" s="137" t="s">
        <v>4006</v>
      </c>
      <c r="F1087" s="137" t="s">
        <v>3831</v>
      </c>
      <c r="G1087" s="137"/>
      <c r="H1087" s="82" t="str">
        <f t="shared" si="105"/>
        <v>TCCN-PTE-PFL-PR1-CF5-INS-</v>
      </c>
      <c r="I1087" s="137" t="str">
        <f>MID(H1087,1,(LEN(H1087)-VLOOKUP(K1087,datos!$B$2:$C$12,2,0)))</f>
        <v>TCCN-PTE-PFL-PR1-CF5-INS</v>
      </c>
      <c r="J1087" s="137" t="s">
        <v>5805</v>
      </c>
      <c r="K1087" s="139">
        <f>VLOOKUP(LEN(SUBSTITUTE(H1087,"-","")),datos!$A$1:$B$12,2,0)</f>
        <v>6</v>
      </c>
      <c r="L1087" s="137"/>
      <c r="M1087" s="137" t="s">
        <v>0</v>
      </c>
    </row>
    <row r="1088" spans="1:13" x14ac:dyDescent="0.35">
      <c r="A1088" s="138" t="s">
        <v>487</v>
      </c>
      <c r="B1088" s="138" t="s">
        <v>3809</v>
      </c>
      <c r="C1088" s="138" t="s">
        <v>3983</v>
      </c>
      <c r="D1088" s="138" t="s">
        <v>3991</v>
      </c>
      <c r="E1088" s="138" t="s">
        <v>4006</v>
      </c>
      <c r="F1088" s="138" t="s">
        <v>3831</v>
      </c>
      <c r="G1088" s="138" t="s">
        <v>4075</v>
      </c>
      <c r="H1088" s="81" t="str">
        <f t="shared" si="105"/>
        <v>TCCN-PTE-PFL-PR1-CF5-INS-VVA</v>
      </c>
      <c r="I1088" s="138" t="str">
        <f>MID(H1088,1,(LEN(H1088)-VLOOKUP(K1088,datos!$B$2:$C$12,2,0)))</f>
        <v>TCCN-PTE-PFL-PR1-CF5-INS-VVA</v>
      </c>
      <c r="J1088" s="138" t="s">
        <v>7719</v>
      </c>
      <c r="K1088" s="140">
        <f>VLOOKUP(LEN(SUBSTITUTE(H1088,"-","")),datos!$A$1:$B$12,2,0)</f>
        <v>7</v>
      </c>
      <c r="L1088" s="138" t="s">
        <v>7720</v>
      </c>
      <c r="M1088" s="138" t="s">
        <v>0</v>
      </c>
    </row>
    <row r="1089" spans="1:13" x14ac:dyDescent="0.35">
      <c r="A1089" s="138" t="s">
        <v>487</v>
      </c>
      <c r="B1089" s="138" t="s">
        <v>3809</v>
      </c>
      <c r="C1089" s="138" t="s">
        <v>3983</v>
      </c>
      <c r="D1089" s="138" t="s">
        <v>3991</v>
      </c>
      <c r="E1089" s="138" t="s">
        <v>4006</v>
      </c>
      <c r="F1089" s="138" t="s">
        <v>3831</v>
      </c>
      <c r="G1089" s="138" t="s">
        <v>5256</v>
      </c>
      <c r="H1089" s="81" t="str">
        <f t="shared" si="105"/>
        <v>TCCN-PTE-PFL-PR1-CF5-INS-MNV</v>
      </c>
      <c r="I1089" s="138" t="str">
        <f>MID(H1089,1,(LEN(H1089)-VLOOKUP(K1089,datos!$B$2:$C$12,2,0)))</f>
        <v>TCCN-PTE-PFL-PR1-CF5-INS-MNV</v>
      </c>
      <c r="J1089" s="138" t="s">
        <v>7721</v>
      </c>
      <c r="K1089" s="140">
        <f>VLOOKUP(LEN(SUBSTITUTE(H1089,"-","")),datos!$A$1:$B$12,2,0)</f>
        <v>7</v>
      </c>
      <c r="L1089" s="138" t="s">
        <v>7722</v>
      </c>
      <c r="M1089" s="138" t="s">
        <v>0</v>
      </c>
    </row>
    <row r="1090" spans="1:13" x14ac:dyDescent="0.35">
      <c r="A1090" s="138" t="s">
        <v>487</v>
      </c>
      <c r="B1090" s="138" t="s">
        <v>3809</v>
      </c>
      <c r="C1090" s="138" t="s">
        <v>3983</v>
      </c>
      <c r="D1090" s="138" t="s">
        <v>3991</v>
      </c>
      <c r="E1090" s="138" t="s">
        <v>4006</v>
      </c>
      <c r="F1090" s="138" t="s">
        <v>3831</v>
      </c>
      <c r="G1090" s="138" t="s">
        <v>4002</v>
      </c>
      <c r="H1090" s="81" t="str">
        <f t="shared" si="105"/>
        <v>TCCN-PTE-PFL-PR1-CF5-INS-FJM</v>
      </c>
      <c r="I1090" s="138" t="str">
        <f>MID(H1090,1,(LEN(H1090)-VLOOKUP(K1090,datos!$B$2:$C$12,2,0)))</f>
        <v>TCCN-PTE-PFL-PR1-CF5-INS-FJM</v>
      </c>
      <c r="J1090" s="138" t="s">
        <v>7724</v>
      </c>
      <c r="K1090" s="140">
        <f>VLOOKUP(LEN(SUBSTITUTE(H1090,"-","")),datos!$A$1:$B$12,2,0)</f>
        <v>7</v>
      </c>
      <c r="L1090" s="138" t="s">
        <v>7723</v>
      </c>
      <c r="M1090" s="138" t="s">
        <v>0</v>
      </c>
    </row>
    <row r="1091" spans="1:13" x14ac:dyDescent="0.35">
      <c r="A1091" s="137" t="s">
        <v>487</v>
      </c>
      <c r="B1091" s="137" t="s">
        <v>3809</v>
      </c>
      <c r="C1091" s="137" t="s">
        <v>3983</v>
      </c>
      <c r="D1091" s="137" t="s">
        <v>3991</v>
      </c>
      <c r="E1091" s="137" t="s">
        <v>4006</v>
      </c>
      <c r="F1091" s="137" t="s">
        <v>3869</v>
      </c>
      <c r="G1091" s="137"/>
      <c r="H1091" s="82" t="str">
        <f t="shared" si="105"/>
        <v>TCCN-PTE-PFL-PR1-CF5-SCE-</v>
      </c>
      <c r="I1091" s="137" t="str">
        <f>MID(H1091,1,(LEN(H1091)-VLOOKUP(K1091,datos!$B$2:$C$12,2,0)))</f>
        <v>TCCN-PTE-PFL-PR1-CF5-SCE</v>
      </c>
      <c r="J1091" s="137" t="s">
        <v>5806</v>
      </c>
      <c r="K1091" s="139">
        <f>VLOOKUP(LEN(SUBSTITUTE(H1091,"-","")),datos!$A$1:$B$12,2,0)</f>
        <v>6</v>
      </c>
      <c r="L1091" s="137"/>
      <c r="M1091" s="137" t="s">
        <v>0</v>
      </c>
    </row>
    <row r="1092" spans="1:13" x14ac:dyDescent="0.35">
      <c r="A1092" s="138" t="s">
        <v>487</v>
      </c>
      <c r="B1092" s="138" t="s">
        <v>3809</v>
      </c>
      <c r="C1092" s="138" t="s">
        <v>3983</v>
      </c>
      <c r="D1092" s="138" t="s">
        <v>3991</v>
      </c>
      <c r="E1092" s="138" t="s">
        <v>4006</v>
      </c>
      <c r="F1092" s="138" t="s">
        <v>3869</v>
      </c>
      <c r="G1092" s="138" t="s">
        <v>3870</v>
      </c>
      <c r="H1092" s="81" t="str">
        <f t="shared" si="105"/>
        <v>TCCN-PTE-PFL-PR1-CF5-SCE-BTN</v>
      </c>
      <c r="I1092" s="138" t="str">
        <f>MID(H1092,1,(LEN(H1092)-VLOOKUP(K1092,datos!$B$2:$C$12,2,0)))</f>
        <v>TCCN-PTE-PFL-PR1-CF5-SCE-BTN</v>
      </c>
      <c r="J1092" s="138" t="s">
        <v>5807</v>
      </c>
      <c r="K1092" s="140">
        <f>VLOOKUP(LEN(SUBSTITUTE(H1092,"-","")),datos!$A$1:$B$12,2,0)</f>
        <v>7</v>
      </c>
      <c r="L1092" s="138"/>
      <c r="M1092" s="138" t="s">
        <v>0</v>
      </c>
    </row>
    <row r="1093" spans="1:13" customFormat="1" ht="14.5" x14ac:dyDescent="0.35">
      <c r="A1093" s="129" t="s">
        <v>487</v>
      </c>
      <c r="B1093" s="129" t="s">
        <v>3809</v>
      </c>
      <c r="C1093" s="129" t="s">
        <v>3983</v>
      </c>
      <c r="D1093" s="129" t="s">
        <v>3991</v>
      </c>
      <c r="E1093" s="129" t="s">
        <v>3966</v>
      </c>
      <c r="F1093" s="129"/>
      <c r="G1093" s="129"/>
      <c r="H1093" s="83" t="str">
        <f t="shared" si="105"/>
        <v>TCCN-PTE-PFL-PR1-CB2--</v>
      </c>
      <c r="I1093" s="129" t="str">
        <f>MID(H1093,1,(LEN(H1093)-VLOOKUP(K1093,datos!$B$2:$C$12,2,0)))</f>
        <v>TCCN-PTE-PFL-PR1-CB2</v>
      </c>
      <c r="J1093" s="129" t="s">
        <v>7730</v>
      </c>
      <c r="K1093" s="130">
        <f>VLOOKUP(LEN(SUBSTITUTE(H1093,"-","")),datos!$A$1:$B$12,2,0)</f>
        <v>5</v>
      </c>
      <c r="L1093" s="129"/>
      <c r="M1093" s="129" t="s">
        <v>0</v>
      </c>
    </row>
    <row r="1094" spans="1:13" x14ac:dyDescent="0.35">
      <c r="A1094" s="137" t="s">
        <v>487</v>
      </c>
      <c r="B1094" s="137" t="s">
        <v>3809</v>
      </c>
      <c r="C1094" s="137" t="s">
        <v>3983</v>
      </c>
      <c r="D1094" s="137" t="s">
        <v>3991</v>
      </c>
      <c r="E1094" s="137" t="s">
        <v>3966</v>
      </c>
      <c r="F1094" s="137" t="s">
        <v>3831</v>
      </c>
      <c r="G1094" s="137"/>
      <c r="H1094" s="82" t="str">
        <f t="shared" si="105"/>
        <v>TCCN-PTE-PFL-PR1-CB2-INS-</v>
      </c>
      <c r="I1094" s="137" t="str">
        <f>MID(H1094,1,(LEN(H1094)-VLOOKUP(K1094,datos!$B$2:$C$12,2,0)))</f>
        <v>TCCN-PTE-PFL-PR1-CB2-INS</v>
      </c>
      <c r="J1094" s="137" t="s">
        <v>7729</v>
      </c>
      <c r="K1094" s="139">
        <f>VLOOKUP(LEN(SUBSTITUTE(H1094,"-","")),datos!$A$1:$B$12,2,0)</f>
        <v>6</v>
      </c>
      <c r="L1094" s="137"/>
      <c r="M1094" s="137" t="s">
        <v>0</v>
      </c>
    </row>
    <row r="1095" spans="1:13" x14ac:dyDescent="0.35">
      <c r="A1095" s="138" t="s">
        <v>487</v>
      </c>
      <c r="B1095" s="138" t="s">
        <v>3809</v>
      </c>
      <c r="C1095" s="138" t="s">
        <v>3983</v>
      </c>
      <c r="D1095" s="138" t="s">
        <v>3991</v>
      </c>
      <c r="E1095" s="138" t="s">
        <v>3966</v>
      </c>
      <c r="F1095" s="138" t="s">
        <v>3831</v>
      </c>
      <c r="G1095" s="138" t="s">
        <v>3986</v>
      </c>
      <c r="H1095" s="81" t="str">
        <f t="shared" si="105"/>
        <v>TCCN-PTE-PFL-PR1-CB2-INS-VV1</v>
      </c>
      <c r="I1095" s="138" t="str">
        <f>MID(H1095,1,(LEN(H1095)-VLOOKUP(K1095,datos!$B$2:$C$12,2,0)))</f>
        <v>TCCN-PTE-PFL-PR1-CB2-INS-VV1</v>
      </c>
      <c r="J1095" s="138" t="s">
        <v>7727</v>
      </c>
      <c r="K1095" s="140">
        <f>VLOOKUP(LEN(SUBSTITUTE(H1095,"-","")),datos!$A$1:$B$12,2,0)</f>
        <v>7</v>
      </c>
      <c r="L1095" s="138" t="s">
        <v>7725</v>
      </c>
      <c r="M1095" s="138" t="s">
        <v>0</v>
      </c>
    </row>
    <row r="1096" spans="1:13" x14ac:dyDescent="0.35">
      <c r="A1096" s="138" t="s">
        <v>487</v>
      </c>
      <c r="B1096" s="138" t="s">
        <v>3809</v>
      </c>
      <c r="C1096" s="138" t="s">
        <v>3983</v>
      </c>
      <c r="D1096" s="138" t="s">
        <v>3991</v>
      </c>
      <c r="E1096" s="138" t="s">
        <v>3966</v>
      </c>
      <c r="F1096" s="138" t="s">
        <v>3831</v>
      </c>
      <c r="G1096" s="138" t="s">
        <v>3987</v>
      </c>
      <c r="H1096" s="81" t="str">
        <f t="shared" si="105"/>
        <v>TCCN-PTE-PFL-PR1-CB2-INS-VV2</v>
      </c>
      <c r="I1096" s="138" t="str">
        <f>MID(H1096,1,(LEN(H1096)-VLOOKUP(K1096,datos!$B$2:$C$12,2,0)))</f>
        <v>TCCN-PTE-PFL-PR1-CB2-INS-VV2</v>
      </c>
      <c r="J1096" s="138" t="s">
        <v>7728</v>
      </c>
      <c r="K1096" s="140">
        <f>VLOOKUP(LEN(SUBSTITUTE(H1096,"-","")),datos!$A$1:$B$12,2,0)</f>
        <v>7</v>
      </c>
      <c r="L1096" s="138" t="s">
        <v>7726</v>
      </c>
      <c r="M1096" s="138" t="s">
        <v>0</v>
      </c>
    </row>
    <row r="1097" spans="1:13" customFormat="1" ht="14.5" x14ac:dyDescent="0.35">
      <c r="A1097" s="84" t="s">
        <v>487</v>
      </c>
      <c r="B1097" s="84" t="s">
        <v>3809</v>
      </c>
      <c r="C1097" s="84" t="s">
        <v>3983</v>
      </c>
      <c r="D1097" s="84" t="s">
        <v>4007</v>
      </c>
      <c r="E1097" s="84"/>
      <c r="F1097" s="84"/>
      <c r="G1097" s="84"/>
      <c r="H1097" s="84" t="str">
        <f t="shared" si="105"/>
        <v>TCCN-PTE-PFL-PR2---</v>
      </c>
      <c r="I1097" s="84" t="str">
        <f>MID(H1097,1,(LEN(H1097)-VLOOKUP(K1097,datos!$B$2:$C$12,2,0)))</f>
        <v>TCCN-PTE-PFL-PR2</v>
      </c>
      <c r="J1097" s="84" t="s">
        <v>1611</v>
      </c>
      <c r="K1097" s="119">
        <f>VLOOKUP(LEN(SUBSTITUTE(H1097,"-","")),datos!$A$1:$B$12,2,0)</f>
        <v>4</v>
      </c>
      <c r="L1097" s="84"/>
      <c r="M1097" s="84" t="s">
        <v>0</v>
      </c>
    </row>
    <row r="1098" spans="1:13" customFormat="1" ht="14.5" x14ac:dyDescent="0.35">
      <c r="A1098" s="129" t="s">
        <v>487</v>
      </c>
      <c r="B1098" s="129" t="s">
        <v>3809</v>
      </c>
      <c r="C1098" s="129" t="s">
        <v>3983</v>
      </c>
      <c r="D1098" s="129" t="s">
        <v>4007</v>
      </c>
      <c r="E1098" s="129" t="s">
        <v>3992</v>
      </c>
      <c r="F1098" s="129"/>
      <c r="G1098" s="129"/>
      <c r="H1098" s="83" t="str">
        <f t="shared" si="105"/>
        <v>TCCN-PTE-PFL-PR2-CF1--</v>
      </c>
      <c r="I1098" s="129" t="str">
        <f>MID(H1098,1,(LEN(H1098)-VLOOKUP(K1098,datos!$B$2:$C$12,2,0)))</f>
        <v>TCCN-PTE-PFL-PR2-CF1</v>
      </c>
      <c r="J1098" s="129" t="s">
        <v>445</v>
      </c>
      <c r="K1098" s="130">
        <f>VLOOKUP(LEN(SUBSTITUTE(H1098,"-","")),datos!$A$1:$B$12,2,0)</f>
        <v>5</v>
      </c>
      <c r="L1098" s="129" t="s">
        <v>181</v>
      </c>
      <c r="M1098" s="129" t="s">
        <v>0</v>
      </c>
    </row>
    <row r="1099" spans="1:13" x14ac:dyDescent="0.35">
      <c r="A1099" s="137" t="s">
        <v>487</v>
      </c>
      <c r="B1099" s="137" t="s">
        <v>3809</v>
      </c>
      <c r="C1099" s="137" t="s">
        <v>3983</v>
      </c>
      <c r="D1099" s="137" t="s">
        <v>4007</v>
      </c>
      <c r="E1099" s="137" t="s">
        <v>3992</v>
      </c>
      <c r="F1099" s="137" t="s">
        <v>3948</v>
      </c>
      <c r="G1099" s="137"/>
      <c r="H1099" s="82" t="str">
        <f t="shared" si="105"/>
        <v>TCCN-PTE-PFL-PR2-CF1-SCP-</v>
      </c>
      <c r="I1099" s="137" t="str">
        <f>MID(H1099,1,(LEN(H1099)-VLOOKUP(K1099,datos!$B$2:$C$12,2,0)))</f>
        <v>TCCN-PTE-PFL-PR2-CF1-SCP</v>
      </c>
      <c r="J1099" s="137" t="s">
        <v>5934</v>
      </c>
      <c r="K1099" s="139">
        <f>VLOOKUP(LEN(SUBSTITUTE(H1099,"-","")),datos!$A$1:$B$12,2,0)</f>
        <v>6</v>
      </c>
      <c r="L1099" s="137"/>
      <c r="M1099" s="137" t="s">
        <v>0</v>
      </c>
    </row>
    <row r="1100" spans="1:13" x14ac:dyDescent="0.35">
      <c r="A1100" s="138" t="s">
        <v>487</v>
      </c>
      <c r="B1100" s="138" t="s">
        <v>3809</v>
      </c>
      <c r="C1100" s="138" t="s">
        <v>3983</v>
      </c>
      <c r="D1100" s="138" t="s">
        <v>4007</v>
      </c>
      <c r="E1100" s="138" t="s">
        <v>3992</v>
      </c>
      <c r="F1100" s="138" t="s">
        <v>3948</v>
      </c>
      <c r="G1100" s="138" t="s">
        <v>3993</v>
      </c>
      <c r="H1100" s="81" t="str">
        <f t="shared" si="105"/>
        <v>TCCN-PTE-PFL-PR2-CF1-SCP-POR</v>
      </c>
      <c r="I1100" s="138" t="str">
        <f>MID(H1100,1,(LEN(H1100)-VLOOKUP(K1100,datos!$B$2:$C$12,2,0)))</f>
        <v>TCCN-PTE-PFL-PR2-CF1-SCP-POR</v>
      </c>
      <c r="J1100" s="138" t="s">
        <v>5935</v>
      </c>
      <c r="K1100" s="140">
        <f>VLOOKUP(LEN(SUBSTITUTE(H1100,"-","")),datos!$A$1:$B$12,2,0)</f>
        <v>7</v>
      </c>
      <c r="L1100" s="138"/>
      <c r="M1100" s="138" t="s">
        <v>0</v>
      </c>
    </row>
    <row r="1101" spans="1:13" x14ac:dyDescent="0.35">
      <c r="A1101" s="138" t="s">
        <v>487</v>
      </c>
      <c r="B1101" s="138" t="s">
        <v>3809</v>
      </c>
      <c r="C1101" s="138" t="s">
        <v>3983</v>
      </c>
      <c r="D1101" s="138" t="s">
        <v>4007</v>
      </c>
      <c r="E1101" s="138" t="s">
        <v>3992</v>
      </c>
      <c r="F1101" s="138" t="s">
        <v>3948</v>
      </c>
      <c r="G1101" s="138" t="s">
        <v>3994</v>
      </c>
      <c r="H1101" s="81" t="str">
        <f t="shared" si="105"/>
        <v>TCCN-PTE-PFL-PR2-CF1-SCP-RTO</v>
      </c>
      <c r="I1101" s="138" t="str">
        <f>MID(H1101,1,(LEN(H1101)-VLOOKUP(K1101,datos!$B$2:$C$12,2,0)))</f>
        <v>TCCN-PTE-PFL-PR2-CF1-SCP-RTO</v>
      </c>
      <c r="J1101" s="138" t="s">
        <v>5936</v>
      </c>
      <c r="K1101" s="140">
        <f>VLOOKUP(LEN(SUBSTITUTE(H1101,"-","")),datos!$A$1:$B$12,2,0)</f>
        <v>7</v>
      </c>
      <c r="L1101" s="138"/>
      <c r="M1101" s="138" t="s">
        <v>0</v>
      </c>
    </row>
    <row r="1102" spans="1:13" x14ac:dyDescent="0.35">
      <c r="A1102" s="138" t="s">
        <v>487</v>
      </c>
      <c r="B1102" s="138" t="s">
        <v>3809</v>
      </c>
      <c r="C1102" s="138" t="s">
        <v>3983</v>
      </c>
      <c r="D1102" s="138" t="s">
        <v>4007</v>
      </c>
      <c r="E1102" s="138" t="s">
        <v>3992</v>
      </c>
      <c r="F1102" s="138" t="s">
        <v>3948</v>
      </c>
      <c r="G1102" s="138" t="s">
        <v>3995</v>
      </c>
      <c r="H1102" s="81" t="str">
        <f t="shared" si="105"/>
        <v>TCCN-PTE-PFL-PR2-CF1-SCP-ETT</v>
      </c>
      <c r="I1102" s="138" t="str">
        <f>MID(H1102,1,(LEN(H1102)-VLOOKUP(K1102,datos!$B$2:$C$12,2,0)))</f>
        <v>TCCN-PTE-PFL-PR2-CF1-SCP-ETT</v>
      </c>
      <c r="J1102" s="138" t="s">
        <v>5937</v>
      </c>
      <c r="K1102" s="140">
        <f>VLOOKUP(LEN(SUBSTITUTE(H1102,"-","")),datos!$A$1:$B$12,2,0)</f>
        <v>7</v>
      </c>
      <c r="L1102" s="138"/>
      <c r="M1102" s="138" t="s">
        <v>0</v>
      </c>
    </row>
    <row r="1103" spans="1:13" x14ac:dyDescent="0.35">
      <c r="A1103" s="138" t="s">
        <v>487</v>
      </c>
      <c r="B1103" s="138" t="s">
        <v>3809</v>
      </c>
      <c r="C1103" s="138" t="s">
        <v>3983</v>
      </c>
      <c r="D1103" s="138" t="s">
        <v>4007</v>
      </c>
      <c r="E1103" s="138" t="s">
        <v>3992</v>
      </c>
      <c r="F1103" s="138" t="s">
        <v>3948</v>
      </c>
      <c r="G1103" s="138" t="s">
        <v>3996</v>
      </c>
      <c r="H1103" s="81" t="str">
        <f t="shared" si="105"/>
        <v>TCCN-PTE-PFL-PR2-CF1-SCP-DDT</v>
      </c>
      <c r="I1103" s="138" t="str">
        <f>MID(H1103,1,(LEN(H1103)-VLOOKUP(K1103,datos!$B$2:$C$12,2,0)))</f>
        <v>TCCN-PTE-PFL-PR2-CF1-SCP-DDT</v>
      </c>
      <c r="J1103" s="138" t="s">
        <v>5938</v>
      </c>
      <c r="K1103" s="140">
        <f>VLOOKUP(LEN(SUBSTITUTE(H1103,"-","")),datos!$A$1:$B$12,2,0)</f>
        <v>7</v>
      </c>
      <c r="L1103" s="138"/>
      <c r="M1103" s="138" t="s">
        <v>0</v>
      </c>
    </row>
    <row r="1104" spans="1:13" x14ac:dyDescent="0.35">
      <c r="A1104" s="138" t="s">
        <v>487</v>
      </c>
      <c r="B1104" s="138" t="s">
        <v>3809</v>
      </c>
      <c r="C1104" s="138" t="s">
        <v>3983</v>
      </c>
      <c r="D1104" s="138" t="s">
        <v>4007</v>
      </c>
      <c r="E1104" s="138" t="s">
        <v>3992</v>
      </c>
      <c r="F1104" s="138" t="s">
        <v>3948</v>
      </c>
      <c r="G1104" s="138" t="s">
        <v>3997</v>
      </c>
      <c r="H1104" s="81" t="str">
        <f t="shared" si="105"/>
        <v>TCCN-PTE-PFL-PR2-CF1-SCP-EJE</v>
      </c>
      <c r="I1104" s="138" t="str">
        <f>MID(H1104,1,(LEN(H1104)-VLOOKUP(K1104,datos!$B$2:$C$12,2,0)))</f>
        <v>TCCN-PTE-PFL-PR2-CF1-SCP-EJE</v>
      </c>
      <c r="J1104" s="138" t="s">
        <v>5939</v>
      </c>
      <c r="K1104" s="140">
        <f>VLOOKUP(LEN(SUBSTITUTE(H1104,"-","")),datos!$A$1:$B$12,2,0)</f>
        <v>7</v>
      </c>
      <c r="L1104" s="138"/>
      <c r="M1104" s="138" t="s">
        <v>0</v>
      </c>
    </row>
    <row r="1105" spans="1:13" x14ac:dyDescent="0.35">
      <c r="A1105" s="137" t="s">
        <v>487</v>
      </c>
      <c r="B1105" s="137" t="s">
        <v>3809</v>
      </c>
      <c r="C1105" s="137" t="s">
        <v>3983</v>
      </c>
      <c r="D1105" s="137" t="s">
        <v>4007</v>
      </c>
      <c r="E1105" s="137" t="s">
        <v>3992</v>
      </c>
      <c r="F1105" s="137" t="s">
        <v>3824</v>
      </c>
      <c r="G1105" s="137"/>
      <c r="H1105" s="82" t="str">
        <f t="shared" si="105"/>
        <v>TCCN-PTE-PFL-PR2-CF1-SES-</v>
      </c>
      <c r="I1105" s="137" t="str">
        <f>MID(H1105,1,(LEN(H1105)-VLOOKUP(K1105,datos!$B$2:$C$12,2,0)))</f>
        <v>TCCN-PTE-PFL-PR2-CF1-SES</v>
      </c>
      <c r="J1105" s="137" t="s">
        <v>5940</v>
      </c>
      <c r="K1105" s="139">
        <f>VLOOKUP(LEN(SUBSTITUTE(H1105,"-","")),datos!$A$1:$B$12,2,0)</f>
        <v>6</v>
      </c>
      <c r="L1105" s="137"/>
      <c r="M1105" s="137" t="s">
        <v>0</v>
      </c>
    </row>
    <row r="1106" spans="1:13" x14ac:dyDescent="0.35">
      <c r="A1106" s="138" t="s">
        <v>487</v>
      </c>
      <c r="B1106" s="138" t="s">
        <v>3809</v>
      </c>
      <c r="C1106" s="138" t="s">
        <v>3983</v>
      </c>
      <c r="D1106" s="138" t="s">
        <v>4007</v>
      </c>
      <c r="E1106" s="138" t="s">
        <v>3992</v>
      </c>
      <c r="F1106" s="138" t="s">
        <v>3824</v>
      </c>
      <c r="G1106" s="138" t="s">
        <v>3998</v>
      </c>
      <c r="H1106" s="81" t="str">
        <f t="shared" si="105"/>
        <v>TCCN-PTE-PFL-PR2-CF1-SES-BYG</v>
      </c>
      <c r="I1106" s="138" t="str">
        <f>MID(H1106,1,(LEN(H1106)-VLOOKUP(K1106,datos!$B$2:$C$12,2,0)))</f>
        <v>TCCN-PTE-PFL-PR2-CF1-SES-BYG</v>
      </c>
      <c r="J1106" s="138" t="s">
        <v>8013</v>
      </c>
      <c r="K1106" s="140">
        <f>VLOOKUP(LEN(SUBSTITUTE(H1106,"-","")),datos!$A$1:$B$12,2,0)</f>
        <v>7</v>
      </c>
      <c r="L1106" s="138"/>
      <c r="M1106" s="138" t="s">
        <v>0</v>
      </c>
    </row>
    <row r="1107" spans="1:13" x14ac:dyDescent="0.35">
      <c r="A1107" s="138" t="s">
        <v>487</v>
      </c>
      <c r="B1107" s="138" t="s">
        <v>3809</v>
      </c>
      <c r="C1107" s="138" t="s">
        <v>3983</v>
      </c>
      <c r="D1107" s="138" t="s">
        <v>4007</v>
      </c>
      <c r="E1107" s="138" t="s">
        <v>3992</v>
      </c>
      <c r="F1107" s="138" t="s">
        <v>3824</v>
      </c>
      <c r="G1107" s="138" t="s">
        <v>3999</v>
      </c>
      <c r="H1107" s="81" t="str">
        <f t="shared" si="105"/>
        <v>TCCN-PTE-PFL-PR2-CF1-SES-RDP</v>
      </c>
      <c r="I1107" s="138" t="str">
        <f>MID(H1107,1,(LEN(H1107)-VLOOKUP(K1107,datos!$B$2:$C$12,2,0)))</f>
        <v>TCCN-PTE-PFL-PR2-CF1-SES-RDP</v>
      </c>
      <c r="J1107" s="138" t="s">
        <v>5941</v>
      </c>
      <c r="K1107" s="140">
        <f>VLOOKUP(LEN(SUBSTITUTE(H1107,"-","")),datos!$A$1:$B$12,2,0)</f>
        <v>7</v>
      </c>
      <c r="L1107" s="138"/>
      <c r="M1107" s="138" t="s">
        <v>0</v>
      </c>
    </row>
    <row r="1108" spans="1:13" x14ac:dyDescent="0.35">
      <c r="A1108" s="138" t="s">
        <v>487</v>
      </c>
      <c r="B1108" s="138" t="s">
        <v>3809</v>
      </c>
      <c r="C1108" s="138" t="s">
        <v>3983</v>
      </c>
      <c r="D1108" s="138" t="s">
        <v>4007</v>
      </c>
      <c r="E1108" s="138" t="s">
        <v>3992</v>
      </c>
      <c r="F1108" s="138" t="s">
        <v>3824</v>
      </c>
      <c r="G1108" s="138" t="s">
        <v>3853</v>
      </c>
      <c r="H1108" s="81" t="str">
        <f t="shared" si="105"/>
        <v>TCCN-PTE-PFL-PR2-CF1-SES-EST</v>
      </c>
      <c r="I1108" s="138" t="str">
        <f>MID(H1108,1,(LEN(H1108)-VLOOKUP(K1108,datos!$B$2:$C$12,2,0)))</f>
        <v>TCCN-PTE-PFL-PR2-CF1-SES-EST</v>
      </c>
      <c r="J1108" s="138" t="s">
        <v>5942</v>
      </c>
      <c r="K1108" s="140">
        <f>VLOOKUP(LEN(SUBSTITUTE(H1108,"-","")),datos!$A$1:$B$12,2,0)</f>
        <v>7</v>
      </c>
      <c r="L1108" s="138"/>
      <c r="M1108" s="138" t="s">
        <v>0</v>
      </c>
    </row>
    <row r="1109" spans="1:13" x14ac:dyDescent="0.35">
      <c r="A1109" s="138" t="s">
        <v>487</v>
      </c>
      <c r="B1109" s="138" t="s">
        <v>3809</v>
      </c>
      <c r="C1109" s="138" t="s">
        <v>3983</v>
      </c>
      <c r="D1109" s="138" t="s">
        <v>4007</v>
      </c>
      <c r="E1109" s="138" t="s">
        <v>3992</v>
      </c>
      <c r="F1109" s="138" t="s">
        <v>3824</v>
      </c>
      <c r="G1109" s="138" t="s">
        <v>4000</v>
      </c>
      <c r="H1109" s="81" t="str">
        <f t="shared" si="105"/>
        <v>TCCN-PTE-PFL-PR2-CF1-SES-CRW</v>
      </c>
      <c r="I1109" s="138" t="str">
        <f>MID(H1109,1,(LEN(H1109)-VLOOKUP(K1109,datos!$B$2:$C$12,2,0)))</f>
        <v>TCCN-PTE-PFL-PR2-CF1-SES-CRW</v>
      </c>
      <c r="J1109" s="138" t="s">
        <v>5943</v>
      </c>
      <c r="K1109" s="140">
        <f>VLOOKUP(LEN(SUBSTITUTE(H1109,"-","")),datos!$A$1:$B$12,2,0)</f>
        <v>7</v>
      </c>
      <c r="L1109" s="138"/>
      <c r="M1109" s="138" t="s">
        <v>0</v>
      </c>
    </row>
    <row r="1110" spans="1:13" x14ac:dyDescent="0.35">
      <c r="A1110" s="137" t="s">
        <v>487</v>
      </c>
      <c r="B1110" s="137" t="s">
        <v>3809</v>
      </c>
      <c r="C1110" s="137" t="s">
        <v>3983</v>
      </c>
      <c r="D1110" s="137" t="s">
        <v>4007</v>
      </c>
      <c r="E1110" s="137" t="s">
        <v>3992</v>
      </c>
      <c r="F1110" s="137" t="s">
        <v>3847</v>
      </c>
      <c r="G1110" s="137"/>
      <c r="H1110" s="82" t="str">
        <f t="shared" si="105"/>
        <v>TCCN-PTE-PFL-PR2-CF1-SMO-</v>
      </c>
      <c r="I1110" s="137" t="str">
        <f>MID(H1110,1,(LEN(H1110)-VLOOKUP(K1110,datos!$B$2:$C$12,2,0)))</f>
        <v>TCCN-PTE-PFL-PR2-CF1-SMO</v>
      </c>
      <c r="J1110" s="137" t="s">
        <v>5944</v>
      </c>
      <c r="K1110" s="139">
        <f>VLOOKUP(LEN(SUBSTITUTE(H1110,"-","")),datos!$A$1:$B$12,2,0)</f>
        <v>6</v>
      </c>
      <c r="L1110" s="137"/>
      <c r="M1110" s="137" t="s">
        <v>0</v>
      </c>
    </row>
    <row r="1111" spans="1:13" x14ac:dyDescent="0.35">
      <c r="A1111" s="138" t="s">
        <v>487</v>
      </c>
      <c r="B1111" s="138" t="s">
        <v>3809</v>
      </c>
      <c r="C1111" s="138" t="s">
        <v>3983</v>
      </c>
      <c r="D1111" s="138" t="s">
        <v>4007</v>
      </c>
      <c r="E1111" s="138" t="s">
        <v>3992</v>
      </c>
      <c r="F1111" s="138" t="s">
        <v>3847</v>
      </c>
      <c r="G1111" s="138" t="s">
        <v>3819</v>
      </c>
      <c r="H1111" s="81" t="str">
        <f t="shared" si="105"/>
        <v>TCCN-PTE-PFL-PR2-CF1-SMO-MOE</v>
      </c>
      <c r="I1111" s="138" t="str">
        <f>MID(H1111,1,(LEN(H1111)-VLOOKUP(K1111,datos!$B$2:$C$12,2,0)))</f>
        <v>TCCN-PTE-PFL-PR2-CF1-SMO-MOE</v>
      </c>
      <c r="J1111" s="138" t="s">
        <v>5945</v>
      </c>
      <c r="K1111" s="140">
        <f>VLOOKUP(LEN(SUBSTITUTE(H1111,"-","")),datos!$A$1:$B$12,2,0)</f>
        <v>7</v>
      </c>
      <c r="L1111" s="138" t="s">
        <v>182</v>
      </c>
      <c r="M1111" s="138" t="s">
        <v>0</v>
      </c>
    </row>
    <row r="1112" spans="1:13" x14ac:dyDescent="0.35">
      <c r="A1112" s="138" t="s">
        <v>487</v>
      </c>
      <c r="B1112" s="138" t="s">
        <v>3809</v>
      </c>
      <c r="C1112" s="138" t="s">
        <v>3983</v>
      </c>
      <c r="D1112" s="138" t="s">
        <v>4007</v>
      </c>
      <c r="E1112" s="138" t="s">
        <v>3992</v>
      </c>
      <c r="F1112" s="138" t="s">
        <v>3847</v>
      </c>
      <c r="G1112" s="138" t="s">
        <v>3864</v>
      </c>
      <c r="H1112" s="81" t="str">
        <f t="shared" si="105"/>
        <v>TCCN-PTE-PFL-PR2-CF1-SMO-PMO</v>
      </c>
      <c r="I1112" s="138" t="str">
        <f>MID(H1112,1,(LEN(H1112)-VLOOKUP(K1112,datos!$B$2:$C$12,2,0)))</f>
        <v>TCCN-PTE-PFL-PR2-CF1-SMO-PMO</v>
      </c>
      <c r="J1112" s="138" t="s">
        <v>5946</v>
      </c>
      <c r="K1112" s="140">
        <f>VLOOKUP(LEN(SUBSTITUTE(H1112,"-","")),datos!$A$1:$B$12,2,0)</f>
        <v>7</v>
      </c>
      <c r="L1112" s="138"/>
      <c r="M1112" s="138" t="s">
        <v>0</v>
      </c>
    </row>
    <row r="1113" spans="1:13" x14ac:dyDescent="0.35">
      <c r="A1113" s="138" t="s">
        <v>487</v>
      </c>
      <c r="B1113" s="138" t="s">
        <v>3809</v>
      </c>
      <c r="C1113" s="138" t="s">
        <v>3983</v>
      </c>
      <c r="D1113" s="138" t="s">
        <v>4007</v>
      </c>
      <c r="E1113" s="138" t="s">
        <v>3992</v>
      </c>
      <c r="F1113" s="138" t="s">
        <v>3847</v>
      </c>
      <c r="G1113" s="138" t="s">
        <v>8116</v>
      </c>
      <c r="H1113" s="81" t="str">
        <f t="shared" si="105"/>
        <v>TCCN-PTE-PFL-PR2-CF1-SMO-PLE</v>
      </c>
      <c r="I1113" s="138" t="str">
        <f>MID(H1113,1,(LEN(H1113)-VLOOKUP(K1113,datos!$B$2:$C$12,2,0)))</f>
        <v>TCCN-PTE-PFL-PR2-CF1-SMO-PLE</v>
      </c>
      <c r="J1113" s="138" t="s">
        <v>5947</v>
      </c>
      <c r="K1113" s="140">
        <f>VLOOKUP(LEN(SUBSTITUTE(H1113,"-","")),datos!$A$1:$B$12,2,0)</f>
        <v>7</v>
      </c>
      <c r="L1113" s="138"/>
      <c r="M1113" s="138" t="s">
        <v>0</v>
      </c>
    </row>
    <row r="1114" spans="1:13" x14ac:dyDescent="0.35">
      <c r="A1114" s="138" t="s">
        <v>487</v>
      </c>
      <c r="B1114" s="138" t="s">
        <v>3809</v>
      </c>
      <c r="C1114" s="138" t="s">
        <v>3983</v>
      </c>
      <c r="D1114" s="138" t="s">
        <v>4007</v>
      </c>
      <c r="E1114" s="138" t="s">
        <v>3992</v>
      </c>
      <c r="F1114" s="138" t="s">
        <v>3847</v>
      </c>
      <c r="G1114" s="138" t="s">
        <v>5688</v>
      </c>
      <c r="H1114" s="81" t="str">
        <f t="shared" si="105"/>
        <v>TCCN-PTE-PFL-PR2-CF1-SMO-PRP</v>
      </c>
      <c r="I1114" s="138" t="str">
        <f>MID(H1114,1,(LEN(H1114)-VLOOKUP(K1114,datos!$B$2:$C$12,2,0)))</f>
        <v>TCCN-PTE-PFL-PR2-CF1-SMO-PRP</v>
      </c>
      <c r="J1114" s="138" t="s">
        <v>5948</v>
      </c>
      <c r="K1114" s="140">
        <f>VLOOKUP(LEN(SUBSTITUTE(H1114,"-","")),datos!$A$1:$B$12,2,0)</f>
        <v>7</v>
      </c>
      <c r="L1114" s="138"/>
      <c r="M1114" s="138" t="s">
        <v>0</v>
      </c>
    </row>
    <row r="1115" spans="1:13" x14ac:dyDescent="0.35">
      <c r="A1115" s="137" t="s">
        <v>487</v>
      </c>
      <c r="B1115" s="137" t="s">
        <v>3809</v>
      </c>
      <c r="C1115" s="137" t="s">
        <v>3983</v>
      </c>
      <c r="D1115" s="137" t="s">
        <v>4007</v>
      </c>
      <c r="E1115" s="137" t="s">
        <v>3992</v>
      </c>
      <c r="F1115" s="137" t="s">
        <v>3831</v>
      </c>
      <c r="G1115" s="137"/>
      <c r="H1115" s="82" t="str">
        <f t="shared" si="105"/>
        <v>TCCN-PTE-PFL-PR2-CF1-INS-</v>
      </c>
      <c r="I1115" s="137" t="str">
        <f>MID(H1115,1,(LEN(H1115)-VLOOKUP(K1115,datos!$B$2:$C$12,2,0)))</f>
        <v>TCCN-PTE-PFL-PR2-CF1-INS</v>
      </c>
      <c r="J1115" s="137" t="s">
        <v>5949</v>
      </c>
      <c r="K1115" s="139">
        <f>VLOOKUP(LEN(SUBSTITUTE(H1115,"-","")),datos!$A$1:$B$12,2,0)</f>
        <v>6</v>
      </c>
      <c r="L1115" s="137"/>
      <c r="M1115" s="137" t="s">
        <v>0</v>
      </c>
    </row>
    <row r="1116" spans="1:13" x14ac:dyDescent="0.35">
      <c r="A1116" s="138" t="s">
        <v>487</v>
      </c>
      <c r="B1116" s="138" t="s">
        <v>3809</v>
      </c>
      <c r="C1116" s="138" t="s">
        <v>3983</v>
      </c>
      <c r="D1116" s="138" t="s">
        <v>4007</v>
      </c>
      <c r="E1116" s="138" t="s">
        <v>3992</v>
      </c>
      <c r="F1116" s="138" t="s">
        <v>3831</v>
      </c>
      <c r="G1116" s="138" t="s">
        <v>4075</v>
      </c>
      <c r="H1116" s="81" t="str">
        <f t="shared" si="105"/>
        <v>TCCN-PTE-PFL-PR2-CF1-INS-VVA</v>
      </c>
      <c r="I1116" s="138" t="str">
        <f>MID(H1116,1,(LEN(H1116)-VLOOKUP(K1116,datos!$B$2:$C$12,2,0)))</f>
        <v>TCCN-PTE-PFL-PR2-CF1-INS-VVA</v>
      </c>
      <c r="J1116" s="138" t="s">
        <v>7733</v>
      </c>
      <c r="K1116" s="140">
        <f>VLOOKUP(LEN(SUBSTITUTE(H1116,"-","")),datos!$A$1:$B$12,2,0)</f>
        <v>7</v>
      </c>
      <c r="L1116" s="138" t="s">
        <v>7731</v>
      </c>
      <c r="M1116" s="138" t="s">
        <v>0</v>
      </c>
    </row>
    <row r="1117" spans="1:13" x14ac:dyDescent="0.35">
      <c r="A1117" s="138" t="s">
        <v>487</v>
      </c>
      <c r="B1117" s="138" t="s">
        <v>3809</v>
      </c>
      <c r="C1117" s="138" t="s">
        <v>3983</v>
      </c>
      <c r="D1117" s="138" t="s">
        <v>4007</v>
      </c>
      <c r="E1117" s="138" t="s">
        <v>3992</v>
      </c>
      <c r="F1117" s="138" t="s">
        <v>3831</v>
      </c>
      <c r="G1117" s="138" t="s">
        <v>4002</v>
      </c>
      <c r="H1117" s="81" t="str">
        <f t="shared" si="105"/>
        <v>TCCN-PTE-PFL-PR2-CF1-INS-FJM</v>
      </c>
      <c r="I1117" s="138" t="str">
        <f>MID(H1117,1,(LEN(H1117)-VLOOKUP(K1117,datos!$B$2:$C$12,2,0)))</f>
        <v>TCCN-PTE-PFL-PR2-CF1-INS-FJM</v>
      </c>
      <c r="J1117" s="138" t="s">
        <v>7734</v>
      </c>
      <c r="K1117" s="140">
        <f>VLOOKUP(LEN(SUBSTITUTE(H1117,"-","")),datos!$A$1:$B$12,2,0)</f>
        <v>7</v>
      </c>
      <c r="L1117" s="138" t="s">
        <v>7732</v>
      </c>
      <c r="M1117" s="138" t="s">
        <v>0</v>
      </c>
    </row>
    <row r="1118" spans="1:13" x14ac:dyDescent="0.35">
      <c r="A1118" s="137" t="s">
        <v>487</v>
      </c>
      <c r="B1118" s="137" t="s">
        <v>3809</v>
      </c>
      <c r="C1118" s="137" t="s">
        <v>3983</v>
      </c>
      <c r="D1118" s="137" t="s">
        <v>4007</v>
      </c>
      <c r="E1118" s="137" t="s">
        <v>3992</v>
      </c>
      <c r="F1118" s="137" t="s">
        <v>3869</v>
      </c>
      <c r="G1118" s="137"/>
      <c r="H1118" s="82" t="str">
        <f t="shared" si="105"/>
        <v>TCCN-PTE-PFL-PR2-CF1-SCE-</v>
      </c>
      <c r="I1118" s="137" t="str">
        <f>MID(H1118,1,(LEN(H1118)-VLOOKUP(K1118,datos!$B$2:$C$12,2,0)))</f>
        <v>TCCN-PTE-PFL-PR2-CF1-SCE</v>
      </c>
      <c r="J1118" s="137" t="s">
        <v>5950</v>
      </c>
      <c r="K1118" s="139">
        <f>VLOOKUP(LEN(SUBSTITUTE(H1118,"-","")),datos!$A$1:$B$12,2,0)</f>
        <v>6</v>
      </c>
      <c r="L1118" s="137"/>
      <c r="M1118" s="137" t="s">
        <v>0</v>
      </c>
    </row>
    <row r="1119" spans="1:13" x14ac:dyDescent="0.35">
      <c r="A1119" s="138" t="s">
        <v>487</v>
      </c>
      <c r="B1119" s="138" t="s">
        <v>3809</v>
      </c>
      <c r="C1119" s="138" t="s">
        <v>3983</v>
      </c>
      <c r="D1119" s="138" t="s">
        <v>4007</v>
      </c>
      <c r="E1119" s="138" t="s">
        <v>3992</v>
      </c>
      <c r="F1119" s="138" t="s">
        <v>3869</v>
      </c>
      <c r="G1119" s="138" t="s">
        <v>3870</v>
      </c>
      <c r="H1119" s="81" t="str">
        <f t="shared" si="105"/>
        <v>TCCN-PTE-PFL-PR2-CF1-SCE-BTN</v>
      </c>
      <c r="I1119" s="138" t="str">
        <f>MID(H1119,1,(LEN(H1119)-VLOOKUP(K1119,datos!$B$2:$C$12,2,0)))</f>
        <v>TCCN-PTE-PFL-PR2-CF1-SCE-BTN</v>
      </c>
      <c r="J1119" s="138" t="s">
        <v>5951</v>
      </c>
      <c r="K1119" s="140">
        <f>VLOOKUP(LEN(SUBSTITUTE(H1119,"-","")),datos!$A$1:$B$12,2,0)</f>
        <v>7</v>
      </c>
      <c r="L1119" s="138"/>
      <c r="M1119" s="138" t="s">
        <v>0</v>
      </c>
    </row>
    <row r="1120" spans="1:13" customFormat="1" ht="14.5" x14ac:dyDescent="0.35">
      <c r="A1120" s="129" t="s">
        <v>487</v>
      </c>
      <c r="B1120" s="129" t="s">
        <v>3809</v>
      </c>
      <c r="C1120" s="129" t="s">
        <v>3983</v>
      </c>
      <c r="D1120" s="129" t="s">
        <v>4007</v>
      </c>
      <c r="E1120" s="129" t="s">
        <v>4003</v>
      </c>
      <c r="F1120" s="129"/>
      <c r="G1120" s="129"/>
      <c r="H1120" s="83" t="str">
        <f t="shared" si="105"/>
        <v>TCCN-PTE-PFL-PR2-CF2--</v>
      </c>
      <c r="I1120" s="129" t="str">
        <f>MID(H1120,1,(LEN(H1120)-VLOOKUP(K1120,datos!$B$2:$C$12,2,0)))</f>
        <v>TCCN-PTE-PFL-PR2-CF2</v>
      </c>
      <c r="J1120" s="129" t="s">
        <v>446</v>
      </c>
      <c r="K1120" s="130">
        <f>VLOOKUP(LEN(SUBSTITUTE(H1120,"-","")),datos!$A$1:$B$12,2,0)</f>
        <v>5</v>
      </c>
      <c r="L1120" s="129" t="s">
        <v>183</v>
      </c>
      <c r="M1120" s="129" t="s">
        <v>0</v>
      </c>
    </row>
    <row r="1121" spans="1:13" x14ac:dyDescent="0.35">
      <c r="A1121" s="137" t="s">
        <v>487</v>
      </c>
      <c r="B1121" s="137" t="s">
        <v>3809</v>
      </c>
      <c r="C1121" s="137" t="s">
        <v>3983</v>
      </c>
      <c r="D1121" s="137" t="s">
        <v>4007</v>
      </c>
      <c r="E1121" s="137" t="s">
        <v>4003</v>
      </c>
      <c r="F1121" s="137" t="s">
        <v>3948</v>
      </c>
      <c r="G1121" s="137"/>
      <c r="H1121" s="82" t="str">
        <f t="shared" si="105"/>
        <v>TCCN-PTE-PFL-PR2-CF2-SCP-</v>
      </c>
      <c r="I1121" s="137" t="str">
        <f>MID(H1121,1,(LEN(H1121)-VLOOKUP(K1121,datos!$B$2:$C$12,2,0)))</f>
        <v>TCCN-PTE-PFL-PR2-CF2-SCP</v>
      </c>
      <c r="J1121" s="137" t="s">
        <v>5916</v>
      </c>
      <c r="K1121" s="139">
        <f>VLOOKUP(LEN(SUBSTITUTE(H1121,"-","")),datos!$A$1:$B$12,2,0)</f>
        <v>6</v>
      </c>
      <c r="L1121" s="137"/>
      <c r="M1121" s="137" t="s">
        <v>0</v>
      </c>
    </row>
    <row r="1122" spans="1:13" x14ac:dyDescent="0.35">
      <c r="A1122" s="138" t="s">
        <v>487</v>
      </c>
      <c r="B1122" s="138" t="s">
        <v>3809</v>
      </c>
      <c r="C1122" s="138" t="s">
        <v>3983</v>
      </c>
      <c r="D1122" s="138" t="s">
        <v>4007</v>
      </c>
      <c r="E1122" s="138" t="s">
        <v>4003</v>
      </c>
      <c r="F1122" s="138" t="s">
        <v>3948</v>
      </c>
      <c r="G1122" s="138" t="s">
        <v>3993</v>
      </c>
      <c r="H1122" s="81" t="str">
        <f t="shared" si="105"/>
        <v>TCCN-PTE-PFL-PR2-CF2-SCP-POR</v>
      </c>
      <c r="I1122" s="138" t="str">
        <f>MID(H1122,1,(LEN(H1122)-VLOOKUP(K1122,datos!$B$2:$C$12,2,0)))</f>
        <v>TCCN-PTE-PFL-PR2-CF2-SCP-POR</v>
      </c>
      <c r="J1122" s="138" t="s">
        <v>5917</v>
      </c>
      <c r="K1122" s="140">
        <f>VLOOKUP(LEN(SUBSTITUTE(H1122,"-","")),datos!$A$1:$B$12,2,0)</f>
        <v>7</v>
      </c>
      <c r="L1122" s="138"/>
      <c r="M1122" s="138" t="s">
        <v>0</v>
      </c>
    </row>
    <row r="1123" spans="1:13" x14ac:dyDescent="0.35">
      <c r="A1123" s="138" t="s">
        <v>487</v>
      </c>
      <c r="B1123" s="138" t="s">
        <v>3809</v>
      </c>
      <c r="C1123" s="138" t="s">
        <v>3983</v>
      </c>
      <c r="D1123" s="138" t="s">
        <v>4007</v>
      </c>
      <c r="E1123" s="138" t="s">
        <v>4003</v>
      </c>
      <c r="F1123" s="138" t="s">
        <v>3948</v>
      </c>
      <c r="G1123" s="138" t="s">
        <v>3994</v>
      </c>
      <c r="H1123" s="81" t="str">
        <f t="shared" si="105"/>
        <v>TCCN-PTE-PFL-PR2-CF2-SCP-RTO</v>
      </c>
      <c r="I1123" s="138" t="str">
        <f>MID(H1123,1,(LEN(H1123)-VLOOKUP(K1123,datos!$B$2:$C$12,2,0)))</f>
        <v>TCCN-PTE-PFL-PR2-CF2-SCP-RTO</v>
      </c>
      <c r="J1123" s="138" t="s">
        <v>5918</v>
      </c>
      <c r="K1123" s="140">
        <f>VLOOKUP(LEN(SUBSTITUTE(H1123,"-","")),datos!$A$1:$B$12,2,0)</f>
        <v>7</v>
      </c>
      <c r="L1123" s="138"/>
      <c r="M1123" s="138" t="s">
        <v>0</v>
      </c>
    </row>
    <row r="1124" spans="1:13" x14ac:dyDescent="0.35">
      <c r="A1124" s="138" t="s">
        <v>487</v>
      </c>
      <c r="B1124" s="138" t="s">
        <v>3809</v>
      </c>
      <c r="C1124" s="138" t="s">
        <v>3983</v>
      </c>
      <c r="D1124" s="138" t="s">
        <v>4007</v>
      </c>
      <c r="E1124" s="138" t="s">
        <v>4003</v>
      </c>
      <c r="F1124" s="138" t="s">
        <v>3948</v>
      </c>
      <c r="G1124" s="138" t="s">
        <v>3995</v>
      </c>
      <c r="H1124" s="81" t="str">
        <f t="shared" si="105"/>
        <v>TCCN-PTE-PFL-PR2-CF2-SCP-ETT</v>
      </c>
      <c r="I1124" s="138" t="str">
        <f>MID(H1124,1,(LEN(H1124)-VLOOKUP(K1124,datos!$B$2:$C$12,2,0)))</f>
        <v>TCCN-PTE-PFL-PR2-CF2-SCP-ETT</v>
      </c>
      <c r="J1124" s="138" t="s">
        <v>5919</v>
      </c>
      <c r="K1124" s="140">
        <f>VLOOKUP(LEN(SUBSTITUTE(H1124,"-","")),datos!$A$1:$B$12,2,0)</f>
        <v>7</v>
      </c>
      <c r="L1124" s="138"/>
      <c r="M1124" s="138" t="s">
        <v>0</v>
      </c>
    </row>
    <row r="1125" spans="1:13" x14ac:dyDescent="0.35">
      <c r="A1125" s="138" t="s">
        <v>487</v>
      </c>
      <c r="B1125" s="138" t="s">
        <v>3809</v>
      </c>
      <c r="C1125" s="138" t="s">
        <v>3983</v>
      </c>
      <c r="D1125" s="138" t="s">
        <v>4007</v>
      </c>
      <c r="E1125" s="138" t="s">
        <v>4003</v>
      </c>
      <c r="F1125" s="138" t="s">
        <v>3948</v>
      </c>
      <c r="G1125" s="138" t="s">
        <v>3996</v>
      </c>
      <c r="H1125" s="81" t="str">
        <f t="shared" si="105"/>
        <v>TCCN-PTE-PFL-PR2-CF2-SCP-DDT</v>
      </c>
      <c r="I1125" s="138" t="str">
        <f>MID(H1125,1,(LEN(H1125)-VLOOKUP(K1125,datos!$B$2:$C$12,2,0)))</f>
        <v>TCCN-PTE-PFL-PR2-CF2-SCP-DDT</v>
      </c>
      <c r="J1125" s="138" t="s">
        <v>5920</v>
      </c>
      <c r="K1125" s="140">
        <f>VLOOKUP(LEN(SUBSTITUTE(H1125,"-","")),datos!$A$1:$B$12,2,0)</f>
        <v>7</v>
      </c>
      <c r="L1125" s="138"/>
      <c r="M1125" s="138" t="s">
        <v>0</v>
      </c>
    </row>
    <row r="1126" spans="1:13" x14ac:dyDescent="0.35">
      <c r="A1126" s="138" t="s">
        <v>487</v>
      </c>
      <c r="B1126" s="138" t="s">
        <v>3809</v>
      </c>
      <c r="C1126" s="138" t="s">
        <v>3983</v>
      </c>
      <c r="D1126" s="138" t="s">
        <v>4007</v>
      </c>
      <c r="E1126" s="138" t="s">
        <v>4003</v>
      </c>
      <c r="F1126" s="138" t="s">
        <v>3948</v>
      </c>
      <c r="G1126" s="138" t="s">
        <v>3997</v>
      </c>
      <c r="H1126" s="81" t="str">
        <f t="shared" si="105"/>
        <v>TCCN-PTE-PFL-PR2-CF2-SCP-EJE</v>
      </c>
      <c r="I1126" s="138" t="str">
        <f>MID(H1126,1,(LEN(H1126)-VLOOKUP(K1126,datos!$B$2:$C$12,2,0)))</f>
        <v>TCCN-PTE-PFL-PR2-CF2-SCP-EJE</v>
      </c>
      <c r="J1126" s="138" t="s">
        <v>5921</v>
      </c>
      <c r="K1126" s="140">
        <f>VLOOKUP(LEN(SUBSTITUTE(H1126,"-","")),datos!$A$1:$B$12,2,0)</f>
        <v>7</v>
      </c>
      <c r="L1126" s="138"/>
      <c r="M1126" s="138" t="s">
        <v>0</v>
      </c>
    </row>
    <row r="1127" spans="1:13" x14ac:dyDescent="0.35">
      <c r="A1127" s="137" t="s">
        <v>487</v>
      </c>
      <c r="B1127" s="137" t="s">
        <v>3809</v>
      </c>
      <c r="C1127" s="137" t="s">
        <v>3983</v>
      </c>
      <c r="D1127" s="137" t="s">
        <v>4007</v>
      </c>
      <c r="E1127" s="137" t="s">
        <v>4003</v>
      </c>
      <c r="F1127" s="137" t="s">
        <v>3824</v>
      </c>
      <c r="G1127" s="137"/>
      <c r="H1127" s="82" t="str">
        <f t="shared" si="105"/>
        <v>TCCN-PTE-PFL-PR2-CF2-SES-</v>
      </c>
      <c r="I1127" s="137" t="str">
        <f>MID(H1127,1,(LEN(H1127)-VLOOKUP(K1127,datos!$B$2:$C$12,2,0)))</f>
        <v>TCCN-PTE-PFL-PR2-CF2-SES</v>
      </c>
      <c r="J1127" s="137" t="s">
        <v>5922</v>
      </c>
      <c r="K1127" s="139">
        <f>VLOOKUP(LEN(SUBSTITUTE(H1127,"-","")),datos!$A$1:$B$12,2,0)</f>
        <v>6</v>
      </c>
      <c r="L1127" s="137"/>
      <c r="M1127" s="137" t="s">
        <v>0</v>
      </c>
    </row>
    <row r="1128" spans="1:13" x14ac:dyDescent="0.35">
      <c r="A1128" s="138" t="s">
        <v>487</v>
      </c>
      <c r="B1128" s="138" t="s">
        <v>3809</v>
      </c>
      <c r="C1128" s="138" t="s">
        <v>3983</v>
      </c>
      <c r="D1128" s="138" t="s">
        <v>4007</v>
      </c>
      <c r="E1128" s="138" t="s">
        <v>4003</v>
      </c>
      <c r="F1128" s="138" t="s">
        <v>3824</v>
      </c>
      <c r="G1128" s="138" t="s">
        <v>3998</v>
      </c>
      <c r="H1128" s="81" t="str">
        <f t="shared" si="105"/>
        <v>TCCN-PTE-PFL-PR2-CF2-SES-BYG</v>
      </c>
      <c r="I1128" s="138" t="str">
        <f>MID(H1128,1,(LEN(H1128)-VLOOKUP(K1128,datos!$B$2:$C$12,2,0)))</f>
        <v>TCCN-PTE-PFL-PR2-CF2-SES-BYG</v>
      </c>
      <c r="J1128" s="138" t="s">
        <v>8014</v>
      </c>
      <c r="K1128" s="140">
        <f>VLOOKUP(LEN(SUBSTITUTE(H1128,"-","")),datos!$A$1:$B$12,2,0)</f>
        <v>7</v>
      </c>
      <c r="L1128" s="138"/>
      <c r="M1128" s="138" t="s">
        <v>0</v>
      </c>
    </row>
    <row r="1129" spans="1:13" x14ac:dyDescent="0.35">
      <c r="A1129" s="138" t="s">
        <v>487</v>
      </c>
      <c r="B1129" s="138" t="s">
        <v>3809</v>
      </c>
      <c r="C1129" s="138" t="s">
        <v>3983</v>
      </c>
      <c r="D1129" s="138" t="s">
        <v>4007</v>
      </c>
      <c r="E1129" s="138" t="s">
        <v>4003</v>
      </c>
      <c r="F1129" s="138" t="s">
        <v>3824</v>
      </c>
      <c r="G1129" s="138" t="s">
        <v>3999</v>
      </c>
      <c r="H1129" s="81" t="str">
        <f t="shared" si="105"/>
        <v>TCCN-PTE-PFL-PR2-CF2-SES-RDP</v>
      </c>
      <c r="I1129" s="138" t="str">
        <f>MID(H1129,1,(LEN(H1129)-VLOOKUP(K1129,datos!$B$2:$C$12,2,0)))</f>
        <v>TCCN-PTE-PFL-PR2-CF2-SES-RDP</v>
      </c>
      <c r="J1129" s="138" t="s">
        <v>5923</v>
      </c>
      <c r="K1129" s="140">
        <f>VLOOKUP(LEN(SUBSTITUTE(H1129,"-","")),datos!$A$1:$B$12,2,0)</f>
        <v>7</v>
      </c>
      <c r="L1129" s="138"/>
      <c r="M1129" s="138" t="s">
        <v>0</v>
      </c>
    </row>
    <row r="1130" spans="1:13" x14ac:dyDescent="0.35">
      <c r="A1130" s="138" t="s">
        <v>487</v>
      </c>
      <c r="B1130" s="138" t="s">
        <v>3809</v>
      </c>
      <c r="C1130" s="138" t="s">
        <v>3983</v>
      </c>
      <c r="D1130" s="138" t="s">
        <v>4007</v>
      </c>
      <c r="E1130" s="138" t="s">
        <v>4003</v>
      </c>
      <c r="F1130" s="138" t="s">
        <v>3824</v>
      </c>
      <c r="G1130" s="138" t="s">
        <v>3853</v>
      </c>
      <c r="H1130" s="81" t="str">
        <f t="shared" si="105"/>
        <v>TCCN-PTE-PFL-PR2-CF2-SES-EST</v>
      </c>
      <c r="I1130" s="138" t="str">
        <f>MID(H1130,1,(LEN(H1130)-VLOOKUP(K1130,datos!$B$2:$C$12,2,0)))</f>
        <v>TCCN-PTE-PFL-PR2-CF2-SES-EST</v>
      </c>
      <c r="J1130" s="138" t="s">
        <v>5924</v>
      </c>
      <c r="K1130" s="140">
        <f>VLOOKUP(LEN(SUBSTITUTE(H1130,"-","")),datos!$A$1:$B$12,2,0)</f>
        <v>7</v>
      </c>
      <c r="L1130" s="138"/>
      <c r="M1130" s="138" t="s">
        <v>0</v>
      </c>
    </row>
    <row r="1131" spans="1:13" x14ac:dyDescent="0.35">
      <c r="A1131" s="138" t="s">
        <v>487</v>
      </c>
      <c r="B1131" s="138" t="s">
        <v>3809</v>
      </c>
      <c r="C1131" s="138" t="s">
        <v>3983</v>
      </c>
      <c r="D1131" s="138" t="s">
        <v>4007</v>
      </c>
      <c r="E1131" s="138" t="s">
        <v>4003</v>
      </c>
      <c r="F1131" s="138" t="s">
        <v>3824</v>
      </c>
      <c r="G1131" s="138" t="s">
        <v>4000</v>
      </c>
      <c r="H1131" s="81" t="str">
        <f t="shared" si="105"/>
        <v>TCCN-PTE-PFL-PR2-CF2-SES-CRW</v>
      </c>
      <c r="I1131" s="138" t="str">
        <f>MID(H1131,1,(LEN(H1131)-VLOOKUP(K1131,datos!$B$2:$C$12,2,0)))</f>
        <v>TCCN-PTE-PFL-PR2-CF2-SES-CRW</v>
      </c>
      <c r="J1131" s="138" t="s">
        <v>5925</v>
      </c>
      <c r="K1131" s="140">
        <f>VLOOKUP(LEN(SUBSTITUTE(H1131,"-","")),datos!$A$1:$B$12,2,0)</f>
        <v>7</v>
      </c>
      <c r="L1131" s="138"/>
      <c r="M1131" s="138" t="s">
        <v>0</v>
      </c>
    </row>
    <row r="1132" spans="1:13" x14ac:dyDescent="0.35">
      <c r="A1132" s="137" t="s">
        <v>487</v>
      </c>
      <c r="B1132" s="137" t="s">
        <v>3809</v>
      </c>
      <c r="C1132" s="137" t="s">
        <v>3983</v>
      </c>
      <c r="D1132" s="137" t="s">
        <v>4007</v>
      </c>
      <c r="E1132" s="137" t="s">
        <v>4003</v>
      </c>
      <c r="F1132" s="137" t="s">
        <v>3847</v>
      </c>
      <c r="G1132" s="137"/>
      <c r="H1132" s="82" t="str">
        <f t="shared" si="105"/>
        <v>TCCN-PTE-PFL-PR2-CF2-SMO-</v>
      </c>
      <c r="I1132" s="137" t="str">
        <f>MID(H1132,1,(LEN(H1132)-VLOOKUP(K1132,datos!$B$2:$C$12,2,0)))</f>
        <v>TCCN-PTE-PFL-PR2-CF2-SMO</v>
      </c>
      <c r="J1132" s="137" t="s">
        <v>5926</v>
      </c>
      <c r="K1132" s="139">
        <f>VLOOKUP(LEN(SUBSTITUTE(H1132,"-","")),datos!$A$1:$B$12,2,0)</f>
        <v>6</v>
      </c>
      <c r="L1132" s="137"/>
      <c r="M1132" s="137" t="s">
        <v>0</v>
      </c>
    </row>
    <row r="1133" spans="1:13" x14ac:dyDescent="0.35">
      <c r="A1133" s="138" t="s">
        <v>487</v>
      </c>
      <c r="B1133" s="138" t="s">
        <v>3809</v>
      </c>
      <c r="C1133" s="138" t="s">
        <v>3983</v>
      </c>
      <c r="D1133" s="138" t="s">
        <v>4007</v>
      </c>
      <c r="E1133" s="138" t="s">
        <v>4003</v>
      </c>
      <c r="F1133" s="138" t="s">
        <v>3847</v>
      </c>
      <c r="G1133" s="138" t="s">
        <v>3819</v>
      </c>
      <c r="H1133" s="81" t="str">
        <f t="shared" si="105"/>
        <v>TCCN-PTE-PFL-PR2-CF2-SMO-MOE</v>
      </c>
      <c r="I1133" s="138" t="str">
        <f>MID(H1133,1,(LEN(H1133)-VLOOKUP(K1133,datos!$B$2:$C$12,2,0)))</f>
        <v>TCCN-PTE-PFL-PR2-CF2-SMO-MOE</v>
      </c>
      <c r="J1133" s="138" t="s">
        <v>5927</v>
      </c>
      <c r="K1133" s="140">
        <f>VLOOKUP(LEN(SUBSTITUTE(H1133,"-","")),datos!$A$1:$B$12,2,0)</f>
        <v>7</v>
      </c>
      <c r="L1133" s="138" t="s">
        <v>184</v>
      </c>
      <c r="M1133" s="138" t="s">
        <v>0</v>
      </c>
    </row>
    <row r="1134" spans="1:13" x14ac:dyDescent="0.35">
      <c r="A1134" s="138" t="s">
        <v>487</v>
      </c>
      <c r="B1134" s="138" t="s">
        <v>3809</v>
      </c>
      <c r="C1134" s="138" t="s">
        <v>3983</v>
      </c>
      <c r="D1134" s="138" t="s">
        <v>4007</v>
      </c>
      <c r="E1134" s="138" t="s">
        <v>4003</v>
      </c>
      <c r="F1134" s="138" t="s">
        <v>3847</v>
      </c>
      <c r="G1134" s="138" t="s">
        <v>3864</v>
      </c>
      <c r="H1134" s="81" t="str">
        <f t="shared" si="105"/>
        <v>TCCN-PTE-PFL-PR2-CF2-SMO-PMO</v>
      </c>
      <c r="I1134" s="138" t="str">
        <f>MID(H1134,1,(LEN(H1134)-VLOOKUP(K1134,datos!$B$2:$C$12,2,0)))</f>
        <v>TCCN-PTE-PFL-PR2-CF2-SMO-PMO</v>
      </c>
      <c r="J1134" s="138" t="s">
        <v>5928</v>
      </c>
      <c r="K1134" s="140">
        <f>VLOOKUP(LEN(SUBSTITUTE(H1134,"-","")),datos!$A$1:$B$12,2,0)</f>
        <v>7</v>
      </c>
      <c r="L1134" s="138"/>
      <c r="M1134" s="138" t="s">
        <v>0</v>
      </c>
    </row>
    <row r="1135" spans="1:13" x14ac:dyDescent="0.35">
      <c r="A1135" s="138" t="s">
        <v>487</v>
      </c>
      <c r="B1135" s="138" t="s">
        <v>3809</v>
      </c>
      <c r="C1135" s="138" t="s">
        <v>3983</v>
      </c>
      <c r="D1135" s="138" t="s">
        <v>4007</v>
      </c>
      <c r="E1135" s="138" t="s">
        <v>4003</v>
      </c>
      <c r="F1135" s="138" t="s">
        <v>3847</v>
      </c>
      <c r="G1135" s="138" t="s">
        <v>8116</v>
      </c>
      <c r="H1135" s="81" t="str">
        <f t="shared" si="105"/>
        <v>TCCN-PTE-PFL-PR2-CF2-SMO-PLE</v>
      </c>
      <c r="I1135" s="138" t="str">
        <f>MID(H1135,1,(LEN(H1135)-VLOOKUP(K1135,datos!$B$2:$C$12,2,0)))</f>
        <v>TCCN-PTE-PFL-PR2-CF2-SMO-PLE</v>
      </c>
      <c r="J1135" s="138" t="s">
        <v>5929</v>
      </c>
      <c r="K1135" s="140">
        <f>VLOOKUP(LEN(SUBSTITUTE(H1135,"-","")),datos!$A$1:$B$12,2,0)</f>
        <v>7</v>
      </c>
      <c r="L1135" s="138"/>
      <c r="M1135" s="138" t="s">
        <v>0</v>
      </c>
    </row>
    <row r="1136" spans="1:13" x14ac:dyDescent="0.35">
      <c r="A1136" s="138" t="s">
        <v>487</v>
      </c>
      <c r="B1136" s="138" t="s">
        <v>3809</v>
      </c>
      <c r="C1136" s="138" t="s">
        <v>3983</v>
      </c>
      <c r="D1136" s="138" t="s">
        <v>4007</v>
      </c>
      <c r="E1136" s="138" t="s">
        <v>4003</v>
      </c>
      <c r="F1136" s="138" t="s">
        <v>3847</v>
      </c>
      <c r="G1136" s="138" t="s">
        <v>5688</v>
      </c>
      <c r="H1136" s="81" t="str">
        <f t="shared" si="105"/>
        <v>TCCN-PTE-PFL-PR2-CF2-SMO-PRP</v>
      </c>
      <c r="I1136" s="138" t="str">
        <f>MID(H1136,1,(LEN(H1136)-VLOOKUP(K1136,datos!$B$2:$C$12,2,0)))</f>
        <v>TCCN-PTE-PFL-PR2-CF2-SMO-PRP</v>
      </c>
      <c r="J1136" s="138" t="s">
        <v>5930</v>
      </c>
      <c r="K1136" s="140">
        <f>VLOOKUP(LEN(SUBSTITUTE(H1136,"-","")),datos!$A$1:$B$12,2,0)</f>
        <v>7</v>
      </c>
      <c r="L1136" s="138"/>
      <c r="M1136" s="138" t="s">
        <v>0</v>
      </c>
    </row>
    <row r="1137" spans="1:13" x14ac:dyDescent="0.35">
      <c r="A1137" s="137" t="s">
        <v>487</v>
      </c>
      <c r="B1137" s="137" t="s">
        <v>3809</v>
      </c>
      <c r="C1137" s="137" t="s">
        <v>3983</v>
      </c>
      <c r="D1137" s="137" t="s">
        <v>4007</v>
      </c>
      <c r="E1137" s="137" t="s">
        <v>4003</v>
      </c>
      <c r="F1137" s="137" t="s">
        <v>3831</v>
      </c>
      <c r="G1137" s="137"/>
      <c r="H1137" s="82" t="str">
        <f t="shared" ref="H1137:H1196" si="106">CONCATENATE(A1137,"-",B1137,"-",C1137,"-",D1137,"-",E1137,"-",F1137,"-",G1137)</f>
        <v>TCCN-PTE-PFL-PR2-CF2-INS-</v>
      </c>
      <c r="I1137" s="137" t="str">
        <f>MID(H1137,1,(LEN(H1137)-VLOOKUP(K1137,datos!$B$2:$C$12,2,0)))</f>
        <v>TCCN-PTE-PFL-PR2-CF2-INS</v>
      </c>
      <c r="J1137" s="137" t="s">
        <v>5931</v>
      </c>
      <c r="K1137" s="139">
        <f>VLOOKUP(LEN(SUBSTITUTE(H1137,"-","")),datos!$A$1:$B$12,2,0)</f>
        <v>6</v>
      </c>
      <c r="L1137" s="137"/>
      <c r="M1137" s="137" t="s">
        <v>0</v>
      </c>
    </row>
    <row r="1138" spans="1:13" x14ac:dyDescent="0.35">
      <c r="A1138" s="138" t="s">
        <v>487</v>
      </c>
      <c r="B1138" s="138" t="s">
        <v>3809</v>
      </c>
      <c r="C1138" s="138" t="s">
        <v>3983</v>
      </c>
      <c r="D1138" s="138" t="s">
        <v>4007</v>
      </c>
      <c r="E1138" s="138" t="s">
        <v>4003</v>
      </c>
      <c r="F1138" s="138" t="s">
        <v>3831</v>
      </c>
      <c r="G1138" s="138" t="s">
        <v>4075</v>
      </c>
      <c r="H1138" s="81" t="str">
        <f t="shared" si="106"/>
        <v>TCCN-PTE-PFL-PR2-CF2-INS-VVA</v>
      </c>
      <c r="I1138" s="138" t="str">
        <f>MID(H1138,1,(LEN(H1138)-VLOOKUP(K1138,datos!$B$2:$C$12,2,0)))</f>
        <v>TCCN-PTE-PFL-PR2-CF2-INS-VVA</v>
      </c>
      <c r="J1138" s="138" t="s">
        <v>7735</v>
      </c>
      <c r="K1138" s="140">
        <f>VLOOKUP(LEN(SUBSTITUTE(H1138,"-","")),datos!$A$1:$B$12,2,0)</f>
        <v>7</v>
      </c>
      <c r="L1138" s="138" t="s">
        <v>7737</v>
      </c>
      <c r="M1138" s="138" t="s">
        <v>0</v>
      </c>
    </row>
    <row r="1139" spans="1:13" x14ac:dyDescent="0.35">
      <c r="A1139" s="138" t="s">
        <v>487</v>
      </c>
      <c r="B1139" s="138" t="s">
        <v>3809</v>
      </c>
      <c r="C1139" s="138" t="s">
        <v>3983</v>
      </c>
      <c r="D1139" s="138" t="s">
        <v>4007</v>
      </c>
      <c r="E1139" s="138" t="s">
        <v>4003</v>
      </c>
      <c r="F1139" s="138" t="s">
        <v>3831</v>
      </c>
      <c r="G1139" s="138" t="s">
        <v>5256</v>
      </c>
      <c r="H1139" s="81" t="str">
        <f t="shared" si="106"/>
        <v>TCCN-PTE-PFL-PR2-CF2-INS-MNV</v>
      </c>
      <c r="I1139" s="138" t="str">
        <f>MID(H1139,1,(LEN(H1139)-VLOOKUP(K1139,datos!$B$2:$C$12,2,0)))</f>
        <v>TCCN-PTE-PFL-PR2-CF2-INS-MNV</v>
      </c>
      <c r="J1139" s="138" t="s">
        <v>7707</v>
      </c>
      <c r="K1139" s="140">
        <f>VLOOKUP(LEN(SUBSTITUTE(H1139,"-","")),datos!$A$1:$B$12,2,0)</f>
        <v>7</v>
      </c>
      <c r="L1139" s="138" t="s">
        <v>7738</v>
      </c>
      <c r="M1139" s="138" t="s">
        <v>0</v>
      </c>
    </row>
    <row r="1140" spans="1:13" x14ac:dyDescent="0.35">
      <c r="A1140" s="138" t="s">
        <v>487</v>
      </c>
      <c r="B1140" s="138" t="s">
        <v>3809</v>
      </c>
      <c r="C1140" s="138" t="s">
        <v>3983</v>
      </c>
      <c r="D1140" s="138" t="s">
        <v>4007</v>
      </c>
      <c r="E1140" s="138" t="s">
        <v>4003</v>
      </c>
      <c r="F1140" s="138" t="s">
        <v>3831</v>
      </c>
      <c r="G1140" s="138" t="s">
        <v>4002</v>
      </c>
      <c r="H1140" s="81" t="str">
        <f t="shared" si="106"/>
        <v>TCCN-PTE-PFL-PR2-CF2-INS-FJM</v>
      </c>
      <c r="I1140" s="138" t="str">
        <f>MID(H1140,1,(LEN(H1140)-VLOOKUP(K1140,datos!$B$2:$C$12,2,0)))</f>
        <v>TCCN-PTE-PFL-PR2-CF2-INS-FJM</v>
      </c>
      <c r="J1140" s="138" t="s">
        <v>7736</v>
      </c>
      <c r="K1140" s="140">
        <f>VLOOKUP(LEN(SUBSTITUTE(H1140,"-","")),datos!$A$1:$B$12,2,0)</f>
        <v>7</v>
      </c>
      <c r="L1140" s="138" t="s">
        <v>7739</v>
      </c>
      <c r="M1140" s="138" t="s">
        <v>0</v>
      </c>
    </row>
    <row r="1141" spans="1:13" x14ac:dyDescent="0.35">
      <c r="A1141" s="137" t="s">
        <v>487</v>
      </c>
      <c r="B1141" s="137" t="s">
        <v>3809</v>
      </c>
      <c r="C1141" s="137" t="s">
        <v>3983</v>
      </c>
      <c r="D1141" s="137" t="s">
        <v>4007</v>
      </c>
      <c r="E1141" s="137" t="s">
        <v>4003</v>
      </c>
      <c r="F1141" s="137" t="s">
        <v>3869</v>
      </c>
      <c r="G1141" s="137"/>
      <c r="H1141" s="82" t="str">
        <f t="shared" si="106"/>
        <v>TCCN-PTE-PFL-PR2-CF2-SCE-</v>
      </c>
      <c r="I1141" s="137" t="str">
        <f>MID(H1141,1,(LEN(H1141)-VLOOKUP(K1141,datos!$B$2:$C$12,2,0)))</f>
        <v>TCCN-PTE-PFL-PR2-CF2-SCE</v>
      </c>
      <c r="J1141" s="137" t="s">
        <v>5932</v>
      </c>
      <c r="K1141" s="139">
        <f>VLOOKUP(LEN(SUBSTITUTE(H1141,"-","")),datos!$A$1:$B$12,2,0)</f>
        <v>6</v>
      </c>
      <c r="L1141" s="137"/>
      <c r="M1141" s="137" t="s">
        <v>0</v>
      </c>
    </row>
    <row r="1142" spans="1:13" x14ac:dyDescent="0.35">
      <c r="A1142" s="138" t="s">
        <v>487</v>
      </c>
      <c r="B1142" s="138" t="s">
        <v>3809</v>
      </c>
      <c r="C1142" s="138" t="s">
        <v>3983</v>
      </c>
      <c r="D1142" s="138" t="s">
        <v>4007</v>
      </c>
      <c r="E1142" s="138" t="s">
        <v>4003</v>
      </c>
      <c r="F1142" s="138" t="s">
        <v>3869</v>
      </c>
      <c r="G1142" s="138" t="s">
        <v>3870</v>
      </c>
      <c r="H1142" s="81" t="str">
        <f t="shared" si="106"/>
        <v>TCCN-PTE-PFL-PR2-CF2-SCE-BTN</v>
      </c>
      <c r="I1142" s="138" t="str">
        <f>MID(H1142,1,(LEN(H1142)-VLOOKUP(K1142,datos!$B$2:$C$12,2,0)))</f>
        <v>TCCN-PTE-PFL-PR2-CF2-SCE-BTN</v>
      </c>
      <c r="J1142" s="138" t="s">
        <v>5933</v>
      </c>
      <c r="K1142" s="140">
        <f>VLOOKUP(LEN(SUBSTITUTE(H1142,"-","")),datos!$A$1:$B$12,2,0)</f>
        <v>7</v>
      </c>
      <c r="L1142" s="138"/>
      <c r="M1142" s="138" t="s">
        <v>0</v>
      </c>
    </row>
    <row r="1143" spans="1:13" customFormat="1" ht="14.5" x14ac:dyDescent="0.35">
      <c r="A1143" s="129" t="s">
        <v>487</v>
      </c>
      <c r="B1143" s="129" t="s">
        <v>3809</v>
      </c>
      <c r="C1143" s="129" t="s">
        <v>3983</v>
      </c>
      <c r="D1143" s="129" t="s">
        <v>4007</v>
      </c>
      <c r="E1143" s="129" t="s">
        <v>3965</v>
      </c>
      <c r="F1143" s="129"/>
      <c r="G1143" s="129"/>
      <c r="H1143" s="83" t="str">
        <f t="shared" si="106"/>
        <v>TCCN-PTE-PFL-PR2-CB1--</v>
      </c>
      <c r="I1143" s="129" t="str">
        <f>MID(H1143,1,(LEN(H1143)-VLOOKUP(K1143,datos!$B$2:$C$12,2,0)))</f>
        <v>TCCN-PTE-PFL-PR2-CB1</v>
      </c>
      <c r="J1143" s="129" t="s">
        <v>7705</v>
      </c>
      <c r="K1143" s="130">
        <f>VLOOKUP(LEN(SUBSTITUTE(H1143,"-","")),datos!$A$1:$B$12,2,0)</f>
        <v>5</v>
      </c>
      <c r="L1143" s="129"/>
      <c r="M1143" s="129" t="s">
        <v>0</v>
      </c>
    </row>
    <row r="1144" spans="1:13" x14ac:dyDescent="0.35">
      <c r="A1144" s="137" t="s">
        <v>487</v>
      </c>
      <c r="B1144" s="137" t="s">
        <v>3809</v>
      </c>
      <c r="C1144" s="137" t="s">
        <v>3983</v>
      </c>
      <c r="D1144" s="137" t="s">
        <v>4007</v>
      </c>
      <c r="E1144" s="137" t="s">
        <v>3965</v>
      </c>
      <c r="F1144" s="137" t="s">
        <v>3831</v>
      </c>
      <c r="G1144" s="137"/>
      <c r="H1144" s="82" t="str">
        <f t="shared" si="106"/>
        <v>TCCN-PTE-PFL-PR2-CB1-INS-</v>
      </c>
      <c r="I1144" s="137" t="str">
        <f>MID(H1144,1,(LEN(H1144)-VLOOKUP(K1144,datos!$B$2:$C$12,2,0)))</f>
        <v>TCCN-PTE-PFL-PR2-CB1-INS</v>
      </c>
      <c r="J1144" s="137" t="s">
        <v>7706</v>
      </c>
      <c r="K1144" s="139">
        <f>VLOOKUP(LEN(SUBSTITUTE(H1144,"-","")),datos!$A$1:$B$12,2,0)</f>
        <v>6</v>
      </c>
      <c r="L1144" s="137"/>
      <c r="M1144" s="137" t="s">
        <v>0</v>
      </c>
    </row>
    <row r="1145" spans="1:13" x14ac:dyDescent="0.35">
      <c r="A1145" s="138" t="s">
        <v>487</v>
      </c>
      <c r="B1145" s="138" t="s">
        <v>3809</v>
      </c>
      <c r="C1145" s="138" t="s">
        <v>3983</v>
      </c>
      <c r="D1145" s="138" t="s">
        <v>4007</v>
      </c>
      <c r="E1145" s="138" t="s">
        <v>3965</v>
      </c>
      <c r="F1145" s="138" t="s">
        <v>3831</v>
      </c>
      <c r="G1145" s="138" t="s">
        <v>3986</v>
      </c>
      <c r="H1145" s="81" t="str">
        <f t="shared" si="106"/>
        <v>TCCN-PTE-PFL-PR2-CB1-INS-VV1</v>
      </c>
      <c r="I1145" s="138" t="str">
        <f>MID(H1145,1,(LEN(H1145)-VLOOKUP(K1145,datos!$B$2:$C$12,2,0)))</f>
        <v>TCCN-PTE-PFL-PR2-CB1-INS-VV1</v>
      </c>
      <c r="J1145" s="138" t="s">
        <v>7709</v>
      </c>
      <c r="K1145" s="140">
        <f>VLOOKUP(LEN(SUBSTITUTE(H1145,"-","")),datos!$A$1:$B$12,2,0)</f>
        <v>7</v>
      </c>
      <c r="L1145" s="138" t="s">
        <v>7740</v>
      </c>
      <c r="M1145" s="138" t="s">
        <v>0</v>
      </c>
    </row>
    <row r="1146" spans="1:13" x14ac:dyDescent="0.35">
      <c r="A1146" s="138" t="s">
        <v>487</v>
      </c>
      <c r="B1146" s="138" t="s">
        <v>3809</v>
      </c>
      <c r="C1146" s="138" t="s">
        <v>3983</v>
      </c>
      <c r="D1146" s="138" t="s">
        <v>4007</v>
      </c>
      <c r="E1146" s="138" t="s">
        <v>3965</v>
      </c>
      <c r="F1146" s="138" t="s">
        <v>3831</v>
      </c>
      <c r="G1146" s="138" t="s">
        <v>3987</v>
      </c>
      <c r="H1146" s="81" t="str">
        <f t="shared" si="106"/>
        <v>TCCN-PTE-PFL-PR2-CB1-INS-VV2</v>
      </c>
      <c r="I1146" s="138" t="str">
        <f>MID(H1146,1,(LEN(H1146)-VLOOKUP(K1146,datos!$B$2:$C$12,2,0)))</f>
        <v>TCCN-PTE-PFL-PR2-CB1-INS-VV2</v>
      </c>
      <c r="J1146" s="138" t="s">
        <v>7710</v>
      </c>
      <c r="K1146" s="140">
        <f>VLOOKUP(LEN(SUBSTITUTE(H1146,"-","")),datos!$A$1:$B$12,2,0)</f>
        <v>7</v>
      </c>
      <c r="L1146" s="138" t="s">
        <v>7741</v>
      </c>
      <c r="M1146" s="138" t="s">
        <v>0</v>
      </c>
    </row>
    <row r="1147" spans="1:13" customFormat="1" ht="14.5" x14ac:dyDescent="0.35">
      <c r="A1147" s="129" t="s">
        <v>487</v>
      </c>
      <c r="B1147" s="129" t="s">
        <v>3809</v>
      </c>
      <c r="C1147" s="129" t="s">
        <v>3983</v>
      </c>
      <c r="D1147" s="129" t="s">
        <v>4007</v>
      </c>
      <c r="E1147" s="129" t="s">
        <v>4004</v>
      </c>
      <c r="F1147" s="129"/>
      <c r="G1147" s="129"/>
      <c r="H1147" s="83" t="str">
        <f t="shared" si="106"/>
        <v>TCCN-PTE-PFL-PR2-CF3--</v>
      </c>
      <c r="I1147" s="129" t="str">
        <f>MID(H1147,1,(LEN(H1147)-VLOOKUP(K1147,datos!$B$2:$C$12,2,0)))</f>
        <v>TCCN-PTE-PFL-PR2-CF3</v>
      </c>
      <c r="J1147" s="129" t="s">
        <v>447</v>
      </c>
      <c r="K1147" s="130">
        <f>VLOOKUP(LEN(SUBSTITUTE(H1147,"-","")),datos!$A$1:$B$12,2,0)</f>
        <v>5</v>
      </c>
      <c r="L1147" s="129" t="s">
        <v>185</v>
      </c>
      <c r="M1147" s="129" t="s">
        <v>0</v>
      </c>
    </row>
    <row r="1148" spans="1:13" x14ac:dyDescent="0.35">
      <c r="A1148" s="137" t="s">
        <v>487</v>
      </c>
      <c r="B1148" s="137" t="s">
        <v>3809</v>
      </c>
      <c r="C1148" s="137" t="s">
        <v>3983</v>
      </c>
      <c r="D1148" s="137" t="s">
        <v>4007</v>
      </c>
      <c r="E1148" s="137" t="s">
        <v>4004</v>
      </c>
      <c r="F1148" s="137" t="s">
        <v>3948</v>
      </c>
      <c r="G1148" s="137"/>
      <c r="H1148" s="82" t="str">
        <f t="shared" si="106"/>
        <v>TCCN-PTE-PFL-PR2-CF3-SCP-</v>
      </c>
      <c r="I1148" s="137" t="str">
        <f>MID(H1148,1,(LEN(H1148)-VLOOKUP(K1148,datos!$B$2:$C$12,2,0)))</f>
        <v>TCCN-PTE-PFL-PR2-CF3-SCP</v>
      </c>
      <c r="J1148" s="137" t="s">
        <v>5898</v>
      </c>
      <c r="K1148" s="139">
        <f>VLOOKUP(LEN(SUBSTITUTE(H1148,"-","")),datos!$A$1:$B$12,2,0)</f>
        <v>6</v>
      </c>
      <c r="L1148" s="137"/>
      <c r="M1148" s="137" t="s">
        <v>0</v>
      </c>
    </row>
    <row r="1149" spans="1:13" x14ac:dyDescent="0.35">
      <c r="A1149" s="138" t="s">
        <v>487</v>
      </c>
      <c r="B1149" s="138" t="s">
        <v>3809</v>
      </c>
      <c r="C1149" s="138" t="s">
        <v>3983</v>
      </c>
      <c r="D1149" s="138" t="s">
        <v>4007</v>
      </c>
      <c r="E1149" s="138" t="s">
        <v>4004</v>
      </c>
      <c r="F1149" s="138" t="s">
        <v>3948</v>
      </c>
      <c r="G1149" s="138" t="s">
        <v>3993</v>
      </c>
      <c r="H1149" s="81" t="str">
        <f t="shared" si="106"/>
        <v>TCCN-PTE-PFL-PR2-CF3-SCP-POR</v>
      </c>
      <c r="I1149" s="138" t="str">
        <f>MID(H1149,1,(LEN(H1149)-VLOOKUP(K1149,datos!$B$2:$C$12,2,0)))</f>
        <v>TCCN-PTE-PFL-PR2-CF3-SCP-POR</v>
      </c>
      <c r="J1149" s="138" t="s">
        <v>5899</v>
      </c>
      <c r="K1149" s="140">
        <f>VLOOKUP(LEN(SUBSTITUTE(H1149,"-","")),datos!$A$1:$B$12,2,0)</f>
        <v>7</v>
      </c>
      <c r="L1149" s="138"/>
      <c r="M1149" s="138" t="s">
        <v>0</v>
      </c>
    </row>
    <row r="1150" spans="1:13" x14ac:dyDescent="0.35">
      <c r="A1150" s="138" t="s">
        <v>487</v>
      </c>
      <c r="B1150" s="138" t="s">
        <v>3809</v>
      </c>
      <c r="C1150" s="138" t="s">
        <v>3983</v>
      </c>
      <c r="D1150" s="138" t="s">
        <v>4007</v>
      </c>
      <c r="E1150" s="138" t="s">
        <v>4004</v>
      </c>
      <c r="F1150" s="138" t="s">
        <v>3948</v>
      </c>
      <c r="G1150" s="138" t="s">
        <v>3994</v>
      </c>
      <c r="H1150" s="81" t="str">
        <f t="shared" si="106"/>
        <v>TCCN-PTE-PFL-PR2-CF3-SCP-RTO</v>
      </c>
      <c r="I1150" s="138" t="str">
        <f>MID(H1150,1,(LEN(H1150)-VLOOKUP(K1150,datos!$B$2:$C$12,2,0)))</f>
        <v>TCCN-PTE-PFL-PR2-CF3-SCP-RTO</v>
      </c>
      <c r="J1150" s="138" t="s">
        <v>5900</v>
      </c>
      <c r="K1150" s="140">
        <f>VLOOKUP(LEN(SUBSTITUTE(H1150,"-","")),datos!$A$1:$B$12,2,0)</f>
        <v>7</v>
      </c>
      <c r="L1150" s="138"/>
      <c r="M1150" s="138" t="s">
        <v>0</v>
      </c>
    </row>
    <row r="1151" spans="1:13" x14ac:dyDescent="0.35">
      <c r="A1151" s="138" t="s">
        <v>487</v>
      </c>
      <c r="B1151" s="138" t="s">
        <v>3809</v>
      </c>
      <c r="C1151" s="138" t="s">
        <v>3983</v>
      </c>
      <c r="D1151" s="138" t="s">
        <v>4007</v>
      </c>
      <c r="E1151" s="138" t="s">
        <v>4004</v>
      </c>
      <c r="F1151" s="138" t="s">
        <v>3948</v>
      </c>
      <c r="G1151" s="138" t="s">
        <v>3995</v>
      </c>
      <c r="H1151" s="81" t="str">
        <f t="shared" si="106"/>
        <v>TCCN-PTE-PFL-PR2-CF3-SCP-ETT</v>
      </c>
      <c r="I1151" s="138" t="str">
        <f>MID(H1151,1,(LEN(H1151)-VLOOKUP(K1151,datos!$B$2:$C$12,2,0)))</f>
        <v>TCCN-PTE-PFL-PR2-CF3-SCP-ETT</v>
      </c>
      <c r="J1151" s="138" t="s">
        <v>5901</v>
      </c>
      <c r="K1151" s="140">
        <f>VLOOKUP(LEN(SUBSTITUTE(H1151,"-","")),datos!$A$1:$B$12,2,0)</f>
        <v>7</v>
      </c>
      <c r="L1151" s="138"/>
      <c r="M1151" s="138" t="s">
        <v>0</v>
      </c>
    </row>
    <row r="1152" spans="1:13" x14ac:dyDescent="0.35">
      <c r="A1152" s="138" t="s">
        <v>487</v>
      </c>
      <c r="B1152" s="138" t="s">
        <v>3809</v>
      </c>
      <c r="C1152" s="138" t="s">
        <v>3983</v>
      </c>
      <c r="D1152" s="138" t="s">
        <v>4007</v>
      </c>
      <c r="E1152" s="138" t="s">
        <v>4004</v>
      </c>
      <c r="F1152" s="138" t="s">
        <v>3948</v>
      </c>
      <c r="G1152" s="138" t="s">
        <v>3996</v>
      </c>
      <c r="H1152" s="81" t="str">
        <f t="shared" si="106"/>
        <v>TCCN-PTE-PFL-PR2-CF3-SCP-DDT</v>
      </c>
      <c r="I1152" s="138" t="str">
        <f>MID(H1152,1,(LEN(H1152)-VLOOKUP(K1152,datos!$B$2:$C$12,2,0)))</f>
        <v>TCCN-PTE-PFL-PR2-CF3-SCP-DDT</v>
      </c>
      <c r="J1152" s="138" t="s">
        <v>5902</v>
      </c>
      <c r="K1152" s="140">
        <f>VLOOKUP(LEN(SUBSTITUTE(H1152,"-","")),datos!$A$1:$B$12,2,0)</f>
        <v>7</v>
      </c>
      <c r="L1152" s="138"/>
      <c r="M1152" s="138" t="s">
        <v>0</v>
      </c>
    </row>
    <row r="1153" spans="1:13" x14ac:dyDescent="0.35">
      <c r="A1153" s="138" t="s">
        <v>487</v>
      </c>
      <c r="B1153" s="138" t="s">
        <v>3809</v>
      </c>
      <c r="C1153" s="138" t="s">
        <v>3983</v>
      </c>
      <c r="D1153" s="138" t="s">
        <v>4007</v>
      </c>
      <c r="E1153" s="138" t="s">
        <v>4004</v>
      </c>
      <c r="F1153" s="138" t="s">
        <v>3948</v>
      </c>
      <c r="G1153" s="138" t="s">
        <v>3997</v>
      </c>
      <c r="H1153" s="81" t="str">
        <f t="shared" si="106"/>
        <v>TCCN-PTE-PFL-PR2-CF3-SCP-EJE</v>
      </c>
      <c r="I1153" s="138" t="str">
        <f>MID(H1153,1,(LEN(H1153)-VLOOKUP(K1153,datos!$B$2:$C$12,2,0)))</f>
        <v>TCCN-PTE-PFL-PR2-CF3-SCP-EJE</v>
      </c>
      <c r="J1153" s="138" t="s">
        <v>5903</v>
      </c>
      <c r="K1153" s="140">
        <f>VLOOKUP(LEN(SUBSTITUTE(H1153,"-","")),datos!$A$1:$B$12,2,0)</f>
        <v>7</v>
      </c>
      <c r="L1153" s="138"/>
      <c r="M1153" s="138" t="s">
        <v>0</v>
      </c>
    </row>
    <row r="1154" spans="1:13" x14ac:dyDescent="0.35">
      <c r="A1154" s="137" t="s">
        <v>487</v>
      </c>
      <c r="B1154" s="137" t="s">
        <v>3809</v>
      </c>
      <c r="C1154" s="137" t="s">
        <v>3983</v>
      </c>
      <c r="D1154" s="137" t="s">
        <v>4007</v>
      </c>
      <c r="E1154" s="137" t="s">
        <v>4004</v>
      </c>
      <c r="F1154" s="137" t="s">
        <v>3824</v>
      </c>
      <c r="G1154" s="137"/>
      <c r="H1154" s="82" t="str">
        <f t="shared" si="106"/>
        <v>TCCN-PTE-PFL-PR2-CF3-SES-</v>
      </c>
      <c r="I1154" s="137" t="str">
        <f>MID(H1154,1,(LEN(H1154)-VLOOKUP(K1154,datos!$B$2:$C$12,2,0)))</f>
        <v>TCCN-PTE-PFL-PR2-CF3-SES</v>
      </c>
      <c r="J1154" s="137" t="s">
        <v>5904</v>
      </c>
      <c r="K1154" s="139">
        <f>VLOOKUP(LEN(SUBSTITUTE(H1154,"-","")),datos!$A$1:$B$12,2,0)</f>
        <v>6</v>
      </c>
      <c r="L1154" s="137"/>
      <c r="M1154" s="137" t="s">
        <v>0</v>
      </c>
    </row>
    <row r="1155" spans="1:13" x14ac:dyDescent="0.35">
      <c r="A1155" s="138" t="s">
        <v>487</v>
      </c>
      <c r="B1155" s="138" t="s">
        <v>3809</v>
      </c>
      <c r="C1155" s="138" t="s">
        <v>3983</v>
      </c>
      <c r="D1155" s="138" t="s">
        <v>4007</v>
      </c>
      <c r="E1155" s="138" t="s">
        <v>4004</v>
      </c>
      <c r="F1155" s="138" t="s">
        <v>3824</v>
      </c>
      <c r="G1155" s="138" t="s">
        <v>3998</v>
      </c>
      <c r="H1155" s="81" t="str">
        <f t="shared" si="106"/>
        <v>TCCN-PTE-PFL-PR2-CF3-SES-BYG</v>
      </c>
      <c r="I1155" s="138" t="str">
        <f>MID(H1155,1,(LEN(H1155)-VLOOKUP(K1155,datos!$B$2:$C$12,2,0)))</f>
        <v>TCCN-PTE-PFL-PR2-CF3-SES-BYG</v>
      </c>
      <c r="J1155" s="138" t="s">
        <v>8015</v>
      </c>
      <c r="K1155" s="140">
        <f>VLOOKUP(LEN(SUBSTITUTE(H1155,"-","")),datos!$A$1:$B$12,2,0)</f>
        <v>7</v>
      </c>
      <c r="L1155" s="138"/>
      <c r="M1155" s="138" t="s">
        <v>0</v>
      </c>
    </row>
    <row r="1156" spans="1:13" x14ac:dyDescent="0.35">
      <c r="A1156" s="138" t="s">
        <v>487</v>
      </c>
      <c r="B1156" s="138" t="s">
        <v>3809</v>
      </c>
      <c r="C1156" s="138" t="s">
        <v>3983</v>
      </c>
      <c r="D1156" s="138" t="s">
        <v>4007</v>
      </c>
      <c r="E1156" s="138" t="s">
        <v>4004</v>
      </c>
      <c r="F1156" s="138" t="s">
        <v>3824</v>
      </c>
      <c r="G1156" s="138" t="s">
        <v>3999</v>
      </c>
      <c r="H1156" s="81" t="str">
        <f t="shared" si="106"/>
        <v>TCCN-PTE-PFL-PR2-CF3-SES-RDP</v>
      </c>
      <c r="I1156" s="138" t="str">
        <f>MID(H1156,1,(LEN(H1156)-VLOOKUP(K1156,datos!$B$2:$C$12,2,0)))</f>
        <v>TCCN-PTE-PFL-PR2-CF3-SES-RDP</v>
      </c>
      <c r="J1156" s="138" t="s">
        <v>5905</v>
      </c>
      <c r="K1156" s="140">
        <f>VLOOKUP(LEN(SUBSTITUTE(H1156,"-","")),datos!$A$1:$B$12,2,0)</f>
        <v>7</v>
      </c>
      <c r="L1156" s="138"/>
      <c r="M1156" s="138" t="s">
        <v>0</v>
      </c>
    </row>
    <row r="1157" spans="1:13" x14ac:dyDescent="0.35">
      <c r="A1157" s="138" t="s">
        <v>487</v>
      </c>
      <c r="B1157" s="138" t="s">
        <v>3809</v>
      </c>
      <c r="C1157" s="138" t="s">
        <v>3983</v>
      </c>
      <c r="D1157" s="138" t="s">
        <v>4007</v>
      </c>
      <c r="E1157" s="138" t="s">
        <v>4004</v>
      </c>
      <c r="F1157" s="138" t="s">
        <v>3824</v>
      </c>
      <c r="G1157" s="138" t="s">
        <v>3853</v>
      </c>
      <c r="H1157" s="81" t="str">
        <f t="shared" si="106"/>
        <v>TCCN-PTE-PFL-PR2-CF3-SES-EST</v>
      </c>
      <c r="I1157" s="138" t="str">
        <f>MID(H1157,1,(LEN(H1157)-VLOOKUP(K1157,datos!$B$2:$C$12,2,0)))</f>
        <v>TCCN-PTE-PFL-PR2-CF3-SES-EST</v>
      </c>
      <c r="J1157" s="138" t="s">
        <v>5906</v>
      </c>
      <c r="K1157" s="140">
        <f>VLOOKUP(LEN(SUBSTITUTE(H1157,"-","")),datos!$A$1:$B$12,2,0)</f>
        <v>7</v>
      </c>
      <c r="L1157" s="138"/>
      <c r="M1157" s="138" t="s">
        <v>0</v>
      </c>
    </row>
    <row r="1158" spans="1:13" x14ac:dyDescent="0.35">
      <c r="A1158" s="138" t="s">
        <v>487</v>
      </c>
      <c r="B1158" s="138" t="s">
        <v>3809</v>
      </c>
      <c r="C1158" s="138" t="s">
        <v>3983</v>
      </c>
      <c r="D1158" s="138" t="s">
        <v>4007</v>
      </c>
      <c r="E1158" s="138" t="s">
        <v>4004</v>
      </c>
      <c r="F1158" s="138" t="s">
        <v>3824</v>
      </c>
      <c r="G1158" s="138" t="s">
        <v>4000</v>
      </c>
      <c r="H1158" s="81" t="str">
        <f t="shared" si="106"/>
        <v>TCCN-PTE-PFL-PR2-CF3-SES-CRW</v>
      </c>
      <c r="I1158" s="138" t="str">
        <f>MID(H1158,1,(LEN(H1158)-VLOOKUP(K1158,datos!$B$2:$C$12,2,0)))</f>
        <v>TCCN-PTE-PFL-PR2-CF3-SES-CRW</v>
      </c>
      <c r="J1158" s="138" t="s">
        <v>5907</v>
      </c>
      <c r="K1158" s="140">
        <f>VLOOKUP(LEN(SUBSTITUTE(H1158,"-","")),datos!$A$1:$B$12,2,0)</f>
        <v>7</v>
      </c>
      <c r="L1158" s="138"/>
      <c r="M1158" s="138" t="s">
        <v>0</v>
      </c>
    </row>
    <row r="1159" spans="1:13" x14ac:dyDescent="0.35">
      <c r="A1159" s="137" t="s">
        <v>487</v>
      </c>
      <c r="B1159" s="137" t="s">
        <v>3809</v>
      </c>
      <c r="C1159" s="137" t="s">
        <v>3983</v>
      </c>
      <c r="D1159" s="137" t="s">
        <v>4007</v>
      </c>
      <c r="E1159" s="137" t="s">
        <v>4004</v>
      </c>
      <c r="F1159" s="137" t="s">
        <v>3847</v>
      </c>
      <c r="G1159" s="137"/>
      <c r="H1159" s="82" t="str">
        <f t="shared" si="106"/>
        <v>TCCN-PTE-PFL-PR2-CF3-SMO-</v>
      </c>
      <c r="I1159" s="137" t="str">
        <f>MID(H1159,1,(LEN(H1159)-VLOOKUP(K1159,datos!$B$2:$C$12,2,0)))</f>
        <v>TCCN-PTE-PFL-PR2-CF3-SMO</v>
      </c>
      <c r="J1159" s="137" t="s">
        <v>5908</v>
      </c>
      <c r="K1159" s="139">
        <f>VLOOKUP(LEN(SUBSTITUTE(H1159,"-","")),datos!$A$1:$B$12,2,0)</f>
        <v>6</v>
      </c>
      <c r="L1159" s="137"/>
      <c r="M1159" s="137" t="s">
        <v>0</v>
      </c>
    </row>
    <row r="1160" spans="1:13" x14ac:dyDescent="0.35">
      <c r="A1160" s="138" t="s">
        <v>487</v>
      </c>
      <c r="B1160" s="138" t="s">
        <v>3809</v>
      </c>
      <c r="C1160" s="138" t="s">
        <v>3983</v>
      </c>
      <c r="D1160" s="138" t="s">
        <v>4007</v>
      </c>
      <c r="E1160" s="138" t="s">
        <v>4004</v>
      </c>
      <c r="F1160" s="138" t="s">
        <v>3847</v>
      </c>
      <c r="G1160" s="138" t="s">
        <v>3819</v>
      </c>
      <c r="H1160" s="81" t="str">
        <f t="shared" si="106"/>
        <v>TCCN-PTE-PFL-PR2-CF3-SMO-MOE</v>
      </c>
      <c r="I1160" s="138" t="str">
        <f>MID(H1160,1,(LEN(H1160)-VLOOKUP(K1160,datos!$B$2:$C$12,2,0)))</f>
        <v>TCCN-PTE-PFL-PR2-CF3-SMO-MOE</v>
      </c>
      <c r="J1160" s="138" t="s">
        <v>5909</v>
      </c>
      <c r="K1160" s="140">
        <f>VLOOKUP(LEN(SUBSTITUTE(H1160,"-","")),datos!$A$1:$B$12,2,0)</f>
        <v>7</v>
      </c>
      <c r="L1160" s="138" t="s">
        <v>186</v>
      </c>
      <c r="M1160" s="138" t="s">
        <v>0</v>
      </c>
    </row>
    <row r="1161" spans="1:13" x14ac:dyDescent="0.35">
      <c r="A1161" s="138" t="s">
        <v>487</v>
      </c>
      <c r="B1161" s="138" t="s">
        <v>3809</v>
      </c>
      <c r="C1161" s="138" t="s">
        <v>3983</v>
      </c>
      <c r="D1161" s="138" t="s">
        <v>4007</v>
      </c>
      <c r="E1161" s="138" t="s">
        <v>4004</v>
      </c>
      <c r="F1161" s="138" t="s">
        <v>3847</v>
      </c>
      <c r="G1161" s="138" t="s">
        <v>3864</v>
      </c>
      <c r="H1161" s="81" t="str">
        <f t="shared" si="106"/>
        <v>TCCN-PTE-PFL-PR2-CF3-SMO-PMO</v>
      </c>
      <c r="I1161" s="138" t="str">
        <f>MID(H1161,1,(LEN(H1161)-VLOOKUP(K1161,datos!$B$2:$C$12,2,0)))</f>
        <v>TCCN-PTE-PFL-PR2-CF3-SMO-PMO</v>
      </c>
      <c r="J1161" s="138" t="s">
        <v>5910</v>
      </c>
      <c r="K1161" s="140">
        <f>VLOOKUP(LEN(SUBSTITUTE(H1161,"-","")),datos!$A$1:$B$12,2,0)</f>
        <v>7</v>
      </c>
      <c r="L1161" s="138"/>
      <c r="M1161" s="138" t="s">
        <v>0</v>
      </c>
    </row>
    <row r="1162" spans="1:13" x14ac:dyDescent="0.35">
      <c r="A1162" s="138" t="s">
        <v>487</v>
      </c>
      <c r="B1162" s="138" t="s">
        <v>3809</v>
      </c>
      <c r="C1162" s="138" t="s">
        <v>3983</v>
      </c>
      <c r="D1162" s="138" t="s">
        <v>4007</v>
      </c>
      <c r="E1162" s="138" t="s">
        <v>4004</v>
      </c>
      <c r="F1162" s="138" t="s">
        <v>3847</v>
      </c>
      <c r="G1162" s="138" t="s">
        <v>8116</v>
      </c>
      <c r="H1162" s="81" t="str">
        <f t="shared" si="106"/>
        <v>TCCN-PTE-PFL-PR2-CF3-SMO-PLE</v>
      </c>
      <c r="I1162" s="138" t="str">
        <f>MID(H1162,1,(LEN(H1162)-VLOOKUP(K1162,datos!$B$2:$C$12,2,0)))</f>
        <v>TCCN-PTE-PFL-PR2-CF3-SMO-PLE</v>
      </c>
      <c r="J1162" s="138" t="s">
        <v>5911</v>
      </c>
      <c r="K1162" s="140">
        <f>VLOOKUP(LEN(SUBSTITUTE(H1162,"-","")),datos!$A$1:$B$12,2,0)</f>
        <v>7</v>
      </c>
      <c r="L1162" s="138"/>
      <c r="M1162" s="138" t="s">
        <v>0</v>
      </c>
    </row>
    <row r="1163" spans="1:13" x14ac:dyDescent="0.35">
      <c r="A1163" s="138" t="s">
        <v>487</v>
      </c>
      <c r="B1163" s="138" t="s">
        <v>3809</v>
      </c>
      <c r="C1163" s="138" t="s">
        <v>3983</v>
      </c>
      <c r="D1163" s="138" t="s">
        <v>4007</v>
      </c>
      <c r="E1163" s="138" t="s">
        <v>4004</v>
      </c>
      <c r="F1163" s="138" t="s">
        <v>3847</v>
      </c>
      <c r="G1163" s="138" t="s">
        <v>5688</v>
      </c>
      <c r="H1163" s="81" t="str">
        <f t="shared" si="106"/>
        <v>TCCN-PTE-PFL-PR2-CF3-SMO-PRP</v>
      </c>
      <c r="I1163" s="138" t="str">
        <f>MID(H1163,1,(LEN(H1163)-VLOOKUP(K1163,datos!$B$2:$C$12,2,0)))</f>
        <v>TCCN-PTE-PFL-PR2-CF3-SMO-PRP</v>
      </c>
      <c r="J1163" s="138" t="s">
        <v>5912</v>
      </c>
      <c r="K1163" s="140">
        <f>VLOOKUP(LEN(SUBSTITUTE(H1163,"-","")),datos!$A$1:$B$12,2,0)</f>
        <v>7</v>
      </c>
      <c r="L1163" s="138"/>
      <c r="M1163" s="138" t="s">
        <v>0</v>
      </c>
    </row>
    <row r="1164" spans="1:13" x14ac:dyDescent="0.35">
      <c r="A1164" s="137" t="s">
        <v>487</v>
      </c>
      <c r="B1164" s="137" t="s">
        <v>3809</v>
      </c>
      <c r="C1164" s="137" t="s">
        <v>3983</v>
      </c>
      <c r="D1164" s="137" t="s">
        <v>4007</v>
      </c>
      <c r="E1164" s="137" t="s">
        <v>4004</v>
      </c>
      <c r="F1164" s="137" t="s">
        <v>3831</v>
      </c>
      <c r="G1164" s="137"/>
      <c r="H1164" s="82" t="str">
        <f t="shared" si="106"/>
        <v>TCCN-PTE-PFL-PR2-CF3-INS-</v>
      </c>
      <c r="I1164" s="137" t="str">
        <f>MID(H1164,1,(LEN(H1164)-VLOOKUP(K1164,datos!$B$2:$C$12,2,0)))</f>
        <v>TCCN-PTE-PFL-PR2-CF3-INS</v>
      </c>
      <c r="J1164" s="137" t="s">
        <v>5913</v>
      </c>
      <c r="K1164" s="139">
        <f>VLOOKUP(LEN(SUBSTITUTE(H1164,"-","")),datos!$A$1:$B$12,2,0)</f>
        <v>6</v>
      </c>
      <c r="L1164" s="137"/>
      <c r="M1164" s="137" t="s">
        <v>0</v>
      </c>
    </row>
    <row r="1165" spans="1:13" x14ac:dyDescent="0.35">
      <c r="A1165" s="138" t="s">
        <v>487</v>
      </c>
      <c r="B1165" s="138" t="s">
        <v>3809</v>
      </c>
      <c r="C1165" s="138" t="s">
        <v>3983</v>
      </c>
      <c r="D1165" s="138" t="s">
        <v>4007</v>
      </c>
      <c r="E1165" s="138" t="s">
        <v>4004</v>
      </c>
      <c r="F1165" s="138" t="s">
        <v>3831</v>
      </c>
      <c r="G1165" s="138" t="s">
        <v>4075</v>
      </c>
      <c r="H1165" s="81" t="str">
        <f t="shared" si="106"/>
        <v>TCCN-PTE-PFL-PR2-CF3-INS-VVA</v>
      </c>
      <c r="I1165" s="138" t="str">
        <f>MID(H1165,1,(LEN(H1165)-VLOOKUP(K1165,datos!$B$2:$C$12,2,0)))</f>
        <v>TCCN-PTE-PFL-PR2-CF3-INS-VVA</v>
      </c>
      <c r="J1165" s="138" t="s">
        <v>7742</v>
      </c>
      <c r="K1165" s="140">
        <f>VLOOKUP(LEN(SUBSTITUTE(H1165,"-","")),datos!$A$1:$B$12,2,0)</f>
        <v>7</v>
      </c>
      <c r="L1165" s="138" t="s">
        <v>7744</v>
      </c>
      <c r="M1165" s="138" t="s">
        <v>0</v>
      </c>
    </row>
    <row r="1166" spans="1:13" x14ac:dyDescent="0.35">
      <c r="A1166" s="138" t="s">
        <v>487</v>
      </c>
      <c r="B1166" s="138" t="s">
        <v>3809</v>
      </c>
      <c r="C1166" s="138" t="s">
        <v>3983</v>
      </c>
      <c r="D1166" s="138" t="s">
        <v>4007</v>
      </c>
      <c r="E1166" s="138" t="s">
        <v>4004</v>
      </c>
      <c r="F1166" s="138" t="s">
        <v>3831</v>
      </c>
      <c r="G1166" s="138" t="s">
        <v>4002</v>
      </c>
      <c r="H1166" s="81" t="str">
        <f t="shared" si="106"/>
        <v>TCCN-PTE-PFL-PR2-CF3-INS-FJM</v>
      </c>
      <c r="I1166" s="138" t="str">
        <f>MID(H1166,1,(LEN(H1166)-VLOOKUP(K1166,datos!$B$2:$C$12,2,0)))</f>
        <v>TCCN-PTE-PFL-PR2-CF3-INS-FJM</v>
      </c>
      <c r="J1166" s="138" t="s">
        <v>7743</v>
      </c>
      <c r="K1166" s="140">
        <f>VLOOKUP(LEN(SUBSTITUTE(H1166,"-","")),datos!$A$1:$B$12,2,0)</f>
        <v>7</v>
      </c>
      <c r="L1166" s="138" t="s">
        <v>7745</v>
      </c>
      <c r="M1166" s="138" t="s">
        <v>0</v>
      </c>
    </row>
    <row r="1167" spans="1:13" x14ac:dyDescent="0.35">
      <c r="A1167" s="137" t="s">
        <v>487</v>
      </c>
      <c r="B1167" s="137" t="s">
        <v>3809</v>
      </c>
      <c r="C1167" s="137" t="s">
        <v>3983</v>
      </c>
      <c r="D1167" s="137" t="s">
        <v>4007</v>
      </c>
      <c r="E1167" s="137" t="s">
        <v>4004</v>
      </c>
      <c r="F1167" s="137" t="s">
        <v>3869</v>
      </c>
      <c r="G1167" s="137"/>
      <c r="H1167" s="82" t="str">
        <f t="shared" si="106"/>
        <v>TCCN-PTE-PFL-PR2-CF3-SCE-</v>
      </c>
      <c r="I1167" s="137" t="str">
        <f>MID(H1167,1,(LEN(H1167)-VLOOKUP(K1167,datos!$B$2:$C$12,2,0)))</f>
        <v>TCCN-PTE-PFL-PR2-CF3-SCE</v>
      </c>
      <c r="J1167" s="137" t="s">
        <v>5914</v>
      </c>
      <c r="K1167" s="139">
        <f>VLOOKUP(LEN(SUBSTITUTE(H1167,"-","")),datos!$A$1:$B$12,2,0)</f>
        <v>6</v>
      </c>
      <c r="L1167" s="137"/>
      <c r="M1167" s="137" t="s">
        <v>0</v>
      </c>
    </row>
    <row r="1168" spans="1:13" x14ac:dyDescent="0.35">
      <c r="A1168" s="138" t="s">
        <v>487</v>
      </c>
      <c r="B1168" s="138" t="s">
        <v>3809</v>
      </c>
      <c r="C1168" s="138" t="s">
        <v>3983</v>
      </c>
      <c r="D1168" s="138" t="s">
        <v>4007</v>
      </c>
      <c r="E1168" s="138" t="s">
        <v>4004</v>
      </c>
      <c r="F1168" s="138" t="s">
        <v>3869</v>
      </c>
      <c r="G1168" s="138" t="s">
        <v>3870</v>
      </c>
      <c r="H1168" s="81" t="str">
        <f t="shared" si="106"/>
        <v>TCCN-PTE-PFL-PR2-CF3-SCE-BTN</v>
      </c>
      <c r="I1168" s="138" t="str">
        <f>MID(H1168,1,(LEN(H1168)-VLOOKUP(K1168,datos!$B$2:$C$12,2,0)))</f>
        <v>TCCN-PTE-PFL-PR2-CF3-SCE-BTN</v>
      </c>
      <c r="J1168" s="138" t="s">
        <v>5915</v>
      </c>
      <c r="K1168" s="140">
        <f>VLOOKUP(LEN(SUBSTITUTE(H1168,"-","")),datos!$A$1:$B$12,2,0)</f>
        <v>7</v>
      </c>
      <c r="L1168" s="138"/>
      <c r="M1168" s="138" t="s">
        <v>0</v>
      </c>
    </row>
    <row r="1169" spans="1:13" customFormat="1" ht="14.5" x14ac:dyDescent="0.35">
      <c r="A1169" s="129" t="s">
        <v>487</v>
      </c>
      <c r="B1169" s="129" t="s">
        <v>3809</v>
      </c>
      <c r="C1169" s="129" t="s">
        <v>3983</v>
      </c>
      <c r="D1169" s="129" t="s">
        <v>4007</v>
      </c>
      <c r="E1169" s="129" t="s">
        <v>4005</v>
      </c>
      <c r="F1169" s="129"/>
      <c r="G1169" s="129"/>
      <c r="H1169" s="83" t="str">
        <f t="shared" si="106"/>
        <v>TCCN-PTE-PFL-PR2-CF4--</v>
      </c>
      <c r="I1169" s="129" t="str">
        <f>MID(H1169,1,(LEN(H1169)-VLOOKUP(K1169,datos!$B$2:$C$12,2,0)))</f>
        <v>TCCN-PTE-PFL-PR2-CF4</v>
      </c>
      <c r="J1169" s="129" t="s">
        <v>448</v>
      </c>
      <c r="K1169" s="130">
        <f>VLOOKUP(LEN(SUBSTITUTE(H1169,"-","")),datos!$A$1:$B$12,2,0)</f>
        <v>5</v>
      </c>
      <c r="L1169" s="129" t="s">
        <v>187</v>
      </c>
      <c r="M1169" s="129" t="s">
        <v>0</v>
      </c>
    </row>
    <row r="1170" spans="1:13" x14ac:dyDescent="0.35">
      <c r="A1170" s="137" t="s">
        <v>487</v>
      </c>
      <c r="B1170" s="137" t="s">
        <v>3809</v>
      </c>
      <c r="C1170" s="137" t="s">
        <v>3983</v>
      </c>
      <c r="D1170" s="137" t="s">
        <v>4007</v>
      </c>
      <c r="E1170" s="137" t="s">
        <v>4005</v>
      </c>
      <c r="F1170" s="137" t="s">
        <v>3948</v>
      </c>
      <c r="G1170" s="137"/>
      <c r="H1170" s="82" t="str">
        <f t="shared" si="106"/>
        <v>TCCN-PTE-PFL-PR2-CF4-SCP-</v>
      </c>
      <c r="I1170" s="137" t="str">
        <f>MID(H1170,1,(LEN(H1170)-VLOOKUP(K1170,datos!$B$2:$C$12,2,0)))</f>
        <v>TCCN-PTE-PFL-PR2-CF4-SCP</v>
      </c>
      <c r="J1170" s="137" t="s">
        <v>5880</v>
      </c>
      <c r="K1170" s="139">
        <f>VLOOKUP(LEN(SUBSTITUTE(H1170,"-","")),datos!$A$1:$B$12,2,0)</f>
        <v>6</v>
      </c>
      <c r="L1170" s="137"/>
      <c r="M1170" s="137" t="s">
        <v>0</v>
      </c>
    </row>
    <row r="1171" spans="1:13" x14ac:dyDescent="0.35">
      <c r="A1171" s="138" t="s">
        <v>487</v>
      </c>
      <c r="B1171" s="138" t="s">
        <v>3809</v>
      </c>
      <c r="C1171" s="138" t="s">
        <v>3983</v>
      </c>
      <c r="D1171" s="138" t="s">
        <v>4007</v>
      </c>
      <c r="E1171" s="138" t="s">
        <v>4005</v>
      </c>
      <c r="F1171" s="138" t="s">
        <v>3948</v>
      </c>
      <c r="G1171" s="138" t="s">
        <v>3993</v>
      </c>
      <c r="H1171" s="81" t="str">
        <f t="shared" si="106"/>
        <v>TCCN-PTE-PFL-PR2-CF4-SCP-POR</v>
      </c>
      <c r="I1171" s="138" t="str">
        <f>MID(H1171,1,(LEN(H1171)-VLOOKUP(K1171,datos!$B$2:$C$12,2,0)))</f>
        <v>TCCN-PTE-PFL-PR2-CF4-SCP-POR</v>
      </c>
      <c r="J1171" s="138" t="s">
        <v>5881</v>
      </c>
      <c r="K1171" s="140">
        <f>VLOOKUP(LEN(SUBSTITUTE(H1171,"-","")),datos!$A$1:$B$12,2,0)</f>
        <v>7</v>
      </c>
      <c r="L1171" s="138"/>
      <c r="M1171" s="138" t="s">
        <v>0</v>
      </c>
    </row>
    <row r="1172" spans="1:13" x14ac:dyDescent="0.35">
      <c r="A1172" s="138" t="s">
        <v>487</v>
      </c>
      <c r="B1172" s="138" t="s">
        <v>3809</v>
      </c>
      <c r="C1172" s="138" t="s">
        <v>3983</v>
      </c>
      <c r="D1172" s="138" t="s">
        <v>4007</v>
      </c>
      <c r="E1172" s="138" t="s">
        <v>4005</v>
      </c>
      <c r="F1172" s="138" t="s">
        <v>3948</v>
      </c>
      <c r="G1172" s="138" t="s">
        <v>3994</v>
      </c>
      <c r="H1172" s="81" t="str">
        <f t="shared" si="106"/>
        <v>TCCN-PTE-PFL-PR2-CF4-SCP-RTO</v>
      </c>
      <c r="I1172" s="138" t="str">
        <f>MID(H1172,1,(LEN(H1172)-VLOOKUP(K1172,datos!$B$2:$C$12,2,0)))</f>
        <v>TCCN-PTE-PFL-PR2-CF4-SCP-RTO</v>
      </c>
      <c r="J1172" s="138" t="s">
        <v>5882</v>
      </c>
      <c r="K1172" s="140">
        <f>VLOOKUP(LEN(SUBSTITUTE(H1172,"-","")),datos!$A$1:$B$12,2,0)</f>
        <v>7</v>
      </c>
      <c r="L1172" s="138"/>
      <c r="M1172" s="138" t="s">
        <v>0</v>
      </c>
    </row>
    <row r="1173" spans="1:13" x14ac:dyDescent="0.35">
      <c r="A1173" s="138" t="s">
        <v>487</v>
      </c>
      <c r="B1173" s="138" t="s">
        <v>3809</v>
      </c>
      <c r="C1173" s="138" t="s">
        <v>3983</v>
      </c>
      <c r="D1173" s="138" t="s">
        <v>4007</v>
      </c>
      <c r="E1173" s="138" t="s">
        <v>4005</v>
      </c>
      <c r="F1173" s="138" t="s">
        <v>3948</v>
      </c>
      <c r="G1173" s="138" t="s">
        <v>3995</v>
      </c>
      <c r="H1173" s="81" t="str">
        <f t="shared" si="106"/>
        <v>TCCN-PTE-PFL-PR2-CF4-SCP-ETT</v>
      </c>
      <c r="I1173" s="138" t="str">
        <f>MID(H1173,1,(LEN(H1173)-VLOOKUP(K1173,datos!$B$2:$C$12,2,0)))</f>
        <v>TCCN-PTE-PFL-PR2-CF4-SCP-ETT</v>
      </c>
      <c r="J1173" s="138" t="s">
        <v>5883</v>
      </c>
      <c r="K1173" s="140">
        <f>VLOOKUP(LEN(SUBSTITUTE(H1173,"-","")),datos!$A$1:$B$12,2,0)</f>
        <v>7</v>
      </c>
      <c r="L1173" s="138"/>
      <c r="M1173" s="138" t="s">
        <v>0</v>
      </c>
    </row>
    <row r="1174" spans="1:13" x14ac:dyDescent="0.35">
      <c r="A1174" s="138" t="s">
        <v>487</v>
      </c>
      <c r="B1174" s="138" t="s">
        <v>3809</v>
      </c>
      <c r="C1174" s="138" t="s">
        <v>3983</v>
      </c>
      <c r="D1174" s="138" t="s">
        <v>4007</v>
      </c>
      <c r="E1174" s="138" t="s">
        <v>4005</v>
      </c>
      <c r="F1174" s="138" t="s">
        <v>3948</v>
      </c>
      <c r="G1174" s="138" t="s">
        <v>3996</v>
      </c>
      <c r="H1174" s="81" t="str">
        <f t="shared" si="106"/>
        <v>TCCN-PTE-PFL-PR2-CF4-SCP-DDT</v>
      </c>
      <c r="I1174" s="138" t="str">
        <f>MID(H1174,1,(LEN(H1174)-VLOOKUP(K1174,datos!$B$2:$C$12,2,0)))</f>
        <v>TCCN-PTE-PFL-PR2-CF4-SCP-DDT</v>
      </c>
      <c r="J1174" s="138" t="s">
        <v>5884</v>
      </c>
      <c r="K1174" s="140">
        <f>VLOOKUP(LEN(SUBSTITUTE(H1174,"-","")),datos!$A$1:$B$12,2,0)</f>
        <v>7</v>
      </c>
      <c r="L1174" s="138"/>
      <c r="M1174" s="138" t="s">
        <v>0</v>
      </c>
    </row>
    <row r="1175" spans="1:13" x14ac:dyDescent="0.35">
      <c r="A1175" s="138" t="s">
        <v>487</v>
      </c>
      <c r="B1175" s="138" t="s">
        <v>3809</v>
      </c>
      <c r="C1175" s="138" t="s">
        <v>3983</v>
      </c>
      <c r="D1175" s="138" t="s">
        <v>4007</v>
      </c>
      <c r="E1175" s="138" t="s">
        <v>4005</v>
      </c>
      <c r="F1175" s="138" t="s">
        <v>3948</v>
      </c>
      <c r="G1175" s="138" t="s">
        <v>3997</v>
      </c>
      <c r="H1175" s="81" t="str">
        <f t="shared" si="106"/>
        <v>TCCN-PTE-PFL-PR2-CF4-SCP-EJE</v>
      </c>
      <c r="I1175" s="138" t="str">
        <f>MID(H1175,1,(LEN(H1175)-VLOOKUP(K1175,datos!$B$2:$C$12,2,0)))</f>
        <v>TCCN-PTE-PFL-PR2-CF4-SCP-EJE</v>
      </c>
      <c r="J1175" s="138" t="s">
        <v>5885</v>
      </c>
      <c r="K1175" s="140">
        <f>VLOOKUP(LEN(SUBSTITUTE(H1175,"-","")),datos!$A$1:$B$12,2,0)</f>
        <v>7</v>
      </c>
      <c r="L1175" s="138"/>
      <c r="M1175" s="138" t="s">
        <v>0</v>
      </c>
    </row>
    <row r="1176" spans="1:13" x14ac:dyDescent="0.35">
      <c r="A1176" s="137" t="s">
        <v>487</v>
      </c>
      <c r="B1176" s="137" t="s">
        <v>3809</v>
      </c>
      <c r="C1176" s="137" t="s">
        <v>3983</v>
      </c>
      <c r="D1176" s="137" t="s">
        <v>4007</v>
      </c>
      <c r="E1176" s="137" t="s">
        <v>4005</v>
      </c>
      <c r="F1176" s="137" t="s">
        <v>3824</v>
      </c>
      <c r="G1176" s="137"/>
      <c r="H1176" s="82" t="str">
        <f t="shared" si="106"/>
        <v>TCCN-PTE-PFL-PR2-CF4-SES-</v>
      </c>
      <c r="I1176" s="137" t="str">
        <f>MID(H1176,1,(LEN(H1176)-VLOOKUP(K1176,datos!$B$2:$C$12,2,0)))</f>
        <v>TCCN-PTE-PFL-PR2-CF4-SES</v>
      </c>
      <c r="J1176" s="137" t="s">
        <v>5886</v>
      </c>
      <c r="K1176" s="139">
        <f>VLOOKUP(LEN(SUBSTITUTE(H1176,"-","")),datos!$A$1:$B$12,2,0)</f>
        <v>6</v>
      </c>
      <c r="L1176" s="137"/>
      <c r="M1176" s="137" t="s">
        <v>0</v>
      </c>
    </row>
    <row r="1177" spans="1:13" x14ac:dyDescent="0.35">
      <c r="A1177" s="138" t="s">
        <v>487</v>
      </c>
      <c r="B1177" s="138" t="s">
        <v>3809</v>
      </c>
      <c r="C1177" s="138" t="s">
        <v>3983</v>
      </c>
      <c r="D1177" s="138" t="s">
        <v>4007</v>
      </c>
      <c r="E1177" s="138" t="s">
        <v>4005</v>
      </c>
      <c r="F1177" s="138" t="s">
        <v>3824</v>
      </c>
      <c r="G1177" s="138" t="s">
        <v>3998</v>
      </c>
      <c r="H1177" s="81" t="str">
        <f t="shared" si="106"/>
        <v>TCCN-PTE-PFL-PR2-CF4-SES-BYG</v>
      </c>
      <c r="I1177" s="138" t="str">
        <f>MID(H1177,1,(LEN(H1177)-VLOOKUP(K1177,datos!$B$2:$C$12,2,0)))</f>
        <v>TCCN-PTE-PFL-PR2-CF4-SES-BYG</v>
      </c>
      <c r="J1177" s="138" t="s">
        <v>8016</v>
      </c>
      <c r="K1177" s="140">
        <f>VLOOKUP(LEN(SUBSTITUTE(H1177,"-","")),datos!$A$1:$B$12,2,0)</f>
        <v>7</v>
      </c>
      <c r="L1177" s="138"/>
      <c r="M1177" s="138" t="s">
        <v>0</v>
      </c>
    </row>
    <row r="1178" spans="1:13" x14ac:dyDescent="0.35">
      <c r="A1178" s="138" t="s">
        <v>487</v>
      </c>
      <c r="B1178" s="138" t="s">
        <v>3809</v>
      </c>
      <c r="C1178" s="138" t="s">
        <v>3983</v>
      </c>
      <c r="D1178" s="138" t="s">
        <v>4007</v>
      </c>
      <c r="E1178" s="138" t="s">
        <v>4005</v>
      </c>
      <c r="F1178" s="138" t="s">
        <v>3824</v>
      </c>
      <c r="G1178" s="138" t="s">
        <v>3999</v>
      </c>
      <c r="H1178" s="81" t="str">
        <f t="shared" si="106"/>
        <v>TCCN-PTE-PFL-PR2-CF4-SES-RDP</v>
      </c>
      <c r="I1178" s="138" t="str">
        <f>MID(H1178,1,(LEN(H1178)-VLOOKUP(K1178,datos!$B$2:$C$12,2,0)))</f>
        <v>TCCN-PTE-PFL-PR2-CF4-SES-RDP</v>
      </c>
      <c r="J1178" s="138" t="s">
        <v>5887</v>
      </c>
      <c r="K1178" s="140">
        <f>VLOOKUP(LEN(SUBSTITUTE(H1178,"-","")),datos!$A$1:$B$12,2,0)</f>
        <v>7</v>
      </c>
      <c r="L1178" s="138"/>
      <c r="M1178" s="138" t="s">
        <v>0</v>
      </c>
    </row>
    <row r="1179" spans="1:13" x14ac:dyDescent="0.35">
      <c r="A1179" s="138" t="s">
        <v>487</v>
      </c>
      <c r="B1179" s="138" t="s">
        <v>3809</v>
      </c>
      <c r="C1179" s="138" t="s">
        <v>3983</v>
      </c>
      <c r="D1179" s="138" t="s">
        <v>4007</v>
      </c>
      <c r="E1179" s="138" t="s">
        <v>4005</v>
      </c>
      <c r="F1179" s="138" t="s">
        <v>3824</v>
      </c>
      <c r="G1179" s="138" t="s">
        <v>3853</v>
      </c>
      <c r="H1179" s="81" t="str">
        <f t="shared" si="106"/>
        <v>TCCN-PTE-PFL-PR2-CF4-SES-EST</v>
      </c>
      <c r="I1179" s="138" t="str">
        <f>MID(H1179,1,(LEN(H1179)-VLOOKUP(K1179,datos!$B$2:$C$12,2,0)))</f>
        <v>TCCN-PTE-PFL-PR2-CF4-SES-EST</v>
      </c>
      <c r="J1179" s="138" t="s">
        <v>5888</v>
      </c>
      <c r="K1179" s="140">
        <f>VLOOKUP(LEN(SUBSTITUTE(H1179,"-","")),datos!$A$1:$B$12,2,0)</f>
        <v>7</v>
      </c>
      <c r="L1179" s="138"/>
      <c r="M1179" s="138" t="s">
        <v>0</v>
      </c>
    </row>
    <row r="1180" spans="1:13" x14ac:dyDescent="0.35">
      <c r="A1180" s="138" t="s">
        <v>487</v>
      </c>
      <c r="B1180" s="138" t="s">
        <v>3809</v>
      </c>
      <c r="C1180" s="138" t="s">
        <v>3983</v>
      </c>
      <c r="D1180" s="138" t="s">
        <v>4007</v>
      </c>
      <c r="E1180" s="138" t="s">
        <v>4005</v>
      </c>
      <c r="F1180" s="138" t="s">
        <v>3824</v>
      </c>
      <c r="G1180" s="138" t="s">
        <v>4000</v>
      </c>
      <c r="H1180" s="81" t="str">
        <f t="shared" si="106"/>
        <v>TCCN-PTE-PFL-PR2-CF4-SES-CRW</v>
      </c>
      <c r="I1180" s="138" t="str">
        <f>MID(H1180,1,(LEN(H1180)-VLOOKUP(K1180,datos!$B$2:$C$12,2,0)))</f>
        <v>TCCN-PTE-PFL-PR2-CF4-SES-CRW</v>
      </c>
      <c r="J1180" s="138" t="s">
        <v>5889</v>
      </c>
      <c r="K1180" s="140">
        <f>VLOOKUP(LEN(SUBSTITUTE(H1180,"-","")),datos!$A$1:$B$12,2,0)</f>
        <v>7</v>
      </c>
      <c r="L1180" s="138"/>
      <c r="M1180" s="138" t="s">
        <v>0</v>
      </c>
    </row>
    <row r="1181" spans="1:13" x14ac:dyDescent="0.35">
      <c r="A1181" s="137" t="s">
        <v>487</v>
      </c>
      <c r="B1181" s="137" t="s">
        <v>3809</v>
      </c>
      <c r="C1181" s="137" t="s">
        <v>3983</v>
      </c>
      <c r="D1181" s="137" t="s">
        <v>4007</v>
      </c>
      <c r="E1181" s="137" t="s">
        <v>4005</v>
      </c>
      <c r="F1181" s="137" t="s">
        <v>3847</v>
      </c>
      <c r="G1181" s="137"/>
      <c r="H1181" s="82" t="str">
        <f t="shared" si="106"/>
        <v>TCCN-PTE-PFL-PR2-CF4-SMO-</v>
      </c>
      <c r="I1181" s="137" t="str">
        <f>MID(H1181,1,(LEN(H1181)-VLOOKUP(K1181,datos!$B$2:$C$12,2,0)))</f>
        <v>TCCN-PTE-PFL-PR2-CF4-SMO</v>
      </c>
      <c r="J1181" s="137" t="s">
        <v>5890</v>
      </c>
      <c r="K1181" s="139">
        <f>VLOOKUP(LEN(SUBSTITUTE(H1181,"-","")),datos!$A$1:$B$12,2,0)</f>
        <v>6</v>
      </c>
      <c r="L1181" s="137"/>
      <c r="M1181" s="137" t="s">
        <v>0</v>
      </c>
    </row>
    <row r="1182" spans="1:13" x14ac:dyDescent="0.35">
      <c r="A1182" s="138" t="s">
        <v>487</v>
      </c>
      <c r="B1182" s="138" t="s">
        <v>3809</v>
      </c>
      <c r="C1182" s="138" t="s">
        <v>3983</v>
      </c>
      <c r="D1182" s="138" t="s">
        <v>4007</v>
      </c>
      <c r="E1182" s="138" t="s">
        <v>4005</v>
      </c>
      <c r="F1182" s="138" t="s">
        <v>3847</v>
      </c>
      <c r="G1182" s="138" t="s">
        <v>3819</v>
      </c>
      <c r="H1182" s="81" t="str">
        <f t="shared" si="106"/>
        <v>TCCN-PTE-PFL-PR2-CF4-SMO-MOE</v>
      </c>
      <c r="I1182" s="138" t="str">
        <f>MID(H1182,1,(LEN(H1182)-VLOOKUP(K1182,datos!$B$2:$C$12,2,0)))</f>
        <v>TCCN-PTE-PFL-PR2-CF4-SMO-MOE</v>
      </c>
      <c r="J1182" s="138" t="s">
        <v>5891</v>
      </c>
      <c r="K1182" s="140">
        <f>VLOOKUP(LEN(SUBSTITUTE(H1182,"-","")),datos!$A$1:$B$12,2,0)</f>
        <v>7</v>
      </c>
      <c r="L1182" s="138" t="s">
        <v>188</v>
      </c>
      <c r="M1182" s="138" t="s">
        <v>0</v>
      </c>
    </row>
    <row r="1183" spans="1:13" x14ac:dyDescent="0.35">
      <c r="A1183" s="138" t="s">
        <v>487</v>
      </c>
      <c r="B1183" s="138" t="s">
        <v>3809</v>
      </c>
      <c r="C1183" s="138" t="s">
        <v>3983</v>
      </c>
      <c r="D1183" s="138" t="s">
        <v>4007</v>
      </c>
      <c r="E1183" s="138" t="s">
        <v>4005</v>
      </c>
      <c r="F1183" s="138" t="s">
        <v>3847</v>
      </c>
      <c r="G1183" s="138" t="s">
        <v>3864</v>
      </c>
      <c r="H1183" s="81" t="str">
        <f t="shared" si="106"/>
        <v>TCCN-PTE-PFL-PR2-CF4-SMO-PMO</v>
      </c>
      <c r="I1183" s="138" t="str">
        <f>MID(H1183,1,(LEN(H1183)-VLOOKUP(K1183,datos!$B$2:$C$12,2,0)))</f>
        <v>TCCN-PTE-PFL-PR2-CF4-SMO-PMO</v>
      </c>
      <c r="J1183" s="138" t="s">
        <v>5892</v>
      </c>
      <c r="K1183" s="140">
        <f>VLOOKUP(LEN(SUBSTITUTE(H1183,"-","")),datos!$A$1:$B$12,2,0)</f>
        <v>7</v>
      </c>
      <c r="L1183" s="138"/>
      <c r="M1183" s="138" t="s">
        <v>0</v>
      </c>
    </row>
    <row r="1184" spans="1:13" x14ac:dyDescent="0.35">
      <c r="A1184" s="138" t="s">
        <v>487</v>
      </c>
      <c r="B1184" s="138" t="s">
        <v>3809</v>
      </c>
      <c r="C1184" s="138" t="s">
        <v>3983</v>
      </c>
      <c r="D1184" s="138" t="s">
        <v>4007</v>
      </c>
      <c r="E1184" s="138" t="s">
        <v>4005</v>
      </c>
      <c r="F1184" s="138" t="s">
        <v>3847</v>
      </c>
      <c r="G1184" s="138" t="s">
        <v>8116</v>
      </c>
      <c r="H1184" s="81" t="str">
        <f t="shared" si="106"/>
        <v>TCCN-PTE-PFL-PR2-CF4-SMO-PLE</v>
      </c>
      <c r="I1184" s="138" t="str">
        <f>MID(H1184,1,(LEN(H1184)-VLOOKUP(K1184,datos!$B$2:$C$12,2,0)))</f>
        <v>TCCN-PTE-PFL-PR2-CF4-SMO-PLE</v>
      </c>
      <c r="J1184" s="138" t="s">
        <v>5893</v>
      </c>
      <c r="K1184" s="140">
        <f>VLOOKUP(LEN(SUBSTITUTE(H1184,"-","")),datos!$A$1:$B$12,2,0)</f>
        <v>7</v>
      </c>
      <c r="L1184" s="138"/>
      <c r="M1184" s="138" t="s">
        <v>0</v>
      </c>
    </row>
    <row r="1185" spans="1:13" x14ac:dyDescent="0.35">
      <c r="A1185" s="138" t="s">
        <v>487</v>
      </c>
      <c r="B1185" s="138" t="s">
        <v>3809</v>
      </c>
      <c r="C1185" s="138" t="s">
        <v>3983</v>
      </c>
      <c r="D1185" s="138" t="s">
        <v>4007</v>
      </c>
      <c r="E1185" s="138" t="s">
        <v>4005</v>
      </c>
      <c r="F1185" s="138" t="s">
        <v>3847</v>
      </c>
      <c r="G1185" s="138" t="s">
        <v>5688</v>
      </c>
      <c r="H1185" s="81" t="str">
        <f t="shared" si="106"/>
        <v>TCCN-PTE-PFL-PR2-CF4-SMO-PRP</v>
      </c>
      <c r="I1185" s="138" t="str">
        <f>MID(H1185,1,(LEN(H1185)-VLOOKUP(K1185,datos!$B$2:$C$12,2,0)))</f>
        <v>TCCN-PTE-PFL-PR2-CF4-SMO-PRP</v>
      </c>
      <c r="J1185" s="138" t="s">
        <v>5894</v>
      </c>
      <c r="K1185" s="140">
        <f>VLOOKUP(LEN(SUBSTITUTE(H1185,"-","")),datos!$A$1:$B$12,2,0)</f>
        <v>7</v>
      </c>
      <c r="L1185" s="138"/>
      <c r="M1185" s="138" t="s">
        <v>0</v>
      </c>
    </row>
    <row r="1186" spans="1:13" x14ac:dyDescent="0.35">
      <c r="A1186" s="137" t="s">
        <v>487</v>
      </c>
      <c r="B1186" s="137" t="s">
        <v>3809</v>
      </c>
      <c r="C1186" s="137" t="s">
        <v>3983</v>
      </c>
      <c r="D1186" s="137" t="s">
        <v>4007</v>
      </c>
      <c r="E1186" s="137" t="s">
        <v>4005</v>
      </c>
      <c r="F1186" s="137" t="s">
        <v>3831</v>
      </c>
      <c r="G1186" s="137"/>
      <c r="H1186" s="82" t="str">
        <f t="shared" si="106"/>
        <v>TCCN-PTE-PFL-PR2-CF4-INS-</v>
      </c>
      <c r="I1186" s="137" t="str">
        <f>MID(H1186,1,(LEN(H1186)-VLOOKUP(K1186,datos!$B$2:$C$12,2,0)))</f>
        <v>TCCN-PTE-PFL-PR2-CF4-INS</v>
      </c>
      <c r="J1186" s="137" t="s">
        <v>5895</v>
      </c>
      <c r="K1186" s="139">
        <f>VLOOKUP(LEN(SUBSTITUTE(H1186,"-","")),datos!$A$1:$B$12,2,0)</f>
        <v>6</v>
      </c>
      <c r="L1186" s="137"/>
      <c r="M1186" s="137" t="s">
        <v>0</v>
      </c>
    </row>
    <row r="1187" spans="1:13" x14ac:dyDescent="0.35">
      <c r="A1187" s="138" t="s">
        <v>487</v>
      </c>
      <c r="B1187" s="138" t="s">
        <v>3809</v>
      </c>
      <c r="C1187" s="138" t="s">
        <v>3983</v>
      </c>
      <c r="D1187" s="138" t="s">
        <v>4007</v>
      </c>
      <c r="E1187" s="138" t="s">
        <v>4005</v>
      </c>
      <c r="F1187" s="138" t="s">
        <v>3831</v>
      </c>
      <c r="G1187" s="138" t="s">
        <v>4075</v>
      </c>
      <c r="H1187" s="81" t="str">
        <f t="shared" ref="H1187:H1188" si="107">CONCATENATE(A1187,"-",B1187,"-",C1187,"-",D1187,"-",E1187,"-",F1187,"-",G1187)</f>
        <v>TCCN-PTE-PFL-PR2-CF4-INS-VVA</v>
      </c>
      <c r="I1187" s="138" t="str">
        <f>MID(H1187,1,(LEN(H1187)-VLOOKUP(K1187,datos!$B$2:$C$12,2,0)))</f>
        <v>TCCN-PTE-PFL-PR2-CF4-INS-VVA</v>
      </c>
      <c r="J1187" s="138" t="s">
        <v>7746</v>
      </c>
      <c r="K1187" s="140">
        <f>VLOOKUP(LEN(SUBSTITUTE(H1187,"-","")),datos!$A$1:$B$12,2,0)</f>
        <v>7</v>
      </c>
      <c r="L1187" s="138" t="s">
        <v>7748</v>
      </c>
      <c r="M1187" s="138" t="s">
        <v>0</v>
      </c>
    </row>
    <row r="1188" spans="1:13" x14ac:dyDescent="0.35">
      <c r="A1188" s="138" t="s">
        <v>487</v>
      </c>
      <c r="B1188" s="138" t="s">
        <v>3809</v>
      </c>
      <c r="C1188" s="138" t="s">
        <v>3983</v>
      </c>
      <c r="D1188" s="138" t="s">
        <v>4007</v>
      </c>
      <c r="E1188" s="138" t="s">
        <v>4005</v>
      </c>
      <c r="F1188" s="138" t="s">
        <v>3831</v>
      </c>
      <c r="G1188" s="138" t="s">
        <v>4002</v>
      </c>
      <c r="H1188" s="81" t="str">
        <f t="shared" si="107"/>
        <v>TCCN-PTE-PFL-PR2-CF4-INS-FJM</v>
      </c>
      <c r="I1188" s="138" t="str">
        <f>MID(H1188,1,(LEN(H1188)-VLOOKUP(K1188,datos!$B$2:$C$12,2,0)))</f>
        <v>TCCN-PTE-PFL-PR2-CF4-INS-FJM</v>
      </c>
      <c r="J1188" s="138" t="s">
        <v>7747</v>
      </c>
      <c r="K1188" s="140">
        <f>VLOOKUP(LEN(SUBSTITUTE(H1188,"-","")),datos!$A$1:$B$12,2,0)</f>
        <v>7</v>
      </c>
      <c r="L1188" s="138" t="s">
        <v>7749</v>
      </c>
      <c r="M1188" s="138" t="s">
        <v>0</v>
      </c>
    </row>
    <row r="1189" spans="1:13" x14ac:dyDescent="0.35">
      <c r="A1189" s="137" t="s">
        <v>487</v>
      </c>
      <c r="B1189" s="137" t="s">
        <v>3809</v>
      </c>
      <c r="C1189" s="137" t="s">
        <v>3983</v>
      </c>
      <c r="D1189" s="137" t="s">
        <v>4007</v>
      </c>
      <c r="E1189" s="137" t="s">
        <v>4005</v>
      </c>
      <c r="F1189" s="137" t="s">
        <v>3869</v>
      </c>
      <c r="G1189" s="137"/>
      <c r="H1189" s="82" t="str">
        <f t="shared" si="106"/>
        <v>TCCN-PTE-PFL-PR2-CF4-SCE-</v>
      </c>
      <c r="I1189" s="137" t="str">
        <f>MID(H1189,1,(LEN(H1189)-VLOOKUP(K1189,datos!$B$2:$C$12,2,0)))</f>
        <v>TCCN-PTE-PFL-PR2-CF4-SCE</v>
      </c>
      <c r="J1189" s="137" t="s">
        <v>5896</v>
      </c>
      <c r="K1189" s="139">
        <f>VLOOKUP(LEN(SUBSTITUTE(H1189,"-","")),datos!$A$1:$B$12,2,0)</f>
        <v>6</v>
      </c>
      <c r="L1189" s="137"/>
      <c r="M1189" s="137" t="s">
        <v>0</v>
      </c>
    </row>
    <row r="1190" spans="1:13" x14ac:dyDescent="0.35">
      <c r="A1190" s="138" t="s">
        <v>487</v>
      </c>
      <c r="B1190" s="138" t="s">
        <v>3809</v>
      </c>
      <c r="C1190" s="138" t="s">
        <v>3983</v>
      </c>
      <c r="D1190" s="138" t="s">
        <v>4007</v>
      </c>
      <c r="E1190" s="138" t="s">
        <v>4005</v>
      </c>
      <c r="F1190" s="138" t="s">
        <v>3869</v>
      </c>
      <c r="G1190" s="138" t="s">
        <v>3870</v>
      </c>
      <c r="H1190" s="81" t="str">
        <f t="shared" si="106"/>
        <v>TCCN-PTE-PFL-PR2-CF4-SCE-BTN</v>
      </c>
      <c r="I1190" s="138" t="str">
        <f>MID(H1190,1,(LEN(H1190)-VLOOKUP(K1190,datos!$B$2:$C$12,2,0)))</f>
        <v>TCCN-PTE-PFL-PR2-CF4-SCE-BTN</v>
      </c>
      <c r="J1190" s="138" t="s">
        <v>5897</v>
      </c>
      <c r="K1190" s="140">
        <f>VLOOKUP(LEN(SUBSTITUTE(H1190,"-","")),datos!$A$1:$B$12,2,0)</f>
        <v>7</v>
      </c>
      <c r="L1190" s="138"/>
      <c r="M1190" s="138" t="s">
        <v>0</v>
      </c>
    </row>
    <row r="1191" spans="1:13" customFormat="1" ht="14.5" x14ac:dyDescent="0.35">
      <c r="A1191" s="129" t="s">
        <v>487</v>
      </c>
      <c r="B1191" s="129" t="s">
        <v>3809</v>
      </c>
      <c r="C1191" s="129" t="s">
        <v>3983</v>
      </c>
      <c r="D1191" s="129" t="s">
        <v>4007</v>
      </c>
      <c r="E1191" s="129" t="s">
        <v>4006</v>
      </c>
      <c r="F1191" s="129"/>
      <c r="G1191" s="129"/>
      <c r="H1191" s="83" t="str">
        <f t="shared" si="106"/>
        <v>TCCN-PTE-PFL-PR2-CF5--</v>
      </c>
      <c r="I1191" s="129" t="str">
        <f>MID(H1191,1,(LEN(H1191)-VLOOKUP(K1191,datos!$B$2:$C$12,2,0)))</f>
        <v>TCCN-PTE-PFL-PR2-CF5</v>
      </c>
      <c r="J1191" s="129" t="s">
        <v>449</v>
      </c>
      <c r="K1191" s="130">
        <f>VLOOKUP(LEN(SUBSTITUTE(H1191,"-","")),datos!$A$1:$B$12,2,0)</f>
        <v>5</v>
      </c>
      <c r="L1191" s="129" t="s">
        <v>189</v>
      </c>
      <c r="M1191" s="129" t="s">
        <v>0</v>
      </c>
    </row>
    <row r="1192" spans="1:13" x14ac:dyDescent="0.35">
      <c r="A1192" s="137" t="s">
        <v>487</v>
      </c>
      <c r="B1192" s="137" t="s">
        <v>3809</v>
      </c>
      <c r="C1192" s="137" t="s">
        <v>3983</v>
      </c>
      <c r="D1192" s="137" t="s">
        <v>4007</v>
      </c>
      <c r="E1192" s="137" t="s">
        <v>4006</v>
      </c>
      <c r="F1192" s="137" t="s">
        <v>3948</v>
      </c>
      <c r="G1192" s="137"/>
      <c r="H1192" s="82" t="str">
        <f t="shared" si="106"/>
        <v>TCCN-PTE-PFL-PR2-CF5-SCP-</v>
      </c>
      <c r="I1192" s="137" t="str">
        <f>MID(H1192,1,(LEN(H1192)-VLOOKUP(K1192,datos!$B$2:$C$12,2,0)))</f>
        <v>TCCN-PTE-PFL-PR2-CF5-SCP</v>
      </c>
      <c r="J1192" s="137" t="s">
        <v>5862</v>
      </c>
      <c r="K1192" s="139">
        <f>VLOOKUP(LEN(SUBSTITUTE(H1192,"-","")),datos!$A$1:$B$12,2,0)</f>
        <v>6</v>
      </c>
      <c r="L1192" s="137"/>
      <c r="M1192" s="137" t="s">
        <v>0</v>
      </c>
    </row>
    <row r="1193" spans="1:13" x14ac:dyDescent="0.35">
      <c r="A1193" s="138" t="s">
        <v>487</v>
      </c>
      <c r="B1193" s="138" t="s">
        <v>3809</v>
      </c>
      <c r="C1193" s="138" t="s">
        <v>3983</v>
      </c>
      <c r="D1193" s="138" t="s">
        <v>4007</v>
      </c>
      <c r="E1193" s="138" t="s">
        <v>4006</v>
      </c>
      <c r="F1193" s="138" t="s">
        <v>3948</v>
      </c>
      <c r="G1193" s="138" t="s">
        <v>3993</v>
      </c>
      <c r="H1193" s="81" t="str">
        <f t="shared" si="106"/>
        <v>TCCN-PTE-PFL-PR2-CF5-SCP-POR</v>
      </c>
      <c r="I1193" s="138" t="str">
        <f>MID(H1193,1,(LEN(H1193)-VLOOKUP(K1193,datos!$B$2:$C$12,2,0)))</f>
        <v>TCCN-PTE-PFL-PR2-CF5-SCP-POR</v>
      </c>
      <c r="J1193" s="138" t="s">
        <v>5863</v>
      </c>
      <c r="K1193" s="140">
        <f>VLOOKUP(LEN(SUBSTITUTE(H1193,"-","")),datos!$A$1:$B$12,2,0)</f>
        <v>7</v>
      </c>
      <c r="L1193" s="138"/>
      <c r="M1193" s="138" t="s">
        <v>0</v>
      </c>
    </row>
    <row r="1194" spans="1:13" x14ac:dyDescent="0.35">
      <c r="A1194" s="138" t="s">
        <v>487</v>
      </c>
      <c r="B1194" s="138" t="s">
        <v>3809</v>
      </c>
      <c r="C1194" s="138" t="s">
        <v>3983</v>
      </c>
      <c r="D1194" s="138" t="s">
        <v>4007</v>
      </c>
      <c r="E1194" s="138" t="s">
        <v>4006</v>
      </c>
      <c r="F1194" s="138" t="s">
        <v>3948</v>
      </c>
      <c r="G1194" s="138" t="s">
        <v>3994</v>
      </c>
      <c r="H1194" s="81" t="str">
        <f t="shared" si="106"/>
        <v>TCCN-PTE-PFL-PR2-CF5-SCP-RTO</v>
      </c>
      <c r="I1194" s="138" t="str">
        <f>MID(H1194,1,(LEN(H1194)-VLOOKUP(K1194,datos!$B$2:$C$12,2,0)))</f>
        <v>TCCN-PTE-PFL-PR2-CF5-SCP-RTO</v>
      </c>
      <c r="J1194" s="138" t="s">
        <v>5864</v>
      </c>
      <c r="K1194" s="140">
        <f>VLOOKUP(LEN(SUBSTITUTE(H1194,"-","")),datos!$A$1:$B$12,2,0)</f>
        <v>7</v>
      </c>
      <c r="L1194" s="138"/>
      <c r="M1194" s="138" t="s">
        <v>0</v>
      </c>
    </row>
    <row r="1195" spans="1:13" x14ac:dyDescent="0.35">
      <c r="A1195" s="138" t="s">
        <v>487</v>
      </c>
      <c r="B1195" s="138" t="s">
        <v>3809</v>
      </c>
      <c r="C1195" s="138" t="s">
        <v>3983</v>
      </c>
      <c r="D1195" s="138" t="s">
        <v>4007</v>
      </c>
      <c r="E1195" s="138" t="s">
        <v>4006</v>
      </c>
      <c r="F1195" s="138" t="s">
        <v>3948</v>
      </c>
      <c r="G1195" s="138" t="s">
        <v>3995</v>
      </c>
      <c r="H1195" s="81" t="str">
        <f t="shared" si="106"/>
        <v>TCCN-PTE-PFL-PR2-CF5-SCP-ETT</v>
      </c>
      <c r="I1195" s="138" t="str">
        <f>MID(H1195,1,(LEN(H1195)-VLOOKUP(K1195,datos!$B$2:$C$12,2,0)))</f>
        <v>TCCN-PTE-PFL-PR2-CF5-SCP-ETT</v>
      </c>
      <c r="J1195" s="138" t="s">
        <v>5865</v>
      </c>
      <c r="K1195" s="140">
        <f>VLOOKUP(LEN(SUBSTITUTE(H1195,"-","")),datos!$A$1:$B$12,2,0)</f>
        <v>7</v>
      </c>
      <c r="L1195" s="138"/>
      <c r="M1195" s="138" t="s">
        <v>0</v>
      </c>
    </row>
    <row r="1196" spans="1:13" x14ac:dyDescent="0.35">
      <c r="A1196" s="138" t="s">
        <v>487</v>
      </c>
      <c r="B1196" s="138" t="s">
        <v>3809</v>
      </c>
      <c r="C1196" s="138" t="s">
        <v>3983</v>
      </c>
      <c r="D1196" s="138" t="s">
        <v>4007</v>
      </c>
      <c r="E1196" s="138" t="s">
        <v>4006</v>
      </c>
      <c r="F1196" s="138" t="s">
        <v>3948</v>
      </c>
      <c r="G1196" s="138" t="s">
        <v>3996</v>
      </c>
      <c r="H1196" s="81" t="str">
        <f t="shared" si="106"/>
        <v>TCCN-PTE-PFL-PR2-CF5-SCP-DDT</v>
      </c>
      <c r="I1196" s="138" t="str">
        <f>MID(H1196,1,(LEN(H1196)-VLOOKUP(K1196,datos!$B$2:$C$12,2,0)))</f>
        <v>TCCN-PTE-PFL-PR2-CF5-SCP-DDT</v>
      </c>
      <c r="J1196" s="138" t="s">
        <v>5866</v>
      </c>
      <c r="K1196" s="140">
        <f>VLOOKUP(LEN(SUBSTITUTE(H1196,"-","")),datos!$A$1:$B$12,2,0)</f>
        <v>7</v>
      </c>
      <c r="L1196" s="138"/>
      <c r="M1196" s="138" t="s">
        <v>0</v>
      </c>
    </row>
    <row r="1197" spans="1:13" x14ac:dyDescent="0.35">
      <c r="A1197" s="138" t="s">
        <v>487</v>
      </c>
      <c r="B1197" s="138" t="s">
        <v>3809</v>
      </c>
      <c r="C1197" s="138" t="s">
        <v>3983</v>
      </c>
      <c r="D1197" s="138" t="s">
        <v>4007</v>
      </c>
      <c r="E1197" s="138" t="s">
        <v>4006</v>
      </c>
      <c r="F1197" s="138" t="s">
        <v>3948</v>
      </c>
      <c r="G1197" s="138" t="s">
        <v>3997</v>
      </c>
      <c r="H1197" s="81" t="str">
        <f t="shared" ref="H1197:H1258" si="108">CONCATENATE(A1197,"-",B1197,"-",C1197,"-",D1197,"-",E1197,"-",F1197,"-",G1197)</f>
        <v>TCCN-PTE-PFL-PR2-CF5-SCP-EJE</v>
      </c>
      <c r="I1197" s="138" t="str">
        <f>MID(H1197,1,(LEN(H1197)-VLOOKUP(K1197,datos!$B$2:$C$12,2,0)))</f>
        <v>TCCN-PTE-PFL-PR2-CF5-SCP-EJE</v>
      </c>
      <c r="J1197" s="138" t="s">
        <v>5867</v>
      </c>
      <c r="K1197" s="140">
        <f>VLOOKUP(LEN(SUBSTITUTE(H1197,"-","")),datos!$A$1:$B$12,2,0)</f>
        <v>7</v>
      </c>
      <c r="L1197" s="138"/>
      <c r="M1197" s="138" t="s">
        <v>0</v>
      </c>
    </row>
    <row r="1198" spans="1:13" x14ac:dyDescent="0.35">
      <c r="A1198" s="137" t="s">
        <v>487</v>
      </c>
      <c r="B1198" s="137" t="s">
        <v>3809</v>
      </c>
      <c r="C1198" s="137" t="s">
        <v>3983</v>
      </c>
      <c r="D1198" s="137" t="s">
        <v>4007</v>
      </c>
      <c r="E1198" s="137" t="s">
        <v>4006</v>
      </c>
      <c r="F1198" s="137" t="s">
        <v>3824</v>
      </c>
      <c r="G1198" s="137"/>
      <c r="H1198" s="82" t="str">
        <f t="shared" si="108"/>
        <v>TCCN-PTE-PFL-PR2-CF5-SES-</v>
      </c>
      <c r="I1198" s="137" t="str">
        <f>MID(H1198,1,(LEN(H1198)-VLOOKUP(K1198,datos!$B$2:$C$12,2,0)))</f>
        <v>TCCN-PTE-PFL-PR2-CF5-SES</v>
      </c>
      <c r="J1198" s="137" t="s">
        <v>5868</v>
      </c>
      <c r="K1198" s="139">
        <f>VLOOKUP(LEN(SUBSTITUTE(H1198,"-","")),datos!$A$1:$B$12,2,0)</f>
        <v>6</v>
      </c>
      <c r="L1198" s="137"/>
      <c r="M1198" s="137" t="s">
        <v>0</v>
      </c>
    </row>
    <row r="1199" spans="1:13" x14ac:dyDescent="0.35">
      <c r="A1199" s="138" t="s">
        <v>487</v>
      </c>
      <c r="B1199" s="138" t="s">
        <v>3809</v>
      </c>
      <c r="C1199" s="138" t="s">
        <v>3983</v>
      </c>
      <c r="D1199" s="138" t="s">
        <v>4007</v>
      </c>
      <c r="E1199" s="138" t="s">
        <v>4006</v>
      </c>
      <c r="F1199" s="138" t="s">
        <v>3824</v>
      </c>
      <c r="G1199" s="138" t="s">
        <v>3998</v>
      </c>
      <c r="H1199" s="81" t="str">
        <f t="shared" si="108"/>
        <v>TCCN-PTE-PFL-PR2-CF5-SES-BYG</v>
      </c>
      <c r="I1199" s="138" t="str">
        <f>MID(H1199,1,(LEN(H1199)-VLOOKUP(K1199,datos!$B$2:$C$12,2,0)))</f>
        <v>TCCN-PTE-PFL-PR2-CF5-SES-BYG</v>
      </c>
      <c r="J1199" s="138" t="s">
        <v>8017</v>
      </c>
      <c r="K1199" s="140">
        <f>VLOOKUP(LEN(SUBSTITUTE(H1199,"-","")),datos!$A$1:$B$12,2,0)</f>
        <v>7</v>
      </c>
      <c r="L1199" s="138"/>
      <c r="M1199" s="138" t="s">
        <v>0</v>
      </c>
    </row>
    <row r="1200" spans="1:13" x14ac:dyDescent="0.35">
      <c r="A1200" s="138" t="s">
        <v>487</v>
      </c>
      <c r="B1200" s="138" t="s">
        <v>3809</v>
      </c>
      <c r="C1200" s="138" t="s">
        <v>3983</v>
      </c>
      <c r="D1200" s="138" t="s">
        <v>4007</v>
      </c>
      <c r="E1200" s="138" t="s">
        <v>4006</v>
      </c>
      <c r="F1200" s="138" t="s">
        <v>3824</v>
      </c>
      <c r="G1200" s="138" t="s">
        <v>3999</v>
      </c>
      <c r="H1200" s="81" t="str">
        <f t="shared" si="108"/>
        <v>TCCN-PTE-PFL-PR2-CF5-SES-RDP</v>
      </c>
      <c r="I1200" s="138" t="str">
        <f>MID(H1200,1,(LEN(H1200)-VLOOKUP(K1200,datos!$B$2:$C$12,2,0)))</f>
        <v>TCCN-PTE-PFL-PR2-CF5-SES-RDP</v>
      </c>
      <c r="J1200" s="138" t="s">
        <v>5869</v>
      </c>
      <c r="K1200" s="140">
        <f>VLOOKUP(LEN(SUBSTITUTE(H1200,"-","")),datos!$A$1:$B$12,2,0)</f>
        <v>7</v>
      </c>
      <c r="L1200" s="138"/>
      <c r="M1200" s="138" t="s">
        <v>0</v>
      </c>
    </row>
    <row r="1201" spans="1:13" x14ac:dyDescent="0.35">
      <c r="A1201" s="138" t="s">
        <v>487</v>
      </c>
      <c r="B1201" s="138" t="s">
        <v>3809</v>
      </c>
      <c r="C1201" s="138" t="s">
        <v>3983</v>
      </c>
      <c r="D1201" s="138" t="s">
        <v>4007</v>
      </c>
      <c r="E1201" s="138" t="s">
        <v>4006</v>
      </c>
      <c r="F1201" s="138" t="s">
        <v>3824</v>
      </c>
      <c r="G1201" s="138" t="s">
        <v>3853</v>
      </c>
      <c r="H1201" s="81" t="str">
        <f t="shared" si="108"/>
        <v>TCCN-PTE-PFL-PR2-CF5-SES-EST</v>
      </c>
      <c r="I1201" s="138" t="str">
        <f>MID(H1201,1,(LEN(H1201)-VLOOKUP(K1201,datos!$B$2:$C$12,2,0)))</f>
        <v>TCCN-PTE-PFL-PR2-CF5-SES-EST</v>
      </c>
      <c r="J1201" s="138" t="s">
        <v>5870</v>
      </c>
      <c r="K1201" s="140">
        <f>VLOOKUP(LEN(SUBSTITUTE(H1201,"-","")),datos!$A$1:$B$12,2,0)</f>
        <v>7</v>
      </c>
      <c r="L1201" s="138"/>
      <c r="M1201" s="138" t="s">
        <v>0</v>
      </c>
    </row>
    <row r="1202" spans="1:13" x14ac:dyDescent="0.35">
      <c r="A1202" s="138" t="s">
        <v>487</v>
      </c>
      <c r="B1202" s="138" t="s">
        <v>3809</v>
      </c>
      <c r="C1202" s="138" t="s">
        <v>3983</v>
      </c>
      <c r="D1202" s="138" t="s">
        <v>4007</v>
      </c>
      <c r="E1202" s="138" t="s">
        <v>4006</v>
      </c>
      <c r="F1202" s="138" t="s">
        <v>3824</v>
      </c>
      <c r="G1202" s="138" t="s">
        <v>4000</v>
      </c>
      <c r="H1202" s="81" t="str">
        <f t="shared" si="108"/>
        <v>TCCN-PTE-PFL-PR2-CF5-SES-CRW</v>
      </c>
      <c r="I1202" s="138" t="str">
        <f>MID(H1202,1,(LEN(H1202)-VLOOKUP(K1202,datos!$B$2:$C$12,2,0)))</f>
        <v>TCCN-PTE-PFL-PR2-CF5-SES-CRW</v>
      </c>
      <c r="J1202" s="138" t="s">
        <v>5871</v>
      </c>
      <c r="K1202" s="140">
        <f>VLOOKUP(LEN(SUBSTITUTE(H1202,"-","")),datos!$A$1:$B$12,2,0)</f>
        <v>7</v>
      </c>
      <c r="L1202" s="138"/>
      <c r="M1202" s="138" t="s">
        <v>0</v>
      </c>
    </row>
    <row r="1203" spans="1:13" x14ac:dyDescent="0.35">
      <c r="A1203" s="137" t="s">
        <v>487</v>
      </c>
      <c r="B1203" s="137" t="s">
        <v>3809</v>
      </c>
      <c r="C1203" s="137" t="s">
        <v>3983</v>
      </c>
      <c r="D1203" s="137" t="s">
        <v>4007</v>
      </c>
      <c r="E1203" s="137" t="s">
        <v>4006</v>
      </c>
      <c r="F1203" s="137" t="s">
        <v>3847</v>
      </c>
      <c r="G1203" s="137"/>
      <c r="H1203" s="82" t="str">
        <f t="shared" si="108"/>
        <v>TCCN-PTE-PFL-PR2-CF5-SMO-</v>
      </c>
      <c r="I1203" s="137" t="str">
        <f>MID(H1203,1,(LEN(H1203)-VLOOKUP(K1203,datos!$B$2:$C$12,2,0)))</f>
        <v>TCCN-PTE-PFL-PR2-CF5-SMO</v>
      </c>
      <c r="J1203" s="137" t="s">
        <v>5872</v>
      </c>
      <c r="K1203" s="139">
        <f>VLOOKUP(LEN(SUBSTITUTE(H1203,"-","")),datos!$A$1:$B$12,2,0)</f>
        <v>6</v>
      </c>
      <c r="L1203" s="137"/>
      <c r="M1203" s="137" t="s">
        <v>0</v>
      </c>
    </row>
    <row r="1204" spans="1:13" x14ac:dyDescent="0.35">
      <c r="A1204" s="138" t="s">
        <v>487</v>
      </c>
      <c r="B1204" s="138" t="s">
        <v>3809</v>
      </c>
      <c r="C1204" s="138" t="s">
        <v>3983</v>
      </c>
      <c r="D1204" s="138" t="s">
        <v>4007</v>
      </c>
      <c r="E1204" s="138" t="s">
        <v>4006</v>
      </c>
      <c r="F1204" s="138" t="s">
        <v>3847</v>
      </c>
      <c r="G1204" s="138" t="s">
        <v>3819</v>
      </c>
      <c r="H1204" s="81" t="str">
        <f t="shared" si="108"/>
        <v>TCCN-PTE-PFL-PR2-CF5-SMO-MOE</v>
      </c>
      <c r="I1204" s="138" t="str">
        <f>MID(H1204,1,(LEN(H1204)-VLOOKUP(K1204,datos!$B$2:$C$12,2,0)))</f>
        <v>TCCN-PTE-PFL-PR2-CF5-SMO-MOE</v>
      </c>
      <c r="J1204" s="138" t="s">
        <v>5873</v>
      </c>
      <c r="K1204" s="140">
        <f>VLOOKUP(LEN(SUBSTITUTE(H1204,"-","")),datos!$A$1:$B$12,2,0)</f>
        <v>7</v>
      </c>
      <c r="L1204" s="138" t="s">
        <v>190</v>
      </c>
      <c r="M1204" s="138" t="s">
        <v>0</v>
      </c>
    </row>
    <row r="1205" spans="1:13" x14ac:dyDescent="0.35">
      <c r="A1205" s="138" t="s">
        <v>487</v>
      </c>
      <c r="B1205" s="138" t="s">
        <v>3809</v>
      </c>
      <c r="C1205" s="138" t="s">
        <v>3983</v>
      </c>
      <c r="D1205" s="138" t="s">
        <v>4007</v>
      </c>
      <c r="E1205" s="138" t="s">
        <v>4006</v>
      </c>
      <c r="F1205" s="138" t="s">
        <v>3847</v>
      </c>
      <c r="G1205" s="138" t="s">
        <v>3864</v>
      </c>
      <c r="H1205" s="81" t="str">
        <f t="shared" si="108"/>
        <v>TCCN-PTE-PFL-PR2-CF5-SMO-PMO</v>
      </c>
      <c r="I1205" s="138" t="str">
        <f>MID(H1205,1,(LEN(H1205)-VLOOKUP(K1205,datos!$B$2:$C$12,2,0)))</f>
        <v>TCCN-PTE-PFL-PR2-CF5-SMO-PMO</v>
      </c>
      <c r="J1205" s="138" t="s">
        <v>5874</v>
      </c>
      <c r="K1205" s="140">
        <f>VLOOKUP(LEN(SUBSTITUTE(H1205,"-","")),datos!$A$1:$B$12,2,0)</f>
        <v>7</v>
      </c>
      <c r="L1205" s="138"/>
      <c r="M1205" s="138" t="s">
        <v>0</v>
      </c>
    </row>
    <row r="1206" spans="1:13" x14ac:dyDescent="0.35">
      <c r="A1206" s="138" t="s">
        <v>487</v>
      </c>
      <c r="B1206" s="138" t="s">
        <v>3809</v>
      </c>
      <c r="C1206" s="138" t="s">
        <v>3983</v>
      </c>
      <c r="D1206" s="138" t="s">
        <v>4007</v>
      </c>
      <c r="E1206" s="138" t="s">
        <v>4006</v>
      </c>
      <c r="F1206" s="138" t="s">
        <v>3847</v>
      </c>
      <c r="G1206" s="138" t="s">
        <v>8116</v>
      </c>
      <c r="H1206" s="81" t="str">
        <f t="shared" si="108"/>
        <v>TCCN-PTE-PFL-PR2-CF5-SMO-PLE</v>
      </c>
      <c r="I1206" s="138" t="str">
        <f>MID(H1206,1,(LEN(H1206)-VLOOKUP(K1206,datos!$B$2:$C$12,2,0)))</f>
        <v>TCCN-PTE-PFL-PR2-CF5-SMO-PLE</v>
      </c>
      <c r="J1206" s="138" t="s">
        <v>5875</v>
      </c>
      <c r="K1206" s="140">
        <f>VLOOKUP(LEN(SUBSTITUTE(H1206,"-","")),datos!$A$1:$B$12,2,0)</f>
        <v>7</v>
      </c>
      <c r="L1206" s="138"/>
      <c r="M1206" s="138" t="s">
        <v>0</v>
      </c>
    </row>
    <row r="1207" spans="1:13" x14ac:dyDescent="0.35">
      <c r="A1207" s="138" t="s">
        <v>487</v>
      </c>
      <c r="B1207" s="138" t="s">
        <v>3809</v>
      </c>
      <c r="C1207" s="138" t="s">
        <v>3983</v>
      </c>
      <c r="D1207" s="138" t="s">
        <v>4007</v>
      </c>
      <c r="E1207" s="138" t="s">
        <v>4006</v>
      </c>
      <c r="F1207" s="138" t="s">
        <v>3847</v>
      </c>
      <c r="G1207" s="138" t="s">
        <v>5688</v>
      </c>
      <c r="H1207" s="81" t="str">
        <f t="shared" si="108"/>
        <v>TCCN-PTE-PFL-PR2-CF5-SMO-PRP</v>
      </c>
      <c r="I1207" s="138" t="str">
        <f>MID(H1207,1,(LEN(H1207)-VLOOKUP(K1207,datos!$B$2:$C$12,2,0)))</f>
        <v>TCCN-PTE-PFL-PR2-CF5-SMO-PRP</v>
      </c>
      <c r="J1207" s="138" t="s">
        <v>5876</v>
      </c>
      <c r="K1207" s="140">
        <f>VLOOKUP(LEN(SUBSTITUTE(H1207,"-","")),datos!$A$1:$B$12,2,0)</f>
        <v>7</v>
      </c>
      <c r="L1207" s="138"/>
      <c r="M1207" s="138" t="s">
        <v>0</v>
      </c>
    </row>
    <row r="1208" spans="1:13" x14ac:dyDescent="0.35">
      <c r="A1208" s="137" t="s">
        <v>487</v>
      </c>
      <c r="B1208" s="137" t="s">
        <v>3809</v>
      </c>
      <c r="C1208" s="137" t="s">
        <v>3983</v>
      </c>
      <c r="D1208" s="137" t="s">
        <v>4007</v>
      </c>
      <c r="E1208" s="137" t="s">
        <v>4006</v>
      </c>
      <c r="F1208" s="137" t="s">
        <v>3831</v>
      </c>
      <c r="G1208" s="137"/>
      <c r="H1208" s="82" t="str">
        <f t="shared" si="108"/>
        <v>TCCN-PTE-PFL-PR2-CF5-INS-</v>
      </c>
      <c r="I1208" s="137" t="str">
        <f>MID(H1208,1,(LEN(H1208)-VLOOKUP(K1208,datos!$B$2:$C$12,2,0)))</f>
        <v>TCCN-PTE-PFL-PR2-CF5-INS</v>
      </c>
      <c r="J1208" s="137" t="s">
        <v>5877</v>
      </c>
      <c r="K1208" s="139">
        <f>VLOOKUP(LEN(SUBSTITUTE(H1208,"-","")),datos!$A$1:$B$12,2,0)</f>
        <v>6</v>
      </c>
      <c r="L1208" s="137"/>
      <c r="M1208" s="137" t="s">
        <v>0</v>
      </c>
    </row>
    <row r="1209" spans="1:13" x14ac:dyDescent="0.35">
      <c r="A1209" s="138" t="s">
        <v>487</v>
      </c>
      <c r="B1209" s="138" t="s">
        <v>3809</v>
      </c>
      <c r="C1209" s="138" t="s">
        <v>3983</v>
      </c>
      <c r="D1209" s="138" t="s">
        <v>4007</v>
      </c>
      <c r="E1209" s="138" t="s">
        <v>4006</v>
      </c>
      <c r="F1209" s="138" t="s">
        <v>3831</v>
      </c>
      <c r="G1209" s="138" t="s">
        <v>4075</v>
      </c>
      <c r="H1209" s="81" t="str">
        <f t="shared" si="108"/>
        <v>TCCN-PTE-PFL-PR2-CF5-INS-VVA</v>
      </c>
      <c r="I1209" s="138" t="str">
        <f>MID(H1209,1,(LEN(H1209)-VLOOKUP(K1209,datos!$B$2:$C$12,2,0)))</f>
        <v>TCCN-PTE-PFL-PR2-CF5-INS-VVA</v>
      </c>
      <c r="J1209" s="138" t="s">
        <v>7750</v>
      </c>
      <c r="K1209" s="140">
        <f>VLOOKUP(LEN(SUBSTITUTE(H1209,"-","")),datos!$A$1:$B$12,2,0)</f>
        <v>7</v>
      </c>
      <c r="L1209" s="138" t="s">
        <v>7752</v>
      </c>
      <c r="M1209" s="138" t="s">
        <v>0</v>
      </c>
    </row>
    <row r="1210" spans="1:13" x14ac:dyDescent="0.35">
      <c r="A1210" s="138" t="s">
        <v>487</v>
      </c>
      <c r="B1210" s="138" t="s">
        <v>3809</v>
      </c>
      <c r="C1210" s="138" t="s">
        <v>3983</v>
      </c>
      <c r="D1210" s="138" t="s">
        <v>4007</v>
      </c>
      <c r="E1210" s="138" t="s">
        <v>4006</v>
      </c>
      <c r="F1210" s="138" t="s">
        <v>3831</v>
      </c>
      <c r="G1210" s="138" t="s">
        <v>5256</v>
      </c>
      <c r="H1210" s="81" t="str">
        <f t="shared" si="108"/>
        <v>TCCN-PTE-PFL-PR2-CF5-INS-MNV</v>
      </c>
      <c r="I1210" s="138" t="str">
        <f>MID(H1210,1,(LEN(H1210)-VLOOKUP(K1210,datos!$B$2:$C$12,2,0)))</f>
        <v>TCCN-PTE-PFL-PR2-CF5-INS-MNV</v>
      </c>
      <c r="J1210" s="138" t="s">
        <v>7721</v>
      </c>
      <c r="K1210" s="140">
        <f>VLOOKUP(LEN(SUBSTITUTE(H1210,"-","")),datos!$A$1:$B$12,2,0)</f>
        <v>7</v>
      </c>
      <c r="L1210" s="138" t="s">
        <v>7753</v>
      </c>
      <c r="M1210" s="138" t="s">
        <v>0</v>
      </c>
    </row>
    <row r="1211" spans="1:13" x14ac:dyDescent="0.35">
      <c r="A1211" s="138" t="s">
        <v>487</v>
      </c>
      <c r="B1211" s="138" t="s">
        <v>3809</v>
      </c>
      <c r="C1211" s="138" t="s">
        <v>3983</v>
      </c>
      <c r="D1211" s="138" t="s">
        <v>4007</v>
      </c>
      <c r="E1211" s="138" t="s">
        <v>4006</v>
      </c>
      <c r="F1211" s="138" t="s">
        <v>3831</v>
      </c>
      <c r="G1211" s="138" t="s">
        <v>4002</v>
      </c>
      <c r="H1211" s="81" t="str">
        <f t="shared" si="108"/>
        <v>TCCN-PTE-PFL-PR2-CF5-INS-FJM</v>
      </c>
      <c r="I1211" s="138" t="str">
        <f>MID(H1211,1,(LEN(H1211)-VLOOKUP(K1211,datos!$B$2:$C$12,2,0)))</f>
        <v>TCCN-PTE-PFL-PR2-CF5-INS-FJM</v>
      </c>
      <c r="J1211" s="138" t="s">
        <v>7751</v>
      </c>
      <c r="K1211" s="140">
        <f>VLOOKUP(LEN(SUBSTITUTE(H1211,"-","")),datos!$A$1:$B$12,2,0)</f>
        <v>7</v>
      </c>
      <c r="L1211" s="138" t="s">
        <v>7754</v>
      </c>
      <c r="M1211" s="138" t="s">
        <v>0</v>
      </c>
    </row>
    <row r="1212" spans="1:13" x14ac:dyDescent="0.35">
      <c r="A1212" s="137" t="s">
        <v>487</v>
      </c>
      <c r="B1212" s="137" t="s">
        <v>3809</v>
      </c>
      <c r="C1212" s="137" t="s">
        <v>3983</v>
      </c>
      <c r="D1212" s="137" t="s">
        <v>4007</v>
      </c>
      <c r="E1212" s="137" t="s">
        <v>4006</v>
      </c>
      <c r="F1212" s="137" t="s">
        <v>3869</v>
      </c>
      <c r="G1212" s="137"/>
      <c r="H1212" s="82" t="str">
        <f t="shared" si="108"/>
        <v>TCCN-PTE-PFL-PR2-CF5-SCE-</v>
      </c>
      <c r="I1212" s="137" t="str">
        <f>MID(H1212,1,(LEN(H1212)-VLOOKUP(K1212,datos!$B$2:$C$12,2,0)))</f>
        <v>TCCN-PTE-PFL-PR2-CF5-SCE</v>
      </c>
      <c r="J1212" s="137" t="s">
        <v>5878</v>
      </c>
      <c r="K1212" s="139">
        <f>VLOOKUP(LEN(SUBSTITUTE(H1212,"-","")),datos!$A$1:$B$12,2,0)</f>
        <v>6</v>
      </c>
      <c r="L1212" s="137"/>
      <c r="M1212" s="137" t="s">
        <v>0</v>
      </c>
    </row>
    <row r="1213" spans="1:13" x14ac:dyDescent="0.35">
      <c r="A1213" s="138" t="s">
        <v>487</v>
      </c>
      <c r="B1213" s="138" t="s">
        <v>3809</v>
      </c>
      <c r="C1213" s="138" t="s">
        <v>3983</v>
      </c>
      <c r="D1213" s="138" t="s">
        <v>4007</v>
      </c>
      <c r="E1213" s="138" t="s">
        <v>4006</v>
      </c>
      <c r="F1213" s="138" t="s">
        <v>3869</v>
      </c>
      <c r="G1213" s="138" t="s">
        <v>3870</v>
      </c>
      <c r="H1213" s="81" t="str">
        <f t="shared" si="108"/>
        <v>TCCN-PTE-PFL-PR2-CF5-SCE-BTN</v>
      </c>
      <c r="I1213" s="138" t="str">
        <f>MID(H1213,1,(LEN(H1213)-VLOOKUP(K1213,datos!$B$2:$C$12,2,0)))</f>
        <v>TCCN-PTE-PFL-PR2-CF5-SCE-BTN</v>
      </c>
      <c r="J1213" s="138" t="s">
        <v>5879</v>
      </c>
      <c r="K1213" s="140">
        <f>VLOOKUP(LEN(SUBSTITUTE(H1213,"-","")),datos!$A$1:$B$12,2,0)</f>
        <v>7</v>
      </c>
      <c r="L1213" s="138"/>
      <c r="M1213" s="138" t="s">
        <v>0</v>
      </c>
    </row>
    <row r="1214" spans="1:13" customFormat="1" ht="14.5" x14ac:dyDescent="0.35">
      <c r="A1214" s="129" t="s">
        <v>487</v>
      </c>
      <c r="B1214" s="129" t="s">
        <v>3809</v>
      </c>
      <c r="C1214" s="129" t="s">
        <v>3983</v>
      </c>
      <c r="D1214" s="129" t="s">
        <v>4007</v>
      </c>
      <c r="E1214" s="129" t="s">
        <v>3966</v>
      </c>
      <c r="F1214" s="129"/>
      <c r="G1214" s="129"/>
      <c r="H1214" s="83" t="str">
        <f t="shared" si="108"/>
        <v>TCCN-PTE-PFL-PR2-CB2--</v>
      </c>
      <c r="I1214" s="129" t="str">
        <f>MID(H1214,1,(LEN(H1214)-VLOOKUP(K1214,datos!$B$2:$C$12,2,0)))</f>
        <v>TCCN-PTE-PFL-PR2-CB2</v>
      </c>
      <c r="J1214" s="129" t="s">
        <v>7730</v>
      </c>
      <c r="K1214" s="130">
        <f>VLOOKUP(LEN(SUBSTITUTE(H1214,"-","")),datos!$A$1:$B$12,2,0)</f>
        <v>5</v>
      </c>
      <c r="L1214" s="129"/>
      <c r="M1214" s="129" t="s">
        <v>0</v>
      </c>
    </row>
    <row r="1215" spans="1:13" x14ac:dyDescent="0.35">
      <c r="A1215" s="137" t="s">
        <v>487</v>
      </c>
      <c r="B1215" s="137" t="s">
        <v>3809</v>
      </c>
      <c r="C1215" s="137" t="s">
        <v>3983</v>
      </c>
      <c r="D1215" s="137" t="s">
        <v>4007</v>
      </c>
      <c r="E1215" s="137" t="s">
        <v>3966</v>
      </c>
      <c r="F1215" s="137" t="s">
        <v>3831</v>
      </c>
      <c r="G1215" s="137"/>
      <c r="H1215" s="82" t="str">
        <f t="shared" si="108"/>
        <v>TCCN-PTE-PFL-PR2-CB2-INS-</v>
      </c>
      <c r="I1215" s="137" t="str">
        <f>MID(H1215,1,(LEN(H1215)-VLOOKUP(K1215,datos!$B$2:$C$12,2,0)))</f>
        <v>TCCN-PTE-PFL-PR2-CB2-INS</v>
      </c>
      <c r="J1215" s="137" t="s">
        <v>7729</v>
      </c>
      <c r="K1215" s="139">
        <f>VLOOKUP(LEN(SUBSTITUTE(H1215,"-","")),datos!$A$1:$B$12,2,0)</f>
        <v>6</v>
      </c>
      <c r="L1215" s="137"/>
      <c r="M1215" s="137" t="s">
        <v>0</v>
      </c>
    </row>
    <row r="1216" spans="1:13" x14ac:dyDescent="0.35">
      <c r="A1216" s="138" t="s">
        <v>487</v>
      </c>
      <c r="B1216" s="138" t="s">
        <v>3809</v>
      </c>
      <c r="C1216" s="138" t="s">
        <v>3983</v>
      </c>
      <c r="D1216" s="138" t="s">
        <v>4007</v>
      </c>
      <c r="E1216" s="138" t="s">
        <v>3966</v>
      </c>
      <c r="F1216" s="138" t="s">
        <v>3831</v>
      </c>
      <c r="G1216" s="138" t="s">
        <v>3986</v>
      </c>
      <c r="H1216" s="81" t="str">
        <f t="shared" si="108"/>
        <v>TCCN-PTE-PFL-PR2-CB2-INS-VV1</v>
      </c>
      <c r="I1216" s="138" t="str">
        <f>MID(H1216,1,(LEN(H1216)-VLOOKUP(K1216,datos!$B$2:$C$12,2,0)))</f>
        <v>TCCN-PTE-PFL-PR2-CB2-INS-VV1</v>
      </c>
      <c r="J1216" s="138" t="s">
        <v>7727</v>
      </c>
      <c r="K1216" s="140">
        <f>VLOOKUP(LEN(SUBSTITUTE(H1216,"-","")),datos!$A$1:$B$12,2,0)</f>
        <v>7</v>
      </c>
      <c r="L1216" s="138" t="s">
        <v>7755</v>
      </c>
      <c r="M1216" s="138" t="s">
        <v>0</v>
      </c>
    </row>
    <row r="1217" spans="1:13" x14ac:dyDescent="0.35">
      <c r="A1217" s="138" t="s">
        <v>487</v>
      </c>
      <c r="B1217" s="138" t="s">
        <v>3809</v>
      </c>
      <c r="C1217" s="138" t="s">
        <v>3983</v>
      </c>
      <c r="D1217" s="138" t="s">
        <v>4007</v>
      </c>
      <c r="E1217" s="138" t="s">
        <v>3966</v>
      </c>
      <c r="F1217" s="138" t="s">
        <v>3831</v>
      </c>
      <c r="G1217" s="138" t="s">
        <v>3987</v>
      </c>
      <c r="H1217" s="81" t="str">
        <f t="shared" si="108"/>
        <v>TCCN-PTE-PFL-PR2-CB2-INS-VV2</v>
      </c>
      <c r="I1217" s="138" t="str">
        <f>MID(H1217,1,(LEN(H1217)-VLOOKUP(K1217,datos!$B$2:$C$12,2,0)))</f>
        <v>TCCN-PTE-PFL-PR2-CB2-INS-VV2</v>
      </c>
      <c r="J1217" s="138" t="s">
        <v>7728</v>
      </c>
      <c r="K1217" s="140">
        <f>VLOOKUP(LEN(SUBSTITUTE(H1217,"-","")),datos!$A$1:$B$12,2,0)</f>
        <v>7</v>
      </c>
      <c r="L1217" s="138" t="s">
        <v>7756</v>
      </c>
      <c r="M1217" s="138" t="s">
        <v>0</v>
      </c>
    </row>
    <row r="1218" spans="1:13" customFormat="1" ht="14.5" x14ac:dyDescent="0.35">
      <c r="A1218" s="84" t="s">
        <v>487</v>
      </c>
      <c r="B1218" s="84" t="s">
        <v>3809</v>
      </c>
      <c r="C1218" s="84" t="s">
        <v>3983</v>
      </c>
      <c r="D1218" s="84" t="s">
        <v>4008</v>
      </c>
      <c r="E1218" s="84"/>
      <c r="F1218" s="84"/>
      <c r="G1218" s="84"/>
      <c r="H1218" s="84" t="str">
        <f t="shared" si="108"/>
        <v>TCCN-PTE-PFL-PS1---</v>
      </c>
      <c r="I1218" s="84" t="str">
        <f>MID(H1218,1,(LEN(H1218)-VLOOKUP(K1218,datos!$B$2:$C$12,2,0)))</f>
        <v>TCCN-PTE-PFL-PS1</v>
      </c>
      <c r="J1218" s="84" t="s">
        <v>1612</v>
      </c>
      <c r="K1218" s="119">
        <f>VLOOKUP(LEN(SUBSTITUTE(H1218,"-","")),datos!$A$1:$B$12,2,0)</f>
        <v>4</v>
      </c>
      <c r="L1218" s="84"/>
      <c r="M1218" s="84" t="s">
        <v>0</v>
      </c>
    </row>
    <row r="1219" spans="1:13" customFormat="1" ht="14.5" x14ac:dyDescent="0.35">
      <c r="A1219" s="129" t="s">
        <v>487</v>
      </c>
      <c r="B1219" s="129" t="s">
        <v>3809</v>
      </c>
      <c r="C1219" s="129" t="s">
        <v>3983</v>
      </c>
      <c r="D1219" s="129" t="s">
        <v>4008</v>
      </c>
      <c r="E1219" s="129" t="s">
        <v>3992</v>
      </c>
      <c r="F1219" s="129"/>
      <c r="G1219" s="129"/>
      <c r="H1219" s="83" t="str">
        <f t="shared" si="108"/>
        <v>TCCN-PTE-PFL-PS1-CF1--</v>
      </c>
      <c r="I1219" s="129" t="str">
        <f>MID(H1219,1,(LEN(H1219)-VLOOKUP(K1219,datos!$B$2:$C$12,2,0)))</f>
        <v>TCCN-PTE-PFL-PS1-CF1</v>
      </c>
      <c r="J1219" s="129" t="s">
        <v>450</v>
      </c>
      <c r="K1219" s="130">
        <f>VLOOKUP(LEN(SUBSTITUTE(H1219,"-","")),datos!$A$1:$B$12,2,0)</f>
        <v>5</v>
      </c>
      <c r="L1219" s="129" t="s">
        <v>191</v>
      </c>
      <c r="M1219" s="129" t="s">
        <v>0</v>
      </c>
    </row>
    <row r="1220" spans="1:13" x14ac:dyDescent="0.35">
      <c r="A1220" s="137" t="s">
        <v>487</v>
      </c>
      <c r="B1220" s="137" t="s">
        <v>3809</v>
      </c>
      <c r="C1220" s="137" t="s">
        <v>3983</v>
      </c>
      <c r="D1220" s="137" t="s">
        <v>4008</v>
      </c>
      <c r="E1220" s="137" t="s">
        <v>3992</v>
      </c>
      <c r="F1220" s="137" t="s">
        <v>3948</v>
      </c>
      <c r="G1220" s="137"/>
      <c r="H1220" s="82" t="str">
        <f t="shared" si="108"/>
        <v>TCCN-PTE-PFL-PS1-CF1-SCP-</v>
      </c>
      <c r="I1220" s="137" t="str">
        <f>MID(H1220,1,(LEN(H1220)-VLOOKUP(K1220,datos!$B$2:$C$12,2,0)))</f>
        <v>TCCN-PTE-PFL-PS1-CF1-SCP</v>
      </c>
      <c r="J1220" s="137" t="s">
        <v>5952</v>
      </c>
      <c r="K1220" s="139">
        <f>VLOOKUP(LEN(SUBSTITUTE(H1220,"-","")),datos!$A$1:$B$12,2,0)</f>
        <v>6</v>
      </c>
      <c r="L1220" s="137"/>
      <c r="M1220" s="137" t="s">
        <v>0</v>
      </c>
    </row>
    <row r="1221" spans="1:13" x14ac:dyDescent="0.35">
      <c r="A1221" s="138" t="s">
        <v>487</v>
      </c>
      <c r="B1221" s="138" t="s">
        <v>3809</v>
      </c>
      <c r="C1221" s="138" t="s">
        <v>3983</v>
      </c>
      <c r="D1221" s="138" t="s">
        <v>4008</v>
      </c>
      <c r="E1221" s="138" t="s">
        <v>3992</v>
      </c>
      <c r="F1221" s="138" t="s">
        <v>3948</v>
      </c>
      <c r="G1221" s="138" t="s">
        <v>3993</v>
      </c>
      <c r="H1221" s="81" t="str">
        <f t="shared" si="108"/>
        <v>TCCN-PTE-PFL-PS1-CF1-SCP-POR</v>
      </c>
      <c r="I1221" s="138" t="str">
        <f>MID(H1221,1,(LEN(H1221)-VLOOKUP(K1221,datos!$B$2:$C$12,2,0)))</f>
        <v>TCCN-PTE-PFL-PS1-CF1-SCP-POR</v>
      </c>
      <c r="J1221" s="138" t="s">
        <v>5953</v>
      </c>
      <c r="K1221" s="140">
        <f>VLOOKUP(LEN(SUBSTITUTE(H1221,"-","")),datos!$A$1:$B$12,2,0)</f>
        <v>7</v>
      </c>
      <c r="L1221" s="138"/>
      <c r="M1221" s="138" t="s">
        <v>0</v>
      </c>
    </row>
    <row r="1222" spans="1:13" x14ac:dyDescent="0.35">
      <c r="A1222" s="138" t="s">
        <v>487</v>
      </c>
      <c r="B1222" s="138" t="s">
        <v>3809</v>
      </c>
      <c r="C1222" s="138" t="s">
        <v>3983</v>
      </c>
      <c r="D1222" s="138" t="s">
        <v>4008</v>
      </c>
      <c r="E1222" s="138" t="s">
        <v>3992</v>
      </c>
      <c r="F1222" s="138" t="s">
        <v>3948</v>
      </c>
      <c r="G1222" s="138" t="s">
        <v>3994</v>
      </c>
      <c r="H1222" s="81" t="str">
        <f t="shared" si="108"/>
        <v>TCCN-PTE-PFL-PS1-CF1-SCP-RTO</v>
      </c>
      <c r="I1222" s="138" t="str">
        <f>MID(H1222,1,(LEN(H1222)-VLOOKUP(K1222,datos!$B$2:$C$12,2,0)))</f>
        <v>TCCN-PTE-PFL-PS1-CF1-SCP-RTO</v>
      </c>
      <c r="J1222" s="138" t="s">
        <v>5954</v>
      </c>
      <c r="K1222" s="140">
        <f>VLOOKUP(LEN(SUBSTITUTE(H1222,"-","")),datos!$A$1:$B$12,2,0)</f>
        <v>7</v>
      </c>
      <c r="L1222" s="138"/>
      <c r="M1222" s="138" t="s">
        <v>0</v>
      </c>
    </row>
    <row r="1223" spans="1:13" x14ac:dyDescent="0.35">
      <c r="A1223" s="138" t="s">
        <v>487</v>
      </c>
      <c r="B1223" s="138" t="s">
        <v>3809</v>
      </c>
      <c r="C1223" s="138" t="s">
        <v>3983</v>
      </c>
      <c r="D1223" s="138" t="s">
        <v>4008</v>
      </c>
      <c r="E1223" s="138" t="s">
        <v>3992</v>
      </c>
      <c r="F1223" s="138" t="s">
        <v>3948</v>
      </c>
      <c r="G1223" s="138" t="s">
        <v>3995</v>
      </c>
      <c r="H1223" s="81" t="str">
        <f t="shared" si="108"/>
        <v>TCCN-PTE-PFL-PS1-CF1-SCP-ETT</v>
      </c>
      <c r="I1223" s="138" t="str">
        <f>MID(H1223,1,(LEN(H1223)-VLOOKUP(K1223,datos!$B$2:$C$12,2,0)))</f>
        <v>TCCN-PTE-PFL-PS1-CF1-SCP-ETT</v>
      </c>
      <c r="J1223" s="138" t="s">
        <v>5955</v>
      </c>
      <c r="K1223" s="140">
        <f>VLOOKUP(LEN(SUBSTITUTE(H1223,"-","")),datos!$A$1:$B$12,2,0)</f>
        <v>7</v>
      </c>
      <c r="L1223" s="138"/>
      <c r="M1223" s="138" t="s">
        <v>0</v>
      </c>
    </row>
    <row r="1224" spans="1:13" x14ac:dyDescent="0.35">
      <c r="A1224" s="138" t="s">
        <v>487</v>
      </c>
      <c r="B1224" s="138" t="s">
        <v>3809</v>
      </c>
      <c r="C1224" s="138" t="s">
        <v>3983</v>
      </c>
      <c r="D1224" s="138" t="s">
        <v>4008</v>
      </c>
      <c r="E1224" s="138" t="s">
        <v>3992</v>
      </c>
      <c r="F1224" s="138" t="s">
        <v>3948</v>
      </c>
      <c r="G1224" s="138" t="s">
        <v>3996</v>
      </c>
      <c r="H1224" s="81" t="str">
        <f t="shared" si="108"/>
        <v>TCCN-PTE-PFL-PS1-CF1-SCP-DDT</v>
      </c>
      <c r="I1224" s="138" t="str">
        <f>MID(H1224,1,(LEN(H1224)-VLOOKUP(K1224,datos!$B$2:$C$12,2,0)))</f>
        <v>TCCN-PTE-PFL-PS1-CF1-SCP-DDT</v>
      </c>
      <c r="J1224" s="138" t="s">
        <v>5956</v>
      </c>
      <c r="K1224" s="140">
        <f>VLOOKUP(LEN(SUBSTITUTE(H1224,"-","")),datos!$A$1:$B$12,2,0)</f>
        <v>7</v>
      </c>
      <c r="L1224" s="138"/>
      <c r="M1224" s="138" t="s">
        <v>0</v>
      </c>
    </row>
    <row r="1225" spans="1:13" x14ac:dyDescent="0.35">
      <c r="A1225" s="138" t="s">
        <v>487</v>
      </c>
      <c r="B1225" s="138" t="s">
        <v>3809</v>
      </c>
      <c r="C1225" s="138" t="s">
        <v>3983</v>
      </c>
      <c r="D1225" s="138" t="s">
        <v>4008</v>
      </c>
      <c r="E1225" s="138" t="s">
        <v>3992</v>
      </c>
      <c r="F1225" s="138" t="s">
        <v>3948</v>
      </c>
      <c r="G1225" s="138" t="s">
        <v>3997</v>
      </c>
      <c r="H1225" s="81" t="str">
        <f t="shared" si="108"/>
        <v>TCCN-PTE-PFL-PS1-CF1-SCP-EJE</v>
      </c>
      <c r="I1225" s="138" t="str">
        <f>MID(H1225,1,(LEN(H1225)-VLOOKUP(K1225,datos!$B$2:$C$12,2,0)))</f>
        <v>TCCN-PTE-PFL-PS1-CF1-SCP-EJE</v>
      </c>
      <c r="J1225" s="138" t="s">
        <v>5957</v>
      </c>
      <c r="K1225" s="140">
        <f>VLOOKUP(LEN(SUBSTITUTE(H1225,"-","")),datos!$A$1:$B$12,2,0)</f>
        <v>7</v>
      </c>
      <c r="L1225" s="138"/>
      <c r="M1225" s="138" t="s">
        <v>0</v>
      </c>
    </row>
    <row r="1226" spans="1:13" x14ac:dyDescent="0.35">
      <c r="A1226" s="137" t="s">
        <v>487</v>
      </c>
      <c r="B1226" s="137" t="s">
        <v>3809</v>
      </c>
      <c r="C1226" s="137" t="s">
        <v>3983</v>
      </c>
      <c r="D1226" s="137" t="s">
        <v>4008</v>
      </c>
      <c r="E1226" s="137" t="s">
        <v>3992</v>
      </c>
      <c r="F1226" s="137" t="s">
        <v>3824</v>
      </c>
      <c r="G1226" s="137"/>
      <c r="H1226" s="82" t="str">
        <f t="shared" si="108"/>
        <v>TCCN-PTE-PFL-PS1-CF1-SES-</v>
      </c>
      <c r="I1226" s="137" t="str">
        <f>MID(H1226,1,(LEN(H1226)-VLOOKUP(K1226,datos!$B$2:$C$12,2,0)))</f>
        <v>TCCN-PTE-PFL-PS1-CF1-SES</v>
      </c>
      <c r="J1226" s="137" t="s">
        <v>5958</v>
      </c>
      <c r="K1226" s="139">
        <f>VLOOKUP(LEN(SUBSTITUTE(H1226,"-","")),datos!$A$1:$B$12,2,0)</f>
        <v>6</v>
      </c>
      <c r="L1226" s="137"/>
      <c r="M1226" s="137" t="s">
        <v>0</v>
      </c>
    </row>
    <row r="1227" spans="1:13" x14ac:dyDescent="0.35">
      <c r="A1227" s="138" t="s">
        <v>487</v>
      </c>
      <c r="B1227" s="138" t="s">
        <v>3809</v>
      </c>
      <c r="C1227" s="138" t="s">
        <v>3983</v>
      </c>
      <c r="D1227" s="138" t="s">
        <v>4008</v>
      </c>
      <c r="E1227" s="138" t="s">
        <v>3992</v>
      </c>
      <c r="F1227" s="138" t="s">
        <v>3824</v>
      </c>
      <c r="G1227" s="138" t="s">
        <v>3998</v>
      </c>
      <c r="H1227" s="81" t="str">
        <f t="shared" si="108"/>
        <v>TCCN-PTE-PFL-PS1-CF1-SES-BYG</v>
      </c>
      <c r="I1227" s="138" t="str">
        <f>MID(H1227,1,(LEN(H1227)-VLOOKUP(K1227,datos!$B$2:$C$12,2,0)))</f>
        <v>TCCN-PTE-PFL-PS1-CF1-SES-BYG</v>
      </c>
      <c r="J1227" s="138" t="s">
        <v>8018</v>
      </c>
      <c r="K1227" s="140">
        <f>VLOOKUP(LEN(SUBSTITUTE(H1227,"-","")),datos!$A$1:$B$12,2,0)</f>
        <v>7</v>
      </c>
      <c r="L1227" s="138"/>
      <c r="M1227" s="138" t="s">
        <v>0</v>
      </c>
    </row>
    <row r="1228" spans="1:13" x14ac:dyDescent="0.35">
      <c r="A1228" s="138" t="s">
        <v>487</v>
      </c>
      <c r="B1228" s="138" t="s">
        <v>3809</v>
      </c>
      <c r="C1228" s="138" t="s">
        <v>3983</v>
      </c>
      <c r="D1228" s="138" t="s">
        <v>4008</v>
      </c>
      <c r="E1228" s="138" t="s">
        <v>3992</v>
      </c>
      <c r="F1228" s="138" t="s">
        <v>3824</v>
      </c>
      <c r="G1228" s="138" t="s">
        <v>3999</v>
      </c>
      <c r="H1228" s="81" t="str">
        <f t="shared" si="108"/>
        <v>TCCN-PTE-PFL-PS1-CF1-SES-RDP</v>
      </c>
      <c r="I1228" s="138" t="str">
        <f>MID(H1228,1,(LEN(H1228)-VLOOKUP(K1228,datos!$B$2:$C$12,2,0)))</f>
        <v>TCCN-PTE-PFL-PS1-CF1-SES-RDP</v>
      </c>
      <c r="J1228" s="138" t="s">
        <v>5959</v>
      </c>
      <c r="K1228" s="140">
        <f>VLOOKUP(LEN(SUBSTITUTE(H1228,"-","")),datos!$A$1:$B$12,2,0)</f>
        <v>7</v>
      </c>
      <c r="L1228" s="138"/>
      <c r="M1228" s="138" t="s">
        <v>0</v>
      </c>
    </row>
    <row r="1229" spans="1:13" x14ac:dyDescent="0.35">
      <c r="A1229" s="138" t="s">
        <v>487</v>
      </c>
      <c r="B1229" s="138" t="s">
        <v>3809</v>
      </c>
      <c r="C1229" s="138" t="s">
        <v>3983</v>
      </c>
      <c r="D1229" s="138" t="s">
        <v>4008</v>
      </c>
      <c r="E1229" s="138" t="s">
        <v>3992</v>
      </c>
      <c r="F1229" s="138" t="s">
        <v>3824</v>
      </c>
      <c r="G1229" s="138" t="s">
        <v>3853</v>
      </c>
      <c r="H1229" s="81" t="str">
        <f t="shared" si="108"/>
        <v>TCCN-PTE-PFL-PS1-CF1-SES-EST</v>
      </c>
      <c r="I1229" s="138" t="str">
        <f>MID(H1229,1,(LEN(H1229)-VLOOKUP(K1229,datos!$B$2:$C$12,2,0)))</f>
        <v>TCCN-PTE-PFL-PS1-CF1-SES-EST</v>
      </c>
      <c r="J1229" s="138" t="s">
        <v>5960</v>
      </c>
      <c r="K1229" s="140">
        <f>VLOOKUP(LEN(SUBSTITUTE(H1229,"-","")),datos!$A$1:$B$12,2,0)</f>
        <v>7</v>
      </c>
      <c r="L1229" s="138"/>
      <c r="M1229" s="138" t="s">
        <v>0</v>
      </c>
    </row>
    <row r="1230" spans="1:13" x14ac:dyDescent="0.35">
      <c r="A1230" s="138" t="s">
        <v>487</v>
      </c>
      <c r="B1230" s="138" t="s">
        <v>3809</v>
      </c>
      <c r="C1230" s="138" t="s">
        <v>3983</v>
      </c>
      <c r="D1230" s="138" t="s">
        <v>4008</v>
      </c>
      <c r="E1230" s="138" t="s">
        <v>3992</v>
      </c>
      <c r="F1230" s="138" t="s">
        <v>3824</v>
      </c>
      <c r="G1230" s="138" t="s">
        <v>4000</v>
      </c>
      <c r="H1230" s="81" t="str">
        <f t="shared" si="108"/>
        <v>TCCN-PTE-PFL-PS1-CF1-SES-CRW</v>
      </c>
      <c r="I1230" s="138" t="str">
        <f>MID(H1230,1,(LEN(H1230)-VLOOKUP(K1230,datos!$B$2:$C$12,2,0)))</f>
        <v>TCCN-PTE-PFL-PS1-CF1-SES-CRW</v>
      </c>
      <c r="J1230" s="138" t="s">
        <v>5961</v>
      </c>
      <c r="K1230" s="140">
        <f>VLOOKUP(LEN(SUBSTITUTE(H1230,"-","")),datos!$A$1:$B$12,2,0)</f>
        <v>7</v>
      </c>
      <c r="L1230" s="138"/>
      <c r="M1230" s="138" t="s">
        <v>0</v>
      </c>
    </row>
    <row r="1231" spans="1:13" x14ac:dyDescent="0.35">
      <c r="A1231" s="137" t="s">
        <v>487</v>
      </c>
      <c r="B1231" s="137" t="s">
        <v>3809</v>
      </c>
      <c r="C1231" s="137" t="s">
        <v>3983</v>
      </c>
      <c r="D1231" s="137" t="s">
        <v>4008</v>
      </c>
      <c r="E1231" s="137" t="s">
        <v>3992</v>
      </c>
      <c r="F1231" s="137" t="s">
        <v>3847</v>
      </c>
      <c r="G1231" s="137"/>
      <c r="H1231" s="82" t="str">
        <f t="shared" si="108"/>
        <v>TCCN-PTE-PFL-PS1-CF1-SMO-</v>
      </c>
      <c r="I1231" s="137" t="str">
        <f>MID(H1231,1,(LEN(H1231)-VLOOKUP(K1231,datos!$B$2:$C$12,2,0)))</f>
        <v>TCCN-PTE-PFL-PS1-CF1-SMO</v>
      </c>
      <c r="J1231" s="137" t="s">
        <v>5962</v>
      </c>
      <c r="K1231" s="139">
        <f>VLOOKUP(LEN(SUBSTITUTE(H1231,"-","")),datos!$A$1:$B$12,2,0)</f>
        <v>6</v>
      </c>
      <c r="L1231" s="137"/>
      <c r="M1231" s="137" t="s">
        <v>0</v>
      </c>
    </row>
    <row r="1232" spans="1:13" x14ac:dyDescent="0.35">
      <c r="A1232" s="138" t="s">
        <v>487</v>
      </c>
      <c r="B1232" s="138" t="s">
        <v>3809</v>
      </c>
      <c r="C1232" s="138" t="s">
        <v>3983</v>
      </c>
      <c r="D1232" s="138" t="s">
        <v>4008</v>
      </c>
      <c r="E1232" s="138" t="s">
        <v>3992</v>
      </c>
      <c r="F1232" s="138" t="s">
        <v>3847</v>
      </c>
      <c r="G1232" s="138" t="s">
        <v>3819</v>
      </c>
      <c r="H1232" s="81" t="str">
        <f t="shared" si="108"/>
        <v>TCCN-PTE-PFL-PS1-CF1-SMO-MOE</v>
      </c>
      <c r="I1232" s="138" t="str">
        <f>MID(H1232,1,(LEN(H1232)-VLOOKUP(K1232,datos!$B$2:$C$12,2,0)))</f>
        <v>TCCN-PTE-PFL-PS1-CF1-SMO-MOE</v>
      </c>
      <c r="J1232" s="138" t="s">
        <v>5963</v>
      </c>
      <c r="K1232" s="140">
        <f>VLOOKUP(LEN(SUBSTITUTE(H1232,"-","")),datos!$A$1:$B$12,2,0)</f>
        <v>7</v>
      </c>
      <c r="L1232" s="138" t="s">
        <v>192</v>
      </c>
      <c r="M1232" s="138" t="s">
        <v>0</v>
      </c>
    </row>
    <row r="1233" spans="1:13" x14ac:dyDescent="0.35">
      <c r="A1233" s="138" t="s">
        <v>487</v>
      </c>
      <c r="B1233" s="138" t="s">
        <v>3809</v>
      </c>
      <c r="C1233" s="138" t="s">
        <v>3983</v>
      </c>
      <c r="D1233" s="138" t="s">
        <v>4008</v>
      </c>
      <c r="E1233" s="138" t="s">
        <v>3992</v>
      </c>
      <c r="F1233" s="138" t="s">
        <v>3847</v>
      </c>
      <c r="G1233" s="138" t="s">
        <v>3864</v>
      </c>
      <c r="H1233" s="81" t="str">
        <f t="shared" si="108"/>
        <v>TCCN-PTE-PFL-PS1-CF1-SMO-PMO</v>
      </c>
      <c r="I1233" s="138" t="str">
        <f>MID(H1233,1,(LEN(H1233)-VLOOKUP(K1233,datos!$B$2:$C$12,2,0)))</f>
        <v>TCCN-PTE-PFL-PS1-CF1-SMO-PMO</v>
      </c>
      <c r="J1233" s="138" t="s">
        <v>5964</v>
      </c>
      <c r="K1233" s="140">
        <f>VLOOKUP(LEN(SUBSTITUTE(H1233,"-","")),datos!$A$1:$B$12,2,0)</f>
        <v>7</v>
      </c>
      <c r="L1233" s="138"/>
      <c r="M1233" s="138" t="s">
        <v>0</v>
      </c>
    </row>
    <row r="1234" spans="1:13" x14ac:dyDescent="0.35">
      <c r="A1234" s="138" t="s">
        <v>487</v>
      </c>
      <c r="B1234" s="138" t="s">
        <v>3809</v>
      </c>
      <c r="C1234" s="138" t="s">
        <v>3983</v>
      </c>
      <c r="D1234" s="138" t="s">
        <v>4008</v>
      </c>
      <c r="E1234" s="138" t="s">
        <v>3992</v>
      </c>
      <c r="F1234" s="138" t="s">
        <v>3847</v>
      </c>
      <c r="G1234" s="138" t="s">
        <v>8116</v>
      </c>
      <c r="H1234" s="81" t="str">
        <f t="shared" si="108"/>
        <v>TCCN-PTE-PFL-PS1-CF1-SMO-PLE</v>
      </c>
      <c r="I1234" s="138" t="str">
        <f>MID(H1234,1,(LEN(H1234)-VLOOKUP(K1234,datos!$B$2:$C$12,2,0)))</f>
        <v>TCCN-PTE-PFL-PS1-CF1-SMO-PLE</v>
      </c>
      <c r="J1234" s="138" t="s">
        <v>5965</v>
      </c>
      <c r="K1234" s="140">
        <f>VLOOKUP(LEN(SUBSTITUTE(H1234,"-","")),datos!$A$1:$B$12,2,0)</f>
        <v>7</v>
      </c>
      <c r="L1234" s="138"/>
      <c r="M1234" s="138" t="s">
        <v>0</v>
      </c>
    </row>
    <row r="1235" spans="1:13" x14ac:dyDescent="0.35">
      <c r="A1235" s="138" t="s">
        <v>487</v>
      </c>
      <c r="B1235" s="138" t="s">
        <v>3809</v>
      </c>
      <c r="C1235" s="138" t="s">
        <v>3983</v>
      </c>
      <c r="D1235" s="138" t="s">
        <v>4008</v>
      </c>
      <c r="E1235" s="138" t="s">
        <v>3992</v>
      </c>
      <c r="F1235" s="138" t="s">
        <v>3847</v>
      </c>
      <c r="G1235" s="138" t="s">
        <v>5688</v>
      </c>
      <c r="H1235" s="81" t="str">
        <f t="shared" si="108"/>
        <v>TCCN-PTE-PFL-PS1-CF1-SMO-PRP</v>
      </c>
      <c r="I1235" s="138" t="str">
        <f>MID(H1235,1,(LEN(H1235)-VLOOKUP(K1235,datos!$B$2:$C$12,2,0)))</f>
        <v>TCCN-PTE-PFL-PS1-CF1-SMO-PRP</v>
      </c>
      <c r="J1235" s="138" t="s">
        <v>5966</v>
      </c>
      <c r="K1235" s="140">
        <f>VLOOKUP(LEN(SUBSTITUTE(H1235,"-","")),datos!$A$1:$B$12,2,0)</f>
        <v>7</v>
      </c>
      <c r="L1235" s="138"/>
      <c r="M1235" s="138" t="s">
        <v>0</v>
      </c>
    </row>
    <row r="1236" spans="1:13" x14ac:dyDescent="0.35">
      <c r="A1236" s="137" t="s">
        <v>487</v>
      </c>
      <c r="B1236" s="137" t="s">
        <v>3809</v>
      </c>
      <c r="C1236" s="137" t="s">
        <v>3983</v>
      </c>
      <c r="D1236" s="137" t="s">
        <v>4008</v>
      </c>
      <c r="E1236" s="137" t="s">
        <v>3992</v>
      </c>
      <c r="F1236" s="137" t="s">
        <v>3831</v>
      </c>
      <c r="G1236" s="137"/>
      <c r="H1236" s="82" t="str">
        <f t="shared" si="108"/>
        <v>TCCN-PTE-PFL-PS1-CF1-INS-</v>
      </c>
      <c r="I1236" s="137" t="str">
        <f>MID(H1236,1,(LEN(H1236)-VLOOKUP(K1236,datos!$B$2:$C$12,2,0)))</f>
        <v>TCCN-PTE-PFL-PS1-CF1-INS</v>
      </c>
      <c r="J1236" s="137" t="s">
        <v>5969</v>
      </c>
      <c r="K1236" s="139">
        <f>VLOOKUP(LEN(SUBSTITUTE(H1236,"-","")),datos!$A$1:$B$12,2,0)</f>
        <v>6</v>
      </c>
      <c r="L1236" s="137"/>
      <c r="M1236" s="137" t="s">
        <v>0</v>
      </c>
    </row>
    <row r="1237" spans="1:13" x14ac:dyDescent="0.35">
      <c r="A1237" s="138" t="s">
        <v>487</v>
      </c>
      <c r="B1237" s="138" t="s">
        <v>3809</v>
      </c>
      <c r="C1237" s="138" t="s">
        <v>3983</v>
      </c>
      <c r="D1237" s="138" t="s">
        <v>4008</v>
      </c>
      <c r="E1237" s="138" t="s">
        <v>3992</v>
      </c>
      <c r="F1237" s="138" t="s">
        <v>3831</v>
      </c>
      <c r="G1237" s="138" t="s">
        <v>4075</v>
      </c>
      <c r="H1237" s="81" t="str">
        <f t="shared" si="108"/>
        <v>TCCN-PTE-PFL-PS1-CF1-INS-VVA</v>
      </c>
      <c r="I1237" s="138" t="str">
        <f>MID(H1237,1,(LEN(H1237)-VLOOKUP(K1237,datos!$B$2:$C$12,2,0)))</f>
        <v>TCCN-PTE-PFL-PS1-CF1-INS-VVA</v>
      </c>
      <c r="J1237" s="138" t="s">
        <v>7757</v>
      </c>
      <c r="K1237" s="140">
        <f>VLOOKUP(LEN(SUBSTITUTE(H1237,"-","")),datos!$A$1:$B$12,2,0)</f>
        <v>7</v>
      </c>
      <c r="L1237" s="138" t="s">
        <v>7759</v>
      </c>
      <c r="M1237" s="138" t="s">
        <v>0</v>
      </c>
    </row>
    <row r="1238" spans="1:13" x14ac:dyDescent="0.35">
      <c r="A1238" s="138" t="s">
        <v>487</v>
      </c>
      <c r="B1238" s="138" t="s">
        <v>3809</v>
      </c>
      <c r="C1238" s="138" t="s">
        <v>3983</v>
      </c>
      <c r="D1238" s="138" t="s">
        <v>4008</v>
      </c>
      <c r="E1238" s="138" t="s">
        <v>3992</v>
      </c>
      <c r="F1238" s="138" t="s">
        <v>3831</v>
      </c>
      <c r="G1238" s="138" t="s">
        <v>4002</v>
      </c>
      <c r="H1238" s="81" t="str">
        <f t="shared" si="108"/>
        <v>TCCN-PTE-PFL-PS1-CF1-INS-FJM</v>
      </c>
      <c r="I1238" s="138" t="str">
        <f>MID(H1238,1,(LEN(H1238)-VLOOKUP(K1238,datos!$B$2:$C$12,2,0)))</f>
        <v>TCCN-PTE-PFL-PS1-CF1-INS-FJM</v>
      </c>
      <c r="J1238" s="138" t="s">
        <v>7758</v>
      </c>
      <c r="K1238" s="140">
        <f>VLOOKUP(LEN(SUBSTITUTE(H1238,"-","")),datos!$A$1:$B$12,2,0)</f>
        <v>7</v>
      </c>
      <c r="L1238" s="138" t="s">
        <v>7760</v>
      </c>
      <c r="M1238" s="138" t="s">
        <v>0</v>
      </c>
    </row>
    <row r="1239" spans="1:13" x14ac:dyDescent="0.35">
      <c r="A1239" s="137" t="s">
        <v>487</v>
      </c>
      <c r="B1239" s="137" t="s">
        <v>3809</v>
      </c>
      <c r="C1239" s="137" t="s">
        <v>3983</v>
      </c>
      <c r="D1239" s="137" t="s">
        <v>4008</v>
      </c>
      <c r="E1239" s="137" t="s">
        <v>3992</v>
      </c>
      <c r="F1239" s="137" t="s">
        <v>3869</v>
      </c>
      <c r="G1239" s="137"/>
      <c r="H1239" s="82" t="str">
        <f t="shared" si="108"/>
        <v>TCCN-PTE-PFL-PS1-CF1-SCE-</v>
      </c>
      <c r="I1239" s="137" t="str">
        <f>MID(H1239,1,(LEN(H1239)-VLOOKUP(K1239,datos!$B$2:$C$12,2,0)))</f>
        <v>TCCN-PTE-PFL-PS1-CF1-SCE</v>
      </c>
      <c r="J1239" s="137" t="s">
        <v>5967</v>
      </c>
      <c r="K1239" s="139">
        <f>VLOOKUP(LEN(SUBSTITUTE(H1239,"-","")),datos!$A$1:$B$12,2,0)</f>
        <v>6</v>
      </c>
      <c r="L1239" s="137"/>
      <c r="M1239" s="137" t="s">
        <v>0</v>
      </c>
    </row>
    <row r="1240" spans="1:13" x14ac:dyDescent="0.35">
      <c r="A1240" s="138" t="s">
        <v>487</v>
      </c>
      <c r="B1240" s="138" t="s">
        <v>3809</v>
      </c>
      <c r="C1240" s="138" t="s">
        <v>3983</v>
      </c>
      <c r="D1240" s="138" t="s">
        <v>4008</v>
      </c>
      <c r="E1240" s="138" t="s">
        <v>3992</v>
      </c>
      <c r="F1240" s="138" t="s">
        <v>3869</v>
      </c>
      <c r="G1240" s="138" t="s">
        <v>3870</v>
      </c>
      <c r="H1240" s="81" t="str">
        <f t="shared" si="108"/>
        <v>TCCN-PTE-PFL-PS1-CF1-SCE-BTN</v>
      </c>
      <c r="I1240" s="138" t="str">
        <f>MID(H1240,1,(LEN(H1240)-VLOOKUP(K1240,datos!$B$2:$C$12,2,0)))</f>
        <v>TCCN-PTE-PFL-PS1-CF1-SCE-BTN</v>
      </c>
      <c r="J1240" s="138" t="s">
        <v>5968</v>
      </c>
      <c r="K1240" s="140">
        <f>VLOOKUP(LEN(SUBSTITUTE(H1240,"-","")),datos!$A$1:$B$12,2,0)</f>
        <v>7</v>
      </c>
      <c r="L1240" s="138"/>
      <c r="M1240" s="138" t="s">
        <v>0</v>
      </c>
    </row>
    <row r="1241" spans="1:13" customFormat="1" ht="14.5" x14ac:dyDescent="0.35">
      <c r="A1241" s="129" t="s">
        <v>487</v>
      </c>
      <c r="B1241" s="129" t="s">
        <v>3809</v>
      </c>
      <c r="C1241" s="129" t="s">
        <v>3983</v>
      </c>
      <c r="D1241" s="129" t="s">
        <v>4008</v>
      </c>
      <c r="E1241" s="129" t="s">
        <v>4003</v>
      </c>
      <c r="F1241" s="129"/>
      <c r="G1241" s="129"/>
      <c r="H1241" s="83" t="str">
        <f t="shared" si="108"/>
        <v>TCCN-PTE-PFL-PS1-CF2--</v>
      </c>
      <c r="I1241" s="129" t="str">
        <f>MID(H1241,1,(LEN(H1241)-VLOOKUP(K1241,datos!$B$2:$C$12,2,0)))</f>
        <v>TCCN-PTE-PFL-PS1-CF2</v>
      </c>
      <c r="J1241" s="129" t="s">
        <v>451</v>
      </c>
      <c r="K1241" s="130">
        <f>VLOOKUP(LEN(SUBSTITUTE(H1241,"-","")),datos!$A$1:$B$12,2,0)</f>
        <v>5</v>
      </c>
      <c r="L1241" s="129" t="s">
        <v>193</v>
      </c>
      <c r="M1241" s="129" t="s">
        <v>0</v>
      </c>
    </row>
    <row r="1242" spans="1:13" x14ac:dyDescent="0.35">
      <c r="A1242" s="137" t="s">
        <v>487</v>
      </c>
      <c r="B1242" s="137" t="s">
        <v>3809</v>
      </c>
      <c r="C1242" s="137" t="s">
        <v>3983</v>
      </c>
      <c r="D1242" s="137" t="s">
        <v>4008</v>
      </c>
      <c r="E1242" s="137" t="s">
        <v>4003</v>
      </c>
      <c r="F1242" s="137" t="s">
        <v>3948</v>
      </c>
      <c r="G1242" s="137"/>
      <c r="H1242" s="82" t="str">
        <f t="shared" si="108"/>
        <v>TCCN-PTE-PFL-PS1-CF2-SCP-</v>
      </c>
      <c r="I1242" s="137" t="str">
        <f>MID(H1242,1,(LEN(H1242)-VLOOKUP(K1242,datos!$B$2:$C$12,2,0)))</f>
        <v>TCCN-PTE-PFL-PS1-CF2-SCP</v>
      </c>
      <c r="J1242" s="137" t="s">
        <v>6222</v>
      </c>
      <c r="K1242" s="139">
        <f>VLOOKUP(LEN(SUBSTITUTE(H1242,"-","")),datos!$A$1:$B$12,2,0)</f>
        <v>6</v>
      </c>
      <c r="L1242" s="137"/>
      <c r="M1242" s="137" t="s">
        <v>0</v>
      </c>
    </row>
    <row r="1243" spans="1:13" x14ac:dyDescent="0.35">
      <c r="A1243" s="138" t="s">
        <v>487</v>
      </c>
      <c r="B1243" s="138" t="s">
        <v>3809</v>
      </c>
      <c r="C1243" s="138" t="s">
        <v>3983</v>
      </c>
      <c r="D1243" s="138" t="s">
        <v>4008</v>
      </c>
      <c r="E1243" s="138" t="s">
        <v>4003</v>
      </c>
      <c r="F1243" s="138" t="s">
        <v>3948</v>
      </c>
      <c r="G1243" s="138" t="s">
        <v>3993</v>
      </c>
      <c r="H1243" s="81" t="str">
        <f t="shared" si="108"/>
        <v>TCCN-PTE-PFL-PS1-CF2-SCP-POR</v>
      </c>
      <c r="I1243" s="138" t="str">
        <f>MID(H1243,1,(LEN(H1243)-VLOOKUP(K1243,datos!$B$2:$C$12,2,0)))</f>
        <v>TCCN-PTE-PFL-PS1-CF2-SCP-POR</v>
      </c>
      <c r="J1243" s="138" t="s">
        <v>6223</v>
      </c>
      <c r="K1243" s="140">
        <f>VLOOKUP(LEN(SUBSTITUTE(H1243,"-","")),datos!$A$1:$B$12,2,0)</f>
        <v>7</v>
      </c>
      <c r="L1243" s="138"/>
      <c r="M1243" s="138" t="s">
        <v>0</v>
      </c>
    </row>
    <row r="1244" spans="1:13" x14ac:dyDescent="0.35">
      <c r="A1244" s="138" t="s">
        <v>487</v>
      </c>
      <c r="B1244" s="138" t="s">
        <v>3809</v>
      </c>
      <c r="C1244" s="138" t="s">
        <v>3983</v>
      </c>
      <c r="D1244" s="138" t="s">
        <v>4008</v>
      </c>
      <c r="E1244" s="138" t="s">
        <v>4003</v>
      </c>
      <c r="F1244" s="138" t="s">
        <v>3948</v>
      </c>
      <c r="G1244" s="138" t="s">
        <v>3994</v>
      </c>
      <c r="H1244" s="81" t="str">
        <f t="shared" si="108"/>
        <v>TCCN-PTE-PFL-PS1-CF2-SCP-RTO</v>
      </c>
      <c r="I1244" s="138" t="str">
        <f>MID(H1244,1,(LEN(H1244)-VLOOKUP(K1244,datos!$B$2:$C$12,2,0)))</f>
        <v>TCCN-PTE-PFL-PS1-CF2-SCP-RTO</v>
      </c>
      <c r="J1244" s="138" t="s">
        <v>6224</v>
      </c>
      <c r="K1244" s="140">
        <f>VLOOKUP(LEN(SUBSTITUTE(H1244,"-","")),datos!$A$1:$B$12,2,0)</f>
        <v>7</v>
      </c>
      <c r="L1244" s="138"/>
      <c r="M1244" s="138" t="s">
        <v>0</v>
      </c>
    </row>
    <row r="1245" spans="1:13" x14ac:dyDescent="0.35">
      <c r="A1245" s="138" t="s">
        <v>487</v>
      </c>
      <c r="B1245" s="138" t="s">
        <v>3809</v>
      </c>
      <c r="C1245" s="138" t="s">
        <v>3983</v>
      </c>
      <c r="D1245" s="138" t="s">
        <v>4008</v>
      </c>
      <c r="E1245" s="138" t="s">
        <v>4003</v>
      </c>
      <c r="F1245" s="138" t="s">
        <v>3948</v>
      </c>
      <c r="G1245" s="138" t="s">
        <v>3995</v>
      </c>
      <c r="H1245" s="81" t="str">
        <f t="shared" si="108"/>
        <v>TCCN-PTE-PFL-PS1-CF2-SCP-ETT</v>
      </c>
      <c r="I1245" s="138" t="str">
        <f>MID(H1245,1,(LEN(H1245)-VLOOKUP(K1245,datos!$B$2:$C$12,2,0)))</f>
        <v>TCCN-PTE-PFL-PS1-CF2-SCP-ETT</v>
      </c>
      <c r="J1245" s="138" t="s">
        <v>6225</v>
      </c>
      <c r="K1245" s="140">
        <f>VLOOKUP(LEN(SUBSTITUTE(H1245,"-","")),datos!$A$1:$B$12,2,0)</f>
        <v>7</v>
      </c>
      <c r="L1245" s="138"/>
      <c r="M1245" s="138" t="s">
        <v>0</v>
      </c>
    </row>
    <row r="1246" spans="1:13" x14ac:dyDescent="0.35">
      <c r="A1246" s="138" t="s">
        <v>487</v>
      </c>
      <c r="B1246" s="138" t="s">
        <v>3809</v>
      </c>
      <c r="C1246" s="138" t="s">
        <v>3983</v>
      </c>
      <c r="D1246" s="138" t="s">
        <v>4008</v>
      </c>
      <c r="E1246" s="138" t="s">
        <v>4003</v>
      </c>
      <c r="F1246" s="138" t="s">
        <v>3948</v>
      </c>
      <c r="G1246" s="138" t="s">
        <v>3996</v>
      </c>
      <c r="H1246" s="81" t="str">
        <f t="shared" si="108"/>
        <v>TCCN-PTE-PFL-PS1-CF2-SCP-DDT</v>
      </c>
      <c r="I1246" s="138" t="str">
        <f>MID(H1246,1,(LEN(H1246)-VLOOKUP(K1246,datos!$B$2:$C$12,2,0)))</f>
        <v>TCCN-PTE-PFL-PS1-CF2-SCP-DDT</v>
      </c>
      <c r="J1246" s="138" t="s">
        <v>6226</v>
      </c>
      <c r="K1246" s="140">
        <f>VLOOKUP(LEN(SUBSTITUTE(H1246,"-","")),datos!$A$1:$B$12,2,0)</f>
        <v>7</v>
      </c>
      <c r="L1246" s="138"/>
      <c r="M1246" s="138" t="s">
        <v>0</v>
      </c>
    </row>
    <row r="1247" spans="1:13" x14ac:dyDescent="0.35">
      <c r="A1247" s="138" t="s">
        <v>487</v>
      </c>
      <c r="B1247" s="138" t="s">
        <v>3809</v>
      </c>
      <c r="C1247" s="138" t="s">
        <v>3983</v>
      </c>
      <c r="D1247" s="138" t="s">
        <v>4008</v>
      </c>
      <c r="E1247" s="138" t="s">
        <v>4003</v>
      </c>
      <c r="F1247" s="138" t="s">
        <v>3948</v>
      </c>
      <c r="G1247" s="138" t="s">
        <v>3997</v>
      </c>
      <c r="H1247" s="81" t="str">
        <f t="shared" si="108"/>
        <v>TCCN-PTE-PFL-PS1-CF2-SCP-EJE</v>
      </c>
      <c r="I1247" s="138" t="str">
        <f>MID(H1247,1,(LEN(H1247)-VLOOKUP(K1247,datos!$B$2:$C$12,2,0)))</f>
        <v>TCCN-PTE-PFL-PS1-CF2-SCP-EJE</v>
      </c>
      <c r="J1247" s="138" t="s">
        <v>6227</v>
      </c>
      <c r="K1247" s="140">
        <f>VLOOKUP(LEN(SUBSTITUTE(H1247,"-","")),datos!$A$1:$B$12,2,0)</f>
        <v>7</v>
      </c>
      <c r="L1247" s="138"/>
      <c r="M1247" s="138" t="s">
        <v>0</v>
      </c>
    </row>
    <row r="1248" spans="1:13" x14ac:dyDescent="0.35">
      <c r="A1248" s="137" t="s">
        <v>487</v>
      </c>
      <c r="B1248" s="137" t="s">
        <v>3809</v>
      </c>
      <c r="C1248" s="137" t="s">
        <v>3983</v>
      </c>
      <c r="D1248" s="137" t="s">
        <v>4008</v>
      </c>
      <c r="E1248" s="137" t="s">
        <v>4003</v>
      </c>
      <c r="F1248" s="137" t="s">
        <v>3824</v>
      </c>
      <c r="G1248" s="137"/>
      <c r="H1248" s="82" t="str">
        <f t="shared" si="108"/>
        <v>TCCN-PTE-PFL-PS1-CF2-SES-</v>
      </c>
      <c r="I1248" s="137" t="str">
        <f>MID(H1248,1,(LEN(H1248)-VLOOKUP(K1248,datos!$B$2:$C$12,2,0)))</f>
        <v>TCCN-PTE-PFL-PS1-CF2-SES</v>
      </c>
      <c r="J1248" s="137" t="s">
        <v>6228</v>
      </c>
      <c r="K1248" s="139">
        <f>VLOOKUP(LEN(SUBSTITUTE(H1248,"-","")),datos!$A$1:$B$12,2,0)</f>
        <v>6</v>
      </c>
      <c r="L1248" s="137"/>
      <c r="M1248" s="137" t="s">
        <v>0</v>
      </c>
    </row>
    <row r="1249" spans="1:13" x14ac:dyDescent="0.35">
      <c r="A1249" s="138" t="s">
        <v>487</v>
      </c>
      <c r="B1249" s="138" t="s">
        <v>3809</v>
      </c>
      <c r="C1249" s="138" t="s">
        <v>3983</v>
      </c>
      <c r="D1249" s="138" t="s">
        <v>4008</v>
      </c>
      <c r="E1249" s="138" t="s">
        <v>4003</v>
      </c>
      <c r="F1249" s="138" t="s">
        <v>3824</v>
      </c>
      <c r="G1249" s="138" t="s">
        <v>3998</v>
      </c>
      <c r="H1249" s="81" t="str">
        <f t="shared" si="108"/>
        <v>TCCN-PTE-PFL-PS1-CF2-SES-BYG</v>
      </c>
      <c r="I1249" s="138" t="str">
        <f>MID(H1249,1,(LEN(H1249)-VLOOKUP(K1249,datos!$B$2:$C$12,2,0)))</f>
        <v>TCCN-PTE-PFL-PS1-CF2-SES-BYG</v>
      </c>
      <c r="J1249" s="138" t="s">
        <v>8019</v>
      </c>
      <c r="K1249" s="140">
        <f>VLOOKUP(LEN(SUBSTITUTE(H1249,"-","")),datos!$A$1:$B$12,2,0)</f>
        <v>7</v>
      </c>
      <c r="L1249" s="138"/>
      <c r="M1249" s="138" t="s">
        <v>0</v>
      </c>
    </row>
    <row r="1250" spans="1:13" x14ac:dyDescent="0.35">
      <c r="A1250" s="138" t="s">
        <v>487</v>
      </c>
      <c r="B1250" s="138" t="s">
        <v>3809</v>
      </c>
      <c r="C1250" s="138" t="s">
        <v>3983</v>
      </c>
      <c r="D1250" s="138" t="s">
        <v>4008</v>
      </c>
      <c r="E1250" s="138" t="s">
        <v>4003</v>
      </c>
      <c r="F1250" s="138" t="s">
        <v>3824</v>
      </c>
      <c r="G1250" s="138" t="s">
        <v>3999</v>
      </c>
      <c r="H1250" s="81" t="str">
        <f t="shared" si="108"/>
        <v>TCCN-PTE-PFL-PS1-CF2-SES-RDP</v>
      </c>
      <c r="I1250" s="138" t="str">
        <f>MID(H1250,1,(LEN(H1250)-VLOOKUP(K1250,datos!$B$2:$C$12,2,0)))</f>
        <v>TCCN-PTE-PFL-PS1-CF2-SES-RDP</v>
      </c>
      <c r="J1250" s="138" t="s">
        <v>6229</v>
      </c>
      <c r="K1250" s="140">
        <f>VLOOKUP(LEN(SUBSTITUTE(H1250,"-","")),datos!$A$1:$B$12,2,0)</f>
        <v>7</v>
      </c>
      <c r="L1250" s="138"/>
      <c r="M1250" s="138" t="s">
        <v>0</v>
      </c>
    </row>
    <row r="1251" spans="1:13" x14ac:dyDescent="0.35">
      <c r="A1251" s="138" t="s">
        <v>487</v>
      </c>
      <c r="B1251" s="138" t="s">
        <v>3809</v>
      </c>
      <c r="C1251" s="138" t="s">
        <v>3983</v>
      </c>
      <c r="D1251" s="138" t="s">
        <v>4008</v>
      </c>
      <c r="E1251" s="138" t="s">
        <v>4003</v>
      </c>
      <c r="F1251" s="138" t="s">
        <v>3824</v>
      </c>
      <c r="G1251" s="138" t="s">
        <v>3853</v>
      </c>
      <c r="H1251" s="81" t="str">
        <f t="shared" si="108"/>
        <v>TCCN-PTE-PFL-PS1-CF2-SES-EST</v>
      </c>
      <c r="I1251" s="138" t="str">
        <f>MID(H1251,1,(LEN(H1251)-VLOOKUP(K1251,datos!$B$2:$C$12,2,0)))</f>
        <v>TCCN-PTE-PFL-PS1-CF2-SES-EST</v>
      </c>
      <c r="J1251" s="138" t="s">
        <v>6230</v>
      </c>
      <c r="K1251" s="140">
        <f>VLOOKUP(LEN(SUBSTITUTE(H1251,"-","")),datos!$A$1:$B$12,2,0)</f>
        <v>7</v>
      </c>
      <c r="L1251" s="138"/>
      <c r="M1251" s="138" t="s">
        <v>0</v>
      </c>
    </row>
    <row r="1252" spans="1:13" x14ac:dyDescent="0.35">
      <c r="A1252" s="138" t="s">
        <v>487</v>
      </c>
      <c r="B1252" s="138" t="s">
        <v>3809</v>
      </c>
      <c r="C1252" s="138" t="s">
        <v>3983</v>
      </c>
      <c r="D1252" s="138" t="s">
        <v>4008</v>
      </c>
      <c r="E1252" s="138" t="s">
        <v>4003</v>
      </c>
      <c r="F1252" s="138" t="s">
        <v>3824</v>
      </c>
      <c r="G1252" s="138" t="s">
        <v>4000</v>
      </c>
      <c r="H1252" s="81" t="str">
        <f t="shared" si="108"/>
        <v>TCCN-PTE-PFL-PS1-CF2-SES-CRW</v>
      </c>
      <c r="I1252" s="138" t="str">
        <f>MID(H1252,1,(LEN(H1252)-VLOOKUP(K1252,datos!$B$2:$C$12,2,0)))</f>
        <v>TCCN-PTE-PFL-PS1-CF2-SES-CRW</v>
      </c>
      <c r="J1252" s="138" t="s">
        <v>6231</v>
      </c>
      <c r="K1252" s="140">
        <f>VLOOKUP(LEN(SUBSTITUTE(H1252,"-","")),datos!$A$1:$B$12,2,0)</f>
        <v>7</v>
      </c>
      <c r="L1252" s="138"/>
      <c r="M1252" s="138" t="s">
        <v>0</v>
      </c>
    </row>
    <row r="1253" spans="1:13" x14ac:dyDescent="0.35">
      <c r="A1253" s="137" t="s">
        <v>487</v>
      </c>
      <c r="B1253" s="137" t="s">
        <v>3809</v>
      </c>
      <c r="C1253" s="137" t="s">
        <v>3983</v>
      </c>
      <c r="D1253" s="137" t="s">
        <v>4008</v>
      </c>
      <c r="E1253" s="137" t="s">
        <v>4003</v>
      </c>
      <c r="F1253" s="137" t="s">
        <v>3847</v>
      </c>
      <c r="G1253" s="137"/>
      <c r="H1253" s="82" t="str">
        <f t="shared" si="108"/>
        <v>TCCN-PTE-PFL-PS1-CF2-SMO-</v>
      </c>
      <c r="I1253" s="137" t="str">
        <f>MID(H1253,1,(LEN(H1253)-VLOOKUP(K1253,datos!$B$2:$C$12,2,0)))</f>
        <v>TCCN-PTE-PFL-PS1-CF2-SMO</v>
      </c>
      <c r="J1253" s="137" t="s">
        <v>6232</v>
      </c>
      <c r="K1253" s="139">
        <f>VLOOKUP(LEN(SUBSTITUTE(H1253,"-","")),datos!$A$1:$B$12,2,0)</f>
        <v>6</v>
      </c>
      <c r="L1253" s="137"/>
      <c r="M1253" s="137" t="s">
        <v>0</v>
      </c>
    </row>
    <row r="1254" spans="1:13" x14ac:dyDescent="0.35">
      <c r="A1254" s="138" t="s">
        <v>487</v>
      </c>
      <c r="B1254" s="138" t="s">
        <v>3809</v>
      </c>
      <c r="C1254" s="138" t="s">
        <v>3983</v>
      </c>
      <c r="D1254" s="138" t="s">
        <v>4008</v>
      </c>
      <c r="E1254" s="138" t="s">
        <v>4003</v>
      </c>
      <c r="F1254" s="138" t="s">
        <v>3847</v>
      </c>
      <c r="G1254" s="138" t="s">
        <v>3819</v>
      </c>
      <c r="H1254" s="81" t="str">
        <f t="shared" si="108"/>
        <v>TCCN-PTE-PFL-PS1-CF2-SMO-MOE</v>
      </c>
      <c r="I1254" s="138" t="str">
        <f>MID(H1254,1,(LEN(H1254)-VLOOKUP(K1254,datos!$B$2:$C$12,2,0)))</f>
        <v>TCCN-PTE-PFL-PS1-CF2-SMO-MOE</v>
      </c>
      <c r="J1254" s="138" t="s">
        <v>6233</v>
      </c>
      <c r="K1254" s="140">
        <f>VLOOKUP(LEN(SUBSTITUTE(H1254,"-","")),datos!$A$1:$B$12,2,0)</f>
        <v>7</v>
      </c>
      <c r="L1254" s="138" t="s">
        <v>194</v>
      </c>
      <c r="M1254" s="138" t="s">
        <v>0</v>
      </c>
    </row>
    <row r="1255" spans="1:13" x14ac:dyDescent="0.35">
      <c r="A1255" s="138" t="s">
        <v>487</v>
      </c>
      <c r="B1255" s="138" t="s">
        <v>3809</v>
      </c>
      <c r="C1255" s="138" t="s">
        <v>3983</v>
      </c>
      <c r="D1255" s="138" t="s">
        <v>4008</v>
      </c>
      <c r="E1255" s="138" t="s">
        <v>4003</v>
      </c>
      <c r="F1255" s="138" t="s">
        <v>3847</v>
      </c>
      <c r="G1255" s="138" t="s">
        <v>3864</v>
      </c>
      <c r="H1255" s="81" t="str">
        <f t="shared" si="108"/>
        <v>TCCN-PTE-PFL-PS1-CF2-SMO-PMO</v>
      </c>
      <c r="I1255" s="138" t="str">
        <f>MID(H1255,1,(LEN(H1255)-VLOOKUP(K1255,datos!$B$2:$C$12,2,0)))</f>
        <v>TCCN-PTE-PFL-PS1-CF2-SMO-PMO</v>
      </c>
      <c r="J1255" s="138" t="s">
        <v>6234</v>
      </c>
      <c r="K1255" s="140">
        <f>VLOOKUP(LEN(SUBSTITUTE(H1255,"-","")),datos!$A$1:$B$12,2,0)</f>
        <v>7</v>
      </c>
      <c r="L1255" s="138"/>
      <c r="M1255" s="138" t="s">
        <v>0</v>
      </c>
    </row>
    <row r="1256" spans="1:13" x14ac:dyDescent="0.35">
      <c r="A1256" s="138" t="s">
        <v>487</v>
      </c>
      <c r="B1256" s="138" t="s">
        <v>3809</v>
      </c>
      <c r="C1256" s="138" t="s">
        <v>3983</v>
      </c>
      <c r="D1256" s="138" t="s">
        <v>4008</v>
      </c>
      <c r="E1256" s="138" t="s">
        <v>4003</v>
      </c>
      <c r="F1256" s="138" t="s">
        <v>3847</v>
      </c>
      <c r="G1256" s="138" t="s">
        <v>8116</v>
      </c>
      <c r="H1256" s="81" t="str">
        <f t="shared" si="108"/>
        <v>TCCN-PTE-PFL-PS1-CF2-SMO-PLE</v>
      </c>
      <c r="I1256" s="138" t="str">
        <f>MID(H1256,1,(LEN(H1256)-VLOOKUP(K1256,datos!$B$2:$C$12,2,0)))</f>
        <v>TCCN-PTE-PFL-PS1-CF2-SMO-PLE</v>
      </c>
      <c r="J1256" s="138" t="s">
        <v>6235</v>
      </c>
      <c r="K1256" s="140">
        <f>VLOOKUP(LEN(SUBSTITUTE(H1256,"-","")),datos!$A$1:$B$12,2,0)</f>
        <v>7</v>
      </c>
      <c r="L1256" s="138"/>
      <c r="M1256" s="138" t="s">
        <v>0</v>
      </c>
    </row>
    <row r="1257" spans="1:13" x14ac:dyDescent="0.35">
      <c r="A1257" s="138" t="s">
        <v>487</v>
      </c>
      <c r="B1257" s="138" t="s">
        <v>3809</v>
      </c>
      <c r="C1257" s="138" t="s">
        <v>3983</v>
      </c>
      <c r="D1257" s="138" t="s">
        <v>4008</v>
      </c>
      <c r="E1257" s="138" t="s">
        <v>4003</v>
      </c>
      <c r="F1257" s="138" t="s">
        <v>3847</v>
      </c>
      <c r="G1257" s="138" t="s">
        <v>5688</v>
      </c>
      <c r="H1257" s="81" t="str">
        <f t="shared" si="108"/>
        <v>TCCN-PTE-PFL-PS1-CF2-SMO-PRP</v>
      </c>
      <c r="I1257" s="138" t="str">
        <f>MID(H1257,1,(LEN(H1257)-VLOOKUP(K1257,datos!$B$2:$C$12,2,0)))</f>
        <v>TCCN-PTE-PFL-PS1-CF2-SMO-PRP</v>
      </c>
      <c r="J1257" s="138" t="s">
        <v>6236</v>
      </c>
      <c r="K1257" s="140">
        <f>VLOOKUP(LEN(SUBSTITUTE(H1257,"-","")),datos!$A$1:$B$12,2,0)</f>
        <v>7</v>
      </c>
      <c r="L1257" s="138"/>
      <c r="M1257" s="138" t="s">
        <v>0</v>
      </c>
    </row>
    <row r="1258" spans="1:13" x14ac:dyDescent="0.35">
      <c r="A1258" s="137" t="s">
        <v>487</v>
      </c>
      <c r="B1258" s="137" t="s">
        <v>3809</v>
      </c>
      <c r="C1258" s="137" t="s">
        <v>3983</v>
      </c>
      <c r="D1258" s="137" t="s">
        <v>4008</v>
      </c>
      <c r="E1258" s="137" t="s">
        <v>4003</v>
      </c>
      <c r="F1258" s="137" t="s">
        <v>3831</v>
      </c>
      <c r="G1258" s="137"/>
      <c r="H1258" s="82" t="str">
        <f t="shared" si="108"/>
        <v>TCCN-PTE-PFL-PS1-CF2-INS-</v>
      </c>
      <c r="I1258" s="137" t="str">
        <f>MID(H1258,1,(LEN(H1258)-VLOOKUP(K1258,datos!$B$2:$C$12,2,0)))</f>
        <v>TCCN-PTE-PFL-PS1-CF2-INS</v>
      </c>
      <c r="J1258" s="137" t="s">
        <v>6237</v>
      </c>
      <c r="K1258" s="139">
        <f>VLOOKUP(LEN(SUBSTITUTE(H1258,"-","")),datos!$A$1:$B$12,2,0)</f>
        <v>6</v>
      </c>
      <c r="L1258" s="137"/>
      <c r="M1258" s="137" t="s">
        <v>0</v>
      </c>
    </row>
    <row r="1259" spans="1:13" x14ac:dyDescent="0.35">
      <c r="A1259" s="138" t="s">
        <v>487</v>
      </c>
      <c r="B1259" s="138" t="s">
        <v>3809</v>
      </c>
      <c r="C1259" s="138" t="s">
        <v>3983</v>
      </c>
      <c r="D1259" s="138" t="s">
        <v>4008</v>
      </c>
      <c r="E1259" s="138" t="s">
        <v>4003</v>
      </c>
      <c r="F1259" s="138" t="s">
        <v>3831</v>
      </c>
      <c r="G1259" s="138" t="s">
        <v>4075</v>
      </c>
      <c r="H1259" s="81" t="str">
        <f t="shared" ref="H1259:H1261" si="109">CONCATENATE(A1259,"-",B1259,"-",C1259,"-",D1259,"-",E1259,"-",F1259,"-",G1259)</f>
        <v>TCCN-PTE-PFL-PS1-CF2-INS-VVA</v>
      </c>
      <c r="I1259" s="138" t="str">
        <f>MID(H1259,1,(LEN(H1259)-VLOOKUP(K1259,datos!$B$2:$C$12,2,0)))</f>
        <v>TCCN-PTE-PFL-PS1-CF2-INS-VVA</v>
      </c>
      <c r="J1259" s="138" t="s">
        <v>7761</v>
      </c>
      <c r="K1259" s="140">
        <f>VLOOKUP(LEN(SUBSTITUTE(H1259,"-","")),datos!$A$1:$B$12,2,0)</f>
        <v>7</v>
      </c>
      <c r="L1259" s="138" t="s">
        <v>7763</v>
      </c>
      <c r="M1259" s="138" t="s">
        <v>0</v>
      </c>
    </row>
    <row r="1260" spans="1:13" x14ac:dyDescent="0.35">
      <c r="A1260" s="138" t="s">
        <v>487</v>
      </c>
      <c r="B1260" s="138" t="s">
        <v>3809</v>
      </c>
      <c r="C1260" s="138" t="s">
        <v>3983</v>
      </c>
      <c r="D1260" s="138" t="s">
        <v>4008</v>
      </c>
      <c r="E1260" s="138" t="s">
        <v>4003</v>
      </c>
      <c r="F1260" s="138" t="s">
        <v>3831</v>
      </c>
      <c r="G1260" s="138" t="s">
        <v>5256</v>
      </c>
      <c r="H1260" s="81" t="str">
        <f t="shared" si="109"/>
        <v>TCCN-PTE-PFL-PS1-CF2-INS-MNV</v>
      </c>
      <c r="I1260" s="138" t="str">
        <f>MID(H1260,1,(LEN(H1260)-VLOOKUP(K1260,datos!$B$2:$C$12,2,0)))</f>
        <v>TCCN-PTE-PFL-PS1-CF2-INS-MNV</v>
      </c>
      <c r="J1260" s="138" t="s">
        <v>7707</v>
      </c>
      <c r="K1260" s="140">
        <f>VLOOKUP(LEN(SUBSTITUTE(H1260,"-","")),datos!$A$1:$B$12,2,0)</f>
        <v>7</v>
      </c>
      <c r="L1260" s="138" t="s">
        <v>7764</v>
      </c>
      <c r="M1260" s="138" t="s">
        <v>0</v>
      </c>
    </row>
    <row r="1261" spans="1:13" x14ac:dyDescent="0.35">
      <c r="A1261" s="138" t="s">
        <v>487</v>
      </c>
      <c r="B1261" s="138" t="s">
        <v>3809</v>
      </c>
      <c r="C1261" s="138" t="s">
        <v>3983</v>
      </c>
      <c r="D1261" s="138" t="s">
        <v>4008</v>
      </c>
      <c r="E1261" s="138" t="s">
        <v>4003</v>
      </c>
      <c r="F1261" s="138" t="s">
        <v>3831</v>
      </c>
      <c r="G1261" s="138" t="s">
        <v>4002</v>
      </c>
      <c r="H1261" s="81" t="str">
        <f t="shared" si="109"/>
        <v>TCCN-PTE-PFL-PS1-CF2-INS-FJM</v>
      </c>
      <c r="I1261" s="138" t="str">
        <f>MID(H1261,1,(LEN(H1261)-VLOOKUP(K1261,datos!$B$2:$C$12,2,0)))</f>
        <v>TCCN-PTE-PFL-PS1-CF2-INS-FJM</v>
      </c>
      <c r="J1261" s="138" t="s">
        <v>7762</v>
      </c>
      <c r="K1261" s="140">
        <f>VLOOKUP(LEN(SUBSTITUTE(H1261,"-","")),datos!$A$1:$B$12,2,0)</f>
        <v>7</v>
      </c>
      <c r="L1261" s="138" t="s">
        <v>7765</v>
      </c>
      <c r="M1261" s="138" t="s">
        <v>0</v>
      </c>
    </row>
    <row r="1262" spans="1:13" x14ac:dyDescent="0.35">
      <c r="A1262" s="137" t="s">
        <v>487</v>
      </c>
      <c r="B1262" s="137" t="s">
        <v>3809</v>
      </c>
      <c r="C1262" s="137" t="s">
        <v>3983</v>
      </c>
      <c r="D1262" s="137" t="s">
        <v>4008</v>
      </c>
      <c r="E1262" s="137" t="s">
        <v>4003</v>
      </c>
      <c r="F1262" s="137" t="s">
        <v>3869</v>
      </c>
      <c r="G1262" s="137"/>
      <c r="H1262" s="82" t="str">
        <f t="shared" ref="H1262:H1319" si="110">CONCATENATE(A1262,"-",B1262,"-",C1262,"-",D1262,"-",E1262,"-",F1262,"-",G1262)</f>
        <v>TCCN-PTE-PFL-PS1-CF2-SCE-</v>
      </c>
      <c r="I1262" s="137" t="str">
        <f>MID(H1262,1,(LEN(H1262)-VLOOKUP(K1262,datos!$B$2:$C$12,2,0)))</f>
        <v>TCCN-PTE-PFL-PS1-CF2-SCE</v>
      </c>
      <c r="J1262" s="137" t="s">
        <v>6238</v>
      </c>
      <c r="K1262" s="139">
        <f>VLOOKUP(LEN(SUBSTITUTE(H1262,"-","")),datos!$A$1:$B$12,2,0)</f>
        <v>6</v>
      </c>
      <c r="L1262" s="137"/>
      <c r="M1262" s="137" t="s">
        <v>0</v>
      </c>
    </row>
    <row r="1263" spans="1:13" x14ac:dyDescent="0.35">
      <c r="A1263" s="138" t="s">
        <v>487</v>
      </c>
      <c r="B1263" s="138" t="s">
        <v>3809</v>
      </c>
      <c r="C1263" s="138" t="s">
        <v>3983</v>
      </c>
      <c r="D1263" s="138" t="s">
        <v>4008</v>
      </c>
      <c r="E1263" s="138" t="s">
        <v>4003</v>
      </c>
      <c r="F1263" s="138" t="s">
        <v>3869</v>
      </c>
      <c r="G1263" s="138" t="s">
        <v>3870</v>
      </c>
      <c r="H1263" s="81" t="str">
        <f t="shared" si="110"/>
        <v>TCCN-PTE-PFL-PS1-CF2-SCE-BTN</v>
      </c>
      <c r="I1263" s="138" t="str">
        <f>MID(H1263,1,(LEN(H1263)-VLOOKUP(K1263,datos!$B$2:$C$12,2,0)))</f>
        <v>TCCN-PTE-PFL-PS1-CF2-SCE-BTN</v>
      </c>
      <c r="J1263" s="138" t="s">
        <v>6239</v>
      </c>
      <c r="K1263" s="140">
        <f>VLOOKUP(LEN(SUBSTITUTE(H1263,"-","")),datos!$A$1:$B$12,2,0)</f>
        <v>7</v>
      </c>
      <c r="L1263" s="138"/>
      <c r="M1263" s="138" t="s">
        <v>0</v>
      </c>
    </row>
    <row r="1264" spans="1:13" customFormat="1" ht="14.5" x14ac:dyDescent="0.35">
      <c r="A1264" s="129" t="s">
        <v>487</v>
      </c>
      <c r="B1264" s="129" t="s">
        <v>3809</v>
      </c>
      <c r="C1264" s="129" t="s">
        <v>3983</v>
      </c>
      <c r="D1264" s="129" t="s">
        <v>4008</v>
      </c>
      <c r="E1264" s="129" t="s">
        <v>3965</v>
      </c>
      <c r="F1264" s="129"/>
      <c r="G1264" s="129"/>
      <c r="H1264" s="83" t="str">
        <f t="shared" si="110"/>
        <v>TCCN-PTE-PFL-PS1-CB1--</v>
      </c>
      <c r="I1264" s="129" t="str">
        <f>MID(H1264,1,(LEN(H1264)-VLOOKUP(K1264,datos!$B$2:$C$12,2,0)))</f>
        <v>TCCN-PTE-PFL-PS1-CB1</v>
      </c>
      <c r="J1264" s="129" t="s">
        <v>7705</v>
      </c>
      <c r="K1264" s="130">
        <f>VLOOKUP(LEN(SUBSTITUTE(H1264,"-","")),datos!$A$1:$B$12,2,0)</f>
        <v>5</v>
      </c>
      <c r="L1264" s="129"/>
      <c r="M1264" s="129" t="s">
        <v>0</v>
      </c>
    </row>
    <row r="1265" spans="1:13" x14ac:dyDescent="0.35">
      <c r="A1265" s="137" t="s">
        <v>487</v>
      </c>
      <c r="B1265" s="137" t="s">
        <v>3809</v>
      </c>
      <c r="C1265" s="137" t="s">
        <v>3983</v>
      </c>
      <c r="D1265" s="137" t="s">
        <v>4008</v>
      </c>
      <c r="E1265" s="137" t="s">
        <v>3965</v>
      </c>
      <c r="F1265" s="137" t="s">
        <v>3831</v>
      </c>
      <c r="G1265" s="137"/>
      <c r="H1265" s="82" t="str">
        <f t="shared" si="110"/>
        <v>TCCN-PTE-PFL-PS1-CB1-INS-</v>
      </c>
      <c r="I1265" s="137" t="str">
        <f>MID(H1265,1,(LEN(H1265)-VLOOKUP(K1265,datos!$B$2:$C$12,2,0)))</f>
        <v>TCCN-PTE-PFL-PS1-CB1-INS</v>
      </c>
      <c r="J1265" s="137" t="s">
        <v>7706</v>
      </c>
      <c r="K1265" s="139">
        <f>VLOOKUP(LEN(SUBSTITUTE(H1265,"-","")),datos!$A$1:$B$12,2,0)</f>
        <v>6</v>
      </c>
      <c r="L1265" s="137"/>
      <c r="M1265" s="137" t="s">
        <v>0</v>
      </c>
    </row>
    <row r="1266" spans="1:13" x14ac:dyDescent="0.35">
      <c r="A1266" s="138" t="s">
        <v>487</v>
      </c>
      <c r="B1266" s="138" t="s">
        <v>3809</v>
      </c>
      <c r="C1266" s="138" t="s">
        <v>3983</v>
      </c>
      <c r="D1266" s="138" t="s">
        <v>4008</v>
      </c>
      <c r="E1266" s="138" t="s">
        <v>3965</v>
      </c>
      <c r="F1266" s="138" t="s">
        <v>3831</v>
      </c>
      <c r="G1266" s="138" t="s">
        <v>3986</v>
      </c>
      <c r="H1266" s="81" t="str">
        <f t="shared" si="110"/>
        <v>TCCN-PTE-PFL-PS1-CB1-INS-VV1</v>
      </c>
      <c r="I1266" s="138" t="str">
        <f>MID(H1266,1,(LEN(H1266)-VLOOKUP(K1266,datos!$B$2:$C$12,2,0)))</f>
        <v>TCCN-PTE-PFL-PS1-CB1-INS-VV1</v>
      </c>
      <c r="J1266" s="138" t="s">
        <v>7709</v>
      </c>
      <c r="K1266" s="140">
        <f>VLOOKUP(LEN(SUBSTITUTE(H1266,"-","")),datos!$A$1:$B$12,2,0)</f>
        <v>7</v>
      </c>
      <c r="L1266" s="138" t="s">
        <v>7766</v>
      </c>
      <c r="M1266" s="138" t="s">
        <v>0</v>
      </c>
    </row>
    <row r="1267" spans="1:13" x14ac:dyDescent="0.35">
      <c r="A1267" s="138" t="s">
        <v>487</v>
      </c>
      <c r="B1267" s="138" t="s">
        <v>3809</v>
      </c>
      <c r="C1267" s="138" t="s">
        <v>3983</v>
      </c>
      <c r="D1267" s="138" t="s">
        <v>4008</v>
      </c>
      <c r="E1267" s="138" t="s">
        <v>3965</v>
      </c>
      <c r="F1267" s="138" t="s">
        <v>3831</v>
      </c>
      <c r="G1267" s="138" t="s">
        <v>3987</v>
      </c>
      <c r="H1267" s="81" t="str">
        <f t="shared" si="110"/>
        <v>TCCN-PTE-PFL-PS1-CB1-INS-VV2</v>
      </c>
      <c r="I1267" s="138" t="str">
        <f>MID(H1267,1,(LEN(H1267)-VLOOKUP(K1267,datos!$B$2:$C$12,2,0)))</f>
        <v>TCCN-PTE-PFL-PS1-CB1-INS-VV2</v>
      </c>
      <c r="J1267" s="138" t="s">
        <v>7710</v>
      </c>
      <c r="K1267" s="140">
        <f>VLOOKUP(LEN(SUBSTITUTE(H1267,"-","")),datos!$A$1:$B$12,2,0)</f>
        <v>7</v>
      </c>
      <c r="L1267" s="138" t="s">
        <v>7767</v>
      </c>
      <c r="M1267" s="138" t="s">
        <v>0</v>
      </c>
    </row>
    <row r="1268" spans="1:13" customFormat="1" ht="14.5" x14ac:dyDescent="0.35">
      <c r="A1268" s="129" t="s">
        <v>487</v>
      </c>
      <c r="B1268" s="129" t="s">
        <v>3809</v>
      </c>
      <c r="C1268" s="129" t="s">
        <v>3983</v>
      </c>
      <c r="D1268" s="129" t="s">
        <v>4008</v>
      </c>
      <c r="E1268" s="129" t="s">
        <v>4004</v>
      </c>
      <c r="F1268" s="129"/>
      <c r="G1268" s="129"/>
      <c r="H1268" s="83" t="str">
        <f t="shared" si="110"/>
        <v>TCCN-PTE-PFL-PS1-CF3--</v>
      </c>
      <c r="I1268" s="129" t="str">
        <f>MID(H1268,1,(LEN(H1268)-VLOOKUP(K1268,datos!$B$2:$C$12,2,0)))</f>
        <v>TCCN-PTE-PFL-PS1-CF3</v>
      </c>
      <c r="J1268" s="129" t="s">
        <v>452</v>
      </c>
      <c r="K1268" s="130">
        <f>VLOOKUP(LEN(SUBSTITUTE(H1268,"-","")),datos!$A$1:$B$12,2,0)</f>
        <v>5</v>
      </c>
      <c r="L1268" s="129" t="s">
        <v>195</v>
      </c>
      <c r="M1268" s="129" t="s">
        <v>0</v>
      </c>
    </row>
    <row r="1269" spans="1:13" x14ac:dyDescent="0.35">
      <c r="A1269" s="137" t="s">
        <v>487</v>
      </c>
      <c r="B1269" s="137" t="s">
        <v>3809</v>
      </c>
      <c r="C1269" s="137" t="s">
        <v>3983</v>
      </c>
      <c r="D1269" s="137" t="s">
        <v>4008</v>
      </c>
      <c r="E1269" s="137" t="s">
        <v>4004</v>
      </c>
      <c r="F1269" s="137" t="s">
        <v>3948</v>
      </c>
      <c r="G1269" s="137"/>
      <c r="H1269" s="82" t="str">
        <f t="shared" si="110"/>
        <v>TCCN-PTE-PFL-PS1-CF3-SCP-</v>
      </c>
      <c r="I1269" s="137" t="str">
        <f>MID(H1269,1,(LEN(H1269)-VLOOKUP(K1269,datos!$B$2:$C$12,2,0)))</f>
        <v>TCCN-PTE-PFL-PS1-CF3-SCP</v>
      </c>
      <c r="J1269" s="137" t="s">
        <v>6204</v>
      </c>
      <c r="K1269" s="139">
        <f>VLOOKUP(LEN(SUBSTITUTE(H1269,"-","")),datos!$A$1:$B$12,2,0)</f>
        <v>6</v>
      </c>
      <c r="L1269" s="137"/>
      <c r="M1269" s="137" t="s">
        <v>0</v>
      </c>
    </row>
    <row r="1270" spans="1:13" x14ac:dyDescent="0.35">
      <c r="A1270" s="138" t="s">
        <v>487</v>
      </c>
      <c r="B1270" s="138" t="s">
        <v>3809</v>
      </c>
      <c r="C1270" s="138" t="s">
        <v>3983</v>
      </c>
      <c r="D1270" s="138" t="s">
        <v>4008</v>
      </c>
      <c r="E1270" s="138" t="s">
        <v>4004</v>
      </c>
      <c r="F1270" s="138" t="s">
        <v>3948</v>
      </c>
      <c r="G1270" s="138" t="s">
        <v>3993</v>
      </c>
      <c r="H1270" s="81" t="str">
        <f t="shared" si="110"/>
        <v>TCCN-PTE-PFL-PS1-CF3-SCP-POR</v>
      </c>
      <c r="I1270" s="138" t="str">
        <f>MID(H1270,1,(LEN(H1270)-VLOOKUP(K1270,datos!$B$2:$C$12,2,0)))</f>
        <v>TCCN-PTE-PFL-PS1-CF3-SCP-POR</v>
      </c>
      <c r="J1270" s="138" t="s">
        <v>6205</v>
      </c>
      <c r="K1270" s="140">
        <f>VLOOKUP(LEN(SUBSTITUTE(H1270,"-","")),datos!$A$1:$B$12,2,0)</f>
        <v>7</v>
      </c>
      <c r="L1270" s="138"/>
      <c r="M1270" s="138" t="s">
        <v>0</v>
      </c>
    </row>
    <row r="1271" spans="1:13" x14ac:dyDescent="0.35">
      <c r="A1271" s="138" t="s">
        <v>487</v>
      </c>
      <c r="B1271" s="138" t="s">
        <v>3809</v>
      </c>
      <c r="C1271" s="138" t="s">
        <v>3983</v>
      </c>
      <c r="D1271" s="138" t="s">
        <v>4008</v>
      </c>
      <c r="E1271" s="138" t="s">
        <v>4004</v>
      </c>
      <c r="F1271" s="138" t="s">
        <v>3948</v>
      </c>
      <c r="G1271" s="138" t="s">
        <v>3994</v>
      </c>
      <c r="H1271" s="81" t="str">
        <f t="shared" si="110"/>
        <v>TCCN-PTE-PFL-PS1-CF3-SCP-RTO</v>
      </c>
      <c r="I1271" s="138" t="str">
        <f>MID(H1271,1,(LEN(H1271)-VLOOKUP(K1271,datos!$B$2:$C$12,2,0)))</f>
        <v>TCCN-PTE-PFL-PS1-CF3-SCP-RTO</v>
      </c>
      <c r="J1271" s="138" t="s">
        <v>6206</v>
      </c>
      <c r="K1271" s="140">
        <f>VLOOKUP(LEN(SUBSTITUTE(H1271,"-","")),datos!$A$1:$B$12,2,0)</f>
        <v>7</v>
      </c>
      <c r="L1271" s="138"/>
      <c r="M1271" s="138" t="s">
        <v>0</v>
      </c>
    </row>
    <row r="1272" spans="1:13" x14ac:dyDescent="0.35">
      <c r="A1272" s="138" t="s">
        <v>487</v>
      </c>
      <c r="B1272" s="138" t="s">
        <v>3809</v>
      </c>
      <c r="C1272" s="138" t="s">
        <v>3983</v>
      </c>
      <c r="D1272" s="138" t="s">
        <v>4008</v>
      </c>
      <c r="E1272" s="138" t="s">
        <v>4004</v>
      </c>
      <c r="F1272" s="138" t="s">
        <v>3948</v>
      </c>
      <c r="G1272" s="138" t="s">
        <v>3995</v>
      </c>
      <c r="H1272" s="81" t="str">
        <f t="shared" si="110"/>
        <v>TCCN-PTE-PFL-PS1-CF3-SCP-ETT</v>
      </c>
      <c r="I1272" s="138" t="str">
        <f>MID(H1272,1,(LEN(H1272)-VLOOKUP(K1272,datos!$B$2:$C$12,2,0)))</f>
        <v>TCCN-PTE-PFL-PS1-CF3-SCP-ETT</v>
      </c>
      <c r="J1272" s="138" t="s">
        <v>6207</v>
      </c>
      <c r="K1272" s="140">
        <f>VLOOKUP(LEN(SUBSTITUTE(H1272,"-","")),datos!$A$1:$B$12,2,0)</f>
        <v>7</v>
      </c>
      <c r="L1272" s="138"/>
      <c r="M1272" s="138" t="s">
        <v>0</v>
      </c>
    </row>
    <row r="1273" spans="1:13" x14ac:dyDescent="0.35">
      <c r="A1273" s="138" t="s">
        <v>487</v>
      </c>
      <c r="B1273" s="138" t="s">
        <v>3809</v>
      </c>
      <c r="C1273" s="138" t="s">
        <v>3983</v>
      </c>
      <c r="D1273" s="138" t="s">
        <v>4008</v>
      </c>
      <c r="E1273" s="138" t="s">
        <v>4004</v>
      </c>
      <c r="F1273" s="138" t="s">
        <v>3948</v>
      </c>
      <c r="G1273" s="138" t="s">
        <v>3996</v>
      </c>
      <c r="H1273" s="81" t="str">
        <f t="shared" si="110"/>
        <v>TCCN-PTE-PFL-PS1-CF3-SCP-DDT</v>
      </c>
      <c r="I1273" s="138" t="str">
        <f>MID(H1273,1,(LEN(H1273)-VLOOKUP(K1273,datos!$B$2:$C$12,2,0)))</f>
        <v>TCCN-PTE-PFL-PS1-CF3-SCP-DDT</v>
      </c>
      <c r="J1273" s="138" t="s">
        <v>6208</v>
      </c>
      <c r="K1273" s="140">
        <f>VLOOKUP(LEN(SUBSTITUTE(H1273,"-","")),datos!$A$1:$B$12,2,0)</f>
        <v>7</v>
      </c>
      <c r="L1273" s="138"/>
      <c r="M1273" s="138" t="s">
        <v>0</v>
      </c>
    </row>
    <row r="1274" spans="1:13" x14ac:dyDescent="0.35">
      <c r="A1274" s="138" t="s">
        <v>487</v>
      </c>
      <c r="B1274" s="138" t="s">
        <v>3809</v>
      </c>
      <c r="C1274" s="138" t="s">
        <v>3983</v>
      </c>
      <c r="D1274" s="138" t="s">
        <v>4008</v>
      </c>
      <c r="E1274" s="138" t="s">
        <v>4004</v>
      </c>
      <c r="F1274" s="138" t="s">
        <v>3948</v>
      </c>
      <c r="G1274" s="138" t="s">
        <v>3997</v>
      </c>
      <c r="H1274" s="81" t="str">
        <f t="shared" si="110"/>
        <v>TCCN-PTE-PFL-PS1-CF3-SCP-EJE</v>
      </c>
      <c r="I1274" s="138" t="str">
        <f>MID(H1274,1,(LEN(H1274)-VLOOKUP(K1274,datos!$B$2:$C$12,2,0)))</f>
        <v>TCCN-PTE-PFL-PS1-CF3-SCP-EJE</v>
      </c>
      <c r="J1274" s="138" t="s">
        <v>6209</v>
      </c>
      <c r="K1274" s="140">
        <f>VLOOKUP(LEN(SUBSTITUTE(H1274,"-","")),datos!$A$1:$B$12,2,0)</f>
        <v>7</v>
      </c>
      <c r="L1274" s="138"/>
      <c r="M1274" s="138" t="s">
        <v>0</v>
      </c>
    </row>
    <row r="1275" spans="1:13" x14ac:dyDescent="0.35">
      <c r="A1275" s="137" t="s">
        <v>487</v>
      </c>
      <c r="B1275" s="137" t="s">
        <v>3809</v>
      </c>
      <c r="C1275" s="137" t="s">
        <v>3983</v>
      </c>
      <c r="D1275" s="137" t="s">
        <v>4008</v>
      </c>
      <c r="E1275" s="137" t="s">
        <v>4004</v>
      </c>
      <c r="F1275" s="137" t="s">
        <v>3824</v>
      </c>
      <c r="G1275" s="137"/>
      <c r="H1275" s="82" t="str">
        <f t="shared" si="110"/>
        <v>TCCN-PTE-PFL-PS1-CF3-SES-</v>
      </c>
      <c r="I1275" s="137" t="str">
        <f>MID(H1275,1,(LEN(H1275)-VLOOKUP(K1275,datos!$B$2:$C$12,2,0)))</f>
        <v>TCCN-PTE-PFL-PS1-CF3-SES</v>
      </c>
      <c r="J1275" s="137" t="s">
        <v>6210</v>
      </c>
      <c r="K1275" s="139">
        <f>VLOOKUP(LEN(SUBSTITUTE(H1275,"-","")),datos!$A$1:$B$12,2,0)</f>
        <v>6</v>
      </c>
      <c r="L1275" s="137"/>
      <c r="M1275" s="137" t="s">
        <v>0</v>
      </c>
    </row>
    <row r="1276" spans="1:13" x14ac:dyDescent="0.35">
      <c r="A1276" s="138" t="s">
        <v>487</v>
      </c>
      <c r="B1276" s="138" t="s">
        <v>3809</v>
      </c>
      <c r="C1276" s="138" t="s">
        <v>3983</v>
      </c>
      <c r="D1276" s="138" t="s">
        <v>4008</v>
      </c>
      <c r="E1276" s="138" t="s">
        <v>4004</v>
      </c>
      <c r="F1276" s="138" t="s">
        <v>3824</v>
      </c>
      <c r="G1276" s="138" t="s">
        <v>3998</v>
      </c>
      <c r="H1276" s="81" t="str">
        <f t="shared" si="110"/>
        <v>TCCN-PTE-PFL-PS1-CF3-SES-BYG</v>
      </c>
      <c r="I1276" s="138" t="str">
        <f>MID(H1276,1,(LEN(H1276)-VLOOKUP(K1276,datos!$B$2:$C$12,2,0)))</f>
        <v>TCCN-PTE-PFL-PS1-CF3-SES-BYG</v>
      </c>
      <c r="J1276" s="138" t="s">
        <v>8020</v>
      </c>
      <c r="K1276" s="140">
        <f>VLOOKUP(LEN(SUBSTITUTE(H1276,"-","")),datos!$A$1:$B$12,2,0)</f>
        <v>7</v>
      </c>
      <c r="L1276" s="138"/>
      <c r="M1276" s="138" t="s">
        <v>0</v>
      </c>
    </row>
    <row r="1277" spans="1:13" x14ac:dyDescent="0.35">
      <c r="A1277" s="138" t="s">
        <v>487</v>
      </c>
      <c r="B1277" s="138" t="s">
        <v>3809</v>
      </c>
      <c r="C1277" s="138" t="s">
        <v>3983</v>
      </c>
      <c r="D1277" s="138" t="s">
        <v>4008</v>
      </c>
      <c r="E1277" s="138" t="s">
        <v>4004</v>
      </c>
      <c r="F1277" s="138" t="s">
        <v>3824</v>
      </c>
      <c r="G1277" s="138" t="s">
        <v>3999</v>
      </c>
      <c r="H1277" s="81" t="str">
        <f t="shared" si="110"/>
        <v>TCCN-PTE-PFL-PS1-CF3-SES-RDP</v>
      </c>
      <c r="I1277" s="138" t="str">
        <f>MID(H1277,1,(LEN(H1277)-VLOOKUP(K1277,datos!$B$2:$C$12,2,0)))</f>
        <v>TCCN-PTE-PFL-PS1-CF3-SES-RDP</v>
      </c>
      <c r="J1277" s="138" t="s">
        <v>6211</v>
      </c>
      <c r="K1277" s="140">
        <f>VLOOKUP(LEN(SUBSTITUTE(H1277,"-","")),datos!$A$1:$B$12,2,0)</f>
        <v>7</v>
      </c>
      <c r="L1277" s="138"/>
      <c r="M1277" s="138" t="s">
        <v>0</v>
      </c>
    </row>
    <row r="1278" spans="1:13" x14ac:dyDescent="0.35">
      <c r="A1278" s="138" t="s">
        <v>487</v>
      </c>
      <c r="B1278" s="138" t="s">
        <v>3809</v>
      </c>
      <c r="C1278" s="138" t="s">
        <v>3983</v>
      </c>
      <c r="D1278" s="138" t="s">
        <v>4008</v>
      </c>
      <c r="E1278" s="138" t="s">
        <v>4004</v>
      </c>
      <c r="F1278" s="138" t="s">
        <v>3824</v>
      </c>
      <c r="G1278" s="138" t="s">
        <v>3853</v>
      </c>
      <c r="H1278" s="81" t="str">
        <f t="shared" si="110"/>
        <v>TCCN-PTE-PFL-PS1-CF3-SES-EST</v>
      </c>
      <c r="I1278" s="138" t="str">
        <f>MID(H1278,1,(LEN(H1278)-VLOOKUP(K1278,datos!$B$2:$C$12,2,0)))</f>
        <v>TCCN-PTE-PFL-PS1-CF3-SES-EST</v>
      </c>
      <c r="J1278" s="138" t="s">
        <v>6212</v>
      </c>
      <c r="K1278" s="140">
        <f>VLOOKUP(LEN(SUBSTITUTE(H1278,"-","")),datos!$A$1:$B$12,2,0)</f>
        <v>7</v>
      </c>
      <c r="L1278" s="138"/>
      <c r="M1278" s="138" t="s">
        <v>0</v>
      </c>
    </row>
    <row r="1279" spans="1:13" x14ac:dyDescent="0.35">
      <c r="A1279" s="138" t="s">
        <v>487</v>
      </c>
      <c r="B1279" s="138" t="s">
        <v>3809</v>
      </c>
      <c r="C1279" s="138" t="s">
        <v>3983</v>
      </c>
      <c r="D1279" s="138" t="s">
        <v>4008</v>
      </c>
      <c r="E1279" s="138" t="s">
        <v>4004</v>
      </c>
      <c r="F1279" s="138" t="s">
        <v>3824</v>
      </c>
      <c r="G1279" s="138" t="s">
        <v>4000</v>
      </c>
      <c r="H1279" s="81" t="str">
        <f t="shared" si="110"/>
        <v>TCCN-PTE-PFL-PS1-CF3-SES-CRW</v>
      </c>
      <c r="I1279" s="138" t="str">
        <f>MID(H1279,1,(LEN(H1279)-VLOOKUP(K1279,datos!$B$2:$C$12,2,0)))</f>
        <v>TCCN-PTE-PFL-PS1-CF3-SES-CRW</v>
      </c>
      <c r="J1279" s="138" t="s">
        <v>6213</v>
      </c>
      <c r="K1279" s="140">
        <f>VLOOKUP(LEN(SUBSTITUTE(H1279,"-","")),datos!$A$1:$B$12,2,0)</f>
        <v>7</v>
      </c>
      <c r="L1279" s="138"/>
      <c r="M1279" s="138" t="s">
        <v>0</v>
      </c>
    </row>
    <row r="1280" spans="1:13" x14ac:dyDescent="0.35">
      <c r="A1280" s="137" t="s">
        <v>487</v>
      </c>
      <c r="B1280" s="137" t="s">
        <v>3809</v>
      </c>
      <c r="C1280" s="137" t="s">
        <v>3983</v>
      </c>
      <c r="D1280" s="137" t="s">
        <v>4008</v>
      </c>
      <c r="E1280" s="137" t="s">
        <v>4004</v>
      </c>
      <c r="F1280" s="137" t="s">
        <v>3847</v>
      </c>
      <c r="G1280" s="137"/>
      <c r="H1280" s="82" t="str">
        <f t="shared" si="110"/>
        <v>TCCN-PTE-PFL-PS1-CF3-SMO-</v>
      </c>
      <c r="I1280" s="137" t="str">
        <f>MID(H1280,1,(LEN(H1280)-VLOOKUP(K1280,datos!$B$2:$C$12,2,0)))</f>
        <v>TCCN-PTE-PFL-PS1-CF3-SMO</v>
      </c>
      <c r="J1280" s="137" t="s">
        <v>6214</v>
      </c>
      <c r="K1280" s="139">
        <f>VLOOKUP(LEN(SUBSTITUTE(H1280,"-","")),datos!$A$1:$B$12,2,0)</f>
        <v>6</v>
      </c>
      <c r="L1280" s="137"/>
      <c r="M1280" s="137" t="s">
        <v>0</v>
      </c>
    </row>
    <row r="1281" spans="1:13" x14ac:dyDescent="0.35">
      <c r="A1281" s="138" t="s">
        <v>487</v>
      </c>
      <c r="B1281" s="138" t="s">
        <v>3809</v>
      </c>
      <c r="C1281" s="138" t="s">
        <v>3983</v>
      </c>
      <c r="D1281" s="138" t="s">
        <v>4008</v>
      </c>
      <c r="E1281" s="138" t="s">
        <v>4004</v>
      </c>
      <c r="F1281" s="138" t="s">
        <v>3847</v>
      </c>
      <c r="G1281" s="138" t="s">
        <v>3819</v>
      </c>
      <c r="H1281" s="81" t="str">
        <f t="shared" si="110"/>
        <v>TCCN-PTE-PFL-PS1-CF3-SMO-MOE</v>
      </c>
      <c r="I1281" s="138" t="str">
        <f>MID(H1281,1,(LEN(H1281)-VLOOKUP(K1281,datos!$B$2:$C$12,2,0)))</f>
        <v>TCCN-PTE-PFL-PS1-CF3-SMO-MOE</v>
      </c>
      <c r="J1281" s="138" t="s">
        <v>6215</v>
      </c>
      <c r="K1281" s="140">
        <f>VLOOKUP(LEN(SUBSTITUTE(H1281,"-","")),datos!$A$1:$B$12,2,0)</f>
        <v>7</v>
      </c>
      <c r="L1281" s="138" t="s">
        <v>196</v>
      </c>
      <c r="M1281" s="138" t="s">
        <v>0</v>
      </c>
    </row>
    <row r="1282" spans="1:13" x14ac:dyDescent="0.35">
      <c r="A1282" s="138" t="s">
        <v>487</v>
      </c>
      <c r="B1282" s="138" t="s">
        <v>3809</v>
      </c>
      <c r="C1282" s="138" t="s">
        <v>3983</v>
      </c>
      <c r="D1282" s="138" t="s">
        <v>4008</v>
      </c>
      <c r="E1282" s="138" t="s">
        <v>4004</v>
      </c>
      <c r="F1282" s="138" t="s">
        <v>3847</v>
      </c>
      <c r="G1282" s="138" t="s">
        <v>3864</v>
      </c>
      <c r="H1282" s="81" t="str">
        <f t="shared" si="110"/>
        <v>TCCN-PTE-PFL-PS1-CF3-SMO-PMO</v>
      </c>
      <c r="I1282" s="138" t="str">
        <f>MID(H1282,1,(LEN(H1282)-VLOOKUP(K1282,datos!$B$2:$C$12,2,0)))</f>
        <v>TCCN-PTE-PFL-PS1-CF3-SMO-PMO</v>
      </c>
      <c r="J1282" s="138" t="s">
        <v>6216</v>
      </c>
      <c r="K1282" s="140">
        <f>VLOOKUP(LEN(SUBSTITUTE(H1282,"-","")),datos!$A$1:$B$12,2,0)</f>
        <v>7</v>
      </c>
      <c r="L1282" s="138"/>
      <c r="M1282" s="138" t="s">
        <v>0</v>
      </c>
    </row>
    <row r="1283" spans="1:13" x14ac:dyDescent="0.35">
      <c r="A1283" s="138" t="s">
        <v>487</v>
      </c>
      <c r="B1283" s="138" t="s">
        <v>3809</v>
      </c>
      <c r="C1283" s="138" t="s">
        <v>3983</v>
      </c>
      <c r="D1283" s="138" t="s">
        <v>4008</v>
      </c>
      <c r="E1283" s="138" t="s">
        <v>4004</v>
      </c>
      <c r="F1283" s="138" t="s">
        <v>3847</v>
      </c>
      <c r="G1283" s="138" t="s">
        <v>8116</v>
      </c>
      <c r="H1283" s="81" t="str">
        <f t="shared" si="110"/>
        <v>TCCN-PTE-PFL-PS1-CF3-SMO-PLE</v>
      </c>
      <c r="I1283" s="138" t="str">
        <f>MID(H1283,1,(LEN(H1283)-VLOOKUP(K1283,datos!$B$2:$C$12,2,0)))</f>
        <v>TCCN-PTE-PFL-PS1-CF3-SMO-PLE</v>
      </c>
      <c r="J1283" s="138" t="s">
        <v>6217</v>
      </c>
      <c r="K1283" s="140">
        <f>VLOOKUP(LEN(SUBSTITUTE(H1283,"-","")),datos!$A$1:$B$12,2,0)</f>
        <v>7</v>
      </c>
      <c r="L1283" s="138"/>
      <c r="M1283" s="138" t="s">
        <v>0</v>
      </c>
    </row>
    <row r="1284" spans="1:13" x14ac:dyDescent="0.35">
      <c r="A1284" s="138" t="s">
        <v>487</v>
      </c>
      <c r="B1284" s="138" t="s">
        <v>3809</v>
      </c>
      <c r="C1284" s="138" t="s">
        <v>3983</v>
      </c>
      <c r="D1284" s="138" t="s">
        <v>4008</v>
      </c>
      <c r="E1284" s="138" t="s">
        <v>4004</v>
      </c>
      <c r="F1284" s="138" t="s">
        <v>3847</v>
      </c>
      <c r="G1284" s="138" t="s">
        <v>5688</v>
      </c>
      <c r="H1284" s="81" t="str">
        <f t="shared" si="110"/>
        <v>TCCN-PTE-PFL-PS1-CF3-SMO-PRP</v>
      </c>
      <c r="I1284" s="138" t="str">
        <f>MID(H1284,1,(LEN(H1284)-VLOOKUP(K1284,datos!$B$2:$C$12,2,0)))</f>
        <v>TCCN-PTE-PFL-PS1-CF3-SMO-PRP</v>
      </c>
      <c r="J1284" s="138" t="s">
        <v>6218</v>
      </c>
      <c r="K1284" s="140">
        <f>VLOOKUP(LEN(SUBSTITUTE(H1284,"-","")),datos!$A$1:$B$12,2,0)</f>
        <v>7</v>
      </c>
      <c r="L1284" s="138"/>
      <c r="M1284" s="138" t="s">
        <v>0</v>
      </c>
    </row>
    <row r="1285" spans="1:13" x14ac:dyDescent="0.35">
      <c r="A1285" s="137" t="s">
        <v>487</v>
      </c>
      <c r="B1285" s="137" t="s">
        <v>3809</v>
      </c>
      <c r="C1285" s="137" t="s">
        <v>3983</v>
      </c>
      <c r="D1285" s="137" t="s">
        <v>4008</v>
      </c>
      <c r="E1285" s="137" t="s">
        <v>4004</v>
      </c>
      <c r="F1285" s="137" t="s">
        <v>3831</v>
      </c>
      <c r="G1285" s="137"/>
      <c r="H1285" s="82" t="str">
        <f t="shared" si="110"/>
        <v>TCCN-PTE-PFL-PS1-CF3-INS-</v>
      </c>
      <c r="I1285" s="137" t="str">
        <f>MID(H1285,1,(LEN(H1285)-VLOOKUP(K1285,datos!$B$2:$C$12,2,0)))</f>
        <v>TCCN-PTE-PFL-PS1-CF3-INS</v>
      </c>
      <c r="J1285" s="137" t="s">
        <v>6219</v>
      </c>
      <c r="K1285" s="139">
        <f>VLOOKUP(LEN(SUBSTITUTE(H1285,"-","")),datos!$A$1:$B$12,2,0)</f>
        <v>6</v>
      </c>
      <c r="L1285" s="137"/>
      <c r="M1285" s="137" t="s">
        <v>0</v>
      </c>
    </row>
    <row r="1286" spans="1:13" x14ac:dyDescent="0.35">
      <c r="A1286" s="138" t="s">
        <v>487</v>
      </c>
      <c r="B1286" s="138" t="s">
        <v>3809</v>
      </c>
      <c r="C1286" s="138" t="s">
        <v>3983</v>
      </c>
      <c r="D1286" s="138" t="s">
        <v>4008</v>
      </c>
      <c r="E1286" s="138" t="s">
        <v>4004</v>
      </c>
      <c r="F1286" s="138" t="s">
        <v>3831</v>
      </c>
      <c r="G1286" s="138" t="s">
        <v>4075</v>
      </c>
      <c r="H1286" s="81" t="str">
        <f t="shared" si="110"/>
        <v>TCCN-PTE-PFL-PS1-CF3-INS-VVA</v>
      </c>
      <c r="I1286" s="138" t="str">
        <f>MID(H1286,1,(LEN(H1286)-VLOOKUP(K1286,datos!$B$2:$C$12,2,0)))</f>
        <v>TCCN-PTE-PFL-PS1-CF3-INS-VVA</v>
      </c>
      <c r="J1286" s="138" t="s">
        <v>7768</v>
      </c>
      <c r="K1286" s="140">
        <f>VLOOKUP(LEN(SUBSTITUTE(H1286,"-","")),datos!$A$1:$B$12,2,0)</f>
        <v>7</v>
      </c>
      <c r="L1286" s="138" t="s">
        <v>7770</v>
      </c>
      <c r="M1286" s="138" t="s">
        <v>0</v>
      </c>
    </row>
    <row r="1287" spans="1:13" x14ac:dyDescent="0.35">
      <c r="A1287" s="138" t="s">
        <v>487</v>
      </c>
      <c r="B1287" s="138" t="s">
        <v>3809</v>
      </c>
      <c r="C1287" s="138" t="s">
        <v>3983</v>
      </c>
      <c r="D1287" s="138" t="s">
        <v>4008</v>
      </c>
      <c r="E1287" s="138" t="s">
        <v>4004</v>
      </c>
      <c r="F1287" s="138" t="s">
        <v>3831</v>
      </c>
      <c r="G1287" s="138" t="s">
        <v>4002</v>
      </c>
      <c r="H1287" s="81" t="str">
        <f t="shared" si="110"/>
        <v>TCCN-PTE-PFL-PS1-CF3-INS-FJM</v>
      </c>
      <c r="I1287" s="138" t="str">
        <f>MID(H1287,1,(LEN(H1287)-VLOOKUP(K1287,datos!$B$2:$C$12,2,0)))</f>
        <v>TCCN-PTE-PFL-PS1-CF3-INS-FJM</v>
      </c>
      <c r="J1287" s="138" t="s">
        <v>7769</v>
      </c>
      <c r="K1287" s="140">
        <f>VLOOKUP(LEN(SUBSTITUTE(H1287,"-","")),datos!$A$1:$B$12,2,0)</f>
        <v>7</v>
      </c>
      <c r="L1287" s="138" t="s">
        <v>7771</v>
      </c>
      <c r="M1287" s="138" t="s">
        <v>0</v>
      </c>
    </row>
    <row r="1288" spans="1:13" x14ac:dyDescent="0.35">
      <c r="A1288" s="137" t="s">
        <v>487</v>
      </c>
      <c r="B1288" s="137" t="s">
        <v>3809</v>
      </c>
      <c r="C1288" s="137" t="s">
        <v>3983</v>
      </c>
      <c r="D1288" s="137" t="s">
        <v>4008</v>
      </c>
      <c r="E1288" s="137" t="s">
        <v>4004</v>
      </c>
      <c r="F1288" s="137" t="s">
        <v>3869</v>
      </c>
      <c r="G1288" s="137"/>
      <c r="H1288" s="82" t="str">
        <f t="shared" si="110"/>
        <v>TCCN-PTE-PFL-PS1-CF3-SCE-</v>
      </c>
      <c r="I1288" s="137" t="str">
        <f>MID(H1288,1,(LEN(H1288)-VLOOKUP(K1288,datos!$B$2:$C$12,2,0)))</f>
        <v>TCCN-PTE-PFL-PS1-CF3-SCE</v>
      </c>
      <c r="J1288" s="137" t="s">
        <v>6220</v>
      </c>
      <c r="K1288" s="139">
        <f>VLOOKUP(LEN(SUBSTITUTE(H1288,"-","")),datos!$A$1:$B$12,2,0)</f>
        <v>6</v>
      </c>
      <c r="L1288" s="137"/>
      <c r="M1288" s="137" t="s">
        <v>0</v>
      </c>
    </row>
    <row r="1289" spans="1:13" x14ac:dyDescent="0.35">
      <c r="A1289" s="138" t="s">
        <v>487</v>
      </c>
      <c r="B1289" s="138" t="s">
        <v>3809</v>
      </c>
      <c r="C1289" s="138" t="s">
        <v>3983</v>
      </c>
      <c r="D1289" s="138" t="s">
        <v>4008</v>
      </c>
      <c r="E1289" s="138" t="s">
        <v>4004</v>
      </c>
      <c r="F1289" s="138" t="s">
        <v>3869</v>
      </c>
      <c r="G1289" s="138" t="s">
        <v>3870</v>
      </c>
      <c r="H1289" s="81" t="str">
        <f t="shared" si="110"/>
        <v>TCCN-PTE-PFL-PS1-CF3-SCE-BTN</v>
      </c>
      <c r="I1289" s="138" t="str">
        <f>MID(H1289,1,(LEN(H1289)-VLOOKUP(K1289,datos!$B$2:$C$12,2,0)))</f>
        <v>TCCN-PTE-PFL-PS1-CF3-SCE-BTN</v>
      </c>
      <c r="J1289" s="138" t="s">
        <v>6221</v>
      </c>
      <c r="K1289" s="140">
        <f>VLOOKUP(LEN(SUBSTITUTE(H1289,"-","")),datos!$A$1:$B$12,2,0)</f>
        <v>7</v>
      </c>
      <c r="L1289" s="138"/>
      <c r="M1289" s="138" t="s">
        <v>0</v>
      </c>
    </row>
    <row r="1290" spans="1:13" customFormat="1" ht="14.5" x14ac:dyDescent="0.35">
      <c r="A1290" s="129" t="s">
        <v>487</v>
      </c>
      <c r="B1290" s="129" t="s">
        <v>3809</v>
      </c>
      <c r="C1290" s="129" t="s">
        <v>3983</v>
      </c>
      <c r="D1290" s="129" t="s">
        <v>4008</v>
      </c>
      <c r="E1290" s="129" t="s">
        <v>4005</v>
      </c>
      <c r="F1290" s="129"/>
      <c r="G1290" s="129"/>
      <c r="H1290" s="83" t="str">
        <f t="shared" si="110"/>
        <v>TCCN-PTE-PFL-PS1-CF4--</v>
      </c>
      <c r="I1290" s="129" t="str">
        <f>MID(H1290,1,(LEN(H1290)-VLOOKUP(K1290,datos!$B$2:$C$12,2,0)))</f>
        <v>TCCN-PTE-PFL-PS1-CF4</v>
      </c>
      <c r="J1290" s="129" t="s">
        <v>453</v>
      </c>
      <c r="K1290" s="130">
        <f>VLOOKUP(LEN(SUBSTITUTE(H1290,"-","")),datos!$A$1:$B$12,2,0)</f>
        <v>5</v>
      </c>
      <c r="L1290" s="129" t="s">
        <v>197</v>
      </c>
      <c r="M1290" s="129" t="s">
        <v>0</v>
      </c>
    </row>
    <row r="1291" spans="1:13" x14ac:dyDescent="0.35">
      <c r="A1291" s="137" t="s">
        <v>487</v>
      </c>
      <c r="B1291" s="137" t="s">
        <v>3809</v>
      </c>
      <c r="C1291" s="137" t="s">
        <v>3983</v>
      </c>
      <c r="D1291" s="137" t="s">
        <v>4008</v>
      </c>
      <c r="E1291" s="137" t="s">
        <v>4005</v>
      </c>
      <c r="F1291" s="137" t="s">
        <v>3948</v>
      </c>
      <c r="G1291" s="137"/>
      <c r="H1291" s="82" t="str">
        <f t="shared" si="110"/>
        <v>TCCN-PTE-PFL-PS1-CF4-SCP-</v>
      </c>
      <c r="I1291" s="137" t="str">
        <f>MID(H1291,1,(LEN(H1291)-VLOOKUP(K1291,datos!$B$2:$C$12,2,0)))</f>
        <v>TCCN-PTE-PFL-PS1-CF4-SCP</v>
      </c>
      <c r="J1291" s="137" t="s">
        <v>6186</v>
      </c>
      <c r="K1291" s="139">
        <f>VLOOKUP(LEN(SUBSTITUTE(H1291,"-","")),datos!$A$1:$B$12,2,0)</f>
        <v>6</v>
      </c>
      <c r="L1291" s="137"/>
      <c r="M1291" s="137" t="s">
        <v>0</v>
      </c>
    </row>
    <row r="1292" spans="1:13" x14ac:dyDescent="0.35">
      <c r="A1292" s="138" t="s">
        <v>487</v>
      </c>
      <c r="B1292" s="138" t="s">
        <v>3809</v>
      </c>
      <c r="C1292" s="138" t="s">
        <v>3983</v>
      </c>
      <c r="D1292" s="138" t="s">
        <v>4008</v>
      </c>
      <c r="E1292" s="138" t="s">
        <v>4005</v>
      </c>
      <c r="F1292" s="138" t="s">
        <v>3948</v>
      </c>
      <c r="G1292" s="138" t="s">
        <v>3993</v>
      </c>
      <c r="H1292" s="81" t="str">
        <f t="shared" si="110"/>
        <v>TCCN-PTE-PFL-PS1-CF4-SCP-POR</v>
      </c>
      <c r="I1292" s="138" t="str">
        <f>MID(H1292,1,(LEN(H1292)-VLOOKUP(K1292,datos!$B$2:$C$12,2,0)))</f>
        <v>TCCN-PTE-PFL-PS1-CF4-SCP-POR</v>
      </c>
      <c r="J1292" s="138" t="s">
        <v>6187</v>
      </c>
      <c r="K1292" s="140">
        <f>VLOOKUP(LEN(SUBSTITUTE(H1292,"-","")),datos!$A$1:$B$12,2,0)</f>
        <v>7</v>
      </c>
      <c r="L1292" s="138"/>
      <c r="M1292" s="138" t="s">
        <v>0</v>
      </c>
    </row>
    <row r="1293" spans="1:13" x14ac:dyDescent="0.35">
      <c r="A1293" s="138" t="s">
        <v>487</v>
      </c>
      <c r="B1293" s="138" t="s">
        <v>3809</v>
      </c>
      <c r="C1293" s="138" t="s">
        <v>3983</v>
      </c>
      <c r="D1293" s="138" t="s">
        <v>4008</v>
      </c>
      <c r="E1293" s="138" t="s">
        <v>4005</v>
      </c>
      <c r="F1293" s="138" t="s">
        <v>3948</v>
      </c>
      <c r="G1293" s="138" t="s">
        <v>3994</v>
      </c>
      <c r="H1293" s="81" t="str">
        <f t="shared" si="110"/>
        <v>TCCN-PTE-PFL-PS1-CF4-SCP-RTO</v>
      </c>
      <c r="I1293" s="138" t="str">
        <f>MID(H1293,1,(LEN(H1293)-VLOOKUP(K1293,datos!$B$2:$C$12,2,0)))</f>
        <v>TCCN-PTE-PFL-PS1-CF4-SCP-RTO</v>
      </c>
      <c r="J1293" s="138" t="s">
        <v>6188</v>
      </c>
      <c r="K1293" s="140">
        <f>VLOOKUP(LEN(SUBSTITUTE(H1293,"-","")),datos!$A$1:$B$12,2,0)</f>
        <v>7</v>
      </c>
      <c r="L1293" s="138"/>
      <c r="M1293" s="138" t="s">
        <v>0</v>
      </c>
    </row>
    <row r="1294" spans="1:13" x14ac:dyDescent="0.35">
      <c r="A1294" s="138" t="s">
        <v>487</v>
      </c>
      <c r="B1294" s="138" t="s">
        <v>3809</v>
      </c>
      <c r="C1294" s="138" t="s">
        <v>3983</v>
      </c>
      <c r="D1294" s="138" t="s">
        <v>4008</v>
      </c>
      <c r="E1294" s="138" t="s">
        <v>4005</v>
      </c>
      <c r="F1294" s="138" t="s">
        <v>3948</v>
      </c>
      <c r="G1294" s="138" t="s">
        <v>3995</v>
      </c>
      <c r="H1294" s="81" t="str">
        <f t="shared" si="110"/>
        <v>TCCN-PTE-PFL-PS1-CF4-SCP-ETT</v>
      </c>
      <c r="I1294" s="138" t="str">
        <f>MID(H1294,1,(LEN(H1294)-VLOOKUP(K1294,datos!$B$2:$C$12,2,0)))</f>
        <v>TCCN-PTE-PFL-PS1-CF4-SCP-ETT</v>
      </c>
      <c r="J1294" s="138" t="s">
        <v>6189</v>
      </c>
      <c r="K1294" s="140">
        <f>VLOOKUP(LEN(SUBSTITUTE(H1294,"-","")),datos!$A$1:$B$12,2,0)</f>
        <v>7</v>
      </c>
      <c r="L1294" s="138"/>
      <c r="M1294" s="138" t="s">
        <v>0</v>
      </c>
    </row>
    <row r="1295" spans="1:13" x14ac:dyDescent="0.35">
      <c r="A1295" s="138" t="s">
        <v>487</v>
      </c>
      <c r="B1295" s="138" t="s">
        <v>3809</v>
      </c>
      <c r="C1295" s="138" t="s">
        <v>3983</v>
      </c>
      <c r="D1295" s="138" t="s">
        <v>4008</v>
      </c>
      <c r="E1295" s="138" t="s">
        <v>4005</v>
      </c>
      <c r="F1295" s="138" t="s">
        <v>3948</v>
      </c>
      <c r="G1295" s="138" t="s">
        <v>3996</v>
      </c>
      <c r="H1295" s="81" t="str">
        <f t="shared" si="110"/>
        <v>TCCN-PTE-PFL-PS1-CF4-SCP-DDT</v>
      </c>
      <c r="I1295" s="138" t="str">
        <f>MID(H1295,1,(LEN(H1295)-VLOOKUP(K1295,datos!$B$2:$C$12,2,0)))</f>
        <v>TCCN-PTE-PFL-PS1-CF4-SCP-DDT</v>
      </c>
      <c r="J1295" s="138" t="s">
        <v>6190</v>
      </c>
      <c r="K1295" s="140">
        <f>VLOOKUP(LEN(SUBSTITUTE(H1295,"-","")),datos!$A$1:$B$12,2,0)</f>
        <v>7</v>
      </c>
      <c r="L1295" s="138"/>
      <c r="M1295" s="138" t="s">
        <v>0</v>
      </c>
    </row>
    <row r="1296" spans="1:13" x14ac:dyDescent="0.35">
      <c r="A1296" s="138" t="s">
        <v>487</v>
      </c>
      <c r="B1296" s="138" t="s">
        <v>3809</v>
      </c>
      <c r="C1296" s="138" t="s">
        <v>3983</v>
      </c>
      <c r="D1296" s="138" t="s">
        <v>4008</v>
      </c>
      <c r="E1296" s="138" t="s">
        <v>4005</v>
      </c>
      <c r="F1296" s="138" t="s">
        <v>3948</v>
      </c>
      <c r="G1296" s="138" t="s">
        <v>3997</v>
      </c>
      <c r="H1296" s="81" t="str">
        <f t="shared" si="110"/>
        <v>TCCN-PTE-PFL-PS1-CF4-SCP-EJE</v>
      </c>
      <c r="I1296" s="138" t="str">
        <f>MID(H1296,1,(LEN(H1296)-VLOOKUP(K1296,datos!$B$2:$C$12,2,0)))</f>
        <v>TCCN-PTE-PFL-PS1-CF4-SCP-EJE</v>
      </c>
      <c r="J1296" s="138" t="s">
        <v>6191</v>
      </c>
      <c r="K1296" s="140">
        <f>VLOOKUP(LEN(SUBSTITUTE(H1296,"-","")),datos!$A$1:$B$12,2,0)</f>
        <v>7</v>
      </c>
      <c r="L1296" s="138"/>
      <c r="M1296" s="138" t="s">
        <v>0</v>
      </c>
    </row>
    <row r="1297" spans="1:13" x14ac:dyDescent="0.35">
      <c r="A1297" s="137" t="s">
        <v>487</v>
      </c>
      <c r="B1297" s="137" t="s">
        <v>3809</v>
      </c>
      <c r="C1297" s="137" t="s">
        <v>3983</v>
      </c>
      <c r="D1297" s="137" t="s">
        <v>4008</v>
      </c>
      <c r="E1297" s="137" t="s">
        <v>4005</v>
      </c>
      <c r="F1297" s="137" t="s">
        <v>3824</v>
      </c>
      <c r="G1297" s="137"/>
      <c r="H1297" s="82" t="str">
        <f t="shared" si="110"/>
        <v>TCCN-PTE-PFL-PS1-CF4-SES-</v>
      </c>
      <c r="I1297" s="137" t="str">
        <f>MID(H1297,1,(LEN(H1297)-VLOOKUP(K1297,datos!$B$2:$C$12,2,0)))</f>
        <v>TCCN-PTE-PFL-PS1-CF4-SES</v>
      </c>
      <c r="J1297" s="137" t="s">
        <v>6192</v>
      </c>
      <c r="K1297" s="139">
        <f>VLOOKUP(LEN(SUBSTITUTE(H1297,"-","")),datos!$A$1:$B$12,2,0)</f>
        <v>6</v>
      </c>
      <c r="L1297" s="137"/>
      <c r="M1297" s="137" t="s">
        <v>0</v>
      </c>
    </row>
    <row r="1298" spans="1:13" x14ac:dyDescent="0.35">
      <c r="A1298" s="138" t="s">
        <v>487</v>
      </c>
      <c r="B1298" s="138" t="s">
        <v>3809</v>
      </c>
      <c r="C1298" s="138" t="s">
        <v>3983</v>
      </c>
      <c r="D1298" s="138" t="s">
        <v>4008</v>
      </c>
      <c r="E1298" s="138" t="s">
        <v>4005</v>
      </c>
      <c r="F1298" s="138" t="s">
        <v>3824</v>
      </c>
      <c r="G1298" s="138" t="s">
        <v>3998</v>
      </c>
      <c r="H1298" s="81" t="str">
        <f t="shared" si="110"/>
        <v>TCCN-PTE-PFL-PS1-CF4-SES-BYG</v>
      </c>
      <c r="I1298" s="138" t="str">
        <f>MID(H1298,1,(LEN(H1298)-VLOOKUP(K1298,datos!$B$2:$C$12,2,0)))</f>
        <v>TCCN-PTE-PFL-PS1-CF4-SES-BYG</v>
      </c>
      <c r="J1298" s="138" t="s">
        <v>8021</v>
      </c>
      <c r="K1298" s="140">
        <f>VLOOKUP(LEN(SUBSTITUTE(H1298,"-","")),datos!$A$1:$B$12,2,0)</f>
        <v>7</v>
      </c>
      <c r="L1298" s="138"/>
      <c r="M1298" s="138" t="s">
        <v>0</v>
      </c>
    </row>
    <row r="1299" spans="1:13" x14ac:dyDescent="0.35">
      <c r="A1299" s="138" t="s">
        <v>487</v>
      </c>
      <c r="B1299" s="138" t="s">
        <v>3809</v>
      </c>
      <c r="C1299" s="138" t="s">
        <v>3983</v>
      </c>
      <c r="D1299" s="138" t="s">
        <v>4008</v>
      </c>
      <c r="E1299" s="138" t="s">
        <v>4005</v>
      </c>
      <c r="F1299" s="138" t="s">
        <v>3824</v>
      </c>
      <c r="G1299" s="138" t="s">
        <v>3999</v>
      </c>
      <c r="H1299" s="81" t="str">
        <f t="shared" si="110"/>
        <v>TCCN-PTE-PFL-PS1-CF4-SES-RDP</v>
      </c>
      <c r="I1299" s="138" t="str">
        <f>MID(H1299,1,(LEN(H1299)-VLOOKUP(K1299,datos!$B$2:$C$12,2,0)))</f>
        <v>TCCN-PTE-PFL-PS1-CF4-SES-RDP</v>
      </c>
      <c r="J1299" s="138" t="s">
        <v>6193</v>
      </c>
      <c r="K1299" s="140">
        <f>VLOOKUP(LEN(SUBSTITUTE(H1299,"-","")),datos!$A$1:$B$12,2,0)</f>
        <v>7</v>
      </c>
      <c r="L1299" s="138"/>
      <c r="M1299" s="138" t="s">
        <v>0</v>
      </c>
    </row>
    <row r="1300" spans="1:13" x14ac:dyDescent="0.35">
      <c r="A1300" s="138" t="s">
        <v>487</v>
      </c>
      <c r="B1300" s="138" t="s">
        <v>3809</v>
      </c>
      <c r="C1300" s="138" t="s">
        <v>3983</v>
      </c>
      <c r="D1300" s="138" t="s">
        <v>4008</v>
      </c>
      <c r="E1300" s="138" t="s">
        <v>4005</v>
      </c>
      <c r="F1300" s="138" t="s">
        <v>3824</v>
      </c>
      <c r="G1300" s="138" t="s">
        <v>3853</v>
      </c>
      <c r="H1300" s="81" t="str">
        <f t="shared" si="110"/>
        <v>TCCN-PTE-PFL-PS1-CF4-SES-EST</v>
      </c>
      <c r="I1300" s="138" t="str">
        <f>MID(H1300,1,(LEN(H1300)-VLOOKUP(K1300,datos!$B$2:$C$12,2,0)))</f>
        <v>TCCN-PTE-PFL-PS1-CF4-SES-EST</v>
      </c>
      <c r="J1300" s="138" t="s">
        <v>6194</v>
      </c>
      <c r="K1300" s="140">
        <f>VLOOKUP(LEN(SUBSTITUTE(H1300,"-","")),datos!$A$1:$B$12,2,0)</f>
        <v>7</v>
      </c>
      <c r="L1300" s="138"/>
      <c r="M1300" s="138" t="s">
        <v>0</v>
      </c>
    </row>
    <row r="1301" spans="1:13" x14ac:dyDescent="0.35">
      <c r="A1301" s="138" t="s">
        <v>487</v>
      </c>
      <c r="B1301" s="138" t="s">
        <v>3809</v>
      </c>
      <c r="C1301" s="138" t="s">
        <v>3983</v>
      </c>
      <c r="D1301" s="138" t="s">
        <v>4008</v>
      </c>
      <c r="E1301" s="138" t="s">
        <v>4005</v>
      </c>
      <c r="F1301" s="138" t="s">
        <v>3824</v>
      </c>
      <c r="G1301" s="138" t="s">
        <v>4000</v>
      </c>
      <c r="H1301" s="81" t="str">
        <f t="shared" si="110"/>
        <v>TCCN-PTE-PFL-PS1-CF4-SES-CRW</v>
      </c>
      <c r="I1301" s="138" t="str">
        <f>MID(H1301,1,(LEN(H1301)-VLOOKUP(K1301,datos!$B$2:$C$12,2,0)))</f>
        <v>TCCN-PTE-PFL-PS1-CF4-SES-CRW</v>
      </c>
      <c r="J1301" s="138" t="s">
        <v>6195</v>
      </c>
      <c r="K1301" s="140">
        <f>VLOOKUP(LEN(SUBSTITUTE(H1301,"-","")),datos!$A$1:$B$12,2,0)</f>
        <v>7</v>
      </c>
      <c r="L1301" s="138"/>
      <c r="M1301" s="138" t="s">
        <v>0</v>
      </c>
    </row>
    <row r="1302" spans="1:13" x14ac:dyDescent="0.35">
      <c r="A1302" s="137" t="s">
        <v>487</v>
      </c>
      <c r="B1302" s="137" t="s">
        <v>3809</v>
      </c>
      <c r="C1302" s="137" t="s">
        <v>3983</v>
      </c>
      <c r="D1302" s="137" t="s">
        <v>4008</v>
      </c>
      <c r="E1302" s="137" t="s">
        <v>4005</v>
      </c>
      <c r="F1302" s="137" t="s">
        <v>3847</v>
      </c>
      <c r="G1302" s="137"/>
      <c r="H1302" s="82" t="str">
        <f t="shared" si="110"/>
        <v>TCCN-PTE-PFL-PS1-CF4-SMO-</v>
      </c>
      <c r="I1302" s="137" t="str">
        <f>MID(H1302,1,(LEN(H1302)-VLOOKUP(K1302,datos!$B$2:$C$12,2,0)))</f>
        <v>TCCN-PTE-PFL-PS1-CF4-SMO</v>
      </c>
      <c r="J1302" s="137" t="s">
        <v>6196</v>
      </c>
      <c r="K1302" s="139">
        <f>VLOOKUP(LEN(SUBSTITUTE(H1302,"-","")),datos!$A$1:$B$12,2,0)</f>
        <v>6</v>
      </c>
      <c r="L1302" s="137"/>
      <c r="M1302" s="137" t="s">
        <v>0</v>
      </c>
    </row>
    <row r="1303" spans="1:13" x14ac:dyDescent="0.35">
      <c r="A1303" s="138" t="s">
        <v>487</v>
      </c>
      <c r="B1303" s="138" t="s">
        <v>3809</v>
      </c>
      <c r="C1303" s="138" t="s">
        <v>3983</v>
      </c>
      <c r="D1303" s="138" t="s">
        <v>4008</v>
      </c>
      <c r="E1303" s="138" t="s">
        <v>4005</v>
      </c>
      <c r="F1303" s="138" t="s">
        <v>3847</v>
      </c>
      <c r="G1303" s="138" t="s">
        <v>3819</v>
      </c>
      <c r="H1303" s="81" t="str">
        <f t="shared" si="110"/>
        <v>TCCN-PTE-PFL-PS1-CF4-SMO-MOE</v>
      </c>
      <c r="I1303" s="138" t="str">
        <f>MID(H1303,1,(LEN(H1303)-VLOOKUP(K1303,datos!$B$2:$C$12,2,0)))</f>
        <v>TCCN-PTE-PFL-PS1-CF4-SMO-MOE</v>
      </c>
      <c r="J1303" s="138" t="s">
        <v>6197</v>
      </c>
      <c r="K1303" s="140">
        <f>VLOOKUP(LEN(SUBSTITUTE(H1303,"-","")),datos!$A$1:$B$12,2,0)</f>
        <v>7</v>
      </c>
      <c r="L1303" s="138" t="s">
        <v>198</v>
      </c>
      <c r="M1303" s="138" t="s">
        <v>0</v>
      </c>
    </row>
    <row r="1304" spans="1:13" x14ac:dyDescent="0.35">
      <c r="A1304" s="138" t="s">
        <v>487</v>
      </c>
      <c r="B1304" s="138" t="s">
        <v>3809</v>
      </c>
      <c r="C1304" s="138" t="s">
        <v>3983</v>
      </c>
      <c r="D1304" s="138" t="s">
        <v>4008</v>
      </c>
      <c r="E1304" s="138" t="s">
        <v>4005</v>
      </c>
      <c r="F1304" s="138" t="s">
        <v>3847</v>
      </c>
      <c r="G1304" s="138" t="s">
        <v>3864</v>
      </c>
      <c r="H1304" s="81" t="str">
        <f t="shared" si="110"/>
        <v>TCCN-PTE-PFL-PS1-CF4-SMO-PMO</v>
      </c>
      <c r="I1304" s="138" t="str">
        <f>MID(H1304,1,(LEN(H1304)-VLOOKUP(K1304,datos!$B$2:$C$12,2,0)))</f>
        <v>TCCN-PTE-PFL-PS1-CF4-SMO-PMO</v>
      </c>
      <c r="J1304" s="138" t="s">
        <v>6198</v>
      </c>
      <c r="K1304" s="140">
        <f>VLOOKUP(LEN(SUBSTITUTE(H1304,"-","")),datos!$A$1:$B$12,2,0)</f>
        <v>7</v>
      </c>
      <c r="L1304" s="138"/>
      <c r="M1304" s="138" t="s">
        <v>0</v>
      </c>
    </row>
    <row r="1305" spans="1:13" x14ac:dyDescent="0.35">
      <c r="A1305" s="138" t="s">
        <v>487</v>
      </c>
      <c r="B1305" s="138" t="s">
        <v>3809</v>
      </c>
      <c r="C1305" s="138" t="s">
        <v>3983</v>
      </c>
      <c r="D1305" s="138" t="s">
        <v>4008</v>
      </c>
      <c r="E1305" s="138" t="s">
        <v>4005</v>
      </c>
      <c r="F1305" s="138" t="s">
        <v>3847</v>
      </c>
      <c r="G1305" s="138" t="s">
        <v>8116</v>
      </c>
      <c r="H1305" s="81" t="str">
        <f t="shared" si="110"/>
        <v>TCCN-PTE-PFL-PS1-CF4-SMO-PLE</v>
      </c>
      <c r="I1305" s="138" t="str">
        <f>MID(H1305,1,(LEN(H1305)-VLOOKUP(K1305,datos!$B$2:$C$12,2,0)))</f>
        <v>TCCN-PTE-PFL-PS1-CF4-SMO-PLE</v>
      </c>
      <c r="J1305" s="138" t="s">
        <v>6199</v>
      </c>
      <c r="K1305" s="140">
        <f>VLOOKUP(LEN(SUBSTITUTE(H1305,"-","")),datos!$A$1:$B$12,2,0)</f>
        <v>7</v>
      </c>
      <c r="L1305" s="138"/>
      <c r="M1305" s="138" t="s">
        <v>0</v>
      </c>
    </row>
    <row r="1306" spans="1:13" x14ac:dyDescent="0.35">
      <c r="A1306" s="138" t="s">
        <v>487</v>
      </c>
      <c r="B1306" s="138" t="s">
        <v>3809</v>
      </c>
      <c r="C1306" s="138" t="s">
        <v>3983</v>
      </c>
      <c r="D1306" s="138" t="s">
        <v>4008</v>
      </c>
      <c r="E1306" s="138" t="s">
        <v>4005</v>
      </c>
      <c r="F1306" s="138" t="s">
        <v>3847</v>
      </c>
      <c r="G1306" s="138" t="s">
        <v>5688</v>
      </c>
      <c r="H1306" s="81" t="str">
        <f t="shared" si="110"/>
        <v>TCCN-PTE-PFL-PS1-CF4-SMO-PRP</v>
      </c>
      <c r="I1306" s="138" t="str">
        <f>MID(H1306,1,(LEN(H1306)-VLOOKUP(K1306,datos!$B$2:$C$12,2,0)))</f>
        <v>TCCN-PTE-PFL-PS1-CF4-SMO-PRP</v>
      </c>
      <c r="J1306" s="138" t="s">
        <v>6200</v>
      </c>
      <c r="K1306" s="140">
        <f>VLOOKUP(LEN(SUBSTITUTE(H1306,"-","")),datos!$A$1:$B$12,2,0)</f>
        <v>7</v>
      </c>
      <c r="L1306" s="138"/>
      <c r="M1306" s="138" t="s">
        <v>0</v>
      </c>
    </row>
    <row r="1307" spans="1:13" x14ac:dyDescent="0.35">
      <c r="A1307" s="137" t="s">
        <v>487</v>
      </c>
      <c r="B1307" s="137" t="s">
        <v>3809</v>
      </c>
      <c r="C1307" s="137" t="s">
        <v>3983</v>
      </c>
      <c r="D1307" s="137" t="s">
        <v>4008</v>
      </c>
      <c r="E1307" s="137" t="s">
        <v>4005</v>
      </c>
      <c r="F1307" s="137" t="s">
        <v>3831</v>
      </c>
      <c r="G1307" s="137"/>
      <c r="H1307" s="82" t="str">
        <f t="shared" si="110"/>
        <v>TCCN-PTE-PFL-PS1-CF4-INS-</v>
      </c>
      <c r="I1307" s="137" t="str">
        <f>MID(H1307,1,(LEN(H1307)-VLOOKUP(K1307,datos!$B$2:$C$12,2,0)))</f>
        <v>TCCN-PTE-PFL-PS1-CF4-INS</v>
      </c>
      <c r="J1307" s="137" t="s">
        <v>6201</v>
      </c>
      <c r="K1307" s="139">
        <f>VLOOKUP(LEN(SUBSTITUTE(H1307,"-","")),datos!$A$1:$B$12,2,0)</f>
        <v>6</v>
      </c>
      <c r="L1307" s="137"/>
      <c r="M1307" s="137" t="s">
        <v>0</v>
      </c>
    </row>
    <row r="1308" spans="1:13" x14ac:dyDescent="0.35">
      <c r="A1308" s="138" t="s">
        <v>487</v>
      </c>
      <c r="B1308" s="138" t="s">
        <v>3809</v>
      </c>
      <c r="C1308" s="138" t="s">
        <v>3983</v>
      </c>
      <c r="D1308" s="138" t="s">
        <v>4008</v>
      </c>
      <c r="E1308" s="138" t="s">
        <v>4005</v>
      </c>
      <c r="F1308" s="138" t="s">
        <v>3831</v>
      </c>
      <c r="G1308" s="138" t="s">
        <v>4075</v>
      </c>
      <c r="H1308" s="81" t="str">
        <f t="shared" ref="H1308:H1309" si="111">CONCATENATE(A1308,"-",B1308,"-",C1308,"-",D1308,"-",E1308,"-",F1308,"-",G1308)</f>
        <v>TCCN-PTE-PFL-PS1-CF4-INS-VVA</v>
      </c>
      <c r="I1308" s="138" t="str">
        <f>MID(H1308,1,(LEN(H1308)-VLOOKUP(K1308,datos!$B$2:$C$12,2,0)))</f>
        <v>TCCN-PTE-PFL-PS1-CF4-INS-VVA</v>
      </c>
      <c r="J1308" s="138" t="s">
        <v>7772</v>
      </c>
      <c r="K1308" s="140">
        <f>VLOOKUP(LEN(SUBSTITUTE(H1308,"-","")),datos!$A$1:$B$12,2,0)</f>
        <v>7</v>
      </c>
      <c r="L1308" s="138" t="s">
        <v>7774</v>
      </c>
      <c r="M1308" s="138" t="s">
        <v>0</v>
      </c>
    </row>
    <row r="1309" spans="1:13" x14ac:dyDescent="0.35">
      <c r="A1309" s="138" t="s">
        <v>487</v>
      </c>
      <c r="B1309" s="138" t="s">
        <v>3809</v>
      </c>
      <c r="C1309" s="138" t="s">
        <v>3983</v>
      </c>
      <c r="D1309" s="138" t="s">
        <v>4008</v>
      </c>
      <c r="E1309" s="138" t="s">
        <v>4005</v>
      </c>
      <c r="F1309" s="138" t="s">
        <v>3831</v>
      </c>
      <c r="G1309" s="138" t="s">
        <v>4002</v>
      </c>
      <c r="H1309" s="81" t="str">
        <f t="shared" si="111"/>
        <v>TCCN-PTE-PFL-PS1-CF4-INS-FJM</v>
      </c>
      <c r="I1309" s="138" t="str">
        <f>MID(H1309,1,(LEN(H1309)-VLOOKUP(K1309,datos!$B$2:$C$12,2,0)))</f>
        <v>TCCN-PTE-PFL-PS1-CF4-INS-FJM</v>
      </c>
      <c r="J1309" s="138" t="s">
        <v>7773</v>
      </c>
      <c r="K1309" s="140">
        <f>VLOOKUP(LEN(SUBSTITUTE(H1309,"-","")),datos!$A$1:$B$12,2,0)</f>
        <v>7</v>
      </c>
      <c r="L1309" s="138" t="s">
        <v>7775</v>
      </c>
      <c r="M1309" s="138" t="s">
        <v>0</v>
      </c>
    </row>
    <row r="1310" spans="1:13" x14ac:dyDescent="0.35">
      <c r="A1310" s="137" t="s">
        <v>487</v>
      </c>
      <c r="B1310" s="137" t="s">
        <v>3809</v>
      </c>
      <c r="C1310" s="137" t="s">
        <v>3983</v>
      </c>
      <c r="D1310" s="137" t="s">
        <v>4008</v>
      </c>
      <c r="E1310" s="137" t="s">
        <v>4005</v>
      </c>
      <c r="F1310" s="137" t="s">
        <v>3869</v>
      </c>
      <c r="G1310" s="137"/>
      <c r="H1310" s="82" t="str">
        <f t="shared" si="110"/>
        <v>TCCN-PTE-PFL-PS1-CF4-SCE-</v>
      </c>
      <c r="I1310" s="137" t="str">
        <f>MID(H1310,1,(LEN(H1310)-VLOOKUP(K1310,datos!$B$2:$C$12,2,0)))</f>
        <v>TCCN-PTE-PFL-PS1-CF4-SCE</v>
      </c>
      <c r="J1310" s="137" t="s">
        <v>6202</v>
      </c>
      <c r="K1310" s="139">
        <f>VLOOKUP(LEN(SUBSTITUTE(H1310,"-","")),datos!$A$1:$B$12,2,0)</f>
        <v>6</v>
      </c>
      <c r="L1310" s="137"/>
      <c r="M1310" s="137" t="s">
        <v>0</v>
      </c>
    </row>
    <row r="1311" spans="1:13" x14ac:dyDescent="0.35">
      <c r="A1311" s="138" t="s">
        <v>487</v>
      </c>
      <c r="B1311" s="138" t="s">
        <v>3809</v>
      </c>
      <c r="C1311" s="138" t="s">
        <v>3983</v>
      </c>
      <c r="D1311" s="138" t="s">
        <v>4008</v>
      </c>
      <c r="E1311" s="138" t="s">
        <v>4005</v>
      </c>
      <c r="F1311" s="138" t="s">
        <v>3869</v>
      </c>
      <c r="G1311" s="138" t="s">
        <v>3870</v>
      </c>
      <c r="H1311" s="81" t="str">
        <f t="shared" si="110"/>
        <v>TCCN-PTE-PFL-PS1-CF4-SCE-BTN</v>
      </c>
      <c r="I1311" s="138" t="str">
        <f>MID(H1311,1,(LEN(H1311)-VLOOKUP(K1311,datos!$B$2:$C$12,2,0)))</f>
        <v>TCCN-PTE-PFL-PS1-CF4-SCE-BTN</v>
      </c>
      <c r="J1311" s="138" t="s">
        <v>6203</v>
      </c>
      <c r="K1311" s="140">
        <f>VLOOKUP(LEN(SUBSTITUTE(H1311,"-","")),datos!$A$1:$B$12,2,0)</f>
        <v>7</v>
      </c>
      <c r="L1311" s="138"/>
      <c r="M1311" s="138" t="s">
        <v>0</v>
      </c>
    </row>
    <row r="1312" spans="1:13" customFormat="1" ht="14.5" x14ac:dyDescent="0.35">
      <c r="A1312" s="129" t="s">
        <v>487</v>
      </c>
      <c r="B1312" s="129" t="s">
        <v>3809</v>
      </c>
      <c r="C1312" s="129" t="s">
        <v>3983</v>
      </c>
      <c r="D1312" s="129" t="s">
        <v>4008</v>
      </c>
      <c r="E1312" s="129" t="s">
        <v>4006</v>
      </c>
      <c r="F1312" s="129"/>
      <c r="G1312" s="129"/>
      <c r="H1312" s="83" t="str">
        <f t="shared" si="110"/>
        <v>TCCN-PTE-PFL-PS1-CF5--</v>
      </c>
      <c r="I1312" s="129" t="str">
        <f>MID(H1312,1,(LEN(H1312)-VLOOKUP(K1312,datos!$B$2:$C$12,2,0)))</f>
        <v>TCCN-PTE-PFL-PS1-CF5</v>
      </c>
      <c r="J1312" s="129" t="s">
        <v>454</v>
      </c>
      <c r="K1312" s="130">
        <f>VLOOKUP(LEN(SUBSTITUTE(H1312,"-","")),datos!$A$1:$B$12,2,0)</f>
        <v>5</v>
      </c>
      <c r="L1312" s="129" t="s">
        <v>199</v>
      </c>
      <c r="M1312" s="129" t="s">
        <v>0</v>
      </c>
    </row>
    <row r="1313" spans="1:13" x14ac:dyDescent="0.35">
      <c r="A1313" s="137" t="s">
        <v>487</v>
      </c>
      <c r="B1313" s="137" t="s">
        <v>3809</v>
      </c>
      <c r="C1313" s="137" t="s">
        <v>3983</v>
      </c>
      <c r="D1313" s="137" t="s">
        <v>4008</v>
      </c>
      <c r="E1313" s="137" t="s">
        <v>4006</v>
      </c>
      <c r="F1313" s="137" t="s">
        <v>3948</v>
      </c>
      <c r="G1313" s="137"/>
      <c r="H1313" s="82" t="str">
        <f t="shared" si="110"/>
        <v>TCCN-PTE-PFL-PS1-CF5-SCP-</v>
      </c>
      <c r="I1313" s="137" t="str">
        <f>MID(H1313,1,(LEN(H1313)-VLOOKUP(K1313,datos!$B$2:$C$12,2,0)))</f>
        <v>TCCN-PTE-PFL-PS1-CF5-SCP</v>
      </c>
      <c r="J1313" s="137" t="s">
        <v>6168</v>
      </c>
      <c r="K1313" s="139">
        <f>VLOOKUP(LEN(SUBSTITUTE(H1313,"-","")),datos!$A$1:$B$12,2,0)</f>
        <v>6</v>
      </c>
      <c r="L1313" s="137"/>
      <c r="M1313" s="137" t="s">
        <v>0</v>
      </c>
    </row>
    <row r="1314" spans="1:13" x14ac:dyDescent="0.35">
      <c r="A1314" s="138" t="s">
        <v>487</v>
      </c>
      <c r="B1314" s="138" t="s">
        <v>3809</v>
      </c>
      <c r="C1314" s="138" t="s">
        <v>3983</v>
      </c>
      <c r="D1314" s="138" t="s">
        <v>4008</v>
      </c>
      <c r="E1314" s="138" t="s">
        <v>4006</v>
      </c>
      <c r="F1314" s="138" t="s">
        <v>3948</v>
      </c>
      <c r="G1314" s="138" t="s">
        <v>3993</v>
      </c>
      <c r="H1314" s="81" t="str">
        <f t="shared" si="110"/>
        <v>TCCN-PTE-PFL-PS1-CF5-SCP-POR</v>
      </c>
      <c r="I1314" s="138" t="str">
        <f>MID(H1314,1,(LEN(H1314)-VLOOKUP(K1314,datos!$B$2:$C$12,2,0)))</f>
        <v>TCCN-PTE-PFL-PS1-CF5-SCP-POR</v>
      </c>
      <c r="J1314" s="138" t="s">
        <v>6169</v>
      </c>
      <c r="K1314" s="140">
        <f>VLOOKUP(LEN(SUBSTITUTE(H1314,"-","")),datos!$A$1:$B$12,2,0)</f>
        <v>7</v>
      </c>
      <c r="L1314" s="138"/>
      <c r="M1314" s="138" t="s">
        <v>0</v>
      </c>
    </row>
    <row r="1315" spans="1:13" x14ac:dyDescent="0.35">
      <c r="A1315" s="138" t="s">
        <v>487</v>
      </c>
      <c r="B1315" s="138" t="s">
        <v>3809</v>
      </c>
      <c r="C1315" s="138" t="s">
        <v>3983</v>
      </c>
      <c r="D1315" s="138" t="s">
        <v>4008</v>
      </c>
      <c r="E1315" s="138" t="s">
        <v>4006</v>
      </c>
      <c r="F1315" s="138" t="s">
        <v>3948</v>
      </c>
      <c r="G1315" s="138" t="s">
        <v>3994</v>
      </c>
      <c r="H1315" s="81" t="str">
        <f t="shared" si="110"/>
        <v>TCCN-PTE-PFL-PS1-CF5-SCP-RTO</v>
      </c>
      <c r="I1315" s="138" t="str">
        <f>MID(H1315,1,(LEN(H1315)-VLOOKUP(K1315,datos!$B$2:$C$12,2,0)))</f>
        <v>TCCN-PTE-PFL-PS1-CF5-SCP-RTO</v>
      </c>
      <c r="J1315" s="138" t="s">
        <v>6170</v>
      </c>
      <c r="K1315" s="140">
        <f>VLOOKUP(LEN(SUBSTITUTE(H1315,"-","")),datos!$A$1:$B$12,2,0)</f>
        <v>7</v>
      </c>
      <c r="L1315" s="138"/>
      <c r="M1315" s="138" t="s">
        <v>0</v>
      </c>
    </row>
    <row r="1316" spans="1:13" x14ac:dyDescent="0.35">
      <c r="A1316" s="138" t="s">
        <v>487</v>
      </c>
      <c r="B1316" s="138" t="s">
        <v>3809</v>
      </c>
      <c r="C1316" s="138" t="s">
        <v>3983</v>
      </c>
      <c r="D1316" s="138" t="s">
        <v>4008</v>
      </c>
      <c r="E1316" s="138" t="s">
        <v>4006</v>
      </c>
      <c r="F1316" s="138" t="s">
        <v>3948</v>
      </c>
      <c r="G1316" s="138" t="s">
        <v>3995</v>
      </c>
      <c r="H1316" s="81" t="str">
        <f t="shared" si="110"/>
        <v>TCCN-PTE-PFL-PS1-CF5-SCP-ETT</v>
      </c>
      <c r="I1316" s="138" t="str">
        <f>MID(H1316,1,(LEN(H1316)-VLOOKUP(K1316,datos!$B$2:$C$12,2,0)))</f>
        <v>TCCN-PTE-PFL-PS1-CF5-SCP-ETT</v>
      </c>
      <c r="J1316" s="138" t="s">
        <v>6171</v>
      </c>
      <c r="K1316" s="140">
        <f>VLOOKUP(LEN(SUBSTITUTE(H1316,"-","")),datos!$A$1:$B$12,2,0)</f>
        <v>7</v>
      </c>
      <c r="L1316" s="138"/>
      <c r="M1316" s="138" t="s">
        <v>0</v>
      </c>
    </row>
    <row r="1317" spans="1:13" x14ac:dyDescent="0.35">
      <c r="A1317" s="138" t="s">
        <v>487</v>
      </c>
      <c r="B1317" s="138" t="s">
        <v>3809</v>
      </c>
      <c r="C1317" s="138" t="s">
        <v>3983</v>
      </c>
      <c r="D1317" s="138" t="s">
        <v>4008</v>
      </c>
      <c r="E1317" s="138" t="s">
        <v>4006</v>
      </c>
      <c r="F1317" s="138" t="s">
        <v>3948</v>
      </c>
      <c r="G1317" s="138" t="s">
        <v>3996</v>
      </c>
      <c r="H1317" s="81" t="str">
        <f t="shared" si="110"/>
        <v>TCCN-PTE-PFL-PS1-CF5-SCP-DDT</v>
      </c>
      <c r="I1317" s="138" t="str">
        <f>MID(H1317,1,(LEN(H1317)-VLOOKUP(K1317,datos!$B$2:$C$12,2,0)))</f>
        <v>TCCN-PTE-PFL-PS1-CF5-SCP-DDT</v>
      </c>
      <c r="J1317" s="138" t="s">
        <v>6172</v>
      </c>
      <c r="K1317" s="140">
        <f>VLOOKUP(LEN(SUBSTITUTE(H1317,"-","")),datos!$A$1:$B$12,2,0)</f>
        <v>7</v>
      </c>
      <c r="L1317" s="138"/>
      <c r="M1317" s="138" t="s">
        <v>0</v>
      </c>
    </row>
    <row r="1318" spans="1:13" x14ac:dyDescent="0.35">
      <c r="A1318" s="138" t="s">
        <v>487</v>
      </c>
      <c r="B1318" s="138" t="s">
        <v>3809</v>
      </c>
      <c r="C1318" s="138" t="s">
        <v>3983</v>
      </c>
      <c r="D1318" s="138" t="s">
        <v>4008</v>
      </c>
      <c r="E1318" s="138" t="s">
        <v>4006</v>
      </c>
      <c r="F1318" s="138" t="s">
        <v>3948</v>
      </c>
      <c r="G1318" s="138" t="s">
        <v>3997</v>
      </c>
      <c r="H1318" s="81" t="str">
        <f t="shared" si="110"/>
        <v>TCCN-PTE-PFL-PS1-CF5-SCP-EJE</v>
      </c>
      <c r="I1318" s="138" t="str">
        <f>MID(H1318,1,(LEN(H1318)-VLOOKUP(K1318,datos!$B$2:$C$12,2,0)))</f>
        <v>TCCN-PTE-PFL-PS1-CF5-SCP-EJE</v>
      </c>
      <c r="J1318" s="138" t="s">
        <v>6173</v>
      </c>
      <c r="K1318" s="140">
        <f>VLOOKUP(LEN(SUBSTITUTE(H1318,"-","")),datos!$A$1:$B$12,2,0)</f>
        <v>7</v>
      </c>
      <c r="L1318" s="138"/>
      <c r="M1318" s="138" t="s">
        <v>0</v>
      </c>
    </row>
    <row r="1319" spans="1:13" x14ac:dyDescent="0.35">
      <c r="A1319" s="137" t="s">
        <v>487</v>
      </c>
      <c r="B1319" s="137" t="s">
        <v>3809</v>
      </c>
      <c r="C1319" s="137" t="s">
        <v>3983</v>
      </c>
      <c r="D1319" s="137" t="s">
        <v>4008</v>
      </c>
      <c r="E1319" s="137" t="s">
        <v>4006</v>
      </c>
      <c r="F1319" s="137" t="s">
        <v>3824</v>
      </c>
      <c r="G1319" s="137"/>
      <c r="H1319" s="82" t="str">
        <f t="shared" si="110"/>
        <v>TCCN-PTE-PFL-PS1-CF5-SES-</v>
      </c>
      <c r="I1319" s="137" t="str">
        <f>MID(H1319,1,(LEN(H1319)-VLOOKUP(K1319,datos!$B$2:$C$12,2,0)))</f>
        <v>TCCN-PTE-PFL-PS1-CF5-SES</v>
      </c>
      <c r="J1319" s="137" t="s">
        <v>6174</v>
      </c>
      <c r="K1319" s="139">
        <f>VLOOKUP(LEN(SUBSTITUTE(H1319,"-","")),datos!$A$1:$B$12,2,0)</f>
        <v>6</v>
      </c>
      <c r="L1319" s="137"/>
      <c r="M1319" s="137" t="s">
        <v>0</v>
      </c>
    </row>
    <row r="1320" spans="1:13" x14ac:dyDescent="0.35">
      <c r="A1320" s="138" t="s">
        <v>487</v>
      </c>
      <c r="B1320" s="138" t="s">
        <v>3809</v>
      </c>
      <c r="C1320" s="138" t="s">
        <v>3983</v>
      </c>
      <c r="D1320" s="138" t="s">
        <v>4008</v>
      </c>
      <c r="E1320" s="138" t="s">
        <v>4006</v>
      </c>
      <c r="F1320" s="138" t="s">
        <v>3824</v>
      </c>
      <c r="G1320" s="138" t="s">
        <v>3998</v>
      </c>
      <c r="H1320" s="81" t="str">
        <f t="shared" ref="H1320:H1378" si="112">CONCATENATE(A1320,"-",B1320,"-",C1320,"-",D1320,"-",E1320,"-",F1320,"-",G1320)</f>
        <v>TCCN-PTE-PFL-PS1-CF5-SES-BYG</v>
      </c>
      <c r="I1320" s="138" t="str">
        <f>MID(H1320,1,(LEN(H1320)-VLOOKUP(K1320,datos!$B$2:$C$12,2,0)))</f>
        <v>TCCN-PTE-PFL-PS1-CF5-SES-BYG</v>
      </c>
      <c r="J1320" s="138" t="s">
        <v>8022</v>
      </c>
      <c r="K1320" s="140">
        <f>VLOOKUP(LEN(SUBSTITUTE(H1320,"-","")),datos!$A$1:$B$12,2,0)</f>
        <v>7</v>
      </c>
      <c r="L1320" s="138"/>
      <c r="M1320" s="138" t="s">
        <v>0</v>
      </c>
    </row>
    <row r="1321" spans="1:13" x14ac:dyDescent="0.35">
      <c r="A1321" s="138" t="s">
        <v>487</v>
      </c>
      <c r="B1321" s="138" t="s">
        <v>3809</v>
      </c>
      <c r="C1321" s="138" t="s">
        <v>3983</v>
      </c>
      <c r="D1321" s="138" t="s">
        <v>4008</v>
      </c>
      <c r="E1321" s="138" t="s">
        <v>4006</v>
      </c>
      <c r="F1321" s="138" t="s">
        <v>3824</v>
      </c>
      <c r="G1321" s="138" t="s">
        <v>3999</v>
      </c>
      <c r="H1321" s="81" t="str">
        <f t="shared" si="112"/>
        <v>TCCN-PTE-PFL-PS1-CF5-SES-RDP</v>
      </c>
      <c r="I1321" s="138" t="str">
        <f>MID(H1321,1,(LEN(H1321)-VLOOKUP(K1321,datos!$B$2:$C$12,2,0)))</f>
        <v>TCCN-PTE-PFL-PS1-CF5-SES-RDP</v>
      </c>
      <c r="J1321" s="138" t="s">
        <v>6175</v>
      </c>
      <c r="K1321" s="140">
        <f>VLOOKUP(LEN(SUBSTITUTE(H1321,"-","")),datos!$A$1:$B$12,2,0)</f>
        <v>7</v>
      </c>
      <c r="L1321" s="138"/>
      <c r="M1321" s="138" t="s">
        <v>0</v>
      </c>
    </row>
    <row r="1322" spans="1:13" x14ac:dyDescent="0.35">
      <c r="A1322" s="138" t="s">
        <v>487</v>
      </c>
      <c r="B1322" s="138" t="s">
        <v>3809</v>
      </c>
      <c r="C1322" s="138" t="s">
        <v>3983</v>
      </c>
      <c r="D1322" s="138" t="s">
        <v>4008</v>
      </c>
      <c r="E1322" s="138" t="s">
        <v>4006</v>
      </c>
      <c r="F1322" s="138" t="s">
        <v>3824</v>
      </c>
      <c r="G1322" s="138" t="s">
        <v>3853</v>
      </c>
      <c r="H1322" s="81" t="str">
        <f t="shared" si="112"/>
        <v>TCCN-PTE-PFL-PS1-CF5-SES-EST</v>
      </c>
      <c r="I1322" s="138" t="str">
        <f>MID(H1322,1,(LEN(H1322)-VLOOKUP(K1322,datos!$B$2:$C$12,2,0)))</f>
        <v>TCCN-PTE-PFL-PS1-CF5-SES-EST</v>
      </c>
      <c r="J1322" s="138" t="s">
        <v>6176</v>
      </c>
      <c r="K1322" s="140">
        <f>VLOOKUP(LEN(SUBSTITUTE(H1322,"-","")),datos!$A$1:$B$12,2,0)</f>
        <v>7</v>
      </c>
      <c r="L1322" s="138"/>
      <c r="M1322" s="138" t="s">
        <v>0</v>
      </c>
    </row>
    <row r="1323" spans="1:13" x14ac:dyDescent="0.35">
      <c r="A1323" s="138" t="s">
        <v>487</v>
      </c>
      <c r="B1323" s="138" t="s">
        <v>3809</v>
      </c>
      <c r="C1323" s="138" t="s">
        <v>3983</v>
      </c>
      <c r="D1323" s="138" t="s">
        <v>4008</v>
      </c>
      <c r="E1323" s="138" t="s">
        <v>4006</v>
      </c>
      <c r="F1323" s="138" t="s">
        <v>3824</v>
      </c>
      <c r="G1323" s="138" t="s">
        <v>4000</v>
      </c>
      <c r="H1323" s="81" t="str">
        <f t="shared" si="112"/>
        <v>TCCN-PTE-PFL-PS1-CF5-SES-CRW</v>
      </c>
      <c r="I1323" s="138" t="str">
        <f>MID(H1323,1,(LEN(H1323)-VLOOKUP(K1323,datos!$B$2:$C$12,2,0)))</f>
        <v>TCCN-PTE-PFL-PS1-CF5-SES-CRW</v>
      </c>
      <c r="J1323" s="138" t="s">
        <v>6177</v>
      </c>
      <c r="K1323" s="140">
        <f>VLOOKUP(LEN(SUBSTITUTE(H1323,"-","")),datos!$A$1:$B$12,2,0)</f>
        <v>7</v>
      </c>
      <c r="L1323" s="138"/>
      <c r="M1323" s="138" t="s">
        <v>0</v>
      </c>
    </row>
    <row r="1324" spans="1:13" x14ac:dyDescent="0.35">
      <c r="A1324" s="137" t="s">
        <v>487</v>
      </c>
      <c r="B1324" s="137" t="s">
        <v>3809</v>
      </c>
      <c r="C1324" s="137" t="s">
        <v>3983</v>
      </c>
      <c r="D1324" s="137" t="s">
        <v>4008</v>
      </c>
      <c r="E1324" s="137" t="s">
        <v>4006</v>
      </c>
      <c r="F1324" s="137" t="s">
        <v>3847</v>
      </c>
      <c r="G1324" s="137"/>
      <c r="H1324" s="82" t="str">
        <f t="shared" si="112"/>
        <v>TCCN-PTE-PFL-PS1-CF5-SMO-</v>
      </c>
      <c r="I1324" s="137" t="str">
        <f>MID(H1324,1,(LEN(H1324)-VLOOKUP(K1324,datos!$B$2:$C$12,2,0)))</f>
        <v>TCCN-PTE-PFL-PS1-CF5-SMO</v>
      </c>
      <c r="J1324" s="137" t="s">
        <v>6178</v>
      </c>
      <c r="K1324" s="139">
        <f>VLOOKUP(LEN(SUBSTITUTE(H1324,"-","")),datos!$A$1:$B$12,2,0)</f>
        <v>6</v>
      </c>
      <c r="L1324" s="137"/>
      <c r="M1324" s="137" t="s">
        <v>0</v>
      </c>
    </row>
    <row r="1325" spans="1:13" x14ac:dyDescent="0.35">
      <c r="A1325" s="138" t="s">
        <v>487</v>
      </c>
      <c r="B1325" s="138" t="s">
        <v>3809</v>
      </c>
      <c r="C1325" s="138" t="s">
        <v>3983</v>
      </c>
      <c r="D1325" s="138" t="s">
        <v>4008</v>
      </c>
      <c r="E1325" s="138" t="s">
        <v>4006</v>
      </c>
      <c r="F1325" s="138" t="s">
        <v>3847</v>
      </c>
      <c r="G1325" s="138" t="s">
        <v>3819</v>
      </c>
      <c r="H1325" s="81" t="str">
        <f t="shared" si="112"/>
        <v>TCCN-PTE-PFL-PS1-CF5-SMO-MOE</v>
      </c>
      <c r="I1325" s="138" t="str">
        <f>MID(H1325,1,(LEN(H1325)-VLOOKUP(K1325,datos!$B$2:$C$12,2,0)))</f>
        <v>TCCN-PTE-PFL-PS1-CF5-SMO-MOE</v>
      </c>
      <c r="J1325" s="138" t="s">
        <v>6179</v>
      </c>
      <c r="K1325" s="140">
        <f>VLOOKUP(LEN(SUBSTITUTE(H1325,"-","")),datos!$A$1:$B$12,2,0)</f>
        <v>7</v>
      </c>
      <c r="L1325" s="138" t="s">
        <v>200</v>
      </c>
      <c r="M1325" s="138" t="s">
        <v>0</v>
      </c>
    </row>
    <row r="1326" spans="1:13" x14ac:dyDescent="0.35">
      <c r="A1326" s="138" t="s">
        <v>487</v>
      </c>
      <c r="B1326" s="138" t="s">
        <v>3809</v>
      </c>
      <c r="C1326" s="138" t="s">
        <v>3983</v>
      </c>
      <c r="D1326" s="138" t="s">
        <v>4008</v>
      </c>
      <c r="E1326" s="138" t="s">
        <v>4006</v>
      </c>
      <c r="F1326" s="138" t="s">
        <v>3847</v>
      </c>
      <c r="G1326" s="138" t="s">
        <v>3864</v>
      </c>
      <c r="H1326" s="81" t="str">
        <f t="shared" si="112"/>
        <v>TCCN-PTE-PFL-PS1-CF5-SMO-PMO</v>
      </c>
      <c r="I1326" s="138" t="str">
        <f>MID(H1326,1,(LEN(H1326)-VLOOKUP(K1326,datos!$B$2:$C$12,2,0)))</f>
        <v>TCCN-PTE-PFL-PS1-CF5-SMO-PMO</v>
      </c>
      <c r="J1326" s="138" t="s">
        <v>6180</v>
      </c>
      <c r="K1326" s="140">
        <f>VLOOKUP(LEN(SUBSTITUTE(H1326,"-","")),datos!$A$1:$B$12,2,0)</f>
        <v>7</v>
      </c>
      <c r="L1326" s="138"/>
      <c r="M1326" s="138" t="s">
        <v>0</v>
      </c>
    </row>
    <row r="1327" spans="1:13" x14ac:dyDescent="0.35">
      <c r="A1327" s="138" t="s">
        <v>487</v>
      </c>
      <c r="B1327" s="138" t="s">
        <v>3809</v>
      </c>
      <c r="C1327" s="138" t="s">
        <v>3983</v>
      </c>
      <c r="D1327" s="138" t="s">
        <v>4008</v>
      </c>
      <c r="E1327" s="138" t="s">
        <v>4006</v>
      </c>
      <c r="F1327" s="138" t="s">
        <v>3847</v>
      </c>
      <c r="G1327" s="138" t="s">
        <v>8116</v>
      </c>
      <c r="H1327" s="81" t="str">
        <f t="shared" si="112"/>
        <v>TCCN-PTE-PFL-PS1-CF5-SMO-PLE</v>
      </c>
      <c r="I1327" s="138" t="str">
        <f>MID(H1327,1,(LEN(H1327)-VLOOKUP(K1327,datos!$B$2:$C$12,2,0)))</f>
        <v>TCCN-PTE-PFL-PS1-CF5-SMO-PLE</v>
      </c>
      <c r="J1327" s="138" t="s">
        <v>6181</v>
      </c>
      <c r="K1327" s="140">
        <f>VLOOKUP(LEN(SUBSTITUTE(H1327,"-","")),datos!$A$1:$B$12,2,0)</f>
        <v>7</v>
      </c>
      <c r="L1327" s="138"/>
      <c r="M1327" s="138" t="s">
        <v>0</v>
      </c>
    </row>
    <row r="1328" spans="1:13" x14ac:dyDescent="0.35">
      <c r="A1328" s="138" t="s">
        <v>487</v>
      </c>
      <c r="B1328" s="138" t="s">
        <v>3809</v>
      </c>
      <c r="C1328" s="138" t="s">
        <v>3983</v>
      </c>
      <c r="D1328" s="138" t="s">
        <v>4008</v>
      </c>
      <c r="E1328" s="138" t="s">
        <v>4006</v>
      </c>
      <c r="F1328" s="138" t="s">
        <v>3847</v>
      </c>
      <c r="G1328" s="138" t="s">
        <v>5688</v>
      </c>
      <c r="H1328" s="81" t="str">
        <f t="shared" si="112"/>
        <v>TCCN-PTE-PFL-PS1-CF5-SMO-PRP</v>
      </c>
      <c r="I1328" s="138" t="str">
        <f>MID(H1328,1,(LEN(H1328)-VLOOKUP(K1328,datos!$B$2:$C$12,2,0)))</f>
        <v>TCCN-PTE-PFL-PS1-CF5-SMO-PRP</v>
      </c>
      <c r="J1328" s="138" t="s">
        <v>6182</v>
      </c>
      <c r="K1328" s="140">
        <f>VLOOKUP(LEN(SUBSTITUTE(H1328,"-","")),datos!$A$1:$B$12,2,0)</f>
        <v>7</v>
      </c>
      <c r="L1328" s="138"/>
      <c r="M1328" s="138" t="s">
        <v>0</v>
      </c>
    </row>
    <row r="1329" spans="1:13" x14ac:dyDescent="0.35">
      <c r="A1329" s="137" t="s">
        <v>487</v>
      </c>
      <c r="B1329" s="137" t="s">
        <v>3809</v>
      </c>
      <c r="C1329" s="137" t="s">
        <v>3983</v>
      </c>
      <c r="D1329" s="137" t="s">
        <v>4008</v>
      </c>
      <c r="E1329" s="137" t="s">
        <v>4006</v>
      </c>
      <c r="F1329" s="137" t="s">
        <v>3831</v>
      </c>
      <c r="G1329" s="137"/>
      <c r="H1329" s="82" t="str">
        <f t="shared" si="112"/>
        <v>TCCN-PTE-PFL-PS1-CF5-INS-</v>
      </c>
      <c r="I1329" s="137" t="str">
        <f>MID(H1329,1,(LEN(H1329)-VLOOKUP(K1329,datos!$B$2:$C$12,2,0)))</f>
        <v>TCCN-PTE-PFL-PS1-CF5-INS</v>
      </c>
      <c r="J1329" s="137" t="s">
        <v>6183</v>
      </c>
      <c r="K1329" s="139">
        <f>VLOOKUP(LEN(SUBSTITUTE(H1329,"-","")),datos!$A$1:$B$12,2,0)</f>
        <v>6</v>
      </c>
      <c r="L1329" s="137"/>
      <c r="M1329" s="137" t="s">
        <v>0</v>
      </c>
    </row>
    <row r="1330" spans="1:13" x14ac:dyDescent="0.35">
      <c r="A1330" s="138" t="s">
        <v>487</v>
      </c>
      <c r="B1330" s="138" t="s">
        <v>3809</v>
      </c>
      <c r="C1330" s="138" t="s">
        <v>3983</v>
      </c>
      <c r="D1330" s="138" t="s">
        <v>4008</v>
      </c>
      <c r="E1330" s="138" t="s">
        <v>4006</v>
      </c>
      <c r="F1330" s="138" t="s">
        <v>3831</v>
      </c>
      <c r="G1330" s="138" t="s">
        <v>4075</v>
      </c>
      <c r="H1330" s="81" t="str">
        <f t="shared" si="112"/>
        <v>TCCN-PTE-PFL-PS1-CF5-INS-VVA</v>
      </c>
      <c r="I1330" s="138" t="str">
        <f>MID(H1330,1,(LEN(H1330)-VLOOKUP(K1330,datos!$B$2:$C$12,2,0)))</f>
        <v>TCCN-PTE-PFL-PS1-CF5-INS-VVA</v>
      </c>
      <c r="J1330" s="138" t="s">
        <v>7776</v>
      </c>
      <c r="K1330" s="140">
        <f>VLOOKUP(LEN(SUBSTITUTE(H1330,"-","")),datos!$A$1:$B$12,2,0)</f>
        <v>7</v>
      </c>
      <c r="L1330" s="138" t="s">
        <v>7778</v>
      </c>
      <c r="M1330" s="138" t="s">
        <v>0</v>
      </c>
    </row>
    <row r="1331" spans="1:13" x14ac:dyDescent="0.35">
      <c r="A1331" s="138" t="s">
        <v>487</v>
      </c>
      <c r="B1331" s="138" t="s">
        <v>3809</v>
      </c>
      <c r="C1331" s="138" t="s">
        <v>3983</v>
      </c>
      <c r="D1331" s="138" t="s">
        <v>4008</v>
      </c>
      <c r="E1331" s="138" t="s">
        <v>4006</v>
      </c>
      <c r="F1331" s="138" t="s">
        <v>3831</v>
      </c>
      <c r="G1331" s="138" t="s">
        <v>5256</v>
      </c>
      <c r="H1331" s="81" t="str">
        <f t="shared" si="112"/>
        <v>TCCN-PTE-PFL-PS1-CF5-INS-MNV</v>
      </c>
      <c r="I1331" s="138" t="str">
        <f>MID(H1331,1,(LEN(H1331)-VLOOKUP(K1331,datos!$B$2:$C$12,2,0)))</f>
        <v>TCCN-PTE-PFL-PS1-CF5-INS-MNV</v>
      </c>
      <c r="J1331" s="138" t="s">
        <v>7721</v>
      </c>
      <c r="K1331" s="140">
        <f>VLOOKUP(LEN(SUBSTITUTE(H1331,"-","")),datos!$A$1:$B$12,2,0)</f>
        <v>7</v>
      </c>
      <c r="L1331" s="138" t="s">
        <v>7779</v>
      </c>
      <c r="M1331" s="138" t="s">
        <v>0</v>
      </c>
    </row>
    <row r="1332" spans="1:13" x14ac:dyDescent="0.35">
      <c r="A1332" s="138" t="s">
        <v>487</v>
      </c>
      <c r="B1332" s="138" t="s">
        <v>3809</v>
      </c>
      <c r="C1332" s="138" t="s">
        <v>3983</v>
      </c>
      <c r="D1332" s="138" t="s">
        <v>4008</v>
      </c>
      <c r="E1332" s="138" t="s">
        <v>4006</v>
      </c>
      <c r="F1332" s="138" t="s">
        <v>3831</v>
      </c>
      <c r="G1332" s="138" t="s">
        <v>4002</v>
      </c>
      <c r="H1332" s="81" t="str">
        <f t="shared" si="112"/>
        <v>TCCN-PTE-PFL-PS1-CF5-INS-FJM</v>
      </c>
      <c r="I1332" s="138" t="str">
        <f>MID(H1332,1,(LEN(H1332)-VLOOKUP(K1332,datos!$B$2:$C$12,2,0)))</f>
        <v>TCCN-PTE-PFL-PS1-CF5-INS-FJM</v>
      </c>
      <c r="J1332" s="138" t="s">
        <v>7777</v>
      </c>
      <c r="K1332" s="140">
        <f>VLOOKUP(LEN(SUBSTITUTE(H1332,"-","")),datos!$A$1:$B$12,2,0)</f>
        <v>7</v>
      </c>
      <c r="L1332" s="138" t="s">
        <v>7780</v>
      </c>
      <c r="M1332" s="138" t="s">
        <v>0</v>
      </c>
    </row>
    <row r="1333" spans="1:13" x14ac:dyDescent="0.35">
      <c r="A1333" s="137" t="s">
        <v>487</v>
      </c>
      <c r="B1333" s="137" t="s">
        <v>3809</v>
      </c>
      <c r="C1333" s="137" t="s">
        <v>3983</v>
      </c>
      <c r="D1333" s="137" t="s">
        <v>4008</v>
      </c>
      <c r="E1333" s="137" t="s">
        <v>4006</v>
      </c>
      <c r="F1333" s="137" t="s">
        <v>3869</v>
      </c>
      <c r="G1333" s="137"/>
      <c r="H1333" s="82" t="str">
        <f t="shared" si="112"/>
        <v>TCCN-PTE-PFL-PS1-CF5-SCE-</v>
      </c>
      <c r="I1333" s="137" t="str">
        <f>MID(H1333,1,(LEN(H1333)-VLOOKUP(K1333,datos!$B$2:$C$12,2,0)))</f>
        <v>TCCN-PTE-PFL-PS1-CF5-SCE</v>
      </c>
      <c r="J1333" s="137" t="s">
        <v>6184</v>
      </c>
      <c r="K1333" s="139">
        <f>VLOOKUP(LEN(SUBSTITUTE(H1333,"-","")),datos!$A$1:$B$12,2,0)</f>
        <v>6</v>
      </c>
      <c r="L1333" s="137"/>
      <c r="M1333" s="137" t="s">
        <v>0</v>
      </c>
    </row>
    <row r="1334" spans="1:13" x14ac:dyDescent="0.35">
      <c r="A1334" s="138" t="s">
        <v>487</v>
      </c>
      <c r="B1334" s="138" t="s">
        <v>3809</v>
      </c>
      <c r="C1334" s="138" t="s">
        <v>3983</v>
      </c>
      <c r="D1334" s="138" t="s">
        <v>4008</v>
      </c>
      <c r="E1334" s="138" t="s">
        <v>4006</v>
      </c>
      <c r="F1334" s="138" t="s">
        <v>3869</v>
      </c>
      <c r="G1334" s="138" t="s">
        <v>3870</v>
      </c>
      <c r="H1334" s="81" t="str">
        <f t="shared" si="112"/>
        <v>TCCN-PTE-PFL-PS1-CF5-SCE-BTN</v>
      </c>
      <c r="I1334" s="138" t="str">
        <f>MID(H1334,1,(LEN(H1334)-VLOOKUP(K1334,datos!$B$2:$C$12,2,0)))</f>
        <v>TCCN-PTE-PFL-PS1-CF5-SCE-BTN</v>
      </c>
      <c r="J1334" s="138" t="s">
        <v>6185</v>
      </c>
      <c r="K1334" s="140">
        <f>VLOOKUP(LEN(SUBSTITUTE(H1334,"-","")),datos!$A$1:$B$12,2,0)</f>
        <v>7</v>
      </c>
      <c r="L1334" s="138"/>
      <c r="M1334" s="138" t="s">
        <v>0</v>
      </c>
    </row>
    <row r="1335" spans="1:13" customFormat="1" ht="14.5" x14ac:dyDescent="0.35">
      <c r="A1335" s="129" t="s">
        <v>487</v>
      </c>
      <c r="B1335" s="129" t="s">
        <v>3809</v>
      </c>
      <c r="C1335" s="129" t="s">
        <v>3983</v>
      </c>
      <c r="D1335" s="129" t="s">
        <v>4008</v>
      </c>
      <c r="E1335" s="129" t="s">
        <v>3966</v>
      </c>
      <c r="F1335" s="129"/>
      <c r="G1335" s="129"/>
      <c r="H1335" s="83" t="str">
        <f t="shared" si="112"/>
        <v>TCCN-PTE-PFL-PS1-CB2--</v>
      </c>
      <c r="I1335" s="129" t="str">
        <f>MID(H1335,1,(LEN(H1335)-VLOOKUP(K1335,datos!$B$2:$C$12,2,0)))</f>
        <v>TCCN-PTE-PFL-PS1-CB2</v>
      </c>
      <c r="J1335" s="129" t="s">
        <v>7730</v>
      </c>
      <c r="K1335" s="130">
        <f>VLOOKUP(LEN(SUBSTITUTE(H1335,"-","")),datos!$A$1:$B$12,2,0)</f>
        <v>5</v>
      </c>
      <c r="L1335" s="129"/>
      <c r="M1335" s="129" t="s">
        <v>0</v>
      </c>
    </row>
    <row r="1336" spans="1:13" x14ac:dyDescent="0.35">
      <c r="A1336" s="137" t="s">
        <v>487</v>
      </c>
      <c r="B1336" s="137" t="s">
        <v>3809</v>
      </c>
      <c r="C1336" s="137" t="s">
        <v>3983</v>
      </c>
      <c r="D1336" s="137" t="s">
        <v>4008</v>
      </c>
      <c r="E1336" s="137" t="s">
        <v>3966</v>
      </c>
      <c r="F1336" s="137" t="s">
        <v>3831</v>
      </c>
      <c r="G1336" s="137"/>
      <c r="H1336" s="82" t="str">
        <f t="shared" si="112"/>
        <v>TCCN-PTE-PFL-PS1-CB2-INS-</v>
      </c>
      <c r="I1336" s="137" t="str">
        <f>MID(H1336,1,(LEN(H1336)-VLOOKUP(K1336,datos!$B$2:$C$12,2,0)))</f>
        <v>TCCN-PTE-PFL-PS1-CB2-INS</v>
      </c>
      <c r="J1336" s="137" t="s">
        <v>7729</v>
      </c>
      <c r="K1336" s="139">
        <f>VLOOKUP(LEN(SUBSTITUTE(H1336,"-","")),datos!$A$1:$B$12,2,0)</f>
        <v>6</v>
      </c>
      <c r="L1336" s="137"/>
      <c r="M1336" s="137" t="s">
        <v>0</v>
      </c>
    </row>
    <row r="1337" spans="1:13" x14ac:dyDescent="0.35">
      <c r="A1337" s="138" t="s">
        <v>487</v>
      </c>
      <c r="B1337" s="138" t="s">
        <v>3809</v>
      </c>
      <c r="C1337" s="138" t="s">
        <v>3983</v>
      </c>
      <c r="D1337" s="138" t="s">
        <v>4008</v>
      </c>
      <c r="E1337" s="138" t="s">
        <v>3966</v>
      </c>
      <c r="F1337" s="138" t="s">
        <v>3831</v>
      </c>
      <c r="G1337" s="138" t="s">
        <v>3986</v>
      </c>
      <c r="H1337" s="81" t="str">
        <f t="shared" si="112"/>
        <v>TCCN-PTE-PFL-PS1-CB2-INS-VV1</v>
      </c>
      <c r="I1337" s="138" t="str">
        <f>MID(H1337,1,(LEN(H1337)-VLOOKUP(K1337,datos!$B$2:$C$12,2,0)))</f>
        <v>TCCN-PTE-PFL-PS1-CB2-INS-VV1</v>
      </c>
      <c r="J1337" s="138" t="s">
        <v>7727</v>
      </c>
      <c r="K1337" s="140">
        <f>VLOOKUP(LEN(SUBSTITUTE(H1337,"-","")),datos!$A$1:$B$12,2,0)</f>
        <v>7</v>
      </c>
      <c r="L1337" s="138" t="s">
        <v>7781</v>
      </c>
      <c r="M1337" s="138" t="s">
        <v>0</v>
      </c>
    </row>
    <row r="1338" spans="1:13" x14ac:dyDescent="0.35">
      <c r="A1338" s="138" t="s">
        <v>487</v>
      </c>
      <c r="B1338" s="138" t="s">
        <v>3809</v>
      </c>
      <c r="C1338" s="138" t="s">
        <v>3983</v>
      </c>
      <c r="D1338" s="138" t="s">
        <v>4008</v>
      </c>
      <c r="E1338" s="138" t="s">
        <v>3966</v>
      </c>
      <c r="F1338" s="138" t="s">
        <v>3831</v>
      </c>
      <c r="G1338" s="138" t="s">
        <v>3987</v>
      </c>
      <c r="H1338" s="81" t="str">
        <f t="shared" si="112"/>
        <v>TCCN-PTE-PFL-PS1-CB2-INS-VV2</v>
      </c>
      <c r="I1338" s="138" t="str">
        <f>MID(H1338,1,(LEN(H1338)-VLOOKUP(K1338,datos!$B$2:$C$12,2,0)))</f>
        <v>TCCN-PTE-PFL-PS1-CB2-INS-VV2</v>
      </c>
      <c r="J1338" s="138" t="s">
        <v>7728</v>
      </c>
      <c r="K1338" s="140">
        <f>VLOOKUP(LEN(SUBSTITUTE(H1338,"-","")),datos!$A$1:$B$12,2,0)</f>
        <v>7</v>
      </c>
      <c r="L1338" s="138" t="s">
        <v>7782</v>
      </c>
      <c r="M1338" s="138" t="s">
        <v>0</v>
      </c>
    </row>
    <row r="1339" spans="1:13" customFormat="1" ht="14.5" x14ac:dyDescent="0.35">
      <c r="A1339" s="129" t="s">
        <v>487</v>
      </c>
      <c r="B1339" s="129" t="s">
        <v>3809</v>
      </c>
      <c r="C1339" s="129" t="s">
        <v>3983</v>
      </c>
      <c r="D1339" s="129" t="s">
        <v>4008</v>
      </c>
      <c r="E1339" s="129" t="s">
        <v>4009</v>
      </c>
      <c r="F1339" s="129"/>
      <c r="G1339" s="129"/>
      <c r="H1339" s="83" t="str">
        <f t="shared" si="112"/>
        <v>TCCN-PTE-PFL-PS1-CF6--</v>
      </c>
      <c r="I1339" s="129" t="str">
        <f>MID(H1339,1,(LEN(H1339)-VLOOKUP(K1339,datos!$B$2:$C$12,2,0)))</f>
        <v>TCCN-PTE-PFL-PS1-CF6</v>
      </c>
      <c r="J1339" s="129" t="s">
        <v>455</v>
      </c>
      <c r="K1339" s="130">
        <f>VLOOKUP(LEN(SUBSTITUTE(H1339,"-","")),datos!$A$1:$B$12,2,0)</f>
        <v>5</v>
      </c>
      <c r="L1339" s="129" t="s">
        <v>201</v>
      </c>
      <c r="M1339" s="129" t="s">
        <v>0</v>
      </c>
    </row>
    <row r="1340" spans="1:13" x14ac:dyDescent="0.35">
      <c r="A1340" s="137" t="s">
        <v>487</v>
      </c>
      <c r="B1340" s="137" t="s">
        <v>3809</v>
      </c>
      <c r="C1340" s="137" t="s">
        <v>3983</v>
      </c>
      <c r="D1340" s="137" t="s">
        <v>4008</v>
      </c>
      <c r="E1340" s="137" t="s">
        <v>4009</v>
      </c>
      <c r="F1340" s="137" t="s">
        <v>3948</v>
      </c>
      <c r="G1340" s="137"/>
      <c r="H1340" s="82" t="str">
        <f t="shared" si="112"/>
        <v>TCCN-PTE-PFL-PS1-CF6-SCP-</v>
      </c>
      <c r="I1340" s="137" t="str">
        <f>MID(H1340,1,(LEN(H1340)-VLOOKUP(K1340,datos!$B$2:$C$12,2,0)))</f>
        <v>TCCN-PTE-PFL-PS1-CF6-SCP</v>
      </c>
      <c r="J1340" s="137" t="s">
        <v>6150</v>
      </c>
      <c r="K1340" s="139">
        <f>VLOOKUP(LEN(SUBSTITUTE(H1340,"-","")),datos!$A$1:$B$12,2,0)</f>
        <v>6</v>
      </c>
      <c r="L1340" s="137"/>
      <c r="M1340" s="137" t="s">
        <v>0</v>
      </c>
    </row>
    <row r="1341" spans="1:13" x14ac:dyDescent="0.35">
      <c r="A1341" s="138" t="s">
        <v>487</v>
      </c>
      <c r="B1341" s="138" t="s">
        <v>3809</v>
      </c>
      <c r="C1341" s="138" t="s">
        <v>3983</v>
      </c>
      <c r="D1341" s="138" t="s">
        <v>4008</v>
      </c>
      <c r="E1341" s="138" t="s">
        <v>4009</v>
      </c>
      <c r="F1341" s="138" t="s">
        <v>3948</v>
      </c>
      <c r="G1341" s="138" t="s">
        <v>3993</v>
      </c>
      <c r="H1341" s="81" t="str">
        <f t="shared" si="112"/>
        <v>TCCN-PTE-PFL-PS1-CF6-SCP-POR</v>
      </c>
      <c r="I1341" s="138" t="str">
        <f>MID(H1341,1,(LEN(H1341)-VLOOKUP(K1341,datos!$B$2:$C$12,2,0)))</f>
        <v>TCCN-PTE-PFL-PS1-CF6-SCP-POR</v>
      </c>
      <c r="J1341" s="138" t="s">
        <v>6151</v>
      </c>
      <c r="K1341" s="140">
        <f>VLOOKUP(LEN(SUBSTITUTE(H1341,"-","")),datos!$A$1:$B$12,2,0)</f>
        <v>7</v>
      </c>
      <c r="L1341" s="138"/>
      <c r="M1341" s="138" t="s">
        <v>0</v>
      </c>
    </row>
    <row r="1342" spans="1:13" x14ac:dyDescent="0.35">
      <c r="A1342" s="138" t="s">
        <v>487</v>
      </c>
      <c r="B1342" s="138" t="s">
        <v>3809</v>
      </c>
      <c r="C1342" s="138" t="s">
        <v>3983</v>
      </c>
      <c r="D1342" s="138" t="s">
        <v>4008</v>
      </c>
      <c r="E1342" s="138" t="s">
        <v>4009</v>
      </c>
      <c r="F1342" s="138" t="s">
        <v>3948</v>
      </c>
      <c r="G1342" s="138" t="s">
        <v>3994</v>
      </c>
      <c r="H1342" s="81" t="str">
        <f t="shared" si="112"/>
        <v>TCCN-PTE-PFL-PS1-CF6-SCP-RTO</v>
      </c>
      <c r="I1342" s="138" t="str">
        <f>MID(H1342,1,(LEN(H1342)-VLOOKUP(K1342,datos!$B$2:$C$12,2,0)))</f>
        <v>TCCN-PTE-PFL-PS1-CF6-SCP-RTO</v>
      </c>
      <c r="J1342" s="138" t="s">
        <v>6152</v>
      </c>
      <c r="K1342" s="140">
        <f>VLOOKUP(LEN(SUBSTITUTE(H1342,"-","")),datos!$A$1:$B$12,2,0)</f>
        <v>7</v>
      </c>
      <c r="L1342" s="138"/>
      <c r="M1342" s="138" t="s">
        <v>0</v>
      </c>
    </row>
    <row r="1343" spans="1:13" x14ac:dyDescent="0.35">
      <c r="A1343" s="138" t="s">
        <v>487</v>
      </c>
      <c r="B1343" s="138" t="s">
        <v>3809</v>
      </c>
      <c r="C1343" s="138" t="s">
        <v>3983</v>
      </c>
      <c r="D1343" s="138" t="s">
        <v>4008</v>
      </c>
      <c r="E1343" s="138" t="s">
        <v>4009</v>
      </c>
      <c r="F1343" s="138" t="s">
        <v>3948</v>
      </c>
      <c r="G1343" s="138" t="s">
        <v>3995</v>
      </c>
      <c r="H1343" s="81" t="str">
        <f t="shared" si="112"/>
        <v>TCCN-PTE-PFL-PS1-CF6-SCP-ETT</v>
      </c>
      <c r="I1343" s="138" t="str">
        <f>MID(H1343,1,(LEN(H1343)-VLOOKUP(K1343,datos!$B$2:$C$12,2,0)))</f>
        <v>TCCN-PTE-PFL-PS1-CF6-SCP-ETT</v>
      </c>
      <c r="J1343" s="138" t="s">
        <v>6153</v>
      </c>
      <c r="K1343" s="140">
        <f>VLOOKUP(LEN(SUBSTITUTE(H1343,"-","")),datos!$A$1:$B$12,2,0)</f>
        <v>7</v>
      </c>
      <c r="L1343" s="138"/>
      <c r="M1343" s="138" t="s">
        <v>0</v>
      </c>
    </row>
    <row r="1344" spans="1:13" x14ac:dyDescent="0.35">
      <c r="A1344" s="138" t="s">
        <v>487</v>
      </c>
      <c r="B1344" s="138" t="s">
        <v>3809</v>
      </c>
      <c r="C1344" s="138" t="s">
        <v>3983</v>
      </c>
      <c r="D1344" s="138" t="s">
        <v>4008</v>
      </c>
      <c r="E1344" s="138" t="s">
        <v>4009</v>
      </c>
      <c r="F1344" s="138" t="s">
        <v>3948</v>
      </c>
      <c r="G1344" s="138" t="s">
        <v>3996</v>
      </c>
      <c r="H1344" s="81" t="str">
        <f t="shared" si="112"/>
        <v>TCCN-PTE-PFL-PS1-CF6-SCP-DDT</v>
      </c>
      <c r="I1344" s="138" t="str">
        <f>MID(H1344,1,(LEN(H1344)-VLOOKUP(K1344,datos!$B$2:$C$12,2,0)))</f>
        <v>TCCN-PTE-PFL-PS1-CF6-SCP-DDT</v>
      </c>
      <c r="J1344" s="138" t="s">
        <v>6154</v>
      </c>
      <c r="K1344" s="140">
        <f>VLOOKUP(LEN(SUBSTITUTE(H1344,"-","")),datos!$A$1:$B$12,2,0)</f>
        <v>7</v>
      </c>
      <c r="L1344" s="138"/>
      <c r="M1344" s="138" t="s">
        <v>0</v>
      </c>
    </row>
    <row r="1345" spans="1:13" x14ac:dyDescent="0.35">
      <c r="A1345" s="138" t="s">
        <v>487</v>
      </c>
      <c r="B1345" s="138" t="s">
        <v>3809</v>
      </c>
      <c r="C1345" s="138" t="s">
        <v>3983</v>
      </c>
      <c r="D1345" s="138" t="s">
        <v>4008</v>
      </c>
      <c r="E1345" s="138" t="s">
        <v>4009</v>
      </c>
      <c r="F1345" s="138" t="s">
        <v>3948</v>
      </c>
      <c r="G1345" s="138" t="s">
        <v>3997</v>
      </c>
      <c r="H1345" s="81" t="str">
        <f t="shared" si="112"/>
        <v>TCCN-PTE-PFL-PS1-CF6-SCP-EJE</v>
      </c>
      <c r="I1345" s="138" t="str">
        <f>MID(H1345,1,(LEN(H1345)-VLOOKUP(K1345,datos!$B$2:$C$12,2,0)))</f>
        <v>TCCN-PTE-PFL-PS1-CF6-SCP-EJE</v>
      </c>
      <c r="J1345" s="138" t="s">
        <v>6155</v>
      </c>
      <c r="K1345" s="140">
        <f>VLOOKUP(LEN(SUBSTITUTE(H1345,"-","")),datos!$A$1:$B$12,2,0)</f>
        <v>7</v>
      </c>
      <c r="L1345" s="138"/>
      <c r="M1345" s="138" t="s">
        <v>0</v>
      </c>
    </row>
    <row r="1346" spans="1:13" x14ac:dyDescent="0.35">
      <c r="A1346" s="137" t="s">
        <v>487</v>
      </c>
      <c r="B1346" s="137" t="s">
        <v>3809</v>
      </c>
      <c r="C1346" s="137" t="s">
        <v>3983</v>
      </c>
      <c r="D1346" s="137" t="s">
        <v>4008</v>
      </c>
      <c r="E1346" s="137" t="s">
        <v>4009</v>
      </c>
      <c r="F1346" s="137" t="s">
        <v>3824</v>
      </c>
      <c r="G1346" s="137"/>
      <c r="H1346" s="82" t="str">
        <f t="shared" si="112"/>
        <v>TCCN-PTE-PFL-PS1-CF6-SES-</v>
      </c>
      <c r="I1346" s="137" t="str">
        <f>MID(H1346,1,(LEN(H1346)-VLOOKUP(K1346,datos!$B$2:$C$12,2,0)))</f>
        <v>TCCN-PTE-PFL-PS1-CF6-SES</v>
      </c>
      <c r="J1346" s="137" t="s">
        <v>6156</v>
      </c>
      <c r="K1346" s="139">
        <f>VLOOKUP(LEN(SUBSTITUTE(H1346,"-","")),datos!$A$1:$B$12,2,0)</f>
        <v>6</v>
      </c>
      <c r="L1346" s="137"/>
      <c r="M1346" s="137" t="s">
        <v>0</v>
      </c>
    </row>
    <row r="1347" spans="1:13" x14ac:dyDescent="0.35">
      <c r="A1347" s="138" t="s">
        <v>487</v>
      </c>
      <c r="B1347" s="138" t="s">
        <v>3809</v>
      </c>
      <c r="C1347" s="138" t="s">
        <v>3983</v>
      </c>
      <c r="D1347" s="138" t="s">
        <v>4008</v>
      </c>
      <c r="E1347" s="138" t="s">
        <v>4009</v>
      </c>
      <c r="F1347" s="138" t="s">
        <v>3824</v>
      </c>
      <c r="G1347" s="138" t="s">
        <v>3998</v>
      </c>
      <c r="H1347" s="81" t="str">
        <f t="shared" si="112"/>
        <v>TCCN-PTE-PFL-PS1-CF6-SES-BYG</v>
      </c>
      <c r="I1347" s="138" t="str">
        <f>MID(H1347,1,(LEN(H1347)-VLOOKUP(K1347,datos!$B$2:$C$12,2,0)))</f>
        <v>TCCN-PTE-PFL-PS1-CF6-SES-BYG</v>
      </c>
      <c r="J1347" s="138" t="s">
        <v>8023</v>
      </c>
      <c r="K1347" s="140">
        <f>VLOOKUP(LEN(SUBSTITUTE(H1347,"-","")),datos!$A$1:$B$12,2,0)</f>
        <v>7</v>
      </c>
      <c r="L1347" s="138"/>
      <c r="M1347" s="138" t="s">
        <v>0</v>
      </c>
    </row>
    <row r="1348" spans="1:13" x14ac:dyDescent="0.35">
      <c r="A1348" s="138" t="s">
        <v>487</v>
      </c>
      <c r="B1348" s="138" t="s">
        <v>3809</v>
      </c>
      <c r="C1348" s="138" t="s">
        <v>3983</v>
      </c>
      <c r="D1348" s="138" t="s">
        <v>4008</v>
      </c>
      <c r="E1348" s="138" t="s">
        <v>4009</v>
      </c>
      <c r="F1348" s="138" t="s">
        <v>3824</v>
      </c>
      <c r="G1348" s="138" t="s">
        <v>3999</v>
      </c>
      <c r="H1348" s="81" t="str">
        <f t="shared" si="112"/>
        <v>TCCN-PTE-PFL-PS1-CF6-SES-RDP</v>
      </c>
      <c r="I1348" s="138" t="str">
        <f>MID(H1348,1,(LEN(H1348)-VLOOKUP(K1348,datos!$B$2:$C$12,2,0)))</f>
        <v>TCCN-PTE-PFL-PS1-CF6-SES-RDP</v>
      </c>
      <c r="J1348" s="138" t="s">
        <v>6157</v>
      </c>
      <c r="K1348" s="140">
        <f>VLOOKUP(LEN(SUBSTITUTE(H1348,"-","")),datos!$A$1:$B$12,2,0)</f>
        <v>7</v>
      </c>
      <c r="L1348" s="138"/>
      <c r="M1348" s="138" t="s">
        <v>0</v>
      </c>
    </row>
    <row r="1349" spans="1:13" x14ac:dyDescent="0.35">
      <c r="A1349" s="138" t="s">
        <v>487</v>
      </c>
      <c r="B1349" s="138" t="s">
        <v>3809</v>
      </c>
      <c r="C1349" s="138" t="s">
        <v>3983</v>
      </c>
      <c r="D1349" s="138" t="s">
        <v>4008</v>
      </c>
      <c r="E1349" s="138" t="s">
        <v>4009</v>
      </c>
      <c r="F1349" s="138" t="s">
        <v>3824</v>
      </c>
      <c r="G1349" s="138" t="s">
        <v>3853</v>
      </c>
      <c r="H1349" s="81" t="str">
        <f t="shared" si="112"/>
        <v>TCCN-PTE-PFL-PS1-CF6-SES-EST</v>
      </c>
      <c r="I1349" s="138" t="str">
        <f>MID(H1349,1,(LEN(H1349)-VLOOKUP(K1349,datos!$B$2:$C$12,2,0)))</f>
        <v>TCCN-PTE-PFL-PS1-CF6-SES-EST</v>
      </c>
      <c r="J1349" s="138" t="s">
        <v>6158</v>
      </c>
      <c r="K1349" s="140">
        <f>VLOOKUP(LEN(SUBSTITUTE(H1349,"-","")),datos!$A$1:$B$12,2,0)</f>
        <v>7</v>
      </c>
      <c r="L1349" s="138"/>
      <c r="M1349" s="138" t="s">
        <v>0</v>
      </c>
    </row>
    <row r="1350" spans="1:13" x14ac:dyDescent="0.35">
      <c r="A1350" s="138" t="s">
        <v>487</v>
      </c>
      <c r="B1350" s="138" t="s">
        <v>3809</v>
      </c>
      <c r="C1350" s="138" t="s">
        <v>3983</v>
      </c>
      <c r="D1350" s="138" t="s">
        <v>4008</v>
      </c>
      <c r="E1350" s="138" t="s">
        <v>4009</v>
      </c>
      <c r="F1350" s="138" t="s">
        <v>3824</v>
      </c>
      <c r="G1350" s="138" t="s">
        <v>4000</v>
      </c>
      <c r="H1350" s="81" t="str">
        <f t="shared" si="112"/>
        <v>TCCN-PTE-PFL-PS1-CF6-SES-CRW</v>
      </c>
      <c r="I1350" s="138" t="str">
        <f>MID(H1350,1,(LEN(H1350)-VLOOKUP(K1350,datos!$B$2:$C$12,2,0)))</f>
        <v>TCCN-PTE-PFL-PS1-CF6-SES-CRW</v>
      </c>
      <c r="J1350" s="138" t="s">
        <v>6159</v>
      </c>
      <c r="K1350" s="140">
        <f>VLOOKUP(LEN(SUBSTITUTE(H1350,"-","")),datos!$A$1:$B$12,2,0)</f>
        <v>7</v>
      </c>
      <c r="L1350" s="138"/>
      <c r="M1350" s="138" t="s">
        <v>0</v>
      </c>
    </row>
    <row r="1351" spans="1:13" x14ac:dyDescent="0.35">
      <c r="A1351" s="137" t="s">
        <v>487</v>
      </c>
      <c r="B1351" s="137" t="s">
        <v>3809</v>
      </c>
      <c r="C1351" s="137" t="s">
        <v>3983</v>
      </c>
      <c r="D1351" s="137" t="s">
        <v>4008</v>
      </c>
      <c r="E1351" s="137" t="s">
        <v>4009</v>
      </c>
      <c r="F1351" s="137" t="s">
        <v>3847</v>
      </c>
      <c r="G1351" s="137"/>
      <c r="H1351" s="82" t="str">
        <f t="shared" si="112"/>
        <v>TCCN-PTE-PFL-PS1-CF6-SMO-</v>
      </c>
      <c r="I1351" s="137" t="str">
        <f>MID(H1351,1,(LEN(H1351)-VLOOKUP(K1351,datos!$B$2:$C$12,2,0)))</f>
        <v>TCCN-PTE-PFL-PS1-CF6-SMO</v>
      </c>
      <c r="J1351" s="137" t="s">
        <v>6160</v>
      </c>
      <c r="K1351" s="139">
        <f>VLOOKUP(LEN(SUBSTITUTE(H1351,"-","")),datos!$A$1:$B$12,2,0)</f>
        <v>6</v>
      </c>
      <c r="L1351" s="137"/>
      <c r="M1351" s="137" t="s">
        <v>0</v>
      </c>
    </row>
    <row r="1352" spans="1:13" x14ac:dyDescent="0.35">
      <c r="A1352" s="138" t="s">
        <v>487</v>
      </c>
      <c r="B1352" s="138" t="s">
        <v>3809</v>
      </c>
      <c r="C1352" s="138" t="s">
        <v>3983</v>
      </c>
      <c r="D1352" s="138" t="s">
        <v>4008</v>
      </c>
      <c r="E1352" s="138" t="s">
        <v>4009</v>
      </c>
      <c r="F1352" s="138" t="s">
        <v>3847</v>
      </c>
      <c r="G1352" s="138" t="s">
        <v>3819</v>
      </c>
      <c r="H1352" s="81" t="str">
        <f t="shared" si="112"/>
        <v>TCCN-PTE-PFL-PS1-CF6-SMO-MOE</v>
      </c>
      <c r="I1352" s="138" t="str">
        <f>MID(H1352,1,(LEN(H1352)-VLOOKUP(K1352,datos!$B$2:$C$12,2,0)))</f>
        <v>TCCN-PTE-PFL-PS1-CF6-SMO-MOE</v>
      </c>
      <c r="J1352" s="138" t="s">
        <v>6161</v>
      </c>
      <c r="K1352" s="140">
        <f>VLOOKUP(LEN(SUBSTITUTE(H1352,"-","")),datos!$A$1:$B$12,2,0)</f>
        <v>7</v>
      </c>
      <c r="L1352" s="138" t="s">
        <v>202</v>
      </c>
      <c r="M1352" s="138" t="s">
        <v>0</v>
      </c>
    </row>
    <row r="1353" spans="1:13" x14ac:dyDescent="0.35">
      <c r="A1353" s="138" t="s">
        <v>487</v>
      </c>
      <c r="B1353" s="138" t="s">
        <v>3809</v>
      </c>
      <c r="C1353" s="138" t="s">
        <v>3983</v>
      </c>
      <c r="D1353" s="138" t="s">
        <v>4008</v>
      </c>
      <c r="E1353" s="138" t="s">
        <v>4009</v>
      </c>
      <c r="F1353" s="138" t="s">
        <v>3847</v>
      </c>
      <c r="G1353" s="138" t="s">
        <v>3864</v>
      </c>
      <c r="H1353" s="81" t="str">
        <f t="shared" si="112"/>
        <v>TCCN-PTE-PFL-PS1-CF6-SMO-PMO</v>
      </c>
      <c r="I1353" s="138" t="str">
        <f>MID(H1353,1,(LEN(H1353)-VLOOKUP(K1353,datos!$B$2:$C$12,2,0)))</f>
        <v>TCCN-PTE-PFL-PS1-CF6-SMO-PMO</v>
      </c>
      <c r="J1353" s="138" t="s">
        <v>6162</v>
      </c>
      <c r="K1353" s="140">
        <f>VLOOKUP(LEN(SUBSTITUTE(H1353,"-","")),datos!$A$1:$B$12,2,0)</f>
        <v>7</v>
      </c>
      <c r="L1353" s="138"/>
      <c r="M1353" s="138" t="s">
        <v>0</v>
      </c>
    </row>
    <row r="1354" spans="1:13" x14ac:dyDescent="0.35">
      <c r="A1354" s="138" t="s">
        <v>487</v>
      </c>
      <c r="B1354" s="138" t="s">
        <v>3809</v>
      </c>
      <c r="C1354" s="138" t="s">
        <v>3983</v>
      </c>
      <c r="D1354" s="138" t="s">
        <v>4008</v>
      </c>
      <c r="E1354" s="138" t="s">
        <v>4009</v>
      </c>
      <c r="F1354" s="138" t="s">
        <v>3847</v>
      </c>
      <c r="G1354" s="138" t="s">
        <v>8116</v>
      </c>
      <c r="H1354" s="81" t="str">
        <f t="shared" si="112"/>
        <v>TCCN-PTE-PFL-PS1-CF6-SMO-PLE</v>
      </c>
      <c r="I1354" s="138" t="str">
        <f>MID(H1354,1,(LEN(H1354)-VLOOKUP(K1354,datos!$B$2:$C$12,2,0)))</f>
        <v>TCCN-PTE-PFL-PS1-CF6-SMO-PLE</v>
      </c>
      <c r="J1354" s="138" t="s">
        <v>6163</v>
      </c>
      <c r="K1354" s="140">
        <f>VLOOKUP(LEN(SUBSTITUTE(H1354,"-","")),datos!$A$1:$B$12,2,0)</f>
        <v>7</v>
      </c>
      <c r="L1354" s="138"/>
      <c r="M1354" s="138" t="s">
        <v>0</v>
      </c>
    </row>
    <row r="1355" spans="1:13" x14ac:dyDescent="0.35">
      <c r="A1355" s="138" t="s">
        <v>487</v>
      </c>
      <c r="B1355" s="138" t="s">
        <v>3809</v>
      </c>
      <c r="C1355" s="138" t="s">
        <v>3983</v>
      </c>
      <c r="D1355" s="138" t="s">
        <v>4008</v>
      </c>
      <c r="E1355" s="138" t="s">
        <v>4009</v>
      </c>
      <c r="F1355" s="138" t="s">
        <v>3847</v>
      </c>
      <c r="G1355" s="138" t="s">
        <v>5688</v>
      </c>
      <c r="H1355" s="81" t="str">
        <f t="shared" si="112"/>
        <v>TCCN-PTE-PFL-PS1-CF6-SMO-PRP</v>
      </c>
      <c r="I1355" s="138" t="str">
        <f>MID(H1355,1,(LEN(H1355)-VLOOKUP(K1355,datos!$B$2:$C$12,2,0)))</f>
        <v>TCCN-PTE-PFL-PS1-CF6-SMO-PRP</v>
      </c>
      <c r="J1355" s="138" t="s">
        <v>6164</v>
      </c>
      <c r="K1355" s="140">
        <f>VLOOKUP(LEN(SUBSTITUTE(H1355,"-","")),datos!$A$1:$B$12,2,0)</f>
        <v>7</v>
      </c>
      <c r="L1355" s="138"/>
      <c r="M1355" s="138" t="s">
        <v>0</v>
      </c>
    </row>
    <row r="1356" spans="1:13" x14ac:dyDescent="0.35">
      <c r="A1356" s="137" t="s">
        <v>487</v>
      </c>
      <c r="B1356" s="137" t="s">
        <v>3809</v>
      </c>
      <c r="C1356" s="137" t="s">
        <v>3983</v>
      </c>
      <c r="D1356" s="137" t="s">
        <v>4008</v>
      </c>
      <c r="E1356" s="137" t="s">
        <v>4009</v>
      </c>
      <c r="F1356" s="137" t="s">
        <v>3831</v>
      </c>
      <c r="G1356" s="137"/>
      <c r="H1356" s="82" t="str">
        <f t="shared" si="112"/>
        <v>TCCN-PTE-PFL-PS1-CF6-INS-</v>
      </c>
      <c r="I1356" s="137" t="str">
        <f>MID(H1356,1,(LEN(H1356)-VLOOKUP(K1356,datos!$B$2:$C$12,2,0)))</f>
        <v>TCCN-PTE-PFL-PS1-CF6-INS</v>
      </c>
      <c r="J1356" s="137" t="s">
        <v>6165</v>
      </c>
      <c r="K1356" s="139">
        <f>VLOOKUP(LEN(SUBSTITUTE(H1356,"-","")),datos!$A$1:$B$12,2,0)</f>
        <v>6</v>
      </c>
      <c r="L1356" s="137"/>
      <c r="M1356" s="137" t="s">
        <v>0</v>
      </c>
    </row>
    <row r="1357" spans="1:13" x14ac:dyDescent="0.35">
      <c r="A1357" s="138" t="s">
        <v>487</v>
      </c>
      <c r="B1357" s="138" t="s">
        <v>3809</v>
      </c>
      <c r="C1357" s="138" t="s">
        <v>3983</v>
      </c>
      <c r="D1357" s="138" t="s">
        <v>4008</v>
      </c>
      <c r="E1357" s="138" t="s">
        <v>4009</v>
      </c>
      <c r="F1357" s="138" t="s">
        <v>3831</v>
      </c>
      <c r="G1357" s="138" t="s">
        <v>4075</v>
      </c>
      <c r="H1357" s="81" t="str">
        <f t="shared" si="112"/>
        <v>TCCN-PTE-PFL-PS1-CF6-INS-VVA</v>
      </c>
      <c r="I1357" s="138" t="str">
        <f>MID(H1357,1,(LEN(H1357)-VLOOKUP(K1357,datos!$B$2:$C$12,2,0)))</f>
        <v>TCCN-PTE-PFL-PS1-CF6-INS-VVA</v>
      </c>
      <c r="J1357" s="138" t="s">
        <v>7783</v>
      </c>
      <c r="K1357" s="140">
        <f>VLOOKUP(LEN(SUBSTITUTE(H1357,"-","")),datos!$A$1:$B$12,2,0)</f>
        <v>7</v>
      </c>
      <c r="L1357" s="138" t="s">
        <v>7785</v>
      </c>
      <c r="M1357" s="138" t="s">
        <v>0</v>
      </c>
    </row>
    <row r="1358" spans="1:13" x14ac:dyDescent="0.35">
      <c r="A1358" s="138" t="s">
        <v>487</v>
      </c>
      <c r="B1358" s="138" t="s">
        <v>3809</v>
      </c>
      <c r="C1358" s="138" t="s">
        <v>3983</v>
      </c>
      <c r="D1358" s="138" t="s">
        <v>4008</v>
      </c>
      <c r="E1358" s="138" t="s">
        <v>4009</v>
      </c>
      <c r="F1358" s="138" t="s">
        <v>3831</v>
      </c>
      <c r="G1358" s="138" t="s">
        <v>4002</v>
      </c>
      <c r="H1358" s="81" t="str">
        <f t="shared" si="112"/>
        <v>TCCN-PTE-PFL-PS1-CF6-INS-FJM</v>
      </c>
      <c r="I1358" s="138" t="str">
        <f>MID(H1358,1,(LEN(H1358)-VLOOKUP(K1358,datos!$B$2:$C$12,2,0)))</f>
        <v>TCCN-PTE-PFL-PS1-CF6-INS-FJM</v>
      </c>
      <c r="J1358" s="138" t="s">
        <v>7784</v>
      </c>
      <c r="K1358" s="140">
        <f>VLOOKUP(LEN(SUBSTITUTE(H1358,"-","")),datos!$A$1:$B$12,2,0)</f>
        <v>7</v>
      </c>
      <c r="L1358" s="138" t="s">
        <v>7786</v>
      </c>
      <c r="M1358" s="138" t="s">
        <v>0</v>
      </c>
    </row>
    <row r="1359" spans="1:13" x14ac:dyDescent="0.35">
      <c r="A1359" s="137" t="s">
        <v>487</v>
      </c>
      <c r="B1359" s="137" t="s">
        <v>3809</v>
      </c>
      <c r="C1359" s="137" t="s">
        <v>3983</v>
      </c>
      <c r="D1359" s="137" t="s">
        <v>4008</v>
      </c>
      <c r="E1359" s="137" t="s">
        <v>4009</v>
      </c>
      <c r="F1359" s="137" t="s">
        <v>3869</v>
      </c>
      <c r="G1359" s="137"/>
      <c r="H1359" s="82" t="str">
        <f t="shared" si="112"/>
        <v>TCCN-PTE-PFL-PS1-CF6-SCE-</v>
      </c>
      <c r="I1359" s="137" t="str">
        <f>MID(H1359,1,(LEN(H1359)-VLOOKUP(K1359,datos!$B$2:$C$12,2,0)))</f>
        <v>TCCN-PTE-PFL-PS1-CF6-SCE</v>
      </c>
      <c r="J1359" s="137" t="s">
        <v>6166</v>
      </c>
      <c r="K1359" s="139">
        <f>VLOOKUP(LEN(SUBSTITUTE(H1359,"-","")),datos!$A$1:$B$12,2,0)</f>
        <v>6</v>
      </c>
      <c r="L1359" s="137"/>
      <c r="M1359" s="137" t="s">
        <v>0</v>
      </c>
    </row>
    <row r="1360" spans="1:13" x14ac:dyDescent="0.35">
      <c r="A1360" s="138" t="s">
        <v>487</v>
      </c>
      <c r="B1360" s="138" t="s">
        <v>3809</v>
      </c>
      <c r="C1360" s="138" t="s">
        <v>3983</v>
      </c>
      <c r="D1360" s="138" t="s">
        <v>4008</v>
      </c>
      <c r="E1360" s="138" t="s">
        <v>4009</v>
      </c>
      <c r="F1360" s="138" t="s">
        <v>3869</v>
      </c>
      <c r="G1360" s="138" t="s">
        <v>3870</v>
      </c>
      <c r="H1360" s="81" t="str">
        <f t="shared" si="112"/>
        <v>TCCN-PTE-PFL-PS1-CF6-SCE-BTN</v>
      </c>
      <c r="I1360" s="138" t="str">
        <f>MID(H1360,1,(LEN(H1360)-VLOOKUP(K1360,datos!$B$2:$C$12,2,0)))</f>
        <v>TCCN-PTE-PFL-PS1-CF6-SCE-BTN</v>
      </c>
      <c r="J1360" s="138" t="s">
        <v>6167</v>
      </c>
      <c r="K1360" s="140">
        <f>VLOOKUP(LEN(SUBSTITUTE(H1360,"-","")),datos!$A$1:$B$12,2,0)</f>
        <v>7</v>
      </c>
      <c r="L1360" s="138"/>
      <c r="M1360" s="138" t="s">
        <v>0</v>
      </c>
    </row>
    <row r="1361" spans="1:13" customFormat="1" ht="14.5" x14ac:dyDescent="0.35">
      <c r="A1361" s="129" t="s">
        <v>487</v>
      </c>
      <c r="B1361" s="129" t="s">
        <v>3809</v>
      </c>
      <c r="C1361" s="129" t="s">
        <v>3983</v>
      </c>
      <c r="D1361" s="129" t="s">
        <v>4008</v>
      </c>
      <c r="E1361" s="129" t="s">
        <v>4010</v>
      </c>
      <c r="F1361" s="129"/>
      <c r="G1361" s="129"/>
      <c r="H1361" s="83" t="str">
        <f t="shared" si="112"/>
        <v>TCCN-PTE-PFL-PS1-CF7--</v>
      </c>
      <c r="I1361" s="129" t="str">
        <f>MID(H1361,1,(LEN(H1361)-VLOOKUP(K1361,datos!$B$2:$C$12,2,0)))</f>
        <v>TCCN-PTE-PFL-PS1-CF7</v>
      </c>
      <c r="J1361" s="129" t="s">
        <v>456</v>
      </c>
      <c r="K1361" s="130">
        <f>VLOOKUP(LEN(SUBSTITUTE(H1361,"-","")),datos!$A$1:$B$12,2,0)</f>
        <v>5</v>
      </c>
      <c r="L1361" s="129" t="s">
        <v>203</v>
      </c>
      <c r="M1361" s="129" t="s">
        <v>0</v>
      </c>
    </row>
    <row r="1362" spans="1:13" x14ac:dyDescent="0.35">
      <c r="A1362" s="137" t="s">
        <v>487</v>
      </c>
      <c r="B1362" s="137" t="s">
        <v>3809</v>
      </c>
      <c r="C1362" s="137" t="s">
        <v>3983</v>
      </c>
      <c r="D1362" s="137" t="s">
        <v>4008</v>
      </c>
      <c r="E1362" s="137" t="s">
        <v>4010</v>
      </c>
      <c r="F1362" s="137" t="s">
        <v>3948</v>
      </c>
      <c r="G1362" s="137"/>
      <c r="H1362" s="82" t="str">
        <f t="shared" si="112"/>
        <v>TCCN-PTE-PFL-PS1-CF7-SCP-</v>
      </c>
      <c r="I1362" s="137" t="str">
        <f>MID(H1362,1,(LEN(H1362)-VLOOKUP(K1362,datos!$B$2:$C$12,2,0)))</f>
        <v>TCCN-PTE-PFL-PS1-CF7-SCP</v>
      </c>
      <c r="J1362" s="137" t="s">
        <v>6132</v>
      </c>
      <c r="K1362" s="139">
        <f>VLOOKUP(LEN(SUBSTITUTE(H1362,"-","")),datos!$A$1:$B$12,2,0)</f>
        <v>6</v>
      </c>
      <c r="L1362" s="137"/>
      <c r="M1362" s="137" t="s">
        <v>0</v>
      </c>
    </row>
    <row r="1363" spans="1:13" x14ac:dyDescent="0.35">
      <c r="A1363" s="138" t="s">
        <v>487</v>
      </c>
      <c r="B1363" s="138" t="s">
        <v>3809</v>
      </c>
      <c r="C1363" s="138" t="s">
        <v>3983</v>
      </c>
      <c r="D1363" s="138" t="s">
        <v>4008</v>
      </c>
      <c r="E1363" s="138" t="s">
        <v>4010</v>
      </c>
      <c r="F1363" s="138" t="s">
        <v>3948</v>
      </c>
      <c r="G1363" s="138" t="s">
        <v>3993</v>
      </c>
      <c r="H1363" s="81" t="str">
        <f t="shared" si="112"/>
        <v>TCCN-PTE-PFL-PS1-CF7-SCP-POR</v>
      </c>
      <c r="I1363" s="138" t="str">
        <f>MID(H1363,1,(LEN(H1363)-VLOOKUP(K1363,datos!$B$2:$C$12,2,0)))</f>
        <v>TCCN-PTE-PFL-PS1-CF7-SCP-POR</v>
      </c>
      <c r="J1363" s="138" t="s">
        <v>6133</v>
      </c>
      <c r="K1363" s="140">
        <f>VLOOKUP(LEN(SUBSTITUTE(H1363,"-","")),datos!$A$1:$B$12,2,0)</f>
        <v>7</v>
      </c>
      <c r="L1363" s="138"/>
      <c r="M1363" s="138" t="s">
        <v>0</v>
      </c>
    </row>
    <row r="1364" spans="1:13" x14ac:dyDescent="0.35">
      <c r="A1364" s="138" t="s">
        <v>487</v>
      </c>
      <c r="B1364" s="138" t="s">
        <v>3809</v>
      </c>
      <c r="C1364" s="138" t="s">
        <v>3983</v>
      </c>
      <c r="D1364" s="138" t="s">
        <v>4008</v>
      </c>
      <c r="E1364" s="138" t="s">
        <v>4010</v>
      </c>
      <c r="F1364" s="138" t="s">
        <v>3948</v>
      </c>
      <c r="G1364" s="138" t="s">
        <v>3994</v>
      </c>
      <c r="H1364" s="81" t="str">
        <f t="shared" si="112"/>
        <v>TCCN-PTE-PFL-PS1-CF7-SCP-RTO</v>
      </c>
      <c r="I1364" s="138" t="str">
        <f>MID(H1364,1,(LEN(H1364)-VLOOKUP(K1364,datos!$B$2:$C$12,2,0)))</f>
        <v>TCCN-PTE-PFL-PS1-CF7-SCP-RTO</v>
      </c>
      <c r="J1364" s="138" t="s">
        <v>6134</v>
      </c>
      <c r="K1364" s="140">
        <f>VLOOKUP(LEN(SUBSTITUTE(H1364,"-","")),datos!$A$1:$B$12,2,0)</f>
        <v>7</v>
      </c>
      <c r="L1364" s="138"/>
      <c r="M1364" s="138" t="s">
        <v>0</v>
      </c>
    </row>
    <row r="1365" spans="1:13" x14ac:dyDescent="0.35">
      <c r="A1365" s="138" t="s">
        <v>487</v>
      </c>
      <c r="B1365" s="138" t="s">
        <v>3809</v>
      </c>
      <c r="C1365" s="138" t="s">
        <v>3983</v>
      </c>
      <c r="D1365" s="138" t="s">
        <v>4008</v>
      </c>
      <c r="E1365" s="138" t="s">
        <v>4010</v>
      </c>
      <c r="F1365" s="138" t="s">
        <v>3948</v>
      </c>
      <c r="G1365" s="138" t="s">
        <v>3995</v>
      </c>
      <c r="H1365" s="81" t="str">
        <f t="shared" si="112"/>
        <v>TCCN-PTE-PFL-PS1-CF7-SCP-ETT</v>
      </c>
      <c r="I1365" s="138" t="str">
        <f>MID(H1365,1,(LEN(H1365)-VLOOKUP(K1365,datos!$B$2:$C$12,2,0)))</f>
        <v>TCCN-PTE-PFL-PS1-CF7-SCP-ETT</v>
      </c>
      <c r="J1365" s="138" t="s">
        <v>6135</v>
      </c>
      <c r="K1365" s="140">
        <f>VLOOKUP(LEN(SUBSTITUTE(H1365,"-","")),datos!$A$1:$B$12,2,0)</f>
        <v>7</v>
      </c>
      <c r="L1365" s="138"/>
      <c r="M1365" s="138" t="s">
        <v>0</v>
      </c>
    </row>
    <row r="1366" spans="1:13" x14ac:dyDescent="0.35">
      <c r="A1366" s="138" t="s">
        <v>487</v>
      </c>
      <c r="B1366" s="138" t="s">
        <v>3809</v>
      </c>
      <c r="C1366" s="138" t="s">
        <v>3983</v>
      </c>
      <c r="D1366" s="138" t="s">
        <v>4008</v>
      </c>
      <c r="E1366" s="138" t="s">
        <v>4010</v>
      </c>
      <c r="F1366" s="138" t="s">
        <v>3948</v>
      </c>
      <c r="G1366" s="138" t="s">
        <v>3996</v>
      </c>
      <c r="H1366" s="81" t="str">
        <f t="shared" si="112"/>
        <v>TCCN-PTE-PFL-PS1-CF7-SCP-DDT</v>
      </c>
      <c r="I1366" s="138" t="str">
        <f>MID(H1366,1,(LEN(H1366)-VLOOKUP(K1366,datos!$B$2:$C$12,2,0)))</f>
        <v>TCCN-PTE-PFL-PS1-CF7-SCP-DDT</v>
      </c>
      <c r="J1366" s="138" t="s">
        <v>6136</v>
      </c>
      <c r="K1366" s="140">
        <f>VLOOKUP(LEN(SUBSTITUTE(H1366,"-","")),datos!$A$1:$B$12,2,0)</f>
        <v>7</v>
      </c>
      <c r="L1366" s="138"/>
      <c r="M1366" s="138" t="s">
        <v>0</v>
      </c>
    </row>
    <row r="1367" spans="1:13" x14ac:dyDescent="0.35">
      <c r="A1367" s="138" t="s">
        <v>487</v>
      </c>
      <c r="B1367" s="138" t="s">
        <v>3809</v>
      </c>
      <c r="C1367" s="138" t="s">
        <v>3983</v>
      </c>
      <c r="D1367" s="138" t="s">
        <v>4008</v>
      </c>
      <c r="E1367" s="138" t="s">
        <v>4010</v>
      </c>
      <c r="F1367" s="138" t="s">
        <v>3948</v>
      </c>
      <c r="G1367" s="138" t="s">
        <v>3997</v>
      </c>
      <c r="H1367" s="81" t="str">
        <f t="shared" si="112"/>
        <v>TCCN-PTE-PFL-PS1-CF7-SCP-EJE</v>
      </c>
      <c r="I1367" s="138" t="str">
        <f>MID(H1367,1,(LEN(H1367)-VLOOKUP(K1367,datos!$B$2:$C$12,2,0)))</f>
        <v>TCCN-PTE-PFL-PS1-CF7-SCP-EJE</v>
      </c>
      <c r="J1367" s="138" t="s">
        <v>6137</v>
      </c>
      <c r="K1367" s="140">
        <f>VLOOKUP(LEN(SUBSTITUTE(H1367,"-","")),datos!$A$1:$B$12,2,0)</f>
        <v>7</v>
      </c>
      <c r="L1367" s="138"/>
      <c r="M1367" s="138" t="s">
        <v>0</v>
      </c>
    </row>
    <row r="1368" spans="1:13" x14ac:dyDescent="0.35">
      <c r="A1368" s="137" t="s">
        <v>487</v>
      </c>
      <c r="B1368" s="137" t="s">
        <v>3809</v>
      </c>
      <c r="C1368" s="137" t="s">
        <v>3983</v>
      </c>
      <c r="D1368" s="137" t="s">
        <v>4008</v>
      </c>
      <c r="E1368" s="137" t="s">
        <v>4010</v>
      </c>
      <c r="F1368" s="137" t="s">
        <v>3824</v>
      </c>
      <c r="G1368" s="137"/>
      <c r="H1368" s="82" t="str">
        <f t="shared" si="112"/>
        <v>TCCN-PTE-PFL-PS1-CF7-SES-</v>
      </c>
      <c r="I1368" s="137" t="str">
        <f>MID(H1368,1,(LEN(H1368)-VLOOKUP(K1368,datos!$B$2:$C$12,2,0)))</f>
        <v>TCCN-PTE-PFL-PS1-CF7-SES</v>
      </c>
      <c r="J1368" s="137" t="s">
        <v>6138</v>
      </c>
      <c r="K1368" s="139">
        <f>VLOOKUP(LEN(SUBSTITUTE(H1368,"-","")),datos!$A$1:$B$12,2,0)</f>
        <v>6</v>
      </c>
      <c r="L1368" s="137"/>
      <c r="M1368" s="137" t="s">
        <v>0</v>
      </c>
    </row>
    <row r="1369" spans="1:13" x14ac:dyDescent="0.35">
      <c r="A1369" s="138" t="s">
        <v>487</v>
      </c>
      <c r="B1369" s="138" t="s">
        <v>3809</v>
      </c>
      <c r="C1369" s="138" t="s">
        <v>3983</v>
      </c>
      <c r="D1369" s="138" t="s">
        <v>4008</v>
      </c>
      <c r="E1369" s="138" t="s">
        <v>4010</v>
      </c>
      <c r="F1369" s="138" t="s">
        <v>3824</v>
      </c>
      <c r="G1369" s="138" t="s">
        <v>3998</v>
      </c>
      <c r="H1369" s="81" t="str">
        <f t="shared" si="112"/>
        <v>TCCN-PTE-PFL-PS1-CF7-SES-BYG</v>
      </c>
      <c r="I1369" s="138" t="str">
        <f>MID(H1369,1,(LEN(H1369)-VLOOKUP(K1369,datos!$B$2:$C$12,2,0)))</f>
        <v>TCCN-PTE-PFL-PS1-CF7-SES-BYG</v>
      </c>
      <c r="J1369" s="138" t="s">
        <v>8024</v>
      </c>
      <c r="K1369" s="140">
        <f>VLOOKUP(LEN(SUBSTITUTE(H1369,"-","")),datos!$A$1:$B$12,2,0)</f>
        <v>7</v>
      </c>
      <c r="L1369" s="138"/>
      <c r="M1369" s="138" t="s">
        <v>0</v>
      </c>
    </row>
    <row r="1370" spans="1:13" x14ac:dyDescent="0.35">
      <c r="A1370" s="138" t="s">
        <v>487</v>
      </c>
      <c r="B1370" s="138" t="s">
        <v>3809</v>
      </c>
      <c r="C1370" s="138" t="s">
        <v>3983</v>
      </c>
      <c r="D1370" s="138" t="s">
        <v>4008</v>
      </c>
      <c r="E1370" s="138" t="s">
        <v>4010</v>
      </c>
      <c r="F1370" s="138" t="s">
        <v>3824</v>
      </c>
      <c r="G1370" s="138" t="s">
        <v>3999</v>
      </c>
      <c r="H1370" s="81" t="str">
        <f t="shared" si="112"/>
        <v>TCCN-PTE-PFL-PS1-CF7-SES-RDP</v>
      </c>
      <c r="I1370" s="138" t="str">
        <f>MID(H1370,1,(LEN(H1370)-VLOOKUP(K1370,datos!$B$2:$C$12,2,0)))</f>
        <v>TCCN-PTE-PFL-PS1-CF7-SES-RDP</v>
      </c>
      <c r="J1370" s="138" t="s">
        <v>6139</v>
      </c>
      <c r="K1370" s="140">
        <f>VLOOKUP(LEN(SUBSTITUTE(H1370,"-","")),datos!$A$1:$B$12,2,0)</f>
        <v>7</v>
      </c>
      <c r="L1370" s="138"/>
      <c r="M1370" s="138" t="s">
        <v>0</v>
      </c>
    </row>
    <row r="1371" spans="1:13" x14ac:dyDescent="0.35">
      <c r="A1371" s="138" t="s">
        <v>487</v>
      </c>
      <c r="B1371" s="138" t="s">
        <v>3809</v>
      </c>
      <c r="C1371" s="138" t="s">
        <v>3983</v>
      </c>
      <c r="D1371" s="138" t="s">
        <v>4008</v>
      </c>
      <c r="E1371" s="138" t="s">
        <v>4010</v>
      </c>
      <c r="F1371" s="138" t="s">
        <v>3824</v>
      </c>
      <c r="G1371" s="138" t="s">
        <v>3853</v>
      </c>
      <c r="H1371" s="81" t="str">
        <f t="shared" si="112"/>
        <v>TCCN-PTE-PFL-PS1-CF7-SES-EST</v>
      </c>
      <c r="I1371" s="138" t="str">
        <f>MID(H1371,1,(LEN(H1371)-VLOOKUP(K1371,datos!$B$2:$C$12,2,0)))</f>
        <v>TCCN-PTE-PFL-PS1-CF7-SES-EST</v>
      </c>
      <c r="J1371" s="138" t="s">
        <v>6140</v>
      </c>
      <c r="K1371" s="140">
        <f>VLOOKUP(LEN(SUBSTITUTE(H1371,"-","")),datos!$A$1:$B$12,2,0)</f>
        <v>7</v>
      </c>
      <c r="L1371" s="138"/>
      <c r="M1371" s="138" t="s">
        <v>0</v>
      </c>
    </row>
    <row r="1372" spans="1:13" x14ac:dyDescent="0.35">
      <c r="A1372" s="138" t="s">
        <v>487</v>
      </c>
      <c r="B1372" s="138" t="s">
        <v>3809</v>
      </c>
      <c r="C1372" s="138" t="s">
        <v>3983</v>
      </c>
      <c r="D1372" s="138" t="s">
        <v>4008</v>
      </c>
      <c r="E1372" s="138" t="s">
        <v>4010</v>
      </c>
      <c r="F1372" s="138" t="s">
        <v>3824</v>
      </c>
      <c r="G1372" s="138" t="s">
        <v>4000</v>
      </c>
      <c r="H1372" s="81" t="str">
        <f t="shared" si="112"/>
        <v>TCCN-PTE-PFL-PS1-CF7-SES-CRW</v>
      </c>
      <c r="I1372" s="138" t="str">
        <f>MID(H1372,1,(LEN(H1372)-VLOOKUP(K1372,datos!$B$2:$C$12,2,0)))</f>
        <v>TCCN-PTE-PFL-PS1-CF7-SES-CRW</v>
      </c>
      <c r="J1372" s="138" t="s">
        <v>6141</v>
      </c>
      <c r="K1372" s="140">
        <f>VLOOKUP(LEN(SUBSTITUTE(H1372,"-","")),datos!$A$1:$B$12,2,0)</f>
        <v>7</v>
      </c>
      <c r="L1372" s="138"/>
      <c r="M1372" s="138" t="s">
        <v>0</v>
      </c>
    </row>
    <row r="1373" spans="1:13" x14ac:dyDescent="0.35">
      <c r="A1373" s="137" t="s">
        <v>487</v>
      </c>
      <c r="B1373" s="137" t="s">
        <v>3809</v>
      </c>
      <c r="C1373" s="137" t="s">
        <v>3983</v>
      </c>
      <c r="D1373" s="137" t="s">
        <v>4008</v>
      </c>
      <c r="E1373" s="137" t="s">
        <v>4010</v>
      </c>
      <c r="F1373" s="137" t="s">
        <v>3847</v>
      </c>
      <c r="G1373" s="137"/>
      <c r="H1373" s="82" t="str">
        <f t="shared" si="112"/>
        <v>TCCN-PTE-PFL-PS1-CF7-SMO-</v>
      </c>
      <c r="I1373" s="137" t="str">
        <f>MID(H1373,1,(LEN(H1373)-VLOOKUP(K1373,datos!$B$2:$C$12,2,0)))</f>
        <v>TCCN-PTE-PFL-PS1-CF7-SMO</v>
      </c>
      <c r="J1373" s="137" t="s">
        <v>6142</v>
      </c>
      <c r="K1373" s="139">
        <f>VLOOKUP(LEN(SUBSTITUTE(H1373,"-","")),datos!$A$1:$B$12,2,0)</f>
        <v>6</v>
      </c>
      <c r="L1373" s="137"/>
      <c r="M1373" s="137" t="s">
        <v>0</v>
      </c>
    </row>
    <row r="1374" spans="1:13" x14ac:dyDescent="0.35">
      <c r="A1374" s="138" t="s">
        <v>487</v>
      </c>
      <c r="B1374" s="138" t="s">
        <v>3809</v>
      </c>
      <c r="C1374" s="138" t="s">
        <v>3983</v>
      </c>
      <c r="D1374" s="138" t="s">
        <v>4008</v>
      </c>
      <c r="E1374" s="138" t="s">
        <v>4010</v>
      </c>
      <c r="F1374" s="138" t="s">
        <v>3847</v>
      </c>
      <c r="G1374" s="138" t="s">
        <v>3819</v>
      </c>
      <c r="H1374" s="81" t="str">
        <f t="shared" si="112"/>
        <v>TCCN-PTE-PFL-PS1-CF7-SMO-MOE</v>
      </c>
      <c r="I1374" s="138" t="str">
        <f>MID(H1374,1,(LEN(H1374)-VLOOKUP(K1374,datos!$B$2:$C$12,2,0)))</f>
        <v>TCCN-PTE-PFL-PS1-CF7-SMO-MOE</v>
      </c>
      <c r="J1374" s="138" t="s">
        <v>6143</v>
      </c>
      <c r="K1374" s="140">
        <f>VLOOKUP(LEN(SUBSTITUTE(H1374,"-","")),datos!$A$1:$B$12,2,0)</f>
        <v>7</v>
      </c>
      <c r="L1374" s="138" t="s">
        <v>204</v>
      </c>
      <c r="M1374" s="138" t="s">
        <v>0</v>
      </c>
    </row>
    <row r="1375" spans="1:13" x14ac:dyDescent="0.35">
      <c r="A1375" s="138" t="s">
        <v>487</v>
      </c>
      <c r="B1375" s="138" t="s">
        <v>3809</v>
      </c>
      <c r="C1375" s="138" t="s">
        <v>3983</v>
      </c>
      <c r="D1375" s="138" t="s">
        <v>4008</v>
      </c>
      <c r="E1375" s="138" t="s">
        <v>4010</v>
      </c>
      <c r="F1375" s="138" t="s">
        <v>3847</v>
      </c>
      <c r="G1375" s="138" t="s">
        <v>3864</v>
      </c>
      <c r="H1375" s="81" t="str">
        <f t="shared" si="112"/>
        <v>TCCN-PTE-PFL-PS1-CF7-SMO-PMO</v>
      </c>
      <c r="I1375" s="138" t="str">
        <f>MID(H1375,1,(LEN(H1375)-VLOOKUP(K1375,datos!$B$2:$C$12,2,0)))</f>
        <v>TCCN-PTE-PFL-PS1-CF7-SMO-PMO</v>
      </c>
      <c r="J1375" s="138" t="s">
        <v>6144</v>
      </c>
      <c r="K1375" s="140">
        <f>VLOOKUP(LEN(SUBSTITUTE(H1375,"-","")),datos!$A$1:$B$12,2,0)</f>
        <v>7</v>
      </c>
      <c r="L1375" s="138"/>
      <c r="M1375" s="138" t="s">
        <v>0</v>
      </c>
    </row>
    <row r="1376" spans="1:13" x14ac:dyDescent="0.35">
      <c r="A1376" s="138" t="s">
        <v>487</v>
      </c>
      <c r="B1376" s="138" t="s">
        <v>3809</v>
      </c>
      <c r="C1376" s="138" t="s">
        <v>3983</v>
      </c>
      <c r="D1376" s="138" t="s">
        <v>4008</v>
      </c>
      <c r="E1376" s="138" t="s">
        <v>4010</v>
      </c>
      <c r="F1376" s="138" t="s">
        <v>3847</v>
      </c>
      <c r="G1376" s="138" t="s">
        <v>8116</v>
      </c>
      <c r="H1376" s="81" t="str">
        <f t="shared" si="112"/>
        <v>TCCN-PTE-PFL-PS1-CF7-SMO-PLE</v>
      </c>
      <c r="I1376" s="138" t="str">
        <f>MID(H1376,1,(LEN(H1376)-VLOOKUP(K1376,datos!$B$2:$C$12,2,0)))</f>
        <v>TCCN-PTE-PFL-PS1-CF7-SMO-PLE</v>
      </c>
      <c r="J1376" s="138" t="s">
        <v>6145</v>
      </c>
      <c r="K1376" s="140">
        <f>VLOOKUP(LEN(SUBSTITUTE(H1376,"-","")),datos!$A$1:$B$12,2,0)</f>
        <v>7</v>
      </c>
      <c r="L1376" s="138"/>
      <c r="M1376" s="138" t="s">
        <v>0</v>
      </c>
    </row>
    <row r="1377" spans="1:13" x14ac:dyDescent="0.35">
      <c r="A1377" s="138" t="s">
        <v>487</v>
      </c>
      <c r="B1377" s="138" t="s">
        <v>3809</v>
      </c>
      <c r="C1377" s="138" t="s">
        <v>3983</v>
      </c>
      <c r="D1377" s="138" t="s">
        <v>4008</v>
      </c>
      <c r="E1377" s="138" t="s">
        <v>4010</v>
      </c>
      <c r="F1377" s="138" t="s">
        <v>3847</v>
      </c>
      <c r="G1377" s="138" t="s">
        <v>5688</v>
      </c>
      <c r="H1377" s="81" t="str">
        <f t="shared" si="112"/>
        <v>TCCN-PTE-PFL-PS1-CF7-SMO-PRP</v>
      </c>
      <c r="I1377" s="138" t="str">
        <f>MID(H1377,1,(LEN(H1377)-VLOOKUP(K1377,datos!$B$2:$C$12,2,0)))</f>
        <v>TCCN-PTE-PFL-PS1-CF7-SMO-PRP</v>
      </c>
      <c r="J1377" s="138" t="s">
        <v>6146</v>
      </c>
      <c r="K1377" s="140">
        <f>VLOOKUP(LEN(SUBSTITUTE(H1377,"-","")),datos!$A$1:$B$12,2,0)</f>
        <v>7</v>
      </c>
      <c r="L1377" s="138"/>
      <c r="M1377" s="138" t="s">
        <v>0</v>
      </c>
    </row>
    <row r="1378" spans="1:13" x14ac:dyDescent="0.35">
      <c r="A1378" s="137" t="s">
        <v>487</v>
      </c>
      <c r="B1378" s="137" t="s">
        <v>3809</v>
      </c>
      <c r="C1378" s="137" t="s">
        <v>3983</v>
      </c>
      <c r="D1378" s="137" t="s">
        <v>4008</v>
      </c>
      <c r="E1378" s="137" t="s">
        <v>4010</v>
      </c>
      <c r="F1378" s="137" t="s">
        <v>3831</v>
      </c>
      <c r="G1378" s="137"/>
      <c r="H1378" s="82" t="str">
        <f t="shared" si="112"/>
        <v>TCCN-PTE-PFL-PS1-CF7-INS-</v>
      </c>
      <c r="I1378" s="137" t="str">
        <f>MID(H1378,1,(LEN(H1378)-VLOOKUP(K1378,datos!$B$2:$C$12,2,0)))</f>
        <v>TCCN-PTE-PFL-PS1-CF7-INS</v>
      </c>
      <c r="J1378" s="137" t="s">
        <v>6147</v>
      </c>
      <c r="K1378" s="139">
        <f>VLOOKUP(LEN(SUBSTITUTE(H1378,"-","")),datos!$A$1:$B$12,2,0)</f>
        <v>6</v>
      </c>
      <c r="L1378" s="137"/>
      <c r="M1378" s="137" t="s">
        <v>0</v>
      </c>
    </row>
    <row r="1379" spans="1:13" x14ac:dyDescent="0.35">
      <c r="A1379" s="138" t="s">
        <v>487</v>
      </c>
      <c r="B1379" s="138" t="s">
        <v>3809</v>
      </c>
      <c r="C1379" s="138" t="s">
        <v>3983</v>
      </c>
      <c r="D1379" s="138" t="s">
        <v>4008</v>
      </c>
      <c r="E1379" s="138" t="s">
        <v>4010</v>
      </c>
      <c r="F1379" s="138" t="s">
        <v>3831</v>
      </c>
      <c r="G1379" s="138" t="s">
        <v>4075</v>
      </c>
      <c r="H1379" s="81" t="str">
        <f t="shared" ref="H1379:H1380" si="113">CONCATENATE(A1379,"-",B1379,"-",C1379,"-",D1379,"-",E1379,"-",F1379,"-",G1379)</f>
        <v>TCCN-PTE-PFL-PS1-CF7-INS-VVA</v>
      </c>
      <c r="I1379" s="138" t="str">
        <f>MID(H1379,1,(LEN(H1379)-VLOOKUP(K1379,datos!$B$2:$C$12,2,0)))</f>
        <v>TCCN-PTE-PFL-PS1-CF7-INS-VVA</v>
      </c>
      <c r="J1379" s="138" t="s">
        <v>7787</v>
      </c>
      <c r="K1379" s="140">
        <f>VLOOKUP(LEN(SUBSTITUTE(H1379,"-","")),datos!$A$1:$B$12,2,0)</f>
        <v>7</v>
      </c>
      <c r="L1379" s="138" t="s">
        <v>7789</v>
      </c>
      <c r="M1379" s="138" t="s">
        <v>0</v>
      </c>
    </row>
    <row r="1380" spans="1:13" x14ac:dyDescent="0.35">
      <c r="A1380" s="138" t="s">
        <v>487</v>
      </c>
      <c r="B1380" s="138" t="s">
        <v>3809</v>
      </c>
      <c r="C1380" s="138" t="s">
        <v>3983</v>
      </c>
      <c r="D1380" s="138" t="s">
        <v>4008</v>
      </c>
      <c r="E1380" s="138" t="s">
        <v>4010</v>
      </c>
      <c r="F1380" s="138" t="s">
        <v>3831</v>
      </c>
      <c r="G1380" s="138" t="s">
        <v>4002</v>
      </c>
      <c r="H1380" s="81" t="str">
        <f t="shared" si="113"/>
        <v>TCCN-PTE-PFL-PS1-CF7-INS-FJM</v>
      </c>
      <c r="I1380" s="138" t="str">
        <f>MID(H1380,1,(LEN(H1380)-VLOOKUP(K1380,datos!$B$2:$C$12,2,0)))</f>
        <v>TCCN-PTE-PFL-PS1-CF7-INS-FJM</v>
      </c>
      <c r="J1380" s="138" t="s">
        <v>7788</v>
      </c>
      <c r="K1380" s="140">
        <f>VLOOKUP(LEN(SUBSTITUTE(H1380,"-","")),datos!$A$1:$B$12,2,0)</f>
        <v>7</v>
      </c>
      <c r="L1380" s="138" t="s">
        <v>7790</v>
      </c>
      <c r="M1380" s="138" t="s">
        <v>0</v>
      </c>
    </row>
    <row r="1381" spans="1:13" x14ac:dyDescent="0.35">
      <c r="A1381" s="137" t="s">
        <v>487</v>
      </c>
      <c r="B1381" s="137" t="s">
        <v>3809</v>
      </c>
      <c r="C1381" s="137" t="s">
        <v>3983</v>
      </c>
      <c r="D1381" s="137" t="s">
        <v>4008</v>
      </c>
      <c r="E1381" s="137" t="s">
        <v>4010</v>
      </c>
      <c r="F1381" s="137" t="s">
        <v>3869</v>
      </c>
      <c r="G1381" s="137"/>
      <c r="H1381" s="82" t="str">
        <f t="shared" ref="H1381:H1442" si="114">CONCATENATE(A1381,"-",B1381,"-",C1381,"-",D1381,"-",E1381,"-",F1381,"-",G1381)</f>
        <v>TCCN-PTE-PFL-PS1-CF7-SCE-</v>
      </c>
      <c r="I1381" s="137" t="str">
        <f>MID(H1381,1,(LEN(H1381)-VLOOKUP(K1381,datos!$B$2:$C$12,2,0)))</f>
        <v>TCCN-PTE-PFL-PS1-CF7-SCE</v>
      </c>
      <c r="J1381" s="137" t="s">
        <v>6148</v>
      </c>
      <c r="K1381" s="139">
        <f>VLOOKUP(LEN(SUBSTITUTE(H1381,"-","")),datos!$A$1:$B$12,2,0)</f>
        <v>6</v>
      </c>
      <c r="L1381" s="137"/>
      <c r="M1381" s="137" t="s">
        <v>0</v>
      </c>
    </row>
    <row r="1382" spans="1:13" x14ac:dyDescent="0.35">
      <c r="A1382" s="138" t="s">
        <v>487</v>
      </c>
      <c r="B1382" s="138" t="s">
        <v>3809</v>
      </c>
      <c r="C1382" s="138" t="s">
        <v>3983</v>
      </c>
      <c r="D1382" s="138" t="s">
        <v>4008</v>
      </c>
      <c r="E1382" s="138" t="s">
        <v>4010</v>
      </c>
      <c r="F1382" s="138" t="s">
        <v>3869</v>
      </c>
      <c r="G1382" s="138" t="s">
        <v>3870</v>
      </c>
      <c r="H1382" s="81" t="str">
        <f t="shared" si="114"/>
        <v>TCCN-PTE-PFL-PS1-CF7-SCE-BTN</v>
      </c>
      <c r="I1382" s="138" t="str">
        <f>MID(H1382,1,(LEN(H1382)-VLOOKUP(K1382,datos!$B$2:$C$12,2,0)))</f>
        <v>TCCN-PTE-PFL-PS1-CF7-SCE-BTN</v>
      </c>
      <c r="J1382" s="138" t="s">
        <v>6149</v>
      </c>
      <c r="K1382" s="140">
        <f>VLOOKUP(LEN(SUBSTITUTE(H1382,"-","")),datos!$A$1:$B$12,2,0)</f>
        <v>7</v>
      </c>
      <c r="L1382" s="138"/>
      <c r="M1382" s="138" t="s">
        <v>0</v>
      </c>
    </row>
    <row r="1383" spans="1:13" customFormat="1" ht="14.5" x14ac:dyDescent="0.35">
      <c r="A1383" s="129" t="s">
        <v>487</v>
      </c>
      <c r="B1383" s="129" t="s">
        <v>3809</v>
      </c>
      <c r="C1383" s="129" t="s">
        <v>3983</v>
      </c>
      <c r="D1383" s="129" t="s">
        <v>4008</v>
      </c>
      <c r="E1383" s="129" t="s">
        <v>4011</v>
      </c>
      <c r="F1383" s="129"/>
      <c r="G1383" s="129"/>
      <c r="H1383" s="83" t="str">
        <f t="shared" si="114"/>
        <v>TCCN-PTE-PFL-PS1-CF8--</v>
      </c>
      <c r="I1383" s="129" t="str">
        <f>MID(H1383,1,(LEN(H1383)-VLOOKUP(K1383,datos!$B$2:$C$12,2,0)))</f>
        <v>TCCN-PTE-PFL-PS1-CF8</v>
      </c>
      <c r="J1383" s="129" t="s">
        <v>457</v>
      </c>
      <c r="K1383" s="130">
        <f>VLOOKUP(LEN(SUBSTITUTE(H1383,"-","")),datos!$A$1:$B$12,2,0)</f>
        <v>5</v>
      </c>
      <c r="L1383" s="129" t="s">
        <v>205</v>
      </c>
      <c r="M1383" s="129" t="s">
        <v>0</v>
      </c>
    </row>
    <row r="1384" spans="1:13" x14ac:dyDescent="0.35">
      <c r="A1384" s="137" t="s">
        <v>487</v>
      </c>
      <c r="B1384" s="137" t="s">
        <v>3809</v>
      </c>
      <c r="C1384" s="137" t="s">
        <v>3983</v>
      </c>
      <c r="D1384" s="137" t="s">
        <v>4008</v>
      </c>
      <c r="E1384" s="137" t="s">
        <v>4011</v>
      </c>
      <c r="F1384" s="137" t="s">
        <v>3948</v>
      </c>
      <c r="G1384" s="137"/>
      <c r="H1384" s="82" t="str">
        <f t="shared" si="114"/>
        <v>TCCN-PTE-PFL-PS1-CF8-SCP-</v>
      </c>
      <c r="I1384" s="137" t="str">
        <f>MID(H1384,1,(LEN(H1384)-VLOOKUP(K1384,datos!$B$2:$C$12,2,0)))</f>
        <v>TCCN-PTE-PFL-PS1-CF8-SCP</v>
      </c>
      <c r="J1384" s="137" t="s">
        <v>6114</v>
      </c>
      <c r="K1384" s="139">
        <f>VLOOKUP(LEN(SUBSTITUTE(H1384,"-","")),datos!$A$1:$B$12,2,0)</f>
        <v>6</v>
      </c>
      <c r="L1384" s="137"/>
      <c r="M1384" s="137" t="s">
        <v>0</v>
      </c>
    </row>
    <row r="1385" spans="1:13" x14ac:dyDescent="0.35">
      <c r="A1385" s="138" t="s">
        <v>487</v>
      </c>
      <c r="B1385" s="138" t="s">
        <v>3809</v>
      </c>
      <c r="C1385" s="138" t="s">
        <v>3983</v>
      </c>
      <c r="D1385" s="138" t="s">
        <v>4008</v>
      </c>
      <c r="E1385" s="138" t="s">
        <v>4011</v>
      </c>
      <c r="F1385" s="138" t="s">
        <v>3948</v>
      </c>
      <c r="G1385" s="138" t="s">
        <v>3993</v>
      </c>
      <c r="H1385" s="81" t="str">
        <f t="shared" si="114"/>
        <v>TCCN-PTE-PFL-PS1-CF8-SCP-POR</v>
      </c>
      <c r="I1385" s="138" t="str">
        <f>MID(H1385,1,(LEN(H1385)-VLOOKUP(K1385,datos!$B$2:$C$12,2,0)))</f>
        <v>TCCN-PTE-PFL-PS1-CF8-SCP-POR</v>
      </c>
      <c r="J1385" s="138" t="s">
        <v>6115</v>
      </c>
      <c r="K1385" s="140">
        <f>VLOOKUP(LEN(SUBSTITUTE(H1385,"-","")),datos!$A$1:$B$12,2,0)</f>
        <v>7</v>
      </c>
      <c r="L1385" s="138"/>
      <c r="M1385" s="138" t="s">
        <v>0</v>
      </c>
    </row>
    <row r="1386" spans="1:13" x14ac:dyDescent="0.35">
      <c r="A1386" s="138" t="s">
        <v>487</v>
      </c>
      <c r="B1386" s="138" t="s">
        <v>3809</v>
      </c>
      <c r="C1386" s="138" t="s">
        <v>3983</v>
      </c>
      <c r="D1386" s="138" t="s">
        <v>4008</v>
      </c>
      <c r="E1386" s="138" t="s">
        <v>4011</v>
      </c>
      <c r="F1386" s="138" t="s">
        <v>3948</v>
      </c>
      <c r="G1386" s="138" t="s">
        <v>3994</v>
      </c>
      <c r="H1386" s="81" t="str">
        <f t="shared" si="114"/>
        <v>TCCN-PTE-PFL-PS1-CF8-SCP-RTO</v>
      </c>
      <c r="I1386" s="138" t="str">
        <f>MID(H1386,1,(LEN(H1386)-VLOOKUP(K1386,datos!$B$2:$C$12,2,0)))</f>
        <v>TCCN-PTE-PFL-PS1-CF8-SCP-RTO</v>
      </c>
      <c r="J1386" s="138" t="s">
        <v>6116</v>
      </c>
      <c r="K1386" s="140">
        <f>VLOOKUP(LEN(SUBSTITUTE(H1386,"-","")),datos!$A$1:$B$12,2,0)</f>
        <v>7</v>
      </c>
      <c r="L1386" s="138"/>
      <c r="M1386" s="138" t="s">
        <v>0</v>
      </c>
    </row>
    <row r="1387" spans="1:13" x14ac:dyDescent="0.35">
      <c r="A1387" s="138" t="s">
        <v>487</v>
      </c>
      <c r="B1387" s="138" t="s">
        <v>3809</v>
      </c>
      <c r="C1387" s="138" t="s">
        <v>3983</v>
      </c>
      <c r="D1387" s="138" t="s">
        <v>4008</v>
      </c>
      <c r="E1387" s="138" t="s">
        <v>4011</v>
      </c>
      <c r="F1387" s="138" t="s">
        <v>3948</v>
      </c>
      <c r="G1387" s="138" t="s">
        <v>3995</v>
      </c>
      <c r="H1387" s="81" t="str">
        <f t="shared" si="114"/>
        <v>TCCN-PTE-PFL-PS1-CF8-SCP-ETT</v>
      </c>
      <c r="I1387" s="138" t="str">
        <f>MID(H1387,1,(LEN(H1387)-VLOOKUP(K1387,datos!$B$2:$C$12,2,0)))</f>
        <v>TCCN-PTE-PFL-PS1-CF8-SCP-ETT</v>
      </c>
      <c r="J1387" s="138" t="s">
        <v>6117</v>
      </c>
      <c r="K1387" s="140">
        <f>VLOOKUP(LEN(SUBSTITUTE(H1387,"-","")),datos!$A$1:$B$12,2,0)</f>
        <v>7</v>
      </c>
      <c r="L1387" s="138"/>
      <c r="M1387" s="138" t="s">
        <v>0</v>
      </c>
    </row>
    <row r="1388" spans="1:13" x14ac:dyDescent="0.35">
      <c r="A1388" s="138" t="s">
        <v>487</v>
      </c>
      <c r="B1388" s="138" t="s">
        <v>3809</v>
      </c>
      <c r="C1388" s="138" t="s">
        <v>3983</v>
      </c>
      <c r="D1388" s="138" t="s">
        <v>4008</v>
      </c>
      <c r="E1388" s="138" t="s">
        <v>4011</v>
      </c>
      <c r="F1388" s="138" t="s">
        <v>3948</v>
      </c>
      <c r="G1388" s="138" t="s">
        <v>3996</v>
      </c>
      <c r="H1388" s="81" t="str">
        <f t="shared" si="114"/>
        <v>TCCN-PTE-PFL-PS1-CF8-SCP-DDT</v>
      </c>
      <c r="I1388" s="138" t="str">
        <f>MID(H1388,1,(LEN(H1388)-VLOOKUP(K1388,datos!$B$2:$C$12,2,0)))</f>
        <v>TCCN-PTE-PFL-PS1-CF8-SCP-DDT</v>
      </c>
      <c r="J1388" s="138" t="s">
        <v>6118</v>
      </c>
      <c r="K1388" s="140">
        <f>VLOOKUP(LEN(SUBSTITUTE(H1388,"-","")),datos!$A$1:$B$12,2,0)</f>
        <v>7</v>
      </c>
      <c r="L1388" s="138"/>
      <c r="M1388" s="138" t="s">
        <v>0</v>
      </c>
    </row>
    <row r="1389" spans="1:13" x14ac:dyDescent="0.35">
      <c r="A1389" s="138" t="s">
        <v>487</v>
      </c>
      <c r="B1389" s="138" t="s">
        <v>3809</v>
      </c>
      <c r="C1389" s="138" t="s">
        <v>3983</v>
      </c>
      <c r="D1389" s="138" t="s">
        <v>4008</v>
      </c>
      <c r="E1389" s="138" t="s">
        <v>4011</v>
      </c>
      <c r="F1389" s="138" t="s">
        <v>3948</v>
      </c>
      <c r="G1389" s="138" t="s">
        <v>3997</v>
      </c>
      <c r="H1389" s="81" t="str">
        <f t="shared" si="114"/>
        <v>TCCN-PTE-PFL-PS1-CF8-SCP-EJE</v>
      </c>
      <c r="I1389" s="138" t="str">
        <f>MID(H1389,1,(LEN(H1389)-VLOOKUP(K1389,datos!$B$2:$C$12,2,0)))</f>
        <v>TCCN-PTE-PFL-PS1-CF8-SCP-EJE</v>
      </c>
      <c r="J1389" s="138" t="s">
        <v>6119</v>
      </c>
      <c r="K1389" s="140">
        <f>VLOOKUP(LEN(SUBSTITUTE(H1389,"-","")),datos!$A$1:$B$12,2,0)</f>
        <v>7</v>
      </c>
      <c r="L1389" s="138"/>
      <c r="M1389" s="138" t="s">
        <v>0</v>
      </c>
    </row>
    <row r="1390" spans="1:13" x14ac:dyDescent="0.35">
      <c r="A1390" s="137" t="s">
        <v>487</v>
      </c>
      <c r="B1390" s="137" t="s">
        <v>3809</v>
      </c>
      <c r="C1390" s="137" t="s">
        <v>3983</v>
      </c>
      <c r="D1390" s="137" t="s">
        <v>4008</v>
      </c>
      <c r="E1390" s="137" t="s">
        <v>4011</v>
      </c>
      <c r="F1390" s="137" t="s">
        <v>3824</v>
      </c>
      <c r="G1390" s="137"/>
      <c r="H1390" s="82" t="str">
        <f t="shared" si="114"/>
        <v>TCCN-PTE-PFL-PS1-CF8-SES-</v>
      </c>
      <c r="I1390" s="137" t="str">
        <f>MID(H1390,1,(LEN(H1390)-VLOOKUP(K1390,datos!$B$2:$C$12,2,0)))</f>
        <v>TCCN-PTE-PFL-PS1-CF8-SES</v>
      </c>
      <c r="J1390" s="137" t="s">
        <v>6120</v>
      </c>
      <c r="K1390" s="139">
        <f>VLOOKUP(LEN(SUBSTITUTE(H1390,"-","")),datos!$A$1:$B$12,2,0)</f>
        <v>6</v>
      </c>
      <c r="L1390" s="137"/>
      <c r="M1390" s="137" t="s">
        <v>0</v>
      </c>
    </row>
    <row r="1391" spans="1:13" x14ac:dyDescent="0.35">
      <c r="A1391" s="138" t="s">
        <v>487</v>
      </c>
      <c r="B1391" s="138" t="s">
        <v>3809</v>
      </c>
      <c r="C1391" s="138" t="s">
        <v>3983</v>
      </c>
      <c r="D1391" s="138" t="s">
        <v>4008</v>
      </c>
      <c r="E1391" s="138" t="s">
        <v>4011</v>
      </c>
      <c r="F1391" s="138" t="s">
        <v>3824</v>
      </c>
      <c r="G1391" s="138" t="s">
        <v>3998</v>
      </c>
      <c r="H1391" s="81" t="str">
        <f t="shared" si="114"/>
        <v>TCCN-PTE-PFL-PS1-CF8-SES-BYG</v>
      </c>
      <c r="I1391" s="138" t="str">
        <f>MID(H1391,1,(LEN(H1391)-VLOOKUP(K1391,datos!$B$2:$C$12,2,0)))</f>
        <v>TCCN-PTE-PFL-PS1-CF8-SES-BYG</v>
      </c>
      <c r="J1391" s="138" t="s">
        <v>8025</v>
      </c>
      <c r="K1391" s="140">
        <f>VLOOKUP(LEN(SUBSTITUTE(H1391,"-","")),datos!$A$1:$B$12,2,0)</f>
        <v>7</v>
      </c>
      <c r="L1391" s="138"/>
      <c r="M1391" s="138" t="s">
        <v>0</v>
      </c>
    </row>
    <row r="1392" spans="1:13" x14ac:dyDescent="0.35">
      <c r="A1392" s="138" t="s">
        <v>487</v>
      </c>
      <c r="B1392" s="138" t="s">
        <v>3809</v>
      </c>
      <c r="C1392" s="138" t="s">
        <v>3983</v>
      </c>
      <c r="D1392" s="138" t="s">
        <v>4008</v>
      </c>
      <c r="E1392" s="138" t="s">
        <v>4011</v>
      </c>
      <c r="F1392" s="138" t="s">
        <v>3824</v>
      </c>
      <c r="G1392" s="138" t="s">
        <v>3999</v>
      </c>
      <c r="H1392" s="81" t="str">
        <f t="shared" si="114"/>
        <v>TCCN-PTE-PFL-PS1-CF8-SES-RDP</v>
      </c>
      <c r="I1392" s="138" t="str">
        <f>MID(H1392,1,(LEN(H1392)-VLOOKUP(K1392,datos!$B$2:$C$12,2,0)))</f>
        <v>TCCN-PTE-PFL-PS1-CF8-SES-RDP</v>
      </c>
      <c r="J1392" s="138" t="s">
        <v>6121</v>
      </c>
      <c r="K1392" s="140">
        <f>VLOOKUP(LEN(SUBSTITUTE(H1392,"-","")),datos!$A$1:$B$12,2,0)</f>
        <v>7</v>
      </c>
      <c r="L1392" s="138"/>
      <c r="M1392" s="138" t="s">
        <v>0</v>
      </c>
    </row>
    <row r="1393" spans="1:13" x14ac:dyDescent="0.35">
      <c r="A1393" s="138" t="s">
        <v>487</v>
      </c>
      <c r="B1393" s="138" t="s">
        <v>3809</v>
      </c>
      <c r="C1393" s="138" t="s">
        <v>3983</v>
      </c>
      <c r="D1393" s="138" t="s">
        <v>4008</v>
      </c>
      <c r="E1393" s="138" t="s">
        <v>4011</v>
      </c>
      <c r="F1393" s="138" t="s">
        <v>3824</v>
      </c>
      <c r="G1393" s="138" t="s">
        <v>3853</v>
      </c>
      <c r="H1393" s="81" t="str">
        <f t="shared" si="114"/>
        <v>TCCN-PTE-PFL-PS1-CF8-SES-EST</v>
      </c>
      <c r="I1393" s="138" t="str">
        <f>MID(H1393,1,(LEN(H1393)-VLOOKUP(K1393,datos!$B$2:$C$12,2,0)))</f>
        <v>TCCN-PTE-PFL-PS1-CF8-SES-EST</v>
      </c>
      <c r="J1393" s="138" t="s">
        <v>6122</v>
      </c>
      <c r="K1393" s="140">
        <f>VLOOKUP(LEN(SUBSTITUTE(H1393,"-","")),datos!$A$1:$B$12,2,0)</f>
        <v>7</v>
      </c>
      <c r="L1393" s="138"/>
      <c r="M1393" s="138" t="s">
        <v>0</v>
      </c>
    </row>
    <row r="1394" spans="1:13" x14ac:dyDescent="0.35">
      <c r="A1394" s="138" t="s">
        <v>487</v>
      </c>
      <c r="B1394" s="138" t="s">
        <v>3809</v>
      </c>
      <c r="C1394" s="138" t="s">
        <v>3983</v>
      </c>
      <c r="D1394" s="138" t="s">
        <v>4008</v>
      </c>
      <c r="E1394" s="138" t="s">
        <v>4011</v>
      </c>
      <c r="F1394" s="138" t="s">
        <v>3824</v>
      </c>
      <c r="G1394" s="138" t="s">
        <v>4000</v>
      </c>
      <c r="H1394" s="81" t="str">
        <f t="shared" si="114"/>
        <v>TCCN-PTE-PFL-PS1-CF8-SES-CRW</v>
      </c>
      <c r="I1394" s="138" t="str">
        <f>MID(H1394,1,(LEN(H1394)-VLOOKUP(K1394,datos!$B$2:$C$12,2,0)))</f>
        <v>TCCN-PTE-PFL-PS1-CF8-SES-CRW</v>
      </c>
      <c r="J1394" s="138" t="s">
        <v>6123</v>
      </c>
      <c r="K1394" s="140">
        <f>VLOOKUP(LEN(SUBSTITUTE(H1394,"-","")),datos!$A$1:$B$12,2,0)</f>
        <v>7</v>
      </c>
      <c r="L1394" s="138"/>
      <c r="M1394" s="138" t="s">
        <v>0</v>
      </c>
    </row>
    <row r="1395" spans="1:13" x14ac:dyDescent="0.35">
      <c r="A1395" s="137" t="s">
        <v>487</v>
      </c>
      <c r="B1395" s="137" t="s">
        <v>3809</v>
      </c>
      <c r="C1395" s="137" t="s">
        <v>3983</v>
      </c>
      <c r="D1395" s="137" t="s">
        <v>4008</v>
      </c>
      <c r="E1395" s="137" t="s">
        <v>4011</v>
      </c>
      <c r="F1395" s="137" t="s">
        <v>3847</v>
      </c>
      <c r="G1395" s="137"/>
      <c r="H1395" s="82" t="str">
        <f t="shared" si="114"/>
        <v>TCCN-PTE-PFL-PS1-CF8-SMO-</v>
      </c>
      <c r="I1395" s="137" t="str">
        <f>MID(H1395,1,(LEN(H1395)-VLOOKUP(K1395,datos!$B$2:$C$12,2,0)))</f>
        <v>TCCN-PTE-PFL-PS1-CF8-SMO</v>
      </c>
      <c r="J1395" s="137" t="s">
        <v>6124</v>
      </c>
      <c r="K1395" s="139">
        <f>VLOOKUP(LEN(SUBSTITUTE(H1395,"-","")),datos!$A$1:$B$12,2,0)</f>
        <v>6</v>
      </c>
      <c r="L1395" s="137"/>
      <c r="M1395" s="137" t="s">
        <v>0</v>
      </c>
    </row>
    <row r="1396" spans="1:13" x14ac:dyDescent="0.35">
      <c r="A1396" s="138" t="s">
        <v>487</v>
      </c>
      <c r="B1396" s="138" t="s">
        <v>3809</v>
      </c>
      <c r="C1396" s="138" t="s">
        <v>3983</v>
      </c>
      <c r="D1396" s="138" t="s">
        <v>4008</v>
      </c>
      <c r="E1396" s="138" t="s">
        <v>4011</v>
      </c>
      <c r="F1396" s="138" t="s">
        <v>3847</v>
      </c>
      <c r="G1396" s="138" t="s">
        <v>3819</v>
      </c>
      <c r="H1396" s="81" t="str">
        <f t="shared" si="114"/>
        <v>TCCN-PTE-PFL-PS1-CF8-SMO-MOE</v>
      </c>
      <c r="I1396" s="138" t="str">
        <f>MID(H1396,1,(LEN(H1396)-VLOOKUP(K1396,datos!$B$2:$C$12,2,0)))</f>
        <v>TCCN-PTE-PFL-PS1-CF8-SMO-MOE</v>
      </c>
      <c r="J1396" s="138" t="s">
        <v>6125</v>
      </c>
      <c r="K1396" s="140">
        <f>VLOOKUP(LEN(SUBSTITUTE(H1396,"-","")),datos!$A$1:$B$12,2,0)</f>
        <v>7</v>
      </c>
      <c r="L1396" s="138" t="s">
        <v>206</v>
      </c>
      <c r="M1396" s="138" t="s">
        <v>0</v>
      </c>
    </row>
    <row r="1397" spans="1:13" x14ac:dyDescent="0.35">
      <c r="A1397" s="138" t="s">
        <v>487</v>
      </c>
      <c r="B1397" s="138" t="s">
        <v>3809</v>
      </c>
      <c r="C1397" s="138" t="s">
        <v>3983</v>
      </c>
      <c r="D1397" s="138" t="s">
        <v>4008</v>
      </c>
      <c r="E1397" s="138" t="s">
        <v>4011</v>
      </c>
      <c r="F1397" s="138" t="s">
        <v>3847</v>
      </c>
      <c r="G1397" s="138" t="s">
        <v>3864</v>
      </c>
      <c r="H1397" s="81" t="str">
        <f t="shared" si="114"/>
        <v>TCCN-PTE-PFL-PS1-CF8-SMO-PMO</v>
      </c>
      <c r="I1397" s="138" t="str">
        <f>MID(H1397,1,(LEN(H1397)-VLOOKUP(K1397,datos!$B$2:$C$12,2,0)))</f>
        <v>TCCN-PTE-PFL-PS1-CF8-SMO-PMO</v>
      </c>
      <c r="J1397" s="138" t="s">
        <v>6126</v>
      </c>
      <c r="K1397" s="140">
        <f>VLOOKUP(LEN(SUBSTITUTE(H1397,"-","")),datos!$A$1:$B$12,2,0)</f>
        <v>7</v>
      </c>
      <c r="L1397" s="138"/>
      <c r="M1397" s="138" t="s">
        <v>0</v>
      </c>
    </row>
    <row r="1398" spans="1:13" x14ac:dyDescent="0.35">
      <c r="A1398" s="138" t="s">
        <v>487</v>
      </c>
      <c r="B1398" s="138" t="s">
        <v>3809</v>
      </c>
      <c r="C1398" s="138" t="s">
        <v>3983</v>
      </c>
      <c r="D1398" s="138" t="s">
        <v>4008</v>
      </c>
      <c r="E1398" s="138" t="s">
        <v>4011</v>
      </c>
      <c r="F1398" s="138" t="s">
        <v>3847</v>
      </c>
      <c r="G1398" s="138" t="s">
        <v>8116</v>
      </c>
      <c r="H1398" s="81" t="str">
        <f t="shared" si="114"/>
        <v>TCCN-PTE-PFL-PS1-CF8-SMO-PLE</v>
      </c>
      <c r="I1398" s="138" t="str">
        <f>MID(H1398,1,(LEN(H1398)-VLOOKUP(K1398,datos!$B$2:$C$12,2,0)))</f>
        <v>TCCN-PTE-PFL-PS1-CF8-SMO-PLE</v>
      </c>
      <c r="J1398" s="138" t="s">
        <v>6127</v>
      </c>
      <c r="K1398" s="140">
        <f>VLOOKUP(LEN(SUBSTITUTE(H1398,"-","")),datos!$A$1:$B$12,2,0)</f>
        <v>7</v>
      </c>
      <c r="L1398" s="138"/>
      <c r="M1398" s="138" t="s">
        <v>0</v>
      </c>
    </row>
    <row r="1399" spans="1:13" x14ac:dyDescent="0.35">
      <c r="A1399" s="138" t="s">
        <v>487</v>
      </c>
      <c r="B1399" s="138" t="s">
        <v>3809</v>
      </c>
      <c r="C1399" s="138" t="s">
        <v>3983</v>
      </c>
      <c r="D1399" s="138" t="s">
        <v>4008</v>
      </c>
      <c r="E1399" s="138" t="s">
        <v>4011</v>
      </c>
      <c r="F1399" s="138" t="s">
        <v>3847</v>
      </c>
      <c r="G1399" s="138" t="s">
        <v>5688</v>
      </c>
      <c r="H1399" s="81" t="str">
        <f t="shared" si="114"/>
        <v>TCCN-PTE-PFL-PS1-CF8-SMO-PRP</v>
      </c>
      <c r="I1399" s="138" t="str">
        <f>MID(H1399,1,(LEN(H1399)-VLOOKUP(K1399,datos!$B$2:$C$12,2,0)))</f>
        <v>TCCN-PTE-PFL-PS1-CF8-SMO-PRP</v>
      </c>
      <c r="J1399" s="138" t="s">
        <v>6128</v>
      </c>
      <c r="K1399" s="140">
        <f>VLOOKUP(LEN(SUBSTITUTE(H1399,"-","")),datos!$A$1:$B$12,2,0)</f>
        <v>7</v>
      </c>
      <c r="L1399" s="138"/>
      <c r="M1399" s="138" t="s">
        <v>0</v>
      </c>
    </row>
    <row r="1400" spans="1:13" x14ac:dyDescent="0.35">
      <c r="A1400" s="137" t="s">
        <v>487</v>
      </c>
      <c r="B1400" s="137" t="s">
        <v>3809</v>
      </c>
      <c r="C1400" s="137" t="s">
        <v>3983</v>
      </c>
      <c r="D1400" s="137" t="s">
        <v>4008</v>
      </c>
      <c r="E1400" s="137" t="s">
        <v>4011</v>
      </c>
      <c r="F1400" s="137" t="s">
        <v>3831</v>
      </c>
      <c r="G1400" s="137"/>
      <c r="H1400" s="82" t="str">
        <f t="shared" si="114"/>
        <v>TCCN-PTE-PFL-PS1-CF8-INS-</v>
      </c>
      <c r="I1400" s="137" t="str">
        <f>MID(H1400,1,(LEN(H1400)-VLOOKUP(K1400,datos!$B$2:$C$12,2,0)))</f>
        <v>TCCN-PTE-PFL-PS1-CF8-INS</v>
      </c>
      <c r="J1400" s="137" t="s">
        <v>6129</v>
      </c>
      <c r="K1400" s="139">
        <f>VLOOKUP(LEN(SUBSTITUTE(H1400,"-","")),datos!$A$1:$B$12,2,0)</f>
        <v>6</v>
      </c>
      <c r="L1400" s="137"/>
      <c r="M1400" s="137" t="s">
        <v>0</v>
      </c>
    </row>
    <row r="1401" spans="1:13" x14ac:dyDescent="0.35">
      <c r="A1401" s="138" t="s">
        <v>487</v>
      </c>
      <c r="B1401" s="138" t="s">
        <v>3809</v>
      </c>
      <c r="C1401" s="138" t="s">
        <v>3983</v>
      </c>
      <c r="D1401" s="138" t="s">
        <v>4008</v>
      </c>
      <c r="E1401" s="138" t="s">
        <v>4011</v>
      </c>
      <c r="F1401" s="138" t="s">
        <v>3831</v>
      </c>
      <c r="G1401" s="138" t="s">
        <v>4075</v>
      </c>
      <c r="H1401" s="81" t="str">
        <f t="shared" si="114"/>
        <v>TCCN-PTE-PFL-PS1-CF8-INS-VVA</v>
      </c>
      <c r="I1401" s="138" t="str">
        <f>MID(H1401,1,(LEN(H1401)-VLOOKUP(K1401,datos!$B$2:$C$12,2,0)))</f>
        <v>TCCN-PTE-PFL-PS1-CF8-INS-VVA</v>
      </c>
      <c r="J1401" s="138" t="s">
        <v>7791</v>
      </c>
      <c r="K1401" s="140">
        <f>VLOOKUP(LEN(SUBSTITUTE(H1401,"-","")),datos!$A$1:$B$12,2,0)</f>
        <v>7</v>
      </c>
      <c r="L1401" s="138" t="s">
        <v>7794</v>
      </c>
      <c r="M1401" s="138" t="s">
        <v>0</v>
      </c>
    </row>
    <row r="1402" spans="1:13" x14ac:dyDescent="0.35">
      <c r="A1402" s="138" t="s">
        <v>487</v>
      </c>
      <c r="B1402" s="138" t="s">
        <v>3809</v>
      </c>
      <c r="C1402" s="138" t="s">
        <v>3983</v>
      </c>
      <c r="D1402" s="138" t="s">
        <v>4008</v>
      </c>
      <c r="E1402" s="138" t="s">
        <v>4011</v>
      </c>
      <c r="F1402" s="138" t="s">
        <v>3831</v>
      </c>
      <c r="G1402" s="138" t="s">
        <v>5256</v>
      </c>
      <c r="H1402" s="81" t="str">
        <f t="shared" si="114"/>
        <v>TCCN-PTE-PFL-PS1-CF8-INS-MNV</v>
      </c>
      <c r="I1402" s="138" t="str">
        <f>MID(H1402,1,(LEN(H1402)-VLOOKUP(K1402,datos!$B$2:$C$12,2,0)))</f>
        <v>TCCN-PTE-PFL-PS1-CF8-INS-MNV</v>
      </c>
      <c r="J1402" s="138" t="s">
        <v>7792</v>
      </c>
      <c r="K1402" s="140">
        <f>VLOOKUP(LEN(SUBSTITUTE(H1402,"-","")),datos!$A$1:$B$12,2,0)</f>
        <v>7</v>
      </c>
      <c r="L1402" s="138" t="s">
        <v>7795</v>
      </c>
      <c r="M1402" s="138" t="s">
        <v>0</v>
      </c>
    </row>
    <row r="1403" spans="1:13" x14ac:dyDescent="0.35">
      <c r="A1403" s="138" t="s">
        <v>487</v>
      </c>
      <c r="B1403" s="138" t="s">
        <v>3809</v>
      </c>
      <c r="C1403" s="138" t="s">
        <v>3983</v>
      </c>
      <c r="D1403" s="138" t="s">
        <v>4008</v>
      </c>
      <c r="E1403" s="138" t="s">
        <v>4011</v>
      </c>
      <c r="F1403" s="138" t="s">
        <v>3831</v>
      </c>
      <c r="G1403" s="138" t="s">
        <v>4002</v>
      </c>
      <c r="H1403" s="81" t="str">
        <f t="shared" si="114"/>
        <v>TCCN-PTE-PFL-PS1-CF8-INS-FJM</v>
      </c>
      <c r="I1403" s="138" t="str">
        <f>MID(H1403,1,(LEN(H1403)-VLOOKUP(K1403,datos!$B$2:$C$12,2,0)))</f>
        <v>TCCN-PTE-PFL-PS1-CF8-INS-FJM</v>
      </c>
      <c r="J1403" s="138" t="s">
        <v>7793</v>
      </c>
      <c r="K1403" s="140">
        <f>VLOOKUP(LEN(SUBSTITUTE(H1403,"-","")),datos!$A$1:$B$12,2,0)</f>
        <v>7</v>
      </c>
      <c r="L1403" s="138" t="s">
        <v>7796</v>
      </c>
      <c r="M1403" s="138" t="s">
        <v>0</v>
      </c>
    </row>
    <row r="1404" spans="1:13" x14ac:dyDescent="0.35">
      <c r="A1404" s="137" t="s">
        <v>487</v>
      </c>
      <c r="B1404" s="137" t="s">
        <v>3809</v>
      </c>
      <c r="C1404" s="137" t="s">
        <v>3983</v>
      </c>
      <c r="D1404" s="137" t="s">
        <v>4008</v>
      </c>
      <c r="E1404" s="137" t="s">
        <v>4011</v>
      </c>
      <c r="F1404" s="137" t="s">
        <v>3869</v>
      </c>
      <c r="G1404" s="137"/>
      <c r="H1404" s="82" t="str">
        <f t="shared" si="114"/>
        <v>TCCN-PTE-PFL-PS1-CF8-SCE-</v>
      </c>
      <c r="I1404" s="137" t="str">
        <f>MID(H1404,1,(LEN(H1404)-VLOOKUP(K1404,datos!$B$2:$C$12,2,0)))</f>
        <v>TCCN-PTE-PFL-PS1-CF8-SCE</v>
      </c>
      <c r="J1404" s="137" t="s">
        <v>6130</v>
      </c>
      <c r="K1404" s="139">
        <f>VLOOKUP(LEN(SUBSTITUTE(H1404,"-","")),datos!$A$1:$B$12,2,0)</f>
        <v>6</v>
      </c>
      <c r="L1404" s="137"/>
      <c r="M1404" s="137" t="s">
        <v>0</v>
      </c>
    </row>
    <row r="1405" spans="1:13" x14ac:dyDescent="0.35">
      <c r="A1405" s="138" t="s">
        <v>487</v>
      </c>
      <c r="B1405" s="138" t="s">
        <v>3809</v>
      </c>
      <c r="C1405" s="138" t="s">
        <v>3983</v>
      </c>
      <c r="D1405" s="138" t="s">
        <v>4008</v>
      </c>
      <c r="E1405" s="138" t="s">
        <v>4011</v>
      </c>
      <c r="F1405" s="138" t="s">
        <v>3869</v>
      </c>
      <c r="G1405" s="138" t="s">
        <v>3870</v>
      </c>
      <c r="H1405" s="81" t="str">
        <f t="shared" si="114"/>
        <v>TCCN-PTE-PFL-PS1-CF8-SCE-BTN</v>
      </c>
      <c r="I1405" s="138" t="str">
        <f>MID(H1405,1,(LEN(H1405)-VLOOKUP(K1405,datos!$B$2:$C$12,2,0)))</f>
        <v>TCCN-PTE-PFL-PS1-CF8-SCE-BTN</v>
      </c>
      <c r="J1405" s="138" t="s">
        <v>6131</v>
      </c>
      <c r="K1405" s="140">
        <f>VLOOKUP(LEN(SUBSTITUTE(H1405,"-","")),datos!$A$1:$B$12,2,0)</f>
        <v>7</v>
      </c>
      <c r="L1405" s="138"/>
      <c r="M1405" s="138" t="s">
        <v>0</v>
      </c>
    </row>
    <row r="1406" spans="1:13" customFormat="1" ht="14.5" x14ac:dyDescent="0.35">
      <c r="A1406" s="129" t="s">
        <v>487</v>
      </c>
      <c r="B1406" s="129" t="s">
        <v>3809</v>
      </c>
      <c r="C1406" s="129" t="s">
        <v>3983</v>
      </c>
      <c r="D1406" s="129" t="s">
        <v>4008</v>
      </c>
      <c r="E1406" s="129" t="s">
        <v>7797</v>
      </c>
      <c r="F1406" s="129"/>
      <c r="G1406" s="129"/>
      <c r="H1406" s="83" t="str">
        <f t="shared" si="114"/>
        <v>TCCN-PTE-PFL-PS1-CB3--</v>
      </c>
      <c r="I1406" s="129" t="str">
        <f>MID(H1406,1,(LEN(H1406)-VLOOKUP(K1406,datos!$B$2:$C$12,2,0)))</f>
        <v>TCCN-PTE-PFL-PS1-CB3</v>
      </c>
      <c r="J1406" s="129" t="s">
        <v>7798</v>
      </c>
      <c r="K1406" s="130">
        <f>VLOOKUP(LEN(SUBSTITUTE(H1406,"-","")),datos!$A$1:$B$12,2,0)</f>
        <v>5</v>
      </c>
      <c r="L1406" s="129"/>
      <c r="M1406" s="129" t="s">
        <v>0</v>
      </c>
    </row>
    <row r="1407" spans="1:13" x14ac:dyDescent="0.35">
      <c r="A1407" s="137" t="s">
        <v>487</v>
      </c>
      <c r="B1407" s="137" t="s">
        <v>3809</v>
      </c>
      <c r="C1407" s="137" t="s">
        <v>3983</v>
      </c>
      <c r="D1407" s="137" t="s">
        <v>4008</v>
      </c>
      <c r="E1407" s="137" t="s">
        <v>7797</v>
      </c>
      <c r="F1407" s="137" t="s">
        <v>3831</v>
      </c>
      <c r="G1407" s="137"/>
      <c r="H1407" s="82" t="str">
        <f t="shared" si="114"/>
        <v>TCCN-PTE-PFL-PS1-CB3-INS-</v>
      </c>
      <c r="I1407" s="137" t="str">
        <f>MID(H1407,1,(LEN(H1407)-VLOOKUP(K1407,datos!$B$2:$C$12,2,0)))</f>
        <v>TCCN-PTE-PFL-PS1-CB3-INS</v>
      </c>
      <c r="J1407" s="137" t="s">
        <v>7799</v>
      </c>
      <c r="K1407" s="139">
        <f>VLOOKUP(LEN(SUBSTITUTE(H1407,"-","")),datos!$A$1:$B$12,2,0)</f>
        <v>6</v>
      </c>
      <c r="L1407" s="137"/>
      <c r="M1407" s="137" t="s">
        <v>0</v>
      </c>
    </row>
    <row r="1408" spans="1:13" x14ac:dyDescent="0.35">
      <c r="A1408" s="138" t="s">
        <v>487</v>
      </c>
      <c r="B1408" s="138" t="s">
        <v>3809</v>
      </c>
      <c r="C1408" s="138" t="s">
        <v>3983</v>
      </c>
      <c r="D1408" s="138" t="s">
        <v>4008</v>
      </c>
      <c r="E1408" s="138" t="s">
        <v>7797</v>
      </c>
      <c r="F1408" s="138" t="s">
        <v>3831</v>
      </c>
      <c r="G1408" s="138" t="s">
        <v>3986</v>
      </c>
      <c r="H1408" s="81" t="str">
        <f t="shared" si="114"/>
        <v>TCCN-PTE-PFL-PS1-CB3-INS-VV1</v>
      </c>
      <c r="I1408" s="138" t="str">
        <f>MID(H1408,1,(LEN(H1408)-VLOOKUP(K1408,datos!$B$2:$C$12,2,0)))</f>
        <v>TCCN-PTE-PFL-PS1-CB3-INS-VV1</v>
      </c>
      <c r="J1408" s="138" t="s">
        <v>7800</v>
      </c>
      <c r="K1408" s="140">
        <f>VLOOKUP(LEN(SUBSTITUTE(H1408,"-","")),datos!$A$1:$B$12,2,0)</f>
        <v>7</v>
      </c>
      <c r="L1408" s="138" t="s">
        <v>7802</v>
      </c>
      <c r="M1408" s="138" t="s">
        <v>0</v>
      </c>
    </row>
    <row r="1409" spans="1:13" x14ac:dyDescent="0.35">
      <c r="A1409" s="138" t="s">
        <v>487</v>
      </c>
      <c r="B1409" s="138" t="s">
        <v>3809</v>
      </c>
      <c r="C1409" s="138" t="s">
        <v>3983</v>
      </c>
      <c r="D1409" s="138" t="s">
        <v>4008</v>
      </c>
      <c r="E1409" s="138" t="s">
        <v>7797</v>
      </c>
      <c r="F1409" s="138" t="s">
        <v>3831</v>
      </c>
      <c r="G1409" s="138" t="s">
        <v>3987</v>
      </c>
      <c r="H1409" s="81" t="str">
        <f t="shared" si="114"/>
        <v>TCCN-PTE-PFL-PS1-CB3-INS-VV2</v>
      </c>
      <c r="I1409" s="138" t="str">
        <f>MID(H1409,1,(LEN(H1409)-VLOOKUP(K1409,datos!$B$2:$C$12,2,0)))</f>
        <v>TCCN-PTE-PFL-PS1-CB3-INS-VV2</v>
      </c>
      <c r="J1409" s="138" t="s">
        <v>7801</v>
      </c>
      <c r="K1409" s="140">
        <f>VLOOKUP(LEN(SUBSTITUTE(H1409,"-","")),datos!$A$1:$B$12,2,0)</f>
        <v>7</v>
      </c>
      <c r="L1409" s="138" t="s">
        <v>7803</v>
      </c>
      <c r="M1409" s="138" t="s">
        <v>0</v>
      </c>
    </row>
    <row r="1410" spans="1:13" customFormat="1" ht="14.5" x14ac:dyDescent="0.35">
      <c r="A1410" s="84" t="s">
        <v>487</v>
      </c>
      <c r="B1410" s="84" t="s">
        <v>3809</v>
      </c>
      <c r="C1410" s="84" t="s">
        <v>3983</v>
      </c>
      <c r="D1410" s="84" t="s">
        <v>4012</v>
      </c>
      <c r="E1410" s="84"/>
      <c r="F1410" s="84"/>
      <c r="G1410" s="84"/>
      <c r="H1410" s="84" t="str">
        <f t="shared" si="114"/>
        <v>TCCN-PTE-PFL-PS2---</v>
      </c>
      <c r="I1410" s="84" t="str">
        <f>MID(H1410,1,(LEN(H1410)-VLOOKUP(K1410,datos!$B$2:$C$12,2,0)))</f>
        <v>TCCN-PTE-PFL-PS2</v>
      </c>
      <c r="J1410" s="84" t="s">
        <v>1613</v>
      </c>
      <c r="K1410" s="119">
        <f>VLOOKUP(LEN(SUBSTITUTE(H1410,"-","")),datos!$A$1:$B$12,2,0)</f>
        <v>4</v>
      </c>
      <c r="L1410" s="84"/>
      <c r="M1410" s="84" t="s">
        <v>0</v>
      </c>
    </row>
    <row r="1411" spans="1:13" customFormat="1" ht="14.5" x14ac:dyDescent="0.35">
      <c r="A1411" s="129" t="s">
        <v>487</v>
      </c>
      <c r="B1411" s="129" t="s">
        <v>3809</v>
      </c>
      <c r="C1411" s="129" t="s">
        <v>3983</v>
      </c>
      <c r="D1411" s="129" t="s">
        <v>4012</v>
      </c>
      <c r="E1411" s="129" t="s">
        <v>3992</v>
      </c>
      <c r="F1411" s="129"/>
      <c r="G1411" s="129"/>
      <c r="H1411" s="83" t="str">
        <f t="shared" si="114"/>
        <v>TCCN-PTE-PFL-PS2-CF1--</v>
      </c>
      <c r="I1411" s="129" t="str">
        <f>MID(H1411,1,(LEN(H1411)-VLOOKUP(K1411,datos!$B$2:$C$12,2,0)))</f>
        <v>TCCN-PTE-PFL-PS2-CF1</v>
      </c>
      <c r="J1411" s="129" t="s">
        <v>458</v>
      </c>
      <c r="K1411" s="130">
        <f>VLOOKUP(LEN(SUBSTITUTE(H1411,"-","")),datos!$A$1:$B$12,2,0)</f>
        <v>5</v>
      </c>
      <c r="L1411" s="129" t="s">
        <v>207</v>
      </c>
      <c r="M1411" s="129" t="s">
        <v>0</v>
      </c>
    </row>
    <row r="1412" spans="1:13" x14ac:dyDescent="0.35">
      <c r="A1412" s="137" t="s">
        <v>487</v>
      </c>
      <c r="B1412" s="137" t="s">
        <v>3809</v>
      </c>
      <c r="C1412" s="137" t="s">
        <v>3983</v>
      </c>
      <c r="D1412" s="137" t="s">
        <v>4012</v>
      </c>
      <c r="E1412" s="137" t="s">
        <v>3992</v>
      </c>
      <c r="F1412" s="137" t="s">
        <v>3948</v>
      </c>
      <c r="G1412" s="137"/>
      <c r="H1412" s="82" t="str">
        <f t="shared" si="114"/>
        <v>TCCN-PTE-PFL-PS2-CF1-SCP-</v>
      </c>
      <c r="I1412" s="137" t="str">
        <f>MID(H1412,1,(LEN(H1412)-VLOOKUP(K1412,datos!$B$2:$C$12,2,0)))</f>
        <v>TCCN-PTE-PFL-PS2-CF1-SCP</v>
      </c>
      <c r="J1412" s="137" t="s">
        <v>6096</v>
      </c>
      <c r="K1412" s="139">
        <f>VLOOKUP(LEN(SUBSTITUTE(H1412,"-","")),datos!$A$1:$B$12,2,0)</f>
        <v>6</v>
      </c>
      <c r="L1412" s="137"/>
      <c r="M1412" s="137" t="s">
        <v>0</v>
      </c>
    </row>
    <row r="1413" spans="1:13" x14ac:dyDescent="0.35">
      <c r="A1413" s="138" t="s">
        <v>487</v>
      </c>
      <c r="B1413" s="138" t="s">
        <v>3809</v>
      </c>
      <c r="C1413" s="138" t="s">
        <v>3983</v>
      </c>
      <c r="D1413" s="138" t="s">
        <v>4012</v>
      </c>
      <c r="E1413" s="138" t="s">
        <v>3992</v>
      </c>
      <c r="F1413" s="138" t="s">
        <v>3948</v>
      </c>
      <c r="G1413" s="138" t="s">
        <v>3993</v>
      </c>
      <c r="H1413" s="81" t="str">
        <f t="shared" si="114"/>
        <v>TCCN-PTE-PFL-PS2-CF1-SCP-POR</v>
      </c>
      <c r="I1413" s="138" t="str">
        <f>MID(H1413,1,(LEN(H1413)-VLOOKUP(K1413,datos!$B$2:$C$12,2,0)))</f>
        <v>TCCN-PTE-PFL-PS2-CF1-SCP-POR</v>
      </c>
      <c r="J1413" s="138" t="s">
        <v>6097</v>
      </c>
      <c r="K1413" s="140">
        <f>VLOOKUP(LEN(SUBSTITUTE(H1413,"-","")),datos!$A$1:$B$12,2,0)</f>
        <v>7</v>
      </c>
      <c r="L1413" s="138"/>
      <c r="M1413" s="138" t="s">
        <v>0</v>
      </c>
    </row>
    <row r="1414" spans="1:13" x14ac:dyDescent="0.35">
      <c r="A1414" s="138" t="s">
        <v>487</v>
      </c>
      <c r="B1414" s="138" t="s">
        <v>3809</v>
      </c>
      <c r="C1414" s="138" t="s">
        <v>3983</v>
      </c>
      <c r="D1414" s="138" t="s">
        <v>4012</v>
      </c>
      <c r="E1414" s="138" t="s">
        <v>3992</v>
      </c>
      <c r="F1414" s="138" t="s">
        <v>3948</v>
      </c>
      <c r="G1414" s="138" t="s">
        <v>3994</v>
      </c>
      <c r="H1414" s="81" t="str">
        <f t="shared" si="114"/>
        <v>TCCN-PTE-PFL-PS2-CF1-SCP-RTO</v>
      </c>
      <c r="I1414" s="138" t="str">
        <f>MID(H1414,1,(LEN(H1414)-VLOOKUP(K1414,datos!$B$2:$C$12,2,0)))</f>
        <v>TCCN-PTE-PFL-PS2-CF1-SCP-RTO</v>
      </c>
      <c r="J1414" s="138" t="s">
        <v>6098</v>
      </c>
      <c r="K1414" s="140">
        <f>VLOOKUP(LEN(SUBSTITUTE(H1414,"-","")),datos!$A$1:$B$12,2,0)</f>
        <v>7</v>
      </c>
      <c r="L1414" s="138"/>
      <c r="M1414" s="138" t="s">
        <v>0</v>
      </c>
    </row>
    <row r="1415" spans="1:13" x14ac:dyDescent="0.35">
      <c r="A1415" s="138" t="s">
        <v>487</v>
      </c>
      <c r="B1415" s="138" t="s">
        <v>3809</v>
      </c>
      <c r="C1415" s="138" t="s">
        <v>3983</v>
      </c>
      <c r="D1415" s="138" t="s">
        <v>4012</v>
      </c>
      <c r="E1415" s="138" t="s">
        <v>3992</v>
      </c>
      <c r="F1415" s="138" t="s">
        <v>3948</v>
      </c>
      <c r="G1415" s="138" t="s">
        <v>3995</v>
      </c>
      <c r="H1415" s="81" t="str">
        <f t="shared" si="114"/>
        <v>TCCN-PTE-PFL-PS2-CF1-SCP-ETT</v>
      </c>
      <c r="I1415" s="138" t="str">
        <f>MID(H1415,1,(LEN(H1415)-VLOOKUP(K1415,datos!$B$2:$C$12,2,0)))</f>
        <v>TCCN-PTE-PFL-PS2-CF1-SCP-ETT</v>
      </c>
      <c r="J1415" s="138" t="s">
        <v>6099</v>
      </c>
      <c r="K1415" s="140">
        <f>VLOOKUP(LEN(SUBSTITUTE(H1415,"-","")),datos!$A$1:$B$12,2,0)</f>
        <v>7</v>
      </c>
      <c r="L1415" s="138"/>
      <c r="M1415" s="138" t="s">
        <v>0</v>
      </c>
    </row>
    <row r="1416" spans="1:13" x14ac:dyDescent="0.35">
      <c r="A1416" s="138" t="s">
        <v>487</v>
      </c>
      <c r="B1416" s="138" t="s">
        <v>3809</v>
      </c>
      <c r="C1416" s="138" t="s">
        <v>3983</v>
      </c>
      <c r="D1416" s="138" t="s">
        <v>4012</v>
      </c>
      <c r="E1416" s="138" t="s">
        <v>3992</v>
      </c>
      <c r="F1416" s="138" t="s">
        <v>3948</v>
      </c>
      <c r="G1416" s="138" t="s">
        <v>3996</v>
      </c>
      <c r="H1416" s="81" t="str">
        <f t="shared" si="114"/>
        <v>TCCN-PTE-PFL-PS2-CF1-SCP-DDT</v>
      </c>
      <c r="I1416" s="138" t="str">
        <f>MID(H1416,1,(LEN(H1416)-VLOOKUP(K1416,datos!$B$2:$C$12,2,0)))</f>
        <v>TCCN-PTE-PFL-PS2-CF1-SCP-DDT</v>
      </c>
      <c r="J1416" s="138" t="s">
        <v>6100</v>
      </c>
      <c r="K1416" s="140">
        <f>VLOOKUP(LEN(SUBSTITUTE(H1416,"-","")),datos!$A$1:$B$12,2,0)</f>
        <v>7</v>
      </c>
      <c r="L1416" s="138"/>
      <c r="M1416" s="138" t="s">
        <v>0</v>
      </c>
    </row>
    <row r="1417" spans="1:13" x14ac:dyDescent="0.35">
      <c r="A1417" s="138" t="s">
        <v>487</v>
      </c>
      <c r="B1417" s="138" t="s">
        <v>3809</v>
      </c>
      <c r="C1417" s="138" t="s">
        <v>3983</v>
      </c>
      <c r="D1417" s="138" t="s">
        <v>4012</v>
      </c>
      <c r="E1417" s="138" t="s">
        <v>3992</v>
      </c>
      <c r="F1417" s="138" t="s">
        <v>3948</v>
      </c>
      <c r="G1417" s="138" t="s">
        <v>3997</v>
      </c>
      <c r="H1417" s="81" t="str">
        <f t="shared" si="114"/>
        <v>TCCN-PTE-PFL-PS2-CF1-SCP-EJE</v>
      </c>
      <c r="I1417" s="138" t="str">
        <f>MID(H1417,1,(LEN(H1417)-VLOOKUP(K1417,datos!$B$2:$C$12,2,0)))</f>
        <v>TCCN-PTE-PFL-PS2-CF1-SCP-EJE</v>
      </c>
      <c r="J1417" s="138" t="s">
        <v>6101</v>
      </c>
      <c r="K1417" s="140">
        <f>VLOOKUP(LEN(SUBSTITUTE(H1417,"-","")),datos!$A$1:$B$12,2,0)</f>
        <v>7</v>
      </c>
      <c r="L1417" s="138"/>
      <c r="M1417" s="138" t="s">
        <v>0</v>
      </c>
    </row>
    <row r="1418" spans="1:13" x14ac:dyDescent="0.35">
      <c r="A1418" s="137" t="s">
        <v>487</v>
      </c>
      <c r="B1418" s="137" t="s">
        <v>3809</v>
      </c>
      <c r="C1418" s="137" t="s">
        <v>3983</v>
      </c>
      <c r="D1418" s="137" t="s">
        <v>4012</v>
      </c>
      <c r="E1418" s="137" t="s">
        <v>3992</v>
      </c>
      <c r="F1418" s="137" t="s">
        <v>3824</v>
      </c>
      <c r="G1418" s="137"/>
      <c r="H1418" s="82" t="str">
        <f t="shared" si="114"/>
        <v>TCCN-PTE-PFL-PS2-CF1-SES-</v>
      </c>
      <c r="I1418" s="137" t="str">
        <f>MID(H1418,1,(LEN(H1418)-VLOOKUP(K1418,datos!$B$2:$C$12,2,0)))</f>
        <v>TCCN-PTE-PFL-PS2-CF1-SES</v>
      </c>
      <c r="J1418" s="137" t="s">
        <v>6102</v>
      </c>
      <c r="K1418" s="139">
        <f>VLOOKUP(LEN(SUBSTITUTE(H1418,"-","")),datos!$A$1:$B$12,2,0)</f>
        <v>6</v>
      </c>
      <c r="L1418" s="137"/>
      <c r="M1418" s="137" t="s">
        <v>0</v>
      </c>
    </row>
    <row r="1419" spans="1:13" x14ac:dyDescent="0.35">
      <c r="A1419" s="138" t="s">
        <v>487</v>
      </c>
      <c r="B1419" s="138" t="s">
        <v>3809</v>
      </c>
      <c r="C1419" s="138" t="s">
        <v>3983</v>
      </c>
      <c r="D1419" s="138" t="s">
        <v>4012</v>
      </c>
      <c r="E1419" s="138" t="s">
        <v>3992</v>
      </c>
      <c r="F1419" s="138" t="s">
        <v>3824</v>
      </c>
      <c r="G1419" s="138" t="s">
        <v>3998</v>
      </c>
      <c r="H1419" s="81" t="str">
        <f t="shared" si="114"/>
        <v>TCCN-PTE-PFL-PS2-CF1-SES-BYG</v>
      </c>
      <c r="I1419" s="138" t="str">
        <f>MID(H1419,1,(LEN(H1419)-VLOOKUP(K1419,datos!$B$2:$C$12,2,0)))</f>
        <v>TCCN-PTE-PFL-PS2-CF1-SES-BYG</v>
      </c>
      <c r="J1419" s="138" t="s">
        <v>8026</v>
      </c>
      <c r="K1419" s="140">
        <f>VLOOKUP(LEN(SUBSTITUTE(H1419,"-","")),datos!$A$1:$B$12,2,0)</f>
        <v>7</v>
      </c>
      <c r="L1419" s="138"/>
      <c r="M1419" s="138" t="s">
        <v>0</v>
      </c>
    </row>
    <row r="1420" spans="1:13" x14ac:dyDescent="0.35">
      <c r="A1420" s="138" t="s">
        <v>487</v>
      </c>
      <c r="B1420" s="138" t="s">
        <v>3809</v>
      </c>
      <c r="C1420" s="138" t="s">
        <v>3983</v>
      </c>
      <c r="D1420" s="138" t="s">
        <v>4012</v>
      </c>
      <c r="E1420" s="138" t="s">
        <v>3992</v>
      </c>
      <c r="F1420" s="138" t="s">
        <v>3824</v>
      </c>
      <c r="G1420" s="138" t="s">
        <v>3999</v>
      </c>
      <c r="H1420" s="81" t="str">
        <f t="shared" si="114"/>
        <v>TCCN-PTE-PFL-PS2-CF1-SES-RDP</v>
      </c>
      <c r="I1420" s="138" t="str">
        <f>MID(H1420,1,(LEN(H1420)-VLOOKUP(K1420,datos!$B$2:$C$12,2,0)))</f>
        <v>TCCN-PTE-PFL-PS2-CF1-SES-RDP</v>
      </c>
      <c r="J1420" s="138" t="s">
        <v>6103</v>
      </c>
      <c r="K1420" s="140">
        <f>VLOOKUP(LEN(SUBSTITUTE(H1420,"-","")),datos!$A$1:$B$12,2,0)</f>
        <v>7</v>
      </c>
      <c r="L1420" s="138"/>
      <c r="M1420" s="138" t="s">
        <v>0</v>
      </c>
    </row>
    <row r="1421" spans="1:13" x14ac:dyDescent="0.35">
      <c r="A1421" s="138" t="s">
        <v>487</v>
      </c>
      <c r="B1421" s="138" t="s">
        <v>3809</v>
      </c>
      <c r="C1421" s="138" t="s">
        <v>3983</v>
      </c>
      <c r="D1421" s="138" t="s">
        <v>4012</v>
      </c>
      <c r="E1421" s="138" t="s">
        <v>3992</v>
      </c>
      <c r="F1421" s="138" t="s">
        <v>3824</v>
      </c>
      <c r="G1421" s="138" t="s">
        <v>3853</v>
      </c>
      <c r="H1421" s="81" t="str">
        <f t="shared" si="114"/>
        <v>TCCN-PTE-PFL-PS2-CF1-SES-EST</v>
      </c>
      <c r="I1421" s="138" t="str">
        <f>MID(H1421,1,(LEN(H1421)-VLOOKUP(K1421,datos!$B$2:$C$12,2,0)))</f>
        <v>TCCN-PTE-PFL-PS2-CF1-SES-EST</v>
      </c>
      <c r="J1421" s="138" t="s">
        <v>6104</v>
      </c>
      <c r="K1421" s="140">
        <f>VLOOKUP(LEN(SUBSTITUTE(H1421,"-","")),datos!$A$1:$B$12,2,0)</f>
        <v>7</v>
      </c>
      <c r="L1421" s="138"/>
      <c r="M1421" s="138" t="s">
        <v>0</v>
      </c>
    </row>
    <row r="1422" spans="1:13" x14ac:dyDescent="0.35">
      <c r="A1422" s="138" t="s">
        <v>487</v>
      </c>
      <c r="B1422" s="138" t="s">
        <v>3809</v>
      </c>
      <c r="C1422" s="138" t="s">
        <v>3983</v>
      </c>
      <c r="D1422" s="138" t="s">
        <v>4012</v>
      </c>
      <c r="E1422" s="138" t="s">
        <v>3992</v>
      </c>
      <c r="F1422" s="138" t="s">
        <v>3824</v>
      </c>
      <c r="G1422" s="138" t="s">
        <v>4000</v>
      </c>
      <c r="H1422" s="81" t="str">
        <f t="shared" si="114"/>
        <v>TCCN-PTE-PFL-PS2-CF1-SES-CRW</v>
      </c>
      <c r="I1422" s="138" t="str">
        <f>MID(H1422,1,(LEN(H1422)-VLOOKUP(K1422,datos!$B$2:$C$12,2,0)))</f>
        <v>TCCN-PTE-PFL-PS2-CF1-SES-CRW</v>
      </c>
      <c r="J1422" s="138" t="s">
        <v>6105</v>
      </c>
      <c r="K1422" s="140">
        <f>VLOOKUP(LEN(SUBSTITUTE(H1422,"-","")),datos!$A$1:$B$12,2,0)</f>
        <v>7</v>
      </c>
      <c r="L1422" s="138"/>
      <c r="M1422" s="138" t="s">
        <v>0</v>
      </c>
    </row>
    <row r="1423" spans="1:13" x14ac:dyDescent="0.35">
      <c r="A1423" s="137" t="s">
        <v>487</v>
      </c>
      <c r="B1423" s="137" t="s">
        <v>3809</v>
      </c>
      <c r="C1423" s="137" t="s">
        <v>3983</v>
      </c>
      <c r="D1423" s="137" t="s">
        <v>4012</v>
      </c>
      <c r="E1423" s="137" t="s">
        <v>3992</v>
      </c>
      <c r="F1423" s="137" t="s">
        <v>3847</v>
      </c>
      <c r="G1423" s="137"/>
      <c r="H1423" s="82" t="str">
        <f t="shared" si="114"/>
        <v>TCCN-PTE-PFL-PS2-CF1-SMO-</v>
      </c>
      <c r="I1423" s="137" t="str">
        <f>MID(H1423,1,(LEN(H1423)-VLOOKUP(K1423,datos!$B$2:$C$12,2,0)))</f>
        <v>TCCN-PTE-PFL-PS2-CF1-SMO</v>
      </c>
      <c r="J1423" s="137" t="s">
        <v>6106</v>
      </c>
      <c r="K1423" s="139">
        <f>VLOOKUP(LEN(SUBSTITUTE(H1423,"-","")),datos!$A$1:$B$12,2,0)</f>
        <v>6</v>
      </c>
      <c r="L1423" s="137"/>
      <c r="M1423" s="137" t="s">
        <v>0</v>
      </c>
    </row>
    <row r="1424" spans="1:13" x14ac:dyDescent="0.35">
      <c r="A1424" s="138" t="s">
        <v>487</v>
      </c>
      <c r="B1424" s="138" t="s">
        <v>3809</v>
      </c>
      <c r="C1424" s="138" t="s">
        <v>3983</v>
      </c>
      <c r="D1424" s="138" t="s">
        <v>4012</v>
      </c>
      <c r="E1424" s="138" t="s">
        <v>3992</v>
      </c>
      <c r="F1424" s="138" t="s">
        <v>3847</v>
      </c>
      <c r="G1424" s="138" t="s">
        <v>3819</v>
      </c>
      <c r="H1424" s="81" t="str">
        <f t="shared" si="114"/>
        <v>TCCN-PTE-PFL-PS2-CF1-SMO-MOE</v>
      </c>
      <c r="I1424" s="138" t="str">
        <f>MID(H1424,1,(LEN(H1424)-VLOOKUP(K1424,datos!$B$2:$C$12,2,0)))</f>
        <v>TCCN-PTE-PFL-PS2-CF1-SMO-MOE</v>
      </c>
      <c r="J1424" s="138" t="s">
        <v>6107</v>
      </c>
      <c r="K1424" s="140">
        <f>VLOOKUP(LEN(SUBSTITUTE(H1424,"-","")),datos!$A$1:$B$12,2,0)</f>
        <v>7</v>
      </c>
      <c r="L1424" s="138" t="s">
        <v>208</v>
      </c>
      <c r="M1424" s="138" t="s">
        <v>0</v>
      </c>
    </row>
    <row r="1425" spans="1:13" x14ac:dyDescent="0.35">
      <c r="A1425" s="138" t="s">
        <v>487</v>
      </c>
      <c r="B1425" s="138" t="s">
        <v>3809</v>
      </c>
      <c r="C1425" s="138" t="s">
        <v>3983</v>
      </c>
      <c r="D1425" s="138" t="s">
        <v>4012</v>
      </c>
      <c r="E1425" s="138" t="s">
        <v>3992</v>
      </c>
      <c r="F1425" s="138" t="s">
        <v>3847</v>
      </c>
      <c r="G1425" s="138" t="s">
        <v>3864</v>
      </c>
      <c r="H1425" s="81" t="str">
        <f t="shared" si="114"/>
        <v>TCCN-PTE-PFL-PS2-CF1-SMO-PMO</v>
      </c>
      <c r="I1425" s="138" t="str">
        <f>MID(H1425,1,(LEN(H1425)-VLOOKUP(K1425,datos!$B$2:$C$12,2,0)))</f>
        <v>TCCN-PTE-PFL-PS2-CF1-SMO-PMO</v>
      </c>
      <c r="J1425" s="138" t="s">
        <v>6108</v>
      </c>
      <c r="K1425" s="140">
        <f>VLOOKUP(LEN(SUBSTITUTE(H1425,"-","")),datos!$A$1:$B$12,2,0)</f>
        <v>7</v>
      </c>
      <c r="L1425" s="138"/>
      <c r="M1425" s="138" t="s">
        <v>0</v>
      </c>
    </row>
    <row r="1426" spans="1:13" x14ac:dyDescent="0.35">
      <c r="A1426" s="138" t="s">
        <v>487</v>
      </c>
      <c r="B1426" s="138" t="s">
        <v>3809</v>
      </c>
      <c r="C1426" s="138" t="s">
        <v>3983</v>
      </c>
      <c r="D1426" s="138" t="s">
        <v>4012</v>
      </c>
      <c r="E1426" s="138" t="s">
        <v>3992</v>
      </c>
      <c r="F1426" s="138" t="s">
        <v>3847</v>
      </c>
      <c r="G1426" s="138" t="s">
        <v>8116</v>
      </c>
      <c r="H1426" s="81" t="str">
        <f t="shared" si="114"/>
        <v>TCCN-PTE-PFL-PS2-CF1-SMO-PLE</v>
      </c>
      <c r="I1426" s="138" t="str">
        <f>MID(H1426,1,(LEN(H1426)-VLOOKUP(K1426,datos!$B$2:$C$12,2,0)))</f>
        <v>TCCN-PTE-PFL-PS2-CF1-SMO-PLE</v>
      </c>
      <c r="J1426" s="138" t="s">
        <v>6109</v>
      </c>
      <c r="K1426" s="140">
        <f>VLOOKUP(LEN(SUBSTITUTE(H1426,"-","")),datos!$A$1:$B$12,2,0)</f>
        <v>7</v>
      </c>
      <c r="L1426" s="138"/>
      <c r="M1426" s="138" t="s">
        <v>0</v>
      </c>
    </row>
    <row r="1427" spans="1:13" x14ac:dyDescent="0.35">
      <c r="A1427" s="138" t="s">
        <v>487</v>
      </c>
      <c r="B1427" s="138" t="s">
        <v>3809</v>
      </c>
      <c r="C1427" s="138" t="s">
        <v>3983</v>
      </c>
      <c r="D1427" s="138" t="s">
        <v>4012</v>
      </c>
      <c r="E1427" s="138" t="s">
        <v>3992</v>
      </c>
      <c r="F1427" s="138" t="s">
        <v>3847</v>
      </c>
      <c r="G1427" s="138" t="s">
        <v>5688</v>
      </c>
      <c r="H1427" s="81" t="str">
        <f t="shared" si="114"/>
        <v>TCCN-PTE-PFL-PS2-CF1-SMO-PRP</v>
      </c>
      <c r="I1427" s="138" t="str">
        <f>MID(H1427,1,(LEN(H1427)-VLOOKUP(K1427,datos!$B$2:$C$12,2,0)))</f>
        <v>TCCN-PTE-PFL-PS2-CF1-SMO-PRP</v>
      </c>
      <c r="J1427" s="138" t="s">
        <v>6110</v>
      </c>
      <c r="K1427" s="140">
        <f>VLOOKUP(LEN(SUBSTITUTE(H1427,"-","")),datos!$A$1:$B$12,2,0)</f>
        <v>7</v>
      </c>
      <c r="L1427" s="138"/>
      <c r="M1427" s="138" t="s">
        <v>0</v>
      </c>
    </row>
    <row r="1428" spans="1:13" x14ac:dyDescent="0.35">
      <c r="A1428" s="137" t="s">
        <v>487</v>
      </c>
      <c r="B1428" s="137" t="s">
        <v>3809</v>
      </c>
      <c r="C1428" s="137" t="s">
        <v>3983</v>
      </c>
      <c r="D1428" s="137" t="s">
        <v>4012</v>
      </c>
      <c r="E1428" s="137" t="s">
        <v>3992</v>
      </c>
      <c r="F1428" s="137" t="s">
        <v>3831</v>
      </c>
      <c r="G1428" s="137"/>
      <c r="H1428" s="82" t="str">
        <f t="shared" si="114"/>
        <v>TCCN-PTE-PFL-PS2-CF1-INS-</v>
      </c>
      <c r="I1428" s="137" t="str">
        <f>MID(H1428,1,(LEN(H1428)-VLOOKUP(K1428,datos!$B$2:$C$12,2,0)))</f>
        <v>TCCN-PTE-PFL-PS2-CF1-INS</v>
      </c>
      <c r="J1428" s="137" t="s">
        <v>6111</v>
      </c>
      <c r="K1428" s="139">
        <f>VLOOKUP(LEN(SUBSTITUTE(H1428,"-","")),datos!$A$1:$B$12,2,0)</f>
        <v>6</v>
      </c>
      <c r="L1428" s="137"/>
      <c r="M1428" s="137" t="s">
        <v>0</v>
      </c>
    </row>
    <row r="1429" spans="1:13" x14ac:dyDescent="0.35">
      <c r="A1429" s="138" t="s">
        <v>487</v>
      </c>
      <c r="B1429" s="138" t="s">
        <v>3809</v>
      </c>
      <c r="C1429" s="138" t="s">
        <v>3983</v>
      </c>
      <c r="D1429" s="138" t="s">
        <v>4012</v>
      </c>
      <c r="E1429" s="138" t="s">
        <v>3992</v>
      </c>
      <c r="F1429" s="138" t="s">
        <v>3831</v>
      </c>
      <c r="G1429" s="138" t="s">
        <v>4075</v>
      </c>
      <c r="H1429" s="81" t="str">
        <f t="shared" si="114"/>
        <v>TCCN-PTE-PFL-PS2-CF1-INS-VVA</v>
      </c>
      <c r="I1429" s="138" t="str">
        <f>MID(H1429,1,(LEN(H1429)-VLOOKUP(K1429,datos!$B$2:$C$12,2,0)))</f>
        <v>TCCN-PTE-PFL-PS2-CF1-INS-VVA</v>
      </c>
      <c r="J1429" s="138" t="s">
        <v>7804</v>
      </c>
      <c r="K1429" s="140">
        <f>VLOOKUP(LEN(SUBSTITUTE(H1429,"-","")),datos!$A$1:$B$12,2,0)</f>
        <v>7</v>
      </c>
      <c r="L1429" s="138" t="s">
        <v>7806</v>
      </c>
      <c r="M1429" s="138" t="s">
        <v>0</v>
      </c>
    </row>
    <row r="1430" spans="1:13" x14ac:dyDescent="0.35">
      <c r="A1430" s="138" t="s">
        <v>487</v>
      </c>
      <c r="B1430" s="138" t="s">
        <v>3809</v>
      </c>
      <c r="C1430" s="138" t="s">
        <v>3983</v>
      </c>
      <c r="D1430" s="138" t="s">
        <v>4012</v>
      </c>
      <c r="E1430" s="138" t="s">
        <v>3992</v>
      </c>
      <c r="F1430" s="138" t="s">
        <v>3831</v>
      </c>
      <c r="G1430" s="138" t="s">
        <v>4002</v>
      </c>
      <c r="H1430" s="81" t="str">
        <f t="shared" si="114"/>
        <v>TCCN-PTE-PFL-PS2-CF1-INS-FJM</v>
      </c>
      <c r="I1430" s="138" t="str">
        <f>MID(H1430,1,(LEN(H1430)-VLOOKUP(K1430,datos!$B$2:$C$12,2,0)))</f>
        <v>TCCN-PTE-PFL-PS2-CF1-INS-FJM</v>
      </c>
      <c r="J1430" s="138" t="s">
        <v>7805</v>
      </c>
      <c r="K1430" s="140">
        <f>VLOOKUP(LEN(SUBSTITUTE(H1430,"-","")),datos!$A$1:$B$12,2,0)</f>
        <v>7</v>
      </c>
      <c r="L1430" s="138" t="s">
        <v>7807</v>
      </c>
      <c r="M1430" s="138" t="s">
        <v>0</v>
      </c>
    </row>
    <row r="1431" spans="1:13" x14ac:dyDescent="0.35">
      <c r="A1431" s="137" t="s">
        <v>487</v>
      </c>
      <c r="B1431" s="137" t="s">
        <v>3809</v>
      </c>
      <c r="C1431" s="137" t="s">
        <v>3983</v>
      </c>
      <c r="D1431" s="137" t="s">
        <v>4012</v>
      </c>
      <c r="E1431" s="137" t="s">
        <v>3992</v>
      </c>
      <c r="F1431" s="137" t="s">
        <v>3869</v>
      </c>
      <c r="G1431" s="137"/>
      <c r="H1431" s="82" t="str">
        <f t="shared" si="114"/>
        <v>TCCN-PTE-PFL-PS2-CF1-SCE-</v>
      </c>
      <c r="I1431" s="137" t="str">
        <f>MID(H1431,1,(LEN(H1431)-VLOOKUP(K1431,datos!$B$2:$C$12,2,0)))</f>
        <v>TCCN-PTE-PFL-PS2-CF1-SCE</v>
      </c>
      <c r="J1431" s="137" t="s">
        <v>6112</v>
      </c>
      <c r="K1431" s="139">
        <f>VLOOKUP(LEN(SUBSTITUTE(H1431,"-","")),datos!$A$1:$B$12,2,0)</f>
        <v>6</v>
      </c>
      <c r="L1431" s="137"/>
      <c r="M1431" s="137" t="s">
        <v>0</v>
      </c>
    </row>
    <row r="1432" spans="1:13" x14ac:dyDescent="0.35">
      <c r="A1432" s="138" t="s">
        <v>487</v>
      </c>
      <c r="B1432" s="138" t="s">
        <v>3809</v>
      </c>
      <c r="C1432" s="138" t="s">
        <v>3983</v>
      </c>
      <c r="D1432" s="138" t="s">
        <v>4012</v>
      </c>
      <c r="E1432" s="138" t="s">
        <v>3992</v>
      </c>
      <c r="F1432" s="138" t="s">
        <v>3869</v>
      </c>
      <c r="G1432" s="138" t="s">
        <v>3870</v>
      </c>
      <c r="H1432" s="81" t="str">
        <f t="shared" si="114"/>
        <v>TCCN-PTE-PFL-PS2-CF1-SCE-BTN</v>
      </c>
      <c r="I1432" s="138" t="str">
        <f>MID(H1432,1,(LEN(H1432)-VLOOKUP(K1432,datos!$B$2:$C$12,2,0)))</f>
        <v>TCCN-PTE-PFL-PS2-CF1-SCE-BTN</v>
      </c>
      <c r="J1432" s="138" t="s">
        <v>6113</v>
      </c>
      <c r="K1432" s="140">
        <f>VLOOKUP(LEN(SUBSTITUTE(H1432,"-","")),datos!$A$1:$B$12,2,0)</f>
        <v>7</v>
      </c>
      <c r="L1432" s="138"/>
      <c r="M1432" s="138" t="s">
        <v>0</v>
      </c>
    </row>
    <row r="1433" spans="1:13" customFormat="1" ht="14.5" x14ac:dyDescent="0.35">
      <c r="A1433" s="129" t="s">
        <v>487</v>
      </c>
      <c r="B1433" s="129" t="s">
        <v>3809</v>
      </c>
      <c r="C1433" s="129" t="s">
        <v>3983</v>
      </c>
      <c r="D1433" s="129" t="s">
        <v>4012</v>
      </c>
      <c r="E1433" s="129" t="s">
        <v>4003</v>
      </c>
      <c r="F1433" s="129"/>
      <c r="G1433" s="129"/>
      <c r="H1433" s="83" t="str">
        <f t="shared" si="114"/>
        <v>TCCN-PTE-PFL-PS2-CF2--</v>
      </c>
      <c r="I1433" s="129" t="str">
        <f>MID(H1433,1,(LEN(H1433)-VLOOKUP(K1433,datos!$B$2:$C$12,2,0)))</f>
        <v>TCCN-PTE-PFL-PS2-CF2</v>
      </c>
      <c r="J1433" s="129" t="s">
        <v>459</v>
      </c>
      <c r="K1433" s="130">
        <f>VLOOKUP(LEN(SUBSTITUTE(H1433,"-","")),datos!$A$1:$B$12,2,0)</f>
        <v>5</v>
      </c>
      <c r="L1433" s="129" t="s">
        <v>209</v>
      </c>
      <c r="M1433" s="129" t="s">
        <v>0</v>
      </c>
    </row>
    <row r="1434" spans="1:13" x14ac:dyDescent="0.35">
      <c r="A1434" s="137" t="s">
        <v>487</v>
      </c>
      <c r="B1434" s="137" t="s">
        <v>3809</v>
      </c>
      <c r="C1434" s="137" t="s">
        <v>3983</v>
      </c>
      <c r="D1434" s="137" t="s">
        <v>4012</v>
      </c>
      <c r="E1434" s="137" t="s">
        <v>4003</v>
      </c>
      <c r="F1434" s="137" t="s">
        <v>3948</v>
      </c>
      <c r="G1434" s="137"/>
      <c r="H1434" s="82" t="str">
        <f t="shared" si="114"/>
        <v>TCCN-PTE-PFL-PS2-CF2-SCP-</v>
      </c>
      <c r="I1434" s="137" t="str">
        <f>MID(H1434,1,(LEN(H1434)-VLOOKUP(K1434,datos!$B$2:$C$12,2,0)))</f>
        <v>TCCN-PTE-PFL-PS2-CF2-SCP</v>
      </c>
      <c r="J1434" s="137" t="s">
        <v>6078</v>
      </c>
      <c r="K1434" s="139">
        <f>VLOOKUP(LEN(SUBSTITUTE(H1434,"-","")),datos!$A$1:$B$12,2,0)</f>
        <v>6</v>
      </c>
      <c r="L1434" s="137"/>
      <c r="M1434" s="137" t="s">
        <v>0</v>
      </c>
    </row>
    <row r="1435" spans="1:13" x14ac:dyDescent="0.35">
      <c r="A1435" s="138" t="s">
        <v>487</v>
      </c>
      <c r="B1435" s="138" t="s">
        <v>3809</v>
      </c>
      <c r="C1435" s="138" t="s">
        <v>3983</v>
      </c>
      <c r="D1435" s="138" t="s">
        <v>4012</v>
      </c>
      <c r="E1435" s="138" t="s">
        <v>4003</v>
      </c>
      <c r="F1435" s="138" t="s">
        <v>3948</v>
      </c>
      <c r="G1435" s="138" t="s">
        <v>3993</v>
      </c>
      <c r="H1435" s="81" t="str">
        <f t="shared" si="114"/>
        <v>TCCN-PTE-PFL-PS2-CF2-SCP-POR</v>
      </c>
      <c r="I1435" s="138" t="str">
        <f>MID(H1435,1,(LEN(H1435)-VLOOKUP(K1435,datos!$B$2:$C$12,2,0)))</f>
        <v>TCCN-PTE-PFL-PS2-CF2-SCP-POR</v>
      </c>
      <c r="J1435" s="138" t="s">
        <v>6079</v>
      </c>
      <c r="K1435" s="140">
        <f>VLOOKUP(LEN(SUBSTITUTE(H1435,"-","")),datos!$A$1:$B$12,2,0)</f>
        <v>7</v>
      </c>
      <c r="L1435" s="138"/>
      <c r="M1435" s="138" t="s">
        <v>0</v>
      </c>
    </row>
    <row r="1436" spans="1:13" x14ac:dyDescent="0.35">
      <c r="A1436" s="138" t="s">
        <v>487</v>
      </c>
      <c r="B1436" s="138" t="s">
        <v>3809</v>
      </c>
      <c r="C1436" s="138" t="s">
        <v>3983</v>
      </c>
      <c r="D1436" s="138" t="s">
        <v>4012</v>
      </c>
      <c r="E1436" s="138" t="s">
        <v>4003</v>
      </c>
      <c r="F1436" s="138" t="s">
        <v>3948</v>
      </c>
      <c r="G1436" s="138" t="s">
        <v>3994</v>
      </c>
      <c r="H1436" s="81" t="str">
        <f t="shared" si="114"/>
        <v>TCCN-PTE-PFL-PS2-CF2-SCP-RTO</v>
      </c>
      <c r="I1436" s="138" t="str">
        <f>MID(H1436,1,(LEN(H1436)-VLOOKUP(K1436,datos!$B$2:$C$12,2,0)))</f>
        <v>TCCN-PTE-PFL-PS2-CF2-SCP-RTO</v>
      </c>
      <c r="J1436" s="138" t="s">
        <v>6080</v>
      </c>
      <c r="K1436" s="140">
        <f>VLOOKUP(LEN(SUBSTITUTE(H1436,"-","")),datos!$A$1:$B$12,2,0)</f>
        <v>7</v>
      </c>
      <c r="L1436" s="138"/>
      <c r="M1436" s="138" t="s">
        <v>0</v>
      </c>
    </row>
    <row r="1437" spans="1:13" x14ac:dyDescent="0.35">
      <c r="A1437" s="138" t="s">
        <v>487</v>
      </c>
      <c r="B1437" s="138" t="s">
        <v>3809</v>
      </c>
      <c r="C1437" s="138" t="s">
        <v>3983</v>
      </c>
      <c r="D1437" s="138" t="s">
        <v>4012</v>
      </c>
      <c r="E1437" s="138" t="s">
        <v>4003</v>
      </c>
      <c r="F1437" s="138" t="s">
        <v>3948</v>
      </c>
      <c r="G1437" s="138" t="s">
        <v>3995</v>
      </c>
      <c r="H1437" s="81" t="str">
        <f t="shared" si="114"/>
        <v>TCCN-PTE-PFL-PS2-CF2-SCP-ETT</v>
      </c>
      <c r="I1437" s="138" t="str">
        <f>MID(H1437,1,(LEN(H1437)-VLOOKUP(K1437,datos!$B$2:$C$12,2,0)))</f>
        <v>TCCN-PTE-PFL-PS2-CF2-SCP-ETT</v>
      </c>
      <c r="J1437" s="138" t="s">
        <v>6081</v>
      </c>
      <c r="K1437" s="140">
        <f>VLOOKUP(LEN(SUBSTITUTE(H1437,"-","")),datos!$A$1:$B$12,2,0)</f>
        <v>7</v>
      </c>
      <c r="L1437" s="138"/>
      <c r="M1437" s="138" t="s">
        <v>0</v>
      </c>
    </row>
    <row r="1438" spans="1:13" x14ac:dyDescent="0.35">
      <c r="A1438" s="138" t="s">
        <v>487</v>
      </c>
      <c r="B1438" s="138" t="s">
        <v>3809</v>
      </c>
      <c r="C1438" s="138" t="s">
        <v>3983</v>
      </c>
      <c r="D1438" s="138" t="s">
        <v>4012</v>
      </c>
      <c r="E1438" s="138" t="s">
        <v>4003</v>
      </c>
      <c r="F1438" s="138" t="s">
        <v>3948</v>
      </c>
      <c r="G1438" s="138" t="s">
        <v>3996</v>
      </c>
      <c r="H1438" s="81" t="str">
        <f t="shared" si="114"/>
        <v>TCCN-PTE-PFL-PS2-CF2-SCP-DDT</v>
      </c>
      <c r="I1438" s="138" t="str">
        <f>MID(H1438,1,(LEN(H1438)-VLOOKUP(K1438,datos!$B$2:$C$12,2,0)))</f>
        <v>TCCN-PTE-PFL-PS2-CF2-SCP-DDT</v>
      </c>
      <c r="J1438" s="138" t="s">
        <v>6082</v>
      </c>
      <c r="K1438" s="140">
        <f>VLOOKUP(LEN(SUBSTITUTE(H1438,"-","")),datos!$A$1:$B$12,2,0)</f>
        <v>7</v>
      </c>
      <c r="L1438" s="138"/>
      <c r="M1438" s="138" t="s">
        <v>0</v>
      </c>
    </row>
    <row r="1439" spans="1:13" x14ac:dyDescent="0.35">
      <c r="A1439" s="138" t="s">
        <v>487</v>
      </c>
      <c r="B1439" s="138" t="s">
        <v>3809</v>
      </c>
      <c r="C1439" s="138" t="s">
        <v>3983</v>
      </c>
      <c r="D1439" s="138" t="s">
        <v>4012</v>
      </c>
      <c r="E1439" s="138" t="s">
        <v>4003</v>
      </c>
      <c r="F1439" s="138" t="s">
        <v>3948</v>
      </c>
      <c r="G1439" s="138" t="s">
        <v>3997</v>
      </c>
      <c r="H1439" s="81" t="str">
        <f t="shared" si="114"/>
        <v>TCCN-PTE-PFL-PS2-CF2-SCP-EJE</v>
      </c>
      <c r="I1439" s="138" t="str">
        <f>MID(H1439,1,(LEN(H1439)-VLOOKUP(K1439,datos!$B$2:$C$12,2,0)))</f>
        <v>TCCN-PTE-PFL-PS2-CF2-SCP-EJE</v>
      </c>
      <c r="J1439" s="138" t="s">
        <v>6083</v>
      </c>
      <c r="K1439" s="140">
        <f>VLOOKUP(LEN(SUBSTITUTE(H1439,"-","")),datos!$A$1:$B$12,2,0)</f>
        <v>7</v>
      </c>
      <c r="L1439" s="138"/>
      <c r="M1439" s="138" t="s">
        <v>0</v>
      </c>
    </row>
    <row r="1440" spans="1:13" x14ac:dyDescent="0.35">
      <c r="A1440" s="137" t="s">
        <v>487</v>
      </c>
      <c r="B1440" s="137" t="s">
        <v>3809</v>
      </c>
      <c r="C1440" s="137" t="s">
        <v>3983</v>
      </c>
      <c r="D1440" s="137" t="s">
        <v>4012</v>
      </c>
      <c r="E1440" s="137" t="s">
        <v>4003</v>
      </c>
      <c r="F1440" s="137" t="s">
        <v>3824</v>
      </c>
      <c r="G1440" s="137"/>
      <c r="H1440" s="82" t="str">
        <f t="shared" si="114"/>
        <v>TCCN-PTE-PFL-PS2-CF2-SES-</v>
      </c>
      <c r="I1440" s="137" t="str">
        <f>MID(H1440,1,(LEN(H1440)-VLOOKUP(K1440,datos!$B$2:$C$12,2,0)))</f>
        <v>TCCN-PTE-PFL-PS2-CF2-SES</v>
      </c>
      <c r="J1440" s="137" t="s">
        <v>6084</v>
      </c>
      <c r="K1440" s="139">
        <f>VLOOKUP(LEN(SUBSTITUTE(H1440,"-","")),datos!$A$1:$B$12,2,0)</f>
        <v>6</v>
      </c>
      <c r="L1440" s="137"/>
      <c r="M1440" s="137" t="s">
        <v>0</v>
      </c>
    </row>
    <row r="1441" spans="1:13" x14ac:dyDescent="0.35">
      <c r="A1441" s="138" t="s">
        <v>487</v>
      </c>
      <c r="B1441" s="138" t="s">
        <v>3809</v>
      </c>
      <c r="C1441" s="138" t="s">
        <v>3983</v>
      </c>
      <c r="D1441" s="138" t="s">
        <v>4012</v>
      </c>
      <c r="E1441" s="138" t="s">
        <v>4003</v>
      </c>
      <c r="F1441" s="138" t="s">
        <v>3824</v>
      </c>
      <c r="G1441" s="138" t="s">
        <v>3998</v>
      </c>
      <c r="H1441" s="81" t="str">
        <f t="shared" si="114"/>
        <v>TCCN-PTE-PFL-PS2-CF2-SES-BYG</v>
      </c>
      <c r="I1441" s="138" t="str">
        <f>MID(H1441,1,(LEN(H1441)-VLOOKUP(K1441,datos!$B$2:$C$12,2,0)))</f>
        <v>TCCN-PTE-PFL-PS2-CF2-SES-BYG</v>
      </c>
      <c r="J1441" s="138" t="s">
        <v>8027</v>
      </c>
      <c r="K1441" s="140">
        <f>VLOOKUP(LEN(SUBSTITUTE(H1441,"-","")),datos!$A$1:$B$12,2,0)</f>
        <v>7</v>
      </c>
      <c r="L1441" s="138"/>
      <c r="M1441" s="138" t="s">
        <v>0</v>
      </c>
    </row>
    <row r="1442" spans="1:13" x14ac:dyDescent="0.35">
      <c r="A1442" s="138" t="s">
        <v>487</v>
      </c>
      <c r="B1442" s="138" t="s">
        <v>3809</v>
      </c>
      <c r="C1442" s="138" t="s">
        <v>3983</v>
      </c>
      <c r="D1442" s="138" t="s">
        <v>4012</v>
      </c>
      <c r="E1442" s="138" t="s">
        <v>4003</v>
      </c>
      <c r="F1442" s="138" t="s">
        <v>3824</v>
      </c>
      <c r="G1442" s="138" t="s">
        <v>3999</v>
      </c>
      <c r="H1442" s="81" t="str">
        <f t="shared" si="114"/>
        <v>TCCN-PTE-PFL-PS2-CF2-SES-RDP</v>
      </c>
      <c r="I1442" s="138" t="str">
        <f>MID(H1442,1,(LEN(H1442)-VLOOKUP(K1442,datos!$B$2:$C$12,2,0)))</f>
        <v>TCCN-PTE-PFL-PS2-CF2-SES-RDP</v>
      </c>
      <c r="J1442" s="138" t="s">
        <v>6085</v>
      </c>
      <c r="K1442" s="140">
        <f>VLOOKUP(LEN(SUBSTITUTE(H1442,"-","")),datos!$A$1:$B$12,2,0)</f>
        <v>7</v>
      </c>
      <c r="L1442" s="138"/>
      <c r="M1442" s="138" t="s">
        <v>0</v>
      </c>
    </row>
    <row r="1443" spans="1:13" x14ac:dyDescent="0.35">
      <c r="A1443" s="138" t="s">
        <v>487</v>
      </c>
      <c r="B1443" s="138" t="s">
        <v>3809</v>
      </c>
      <c r="C1443" s="138" t="s">
        <v>3983</v>
      </c>
      <c r="D1443" s="138" t="s">
        <v>4012</v>
      </c>
      <c r="E1443" s="138" t="s">
        <v>4003</v>
      </c>
      <c r="F1443" s="138" t="s">
        <v>3824</v>
      </c>
      <c r="G1443" s="138" t="s">
        <v>3853</v>
      </c>
      <c r="H1443" s="81" t="str">
        <f t="shared" ref="H1443:H1503" si="115">CONCATENATE(A1443,"-",B1443,"-",C1443,"-",D1443,"-",E1443,"-",F1443,"-",G1443)</f>
        <v>TCCN-PTE-PFL-PS2-CF2-SES-EST</v>
      </c>
      <c r="I1443" s="138" t="str">
        <f>MID(H1443,1,(LEN(H1443)-VLOOKUP(K1443,datos!$B$2:$C$12,2,0)))</f>
        <v>TCCN-PTE-PFL-PS2-CF2-SES-EST</v>
      </c>
      <c r="J1443" s="138" t="s">
        <v>6086</v>
      </c>
      <c r="K1443" s="140">
        <f>VLOOKUP(LEN(SUBSTITUTE(H1443,"-","")),datos!$A$1:$B$12,2,0)</f>
        <v>7</v>
      </c>
      <c r="L1443" s="138"/>
      <c r="M1443" s="138" t="s">
        <v>0</v>
      </c>
    </row>
    <row r="1444" spans="1:13" x14ac:dyDescent="0.35">
      <c r="A1444" s="138" t="s">
        <v>487</v>
      </c>
      <c r="B1444" s="138" t="s">
        <v>3809</v>
      </c>
      <c r="C1444" s="138" t="s">
        <v>3983</v>
      </c>
      <c r="D1444" s="138" t="s">
        <v>4012</v>
      </c>
      <c r="E1444" s="138" t="s">
        <v>4003</v>
      </c>
      <c r="F1444" s="138" t="s">
        <v>3824</v>
      </c>
      <c r="G1444" s="138" t="s">
        <v>4000</v>
      </c>
      <c r="H1444" s="81" t="str">
        <f t="shared" si="115"/>
        <v>TCCN-PTE-PFL-PS2-CF2-SES-CRW</v>
      </c>
      <c r="I1444" s="138" t="str">
        <f>MID(H1444,1,(LEN(H1444)-VLOOKUP(K1444,datos!$B$2:$C$12,2,0)))</f>
        <v>TCCN-PTE-PFL-PS2-CF2-SES-CRW</v>
      </c>
      <c r="J1444" s="138" t="s">
        <v>6087</v>
      </c>
      <c r="K1444" s="140">
        <f>VLOOKUP(LEN(SUBSTITUTE(H1444,"-","")),datos!$A$1:$B$12,2,0)</f>
        <v>7</v>
      </c>
      <c r="L1444" s="138"/>
      <c r="M1444" s="138" t="s">
        <v>0</v>
      </c>
    </row>
    <row r="1445" spans="1:13" x14ac:dyDescent="0.35">
      <c r="A1445" s="137" t="s">
        <v>487</v>
      </c>
      <c r="B1445" s="137" t="s">
        <v>3809</v>
      </c>
      <c r="C1445" s="137" t="s">
        <v>3983</v>
      </c>
      <c r="D1445" s="137" t="s">
        <v>4012</v>
      </c>
      <c r="E1445" s="137" t="s">
        <v>4003</v>
      </c>
      <c r="F1445" s="137" t="s">
        <v>3847</v>
      </c>
      <c r="G1445" s="137"/>
      <c r="H1445" s="82" t="str">
        <f t="shared" si="115"/>
        <v>TCCN-PTE-PFL-PS2-CF2-SMO-</v>
      </c>
      <c r="I1445" s="137" t="str">
        <f>MID(H1445,1,(LEN(H1445)-VLOOKUP(K1445,datos!$B$2:$C$12,2,0)))</f>
        <v>TCCN-PTE-PFL-PS2-CF2-SMO</v>
      </c>
      <c r="J1445" s="137" t="s">
        <v>6088</v>
      </c>
      <c r="K1445" s="139">
        <f>VLOOKUP(LEN(SUBSTITUTE(H1445,"-","")),datos!$A$1:$B$12,2,0)</f>
        <v>6</v>
      </c>
      <c r="L1445" s="137"/>
      <c r="M1445" s="137" t="s">
        <v>0</v>
      </c>
    </row>
    <row r="1446" spans="1:13" x14ac:dyDescent="0.35">
      <c r="A1446" s="138" t="s">
        <v>487</v>
      </c>
      <c r="B1446" s="138" t="s">
        <v>3809</v>
      </c>
      <c r="C1446" s="138" t="s">
        <v>3983</v>
      </c>
      <c r="D1446" s="138" t="s">
        <v>4012</v>
      </c>
      <c r="E1446" s="138" t="s">
        <v>4003</v>
      </c>
      <c r="F1446" s="138" t="s">
        <v>3847</v>
      </c>
      <c r="G1446" s="138" t="s">
        <v>3819</v>
      </c>
      <c r="H1446" s="81" t="str">
        <f t="shared" si="115"/>
        <v>TCCN-PTE-PFL-PS2-CF2-SMO-MOE</v>
      </c>
      <c r="I1446" s="138" t="str">
        <f>MID(H1446,1,(LEN(H1446)-VLOOKUP(K1446,datos!$B$2:$C$12,2,0)))</f>
        <v>TCCN-PTE-PFL-PS2-CF2-SMO-MOE</v>
      </c>
      <c r="J1446" s="138" t="s">
        <v>6089</v>
      </c>
      <c r="K1446" s="140">
        <f>VLOOKUP(LEN(SUBSTITUTE(H1446,"-","")),datos!$A$1:$B$12,2,0)</f>
        <v>7</v>
      </c>
      <c r="L1446" s="138" t="s">
        <v>210</v>
      </c>
      <c r="M1446" s="138" t="s">
        <v>0</v>
      </c>
    </row>
    <row r="1447" spans="1:13" x14ac:dyDescent="0.35">
      <c r="A1447" s="138" t="s">
        <v>487</v>
      </c>
      <c r="B1447" s="138" t="s">
        <v>3809</v>
      </c>
      <c r="C1447" s="138" t="s">
        <v>3983</v>
      </c>
      <c r="D1447" s="138" t="s">
        <v>4012</v>
      </c>
      <c r="E1447" s="138" t="s">
        <v>4003</v>
      </c>
      <c r="F1447" s="138" t="s">
        <v>3847</v>
      </c>
      <c r="G1447" s="138" t="s">
        <v>3864</v>
      </c>
      <c r="H1447" s="81" t="str">
        <f t="shared" si="115"/>
        <v>TCCN-PTE-PFL-PS2-CF2-SMO-PMO</v>
      </c>
      <c r="I1447" s="138" t="str">
        <f>MID(H1447,1,(LEN(H1447)-VLOOKUP(K1447,datos!$B$2:$C$12,2,0)))</f>
        <v>TCCN-PTE-PFL-PS2-CF2-SMO-PMO</v>
      </c>
      <c r="J1447" s="138" t="s">
        <v>6090</v>
      </c>
      <c r="K1447" s="140">
        <f>VLOOKUP(LEN(SUBSTITUTE(H1447,"-","")),datos!$A$1:$B$12,2,0)</f>
        <v>7</v>
      </c>
      <c r="L1447" s="138"/>
      <c r="M1447" s="138" t="s">
        <v>0</v>
      </c>
    </row>
    <row r="1448" spans="1:13" x14ac:dyDescent="0.35">
      <c r="A1448" s="138" t="s">
        <v>487</v>
      </c>
      <c r="B1448" s="138" t="s">
        <v>3809</v>
      </c>
      <c r="C1448" s="138" t="s">
        <v>3983</v>
      </c>
      <c r="D1448" s="138" t="s">
        <v>4012</v>
      </c>
      <c r="E1448" s="138" t="s">
        <v>4003</v>
      </c>
      <c r="F1448" s="138" t="s">
        <v>3847</v>
      </c>
      <c r="G1448" s="138" t="s">
        <v>8116</v>
      </c>
      <c r="H1448" s="81" t="str">
        <f t="shared" si="115"/>
        <v>TCCN-PTE-PFL-PS2-CF2-SMO-PLE</v>
      </c>
      <c r="I1448" s="138" t="str">
        <f>MID(H1448,1,(LEN(H1448)-VLOOKUP(K1448,datos!$B$2:$C$12,2,0)))</f>
        <v>TCCN-PTE-PFL-PS2-CF2-SMO-PLE</v>
      </c>
      <c r="J1448" s="138" t="s">
        <v>6091</v>
      </c>
      <c r="K1448" s="140">
        <f>VLOOKUP(LEN(SUBSTITUTE(H1448,"-","")),datos!$A$1:$B$12,2,0)</f>
        <v>7</v>
      </c>
      <c r="L1448" s="138"/>
      <c r="M1448" s="138" t="s">
        <v>0</v>
      </c>
    </row>
    <row r="1449" spans="1:13" x14ac:dyDescent="0.35">
      <c r="A1449" s="138" t="s">
        <v>487</v>
      </c>
      <c r="B1449" s="138" t="s">
        <v>3809</v>
      </c>
      <c r="C1449" s="138" t="s">
        <v>3983</v>
      </c>
      <c r="D1449" s="138" t="s">
        <v>4012</v>
      </c>
      <c r="E1449" s="138" t="s">
        <v>4003</v>
      </c>
      <c r="F1449" s="138" t="s">
        <v>3847</v>
      </c>
      <c r="G1449" s="138" t="s">
        <v>5688</v>
      </c>
      <c r="H1449" s="81" t="str">
        <f t="shared" si="115"/>
        <v>TCCN-PTE-PFL-PS2-CF2-SMO-PRP</v>
      </c>
      <c r="I1449" s="138" t="str">
        <f>MID(H1449,1,(LEN(H1449)-VLOOKUP(K1449,datos!$B$2:$C$12,2,0)))</f>
        <v>TCCN-PTE-PFL-PS2-CF2-SMO-PRP</v>
      </c>
      <c r="J1449" s="138" t="s">
        <v>6092</v>
      </c>
      <c r="K1449" s="140">
        <f>VLOOKUP(LEN(SUBSTITUTE(H1449,"-","")),datos!$A$1:$B$12,2,0)</f>
        <v>7</v>
      </c>
      <c r="L1449" s="138"/>
      <c r="M1449" s="138" t="s">
        <v>0</v>
      </c>
    </row>
    <row r="1450" spans="1:13" x14ac:dyDescent="0.35">
      <c r="A1450" s="137" t="s">
        <v>487</v>
      </c>
      <c r="B1450" s="137" t="s">
        <v>3809</v>
      </c>
      <c r="C1450" s="137" t="s">
        <v>3983</v>
      </c>
      <c r="D1450" s="137" t="s">
        <v>4012</v>
      </c>
      <c r="E1450" s="137" t="s">
        <v>4003</v>
      </c>
      <c r="F1450" s="137" t="s">
        <v>3831</v>
      </c>
      <c r="G1450" s="137"/>
      <c r="H1450" s="82" t="str">
        <f t="shared" si="115"/>
        <v>TCCN-PTE-PFL-PS2-CF2-INS-</v>
      </c>
      <c r="I1450" s="137" t="str">
        <f>MID(H1450,1,(LEN(H1450)-VLOOKUP(K1450,datos!$B$2:$C$12,2,0)))</f>
        <v>TCCN-PTE-PFL-PS2-CF2-INS</v>
      </c>
      <c r="J1450" s="137" t="s">
        <v>6093</v>
      </c>
      <c r="K1450" s="139">
        <f>VLOOKUP(LEN(SUBSTITUTE(H1450,"-","")),datos!$A$1:$B$12,2,0)</f>
        <v>6</v>
      </c>
      <c r="L1450" s="137"/>
      <c r="M1450" s="137" t="s">
        <v>0</v>
      </c>
    </row>
    <row r="1451" spans="1:13" x14ac:dyDescent="0.35">
      <c r="A1451" s="138" t="s">
        <v>487</v>
      </c>
      <c r="B1451" s="138" t="s">
        <v>3809</v>
      </c>
      <c r="C1451" s="138" t="s">
        <v>3983</v>
      </c>
      <c r="D1451" s="138" t="s">
        <v>4012</v>
      </c>
      <c r="E1451" s="138" t="s">
        <v>4003</v>
      </c>
      <c r="F1451" s="138" t="s">
        <v>3831</v>
      </c>
      <c r="G1451" s="138" t="s">
        <v>4075</v>
      </c>
      <c r="H1451" s="81" t="str">
        <f t="shared" si="115"/>
        <v>TCCN-PTE-PFL-PS2-CF2-INS-VVA</v>
      </c>
      <c r="I1451" s="138" t="str">
        <f>MID(H1451,1,(LEN(H1451)-VLOOKUP(K1451,datos!$B$2:$C$12,2,0)))</f>
        <v>TCCN-PTE-PFL-PS2-CF2-INS-VVA</v>
      </c>
      <c r="J1451" s="138" t="s">
        <v>7808</v>
      </c>
      <c r="K1451" s="140">
        <f>VLOOKUP(LEN(SUBSTITUTE(H1451,"-","")),datos!$A$1:$B$12,2,0)</f>
        <v>7</v>
      </c>
      <c r="L1451" s="138" t="s">
        <v>7810</v>
      </c>
      <c r="M1451" s="138" t="s">
        <v>0</v>
      </c>
    </row>
    <row r="1452" spans="1:13" x14ac:dyDescent="0.35">
      <c r="A1452" s="138" t="s">
        <v>487</v>
      </c>
      <c r="B1452" s="138" t="s">
        <v>3809</v>
      </c>
      <c r="C1452" s="138" t="s">
        <v>3983</v>
      </c>
      <c r="D1452" s="138" t="s">
        <v>4012</v>
      </c>
      <c r="E1452" s="138" t="s">
        <v>4003</v>
      </c>
      <c r="F1452" s="138" t="s">
        <v>3831</v>
      </c>
      <c r="G1452" s="138" t="s">
        <v>5256</v>
      </c>
      <c r="H1452" s="81" t="str">
        <f t="shared" si="115"/>
        <v>TCCN-PTE-PFL-PS2-CF2-INS-MNV</v>
      </c>
      <c r="I1452" s="138" t="str">
        <f>MID(H1452,1,(LEN(H1452)-VLOOKUP(K1452,datos!$B$2:$C$12,2,0)))</f>
        <v>TCCN-PTE-PFL-PS2-CF2-INS-MNV</v>
      </c>
      <c r="J1452" s="138" t="s">
        <v>7707</v>
      </c>
      <c r="K1452" s="140">
        <f>VLOOKUP(LEN(SUBSTITUTE(H1452,"-","")),datos!$A$1:$B$12,2,0)</f>
        <v>7</v>
      </c>
      <c r="L1452" s="138" t="s">
        <v>7811</v>
      </c>
      <c r="M1452" s="138" t="s">
        <v>0</v>
      </c>
    </row>
    <row r="1453" spans="1:13" x14ac:dyDescent="0.35">
      <c r="A1453" s="138" t="s">
        <v>487</v>
      </c>
      <c r="B1453" s="138" t="s">
        <v>3809</v>
      </c>
      <c r="C1453" s="138" t="s">
        <v>3983</v>
      </c>
      <c r="D1453" s="138" t="s">
        <v>4012</v>
      </c>
      <c r="E1453" s="138" t="s">
        <v>4003</v>
      </c>
      <c r="F1453" s="138" t="s">
        <v>3831</v>
      </c>
      <c r="G1453" s="138" t="s">
        <v>4002</v>
      </c>
      <c r="H1453" s="81" t="str">
        <f t="shared" si="115"/>
        <v>TCCN-PTE-PFL-PS2-CF2-INS-FJM</v>
      </c>
      <c r="I1453" s="138" t="str">
        <f>MID(H1453,1,(LEN(H1453)-VLOOKUP(K1453,datos!$B$2:$C$12,2,0)))</f>
        <v>TCCN-PTE-PFL-PS2-CF2-INS-FJM</v>
      </c>
      <c r="J1453" s="138" t="s">
        <v>7809</v>
      </c>
      <c r="K1453" s="140">
        <f>VLOOKUP(LEN(SUBSTITUTE(H1453,"-","")),datos!$A$1:$B$12,2,0)</f>
        <v>7</v>
      </c>
      <c r="L1453" s="138" t="s">
        <v>7812</v>
      </c>
      <c r="M1453" s="138" t="s">
        <v>0</v>
      </c>
    </row>
    <row r="1454" spans="1:13" x14ac:dyDescent="0.35">
      <c r="A1454" s="137" t="s">
        <v>487</v>
      </c>
      <c r="B1454" s="137" t="s">
        <v>3809</v>
      </c>
      <c r="C1454" s="137" t="s">
        <v>3983</v>
      </c>
      <c r="D1454" s="137" t="s">
        <v>4012</v>
      </c>
      <c r="E1454" s="137" t="s">
        <v>4003</v>
      </c>
      <c r="F1454" s="137" t="s">
        <v>3869</v>
      </c>
      <c r="G1454" s="137"/>
      <c r="H1454" s="82" t="str">
        <f t="shared" si="115"/>
        <v>TCCN-PTE-PFL-PS2-CF2-SCE-</v>
      </c>
      <c r="I1454" s="137" t="str">
        <f>MID(H1454,1,(LEN(H1454)-VLOOKUP(K1454,datos!$B$2:$C$12,2,0)))</f>
        <v>TCCN-PTE-PFL-PS2-CF2-SCE</v>
      </c>
      <c r="J1454" s="137" t="s">
        <v>6094</v>
      </c>
      <c r="K1454" s="139">
        <f>VLOOKUP(LEN(SUBSTITUTE(H1454,"-","")),datos!$A$1:$B$12,2,0)</f>
        <v>6</v>
      </c>
      <c r="L1454" s="137"/>
      <c r="M1454" s="137" t="s">
        <v>0</v>
      </c>
    </row>
    <row r="1455" spans="1:13" x14ac:dyDescent="0.35">
      <c r="A1455" s="138" t="s">
        <v>487</v>
      </c>
      <c r="B1455" s="138" t="s">
        <v>3809</v>
      </c>
      <c r="C1455" s="138" t="s">
        <v>3983</v>
      </c>
      <c r="D1455" s="138" t="s">
        <v>4012</v>
      </c>
      <c r="E1455" s="138" t="s">
        <v>4003</v>
      </c>
      <c r="F1455" s="138" t="s">
        <v>3869</v>
      </c>
      <c r="G1455" s="138" t="s">
        <v>3870</v>
      </c>
      <c r="H1455" s="81" t="str">
        <f t="shared" si="115"/>
        <v>TCCN-PTE-PFL-PS2-CF2-SCE-BTN</v>
      </c>
      <c r="I1455" s="138" t="str">
        <f>MID(H1455,1,(LEN(H1455)-VLOOKUP(K1455,datos!$B$2:$C$12,2,0)))</f>
        <v>TCCN-PTE-PFL-PS2-CF2-SCE-BTN</v>
      </c>
      <c r="J1455" s="138" t="s">
        <v>6095</v>
      </c>
      <c r="K1455" s="140">
        <f>VLOOKUP(LEN(SUBSTITUTE(H1455,"-","")),datos!$A$1:$B$12,2,0)</f>
        <v>7</v>
      </c>
      <c r="L1455" s="138"/>
      <c r="M1455" s="138" t="s">
        <v>0</v>
      </c>
    </row>
    <row r="1456" spans="1:13" customFormat="1" ht="14.5" x14ac:dyDescent="0.35">
      <c r="A1456" s="129" t="s">
        <v>487</v>
      </c>
      <c r="B1456" s="129" t="s">
        <v>3809</v>
      </c>
      <c r="C1456" s="129" t="s">
        <v>3983</v>
      </c>
      <c r="D1456" s="129" t="s">
        <v>4012</v>
      </c>
      <c r="E1456" s="129" t="s">
        <v>3965</v>
      </c>
      <c r="F1456" s="129"/>
      <c r="G1456" s="129"/>
      <c r="H1456" s="83" t="str">
        <f t="shared" si="115"/>
        <v>TCCN-PTE-PFL-PS2-CB1--</v>
      </c>
      <c r="I1456" s="129" t="str">
        <f>MID(H1456,1,(LEN(H1456)-VLOOKUP(K1456,datos!$B$2:$C$12,2,0)))</f>
        <v>TCCN-PTE-PFL-PS2-CB1</v>
      </c>
      <c r="J1456" s="129" t="s">
        <v>7705</v>
      </c>
      <c r="K1456" s="130">
        <f>VLOOKUP(LEN(SUBSTITUTE(H1456,"-","")),datos!$A$1:$B$12,2,0)</f>
        <v>5</v>
      </c>
      <c r="L1456" s="129"/>
      <c r="M1456" s="129" t="s">
        <v>0</v>
      </c>
    </row>
    <row r="1457" spans="1:13" x14ac:dyDescent="0.35">
      <c r="A1457" s="137" t="s">
        <v>487</v>
      </c>
      <c r="B1457" s="137" t="s">
        <v>3809</v>
      </c>
      <c r="C1457" s="137" t="s">
        <v>3983</v>
      </c>
      <c r="D1457" s="137" t="s">
        <v>4012</v>
      </c>
      <c r="E1457" s="137" t="s">
        <v>3965</v>
      </c>
      <c r="F1457" s="137" t="s">
        <v>3831</v>
      </c>
      <c r="G1457" s="137"/>
      <c r="H1457" s="82" t="str">
        <f t="shared" si="115"/>
        <v>TCCN-PTE-PFL-PS2-CB1-INS-</v>
      </c>
      <c r="I1457" s="137" t="str">
        <f>MID(H1457,1,(LEN(H1457)-VLOOKUP(K1457,datos!$B$2:$C$12,2,0)))</f>
        <v>TCCN-PTE-PFL-PS2-CB1-INS</v>
      </c>
      <c r="J1457" s="137" t="s">
        <v>7706</v>
      </c>
      <c r="K1457" s="139">
        <f>VLOOKUP(LEN(SUBSTITUTE(H1457,"-","")),datos!$A$1:$B$12,2,0)</f>
        <v>6</v>
      </c>
      <c r="L1457" s="137"/>
      <c r="M1457" s="137" t="s">
        <v>0</v>
      </c>
    </row>
    <row r="1458" spans="1:13" x14ac:dyDescent="0.35">
      <c r="A1458" s="138" t="s">
        <v>487</v>
      </c>
      <c r="B1458" s="138" t="s">
        <v>3809</v>
      </c>
      <c r="C1458" s="138" t="s">
        <v>3983</v>
      </c>
      <c r="D1458" s="138" t="s">
        <v>4012</v>
      </c>
      <c r="E1458" s="138" t="s">
        <v>3965</v>
      </c>
      <c r="F1458" s="138" t="s">
        <v>3831</v>
      </c>
      <c r="G1458" s="138" t="s">
        <v>3986</v>
      </c>
      <c r="H1458" s="81" t="str">
        <f t="shared" si="115"/>
        <v>TCCN-PTE-PFL-PS2-CB1-INS-VV1</v>
      </c>
      <c r="I1458" s="138" t="str">
        <f>MID(H1458,1,(LEN(H1458)-VLOOKUP(K1458,datos!$B$2:$C$12,2,0)))</f>
        <v>TCCN-PTE-PFL-PS2-CB1-INS-VV1</v>
      </c>
      <c r="J1458" s="138" t="s">
        <v>7709</v>
      </c>
      <c r="K1458" s="140">
        <f>VLOOKUP(LEN(SUBSTITUTE(H1458,"-","")),datos!$A$1:$B$12,2,0)</f>
        <v>7</v>
      </c>
      <c r="L1458" s="138" t="s">
        <v>7813</v>
      </c>
      <c r="M1458" s="138" t="s">
        <v>0</v>
      </c>
    </row>
    <row r="1459" spans="1:13" x14ac:dyDescent="0.35">
      <c r="A1459" s="138" t="s">
        <v>487</v>
      </c>
      <c r="B1459" s="138" t="s">
        <v>3809</v>
      </c>
      <c r="C1459" s="138" t="s">
        <v>3983</v>
      </c>
      <c r="D1459" s="138" t="s">
        <v>4012</v>
      </c>
      <c r="E1459" s="138" t="s">
        <v>3965</v>
      </c>
      <c r="F1459" s="138" t="s">
        <v>3831</v>
      </c>
      <c r="G1459" s="138" t="s">
        <v>3987</v>
      </c>
      <c r="H1459" s="81" t="str">
        <f t="shared" si="115"/>
        <v>TCCN-PTE-PFL-PS2-CB1-INS-VV2</v>
      </c>
      <c r="I1459" s="138" t="str">
        <f>MID(H1459,1,(LEN(H1459)-VLOOKUP(K1459,datos!$B$2:$C$12,2,0)))</f>
        <v>TCCN-PTE-PFL-PS2-CB1-INS-VV2</v>
      </c>
      <c r="J1459" s="138" t="s">
        <v>7710</v>
      </c>
      <c r="K1459" s="140">
        <f>VLOOKUP(LEN(SUBSTITUTE(H1459,"-","")),datos!$A$1:$B$12,2,0)</f>
        <v>7</v>
      </c>
      <c r="L1459" s="138" t="s">
        <v>7814</v>
      </c>
      <c r="M1459" s="138" t="s">
        <v>0</v>
      </c>
    </row>
    <row r="1460" spans="1:13" customFormat="1" ht="14.5" x14ac:dyDescent="0.35">
      <c r="A1460" s="129" t="s">
        <v>487</v>
      </c>
      <c r="B1460" s="129" t="s">
        <v>3809</v>
      </c>
      <c r="C1460" s="129" t="s">
        <v>3983</v>
      </c>
      <c r="D1460" s="129" t="s">
        <v>4012</v>
      </c>
      <c r="E1460" s="129" t="s">
        <v>4004</v>
      </c>
      <c r="F1460" s="129"/>
      <c r="G1460" s="129"/>
      <c r="H1460" s="83" t="str">
        <f t="shared" si="115"/>
        <v>TCCN-PTE-PFL-PS2-CF3--</v>
      </c>
      <c r="I1460" s="129" t="str">
        <f>MID(H1460,1,(LEN(H1460)-VLOOKUP(K1460,datos!$B$2:$C$12,2,0)))</f>
        <v>TCCN-PTE-PFL-PS2-CF3</v>
      </c>
      <c r="J1460" s="129" t="s">
        <v>460</v>
      </c>
      <c r="K1460" s="130">
        <f>VLOOKUP(LEN(SUBSTITUTE(H1460,"-","")),datos!$A$1:$B$12,2,0)</f>
        <v>5</v>
      </c>
      <c r="L1460" s="129" t="s">
        <v>211</v>
      </c>
      <c r="M1460" s="129" t="s">
        <v>0</v>
      </c>
    </row>
    <row r="1461" spans="1:13" x14ac:dyDescent="0.35">
      <c r="A1461" s="137" t="s">
        <v>487</v>
      </c>
      <c r="B1461" s="137" t="s">
        <v>3809</v>
      </c>
      <c r="C1461" s="137" t="s">
        <v>3983</v>
      </c>
      <c r="D1461" s="137" t="s">
        <v>4012</v>
      </c>
      <c r="E1461" s="137" t="s">
        <v>4004</v>
      </c>
      <c r="F1461" s="137" t="s">
        <v>3948</v>
      </c>
      <c r="G1461" s="137"/>
      <c r="H1461" s="82" t="str">
        <f t="shared" si="115"/>
        <v>TCCN-PTE-PFL-PS2-CF3-SCP-</v>
      </c>
      <c r="I1461" s="137" t="str">
        <f>MID(H1461,1,(LEN(H1461)-VLOOKUP(K1461,datos!$B$2:$C$12,2,0)))</f>
        <v>TCCN-PTE-PFL-PS2-CF3-SCP</v>
      </c>
      <c r="J1461" s="137" t="s">
        <v>6060</v>
      </c>
      <c r="K1461" s="139">
        <f>VLOOKUP(LEN(SUBSTITUTE(H1461,"-","")),datos!$A$1:$B$12,2,0)</f>
        <v>6</v>
      </c>
      <c r="L1461" s="137"/>
      <c r="M1461" s="137" t="s">
        <v>0</v>
      </c>
    </row>
    <row r="1462" spans="1:13" x14ac:dyDescent="0.35">
      <c r="A1462" s="138" t="s">
        <v>487</v>
      </c>
      <c r="B1462" s="138" t="s">
        <v>3809</v>
      </c>
      <c r="C1462" s="138" t="s">
        <v>3983</v>
      </c>
      <c r="D1462" s="138" t="s">
        <v>4012</v>
      </c>
      <c r="E1462" s="138" t="s">
        <v>4004</v>
      </c>
      <c r="F1462" s="138" t="s">
        <v>3948</v>
      </c>
      <c r="G1462" s="138" t="s">
        <v>3993</v>
      </c>
      <c r="H1462" s="81" t="str">
        <f t="shared" si="115"/>
        <v>TCCN-PTE-PFL-PS2-CF3-SCP-POR</v>
      </c>
      <c r="I1462" s="138" t="str">
        <f>MID(H1462,1,(LEN(H1462)-VLOOKUP(K1462,datos!$B$2:$C$12,2,0)))</f>
        <v>TCCN-PTE-PFL-PS2-CF3-SCP-POR</v>
      </c>
      <c r="J1462" s="138" t="s">
        <v>6061</v>
      </c>
      <c r="K1462" s="140">
        <f>VLOOKUP(LEN(SUBSTITUTE(H1462,"-","")),datos!$A$1:$B$12,2,0)</f>
        <v>7</v>
      </c>
      <c r="L1462" s="138"/>
      <c r="M1462" s="138" t="s">
        <v>0</v>
      </c>
    </row>
    <row r="1463" spans="1:13" x14ac:dyDescent="0.35">
      <c r="A1463" s="138" t="s">
        <v>487</v>
      </c>
      <c r="B1463" s="138" t="s">
        <v>3809</v>
      </c>
      <c r="C1463" s="138" t="s">
        <v>3983</v>
      </c>
      <c r="D1463" s="138" t="s">
        <v>4012</v>
      </c>
      <c r="E1463" s="138" t="s">
        <v>4004</v>
      </c>
      <c r="F1463" s="138" t="s">
        <v>3948</v>
      </c>
      <c r="G1463" s="138" t="s">
        <v>3994</v>
      </c>
      <c r="H1463" s="81" t="str">
        <f t="shared" si="115"/>
        <v>TCCN-PTE-PFL-PS2-CF3-SCP-RTO</v>
      </c>
      <c r="I1463" s="138" t="str">
        <f>MID(H1463,1,(LEN(H1463)-VLOOKUP(K1463,datos!$B$2:$C$12,2,0)))</f>
        <v>TCCN-PTE-PFL-PS2-CF3-SCP-RTO</v>
      </c>
      <c r="J1463" s="138" t="s">
        <v>6062</v>
      </c>
      <c r="K1463" s="140">
        <f>VLOOKUP(LEN(SUBSTITUTE(H1463,"-","")),datos!$A$1:$B$12,2,0)</f>
        <v>7</v>
      </c>
      <c r="L1463" s="138"/>
      <c r="M1463" s="138" t="s">
        <v>0</v>
      </c>
    </row>
    <row r="1464" spans="1:13" x14ac:dyDescent="0.35">
      <c r="A1464" s="138" t="s">
        <v>487</v>
      </c>
      <c r="B1464" s="138" t="s">
        <v>3809</v>
      </c>
      <c r="C1464" s="138" t="s">
        <v>3983</v>
      </c>
      <c r="D1464" s="138" t="s">
        <v>4012</v>
      </c>
      <c r="E1464" s="138" t="s">
        <v>4004</v>
      </c>
      <c r="F1464" s="138" t="s">
        <v>3948</v>
      </c>
      <c r="G1464" s="138" t="s">
        <v>3995</v>
      </c>
      <c r="H1464" s="81" t="str">
        <f t="shared" si="115"/>
        <v>TCCN-PTE-PFL-PS2-CF3-SCP-ETT</v>
      </c>
      <c r="I1464" s="138" t="str">
        <f>MID(H1464,1,(LEN(H1464)-VLOOKUP(K1464,datos!$B$2:$C$12,2,0)))</f>
        <v>TCCN-PTE-PFL-PS2-CF3-SCP-ETT</v>
      </c>
      <c r="J1464" s="138" t="s">
        <v>6063</v>
      </c>
      <c r="K1464" s="140">
        <f>VLOOKUP(LEN(SUBSTITUTE(H1464,"-","")),datos!$A$1:$B$12,2,0)</f>
        <v>7</v>
      </c>
      <c r="L1464" s="138"/>
      <c r="M1464" s="138" t="s">
        <v>0</v>
      </c>
    </row>
    <row r="1465" spans="1:13" x14ac:dyDescent="0.35">
      <c r="A1465" s="138" t="s">
        <v>487</v>
      </c>
      <c r="B1465" s="138" t="s">
        <v>3809</v>
      </c>
      <c r="C1465" s="138" t="s">
        <v>3983</v>
      </c>
      <c r="D1465" s="138" t="s">
        <v>4012</v>
      </c>
      <c r="E1465" s="138" t="s">
        <v>4004</v>
      </c>
      <c r="F1465" s="138" t="s">
        <v>3948</v>
      </c>
      <c r="G1465" s="138" t="s">
        <v>3996</v>
      </c>
      <c r="H1465" s="81" t="str">
        <f t="shared" si="115"/>
        <v>TCCN-PTE-PFL-PS2-CF3-SCP-DDT</v>
      </c>
      <c r="I1465" s="138" t="str">
        <f>MID(H1465,1,(LEN(H1465)-VLOOKUP(K1465,datos!$B$2:$C$12,2,0)))</f>
        <v>TCCN-PTE-PFL-PS2-CF3-SCP-DDT</v>
      </c>
      <c r="J1465" s="138" t="s">
        <v>6064</v>
      </c>
      <c r="K1465" s="140">
        <f>VLOOKUP(LEN(SUBSTITUTE(H1465,"-","")),datos!$A$1:$B$12,2,0)</f>
        <v>7</v>
      </c>
      <c r="L1465" s="138"/>
      <c r="M1465" s="138" t="s">
        <v>0</v>
      </c>
    </row>
    <row r="1466" spans="1:13" x14ac:dyDescent="0.35">
      <c r="A1466" s="138" t="s">
        <v>487</v>
      </c>
      <c r="B1466" s="138" t="s">
        <v>3809</v>
      </c>
      <c r="C1466" s="138" t="s">
        <v>3983</v>
      </c>
      <c r="D1466" s="138" t="s">
        <v>4012</v>
      </c>
      <c r="E1466" s="138" t="s">
        <v>4004</v>
      </c>
      <c r="F1466" s="138" t="s">
        <v>3948</v>
      </c>
      <c r="G1466" s="138" t="s">
        <v>3997</v>
      </c>
      <c r="H1466" s="81" t="str">
        <f t="shared" si="115"/>
        <v>TCCN-PTE-PFL-PS2-CF3-SCP-EJE</v>
      </c>
      <c r="I1466" s="138" t="str">
        <f>MID(H1466,1,(LEN(H1466)-VLOOKUP(K1466,datos!$B$2:$C$12,2,0)))</f>
        <v>TCCN-PTE-PFL-PS2-CF3-SCP-EJE</v>
      </c>
      <c r="J1466" s="138" t="s">
        <v>6065</v>
      </c>
      <c r="K1466" s="140">
        <f>VLOOKUP(LEN(SUBSTITUTE(H1466,"-","")),datos!$A$1:$B$12,2,0)</f>
        <v>7</v>
      </c>
      <c r="L1466" s="138"/>
      <c r="M1466" s="138" t="s">
        <v>0</v>
      </c>
    </row>
    <row r="1467" spans="1:13" x14ac:dyDescent="0.35">
      <c r="A1467" s="137" t="s">
        <v>487</v>
      </c>
      <c r="B1467" s="137" t="s">
        <v>3809</v>
      </c>
      <c r="C1467" s="137" t="s">
        <v>3983</v>
      </c>
      <c r="D1467" s="137" t="s">
        <v>4012</v>
      </c>
      <c r="E1467" s="137" t="s">
        <v>4004</v>
      </c>
      <c r="F1467" s="137" t="s">
        <v>3824</v>
      </c>
      <c r="G1467" s="137"/>
      <c r="H1467" s="82" t="str">
        <f t="shared" si="115"/>
        <v>TCCN-PTE-PFL-PS2-CF3-SES-</v>
      </c>
      <c r="I1467" s="137" t="str">
        <f>MID(H1467,1,(LEN(H1467)-VLOOKUP(K1467,datos!$B$2:$C$12,2,0)))</f>
        <v>TCCN-PTE-PFL-PS2-CF3-SES</v>
      </c>
      <c r="J1467" s="137" t="s">
        <v>6066</v>
      </c>
      <c r="K1467" s="139">
        <f>VLOOKUP(LEN(SUBSTITUTE(H1467,"-","")),datos!$A$1:$B$12,2,0)</f>
        <v>6</v>
      </c>
      <c r="L1467" s="137"/>
      <c r="M1467" s="137" t="s">
        <v>0</v>
      </c>
    </row>
    <row r="1468" spans="1:13" x14ac:dyDescent="0.35">
      <c r="A1468" s="138" t="s">
        <v>487</v>
      </c>
      <c r="B1468" s="138" t="s">
        <v>3809</v>
      </c>
      <c r="C1468" s="138" t="s">
        <v>3983</v>
      </c>
      <c r="D1468" s="138" t="s">
        <v>4012</v>
      </c>
      <c r="E1468" s="138" t="s">
        <v>4004</v>
      </c>
      <c r="F1468" s="138" t="s">
        <v>3824</v>
      </c>
      <c r="G1468" s="138" t="s">
        <v>3998</v>
      </c>
      <c r="H1468" s="81" t="str">
        <f t="shared" si="115"/>
        <v>TCCN-PTE-PFL-PS2-CF3-SES-BYG</v>
      </c>
      <c r="I1468" s="138" t="str">
        <f>MID(H1468,1,(LEN(H1468)-VLOOKUP(K1468,datos!$B$2:$C$12,2,0)))</f>
        <v>TCCN-PTE-PFL-PS2-CF3-SES-BYG</v>
      </c>
      <c r="J1468" s="138" t="s">
        <v>8028</v>
      </c>
      <c r="K1468" s="140">
        <f>VLOOKUP(LEN(SUBSTITUTE(H1468,"-","")),datos!$A$1:$B$12,2,0)</f>
        <v>7</v>
      </c>
      <c r="L1468" s="138"/>
      <c r="M1468" s="138" t="s">
        <v>0</v>
      </c>
    </row>
    <row r="1469" spans="1:13" x14ac:dyDescent="0.35">
      <c r="A1469" s="138" t="s">
        <v>487</v>
      </c>
      <c r="B1469" s="138" t="s">
        <v>3809</v>
      </c>
      <c r="C1469" s="138" t="s">
        <v>3983</v>
      </c>
      <c r="D1469" s="138" t="s">
        <v>4012</v>
      </c>
      <c r="E1469" s="138" t="s">
        <v>4004</v>
      </c>
      <c r="F1469" s="138" t="s">
        <v>3824</v>
      </c>
      <c r="G1469" s="138" t="s">
        <v>3999</v>
      </c>
      <c r="H1469" s="81" t="str">
        <f t="shared" si="115"/>
        <v>TCCN-PTE-PFL-PS2-CF3-SES-RDP</v>
      </c>
      <c r="I1469" s="138" t="str">
        <f>MID(H1469,1,(LEN(H1469)-VLOOKUP(K1469,datos!$B$2:$C$12,2,0)))</f>
        <v>TCCN-PTE-PFL-PS2-CF3-SES-RDP</v>
      </c>
      <c r="J1469" s="138" t="s">
        <v>6067</v>
      </c>
      <c r="K1469" s="140">
        <f>VLOOKUP(LEN(SUBSTITUTE(H1469,"-","")),datos!$A$1:$B$12,2,0)</f>
        <v>7</v>
      </c>
      <c r="L1469" s="138"/>
      <c r="M1469" s="138" t="s">
        <v>0</v>
      </c>
    </row>
    <row r="1470" spans="1:13" x14ac:dyDescent="0.35">
      <c r="A1470" s="138" t="s">
        <v>487</v>
      </c>
      <c r="B1470" s="138" t="s">
        <v>3809</v>
      </c>
      <c r="C1470" s="138" t="s">
        <v>3983</v>
      </c>
      <c r="D1470" s="138" t="s">
        <v>4012</v>
      </c>
      <c r="E1470" s="138" t="s">
        <v>4004</v>
      </c>
      <c r="F1470" s="138" t="s">
        <v>3824</v>
      </c>
      <c r="G1470" s="138" t="s">
        <v>3853</v>
      </c>
      <c r="H1470" s="81" t="str">
        <f t="shared" si="115"/>
        <v>TCCN-PTE-PFL-PS2-CF3-SES-EST</v>
      </c>
      <c r="I1470" s="138" t="str">
        <f>MID(H1470,1,(LEN(H1470)-VLOOKUP(K1470,datos!$B$2:$C$12,2,0)))</f>
        <v>TCCN-PTE-PFL-PS2-CF3-SES-EST</v>
      </c>
      <c r="J1470" s="138" t="s">
        <v>6068</v>
      </c>
      <c r="K1470" s="140">
        <f>VLOOKUP(LEN(SUBSTITUTE(H1470,"-","")),datos!$A$1:$B$12,2,0)</f>
        <v>7</v>
      </c>
      <c r="L1470" s="138"/>
      <c r="M1470" s="138" t="s">
        <v>0</v>
      </c>
    </row>
    <row r="1471" spans="1:13" x14ac:dyDescent="0.35">
      <c r="A1471" s="138" t="s">
        <v>487</v>
      </c>
      <c r="B1471" s="138" t="s">
        <v>3809</v>
      </c>
      <c r="C1471" s="138" t="s">
        <v>3983</v>
      </c>
      <c r="D1471" s="138" t="s">
        <v>4012</v>
      </c>
      <c r="E1471" s="138" t="s">
        <v>4004</v>
      </c>
      <c r="F1471" s="138" t="s">
        <v>3824</v>
      </c>
      <c r="G1471" s="138" t="s">
        <v>4000</v>
      </c>
      <c r="H1471" s="81" t="str">
        <f t="shared" si="115"/>
        <v>TCCN-PTE-PFL-PS2-CF3-SES-CRW</v>
      </c>
      <c r="I1471" s="138" t="str">
        <f>MID(H1471,1,(LEN(H1471)-VLOOKUP(K1471,datos!$B$2:$C$12,2,0)))</f>
        <v>TCCN-PTE-PFL-PS2-CF3-SES-CRW</v>
      </c>
      <c r="J1471" s="138" t="s">
        <v>6069</v>
      </c>
      <c r="K1471" s="140">
        <f>VLOOKUP(LEN(SUBSTITUTE(H1471,"-","")),datos!$A$1:$B$12,2,0)</f>
        <v>7</v>
      </c>
      <c r="L1471" s="138"/>
      <c r="M1471" s="138" t="s">
        <v>0</v>
      </c>
    </row>
    <row r="1472" spans="1:13" x14ac:dyDescent="0.35">
      <c r="A1472" s="137" t="s">
        <v>487</v>
      </c>
      <c r="B1472" s="137" t="s">
        <v>3809</v>
      </c>
      <c r="C1472" s="137" t="s">
        <v>3983</v>
      </c>
      <c r="D1472" s="137" t="s">
        <v>4012</v>
      </c>
      <c r="E1472" s="137" t="s">
        <v>4004</v>
      </c>
      <c r="F1472" s="137" t="s">
        <v>3847</v>
      </c>
      <c r="G1472" s="137"/>
      <c r="H1472" s="82" t="str">
        <f t="shared" si="115"/>
        <v>TCCN-PTE-PFL-PS2-CF3-SMO-</v>
      </c>
      <c r="I1472" s="137" t="str">
        <f>MID(H1472,1,(LEN(H1472)-VLOOKUP(K1472,datos!$B$2:$C$12,2,0)))</f>
        <v>TCCN-PTE-PFL-PS2-CF3-SMO</v>
      </c>
      <c r="J1472" s="137" t="s">
        <v>6070</v>
      </c>
      <c r="K1472" s="139">
        <f>VLOOKUP(LEN(SUBSTITUTE(H1472,"-","")),datos!$A$1:$B$12,2,0)</f>
        <v>6</v>
      </c>
      <c r="L1472" s="137"/>
      <c r="M1472" s="137" t="s">
        <v>0</v>
      </c>
    </row>
    <row r="1473" spans="1:13" x14ac:dyDescent="0.35">
      <c r="A1473" s="138" t="s">
        <v>487</v>
      </c>
      <c r="B1473" s="138" t="s">
        <v>3809</v>
      </c>
      <c r="C1473" s="138" t="s">
        <v>3983</v>
      </c>
      <c r="D1473" s="138" t="s">
        <v>4012</v>
      </c>
      <c r="E1473" s="138" t="s">
        <v>4004</v>
      </c>
      <c r="F1473" s="138" t="s">
        <v>3847</v>
      </c>
      <c r="G1473" s="138" t="s">
        <v>3819</v>
      </c>
      <c r="H1473" s="81" t="str">
        <f t="shared" si="115"/>
        <v>TCCN-PTE-PFL-PS2-CF3-SMO-MOE</v>
      </c>
      <c r="I1473" s="138" t="str">
        <f>MID(H1473,1,(LEN(H1473)-VLOOKUP(K1473,datos!$B$2:$C$12,2,0)))</f>
        <v>TCCN-PTE-PFL-PS2-CF3-SMO-MOE</v>
      </c>
      <c r="J1473" s="138" t="s">
        <v>6071</v>
      </c>
      <c r="K1473" s="140">
        <f>VLOOKUP(LEN(SUBSTITUTE(H1473,"-","")),datos!$A$1:$B$12,2,0)</f>
        <v>7</v>
      </c>
      <c r="L1473" s="138" t="s">
        <v>212</v>
      </c>
      <c r="M1473" s="138" t="s">
        <v>0</v>
      </c>
    </row>
    <row r="1474" spans="1:13" x14ac:dyDescent="0.35">
      <c r="A1474" s="138" t="s">
        <v>487</v>
      </c>
      <c r="B1474" s="138" t="s">
        <v>3809</v>
      </c>
      <c r="C1474" s="138" t="s">
        <v>3983</v>
      </c>
      <c r="D1474" s="138" t="s">
        <v>4012</v>
      </c>
      <c r="E1474" s="138" t="s">
        <v>4004</v>
      </c>
      <c r="F1474" s="138" t="s">
        <v>3847</v>
      </c>
      <c r="G1474" s="138" t="s">
        <v>3864</v>
      </c>
      <c r="H1474" s="81" t="str">
        <f t="shared" si="115"/>
        <v>TCCN-PTE-PFL-PS2-CF3-SMO-PMO</v>
      </c>
      <c r="I1474" s="138" t="str">
        <f>MID(H1474,1,(LEN(H1474)-VLOOKUP(K1474,datos!$B$2:$C$12,2,0)))</f>
        <v>TCCN-PTE-PFL-PS2-CF3-SMO-PMO</v>
      </c>
      <c r="J1474" s="138" t="s">
        <v>6072</v>
      </c>
      <c r="K1474" s="140">
        <f>VLOOKUP(LEN(SUBSTITUTE(H1474,"-","")),datos!$A$1:$B$12,2,0)</f>
        <v>7</v>
      </c>
      <c r="L1474" s="138"/>
      <c r="M1474" s="138" t="s">
        <v>0</v>
      </c>
    </row>
    <row r="1475" spans="1:13" x14ac:dyDescent="0.35">
      <c r="A1475" s="138" t="s">
        <v>487</v>
      </c>
      <c r="B1475" s="138" t="s">
        <v>3809</v>
      </c>
      <c r="C1475" s="138" t="s">
        <v>3983</v>
      </c>
      <c r="D1475" s="138" t="s">
        <v>4012</v>
      </c>
      <c r="E1475" s="138" t="s">
        <v>4004</v>
      </c>
      <c r="F1475" s="138" t="s">
        <v>3847</v>
      </c>
      <c r="G1475" s="138" t="s">
        <v>8116</v>
      </c>
      <c r="H1475" s="81" t="str">
        <f t="shared" si="115"/>
        <v>TCCN-PTE-PFL-PS2-CF3-SMO-PLE</v>
      </c>
      <c r="I1475" s="138" t="str">
        <f>MID(H1475,1,(LEN(H1475)-VLOOKUP(K1475,datos!$B$2:$C$12,2,0)))</f>
        <v>TCCN-PTE-PFL-PS2-CF3-SMO-PLE</v>
      </c>
      <c r="J1475" s="138" t="s">
        <v>6073</v>
      </c>
      <c r="K1475" s="140">
        <f>VLOOKUP(LEN(SUBSTITUTE(H1475,"-","")),datos!$A$1:$B$12,2,0)</f>
        <v>7</v>
      </c>
      <c r="L1475" s="138"/>
      <c r="M1475" s="138" t="s">
        <v>0</v>
      </c>
    </row>
    <row r="1476" spans="1:13" x14ac:dyDescent="0.35">
      <c r="A1476" s="138" t="s">
        <v>487</v>
      </c>
      <c r="B1476" s="138" t="s">
        <v>3809</v>
      </c>
      <c r="C1476" s="138" t="s">
        <v>3983</v>
      </c>
      <c r="D1476" s="138" t="s">
        <v>4012</v>
      </c>
      <c r="E1476" s="138" t="s">
        <v>4004</v>
      </c>
      <c r="F1476" s="138" t="s">
        <v>3847</v>
      </c>
      <c r="G1476" s="138" t="s">
        <v>5688</v>
      </c>
      <c r="H1476" s="81" t="str">
        <f t="shared" si="115"/>
        <v>TCCN-PTE-PFL-PS2-CF3-SMO-PRP</v>
      </c>
      <c r="I1476" s="138" t="str">
        <f>MID(H1476,1,(LEN(H1476)-VLOOKUP(K1476,datos!$B$2:$C$12,2,0)))</f>
        <v>TCCN-PTE-PFL-PS2-CF3-SMO-PRP</v>
      </c>
      <c r="J1476" s="138" t="s">
        <v>6074</v>
      </c>
      <c r="K1476" s="140">
        <f>VLOOKUP(LEN(SUBSTITUTE(H1476,"-","")),datos!$A$1:$B$12,2,0)</f>
        <v>7</v>
      </c>
      <c r="L1476" s="138"/>
      <c r="M1476" s="138" t="s">
        <v>0</v>
      </c>
    </row>
    <row r="1477" spans="1:13" x14ac:dyDescent="0.35">
      <c r="A1477" s="137" t="s">
        <v>487</v>
      </c>
      <c r="B1477" s="137" t="s">
        <v>3809</v>
      </c>
      <c r="C1477" s="137" t="s">
        <v>3983</v>
      </c>
      <c r="D1477" s="137" t="s">
        <v>4012</v>
      </c>
      <c r="E1477" s="137" t="s">
        <v>4004</v>
      </c>
      <c r="F1477" s="137" t="s">
        <v>3831</v>
      </c>
      <c r="G1477" s="137"/>
      <c r="H1477" s="82" t="str">
        <f t="shared" si="115"/>
        <v>TCCN-PTE-PFL-PS2-CF3-INS-</v>
      </c>
      <c r="I1477" s="137" t="str">
        <f>MID(H1477,1,(LEN(H1477)-VLOOKUP(K1477,datos!$B$2:$C$12,2,0)))</f>
        <v>TCCN-PTE-PFL-PS2-CF3-INS</v>
      </c>
      <c r="J1477" s="137" t="s">
        <v>6075</v>
      </c>
      <c r="K1477" s="139">
        <f>VLOOKUP(LEN(SUBSTITUTE(H1477,"-","")),datos!$A$1:$B$12,2,0)</f>
        <v>6</v>
      </c>
      <c r="L1477" s="137"/>
      <c r="M1477" s="137" t="s">
        <v>0</v>
      </c>
    </row>
    <row r="1478" spans="1:13" x14ac:dyDescent="0.35">
      <c r="A1478" s="138" t="s">
        <v>487</v>
      </c>
      <c r="B1478" s="138" t="s">
        <v>3809</v>
      </c>
      <c r="C1478" s="138" t="s">
        <v>3983</v>
      </c>
      <c r="D1478" s="138" t="s">
        <v>4012</v>
      </c>
      <c r="E1478" s="138" t="s">
        <v>4004</v>
      </c>
      <c r="F1478" s="138" t="s">
        <v>3831</v>
      </c>
      <c r="G1478" s="138" t="s">
        <v>4075</v>
      </c>
      <c r="H1478" s="81" t="str">
        <f t="shared" si="115"/>
        <v>TCCN-PTE-PFL-PS2-CF3-INS-VVA</v>
      </c>
      <c r="I1478" s="138" t="str">
        <f>MID(H1478,1,(LEN(H1478)-VLOOKUP(K1478,datos!$B$2:$C$12,2,0)))</f>
        <v>TCCN-PTE-PFL-PS2-CF3-INS-VVA</v>
      </c>
      <c r="J1478" s="138" t="s">
        <v>7815</v>
      </c>
      <c r="K1478" s="140">
        <f>VLOOKUP(LEN(SUBSTITUTE(H1478,"-","")),datos!$A$1:$B$12,2,0)</f>
        <v>7</v>
      </c>
      <c r="L1478" s="138" t="s">
        <v>7817</v>
      </c>
      <c r="M1478" s="138" t="s">
        <v>0</v>
      </c>
    </row>
    <row r="1479" spans="1:13" x14ac:dyDescent="0.35">
      <c r="A1479" s="138" t="s">
        <v>487</v>
      </c>
      <c r="B1479" s="138" t="s">
        <v>3809</v>
      </c>
      <c r="C1479" s="138" t="s">
        <v>3983</v>
      </c>
      <c r="D1479" s="138" t="s">
        <v>4012</v>
      </c>
      <c r="E1479" s="138" t="s">
        <v>4004</v>
      </c>
      <c r="F1479" s="138" t="s">
        <v>3831</v>
      </c>
      <c r="G1479" s="138" t="s">
        <v>4002</v>
      </c>
      <c r="H1479" s="81" t="str">
        <f t="shared" si="115"/>
        <v>TCCN-PTE-PFL-PS2-CF3-INS-FJM</v>
      </c>
      <c r="I1479" s="138" t="str">
        <f>MID(H1479,1,(LEN(H1479)-VLOOKUP(K1479,datos!$B$2:$C$12,2,0)))</f>
        <v>TCCN-PTE-PFL-PS2-CF3-INS-FJM</v>
      </c>
      <c r="J1479" s="138" t="s">
        <v>7816</v>
      </c>
      <c r="K1479" s="140">
        <f>VLOOKUP(LEN(SUBSTITUTE(H1479,"-","")),datos!$A$1:$B$12,2,0)</f>
        <v>7</v>
      </c>
      <c r="L1479" s="138" t="s">
        <v>7818</v>
      </c>
      <c r="M1479" s="138" t="s">
        <v>0</v>
      </c>
    </row>
    <row r="1480" spans="1:13" x14ac:dyDescent="0.35">
      <c r="A1480" s="137" t="s">
        <v>487</v>
      </c>
      <c r="B1480" s="137" t="s">
        <v>3809</v>
      </c>
      <c r="C1480" s="137" t="s">
        <v>3983</v>
      </c>
      <c r="D1480" s="137" t="s">
        <v>4012</v>
      </c>
      <c r="E1480" s="137" t="s">
        <v>4004</v>
      </c>
      <c r="F1480" s="137" t="s">
        <v>3869</v>
      </c>
      <c r="G1480" s="137"/>
      <c r="H1480" s="82" t="str">
        <f t="shared" si="115"/>
        <v>TCCN-PTE-PFL-PS2-CF3-SCE-</v>
      </c>
      <c r="I1480" s="137" t="str">
        <f>MID(H1480,1,(LEN(H1480)-VLOOKUP(K1480,datos!$B$2:$C$12,2,0)))</f>
        <v>TCCN-PTE-PFL-PS2-CF3-SCE</v>
      </c>
      <c r="J1480" s="137" t="s">
        <v>6076</v>
      </c>
      <c r="K1480" s="139">
        <f>VLOOKUP(LEN(SUBSTITUTE(H1480,"-","")),datos!$A$1:$B$12,2,0)</f>
        <v>6</v>
      </c>
      <c r="L1480" s="137"/>
      <c r="M1480" s="137" t="s">
        <v>0</v>
      </c>
    </row>
    <row r="1481" spans="1:13" x14ac:dyDescent="0.35">
      <c r="A1481" s="138" t="s">
        <v>487</v>
      </c>
      <c r="B1481" s="138" t="s">
        <v>3809</v>
      </c>
      <c r="C1481" s="138" t="s">
        <v>3983</v>
      </c>
      <c r="D1481" s="138" t="s">
        <v>4012</v>
      </c>
      <c r="E1481" s="138" t="s">
        <v>4004</v>
      </c>
      <c r="F1481" s="138" t="s">
        <v>3869</v>
      </c>
      <c r="G1481" s="138" t="s">
        <v>3870</v>
      </c>
      <c r="H1481" s="81" t="str">
        <f t="shared" si="115"/>
        <v>TCCN-PTE-PFL-PS2-CF3-SCE-BTN</v>
      </c>
      <c r="I1481" s="138" t="str">
        <f>MID(H1481,1,(LEN(H1481)-VLOOKUP(K1481,datos!$B$2:$C$12,2,0)))</f>
        <v>TCCN-PTE-PFL-PS2-CF3-SCE-BTN</v>
      </c>
      <c r="J1481" s="138" t="s">
        <v>6077</v>
      </c>
      <c r="K1481" s="140">
        <f>VLOOKUP(LEN(SUBSTITUTE(H1481,"-","")),datos!$A$1:$B$12,2,0)</f>
        <v>7</v>
      </c>
      <c r="L1481" s="138"/>
      <c r="M1481" s="138" t="s">
        <v>0</v>
      </c>
    </row>
    <row r="1482" spans="1:13" customFormat="1" ht="14.5" x14ac:dyDescent="0.35">
      <c r="A1482" s="129" t="s">
        <v>487</v>
      </c>
      <c r="B1482" s="129" t="s">
        <v>3809</v>
      </c>
      <c r="C1482" s="129" t="s">
        <v>3983</v>
      </c>
      <c r="D1482" s="129" t="s">
        <v>4012</v>
      </c>
      <c r="E1482" s="129" t="s">
        <v>4005</v>
      </c>
      <c r="F1482" s="129"/>
      <c r="G1482" s="129"/>
      <c r="H1482" s="83" t="str">
        <f t="shared" si="115"/>
        <v>TCCN-PTE-PFL-PS2-CF4--</v>
      </c>
      <c r="I1482" s="129" t="str">
        <f>MID(H1482,1,(LEN(H1482)-VLOOKUP(K1482,datos!$B$2:$C$12,2,0)))</f>
        <v>TCCN-PTE-PFL-PS2-CF4</v>
      </c>
      <c r="J1482" s="129" t="s">
        <v>461</v>
      </c>
      <c r="K1482" s="130">
        <f>VLOOKUP(LEN(SUBSTITUTE(H1482,"-","")),datos!$A$1:$B$12,2,0)</f>
        <v>5</v>
      </c>
      <c r="L1482" s="129" t="s">
        <v>213</v>
      </c>
      <c r="M1482" s="129" t="s">
        <v>0</v>
      </c>
    </row>
    <row r="1483" spans="1:13" x14ac:dyDescent="0.35">
      <c r="A1483" s="137" t="s">
        <v>487</v>
      </c>
      <c r="B1483" s="137" t="s">
        <v>3809</v>
      </c>
      <c r="C1483" s="137" t="s">
        <v>3983</v>
      </c>
      <c r="D1483" s="137" t="s">
        <v>4012</v>
      </c>
      <c r="E1483" s="137" t="s">
        <v>4005</v>
      </c>
      <c r="F1483" s="137" t="s">
        <v>3948</v>
      </c>
      <c r="G1483" s="137"/>
      <c r="H1483" s="82" t="str">
        <f t="shared" si="115"/>
        <v>TCCN-PTE-PFL-PS2-CF4-SCP-</v>
      </c>
      <c r="I1483" s="137" t="str">
        <f>MID(H1483,1,(LEN(H1483)-VLOOKUP(K1483,datos!$B$2:$C$12,2,0)))</f>
        <v>TCCN-PTE-PFL-PS2-CF4-SCP</v>
      </c>
      <c r="J1483" s="137" t="s">
        <v>6042</v>
      </c>
      <c r="K1483" s="139">
        <f>VLOOKUP(LEN(SUBSTITUTE(H1483,"-","")),datos!$A$1:$B$12,2,0)</f>
        <v>6</v>
      </c>
      <c r="L1483" s="137"/>
      <c r="M1483" s="137" t="s">
        <v>0</v>
      </c>
    </row>
    <row r="1484" spans="1:13" x14ac:dyDescent="0.35">
      <c r="A1484" s="138" t="s">
        <v>487</v>
      </c>
      <c r="B1484" s="138" t="s">
        <v>3809</v>
      </c>
      <c r="C1484" s="138" t="s">
        <v>3983</v>
      </c>
      <c r="D1484" s="138" t="s">
        <v>4012</v>
      </c>
      <c r="E1484" s="138" t="s">
        <v>4005</v>
      </c>
      <c r="F1484" s="138" t="s">
        <v>3948</v>
      </c>
      <c r="G1484" s="138" t="s">
        <v>3993</v>
      </c>
      <c r="H1484" s="81" t="str">
        <f t="shared" si="115"/>
        <v>TCCN-PTE-PFL-PS2-CF4-SCP-POR</v>
      </c>
      <c r="I1484" s="138" t="str">
        <f>MID(H1484,1,(LEN(H1484)-VLOOKUP(K1484,datos!$B$2:$C$12,2,0)))</f>
        <v>TCCN-PTE-PFL-PS2-CF4-SCP-POR</v>
      </c>
      <c r="J1484" s="138" t="s">
        <v>6043</v>
      </c>
      <c r="K1484" s="140">
        <f>VLOOKUP(LEN(SUBSTITUTE(H1484,"-","")),datos!$A$1:$B$12,2,0)</f>
        <v>7</v>
      </c>
      <c r="L1484" s="138"/>
      <c r="M1484" s="138" t="s">
        <v>0</v>
      </c>
    </row>
    <row r="1485" spans="1:13" x14ac:dyDescent="0.35">
      <c r="A1485" s="138" t="s">
        <v>487</v>
      </c>
      <c r="B1485" s="138" t="s">
        <v>3809</v>
      </c>
      <c r="C1485" s="138" t="s">
        <v>3983</v>
      </c>
      <c r="D1485" s="138" t="s">
        <v>4012</v>
      </c>
      <c r="E1485" s="138" t="s">
        <v>4005</v>
      </c>
      <c r="F1485" s="138" t="s">
        <v>3948</v>
      </c>
      <c r="G1485" s="138" t="s">
        <v>3994</v>
      </c>
      <c r="H1485" s="81" t="str">
        <f t="shared" si="115"/>
        <v>TCCN-PTE-PFL-PS2-CF4-SCP-RTO</v>
      </c>
      <c r="I1485" s="138" t="str">
        <f>MID(H1485,1,(LEN(H1485)-VLOOKUP(K1485,datos!$B$2:$C$12,2,0)))</f>
        <v>TCCN-PTE-PFL-PS2-CF4-SCP-RTO</v>
      </c>
      <c r="J1485" s="138" t="s">
        <v>6044</v>
      </c>
      <c r="K1485" s="140">
        <f>VLOOKUP(LEN(SUBSTITUTE(H1485,"-","")),datos!$A$1:$B$12,2,0)</f>
        <v>7</v>
      </c>
      <c r="L1485" s="138"/>
      <c r="M1485" s="138" t="s">
        <v>0</v>
      </c>
    </row>
    <row r="1486" spans="1:13" x14ac:dyDescent="0.35">
      <c r="A1486" s="138" t="s">
        <v>487</v>
      </c>
      <c r="B1486" s="138" t="s">
        <v>3809</v>
      </c>
      <c r="C1486" s="138" t="s">
        <v>3983</v>
      </c>
      <c r="D1486" s="138" t="s">
        <v>4012</v>
      </c>
      <c r="E1486" s="138" t="s">
        <v>4005</v>
      </c>
      <c r="F1486" s="138" t="s">
        <v>3948</v>
      </c>
      <c r="G1486" s="138" t="s">
        <v>3995</v>
      </c>
      <c r="H1486" s="81" t="str">
        <f t="shared" si="115"/>
        <v>TCCN-PTE-PFL-PS2-CF4-SCP-ETT</v>
      </c>
      <c r="I1486" s="138" t="str">
        <f>MID(H1486,1,(LEN(H1486)-VLOOKUP(K1486,datos!$B$2:$C$12,2,0)))</f>
        <v>TCCN-PTE-PFL-PS2-CF4-SCP-ETT</v>
      </c>
      <c r="J1486" s="138" t="s">
        <v>6045</v>
      </c>
      <c r="K1486" s="140">
        <f>VLOOKUP(LEN(SUBSTITUTE(H1486,"-","")),datos!$A$1:$B$12,2,0)</f>
        <v>7</v>
      </c>
      <c r="L1486" s="138"/>
      <c r="M1486" s="138" t="s">
        <v>0</v>
      </c>
    </row>
    <row r="1487" spans="1:13" x14ac:dyDescent="0.35">
      <c r="A1487" s="138" t="s">
        <v>487</v>
      </c>
      <c r="B1487" s="138" t="s">
        <v>3809</v>
      </c>
      <c r="C1487" s="138" t="s">
        <v>3983</v>
      </c>
      <c r="D1487" s="138" t="s">
        <v>4012</v>
      </c>
      <c r="E1487" s="138" t="s">
        <v>4005</v>
      </c>
      <c r="F1487" s="138" t="s">
        <v>3948</v>
      </c>
      <c r="G1487" s="138" t="s">
        <v>3996</v>
      </c>
      <c r="H1487" s="81" t="str">
        <f t="shared" si="115"/>
        <v>TCCN-PTE-PFL-PS2-CF4-SCP-DDT</v>
      </c>
      <c r="I1487" s="138" t="str">
        <f>MID(H1487,1,(LEN(H1487)-VLOOKUP(K1487,datos!$B$2:$C$12,2,0)))</f>
        <v>TCCN-PTE-PFL-PS2-CF4-SCP-DDT</v>
      </c>
      <c r="J1487" s="138" t="s">
        <v>6046</v>
      </c>
      <c r="K1487" s="140">
        <f>VLOOKUP(LEN(SUBSTITUTE(H1487,"-","")),datos!$A$1:$B$12,2,0)</f>
        <v>7</v>
      </c>
      <c r="L1487" s="138"/>
      <c r="M1487" s="138" t="s">
        <v>0</v>
      </c>
    </row>
    <row r="1488" spans="1:13" x14ac:dyDescent="0.35">
      <c r="A1488" s="138" t="s">
        <v>487</v>
      </c>
      <c r="B1488" s="138" t="s">
        <v>3809</v>
      </c>
      <c r="C1488" s="138" t="s">
        <v>3983</v>
      </c>
      <c r="D1488" s="138" t="s">
        <v>4012</v>
      </c>
      <c r="E1488" s="138" t="s">
        <v>4005</v>
      </c>
      <c r="F1488" s="138" t="s">
        <v>3948</v>
      </c>
      <c r="G1488" s="138" t="s">
        <v>3997</v>
      </c>
      <c r="H1488" s="81" t="str">
        <f t="shared" si="115"/>
        <v>TCCN-PTE-PFL-PS2-CF4-SCP-EJE</v>
      </c>
      <c r="I1488" s="138" t="str">
        <f>MID(H1488,1,(LEN(H1488)-VLOOKUP(K1488,datos!$B$2:$C$12,2,0)))</f>
        <v>TCCN-PTE-PFL-PS2-CF4-SCP-EJE</v>
      </c>
      <c r="J1488" s="138" t="s">
        <v>6047</v>
      </c>
      <c r="K1488" s="140">
        <f>VLOOKUP(LEN(SUBSTITUTE(H1488,"-","")),datos!$A$1:$B$12,2,0)</f>
        <v>7</v>
      </c>
      <c r="L1488" s="138"/>
      <c r="M1488" s="138" t="s">
        <v>0</v>
      </c>
    </row>
    <row r="1489" spans="1:13" x14ac:dyDescent="0.35">
      <c r="A1489" s="137" t="s">
        <v>487</v>
      </c>
      <c r="B1489" s="137" t="s">
        <v>3809</v>
      </c>
      <c r="C1489" s="137" t="s">
        <v>3983</v>
      </c>
      <c r="D1489" s="137" t="s">
        <v>4012</v>
      </c>
      <c r="E1489" s="137" t="s">
        <v>4005</v>
      </c>
      <c r="F1489" s="137" t="s">
        <v>3824</v>
      </c>
      <c r="G1489" s="137"/>
      <c r="H1489" s="82" t="str">
        <f t="shared" si="115"/>
        <v>TCCN-PTE-PFL-PS2-CF4-SES-</v>
      </c>
      <c r="I1489" s="137" t="str">
        <f>MID(H1489,1,(LEN(H1489)-VLOOKUP(K1489,datos!$B$2:$C$12,2,0)))</f>
        <v>TCCN-PTE-PFL-PS2-CF4-SES</v>
      </c>
      <c r="J1489" s="137" t="s">
        <v>6048</v>
      </c>
      <c r="K1489" s="139">
        <f>VLOOKUP(LEN(SUBSTITUTE(H1489,"-","")),datos!$A$1:$B$12,2,0)</f>
        <v>6</v>
      </c>
      <c r="L1489" s="137"/>
      <c r="M1489" s="137" t="s">
        <v>0</v>
      </c>
    </row>
    <row r="1490" spans="1:13" x14ac:dyDescent="0.35">
      <c r="A1490" s="138" t="s">
        <v>487</v>
      </c>
      <c r="B1490" s="138" t="s">
        <v>3809</v>
      </c>
      <c r="C1490" s="138" t="s">
        <v>3983</v>
      </c>
      <c r="D1490" s="138" t="s">
        <v>4012</v>
      </c>
      <c r="E1490" s="138" t="s">
        <v>4005</v>
      </c>
      <c r="F1490" s="138" t="s">
        <v>3824</v>
      </c>
      <c r="G1490" s="138" t="s">
        <v>3998</v>
      </c>
      <c r="H1490" s="81" t="str">
        <f t="shared" si="115"/>
        <v>TCCN-PTE-PFL-PS2-CF4-SES-BYG</v>
      </c>
      <c r="I1490" s="138" t="str">
        <f>MID(H1490,1,(LEN(H1490)-VLOOKUP(K1490,datos!$B$2:$C$12,2,0)))</f>
        <v>TCCN-PTE-PFL-PS2-CF4-SES-BYG</v>
      </c>
      <c r="J1490" s="138" t="s">
        <v>8029</v>
      </c>
      <c r="K1490" s="140">
        <f>VLOOKUP(LEN(SUBSTITUTE(H1490,"-","")),datos!$A$1:$B$12,2,0)</f>
        <v>7</v>
      </c>
      <c r="L1490" s="138"/>
      <c r="M1490" s="138" t="s">
        <v>0</v>
      </c>
    </row>
    <row r="1491" spans="1:13" x14ac:dyDescent="0.35">
      <c r="A1491" s="138" t="s">
        <v>487</v>
      </c>
      <c r="B1491" s="138" t="s">
        <v>3809</v>
      </c>
      <c r="C1491" s="138" t="s">
        <v>3983</v>
      </c>
      <c r="D1491" s="138" t="s">
        <v>4012</v>
      </c>
      <c r="E1491" s="138" t="s">
        <v>4005</v>
      </c>
      <c r="F1491" s="138" t="s">
        <v>3824</v>
      </c>
      <c r="G1491" s="138" t="s">
        <v>3999</v>
      </c>
      <c r="H1491" s="81" t="str">
        <f t="shared" si="115"/>
        <v>TCCN-PTE-PFL-PS2-CF4-SES-RDP</v>
      </c>
      <c r="I1491" s="138" t="str">
        <f>MID(H1491,1,(LEN(H1491)-VLOOKUP(K1491,datos!$B$2:$C$12,2,0)))</f>
        <v>TCCN-PTE-PFL-PS2-CF4-SES-RDP</v>
      </c>
      <c r="J1491" s="138" t="s">
        <v>6049</v>
      </c>
      <c r="K1491" s="140">
        <f>VLOOKUP(LEN(SUBSTITUTE(H1491,"-","")),datos!$A$1:$B$12,2,0)</f>
        <v>7</v>
      </c>
      <c r="L1491" s="138"/>
      <c r="M1491" s="138" t="s">
        <v>0</v>
      </c>
    </row>
    <row r="1492" spans="1:13" x14ac:dyDescent="0.35">
      <c r="A1492" s="138" t="s">
        <v>487</v>
      </c>
      <c r="B1492" s="138" t="s">
        <v>3809</v>
      </c>
      <c r="C1492" s="138" t="s">
        <v>3983</v>
      </c>
      <c r="D1492" s="138" t="s">
        <v>4012</v>
      </c>
      <c r="E1492" s="138" t="s">
        <v>4005</v>
      </c>
      <c r="F1492" s="138" t="s">
        <v>3824</v>
      </c>
      <c r="G1492" s="138" t="s">
        <v>3853</v>
      </c>
      <c r="H1492" s="81" t="str">
        <f t="shared" si="115"/>
        <v>TCCN-PTE-PFL-PS2-CF4-SES-EST</v>
      </c>
      <c r="I1492" s="138" t="str">
        <f>MID(H1492,1,(LEN(H1492)-VLOOKUP(K1492,datos!$B$2:$C$12,2,0)))</f>
        <v>TCCN-PTE-PFL-PS2-CF4-SES-EST</v>
      </c>
      <c r="J1492" s="138" t="s">
        <v>6050</v>
      </c>
      <c r="K1492" s="140">
        <f>VLOOKUP(LEN(SUBSTITUTE(H1492,"-","")),datos!$A$1:$B$12,2,0)</f>
        <v>7</v>
      </c>
      <c r="L1492" s="138"/>
      <c r="M1492" s="138" t="s">
        <v>0</v>
      </c>
    </row>
    <row r="1493" spans="1:13" x14ac:dyDescent="0.35">
      <c r="A1493" s="138" t="s">
        <v>487</v>
      </c>
      <c r="B1493" s="138" t="s">
        <v>3809</v>
      </c>
      <c r="C1493" s="138" t="s">
        <v>3983</v>
      </c>
      <c r="D1493" s="138" t="s">
        <v>4012</v>
      </c>
      <c r="E1493" s="138" t="s">
        <v>4005</v>
      </c>
      <c r="F1493" s="138" t="s">
        <v>3824</v>
      </c>
      <c r="G1493" s="138" t="s">
        <v>4000</v>
      </c>
      <c r="H1493" s="81" t="str">
        <f t="shared" si="115"/>
        <v>TCCN-PTE-PFL-PS2-CF4-SES-CRW</v>
      </c>
      <c r="I1493" s="138" t="str">
        <f>MID(H1493,1,(LEN(H1493)-VLOOKUP(K1493,datos!$B$2:$C$12,2,0)))</f>
        <v>TCCN-PTE-PFL-PS2-CF4-SES-CRW</v>
      </c>
      <c r="J1493" s="138" t="s">
        <v>6051</v>
      </c>
      <c r="K1493" s="140">
        <f>VLOOKUP(LEN(SUBSTITUTE(H1493,"-","")),datos!$A$1:$B$12,2,0)</f>
        <v>7</v>
      </c>
      <c r="L1493" s="138"/>
      <c r="M1493" s="138" t="s">
        <v>0</v>
      </c>
    </row>
    <row r="1494" spans="1:13" x14ac:dyDescent="0.35">
      <c r="A1494" s="137" t="s">
        <v>487</v>
      </c>
      <c r="B1494" s="137" t="s">
        <v>3809</v>
      </c>
      <c r="C1494" s="137" t="s">
        <v>3983</v>
      </c>
      <c r="D1494" s="137" t="s">
        <v>4012</v>
      </c>
      <c r="E1494" s="137" t="s">
        <v>4005</v>
      </c>
      <c r="F1494" s="137" t="s">
        <v>3847</v>
      </c>
      <c r="G1494" s="137"/>
      <c r="H1494" s="82" t="str">
        <f t="shared" si="115"/>
        <v>TCCN-PTE-PFL-PS2-CF4-SMO-</v>
      </c>
      <c r="I1494" s="137" t="str">
        <f>MID(H1494,1,(LEN(H1494)-VLOOKUP(K1494,datos!$B$2:$C$12,2,0)))</f>
        <v>TCCN-PTE-PFL-PS2-CF4-SMO</v>
      </c>
      <c r="J1494" s="137" t="s">
        <v>6052</v>
      </c>
      <c r="K1494" s="139">
        <f>VLOOKUP(LEN(SUBSTITUTE(H1494,"-","")),datos!$A$1:$B$12,2,0)</f>
        <v>6</v>
      </c>
      <c r="L1494" s="137"/>
      <c r="M1494" s="137" t="s">
        <v>0</v>
      </c>
    </row>
    <row r="1495" spans="1:13" x14ac:dyDescent="0.35">
      <c r="A1495" s="138" t="s">
        <v>487</v>
      </c>
      <c r="B1495" s="138" t="s">
        <v>3809</v>
      </c>
      <c r="C1495" s="138" t="s">
        <v>3983</v>
      </c>
      <c r="D1495" s="138" t="s">
        <v>4012</v>
      </c>
      <c r="E1495" s="138" t="s">
        <v>4005</v>
      </c>
      <c r="F1495" s="138" t="s">
        <v>3847</v>
      </c>
      <c r="G1495" s="138" t="s">
        <v>3819</v>
      </c>
      <c r="H1495" s="81" t="str">
        <f t="shared" si="115"/>
        <v>TCCN-PTE-PFL-PS2-CF4-SMO-MOE</v>
      </c>
      <c r="I1495" s="138" t="str">
        <f>MID(H1495,1,(LEN(H1495)-VLOOKUP(K1495,datos!$B$2:$C$12,2,0)))</f>
        <v>TCCN-PTE-PFL-PS2-CF4-SMO-MOE</v>
      </c>
      <c r="J1495" s="138" t="s">
        <v>6053</v>
      </c>
      <c r="K1495" s="140">
        <f>VLOOKUP(LEN(SUBSTITUTE(H1495,"-","")),datos!$A$1:$B$12,2,0)</f>
        <v>7</v>
      </c>
      <c r="L1495" s="138" t="s">
        <v>214</v>
      </c>
      <c r="M1495" s="138" t="s">
        <v>0</v>
      </c>
    </row>
    <row r="1496" spans="1:13" x14ac:dyDescent="0.35">
      <c r="A1496" s="138" t="s">
        <v>487</v>
      </c>
      <c r="B1496" s="138" t="s">
        <v>3809</v>
      </c>
      <c r="C1496" s="138" t="s">
        <v>3983</v>
      </c>
      <c r="D1496" s="138" t="s">
        <v>4012</v>
      </c>
      <c r="E1496" s="138" t="s">
        <v>4005</v>
      </c>
      <c r="F1496" s="138" t="s">
        <v>3847</v>
      </c>
      <c r="G1496" s="138" t="s">
        <v>3864</v>
      </c>
      <c r="H1496" s="81" t="str">
        <f t="shared" si="115"/>
        <v>TCCN-PTE-PFL-PS2-CF4-SMO-PMO</v>
      </c>
      <c r="I1496" s="138" t="str">
        <f>MID(H1496,1,(LEN(H1496)-VLOOKUP(K1496,datos!$B$2:$C$12,2,0)))</f>
        <v>TCCN-PTE-PFL-PS2-CF4-SMO-PMO</v>
      </c>
      <c r="J1496" s="138" t="s">
        <v>6054</v>
      </c>
      <c r="K1496" s="140">
        <f>VLOOKUP(LEN(SUBSTITUTE(H1496,"-","")),datos!$A$1:$B$12,2,0)</f>
        <v>7</v>
      </c>
      <c r="L1496" s="138"/>
      <c r="M1496" s="138" t="s">
        <v>0</v>
      </c>
    </row>
    <row r="1497" spans="1:13" x14ac:dyDescent="0.35">
      <c r="A1497" s="138" t="s">
        <v>487</v>
      </c>
      <c r="B1497" s="138" t="s">
        <v>3809</v>
      </c>
      <c r="C1497" s="138" t="s">
        <v>3983</v>
      </c>
      <c r="D1497" s="138" t="s">
        <v>4012</v>
      </c>
      <c r="E1497" s="138" t="s">
        <v>4005</v>
      </c>
      <c r="F1497" s="138" t="s">
        <v>3847</v>
      </c>
      <c r="G1497" s="138" t="s">
        <v>8116</v>
      </c>
      <c r="H1497" s="81" t="str">
        <f t="shared" si="115"/>
        <v>TCCN-PTE-PFL-PS2-CF4-SMO-PLE</v>
      </c>
      <c r="I1497" s="138" t="str">
        <f>MID(H1497,1,(LEN(H1497)-VLOOKUP(K1497,datos!$B$2:$C$12,2,0)))</f>
        <v>TCCN-PTE-PFL-PS2-CF4-SMO-PLE</v>
      </c>
      <c r="J1497" s="138" t="s">
        <v>6055</v>
      </c>
      <c r="K1497" s="140">
        <f>VLOOKUP(LEN(SUBSTITUTE(H1497,"-","")),datos!$A$1:$B$12,2,0)</f>
        <v>7</v>
      </c>
      <c r="L1497" s="138"/>
      <c r="M1497" s="138" t="s">
        <v>0</v>
      </c>
    </row>
    <row r="1498" spans="1:13" x14ac:dyDescent="0.35">
      <c r="A1498" s="138" t="s">
        <v>487</v>
      </c>
      <c r="B1498" s="138" t="s">
        <v>3809</v>
      </c>
      <c r="C1498" s="138" t="s">
        <v>3983</v>
      </c>
      <c r="D1498" s="138" t="s">
        <v>4012</v>
      </c>
      <c r="E1498" s="138" t="s">
        <v>4005</v>
      </c>
      <c r="F1498" s="138" t="s">
        <v>3847</v>
      </c>
      <c r="G1498" s="138" t="s">
        <v>5688</v>
      </c>
      <c r="H1498" s="81" t="str">
        <f t="shared" si="115"/>
        <v>TCCN-PTE-PFL-PS2-CF4-SMO-PRP</v>
      </c>
      <c r="I1498" s="138" t="str">
        <f>MID(H1498,1,(LEN(H1498)-VLOOKUP(K1498,datos!$B$2:$C$12,2,0)))</f>
        <v>TCCN-PTE-PFL-PS2-CF4-SMO-PRP</v>
      </c>
      <c r="J1498" s="138" t="s">
        <v>6056</v>
      </c>
      <c r="K1498" s="140">
        <f>VLOOKUP(LEN(SUBSTITUTE(H1498,"-","")),datos!$A$1:$B$12,2,0)</f>
        <v>7</v>
      </c>
      <c r="L1498" s="138"/>
      <c r="M1498" s="138" t="s">
        <v>0</v>
      </c>
    </row>
    <row r="1499" spans="1:13" x14ac:dyDescent="0.35">
      <c r="A1499" s="137" t="s">
        <v>487</v>
      </c>
      <c r="B1499" s="137" t="s">
        <v>3809</v>
      </c>
      <c r="C1499" s="137" t="s">
        <v>3983</v>
      </c>
      <c r="D1499" s="137" t="s">
        <v>4012</v>
      </c>
      <c r="E1499" s="137" t="s">
        <v>4005</v>
      </c>
      <c r="F1499" s="137" t="s">
        <v>3831</v>
      </c>
      <c r="G1499" s="137"/>
      <c r="H1499" s="82" t="str">
        <f t="shared" si="115"/>
        <v>TCCN-PTE-PFL-PS2-CF4-INS-</v>
      </c>
      <c r="I1499" s="137" t="str">
        <f>MID(H1499,1,(LEN(H1499)-VLOOKUP(K1499,datos!$B$2:$C$12,2,0)))</f>
        <v>TCCN-PTE-PFL-PS2-CF4-INS</v>
      </c>
      <c r="J1499" s="137" t="s">
        <v>6057</v>
      </c>
      <c r="K1499" s="139">
        <f>VLOOKUP(LEN(SUBSTITUTE(H1499,"-","")),datos!$A$1:$B$12,2,0)</f>
        <v>6</v>
      </c>
      <c r="L1499" s="137"/>
      <c r="M1499" s="137" t="s">
        <v>0</v>
      </c>
    </row>
    <row r="1500" spans="1:13" x14ac:dyDescent="0.35">
      <c r="A1500" s="138" t="s">
        <v>487</v>
      </c>
      <c r="B1500" s="138" t="s">
        <v>3809</v>
      </c>
      <c r="C1500" s="138" t="s">
        <v>3983</v>
      </c>
      <c r="D1500" s="138" t="s">
        <v>4012</v>
      </c>
      <c r="E1500" s="138" t="s">
        <v>4005</v>
      </c>
      <c r="F1500" s="138" t="s">
        <v>3831</v>
      </c>
      <c r="G1500" s="138" t="s">
        <v>4075</v>
      </c>
      <c r="H1500" s="81" t="str">
        <f t="shared" ref="H1500:H1501" si="116">CONCATENATE(A1500,"-",B1500,"-",C1500,"-",D1500,"-",E1500,"-",F1500,"-",G1500)</f>
        <v>TCCN-PTE-PFL-PS2-CF4-INS-VVA</v>
      </c>
      <c r="I1500" s="138" t="str">
        <f>MID(H1500,1,(LEN(H1500)-VLOOKUP(K1500,datos!$B$2:$C$12,2,0)))</f>
        <v>TCCN-PTE-PFL-PS2-CF4-INS-VVA</v>
      </c>
      <c r="J1500" s="138" t="s">
        <v>7819</v>
      </c>
      <c r="K1500" s="140">
        <f>VLOOKUP(LEN(SUBSTITUTE(H1500,"-","")),datos!$A$1:$B$12,2,0)</f>
        <v>7</v>
      </c>
      <c r="L1500" s="138" t="s">
        <v>7821</v>
      </c>
      <c r="M1500" s="138" t="s">
        <v>0</v>
      </c>
    </row>
    <row r="1501" spans="1:13" x14ac:dyDescent="0.35">
      <c r="A1501" s="138" t="s">
        <v>487</v>
      </c>
      <c r="B1501" s="138" t="s">
        <v>3809</v>
      </c>
      <c r="C1501" s="138" t="s">
        <v>3983</v>
      </c>
      <c r="D1501" s="138" t="s">
        <v>4012</v>
      </c>
      <c r="E1501" s="138" t="s">
        <v>4005</v>
      </c>
      <c r="F1501" s="138" t="s">
        <v>3831</v>
      </c>
      <c r="G1501" s="138" t="s">
        <v>4002</v>
      </c>
      <c r="H1501" s="81" t="str">
        <f t="shared" si="116"/>
        <v>TCCN-PTE-PFL-PS2-CF4-INS-FJM</v>
      </c>
      <c r="I1501" s="138" t="str">
        <f>MID(H1501,1,(LEN(H1501)-VLOOKUP(K1501,datos!$B$2:$C$12,2,0)))</f>
        <v>TCCN-PTE-PFL-PS2-CF4-INS-FJM</v>
      </c>
      <c r="J1501" s="138" t="s">
        <v>7820</v>
      </c>
      <c r="K1501" s="140">
        <f>VLOOKUP(LEN(SUBSTITUTE(H1501,"-","")),datos!$A$1:$B$12,2,0)</f>
        <v>7</v>
      </c>
      <c r="L1501" s="138" t="s">
        <v>7822</v>
      </c>
      <c r="M1501" s="138" t="s">
        <v>0</v>
      </c>
    </row>
    <row r="1502" spans="1:13" x14ac:dyDescent="0.35">
      <c r="A1502" s="137" t="s">
        <v>487</v>
      </c>
      <c r="B1502" s="137" t="s">
        <v>3809</v>
      </c>
      <c r="C1502" s="137" t="s">
        <v>3983</v>
      </c>
      <c r="D1502" s="137" t="s">
        <v>4012</v>
      </c>
      <c r="E1502" s="137" t="s">
        <v>4005</v>
      </c>
      <c r="F1502" s="137" t="s">
        <v>3869</v>
      </c>
      <c r="G1502" s="137"/>
      <c r="H1502" s="82" t="str">
        <f t="shared" si="115"/>
        <v>TCCN-PTE-PFL-PS2-CF4-SCE-</v>
      </c>
      <c r="I1502" s="137" t="str">
        <f>MID(H1502,1,(LEN(H1502)-VLOOKUP(K1502,datos!$B$2:$C$12,2,0)))</f>
        <v>TCCN-PTE-PFL-PS2-CF4-SCE</v>
      </c>
      <c r="J1502" s="137" t="s">
        <v>6058</v>
      </c>
      <c r="K1502" s="139">
        <f>VLOOKUP(LEN(SUBSTITUTE(H1502,"-","")),datos!$A$1:$B$12,2,0)</f>
        <v>6</v>
      </c>
      <c r="L1502" s="137"/>
      <c r="M1502" s="137" t="s">
        <v>0</v>
      </c>
    </row>
    <row r="1503" spans="1:13" x14ac:dyDescent="0.35">
      <c r="A1503" s="138" t="s">
        <v>487</v>
      </c>
      <c r="B1503" s="138" t="s">
        <v>3809</v>
      </c>
      <c r="C1503" s="138" t="s">
        <v>3983</v>
      </c>
      <c r="D1503" s="138" t="s">
        <v>4012</v>
      </c>
      <c r="E1503" s="138" t="s">
        <v>4005</v>
      </c>
      <c r="F1503" s="138" t="s">
        <v>3869</v>
      </c>
      <c r="G1503" s="138" t="s">
        <v>3870</v>
      </c>
      <c r="H1503" s="81" t="str">
        <f t="shared" si="115"/>
        <v>TCCN-PTE-PFL-PS2-CF4-SCE-BTN</v>
      </c>
      <c r="I1503" s="138" t="str">
        <f>MID(H1503,1,(LEN(H1503)-VLOOKUP(K1503,datos!$B$2:$C$12,2,0)))</f>
        <v>TCCN-PTE-PFL-PS2-CF4-SCE-BTN</v>
      </c>
      <c r="J1503" s="138" t="s">
        <v>6059</v>
      </c>
      <c r="K1503" s="140">
        <f>VLOOKUP(LEN(SUBSTITUTE(H1503,"-","")),datos!$A$1:$B$12,2,0)</f>
        <v>7</v>
      </c>
      <c r="L1503" s="138"/>
      <c r="M1503" s="138" t="s">
        <v>0</v>
      </c>
    </row>
    <row r="1504" spans="1:13" customFormat="1" ht="14.5" x14ac:dyDescent="0.35">
      <c r="A1504" s="129" t="s">
        <v>487</v>
      </c>
      <c r="B1504" s="129" t="s">
        <v>3809</v>
      </c>
      <c r="C1504" s="129" t="s">
        <v>3983</v>
      </c>
      <c r="D1504" s="129" t="s">
        <v>4012</v>
      </c>
      <c r="E1504" s="129" t="s">
        <v>4006</v>
      </c>
      <c r="F1504" s="129"/>
      <c r="G1504" s="129"/>
      <c r="H1504" s="83" t="str">
        <f t="shared" ref="H1504:H1565" si="117">CONCATENATE(A1504,"-",B1504,"-",C1504,"-",D1504,"-",E1504,"-",F1504,"-",G1504)</f>
        <v>TCCN-PTE-PFL-PS2-CF5--</v>
      </c>
      <c r="I1504" s="129" t="str">
        <f>MID(H1504,1,(LEN(H1504)-VLOOKUP(K1504,datos!$B$2:$C$12,2,0)))</f>
        <v>TCCN-PTE-PFL-PS2-CF5</v>
      </c>
      <c r="J1504" s="129" t="s">
        <v>462</v>
      </c>
      <c r="K1504" s="130">
        <f>VLOOKUP(LEN(SUBSTITUTE(H1504,"-","")),datos!$A$1:$B$12,2,0)</f>
        <v>5</v>
      </c>
      <c r="L1504" s="129" t="s">
        <v>215</v>
      </c>
      <c r="M1504" s="129" t="s">
        <v>0</v>
      </c>
    </row>
    <row r="1505" spans="1:13" x14ac:dyDescent="0.35">
      <c r="A1505" s="137" t="s">
        <v>487</v>
      </c>
      <c r="B1505" s="137" t="s">
        <v>3809</v>
      </c>
      <c r="C1505" s="137" t="s">
        <v>3983</v>
      </c>
      <c r="D1505" s="137" t="s">
        <v>4012</v>
      </c>
      <c r="E1505" s="137" t="s">
        <v>4006</v>
      </c>
      <c r="F1505" s="137" t="s">
        <v>3948</v>
      </c>
      <c r="G1505" s="137"/>
      <c r="H1505" s="82" t="str">
        <f t="shared" si="117"/>
        <v>TCCN-PTE-PFL-PS2-CF5-SCP-</v>
      </c>
      <c r="I1505" s="137" t="str">
        <f>MID(H1505,1,(LEN(H1505)-VLOOKUP(K1505,datos!$B$2:$C$12,2,0)))</f>
        <v>TCCN-PTE-PFL-PS2-CF5-SCP</v>
      </c>
      <c r="J1505" s="137" t="s">
        <v>6024</v>
      </c>
      <c r="K1505" s="139">
        <f>VLOOKUP(LEN(SUBSTITUTE(H1505,"-","")),datos!$A$1:$B$12,2,0)</f>
        <v>6</v>
      </c>
      <c r="L1505" s="137"/>
      <c r="M1505" s="137" t="s">
        <v>0</v>
      </c>
    </row>
    <row r="1506" spans="1:13" x14ac:dyDescent="0.35">
      <c r="A1506" s="138" t="s">
        <v>487</v>
      </c>
      <c r="B1506" s="138" t="s">
        <v>3809</v>
      </c>
      <c r="C1506" s="138" t="s">
        <v>3983</v>
      </c>
      <c r="D1506" s="138" t="s">
        <v>4012</v>
      </c>
      <c r="E1506" s="138" t="s">
        <v>4006</v>
      </c>
      <c r="F1506" s="138" t="s">
        <v>3948</v>
      </c>
      <c r="G1506" s="138" t="s">
        <v>3993</v>
      </c>
      <c r="H1506" s="81" t="str">
        <f t="shared" si="117"/>
        <v>TCCN-PTE-PFL-PS2-CF5-SCP-POR</v>
      </c>
      <c r="I1506" s="138" t="str">
        <f>MID(H1506,1,(LEN(H1506)-VLOOKUP(K1506,datos!$B$2:$C$12,2,0)))</f>
        <v>TCCN-PTE-PFL-PS2-CF5-SCP-POR</v>
      </c>
      <c r="J1506" s="138" t="s">
        <v>6025</v>
      </c>
      <c r="K1506" s="140">
        <f>VLOOKUP(LEN(SUBSTITUTE(H1506,"-","")),datos!$A$1:$B$12,2,0)</f>
        <v>7</v>
      </c>
      <c r="L1506" s="138"/>
      <c r="M1506" s="138" t="s">
        <v>0</v>
      </c>
    </row>
    <row r="1507" spans="1:13" x14ac:dyDescent="0.35">
      <c r="A1507" s="138" t="s">
        <v>487</v>
      </c>
      <c r="B1507" s="138" t="s">
        <v>3809</v>
      </c>
      <c r="C1507" s="138" t="s">
        <v>3983</v>
      </c>
      <c r="D1507" s="138" t="s">
        <v>4012</v>
      </c>
      <c r="E1507" s="138" t="s">
        <v>4006</v>
      </c>
      <c r="F1507" s="138" t="s">
        <v>3948</v>
      </c>
      <c r="G1507" s="138" t="s">
        <v>3994</v>
      </c>
      <c r="H1507" s="81" t="str">
        <f t="shared" si="117"/>
        <v>TCCN-PTE-PFL-PS2-CF5-SCP-RTO</v>
      </c>
      <c r="I1507" s="138" t="str">
        <f>MID(H1507,1,(LEN(H1507)-VLOOKUP(K1507,datos!$B$2:$C$12,2,0)))</f>
        <v>TCCN-PTE-PFL-PS2-CF5-SCP-RTO</v>
      </c>
      <c r="J1507" s="138" t="s">
        <v>6026</v>
      </c>
      <c r="K1507" s="140">
        <f>VLOOKUP(LEN(SUBSTITUTE(H1507,"-","")),datos!$A$1:$B$12,2,0)</f>
        <v>7</v>
      </c>
      <c r="L1507" s="138"/>
      <c r="M1507" s="138" t="s">
        <v>0</v>
      </c>
    </row>
    <row r="1508" spans="1:13" x14ac:dyDescent="0.35">
      <c r="A1508" s="138" t="s">
        <v>487</v>
      </c>
      <c r="B1508" s="138" t="s">
        <v>3809</v>
      </c>
      <c r="C1508" s="138" t="s">
        <v>3983</v>
      </c>
      <c r="D1508" s="138" t="s">
        <v>4012</v>
      </c>
      <c r="E1508" s="138" t="s">
        <v>4006</v>
      </c>
      <c r="F1508" s="138" t="s">
        <v>3948</v>
      </c>
      <c r="G1508" s="138" t="s">
        <v>3995</v>
      </c>
      <c r="H1508" s="81" t="str">
        <f t="shared" si="117"/>
        <v>TCCN-PTE-PFL-PS2-CF5-SCP-ETT</v>
      </c>
      <c r="I1508" s="138" t="str">
        <f>MID(H1508,1,(LEN(H1508)-VLOOKUP(K1508,datos!$B$2:$C$12,2,0)))</f>
        <v>TCCN-PTE-PFL-PS2-CF5-SCP-ETT</v>
      </c>
      <c r="J1508" s="138" t="s">
        <v>6027</v>
      </c>
      <c r="K1508" s="140">
        <f>VLOOKUP(LEN(SUBSTITUTE(H1508,"-","")),datos!$A$1:$B$12,2,0)</f>
        <v>7</v>
      </c>
      <c r="L1508" s="138"/>
      <c r="M1508" s="138" t="s">
        <v>0</v>
      </c>
    </row>
    <row r="1509" spans="1:13" x14ac:dyDescent="0.35">
      <c r="A1509" s="138" t="s">
        <v>487</v>
      </c>
      <c r="B1509" s="138" t="s">
        <v>3809</v>
      </c>
      <c r="C1509" s="138" t="s">
        <v>3983</v>
      </c>
      <c r="D1509" s="138" t="s">
        <v>4012</v>
      </c>
      <c r="E1509" s="138" t="s">
        <v>4006</v>
      </c>
      <c r="F1509" s="138" t="s">
        <v>3948</v>
      </c>
      <c r="G1509" s="138" t="s">
        <v>3996</v>
      </c>
      <c r="H1509" s="81" t="str">
        <f t="shared" si="117"/>
        <v>TCCN-PTE-PFL-PS2-CF5-SCP-DDT</v>
      </c>
      <c r="I1509" s="138" t="str">
        <f>MID(H1509,1,(LEN(H1509)-VLOOKUP(K1509,datos!$B$2:$C$12,2,0)))</f>
        <v>TCCN-PTE-PFL-PS2-CF5-SCP-DDT</v>
      </c>
      <c r="J1509" s="138" t="s">
        <v>6028</v>
      </c>
      <c r="K1509" s="140">
        <f>VLOOKUP(LEN(SUBSTITUTE(H1509,"-","")),datos!$A$1:$B$12,2,0)</f>
        <v>7</v>
      </c>
      <c r="L1509" s="138"/>
      <c r="M1509" s="138" t="s">
        <v>0</v>
      </c>
    </row>
    <row r="1510" spans="1:13" x14ac:dyDescent="0.35">
      <c r="A1510" s="138" t="s">
        <v>487</v>
      </c>
      <c r="B1510" s="138" t="s">
        <v>3809</v>
      </c>
      <c r="C1510" s="138" t="s">
        <v>3983</v>
      </c>
      <c r="D1510" s="138" t="s">
        <v>4012</v>
      </c>
      <c r="E1510" s="138" t="s">
        <v>4006</v>
      </c>
      <c r="F1510" s="138" t="s">
        <v>3948</v>
      </c>
      <c r="G1510" s="138" t="s">
        <v>3997</v>
      </c>
      <c r="H1510" s="81" t="str">
        <f t="shared" si="117"/>
        <v>TCCN-PTE-PFL-PS2-CF5-SCP-EJE</v>
      </c>
      <c r="I1510" s="138" t="str">
        <f>MID(H1510,1,(LEN(H1510)-VLOOKUP(K1510,datos!$B$2:$C$12,2,0)))</f>
        <v>TCCN-PTE-PFL-PS2-CF5-SCP-EJE</v>
      </c>
      <c r="J1510" s="138" t="s">
        <v>6029</v>
      </c>
      <c r="K1510" s="140">
        <f>VLOOKUP(LEN(SUBSTITUTE(H1510,"-","")),datos!$A$1:$B$12,2,0)</f>
        <v>7</v>
      </c>
      <c r="L1510" s="138"/>
      <c r="M1510" s="138" t="s">
        <v>0</v>
      </c>
    </row>
    <row r="1511" spans="1:13" x14ac:dyDescent="0.35">
      <c r="A1511" s="137" t="s">
        <v>487</v>
      </c>
      <c r="B1511" s="137" t="s">
        <v>3809</v>
      </c>
      <c r="C1511" s="137" t="s">
        <v>3983</v>
      </c>
      <c r="D1511" s="137" t="s">
        <v>4012</v>
      </c>
      <c r="E1511" s="137" t="s">
        <v>4006</v>
      </c>
      <c r="F1511" s="137" t="s">
        <v>3824</v>
      </c>
      <c r="G1511" s="137"/>
      <c r="H1511" s="82" t="str">
        <f t="shared" si="117"/>
        <v>TCCN-PTE-PFL-PS2-CF5-SES-</v>
      </c>
      <c r="I1511" s="137" t="str">
        <f>MID(H1511,1,(LEN(H1511)-VLOOKUP(K1511,datos!$B$2:$C$12,2,0)))</f>
        <v>TCCN-PTE-PFL-PS2-CF5-SES</v>
      </c>
      <c r="J1511" s="137" t="s">
        <v>6030</v>
      </c>
      <c r="K1511" s="139">
        <f>VLOOKUP(LEN(SUBSTITUTE(H1511,"-","")),datos!$A$1:$B$12,2,0)</f>
        <v>6</v>
      </c>
      <c r="L1511" s="137"/>
      <c r="M1511" s="137" t="s">
        <v>0</v>
      </c>
    </row>
    <row r="1512" spans="1:13" x14ac:dyDescent="0.35">
      <c r="A1512" s="138" t="s">
        <v>487</v>
      </c>
      <c r="B1512" s="138" t="s">
        <v>3809</v>
      </c>
      <c r="C1512" s="138" t="s">
        <v>3983</v>
      </c>
      <c r="D1512" s="138" t="s">
        <v>4012</v>
      </c>
      <c r="E1512" s="138" t="s">
        <v>4006</v>
      </c>
      <c r="F1512" s="138" t="s">
        <v>3824</v>
      </c>
      <c r="G1512" s="138" t="s">
        <v>3998</v>
      </c>
      <c r="H1512" s="81" t="str">
        <f t="shared" si="117"/>
        <v>TCCN-PTE-PFL-PS2-CF5-SES-BYG</v>
      </c>
      <c r="I1512" s="138" t="str">
        <f>MID(H1512,1,(LEN(H1512)-VLOOKUP(K1512,datos!$B$2:$C$12,2,0)))</f>
        <v>TCCN-PTE-PFL-PS2-CF5-SES-BYG</v>
      </c>
      <c r="J1512" s="138" t="s">
        <v>8030</v>
      </c>
      <c r="K1512" s="140">
        <f>VLOOKUP(LEN(SUBSTITUTE(H1512,"-","")),datos!$A$1:$B$12,2,0)</f>
        <v>7</v>
      </c>
      <c r="L1512" s="138"/>
      <c r="M1512" s="138" t="s">
        <v>0</v>
      </c>
    </row>
    <row r="1513" spans="1:13" x14ac:dyDescent="0.35">
      <c r="A1513" s="138" t="s">
        <v>487</v>
      </c>
      <c r="B1513" s="138" t="s">
        <v>3809</v>
      </c>
      <c r="C1513" s="138" t="s">
        <v>3983</v>
      </c>
      <c r="D1513" s="138" t="s">
        <v>4012</v>
      </c>
      <c r="E1513" s="138" t="s">
        <v>4006</v>
      </c>
      <c r="F1513" s="138" t="s">
        <v>3824</v>
      </c>
      <c r="G1513" s="138" t="s">
        <v>3999</v>
      </c>
      <c r="H1513" s="81" t="str">
        <f t="shared" si="117"/>
        <v>TCCN-PTE-PFL-PS2-CF5-SES-RDP</v>
      </c>
      <c r="I1513" s="138" t="str">
        <f>MID(H1513,1,(LEN(H1513)-VLOOKUP(K1513,datos!$B$2:$C$12,2,0)))</f>
        <v>TCCN-PTE-PFL-PS2-CF5-SES-RDP</v>
      </c>
      <c r="J1513" s="138" t="s">
        <v>6031</v>
      </c>
      <c r="K1513" s="140">
        <f>VLOOKUP(LEN(SUBSTITUTE(H1513,"-","")),datos!$A$1:$B$12,2,0)</f>
        <v>7</v>
      </c>
      <c r="L1513" s="138"/>
      <c r="M1513" s="138" t="s">
        <v>0</v>
      </c>
    </row>
    <row r="1514" spans="1:13" x14ac:dyDescent="0.35">
      <c r="A1514" s="138" t="s">
        <v>487</v>
      </c>
      <c r="B1514" s="138" t="s">
        <v>3809</v>
      </c>
      <c r="C1514" s="138" t="s">
        <v>3983</v>
      </c>
      <c r="D1514" s="138" t="s">
        <v>4012</v>
      </c>
      <c r="E1514" s="138" t="s">
        <v>4006</v>
      </c>
      <c r="F1514" s="138" t="s">
        <v>3824</v>
      </c>
      <c r="G1514" s="138" t="s">
        <v>3853</v>
      </c>
      <c r="H1514" s="81" t="str">
        <f t="shared" si="117"/>
        <v>TCCN-PTE-PFL-PS2-CF5-SES-EST</v>
      </c>
      <c r="I1514" s="138" t="str">
        <f>MID(H1514,1,(LEN(H1514)-VLOOKUP(K1514,datos!$B$2:$C$12,2,0)))</f>
        <v>TCCN-PTE-PFL-PS2-CF5-SES-EST</v>
      </c>
      <c r="J1514" s="138" t="s">
        <v>6032</v>
      </c>
      <c r="K1514" s="140">
        <f>VLOOKUP(LEN(SUBSTITUTE(H1514,"-","")),datos!$A$1:$B$12,2,0)</f>
        <v>7</v>
      </c>
      <c r="L1514" s="138"/>
      <c r="M1514" s="138" t="s">
        <v>0</v>
      </c>
    </row>
    <row r="1515" spans="1:13" x14ac:dyDescent="0.35">
      <c r="A1515" s="138" t="s">
        <v>487</v>
      </c>
      <c r="B1515" s="138" t="s">
        <v>3809</v>
      </c>
      <c r="C1515" s="138" t="s">
        <v>3983</v>
      </c>
      <c r="D1515" s="138" t="s">
        <v>4012</v>
      </c>
      <c r="E1515" s="138" t="s">
        <v>4006</v>
      </c>
      <c r="F1515" s="138" t="s">
        <v>3824</v>
      </c>
      <c r="G1515" s="138" t="s">
        <v>4000</v>
      </c>
      <c r="H1515" s="81" t="str">
        <f t="shared" si="117"/>
        <v>TCCN-PTE-PFL-PS2-CF5-SES-CRW</v>
      </c>
      <c r="I1515" s="138" t="str">
        <f>MID(H1515,1,(LEN(H1515)-VLOOKUP(K1515,datos!$B$2:$C$12,2,0)))</f>
        <v>TCCN-PTE-PFL-PS2-CF5-SES-CRW</v>
      </c>
      <c r="J1515" s="138" t="s">
        <v>6033</v>
      </c>
      <c r="K1515" s="140">
        <f>VLOOKUP(LEN(SUBSTITUTE(H1515,"-","")),datos!$A$1:$B$12,2,0)</f>
        <v>7</v>
      </c>
      <c r="L1515" s="138"/>
      <c r="M1515" s="138" t="s">
        <v>0</v>
      </c>
    </row>
    <row r="1516" spans="1:13" x14ac:dyDescent="0.35">
      <c r="A1516" s="137" t="s">
        <v>487</v>
      </c>
      <c r="B1516" s="137" t="s">
        <v>3809</v>
      </c>
      <c r="C1516" s="137" t="s">
        <v>3983</v>
      </c>
      <c r="D1516" s="137" t="s">
        <v>4012</v>
      </c>
      <c r="E1516" s="137" t="s">
        <v>4006</v>
      </c>
      <c r="F1516" s="137" t="s">
        <v>3847</v>
      </c>
      <c r="G1516" s="137"/>
      <c r="H1516" s="82" t="str">
        <f t="shared" si="117"/>
        <v>TCCN-PTE-PFL-PS2-CF5-SMO-</v>
      </c>
      <c r="I1516" s="137" t="str">
        <f>MID(H1516,1,(LEN(H1516)-VLOOKUP(K1516,datos!$B$2:$C$12,2,0)))</f>
        <v>TCCN-PTE-PFL-PS2-CF5-SMO</v>
      </c>
      <c r="J1516" s="137" t="s">
        <v>6034</v>
      </c>
      <c r="K1516" s="139">
        <f>VLOOKUP(LEN(SUBSTITUTE(H1516,"-","")),datos!$A$1:$B$12,2,0)</f>
        <v>6</v>
      </c>
      <c r="L1516" s="137"/>
      <c r="M1516" s="137" t="s">
        <v>0</v>
      </c>
    </row>
    <row r="1517" spans="1:13" x14ac:dyDescent="0.35">
      <c r="A1517" s="138" t="s">
        <v>487</v>
      </c>
      <c r="B1517" s="138" t="s">
        <v>3809</v>
      </c>
      <c r="C1517" s="138" t="s">
        <v>3983</v>
      </c>
      <c r="D1517" s="138" t="s">
        <v>4012</v>
      </c>
      <c r="E1517" s="138" t="s">
        <v>4006</v>
      </c>
      <c r="F1517" s="138" t="s">
        <v>3847</v>
      </c>
      <c r="G1517" s="138" t="s">
        <v>3819</v>
      </c>
      <c r="H1517" s="81" t="str">
        <f t="shared" si="117"/>
        <v>TCCN-PTE-PFL-PS2-CF5-SMO-MOE</v>
      </c>
      <c r="I1517" s="138" t="str">
        <f>MID(H1517,1,(LEN(H1517)-VLOOKUP(K1517,datos!$B$2:$C$12,2,0)))</f>
        <v>TCCN-PTE-PFL-PS2-CF5-SMO-MOE</v>
      </c>
      <c r="J1517" s="138" t="s">
        <v>6035</v>
      </c>
      <c r="K1517" s="140">
        <f>VLOOKUP(LEN(SUBSTITUTE(H1517,"-","")),datos!$A$1:$B$12,2,0)</f>
        <v>7</v>
      </c>
      <c r="L1517" s="138" t="s">
        <v>216</v>
      </c>
      <c r="M1517" s="138" t="s">
        <v>0</v>
      </c>
    </row>
    <row r="1518" spans="1:13" x14ac:dyDescent="0.35">
      <c r="A1518" s="138" t="s">
        <v>487</v>
      </c>
      <c r="B1518" s="138" t="s">
        <v>3809</v>
      </c>
      <c r="C1518" s="138" t="s">
        <v>3983</v>
      </c>
      <c r="D1518" s="138" t="s">
        <v>4012</v>
      </c>
      <c r="E1518" s="138" t="s">
        <v>4006</v>
      </c>
      <c r="F1518" s="138" t="s">
        <v>3847</v>
      </c>
      <c r="G1518" s="138" t="s">
        <v>3864</v>
      </c>
      <c r="H1518" s="81" t="str">
        <f t="shared" si="117"/>
        <v>TCCN-PTE-PFL-PS2-CF5-SMO-PMO</v>
      </c>
      <c r="I1518" s="138" t="str">
        <f>MID(H1518,1,(LEN(H1518)-VLOOKUP(K1518,datos!$B$2:$C$12,2,0)))</f>
        <v>TCCN-PTE-PFL-PS2-CF5-SMO-PMO</v>
      </c>
      <c r="J1518" s="138" t="s">
        <v>6036</v>
      </c>
      <c r="K1518" s="140">
        <f>VLOOKUP(LEN(SUBSTITUTE(H1518,"-","")),datos!$A$1:$B$12,2,0)</f>
        <v>7</v>
      </c>
      <c r="L1518" s="138"/>
      <c r="M1518" s="138" t="s">
        <v>0</v>
      </c>
    </row>
    <row r="1519" spans="1:13" x14ac:dyDescent="0.35">
      <c r="A1519" s="138" t="s">
        <v>487</v>
      </c>
      <c r="B1519" s="138" t="s">
        <v>3809</v>
      </c>
      <c r="C1519" s="138" t="s">
        <v>3983</v>
      </c>
      <c r="D1519" s="138" t="s">
        <v>4012</v>
      </c>
      <c r="E1519" s="138" t="s">
        <v>4006</v>
      </c>
      <c r="F1519" s="138" t="s">
        <v>3847</v>
      </c>
      <c r="G1519" s="138" t="s">
        <v>8116</v>
      </c>
      <c r="H1519" s="81" t="str">
        <f t="shared" si="117"/>
        <v>TCCN-PTE-PFL-PS2-CF5-SMO-PLE</v>
      </c>
      <c r="I1519" s="138" t="str">
        <f>MID(H1519,1,(LEN(H1519)-VLOOKUP(K1519,datos!$B$2:$C$12,2,0)))</f>
        <v>TCCN-PTE-PFL-PS2-CF5-SMO-PLE</v>
      </c>
      <c r="J1519" s="138" t="s">
        <v>6037</v>
      </c>
      <c r="K1519" s="140">
        <f>VLOOKUP(LEN(SUBSTITUTE(H1519,"-","")),datos!$A$1:$B$12,2,0)</f>
        <v>7</v>
      </c>
      <c r="L1519" s="138"/>
      <c r="M1519" s="138" t="s">
        <v>0</v>
      </c>
    </row>
    <row r="1520" spans="1:13" x14ac:dyDescent="0.35">
      <c r="A1520" s="138" t="s">
        <v>487</v>
      </c>
      <c r="B1520" s="138" t="s">
        <v>3809</v>
      </c>
      <c r="C1520" s="138" t="s">
        <v>3983</v>
      </c>
      <c r="D1520" s="138" t="s">
        <v>4012</v>
      </c>
      <c r="E1520" s="138" t="s">
        <v>4006</v>
      </c>
      <c r="F1520" s="138" t="s">
        <v>3847</v>
      </c>
      <c r="G1520" s="138" t="s">
        <v>5688</v>
      </c>
      <c r="H1520" s="81" t="str">
        <f t="shared" si="117"/>
        <v>TCCN-PTE-PFL-PS2-CF5-SMO-PRP</v>
      </c>
      <c r="I1520" s="138" t="str">
        <f>MID(H1520,1,(LEN(H1520)-VLOOKUP(K1520,datos!$B$2:$C$12,2,0)))</f>
        <v>TCCN-PTE-PFL-PS2-CF5-SMO-PRP</v>
      </c>
      <c r="J1520" s="138" t="s">
        <v>6038</v>
      </c>
      <c r="K1520" s="140">
        <f>VLOOKUP(LEN(SUBSTITUTE(H1520,"-","")),datos!$A$1:$B$12,2,0)</f>
        <v>7</v>
      </c>
      <c r="L1520" s="138"/>
      <c r="M1520" s="138" t="s">
        <v>0</v>
      </c>
    </row>
    <row r="1521" spans="1:13" x14ac:dyDescent="0.35">
      <c r="A1521" s="137" t="s">
        <v>487</v>
      </c>
      <c r="B1521" s="137" t="s">
        <v>3809</v>
      </c>
      <c r="C1521" s="137" t="s">
        <v>3983</v>
      </c>
      <c r="D1521" s="137" t="s">
        <v>4012</v>
      </c>
      <c r="E1521" s="137" t="s">
        <v>4006</v>
      </c>
      <c r="F1521" s="137" t="s">
        <v>3831</v>
      </c>
      <c r="G1521" s="137"/>
      <c r="H1521" s="82" t="str">
        <f t="shared" si="117"/>
        <v>TCCN-PTE-PFL-PS2-CF5-INS-</v>
      </c>
      <c r="I1521" s="137" t="str">
        <f>MID(H1521,1,(LEN(H1521)-VLOOKUP(K1521,datos!$B$2:$C$12,2,0)))</f>
        <v>TCCN-PTE-PFL-PS2-CF5-INS</v>
      </c>
      <c r="J1521" s="137" t="s">
        <v>6039</v>
      </c>
      <c r="K1521" s="139">
        <f>VLOOKUP(LEN(SUBSTITUTE(H1521,"-","")),datos!$A$1:$B$12,2,0)</f>
        <v>6</v>
      </c>
      <c r="L1521" s="137"/>
      <c r="M1521" s="137" t="s">
        <v>0</v>
      </c>
    </row>
    <row r="1522" spans="1:13" x14ac:dyDescent="0.35">
      <c r="A1522" s="138" t="s">
        <v>487</v>
      </c>
      <c r="B1522" s="138" t="s">
        <v>3809</v>
      </c>
      <c r="C1522" s="138" t="s">
        <v>3983</v>
      </c>
      <c r="D1522" s="138" t="s">
        <v>4012</v>
      </c>
      <c r="E1522" s="138" t="s">
        <v>4006</v>
      </c>
      <c r="F1522" s="138" t="s">
        <v>3831</v>
      </c>
      <c r="G1522" s="138" t="s">
        <v>4075</v>
      </c>
      <c r="H1522" s="81" t="str">
        <f t="shared" si="117"/>
        <v>TCCN-PTE-PFL-PS2-CF5-INS-VVA</v>
      </c>
      <c r="I1522" s="138" t="str">
        <f>MID(H1522,1,(LEN(H1522)-VLOOKUP(K1522,datos!$B$2:$C$12,2,0)))</f>
        <v>TCCN-PTE-PFL-PS2-CF5-INS-VVA</v>
      </c>
      <c r="J1522" s="138" t="s">
        <v>7823</v>
      </c>
      <c r="K1522" s="140">
        <f>VLOOKUP(LEN(SUBSTITUTE(H1522,"-","")),datos!$A$1:$B$12,2,0)</f>
        <v>7</v>
      </c>
      <c r="L1522" s="138" t="s">
        <v>7825</v>
      </c>
      <c r="M1522" s="138" t="s">
        <v>0</v>
      </c>
    </row>
    <row r="1523" spans="1:13" x14ac:dyDescent="0.35">
      <c r="A1523" s="138" t="s">
        <v>487</v>
      </c>
      <c r="B1523" s="138" t="s">
        <v>3809</v>
      </c>
      <c r="C1523" s="138" t="s">
        <v>3983</v>
      </c>
      <c r="D1523" s="138" t="s">
        <v>4012</v>
      </c>
      <c r="E1523" s="138" t="s">
        <v>4006</v>
      </c>
      <c r="F1523" s="138" t="s">
        <v>3831</v>
      </c>
      <c r="G1523" s="138" t="s">
        <v>5256</v>
      </c>
      <c r="H1523" s="81" t="str">
        <f t="shared" si="117"/>
        <v>TCCN-PTE-PFL-PS2-CF5-INS-MNV</v>
      </c>
      <c r="I1523" s="138" t="str">
        <f>MID(H1523,1,(LEN(H1523)-VLOOKUP(K1523,datos!$B$2:$C$12,2,0)))</f>
        <v>TCCN-PTE-PFL-PS2-CF5-INS-MNV</v>
      </c>
      <c r="J1523" s="138" t="s">
        <v>7721</v>
      </c>
      <c r="K1523" s="140">
        <f>VLOOKUP(LEN(SUBSTITUTE(H1523,"-","")),datos!$A$1:$B$12,2,0)</f>
        <v>7</v>
      </c>
      <c r="L1523" s="138" t="s">
        <v>7826</v>
      </c>
      <c r="M1523" s="138" t="s">
        <v>0</v>
      </c>
    </row>
    <row r="1524" spans="1:13" x14ac:dyDescent="0.35">
      <c r="A1524" s="138" t="s">
        <v>487</v>
      </c>
      <c r="B1524" s="138" t="s">
        <v>3809</v>
      </c>
      <c r="C1524" s="138" t="s">
        <v>3983</v>
      </c>
      <c r="D1524" s="138" t="s">
        <v>4012</v>
      </c>
      <c r="E1524" s="138" t="s">
        <v>4006</v>
      </c>
      <c r="F1524" s="138" t="s">
        <v>3831</v>
      </c>
      <c r="G1524" s="138" t="s">
        <v>4002</v>
      </c>
      <c r="H1524" s="81" t="str">
        <f t="shared" si="117"/>
        <v>TCCN-PTE-PFL-PS2-CF5-INS-FJM</v>
      </c>
      <c r="I1524" s="138" t="str">
        <f>MID(H1524,1,(LEN(H1524)-VLOOKUP(K1524,datos!$B$2:$C$12,2,0)))</f>
        <v>TCCN-PTE-PFL-PS2-CF5-INS-FJM</v>
      </c>
      <c r="J1524" s="138" t="s">
        <v>7824</v>
      </c>
      <c r="K1524" s="140">
        <f>VLOOKUP(LEN(SUBSTITUTE(H1524,"-","")),datos!$A$1:$B$12,2,0)</f>
        <v>7</v>
      </c>
      <c r="L1524" s="138" t="s">
        <v>7827</v>
      </c>
      <c r="M1524" s="138" t="s">
        <v>0</v>
      </c>
    </row>
    <row r="1525" spans="1:13" x14ac:dyDescent="0.35">
      <c r="A1525" s="137" t="s">
        <v>487</v>
      </c>
      <c r="B1525" s="137" t="s">
        <v>3809</v>
      </c>
      <c r="C1525" s="137" t="s">
        <v>3983</v>
      </c>
      <c r="D1525" s="137" t="s">
        <v>4012</v>
      </c>
      <c r="E1525" s="137" t="s">
        <v>4006</v>
      </c>
      <c r="F1525" s="137" t="s">
        <v>3869</v>
      </c>
      <c r="G1525" s="137"/>
      <c r="H1525" s="82" t="str">
        <f t="shared" si="117"/>
        <v>TCCN-PTE-PFL-PS2-CF5-SCE-</v>
      </c>
      <c r="I1525" s="137" t="str">
        <f>MID(H1525,1,(LEN(H1525)-VLOOKUP(K1525,datos!$B$2:$C$12,2,0)))</f>
        <v>TCCN-PTE-PFL-PS2-CF5-SCE</v>
      </c>
      <c r="J1525" s="137" t="s">
        <v>6040</v>
      </c>
      <c r="K1525" s="139">
        <f>VLOOKUP(LEN(SUBSTITUTE(H1525,"-","")),datos!$A$1:$B$12,2,0)</f>
        <v>6</v>
      </c>
      <c r="L1525" s="137"/>
      <c r="M1525" s="137" t="s">
        <v>0</v>
      </c>
    </row>
    <row r="1526" spans="1:13" x14ac:dyDescent="0.35">
      <c r="A1526" s="138" t="s">
        <v>487</v>
      </c>
      <c r="B1526" s="138" t="s">
        <v>3809</v>
      </c>
      <c r="C1526" s="138" t="s">
        <v>3983</v>
      </c>
      <c r="D1526" s="138" t="s">
        <v>4012</v>
      </c>
      <c r="E1526" s="138" t="s">
        <v>4006</v>
      </c>
      <c r="F1526" s="138" t="s">
        <v>3869</v>
      </c>
      <c r="G1526" s="138" t="s">
        <v>3870</v>
      </c>
      <c r="H1526" s="81" t="str">
        <f t="shared" si="117"/>
        <v>TCCN-PTE-PFL-PS2-CF5-SCE-BTN</v>
      </c>
      <c r="I1526" s="138" t="str">
        <f>MID(H1526,1,(LEN(H1526)-VLOOKUP(K1526,datos!$B$2:$C$12,2,0)))</f>
        <v>TCCN-PTE-PFL-PS2-CF5-SCE-BTN</v>
      </c>
      <c r="J1526" s="138" t="s">
        <v>6041</v>
      </c>
      <c r="K1526" s="140">
        <f>VLOOKUP(LEN(SUBSTITUTE(H1526,"-","")),datos!$A$1:$B$12,2,0)</f>
        <v>7</v>
      </c>
      <c r="L1526" s="138"/>
      <c r="M1526" s="138" t="s">
        <v>0</v>
      </c>
    </row>
    <row r="1527" spans="1:13" customFormat="1" ht="14.5" x14ac:dyDescent="0.35">
      <c r="A1527" s="129" t="s">
        <v>487</v>
      </c>
      <c r="B1527" s="129" t="s">
        <v>3809</v>
      </c>
      <c r="C1527" s="129" t="s">
        <v>3983</v>
      </c>
      <c r="D1527" s="129" t="s">
        <v>4012</v>
      </c>
      <c r="E1527" s="129" t="s">
        <v>3966</v>
      </c>
      <c r="F1527" s="129"/>
      <c r="G1527" s="129"/>
      <c r="H1527" s="83" t="str">
        <f t="shared" si="117"/>
        <v>TCCN-PTE-PFL-PS2-CB2--</v>
      </c>
      <c r="I1527" s="129" t="str">
        <f>MID(H1527,1,(LEN(H1527)-VLOOKUP(K1527,datos!$B$2:$C$12,2,0)))</f>
        <v>TCCN-PTE-PFL-PS2-CB2</v>
      </c>
      <c r="J1527" s="129" t="s">
        <v>7730</v>
      </c>
      <c r="K1527" s="130">
        <f>VLOOKUP(LEN(SUBSTITUTE(H1527,"-","")),datos!$A$1:$B$12,2,0)</f>
        <v>5</v>
      </c>
      <c r="L1527" s="129"/>
      <c r="M1527" s="129" t="s">
        <v>0</v>
      </c>
    </row>
    <row r="1528" spans="1:13" x14ac:dyDescent="0.35">
      <c r="A1528" s="137" t="s">
        <v>487</v>
      </c>
      <c r="B1528" s="137" t="s">
        <v>3809</v>
      </c>
      <c r="C1528" s="137" t="s">
        <v>3983</v>
      </c>
      <c r="D1528" s="137" t="s">
        <v>4012</v>
      </c>
      <c r="E1528" s="137" t="s">
        <v>3966</v>
      </c>
      <c r="F1528" s="137" t="s">
        <v>3831</v>
      </c>
      <c r="G1528" s="137"/>
      <c r="H1528" s="82" t="str">
        <f t="shared" si="117"/>
        <v>TCCN-PTE-PFL-PS2-CB2-INS-</v>
      </c>
      <c r="I1528" s="137" t="str">
        <f>MID(H1528,1,(LEN(H1528)-VLOOKUP(K1528,datos!$B$2:$C$12,2,0)))</f>
        <v>TCCN-PTE-PFL-PS2-CB2-INS</v>
      </c>
      <c r="J1528" s="137" t="s">
        <v>7729</v>
      </c>
      <c r="K1528" s="139">
        <f>VLOOKUP(LEN(SUBSTITUTE(H1528,"-","")),datos!$A$1:$B$12,2,0)</f>
        <v>6</v>
      </c>
      <c r="L1528" s="137"/>
      <c r="M1528" s="137" t="s">
        <v>0</v>
      </c>
    </row>
    <row r="1529" spans="1:13" x14ac:dyDescent="0.35">
      <c r="A1529" s="138" t="s">
        <v>487</v>
      </c>
      <c r="B1529" s="138" t="s">
        <v>3809</v>
      </c>
      <c r="C1529" s="138" t="s">
        <v>3983</v>
      </c>
      <c r="D1529" s="138" t="s">
        <v>4012</v>
      </c>
      <c r="E1529" s="138" t="s">
        <v>3966</v>
      </c>
      <c r="F1529" s="138" t="s">
        <v>3831</v>
      </c>
      <c r="G1529" s="138" t="s">
        <v>3986</v>
      </c>
      <c r="H1529" s="81" t="str">
        <f t="shared" si="117"/>
        <v>TCCN-PTE-PFL-PS2-CB2-INS-VV1</v>
      </c>
      <c r="I1529" s="138" t="str">
        <f>MID(H1529,1,(LEN(H1529)-VLOOKUP(K1529,datos!$B$2:$C$12,2,0)))</f>
        <v>TCCN-PTE-PFL-PS2-CB2-INS-VV1</v>
      </c>
      <c r="J1529" s="138" t="s">
        <v>7727</v>
      </c>
      <c r="K1529" s="140">
        <f>VLOOKUP(LEN(SUBSTITUTE(H1529,"-","")),datos!$A$1:$B$12,2,0)</f>
        <v>7</v>
      </c>
      <c r="L1529" s="138" t="s">
        <v>7828</v>
      </c>
      <c r="M1529" s="138" t="s">
        <v>0</v>
      </c>
    </row>
    <row r="1530" spans="1:13" x14ac:dyDescent="0.35">
      <c r="A1530" s="138" t="s">
        <v>487</v>
      </c>
      <c r="B1530" s="138" t="s">
        <v>3809</v>
      </c>
      <c r="C1530" s="138" t="s">
        <v>3983</v>
      </c>
      <c r="D1530" s="138" t="s">
        <v>4012</v>
      </c>
      <c r="E1530" s="138" t="s">
        <v>3966</v>
      </c>
      <c r="F1530" s="138" t="s">
        <v>3831</v>
      </c>
      <c r="G1530" s="138" t="s">
        <v>3987</v>
      </c>
      <c r="H1530" s="81" t="str">
        <f t="shared" si="117"/>
        <v>TCCN-PTE-PFL-PS2-CB2-INS-VV2</v>
      </c>
      <c r="I1530" s="138" t="str">
        <f>MID(H1530,1,(LEN(H1530)-VLOOKUP(K1530,datos!$B$2:$C$12,2,0)))</f>
        <v>TCCN-PTE-PFL-PS2-CB2-INS-VV2</v>
      </c>
      <c r="J1530" s="138" t="s">
        <v>7728</v>
      </c>
      <c r="K1530" s="140">
        <f>VLOOKUP(LEN(SUBSTITUTE(H1530,"-","")),datos!$A$1:$B$12,2,0)</f>
        <v>7</v>
      </c>
      <c r="L1530" s="138" t="s">
        <v>7829</v>
      </c>
      <c r="M1530" s="138" t="s">
        <v>0</v>
      </c>
    </row>
    <row r="1531" spans="1:13" customFormat="1" ht="14.5" x14ac:dyDescent="0.35">
      <c r="A1531" s="129" t="s">
        <v>487</v>
      </c>
      <c r="B1531" s="129" t="s">
        <v>3809</v>
      </c>
      <c r="C1531" s="129" t="s">
        <v>3983</v>
      </c>
      <c r="D1531" s="129" t="s">
        <v>4012</v>
      </c>
      <c r="E1531" s="129" t="s">
        <v>4009</v>
      </c>
      <c r="F1531" s="129"/>
      <c r="G1531" s="129"/>
      <c r="H1531" s="83" t="str">
        <f t="shared" si="117"/>
        <v>TCCN-PTE-PFL-PS2-CF6--</v>
      </c>
      <c r="I1531" s="129" t="str">
        <f>MID(H1531,1,(LEN(H1531)-VLOOKUP(K1531,datos!$B$2:$C$12,2,0)))</f>
        <v>TCCN-PTE-PFL-PS2-CF6</v>
      </c>
      <c r="J1531" s="129" t="s">
        <v>463</v>
      </c>
      <c r="K1531" s="130">
        <f>VLOOKUP(LEN(SUBSTITUTE(H1531,"-","")),datos!$A$1:$B$12,2,0)</f>
        <v>5</v>
      </c>
      <c r="L1531" s="129" t="s">
        <v>217</v>
      </c>
      <c r="M1531" s="129" t="s">
        <v>0</v>
      </c>
    </row>
    <row r="1532" spans="1:13" x14ac:dyDescent="0.35">
      <c r="A1532" s="137" t="s">
        <v>487</v>
      </c>
      <c r="B1532" s="137" t="s">
        <v>3809</v>
      </c>
      <c r="C1532" s="137" t="s">
        <v>3983</v>
      </c>
      <c r="D1532" s="137" t="s">
        <v>4012</v>
      </c>
      <c r="E1532" s="137" t="s">
        <v>4009</v>
      </c>
      <c r="F1532" s="137" t="s">
        <v>3948</v>
      </c>
      <c r="G1532" s="137"/>
      <c r="H1532" s="82" t="str">
        <f t="shared" si="117"/>
        <v>TCCN-PTE-PFL-PS2-CF6-SCP-</v>
      </c>
      <c r="I1532" s="137" t="str">
        <f>MID(H1532,1,(LEN(H1532)-VLOOKUP(K1532,datos!$B$2:$C$12,2,0)))</f>
        <v>TCCN-PTE-PFL-PS2-CF6-SCP</v>
      </c>
      <c r="J1532" s="137" t="s">
        <v>6006</v>
      </c>
      <c r="K1532" s="139">
        <f>VLOOKUP(LEN(SUBSTITUTE(H1532,"-","")),datos!$A$1:$B$12,2,0)</f>
        <v>6</v>
      </c>
      <c r="L1532" s="137"/>
      <c r="M1532" s="137" t="s">
        <v>0</v>
      </c>
    </row>
    <row r="1533" spans="1:13" x14ac:dyDescent="0.35">
      <c r="A1533" s="138" t="s">
        <v>487</v>
      </c>
      <c r="B1533" s="138" t="s">
        <v>3809</v>
      </c>
      <c r="C1533" s="138" t="s">
        <v>3983</v>
      </c>
      <c r="D1533" s="138" t="s">
        <v>4012</v>
      </c>
      <c r="E1533" s="138" t="s">
        <v>4009</v>
      </c>
      <c r="F1533" s="138" t="s">
        <v>3948</v>
      </c>
      <c r="G1533" s="138" t="s">
        <v>3993</v>
      </c>
      <c r="H1533" s="81" t="str">
        <f t="shared" si="117"/>
        <v>TCCN-PTE-PFL-PS2-CF6-SCP-POR</v>
      </c>
      <c r="I1533" s="138" t="str">
        <f>MID(H1533,1,(LEN(H1533)-VLOOKUP(K1533,datos!$B$2:$C$12,2,0)))</f>
        <v>TCCN-PTE-PFL-PS2-CF6-SCP-POR</v>
      </c>
      <c r="J1533" s="138" t="s">
        <v>6007</v>
      </c>
      <c r="K1533" s="140">
        <f>VLOOKUP(LEN(SUBSTITUTE(H1533,"-","")),datos!$A$1:$B$12,2,0)</f>
        <v>7</v>
      </c>
      <c r="L1533" s="138"/>
      <c r="M1533" s="138" t="s">
        <v>0</v>
      </c>
    </row>
    <row r="1534" spans="1:13" x14ac:dyDescent="0.35">
      <c r="A1534" s="138" t="s">
        <v>487</v>
      </c>
      <c r="B1534" s="138" t="s">
        <v>3809</v>
      </c>
      <c r="C1534" s="138" t="s">
        <v>3983</v>
      </c>
      <c r="D1534" s="138" t="s">
        <v>4012</v>
      </c>
      <c r="E1534" s="138" t="s">
        <v>4009</v>
      </c>
      <c r="F1534" s="138" t="s">
        <v>3948</v>
      </c>
      <c r="G1534" s="138" t="s">
        <v>3994</v>
      </c>
      <c r="H1534" s="81" t="str">
        <f t="shared" si="117"/>
        <v>TCCN-PTE-PFL-PS2-CF6-SCP-RTO</v>
      </c>
      <c r="I1534" s="138" t="str">
        <f>MID(H1534,1,(LEN(H1534)-VLOOKUP(K1534,datos!$B$2:$C$12,2,0)))</f>
        <v>TCCN-PTE-PFL-PS2-CF6-SCP-RTO</v>
      </c>
      <c r="J1534" s="138" t="s">
        <v>6008</v>
      </c>
      <c r="K1534" s="140">
        <f>VLOOKUP(LEN(SUBSTITUTE(H1534,"-","")),datos!$A$1:$B$12,2,0)</f>
        <v>7</v>
      </c>
      <c r="L1534" s="138"/>
      <c r="M1534" s="138" t="s">
        <v>0</v>
      </c>
    </row>
    <row r="1535" spans="1:13" x14ac:dyDescent="0.35">
      <c r="A1535" s="138" t="s">
        <v>487</v>
      </c>
      <c r="B1535" s="138" t="s">
        <v>3809</v>
      </c>
      <c r="C1535" s="138" t="s">
        <v>3983</v>
      </c>
      <c r="D1535" s="138" t="s">
        <v>4012</v>
      </c>
      <c r="E1535" s="138" t="s">
        <v>4009</v>
      </c>
      <c r="F1535" s="138" t="s">
        <v>3948</v>
      </c>
      <c r="G1535" s="138" t="s">
        <v>3995</v>
      </c>
      <c r="H1535" s="81" t="str">
        <f t="shared" si="117"/>
        <v>TCCN-PTE-PFL-PS2-CF6-SCP-ETT</v>
      </c>
      <c r="I1535" s="138" t="str">
        <f>MID(H1535,1,(LEN(H1535)-VLOOKUP(K1535,datos!$B$2:$C$12,2,0)))</f>
        <v>TCCN-PTE-PFL-PS2-CF6-SCP-ETT</v>
      </c>
      <c r="J1535" s="138" t="s">
        <v>6009</v>
      </c>
      <c r="K1535" s="140">
        <f>VLOOKUP(LEN(SUBSTITUTE(H1535,"-","")),datos!$A$1:$B$12,2,0)</f>
        <v>7</v>
      </c>
      <c r="L1535" s="138"/>
      <c r="M1535" s="138" t="s">
        <v>0</v>
      </c>
    </row>
    <row r="1536" spans="1:13" x14ac:dyDescent="0.35">
      <c r="A1536" s="138" t="s">
        <v>487</v>
      </c>
      <c r="B1536" s="138" t="s">
        <v>3809</v>
      </c>
      <c r="C1536" s="138" t="s">
        <v>3983</v>
      </c>
      <c r="D1536" s="138" t="s">
        <v>4012</v>
      </c>
      <c r="E1536" s="138" t="s">
        <v>4009</v>
      </c>
      <c r="F1536" s="138" t="s">
        <v>3948</v>
      </c>
      <c r="G1536" s="138" t="s">
        <v>3996</v>
      </c>
      <c r="H1536" s="81" t="str">
        <f t="shared" si="117"/>
        <v>TCCN-PTE-PFL-PS2-CF6-SCP-DDT</v>
      </c>
      <c r="I1536" s="138" t="str">
        <f>MID(H1536,1,(LEN(H1536)-VLOOKUP(K1536,datos!$B$2:$C$12,2,0)))</f>
        <v>TCCN-PTE-PFL-PS2-CF6-SCP-DDT</v>
      </c>
      <c r="J1536" s="138" t="s">
        <v>6010</v>
      </c>
      <c r="K1536" s="140">
        <f>VLOOKUP(LEN(SUBSTITUTE(H1536,"-","")),datos!$A$1:$B$12,2,0)</f>
        <v>7</v>
      </c>
      <c r="L1536" s="138"/>
      <c r="M1536" s="138" t="s">
        <v>0</v>
      </c>
    </row>
    <row r="1537" spans="1:13" x14ac:dyDescent="0.35">
      <c r="A1537" s="138" t="s">
        <v>487</v>
      </c>
      <c r="B1537" s="138" t="s">
        <v>3809</v>
      </c>
      <c r="C1537" s="138" t="s">
        <v>3983</v>
      </c>
      <c r="D1537" s="138" t="s">
        <v>4012</v>
      </c>
      <c r="E1537" s="138" t="s">
        <v>4009</v>
      </c>
      <c r="F1537" s="138" t="s">
        <v>3948</v>
      </c>
      <c r="G1537" s="138" t="s">
        <v>3997</v>
      </c>
      <c r="H1537" s="81" t="str">
        <f t="shared" si="117"/>
        <v>TCCN-PTE-PFL-PS2-CF6-SCP-EJE</v>
      </c>
      <c r="I1537" s="138" t="str">
        <f>MID(H1537,1,(LEN(H1537)-VLOOKUP(K1537,datos!$B$2:$C$12,2,0)))</f>
        <v>TCCN-PTE-PFL-PS2-CF6-SCP-EJE</v>
      </c>
      <c r="J1537" s="138" t="s">
        <v>6011</v>
      </c>
      <c r="K1537" s="140">
        <f>VLOOKUP(LEN(SUBSTITUTE(H1537,"-","")),datos!$A$1:$B$12,2,0)</f>
        <v>7</v>
      </c>
      <c r="L1537" s="138"/>
      <c r="M1537" s="138" t="s">
        <v>0</v>
      </c>
    </row>
    <row r="1538" spans="1:13" x14ac:dyDescent="0.35">
      <c r="A1538" s="137" t="s">
        <v>487</v>
      </c>
      <c r="B1538" s="137" t="s">
        <v>3809</v>
      </c>
      <c r="C1538" s="137" t="s">
        <v>3983</v>
      </c>
      <c r="D1538" s="137" t="s">
        <v>4012</v>
      </c>
      <c r="E1538" s="137" t="s">
        <v>4009</v>
      </c>
      <c r="F1538" s="137" t="s">
        <v>3824</v>
      </c>
      <c r="G1538" s="137"/>
      <c r="H1538" s="82" t="str">
        <f t="shared" si="117"/>
        <v>TCCN-PTE-PFL-PS2-CF6-SES-</v>
      </c>
      <c r="I1538" s="137" t="str">
        <f>MID(H1538,1,(LEN(H1538)-VLOOKUP(K1538,datos!$B$2:$C$12,2,0)))</f>
        <v>TCCN-PTE-PFL-PS2-CF6-SES</v>
      </c>
      <c r="J1538" s="137" t="s">
        <v>6012</v>
      </c>
      <c r="K1538" s="139">
        <f>VLOOKUP(LEN(SUBSTITUTE(H1538,"-","")),datos!$A$1:$B$12,2,0)</f>
        <v>6</v>
      </c>
      <c r="L1538" s="137"/>
      <c r="M1538" s="137" t="s">
        <v>0</v>
      </c>
    </row>
    <row r="1539" spans="1:13" x14ac:dyDescent="0.35">
      <c r="A1539" s="138" t="s">
        <v>487</v>
      </c>
      <c r="B1539" s="138" t="s">
        <v>3809</v>
      </c>
      <c r="C1539" s="138" t="s">
        <v>3983</v>
      </c>
      <c r="D1539" s="138" t="s">
        <v>4012</v>
      </c>
      <c r="E1539" s="138" t="s">
        <v>4009</v>
      </c>
      <c r="F1539" s="138" t="s">
        <v>3824</v>
      </c>
      <c r="G1539" s="138" t="s">
        <v>3998</v>
      </c>
      <c r="H1539" s="81" t="str">
        <f t="shared" si="117"/>
        <v>TCCN-PTE-PFL-PS2-CF6-SES-BYG</v>
      </c>
      <c r="I1539" s="138" t="str">
        <f>MID(H1539,1,(LEN(H1539)-VLOOKUP(K1539,datos!$B$2:$C$12,2,0)))</f>
        <v>TCCN-PTE-PFL-PS2-CF6-SES-BYG</v>
      </c>
      <c r="J1539" s="138" t="s">
        <v>8031</v>
      </c>
      <c r="K1539" s="140">
        <f>VLOOKUP(LEN(SUBSTITUTE(H1539,"-","")),datos!$A$1:$B$12,2,0)</f>
        <v>7</v>
      </c>
      <c r="L1539" s="138"/>
      <c r="M1539" s="138" t="s">
        <v>0</v>
      </c>
    </row>
    <row r="1540" spans="1:13" x14ac:dyDescent="0.35">
      <c r="A1540" s="138" t="s">
        <v>487</v>
      </c>
      <c r="B1540" s="138" t="s">
        <v>3809</v>
      </c>
      <c r="C1540" s="138" t="s">
        <v>3983</v>
      </c>
      <c r="D1540" s="138" t="s">
        <v>4012</v>
      </c>
      <c r="E1540" s="138" t="s">
        <v>4009</v>
      </c>
      <c r="F1540" s="138" t="s">
        <v>3824</v>
      </c>
      <c r="G1540" s="138" t="s">
        <v>3999</v>
      </c>
      <c r="H1540" s="81" t="str">
        <f t="shared" si="117"/>
        <v>TCCN-PTE-PFL-PS2-CF6-SES-RDP</v>
      </c>
      <c r="I1540" s="138" t="str">
        <f>MID(H1540,1,(LEN(H1540)-VLOOKUP(K1540,datos!$B$2:$C$12,2,0)))</f>
        <v>TCCN-PTE-PFL-PS2-CF6-SES-RDP</v>
      </c>
      <c r="J1540" s="138" t="s">
        <v>6013</v>
      </c>
      <c r="K1540" s="140">
        <f>VLOOKUP(LEN(SUBSTITUTE(H1540,"-","")),datos!$A$1:$B$12,2,0)</f>
        <v>7</v>
      </c>
      <c r="L1540" s="138"/>
      <c r="M1540" s="138" t="s">
        <v>0</v>
      </c>
    </row>
    <row r="1541" spans="1:13" x14ac:dyDescent="0.35">
      <c r="A1541" s="138" t="s">
        <v>487</v>
      </c>
      <c r="B1541" s="138" t="s">
        <v>3809</v>
      </c>
      <c r="C1541" s="138" t="s">
        <v>3983</v>
      </c>
      <c r="D1541" s="138" t="s">
        <v>4012</v>
      </c>
      <c r="E1541" s="138" t="s">
        <v>4009</v>
      </c>
      <c r="F1541" s="138" t="s">
        <v>3824</v>
      </c>
      <c r="G1541" s="138" t="s">
        <v>3853</v>
      </c>
      <c r="H1541" s="81" t="str">
        <f t="shared" si="117"/>
        <v>TCCN-PTE-PFL-PS2-CF6-SES-EST</v>
      </c>
      <c r="I1541" s="138" t="str">
        <f>MID(H1541,1,(LEN(H1541)-VLOOKUP(K1541,datos!$B$2:$C$12,2,0)))</f>
        <v>TCCN-PTE-PFL-PS2-CF6-SES-EST</v>
      </c>
      <c r="J1541" s="138" t="s">
        <v>6014</v>
      </c>
      <c r="K1541" s="140">
        <f>VLOOKUP(LEN(SUBSTITUTE(H1541,"-","")),datos!$A$1:$B$12,2,0)</f>
        <v>7</v>
      </c>
      <c r="L1541" s="138"/>
      <c r="M1541" s="138" t="s">
        <v>0</v>
      </c>
    </row>
    <row r="1542" spans="1:13" x14ac:dyDescent="0.35">
      <c r="A1542" s="138" t="s">
        <v>487</v>
      </c>
      <c r="B1542" s="138" t="s">
        <v>3809</v>
      </c>
      <c r="C1542" s="138" t="s">
        <v>3983</v>
      </c>
      <c r="D1542" s="138" t="s">
        <v>4012</v>
      </c>
      <c r="E1542" s="138" t="s">
        <v>4009</v>
      </c>
      <c r="F1542" s="138" t="s">
        <v>3824</v>
      </c>
      <c r="G1542" s="138" t="s">
        <v>4000</v>
      </c>
      <c r="H1542" s="81" t="str">
        <f t="shared" si="117"/>
        <v>TCCN-PTE-PFL-PS2-CF6-SES-CRW</v>
      </c>
      <c r="I1542" s="138" t="str">
        <f>MID(H1542,1,(LEN(H1542)-VLOOKUP(K1542,datos!$B$2:$C$12,2,0)))</f>
        <v>TCCN-PTE-PFL-PS2-CF6-SES-CRW</v>
      </c>
      <c r="J1542" s="138" t="s">
        <v>6015</v>
      </c>
      <c r="K1542" s="140">
        <f>VLOOKUP(LEN(SUBSTITUTE(H1542,"-","")),datos!$A$1:$B$12,2,0)</f>
        <v>7</v>
      </c>
      <c r="L1542" s="138"/>
      <c r="M1542" s="138" t="s">
        <v>0</v>
      </c>
    </row>
    <row r="1543" spans="1:13" x14ac:dyDescent="0.35">
      <c r="A1543" s="137" t="s">
        <v>487</v>
      </c>
      <c r="B1543" s="137" t="s">
        <v>3809</v>
      </c>
      <c r="C1543" s="137" t="s">
        <v>3983</v>
      </c>
      <c r="D1543" s="137" t="s">
        <v>4012</v>
      </c>
      <c r="E1543" s="137" t="s">
        <v>4009</v>
      </c>
      <c r="F1543" s="137" t="s">
        <v>3847</v>
      </c>
      <c r="G1543" s="137"/>
      <c r="H1543" s="82" t="str">
        <f t="shared" si="117"/>
        <v>TCCN-PTE-PFL-PS2-CF6-SMO-</v>
      </c>
      <c r="I1543" s="137" t="str">
        <f>MID(H1543,1,(LEN(H1543)-VLOOKUP(K1543,datos!$B$2:$C$12,2,0)))</f>
        <v>TCCN-PTE-PFL-PS2-CF6-SMO</v>
      </c>
      <c r="J1543" s="137" t="s">
        <v>6016</v>
      </c>
      <c r="K1543" s="139">
        <f>VLOOKUP(LEN(SUBSTITUTE(H1543,"-","")),datos!$A$1:$B$12,2,0)</f>
        <v>6</v>
      </c>
      <c r="L1543" s="137"/>
      <c r="M1543" s="137" t="s">
        <v>0</v>
      </c>
    </row>
    <row r="1544" spans="1:13" x14ac:dyDescent="0.35">
      <c r="A1544" s="138" t="s">
        <v>487</v>
      </c>
      <c r="B1544" s="138" t="s">
        <v>3809</v>
      </c>
      <c r="C1544" s="138" t="s">
        <v>3983</v>
      </c>
      <c r="D1544" s="138" t="s">
        <v>4012</v>
      </c>
      <c r="E1544" s="138" t="s">
        <v>4009</v>
      </c>
      <c r="F1544" s="138" t="s">
        <v>3847</v>
      </c>
      <c r="G1544" s="138" t="s">
        <v>3819</v>
      </c>
      <c r="H1544" s="81" t="str">
        <f t="shared" si="117"/>
        <v>TCCN-PTE-PFL-PS2-CF6-SMO-MOE</v>
      </c>
      <c r="I1544" s="138" t="str">
        <f>MID(H1544,1,(LEN(H1544)-VLOOKUP(K1544,datos!$B$2:$C$12,2,0)))</f>
        <v>TCCN-PTE-PFL-PS2-CF6-SMO-MOE</v>
      </c>
      <c r="J1544" s="138" t="s">
        <v>6017</v>
      </c>
      <c r="K1544" s="140">
        <f>VLOOKUP(LEN(SUBSTITUTE(H1544,"-","")),datos!$A$1:$B$12,2,0)</f>
        <v>7</v>
      </c>
      <c r="L1544" s="138" t="s">
        <v>218</v>
      </c>
      <c r="M1544" s="138" t="s">
        <v>0</v>
      </c>
    </row>
    <row r="1545" spans="1:13" x14ac:dyDescent="0.35">
      <c r="A1545" s="138" t="s">
        <v>487</v>
      </c>
      <c r="B1545" s="138" t="s">
        <v>3809</v>
      </c>
      <c r="C1545" s="138" t="s">
        <v>3983</v>
      </c>
      <c r="D1545" s="138" t="s">
        <v>4012</v>
      </c>
      <c r="E1545" s="138" t="s">
        <v>4009</v>
      </c>
      <c r="F1545" s="138" t="s">
        <v>3847</v>
      </c>
      <c r="G1545" s="138" t="s">
        <v>3864</v>
      </c>
      <c r="H1545" s="81" t="str">
        <f t="shared" si="117"/>
        <v>TCCN-PTE-PFL-PS2-CF6-SMO-PMO</v>
      </c>
      <c r="I1545" s="138" t="str">
        <f>MID(H1545,1,(LEN(H1545)-VLOOKUP(K1545,datos!$B$2:$C$12,2,0)))</f>
        <v>TCCN-PTE-PFL-PS2-CF6-SMO-PMO</v>
      </c>
      <c r="J1545" s="138" t="s">
        <v>6018</v>
      </c>
      <c r="K1545" s="140">
        <f>VLOOKUP(LEN(SUBSTITUTE(H1545,"-","")),datos!$A$1:$B$12,2,0)</f>
        <v>7</v>
      </c>
      <c r="L1545" s="138"/>
      <c r="M1545" s="138" t="s">
        <v>0</v>
      </c>
    </row>
    <row r="1546" spans="1:13" x14ac:dyDescent="0.35">
      <c r="A1546" s="138" t="s">
        <v>487</v>
      </c>
      <c r="B1546" s="138" t="s">
        <v>3809</v>
      </c>
      <c r="C1546" s="138" t="s">
        <v>3983</v>
      </c>
      <c r="D1546" s="138" t="s">
        <v>4012</v>
      </c>
      <c r="E1546" s="138" t="s">
        <v>4009</v>
      </c>
      <c r="F1546" s="138" t="s">
        <v>3847</v>
      </c>
      <c r="G1546" s="138" t="s">
        <v>8116</v>
      </c>
      <c r="H1546" s="81" t="str">
        <f t="shared" si="117"/>
        <v>TCCN-PTE-PFL-PS2-CF6-SMO-PLE</v>
      </c>
      <c r="I1546" s="138" t="str">
        <f>MID(H1546,1,(LEN(H1546)-VLOOKUP(K1546,datos!$B$2:$C$12,2,0)))</f>
        <v>TCCN-PTE-PFL-PS2-CF6-SMO-PLE</v>
      </c>
      <c r="J1546" s="138" t="s">
        <v>6019</v>
      </c>
      <c r="K1546" s="140">
        <f>VLOOKUP(LEN(SUBSTITUTE(H1546,"-","")),datos!$A$1:$B$12,2,0)</f>
        <v>7</v>
      </c>
      <c r="L1546" s="138"/>
      <c r="M1546" s="138" t="s">
        <v>0</v>
      </c>
    </row>
    <row r="1547" spans="1:13" x14ac:dyDescent="0.35">
      <c r="A1547" s="138" t="s">
        <v>487</v>
      </c>
      <c r="B1547" s="138" t="s">
        <v>3809</v>
      </c>
      <c r="C1547" s="138" t="s">
        <v>3983</v>
      </c>
      <c r="D1547" s="138" t="s">
        <v>4012</v>
      </c>
      <c r="E1547" s="138" t="s">
        <v>4009</v>
      </c>
      <c r="F1547" s="138" t="s">
        <v>3847</v>
      </c>
      <c r="G1547" s="138" t="s">
        <v>5688</v>
      </c>
      <c r="H1547" s="81" t="str">
        <f t="shared" si="117"/>
        <v>TCCN-PTE-PFL-PS2-CF6-SMO-PRP</v>
      </c>
      <c r="I1547" s="138" t="str">
        <f>MID(H1547,1,(LEN(H1547)-VLOOKUP(K1547,datos!$B$2:$C$12,2,0)))</f>
        <v>TCCN-PTE-PFL-PS2-CF6-SMO-PRP</v>
      </c>
      <c r="J1547" s="138" t="s">
        <v>6020</v>
      </c>
      <c r="K1547" s="140">
        <f>VLOOKUP(LEN(SUBSTITUTE(H1547,"-","")),datos!$A$1:$B$12,2,0)</f>
        <v>7</v>
      </c>
      <c r="L1547" s="138"/>
      <c r="M1547" s="138" t="s">
        <v>0</v>
      </c>
    </row>
    <row r="1548" spans="1:13" x14ac:dyDescent="0.35">
      <c r="A1548" s="137" t="s">
        <v>487</v>
      </c>
      <c r="B1548" s="137" t="s">
        <v>3809</v>
      </c>
      <c r="C1548" s="137" t="s">
        <v>3983</v>
      </c>
      <c r="D1548" s="137" t="s">
        <v>4012</v>
      </c>
      <c r="E1548" s="137" t="s">
        <v>4009</v>
      </c>
      <c r="F1548" s="137" t="s">
        <v>3831</v>
      </c>
      <c r="G1548" s="137"/>
      <c r="H1548" s="82" t="str">
        <f t="shared" si="117"/>
        <v>TCCN-PTE-PFL-PS2-CF6-INS-</v>
      </c>
      <c r="I1548" s="137" t="str">
        <f>MID(H1548,1,(LEN(H1548)-VLOOKUP(K1548,datos!$B$2:$C$12,2,0)))</f>
        <v>TCCN-PTE-PFL-PS2-CF6-INS</v>
      </c>
      <c r="J1548" s="137" t="s">
        <v>6021</v>
      </c>
      <c r="K1548" s="139">
        <f>VLOOKUP(LEN(SUBSTITUTE(H1548,"-","")),datos!$A$1:$B$12,2,0)</f>
        <v>6</v>
      </c>
      <c r="L1548" s="137"/>
      <c r="M1548" s="137" t="s">
        <v>0</v>
      </c>
    </row>
    <row r="1549" spans="1:13" x14ac:dyDescent="0.35">
      <c r="A1549" s="138" t="s">
        <v>487</v>
      </c>
      <c r="B1549" s="138" t="s">
        <v>3809</v>
      </c>
      <c r="C1549" s="138" t="s">
        <v>3983</v>
      </c>
      <c r="D1549" s="138" t="s">
        <v>4012</v>
      </c>
      <c r="E1549" s="138" t="s">
        <v>4009</v>
      </c>
      <c r="F1549" s="138" t="s">
        <v>3831</v>
      </c>
      <c r="G1549" s="138" t="s">
        <v>4075</v>
      </c>
      <c r="H1549" s="81" t="str">
        <f t="shared" si="117"/>
        <v>TCCN-PTE-PFL-PS2-CF6-INS-VVA</v>
      </c>
      <c r="I1549" s="138" t="str">
        <f>MID(H1549,1,(LEN(H1549)-VLOOKUP(K1549,datos!$B$2:$C$12,2,0)))</f>
        <v>TCCN-PTE-PFL-PS2-CF6-INS-VVA</v>
      </c>
      <c r="J1549" s="138" t="s">
        <v>7830</v>
      </c>
      <c r="K1549" s="140">
        <f>VLOOKUP(LEN(SUBSTITUTE(H1549,"-","")),datos!$A$1:$B$12,2,0)</f>
        <v>7</v>
      </c>
      <c r="L1549" s="138" t="s">
        <v>7832</v>
      </c>
      <c r="M1549" s="138" t="s">
        <v>0</v>
      </c>
    </row>
    <row r="1550" spans="1:13" x14ac:dyDescent="0.35">
      <c r="A1550" s="138" t="s">
        <v>487</v>
      </c>
      <c r="B1550" s="138" t="s">
        <v>3809</v>
      </c>
      <c r="C1550" s="138" t="s">
        <v>3983</v>
      </c>
      <c r="D1550" s="138" t="s">
        <v>4012</v>
      </c>
      <c r="E1550" s="138" t="s">
        <v>4009</v>
      </c>
      <c r="F1550" s="138" t="s">
        <v>3831</v>
      </c>
      <c r="G1550" s="138" t="s">
        <v>4002</v>
      </c>
      <c r="H1550" s="81" t="str">
        <f t="shared" si="117"/>
        <v>TCCN-PTE-PFL-PS2-CF6-INS-FJM</v>
      </c>
      <c r="I1550" s="138" t="str">
        <f>MID(H1550,1,(LEN(H1550)-VLOOKUP(K1550,datos!$B$2:$C$12,2,0)))</f>
        <v>TCCN-PTE-PFL-PS2-CF6-INS-FJM</v>
      </c>
      <c r="J1550" s="138" t="s">
        <v>7831</v>
      </c>
      <c r="K1550" s="140">
        <f>VLOOKUP(LEN(SUBSTITUTE(H1550,"-","")),datos!$A$1:$B$12,2,0)</f>
        <v>7</v>
      </c>
      <c r="L1550" s="138" t="s">
        <v>7833</v>
      </c>
      <c r="M1550" s="138" t="s">
        <v>0</v>
      </c>
    </row>
    <row r="1551" spans="1:13" x14ac:dyDescent="0.35">
      <c r="A1551" s="137" t="s">
        <v>487</v>
      </c>
      <c r="B1551" s="137" t="s">
        <v>3809</v>
      </c>
      <c r="C1551" s="137" t="s">
        <v>3983</v>
      </c>
      <c r="D1551" s="137" t="s">
        <v>4012</v>
      </c>
      <c r="E1551" s="137" t="s">
        <v>4009</v>
      </c>
      <c r="F1551" s="137" t="s">
        <v>3869</v>
      </c>
      <c r="G1551" s="137"/>
      <c r="H1551" s="82" t="str">
        <f t="shared" si="117"/>
        <v>TCCN-PTE-PFL-PS2-CF6-SCE-</v>
      </c>
      <c r="I1551" s="137" t="str">
        <f>MID(H1551,1,(LEN(H1551)-VLOOKUP(K1551,datos!$B$2:$C$12,2,0)))</f>
        <v>TCCN-PTE-PFL-PS2-CF6-SCE</v>
      </c>
      <c r="J1551" s="137" t="s">
        <v>6022</v>
      </c>
      <c r="K1551" s="139">
        <f>VLOOKUP(LEN(SUBSTITUTE(H1551,"-","")),datos!$A$1:$B$12,2,0)</f>
        <v>6</v>
      </c>
      <c r="L1551" s="137"/>
      <c r="M1551" s="137" t="s">
        <v>0</v>
      </c>
    </row>
    <row r="1552" spans="1:13" x14ac:dyDescent="0.35">
      <c r="A1552" s="138" t="s">
        <v>487</v>
      </c>
      <c r="B1552" s="138" t="s">
        <v>3809</v>
      </c>
      <c r="C1552" s="138" t="s">
        <v>3983</v>
      </c>
      <c r="D1552" s="138" t="s">
        <v>4012</v>
      </c>
      <c r="E1552" s="138" t="s">
        <v>4009</v>
      </c>
      <c r="F1552" s="138" t="s">
        <v>3869</v>
      </c>
      <c r="G1552" s="138" t="s">
        <v>3870</v>
      </c>
      <c r="H1552" s="81" t="str">
        <f t="shared" si="117"/>
        <v>TCCN-PTE-PFL-PS2-CF6-SCE-BTN</v>
      </c>
      <c r="I1552" s="138" t="str">
        <f>MID(H1552,1,(LEN(H1552)-VLOOKUP(K1552,datos!$B$2:$C$12,2,0)))</f>
        <v>TCCN-PTE-PFL-PS2-CF6-SCE-BTN</v>
      </c>
      <c r="J1552" s="138" t="s">
        <v>6023</v>
      </c>
      <c r="K1552" s="140">
        <f>VLOOKUP(LEN(SUBSTITUTE(H1552,"-","")),datos!$A$1:$B$12,2,0)</f>
        <v>7</v>
      </c>
      <c r="L1552" s="138"/>
      <c r="M1552" s="138" t="s">
        <v>0</v>
      </c>
    </row>
    <row r="1553" spans="1:13" customFormat="1" ht="14.5" x14ac:dyDescent="0.35">
      <c r="A1553" s="129" t="s">
        <v>487</v>
      </c>
      <c r="B1553" s="129" t="s">
        <v>3809</v>
      </c>
      <c r="C1553" s="129" t="s">
        <v>3983</v>
      </c>
      <c r="D1553" s="129" t="s">
        <v>4012</v>
      </c>
      <c r="E1553" s="129" t="s">
        <v>4010</v>
      </c>
      <c r="F1553" s="129"/>
      <c r="G1553" s="129"/>
      <c r="H1553" s="83" t="str">
        <f t="shared" si="117"/>
        <v>TCCN-PTE-PFL-PS2-CF7--</v>
      </c>
      <c r="I1553" s="129" t="str">
        <f>MID(H1553,1,(LEN(H1553)-VLOOKUP(K1553,datos!$B$2:$C$12,2,0)))</f>
        <v>TCCN-PTE-PFL-PS2-CF7</v>
      </c>
      <c r="J1553" s="129" t="s">
        <v>464</v>
      </c>
      <c r="K1553" s="130">
        <f>VLOOKUP(LEN(SUBSTITUTE(H1553,"-","")),datos!$A$1:$B$12,2,0)</f>
        <v>5</v>
      </c>
      <c r="L1553" s="129" t="s">
        <v>219</v>
      </c>
      <c r="M1553" s="129" t="s">
        <v>0</v>
      </c>
    </row>
    <row r="1554" spans="1:13" x14ac:dyDescent="0.35">
      <c r="A1554" s="137" t="s">
        <v>487</v>
      </c>
      <c r="B1554" s="137" t="s">
        <v>3809</v>
      </c>
      <c r="C1554" s="137" t="s">
        <v>3983</v>
      </c>
      <c r="D1554" s="137" t="s">
        <v>4012</v>
      </c>
      <c r="E1554" s="137" t="s">
        <v>4010</v>
      </c>
      <c r="F1554" s="137" t="s">
        <v>3948</v>
      </c>
      <c r="G1554" s="137"/>
      <c r="H1554" s="82" t="str">
        <f t="shared" si="117"/>
        <v>TCCN-PTE-PFL-PS2-CF7-SCP-</v>
      </c>
      <c r="I1554" s="137" t="str">
        <f>MID(H1554,1,(LEN(H1554)-VLOOKUP(K1554,datos!$B$2:$C$12,2,0)))</f>
        <v>TCCN-PTE-PFL-PS2-CF7-SCP</v>
      </c>
      <c r="J1554" s="137" t="s">
        <v>5988</v>
      </c>
      <c r="K1554" s="139">
        <f>VLOOKUP(LEN(SUBSTITUTE(H1554,"-","")),datos!$A$1:$B$12,2,0)</f>
        <v>6</v>
      </c>
      <c r="L1554" s="137"/>
      <c r="M1554" s="137" t="s">
        <v>0</v>
      </c>
    </row>
    <row r="1555" spans="1:13" x14ac:dyDescent="0.35">
      <c r="A1555" s="138" t="s">
        <v>487</v>
      </c>
      <c r="B1555" s="138" t="s">
        <v>3809</v>
      </c>
      <c r="C1555" s="138" t="s">
        <v>3983</v>
      </c>
      <c r="D1555" s="138" t="s">
        <v>4012</v>
      </c>
      <c r="E1555" s="138" t="s">
        <v>4010</v>
      </c>
      <c r="F1555" s="138" t="s">
        <v>3948</v>
      </c>
      <c r="G1555" s="138" t="s">
        <v>3993</v>
      </c>
      <c r="H1555" s="81" t="str">
        <f t="shared" si="117"/>
        <v>TCCN-PTE-PFL-PS2-CF7-SCP-POR</v>
      </c>
      <c r="I1555" s="138" t="str">
        <f>MID(H1555,1,(LEN(H1555)-VLOOKUP(K1555,datos!$B$2:$C$12,2,0)))</f>
        <v>TCCN-PTE-PFL-PS2-CF7-SCP-POR</v>
      </c>
      <c r="J1555" s="138" t="s">
        <v>5989</v>
      </c>
      <c r="K1555" s="140">
        <f>VLOOKUP(LEN(SUBSTITUTE(H1555,"-","")),datos!$A$1:$B$12,2,0)</f>
        <v>7</v>
      </c>
      <c r="L1555" s="138"/>
      <c r="M1555" s="138" t="s">
        <v>0</v>
      </c>
    </row>
    <row r="1556" spans="1:13" x14ac:dyDescent="0.35">
      <c r="A1556" s="138" t="s">
        <v>487</v>
      </c>
      <c r="B1556" s="138" t="s">
        <v>3809</v>
      </c>
      <c r="C1556" s="138" t="s">
        <v>3983</v>
      </c>
      <c r="D1556" s="138" t="s">
        <v>4012</v>
      </c>
      <c r="E1556" s="138" t="s">
        <v>4010</v>
      </c>
      <c r="F1556" s="138" t="s">
        <v>3948</v>
      </c>
      <c r="G1556" s="138" t="s">
        <v>3994</v>
      </c>
      <c r="H1556" s="81" t="str">
        <f t="shared" si="117"/>
        <v>TCCN-PTE-PFL-PS2-CF7-SCP-RTO</v>
      </c>
      <c r="I1556" s="138" t="str">
        <f>MID(H1556,1,(LEN(H1556)-VLOOKUP(K1556,datos!$B$2:$C$12,2,0)))</f>
        <v>TCCN-PTE-PFL-PS2-CF7-SCP-RTO</v>
      </c>
      <c r="J1556" s="138" t="s">
        <v>5990</v>
      </c>
      <c r="K1556" s="140">
        <f>VLOOKUP(LEN(SUBSTITUTE(H1556,"-","")),datos!$A$1:$B$12,2,0)</f>
        <v>7</v>
      </c>
      <c r="L1556" s="138"/>
      <c r="M1556" s="138" t="s">
        <v>0</v>
      </c>
    </row>
    <row r="1557" spans="1:13" x14ac:dyDescent="0.35">
      <c r="A1557" s="138" t="s">
        <v>487</v>
      </c>
      <c r="B1557" s="138" t="s">
        <v>3809</v>
      </c>
      <c r="C1557" s="138" t="s">
        <v>3983</v>
      </c>
      <c r="D1557" s="138" t="s">
        <v>4012</v>
      </c>
      <c r="E1557" s="138" t="s">
        <v>4010</v>
      </c>
      <c r="F1557" s="138" t="s">
        <v>3948</v>
      </c>
      <c r="G1557" s="138" t="s">
        <v>3995</v>
      </c>
      <c r="H1557" s="81" t="str">
        <f t="shared" si="117"/>
        <v>TCCN-PTE-PFL-PS2-CF7-SCP-ETT</v>
      </c>
      <c r="I1557" s="138" t="str">
        <f>MID(H1557,1,(LEN(H1557)-VLOOKUP(K1557,datos!$B$2:$C$12,2,0)))</f>
        <v>TCCN-PTE-PFL-PS2-CF7-SCP-ETT</v>
      </c>
      <c r="J1557" s="138" t="s">
        <v>5991</v>
      </c>
      <c r="K1557" s="140">
        <f>VLOOKUP(LEN(SUBSTITUTE(H1557,"-","")),datos!$A$1:$B$12,2,0)</f>
        <v>7</v>
      </c>
      <c r="L1557" s="138"/>
      <c r="M1557" s="138" t="s">
        <v>0</v>
      </c>
    </row>
    <row r="1558" spans="1:13" x14ac:dyDescent="0.35">
      <c r="A1558" s="138" t="s">
        <v>487</v>
      </c>
      <c r="B1558" s="138" t="s">
        <v>3809</v>
      </c>
      <c r="C1558" s="138" t="s">
        <v>3983</v>
      </c>
      <c r="D1558" s="138" t="s">
        <v>4012</v>
      </c>
      <c r="E1558" s="138" t="s">
        <v>4010</v>
      </c>
      <c r="F1558" s="138" t="s">
        <v>3948</v>
      </c>
      <c r="G1558" s="138" t="s">
        <v>3996</v>
      </c>
      <c r="H1558" s="81" t="str">
        <f t="shared" si="117"/>
        <v>TCCN-PTE-PFL-PS2-CF7-SCP-DDT</v>
      </c>
      <c r="I1558" s="138" t="str">
        <f>MID(H1558,1,(LEN(H1558)-VLOOKUP(K1558,datos!$B$2:$C$12,2,0)))</f>
        <v>TCCN-PTE-PFL-PS2-CF7-SCP-DDT</v>
      </c>
      <c r="J1558" s="138" t="s">
        <v>5992</v>
      </c>
      <c r="K1558" s="140">
        <f>VLOOKUP(LEN(SUBSTITUTE(H1558,"-","")),datos!$A$1:$B$12,2,0)</f>
        <v>7</v>
      </c>
      <c r="L1558" s="138"/>
      <c r="M1558" s="138" t="s">
        <v>0</v>
      </c>
    </row>
    <row r="1559" spans="1:13" x14ac:dyDescent="0.35">
      <c r="A1559" s="138" t="s">
        <v>487</v>
      </c>
      <c r="B1559" s="138" t="s">
        <v>3809</v>
      </c>
      <c r="C1559" s="138" t="s">
        <v>3983</v>
      </c>
      <c r="D1559" s="138" t="s">
        <v>4012</v>
      </c>
      <c r="E1559" s="138" t="s">
        <v>4010</v>
      </c>
      <c r="F1559" s="138" t="s">
        <v>3948</v>
      </c>
      <c r="G1559" s="138" t="s">
        <v>3997</v>
      </c>
      <c r="H1559" s="81" t="str">
        <f t="shared" si="117"/>
        <v>TCCN-PTE-PFL-PS2-CF7-SCP-EJE</v>
      </c>
      <c r="I1559" s="138" t="str">
        <f>MID(H1559,1,(LEN(H1559)-VLOOKUP(K1559,datos!$B$2:$C$12,2,0)))</f>
        <v>TCCN-PTE-PFL-PS2-CF7-SCP-EJE</v>
      </c>
      <c r="J1559" s="138" t="s">
        <v>5993</v>
      </c>
      <c r="K1559" s="140">
        <f>VLOOKUP(LEN(SUBSTITUTE(H1559,"-","")),datos!$A$1:$B$12,2,0)</f>
        <v>7</v>
      </c>
      <c r="L1559" s="138"/>
      <c r="M1559" s="138" t="s">
        <v>0</v>
      </c>
    </row>
    <row r="1560" spans="1:13" x14ac:dyDescent="0.35">
      <c r="A1560" s="137" t="s">
        <v>487</v>
      </c>
      <c r="B1560" s="137" t="s">
        <v>3809</v>
      </c>
      <c r="C1560" s="137" t="s">
        <v>3983</v>
      </c>
      <c r="D1560" s="137" t="s">
        <v>4012</v>
      </c>
      <c r="E1560" s="137" t="s">
        <v>4010</v>
      </c>
      <c r="F1560" s="137" t="s">
        <v>3824</v>
      </c>
      <c r="G1560" s="137"/>
      <c r="H1560" s="82" t="str">
        <f t="shared" si="117"/>
        <v>TCCN-PTE-PFL-PS2-CF7-SES-</v>
      </c>
      <c r="I1560" s="137" t="str">
        <f>MID(H1560,1,(LEN(H1560)-VLOOKUP(K1560,datos!$B$2:$C$12,2,0)))</f>
        <v>TCCN-PTE-PFL-PS2-CF7-SES</v>
      </c>
      <c r="J1560" s="137" t="s">
        <v>5994</v>
      </c>
      <c r="K1560" s="139">
        <f>VLOOKUP(LEN(SUBSTITUTE(H1560,"-","")),datos!$A$1:$B$12,2,0)</f>
        <v>6</v>
      </c>
      <c r="L1560" s="137"/>
      <c r="M1560" s="137" t="s">
        <v>0</v>
      </c>
    </row>
    <row r="1561" spans="1:13" x14ac:dyDescent="0.35">
      <c r="A1561" s="138" t="s">
        <v>487</v>
      </c>
      <c r="B1561" s="138" t="s">
        <v>3809</v>
      </c>
      <c r="C1561" s="138" t="s">
        <v>3983</v>
      </c>
      <c r="D1561" s="138" t="s">
        <v>4012</v>
      </c>
      <c r="E1561" s="138" t="s">
        <v>4010</v>
      </c>
      <c r="F1561" s="138" t="s">
        <v>3824</v>
      </c>
      <c r="G1561" s="138" t="s">
        <v>3998</v>
      </c>
      <c r="H1561" s="81" t="str">
        <f t="shared" si="117"/>
        <v>TCCN-PTE-PFL-PS2-CF7-SES-BYG</v>
      </c>
      <c r="I1561" s="138" t="str">
        <f>MID(H1561,1,(LEN(H1561)-VLOOKUP(K1561,datos!$B$2:$C$12,2,0)))</f>
        <v>TCCN-PTE-PFL-PS2-CF7-SES-BYG</v>
      </c>
      <c r="J1561" s="138" t="s">
        <v>8032</v>
      </c>
      <c r="K1561" s="140">
        <f>VLOOKUP(LEN(SUBSTITUTE(H1561,"-","")),datos!$A$1:$B$12,2,0)</f>
        <v>7</v>
      </c>
      <c r="L1561" s="138"/>
      <c r="M1561" s="138" t="s">
        <v>0</v>
      </c>
    </row>
    <row r="1562" spans="1:13" x14ac:dyDescent="0.35">
      <c r="A1562" s="138" t="s">
        <v>487</v>
      </c>
      <c r="B1562" s="138" t="s">
        <v>3809</v>
      </c>
      <c r="C1562" s="138" t="s">
        <v>3983</v>
      </c>
      <c r="D1562" s="138" t="s">
        <v>4012</v>
      </c>
      <c r="E1562" s="138" t="s">
        <v>4010</v>
      </c>
      <c r="F1562" s="138" t="s">
        <v>3824</v>
      </c>
      <c r="G1562" s="138" t="s">
        <v>3999</v>
      </c>
      <c r="H1562" s="81" t="str">
        <f t="shared" si="117"/>
        <v>TCCN-PTE-PFL-PS2-CF7-SES-RDP</v>
      </c>
      <c r="I1562" s="138" t="str">
        <f>MID(H1562,1,(LEN(H1562)-VLOOKUP(K1562,datos!$B$2:$C$12,2,0)))</f>
        <v>TCCN-PTE-PFL-PS2-CF7-SES-RDP</v>
      </c>
      <c r="J1562" s="138" t="s">
        <v>5995</v>
      </c>
      <c r="K1562" s="140">
        <f>VLOOKUP(LEN(SUBSTITUTE(H1562,"-","")),datos!$A$1:$B$12,2,0)</f>
        <v>7</v>
      </c>
      <c r="L1562" s="138"/>
      <c r="M1562" s="138" t="s">
        <v>0</v>
      </c>
    </row>
    <row r="1563" spans="1:13" x14ac:dyDescent="0.35">
      <c r="A1563" s="138" t="s">
        <v>487</v>
      </c>
      <c r="B1563" s="138" t="s">
        <v>3809</v>
      </c>
      <c r="C1563" s="138" t="s">
        <v>3983</v>
      </c>
      <c r="D1563" s="138" t="s">
        <v>4012</v>
      </c>
      <c r="E1563" s="138" t="s">
        <v>4010</v>
      </c>
      <c r="F1563" s="138" t="s">
        <v>3824</v>
      </c>
      <c r="G1563" s="138" t="s">
        <v>3853</v>
      </c>
      <c r="H1563" s="81" t="str">
        <f t="shared" si="117"/>
        <v>TCCN-PTE-PFL-PS2-CF7-SES-EST</v>
      </c>
      <c r="I1563" s="138" t="str">
        <f>MID(H1563,1,(LEN(H1563)-VLOOKUP(K1563,datos!$B$2:$C$12,2,0)))</f>
        <v>TCCN-PTE-PFL-PS2-CF7-SES-EST</v>
      </c>
      <c r="J1563" s="138" t="s">
        <v>5996</v>
      </c>
      <c r="K1563" s="140">
        <f>VLOOKUP(LEN(SUBSTITUTE(H1563,"-","")),datos!$A$1:$B$12,2,0)</f>
        <v>7</v>
      </c>
      <c r="L1563" s="138"/>
      <c r="M1563" s="138" t="s">
        <v>0</v>
      </c>
    </row>
    <row r="1564" spans="1:13" x14ac:dyDescent="0.35">
      <c r="A1564" s="138" t="s">
        <v>487</v>
      </c>
      <c r="B1564" s="138" t="s">
        <v>3809</v>
      </c>
      <c r="C1564" s="138" t="s">
        <v>3983</v>
      </c>
      <c r="D1564" s="138" t="s">
        <v>4012</v>
      </c>
      <c r="E1564" s="138" t="s">
        <v>4010</v>
      </c>
      <c r="F1564" s="138" t="s">
        <v>3824</v>
      </c>
      <c r="G1564" s="138" t="s">
        <v>4000</v>
      </c>
      <c r="H1564" s="81" t="str">
        <f t="shared" si="117"/>
        <v>TCCN-PTE-PFL-PS2-CF7-SES-CRW</v>
      </c>
      <c r="I1564" s="138" t="str">
        <f>MID(H1564,1,(LEN(H1564)-VLOOKUP(K1564,datos!$B$2:$C$12,2,0)))</f>
        <v>TCCN-PTE-PFL-PS2-CF7-SES-CRW</v>
      </c>
      <c r="J1564" s="138" t="s">
        <v>5997</v>
      </c>
      <c r="K1564" s="140">
        <f>VLOOKUP(LEN(SUBSTITUTE(H1564,"-","")),datos!$A$1:$B$12,2,0)</f>
        <v>7</v>
      </c>
      <c r="L1564" s="138"/>
      <c r="M1564" s="138" t="s">
        <v>0</v>
      </c>
    </row>
    <row r="1565" spans="1:13" x14ac:dyDescent="0.35">
      <c r="A1565" s="137" t="s">
        <v>487</v>
      </c>
      <c r="B1565" s="137" t="s">
        <v>3809</v>
      </c>
      <c r="C1565" s="137" t="s">
        <v>3983</v>
      </c>
      <c r="D1565" s="137" t="s">
        <v>4012</v>
      </c>
      <c r="E1565" s="137" t="s">
        <v>4010</v>
      </c>
      <c r="F1565" s="137" t="s">
        <v>3847</v>
      </c>
      <c r="G1565" s="137"/>
      <c r="H1565" s="82" t="str">
        <f t="shared" si="117"/>
        <v>TCCN-PTE-PFL-PS2-CF7-SMO-</v>
      </c>
      <c r="I1565" s="137" t="str">
        <f>MID(H1565,1,(LEN(H1565)-VLOOKUP(K1565,datos!$B$2:$C$12,2,0)))</f>
        <v>TCCN-PTE-PFL-PS2-CF7-SMO</v>
      </c>
      <c r="J1565" s="137" t="s">
        <v>5998</v>
      </c>
      <c r="K1565" s="139">
        <f>VLOOKUP(LEN(SUBSTITUTE(H1565,"-","")),datos!$A$1:$B$12,2,0)</f>
        <v>6</v>
      </c>
      <c r="L1565" s="137"/>
      <c r="M1565" s="137" t="s">
        <v>0</v>
      </c>
    </row>
    <row r="1566" spans="1:13" x14ac:dyDescent="0.35">
      <c r="A1566" s="138" t="s">
        <v>487</v>
      </c>
      <c r="B1566" s="138" t="s">
        <v>3809</v>
      </c>
      <c r="C1566" s="138" t="s">
        <v>3983</v>
      </c>
      <c r="D1566" s="138" t="s">
        <v>4012</v>
      </c>
      <c r="E1566" s="138" t="s">
        <v>4010</v>
      </c>
      <c r="F1566" s="138" t="s">
        <v>3847</v>
      </c>
      <c r="G1566" s="138" t="s">
        <v>3819</v>
      </c>
      <c r="H1566" s="81" t="str">
        <f t="shared" ref="H1566:H1631" si="118">CONCATENATE(A1566,"-",B1566,"-",C1566,"-",D1566,"-",E1566,"-",F1566,"-",G1566)</f>
        <v>TCCN-PTE-PFL-PS2-CF7-SMO-MOE</v>
      </c>
      <c r="I1566" s="138" t="str">
        <f>MID(H1566,1,(LEN(H1566)-VLOOKUP(K1566,datos!$B$2:$C$12,2,0)))</f>
        <v>TCCN-PTE-PFL-PS2-CF7-SMO-MOE</v>
      </c>
      <c r="J1566" s="138" t="s">
        <v>5999</v>
      </c>
      <c r="K1566" s="140">
        <f>VLOOKUP(LEN(SUBSTITUTE(H1566,"-","")),datos!$A$1:$B$12,2,0)</f>
        <v>7</v>
      </c>
      <c r="L1566" s="138" t="s">
        <v>220</v>
      </c>
      <c r="M1566" s="138" t="s">
        <v>0</v>
      </c>
    </row>
    <row r="1567" spans="1:13" x14ac:dyDescent="0.35">
      <c r="A1567" s="138" t="s">
        <v>487</v>
      </c>
      <c r="B1567" s="138" t="s">
        <v>3809</v>
      </c>
      <c r="C1567" s="138" t="s">
        <v>3983</v>
      </c>
      <c r="D1567" s="138" t="s">
        <v>4012</v>
      </c>
      <c r="E1567" s="138" t="s">
        <v>4010</v>
      </c>
      <c r="F1567" s="138" t="s">
        <v>3847</v>
      </c>
      <c r="G1567" s="138" t="s">
        <v>3864</v>
      </c>
      <c r="H1567" s="81" t="str">
        <f t="shared" si="118"/>
        <v>TCCN-PTE-PFL-PS2-CF7-SMO-PMO</v>
      </c>
      <c r="I1567" s="138" t="str">
        <f>MID(H1567,1,(LEN(H1567)-VLOOKUP(K1567,datos!$B$2:$C$12,2,0)))</f>
        <v>TCCN-PTE-PFL-PS2-CF7-SMO-PMO</v>
      </c>
      <c r="J1567" s="138" t="s">
        <v>6000</v>
      </c>
      <c r="K1567" s="140">
        <f>VLOOKUP(LEN(SUBSTITUTE(H1567,"-","")),datos!$A$1:$B$12,2,0)</f>
        <v>7</v>
      </c>
      <c r="L1567" s="138"/>
      <c r="M1567" s="138" t="s">
        <v>0</v>
      </c>
    </row>
    <row r="1568" spans="1:13" x14ac:dyDescent="0.35">
      <c r="A1568" s="138" t="s">
        <v>487</v>
      </c>
      <c r="B1568" s="138" t="s">
        <v>3809</v>
      </c>
      <c r="C1568" s="138" t="s">
        <v>3983</v>
      </c>
      <c r="D1568" s="138" t="s">
        <v>4012</v>
      </c>
      <c r="E1568" s="138" t="s">
        <v>4010</v>
      </c>
      <c r="F1568" s="138" t="s">
        <v>3847</v>
      </c>
      <c r="G1568" s="138" t="s">
        <v>8116</v>
      </c>
      <c r="H1568" s="81" t="str">
        <f t="shared" si="118"/>
        <v>TCCN-PTE-PFL-PS2-CF7-SMO-PLE</v>
      </c>
      <c r="I1568" s="138" t="str">
        <f>MID(H1568,1,(LEN(H1568)-VLOOKUP(K1568,datos!$B$2:$C$12,2,0)))</f>
        <v>TCCN-PTE-PFL-PS2-CF7-SMO-PLE</v>
      </c>
      <c r="J1568" s="138" t="s">
        <v>6001</v>
      </c>
      <c r="K1568" s="140">
        <f>VLOOKUP(LEN(SUBSTITUTE(H1568,"-","")),datos!$A$1:$B$12,2,0)</f>
        <v>7</v>
      </c>
      <c r="L1568" s="138"/>
      <c r="M1568" s="138" t="s">
        <v>0</v>
      </c>
    </row>
    <row r="1569" spans="1:13" x14ac:dyDescent="0.35">
      <c r="A1569" s="138" t="s">
        <v>487</v>
      </c>
      <c r="B1569" s="138" t="s">
        <v>3809</v>
      </c>
      <c r="C1569" s="138" t="s">
        <v>3983</v>
      </c>
      <c r="D1569" s="138" t="s">
        <v>4012</v>
      </c>
      <c r="E1569" s="138" t="s">
        <v>4010</v>
      </c>
      <c r="F1569" s="138" t="s">
        <v>3847</v>
      </c>
      <c r="G1569" s="138" t="s">
        <v>5688</v>
      </c>
      <c r="H1569" s="81" t="str">
        <f t="shared" si="118"/>
        <v>TCCN-PTE-PFL-PS2-CF7-SMO-PRP</v>
      </c>
      <c r="I1569" s="138" t="str">
        <f>MID(H1569,1,(LEN(H1569)-VLOOKUP(K1569,datos!$B$2:$C$12,2,0)))</f>
        <v>TCCN-PTE-PFL-PS2-CF7-SMO-PRP</v>
      </c>
      <c r="J1569" s="138" t="s">
        <v>6002</v>
      </c>
      <c r="K1569" s="140">
        <f>VLOOKUP(LEN(SUBSTITUTE(H1569,"-","")),datos!$A$1:$B$12,2,0)</f>
        <v>7</v>
      </c>
      <c r="L1569" s="138"/>
      <c r="M1569" s="138" t="s">
        <v>0</v>
      </c>
    </row>
    <row r="1570" spans="1:13" x14ac:dyDescent="0.35">
      <c r="A1570" s="137" t="s">
        <v>487</v>
      </c>
      <c r="B1570" s="137" t="s">
        <v>3809</v>
      </c>
      <c r="C1570" s="137" t="s">
        <v>3983</v>
      </c>
      <c r="D1570" s="137" t="s">
        <v>4012</v>
      </c>
      <c r="E1570" s="137" t="s">
        <v>4010</v>
      </c>
      <c r="F1570" s="137" t="s">
        <v>3831</v>
      </c>
      <c r="G1570" s="137"/>
      <c r="H1570" s="82" t="str">
        <f t="shared" si="118"/>
        <v>TCCN-PTE-PFL-PS2-CF7-INS-</v>
      </c>
      <c r="I1570" s="137" t="str">
        <f>MID(H1570,1,(LEN(H1570)-VLOOKUP(K1570,datos!$B$2:$C$12,2,0)))</f>
        <v>TCCN-PTE-PFL-PS2-CF7-INS</v>
      </c>
      <c r="J1570" s="137" t="s">
        <v>6003</v>
      </c>
      <c r="K1570" s="139">
        <f>VLOOKUP(LEN(SUBSTITUTE(H1570,"-","")),datos!$A$1:$B$12,2,0)</f>
        <v>6</v>
      </c>
      <c r="L1570" s="137"/>
      <c r="M1570" s="137" t="s">
        <v>0</v>
      </c>
    </row>
    <row r="1571" spans="1:13" x14ac:dyDescent="0.35">
      <c r="A1571" s="138" t="s">
        <v>487</v>
      </c>
      <c r="B1571" s="138" t="s">
        <v>3809</v>
      </c>
      <c r="C1571" s="138" t="s">
        <v>3983</v>
      </c>
      <c r="D1571" s="138" t="s">
        <v>4012</v>
      </c>
      <c r="E1571" s="138" t="s">
        <v>4010</v>
      </c>
      <c r="F1571" s="138" t="s">
        <v>3831</v>
      </c>
      <c r="G1571" s="138" t="s">
        <v>4075</v>
      </c>
      <c r="H1571" s="81" t="str">
        <f t="shared" si="118"/>
        <v>TCCN-PTE-PFL-PS2-CF7-INS-VVA</v>
      </c>
      <c r="I1571" s="138" t="str">
        <f>MID(H1571,1,(LEN(H1571)-VLOOKUP(K1571,datos!$B$2:$C$12,2,0)))</f>
        <v>TCCN-PTE-PFL-PS2-CF7-INS-VVA</v>
      </c>
      <c r="J1571" s="138" t="s">
        <v>7834</v>
      </c>
      <c r="K1571" s="140">
        <f>VLOOKUP(LEN(SUBSTITUTE(H1571,"-","")),datos!$A$1:$B$12,2,0)</f>
        <v>7</v>
      </c>
      <c r="L1571" s="138" t="s">
        <v>7836</v>
      </c>
      <c r="M1571" s="138" t="s">
        <v>0</v>
      </c>
    </row>
    <row r="1572" spans="1:13" x14ac:dyDescent="0.35">
      <c r="A1572" s="138" t="s">
        <v>487</v>
      </c>
      <c r="B1572" s="138" t="s">
        <v>3809</v>
      </c>
      <c r="C1572" s="138" t="s">
        <v>3983</v>
      </c>
      <c r="D1572" s="138" t="s">
        <v>4012</v>
      </c>
      <c r="E1572" s="138" t="s">
        <v>4010</v>
      </c>
      <c r="F1572" s="138" t="s">
        <v>3831</v>
      </c>
      <c r="G1572" s="138" t="s">
        <v>4002</v>
      </c>
      <c r="H1572" s="81" t="str">
        <f t="shared" si="118"/>
        <v>TCCN-PTE-PFL-PS2-CF7-INS-FJM</v>
      </c>
      <c r="I1572" s="138" t="str">
        <f>MID(H1572,1,(LEN(H1572)-VLOOKUP(K1572,datos!$B$2:$C$12,2,0)))</f>
        <v>TCCN-PTE-PFL-PS2-CF7-INS-FJM</v>
      </c>
      <c r="J1572" s="138" t="s">
        <v>7835</v>
      </c>
      <c r="K1572" s="140">
        <f>VLOOKUP(LEN(SUBSTITUTE(H1572,"-","")),datos!$A$1:$B$12,2,0)</f>
        <v>7</v>
      </c>
      <c r="L1572" s="138" t="s">
        <v>7837</v>
      </c>
      <c r="M1572" s="138" t="s">
        <v>0</v>
      </c>
    </row>
    <row r="1573" spans="1:13" x14ac:dyDescent="0.35">
      <c r="A1573" s="137" t="s">
        <v>487</v>
      </c>
      <c r="B1573" s="137" t="s">
        <v>3809</v>
      </c>
      <c r="C1573" s="137" t="s">
        <v>3983</v>
      </c>
      <c r="D1573" s="137" t="s">
        <v>4012</v>
      </c>
      <c r="E1573" s="137" t="s">
        <v>4010</v>
      </c>
      <c r="F1573" s="137" t="s">
        <v>3869</v>
      </c>
      <c r="G1573" s="137"/>
      <c r="H1573" s="82" t="str">
        <f t="shared" si="118"/>
        <v>TCCN-PTE-PFL-PS2-CF7-SCE-</v>
      </c>
      <c r="I1573" s="137" t="str">
        <f>MID(H1573,1,(LEN(H1573)-VLOOKUP(K1573,datos!$B$2:$C$12,2,0)))</f>
        <v>TCCN-PTE-PFL-PS2-CF7-SCE</v>
      </c>
      <c r="J1573" s="137" t="s">
        <v>6004</v>
      </c>
      <c r="K1573" s="139">
        <f>VLOOKUP(LEN(SUBSTITUTE(H1573,"-","")),datos!$A$1:$B$12,2,0)</f>
        <v>6</v>
      </c>
      <c r="L1573" s="137"/>
      <c r="M1573" s="137" t="s">
        <v>0</v>
      </c>
    </row>
    <row r="1574" spans="1:13" x14ac:dyDescent="0.35">
      <c r="A1574" s="138" t="s">
        <v>487</v>
      </c>
      <c r="B1574" s="138" t="s">
        <v>3809</v>
      </c>
      <c r="C1574" s="138" t="s">
        <v>3983</v>
      </c>
      <c r="D1574" s="138" t="s">
        <v>4012</v>
      </c>
      <c r="E1574" s="138" t="s">
        <v>4010</v>
      </c>
      <c r="F1574" s="138" t="s">
        <v>3869</v>
      </c>
      <c r="G1574" s="138" t="s">
        <v>3870</v>
      </c>
      <c r="H1574" s="81" t="str">
        <f t="shared" si="118"/>
        <v>TCCN-PTE-PFL-PS2-CF7-SCE-BTN</v>
      </c>
      <c r="I1574" s="138" t="str">
        <f>MID(H1574,1,(LEN(H1574)-VLOOKUP(K1574,datos!$B$2:$C$12,2,0)))</f>
        <v>TCCN-PTE-PFL-PS2-CF7-SCE-BTN</v>
      </c>
      <c r="J1574" s="138" t="s">
        <v>6005</v>
      </c>
      <c r="K1574" s="140">
        <f>VLOOKUP(LEN(SUBSTITUTE(H1574,"-","")),datos!$A$1:$B$12,2,0)</f>
        <v>7</v>
      </c>
      <c r="L1574" s="138"/>
      <c r="M1574" s="138" t="s">
        <v>0</v>
      </c>
    </row>
    <row r="1575" spans="1:13" customFormat="1" ht="14.5" x14ac:dyDescent="0.35">
      <c r="A1575" s="129" t="s">
        <v>487</v>
      </c>
      <c r="B1575" s="129" t="s">
        <v>3809</v>
      </c>
      <c r="C1575" s="129" t="s">
        <v>3983</v>
      </c>
      <c r="D1575" s="129" t="s">
        <v>4012</v>
      </c>
      <c r="E1575" s="129" t="s">
        <v>4011</v>
      </c>
      <c r="F1575" s="129"/>
      <c r="G1575" s="129"/>
      <c r="H1575" s="83" t="str">
        <f t="shared" si="118"/>
        <v>TCCN-PTE-PFL-PS2-CF8--</v>
      </c>
      <c r="I1575" s="129" t="str">
        <f>MID(H1575,1,(LEN(H1575)-VLOOKUP(K1575,datos!$B$2:$C$12,2,0)))</f>
        <v>TCCN-PTE-PFL-PS2-CF8</v>
      </c>
      <c r="J1575" s="129" t="s">
        <v>465</v>
      </c>
      <c r="K1575" s="130">
        <f>VLOOKUP(LEN(SUBSTITUTE(H1575,"-","")),datos!$A$1:$B$12,2,0)</f>
        <v>5</v>
      </c>
      <c r="L1575" s="129" t="s">
        <v>221</v>
      </c>
      <c r="M1575" s="129" t="s">
        <v>0</v>
      </c>
    </row>
    <row r="1576" spans="1:13" x14ac:dyDescent="0.35">
      <c r="A1576" s="137" t="s">
        <v>487</v>
      </c>
      <c r="B1576" s="137" t="s">
        <v>3809</v>
      </c>
      <c r="C1576" s="137" t="s">
        <v>3983</v>
      </c>
      <c r="D1576" s="137" t="s">
        <v>4012</v>
      </c>
      <c r="E1576" s="137" t="s">
        <v>4011</v>
      </c>
      <c r="F1576" s="137" t="s">
        <v>3948</v>
      </c>
      <c r="G1576" s="137"/>
      <c r="H1576" s="82" t="str">
        <f t="shared" si="118"/>
        <v>TCCN-PTE-PFL-PS2-CF8-SCP-</v>
      </c>
      <c r="I1576" s="137" t="str">
        <f>MID(H1576,1,(LEN(H1576)-VLOOKUP(K1576,datos!$B$2:$C$12,2,0)))</f>
        <v>TCCN-PTE-PFL-PS2-CF8-SCP</v>
      </c>
      <c r="J1576" s="137" t="s">
        <v>5970</v>
      </c>
      <c r="K1576" s="139">
        <f>VLOOKUP(LEN(SUBSTITUTE(H1576,"-","")),datos!$A$1:$B$12,2,0)</f>
        <v>6</v>
      </c>
      <c r="L1576" s="137"/>
      <c r="M1576" s="137" t="s">
        <v>0</v>
      </c>
    </row>
    <row r="1577" spans="1:13" x14ac:dyDescent="0.35">
      <c r="A1577" s="138" t="s">
        <v>487</v>
      </c>
      <c r="B1577" s="138" t="s">
        <v>3809</v>
      </c>
      <c r="C1577" s="138" t="s">
        <v>3983</v>
      </c>
      <c r="D1577" s="138" t="s">
        <v>4012</v>
      </c>
      <c r="E1577" s="138" t="s">
        <v>4011</v>
      </c>
      <c r="F1577" s="138" t="s">
        <v>3948</v>
      </c>
      <c r="G1577" s="138" t="s">
        <v>3993</v>
      </c>
      <c r="H1577" s="81" t="str">
        <f t="shared" si="118"/>
        <v>TCCN-PTE-PFL-PS2-CF8-SCP-POR</v>
      </c>
      <c r="I1577" s="138" t="str">
        <f>MID(H1577,1,(LEN(H1577)-VLOOKUP(K1577,datos!$B$2:$C$12,2,0)))</f>
        <v>TCCN-PTE-PFL-PS2-CF8-SCP-POR</v>
      </c>
      <c r="J1577" s="138" t="s">
        <v>5971</v>
      </c>
      <c r="K1577" s="140">
        <f>VLOOKUP(LEN(SUBSTITUTE(H1577,"-","")),datos!$A$1:$B$12,2,0)</f>
        <v>7</v>
      </c>
      <c r="L1577" s="138"/>
      <c r="M1577" s="138" t="s">
        <v>0</v>
      </c>
    </row>
    <row r="1578" spans="1:13" x14ac:dyDescent="0.35">
      <c r="A1578" s="138" t="s">
        <v>487</v>
      </c>
      <c r="B1578" s="138" t="s">
        <v>3809</v>
      </c>
      <c r="C1578" s="138" t="s">
        <v>3983</v>
      </c>
      <c r="D1578" s="138" t="s">
        <v>4012</v>
      </c>
      <c r="E1578" s="138" t="s">
        <v>4011</v>
      </c>
      <c r="F1578" s="138" t="s">
        <v>3948</v>
      </c>
      <c r="G1578" s="138" t="s">
        <v>3994</v>
      </c>
      <c r="H1578" s="81" t="str">
        <f t="shared" si="118"/>
        <v>TCCN-PTE-PFL-PS2-CF8-SCP-RTO</v>
      </c>
      <c r="I1578" s="138" t="str">
        <f>MID(H1578,1,(LEN(H1578)-VLOOKUP(K1578,datos!$B$2:$C$12,2,0)))</f>
        <v>TCCN-PTE-PFL-PS2-CF8-SCP-RTO</v>
      </c>
      <c r="J1578" s="138" t="s">
        <v>5972</v>
      </c>
      <c r="K1578" s="140">
        <f>VLOOKUP(LEN(SUBSTITUTE(H1578,"-","")),datos!$A$1:$B$12,2,0)</f>
        <v>7</v>
      </c>
      <c r="L1578" s="138"/>
      <c r="M1578" s="138" t="s">
        <v>0</v>
      </c>
    </row>
    <row r="1579" spans="1:13" x14ac:dyDescent="0.35">
      <c r="A1579" s="138" t="s">
        <v>487</v>
      </c>
      <c r="B1579" s="138" t="s">
        <v>3809</v>
      </c>
      <c r="C1579" s="138" t="s">
        <v>3983</v>
      </c>
      <c r="D1579" s="138" t="s">
        <v>4012</v>
      </c>
      <c r="E1579" s="138" t="s">
        <v>4011</v>
      </c>
      <c r="F1579" s="138" t="s">
        <v>3948</v>
      </c>
      <c r="G1579" s="138" t="s">
        <v>3995</v>
      </c>
      <c r="H1579" s="81" t="str">
        <f t="shared" si="118"/>
        <v>TCCN-PTE-PFL-PS2-CF8-SCP-ETT</v>
      </c>
      <c r="I1579" s="138" t="str">
        <f>MID(H1579,1,(LEN(H1579)-VLOOKUP(K1579,datos!$B$2:$C$12,2,0)))</f>
        <v>TCCN-PTE-PFL-PS2-CF8-SCP-ETT</v>
      </c>
      <c r="J1579" s="138" t="s">
        <v>5973</v>
      </c>
      <c r="K1579" s="140">
        <f>VLOOKUP(LEN(SUBSTITUTE(H1579,"-","")),datos!$A$1:$B$12,2,0)</f>
        <v>7</v>
      </c>
      <c r="L1579" s="138"/>
      <c r="M1579" s="138" t="s">
        <v>0</v>
      </c>
    </row>
    <row r="1580" spans="1:13" x14ac:dyDescent="0.35">
      <c r="A1580" s="138" t="s">
        <v>487</v>
      </c>
      <c r="B1580" s="138" t="s">
        <v>3809</v>
      </c>
      <c r="C1580" s="138" t="s">
        <v>3983</v>
      </c>
      <c r="D1580" s="138" t="s">
        <v>4012</v>
      </c>
      <c r="E1580" s="138" t="s">
        <v>4011</v>
      </c>
      <c r="F1580" s="138" t="s">
        <v>3948</v>
      </c>
      <c r="G1580" s="138" t="s">
        <v>3996</v>
      </c>
      <c r="H1580" s="81" t="str">
        <f t="shared" si="118"/>
        <v>TCCN-PTE-PFL-PS2-CF8-SCP-DDT</v>
      </c>
      <c r="I1580" s="138" t="str">
        <f>MID(H1580,1,(LEN(H1580)-VLOOKUP(K1580,datos!$B$2:$C$12,2,0)))</f>
        <v>TCCN-PTE-PFL-PS2-CF8-SCP-DDT</v>
      </c>
      <c r="J1580" s="138" t="s">
        <v>5974</v>
      </c>
      <c r="K1580" s="140">
        <f>VLOOKUP(LEN(SUBSTITUTE(H1580,"-","")),datos!$A$1:$B$12,2,0)</f>
        <v>7</v>
      </c>
      <c r="L1580" s="138"/>
      <c r="M1580" s="138" t="s">
        <v>0</v>
      </c>
    </row>
    <row r="1581" spans="1:13" x14ac:dyDescent="0.35">
      <c r="A1581" s="138" t="s">
        <v>487</v>
      </c>
      <c r="B1581" s="138" t="s">
        <v>3809</v>
      </c>
      <c r="C1581" s="138" t="s">
        <v>3983</v>
      </c>
      <c r="D1581" s="138" t="s">
        <v>4012</v>
      </c>
      <c r="E1581" s="138" t="s">
        <v>4011</v>
      </c>
      <c r="F1581" s="138" t="s">
        <v>3948</v>
      </c>
      <c r="G1581" s="138" t="s">
        <v>3997</v>
      </c>
      <c r="H1581" s="81" t="str">
        <f t="shared" si="118"/>
        <v>TCCN-PTE-PFL-PS2-CF8-SCP-EJE</v>
      </c>
      <c r="I1581" s="138" t="str">
        <f>MID(H1581,1,(LEN(H1581)-VLOOKUP(K1581,datos!$B$2:$C$12,2,0)))</f>
        <v>TCCN-PTE-PFL-PS2-CF8-SCP-EJE</v>
      </c>
      <c r="J1581" s="138" t="s">
        <v>5975</v>
      </c>
      <c r="K1581" s="140">
        <f>VLOOKUP(LEN(SUBSTITUTE(H1581,"-","")),datos!$A$1:$B$12,2,0)</f>
        <v>7</v>
      </c>
      <c r="L1581" s="138"/>
      <c r="M1581" s="138" t="s">
        <v>0</v>
      </c>
    </row>
    <row r="1582" spans="1:13" x14ac:dyDescent="0.35">
      <c r="A1582" s="137" t="s">
        <v>487</v>
      </c>
      <c r="B1582" s="137" t="s">
        <v>3809</v>
      </c>
      <c r="C1582" s="137" t="s">
        <v>3983</v>
      </c>
      <c r="D1582" s="137" t="s">
        <v>4012</v>
      </c>
      <c r="E1582" s="137" t="s">
        <v>4011</v>
      </c>
      <c r="F1582" s="137" t="s">
        <v>3824</v>
      </c>
      <c r="G1582" s="137"/>
      <c r="H1582" s="82" t="str">
        <f t="shared" si="118"/>
        <v>TCCN-PTE-PFL-PS2-CF8-SES-</v>
      </c>
      <c r="I1582" s="137" t="str">
        <f>MID(H1582,1,(LEN(H1582)-VLOOKUP(K1582,datos!$B$2:$C$12,2,0)))</f>
        <v>TCCN-PTE-PFL-PS2-CF8-SES</v>
      </c>
      <c r="J1582" s="137" t="s">
        <v>5976</v>
      </c>
      <c r="K1582" s="139">
        <f>VLOOKUP(LEN(SUBSTITUTE(H1582,"-","")),datos!$A$1:$B$12,2,0)</f>
        <v>6</v>
      </c>
      <c r="L1582" s="137"/>
      <c r="M1582" s="137" t="s">
        <v>0</v>
      </c>
    </row>
    <row r="1583" spans="1:13" x14ac:dyDescent="0.35">
      <c r="A1583" s="138" t="s">
        <v>487</v>
      </c>
      <c r="B1583" s="138" t="s">
        <v>3809</v>
      </c>
      <c r="C1583" s="138" t="s">
        <v>3983</v>
      </c>
      <c r="D1583" s="138" t="s">
        <v>4012</v>
      </c>
      <c r="E1583" s="138" t="s">
        <v>4011</v>
      </c>
      <c r="F1583" s="138" t="s">
        <v>3824</v>
      </c>
      <c r="G1583" s="138" t="s">
        <v>3998</v>
      </c>
      <c r="H1583" s="81" t="str">
        <f t="shared" si="118"/>
        <v>TCCN-PTE-PFL-PS2-CF8-SES-BYG</v>
      </c>
      <c r="I1583" s="138" t="str">
        <f>MID(H1583,1,(LEN(H1583)-VLOOKUP(K1583,datos!$B$2:$C$12,2,0)))</f>
        <v>TCCN-PTE-PFL-PS2-CF8-SES-BYG</v>
      </c>
      <c r="J1583" s="138" t="s">
        <v>8033</v>
      </c>
      <c r="K1583" s="140">
        <f>VLOOKUP(LEN(SUBSTITUTE(H1583,"-","")),datos!$A$1:$B$12,2,0)</f>
        <v>7</v>
      </c>
      <c r="L1583" s="138"/>
      <c r="M1583" s="138" t="s">
        <v>0</v>
      </c>
    </row>
    <row r="1584" spans="1:13" x14ac:dyDescent="0.35">
      <c r="A1584" s="138" t="s">
        <v>487</v>
      </c>
      <c r="B1584" s="138" t="s">
        <v>3809</v>
      </c>
      <c r="C1584" s="138" t="s">
        <v>3983</v>
      </c>
      <c r="D1584" s="138" t="s">
        <v>4012</v>
      </c>
      <c r="E1584" s="138" t="s">
        <v>4011</v>
      </c>
      <c r="F1584" s="138" t="s">
        <v>3824</v>
      </c>
      <c r="G1584" s="138" t="s">
        <v>3999</v>
      </c>
      <c r="H1584" s="81" t="str">
        <f t="shared" si="118"/>
        <v>TCCN-PTE-PFL-PS2-CF8-SES-RDP</v>
      </c>
      <c r="I1584" s="138" t="str">
        <f>MID(H1584,1,(LEN(H1584)-VLOOKUP(K1584,datos!$B$2:$C$12,2,0)))</f>
        <v>TCCN-PTE-PFL-PS2-CF8-SES-RDP</v>
      </c>
      <c r="J1584" s="138" t="s">
        <v>5977</v>
      </c>
      <c r="K1584" s="140">
        <f>VLOOKUP(LEN(SUBSTITUTE(H1584,"-","")),datos!$A$1:$B$12,2,0)</f>
        <v>7</v>
      </c>
      <c r="L1584" s="138"/>
      <c r="M1584" s="138" t="s">
        <v>0</v>
      </c>
    </row>
    <row r="1585" spans="1:13" x14ac:dyDescent="0.35">
      <c r="A1585" s="138" t="s">
        <v>487</v>
      </c>
      <c r="B1585" s="138" t="s">
        <v>3809</v>
      </c>
      <c r="C1585" s="138" t="s">
        <v>3983</v>
      </c>
      <c r="D1585" s="138" t="s">
        <v>4012</v>
      </c>
      <c r="E1585" s="138" t="s">
        <v>4011</v>
      </c>
      <c r="F1585" s="138" t="s">
        <v>3824</v>
      </c>
      <c r="G1585" s="138" t="s">
        <v>3853</v>
      </c>
      <c r="H1585" s="81" t="str">
        <f t="shared" si="118"/>
        <v>TCCN-PTE-PFL-PS2-CF8-SES-EST</v>
      </c>
      <c r="I1585" s="138" t="str">
        <f>MID(H1585,1,(LEN(H1585)-VLOOKUP(K1585,datos!$B$2:$C$12,2,0)))</f>
        <v>TCCN-PTE-PFL-PS2-CF8-SES-EST</v>
      </c>
      <c r="J1585" s="138" t="s">
        <v>5978</v>
      </c>
      <c r="K1585" s="140">
        <f>VLOOKUP(LEN(SUBSTITUTE(H1585,"-","")),datos!$A$1:$B$12,2,0)</f>
        <v>7</v>
      </c>
      <c r="L1585" s="138"/>
      <c r="M1585" s="138" t="s">
        <v>0</v>
      </c>
    </row>
    <row r="1586" spans="1:13" x14ac:dyDescent="0.35">
      <c r="A1586" s="138" t="s">
        <v>487</v>
      </c>
      <c r="B1586" s="138" t="s">
        <v>3809</v>
      </c>
      <c r="C1586" s="138" t="s">
        <v>3983</v>
      </c>
      <c r="D1586" s="138" t="s">
        <v>4012</v>
      </c>
      <c r="E1586" s="138" t="s">
        <v>4011</v>
      </c>
      <c r="F1586" s="138" t="s">
        <v>3824</v>
      </c>
      <c r="G1586" s="138" t="s">
        <v>4000</v>
      </c>
      <c r="H1586" s="81" t="str">
        <f t="shared" si="118"/>
        <v>TCCN-PTE-PFL-PS2-CF8-SES-CRW</v>
      </c>
      <c r="I1586" s="138" t="str">
        <f>MID(H1586,1,(LEN(H1586)-VLOOKUP(K1586,datos!$B$2:$C$12,2,0)))</f>
        <v>TCCN-PTE-PFL-PS2-CF8-SES-CRW</v>
      </c>
      <c r="J1586" s="138" t="s">
        <v>5979</v>
      </c>
      <c r="K1586" s="140">
        <f>VLOOKUP(LEN(SUBSTITUTE(H1586,"-","")),datos!$A$1:$B$12,2,0)</f>
        <v>7</v>
      </c>
      <c r="L1586" s="138"/>
      <c r="M1586" s="138" t="s">
        <v>0</v>
      </c>
    </row>
    <row r="1587" spans="1:13" x14ac:dyDescent="0.35">
      <c r="A1587" s="137" t="s">
        <v>487</v>
      </c>
      <c r="B1587" s="137" t="s">
        <v>3809</v>
      </c>
      <c r="C1587" s="137" t="s">
        <v>3983</v>
      </c>
      <c r="D1587" s="137" t="s">
        <v>4012</v>
      </c>
      <c r="E1587" s="137" t="s">
        <v>4011</v>
      </c>
      <c r="F1587" s="137" t="s">
        <v>3847</v>
      </c>
      <c r="G1587" s="137"/>
      <c r="H1587" s="82" t="str">
        <f t="shared" si="118"/>
        <v>TCCN-PTE-PFL-PS2-CF8-SMO-</v>
      </c>
      <c r="I1587" s="137" t="str">
        <f>MID(H1587,1,(LEN(H1587)-VLOOKUP(K1587,datos!$B$2:$C$12,2,0)))</f>
        <v>TCCN-PTE-PFL-PS2-CF8-SMO</v>
      </c>
      <c r="J1587" s="137" t="s">
        <v>5980</v>
      </c>
      <c r="K1587" s="139">
        <f>VLOOKUP(LEN(SUBSTITUTE(H1587,"-","")),datos!$A$1:$B$12,2,0)</f>
        <v>6</v>
      </c>
      <c r="L1587" s="137"/>
      <c r="M1587" s="137" t="s">
        <v>0</v>
      </c>
    </row>
    <row r="1588" spans="1:13" x14ac:dyDescent="0.35">
      <c r="A1588" s="138" t="s">
        <v>487</v>
      </c>
      <c r="B1588" s="138" t="s">
        <v>3809</v>
      </c>
      <c r="C1588" s="138" t="s">
        <v>3983</v>
      </c>
      <c r="D1588" s="138" t="s">
        <v>4012</v>
      </c>
      <c r="E1588" s="138" t="s">
        <v>4011</v>
      </c>
      <c r="F1588" s="138" t="s">
        <v>3847</v>
      </c>
      <c r="G1588" s="138" t="s">
        <v>3819</v>
      </c>
      <c r="H1588" s="81" t="str">
        <f t="shared" si="118"/>
        <v>TCCN-PTE-PFL-PS2-CF8-SMO-MOE</v>
      </c>
      <c r="I1588" s="138" t="str">
        <f>MID(H1588,1,(LEN(H1588)-VLOOKUP(K1588,datos!$B$2:$C$12,2,0)))</f>
        <v>TCCN-PTE-PFL-PS2-CF8-SMO-MOE</v>
      </c>
      <c r="J1588" s="138" t="s">
        <v>5981</v>
      </c>
      <c r="K1588" s="140">
        <f>VLOOKUP(LEN(SUBSTITUTE(H1588,"-","")),datos!$A$1:$B$12,2,0)</f>
        <v>7</v>
      </c>
      <c r="L1588" s="138" t="s">
        <v>222</v>
      </c>
      <c r="M1588" s="138" t="s">
        <v>0</v>
      </c>
    </row>
    <row r="1589" spans="1:13" x14ac:dyDescent="0.35">
      <c r="A1589" s="138" t="s">
        <v>487</v>
      </c>
      <c r="B1589" s="138" t="s">
        <v>3809</v>
      </c>
      <c r="C1589" s="138" t="s">
        <v>3983</v>
      </c>
      <c r="D1589" s="138" t="s">
        <v>4012</v>
      </c>
      <c r="E1589" s="138" t="s">
        <v>4011</v>
      </c>
      <c r="F1589" s="138" t="s">
        <v>3847</v>
      </c>
      <c r="G1589" s="138" t="s">
        <v>3864</v>
      </c>
      <c r="H1589" s="81" t="str">
        <f t="shared" si="118"/>
        <v>TCCN-PTE-PFL-PS2-CF8-SMO-PMO</v>
      </c>
      <c r="I1589" s="138" t="str">
        <f>MID(H1589,1,(LEN(H1589)-VLOOKUP(K1589,datos!$B$2:$C$12,2,0)))</f>
        <v>TCCN-PTE-PFL-PS2-CF8-SMO-PMO</v>
      </c>
      <c r="J1589" s="138" t="s">
        <v>5982</v>
      </c>
      <c r="K1589" s="140">
        <f>VLOOKUP(LEN(SUBSTITUTE(H1589,"-","")),datos!$A$1:$B$12,2,0)</f>
        <v>7</v>
      </c>
      <c r="L1589" s="138"/>
      <c r="M1589" s="138" t="s">
        <v>0</v>
      </c>
    </row>
    <row r="1590" spans="1:13" x14ac:dyDescent="0.35">
      <c r="A1590" s="138" t="s">
        <v>487</v>
      </c>
      <c r="B1590" s="138" t="s">
        <v>3809</v>
      </c>
      <c r="C1590" s="138" t="s">
        <v>3983</v>
      </c>
      <c r="D1590" s="138" t="s">
        <v>4012</v>
      </c>
      <c r="E1590" s="138" t="s">
        <v>4011</v>
      </c>
      <c r="F1590" s="138" t="s">
        <v>3847</v>
      </c>
      <c r="G1590" s="138" t="s">
        <v>8116</v>
      </c>
      <c r="H1590" s="81" t="str">
        <f t="shared" si="118"/>
        <v>TCCN-PTE-PFL-PS2-CF8-SMO-PLE</v>
      </c>
      <c r="I1590" s="138" t="str">
        <f>MID(H1590,1,(LEN(H1590)-VLOOKUP(K1590,datos!$B$2:$C$12,2,0)))</f>
        <v>TCCN-PTE-PFL-PS2-CF8-SMO-PLE</v>
      </c>
      <c r="J1590" s="138" t="s">
        <v>5983</v>
      </c>
      <c r="K1590" s="140">
        <f>VLOOKUP(LEN(SUBSTITUTE(H1590,"-","")),datos!$A$1:$B$12,2,0)</f>
        <v>7</v>
      </c>
      <c r="L1590" s="138"/>
      <c r="M1590" s="138" t="s">
        <v>0</v>
      </c>
    </row>
    <row r="1591" spans="1:13" x14ac:dyDescent="0.35">
      <c r="A1591" s="138" t="s">
        <v>487</v>
      </c>
      <c r="B1591" s="138" t="s">
        <v>3809</v>
      </c>
      <c r="C1591" s="138" t="s">
        <v>3983</v>
      </c>
      <c r="D1591" s="138" t="s">
        <v>4012</v>
      </c>
      <c r="E1591" s="138" t="s">
        <v>4011</v>
      </c>
      <c r="F1591" s="138" t="s">
        <v>3847</v>
      </c>
      <c r="G1591" s="138" t="s">
        <v>5688</v>
      </c>
      <c r="H1591" s="81" t="str">
        <f t="shared" si="118"/>
        <v>TCCN-PTE-PFL-PS2-CF8-SMO-PRP</v>
      </c>
      <c r="I1591" s="138" t="str">
        <f>MID(H1591,1,(LEN(H1591)-VLOOKUP(K1591,datos!$B$2:$C$12,2,0)))</f>
        <v>TCCN-PTE-PFL-PS2-CF8-SMO-PRP</v>
      </c>
      <c r="J1591" s="138" t="s">
        <v>5984</v>
      </c>
      <c r="K1591" s="140">
        <f>VLOOKUP(LEN(SUBSTITUTE(H1591,"-","")),datos!$A$1:$B$12,2,0)</f>
        <v>7</v>
      </c>
      <c r="L1591" s="138"/>
      <c r="M1591" s="138" t="s">
        <v>0</v>
      </c>
    </row>
    <row r="1592" spans="1:13" x14ac:dyDescent="0.35">
      <c r="A1592" s="137" t="s">
        <v>487</v>
      </c>
      <c r="B1592" s="137" t="s">
        <v>3809</v>
      </c>
      <c r="C1592" s="137" t="s">
        <v>3983</v>
      </c>
      <c r="D1592" s="137" t="s">
        <v>4012</v>
      </c>
      <c r="E1592" s="137" t="s">
        <v>4011</v>
      </c>
      <c r="F1592" s="137" t="s">
        <v>3831</v>
      </c>
      <c r="G1592" s="137"/>
      <c r="H1592" s="82" t="str">
        <f t="shared" si="118"/>
        <v>TCCN-PTE-PFL-PS2-CF8-INS-</v>
      </c>
      <c r="I1592" s="137" t="str">
        <f>MID(H1592,1,(LEN(H1592)-VLOOKUP(K1592,datos!$B$2:$C$12,2,0)))</f>
        <v>TCCN-PTE-PFL-PS2-CF8-INS</v>
      </c>
      <c r="J1592" s="137" t="s">
        <v>5985</v>
      </c>
      <c r="K1592" s="139">
        <f>VLOOKUP(LEN(SUBSTITUTE(H1592,"-","")),datos!$A$1:$B$12,2,0)</f>
        <v>6</v>
      </c>
      <c r="L1592" s="137"/>
      <c r="M1592" s="137" t="s">
        <v>0</v>
      </c>
    </row>
    <row r="1593" spans="1:13" x14ac:dyDescent="0.35">
      <c r="A1593" s="138" t="s">
        <v>487</v>
      </c>
      <c r="B1593" s="138" t="s">
        <v>3809</v>
      </c>
      <c r="C1593" s="138" t="s">
        <v>3983</v>
      </c>
      <c r="D1593" s="138" t="s">
        <v>4012</v>
      </c>
      <c r="E1593" s="138" t="s">
        <v>4011</v>
      </c>
      <c r="F1593" s="138" t="s">
        <v>3831</v>
      </c>
      <c r="G1593" s="138" t="s">
        <v>4075</v>
      </c>
      <c r="H1593" s="81" t="str">
        <f t="shared" si="118"/>
        <v>TCCN-PTE-PFL-PS2-CF8-INS-VVA</v>
      </c>
      <c r="I1593" s="138" t="str">
        <f>MID(H1593,1,(LEN(H1593)-VLOOKUP(K1593,datos!$B$2:$C$12,2,0)))</f>
        <v>TCCN-PTE-PFL-PS2-CF8-INS-VVA</v>
      </c>
      <c r="J1593" s="138" t="s">
        <v>7838</v>
      </c>
      <c r="K1593" s="140">
        <f>VLOOKUP(LEN(SUBSTITUTE(H1593,"-","")),datos!$A$1:$B$12,2,0)</f>
        <v>7</v>
      </c>
      <c r="L1593" s="138" t="s">
        <v>7840</v>
      </c>
      <c r="M1593" s="138" t="s">
        <v>0</v>
      </c>
    </row>
    <row r="1594" spans="1:13" x14ac:dyDescent="0.35">
      <c r="A1594" s="138" t="s">
        <v>487</v>
      </c>
      <c r="B1594" s="138" t="s">
        <v>3809</v>
      </c>
      <c r="C1594" s="138" t="s">
        <v>3983</v>
      </c>
      <c r="D1594" s="138" t="s">
        <v>4012</v>
      </c>
      <c r="E1594" s="138" t="s">
        <v>4011</v>
      </c>
      <c r="F1594" s="138" t="s">
        <v>3831</v>
      </c>
      <c r="G1594" s="138" t="s">
        <v>5256</v>
      </c>
      <c r="H1594" s="81" t="str">
        <f t="shared" si="118"/>
        <v>TCCN-PTE-PFL-PS2-CF8-INS-MNV</v>
      </c>
      <c r="I1594" s="138" t="str">
        <f>MID(H1594,1,(LEN(H1594)-VLOOKUP(K1594,datos!$B$2:$C$12,2,0)))</f>
        <v>TCCN-PTE-PFL-PS2-CF8-INS-MNV</v>
      </c>
      <c r="J1594" s="138" t="s">
        <v>7792</v>
      </c>
      <c r="K1594" s="140">
        <f>VLOOKUP(LEN(SUBSTITUTE(H1594,"-","")),datos!$A$1:$B$12,2,0)</f>
        <v>7</v>
      </c>
      <c r="L1594" s="138" t="s">
        <v>7841</v>
      </c>
      <c r="M1594" s="138" t="s">
        <v>0</v>
      </c>
    </row>
    <row r="1595" spans="1:13" x14ac:dyDescent="0.35">
      <c r="A1595" s="138" t="s">
        <v>487</v>
      </c>
      <c r="B1595" s="138" t="s">
        <v>3809</v>
      </c>
      <c r="C1595" s="138" t="s">
        <v>3983</v>
      </c>
      <c r="D1595" s="138" t="s">
        <v>4012</v>
      </c>
      <c r="E1595" s="138" t="s">
        <v>4011</v>
      </c>
      <c r="F1595" s="138" t="s">
        <v>3831</v>
      </c>
      <c r="G1595" s="138" t="s">
        <v>4002</v>
      </c>
      <c r="H1595" s="81" t="str">
        <f t="shared" si="118"/>
        <v>TCCN-PTE-PFL-PS2-CF8-INS-FJM</v>
      </c>
      <c r="I1595" s="138" t="str">
        <f>MID(H1595,1,(LEN(H1595)-VLOOKUP(K1595,datos!$B$2:$C$12,2,0)))</f>
        <v>TCCN-PTE-PFL-PS2-CF8-INS-FJM</v>
      </c>
      <c r="J1595" s="138" t="s">
        <v>7839</v>
      </c>
      <c r="K1595" s="140">
        <f>VLOOKUP(LEN(SUBSTITUTE(H1595,"-","")),datos!$A$1:$B$12,2,0)</f>
        <v>7</v>
      </c>
      <c r="L1595" s="138" t="s">
        <v>7842</v>
      </c>
      <c r="M1595" s="138" t="s">
        <v>0</v>
      </c>
    </row>
    <row r="1596" spans="1:13" x14ac:dyDescent="0.35">
      <c r="A1596" s="137" t="s">
        <v>487</v>
      </c>
      <c r="B1596" s="137" t="s">
        <v>3809</v>
      </c>
      <c r="C1596" s="137" t="s">
        <v>3983</v>
      </c>
      <c r="D1596" s="137" t="s">
        <v>4012</v>
      </c>
      <c r="E1596" s="137" t="s">
        <v>4011</v>
      </c>
      <c r="F1596" s="137" t="s">
        <v>3869</v>
      </c>
      <c r="G1596" s="137"/>
      <c r="H1596" s="82" t="str">
        <f t="shared" si="118"/>
        <v>TCCN-PTE-PFL-PS2-CF8-SCE-</v>
      </c>
      <c r="I1596" s="137" t="str">
        <f>MID(H1596,1,(LEN(H1596)-VLOOKUP(K1596,datos!$B$2:$C$12,2,0)))</f>
        <v>TCCN-PTE-PFL-PS2-CF8-SCE</v>
      </c>
      <c r="J1596" s="137" t="s">
        <v>5986</v>
      </c>
      <c r="K1596" s="139">
        <f>VLOOKUP(LEN(SUBSTITUTE(H1596,"-","")),datos!$A$1:$B$12,2,0)</f>
        <v>6</v>
      </c>
      <c r="L1596" s="137"/>
      <c r="M1596" s="137" t="s">
        <v>0</v>
      </c>
    </row>
    <row r="1597" spans="1:13" x14ac:dyDescent="0.35">
      <c r="A1597" s="138" t="s">
        <v>487</v>
      </c>
      <c r="B1597" s="138" t="s">
        <v>3809</v>
      </c>
      <c r="C1597" s="138" t="s">
        <v>3983</v>
      </c>
      <c r="D1597" s="138" t="s">
        <v>4012</v>
      </c>
      <c r="E1597" s="138" t="s">
        <v>4011</v>
      </c>
      <c r="F1597" s="138" t="s">
        <v>3869</v>
      </c>
      <c r="G1597" s="138" t="s">
        <v>3870</v>
      </c>
      <c r="H1597" s="81" t="str">
        <f t="shared" si="118"/>
        <v>TCCN-PTE-PFL-PS2-CF8-SCE-BTN</v>
      </c>
      <c r="I1597" s="138" t="str">
        <f>MID(H1597,1,(LEN(H1597)-VLOOKUP(K1597,datos!$B$2:$C$12,2,0)))</f>
        <v>TCCN-PTE-PFL-PS2-CF8-SCE-BTN</v>
      </c>
      <c r="J1597" s="138" t="s">
        <v>5987</v>
      </c>
      <c r="K1597" s="140">
        <f>VLOOKUP(LEN(SUBSTITUTE(H1597,"-","")),datos!$A$1:$B$12,2,0)</f>
        <v>7</v>
      </c>
      <c r="L1597" s="138"/>
      <c r="M1597" s="138" t="s">
        <v>0</v>
      </c>
    </row>
    <row r="1598" spans="1:13" customFormat="1" ht="14.5" x14ac:dyDescent="0.35">
      <c r="A1598" s="129" t="s">
        <v>487</v>
      </c>
      <c r="B1598" s="129" t="s">
        <v>3809</v>
      </c>
      <c r="C1598" s="129" t="s">
        <v>3983</v>
      </c>
      <c r="D1598" s="129" t="s">
        <v>4012</v>
      </c>
      <c r="E1598" s="129" t="s">
        <v>7797</v>
      </c>
      <c r="F1598" s="129"/>
      <c r="G1598" s="129"/>
      <c r="H1598" s="83" t="str">
        <f t="shared" si="118"/>
        <v>TCCN-PTE-PFL-PS2-CB3--</v>
      </c>
      <c r="I1598" s="129" t="str">
        <f>MID(H1598,1,(LEN(H1598)-VLOOKUP(K1598,datos!$B$2:$C$12,2,0)))</f>
        <v>TCCN-PTE-PFL-PS2-CB3</v>
      </c>
      <c r="J1598" s="129" t="s">
        <v>7798</v>
      </c>
      <c r="K1598" s="130">
        <f>VLOOKUP(LEN(SUBSTITUTE(H1598,"-","")),datos!$A$1:$B$12,2,0)</f>
        <v>5</v>
      </c>
      <c r="L1598" s="129"/>
      <c r="M1598" s="129" t="s">
        <v>0</v>
      </c>
    </row>
    <row r="1599" spans="1:13" x14ac:dyDescent="0.35">
      <c r="A1599" s="137" t="s">
        <v>487</v>
      </c>
      <c r="B1599" s="137" t="s">
        <v>3809</v>
      </c>
      <c r="C1599" s="137" t="s">
        <v>3983</v>
      </c>
      <c r="D1599" s="137" t="s">
        <v>4012</v>
      </c>
      <c r="E1599" s="137" t="s">
        <v>7797</v>
      </c>
      <c r="F1599" s="137" t="s">
        <v>3831</v>
      </c>
      <c r="G1599" s="137"/>
      <c r="H1599" s="82" t="str">
        <f t="shared" si="118"/>
        <v>TCCN-PTE-PFL-PS2-CB3-INS-</v>
      </c>
      <c r="I1599" s="137" t="str">
        <f>MID(H1599,1,(LEN(H1599)-VLOOKUP(K1599,datos!$B$2:$C$12,2,0)))</f>
        <v>TCCN-PTE-PFL-PS2-CB3-INS</v>
      </c>
      <c r="J1599" s="137" t="s">
        <v>7799</v>
      </c>
      <c r="K1599" s="139">
        <f>VLOOKUP(LEN(SUBSTITUTE(H1599,"-","")),datos!$A$1:$B$12,2,0)</f>
        <v>6</v>
      </c>
      <c r="L1599" s="137"/>
      <c r="M1599" s="137" t="s">
        <v>0</v>
      </c>
    </row>
    <row r="1600" spans="1:13" x14ac:dyDescent="0.35">
      <c r="A1600" s="138" t="s">
        <v>487</v>
      </c>
      <c r="B1600" s="138" t="s">
        <v>3809</v>
      </c>
      <c r="C1600" s="138" t="s">
        <v>3983</v>
      </c>
      <c r="D1600" s="138" t="s">
        <v>4012</v>
      </c>
      <c r="E1600" s="138" t="s">
        <v>7797</v>
      </c>
      <c r="F1600" s="138" t="s">
        <v>3831</v>
      </c>
      <c r="G1600" s="138" t="s">
        <v>3986</v>
      </c>
      <c r="H1600" s="81" t="str">
        <f t="shared" si="118"/>
        <v>TCCN-PTE-PFL-PS2-CB3-INS-VV1</v>
      </c>
      <c r="I1600" s="138" t="str">
        <f>MID(H1600,1,(LEN(H1600)-VLOOKUP(K1600,datos!$B$2:$C$12,2,0)))</f>
        <v>TCCN-PTE-PFL-PS2-CB3-INS-VV1</v>
      </c>
      <c r="J1600" s="138" t="s">
        <v>7800</v>
      </c>
      <c r="K1600" s="140">
        <f>VLOOKUP(LEN(SUBSTITUTE(H1600,"-","")),datos!$A$1:$B$12,2,0)</f>
        <v>7</v>
      </c>
      <c r="L1600" s="138" t="s">
        <v>7843</v>
      </c>
      <c r="M1600" s="138" t="s">
        <v>0</v>
      </c>
    </row>
    <row r="1601" spans="1:13" x14ac:dyDescent="0.35">
      <c r="A1601" s="138" t="s">
        <v>487</v>
      </c>
      <c r="B1601" s="138" t="s">
        <v>3809</v>
      </c>
      <c r="C1601" s="138" t="s">
        <v>3983</v>
      </c>
      <c r="D1601" s="138" t="s">
        <v>4012</v>
      </c>
      <c r="E1601" s="138" t="s">
        <v>7797</v>
      </c>
      <c r="F1601" s="138" t="s">
        <v>3831</v>
      </c>
      <c r="G1601" s="138" t="s">
        <v>3987</v>
      </c>
      <c r="H1601" s="81" t="str">
        <f t="shared" si="118"/>
        <v>TCCN-PTE-PFL-PS2-CB3-INS-VV2</v>
      </c>
      <c r="I1601" s="138" t="str">
        <f>MID(H1601,1,(LEN(H1601)-VLOOKUP(K1601,datos!$B$2:$C$12,2,0)))</f>
        <v>TCCN-PTE-PFL-PS2-CB3-INS-VV2</v>
      </c>
      <c r="J1601" s="138" t="s">
        <v>7801</v>
      </c>
      <c r="K1601" s="140">
        <f>VLOOKUP(LEN(SUBSTITUTE(H1601,"-","")),datos!$A$1:$B$12,2,0)</f>
        <v>7</v>
      </c>
      <c r="L1601" s="138" t="s">
        <v>7844</v>
      </c>
      <c r="M1601" s="138" t="s">
        <v>0</v>
      </c>
    </row>
    <row r="1602" spans="1:13" customFormat="1" ht="14.5" x14ac:dyDescent="0.35">
      <c r="A1602" s="84" t="s">
        <v>487</v>
      </c>
      <c r="B1602" s="84" t="s">
        <v>3809</v>
      </c>
      <c r="C1602" s="84" t="s">
        <v>3983</v>
      </c>
      <c r="D1602" s="84" t="s">
        <v>4013</v>
      </c>
      <c r="E1602" s="84"/>
      <c r="F1602" s="84"/>
      <c r="G1602" s="84"/>
      <c r="H1602" s="84" t="str">
        <f t="shared" si="118"/>
        <v>TCCN-PTE-PFL-PSC---</v>
      </c>
      <c r="I1602" s="84" t="str">
        <f>MID(H1602,1,(LEN(H1602)-VLOOKUP(K1602,datos!$B$2:$C$12,2,0)))</f>
        <v>TCCN-PTE-PFL-PSC</v>
      </c>
      <c r="J1602" s="84" t="s">
        <v>1631</v>
      </c>
      <c r="K1602" s="119">
        <f>VLOOKUP(LEN(SUBSTITUTE(H1602,"-","")),datos!$A$1:$B$12,2,0)</f>
        <v>4</v>
      </c>
      <c r="L1602" s="84"/>
      <c r="M1602" s="84" t="s">
        <v>0</v>
      </c>
    </row>
    <row r="1603" spans="1:13" customFormat="1" ht="14.5" x14ac:dyDescent="0.35">
      <c r="A1603" s="129" t="s">
        <v>487</v>
      </c>
      <c r="B1603" s="129" t="s">
        <v>3809</v>
      </c>
      <c r="C1603" s="129" t="s">
        <v>3983</v>
      </c>
      <c r="D1603" s="129" t="s">
        <v>4013</v>
      </c>
      <c r="E1603" s="129" t="s">
        <v>3985</v>
      </c>
      <c r="F1603" s="129"/>
      <c r="G1603" s="129"/>
      <c r="H1603" s="83" t="str">
        <f t="shared" si="118"/>
        <v>TCCN-PTE-PFL-PSC-CA1--</v>
      </c>
      <c r="I1603" s="129" t="str">
        <f>MID(H1603,1,(LEN(H1603)-VLOOKUP(K1603,datos!$B$2:$C$12,2,0)))</f>
        <v>TCCN-PTE-PFL-PSC-CA1</v>
      </c>
      <c r="J1603" s="129" t="s">
        <v>466</v>
      </c>
      <c r="K1603" s="130">
        <f>VLOOKUP(LEN(SUBSTITUTE(H1603,"-","")),datos!$A$1:$B$12,2,0)</f>
        <v>5</v>
      </c>
      <c r="L1603" s="129" t="s">
        <v>223</v>
      </c>
      <c r="M1603" s="129" t="s">
        <v>0</v>
      </c>
    </row>
    <row r="1604" spans="1:13" x14ac:dyDescent="0.35">
      <c r="A1604" s="137" t="s">
        <v>487</v>
      </c>
      <c r="B1604" s="137" t="s">
        <v>3809</v>
      </c>
      <c r="C1604" s="137" t="s">
        <v>3983</v>
      </c>
      <c r="D1604" s="137" t="s">
        <v>4013</v>
      </c>
      <c r="E1604" s="137" t="s">
        <v>3985</v>
      </c>
      <c r="F1604" s="137" t="s">
        <v>3824</v>
      </c>
      <c r="G1604" s="137"/>
      <c r="H1604" s="82" t="str">
        <f t="shared" si="118"/>
        <v>TCCN-PTE-PFL-PSC-CA1-SES-</v>
      </c>
      <c r="I1604" s="137" t="str">
        <f>MID(H1604,1,(LEN(H1604)-VLOOKUP(K1604,datos!$B$2:$C$12,2,0)))</f>
        <v>TCCN-PTE-PFL-PSC-CA1-SES</v>
      </c>
      <c r="J1604" s="137" t="s">
        <v>26</v>
      </c>
      <c r="K1604" s="139">
        <f>VLOOKUP(LEN(SUBSTITUTE(H1604,"-","")),datos!$A$1:$B$12,2,0)</f>
        <v>6</v>
      </c>
      <c r="L1604" s="137"/>
      <c r="M1604" s="137" t="s">
        <v>0</v>
      </c>
    </row>
    <row r="1605" spans="1:13" x14ac:dyDescent="0.35">
      <c r="A1605" s="138" t="s">
        <v>487</v>
      </c>
      <c r="B1605" s="138" t="s">
        <v>3809</v>
      </c>
      <c r="C1605" s="138" t="s">
        <v>3983</v>
      </c>
      <c r="D1605" s="138" t="s">
        <v>4013</v>
      </c>
      <c r="E1605" s="138" t="s">
        <v>3985</v>
      </c>
      <c r="F1605" s="138" t="s">
        <v>3824</v>
      </c>
      <c r="G1605" s="138" t="s">
        <v>3853</v>
      </c>
      <c r="H1605" s="81" t="str">
        <f t="shared" si="118"/>
        <v>TCCN-PTE-PFL-PSC-CA1-SES-EST</v>
      </c>
      <c r="I1605" s="138" t="str">
        <f>MID(H1605,1,(LEN(H1605)-VLOOKUP(K1605,datos!$B$2:$C$12,2,0)))</f>
        <v>TCCN-PTE-PFL-PSC-CA1-SES-EST</v>
      </c>
      <c r="J1605" s="138" t="s">
        <v>1175</v>
      </c>
      <c r="K1605" s="140">
        <f>VLOOKUP(LEN(SUBSTITUTE(H1605,"-","")),datos!$A$1:$B$12,2,0)</f>
        <v>7</v>
      </c>
      <c r="L1605" s="138"/>
      <c r="M1605" s="138" t="s">
        <v>0</v>
      </c>
    </row>
    <row r="1606" spans="1:13" x14ac:dyDescent="0.35">
      <c r="A1606" s="137" t="s">
        <v>487</v>
      </c>
      <c r="B1606" s="137" t="s">
        <v>3809</v>
      </c>
      <c r="C1606" s="137" t="s">
        <v>3983</v>
      </c>
      <c r="D1606" s="137" t="s">
        <v>4013</v>
      </c>
      <c r="E1606" s="137" t="s">
        <v>3985</v>
      </c>
      <c r="F1606" s="137" t="s">
        <v>3831</v>
      </c>
      <c r="G1606" s="137"/>
      <c r="H1606" s="82" t="str">
        <f t="shared" si="118"/>
        <v>TCCN-PTE-PFL-PSC-CA1-INS-</v>
      </c>
      <c r="I1606" s="137" t="str">
        <f>MID(H1606,1,(LEN(H1606)-VLOOKUP(K1606,datos!$B$2:$C$12,2,0)))</f>
        <v>TCCN-PTE-PFL-PSC-CA1-INS</v>
      </c>
      <c r="J1606" s="137" t="s">
        <v>30</v>
      </c>
      <c r="K1606" s="139">
        <f>VLOOKUP(LEN(SUBSTITUTE(H1606,"-","")),datos!$A$1:$B$12,2,0)</f>
        <v>6</v>
      </c>
      <c r="L1606" s="137"/>
      <c r="M1606" s="137" t="s">
        <v>0</v>
      </c>
    </row>
    <row r="1607" spans="1:13" x14ac:dyDescent="0.35">
      <c r="A1607" s="138" t="s">
        <v>487</v>
      </c>
      <c r="B1607" s="138" t="s">
        <v>3809</v>
      </c>
      <c r="C1607" s="138" t="s">
        <v>3983</v>
      </c>
      <c r="D1607" s="138" t="s">
        <v>4013</v>
      </c>
      <c r="E1607" s="138" t="s">
        <v>3985</v>
      </c>
      <c r="F1607" s="138" t="s">
        <v>3831</v>
      </c>
      <c r="G1607" s="138" t="s">
        <v>5256</v>
      </c>
      <c r="H1607" s="81" t="str">
        <f t="shared" si="118"/>
        <v>TCCN-PTE-PFL-PSC-CA1-INS-MNV</v>
      </c>
      <c r="I1607" s="138" t="str">
        <f>MID(H1607,1,(LEN(H1607)-VLOOKUP(K1607,datos!$B$2:$C$12,2,0)))</f>
        <v>TCCN-PTE-PFL-PSC-CA1-INS-MNV</v>
      </c>
      <c r="J1607" s="138" t="s">
        <v>8129</v>
      </c>
      <c r="K1607" s="140">
        <f>VLOOKUP(LEN(SUBSTITUTE(H1607,"-","")),datos!$A$1:$B$12,2,0)</f>
        <v>7</v>
      </c>
      <c r="L1607" s="138" t="s">
        <v>8128</v>
      </c>
      <c r="M1607" s="138" t="s">
        <v>0</v>
      </c>
    </row>
    <row r="1608" spans="1:13" customFormat="1" ht="14.5" x14ac:dyDescent="0.35">
      <c r="A1608" s="129" t="s">
        <v>487</v>
      </c>
      <c r="B1608" s="129" t="s">
        <v>3809</v>
      </c>
      <c r="C1608" s="129" t="s">
        <v>3983</v>
      </c>
      <c r="D1608" s="129" t="s">
        <v>4013</v>
      </c>
      <c r="E1608" s="129" t="s">
        <v>3947</v>
      </c>
      <c r="F1608" s="129"/>
      <c r="G1608" s="129"/>
      <c r="H1608" s="83" t="str">
        <f t="shared" si="118"/>
        <v>TCCN-PTE-PFL-PSC-B01--</v>
      </c>
      <c r="I1608" s="129" t="str">
        <f>MID(H1608,1,(LEN(H1608)-VLOOKUP(K1608,datos!$B$2:$C$12,2,0)))</f>
        <v>TCCN-PTE-PFL-PSC-B01</v>
      </c>
      <c r="J1608" s="129" t="s">
        <v>7474</v>
      </c>
      <c r="K1608" s="130">
        <f>VLOOKUP(LEN(SUBSTITUTE(H1608,"-","")),datos!$A$1:$B$12,2,0)</f>
        <v>5</v>
      </c>
      <c r="L1608" s="129" t="s">
        <v>224</v>
      </c>
      <c r="M1608" s="129" t="s">
        <v>0</v>
      </c>
    </row>
    <row r="1609" spans="1:13" x14ac:dyDescent="0.35">
      <c r="A1609" s="137" t="s">
        <v>487</v>
      </c>
      <c r="B1609" s="137" t="s">
        <v>3809</v>
      </c>
      <c r="C1609" s="137" t="s">
        <v>3983</v>
      </c>
      <c r="D1609" s="137" t="s">
        <v>4013</v>
      </c>
      <c r="E1609" s="137" t="s">
        <v>3947</v>
      </c>
      <c r="F1609" s="137" t="s">
        <v>5106</v>
      </c>
      <c r="G1609" s="137"/>
      <c r="H1609" s="82" t="str">
        <f t="shared" si="118"/>
        <v>TCCN-PTE-PFL-PSC-B01-PHU-</v>
      </c>
      <c r="I1609" s="137" t="str">
        <f>MID(H1609,1,(LEN(H1609)-VLOOKUP(K1609,datos!$B$2:$C$12,2,0)))</f>
        <v>TCCN-PTE-PFL-PSC-B01-PHU</v>
      </c>
      <c r="J1609" s="137" t="s">
        <v>6240</v>
      </c>
      <c r="K1609" s="139">
        <f>VLOOKUP(LEN(SUBSTITUTE(H1609,"-","")),datos!$A$1:$B$12,2,0)</f>
        <v>6</v>
      </c>
      <c r="L1609" s="137"/>
      <c r="M1609" s="137" t="s">
        <v>0</v>
      </c>
    </row>
    <row r="1610" spans="1:13" x14ac:dyDescent="0.35">
      <c r="A1610" s="137" t="s">
        <v>487</v>
      </c>
      <c r="B1610" s="137" t="s">
        <v>3809</v>
      </c>
      <c r="C1610" s="137" t="s">
        <v>3983</v>
      </c>
      <c r="D1610" s="137" t="s">
        <v>4013</v>
      </c>
      <c r="E1610" s="137" t="s">
        <v>3947</v>
      </c>
      <c r="F1610" s="137" t="s">
        <v>4073</v>
      </c>
      <c r="G1610" s="137"/>
      <c r="H1610" s="82" t="str">
        <f t="shared" si="118"/>
        <v>TCCN-PTE-PFL-PSC-B01-PYV-</v>
      </c>
      <c r="I1610" s="137" t="str">
        <f>MID(H1610,1,(LEN(H1610)-VLOOKUP(K1610,datos!$B$2:$C$12,2,0)))</f>
        <v>TCCN-PTE-PFL-PSC-B01-PYV</v>
      </c>
      <c r="J1610" s="137" t="s">
        <v>6241</v>
      </c>
      <c r="K1610" s="139">
        <f>VLOOKUP(LEN(SUBSTITUTE(H1610,"-","")),datos!$A$1:$B$12,2,0)</f>
        <v>6</v>
      </c>
      <c r="L1610" s="137"/>
      <c r="M1610" s="137" t="s">
        <v>0</v>
      </c>
    </row>
    <row r="1611" spans="1:13" x14ac:dyDescent="0.35">
      <c r="A1611" s="137" t="s">
        <v>487</v>
      </c>
      <c r="B1611" s="137" t="s">
        <v>3809</v>
      </c>
      <c r="C1611" s="137" t="s">
        <v>3983</v>
      </c>
      <c r="D1611" s="137" t="s">
        <v>4013</v>
      </c>
      <c r="E1611" s="137" t="s">
        <v>3947</v>
      </c>
      <c r="F1611" s="137" t="s">
        <v>5107</v>
      </c>
      <c r="G1611" s="137"/>
      <c r="H1611" s="82" t="str">
        <f t="shared" si="118"/>
        <v>TCCN-PTE-PFL-PSC-B01-SAS-</v>
      </c>
      <c r="I1611" s="137" t="str">
        <f>MID(H1611,1,(LEN(H1611)-VLOOKUP(K1611,datos!$B$2:$C$12,2,0)))</f>
        <v>TCCN-PTE-PFL-PSC-B01-SAS</v>
      </c>
      <c r="J1611" s="137" t="s">
        <v>6242</v>
      </c>
      <c r="K1611" s="139">
        <f>VLOOKUP(LEN(SUBSTITUTE(H1611,"-","")),datos!$A$1:$B$12,2,0)</f>
        <v>6</v>
      </c>
      <c r="L1611" s="137"/>
      <c r="M1611" s="137" t="s">
        <v>0</v>
      </c>
    </row>
    <row r="1612" spans="1:13" x14ac:dyDescent="0.35">
      <c r="A1612" s="138" t="s">
        <v>487</v>
      </c>
      <c r="B1612" s="138" t="s">
        <v>3809</v>
      </c>
      <c r="C1612" s="138" t="s">
        <v>3983</v>
      </c>
      <c r="D1612" s="138" t="s">
        <v>4013</v>
      </c>
      <c r="E1612" s="138" t="s">
        <v>3947</v>
      </c>
      <c r="F1612" s="138" t="s">
        <v>5107</v>
      </c>
      <c r="G1612" s="138" t="s">
        <v>4075</v>
      </c>
      <c r="H1612" s="81" t="str">
        <f t="shared" ref="H1612" si="119">CONCATENATE(A1612,"-",B1612,"-",C1612,"-",D1612,"-",E1612,"-",F1612,"-",G1612)</f>
        <v>TCCN-PTE-PFL-PSC-B01-SAS-VVA</v>
      </c>
      <c r="I1612" s="138" t="str">
        <f>MID(H1612,1,(LEN(H1612)-VLOOKUP(K1612,datos!$B$2:$C$12,2,0)))</f>
        <v>TCCN-PTE-PFL-PSC-B01-SAS-VVA</v>
      </c>
      <c r="J1612" s="138" t="s">
        <v>7443</v>
      </c>
      <c r="K1612" s="140">
        <f>VLOOKUP(LEN(SUBSTITUTE(H1612,"-","")),datos!$A$1:$B$12,2,0)</f>
        <v>7</v>
      </c>
      <c r="L1612" s="138" t="s">
        <v>7471</v>
      </c>
      <c r="M1612" s="138" t="s">
        <v>0</v>
      </c>
    </row>
    <row r="1613" spans="1:13" x14ac:dyDescent="0.35">
      <c r="A1613" s="137" t="s">
        <v>487</v>
      </c>
      <c r="B1613" s="137" t="s">
        <v>3809</v>
      </c>
      <c r="C1613" s="137" t="s">
        <v>3983</v>
      </c>
      <c r="D1613" s="137" t="s">
        <v>4013</v>
      </c>
      <c r="E1613" s="137" t="s">
        <v>3947</v>
      </c>
      <c r="F1613" s="137" t="s">
        <v>3847</v>
      </c>
      <c r="G1613" s="137"/>
      <c r="H1613" s="82" t="str">
        <f t="shared" si="118"/>
        <v>TCCN-PTE-PFL-PSC-B01-SMO-</v>
      </c>
      <c r="I1613" s="137" t="str">
        <f>MID(H1613,1,(LEN(H1613)-VLOOKUP(K1613,datos!$B$2:$C$12,2,0)))</f>
        <v>TCCN-PTE-PFL-PSC-B01-SMO</v>
      </c>
      <c r="J1613" s="137" t="s">
        <v>6243</v>
      </c>
      <c r="K1613" s="139">
        <f>VLOOKUP(LEN(SUBSTITUTE(H1613,"-","")),datos!$A$1:$B$12,2,0)</f>
        <v>6</v>
      </c>
      <c r="L1613" s="137"/>
      <c r="M1613" s="137" t="s">
        <v>0</v>
      </c>
    </row>
    <row r="1614" spans="1:13" x14ac:dyDescent="0.35">
      <c r="A1614" s="138" t="s">
        <v>487</v>
      </c>
      <c r="B1614" s="138" t="s">
        <v>3809</v>
      </c>
      <c r="C1614" s="138" t="s">
        <v>3983</v>
      </c>
      <c r="D1614" s="138" t="s">
        <v>4013</v>
      </c>
      <c r="E1614" s="138" t="s">
        <v>3947</v>
      </c>
      <c r="F1614" s="138" t="s">
        <v>3847</v>
      </c>
      <c r="G1614" s="138" t="s">
        <v>3819</v>
      </c>
      <c r="H1614" s="81" t="str">
        <f t="shared" si="118"/>
        <v>TCCN-PTE-PFL-PSC-B01-SMO-MOE</v>
      </c>
      <c r="I1614" s="138" t="str">
        <f>MID(H1614,1,(LEN(H1614)-VLOOKUP(K1614,datos!$B$2:$C$12,2,0)))</f>
        <v>TCCN-PTE-PFL-PSC-B01-SMO-MOE</v>
      </c>
      <c r="J1614" s="138" t="s">
        <v>6244</v>
      </c>
      <c r="K1614" s="140">
        <f>VLOOKUP(LEN(SUBSTITUTE(H1614,"-","")),datos!$A$1:$B$12,2,0)</f>
        <v>7</v>
      </c>
      <c r="L1614" s="138" t="s">
        <v>225</v>
      </c>
      <c r="M1614" s="138" t="s">
        <v>0</v>
      </c>
    </row>
    <row r="1615" spans="1:13" x14ac:dyDescent="0.35">
      <c r="A1615" s="137" t="s">
        <v>487</v>
      </c>
      <c r="B1615" s="137" t="s">
        <v>3809</v>
      </c>
      <c r="C1615" s="137" t="s">
        <v>3983</v>
      </c>
      <c r="D1615" s="137" t="s">
        <v>4013</v>
      </c>
      <c r="E1615" s="137" t="s">
        <v>3947</v>
      </c>
      <c r="F1615" s="137" t="s">
        <v>3831</v>
      </c>
      <c r="G1615" s="137"/>
      <c r="H1615" s="82" t="str">
        <f t="shared" si="118"/>
        <v>TCCN-PTE-PFL-PSC-B01-INS-</v>
      </c>
      <c r="I1615" s="137" t="str">
        <f>MID(H1615,1,(LEN(H1615)-VLOOKUP(K1615,datos!$B$2:$C$12,2,0)))</f>
        <v>TCCN-PTE-PFL-PSC-B01-INS</v>
      </c>
      <c r="J1615" s="137" t="s">
        <v>6245</v>
      </c>
      <c r="K1615" s="139">
        <f>VLOOKUP(LEN(SUBSTITUTE(H1615,"-","")),datos!$A$1:$B$12,2,0)</f>
        <v>6</v>
      </c>
      <c r="L1615" s="137"/>
      <c r="M1615" s="137" t="s">
        <v>0</v>
      </c>
    </row>
    <row r="1616" spans="1:13" x14ac:dyDescent="0.35">
      <c r="A1616" s="138" t="s">
        <v>487</v>
      </c>
      <c r="B1616" s="138" t="s">
        <v>3809</v>
      </c>
      <c r="C1616" s="138" t="s">
        <v>3983</v>
      </c>
      <c r="D1616" s="138" t="s">
        <v>4013</v>
      </c>
      <c r="E1616" s="138" t="s">
        <v>3947</v>
      </c>
      <c r="F1616" s="138" t="s">
        <v>3831</v>
      </c>
      <c r="G1616" s="138" t="s">
        <v>7069</v>
      </c>
      <c r="H1616" s="81" t="str">
        <f t="shared" si="118"/>
        <v>TCCN-PTE-PFL-PSC-B01-INS-MPN</v>
      </c>
      <c r="I1616" s="138" t="str">
        <f>MID(H1616,1,(LEN(H1616)-VLOOKUP(K1616,datos!$B$2:$C$12,2,0)))</f>
        <v>TCCN-PTE-PFL-PSC-B01-INS-MPN</v>
      </c>
      <c r="J1616" s="138" t="s">
        <v>7560</v>
      </c>
      <c r="K1616" s="140">
        <f>VLOOKUP(LEN(SUBSTITUTE(H1616,"-","")),datos!$A$1:$B$12,2,0)</f>
        <v>7</v>
      </c>
      <c r="L1616" s="138" t="s">
        <v>7591</v>
      </c>
      <c r="M1616" s="138" t="s">
        <v>0</v>
      </c>
    </row>
    <row r="1617" spans="1:13" x14ac:dyDescent="0.35">
      <c r="A1617" s="137" t="s">
        <v>487</v>
      </c>
      <c r="B1617" s="137" t="s">
        <v>3809</v>
      </c>
      <c r="C1617" s="137" t="s">
        <v>3983</v>
      </c>
      <c r="D1617" s="137" t="s">
        <v>4013</v>
      </c>
      <c r="E1617" s="137" t="s">
        <v>3947</v>
      </c>
      <c r="F1617" s="137" t="s">
        <v>3869</v>
      </c>
      <c r="G1617" s="137"/>
      <c r="H1617" s="82" t="str">
        <f t="shared" si="118"/>
        <v>TCCN-PTE-PFL-PSC-B01-SCE-</v>
      </c>
      <c r="I1617" s="137" t="str">
        <f>MID(H1617,1,(LEN(H1617)-VLOOKUP(K1617,datos!$B$2:$C$12,2,0)))</f>
        <v>TCCN-PTE-PFL-PSC-B01-SCE</v>
      </c>
      <c r="J1617" s="137" t="s">
        <v>6246</v>
      </c>
      <c r="K1617" s="139">
        <f>VLOOKUP(LEN(SUBSTITUTE(H1617,"-","")),datos!$A$1:$B$12,2,0)</f>
        <v>6</v>
      </c>
      <c r="L1617" s="137"/>
      <c r="M1617" s="137" t="s">
        <v>0</v>
      </c>
    </row>
    <row r="1618" spans="1:13" x14ac:dyDescent="0.35">
      <c r="A1618" s="138" t="s">
        <v>487</v>
      </c>
      <c r="B1618" s="138" t="s">
        <v>3809</v>
      </c>
      <c r="C1618" s="138" t="s">
        <v>3983</v>
      </c>
      <c r="D1618" s="138" t="s">
        <v>4013</v>
      </c>
      <c r="E1618" s="138" t="s">
        <v>3947</v>
      </c>
      <c r="F1618" s="138" t="s">
        <v>3869</v>
      </c>
      <c r="G1618" s="138" t="s">
        <v>3870</v>
      </c>
      <c r="H1618" s="81" t="str">
        <f t="shared" si="118"/>
        <v>TCCN-PTE-PFL-PSC-B01-SCE-BTN</v>
      </c>
      <c r="I1618" s="138" t="str">
        <f>MID(H1618,1,(LEN(H1618)-VLOOKUP(K1618,datos!$B$2:$C$12,2,0)))</f>
        <v>TCCN-PTE-PFL-PSC-B01-SCE-BTN</v>
      </c>
      <c r="J1618" s="138" t="s">
        <v>6247</v>
      </c>
      <c r="K1618" s="140">
        <f>VLOOKUP(LEN(SUBSTITUTE(H1618,"-","")),datos!$A$1:$B$12,2,0)</f>
        <v>7</v>
      </c>
      <c r="L1618" s="138"/>
      <c r="M1618" s="138" t="s">
        <v>0</v>
      </c>
    </row>
    <row r="1619" spans="1:13" customFormat="1" ht="14.5" x14ac:dyDescent="0.35">
      <c r="A1619" s="129" t="s">
        <v>487</v>
      </c>
      <c r="B1619" s="129" t="s">
        <v>3809</v>
      </c>
      <c r="C1619" s="129" t="s">
        <v>3983</v>
      </c>
      <c r="D1619" s="129" t="s">
        <v>4013</v>
      </c>
      <c r="E1619" s="129" t="s">
        <v>3949</v>
      </c>
      <c r="F1619" s="129"/>
      <c r="G1619" s="129"/>
      <c r="H1619" s="83" t="str">
        <f t="shared" si="118"/>
        <v>TCCN-PTE-PFL-PSC-B02--</v>
      </c>
      <c r="I1619" s="129" t="str">
        <f>MID(H1619,1,(LEN(H1619)-VLOOKUP(K1619,datos!$B$2:$C$12,2,0)))</f>
        <v>TCCN-PTE-PFL-PSC-B02</v>
      </c>
      <c r="J1619" s="129" t="s">
        <v>7473</v>
      </c>
      <c r="K1619" s="130">
        <f>VLOOKUP(LEN(SUBSTITUTE(H1619,"-","")),datos!$A$1:$B$12,2,0)</f>
        <v>5</v>
      </c>
      <c r="L1619" s="129" t="s">
        <v>226</v>
      </c>
      <c r="M1619" s="129" t="s">
        <v>0</v>
      </c>
    </row>
    <row r="1620" spans="1:13" x14ac:dyDescent="0.35">
      <c r="A1620" s="137" t="s">
        <v>487</v>
      </c>
      <c r="B1620" s="137" t="s">
        <v>3809</v>
      </c>
      <c r="C1620" s="137" t="s">
        <v>3983</v>
      </c>
      <c r="D1620" s="137" t="s">
        <v>4013</v>
      </c>
      <c r="E1620" s="137" t="s">
        <v>3949</v>
      </c>
      <c r="F1620" s="137" t="s">
        <v>5106</v>
      </c>
      <c r="G1620" s="137"/>
      <c r="H1620" s="82" t="str">
        <f t="shared" si="118"/>
        <v>TCCN-PTE-PFL-PSC-B02-PHU-</v>
      </c>
      <c r="I1620" s="137" t="str">
        <f>MID(H1620,1,(LEN(H1620)-VLOOKUP(K1620,datos!$B$2:$C$12,2,0)))</f>
        <v>TCCN-PTE-PFL-PSC-B02-PHU</v>
      </c>
      <c r="J1620" s="137" t="s">
        <v>6248</v>
      </c>
      <c r="K1620" s="139">
        <f>VLOOKUP(LEN(SUBSTITUTE(H1620,"-","")),datos!$A$1:$B$12,2,0)</f>
        <v>6</v>
      </c>
      <c r="L1620" s="137"/>
      <c r="M1620" s="137" t="s">
        <v>0</v>
      </c>
    </row>
    <row r="1621" spans="1:13" x14ac:dyDescent="0.35">
      <c r="A1621" s="137" t="s">
        <v>487</v>
      </c>
      <c r="B1621" s="137" t="s">
        <v>3809</v>
      </c>
      <c r="C1621" s="137" t="s">
        <v>3983</v>
      </c>
      <c r="D1621" s="137" t="s">
        <v>4013</v>
      </c>
      <c r="E1621" s="137" t="s">
        <v>3949</v>
      </c>
      <c r="F1621" s="137" t="s">
        <v>4073</v>
      </c>
      <c r="G1621" s="137"/>
      <c r="H1621" s="82" t="str">
        <f t="shared" si="118"/>
        <v>TCCN-PTE-PFL-PSC-B02-PYV-</v>
      </c>
      <c r="I1621" s="137" t="str">
        <f>MID(H1621,1,(LEN(H1621)-VLOOKUP(K1621,datos!$B$2:$C$12,2,0)))</f>
        <v>TCCN-PTE-PFL-PSC-B02-PYV</v>
      </c>
      <c r="J1621" s="137" t="s">
        <v>6249</v>
      </c>
      <c r="K1621" s="139">
        <f>VLOOKUP(LEN(SUBSTITUTE(H1621,"-","")),datos!$A$1:$B$12,2,0)</f>
        <v>6</v>
      </c>
      <c r="L1621" s="137"/>
      <c r="M1621" s="137" t="s">
        <v>0</v>
      </c>
    </row>
    <row r="1622" spans="1:13" x14ac:dyDescent="0.35">
      <c r="A1622" s="137" t="s">
        <v>487</v>
      </c>
      <c r="B1622" s="137" t="s">
        <v>3809</v>
      </c>
      <c r="C1622" s="137" t="s">
        <v>3983</v>
      </c>
      <c r="D1622" s="137" t="s">
        <v>4013</v>
      </c>
      <c r="E1622" s="137" t="s">
        <v>3949</v>
      </c>
      <c r="F1622" s="137" t="s">
        <v>5107</v>
      </c>
      <c r="G1622" s="137"/>
      <c r="H1622" s="82" t="str">
        <f t="shared" si="118"/>
        <v>TCCN-PTE-PFL-PSC-B02-SAS-</v>
      </c>
      <c r="I1622" s="137" t="str">
        <f>MID(H1622,1,(LEN(H1622)-VLOOKUP(K1622,datos!$B$2:$C$12,2,0)))</f>
        <v>TCCN-PTE-PFL-PSC-B02-SAS</v>
      </c>
      <c r="J1622" s="137" t="s">
        <v>6250</v>
      </c>
      <c r="K1622" s="139">
        <f>VLOOKUP(LEN(SUBSTITUTE(H1622,"-","")),datos!$A$1:$B$12,2,0)</f>
        <v>6</v>
      </c>
      <c r="L1622" s="137"/>
      <c r="M1622" s="137" t="s">
        <v>0</v>
      </c>
    </row>
    <row r="1623" spans="1:13" x14ac:dyDescent="0.35">
      <c r="A1623" s="138" t="s">
        <v>487</v>
      </c>
      <c r="B1623" s="138" t="s">
        <v>3809</v>
      </c>
      <c r="C1623" s="138" t="s">
        <v>3983</v>
      </c>
      <c r="D1623" s="138" t="s">
        <v>4013</v>
      </c>
      <c r="E1623" s="138" t="s">
        <v>3949</v>
      </c>
      <c r="F1623" s="138" t="s">
        <v>5107</v>
      </c>
      <c r="G1623" s="138" t="s">
        <v>4075</v>
      </c>
      <c r="H1623" s="81" t="str">
        <f t="shared" si="118"/>
        <v>TCCN-PTE-PFL-PSC-B02-SAS-VVA</v>
      </c>
      <c r="I1623" s="138" t="str">
        <f>MID(H1623,1,(LEN(H1623)-VLOOKUP(K1623,datos!$B$2:$C$12,2,0)))</f>
        <v>TCCN-PTE-PFL-PSC-B02-SAS-VVA</v>
      </c>
      <c r="J1623" s="138" t="s">
        <v>7444</v>
      </c>
      <c r="K1623" s="140">
        <f>VLOOKUP(LEN(SUBSTITUTE(H1623,"-","")),datos!$A$1:$B$12,2,0)</f>
        <v>7</v>
      </c>
      <c r="L1623" s="138" t="s">
        <v>7472</v>
      </c>
      <c r="M1623" s="138" t="s">
        <v>0</v>
      </c>
    </row>
    <row r="1624" spans="1:13" x14ac:dyDescent="0.35">
      <c r="A1624" s="137" t="s">
        <v>487</v>
      </c>
      <c r="B1624" s="137" t="s">
        <v>3809</v>
      </c>
      <c r="C1624" s="137" t="s">
        <v>3983</v>
      </c>
      <c r="D1624" s="137" t="s">
        <v>4013</v>
      </c>
      <c r="E1624" s="137" t="s">
        <v>3949</v>
      </c>
      <c r="F1624" s="137" t="s">
        <v>3847</v>
      </c>
      <c r="G1624" s="137"/>
      <c r="H1624" s="82" t="str">
        <f t="shared" si="118"/>
        <v>TCCN-PTE-PFL-PSC-B02-SMO-</v>
      </c>
      <c r="I1624" s="137" t="str">
        <f>MID(H1624,1,(LEN(H1624)-VLOOKUP(K1624,datos!$B$2:$C$12,2,0)))</f>
        <v>TCCN-PTE-PFL-PSC-B02-SMO</v>
      </c>
      <c r="J1624" s="137" t="s">
        <v>6251</v>
      </c>
      <c r="K1624" s="139">
        <f>VLOOKUP(LEN(SUBSTITUTE(H1624,"-","")),datos!$A$1:$B$12,2,0)</f>
        <v>6</v>
      </c>
      <c r="L1624" s="137"/>
      <c r="M1624" s="137" t="s">
        <v>0</v>
      </c>
    </row>
    <row r="1625" spans="1:13" x14ac:dyDescent="0.35">
      <c r="A1625" s="138" t="s">
        <v>487</v>
      </c>
      <c r="B1625" s="138" t="s">
        <v>3809</v>
      </c>
      <c r="C1625" s="138" t="s">
        <v>3983</v>
      </c>
      <c r="D1625" s="138" t="s">
        <v>4013</v>
      </c>
      <c r="E1625" s="138" t="s">
        <v>3949</v>
      </c>
      <c r="F1625" s="138" t="s">
        <v>3847</v>
      </c>
      <c r="G1625" s="138" t="s">
        <v>3819</v>
      </c>
      <c r="H1625" s="81" t="str">
        <f t="shared" si="118"/>
        <v>TCCN-PTE-PFL-PSC-B02-SMO-MOE</v>
      </c>
      <c r="I1625" s="138" t="str">
        <f>MID(H1625,1,(LEN(H1625)-VLOOKUP(K1625,datos!$B$2:$C$12,2,0)))</f>
        <v>TCCN-PTE-PFL-PSC-B02-SMO-MOE</v>
      </c>
      <c r="J1625" s="138" t="s">
        <v>7595</v>
      </c>
      <c r="K1625" s="140">
        <f>VLOOKUP(LEN(SUBSTITUTE(H1625,"-","")),datos!$A$1:$B$12,2,0)</f>
        <v>7</v>
      </c>
      <c r="L1625" s="138" t="s">
        <v>227</v>
      </c>
      <c r="M1625" s="138" t="s">
        <v>0</v>
      </c>
    </row>
    <row r="1626" spans="1:13" x14ac:dyDescent="0.35">
      <c r="A1626" s="137" t="s">
        <v>487</v>
      </c>
      <c r="B1626" s="137" t="s">
        <v>3809</v>
      </c>
      <c r="C1626" s="137" t="s">
        <v>3983</v>
      </c>
      <c r="D1626" s="137" t="s">
        <v>4013</v>
      </c>
      <c r="E1626" s="137" t="s">
        <v>3949</v>
      </c>
      <c r="F1626" s="137" t="s">
        <v>3831</v>
      </c>
      <c r="G1626" s="137"/>
      <c r="H1626" s="82" t="str">
        <f t="shared" si="118"/>
        <v>TCCN-PTE-PFL-PSC-B02-INS-</v>
      </c>
      <c r="I1626" s="137" t="str">
        <f>MID(H1626,1,(LEN(H1626)-VLOOKUP(K1626,datos!$B$2:$C$12,2,0)))</f>
        <v>TCCN-PTE-PFL-PSC-B02-INS</v>
      </c>
      <c r="J1626" s="137" t="s">
        <v>7596</v>
      </c>
      <c r="K1626" s="139">
        <f>VLOOKUP(LEN(SUBSTITUTE(H1626,"-","")),datos!$A$1:$B$12,2,0)</f>
        <v>6</v>
      </c>
      <c r="L1626" s="137"/>
      <c r="M1626" s="137" t="s">
        <v>0</v>
      </c>
    </row>
    <row r="1627" spans="1:13" x14ac:dyDescent="0.35">
      <c r="A1627" s="138" t="s">
        <v>487</v>
      </c>
      <c r="B1627" s="138" t="s">
        <v>3809</v>
      </c>
      <c r="C1627" s="138" t="s">
        <v>3983</v>
      </c>
      <c r="D1627" s="138" t="s">
        <v>4013</v>
      </c>
      <c r="E1627" s="138" t="s">
        <v>3949</v>
      </c>
      <c r="F1627" s="138" t="s">
        <v>3831</v>
      </c>
      <c r="G1627" s="138" t="s">
        <v>7069</v>
      </c>
      <c r="H1627" s="81" t="str">
        <f t="shared" si="118"/>
        <v>TCCN-PTE-PFL-PSC-B02-INS-MPN</v>
      </c>
      <c r="I1627" s="138" t="str">
        <f>MID(H1627,1,(LEN(H1627)-VLOOKUP(K1627,datos!$B$2:$C$12,2,0)))</f>
        <v>TCCN-PTE-PFL-PSC-B02-INS-MPN</v>
      </c>
      <c r="J1627" s="138" t="s">
        <v>7597</v>
      </c>
      <c r="K1627" s="140">
        <f>VLOOKUP(LEN(SUBSTITUTE(H1627,"-","")),datos!$A$1:$B$12,2,0)</f>
        <v>7</v>
      </c>
      <c r="L1627" s="138" t="s">
        <v>8130</v>
      </c>
      <c r="M1627" s="138" t="s">
        <v>0</v>
      </c>
    </row>
    <row r="1628" spans="1:13" x14ac:dyDescent="0.35">
      <c r="A1628" s="137" t="s">
        <v>487</v>
      </c>
      <c r="B1628" s="137" t="s">
        <v>3809</v>
      </c>
      <c r="C1628" s="137" t="s">
        <v>3983</v>
      </c>
      <c r="D1628" s="137" t="s">
        <v>4013</v>
      </c>
      <c r="E1628" s="137" t="s">
        <v>3949</v>
      </c>
      <c r="F1628" s="137" t="s">
        <v>3869</v>
      </c>
      <c r="G1628" s="137"/>
      <c r="H1628" s="82" t="str">
        <f t="shared" si="118"/>
        <v>TCCN-PTE-PFL-PSC-B02-SCE-</v>
      </c>
      <c r="I1628" s="137" t="str">
        <f>MID(H1628,1,(LEN(H1628)-VLOOKUP(K1628,datos!$B$2:$C$12,2,0)))</f>
        <v>TCCN-PTE-PFL-PSC-B02-SCE</v>
      </c>
      <c r="J1628" s="137" t="s">
        <v>7598</v>
      </c>
      <c r="K1628" s="139">
        <f>VLOOKUP(LEN(SUBSTITUTE(H1628,"-","")),datos!$A$1:$B$12,2,0)</f>
        <v>6</v>
      </c>
      <c r="L1628" s="137"/>
      <c r="M1628" s="137" t="s">
        <v>0</v>
      </c>
    </row>
    <row r="1629" spans="1:13" x14ac:dyDescent="0.35">
      <c r="A1629" s="138" t="s">
        <v>487</v>
      </c>
      <c r="B1629" s="138" t="s">
        <v>3809</v>
      </c>
      <c r="C1629" s="138" t="s">
        <v>3983</v>
      </c>
      <c r="D1629" s="138" t="s">
        <v>4013</v>
      </c>
      <c r="E1629" s="138" t="s">
        <v>3949</v>
      </c>
      <c r="F1629" s="138" t="s">
        <v>3869</v>
      </c>
      <c r="G1629" s="138" t="s">
        <v>3870</v>
      </c>
      <c r="H1629" s="81" t="str">
        <f t="shared" si="118"/>
        <v>TCCN-PTE-PFL-PSC-B02-SCE-BTN</v>
      </c>
      <c r="I1629" s="138" t="str">
        <f>MID(H1629,1,(LEN(H1629)-VLOOKUP(K1629,datos!$B$2:$C$12,2,0)))</f>
        <v>TCCN-PTE-PFL-PSC-B02-SCE-BTN</v>
      </c>
      <c r="J1629" s="138" t="s">
        <v>7599</v>
      </c>
      <c r="K1629" s="140">
        <f>VLOOKUP(LEN(SUBSTITUTE(H1629,"-","")),datos!$A$1:$B$12,2,0)</f>
        <v>7</v>
      </c>
      <c r="L1629" s="138"/>
      <c r="M1629" s="138" t="s">
        <v>0</v>
      </c>
    </row>
    <row r="1630" spans="1:13" customFormat="1" ht="14.5" x14ac:dyDescent="0.35">
      <c r="A1630" s="129" t="s">
        <v>487</v>
      </c>
      <c r="B1630" s="129" t="s">
        <v>3809</v>
      </c>
      <c r="C1630" s="129" t="s">
        <v>3983</v>
      </c>
      <c r="D1630" s="129" t="s">
        <v>4013</v>
      </c>
      <c r="E1630" s="129" t="s">
        <v>3932</v>
      </c>
      <c r="F1630" s="129"/>
      <c r="G1630" s="129"/>
      <c r="H1630" s="83" t="str">
        <f t="shared" si="118"/>
        <v>TCCN-PTE-PFL-PSC-UHD--</v>
      </c>
      <c r="I1630" s="129" t="str">
        <f>MID(H1630,1,(LEN(H1630)-VLOOKUP(K1630,datos!$B$2:$C$12,2,0)))</f>
        <v>TCCN-PTE-PFL-PSC-UHD</v>
      </c>
      <c r="J1630" s="129" t="s">
        <v>4958</v>
      </c>
      <c r="K1630" s="130">
        <f>VLOOKUP(LEN(SUBSTITUTE(H1630,"-","")),datos!$A$1:$B$12,2,0)</f>
        <v>5</v>
      </c>
      <c r="L1630" s="129" t="s">
        <v>4978</v>
      </c>
      <c r="M1630" s="129" t="s">
        <v>0</v>
      </c>
    </row>
    <row r="1631" spans="1:13" x14ac:dyDescent="0.35">
      <c r="A1631" s="137" t="s">
        <v>487</v>
      </c>
      <c r="B1631" s="137" t="s">
        <v>3809</v>
      </c>
      <c r="C1631" s="137" t="s">
        <v>3983</v>
      </c>
      <c r="D1631" s="137" t="s">
        <v>4013</v>
      </c>
      <c r="E1631" s="137" t="s">
        <v>3932</v>
      </c>
      <c r="F1631" s="137" t="s">
        <v>3816</v>
      </c>
      <c r="G1631" s="137"/>
      <c r="H1631" s="82" t="str">
        <f t="shared" si="118"/>
        <v>TCCN-PTE-PFL-PSC-UHD-SHI-</v>
      </c>
      <c r="I1631" s="137" t="str">
        <f>MID(H1631,1,(LEN(H1631)-VLOOKUP(K1631,datos!$B$2:$C$12,2,0)))</f>
        <v>TCCN-PTE-PFL-PSC-UHD-SHI</v>
      </c>
      <c r="J1631" s="137" t="s">
        <v>4979</v>
      </c>
      <c r="K1631" s="139">
        <f>VLOOKUP(LEN(SUBSTITUTE(H1631,"-","")),datos!$A$1:$B$12,2,0)</f>
        <v>6</v>
      </c>
      <c r="L1631" s="137"/>
      <c r="M1631" s="137" t="s">
        <v>0</v>
      </c>
    </row>
    <row r="1632" spans="1:13" x14ac:dyDescent="0.35">
      <c r="A1632" s="138" t="s">
        <v>487</v>
      </c>
      <c r="B1632" s="138" t="s">
        <v>3809</v>
      </c>
      <c r="C1632" s="138" t="s">
        <v>3983</v>
      </c>
      <c r="D1632" s="138" t="s">
        <v>4013</v>
      </c>
      <c r="E1632" s="138" t="s">
        <v>3932</v>
      </c>
      <c r="F1632" s="138" t="s">
        <v>3816</v>
      </c>
      <c r="G1632" s="138" t="s">
        <v>3818</v>
      </c>
      <c r="H1632" s="81" t="str">
        <f t="shared" ref="H1632:H1693" si="120">CONCATENATE(A1632,"-",B1632,"-",C1632,"-",D1632,"-",E1632,"-",F1632,"-",G1632)</f>
        <v>TCCN-PTE-PFL-PSC-UHD-SHI-BBA</v>
      </c>
      <c r="I1632" s="138" t="str">
        <f>MID(H1632,1,(LEN(H1632)-VLOOKUP(K1632,datos!$B$2:$C$12,2,0)))</f>
        <v>TCCN-PTE-PFL-PSC-UHD-SHI-BBA</v>
      </c>
      <c r="J1632" s="138" t="s">
        <v>8146</v>
      </c>
      <c r="K1632" s="140">
        <f>VLOOKUP(LEN(SUBSTITUTE(H1632,"-","")),datos!$A$1:$B$12,2,0)</f>
        <v>7</v>
      </c>
      <c r="L1632" s="138"/>
      <c r="M1632" s="138" t="s">
        <v>0</v>
      </c>
    </row>
    <row r="1633" spans="1:13" x14ac:dyDescent="0.35">
      <c r="A1633" s="138" t="s">
        <v>487</v>
      </c>
      <c r="B1633" s="138" t="s">
        <v>3809</v>
      </c>
      <c r="C1633" s="138" t="s">
        <v>3983</v>
      </c>
      <c r="D1633" s="138" t="s">
        <v>4013</v>
      </c>
      <c r="E1633" s="138" t="s">
        <v>3932</v>
      </c>
      <c r="F1633" s="138" t="s">
        <v>3816</v>
      </c>
      <c r="G1633" s="138" t="s">
        <v>4095</v>
      </c>
      <c r="H1633" s="81" t="str">
        <f t="shared" si="120"/>
        <v>TCCN-PTE-PFL-PSC-UHD-SHI-ACU</v>
      </c>
      <c r="I1633" s="138" t="str">
        <f>MID(H1633,1,(LEN(H1633)-VLOOKUP(K1633,datos!$B$2:$C$12,2,0)))</f>
        <v>TCCN-PTE-PFL-PSC-UHD-SHI-ACU</v>
      </c>
      <c r="J1633" s="138" t="s">
        <v>8147</v>
      </c>
      <c r="K1633" s="140">
        <f>VLOOKUP(LEN(SUBSTITUTE(H1633,"-","")),datos!$A$1:$B$12,2,0)</f>
        <v>7</v>
      </c>
      <c r="L1633" s="138"/>
      <c r="M1633" s="138" t="s">
        <v>0</v>
      </c>
    </row>
    <row r="1634" spans="1:13" x14ac:dyDescent="0.35">
      <c r="A1634" s="138" t="s">
        <v>487</v>
      </c>
      <c r="B1634" s="138" t="s">
        <v>3809</v>
      </c>
      <c r="C1634" s="138" t="s">
        <v>3983</v>
      </c>
      <c r="D1634" s="138" t="s">
        <v>4013</v>
      </c>
      <c r="E1634" s="138" t="s">
        <v>3932</v>
      </c>
      <c r="F1634" s="138" t="s">
        <v>3816</v>
      </c>
      <c r="G1634" s="138" t="s">
        <v>3853</v>
      </c>
      <c r="H1634" s="81" t="str">
        <f t="shared" si="120"/>
        <v>TCCN-PTE-PFL-PSC-UHD-SHI-EST</v>
      </c>
      <c r="I1634" s="138" t="str">
        <f>MID(H1634,1,(LEN(H1634)-VLOOKUP(K1634,datos!$B$2:$C$12,2,0)))</f>
        <v>TCCN-PTE-PFL-PSC-UHD-SHI-EST</v>
      </c>
      <c r="J1634" s="138" t="s">
        <v>8148</v>
      </c>
      <c r="K1634" s="140">
        <f>VLOOKUP(LEN(SUBSTITUTE(H1634,"-","")),datos!$A$1:$B$12,2,0)</f>
        <v>7</v>
      </c>
      <c r="L1634" s="138"/>
      <c r="M1634" s="138" t="s">
        <v>0</v>
      </c>
    </row>
    <row r="1635" spans="1:13" x14ac:dyDescent="0.35">
      <c r="A1635" s="137" t="s">
        <v>487</v>
      </c>
      <c r="B1635" s="137" t="s">
        <v>3809</v>
      </c>
      <c r="C1635" s="137" t="s">
        <v>3983</v>
      </c>
      <c r="D1635" s="137" t="s">
        <v>4013</v>
      </c>
      <c r="E1635" s="137" t="s">
        <v>3932</v>
      </c>
      <c r="F1635" s="137" t="s">
        <v>3847</v>
      </c>
      <c r="G1635" s="137"/>
      <c r="H1635" s="82" t="str">
        <f t="shared" si="120"/>
        <v>TCCN-PTE-PFL-PSC-UHD-SMO-</v>
      </c>
      <c r="I1635" s="137" t="str">
        <f>MID(H1635,1,(LEN(H1635)-VLOOKUP(K1635,datos!$B$2:$C$12,2,0)))</f>
        <v>TCCN-PTE-PFL-PSC-UHD-SMO</v>
      </c>
      <c r="J1635" s="137" t="s">
        <v>8149</v>
      </c>
      <c r="K1635" s="139">
        <f>VLOOKUP(LEN(SUBSTITUTE(H1635,"-","")),datos!$A$1:$B$12,2,0)</f>
        <v>6</v>
      </c>
      <c r="L1635" s="137"/>
      <c r="M1635" s="137" t="s">
        <v>0</v>
      </c>
    </row>
    <row r="1636" spans="1:13" x14ac:dyDescent="0.35">
      <c r="A1636" s="138" t="s">
        <v>487</v>
      </c>
      <c r="B1636" s="138" t="s">
        <v>3809</v>
      </c>
      <c r="C1636" s="138" t="s">
        <v>3983</v>
      </c>
      <c r="D1636" s="138" t="s">
        <v>4013</v>
      </c>
      <c r="E1636" s="138" t="s">
        <v>3932</v>
      </c>
      <c r="F1636" s="138" t="s">
        <v>3847</v>
      </c>
      <c r="G1636" s="138" t="s">
        <v>3819</v>
      </c>
      <c r="H1636" s="81" t="str">
        <f t="shared" si="120"/>
        <v>TCCN-PTE-PFL-PSC-UHD-SMO-MOE</v>
      </c>
      <c r="I1636" s="138" t="str">
        <f>MID(H1636,1,(LEN(H1636)-VLOOKUP(K1636,datos!$B$2:$C$12,2,0)))</f>
        <v>TCCN-PTE-PFL-PSC-UHD-SMO-MOE</v>
      </c>
      <c r="J1636" s="138" t="s">
        <v>5339</v>
      </c>
      <c r="K1636" s="140">
        <f>VLOOKUP(LEN(SUBSTITUTE(H1636,"-","")),datos!$A$1:$B$12,2,0)</f>
        <v>7</v>
      </c>
      <c r="L1636" s="138"/>
      <c r="M1636" s="138" t="s">
        <v>0</v>
      </c>
    </row>
    <row r="1637" spans="1:13" x14ac:dyDescent="0.35">
      <c r="A1637" s="137" t="s">
        <v>487</v>
      </c>
      <c r="B1637" s="137" t="s">
        <v>3809</v>
      </c>
      <c r="C1637" s="137" t="s">
        <v>3983</v>
      </c>
      <c r="D1637" s="137" t="s">
        <v>4013</v>
      </c>
      <c r="E1637" s="137" t="s">
        <v>3932</v>
      </c>
      <c r="F1637" s="137" t="s">
        <v>3831</v>
      </c>
      <c r="G1637" s="137"/>
      <c r="H1637" s="82" t="str">
        <f t="shared" si="120"/>
        <v>TCCN-PTE-PFL-PSC-UHD-INS-</v>
      </c>
      <c r="I1637" s="137" t="str">
        <f>MID(H1637,1,(LEN(H1637)-VLOOKUP(K1637,datos!$B$2:$C$12,2,0)))</f>
        <v>TCCN-PTE-PFL-PSC-UHD-INS</v>
      </c>
      <c r="J1637" s="137" t="s">
        <v>6746</v>
      </c>
      <c r="K1637" s="139">
        <f>VLOOKUP(LEN(SUBSTITUTE(H1637,"-","")),datos!$A$1:$B$12,2,0)</f>
        <v>6</v>
      </c>
      <c r="L1637" s="137"/>
      <c r="M1637" s="137" t="s">
        <v>0</v>
      </c>
    </row>
    <row r="1638" spans="1:13" customFormat="1" ht="14.5" x14ac:dyDescent="0.35">
      <c r="A1638" s="129" t="s">
        <v>487</v>
      </c>
      <c r="B1638" s="129" t="s">
        <v>3809</v>
      </c>
      <c r="C1638" s="129" t="s">
        <v>3983</v>
      </c>
      <c r="D1638" s="129" t="s">
        <v>4013</v>
      </c>
      <c r="E1638" s="129" t="s">
        <v>4014</v>
      </c>
      <c r="F1638" s="129"/>
      <c r="G1638" s="129"/>
      <c r="H1638" s="83" t="str">
        <f t="shared" si="120"/>
        <v>TCCN-PTE-PFL-PSC-CA2--</v>
      </c>
      <c r="I1638" s="129" t="str">
        <f>MID(H1638,1,(LEN(H1638)-VLOOKUP(K1638,datos!$B$2:$C$12,2,0)))</f>
        <v>TCCN-PTE-PFL-PSC-CA2</v>
      </c>
      <c r="J1638" s="129" t="s">
        <v>617</v>
      </c>
      <c r="K1638" s="130">
        <f>VLOOKUP(LEN(SUBSTITUTE(H1638,"-","")),datos!$A$1:$B$12,2,0)</f>
        <v>5</v>
      </c>
      <c r="L1638" s="129" t="s">
        <v>228</v>
      </c>
      <c r="M1638" s="129" t="s">
        <v>0</v>
      </c>
    </row>
    <row r="1639" spans="1:13" x14ac:dyDescent="0.35">
      <c r="A1639" s="137" t="s">
        <v>487</v>
      </c>
      <c r="B1639" s="137" t="s">
        <v>3809</v>
      </c>
      <c r="C1639" s="137" t="s">
        <v>3983</v>
      </c>
      <c r="D1639" s="137" t="s">
        <v>4013</v>
      </c>
      <c r="E1639" s="137" t="s">
        <v>4014</v>
      </c>
      <c r="F1639" s="137" t="s">
        <v>3821</v>
      </c>
      <c r="G1639" s="137"/>
      <c r="H1639" s="82" t="str">
        <f t="shared" si="120"/>
        <v>TCCN-PTE-PFL-PSC-CA2-SME-</v>
      </c>
      <c r="I1639" s="137" t="str">
        <f>MID(H1639,1,(LEN(H1639)-VLOOKUP(K1639,datos!$B$2:$C$12,2,0)))</f>
        <v>TCCN-PTE-PFL-PSC-CA2-SME</v>
      </c>
      <c r="J1639" s="137" t="s">
        <v>8</v>
      </c>
      <c r="K1639" s="139">
        <f>VLOOKUP(LEN(SUBSTITUTE(H1639,"-","")),datos!$A$1:$B$12,2,0)</f>
        <v>6</v>
      </c>
      <c r="L1639" s="137"/>
      <c r="M1639" s="137" t="s">
        <v>0</v>
      </c>
    </row>
    <row r="1640" spans="1:13" x14ac:dyDescent="0.35">
      <c r="A1640" s="138" t="s">
        <v>487</v>
      </c>
      <c r="B1640" s="138" t="s">
        <v>3809</v>
      </c>
      <c r="C1640" s="138" t="s">
        <v>3983</v>
      </c>
      <c r="D1640" s="138" t="s">
        <v>4013</v>
      </c>
      <c r="E1640" s="138" t="s">
        <v>4014</v>
      </c>
      <c r="F1640" s="138" t="s">
        <v>3821</v>
      </c>
      <c r="G1640" s="138" t="s">
        <v>3986</v>
      </c>
      <c r="H1640" s="81" t="str">
        <f t="shared" si="120"/>
        <v>TCCN-PTE-PFL-PSC-CA2-SME-VV1</v>
      </c>
      <c r="I1640" s="138" t="str">
        <f>MID(H1640,1,(LEN(H1640)-VLOOKUP(K1640,datos!$B$2:$C$12,2,0)))</f>
        <v>TCCN-PTE-PFL-PSC-CA2-SME-VV1</v>
      </c>
      <c r="J1640" s="138" t="s">
        <v>7947</v>
      </c>
      <c r="K1640" s="140">
        <f>VLOOKUP(LEN(SUBSTITUTE(H1640,"-","")),datos!$A$1:$B$12,2,0)</f>
        <v>7</v>
      </c>
      <c r="L1640" s="138" t="s">
        <v>229</v>
      </c>
      <c r="M1640" s="138" t="s">
        <v>0</v>
      </c>
    </row>
    <row r="1641" spans="1:13" x14ac:dyDescent="0.35">
      <c r="A1641" s="138" t="s">
        <v>487</v>
      </c>
      <c r="B1641" s="138" t="s">
        <v>3809</v>
      </c>
      <c r="C1641" s="138" t="s">
        <v>3983</v>
      </c>
      <c r="D1641" s="138" t="s">
        <v>4013</v>
      </c>
      <c r="E1641" s="138" t="s">
        <v>4014</v>
      </c>
      <c r="F1641" s="138" t="s">
        <v>3821</v>
      </c>
      <c r="G1641" s="138" t="s">
        <v>3987</v>
      </c>
      <c r="H1641" s="81" t="str">
        <f t="shared" si="120"/>
        <v>TCCN-PTE-PFL-PSC-CA2-SME-VV2</v>
      </c>
      <c r="I1641" s="138" t="str">
        <f>MID(H1641,1,(LEN(H1641)-VLOOKUP(K1641,datos!$B$2:$C$12,2,0)))</f>
        <v>TCCN-PTE-PFL-PSC-CA2-SME-VV2</v>
      </c>
      <c r="J1641" s="138" t="s">
        <v>7948</v>
      </c>
      <c r="K1641" s="140">
        <f>VLOOKUP(LEN(SUBSTITUTE(H1641,"-","")),datos!$A$1:$B$12,2,0)</f>
        <v>7</v>
      </c>
      <c r="L1641" s="138" t="s">
        <v>230</v>
      </c>
      <c r="M1641" s="138" t="s">
        <v>0</v>
      </c>
    </row>
    <row r="1642" spans="1:13" x14ac:dyDescent="0.35">
      <c r="A1642" s="137" t="s">
        <v>487</v>
      </c>
      <c r="B1642" s="137" t="s">
        <v>3809</v>
      </c>
      <c r="C1642" s="137" t="s">
        <v>3983</v>
      </c>
      <c r="D1642" s="137" t="s">
        <v>4013</v>
      </c>
      <c r="E1642" s="137" t="s">
        <v>4014</v>
      </c>
      <c r="F1642" s="137" t="s">
        <v>3831</v>
      </c>
      <c r="G1642" s="137"/>
      <c r="H1642" s="82" t="str">
        <f t="shared" si="120"/>
        <v>TCCN-PTE-PFL-PSC-CA2-INS-</v>
      </c>
      <c r="I1642" s="137" t="str">
        <f>MID(H1642,1,(LEN(H1642)-VLOOKUP(K1642,datos!$B$2:$C$12,2,0)))</f>
        <v>TCCN-PTE-PFL-PSC-CA2-INS</v>
      </c>
      <c r="J1642" s="137" t="s">
        <v>4829</v>
      </c>
      <c r="K1642" s="139">
        <f>VLOOKUP(LEN(SUBSTITUTE(H1642,"-","")),datos!$A$1:$B$12,2,0)</f>
        <v>6</v>
      </c>
      <c r="L1642" s="137"/>
      <c r="M1642" s="137" t="s">
        <v>0</v>
      </c>
    </row>
    <row r="1643" spans="1:13" x14ac:dyDescent="0.35">
      <c r="A1643" s="138" t="s">
        <v>487</v>
      </c>
      <c r="B1643" s="138" t="s">
        <v>3809</v>
      </c>
      <c r="C1643" s="138" t="s">
        <v>3983</v>
      </c>
      <c r="D1643" s="138" t="s">
        <v>4013</v>
      </c>
      <c r="E1643" s="138" t="s">
        <v>4014</v>
      </c>
      <c r="F1643" s="138" t="s">
        <v>3831</v>
      </c>
      <c r="G1643" s="138" t="s">
        <v>5256</v>
      </c>
      <c r="H1643" s="81" t="str">
        <f t="shared" si="120"/>
        <v>TCCN-PTE-PFL-PSC-CA2-INS-MNV</v>
      </c>
      <c r="I1643" s="138" t="str">
        <f>MID(H1643,1,(LEN(H1643)-VLOOKUP(K1643,datos!$B$2:$C$12,2,0)))</f>
        <v>TCCN-PTE-PFL-PSC-CA2-INS-MNV</v>
      </c>
      <c r="J1643" s="138" t="s">
        <v>7610</v>
      </c>
      <c r="K1643" s="140">
        <f>VLOOKUP(LEN(SUBSTITUTE(H1643,"-","")),datos!$A$1:$B$12,2,0)</f>
        <v>7</v>
      </c>
      <c r="L1643" s="138" t="s">
        <v>1663</v>
      </c>
      <c r="M1643" s="138" t="s">
        <v>0</v>
      </c>
    </row>
    <row r="1644" spans="1:13" x14ac:dyDescent="0.35">
      <c r="A1644" s="137" t="s">
        <v>487</v>
      </c>
      <c r="B1644" s="137" t="s">
        <v>3809</v>
      </c>
      <c r="C1644" s="137" t="s">
        <v>3983</v>
      </c>
      <c r="D1644" s="137" t="s">
        <v>4013</v>
      </c>
      <c r="E1644" s="137" t="s">
        <v>4014</v>
      </c>
      <c r="F1644" s="137" t="s">
        <v>3932</v>
      </c>
      <c r="G1644" s="137"/>
      <c r="H1644" s="82" t="str">
        <f t="shared" si="120"/>
        <v>TCCN-PTE-PFL-PSC-CA2-UHD-</v>
      </c>
      <c r="I1644" s="137" t="str">
        <f>MID(H1644,1,(LEN(H1644)-VLOOKUP(K1644,datos!$B$2:$C$12,2,0)))</f>
        <v>TCCN-PTE-PFL-PSC-CA2-UHD</v>
      </c>
      <c r="J1644" s="137" t="s">
        <v>905</v>
      </c>
      <c r="K1644" s="139">
        <f>VLOOKUP(LEN(SUBSTITUTE(H1644,"-","")),datos!$A$1:$B$12,2,0)</f>
        <v>6</v>
      </c>
      <c r="L1644" s="137" t="s">
        <v>231</v>
      </c>
      <c r="M1644" s="137" t="s">
        <v>0</v>
      </c>
    </row>
    <row r="1645" spans="1:13" x14ac:dyDescent="0.35">
      <c r="A1645" s="138" t="s">
        <v>487</v>
      </c>
      <c r="B1645" s="138" t="s">
        <v>3809</v>
      </c>
      <c r="C1645" s="138" t="s">
        <v>3983</v>
      </c>
      <c r="D1645" s="138" t="s">
        <v>4013</v>
      </c>
      <c r="E1645" s="138" t="s">
        <v>4014</v>
      </c>
      <c r="F1645" s="138" t="s">
        <v>3932</v>
      </c>
      <c r="G1645" s="138" t="s">
        <v>3818</v>
      </c>
      <c r="H1645" s="81" t="str">
        <f t="shared" si="120"/>
        <v>TCCN-PTE-PFL-PSC-CA2-UHD-BBA</v>
      </c>
      <c r="I1645" s="138" t="str">
        <f>MID(H1645,1,(LEN(H1645)-VLOOKUP(K1645,datos!$B$2:$C$12,2,0)))</f>
        <v>TCCN-PTE-PFL-PSC-CA2-UHD-BBA</v>
      </c>
      <c r="J1645" s="138" t="s">
        <v>1178</v>
      </c>
      <c r="K1645" s="140">
        <f>VLOOKUP(LEN(SUBSTITUTE(H1645,"-","")),datos!$A$1:$B$12,2,0)</f>
        <v>7</v>
      </c>
      <c r="L1645" s="138"/>
      <c r="M1645" s="138" t="s">
        <v>0</v>
      </c>
    </row>
    <row r="1646" spans="1:13" x14ac:dyDescent="0.35">
      <c r="A1646" s="138" t="s">
        <v>487</v>
      </c>
      <c r="B1646" s="138" t="s">
        <v>3809</v>
      </c>
      <c r="C1646" s="138" t="s">
        <v>3983</v>
      </c>
      <c r="D1646" s="138" t="s">
        <v>4013</v>
      </c>
      <c r="E1646" s="138" t="s">
        <v>4014</v>
      </c>
      <c r="F1646" s="138" t="s">
        <v>3932</v>
      </c>
      <c r="G1646" s="138" t="s">
        <v>4095</v>
      </c>
      <c r="H1646" s="81" t="str">
        <f t="shared" si="120"/>
        <v>TCCN-PTE-PFL-PSC-CA2-UHD-ACU</v>
      </c>
      <c r="I1646" s="138" t="str">
        <f>MID(H1646,1,(LEN(H1646)-VLOOKUP(K1646,datos!$B$2:$C$12,2,0)))</f>
        <v>TCCN-PTE-PFL-PSC-CA2-UHD-ACU</v>
      </c>
      <c r="J1646" s="138" t="s">
        <v>1179</v>
      </c>
      <c r="K1646" s="140">
        <f>VLOOKUP(LEN(SUBSTITUTE(H1646,"-","")),datos!$A$1:$B$12,2,0)</f>
        <v>7</v>
      </c>
      <c r="L1646" s="138"/>
      <c r="M1646" s="138" t="s">
        <v>0</v>
      </c>
    </row>
    <row r="1647" spans="1:13" x14ac:dyDescent="0.35">
      <c r="A1647" s="138" t="s">
        <v>487</v>
      </c>
      <c r="B1647" s="138" t="s">
        <v>3809</v>
      </c>
      <c r="C1647" s="138" t="s">
        <v>3983</v>
      </c>
      <c r="D1647" s="138" t="s">
        <v>4013</v>
      </c>
      <c r="E1647" s="138" t="s">
        <v>4014</v>
      </c>
      <c r="F1647" s="138" t="s">
        <v>3932</v>
      </c>
      <c r="G1647" s="138" t="s">
        <v>3853</v>
      </c>
      <c r="H1647" s="81" t="str">
        <f t="shared" si="120"/>
        <v>TCCN-PTE-PFL-PSC-CA2-UHD-EST</v>
      </c>
      <c r="I1647" s="138" t="str">
        <f>MID(H1647,1,(LEN(H1647)-VLOOKUP(K1647,datos!$B$2:$C$12,2,0)))</f>
        <v>TCCN-PTE-PFL-PSC-CA2-UHD-EST</v>
      </c>
      <c r="J1647" s="138" t="s">
        <v>1180</v>
      </c>
      <c r="K1647" s="140">
        <f>VLOOKUP(LEN(SUBSTITUTE(H1647,"-","")),datos!$A$1:$B$12,2,0)</f>
        <v>7</v>
      </c>
      <c r="L1647" s="138"/>
      <c r="M1647" s="138" t="s">
        <v>0</v>
      </c>
    </row>
    <row r="1648" spans="1:13" x14ac:dyDescent="0.35">
      <c r="A1648" s="138" t="s">
        <v>487</v>
      </c>
      <c r="B1648" s="138" t="s">
        <v>3809</v>
      </c>
      <c r="C1648" s="138" t="s">
        <v>3983</v>
      </c>
      <c r="D1648" s="138" t="s">
        <v>4013</v>
      </c>
      <c r="E1648" s="138" t="s">
        <v>4014</v>
      </c>
      <c r="F1648" s="138" t="s">
        <v>3932</v>
      </c>
      <c r="G1648" s="138" t="s">
        <v>3819</v>
      </c>
      <c r="H1648" s="81" t="str">
        <f t="shared" si="120"/>
        <v>TCCN-PTE-PFL-PSC-CA2-UHD-MOE</v>
      </c>
      <c r="I1648" s="138" t="str">
        <f>MID(H1648,1,(LEN(H1648)-VLOOKUP(K1648,datos!$B$2:$C$12,2,0)))</f>
        <v>TCCN-PTE-PFL-PSC-CA2-UHD-MOE</v>
      </c>
      <c r="J1648" s="138" t="s">
        <v>6701</v>
      </c>
      <c r="K1648" s="140">
        <f>VLOOKUP(LEN(SUBSTITUTE(H1648,"-","")),datos!$A$1:$B$12,2,0)</f>
        <v>7</v>
      </c>
      <c r="L1648" s="138" t="s">
        <v>232</v>
      </c>
      <c r="M1648" s="138" t="s">
        <v>0</v>
      </c>
    </row>
    <row r="1649" spans="1:13" x14ac:dyDescent="0.35">
      <c r="A1649" s="138" t="s">
        <v>487</v>
      </c>
      <c r="B1649" s="138" t="s">
        <v>3809</v>
      </c>
      <c r="C1649" s="138" t="s">
        <v>3983</v>
      </c>
      <c r="D1649" s="138" t="s">
        <v>4013</v>
      </c>
      <c r="E1649" s="138" t="s">
        <v>4014</v>
      </c>
      <c r="F1649" s="138" t="s">
        <v>3932</v>
      </c>
      <c r="G1649" s="138" t="s">
        <v>3870</v>
      </c>
      <c r="H1649" s="81" t="str">
        <f t="shared" si="120"/>
        <v>TCCN-PTE-PFL-PSC-CA2-UHD-BTN</v>
      </c>
      <c r="I1649" s="138" t="str">
        <f>MID(H1649,1,(LEN(H1649)-VLOOKUP(K1649,datos!$B$2:$C$12,2,0)))</f>
        <v>TCCN-PTE-PFL-PSC-CA2-UHD-BTN</v>
      </c>
      <c r="J1649" s="138" t="s">
        <v>1654</v>
      </c>
      <c r="K1649" s="140">
        <f>VLOOKUP(LEN(SUBSTITUTE(H1649,"-","")),datos!$A$1:$B$12,2,0)</f>
        <v>7</v>
      </c>
      <c r="L1649" s="138"/>
      <c r="M1649" s="138" t="s">
        <v>0</v>
      </c>
    </row>
    <row r="1650" spans="1:13" x14ac:dyDescent="0.35">
      <c r="A1650" s="138" t="s">
        <v>487</v>
      </c>
      <c r="B1650" s="138" t="s">
        <v>3809</v>
      </c>
      <c r="C1650" s="138" t="s">
        <v>3983</v>
      </c>
      <c r="D1650" s="138" t="s">
        <v>4013</v>
      </c>
      <c r="E1650" s="138" t="s">
        <v>4014</v>
      </c>
      <c r="F1650" s="138" t="s">
        <v>3932</v>
      </c>
      <c r="G1650" s="138" t="s">
        <v>4016</v>
      </c>
      <c r="H1650" s="81" t="str">
        <f t="shared" si="120"/>
        <v>TCCN-PTE-PFL-PSC-CA2-UHD-PAN</v>
      </c>
      <c r="I1650" s="138" t="str">
        <f>MID(H1650,1,(LEN(H1650)-VLOOKUP(K1650,datos!$B$2:$C$12,2,0)))</f>
        <v>TCCN-PTE-PFL-PSC-CA2-UHD-PAN</v>
      </c>
      <c r="J1650" s="138" t="s">
        <v>1673</v>
      </c>
      <c r="K1650" s="140">
        <f>VLOOKUP(LEN(SUBSTITUTE(H1650,"-","")),datos!$A$1:$B$12,2,0)</f>
        <v>7</v>
      </c>
      <c r="L1650" s="138"/>
      <c r="M1650" s="138" t="s">
        <v>0</v>
      </c>
    </row>
    <row r="1651" spans="1:13" customFormat="1" ht="14.5" x14ac:dyDescent="0.35">
      <c r="A1651" s="129" t="s">
        <v>487</v>
      </c>
      <c r="B1651" s="129" t="s">
        <v>3809</v>
      </c>
      <c r="C1651" s="129" t="s">
        <v>3983</v>
      </c>
      <c r="D1651" s="129" t="s">
        <v>4013</v>
      </c>
      <c r="E1651" s="129" t="s">
        <v>4017</v>
      </c>
      <c r="F1651" s="129"/>
      <c r="G1651" s="129"/>
      <c r="H1651" s="83" t="str">
        <f t="shared" si="120"/>
        <v>TCCN-PTE-PFL-PSC-B03--</v>
      </c>
      <c r="I1651" s="129" t="str">
        <f>MID(H1651,1,(LEN(H1651)-VLOOKUP(K1651,datos!$B$2:$C$12,2,0)))</f>
        <v>TCCN-PTE-PFL-PSC-B03</v>
      </c>
      <c r="J1651" s="129" t="s">
        <v>7104</v>
      </c>
      <c r="K1651" s="130">
        <f>VLOOKUP(LEN(SUBSTITUTE(H1651,"-","")),datos!$A$1:$B$12,2,0)</f>
        <v>5</v>
      </c>
      <c r="L1651" s="129" t="s">
        <v>233</v>
      </c>
      <c r="M1651" s="129" t="s">
        <v>0</v>
      </c>
    </row>
    <row r="1652" spans="1:13" x14ac:dyDescent="0.35">
      <c r="A1652" s="137" t="s">
        <v>487</v>
      </c>
      <c r="B1652" s="137" t="s">
        <v>3809</v>
      </c>
      <c r="C1652" s="137" t="s">
        <v>3983</v>
      </c>
      <c r="D1652" s="137" t="s">
        <v>4013</v>
      </c>
      <c r="E1652" s="137" t="s">
        <v>4017</v>
      </c>
      <c r="F1652" s="137" t="s">
        <v>5106</v>
      </c>
      <c r="G1652" s="137"/>
      <c r="H1652" s="82" t="str">
        <f t="shared" si="120"/>
        <v>TCCN-PTE-PFL-PSC-B03-PHU-</v>
      </c>
      <c r="I1652" s="137" t="str">
        <f>MID(H1652,1,(LEN(H1652)-VLOOKUP(K1652,datos!$B$2:$C$12,2,0)))</f>
        <v>TCCN-PTE-PFL-PSC-B03-PHU</v>
      </c>
      <c r="J1652" s="137" t="s">
        <v>6252</v>
      </c>
      <c r="K1652" s="139">
        <f>VLOOKUP(LEN(SUBSTITUTE(H1652,"-","")),datos!$A$1:$B$12,2,0)</f>
        <v>6</v>
      </c>
      <c r="L1652" s="137"/>
      <c r="M1652" s="137" t="s">
        <v>0</v>
      </c>
    </row>
    <row r="1653" spans="1:13" x14ac:dyDescent="0.35">
      <c r="A1653" s="137" t="s">
        <v>487</v>
      </c>
      <c r="B1653" s="137" t="s">
        <v>3809</v>
      </c>
      <c r="C1653" s="137" t="s">
        <v>3983</v>
      </c>
      <c r="D1653" s="137" t="s">
        <v>4013</v>
      </c>
      <c r="E1653" s="137" t="s">
        <v>4017</v>
      </c>
      <c r="F1653" s="137" t="s">
        <v>4073</v>
      </c>
      <c r="G1653" s="137"/>
      <c r="H1653" s="82" t="str">
        <f t="shared" si="120"/>
        <v>TCCN-PTE-PFL-PSC-B03-PYV-</v>
      </c>
      <c r="I1653" s="137" t="str">
        <f>MID(H1653,1,(LEN(H1653)-VLOOKUP(K1653,datos!$B$2:$C$12,2,0)))</f>
        <v>TCCN-PTE-PFL-PSC-B03-PYV</v>
      </c>
      <c r="J1653" s="137" t="s">
        <v>6253</v>
      </c>
      <c r="K1653" s="139">
        <f>VLOOKUP(LEN(SUBSTITUTE(H1653,"-","")),datos!$A$1:$B$12,2,0)</f>
        <v>6</v>
      </c>
      <c r="L1653" s="137"/>
      <c r="M1653" s="137" t="s">
        <v>0</v>
      </c>
    </row>
    <row r="1654" spans="1:13" x14ac:dyDescent="0.35">
      <c r="A1654" s="137" t="s">
        <v>487</v>
      </c>
      <c r="B1654" s="137" t="s">
        <v>3809</v>
      </c>
      <c r="C1654" s="137" t="s">
        <v>3983</v>
      </c>
      <c r="D1654" s="137" t="s">
        <v>4013</v>
      </c>
      <c r="E1654" s="137" t="s">
        <v>4017</v>
      </c>
      <c r="F1654" s="137" t="s">
        <v>3847</v>
      </c>
      <c r="G1654" s="137"/>
      <c r="H1654" s="82" t="str">
        <f t="shared" si="120"/>
        <v>TCCN-PTE-PFL-PSC-B03-SMO-</v>
      </c>
      <c r="I1654" s="137" t="str">
        <f>MID(H1654,1,(LEN(H1654)-VLOOKUP(K1654,datos!$B$2:$C$12,2,0)))</f>
        <v>TCCN-PTE-PFL-PSC-B03-SMO</v>
      </c>
      <c r="J1654" s="137" t="s">
        <v>6254</v>
      </c>
      <c r="K1654" s="139">
        <f>VLOOKUP(LEN(SUBSTITUTE(H1654,"-","")),datos!$A$1:$B$12,2,0)</f>
        <v>6</v>
      </c>
      <c r="L1654" s="137"/>
      <c r="M1654" s="137" t="s">
        <v>0</v>
      </c>
    </row>
    <row r="1655" spans="1:13" x14ac:dyDescent="0.35">
      <c r="A1655" s="138" t="s">
        <v>487</v>
      </c>
      <c r="B1655" s="138" t="s">
        <v>3809</v>
      </c>
      <c r="C1655" s="138" t="s">
        <v>3983</v>
      </c>
      <c r="D1655" s="138" t="s">
        <v>4013</v>
      </c>
      <c r="E1655" s="138" t="s">
        <v>4017</v>
      </c>
      <c r="F1655" s="138" t="s">
        <v>3847</v>
      </c>
      <c r="G1655" s="138" t="s">
        <v>3819</v>
      </c>
      <c r="H1655" s="81" t="str">
        <f t="shared" si="120"/>
        <v>TCCN-PTE-PFL-PSC-B03-SMO-MOE</v>
      </c>
      <c r="I1655" s="138" t="str">
        <f>MID(H1655,1,(LEN(H1655)-VLOOKUP(K1655,datos!$B$2:$C$12,2,0)))</f>
        <v>TCCN-PTE-PFL-PSC-B03-SMO-MOE</v>
      </c>
      <c r="J1655" s="138" t="s">
        <v>5340</v>
      </c>
      <c r="K1655" s="140">
        <f>VLOOKUP(LEN(SUBSTITUTE(H1655,"-","")),datos!$A$1:$B$12,2,0)</f>
        <v>7</v>
      </c>
      <c r="L1655" s="138" t="s">
        <v>234</v>
      </c>
      <c r="M1655" s="138" t="s">
        <v>0</v>
      </c>
    </row>
    <row r="1656" spans="1:13" x14ac:dyDescent="0.35">
      <c r="A1656" s="137" t="s">
        <v>487</v>
      </c>
      <c r="B1656" s="137" t="s">
        <v>3809</v>
      </c>
      <c r="C1656" s="137" t="s">
        <v>3983</v>
      </c>
      <c r="D1656" s="137" t="s">
        <v>4013</v>
      </c>
      <c r="E1656" s="137" t="s">
        <v>4017</v>
      </c>
      <c r="F1656" s="137" t="s">
        <v>3831</v>
      </c>
      <c r="G1656" s="137"/>
      <c r="H1656" s="82" t="str">
        <f t="shared" si="120"/>
        <v>TCCN-PTE-PFL-PSC-B03-INS-</v>
      </c>
      <c r="I1656" s="137" t="str">
        <f>MID(H1656,1,(LEN(H1656)-VLOOKUP(K1656,datos!$B$2:$C$12,2,0)))</f>
        <v>TCCN-PTE-PFL-PSC-B03-INS</v>
      </c>
      <c r="J1656" s="137" t="s">
        <v>6255</v>
      </c>
      <c r="K1656" s="139">
        <f>VLOOKUP(LEN(SUBSTITUTE(H1656,"-","")),datos!$A$1:$B$12,2,0)</f>
        <v>6</v>
      </c>
      <c r="L1656" s="137"/>
      <c r="M1656" s="137" t="s">
        <v>0</v>
      </c>
    </row>
    <row r="1657" spans="1:13" x14ac:dyDescent="0.35">
      <c r="A1657" s="138" t="s">
        <v>487</v>
      </c>
      <c r="B1657" s="138" t="s">
        <v>3809</v>
      </c>
      <c r="C1657" s="138" t="s">
        <v>3983</v>
      </c>
      <c r="D1657" s="138" t="s">
        <v>4013</v>
      </c>
      <c r="E1657" s="138" t="s">
        <v>4017</v>
      </c>
      <c r="F1657" s="138" t="s">
        <v>3831</v>
      </c>
      <c r="G1657" s="138" t="s">
        <v>7069</v>
      </c>
      <c r="H1657" s="81" t="str">
        <f t="shared" si="120"/>
        <v>TCCN-PTE-PFL-PSC-B03-INS-MPN</v>
      </c>
      <c r="I1657" s="138" t="str">
        <f>MID(H1657,1,(LEN(H1657)-VLOOKUP(K1657,datos!$B$2:$C$12,2,0)))</f>
        <v>TCCN-PTE-PFL-PSC-B03-INS-MPN</v>
      </c>
      <c r="J1657" s="138" t="s">
        <v>7561</v>
      </c>
      <c r="K1657" s="140">
        <f>VLOOKUP(LEN(SUBSTITUTE(H1657,"-","")),datos!$A$1:$B$12,2,0)</f>
        <v>7</v>
      </c>
      <c r="L1657" s="138"/>
      <c r="M1657" s="138" t="s">
        <v>0</v>
      </c>
    </row>
    <row r="1658" spans="1:13" x14ac:dyDescent="0.35">
      <c r="A1658" s="137" t="s">
        <v>487</v>
      </c>
      <c r="B1658" s="137" t="s">
        <v>3809</v>
      </c>
      <c r="C1658" s="137" t="s">
        <v>3983</v>
      </c>
      <c r="D1658" s="137" t="s">
        <v>4013</v>
      </c>
      <c r="E1658" s="137" t="s">
        <v>4017</v>
      </c>
      <c r="F1658" s="137" t="s">
        <v>3869</v>
      </c>
      <c r="G1658" s="137"/>
      <c r="H1658" s="82" t="str">
        <f t="shared" si="120"/>
        <v>TCCN-PTE-PFL-PSC-B03-SCE-</v>
      </c>
      <c r="I1658" s="137" t="str">
        <f>MID(H1658,1,(LEN(H1658)-VLOOKUP(K1658,datos!$B$2:$C$12,2,0)))</f>
        <v>TCCN-PTE-PFL-PSC-B03-SCE</v>
      </c>
      <c r="J1658" s="137" t="s">
        <v>6256</v>
      </c>
      <c r="K1658" s="139">
        <f>VLOOKUP(LEN(SUBSTITUTE(H1658,"-","")),datos!$A$1:$B$12,2,0)</f>
        <v>6</v>
      </c>
      <c r="L1658" s="137"/>
      <c r="M1658" s="137" t="s">
        <v>0</v>
      </c>
    </row>
    <row r="1659" spans="1:13" x14ac:dyDescent="0.35">
      <c r="A1659" s="138" t="s">
        <v>487</v>
      </c>
      <c r="B1659" s="138" t="s">
        <v>3809</v>
      </c>
      <c r="C1659" s="138" t="s">
        <v>3983</v>
      </c>
      <c r="D1659" s="138" t="s">
        <v>4013</v>
      </c>
      <c r="E1659" s="138" t="s">
        <v>4017</v>
      </c>
      <c r="F1659" s="138" t="s">
        <v>3869</v>
      </c>
      <c r="G1659" s="138" t="s">
        <v>3870</v>
      </c>
      <c r="H1659" s="81" t="str">
        <f t="shared" si="120"/>
        <v>TCCN-PTE-PFL-PSC-B03-SCE-BTN</v>
      </c>
      <c r="I1659" s="138" t="str">
        <f>MID(H1659,1,(LEN(H1659)-VLOOKUP(K1659,datos!$B$2:$C$12,2,0)))</f>
        <v>TCCN-PTE-PFL-PSC-B03-SCE-BTN</v>
      </c>
      <c r="J1659" s="138" t="s">
        <v>6257</v>
      </c>
      <c r="K1659" s="140">
        <f>VLOOKUP(LEN(SUBSTITUTE(H1659,"-","")),datos!$A$1:$B$12,2,0)</f>
        <v>7</v>
      </c>
      <c r="L1659" s="138"/>
      <c r="M1659" s="138" t="s">
        <v>0</v>
      </c>
    </row>
    <row r="1660" spans="1:13" customFormat="1" ht="14.5" x14ac:dyDescent="0.35">
      <c r="A1660" s="129" t="s">
        <v>487</v>
      </c>
      <c r="B1660" s="129" t="s">
        <v>3809</v>
      </c>
      <c r="C1660" s="129" t="s">
        <v>3983</v>
      </c>
      <c r="D1660" s="129" t="s">
        <v>4013</v>
      </c>
      <c r="E1660" s="129" t="s">
        <v>4018</v>
      </c>
      <c r="F1660" s="129"/>
      <c r="G1660" s="129"/>
      <c r="H1660" s="83" t="str">
        <f t="shared" si="120"/>
        <v>TCCN-PTE-PFL-PSC-TCL--</v>
      </c>
      <c r="I1660" s="129" t="str">
        <f>MID(H1660,1,(LEN(H1660)-VLOOKUP(K1660,datos!$B$2:$C$12,2,0)))</f>
        <v>TCCN-PTE-PFL-PSC-TCL</v>
      </c>
      <c r="J1660" s="129" t="s">
        <v>8052</v>
      </c>
      <c r="K1660" s="130">
        <f>VLOOKUP(LEN(SUBSTITUTE(H1660,"-","")),datos!$A$1:$B$12,2,0)</f>
        <v>5</v>
      </c>
      <c r="L1660" s="129" t="s">
        <v>235</v>
      </c>
      <c r="M1660" s="129" t="s">
        <v>0</v>
      </c>
    </row>
    <row r="1661" spans="1:13" customFormat="1" ht="14.5" x14ac:dyDescent="0.35">
      <c r="A1661" s="84" t="s">
        <v>487</v>
      </c>
      <c r="B1661" s="84" t="s">
        <v>3809</v>
      </c>
      <c r="C1661" s="84" t="s">
        <v>3983</v>
      </c>
      <c r="D1661" s="84" t="s">
        <v>4019</v>
      </c>
      <c r="E1661" s="84"/>
      <c r="F1661" s="84"/>
      <c r="G1661" s="84"/>
      <c r="H1661" s="84" t="str">
        <f t="shared" si="120"/>
        <v>TCCN-PTE-PFL-SMU---</v>
      </c>
      <c r="I1661" s="84" t="str">
        <f>MID(H1661,1,(LEN(H1661)-VLOOKUP(K1661,datos!$B$2:$C$12,2,0)))</f>
        <v>TCCN-PTE-PFL-SMU</v>
      </c>
      <c r="J1661" s="84" t="s">
        <v>1632</v>
      </c>
      <c r="K1661" s="119">
        <f>VLOOKUP(LEN(SUBSTITUTE(H1661,"-","")),datos!$A$1:$B$12,2,0)</f>
        <v>4</v>
      </c>
      <c r="L1661" s="84"/>
      <c r="M1661" s="84" t="s">
        <v>0</v>
      </c>
    </row>
    <row r="1662" spans="1:13" customFormat="1" ht="14.5" x14ac:dyDescent="0.35">
      <c r="A1662" s="129" t="s">
        <v>487</v>
      </c>
      <c r="B1662" s="129" t="s">
        <v>3809</v>
      </c>
      <c r="C1662" s="129" t="s">
        <v>3983</v>
      </c>
      <c r="D1662" s="129" t="s">
        <v>4019</v>
      </c>
      <c r="E1662" s="129" t="s">
        <v>3990</v>
      </c>
      <c r="F1662" s="129"/>
      <c r="G1662" s="129"/>
      <c r="H1662" s="83" t="str">
        <f t="shared" si="120"/>
        <v>TCCN-PTE-PFL-SMU-CM1--</v>
      </c>
      <c r="I1662" s="129" t="str">
        <f>MID(H1662,1,(LEN(H1662)-VLOOKUP(K1662,datos!$B$2:$C$12,2,0)))</f>
        <v>TCCN-PTE-PFL-SMU-CM1</v>
      </c>
      <c r="J1662" s="129" t="s">
        <v>7244</v>
      </c>
      <c r="K1662" s="130">
        <f>VLOOKUP(LEN(SUBSTITUTE(H1662,"-","")),datos!$A$1:$B$12,2,0)</f>
        <v>5</v>
      </c>
      <c r="L1662" s="129" t="s">
        <v>572</v>
      </c>
      <c r="M1662" s="129" t="s">
        <v>0</v>
      </c>
    </row>
    <row r="1663" spans="1:13" x14ac:dyDescent="0.35">
      <c r="A1663" s="137" t="s">
        <v>487</v>
      </c>
      <c r="B1663" s="137" t="s">
        <v>3809</v>
      </c>
      <c r="C1663" s="137" t="s">
        <v>3983</v>
      </c>
      <c r="D1663" s="137" t="s">
        <v>4019</v>
      </c>
      <c r="E1663" s="137" t="s">
        <v>3990</v>
      </c>
      <c r="F1663" s="137" t="s">
        <v>3821</v>
      </c>
      <c r="G1663" s="137"/>
      <c r="H1663" s="82" t="str">
        <f t="shared" si="120"/>
        <v>TCCN-PTE-PFL-SMU-CM1-SME-</v>
      </c>
      <c r="I1663" s="137" t="str">
        <f>MID(H1663,1,(LEN(H1663)-VLOOKUP(K1663,datos!$B$2:$C$12,2,0)))</f>
        <v>TCCN-PTE-PFL-SMU-CM1-SME</v>
      </c>
      <c r="J1663" s="137" t="s">
        <v>6505</v>
      </c>
      <c r="K1663" s="139">
        <f>VLOOKUP(LEN(SUBSTITUTE(H1663,"-","")),datos!$A$1:$B$12,2,0)</f>
        <v>6</v>
      </c>
      <c r="L1663" s="137"/>
      <c r="M1663" s="137" t="s">
        <v>0</v>
      </c>
    </row>
    <row r="1664" spans="1:13" x14ac:dyDescent="0.35">
      <c r="A1664" s="138" t="s">
        <v>487</v>
      </c>
      <c r="B1664" s="138" t="s">
        <v>3809</v>
      </c>
      <c r="C1664" s="138" t="s">
        <v>3983</v>
      </c>
      <c r="D1664" s="138" t="s">
        <v>4019</v>
      </c>
      <c r="E1664" s="138" t="s">
        <v>3990</v>
      </c>
      <c r="F1664" s="138" t="s">
        <v>3821</v>
      </c>
      <c r="G1664" s="138" t="s">
        <v>3818</v>
      </c>
      <c r="H1664" s="81" t="str">
        <f t="shared" si="120"/>
        <v>TCCN-PTE-PFL-SMU-CM1-SME-BBA</v>
      </c>
      <c r="I1664" s="138" t="str">
        <f>MID(H1664,1,(LEN(H1664)-VLOOKUP(K1664,datos!$B$2:$C$12,2,0)))</f>
        <v>TCCN-PTE-PFL-SMU-CM1-SME-BBA</v>
      </c>
      <c r="J1664" s="138" t="s">
        <v>6508</v>
      </c>
      <c r="K1664" s="140">
        <f>VLOOKUP(LEN(SUBSTITUTE(H1664,"-","")),datos!$A$1:$B$12,2,0)</f>
        <v>7</v>
      </c>
      <c r="L1664" s="138" t="s">
        <v>236</v>
      </c>
      <c r="M1664" s="138" t="s">
        <v>0</v>
      </c>
    </row>
    <row r="1665" spans="1:13" x14ac:dyDescent="0.35">
      <c r="A1665" s="137" t="s">
        <v>487</v>
      </c>
      <c r="B1665" s="137" t="s">
        <v>3809</v>
      </c>
      <c r="C1665" s="137" t="s">
        <v>3983</v>
      </c>
      <c r="D1665" s="137" t="s">
        <v>4019</v>
      </c>
      <c r="E1665" s="137" t="s">
        <v>3990</v>
      </c>
      <c r="F1665" s="137" t="s">
        <v>3847</v>
      </c>
      <c r="G1665" s="137"/>
      <c r="H1665" s="82" t="str">
        <f t="shared" si="120"/>
        <v>TCCN-PTE-PFL-SMU-CM1-SMO-</v>
      </c>
      <c r="I1665" s="137" t="str">
        <f>MID(H1665,1,(LEN(H1665)-VLOOKUP(K1665,datos!$B$2:$C$12,2,0)))</f>
        <v>TCCN-PTE-PFL-SMU-CM1-SMO</v>
      </c>
      <c r="J1665" s="137" t="s">
        <v>6506</v>
      </c>
      <c r="K1665" s="139">
        <f>VLOOKUP(LEN(SUBSTITUTE(H1665,"-","")),datos!$A$1:$B$12,2,0)</f>
        <v>6</v>
      </c>
      <c r="L1665" s="137"/>
      <c r="M1665" s="137" t="s">
        <v>0</v>
      </c>
    </row>
    <row r="1666" spans="1:13" x14ac:dyDescent="0.35">
      <c r="A1666" s="138" t="s">
        <v>487</v>
      </c>
      <c r="B1666" s="138" t="s">
        <v>3809</v>
      </c>
      <c r="C1666" s="138" t="s">
        <v>3983</v>
      </c>
      <c r="D1666" s="138" t="s">
        <v>4019</v>
      </c>
      <c r="E1666" s="138" t="s">
        <v>3990</v>
      </c>
      <c r="F1666" s="138" t="s">
        <v>3847</v>
      </c>
      <c r="G1666" s="138" t="s">
        <v>3819</v>
      </c>
      <c r="H1666" s="81" t="str">
        <f t="shared" si="120"/>
        <v>TCCN-PTE-PFL-SMU-CM1-SMO-MOE</v>
      </c>
      <c r="I1666" s="138" t="str">
        <f>MID(H1666,1,(LEN(H1666)-VLOOKUP(K1666,datos!$B$2:$C$12,2,0)))</f>
        <v>TCCN-PTE-PFL-SMU-CM1-SMO-MOE</v>
      </c>
      <c r="J1666" s="138" t="s">
        <v>6509</v>
      </c>
      <c r="K1666" s="140">
        <f>VLOOKUP(LEN(SUBSTITUTE(H1666,"-","")),datos!$A$1:$B$12,2,0)</f>
        <v>7</v>
      </c>
      <c r="L1666" s="138" t="s">
        <v>237</v>
      </c>
      <c r="M1666" s="138" t="s">
        <v>0</v>
      </c>
    </row>
    <row r="1667" spans="1:13" x14ac:dyDescent="0.35">
      <c r="A1667" s="137" t="s">
        <v>487</v>
      </c>
      <c r="B1667" s="137" t="s">
        <v>3809</v>
      </c>
      <c r="C1667" s="137" t="s">
        <v>3983</v>
      </c>
      <c r="D1667" s="137" t="s">
        <v>4019</v>
      </c>
      <c r="E1667" s="137" t="s">
        <v>3990</v>
      </c>
      <c r="F1667" s="137" t="s">
        <v>3869</v>
      </c>
      <c r="G1667" s="137"/>
      <c r="H1667" s="82" t="str">
        <f t="shared" si="120"/>
        <v>TCCN-PTE-PFL-SMU-CM1-SCE-</v>
      </c>
      <c r="I1667" s="137" t="str">
        <f>MID(H1667,1,(LEN(H1667)-VLOOKUP(K1667,datos!$B$2:$C$12,2,0)))</f>
        <v>TCCN-PTE-PFL-SMU-CM1-SCE</v>
      </c>
      <c r="J1667" s="137" t="s">
        <v>6507</v>
      </c>
      <c r="K1667" s="139">
        <f>VLOOKUP(LEN(SUBSTITUTE(H1667,"-","")),datos!$A$1:$B$12,2,0)</f>
        <v>6</v>
      </c>
      <c r="L1667" s="137"/>
      <c r="M1667" s="137" t="s">
        <v>0</v>
      </c>
    </row>
    <row r="1668" spans="1:13" customFormat="1" ht="14.5" x14ac:dyDescent="0.35">
      <c r="A1668" s="129" t="s">
        <v>487</v>
      </c>
      <c r="B1668" s="129" t="s">
        <v>3809</v>
      </c>
      <c r="C1668" s="129" t="s">
        <v>3983</v>
      </c>
      <c r="D1668" s="129" t="s">
        <v>4019</v>
      </c>
      <c r="E1668" s="129" t="s">
        <v>4020</v>
      </c>
      <c r="F1668" s="129"/>
      <c r="G1668" s="129"/>
      <c r="H1668" s="83" t="str">
        <f t="shared" si="120"/>
        <v>TCCN-PTE-PFL-SMU-CM2--</v>
      </c>
      <c r="I1668" s="129" t="str">
        <f>MID(H1668,1,(LEN(H1668)-VLOOKUP(K1668,datos!$B$2:$C$12,2,0)))</f>
        <v>TCCN-PTE-PFL-SMU-CM2</v>
      </c>
      <c r="J1668" s="129" t="s">
        <v>7245</v>
      </c>
      <c r="K1668" s="130">
        <f>VLOOKUP(LEN(SUBSTITUTE(H1668,"-","")),datos!$A$1:$B$12,2,0)</f>
        <v>5</v>
      </c>
      <c r="L1668" s="129" t="s">
        <v>566</v>
      </c>
      <c r="M1668" s="129" t="s">
        <v>0</v>
      </c>
    </row>
    <row r="1669" spans="1:13" x14ac:dyDescent="0.35">
      <c r="A1669" s="137" t="s">
        <v>487</v>
      </c>
      <c r="B1669" s="137" t="s">
        <v>3809</v>
      </c>
      <c r="C1669" s="137" t="s">
        <v>3983</v>
      </c>
      <c r="D1669" s="137" t="s">
        <v>4019</v>
      </c>
      <c r="E1669" s="137" t="s">
        <v>4020</v>
      </c>
      <c r="F1669" s="137" t="s">
        <v>3821</v>
      </c>
      <c r="G1669" s="137"/>
      <c r="H1669" s="82" t="str">
        <f t="shared" si="120"/>
        <v>TCCN-PTE-PFL-SMU-CM2-SME-</v>
      </c>
      <c r="I1669" s="137" t="str">
        <f>MID(H1669,1,(LEN(H1669)-VLOOKUP(K1669,datos!$B$2:$C$12,2,0)))</f>
        <v>TCCN-PTE-PFL-SMU-CM2-SME</v>
      </c>
      <c r="J1669" s="137" t="s">
        <v>6510</v>
      </c>
      <c r="K1669" s="139">
        <f>VLOOKUP(LEN(SUBSTITUTE(H1669,"-","")),datos!$A$1:$B$12,2,0)</f>
        <v>6</v>
      </c>
      <c r="L1669" s="137"/>
      <c r="M1669" s="137" t="s">
        <v>0</v>
      </c>
    </row>
    <row r="1670" spans="1:13" x14ac:dyDescent="0.35">
      <c r="A1670" s="138" t="s">
        <v>487</v>
      </c>
      <c r="B1670" s="138" t="s">
        <v>3809</v>
      </c>
      <c r="C1670" s="138" t="s">
        <v>3983</v>
      </c>
      <c r="D1670" s="138" t="s">
        <v>4019</v>
      </c>
      <c r="E1670" s="138" t="s">
        <v>4020</v>
      </c>
      <c r="F1670" s="138" t="s">
        <v>3821</v>
      </c>
      <c r="G1670" s="138" t="s">
        <v>3818</v>
      </c>
      <c r="H1670" s="81" t="str">
        <f t="shared" si="120"/>
        <v>TCCN-PTE-PFL-SMU-CM2-SME-BBA</v>
      </c>
      <c r="I1670" s="138" t="str">
        <f>MID(H1670,1,(LEN(H1670)-VLOOKUP(K1670,datos!$B$2:$C$12,2,0)))</f>
        <v>TCCN-PTE-PFL-SMU-CM2-SME-BBA</v>
      </c>
      <c r="J1670" s="138" t="s">
        <v>6511</v>
      </c>
      <c r="K1670" s="140">
        <f>VLOOKUP(LEN(SUBSTITUTE(H1670,"-","")),datos!$A$1:$B$12,2,0)</f>
        <v>7</v>
      </c>
      <c r="L1670" s="138" t="s">
        <v>567</v>
      </c>
      <c r="M1670" s="138" t="s">
        <v>0</v>
      </c>
    </row>
    <row r="1671" spans="1:13" x14ac:dyDescent="0.35">
      <c r="A1671" s="137" t="s">
        <v>487</v>
      </c>
      <c r="B1671" s="137" t="s">
        <v>3809</v>
      </c>
      <c r="C1671" s="137" t="s">
        <v>3983</v>
      </c>
      <c r="D1671" s="137" t="s">
        <v>4019</v>
      </c>
      <c r="E1671" s="137" t="s">
        <v>4020</v>
      </c>
      <c r="F1671" s="137" t="s">
        <v>3847</v>
      </c>
      <c r="G1671" s="137"/>
      <c r="H1671" s="82" t="str">
        <f t="shared" si="120"/>
        <v>TCCN-PTE-PFL-SMU-CM2-SMO-</v>
      </c>
      <c r="I1671" s="137" t="str">
        <f>MID(H1671,1,(LEN(H1671)-VLOOKUP(K1671,datos!$B$2:$C$12,2,0)))</f>
        <v>TCCN-PTE-PFL-SMU-CM2-SMO</v>
      </c>
      <c r="J1671" s="137" t="s">
        <v>6512</v>
      </c>
      <c r="K1671" s="139">
        <f>VLOOKUP(LEN(SUBSTITUTE(H1671,"-","")),datos!$A$1:$B$12,2,0)</f>
        <v>6</v>
      </c>
      <c r="L1671" s="137"/>
      <c r="M1671" s="137" t="s">
        <v>0</v>
      </c>
    </row>
    <row r="1672" spans="1:13" x14ac:dyDescent="0.35">
      <c r="A1672" s="138" t="s">
        <v>487</v>
      </c>
      <c r="B1672" s="138" t="s">
        <v>3809</v>
      </c>
      <c r="C1672" s="138" t="s">
        <v>3983</v>
      </c>
      <c r="D1672" s="138" t="s">
        <v>4019</v>
      </c>
      <c r="E1672" s="138" t="s">
        <v>4020</v>
      </c>
      <c r="F1672" s="138" t="s">
        <v>3847</v>
      </c>
      <c r="G1672" s="138" t="s">
        <v>3819</v>
      </c>
      <c r="H1672" s="81" t="str">
        <f t="shared" si="120"/>
        <v>TCCN-PTE-PFL-SMU-CM2-SMO-MOE</v>
      </c>
      <c r="I1672" s="138" t="str">
        <f>MID(H1672,1,(LEN(H1672)-VLOOKUP(K1672,datos!$B$2:$C$12,2,0)))</f>
        <v>TCCN-PTE-PFL-SMU-CM2-SMO-MOE</v>
      </c>
      <c r="J1672" s="138" t="s">
        <v>6513</v>
      </c>
      <c r="K1672" s="140">
        <f>VLOOKUP(LEN(SUBSTITUTE(H1672,"-","")),datos!$A$1:$B$12,2,0)</f>
        <v>7</v>
      </c>
      <c r="L1672" s="138" t="s">
        <v>238</v>
      </c>
      <c r="M1672" s="138" t="s">
        <v>0</v>
      </c>
    </row>
    <row r="1673" spans="1:13" x14ac:dyDescent="0.35">
      <c r="A1673" s="137" t="s">
        <v>487</v>
      </c>
      <c r="B1673" s="137" t="s">
        <v>3809</v>
      </c>
      <c r="C1673" s="137" t="s">
        <v>3983</v>
      </c>
      <c r="D1673" s="137" t="s">
        <v>4019</v>
      </c>
      <c r="E1673" s="137" t="s">
        <v>4020</v>
      </c>
      <c r="F1673" s="137" t="s">
        <v>3869</v>
      </c>
      <c r="G1673" s="137"/>
      <c r="H1673" s="82" t="str">
        <f t="shared" si="120"/>
        <v>TCCN-PTE-PFL-SMU-CM2-SCE-</v>
      </c>
      <c r="I1673" s="137" t="str">
        <f>MID(H1673,1,(LEN(H1673)-VLOOKUP(K1673,datos!$B$2:$C$12,2,0)))</f>
        <v>TCCN-PTE-PFL-SMU-CM2-SCE</v>
      </c>
      <c r="J1673" s="137" t="s">
        <v>6514</v>
      </c>
      <c r="K1673" s="139">
        <f>VLOOKUP(LEN(SUBSTITUTE(H1673,"-","")),datos!$A$1:$B$12,2,0)</f>
        <v>6</v>
      </c>
      <c r="L1673" s="137"/>
      <c r="M1673" s="137" t="s">
        <v>0</v>
      </c>
    </row>
    <row r="1674" spans="1:13" customFormat="1" ht="14.5" x14ac:dyDescent="0.35">
      <c r="A1674" s="129" t="s">
        <v>487</v>
      </c>
      <c r="B1674" s="129" t="s">
        <v>3809</v>
      </c>
      <c r="C1674" s="129" t="s">
        <v>3983</v>
      </c>
      <c r="D1674" s="129" t="s">
        <v>4019</v>
      </c>
      <c r="E1674" s="129" t="s">
        <v>4021</v>
      </c>
      <c r="F1674" s="129"/>
      <c r="G1674" s="129"/>
      <c r="H1674" s="83" t="str">
        <f t="shared" si="120"/>
        <v>TCCN-PTE-PFL-SMU-CM3--</v>
      </c>
      <c r="I1674" s="129" t="str">
        <f>MID(H1674,1,(LEN(H1674)-VLOOKUP(K1674,datos!$B$2:$C$12,2,0)))</f>
        <v>TCCN-PTE-PFL-SMU-CM3</v>
      </c>
      <c r="J1674" s="129" t="s">
        <v>7246</v>
      </c>
      <c r="K1674" s="130">
        <f>VLOOKUP(LEN(SUBSTITUTE(H1674,"-","")),datos!$A$1:$B$12,2,0)</f>
        <v>5</v>
      </c>
      <c r="L1674" s="129" t="s">
        <v>570</v>
      </c>
      <c r="M1674" s="129" t="s">
        <v>0</v>
      </c>
    </row>
    <row r="1675" spans="1:13" x14ac:dyDescent="0.35">
      <c r="A1675" s="137" t="s">
        <v>487</v>
      </c>
      <c r="B1675" s="137" t="s">
        <v>3809</v>
      </c>
      <c r="C1675" s="137" t="s">
        <v>3983</v>
      </c>
      <c r="D1675" s="137" t="s">
        <v>4019</v>
      </c>
      <c r="E1675" s="137" t="s">
        <v>4021</v>
      </c>
      <c r="F1675" s="137" t="s">
        <v>3821</v>
      </c>
      <c r="G1675" s="137"/>
      <c r="H1675" s="82" t="str">
        <f t="shared" si="120"/>
        <v>TCCN-PTE-PFL-SMU-CM3-SME-</v>
      </c>
      <c r="I1675" s="137" t="str">
        <f>MID(H1675,1,(LEN(H1675)-VLOOKUP(K1675,datos!$B$2:$C$12,2,0)))</f>
        <v>TCCN-PTE-PFL-SMU-CM3-SME</v>
      </c>
      <c r="J1675" s="137" t="s">
        <v>6515</v>
      </c>
      <c r="K1675" s="139">
        <f>VLOOKUP(LEN(SUBSTITUTE(H1675,"-","")),datos!$A$1:$B$12,2,0)</f>
        <v>6</v>
      </c>
      <c r="L1675" s="137"/>
      <c r="M1675" s="137" t="s">
        <v>0</v>
      </c>
    </row>
    <row r="1676" spans="1:13" x14ac:dyDescent="0.35">
      <c r="A1676" s="138" t="s">
        <v>487</v>
      </c>
      <c r="B1676" s="138" t="s">
        <v>3809</v>
      </c>
      <c r="C1676" s="138" t="s">
        <v>3983</v>
      </c>
      <c r="D1676" s="138" t="s">
        <v>4019</v>
      </c>
      <c r="E1676" s="138" t="s">
        <v>4021</v>
      </c>
      <c r="F1676" s="138" t="s">
        <v>3821</v>
      </c>
      <c r="G1676" s="138" t="s">
        <v>3818</v>
      </c>
      <c r="H1676" s="81" t="str">
        <f t="shared" si="120"/>
        <v>TCCN-PTE-PFL-SMU-CM3-SME-BBA</v>
      </c>
      <c r="I1676" s="138" t="str">
        <f>MID(H1676,1,(LEN(H1676)-VLOOKUP(K1676,datos!$B$2:$C$12,2,0)))</f>
        <v>TCCN-PTE-PFL-SMU-CM3-SME-BBA</v>
      </c>
      <c r="J1676" s="138" t="s">
        <v>6516</v>
      </c>
      <c r="K1676" s="140">
        <f>VLOOKUP(LEN(SUBSTITUTE(H1676,"-","")),datos!$A$1:$B$12,2,0)</f>
        <v>7</v>
      </c>
      <c r="L1676" s="138" t="s">
        <v>568</v>
      </c>
      <c r="M1676" s="138" t="s">
        <v>0</v>
      </c>
    </row>
    <row r="1677" spans="1:13" x14ac:dyDescent="0.35">
      <c r="A1677" s="137" t="s">
        <v>487</v>
      </c>
      <c r="B1677" s="137" t="s">
        <v>3809</v>
      </c>
      <c r="C1677" s="137" t="s">
        <v>3983</v>
      </c>
      <c r="D1677" s="137" t="s">
        <v>4019</v>
      </c>
      <c r="E1677" s="137" t="s">
        <v>4021</v>
      </c>
      <c r="F1677" s="137" t="s">
        <v>3847</v>
      </c>
      <c r="G1677" s="137"/>
      <c r="H1677" s="82" t="str">
        <f t="shared" si="120"/>
        <v>TCCN-PTE-PFL-SMU-CM3-SMO-</v>
      </c>
      <c r="I1677" s="137" t="str">
        <f>MID(H1677,1,(LEN(H1677)-VLOOKUP(K1677,datos!$B$2:$C$12,2,0)))</f>
        <v>TCCN-PTE-PFL-SMU-CM3-SMO</v>
      </c>
      <c r="J1677" s="137" t="s">
        <v>6517</v>
      </c>
      <c r="K1677" s="139">
        <f>VLOOKUP(LEN(SUBSTITUTE(H1677,"-","")),datos!$A$1:$B$12,2,0)</f>
        <v>6</v>
      </c>
      <c r="L1677" s="137"/>
      <c r="M1677" s="137" t="s">
        <v>0</v>
      </c>
    </row>
    <row r="1678" spans="1:13" x14ac:dyDescent="0.35">
      <c r="A1678" s="138" t="s">
        <v>487</v>
      </c>
      <c r="B1678" s="138" t="s">
        <v>3809</v>
      </c>
      <c r="C1678" s="138" t="s">
        <v>3983</v>
      </c>
      <c r="D1678" s="138" t="s">
        <v>4019</v>
      </c>
      <c r="E1678" s="138" t="s">
        <v>4021</v>
      </c>
      <c r="F1678" s="138" t="s">
        <v>3847</v>
      </c>
      <c r="G1678" s="138" t="s">
        <v>3819</v>
      </c>
      <c r="H1678" s="81" t="str">
        <f t="shared" si="120"/>
        <v>TCCN-PTE-PFL-SMU-CM3-SMO-MOE</v>
      </c>
      <c r="I1678" s="138" t="str">
        <f>MID(H1678,1,(LEN(H1678)-VLOOKUP(K1678,datos!$B$2:$C$12,2,0)))</f>
        <v>TCCN-PTE-PFL-SMU-CM3-SMO-MOE</v>
      </c>
      <c r="J1678" s="138" t="s">
        <v>6518</v>
      </c>
      <c r="K1678" s="140">
        <f>VLOOKUP(LEN(SUBSTITUTE(H1678,"-","")),datos!$A$1:$B$12,2,0)</f>
        <v>7</v>
      </c>
      <c r="L1678" s="138" t="s">
        <v>239</v>
      </c>
      <c r="M1678" s="138" t="s">
        <v>0</v>
      </c>
    </row>
    <row r="1679" spans="1:13" x14ac:dyDescent="0.35">
      <c r="A1679" s="137" t="s">
        <v>487</v>
      </c>
      <c r="B1679" s="137" t="s">
        <v>3809</v>
      </c>
      <c r="C1679" s="137" t="s">
        <v>3983</v>
      </c>
      <c r="D1679" s="137" t="s">
        <v>4019</v>
      </c>
      <c r="E1679" s="137" t="s">
        <v>4021</v>
      </c>
      <c r="F1679" s="137" t="s">
        <v>3869</v>
      </c>
      <c r="G1679" s="137"/>
      <c r="H1679" s="82" t="str">
        <f t="shared" si="120"/>
        <v>TCCN-PTE-PFL-SMU-CM3-SCE-</v>
      </c>
      <c r="I1679" s="137" t="str">
        <f>MID(H1679,1,(LEN(H1679)-VLOOKUP(K1679,datos!$B$2:$C$12,2,0)))</f>
        <v>TCCN-PTE-PFL-SMU-CM3-SCE</v>
      </c>
      <c r="J1679" s="137" t="s">
        <v>6519</v>
      </c>
      <c r="K1679" s="139">
        <f>VLOOKUP(LEN(SUBSTITUTE(H1679,"-","")),datos!$A$1:$B$12,2,0)</f>
        <v>6</v>
      </c>
      <c r="L1679" s="137"/>
      <c r="M1679" s="137" t="s">
        <v>0</v>
      </c>
    </row>
    <row r="1680" spans="1:13" customFormat="1" ht="14.5" x14ac:dyDescent="0.35">
      <c r="A1680" s="129" t="s">
        <v>487</v>
      </c>
      <c r="B1680" s="129" t="s">
        <v>3809</v>
      </c>
      <c r="C1680" s="129" t="s">
        <v>3983</v>
      </c>
      <c r="D1680" s="129" t="s">
        <v>4019</v>
      </c>
      <c r="E1680" s="129" t="s">
        <v>4022</v>
      </c>
      <c r="F1680" s="129"/>
      <c r="G1680" s="129"/>
      <c r="H1680" s="83" t="str">
        <f t="shared" si="120"/>
        <v>TCCN-PTE-PFL-SMU-CM4--</v>
      </c>
      <c r="I1680" s="129" t="str">
        <f>MID(H1680,1,(LEN(H1680)-VLOOKUP(K1680,datos!$B$2:$C$12,2,0)))</f>
        <v>TCCN-PTE-PFL-SMU-CM4</v>
      </c>
      <c r="J1680" s="129" t="s">
        <v>7247</v>
      </c>
      <c r="K1680" s="130">
        <f>VLOOKUP(LEN(SUBSTITUTE(H1680,"-","")),datos!$A$1:$B$12,2,0)</f>
        <v>5</v>
      </c>
      <c r="L1680" s="129" t="s">
        <v>571</v>
      </c>
      <c r="M1680" s="129" t="s">
        <v>0</v>
      </c>
    </row>
    <row r="1681" spans="1:13" x14ac:dyDescent="0.35">
      <c r="A1681" s="137" t="s">
        <v>487</v>
      </c>
      <c r="B1681" s="137" t="s">
        <v>3809</v>
      </c>
      <c r="C1681" s="137" t="s">
        <v>3983</v>
      </c>
      <c r="D1681" s="137" t="s">
        <v>4019</v>
      </c>
      <c r="E1681" s="137" t="s">
        <v>4022</v>
      </c>
      <c r="F1681" s="137" t="s">
        <v>3821</v>
      </c>
      <c r="G1681" s="137"/>
      <c r="H1681" s="82" t="str">
        <f t="shared" si="120"/>
        <v>TCCN-PTE-PFL-SMU-CM4-SME-</v>
      </c>
      <c r="I1681" s="137" t="str">
        <f>MID(H1681,1,(LEN(H1681)-VLOOKUP(K1681,datos!$B$2:$C$12,2,0)))</f>
        <v>TCCN-PTE-PFL-SMU-CM4-SME</v>
      </c>
      <c r="J1681" s="137" t="s">
        <v>6520</v>
      </c>
      <c r="K1681" s="139">
        <f>VLOOKUP(LEN(SUBSTITUTE(H1681,"-","")),datos!$A$1:$B$12,2,0)</f>
        <v>6</v>
      </c>
      <c r="L1681" s="137"/>
      <c r="M1681" s="137" t="s">
        <v>0</v>
      </c>
    </row>
    <row r="1682" spans="1:13" x14ac:dyDescent="0.35">
      <c r="A1682" s="138" t="s">
        <v>487</v>
      </c>
      <c r="B1682" s="138" t="s">
        <v>3809</v>
      </c>
      <c r="C1682" s="138" t="s">
        <v>3983</v>
      </c>
      <c r="D1682" s="138" t="s">
        <v>4019</v>
      </c>
      <c r="E1682" s="138" t="s">
        <v>4022</v>
      </c>
      <c r="F1682" s="138" t="s">
        <v>3821</v>
      </c>
      <c r="G1682" s="138" t="s">
        <v>3818</v>
      </c>
      <c r="H1682" s="81" t="str">
        <f t="shared" si="120"/>
        <v>TCCN-PTE-PFL-SMU-CM4-SME-BBA</v>
      </c>
      <c r="I1682" s="138" t="str">
        <f>MID(H1682,1,(LEN(H1682)-VLOOKUP(K1682,datos!$B$2:$C$12,2,0)))</f>
        <v>TCCN-PTE-PFL-SMU-CM4-SME-BBA</v>
      </c>
      <c r="J1682" s="138" t="s">
        <v>6521</v>
      </c>
      <c r="K1682" s="140">
        <f>VLOOKUP(LEN(SUBSTITUTE(H1682,"-","")),datos!$A$1:$B$12,2,0)</f>
        <v>7</v>
      </c>
      <c r="L1682" s="138" t="s">
        <v>569</v>
      </c>
      <c r="M1682" s="138" t="s">
        <v>0</v>
      </c>
    </row>
    <row r="1683" spans="1:13" x14ac:dyDescent="0.35">
      <c r="A1683" s="137" t="s">
        <v>487</v>
      </c>
      <c r="B1683" s="137" t="s">
        <v>3809</v>
      </c>
      <c r="C1683" s="137" t="s">
        <v>3983</v>
      </c>
      <c r="D1683" s="137" t="s">
        <v>4019</v>
      </c>
      <c r="E1683" s="137" t="s">
        <v>4022</v>
      </c>
      <c r="F1683" s="137" t="s">
        <v>3847</v>
      </c>
      <c r="G1683" s="137"/>
      <c r="H1683" s="82" t="str">
        <f t="shared" si="120"/>
        <v>TCCN-PTE-PFL-SMU-CM4-SMO-</v>
      </c>
      <c r="I1683" s="137" t="str">
        <f>MID(H1683,1,(LEN(H1683)-VLOOKUP(K1683,datos!$B$2:$C$12,2,0)))</f>
        <v>TCCN-PTE-PFL-SMU-CM4-SMO</v>
      </c>
      <c r="J1683" s="137" t="s">
        <v>6522</v>
      </c>
      <c r="K1683" s="139">
        <f>VLOOKUP(LEN(SUBSTITUTE(H1683,"-","")),datos!$A$1:$B$12,2,0)</f>
        <v>6</v>
      </c>
      <c r="L1683" s="137"/>
      <c r="M1683" s="137" t="s">
        <v>0</v>
      </c>
    </row>
    <row r="1684" spans="1:13" x14ac:dyDescent="0.35">
      <c r="A1684" s="138" t="s">
        <v>487</v>
      </c>
      <c r="B1684" s="138" t="s">
        <v>3809</v>
      </c>
      <c r="C1684" s="138" t="s">
        <v>3983</v>
      </c>
      <c r="D1684" s="138" t="s">
        <v>4019</v>
      </c>
      <c r="E1684" s="138" t="s">
        <v>4022</v>
      </c>
      <c r="F1684" s="138" t="s">
        <v>3847</v>
      </c>
      <c r="G1684" s="138" t="s">
        <v>3819</v>
      </c>
      <c r="H1684" s="81" t="str">
        <f t="shared" si="120"/>
        <v>TCCN-PTE-PFL-SMU-CM4-SMO-MOE</v>
      </c>
      <c r="I1684" s="138" t="str">
        <f>MID(H1684,1,(LEN(H1684)-VLOOKUP(K1684,datos!$B$2:$C$12,2,0)))</f>
        <v>TCCN-PTE-PFL-SMU-CM4-SMO-MOE</v>
      </c>
      <c r="J1684" s="138" t="s">
        <v>6523</v>
      </c>
      <c r="K1684" s="140">
        <f>VLOOKUP(LEN(SUBSTITUTE(H1684,"-","")),datos!$A$1:$B$12,2,0)</f>
        <v>7</v>
      </c>
      <c r="L1684" s="138" t="s">
        <v>240</v>
      </c>
      <c r="M1684" s="138" t="s">
        <v>0</v>
      </c>
    </row>
    <row r="1685" spans="1:13" x14ac:dyDescent="0.35">
      <c r="A1685" s="137" t="s">
        <v>487</v>
      </c>
      <c r="B1685" s="137" t="s">
        <v>3809</v>
      </c>
      <c r="C1685" s="137" t="s">
        <v>3983</v>
      </c>
      <c r="D1685" s="137" t="s">
        <v>4019</v>
      </c>
      <c r="E1685" s="137" t="s">
        <v>4022</v>
      </c>
      <c r="F1685" s="137" t="s">
        <v>3869</v>
      </c>
      <c r="G1685" s="137"/>
      <c r="H1685" s="82" t="str">
        <f t="shared" si="120"/>
        <v>TCCN-PTE-PFL-SMU-CM4-SCE-</v>
      </c>
      <c r="I1685" s="137" t="str">
        <f>MID(H1685,1,(LEN(H1685)-VLOOKUP(K1685,datos!$B$2:$C$12,2,0)))</f>
        <v>TCCN-PTE-PFL-SMU-CM4-SCE</v>
      </c>
      <c r="J1685" s="137" t="s">
        <v>6524</v>
      </c>
      <c r="K1685" s="139">
        <f>VLOOKUP(LEN(SUBSTITUTE(H1685,"-","")),datos!$A$1:$B$12,2,0)</f>
        <v>6</v>
      </c>
      <c r="L1685" s="137"/>
      <c r="M1685" s="137" t="s">
        <v>0</v>
      </c>
    </row>
    <row r="1686" spans="1:13" customFormat="1" ht="14.5" x14ac:dyDescent="0.35">
      <c r="A1686" s="129" t="s">
        <v>487</v>
      </c>
      <c r="B1686" s="129" t="s">
        <v>3809</v>
      </c>
      <c r="C1686" s="129" t="s">
        <v>3983</v>
      </c>
      <c r="D1686" s="129" t="s">
        <v>4019</v>
      </c>
      <c r="E1686" s="129" t="s">
        <v>4023</v>
      </c>
      <c r="F1686" s="129"/>
      <c r="G1686" s="129"/>
      <c r="H1686" s="83" t="str">
        <f t="shared" si="120"/>
        <v>TCCN-PTE-PFL-SMU-CM5--</v>
      </c>
      <c r="I1686" s="129" t="str">
        <f>MID(H1686,1,(LEN(H1686)-VLOOKUP(K1686,datos!$B$2:$C$12,2,0)))</f>
        <v>TCCN-PTE-PFL-SMU-CM5</v>
      </c>
      <c r="J1686" s="129" t="s">
        <v>7248</v>
      </c>
      <c r="K1686" s="130">
        <f>VLOOKUP(LEN(SUBSTITUTE(H1686,"-","")),datos!$A$1:$B$12,2,0)</f>
        <v>5</v>
      </c>
      <c r="L1686" s="129" t="s">
        <v>4487</v>
      </c>
      <c r="M1686" s="129" t="s">
        <v>0</v>
      </c>
    </row>
    <row r="1687" spans="1:13" x14ac:dyDescent="0.35">
      <c r="A1687" s="137" t="s">
        <v>487</v>
      </c>
      <c r="B1687" s="137" t="s">
        <v>3809</v>
      </c>
      <c r="C1687" s="137" t="s">
        <v>3983</v>
      </c>
      <c r="D1687" s="137" t="s">
        <v>4019</v>
      </c>
      <c r="E1687" s="137" t="s">
        <v>4023</v>
      </c>
      <c r="F1687" s="137" t="s">
        <v>3821</v>
      </c>
      <c r="G1687" s="137"/>
      <c r="H1687" s="82" t="str">
        <f t="shared" si="120"/>
        <v>TCCN-PTE-PFL-SMU-CM5-SME-</v>
      </c>
      <c r="I1687" s="137" t="str">
        <f>MID(H1687,1,(LEN(H1687)-VLOOKUP(K1687,datos!$B$2:$C$12,2,0)))</f>
        <v>TCCN-PTE-PFL-SMU-CM5-SME</v>
      </c>
      <c r="J1687" s="137" t="s">
        <v>6530</v>
      </c>
      <c r="K1687" s="139">
        <f>VLOOKUP(LEN(SUBSTITUTE(H1687,"-","")),datos!$A$1:$B$12,2,0)</f>
        <v>6</v>
      </c>
      <c r="L1687" s="137"/>
      <c r="M1687" s="137" t="s">
        <v>0</v>
      </c>
    </row>
    <row r="1688" spans="1:13" x14ac:dyDescent="0.35">
      <c r="A1688" s="138" t="s">
        <v>487</v>
      </c>
      <c r="B1688" s="138" t="s">
        <v>3809</v>
      </c>
      <c r="C1688" s="138" t="s">
        <v>3983</v>
      </c>
      <c r="D1688" s="138" t="s">
        <v>4019</v>
      </c>
      <c r="E1688" s="138" t="s">
        <v>4023</v>
      </c>
      <c r="F1688" s="138" t="s">
        <v>3821</v>
      </c>
      <c r="G1688" s="138" t="s">
        <v>3818</v>
      </c>
      <c r="H1688" s="81" t="str">
        <f t="shared" si="120"/>
        <v>TCCN-PTE-PFL-SMU-CM5-SME-BBA</v>
      </c>
      <c r="I1688" s="138" t="str">
        <f>MID(H1688,1,(LEN(H1688)-VLOOKUP(K1688,datos!$B$2:$C$12,2,0)))</f>
        <v>TCCN-PTE-PFL-SMU-CM5-SME-BBA</v>
      </c>
      <c r="J1688" s="138" t="s">
        <v>6531</v>
      </c>
      <c r="K1688" s="140">
        <f>VLOOKUP(LEN(SUBSTITUTE(H1688,"-","")),datos!$A$1:$B$12,2,0)</f>
        <v>7</v>
      </c>
      <c r="L1688" s="138" t="s">
        <v>241</v>
      </c>
      <c r="M1688" s="138" t="s">
        <v>0</v>
      </c>
    </row>
    <row r="1689" spans="1:13" x14ac:dyDescent="0.35">
      <c r="A1689" s="137" t="s">
        <v>487</v>
      </c>
      <c r="B1689" s="137" t="s">
        <v>3809</v>
      </c>
      <c r="C1689" s="137" t="s">
        <v>3983</v>
      </c>
      <c r="D1689" s="137" t="s">
        <v>4019</v>
      </c>
      <c r="E1689" s="137" t="s">
        <v>4023</v>
      </c>
      <c r="F1689" s="137" t="s">
        <v>3847</v>
      </c>
      <c r="G1689" s="137"/>
      <c r="H1689" s="82" t="str">
        <f t="shared" si="120"/>
        <v>TCCN-PTE-PFL-SMU-CM5-SMO-</v>
      </c>
      <c r="I1689" s="137" t="str">
        <f>MID(H1689,1,(LEN(H1689)-VLOOKUP(K1689,datos!$B$2:$C$12,2,0)))</f>
        <v>TCCN-PTE-PFL-SMU-CM5-SMO</v>
      </c>
      <c r="J1689" s="137" t="s">
        <v>6532</v>
      </c>
      <c r="K1689" s="139">
        <f>VLOOKUP(LEN(SUBSTITUTE(H1689,"-","")),datos!$A$1:$B$12,2,0)</f>
        <v>6</v>
      </c>
      <c r="L1689" s="137"/>
      <c r="M1689" s="137" t="s">
        <v>0</v>
      </c>
    </row>
    <row r="1690" spans="1:13" x14ac:dyDescent="0.35">
      <c r="A1690" s="138" t="s">
        <v>487</v>
      </c>
      <c r="B1690" s="138" t="s">
        <v>3809</v>
      </c>
      <c r="C1690" s="138" t="s">
        <v>3983</v>
      </c>
      <c r="D1690" s="138" t="s">
        <v>4019</v>
      </c>
      <c r="E1690" s="138" t="s">
        <v>4023</v>
      </c>
      <c r="F1690" s="138" t="s">
        <v>3847</v>
      </c>
      <c r="G1690" s="138" t="s">
        <v>3819</v>
      </c>
      <c r="H1690" s="81" t="str">
        <f t="shared" si="120"/>
        <v>TCCN-PTE-PFL-SMU-CM5-SMO-MOE</v>
      </c>
      <c r="I1690" s="138" t="str">
        <f>MID(H1690,1,(LEN(H1690)-VLOOKUP(K1690,datos!$B$2:$C$12,2,0)))</f>
        <v>TCCN-PTE-PFL-SMU-CM5-SMO-MOE</v>
      </c>
      <c r="J1690" s="138" t="s">
        <v>6533</v>
      </c>
      <c r="K1690" s="140">
        <f>VLOOKUP(LEN(SUBSTITUTE(H1690,"-","")),datos!$A$1:$B$12,2,0)</f>
        <v>7</v>
      </c>
      <c r="L1690" s="138" t="s">
        <v>242</v>
      </c>
      <c r="M1690" s="138" t="s">
        <v>0</v>
      </c>
    </row>
    <row r="1691" spans="1:13" x14ac:dyDescent="0.35">
      <c r="A1691" s="137" t="s">
        <v>487</v>
      </c>
      <c r="B1691" s="137" t="s">
        <v>3809</v>
      </c>
      <c r="C1691" s="137" t="s">
        <v>3983</v>
      </c>
      <c r="D1691" s="137" t="s">
        <v>4019</v>
      </c>
      <c r="E1691" s="137" t="s">
        <v>4023</v>
      </c>
      <c r="F1691" s="137" t="s">
        <v>3869</v>
      </c>
      <c r="G1691" s="137"/>
      <c r="H1691" s="82" t="str">
        <f t="shared" si="120"/>
        <v>TCCN-PTE-PFL-SMU-CM5-SCE-</v>
      </c>
      <c r="I1691" s="137" t="str">
        <f>MID(H1691,1,(LEN(H1691)-VLOOKUP(K1691,datos!$B$2:$C$12,2,0)))</f>
        <v>TCCN-PTE-PFL-SMU-CM5-SCE</v>
      </c>
      <c r="J1691" s="137" t="s">
        <v>6534</v>
      </c>
      <c r="K1691" s="139">
        <f>VLOOKUP(LEN(SUBSTITUTE(H1691,"-","")),datos!$A$1:$B$12,2,0)</f>
        <v>6</v>
      </c>
      <c r="L1691" s="137"/>
      <c r="M1691" s="137" t="s">
        <v>0</v>
      </c>
    </row>
    <row r="1692" spans="1:13" customFormat="1" ht="14.5" x14ac:dyDescent="0.35">
      <c r="A1692" s="129" t="s">
        <v>487</v>
      </c>
      <c r="B1692" s="129" t="s">
        <v>3809</v>
      </c>
      <c r="C1692" s="129" t="s">
        <v>3983</v>
      </c>
      <c r="D1692" s="129" t="s">
        <v>4019</v>
      </c>
      <c r="E1692" s="129" t="s">
        <v>4491</v>
      </c>
      <c r="F1692" s="129"/>
      <c r="G1692" s="129"/>
      <c r="H1692" s="83" t="str">
        <f t="shared" si="120"/>
        <v>TCCN-PTE-PFL-SMU-CM6--</v>
      </c>
      <c r="I1692" s="129" t="str">
        <f>MID(H1692,1,(LEN(H1692)-VLOOKUP(K1692,datos!$B$2:$C$12,2,0)))</f>
        <v>TCCN-PTE-PFL-SMU-CM6</v>
      </c>
      <c r="J1692" s="129" t="s">
        <v>7249</v>
      </c>
      <c r="K1692" s="130">
        <f>VLOOKUP(LEN(SUBSTITUTE(H1692,"-","")),datos!$A$1:$B$12,2,0)</f>
        <v>5</v>
      </c>
      <c r="L1692" s="129" t="s">
        <v>4488</v>
      </c>
      <c r="M1692" s="129" t="s">
        <v>0</v>
      </c>
    </row>
    <row r="1693" spans="1:13" x14ac:dyDescent="0.35">
      <c r="A1693" s="137" t="s">
        <v>487</v>
      </c>
      <c r="B1693" s="137" t="s">
        <v>3809</v>
      </c>
      <c r="C1693" s="137" t="s">
        <v>3983</v>
      </c>
      <c r="D1693" s="137" t="s">
        <v>4019</v>
      </c>
      <c r="E1693" s="137" t="s">
        <v>4491</v>
      </c>
      <c r="F1693" s="137" t="s">
        <v>3821</v>
      </c>
      <c r="G1693" s="137"/>
      <c r="H1693" s="82" t="str">
        <f t="shared" si="120"/>
        <v>TCCN-PTE-PFL-SMU-CM6-SME-</v>
      </c>
      <c r="I1693" s="137" t="str">
        <f>MID(H1693,1,(LEN(H1693)-VLOOKUP(K1693,datos!$B$2:$C$12,2,0)))</f>
        <v>TCCN-PTE-PFL-SMU-CM6-SME</v>
      </c>
      <c r="J1693" s="137" t="s">
        <v>6525</v>
      </c>
      <c r="K1693" s="139">
        <f>VLOOKUP(LEN(SUBSTITUTE(H1693,"-","")),datos!$A$1:$B$12,2,0)</f>
        <v>6</v>
      </c>
      <c r="L1693" s="137"/>
      <c r="M1693" s="137" t="s">
        <v>0</v>
      </c>
    </row>
    <row r="1694" spans="1:13" x14ac:dyDescent="0.35">
      <c r="A1694" s="138" t="s">
        <v>487</v>
      </c>
      <c r="B1694" s="138" t="s">
        <v>3809</v>
      </c>
      <c r="C1694" s="138" t="s">
        <v>3983</v>
      </c>
      <c r="D1694" s="138" t="s">
        <v>4019</v>
      </c>
      <c r="E1694" s="138" t="s">
        <v>4491</v>
      </c>
      <c r="F1694" s="138" t="s">
        <v>3821</v>
      </c>
      <c r="G1694" s="138" t="s">
        <v>3818</v>
      </c>
      <c r="H1694" s="81" t="str">
        <f t="shared" ref="H1694:H1755" si="121">CONCATENATE(A1694,"-",B1694,"-",C1694,"-",D1694,"-",E1694,"-",F1694,"-",G1694)</f>
        <v>TCCN-PTE-PFL-SMU-CM6-SME-BBA</v>
      </c>
      <c r="I1694" s="138" t="str">
        <f>MID(H1694,1,(LEN(H1694)-VLOOKUP(K1694,datos!$B$2:$C$12,2,0)))</f>
        <v>TCCN-PTE-PFL-SMU-CM6-SME-BBA</v>
      </c>
      <c r="J1694" s="138" t="s">
        <v>6526</v>
      </c>
      <c r="K1694" s="140">
        <f>VLOOKUP(LEN(SUBSTITUTE(H1694,"-","")),datos!$A$1:$B$12,2,0)</f>
        <v>7</v>
      </c>
      <c r="L1694" s="138" t="s">
        <v>4489</v>
      </c>
      <c r="M1694" s="138" t="s">
        <v>0</v>
      </c>
    </row>
    <row r="1695" spans="1:13" x14ac:dyDescent="0.35">
      <c r="A1695" s="137" t="s">
        <v>487</v>
      </c>
      <c r="B1695" s="137" t="s">
        <v>3809</v>
      </c>
      <c r="C1695" s="137" t="s">
        <v>3983</v>
      </c>
      <c r="D1695" s="137" t="s">
        <v>4019</v>
      </c>
      <c r="E1695" s="137" t="s">
        <v>4491</v>
      </c>
      <c r="F1695" s="137" t="s">
        <v>3847</v>
      </c>
      <c r="G1695" s="137"/>
      <c r="H1695" s="82" t="str">
        <f t="shared" si="121"/>
        <v>TCCN-PTE-PFL-SMU-CM6-SMO-</v>
      </c>
      <c r="I1695" s="137" t="str">
        <f>MID(H1695,1,(LEN(H1695)-VLOOKUP(K1695,datos!$B$2:$C$12,2,0)))</f>
        <v>TCCN-PTE-PFL-SMU-CM6-SMO</v>
      </c>
      <c r="J1695" s="137" t="s">
        <v>6527</v>
      </c>
      <c r="K1695" s="139">
        <f>VLOOKUP(LEN(SUBSTITUTE(H1695,"-","")),datos!$A$1:$B$12,2,0)</f>
        <v>6</v>
      </c>
      <c r="L1695" s="137"/>
      <c r="M1695" s="137" t="s">
        <v>0</v>
      </c>
    </row>
    <row r="1696" spans="1:13" x14ac:dyDescent="0.35">
      <c r="A1696" s="138" t="s">
        <v>487</v>
      </c>
      <c r="B1696" s="138" t="s">
        <v>3809</v>
      </c>
      <c r="C1696" s="138" t="s">
        <v>3983</v>
      </c>
      <c r="D1696" s="138" t="s">
        <v>4019</v>
      </c>
      <c r="E1696" s="138" t="s">
        <v>4491</v>
      </c>
      <c r="F1696" s="138" t="s">
        <v>3847</v>
      </c>
      <c r="G1696" s="138" t="s">
        <v>3819</v>
      </c>
      <c r="H1696" s="81" t="str">
        <f t="shared" si="121"/>
        <v>TCCN-PTE-PFL-SMU-CM6-SMO-MOE</v>
      </c>
      <c r="I1696" s="138" t="str">
        <f>MID(H1696,1,(LEN(H1696)-VLOOKUP(K1696,datos!$B$2:$C$12,2,0)))</f>
        <v>TCCN-PTE-PFL-SMU-CM6-SMO-MOE</v>
      </c>
      <c r="J1696" s="138" t="s">
        <v>6528</v>
      </c>
      <c r="K1696" s="140">
        <f>VLOOKUP(LEN(SUBSTITUTE(H1696,"-","")),datos!$A$1:$B$12,2,0)</f>
        <v>7</v>
      </c>
      <c r="L1696" s="138" t="s">
        <v>4490</v>
      </c>
      <c r="M1696" s="138" t="s">
        <v>0</v>
      </c>
    </row>
    <row r="1697" spans="1:13" x14ac:dyDescent="0.35">
      <c r="A1697" s="137" t="s">
        <v>487</v>
      </c>
      <c r="B1697" s="137" t="s">
        <v>3809</v>
      </c>
      <c r="C1697" s="137" t="s">
        <v>3983</v>
      </c>
      <c r="D1697" s="137" t="s">
        <v>4019</v>
      </c>
      <c r="E1697" s="137" t="s">
        <v>4491</v>
      </c>
      <c r="F1697" s="137" t="s">
        <v>3869</v>
      </c>
      <c r="G1697" s="137"/>
      <c r="H1697" s="82" t="str">
        <f t="shared" si="121"/>
        <v>TCCN-PTE-PFL-SMU-CM6-SCE-</v>
      </c>
      <c r="I1697" s="137" t="str">
        <f>MID(H1697,1,(LEN(H1697)-VLOOKUP(K1697,datos!$B$2:$C$12,2,0)))</f>
        <v>TCCN-PTE-PFL-SMU-CM6-SCE</v>
      </c>
      <c r="J1697" s="137" t="s">
        <v>6529</v>
      </c>
      <c r="K1697" s="139">
        <f>VLOOKUP(LEN(SUBSTITUTE(H1697,"-","")),datos!$A$1:$B$12,2,0)</f>
        <v>6</v>
      </c>
      <c r="L1697" s="137"/>
      <c r="M1697" s="137" t="s">
        <v>0</v>
      </c>
    </row>
    <row r="1698" spans="1:13" customFormat="1" ht="14.5" x14ac:dyDescent="0.35">
      <c r="A1698" s="129" t="s">
        <v>487</v>
      </c>
      <c r="B1698" s="129" t="s">
        <v>3809</v>
      </c>
      <c r="C1698" s="129" t="s">
        <v>3983</v>
      </c>
      <c r="D1698" s="129" t="s">
        <v>4019</v>
      </c>
      <c r="E1698" s="129" t="s">
        <v>4495</v>
      </c>
      <c r="F1698" s="129"/>
      <c r="G1698" s="129"/>
      <c r="H1698" s="83" t="str">
        <f t="shared" si="121"/>
        <v>TCCN-PTE-PFL-SMU-CM7--</v>
      </c>
      <c r="I1698" s="129" t="str">
        <f>MID(H1698,1,(LEN(H1698)-VLOOKUP(K1698,datos!$B$2:$C$12,2,0)))</f>
        <v>TCCN-PTE-PFL-SMU-CM7</v>
      </c>
      <c r="J1698" s="129" t="s">
        <v>7250</v>
      </c>
      <c r="K1698" s="130">
        <f>VLOOKUP(LEN(SUBSTITUTE(H1698,"-","")),datos!$A$1:$B$12,2,0)</f>
        <v>5</v>
      </c>
      <c r="L1698" s="129" t="s">
        <v>4492</v>
      </c>
      <c r="M1698" s="129" t="s">
        <v>0</v>
      </c>
    </row>
    <row r="1699" spans="1:13" x14ac:dyDescent="0.35">
      <c r="A1699" s="137" t="s">
        <v>487</v>
      </c>
      <c r="B1699" s="137" t="s">
        <v>3809</v>
      </c>
      <c r="C1699" s="137" t="s">
        <v>3983</v>
      </c>
      <c r="D1699" s="137" t="s">
        <v>4019</v>
      </c>
      <c r="E1699" s="137" t="s">
        <v>4495</v>
      </c>
      <c r="F1699" s="137" t="s">
        <v>3821</v>
      </c>
      <c r="G1699" s="137"/>
      <c r="H1699" s="82" t="str">
        <f t="shared" si="121"/>
        <v>TCCN-PTE-PFL-SMU-CM7-SME-</v>
      </c>
      <c r="I1699" s="137" t="str">
        <f>MID(H1699,1,(LEN(H1699)-VLOOKUP(K1699,datos!$B$2:$C$12,2,0)))</f>
        <v>TCCN-PTE-PFL-SMU-CM7-SME</v>
      </c>
      <c r="J1699" s="137" t="s">
        <v>6535</v>
      </c>
      <c r="K1699" s="139">
        <f>VLOOKUP(LEN(SUBSTITUTE(H1699,"-","")),datos!$A$1:$B$12,2,0)</f>
        <v>6</v>
      </c>
      <c r="L1699" s="137"/>
      <c r="M1699" s="137" t="s">
        <v>0</v>
      </c>
    </row>
    <row r="1700" spans="1:13" x14ac:dyDescent="0.35">
      <c r="A1700" s="138" t="s">
        <v>487</v>
      </c>
      <c r="B1700" s="138" t="s">
        <v>3809</v>
      </c>
      <c r="C1700" s="138" t="s">
        <v>3983</v>
      </c>
      <c r="D1700" s="138" t="s">
        <v>4019</v>
      </c>
      <c r="E1700" s="138" t="s">
        <v>4495</v>
      </c>
      <c r="F1700" s="138" t="s">
        <v>3821</v>
      </c>
      <c r="G1700" s="138" t="s">
        <v>3818</v>
      </c>
      <c r="H1700" s="81" t="str">
        <f t="shared" si="121"/>
        <v>TCCN-PTE-PFL-SMU-CM7-SME-BBA</v>
      </c>
      <c r="I1700" s="138" t="str">
        <f>MID(H1700,1,(LEN(H1700)-VLOOKUP(K1700,datos!$B$2:$C$12,2,0)))</f>
        <v>TCCN-PTE-PFL-SMU-CM7-SME-BBA</v>
      </c>
      <c r="J1700" s="138" t="s">
        <v>6536</v>
      </c>
      <c r="K1700" s="140">
        <f>VLOOKUP(LEN(SUBSTITUTE(H1700,"-","")),datos!$A$1:$B$12,2,0)</f>
        <v>7</v>
      </c>
      <c r="L1700" s="138" t="s">
        <v>4493</v>
      </c>
      <c r="M1700" s="138" t="s">
        <v>0</v>
      </c>
    </row>
    <row r="1701" spans="1:13" x14ac:dyDescent="0.35">
      <c r="A1701" s="137" t="s">
        <v>487</v>
      </c>
      <c r="B1701" s="137" t="s">
        <v>3809</v>
      </c>
      <c r="C1701" s="137" t="s">
        <v>3983</v>
      </c>
      <c r="D1701" s="137" t="s">
        <v>4019</v>
      </c>
      <c r="E1701" s="137" t="s">
        <v>4495</v>
      </c>
      <c r="F1701" s="137" t="s">
        <v>3847</v>
      </c>
      <c r="G1701" s="137"/>
      <c r="H1701" s="82" t="str">
        <f t="shared" si="121"/>
        <v>TCCN-PTE-PFL-SMU-CM7-SMO-</v>
      </c>
      <c r="I1701" s="137" t="str">
        <f>MID(H1701,1,(LEN(H1701)-VLOOKUP(K1701,datos!$B$2:$C$12,2,0)))</f>
        <v>TCCN-PTE-PFL-SMU-CM7-SMO</v>
      </c>
      <c r="J1701" s="137" t="s">
        <v>6537</v>
      </c>
      <c r="K1701" s="139">
        <f>VLOOKUP(LEN(SUBSTITUTE(H1701,"-","")),datos!$A$1:$B$12,2,0)</f>
        <v>6</v>
      </c>
      <c r="L1701" s="137"/>
      <c r="M1701" s="137" t="s">
        <v>0</v>
      </c>
    </row>
    <row r="1702" spans="1:13" x14ac:dyDescent="0.35">
      <c r="A1702" s="138" t="s">
        <v>487</v>
      </c>
      <c r="B1702" s="138" t="s">
        <v>3809</v>
      </c>
      <c r="C1702" s="138" t="s">
        <v>3983</v>
      </c>
      <c r="D1702" s="138" t="s">
        <v>4019</v>
      </c>
      <c r="E1702" s="138" t="s">
        <v>4495</v>
      </c>
      <c r="F1702" s="138" t="s">
        <v>3847</v>
      </c>
      <c r="G1702" s="138" t="s">
        <v>3819</v>
      </c>
      <c r="H1702" s="81" t="str">
        <f t="shared" si="121"/>
        <v>TCCN-PTE-PFL-SMU-CM7-SMO-MOE</v>
      </c>
      <c r="I1702" s="138" t="str">
        <f>MID(H1702,1,(LEN(H1702)-VLOOKUP(K1702,datos!$B$2:$C$12,2,0)))</f>
        <v>TCCN-PTE-PFL-SMU-CM7-SMO-MOE</v>
      </c>
      <c r="J1702" s="138" t="s">
        <v>6538</v>
      </c>
      <c r="K1702" s="140">
        <f>VLOOKUP(LEN(SUBSTITUTE(H1702,"-","")),datos!$A$1:$B$12,2,0)</f>
        <v>7</v>
      </c>
      <c r="L1702" s="138" t="s">
        <v>4494</v>
      </c>
      <c r="M1702" s="138" t="s">
        <v>0</v>
      </c>
    </row>
    <row r="1703" spans="1:13" x14ac:dyDescent="0.35">
      <c r="A1703" s="137" t="s">
        <v>487</v>
      </c>
      <c r="B1703" s="137" t="s">
        <v>3809</v>
      </c>
      <c r="C1703" s="137" t="s">
        <v>3983</v>
      </c>
      <c r="D1703" s="137" t="s">
        <v>4019</v>
      </c>
      <c r="E1703" s="137" t="s">
        <v>4495</v>
      </c>
      <c r="F1703" s="137" t="s">
        <v>3869</v>
      </c>
      <c r="G1703" s="137"/>
      <c r="H1703" s="82" t="str">
        <f t="shared" si="121"/>
        <v>TCCN-PTE-PFL-SMU-CM7-SCE-</v>
      </c>
      <c r="I1703" s="137" t="str">
        <f>MID(H1703,1,(LEN(H1703)-VLOOKUP(K1703,datos!$B$2:$C$12,2,0)))</f>
        <v>TCCN-PTE-PFL-SMU-CM7-SCE</v>
      </c>
      <c r="J1703" s="137" t="s">
        <v>6539</v>
      </c>
      <c r="K1703" s="139">
        <f>VLOOKUP(LEN(SUBSTITUTE(H1703,"-","")),datos!$A$1:$B$12,2,0)</f>
        <v>6</v>
      </c>
      <c r="L1703" s="137"/>
      <c r="M1703" s="137" t="s">
        <v>0</v>
      </c>
    </row>
    <row r="1704" spans="1:13" customFormat="1" ht="14.5" x14ac:dyDescent="0.35">
      <c r="A1704" s="84" t="s">
        <v>487</v>
      </c>
      <c r="B1704" s="84" t="s">
        <v>3809</v>
      </c>
      <c r="C1704" s="84" t="s">
        <v>3983</v>
      </c>
      <c r="D1704" s="84" t="s">
        <v>4024</v>
      </c>
      <c r="E1704" s="84"/>
      <c r="F1704" s="84"/>
      <c r="G1704" s="84"/>
      <c r="H1704" s="84" t="str">
        <f t="shared" si="121"/>
        <v>TCCN-PTE-PFL-SAN---</v>
      </c>
      <c r="I1704" s="84" t="str">
        <f>MID(H1704,1,(LEN(H1704)-VLOOKUP(K1704,datos!$B$2:$C$12,2,0)))</f>
        <v>TCCN-PTE-PFL-SAN</v>
      </c>
      <c r="J1704" s="84" t="s">
        <v>1633</v>
      </c>
      <c r="K1704" s="119">
        <f>VLOOKUP(LEN(SUBSTITUTE(H1704,"-","")),datos!$A$1:$B$12,2,0)</f>
        <v>4</v>
      </c>
      <c r="L1704" s="84"/>
      <c r="M1704" s="84" t="s">
        <v>0</v>
      </c>
    </row>
    <row r="1705" spans="1:13" customFormat="1" ht="14.5" x14ac:dyDescent="0.35">
      <c r="A1705" s="129" t="s">
        <v>487</v>
      </c>
      <c r="B1705" s="129" t="s">
        <v>3809</v>
      </c>
      <c r="C1705" s="129" t="s">
        <v>3983</v>
      </c>
      <c r="D1705" s="129" t="s">
        <v>4024</v>
      </c>
      <c r="E1705" s="129" t="s">
        <v>4025</v>
      </c>
      <c r="F1705" s="129"/>
      <c r="G1705" s="129"/>
      <c r="H1705" s="83" t="str">
        <f t="shared" si="121"/>
        <v>TCCN-PTE-PFL-SAN-ALY--</v>
      </c>
      <c r="I1705" s="129" t="str">
        <f>MID(H1705,1,(LEN(H1705)-VLOOKUP(K1705,datos!$B$2:$C$12,2,0)))</f>
        <v>TCCN-PTE-PFL-SAN-ALY</v>
      </c>
      <c r="J1705" s="129" t="s">
        <v>573</v>
      </c>
      <c r="K1705" s="130">
        <f>VLOOKUP(LEN(SUBSTITUTE(H1705,"-","")),datos!$A$1:$B$12,2,0)</f>
        <v>5</v>
      </c>
      <c r="L1705" s="129" t="s">
        <v>574</v>
      </c>
      <c r="M1705" s="129" t="s">
        <v>0</v>
      </c>
    </row>
    <row r="1706" spans="1:13" x14ac:dyDescent="0.35">
      <c r="A1706" s="137" t="s">
        <v>487</v>
      </c>
      <c r="B1706" s="137" t="s">
        <v>3809</v>
      </c>
      <c r="C1706" s="137" t="s">
        <v>3983</v>
      </c>
      <c r="D1706" s="137" t="s">
        <v>4024</v>
      </c>
      <c r="E1706" s="137" t="s">
        <v>4025</v>
      </c>
      <c r="F1706" s="137" t="s">
        <v>3948</v>
      </c>
      <c r="G1706" s="137"/>
      <c r="H1706" s="82" t="str">
        <f t="shared" si="121"/>
        <v>TCCN-PTE-PFL-SAN-ALY-SCP-</v>
      </c>
      <c r="I1706" s="137" t="str">
        <f>MID(H1706,1,(LEN(H1706)-VLOOKUP(K1706,datos!$B$2:$C$12,2,0)))</f>
        <v>TCCN-PTE-PFL-SAN-ALY-SCP</v>
      </c>
      <c r="J1706" s="137" t="s">
        <v>6541</v>
      </c>
      <c r="K1706" s="139">
        <f>VLOOKUP(LEN(SUBSTITUTE(H1706,"-","")),datos!$A$1:$B$12,2,0)</f>
        <v>6</v>
      </c>
      <c r="L1706" s="137"/>
      <c r="M1706" s="137" t="s">
        <v>0</v>
      </c>
    </row>
    <row r="1707" spans="1:13" x14ac:dyDescent="0.35">
      <c r="A1707" s="138" t="s">
        <v>487</v>
      </c>
      <c r="B1707" s="138" t="s">
        <v>3809</v>
      </c>
      <c r="C1707" s="138" t="s">
        <v>3983</v>
      </c>
      <c r="D1707" s="138" t="s">
        <v>4024</v>
      </c>
      <c r="E1707" s="138" t="s">
        <v>4025</v>
      </c>
      <c r="F1707" s="138" t="s">
        <v>3948</v>
      </c>
      <c r="G1707" s="138" t="s">
        <v>4026</v>
      </c>
      <c r="H1707" s="81" t="str">
        <f t="shared" si="121"/>
        <v>TCCN-PTE-PFL-SAN-ALY-SCP-MU1</v>
      </c>
      <c r="I1707" s="138" t="str">
        <f>MID(H1707,1,(LEN(H1707)-VLOOKUP(K1707,datos!$B$2:$C$12,2,0)))</f>
        <v>TCCN-PTE-PFL-SAN-ALY-SCP-MU1</v>
      </c>
      <c r="J1707" s="138" t="s">
        <v>6542</v>
      </c>
      <c r="K1707" s="140">
        <f>VLOOKUP(LEN(SUBSTITUTE(H1707,"-","")),datos!$A$1:$B$12,2,0)</f>
        <v>7</v>
      </c>
      <c r="L1707" s="138" t="s">
        <v>575</v>
      </c>
      <c r="M1707" s="138" t="s">
        <v>0</v>
      </c>
    </row>
    <row r="1708" spans="1:13" x14ac:dyDescent="0.35">
      <c r="A1708" s="138" t="s">
        <v>487</v>
      </c>
      <c r="B1708" s="138" t="s">
        <v>3809</v>
      </c>
      <c r="C1708" s="142" t="s">
        <v>3983</v>
      </c>
      <c r="D1708" s="142" t="s">
        <v>4024</v>
      </c>
      <c r="E1708" s="142" t="s">
        <v>4025</v>
      </c>
      <c r="F1708" s="142" t="s">
        <v>3948</v>
      </c>
      <c r="G1708" s="142" t="s">
        <v>3953</v>
      </c>
      <c r="H1708" s="120" t="str">
        <f t="shared" si="121"/>
        <v>TCCN-PTE-PFL-SAN-ALY-SCP-BB1</v>
      </c>
      <c r="I1708" s="138" t="str">
        <f>MID(H1708,1,(LEN(H1708)-VLOOKUP(K1708,datos!$B$2:$C$12,2,0)))</f>
        <v>TCCN-PTE-PFL-SAN-ALY-SCP-BB1</v>
      </c>
      <c r="J1708" s="142" t="s">
        <v>6549</v>
      </c>
      <c r="K1708" s="143">
        <f>VLOOKUP(LEN(SUBSTITUTE(H1708,"-","")),datos!$A$1:$B$12,2,0)</f>
        <v>7</v>
      </c>
      <c r="L1708" s="142" t="s">
        <v>577</v>
      </c>
      <c r="M1708" s="138" t="s">
        <v>0</v>
      </c>
    </row>
    <row r="1709" spans="1:13" x14ac:dyDescent="0.35">
      <c r="A1709" s="138" t="s">
        <v>487</v>
      </c>
      <c r="B1709" s="138" t="s">
        <v>3809</v>
      </c>
      <c r="C1709" s="142" t="s">
        <v>3983</v>
      </c>
      <c r="D1709" s="142" t="s">
        <v>4024</v>
      </c>
      <c r="E1709" s="142" t="s">
        <v>4025</v>
      </c>
      <c r="F1709" s="142" t="s">
        <v>3948</v>
      </c>
      <c r="G1709" s="142" t="s">
        <v>4027</v>
      </c>
      <c r="H1709" s="120" t="str">
        <f t="shared" si="121"/>
        <v>TCCN-PTE-PFL-SAN-ALY-SCP-MU2</v>
      </c>
      <c r="I1709" s="138" t="str">
        <f>MID(H1709,1,(LEN(H1709)-VLOOKUP(K1709,datos!$B$2:$C$12,2,0)))</f>
        <v>TCCN-PTE-PFL-SAN-ALY-SCP-MU2</v>
      </c>
      <c r="J1709" s="142" t="s">
        <v>6543</v>
      </c>
      <c r="K1709" s="143">
        <f>VLOOKUP(LEN(SUBSTITUTE(H1709,"-","")),datos!$A$1:$B$12,2,0)</f>
        <v>7</v>
      </c>
      <c r="L1709" s="142" t="s">
        <v>576</v>
      </c>
      <c r="M1709" s="138" t="s">
        <v>0</v>
      </c>
    </row>
    <row r="1710" spans="1:13" x14ac:dyDescent="0.35">
      <c r="A1710" s="138" t="s">
        <v>487</v>
      </c>
      <c r="B1710" s="138" t="s">
        <v>3809</v>
      </c>
      <c r="C1710" s="142" t="s">
        <v>3983</v>
      </c>
      <c r="D1710" s="142" t="s">
        <v>4024</v>
      </c>
      <c r="E1710" s="142" t="s">
        <v>4025</v>
      </c>
      <c r="F1710" s="142" t="s">
        <v>3948</v>
      </c>
      <c r="G1710" s="142" t="s">
        <v>3942</v>
      </c>
      <c r="H1710" s="120" t="str">
        <f t="shared" si="121"/>
        <v>TCCN-PTE-PFL-SAN-ALY-SCP-BB2</v>
      </c>
      <c r="I1710" s="138" t="str">
        <f>MID(H1710,1,(LEN(H1710)-VLOOKUP(K1710,datos!$B$2:$C$12,2,0)))</f>
        <v>TCCN-PTE-PFL-SAN-ALY-SCP-BB2</v>
      </c>
      <c r="J1710" s="142" t="s">
        <v>6550</v>
      </c>
      <c r="K1710" s="143">
        <f>VLOOKUP(LEN(SUBSTITUTE(H1710,"-","")),datos!$A$1:$B$12,2,0)</f>
        <v>7</v>
      </c>
      <c r="L1710" s="142" t="s">
        <v>578</v>
      </c>
      <c r="M1710" s="138" t="s">
        <v>0</v>
      </c>
    </row>
    <row r="1711" spans="1:13" x14ac:dyDescent="0.35">
      <c r="A1711" s="138" t="s">
        <v>487</v>
      </c>
      <c r="B1711" s="138" t="s">
        <v>3809</v>
      </c>
      <c r="C1711" s="142" t="s">
        <v>3983</v>
      </c>
      <c r="D1711" s="142" t="s">
        <v>4024</v>
      </c>
      <c r="E1711" s="142" t="s">
        <v>4025</v>
      </c>
      <c r="F1711" s="142" t="s">
        <v>3948</v>
      </c>
      <c r="G1711" s="142" t="s">
        <v>5290</v>
      </c>
      <c r="H1711" s="120" t="str">
        <f t="shared" si="121"/>
        <v>TCCN-PTE-PFL-SAN-ALY-SCP-GBT</v>
      </c>
      <c r="I1711" s="138" t="str">
        <f>MID(H1711,1,(LEN(H1711)-VLOOKUP(K1711,datos!$B$2:$C$12,2,0)))</f>
        <v>TCCN-PTE-PFL-SAN-ALY-SCP-GBT</v>
      </c>
      <c r="J1711" s="142" t="s">
        <v>6544</v>
      </c>
      <c r="K1711" s="143">
        <f>VLOOKUP(LEN(SUBSTITUTE(H1711,"-","")),datos!$A$1:$B$12,2,0)</f>
        <v>7</v>
      </c>
      <c r="L1711" s="142" t="s">
        <v>579</v>
      </c>
      <c r="M1711" s="138" t="s">
        <v>0</v>
      </c>
    </row>
    <row r="1712" spans="1:13" x14ac:dyDescent="0.35">
      <c r="A1712" s="138" t="s">
        <v>487</v>
      </c>
      <c r="B1712" s="138" t="s">
        <v>3809</v>
      </c>
      <c r="C1712" s="138" t="s">
        <v>3983</v>
      </c>
      <c r="D1712" s="138" t="s">
        <v>4024</v>
      </c>
      <c r="E1712" s="138" t="s">
        <v>4025</v>
      </c>
      <c r="F1712" s="138" t="s">
        <v>3948</v>
      </c>
      <c r="G1712" s="138" t="s">
        <v>4028</v>
      </c>
      <c r="H1712" s="81" t="str">
        <f t="shared" si="121"/>
        <v>TCCN-PTE-PFL-SAN-ALY-SCP-DMP</v>
      </c>
      <c r="I1712" s="138" t="str">
        <f>MID(H1712,1,(LEN(H1712)-VLOOKUP(K1712,datos!$B$2:$C$12,2,0)))</f>
        <v>TCCN-PTE-PFL-SAN-ALY-SCP-DMP</v>
      </c>
      <c r="J1712" s="138" t="s">
        <v>6545</v>
      </c>
      <c r="K1712" s="140">
        <f>VLOOKUP(LEN(SUBSTITUTE(H1712,"-","")),datos!$A$1:$B$12,2,0)</f>
        <v>7</v>
      </c>
      <c r="L1712" s="138" t="s">
        <v>580</v>
      </c>
      <c r="M1712" s="138" t="s">
        <v>0</v>
      </c>
    </row>
    <row r="1713" spans="1:13" x14ac:dyDescent="0.35">
      <c r="A1713" s="137" t="s">
        <v>487</v>
      </c>
      <c r="B1713" s="137" t="s">
        <v>3809</v>
      </c>
      <c r="C1713" s="137" t="s">
        <v>3983</v>
      </c>
      <c r="D1713" s="137" t="s">
        <v>4024</v>
      </c>
      <c r="E1713" s="137" t="s">
        <v>4025</v>
      </c>
      <c r="F1713" s="137" t="s">
        <v>3831</v>
      </c>
      <c r="G1713" s="137"/>
      <c r="H1713" s="82" t="str">
        <f t="shared" si="121"/>
        <v>TCCN-PTE-PFL-SAN-ALY-INS-</v>
      </c>
      <c r="I1713" s="137" t="str">
        <f>MID(H1713,1,(LEN(H1713)-VLOOKUP(K1713,datos!$B$2:$C$12,2,0)))</f>
        <v>TCCN-PTE-PFL-SAN-ALY-INS</v>
      </c>
      <c r="J1713" s="137" t="s">
        <v>6540</v>
      </c>
      <c r="K1713" s="139">
        <f>VLOOKUP(LEN(SUBSTITUTE(H1713,"-","")),datos!$A$1:$B$12,2,0)</f>
        <v>6</v>
      </c>
      <c r="L1713" s="137"/>
      <c r="M1713" s="137" t="s">
        <v>0</v>
      </c>
    </row>
    <row r="1714" spans="1:13" x14ac:dyDescent="0.35">
      <c r="A1714" s="138" t="s">
        <v>487</v>
      </c>
      <c r="B1714" s="138" t="s">
        <v>3809</v>
      </c>
      <c r="C1714" s="138" t="s">
        <v>3983</v>
      </c>
      <c r="D1714" s="138" t="s">
        <v>4024</v>
      </c>
      <c r="E1714" s="138" t="s">
        <v>4025</v>
      </c>
      <c r="F1714" s="138" t="s">
        <v>3831</v>
      </c>
      <c r="G1714" s="138" t="s">
        <v>5232</v>
      </c>
      <c r="H1714" s="81" t="str">
        <f t="shared" si="121"/>
        <v>TCCN-PTE-PFL-SAN-ALY-INS-SAL</v>
      </c>
      <c r="I1714" s="138" t="str">
        <f>MID(H1714,1,(LEN(H1714)-VLOOKUP(K1714,datos!$B$2:$C$12,2,0)))</f>
        <v>TCCN-PTE-PFL-SAN-ALY-INS-SAL</v>
      </c>
      <c r="J1714" s="138" t="s">
        <v>6548</v>
      </c>
      <c r="K1714" s="140">
        <f>VLOOKUP(LEN(SUBSTITUTE(H1714,"-","")),datos!$A$1:$B$12,2,0)</f>
        <v>7</v>
      </c>
      <c r="L1714" s="138"/>
      <c r="M1714" s="138" t="s">
        <v>0</v>
      </c>
    </row>
    <row r="1715" spans="1:13" x14ac:dyDescent="0.35">
      <c r="A1715" s="138" t="s">
        <v>487</v>
      </c>
      <c r="B1715" s="138" t="s">
        <v>3809</v>
      </c>
      <c r="C1715" s="138" t="s">
        <v>3983</v>
      </c>
      <c r="D1715" s="138" t="s">
        <v>4024</v>
      </c>
      <c r="E1715" s="138" t="s">
        <v>4025</v>
      </c>
      <c r="F1715" s="138" t="s">
        <v>3831</v>
      </c>
      <c r="G1715" s="138" t="s">
        <v>5233</v>
      </c>
      <c r="H1715" s="81" t="str">
        <f t="shared" si="121"/>
        <v>TCCN-PTE-PFL-SAN-ALY-INS-TRX</v>
      </c>
      <c r="I1715" s="138" t="str">
        <f>MID(H1715,1,(LEN(H1715)-VLOOKUP(K1715,datos!$B$2:$C$12,2,0)))</f>
        <v>TCCN-PTE-PFL-SAN-ALY-INS-TRX</v>
      </c>
      <c r="J1715" s="138" t="s">
        <v>6547</v>
      </c>
      <c r="K1715" s="140">
        <f>VLOOKUP(LEN(SUBSTITUTE(H1715,"-","")),datos!$A$1:$B$12,2,0)</f>
        <v>7</v>
      </c>
      <c r="L1715" s="138"/>
      <c r="M1715" s="138" t="s">
        <v>0</v>
      </c>
    </row>
    <row r="1716" spans="1:13" x14ac:dyDescent="0.35">
      <c r="A1716" s="138" t="s">
        <v>487</v>
      </c>
      <c r="B1716" s="138" t="s">
        <v>3809</v>
      </c>
      <c r="C1716" s="138" t="s">
        <v>3983</v>
      </c>
      <c r="D1716" s="138" t="s">
        <v>4024</v>
      </c>
      <c r="E1716" s="138" t="s">
        <v>4025</v>
      </c>
      <c r="F1716" s="138" t="s">
        <v>3831</v>
      </c>
      <c r="G1716" s="138" t="s">
        <v>3988</v>
      </c>
      <c r="H1716" s="81" t="str">
        <f t="shared" si="121"/>
        <v>TCCN-PTE-PFL-SAN-ALY-INS-CMU</v>
      </c>
      <c r="I1716" s="138" t="str">
        <f>MID(H1716,1,(LEN(H1716)-VLOOKUP(K1716,datos!$B$2:$C$12,2,0)))</f>
        <v>TCCN-PTE-PFL-SAN-ALY-INS-CMU</v>
      </c>
      <c r="J1716" s="138" t="s">
        <v>6546</v>
      </c>
      <c r="K1716" s="140">
        <f>VLOOKUP(LEN(SUBSTITUTE(H1716,"-","")),datos!$A$1:$B$12,2,0)</f>
        <v>7</v>
      </c>
      <c r="L1716" s="138"/>
      <c r="M1716" s="138" t="s">
        <v>0</v>
      </c>
    </row>
    <row r="1717" spans="1:13" customFormat="1" ht="14.5" x14ac:dyDescent="0.35">
      <c r="A1717" s="84" t="s">
        <v>487</v>
      </c>
      <c r="B1717" s="84" t="s">
        <v>3809</v>
      </c>
      <c r="C1717" s="84" t="s">
        <v>3983</v>
      </c>
      <c r="D1717" s="84" t="s">
        <v>3888</v>
      </c>
      <c r="E1717" s="84"/>
      <c r="F1717" s="84"/>
      <c r="G1717" s="84"/>
      <c r="H1717" s="84" t="str">
        <f t="shared" si="121"/>
        <v>TCCN-PTE-PFL-SEL---</v>
      </c>
      <c r="I1717" s="84" t="str">
        <f>MID(H1717,1,(LEN(H1717)-VLOOKUP(K1717,datos!$B$2:$C$12,2,0)))</f>
        <v>TCCN-PTE-PFL-SEL</v>
      </c>
      <c r="J1717" s="84" t="s">
        <v>1794</v>
      </c>
      <c r="K1717" s="119">
        <f>VLOOKUP(LEN(SUBSTITUTE(H1717,"-","")),datos!$A$1:$B$12,2,0)</f>
        <v>4</v>
      </c>
      <c r="L1717" s="84"/>
      <c r="M1717" s="84" t="s">
        <v>0</v>
      </c>
    </row>
    <row r="1718" spans="1:13" customFormat="1" ht="14.5" x14ac:dyDescent="0.35">
      <c r="A1718" s="129" t="s">
        <v>487</v>
      </c>
      <c r="B1718" s="129" t="s">
        <v>3809</v>
      </c>
      <c r="C1718" s="129" t="s">
        <v>3983</v>
      </c>
      <c r="D1718" s="129" t="s">
        <v>3888</v>
      </c>
      <c r="E1718" s="129" t="s">
        <v>3889</v>
      </c>
      <c r="F1718" s="129"/>
      <c r="G1718" s="129"/>
      <c r="H1718" s="83" t="str">
        <f t="shared" si="121"/>
        <v>TCCN-PTE-PFL-SEL-SAE--</v>
      </c>
      <c r="I1718" s="129" t="str">
        <f>MID(H1718,1,(LEN(H1718)-VLOOKUP(K1718,datos!$B$2:$C$12,2,0)))</f>
        <v>TCCN-PTE-PFL-SEL-SAE</v>
      </c>
      <c r="J1718" s="129" t="s">
        <v>485</v>
      </c>
      <c r="K1718" s="130">
        <f>VLOOKUP(LEN(SUBSTITUTE(H1718,"-","")),datos!$A$1:$B$12,2,0)</f>
        <v>5</v>
      </c>
      <c r="L1718" s="129" t="s">
        <v>4659</v>
      </c>
      <c r="M1718" s="129" t="s">
        <v>0</v>
      </c>
    </row>
    <row r="1719" spans="1:13" x14ac:dyDescent="0.35">
      <c r="A1719" s="137" t="s">
        <v>487</v>
      </c>
      <c r="B1719" s="137" t="s">
        <v>3809</v>
      </c>
      <c r="C1719" s="137" t="s">
        <v>3983</v>
      </c>
      <c r="D1719" s="137" t="s">
        <v>3888</v>
      </c>
      <c r="E1719" s="137" t="s">
        <v>3889</v>
      </c>
      <c r="F1719" s="137" t="s">
        <v>3869</v>
      </c>
      <c r="G1719" s="137"/>
      <c r="H1719" s="82" t="str">
        <f t="shared" si="121"/>
        <v>TCCN-PTE-PFL-SEL-SAE-SCE-</v>
      </c>
      <c r="I1719" s="137" t="str">
        <f>MID(H1719,1,(LEN(H1719)-VLOOKUP(K1719,datos!$B$2:$C$12,2,0)))</f>
        <v>TCCN-PTE-PFL-SEL-SAE-SCE</v>
      </c>
      <c r="J1719" s="137" t="s">
        <v>123</v>
      </c>
      <c r="K1719" s="139">
        <f>VLOOKUP(LEN(SUBSTITUTE(H1719,"-","")),datos!$A$1:$B$12,2,0)</f>
        <v>6</v>
      </c>
      <c r="L1719" s="137"/>
      <c r="M1719" s="137" t="s">
        <v>0</v>
      </c>
    </row>
    <row r="1720" spans="1:13" x14ac:dyDescent="0.35">
      <c r="A1720" s="138" t="s">
        <v>487</v>
      </c>
      <c r="B1720" s="138" t="s">
        <v>3809</v>
      </c>
      <c r="C1720" s="138" t="s">
        <v>3983</v>
      </c>
      <c r="D1720" s="138" t="s">
        <v>3888</v>
      </c>
      <c r="E1720" s="138" t="s">
        <v>3889</v>
      </c>
      <c r="F1720" s="138" t="s">
        <v>3869</v>
      </c>
      <c r="G1720" s="138" t="s">
        <v>3958</v>
      </c>
      <c r="H1720" s="81" t="str">
        <f t="shared" si="121"/>
        <v>TCCN-PTE-PFL-SEL-SAE-SCE-CDC</v>
      </c>
      <c r="I1720" s="138" t="str">
        <f>MID(H1720,1,(LEN(H1720)-VLOOKUP(K1720,datos!$B$2:$C$12,2,0)))</f>
        <v>TCCN-PTE-PFL-SEL-SAE-SCE-CDC</v>
      </c>
      <c r="J1720" s="138" t="s">
        <v>1261</v>
      </c>
      <c r="K1720" s="140">
        <f>VLOOKUP(LEN(SUBSTITUTE(H1720,"-","")),datos!$A$1:$B$12,2,0)</f>
        <v>7</v>
      </c>
      <c r="L1720" s="138" t="s">
        <v>366</v>
      </c>
      <c r="M1720" s="138" t="s">
        <v>0</v>
      </c>
    </row>
    <row r="1721" spans="1:13" x14ac:dyDescent="0.35">
      <c r="A1721" s="138" t="s">
        <v>487</v>
      </c>
      <c r="B1721" s="138" t="s">
        <v>3809</v>
      </c>
      <c r="C1721" s="138" t="s">
        <v>3983</v>
      </c>
      <c r="D1721" s="138" t="s">
        <v>3888</v>
      </c>
      <c r="E1721" s="138" t="s">
        <v>3889</v>
      </c>
      <c r="F1721" s="138" t="s">
        <v>3869</v>
      </c>
      <c r="G1721" s="138" t="s">
        <v>3960</v>
      </c>
      <c r="H1721" s="81" t="str">
        <f t="shared" si="121"/>
        <v>TCCN-PTE-PFL-SEL-SAE-SCE-CC1</v>
      </c>
      <c r="I1721" s="138" t="str">
        <f>MID(H1721,1,(LEN(H1721)-VLOOKUP(K1721,datos!$B$2:$C$12,2,0)))</f>
        <v>TCCN-PTE-PFL-SEL-SAE-SCE-CC1</v>
      </c>
      <c r="J1721" s="138" t="s">
        <v>1312</v>
      </c>
      <c r="K1721" s="140">
        <f>VLOOKUP(LEN(SUBSTITUTE(H1721,"-","")),datos!$A$1:$B$12,2,0)</f>
        <v>7</v>
      </c>
      <c r="L1721" s="138" t="s">
        <v>367</v>
      </c>
      <c r="M1721" s="138" t="s">
        <v>0</v>
      </c>
    </row>
    <row r="1722" spans="1:13" x14ac:dyDescent="0.35">
      <c r="A1722" s="138" t="s">
        <v>487</v>
      </c>
      <c r="B1722" s="138" t="s">
        <v>3809</v>
      </c>
      <c r="C1722" s="138" t="s">
        <v>3983</v>
      </c>
      <c r="D1722" s="138" t="s">
        <v>3888</v>
      </c>
      <c r="E1722" s="138" t="s">
        <v>3889</v>
      </c>
      <c r="F1722" s="138" t="s">
        <v>3869</v>
      </c>
      <c r="G1722" s="138" t="s">
        <v>3961</v>
      </c>
      <c r="H1722" s="81" t="str">
        <f t="shared" si="121"/>
        <v>TCCN-PTE-PFL-SEL-SAE-SCE-CC2</v>
      </c>
      <c r="I1722" s="138" t="str">
        <f>MID(H1722,1,(LEN(H1722)-VLOOKUP(K1722,datos!$B$2:$C$12,2,0)))</f>
        <v>TCCN-PTE-PFL-SEL-SAE-SCE-CC2</v>
      </c>
      <c r="J1722" s="138" t="s">
        <v>1313</v>
      </c>
      <c r="K1722" s="140">
        <f>VLOOKUP(LEN(SUBSTITUTE(H1722,"-","")),datos!$A$1:$B$12,2,0)</f>
        <v>7</v>
      </c>
      <c r="L1722" s="138" t="s">
        <v>368</v>
      </c>
      <c r="M1722" s="138" t="s">
        <v>0</v>
      </c>
    </row>
    <row r="1723" spans="1:13" x14ac:dyDescent="0.35">
      <c r="A1723" s="138" t="s">
        <v>487</v>
      </c>
      <c r="B1723" s="138" t="s">
        <v>3809</v>
      </c>
      <c r="C1723" s="138" t="s">
        <v>3983</v>
      </c>
      <c r="D1723" s="138" t="s">
        <v>3888</v>
      </c>
      <c r="E1723" s="138" t="s">
        <v>3889</v>
      </c>
      <c r="F1723" s="138" t="s">
        <v>3869</v>
      </c>
      <c r="G1723" s="138" t="s">
        <v>4029</v>
      </c>
      <c r="H1723" s="81" t="str">
        <f t="shared" si="121"/>
        <v>TCCN-PTE-PFL-SEL-SAE-SCE-CC3</v>
      </c>
      <c r="I1723" s="138" t="str">
        <f>MID(H1723,1,(LEN(H1723)-VLOOKUP(K1723,datos!$B$2:$C$12,2,0)))</f>
        <v>TCCN-PTE-PFL-SEL-SAE-SCE-CC3</v>
      </c>
      <c r="J1723" s="138" t="s">
        <v>1314</v>
      </c>
      <c r="K1723" s="140">
        <f>VLOOKUP(LEN(SUBSTITUTE(H1723,"-","")),datos!$A$1:$B$12,2,0)</f>
        <v>7</v>
      </c>
      <c r="L1723" s="138" t="s">
        <v>369</v>
      </c>
      <c r="M1723" s="138" t="s">
        <v>0</v>
      </c>
    </row>
    <row r="1724" spans="1:13" x14ac:dyDescent="0.35">
      <c r="A1724" s="138" t="s">
        <v>487</v>
      </c>
      <c r="B1724" s="138" t="s">
        <v>3809</v>
      </c>
      <c r="C1724" s="138" t="s">
        <v>3983</v>
      </c>
      <c r="D1724" s="138" t="s">
        <v>3888</v>
      </c>
      <c r="E1724" s="138" t="s">
        <v>3889</v>
      </c>
      <c r="F1724" s="138" t="s">
        <v>3869</v>
      </c>
      <c r="G1724" s="138" t="s">
        <v>4030</v>
      </c>
      <c r="H1724" s="81" t="str">
        <f t="shared" si="121"/>
        <v>TCCN-PTE-PFL-SEL-SAE-SCE-CC4</v>
      </c>
      <c r="I1724" s="138" t="str">
        <f>MID(H1724,1,(LEN(H1724)-VLOOKUP(K1724,datos!$B$2:$C$12,2,0)))</f>
        <v>TCCN-PTE-PFL-SEL-SAE-SCE-CC4</v>
      </c>
      <c r="J1724" s="138" t="s">
        <v>1315</v>
      </c>
      <c r="K1724" s="140">
        <f>VLOOKUP(LEN(SUBSTITUTE(H1724,"-","")),datos!$A$1:$B$12,2,0)</f>
        <v>7</v>
      </c>
      <c r="L1724" s="138" t="s">
        <v>370</v>
      </c>
      <c r="M1724" s="138" t="s">
        <v>0</v>
      </c>
    </row>
    <row r="1725" spans="1:13" x14ac:dyDescent="0.35">
      <c r="A1725" s="138" t="s">
        <v>487</v>
      </c>
      <c r="B1725" s="138" t="s">
        <v>3809</v>
      </c>
      <c r="C1725" s="138" t="s">
        <v>3983</v>
      </c>
      <c r="D1725" s="138" t="s">
        <v>3888</v>
      </c>
      <c r="E1725" s="138" t="s">
        <v>3889</v>
      </c>
      <c r="F1725" s="138" t="s">
        <v>3869</v>
      </c>
      <c r="G1725" s="138" t="s">
        <v>4031</v>
      </c>
      <c r="H1725" s="81" t="str">
        <f t="shared" si="121"/>
        <v>TCCN-PTE-PFL-SEL-SAE-SCE-CC5</v>
      </c>
      <c r="I1725" s="138" t="str">
        <f>MID(H1725,1,(LEN(H1725)-VLOOKUP(K1725,datos!$B$2:$C$12,2,0)))</f>
        <v>TCCN-PTE-PFL-SEL-SAE-SCE-CC5</v>
      </c>
      <c r="J1725" s="138" t="s">
        <v>1316</v>
      </c>
      <c r="K1725" s="140">
        <f>VLOOKUP(LEN(SUBSTITUTE(H1725,"-","")),datos!$A$1:$B$12,2,0)</f>
        <v>7</v>
      </c>
      <c r="L1725" s="138" t="s">
        <v>371</v>
      </c>
      <c r="M1725" s="138" t="s">
        <v>0</v>
      </c>
    </row>
    <row r="1726" spans="1:13" x14ac:dyDescent="0.35">
      <c r="A1726" s="138" t="s">
        <v>487</v>
      </c>
      <c r="B1726" s="138" t="s">
        <v>3809</v>
      </c>
      <c r="C1726" s="138" t="s">
        <v>3983</v>
      </c>
      <c r="D1726" s="138" t="s">
        <v>3888</v>
      </c>
      <c r="E1726" s="138" t="s">
        <v>3889</v>
      </c>
      <c r="F1726" s="138" t="s">
        <v>3869</v>
      </c>
      <c r="G1726" s="138" t="s">
        <v>4066</v>
      </c>
      <c r="H1726" s="81" t="str">
        <f t="shared" si="121"/>
        <v>TCCN-PTE-PFL-SEL-SAE-SCE-TR1</v>
      </c>
      <c r="I1726" s="138" t="str">
        <f>MID(H1726,1,(LEN(H1726)-VLOOKUP(K1726,datos!$B$2:$C$12,2,0)))</f>
        <v>TCCN-PTE-PFL-SEL-SAE-SCE-TR1</v>
      </c>
      <c r="J1726" s="138" t="s">
        <v>1259</v>
      </c>
      <c r="K1726" s="140">
        <f>VLOOKUP(LEN(SUBSTITUTE(H1726,"-","")),datos!$A$1:$B$12,2,0)</f>
        <v>7</v>
      </c>
      <c r="L1726" s="138" t="s">
        <v>373</v>
      </c>
      <c r="M1726" s="138" t="s">
        <v>0</v>
      </c>
    </row>
    <row r="1727" spans="1:13" x14ac:dyDescent="0.35">
      <c r="A1727" s="138" t="s">
        <v>487</v>
      </c>
      <c r="B1727" s="138" t="s">
        <v>3809</v>
      </c>
      <c r="C1727" s="138" t="s">
        <v>3983</v>
      </c>
      <c r="D1727" s="138" t="s">
        <v>3888</v>
      </c>
      <c r="E1727" s="138" t="s">
        <v>3889</v>
      </c>
      <c r="F1727" s="138" t="s">
        <v>3869</v>
      </c>
      <c r="G1727" s="138" t="s">
        <v>3891</v>
      </c>
      <c r="H1727" s="81" t="str">
        <f t="shared" si="121"/>
        <v>TCCN-PTE-PFL-SEL-SAE-SCE-TF1</v>
      </c>
      <c r="I1727" s="138" t="str">
        <f>MID(H1727,1,(LEN(H1727)-VLOOKUP(K1727,datos!$B$2:$C$12,2,0)))</f>
        <v>TCCN-PTE-PFL-SEL-SAE-SCE-TF1</v>
      </c>
      <c r="J1727" s="138" t="s">
        <v>1260</v>
      </c>
      <c r="K1727" s="140">
        <f>VLOOKUP(LEN(SUBSTITUTE(H1727,"-","")),datos!$A$1:$B$12,2,0)</f>
        <v>7</v>
      </c>
      <c r="L1727" s="138" t="s">
        <v>374</v>
      </c>
      <c r="M1727" s="138" t="s">
        <v>0</v>
      </c>
    </row>
    <row r="1728" spans="1:13" x14ac:dyDescent="0.35">
      <c r="A1728" s="138" t="s">
        <v>487</v>
      </c>
      <c r="B1728" s="138" t="s">
        <v>3809</v>
      </c>
      <c r="C1728" s="138" t="s">
        <v>3983</v>
      </c>
      <c r="D1728" s="138" t="s">
        <v>3888</v>
      </c>
      <c r="E1728" s="138" t="s">
        <v>3889</v>
      </c>
      <c r="F1728" s="138" t="s">
        <v>3869</v>
      </c>
      <c r="G1728" s="138" t="s">
        <v>3892</v>
      </c>
      <c r="H1728" s="81" t="str">
        <f t="shared" si="121"/>
        <v>TCCN-PTE-PFL-SEL-SAE-SCE-TF2</v>
      </c>
      <c r="I1728" s="138" t="str">
        <f>MID(H1728,1,(LEN(H1728)-VLOOKUP(K1728,datos!$B$2:$C$12,2,0)))</f>
        <v>TCCN-PTE-PFL-SEL-SAE-SCE-TF2</v>
      </c>
      <c r="J1728" s="138" t="s">
        <v>623</v>
      </c>
      <c r="K1728" s="140">
        <f>VLOOKUP(LEN(SUBSTITUTE(H1728,"-","")),datos!$A$1:$B$12,2,0)</f>
        <v>7</v>
      </c>
      <c r="L1728" s="138" t="s">
        <v>376</v>
      </c>
      <c r="M1728" s="138" t="s">
        <v>0</v>
      </c>
    </row>
    <row r="1729" spans="1:13" x14ac:dyDescent="0.35">
      <c r="A1729" s="138" t="s">
        <v>487</v>
      </c>
      <c r="B1729" s="138" t="s">
        <v>3809</v>
      </c>
      <c r="C1729" s="138" t="s">
        <v>3983</v>
      </c>
      <c r="D1729" s="138" t="s">
        <v>3888</v>
      </c>
      <c r="E1729" s="138" t="s">
        <v>3889</v>
      </c>
      <c r="F1729" s="138" t="s">
        <v>3869</v>
      </c>
      <c r="G1729" s="138" t="s">
        <v>3964</v>
      </c>
      <c r="H1729" s="81" t="str">
        <f t="shared" si="121"/>
        <v>TCCN-PTE-PFL-SEL-SAE-SCE-UPS</v>
      </c>
      <c r="I1729" s="138" t="str">
        <f>MID(H1729,1,(LEN(H1729)-VLOOKUP(K1729,datos!$B$2:$C$12,2,0)))</f>
        <v>TCCN-PTE-PFL-SEL-SAE-SCE-UPS</v>
      </c>
      <c r="J1729" s="138" t="s">
        <v>1264</v>
      </c>
      <c r="K1729" s="140">
        <f>VLOOKUP(LEN(SUBSTITUTE(H1729,"-","")),datos!$A$1:$B$12,2,0)</f>
        <v>7</v>
      </c>
      <c r="L1729" s="138" t="s">
        <v>377</v>
      </c>
      <c r="M1729" s="138" t="s">
        <v>0</v>
      </c>
    </row>
    <row r="1730" spans="1:13" x14ac:dyDescent="0.35">
      <c r="A1730" s="138" t="s">
        <v>487</v>
      </c>
      <c r="B1730" s="138" t="s">
        <v>3809</v>
      </c>
      <c r="C1730" s="138" t="s">
        <v>3983</v>
      </c>
      <c r="D1730" s="138" t="s">
        <v>3888</v>
      </c>
      <c r="E1730" s="138" t="s">
        <v>3889</v>
      </c>
      <c r="F1730" s="138" t="s">
        <v>3869</v>
      </c>
      <c r="G1730" s="138" t="s">
        <v>6912</v>
      </c>
      <c r="H1730" s="81" t="str">
        <f t="shared" si="121"/>
        <v>TCCN-PTE-PFL-SEL-SAE-SCE-TIN</v>
      </c>
      <c r="I1730" s="138" t="str">
        <f>MID(H1730,1,(LEN(H1730)-VLOOKUP(K1730,datos!$B$2:$C$12,2,0)))</f>
        <v>TCCN-PTE-PFL-SEL-SAE-SCE-TIN</v>
      </c>
      <c r="J1730" s="138" t="s">
        <v>1265</v>
      </c>
      <c r="K1730" s="140">
        <f>VLOOKUP(LEN(SUBSTITUTE(H1730,"-","")),datos!$A$1:$B$12,2,0)</f>
        <v>7</v>
      </c>
      <c r="L1730" s="138" t="s">
        <v>378</v>
      </c>
      <c r="M1730" s="138" t="s">
        <v>0</v>
      </c>
    </row>
    <row r="1731" spans="1:13" x14ac:dyDescent="0.35">
      <c r="A1731" s="138" t="s">
        <v>487</v>
      </c>
      <c r="B1731" s="138" t="s">
        <v>3809</v>
      </c>
      <c r="C1731" s="138" t="s">
        <v>3983</v>
      </c>
      <c r="D1731" s="138" t="s">
        <v>3888</v>
      </c>
      <c r="E1731" s="138" t="s">
        <v>3889</v>
      </c>
      <c r="F1731" s="138" t="s">
        <v>3869</v>
      </c>
      <c r="G1731" s="138" t="s">
        <v>3903</v>
      </c>
      <c r="H1731" s="81" t="str">
        <f t="shared" si="121"/>
        <v>TCCN-PTE-PFL-SEL-SAE-SCE-PC1</v>
      </c>
      <c r="I1731" s="138" t="str">
        <f>MID(H1731,1,(LEN(H1731)-VLOOKUP(K1731,datos!$B$2:$C$12,2,0)))</f>
        <v>TCCN-PTE-PFL-SEL-SAE-SCE-PC1</v>
      </c>
      <c r="J1731" s="138" t="s">
        <v>1270</v>
      </c>
      <c r="K1731" s="140">
        <f>VLOOKUP(LEN(SUBSTITUTE(H1731,"-","")),datos!$A$1:$B$12,2,0)</f>
        <v>7</v>
      </c>
      <c r="L1731" s="138" t="s">
        <v>379</v>
      </c>
      <c r="M1731" s="138" t="s">
        <v>0</v>
      </c>
    </row>
    <row r="1732" spans="1:13" x14ac:dyDescent="0.35">
      <c r="A1732" s="138" t="s">
        <v>487</v>
      </c>
      <c r="B1732" s="138" t="s">
        <v>3809</v>
      </c>
      <c r="C1732" s="138" t="s">
        <v>3983</v>
      </c>
      <c r="D1732" s="138" t="s">
        <v>3888</v>
      </c>
      <c r="E1732" s="138" t="s">
        <v>3889</v>
      </c>
      <c r="F1732" s="138" t="s">
        <v>3869</v>
      </c>
      <c r="G1732" s="138" t="s">
        <v>3904</v>
      </c>
      <c r="H1732" s="81" t="str">
        <f t="shared" si="121"/>
        <v>TCCN-PTE-PFL-SEL-SAE-SCE-PC2</v>
      </c>
      <c r="I1732" s="138" t="str">
        <f>MID(H1732,1,(LEN(H1732)-VLOOKUP(K1732,datos!$B$2:$C$12,2,0)))</f>
        <v>TCCN-PTE-PFL-SEL-SAE-SCE-PC2</v>
      </c>
      <c r="J1732" s="138" t="s">
        <v>1271</v>
      </c>
      <c r="K1732" s="140">
        <f>VLOOKUP(LEN(SUBSTITUTE(H1732,"-","")),datos!$A$1:$B$12,2,0)</f>
        <v>7</v>
      </c>
      <c r="L1732" s="138" t="s">
        <v>380</v>
      </c>
      <c r="M1732" s="138" t="s">
        <v>0</v>
      </c>
    </row>
    <row r="1733" spans="1:13" x14ac:dyDescent="0.35">
      <c r="A1733" s="138" t="s">
        <v>487</v>
      </c>
      <c r="B1733" s="138" t="s">
        <v>3809</v>
      </c>
      <c r="C1733" s="138" t="s">
        <v>3983</v>
      </c>
      <c r="D1733" s="138" t="s">
        <v>3888</v>
      </c>
      <c r="E1733" s="138" t="s">
        <v>3889</v>
      </c>
      <c r="F1733" s="138" t="s">
        <v>3869</v>
      </c>
      <c r="G1733" s="138" t="s">
        <v>3908</v>
      </c>
      <c r="H1733" s="81" t="str">
        <f t="shared" si="121"/>
        <v>TCCN-PTE-PFL-SEL-SAE-SCE-SCA</v>
      </c>
      <c r="I1733" s="138" t="str">
        <f>MID(H1733,1,(LEN(H1733)-VLOOKUP(K1733,datos!$B$2:$C$12,2,0)))</f>
        <v>TCCN-PTE-PFL-SEL-SAE-SCE-SCA</v>
      </c>
      <c r="J1733" s="138" t="s">
        <v>1802</v>
      </c>
      <c r="K1733" s="140">
        <f>VLOOKUP(LEN(SUBSTITUTE(H1733,"-","")),datos!$A$1:$B$12,2,0)</f>
        <v>7</v>
      </c>
      <c r="L1733" s="138" t="s">
        <v>381</v>
      </c>
      <c r="M1733" s="138" t="s">
        <v>0</v>
      </c>
    </row>
    <row r="1734" spans="1:13" x14ac:dyDescent="0.35">
      <c r="A1734" s="138" t="s">
        <v>487</v>
      </c>
      <c r="B1734" s="138" t="s">
        <v>3809</v>
      </c>
      <c r="C1734" s="138" t="s">
        <v>3983</v>
      </c>
      <c r="D1734" s="138" t="s">
        <v>3888</v>
      </c>
      <c r="E1734" s="138" t="s">
        <v>3889</v>
      </c>
      <c r="F1734" s="138" t="s">
        <v>3869</v>
      </c>
      <c r="G1734" s="138" t="s">
        <v>5292</v>
      </c>
      <c r="H1734" s="81" t="str">
        <f t="shared" si="121"/>
        <v>TCCN-PTE-PFL-SEL-SAE-SCE-GB1</v>
      </c>
      <c r="I1734" s="138" t="str">
        <f>MID(H1734,1,(LEN(H1734)-VLOOKUP(K1734,datos!$B$2:$C$12,2,0)))</f>
        <v>TCCN-PTE-PFL-SEL-SAE-SCE-GB1</v>
      </c>
      <c r="J1734" s="138" t="s">
        <v>1266</v>
      </c>
      <c r="K1734" s="140">
        <f>VLOOKUP(LEN(SUBSTITUTE(H1734,"-","")),datos!$A$1:$B$12,2,0)</f>
        <v>7</v>
      </c>
      <c r="L1734" s="138" t="s">
        <v>382</v>
      </c>
      <c r="M1734" s="138" t="s">
        <v>0</v>
      </c>
    </row>
    <row r="1735" spans="1:13" x14ac:dyDescent="0.35">
      <c r="A1735" s="138" t="s">
        <v>487</v>
      </c>
      <c r="B1735" s="138" t="s">
        <v>3809</v>
      </c>
      <c r="C1735" s="138" t="s">
        <v>3983</v>
      </c>
      <c r="D1735" s="138" t="s">
        <v>3888</v>
      </c>
      <c r="E1735" s="138" t="s">
        <v>3889</v>
      </c>
      <c r="F1735" s="138" t="s">
        <v>3869</v>
      </c>
      <c r="G1735" s="138" t="s">
        <v>4032</v>
      </c>
      <c r="H1735" s="81" t="str">
        <f t="shared" si="121"/>
        <v>TCCN-PTE-PFL-SEL-SAE-SCE-RKC</v>
      </c>
      <c r="I1735" s="138" t="str">
        <f>MID(H1735,1,(LEN(H1735)-VLOOKUP(K1735,datos!$B$2:$C$12,2,0)))</f>
        <v>TCCN-PTE-PFL-SEL-SAE-SCE-RKC</v>
      </c>
      <c r="J1735" s="138" t="s">
        <v>1267</v>
      </c>
      <c r="K1735" s="140">
        <f>VLOOKUP(LEN(SUBSTITUTE(H1735,"-","")),datos!$A$1:$B$12,2,0)</f>
        <v>7</v>
      </c>
      <c r="L1735" s="138" t="s">
        <v>383</v>
      </c>
      <c r="M1735" s="138" t="s">
        <v>0</v>
      </c>
    </row>
    <row r="1736" spans="1:13" x14ac:dyDescent="0.35">
      <c r="A1736" s="138" t="s">
        <v>487</v>
      </c>
      <c r="B1736" s="138" t="s">
        <v>3809</v>
      </c>
      <c r="C1736" s="138" t="s">
        <v>3983</v>
      </c>
      <c r="D1736" s="138" t="s">
        <v>3888</v>
      </c>
      <c r="E1736" s="138" t="s">
        <v>3889</v>
      </c>
      <c r="F1736" s="138" t="s">
        <v>3869</v>
      </c>
      <c r="G1736" s="138" t="s">
        <v>5293</v>
      </c>
      <c r="H1736" s="81" t="str">
        <f t="shared" si="121"/>
        <v>TCCN-PTE-PFL-SEL-SAE-SCE-GB2</v>
      </c>
      <c r="I1736" s="138" t="str">
        <f>MID(H1736,1,(LEN(H1736)-VLOOKUP(K1736,datos!$B$2:$C$12,2,0)))</f>
        <v>TCCN-PTE-PFL-SEL-SAE-SCE-GB2</v>
      </c>
      <c r="J1736" s="138" t="s">
        <v>1268</v>
      </c>
      <c r="K1736" s="140">
        <f>VLOOKUP(LEN(SUBSTITUTE(H1736,"-","")),datos!$A$1:$B$12,2,0)</f>
        <v>7</v>
      </c>
      <c r="L1736" s="138" t="s">
        <v>384</v>
      </c>
      <c r="M1736" s="138" t="s">
        <v>0</v>
      </c>
    </row>
    <row r="1737" spans="1:13" x14ac:dyDescent="0.35">
      <c r="A1737" s="138" t="s">
        <v>487</v>
      </c>
      <c r="B1737" s="138" t="s">
        <v>3809</v>
      </c>
      <c r="C1737" s="138" t="s">
        <v>3983</v>
      </c>
      <c r="D1737" s="138" t="s">
        <v>3888</v>
      </c>
      <c r="E1737" s="138" t="s">
        <v>3889</v>
      </c>
      <c r="F1737" s="138" t="s">
        <v>3869</v>
      </c>
      <c r="G1737" s="138" t="s">
        <v>3898</v>
      </c>
      <c r="H1737" s="81" t="str">
        <f t="shared" si="121"/>
        <v>TCCN-PTE-PFL-SEL-SAE-SCE-EX1</v>
      </c>
      <c r="I1737" s="138" t="str">
        <f>MID(H1737,1,(LEN(H1737)-VLOOKUP(K1737,datos!$B$2:$C$12,2,0)))</f>
        <v>TCCN-PTE-PFL-SEL-SAE-SCE-EX1</v>
      </c>
      <c r="J1737" s="138" t="s">
        <v>6903</v>
      </c>
      <c r="K1737" s="140">
        <f>VLOOKUP(LEN(SUBSTITUTE(H1737,"-","")),datos!$A$1:$B$12,2,0)</f>
        <v>7</v>
      </c>
      <c r="L1737" s="138" t="s">
        <v>385</v>
      </c>
      <c r="M1737" s="138" t="s">
        <v>0</v>
      </c>
    </row>
    <row r="1738" spans="1:13" x14ac:dyDescent="0.35">
      <c r="A1738" s="138" t="s">
        <v>487</v>
      </c>
      <c r="B1738" s="138" t="s">
        <v>3809</v>
      </c>
      <c r="C1738" s="138" t="s">
        <v>3983</v>
      </c>
      <c r="D1738" s="138" t="s">
        <v>3888</v>
      </c>
      <c r="E1738" s="138" t="s">
        <v>3889</v>
      </c>
      <c r="F1738" s="138" t="s">
        <v>3869</v>
      </c>
      <c r="G1738" s="138" t="s">
        <v>3899</v>
      </c>
      <c r="H1738" s="81" t="str">
        <f t="shared" si="121"/>
        <v>TCCN-PTE-PFL-SEL-SAE-SCE-EX2</v>
      </c>
      <c r="I1738" s="138" t="str">
        <f>MID(H1738,1,(LEN(H1738)-VLOOKUP(K1738,datos!$B$2:$C$12,2,0)))</f>
        <v>TCCN-PTE-PFL-SEL-SAE-SCE-EX2</v>
      </c>
      <c r="J1738" s="138" t="s">
        <v>6904</v>
      </c>
      <c r="K1738" s="140">
        <f>VLOOKUP(LEN(SUBSTITUTE(H1738,"-","")),datos!$A$1:$B$12,2,0)</f>
        <v>7</v>
      </c>
      <c r="L1738" s="138" t="s">
        <v>386</v>
      </c>
      <c r="M1738" s="138" t="s">
        <v>0</v>
      </c>
    </row>
    <row r="1739" spans="1:13" x14ac:dyDescent="0.35">
      <c r="A1739" s="138" t="s">
        <v>487</v>
      </c>
      <c r="B1739" s="138" t="s">
        <v>3809</v>
      </c>
      <c r="C1739" s="138" t="s">
        <v>3983</v>
      </c>
      <c r="D1739" s="138" t="s">
        <v>3888</v>
      </c>
      <c r="E1739" s="138" t="s">
        <v>3889</v>
      </c>
      <c r="F1739" s="138" t="s">
        <v>3869</v>
      </c>
      <c r="G1739" s="138" t="s">
        <v>3896</v>
      </c>
      <c r="H1739" s="81" t="str">
        <f t="shared" si="121"/>
        <v>TCCN-PTE-PFL-SEL-SAE-SCE-CBN</v>
      </c>
      <c r="I1739" s="138" t="str">
        <f>MID(H1739,1,(LEN(H1739)-VLOOKUP(K1739,datos!$B$2:$C$12,2,0)))</f>
        <v>TCCN-PTE-PFL-SEL-SAE-SCE-CBN</v>
      </c>
      <c r="J1739" s="138" t="s">
        <v>1269</v>
      </c>
      <c r="K1739" s="140">
        <f>VLOOKUP(LEN(SUBSTITUTE(H1739,"-","")),datos!$A$1:$B$12,2,0)</f>
        <v>7</v>
      </c>
      <c r="L1739" s="138" t="s">
        <v>387</v>
      </c>
      <c r="M1739" s="138" t="s">
        <v>0</v>
      </c>
    </row>
    <row r="1740" spans="1:13" x14ac:dyDescent="0.35">
      <c r="A1740" s="138" t="s">
        <v>487</v>
      </c>
      <c r="B1740" s="138" t="s">
        <v>3809</v>
      </c>
      <c r="C1740" s="138" t="s">
        <v>3983</v>
      </c>
      <c r="D1740" s="138" t="s">
        <v>3888</v>
      </c>
      <c r="E1740" s="138" t="s">
        <v>3889</v>
      </c>
      <c r="F1740" s="138" t="s">
        <v>3869</v>
      </c>
      <c r="G1740" s="138" t="s">
        <v>8002</v>
      </c>
      <c r="H1740" s="81" t="str">
        <f t="shared" si="121"/>
        <v>TCCN-PTE-PFL-SEL-SAE-SCE-AD1</v>
      </c>
      <c r="I1740" s="138" t="str">
        <f>MID(H1740,1,(LEN(H1740)-VLOOKUP(K1740,datos!$B$2:$C$12,2,0)))</f>
        <v>TCCN-PTE-PFL-SEL-SAE-SCE-AD1</v>
      </c>
      <c r="J1740" s="138" t="s">
        <v>1319</v>
      </c>
      <c r="K1740" s="140">
        <f>VLOOKUP(LEN(SUBSTITUTE(H1740,"-","")),datos!$A$1:$B$12,2,0)</f>
        <v>7</v>
      </c>
      <c r="L1740" s="138" t="s">
        <v>388</v>
      </c>
      <c r="M1740" s="138" t="s">
        <v>0</v>
      </c>
    </row>
    <row r="1741" spans="1:13" x14ac:dyDescent="0.35">
      <c r="A1741" s="138" t="s">
        <v>487</v>
      </c>
      <c r="B1741" s="138" t="s">
        <v>3809</v>
      </c>
      <c r="C1741" s="138" t="s">
        <v>3983</v>
      </c>
      <c r="D1741" s="138" t="s">
        <v>3888</v>
      </c>
      <c r="E1741" s="138" t="s">
        <v>3889</v>
      </c>
      <c r="F1741" s="138" t="s">
        <v>3869</v>
      </c>
      <c r="G1741" s="138" t="s">
        <v>8003</v>
      </c>
      <c r="H1741" s="81" t="str">
        <f t="shared" si="121"/>
        <v>TCCN-PTE-PFL-SEL-SAE-SCE-AD2</v>
      </c>
      <c r="I1741" s="138" t="str">
        <f>MID(H1741,1,(LEN(H1741)-VLOOKUP(K1741,datos!$B$2:$C$12,2,0)))</f>
        <v>TCCN-PTE-PFL-SEL-SAE-SCE-AD2</v>
      </c>
      <c r="J1741" s="138" t="s">
        <v>1320</v>
      </c>
      <c r="K1741" s="140">
        <f>VLOOKUP(LEN(SUBSTITUTE(H1741,"-","")),datos!$A$1:$B$12,2,0)</f>
        <v>7</v>
      </c>
      <c r="L1741" s="138" t="s">
        <v>389</v>
      </c>
      <c r="M1741" s="138" t="s">
        <v>0</v>
      </c>
    </row>
    <row r="1742" spans="1:13" x14ac:dyDescent="0.35">
      <c r="A1742" s="138" t="s">
        <v>487</v>
      </c>
      <c r="B1742" s="138" t="s">
        <v>3809</v>
      </c>
      <c r="C1742" s="138" t="s">
        <v>3983</v>
      </c>
      <c r="D1742" s="138" t="s">
        <v>3888</v>
      </c>
      <c r="E1742" s="138" t="s">
        <v>3889</v>
      </c>
      <c r="F1742" s="138" t="s">
        <v>3869</v>
      </c>
      <c r="G1742" s="138" t="s">
        <v>8004</v>
      </c>
      <c r="H1742" s="81" t="str">
        <f t="shared" si="121"/>
        <v>TCCN-PTE-PFL-SEL-SAE-SCE-AD3</v>
      </c>
      <c r="I1742" s="138" t="str">
        <f>MID(H1742,1,(LEN(H1742)-VLOOKUP(K1742,datos!$B$2:$C$12,2,0)))</f>
        <v>TCCN-PTE-PFL-SEL-SAE-SCE-AD3</v>
      </c>
      <c r="J1742" s="138" t="s">
        <v>1321</v>
      </c>
      <c r="K1742" s="140">
        <f>VLOOKUP(LEN(SUBSTITUTE(H1742,"-","")),datos!$A$1:$B$12,2,0)</f>
        <v>7</v>
      </c>
      <c r="L1742" s="138" t="s">
        <v>390</v>
      </c>
      <c r="M1742" s="138" t="s">
        <v>0</v>
      </c>
    </row>
    <row r="1743" spans="1:13" x14ac:dyDescent="0.35">
      <c r="A1743" s="138" t="s">
        <v>487</v>
      </c>
      <c r="B1743" s="138" t="s">
        <v>3809</v>
      </c>
      <c r="C1743" s="138" t="s">
        <v>3983</v>
      </c>
      <c r="D1743" s="138" t="s">
        <v>3888</v>
      </c>
      <c r="E1743" s="138" t="s">
        <v>3889</v>
      </c>
      <c r="F1743" s="138" t="s">
        <v>3869</v>
      </c>
      <c r="G1743" s="138" t="s">
        <v>8005</v>
      </c>
      <c r="H1743" s="81" t="str">
        <f t="shared" si="121"/>
        <v>TCCN-PTE-PFL-SEL-SAE-SCE-AD4</v>
      </c>
      <c r="I1743" s="138" t="str">
        <f>MID(H1743,1,(LEN(H1743)-VLOOKUP(K1743,datos!$B$2:$C$12,2,0)))</f>
        <v>TCCN-PTE-PFL-SEL-SAE-SCE-AD4</v>
      </c>
      <c r="J1743" s="138" t="s">
        <v>1322</v>
      </c>
      <c r="K1743" s="140">
        <f>VLOOKUP(LEN(SUBSTITUTE(H1743,"-","")),datos!$A$1:$B$12,2,0)</f>
        <v>7</v>
      </c>
      <c r="L1743" s="138" t="s">
        <v>391</v>
      </c>
      <c r="M1743" s="138" t="s">
        <v>0</v>
      </c>
    </row>
    <row r="1744" spans="1:13" x14ac:dyDescent="0.35">
      <c r="A1744" s="138" t="s">
        <v>487</v>
      </c>
      <c r="B1744" s="138" t="s">
        <v>3809</v>
      </c>
      <c r="C1744" s="138" t="s">
        <v>3983</v>
      </c>
      <c r="D1744" s="138" t="s">
        <v>3888</v>
      </c>
      <c r="E1744" s="138" t="s">
        <v>3889</v>
      </c>
      <c r="F1744" s="138" t="s">
        <v>3869</v>
      </c>
      <c r="G1744" s="138" t="s">
        <v>3969</v>
      </c>
      <c r="H1744" s="81" t="str">
        <f t="shared" si="121"/>
        <v>TCCN-PTE-PFL-SEL-SAE-SCE-SE1</v>
      </c>
      <c r="I1744" s="138" t="str">
        <f>MID(H1744,1,(LEN(H1744)-VLOOKUP(K1744,datos!$B$2:$C$12,2,0)))</f>
        <v>TCCN-PTE-PFL-SEL-SAE-SCE-SE1</v>
      </c>
      <c r="J1744" s="138" t="s">
        <v>1323</v>
      </c>
      <c r="K1744" s="140">
        <f>VLOOKUP(LEN(SUBSTITUTE(H1744,"-","")),datos!$A$1:$B$12,2,0)</f>
        <v>7</v>
      </c>
      <c r="L1744" s="138" t="s">
        <v>392</v>
      </c>
      <c r="M1744" s="138" t="s">
        <v>0</v>
      </c>
    </row>
    <row r="1745" spans="1:13" x14ac:dyDescent="0.35">
      <c r="A1745" s="138" t="s">
        <v>487</v>
      </c>
      <c r="B1745" s="138" t="s">
        <v>3809</v>
      </c>
      <c r="C1745" s="138" t="s">
        <v>3983</v>
      </c>
      <c r="D1745" s="138" t="s">
        <v>3888</v>
      </c>
      <c r="E1745" s="138" t="s">
        <v>3889</v>
      </c>
      <c r="F1745" s="138" t="s">
        <v>3869</v>
      </c>
      <c r="G1745" s="138" t="s">
        <v>3970</v>
      </c>
      <c r="H1745" s="81" t="str">
        <f t="shared" si="121"/>
        <v>TCCN-PTE-PFL-SEL-SAE-SCE-SE2</v>
      </c>
      <c r="I1745" s="138" t="str">
        <f>MID(H1745,1,(LEN(H1745)-VLOOKUP(K1745,datos!$B$2:$C$12,2,0)))</f>
        <v>TCCN-PTE-PFL-SEL-SAE-SCE-SE2</v>
      </c>
      <c r="J1745" s="138" t="s">
        <v>1324</v>
      </c>
      <c r="K1745" s="140">
        <f>VLOOKUP(LEN(SUBSTITUTE(H1745,"-","")),datos!$A$1:$B$12,2,0)</f>
        <v>7</v>
      </c>
      <c r="L1745" s="138" t="s">
        <v>393</v>
      </c>
      <c r="M1745" s="138" t="s">
        <v>0</v>
      </c>
    </row>
    <row r="1746" spans="1:13" x14ac:dyDescent="0.35">
      <c r="A1746" s="138" t="s">
        <v>487</v>
      </c>
      <c r="B1746" s="138" t="s">
        <v>3809</v>
      </c>
      <c r="C1746" s="138" t="s">
        <v>3983</v>
      </c>
      <c r="D1746" s="138" t="s">
        <v>3888</v>
      </c>
      <c r="E1746" s="138" t="s">
        <v>3889</v>
      </c>
      <c r="F1746" s="138" t="s">
        <v>3869</v>
      </c>
      <c r="G1746" s="138" t="s">
        <v>4148</v>
      </c>
      <c r="H1746" s="81" t="str">
        <f t="shared" si="121"/>
        <v>TCCN-PTE-PFL-SEL-SAE-SCE-EPZ</v>
      </c>
      <c r="I1746" s="138" t="str">
        <f>MID(H1746,1,(LEN(H1746)-VLOOKUP(K1746,datos!$B$2:$C$12,2,0)))</f>
        <v>TCCN-PTE-PFL-SEL-SAE-SCE-EPZ</v>
      </c>
      <c r="J1746" s="138" t="s">
        <v>1272</v>
      </c>
      <c r="K1746" s="140">
        <f>VLOOKUP(LEN(SUBSTITUTE(H1746,"-","")),datos!$A$1:$B$12,2,0)</f>
        <v>7</v>
      </c>
      <c r="L1746" s="138" t="s">
        <v>394</v>
      </c>
      <c r="M1746" s="138" t="s">
        <v>0</v>
      </c>
    </row>
    <row r="1747" spans="1:13" x14ac:dyDescent="0.35">
      <c r="A1747" s="138" t="s">
        <v>487</v>
      </c>
      <c r="B1747" s="138" t="s">
        <v>3809</v>
      </c>
      <c r="C1747" s="138" t="s">
        <v>3983</v>
      </c>
      <c r="D1747" s="138" t="s">
        <v>3888</v>
      </c>
      <c r="E1747" s="138" t="s">
        <v>3889</v>
      </c>
      <c r="F1747" s="138" t="s">
        <v>3869</v>
      </c>
      <c r="G1747" s="138" t="s">
        <v>3909</v>
      </c>
      <c r="H1747" s="81" t="str">
        <f t="shared" si="121"/>
        <v>TCCN-PTE-PFL-SEL-SAE-SCE-GTS</v>
      </c>
      <c r="I1747" s="138" t="str">
        <f>MID(H1747,1,(LEN(H1747)-VLOOKUP(K1747,datos!$B$2:$C$12,2,0)))</f>
        <v>TCCN-PTE-PFL-SEL-SAE-SCE-GTS</v>
      </c>
      <c r="J1747" s="138" t="s">
        <v>1273</v>
      </c>
      <c r="K1747" s="140">
        <f>VLOOKUP(LEN(SUBSTITUTE(H1747,"-","")),datos!$A$1:$B$12,2,0)</f>
        <v>7</v>
      </c>
      <c r="L1747" s="138" t="s">
        <v>395</v>
      </c>
      <c r="M1747" s="138" t="s">
        <v>0</v>
      </c>
    </row>
    <row r="1748" spans="1:13" x14ac:dyDescent="0.35">
      <c r="A1748" s="138" t="s">
        <v>487</v>
      </c>
      <c r="B1748" s="138" t="s">
        <v>3809</v>
      </c>
      <c r="C1748" s="138" t="s">
        <v>3983</v>
      </c>
      <c r="D1748" s="138" t="s">
        <v>3888</v>
      </c>
      <c r="E1748" s="138" t="s">
        <v>3889</v>
      </c>
      <c r="F1748" s="138" t="s">
        <v>3869</v>
      </c>
      <c r="G1748" s="138" t="s">
        <v>5294</v>
      </c>
      <c r="H1748" s="81" t="str">
        <f t="shared" si="121"/>
        <v>TCCN-PTE-PFL-SEL-SAE-SCE-GB3</v>
      </c>
      <c r="I1748" s="138" t="str">
        <f>MID(H1748,1,(LEN(H1748)-VLOOKUP(K1748,datos!$B$2:$C$12,2,0)))</f>
        <v>TCCN-PTE-PFL-SEL-SAE-SCE-GB3</v>
      </c>
      <c r="J1748" s="138" t="s">
        <v>1266</v>
      </c>
      <c r="K1748" s="140">
        <f>VLOOKUP(LEN(SUBSTITUTE(H1748,"-","")),datos!$A$1:$B$12,2,0)</f>
        <v>7</v>
      </c>
      <c r="L1748" s="138" t="s">
        <v>396</v>
      </c>
      <c r="M1748" s="138" t="s">
        <v>0</v>
      </c>
    </row>
    <row r="1749" spans="1:13" x14ac:dyDescent="0.35">
      <c r="A1749" s="138" t="s">
        <v>487</v>
      </c>
      <c r="B1749" s="138" t="s">
        <v>3809</v>
      </c>
      <c r="C1749" s="138" t="s">
        <v>3983</v>
      </c>
      <c r="D1749" s="138" t="s">
        <v>3888</v>
      </c>
      <c r="E1749" s="138" t="s">
        <v>3889</v>
      </c>
      <c r="F1749" s="138" t="s">
        <v>3869</v>
      </c>
      <c r="G1749" s="138" t="s">
        <v>4033</v>
      </c>
      <c r="H1749" s="81" t="str">
        <f t="shared" si="121"/>
        <v>TCCN-PTE-PFL-SEL-SAE-SCE-GEN</v>
      </c>
      <c r="I1749" s="138" t="str">
        <f>MID(H1749,1,(LEN(H1749)-VLOOKUP(K1749,datos!$B$2:$C$12,2,0)))</f>
        <v>TCCN-PTE-PFL-SEL-SAE-SCE-GEN</v>
      </c>
      <c r="J1749" s="138" t="s">
        <v>1478</v>
      </c>
      <c r="K1749" s="140">
        <f>VLOOKUP(LEN(SUBSTITUTE(H1749,"-","")),datos!$A$1:$B$12,2,0)</f>
        <v>7</v>
      </c>
      <c r="L1749" s="138" t="s">
        <v>1427</v>
      </c>
      <c r="M1749" s="138" t="s">
        <v>0</v>
      </c>
    </row>
    <row r="1750" spans="1:13" x14ac:dyDescent="0.35">
      <c r="A1750" s="138" t="s">
        <v>487</v>
      </c>
      <c r="B1750" s="138" t="s">
        <v>3809</v>
      </c>
      <c r="C1750" s="138" t="s">
        <v>3983</v>
      </c>
      <c r="D1750" s="138" t="s">
        <v>3888</v>
      </c>
      <c r="E1750" s="138" t="s">
        <v>3889</v>
      </c>
      <c r="F1750" s="138" t="s">
        <v>3869</v>
      </c>
      <c r="G1750" s="138" t="s">
        <v>3893</v>
      </c>
      <c r="H1750" s="81" t="str">
        <f t="shared" si="121"/>
        <v>TCCN-PTE-PFL-SEL-SAE-SCE-TF3</v>
      </c>
      <c r="I1750" s="138" t="str">
        <f>MID(H1750,1,(LEN(H1750)-VLOOKUP(K1750,datos!$B$2:$C$12,2,0)))</f>
        <v>TCCN-PTE-PFL-SEL-SAE-SCE-TF3</v>
      </c>
      <c r="J1750" s="138" t="s">
        <v>1615</v>
      </c>
      <c r="K1750" s="140">
        <f>VLOOKUP(LEN(SUBSTITUTE(H1750,"-","")),datos!$A$1:$B$12,2,0)</f>
        <v>7</v>
      </c>
      <c r="L1750" s="138" t="s">
        <v>1428</v>
      </c>
      <c r="M1750" s="138" t="s">
        <v>0</v>
      </c>
    </row>
    <row r="1751" spans="1:13" x14ac:dyDescent="0.35">
      <c r="A1751" s="138" t="s">
        <v>487</v>
      </c>
      <c r="B1751" s="138" t="s">
        <v>3809</v>
      </c>
      <c r="C1751" s="138" t="s">
        <v>3983</v>
      </c>
      <c r="D1751" s="138" t="s">
        <v>3888</v>
      </c>
      <c r="E1751" s="138" t="s">
        <v>3889</v>
      </c>
      <c r="F1751" s="138" t="s">
        <v>3869</v>
      </c>
      <c r="G1751" s="138" t="s">
        <v>3956</v>
      </c>
      <c r="H1751" s="81" t="str">
        <f t="shared" si="121"/>
        <v>TCCN-PTE-PFL-SEL-SAE-SCE-VF1</v>
      </c>
      <c r="I1751" s="138" t="str">
        <f>MID(H1751,1,(LEN(H1751)-VLOOKUP(K1751,datos!$B$2:$C$12,2,0)))</f>
        <v>TCCN-PTE-PFL-SEL-SAE-SCE-VF1</v>
      </c>
      <c r="J1751" s="138" t="s">
        <v>7219</v>
      </c>
      <c r="K1751" s="140">
        <f>VLOOKUP(LEN(SUBSTITUTE(H1751,"-","")),datos!$A$1:$B$12,2,0)</f>
        <v>7</v>
      </c>
      <c r="L1751" s="138" t="s">
        <v>1430</v>
      </c>
      <c r="M1751" s="138" t="s">
        <v>0</v>
      </c>
    </row>
    <row r="1752" spans="1:13" x14ac:dyDescent="0.35">
      <c r="A1752" s="138" t="s">
        <v>487</v>
      </c>
      <c r="B1752" s="138" t="s">
        <v>3809</v>
      </c>
      <c r="C1752" s="138" t="s">
        <v>3983</v>
      </c>
      <c r="D1752" s="138" t="s">
        <v>3888</v>
      </c>
      <c r="E1752" s="138" t="s">
        <v>3889</v>
      </c>
      <c r="F1752" s="138" t="s">
        <v>3869</v>
      </c>
      <c r="G1752" s="138" t="s">
        <v>3957</v>
      </c>
      <c r="H1752" s="81" t="str">
        <f t="shared" si="121"/>
        <v>TCCN-PTE-PFL-SEL-SAE-SCE-VF2</v>
      </c>
      <c r="I1752" s="138" t="str">
        <f>MID(H1752,1,(LEN(H1752)-VLOOKUP(K1752,datos!$B$2:$C$12,2,0)))</f>
        <v>TCCN-PTE-PFL-SEL-SAE-SCE-VF2</v>
      </c>
      <c r="J1752" s="138" t="s">
        <v>7220</v>
      </c>
      <c r="K1752" s="140">
        <f>VLOOKUP(LEN(SUBSTITUTE(H1752,"-","")),datos!$A$1:$B$12,2,0)</f>
        <v>7</v>
      </c>
      <c r="L1752" s="138" t="s">
        <v>1431</v>
      </c>
      <c r="M1752" s="138" t="s">
        <v>0</v>
      </c>
    </row>
    <row r="1753" spans="1:13" x14ac:dyDescent="0.35">
      <c r="A1753" s="138" t="s">
        <v>487</v>
      </c>
      <c r="B1753" s="138" t="s">
        <v>3809</v>
      </c>
      <c r="C1753" s="138" t="s">
        <v>3983</v>
      </c>
      <c r="D1753" s="138" t="s">
        <v>3888</v>
      </c>
      <c r="E1753" s="138" t="s">
        <v>3889</v>
      </c>
      <c r="F1753" s="138" t="s">
        <v>3869</v>
      </c>
      <c r="G1753" s="138" t="s">
        <v>3962</v>
      </c>
      <c r="H1753" s="81" t="str">
        <f t="shared" si="121"/>
        <v>TCCN-PTE-PFL-SEL-SAE-SCE-VF3</v>
      </c>
      <c r="I1753" s="138" t="str">
        <f>MID(H1753,1,(LEN(H1753)-VLOOKUP(K1753,datos!$B$2:$C$12,2,0)))</f>
        <v>TCCN-PTE-PFL-SEL-SAE-SCE-VF3</v>
      </c>
      <c r="J1753" s="138" t="s">
        <v>7221</v>
      </c>
      <c r="K1753" s="140">
        <f>VLOOKUP(LEN(SUBSTITUTE(H1753,"-","")),datos!$A$1:$B$12,2,0)</f>
        <v>7</v>
      </c>
      <c r="L1753" s="138" t="s">
        <v>1433</v>
      </c>
      <c r="M1753" s="138" t="s">
        <v>0</v>
      </c>
    </row>
    <row r="1754" spans="1:13" x14ac:dyDescent="0.35">
      <c r="A1754" s="138" t="s">
        <v>487</v>
      </c>
      <c r="B1754" s="138" t="s">
        <v>3809</v>
      </c>
      <c r="C1754" s="138" t="s">
        <v>3983</v>
      </c>
      <c r="D1754" s="138" t="s">
        <v>3888</v>
      </c>
      <c r="E1754" s="138" t="s">
        <v>3889</v>
      </c>
      <c r="F1754" s="138" t="s">
        <v>3869</v>
      </c>
      <c r="G1754" s="138" t="s">
        <v>3963</v>
      </c>
      <c r="H1754" s="81" t="str">
        <f t="shared" si="121"/>
        <v>TCCN-PTE-PFL-SEL-SAE-SCE-VF4</v>
      </c>
      <c r="I1754" s="138" t="str">
        <f>MID(H1754,1,(LEN(H1754)-VLOOKUP(K1754,datos!$B$2:$C$12,2,0)))</f>
        <v>TCCN-PTE-PFL-SEL-SAE-SCE-VF4</v>
      </c>
      <c r="J1754" s="138" t="s">
        <v>7222</v>
      </c>
      <c r="K1754" s="140">
        <f>VLOOKUP(LEN(SUBSTITUTE(H1754,"-","")),datos!$A$1:$B$12,2,0)</f>
        <v>7</v>
      </c>
      <c r="L1754" s="138" t="s">
        <v>1434</v>
      </c>
      <c r="M1754" s="138" t="s">
        <v>0</v>
      </c>
    </row>
    <row r="1755" spans="1:13" x14ac:dyDescent="0.35">
      <c r="A1755" s="138" t="s">
        <v>487</v>
      </c>
      <c r="B1755" s="138" t="s">
        <v>3809</v>
      </c>
      <c r="C1755" s="138" t="s">
        <v>3983</v>
      </c>
      <c r="D1755" s="138" t="s">
        <v>3888</v>
      </c>
      <c r="E1755" s="138" t="s">
        <v>3889</v>
      </c>
      <c r="F1755" s="138" t="s">
        <v>3869</v>
      </c>
      <c r="G1755" s="138" t="s">
        <v>3980</v>
      </c>
      <c r="H1755" s="81" t="str">
        <f t="shared" si="121"/>
        <v>TCCN-PTE-PFL-SEL-SAE-SCE-VF5</v>
      </c>
      <c r="I1755" s="138" t="str">
        <f>MID(H1755,1,(LEN(H1755)-VLOOKUP(K1755,datos!$B$2:$C$12,2,0)))</f>
        <v>TCCN-PTE-PFL-SEL-SAE-SCE-VF5</v>
      </c>
      <c r="J1755" s="138" t="s">
        <v>7223</v>
      </c>
      <c r="K1755" s="140">
        <f>VLOOKUP(LEN(SUBSTITUTE(H1755,"-","")),datos!$A$1:$B$12,2,0)</f>
        <v>7</v>
      </c>
      <c r="L1755" s="138" t="s">
        <v>1435</v>
      </c>
      <c r="M1755" s="138" t="s">
        <v>0</v>
      </c>
    </row>
    <row r="1756" spans="1:13" x14ac:dyDescent="0.35">
      <c r="A1756" s="138" t="s">
        <v>487</v>
      </c>
      <c r="B1756" s="138" t="s">
        <v>3809</v>
      </c>
      <c r="C1756" s="138" t="s">
        <v>3983</v>
      </c>
      <c r="D1756" s="138" t="s">
        <v>3888</v>
      </c>
      <c r="E1756" s="138" t="s">
        <v>3889</v>
      </c>
      <c r="F1756" s="138" t="s">
        <v>3869</v>
      </c>
      <c r="G1756" s="138" t="s">
        <v>3981</v>
      </c>
      <c r="H1756" s="81" t="str">
        <f t="shared" ref="H1756:H1823" si="122">CONCATENATE(A1756,"-",B1756,"-",C1756,"-",D1756,"-",E1756,"-",F1756,"-",G1756)</f>
        <v>TCCN-PTE-PFL-SEL-SAE-SCE-VF6</v>
      </c>
      <c r="I1756" s="138" t="str">
        <f>MID(H1756,1,(LEN(H1756)-VLOOKUP(K1756,datos!$B$2:$C$12,2,0)))</f>
        <v>TCCN-PTE-PFL-SEL-SAE-SCE-VF6</v>
      </c>
      <c r="J1756" s="138" t="s">
        <v>7224</v>
      </c>
      <c r="K1756" s="140">
        <f>VLOOKUP(LEN(SUBSTITUTE(H1756,"-","")),datos!$A$1:$B$12,2,0)</f>
        <v>7</v>
      </c>
      <c r="L1756" s="138" t="s">
        <v>1436</v>
      </c>
      <c r="M1756" s="138" t="s">
        <v>0</v>
      </c>
    </row>
    <row r="1757" spans="1:13" x14ac:dyDescent="0.35">
      <c r="A1757" s="138" t="s">
        <v>487</v>
      </c>
      <c r="B1757" s="138" t="s">
        <v>3809</v>
      </c>
      <c r="C1757" s="138" t="s">
        <v>3983</v>
      </c>
      <c r="D1757" s="138" t="s">
        <v>3888</v>
      </c>
      <c r="E1757" s="138" t="s">
        <v>3889</v>
      </c>
      <c r="F1757" s="138" t="s">
        <v>3869</v>
      </c>
      <c r="G1757" s="138" t="s">
        <v>3974</v>
      </c>
      <c r="H1757" s="81" t="str">
        <f t="shared" si="122"/>
        <v>TCCN-PTE-PFL-SEL-SAE-SCE-DC1</v>
      </c>
      <c r="I1757" s="138" t="str">
        <f>MID(H1757,1,(LEN(H1757)-VLOOKUP(K1757,datos!$B$2:$C$12,2,0)))</f>
        <v>TCCN-PTE-PFL-SEL-SAE-SCE-DC1</v>
      </c>
      <c r="J1757" s="138" t="s">
        <v>1485</v>
      </c>
      <c r="K1757" s="140">
        <f>VLOOKUP(LEN(SUBSTITUTE(H1757,"-","")),datos!$A$1:$B$12,2,0)</f>
        <v>7</v>
      </c>
      <c r="L1757" s="138" t="s">
        <v>1437</v>
      </c>
      <c r="M1757" s="138" t="s">
        <v>0</v>
      </c>
    </row>
    <row r="1758" spans="1:13" x14ac:dyDescent="0.35">
      <c r="A1758" s="138" t="s">
        <v>487</v>
      </c>
      <c r="B1758" s="138" t="s">
        <v>3809</v>
      </c>
      <c r="C1758" s="138" t="s">
        <v>3983</v>
      </c>
      <c r="D1758" s="138" t="s">
        <v>3888</v>
      </c>
      <c r="E1758" s="138" t="s">
        <v>3889</v>
      </c>
      <c r="F1758" s="138" t="s">
        <v>3869</v>
      </c>
      <c r="G1758" s="138" t="s">
        <v>3975</v>
      </c>
      <c r="H1758" s="81" t="str">
        <f t="shared" si="122"/>
        <v>TCCN-PTE-PFL-SEL-SAE-SCE-DC2</v>
      </c>
      <c r="I1758" s="138" t="str">
        <f>MID(H1758,1,(LEN(H1758)-VLOOKUP(K1758,datos!$B$2:$C$12,2,0)))</f>
        <v>TCCN-PTE-PFL-SEL-SAE-SCE-DC2</v>
      </c>
      <c r="J1758" s="138" t="s">
        <v>1479</v>
      </c>
      <c r="K1758" s="140">
        <f>VLOOKUP(LEN(SUBSTITUTE(H1758,"-","")),datos!$A$1:$B$12,2,0)</f>
        <v>7</v>
      </c>
      <c r="L1758" s="138" t="s">
        <v>1438</v>
      </c>
      <c r="M1758" s="138" t="s">
        <v>0</v>
      </c>
    </row>
    <row r="1759" spans="1:13" x14ac:dyDescent="0.35">
      <c r="A1759" s="138" t="s">
        <v>487</v>
      </c>
      <c r="B1759" s="138" t="s">
        <v>3809</v>
      </c>
      <c r="C1759" s="138" t="s">
        <v>3983</v>
      </c>
      <c r="D1759" s="138" t="s">
        <v>3888</v>
      </c>
      <c r="E1759" s="138" t="s">
        <v>3889</v>
      </c>
      <c r="F1759" s="138" t="s">
        <v>3869</v>
      </c>
      <c r="G1759" s="138" t="s">
        <v>3976</v>
      </c>
      <c r="H1759" s="81" t="str">
        <f t="shared" si="122"/>
        <v>TCCN-PTE-PFL-SEL-SAE-SCE-DC3</v>
      </c>
      <c r="I1759" s="138" t="str">
        <f>MID(H1759,1,(LEN(H1759)-VLOOKUP(K1759,datos!$B$2:$C$12,2,0)))</f>
        <v>TCCN-PTE-PFL-SEL-SAE-SCE-DC3</v>
      </c>
      <c r="J1759" s="138" t="s">
        <v>1480</v>
      </c>
      <c r="K1759" s="140">
        <f>VLOOKUP(LEN(SUBSTITUTE(H1759,"-","")),datos!$A$1:$B$12,2,0)</f>
        <v>7</v>
      </c>
      <c r="L1759" s="138" t="s">
        <v>1439</v>
      </c>
      <c r="M1759" s="138" t="s">
        <v>0</v>
      </c>
    </row>
    <row r="1760" spans="1:13" x14ac:dyDescent="0.35">
      <c r="A1760" s="138" t="s">
        <v>487</v>
      </c>
      <c r="B1760" s="138" t="s">
        <v>3809</v>
      </c>
      <c r="C1760" s="138" t="s">
        <v>3983</v>
      </c>
      <c r="D1760" s="138" t="s">
        <v>3888</v>
      </c>
      <c r="E1760" s="138" t="s">
        <v>3889</v>
      </c>
      <c r="F1760" s="138" t="s">
        <v>3869</v>
      </c>
      <c r="G1760" s="138" t="s">
        <v>3977</v>
      </c>
      <c r="H1760" s="81" t="str">
        <f t="shared" si="122"/>
        <v>TCCN-PTE-PFL-SEL-SAE-SCE-DC4</v>
      </c>
      <c r="I1760" s="138" t="str">
        <f>MID(H1760,1,(LEN(H1760)-VLOOKUP(K1760,datos!$B$2:$C$12,2,0)))</f>
        <v>TCCN-PTE-PFL-SEL-SAE-SCE-DC4</v>
      </c>
      <c r="J1760" s="138" t="s">
        <v>1481</v>
      </c>
      <c r="K1760" s="140">
        <f>VLOOKUP(LEN(SUBSTITUTE(H1760,"-","")),datos!$A$1:$B$12,2,0)</f>
        <v>7</v>
      </c>
      <c r="L1760" s="138" t="s">
        <v>1440</v>
      </c>
      <c r="M1760" s="138" t="s">
        <v>0</v>
      </c>
    </row>
    <row r="1761" spans="1:13" x14ac:dyDescent="0.35">
      <c r="A1761" s="138" t="s">
        <v>487</v>
      </c>
      <c r="B1761" s="138" t="s">
        <v>3809</v>
      </c>
      <c r="C1761" s="138" t="s">
        <v>3983</v>
      </c>
      <c r="D1761" s="138" t="s">
        <v>3888</v>
      </c>
      <c r="E1761" s="138" t="s">
        <v>3889</v>
      </c>
      <c r="F1761" s="138" t="s">
        <v>3869</v>
      </c>
      <c r="G1761" s="138" t="s">
        <v>3978</v>
      </c>
      <c r="H1761" s="81" t="str">
        <f t="shared" si="122"/>
        <v>TCCN-PTE-PFL-SEL-SAE-SCE-DC5</v>
      </c>
      <c r="I1761" s="138" t="str">
        <f>MID(H1761,1,(LEN(H1761)-VLOOKUP(K1761,datos!$B$2:$C$12,2,0)))</f>
        <v>TCCN-PTE-PFL-SEL-SAE-SCE-DC5</v>
      </c>
      <c r="J1761" s="138" t="s">
        <v>1482</v>
      </c>
      <c r="K1761" s="140">
        <f>VLOOKUP(LEN(SUBSTITUTE(H1761,"-","")),datos!$A$1:$B$12,2,0)</f>
        <v>7</v>
      </c>
      <c r="L1761" s="138" t="s">
        <v>1441</v>
      </c>
      <c r="M1761" s="138" t="s">
        <v>0</v>
      </c>
    </row>
    <row r="1762" spans="1:13" x14ac:dyDescent="0.35">
      <c r="A1762" s="138" t="s">
        <v>487</v>
      </c>
      <c r="B1762" s="138" t="s">
        <v>3809</v>
      </c>
      <c r="C1762" s="138" t="s">
        <v>3983</v>
      </c>
      <c r="D1762" s="138" t="s">
        <v>3888</v>
      </c>
      <c r="E1762" s="138" t="s">
        <v>3889</v>
      </c>
      <c r="F1762" s="138" t="s">
        <v>3869</v>
      </c>
      <c r="G1762" s="138" t="s">
        <v>3979</v>
      </c>
      <c r="H1762" s="81" t="str">
        <f t="shared" si="122"/>
        <v>TCCN-PTE-PFL-SEL-SAE-SCE-DC6</v>
      </c>
      <c r="I1762" s="138" t="str">
        <f>MID(H1762,1,(LEN(H1762)-VLOOKUP(K1762,datos!$B$2:$C$12,2,0)))</f>
        <v>TCCN-PTE-PFL-SEL-SAE-SCE-DC6</v>
      </c>
      <c r="J1762" s="138" t="s">
        <v>1483</v>
      </c>
      <c r="K1762" s="140">
        <f>VLOOKUP(LEN(SUBSTITUTE(H1762,"-","")),datos!$A$1:$B$12,2,0)</f>
        <v>7</v>
      </c>
      <c r="L1762" s="138" t="s">
        <v>1442</v>
      </c>
      <c r="M1762" s="138" t="s">
        <v>0</v>
      </c>
    </row>
    <row r="1763" spans="1:13" x14ac:dyDescent="0.35">
      <c r="A1763" s="138" t="s">
        <v>487</v>
      </c>
      <c r="B1763" s="138" t="s">
        <v>3809</v>
      </c>
      <c r="C1763" s="138" t="s">
        <v>3983</v>
      </c>
      <c r="D1763" s="138" t="s">
        <v>3888</v>
      </c>
      <c r="E1763" s="138" t="s">
        <v>3889</v>
      </c>
      <c r="F1763" s="138" t="s">
        <v>3869</v>
      </c>
      <c r="G1763" s="138" t="s">
        <v>4034</v>
      </c>
      <c r="H1763" s="81" t="str">
        <f t="shared" si="122"/>
        <v>TCCN-PTE-PFL-SEL-SAE-SCE-DC7</v>
      </c>
      <c r="I1763" s="138" t="str">
        <f>MID(H1763,1,(LEN(H1763)-VLOOKUP(K1763,datos!$B$2:$C$12,2,0)))</f>
        <v>TCCN-PTE-PFL-SEL-SAE-SCE-DC7</v>
      </c>
      <c r="J1763" s="138" t="s">
        <v>1484</v>
      </c>
      <c r="K1763" s="140">
        <f>VLOOKUP(LEN(SUBSTITUTE(H1763,"-","")),datos!$A$1:$B$12,2,0)</f>
        <v>7</v>
      </c>
      <c r="L1763" s="138" t="s">
        <v>1443</v>
      </c>
      <c r="M1763" s="138" t="s">
        <v>0</v>
      </c>
    </row>
    <row r="1764" spans="1:13" x14ac:dyDescent="0.35">
      <c r="A1764" s="138" t="s">
        <v>487</v>
      </c>
      <c r="B1764" s="138" t="s">
        <v>3809</v>
      </c>
      <c r="C1764" s="138" t="s">
        <v>3983</v>
      </c>
      <c r="D1764" s="138" t="s">
        <v>3888</v>
      </c>
      <c r="E1764" s="138" t="s">
        <v>3889</v>
      </c>
      <c r="F1764" s="138" t="s">
        <v>3869</v>
      </c>
      <c r="G1764" s="138" t="s">
        <v>3973</v>
      </c>
      <c r="H1764" s="81" t="str">
        <f t="shared" si="122"/>
        <v>TCCN-PTE-PFL-SEL-SAE-SCE-DDB</v>
      </c>
      <c r="I1764" s="138" t="str">
        <f>MID(H1764,1,(LEN(H1764)-VLOOKUP(K1764,datos!$B$2:$C$12,2,0)))</f>
        <v>TCCN-PTE-PFL-SEL-SAE-SCE-DDB</v>
      </c>
      <c r="J1764" s="138" t="s">
        <v>1490</v>
      </c>
      <c r="K1764" s="140">
        <f>VLOOKUP(LEN(SUBSTITUTE(H1764,"-","")),datos!$A$1:$B$12,2,0)</f>
        <v>7</v>
      </c>
      <c r="L1764" s="138" t="s">
        <v>1444</v>
      </c>
      <c r="M1764" s="138" t="s">
        <v>0</v>
      </c>
    </row>
    <row r="1765" spans="1:13" x14ac:dyDescent="0.35">
      <c r="A1765" s="138" t="s">
        <v>487</v>
      </c>
      <c r="B1765" s="138" t="s">
        <v>3809</v>
      </c>
      <c r="C1765" s="138" t="s">
        <v>3983</v>
      </c>
      <c r="D1765" s="138" t="s">
        <v>3888</v>
      </c>
      <c r="E1765" s="138" t="s">
        <v>3889</v>
      </c>
      <c r="F1765" s="138" t="s">
        <v>3869</v>
      </c>
      <c r="G1765" s="138" t="s">
        <v>4067</v>
      </c>
      <c r="H1765" s="81" t="str">
        <f t="shared" si="122"/>
        <v>TCCN-PTE-PFL-SEL-SAE-SCE-TR2</v>
      </c>
      <c r="I1765" s="138" t="str">
        <f>MID(H1765,1,(LEN(H1765)-VLOOKUP(K1765,datos!$B$2:$C$12,2,0)))</f>
        <v>TCCN-PTE-PFL-SEL-SAE-SCE-TR2</v>
      </c>
      <c r="J1765" s="138" t="s">
        <v>1616</v>
      </c>
      <c r="K1765" s="140">
        <f>VLOOKUP(LEN(SUBSTITUTE(H1765,"-","")),datos!$A$1:$B$12,2,0)</f>
        <v>7</v>
      </c>
      <c r="L1765" s="138" t="s">
        <v>1445</v>
      </c>
      <c r="M1765" s="138" t="s">
        <v>0</v>
      </c>
    </row>
    <row r="1766" spans="1:13" x14ac:dyDescent="0.35">
      <c r="A1766" s="137" t="s">
        <v>487</v>
      </c>
      <c r="B1766" s="137" t="s">
        <v>3809</v>
      </c>
      <c r="C1766" s="137" t="s">
        <v>3983</v>
      </c>
      <c r="D1766" s="137" t="s">
        <v>3888</v>
      </c>
      <c r="E1766" s="137" t="s">
        <v>3889</v>
      </c>
      <c r="F1766" s="137" t="s">
        <v>5232</v>
      </c>
      <c r="G1766" s="137"/>
      <c r="H1766" s="82" t="str">
        <f t="shared" si="122"/>
        <v>TCCN-PTE-PFL-SEL-SAE-SAL-</v>
      </c>
      <c r="I1766" s="137" t="str">
        <f>MID(H1766,1,(LEN(H1766)-VLOOKUP(K1766,datos!$B$2:$C$12,2,0)))</f>
        <v>TCCN-PTE-PFL-SEL-SAE-SAL</v>
      </c>
      <c r="J1766" s="137" t="s">
        <v>7343</v>
      </c>
      <c r="K1766" s="139">
        <f>VLOOKUP(LEN(SUBSTITUTE(H1766,"-","")),datos!$A$1:$B$12,2,0)</f>
        <v>6</v>
      </c>
      <c r="L1766" s="137"/>
      <c r="M1766" s="137" t="s">
        <v>0</v>
      </c>
    </row>
    <row r="1767" spans="1:13" x14ac:dyDescent="0.35">
      <c r="A1767" s="138" t="s">
        <v>487</v>
      </c>
      <c r="B1767" s="138" t="s">
        <v>3809</v>
      </c>
      <c r="C1767" s="138" t="s">
        <v>3983</v>
      </c>
      <c r="D1767" s="138" t="s">
        <v>3888</v>
      </c>
      <c r="E1767" s="138" t="s">
        <v>3889</v>
      </c>
      <c r="F1767" s="138" t="s">
        <v>5232</v>
      </c>
      <c r="G1767" s="138" t="s">
        <v>6913</v>
      </c>
      <c r="H1767" s="81" t="str">
        <f t="shared" si="122"/>
        <v>TCCN-PTE-PFL-SEL-SAE-SAL-TAL</v>
      </c>
      <c r="I1767" s="138" t="str">
        <f>MID(H1767,1,(LEN(H1767)-VLOOKUP(K1767,datos!$B$2:$C$12,2,0)))</f>
        <v>TCCN-PTE-PFL-SEL-SAE-SAL-TAL</v>
      </c>
      <c r="J1767" s="138" t="s">
        <v>1262</v>
      </c>
      <c r="K1767" s="140">
        <f>VLOOKUP(LEN(SUBSTITUTE(H1767,"-","")),datos!$A$1:$B$12,2,0)</f>
        <v>7</v>
      </c>
      <c r="L1767" s="138" t="s">
        <v>372</v>
      </c>
      <c r="M1767" s="138" t="s">
        <v>0</v>
      </c>
    </row>
    <row r="1768" spans="1:13" x14ac:dyDescent="0.35">
      <c r="A1768" s="138" t="s">
        <v>487</v>
      </c>
      <c r="B1768" s="138" t="s">
        <v>3809</v>
      </c>
      <c r="C1768" s="138" t="s">
        <v>3983</v>
      </c>
      <c r="D1768" s="138" t="s">
        <v>3888</v>
      </c>
      <c r="E1768" s="138" t="s">
        <v>3889</v>
      </c>
      <c r="F1768" s="138" t="s">
        <v>5232</v>
      </c>
      <c r="G1768" s="138" t="s">
        <v>6909</v>
      </c>
      <c r="H1768" s="81" t="str">
        <f t="shared" si="122"/>
        <v>TCCN-PTE-PFL-SEL-SAE-SAL-TRF</v>
      </c>
      <c r="I1768" s="138" t="str">
        <f>MID(H1768,1,(LEN(H1768)-VLOOKUP(K1768,datos!$B$2:$C$12,2,0)))</f>
        <v>TCCN-PTE-PFL-SEL-SAE-SAL-TRF</v>
      </c>
      <c r="J1768" s="138" t="s">
        <v>1263</v>
      </c>
      <c r="K1768" s="140">
        <f>VLOOKUP(LEN(SUBSTITUTE(H1768,"-","")),datos!$A$1:$B$12,2,0)</f>
        <v>7</v>
      </c>
      <c r="L1768" s="138" t="s">
        <v>375</v>
      </c>
      <c r="M1768" s="138" t="s">
        <v>0</v>
      </c>
    </row>
    <row r="1769" spans="1:13" x14ac:dyDescent="0.35">
      <c r="A1769" s="137" t="s">
        <v>487</v>
      </c>
      <c r="B1769" s="137" t="s">
        <v>3809</v>
      </c>
      <c r="C1769" s="137" t="s">
        <v>3983</v>
      </c>
      <c r="D1769" s="137" t="s">
        <v>3888</v>
      </c>
      <c r="E1769" s="137" t="s">
        <v>3889</v>
      </c>
      <c r="F1769" s="137" t="s">
        <v>5567</v>
      </c>
      <c r="G1769" s="137"/>
      <c r="H1769" s="82" t="str">
        <f t="shared" si="122"/>
        <v>TCCN-PTE-PFL-SEL-SAE-STV-</v>
      </c>
      <c r="I1769" s="137" t="str">
        <f>MID(H1769,1,(LEN(H1769)-VLOOKUP(K1769,datos!$B$2:$C$12,2,0)))</f>
        <v>TCCN-PTE-PFL-SEL-SAE-STV</v>
      </c>
      <c r="J1769" s="137" t="s">
        <v>4834</v>
      </c>
      <c r="K1769" s="139">
        <f>VLOOKUP(LEN(SUBSTITUTE(H1769,"-","")),datos!$A$1:$B$12,2,0)</f>
        <v>6</v>
      </c>
      <c r="L1769" s="137"/>
      <c r="M1769" s="137" t="s">
        <v>0</v>
      </c>
    </row>
    <row r="1770" spans="1:13" x14ac:dyDescent="0.35">
      <c r="A1770" s="138" t="s">
        <v>487</v>
      </c>
      <c r="B1770" s="138" t="s">
        <v>3809</v>
      </c>
      <c r="C1770" s="138" t="s">
        <v>3983</v>
      </c>
      <c r="D1770" s="138" t="s">
        <v>3888</v>
      </c>
      <c r="E1770" s="138" t="s">
        <v>3889</v>
      </c>
      <c r="F1770" s="138" t="s">
        <v>5567</v>
      </c>
      <c r="G1770" s="138" t="s">
        <v>5290</v>
      </c>
      <c r="H1770" s="81" t="str">
        <f t="shared" si="122"/>
        <v>TCCN-PTE-PFL-SEL-SAE-STV-GBT</v>
      </c>
      <c r="I1770" s="138" t="str">
        <f>MID(H1770,1,(LEN(H1770)-VLOOKUP(K1770,datos!$B$2:$C$12,2,0)))</f>
        <v>TCCN-PTE-PFL-SEL-SAE-STV-GBT</v>
      </c>
      <c r="J1770" s="138" t="s">
        <v>4913</v>
      </c>
      <c r="K1770" s="140">
        <f>VLOOKUP(LEN(SUBSTITUTE(H1770,"-","")),datos!$A$1:$B$12,2,0)</f>
        <v>7</v>
      </c>
      <c r="L1770" s="138" t="s">
        <v>4882</v>
      </c>
      <c r="M1770" s="138" t="s">
        <v>0</v>
      </c>
    </row>
    <row r="1771" spans="1:13" x14ac:dyDescent="0.35">
      <c r="A1771" s="138" t="s">
        <v>487</v>
      </c>
      <c r="B1771" s="138" t="s">
        <v>3809</v>
      </c>
      <c r="C1771" s="138" t="s">
        <v>3983</v>
      </c>
      <c r="D1771" s="138" t="s">
        <v>3888</v>
      </c>
      <c r="E1771" s="138" t="s">
        <v>3889</v>
      </c>
      <c r="F1771" s="138" t="s">
        <v>5567</v>
      </c>
      <c r="G1771" s="138" t="s">
        <v>5324</v>
      </c>
      <c r="H1771" s="81" t="str">
        <f t="shared" si="122"/>
        <v>TCCN-PTE-PFL-SEL-SAE-STV-PF1</v>
      </c>
      <c r="I1771" s="138" t="str">
        <f>MID(H1771,1,(LEN(H1771)-VLOOKUP(K1771,datos!$B$2:$C$12,2,0)))</f>
        <v>TCCN-PTE-PFL-SEL-SAE-STV-PF1</v>
      </c>
      <c r="J1771" s="138" t="s">
        <v>4356</v>
      </c>
      <c r="K1771" s="140">
        <f>VLOOKUP(LEN(SUBSTITUTE(H1771,"-","")),datos!$A$1:$B$12,2,0)</f>
        <v>7</v>
      </c>
      <c r="L1771" s="138" t="s">
        <v>4883</v>
      </c>
      <c r="M1771" s="138" t="s">
        <v>0</v>
      </c>
    </row>
    <row r="1772" spans="1:13" x14ac:dyDescent="0.35">
      <c r="A1772" s="138" t="s">
        <v>487</v>
      </c>
      <c r="B1772" s="138" t="s">
        <v>3809</v>
      </c>
      <c r="C1772" s="138" t="s">
        <v>3983</v>
      </c>
      <c r="D1772" s="138" t="s">
        <v>3888</v>
      </c>
      <c r="E1772" s="138" t="s">
        <v>3889</v>
      </c>
      <c r="F1772" s="138" t="s">
        <v>5567</v>
      </c>
      <c r="G1772" s="138" t="s">
        <v>5325</v>
      </c>
      <c r="H1772" s="81" t="str">
        <f t="shared" si="122"/>
        <v>TCCN-PTE-PFL-SEL-SAE-STV-PF2</v>
      </c>
      <c r="I1772" s="138" t="str">
        <f>MID(H1772,1,(LEN(H1772)-VLOOKUP(K1772,datos!$B$2:$C$12,2,0)))</f>
        <v>TCCN-PTE-PFL-SEL-SAE-STV-PF2</v>
      </c>
      <c r="J1772" s="138" t="s">
        <v>4357</v>
      </c>
      <c r="K1772" s="140">
        <f>VLOOKUP(LEN(SUBSTITUTE(H1772,"-","")),datos!$A$1:$B$12,2,0)</f>
        <v>7</v>
      </c>
      <c r="L1772" s="138" t="s">
        <v>4884</v>
      </c>
      <c r="M1772" s="138" t="s">
        <v>0</v>
      </c>
    </row>
    <row r="1773" spans="1:13" x14ac:dyDescent="0.35">
      <c r="A1773" s="138" t="s">
        <v>487</v>
      </c>
      <c r="B1773" s="138" t="s">
        <v>3809</v>
      </c>
      <c r="C1773" s="138" t="s">
        <v>3983</v>
      </c>
      <c r="D1773" s="138" t="s">
        <v>3888</v>
      </c>
      <c r="E1773" s="138" t="s">
        <v>3889</v>
      </c>
      <c r="F1773" s="138" t="s">
        <v>5567</v>
      </c>
      <c r="G1773" s="138" t="s">
        <v>5326</v>
      </c>
      <c r="H1773" s="81" t="str">
        <f t="shared" si="122"/>
        <v>TCCN-PTE-PFL-SEL-SAE-STV-PF3</v>
      </c>
      <c r="I1773" s="138" t="str">
        <f>MID(H1773,1,(LEN(H1773)-VLOOKUP(K1773,datos!$B$2:$C$12,2,0)))</f>
        <v>TCCN-PTE-PFL-SEL-SAE-STV-PF3</v>
      </c>
      <c r="J1773" s="138" t="s">
        <v>6886</v>
      </c>
      <c r="K1773" s="140">
        <f>VLOOKUP(LEN(SUBSTITUTE(H1773,"-","")),datos!$A$1:$B$12,2,0)</f>
        <v>7</v>
      </c>
      <c r="L1773" s="138" t="s">
        <v>4885</v>
      </c>
      <c r="M1773" s="138" t="s">
        <v>0</v>
      </c>
    </row>
    <row r="1774" spans="1:13" customFormat="1" ht="14.5" x14ac:dyDescent="0.35">
      <c r="A1774" s="84" t="s">
        <v>487</v>
      </c>
      <c r="B1774" s="84" t="s">
        <v>3809</v>
      </c>
      <c r="C1774" s="84" t="s">
        <v>3983</v>
      </c>
      <c r="D1774" s="84" t="s">
        <v>5282</v>
      </c>
      <c r="E1774" s="84"/>
      <c r="F1774" s="84"/>
      <c r="G1774" s="84"/>
      <c r="H1774" s="84" t="str">
        <f t="shared" si="122"/>
        <v>TCCN-PTE-PFL-CTV---</v>
      </c>
      <c r="I1774" s="84" t="str">
        <f>MID(H1774,1,(LEN(H1774)-VLOOKUP(K1774,datos!$B$2:$C$12,2,0)))</f>
        <v>TCCN-PTE-PFL-CTV</v>
      </c>
      <c r="J1774" s="84" t="s">
        <v>4886</v>
      </c>
      <c r="K1774" s="119">
        <f>VLOOKUP(LEN(SUBSTITUTE(H1774,"-","")),datos!$A$1:$B$12,2,0)</f>
        <v>4</v>
      </c>
      <c r="L1774" s="84"/>
      <c r="M1774" s="84" t="s">
        <v>0</v>
      </c>
    </row>
    <row r="1775" spans="1:13" customFormat="1" ht="14.5" x14ac:dyDescent="0.35">
      <c r="A1775" s="129" t="s">
        <v>487</v>
      </c>
      <c r="B1775" s="129" t="s">
        <v>3809</v>
      </c>
      <c r="C1775" s="129" t="s">
        <v>3983</v>
      </c>
      <c r="D1775" s="129" t="s">
        <v>5282</v>
      </c>
      <c r="E1775" s="129" t="s">
        <v>3921</v>
      </c>
      <c r="F1775" s="129"/>
      <c r="G1775" s="129"/>
      <c r="H1775" s="83" t="str">
        <f t="shared" si="122"/>
        <v>TCCN-PTE-PFL-CTV-CT1--</v>
      </c>
      <c r="I1775" s="129" t="str">
        <f>MID(H1775,1,(LEN(H1775)-VLOOKUP(K1775,datos!$B$2:$C$12,2,0)))</f>
        <v>TCCN-PTE-PFL-CTV-CT1</v>
      </c>
      <c r="J1775" s="129" t="s">
        <v>4898</v>
      </c>
      <c r="K1775" s="130">
        <f>VLOOKUP(LEN(SUBSTITUTE(H1775,"-","")),datos!$A$1:$B$12,2,0)</f>
        <v>5</v>
      </c>
      <c r="L1775" s="129" t="s">
        <v>4895</v>
      </c>
      <c r="M1775" s="129" t="s">
        <v>0</v>
      </c>
    </row>
    <row r="1776" spans="1:13" customFormat="1" ht="14.5" x14ac:dyDescent="0.35">
      <c r="A1776" s="129" t="s">
        <v>487</v>
      </c>
      <c r="B1776" s="129" t="s">
        <v>3809</v>
      </c>
      <c r="C1776" s="129" t="s">
        <v>3983</v>
      </c>
      <c r="D1776" s="129" t="s">
        <v>5282</v>
      </c>
      <c r="E1776" s="129" t="s">
        <v>5292</v>
      </c>
      <c r="F1776" s="129"/>
      <c r="G1776" s="129"/>
      <c r="H1776" s="83" t="str">
        <f t="shared" si="122"/>
        <v>TCCN-PTE-PFL-CTV-GB1--</v>
      </c>
      <c r="I1776" s="129" t="str">
        <f>MID(H1776,1,(LEN(H1776)-VLOOKUP(K1776,datos!$B$2:$C$12,2,0)))</f>
        <v>TCCN-PTE-PFL-CTV-GB1</v>
      </c>
      <c r="J1776" s="129" t="s">
        <v>4899</v>
      </c>
      <c r="K1776" s="130">
        <f>VLOOKUP(LEN(SUBSTITUTE(H1776,"-","")),datos!$A$1:$B$12,2,0)</f>
        <v>5</v>
      </c>
      <c r="L1776" s="129" t="s">
        <v>4896</v>
      </c>
      <c r="M1776" s="129" t="s">
        <v>0</v>
      </c>
    </row>
    <row r="1777" spans="1:13" customFormat="1" ht="14.5" x14ac:dyDescent="0.35">
      <c r="A1777" s="129" t="s">
        <v>487</v>
      </c>
      <c r="B1777" s="129" t="s">
        <v>3809</v>
      </c>
      <c r="C1777" s="129" t="s">
        <v>3983</v>
      </c>
      <c r="D1777" s="129" t="s">
        <v>5282</v>
      </c>
      <c r="E1777" s="129" t="s">
        <v>3943</v>
      </c>
      <c r="F1777" s="129"/>
      <c r="G1777" s="129"/>
      <c r="H1777" s="83" t="str">
        <f t="shared" si="122"/>
        <v>TCCN-PTE-PFL-CTV-CT2--</v>
      </c>
      <c r="I1777" s="129" t="str">
        <f>MID(H1777,1,(LEN(H1777)-VLOOKUP(K1777,datos!$B$2:$C$12,2,0)))</f>
        <v>TCCN-PTE-PFL-CTV-CT2</v>
      </c>
      <c r="J1777" s="129" t="s">
        <v>4900</v>
      </c>
      <c r="K1777" s="130">
        <f>VLOOKUP(LEN(SUBSTITUTE(H1777,"-","")),datos!$A$1:$B$12,2,0)</f>
        <v>5</v>
      </c>
      <c r="L1777" s="129" t="s">
        <v>4887</v>
      </c>
      <c r="M1777" s="129" t="s">
        <v>0</v>
      </c>
    </row>
    <row r="1778" spans="1:13" customFormat="1" ht="14.5" x14ac:dyDescent="0.35">
      <c r="A1778" s="129" t="s">
        <v>487</v>
      </c>
      <c r="B1778" s="129" t="s">
        <v>3809</v>
      </c>
      <c r="C1778" s="129" t="s">
        <v>3983</v>
      </c>
      <c r="D1778" s="129" t="s">
        <v>5282</v>
      </c>
      <c r="E1778" s="129" t="s">
        <v>5293</v>
      </c>
      <c r="F1778" s="129"/>
      <c r="G1778" s="129"/>
      <c r="H1778" s="83" t="str">
        <f t="shared" si="122"/>
        <v>TCCN-PTE-PFL-CTV-GB2--</v>
      </c>
      <c r="I1778" s="129" t="str">
        <f>MID(H1778,1,(LEN(H1778)-VLOOKUP(K1778,datos!$B$2:$C$12,2,0)))</f>
        <v>TCCN-PTE-PFL-CTV-GB2</v>
      </c>
      <c r="J1778" s="129" t="s">
        <v>4901</v>
      </c>
      <c r="K1778" s="130">
        <f>VLOOKUP(LEN(SUBSTITUTE(H1778,"-","")),datos!$A$1:$B$12,2,0)</f>
        <v>5</v>
      </c>
      <c r="L1778" s="129" t="s">
        <v>4888</v>
      </c>
      <c r="M1778" s="129" t="s">
        <v>0</v>
      </c>
    </row>
    <row r="1779" spans="1:13" customFormat="1" ht="14.5" x14ac:dyDescent="0.35">
      <c r="A1779" s="129" t="s">
        <v>487</v>
      </c>
      <c r="B1779" s="129" t="s">
        <v>3809</v>
      </c>
      <c r="C1779" s="129" t="s">
        <v>3983</v>
      </c>
      <c r="D1779" s="129" t="s">
        <v>5282</v>
      </c>
      <c r="E1779" s="129" t="s">
        <v>3944</v>
      </c>
      <c r="F1779" s="129"/>
      <c r="G1779" s="129"/>
      <c r="H1779" s="83" t="str">
        <f t="shared" si="122"/>
        <v>TCCN-PTE-PFL-CTV-CT3--</v>
      </c>
      <c r="I1779" s="129" t="str">
        <f>MID(H1779,1,(LEN(H1779)-VLOOKUP(K1779,datos!$B$2:$C$12,2,0)))</f>
        <v>TCCN-PTE-PFL-CTV-CT3</v>
      </c>
      <c r="J1779" s="129" t="s">
        <v>4897</v>
      </c>
      <c r="K1779" s="130">
        <f>VLOOKUP(LEN(SUBSTITUTE(H1779,"-","")),datos!$A$1:$B$12,2,0)</f>
        <v>5</v>
      </c>
      <c r="L1779" s="129" t="s">
        <v>4889</v>
      </c>
      <c r="M1779" s="129" t="s">
        <v>0</v>
      </c>
    </row>
    <row r="1780" spans="1:13" customFormat="1" ht="14.5" x14ac:dyDescent="0.35">
      <c r="A1780" s="129" t="s">
        <v>487</v>
      </c>
      <c r="B1780" s="129" t="s">
        <v>3809</v>
      </c>
      <c r="C1780" s="129" t="s">
        <v>3983</v>
      </c>
      <c r="D1780" s="129" t="s">
        <v>5282</v>
      </c>
      <c r="E1780" s="129" t="s">
        <v>5294</v>
      </c>
      <c r="F1780" s="129"/>
      <c r="G1780" s="129"/>
      <c r="H1780" s="83" t="str">
        <f t="shared" si="122"/>
        <v>TCCN-PTE-PFL-CTV-GB3--</v>
      </c>
      <c r="I1780" s="129" t="str">
        <f>MID(H1780,1,(LEN(H1780)-VLOOKUP(K1780,datos!$B$2:$C$12,2,0)))</f>
        <v>TCCN-PTE-PFL-CTV-GB3</v>
      </c>
      <c r="J1780" s="129" t="s">
        <v>4902</v>
      </c>
      <c r="K1780" s="130">
        <f>VLOOKUP(LEN(SUBSTITUTE(H1780,"-","")),datos!$A$1:$B$12,2,0)</f>
        <v>5</v>
      </c>
      <c r="L1780" s="129" t="s">
        <v>4890</v>
      </c>
      <c r="M1780" s="129" t="s">
        <v>0</v>
      </c>
    </row>
    <row r="1781" spans="1:13" customFormat="1" ht="14.5" x14ac:dyDescent="0.35">
      <c r="A1781" s="129" t="s">
        <v>487</v>
      </c>
      <c r="B1781" s="129" t="s">
        <v>3809</v>
      </c>
      <c r="C1781" s="129" t="s">
        <v>3983</v>
      </c>
      <c r="D1781" s="129" t="s">
        <v>5282</v>
      </c>
      <c r="E1781" s="129" t="s">
        <v>3945</v>
      </c>
      <c r="F1781" s="129"/>
      <c r="G1781" s="129"/>
      <c r="H1781" s="83" t="str">
        <f t="shared" si="122"/>
        <v>TCCN-PTE-PFL-CTV-CT4--</v>
      </c>
      <c r="I1781" s="129" t="str">
        <f>MID(H1781,1,(LEN(H1781)-VLOOKUP(K1781,datos!$B$2:$C$12,2,0)))</f>
        <v>TCCN-PTE-PFL-CTV-CT4</v>
      </c>
      <c r="J1781" s="129" t="s">
        <v>4903</v>
      </c>
      <c r="K1781" s="130">
        <f>VLOOKUP(LEN(SUBSTITUTE(H1781,"-","")),datos!$A$1:$B$12,2,0)</f>
        <v>5</v>
      </c>
      <c r="L1781" s="129" t="s">
        <v>4891</v>
      </c>
      <c r="M1781" s="129" t="s">
        <v>0</v>
      </c>
    </row>
    <row r="1782" spans="1:13" customFormat="1" ht="14.5" x14ac:dyDescent="0.35">
      <c r="A1782" s="129" t="s">
        <v>487</v>
      </c>
      <c r="B1782" s="129" t="s">
        <v>3809</v>
      </c>
      <c r="C1782" s="129" t="s">
        <v>3983</v>
      </c>
      <c r="D1782" s="129" t="s">
        <v>5282</v>
      </c>
      <c r="E1782" s="129" t="s">
        <v>5295</v>
      </c>
      <c r="F1782" s="129"/>
      <c r="G1782" s="129"/>
      <c r="H1782" s="83" t="str">
        <f t="shared" si="122"/>
        <v>TCCN-PTE-PFL-CTV-GB4--</v>
      </c>
      <c r="I1782" s="129" t="str">
        <f>MID(H1782,1,(LEN(H1782)-VLOOKUP(K1782,datos!$B$2:$C$12,2,0)))</f>
        <v>TCCN-PTE-PFL-CTV-GB4</v>
      </c>
      <c r="J1782" s="129" t="s">
        <v>4904</v>
      </c>
      <c r="K1782" s="130">
        <f>VLOOKUP(LEN(SUBSTITUTE(H1782,"-","")),datos!$A$1:$B$12,2,0)</f>
        <v>5</v>
      </c>
      <c r="L1782" s="129" t="s">
        <v>4892</v>
      </c>
      <c r="M1782" s="129" t="s">
        <v>0</v>
      </c>
    </row>
    <row r="1783" spans="1:13" customFormat="1" ht="14.5" x14ac:dyDescent="0.35">
      <c r="A1783" s="129" t="s">
        <v>487</v>
      </c>
      <c r="B1783" s="129" t="s">
        <v>3809</v>
      </c>
      <c r="C1783" s="129" t="s">
        <v>3983</v>
      </c>
      <c r="D1783" s="129" t="s">
        <v>5282</v>
      </c>
      <c r="E1783" s="129" t="s">
        <v>5296</v>
      </c>
      <c r="F1783" s="129"/>
      <c r="G1783" s="129"/>
      <c r="H1783" s="83" t="str">
        <f t="shared" si="122"/>
        <v>TCCN-PTE-PFL-CTV-CT5--</v>
      </c>
      <c r="I1783" s="129" t="str">
        <f>MID(H1783,1,(LEN(H1783)-VLOOKUP(K1783,datos!$B$2:$C$12,2,0)))</f>
        <v>TCCN-PTE-PFL-CTV-CT5</v>
      </c>
      <c r="J1783" s="129" t="s">
        <v>4905</v>
      </c>
      <c r="K1783" s="130">
        <f>VLOOKUP(LEN(SUBSTITUTE(H1783,"-","")),datos!$A$1:$B$12,2,0)</f>
        <v>5</v>
      </c>
      <c r="L1783" s="129" t="s">
        <v>4893</v>
      </c>
      <c r="M1783" s="129" t="s">
        <v>0</v>
      </c>
    </row>
    <row r="1784" spans="1:13" customFormat="1" ht="14.5" x14ac:dyDescent="0.35">
      <c r="A1784" s="129" t="s">
        <v>487</v>
      </c>
      <c r="B1784" s="129" t="s">
        <v>3809</v>
      </c>
      <c r="C1784" s="129" t="s">
        <v>3983</v>
      </c>
      <c r="D1784" s="129" t="s">
        <v>5282</v>
      </c>
      <c r="E1784" s="129" t="s">
        <v>5297</v>
      </c>
      <c r="F1784" s="129"/>
      <c r="G1784" s="129"/>
      <c r="H1784" s="83" t="str">
        <f t="shared" si="122"/>
        <v>TCCN-PTE-PFL-CTV-GB5--</v>
      </c>
      <c r="I1784" s="129" t="str">
        <f>MID(H1784,1,(LEN(H1784)-VLOOKUP(K1784,datos!$B$2:$C$12,2,0)))</f>
        <v>TCCN-PTE-PFL-CTV-GB5</v>
      </c>
      <c r="J1784" s="129" t="s">
        <v>4906</v>
      </c>
      <c r="K1784" s="130">
        <f>VLOOKUP(LEN(SUBSTITUTE(H1784,"-","")),datos!$A$1:$B$12,2,0)</f>
        <v>5</v>
      </c>
      <c r="L1784" s="129" t="s">
        <v>4894</v>
      </c>
      <c r="M1784" s="129" t="s">
        <v>0</v>
      </c>
    </row>
    <row r="1785" spans="1:13" customFormat="1" ht="14.5" x14ac:dyDescent="0.35">
      <c r="A1785" s="129" t="s">
        <v>487</v>
      </c>
      <c r="B1785" s="129" t="s">
        <v>3809</v>
      </c>
      <c r="C1785" s="129" t="s">
        <v>3983</v>
      </c>
      <c r="D1785" s="129" t="s">
        <v>5282</v>
      </c>
      <c r="E1785" s="129" t="s">
        <v>5305</v>
      </c>
      <c r="F1785" s="129"/>
      <c r="G1785" s="129"/>
      <c r="H1785" s="83" t="str">
        <f t="shared" si="122"/>
        <v>TCCN-PTE-PFL-CTV-CT6--</v>
      </c>
      <c r="I1785" s="129" t="str">
        <f>MID(H1785,1,(LEN(H1785)-VLOOKUP(K1785,datos!$B$2:$C$12,2,0)))</f>
        <v>TCCN-PTE-PFL-CTV-CT6</v>
      </c>
      <c r="J1785" s="129" t="s">
        <v>4909</v>
      </c>
      <c r="K1785" s="130">
        <f>VLOOKUP(LEN(SUBSTITUTE(H1785,"-","")),datos!$A$1:$B$12,2,0)</f>
        <v>5</v>
      </c>
      <c r="L1785" s="129" t="s">
        <v>4907</v>
      </c>
      <c r="M1785" s="129" t="s">
        <v>0</v>
      </c>
    </row>
    <row r="1786" spans="1:13" customFormat="1" ht="14.5" x14ac:dyDescent="0.35">
      <c r="A1786" s="129" t="s">
        <v>487</v>
      </c>
      <c r="B1786" s="129" t="s">
        <v>3809</v>
      </c>
      <c r="C1786" s="129" t="s">
        <v>3983</v>
      </c>
      <c r="D1786" s="129" t="s">
        <v>5282</v>
      </c>
      <c r="E1786" s="129" t="s">
        <v>5307</v>
      </c>
      <c r="F1786" s="129"/>
      <c r="G1786" s="129"/>
      <c r="H1786" s="83" t="str">
        <f t="shared" si="122"/>
        <v>TCCN-PTE-PFL-CTV-GB6--</v>
      </c>
      <c r="I1786" s="129" t="str">
        <f>MID(H1786,1,(LEN(H1786)-VLOOKUP(K1786,datos!$B$2:$C$12,2,0)))</f>
        <v>TCCN-PTE-PFL-CTV-GB6</v>
      </c>
      <c r="J1786" s="129" t="s">
        <v>4910</v>
      </c>
      <c r="K1786" s="130">
        <f>VLOOKUP(LEN(SUBSTITUTE(H1786,"-","")),datos!$A$1:$B$12,2,0)</f>
        <v>5</v>
      </c>
      <c r="L1786" s="129" t="s">
        <v>4908</v>
      </c>
      <c r="M1786" s="129" t="s">
        <v>0</v>
      </c>
    </row>
    <row r="1787" spans="1:13" customFormat="1" ht="14.5" x14ac:dyDescent="0.35">
      <c r="A1787" s="129" t="s">
        <v>487</v>
      </c>
      <c r="B1787" s="129" t="s">
        <v>3809</v>
      </c>
      <c r="C1787" s="129" t="s">
        <v>3983</v>
      </c>
      <c r="D1787" s="129" t="s">
        <v>5282</v>
      </c>
      <c r="E1787" s="129" t="s">
        <v>5308</v>
      </c>
      <c r="F1787" s="129"/>
      <c r="G1787" s="129"/>
      <c r="H1787" s="83" t="str">
        <f t="shared" si="122"/>
        <v>TCCN-PTE-PFL-CTV-CT7--</v>
      </c>
      <c r="I1787" s="129" t="str">
        <f>MID(H1787,1,(LEN(H1787)-VLOOKUP(K1787,datos!$B$2:$C$12,2,0)))</f>
        <v>TCCN-PTE-PFL-CTV-CT7</v>
      </c>
      <c r="J1787" s="129" t="s">
        <v>4911</v>
      </c>
      <c r="K1787" s="130">
        <f>VLOOKUP(LEN(SUBSTITUTE(H1787,"-","")),datos!$A$1:$B$12,2,0)</f>
        <v>5</v>
      </c>
      <c r="L1787" s="129"/>
      <c r="M1787" s="129" t="s">
        <v>0</v>
      </c>
    </row>
    <row r="1788" spans="1:13" customFormat="1" ht="14.5" x14ac:dyDescent="0.35">
      <c r="A1788" s="129" t="s">
        <v>487</v>
      </c>
      <c r="B1788" s="129" t="s">
        <v>3809</v>
      </c>
      <c r="C1788" s="129" t="s">
        <v>3983</v>
      </c>
      <c r="D1788" s="129" t="s">
        <v>5282</v>
      </c>
      <c r="E1788" s="129" t="s">
        <v>5309</v>
      </c>
      <c r="F1788" s="129"/>
      <c r="G1788" s="129"/>
      <c r="H1788" s="83" t="str">
        <f t="shared" si="122"/>
        <v>TCCN-PTE-PFL-CTV-GB7--</v>
      </c>
      <c r="I1788" s="129" t="str">
        <f>MID(H1788,1,(LEN(H1788)-VLOOKUP(K1788,datos!$B$2:$C$12,2,0)))</f>
        <v>TCCN-PTE-PFL-CTV-GB7</v>
      </c>
      <c r="J1788" s="129" t="s">
        <v>4912</v>
      </c>
      <c r="K1788" s="130">
        <f>VLOOKUP(LEN(SUBSTITUTE(H1788,"-","")),datos!$A$1:$B$12,2,0)</f>
        <v>5</v>
      </c>
      <c r="L1788" s="129"/>
      <c r="M1788" s="129" t="s">
        <v>0</v>
      </c>
    </row>
    <row r="1789" spans="1:13" customFormat="1" ht="14.5" x14ac:dyDescent="0.35">
      <c r="A1789" s="127" t="s">
        <v>487</v>
      </c>
      <c r="B1789" s="127" t="s">
        <v>3809</v>
      </c>
      <c r="C1789" s="127" t="s">
        <v>4035</v>
      </c>
      <c r="D1789" s="127"/>
      <c r="E1789" s="127"/>
      <c r="F1789" s="127"/>
      <c r="G1789" s="127"/>
      <c r="H1789" s="86" t="str">
        <f t="shared" si="122"/>
        <v>TCCN-PTE-CON----</v>
      </c>
      <c r="I1789" s="127" t="str">
        <f>MID(H1789,1,(LEN(H1789)-VLOOKUP(K1789,datos!$B$2:$C$12,2,0)))</f>
        <v>TCCN-PTE-CON</v>
      </c>
      <c r="J1789" s="127" t="s">
        <v>561</v>
      </c>
      <c r="K1789" s="128">
        <f>VLOOKUP(LEN(SUBSTITUTE(H1789,"-","")),datos!$A$1:$B$12,2,0)</f>
        <v>3</v>
      </c>
      <c r="L1789" s="127"/>
      <c r="M1789" s="127" t="s">
        <v>0</v>
      </c>
    </row>
    <row r="1790" spans="1:13" customFormat="1" ht="14.5" x14ac:dyDescent="0.35">
      <c r="A1790" s="84" t="s">
        <v>487</v>
      </c>
      <c r="B1790" s="84" t="s">
        <v>3809</v>
      </c>
      <c r="C1790" s="84" t="s">
        <v>4035</v>
      </c>
      <c r="D1790" s="84" t="s">
        <v>4036</v>
      </c>
      <c r="E1790" s="84"/>
      <c r="F1790" s="84"/>
      <c r="G1790" s="84"/>
      <c r="H1790" s="84" t="str">
        <f t="shared" si="122"/>
        <v>TCCN-PTE-CON-EPM---</v>
      </c>
      <c r="I1790" s="84" t="str">
        <f>MID(H1790,1,(LEN(H1790)-VLOOKUP(K1790,datos!$B$2:$C$12,2,0)))</f>
        <v>TCCN-PTE-CON-EPM</v>
      </c>
      <c r="J1790" s="84" t="s">
        <v>243</v>
      </c>
      <c r="K1790" s="119">
        <f>VLOOKUP(LEN(SUBSTITUTE(H1790,"-","")),datos!$A$1:$B$12,2,0)</f>
        <v>4</v>
      </c>
      <c r="L1790" s="84"/>
      <c r="M1790" s="84" t="s">
        <v>0</v>
      </c>
    </row>
    <row r="1791" spans="1:13" customFormat="1" ht="14.5" x14ac:dyDescent="0.35">
      <c r="A1791" s="129" t="s">
        <v>487</v>
      </c>
      <c r="B1791" s="129" t="s">
        <v>3809</v>
      </c>
      <c r="C1791" s="129" t="s">
        <v>4035</v>
      </c>
      <c r="D1791" s="129" t="s">
        <v>4036</v>
      </c>
      <c r="E1791" s="129" t="s">
        <v>3985</v>
      </c>
      <c r="F1791" s="129"/>
      <c r="G1791" s="129"/>
      <c r="H1791" s="83" t="str">
        <f t="shared" si="122"/>
        <v>TCCN-PTE-CON-EPM-CA1--</v>
      </c>
      <c r="I1791" s="129" t="str">
        <f>MID(H1791,1,(LEN(H1791)-VLOOKUP(K1791,datos!$B$2:$C$12,2,0)))</f>
        <v>TCCN-PTE-CON-EPM-CA1</v>
      </c>
      <c r="J1791" s="129" t="s">
        <v>467</v>
      </c>
      <c r="K1791" s="130">
        <f>VLOOKUP(LEN(SUBSTITUTE(H1791,"-","")),datos!$A$1:$B$12,2,0)</f>
        <v>5</v>
      </c>
      <c r="L1791" s="129" t="s">
        <v>245</v>
      </c>
      <c r="M1791" s="129" t="s">
        <v>0</v>
      </c>
    </row>
    <row r="1792" spans="1:13" x14ac:dyDescent="0.35">
      <c r="A1792" s="137" t="s">
        <v>487</v>
      </c>
      <c r="B1792" s="137" t="s">
        <v>3809</v>
      </c>
      <c r="C1792" s="137" t="s">
        <v>4035</v>
      </c>
      <c r="D1792" s="137" t="s">
        <v>4036</v>
      </c>
      <c r="E1792" s="137" t="s">
        <v>3985</v>
      </c>
      <c r="F1792" s="137" t="s">
        <v>3824</v>
      </c>
      <c r="G1792" s="137"/>
      <c r="H1792" s="82" t="str">
        <f t="shared" si="122"/>
        <v>TCCN-PTE-CON-EPM-CA1-SES-</v>
      </c>
      <c r="I1792" s="137" t="str">
        <f>MID(H1792,1,(LEN(H1792)-VLOOKUP(K1792,datos!$B$2:$C$12,2,0)))</f>
        <v>TCCN-PTE-CON-EPM-CA1-SES</v>
      </c>
      <c r="J1792" s="137" t="s">
        <v>6551</v>
      </c>
      <c r="K1792" s="139">
        <f>VLOOKUP(LEN(SUBSTITUTE(H1792,"-","")),datos!$A$1:$B$12,2,0)</f>
        <v>6</v>
      </c>
      <c r="L1792" s="137"/>
      <c r="M1792" s="137" t="s">
        <v>0</v>
      </c>
    </row>
    <row r="1793" spans="1:13" x14ac:dyDescent="0.35">
      <c r="A1793" s="138" t="s">
        <v>487</v>
      </c>
      <c r="B1793" s="138" t="s">
        <v>3809</v>
      </c>
      <c r="C1793" s="138" t="s">
        <v>4035</v>
      </c>
      <c r="D1793" s="138" t="s">
        <v>4036</v>
      </c>
      <c r="E1793" s="138" t="s">
        <v>3985</v>
      </c>
      <c r="F1793" s="138" t="s">
        <v>3824</v>
      </c>
      <c r="G1793" s="138" t="s">
        <v>3853</v>
      </c>
      <c r="H1793" s="81" t="str">
        <f t="shared" si="122"/>
        <v>TCCN-PTE-CON-EPM-CA1-SES-EST</v>
      </c>
      <c r="I1793" s="138" t="str">
        <f>MID(H1793,1,(LEN(H1793)-VLOOKUP(K1793,datos!$B$2:$C$12,2,0)))</f>
        <v>TCCN-PTE-CON-EPM-CA1-SES-EST</v>
      </c>
      <c r="J1793" s="138" t="s">
        <v>6552</v>
      </c>
      <c r="K1793" s="140">
        <f>VLOOKUP(LEN(SUBSTITUTE(H1793,"-","")),datos!$A$1:$B$12,2,0)</f>
        <v>7</v>
      </c>
      <c r="L1793" s="138"/>
      <c r="M1793" s="138" t="s">
        <v>0</v>
      </c>
    </row>
    <row r="1794" spans="1:13" x14ac:dyDescent="0.35">
      <c r="A1794" s="138" t="s">
        <v>487</v>
      </c>
      <c r="B1794" s="138" t="s">
        <v>3809</v>
      </c>
      <c r="C1794" s="138" t="s">
        <v>4035</v>
      </c>
      <c r="D1794" s="138" t="s">
        <v>4036</v>
      </c>
      <c r="E1794" s="138" t="s">
        <v>3985</v>
      </c>
      <c r="F1794" s="138" t="s">
        <v>3824</v>
      </c>
      <c r="G1794" s="138" t="s">
        <v>4724</v>
      </c>
      <c r="H1794" s="81" t="str">
        <f t="shared" ref="H1794" si="123">CONCATENATE(A1794,"-",B1794,"-",C1794,"-",D1794,"-",E1794,"-",F1794,"-",G1794)</f>
        <v>TCCN-PTE-CON-EPM-CA1-SES-TRP</v>
      </c>
      <c r="I1794" s="138" t="str">
        <f>MID(H1794,1,(LEN(H1794)-VLOOKUP(K1794,datos!$B$2:$C$12,2,0)))</f>
        <v>TCCN-PTE-CON-EPM-CA1-SES-TRP</v>
      </c>
      <c r="J1794" s="138" t="s">
        <v>247</v>
      </c>
      <c r="K1794" s="140">
        <f>VLOOKUP(LEN(SUBSTITUTE(H1794,"-","")),datos!$A$1:$B$12,2,0)</f>
        <v>7</v>
      </c>
      <c r="L1794" s="138" t="s">
        <v>248</v>
      </c>
      <c r="M1794" s="138" t="s">
        <v>0</v>
      </c>
    </row>
    <row r="1795" spans="1:13" x14ac:dyDescent="0.35">
      <c r="A1795" s="137" t="s">
        <v>487</v>
      </c>
      <c r="B1795" s="137" t="s">
        <v>3809</v>
      </c>
      <c r="C1795" s="137" t="s">
        <v>4035</v>
      </c>
      <c r="D1795" s="137" t="s">
        <v>4036</v>
      </c>
      <c r="E1795" s="137" t="s">
        <v>3985</v>
      </c>
      <c r="F1795" s="137" t="s">
        <v>3831</v>
      </c>
      <c r="G1795" s="137"/>
      <c r="H1795" s="82" t="str">
        <f t="shared" si="122"/>
        <v>TCCN-PTE-CON-EPM-CA1-INS-</v>
      </c>
      <c r="I1795" s="137" t="str">
        <f>MID(H1795,1,(LEN(H1795)-VLOOKUP(K1795,datos!$B$2:$C$12,2,0)))</f>
        <v>TCCN-PTE-CON-EPM-CA1-INS</v>
      </c>
      <c r="J1795" s="137" t="s">
        <v>6553</v>
      </c>
      <c r="K1795" s="139">
        <f>VLOOKUP(LEN(SUBSTITUTE(H1795,"-","")),datos!$A$1:$B$12,2,0)</f>
        <v>6</v>
      </c>
      <c r="L1795" s="137"/>
      <c r="M1795" s="137" t="s">
        <v>0</v>
      </c>
    </row>
    <row r="1796" spans="1:13" x14ac:dyDescent="0.35">
      <c r="A1796" s="138" t="s">
        <v>487</v>
      </c>
      <c r="B1796" s="138" t="s">
        <v>3809</v>
      </c>
      <c r="C1796" s="138" t="s">
        <v>4035</v>
      </c>
      <c r="D1796" s="138" t="s">
        <v>4036</v>
      </c>
      <c r="E1796" s="138" t="s">
        <v>3985</v>
      </c>
      <c r="F1796" s="138" t="s">
        <v>3831</v>
      </c>
      <c r="G1796" s="138" t="s">
        <v>5256</v>
      </c>
      <c r="H1796" s="81" t="str">
        <f t="shared" si="122"/>
        <v>TCCN-PTE-CON-EPM-CA1-INS-MNV</v>
      </c>
      <c r="I1796" s="138" t="str">
        <f>MID(H1796,1,(LEN(H1796)-VLOOKUP(K1796,datos!$B$2:$C$12,2,0)))</f>
        <v>TCCN-PTE-CON-EPM-CA1-INS-MNV</v>
      </c>
      <c r="J1796" s="138" t="s">
        <v>7611</v>
      </c>
      <c r="K1796" s="140">
        <f>VLOOKUP(LEN(SUBSTITUTE(H1796,"-","")),datos!$A$1:$B$12,2,0)</f>
        <v>7</v>
      </c>
      <c r="L1796" s="138" t="s">
        <v>7634</v>
      </c>
      <c r="M1796" s="138" t="s">
        <v>0</v>
      </c>
    </row>
    <row r="1797" spans="1:13" customFormat="1" ht="14.5" x14ac:dyDescent="0.35">
      <c r="A1797" s="129" t="s">
        <v>487</v>
      </c>
      <c r="B1797" s="129" t="s">
        <v>3809</v>
      </c>
      <c r="C1797" s="129" t="s">
        <v>4035</v>
      </c>
      <c r="D1797" s="129" t="s">
        <v>4036</v>
      </c>
      <c r="E1797" s="129" t="s">
        <v>4014</v>
      </c>
      <c r="F1797" s="129"/>
      <c r="G1797" s="129"/>
      <c r="H1797" s="83" t="str">
        <f t="shared" si="122"/>
        <v>TCCN-PTE-CON-EPM-CA2--</v>
      </c>
      <c r="I1797" s="129" t="str">
        <f>MID(H1797,1,(LEN(H1797)-VLOOKUP(K1797,datos!$B$2:$C$12,2,0)))</f>
        <v>TCCN-PTE-CON-EPM-CA2</v>
      </c>
      <c r="J1797" s="129" t="s">
        <v>618</v>
      </c>
      <c r="K1797" s="130">
        <f>VLOOKUP(LEN(SUBSTITUTE(H1797,"-","")),datos!$A$1:$B$12,2,0)</f>
        <v>5</v>
      </c>
      <c r="L1797" s="129" t="s">
        <v>246</v>
      </c>
      <c r="M1797" s="129" t="s">
        <v>0</v>
      </c>
    </row>
    <row r="1798" spans="1:13" x14ac:dyDescent="0.35">
      <c r="A1798" s="137" t="s">
        <v>487</v>
      </c>
      <c r="B1798" s="137" t="s">
        <v>3809</v>
      </c>
      <c r="C1798" s="137" t="s">
        <v>4035</v>
      </c>
      <c r="D1798" s="137" t="s">
        <v>4036</v>
      </c>
      <c r="E1798" s="137" t="s">
        <v>4014</v>
      </c>
      <c r="F1798" s="137" t="s">
        <v>3824</v>
      </c>
      <c r="G1798" s="137"/>
      <c r="H1798" s="82" t="str">
        <f t="shared" si="122"/>
        <v>TCCN-PTE-CON-EPM-CA2-SES-</v>
      </c>
      <c r="I1798" s="137" t="str">
        <f>MID(H1798,1,(LEN(H1798)-VLOOKUP(K1798,datos!$B$2:$C$12,2,0)))</f>
        <v>TCCN-PTE-CON-EPM-CA2-SES</v>
      </c>
      <c r="J1798" s="137" t="s">
        <v>6554</v>
      </c>
      <c r="K1798" s="139">
        <f>VLOOKUP(LEN(SUBSTITUTE(H1798,"-","")),datos!$A$1:$B$12,2,0)</f>
        <v>6</v>
      </c>
      <c r="L1798" s="137"/>
      <c r="M1798" s="137" t="s">
        <v>0</v>
      </c>
    </row>
    <row r="1799" spans="1:13" x14ac:dyDescent="0.35">
      <c r="A1799" s="138" t="s">
        <v>487</v>
      </c>
      <c r="B1799" s="138" t="s">
        <v>3809</v>
      </c>
      <c r="C1799" s="138" t="s">
        <v>4035</v>
      </c>
      <c r="D1799" s="138" t="s">
        <v>4036</v>
      </c>
      <c r="E1799" s="138" t="s">
        <v>4014</v>
      </c>
      <c r="F1799" s="138" t="s">
        <v>3824</v>
      </c>
      <c r="G1799" s="138" t="s">
        <v>3853</v>
      </c>
      <c r="H1799" s="81" t="str">
        <f t="shared" si="122"/>
        <v>TCCN-PTE-CON-EPM-CA2-SES-EST</v>
      </c>
      <c r="I1799" s="138" t="str">
        <f>MID(H1799,1,(LEN(H1799)-VLOOKUP(K1799,datos!$B$2:$C$12,2,0)))</f>
        <v>TCCN-PTE-CON-EPM-CA2-SES-EST</v>
      </c>
      <c r="J1799" s="138" t="s">
        <v>7636</v>
      </c>
      <c r="K1799" s="140">
        <f>VLOOKUP(LEN(SUBSTITUTE(H1799,"-","")),datos!$A$1:$B$12,2,0)</f>
        <v>7</v>
      </c>
      <c r="L1799" s="138"/>
      <c r="M1799" s="138" t="s">
        <v>0</v>
      </c>
    </row>
    <row r="1800" spans="1:13" x14ac:dyDescent="0.35">
      <c r="A1800" s="137" t="s">
        <v>487</v>
      </c>
      <c r="B1800" s="137" t="s">
        <v>3809</v>
      </c>
      <c r="C1800" s="137" t="s">
        <v>4035</v>
      </c>
      <c r="D1800" s="137" t="s">
        <v>4036</v>
      </c>
      <c r="E1800" s="137" t="s">
        <v>4014</v>
      </c>
      <c r="F1800" s="137" t="s">
        <v>3831</v>
      </c>
      <c r="G1800" s="137"/>
      <c r="H1800" s="82" t="str">
        <f t="shared" si="122"/>
        <v>TCCN-PTE-CON-EPM-CA2-INS-</v>
      </c>
      <c r="I1800" s="137" t="str">
        <f>MID(H1800,1,(LEN(H1800)-VLOOKUP(K1800,datos!$B$2:$C$12,2,0)))</f>
        <v>TCCN-PTE-CON-EPM-CA2-INS</v>
      </c>
      <c r="J1800" s="137" t="s">
        <v>6555</v>
      </c>
      <c r="K1800" s="139">
        <f>VLOOKUP(LEN(SUBSTITUTE(H1800,"-","")),datos!$A$1:$B$12,2,0)</f>
        <v>6</v>
      </c>
      <c r="L1800" s="137"/>
      <c r="M1800" s="137" t="s">
        <v>0</v>
      </c>
    </row>
    <row r="1801" spans="1:13" x14ac:dyDescent="0.35">
      <c r="A1801" s="138" t="s">
        <v>487</v>
      </c>
      <c r="B1801" s="138" t="s">
        <v>3809</v>
      </c>
      <c r="C1801" s="138" t="s">
        <v>4035</v>
      </c>
      <c r="D1801" s="138" t="s">
        <v>4036</v>
      </c>
      <c r="E1801" s="138" t="s">
        <v>4014</v>
      </c>
      <c r="F1801" s="138" t="s">
        <v>3831</v>
      </c>
      <c r="G1801" s="138" t="s">
        <v>5256</v>
      </c>
      <c r="H1801" s="81" t="str">
        <f t="shared" si="122"/>
        <v>TCCN-PTE-CON-EPM-CA2-INS-MNV</v>
      </c>
      <c r="I1801" s="138" t="str">
        <f>MID(H1801,1,(LEN(H1801)-VLOOKUP(K1801,datos!$B$2:$C$12,2,0)))</f>
        <v>TCCN-PTE-CON-EPM-CA2-INS-MNV</v>
      </c>
      <c r="J1801" s="138" t="s">
        <v>7612</v>
      </c>
      <c r="K1801" s="140">
        <f>VLOOKUP(LEN(SUBSTITUTE(H1801,"-","")),datos!$A$1:$B$12,2,0)</f>
        <v>7</v>
      </c>
      <c r="L1801" s="138" t="s">
        <v>7635</v>
      </c>
      <c r="M1801" s="138" t="s">
        <v>0</v>
      </c>
    </row>
    <row r="1802" spans="1:13" customFormat="1" ht="14.5" x14ac:dyDescent="0.35">
      <c r="A1802" s="129" t="s">
        <v>487</v>
      </c>
      <c r="B1802" s="129" t="s">
        <v>3809</v>
      </c>
      <c r="C1802" s="129" t="s">
        <v>4035</v>
      </c>
      <c r="D1802" s="129" t="s">
        <v>4036</v>
      </c>
      <c r="E1802" s="129" t="s">
        <v>3947</v>
      </c>
      <c r="F1802" s="129"/>
      <c r="G1802" s="129"/>
      <c r="H1802" s="83" t="str">
        <f t="shared" si="122"/>
        <v>TCCN-PTE-CON-EPM-B01--</v>
      </c>
      <c r="I1802" s="129" t="str">
        <f>MID(H1802,1,(LEN(H1802)-VLOOKUP(K1802,datos!$B$2:$C$12,2,0)))</f>
        <v>TCCN-PTE-CON-EPM-B01</v>
      </c>
      <c r="J1802" s="129" t="s">
        <v>7467</v>
      </c>
      <c r="K1802" s="130">
        <f>VLOOKUP(LEN(SUBSTITUTE(H1802,"-","")),datos!$A$1:$B$12,2,0)</f>
        <v>5</v>
      </c>
      <c r="L1802" s="129" t="s">
        <v>249</v>
      </c>
      <c r="M1802" s="129" t="s">
        <v>0</v>
      </c>
    </row>
    <row r="1803" spans="1:13" x14ac:dyDescent="0.35">
      <c r="A1803" s="137" t="s">
        <v>487</v>
      </c>
      <c r="B1803" s="137" t="s">
        <v>3809</v>
      </c>
      <c r="C1803" s="137" t="s">
        <v>4035</v>
      </c>
      <c r="D1803" s="137" t="s">
        <v>4036</v>
      </c>
      <c r="E1803" s="137" t="s">
        <v>3947</v>
      </c>
      <c r="F1803" s="137" t="s">
        <v>5106</v>
      </c>
      <c r="G1803" s="137"/>
      <c r="H1803" s="82" t="str">
        <f t="shared" si="122"/>
        <v>TCCN-PTE-CON-EPM-B01-PHU-</v>
      </c>
      <c r="I1803" s="137" t="str">
        <f>MID(H1803,1,(LEN(H1803)-VLOOKUP(K1803,datos!$B$2:$C$12,2,0)))</f>
        <v>TCCN-PTE-CON-EPM-B01-PHU</v>
      </c>
      <c r="J1803" s="137" t="s">
        <v>4693</v>
      </c>
      <c r="K1803" s="139">
        <f>VLOOKUP(LEN(SUBSTITUTE(H1803,"-","")),datos!$A$1:$B$12,2,0)</f>
        <v>6</v>
      </c>
      <c r="L1803" s="137"/>
      <c r="M1803" s="137" t="s">
        <v>0</v>
      </c>
    </row>
    <row r="1804" spans="1:13" x14ac:dyDescent="0.35">
      <c r="A1804" s="137" t="s">
        <v>487</v>
      </c>
      <c r="B1804" s="137" t="s">
        <v>3809</v>
      </c>
      <c r="C1804" s="137" t="s">
        <v>4035</v>
      </c>
      <c r="D1804" s="137" t="s">
        <v>4036</v>
      </c>
      <c r="E1804" s="137" t="s">
        <v>3947</v>
      </c>
      <c r="F1804" s="137" t="s">
        <v>4073</v>
      </c>
      <c r="G1804" s="137"/>
      <c r="H1804" s="82" t="str">
        <f t="shared" si="122"/>
        <v>TCCN-PTE-CON-EPM-B01-PYV-</v>
      </c>
      <c r="I1804" s="137" t="str">
        <f>MID(H1804,1,(LEN(H1804)-VLOOKUP(K1804,datos!$B$2:$C$12,2,0)))</f>
        <v>TCCN-PTE-CON-EPM-B01-PYV</v>
      </c>
      <c r="J1804" s="137" t="s">
        <v>4694</v>
      </c>
      <c r="K1804" s="139">
        <f>VLOOKUP(LEN(SUBSTITUTE(H1804,"-","")),datos!$A$1:$B$12,2,0)</f>
        <v>6</v>
      </c>
      <c r="L1804" s="137"/>
      <c r="M1804" s="137" t="s">
        <v>0</v>
      </c>
    </row>
    <row r="1805" spans="1:13" x14ac:dyDescent="0.35">
      <c r="A1805" s="137" t="s">
        <v>487</v>
      </c>
      <c r="B1805" s="137" t="s">
        <v>3809</v>
      </c>
      <c r="C1805" s="137" t="s">
        <v>4035</v>
      </c>
      <c r="D1805" s="137" t="s">
        <v>4036</v>
      </c>
      <c r="E1805" s="137" t="s">
        <v>3947</v>
      </c>
      <c r="F1805" s="137" t="s">
        <v>5107</v>
      </c>
      <c r="G1805" s="137"/>
      <c r="H1805" s="82" t="str">
        <f t="shared" si="122"/>
        <v>TCCN-PTE-CON-EPM-B01-SAS-</v>
      </c>
      <c r="I1805" s="137" t="str">
        <f>MID(H1805,1,(LEN(H1805)-VLOOKUP(K1805,datos!$B$2:$C$12,2,0)))</f>
        <v>TCCN-PTE-CON-EPM-B01-SAS</v>
      </c>
      <c r="J1805" s="137" t="s">
        <v>4695</v>
      </c>
      <c r="K1805" s="139">
        <f>VLOOKUP(LEN(SUBSTITUTE(H1805,"-","")),datos!$A$1:$B$12,2,0)</f>
        <v>6</v>
      </c>
      <c r="L1805" s="137"/>
      <c r="M1805" s="137" t="s">
        <v>0</v>
      </c>
    </row>
    <row r="1806" spans="1:13" x14ac:dyDescent="0.35">
      <c r="A1806" s="138" t="s">
        <v>487</v>
      </c>
      <c r="B1806" s="138" t="s">
        <v>3809</v>
      </c>
      <c r="C1806" s="138" t="s">
        <v>4035</v>
      </c>
      <c r="D1806" s="138" t="s">
        <v>4036</v>
      </c>
      <c r="E1806" s="138" t="s">
        <v>3947</v>
      </c>
      <c r="F1806" s="138" t="s">
        <v>5107</v>
      </c>
      <c r="G1806" s="138" t="s">
        <v>4075</v>
      </c>
      <c r="H1806" s="81" t="str">
        <f t="shared" ref="H1806" si="124">CONCATENATE(A1806,"-",B1806,"-",C1806,"-",D1806,"-",E1806,"-",F1806,"-",G1806)</f>
        <v>TCCN-PTE-CON-EPM-B01-SAS-VVA</v>
      </c>
      <c r="I1806" s="138" t="str">
        <f>MID(H1806,1,(LEN(H1806)-VLOOKUP(K1806,datos!$B$2:$C$12,2,0)))</f>
        <v>TCCN-PTE-CON-EPM-B01-SAS-VVA</v>
      </c>
      <c r="J1806" s="138" t="s">
        <v>7443</v>
      </c>
      <c r="K1806" s="140">
        <f>VLOOKUP(LEN(SUBSTITUTE(H1806,"-","")),datos!$A$1:$B$12,2,0)</f>
        <v>7</v>
      </c>
      <c r="L1806" s="138" t="s">
        <v>7469</v>
      </c>
      <c r="M1806" s="138" t="s">
        <v>0</v>
      </c>
    </row>
    <row r="1807" spans="1:13" x14ac:dyDescent="0.35">
      <c r="A1807" s="137" t="s">
        <v>487</v>
      </c>
      <c r="B1807" s="137" t="s">
        <v>3809</v>
      </c>
      <c r="C1807" s="137" t="s">
        <v>4035</v>
      </c>
      <c r="D1807" s="137" t="s">
        <v>4036</v>
      </c>
      <c r="E1807" s="137" t="s">
        <v>3947</v>
      </c>
      <c r="F1807" s="137" t="s">
        <v>3847</v>
      </c>
      <c r="G1807" s="137"/>
      <c r="H1807" s="82" t="str">
        <f t="shared" si="122"/>
        <v>TCCN-PTE-CON-EPM-B01-SMO-</v>
      </c>
      <c r="I1807" s="137" t="str">
        <f>MID(H1807,1,(LEN(H1807)-VLOOKUP(K1807,datos!$B$2:$C$12,2,0)))</f>
        <v>TCCN-PTE-CON-EPM-B01-SMO</v>
      </c>
      <c r="J1807" s="137" t="s">
        <v>4696</v>
      </c>
      <c r="K1807" s="139">
        <f>VLOOKUP(LEN(SUBSTITUTE(H1807,"-","")),datos!$A$1:$B$12,2,0)</f>
        <v>6</v>
      </c>
      <c r="L1807" s="137"/>
      <c r="M1807" s="137" t="s">
        <v>0</v>
      </c>
    </row>
    <row r="1808" spans="1:13" x14ac:dyDescent="0.35">
      <c r="A1808" s="138" t="s">
        <v>487</v>
      </c>
      <c r="B1808" s="138" t="s">
        <v>3809</v>
      </c>
      <c r="C1808" s="138" t="s">
        <v>4035</v>
      </c>
      <c r="D1808" s="138" t="s">
        <v>4036</v>
      </c>
      <c r="E1808" s="138" t="s">
        <v>3947</v>
      </c>
      <c r="F1808" s="138" t="s">
        <v>3847</v>
      </c>
      <c r="G1808" s="138" t="s">
        <v>3819</v>
      </c>
      <c r="H1808" s="81" t="str">
        <f t="shared" si="122"/>
        <v>TCCN-PTE-CON-EPM-B01-SMO-MOE</v>
      </c>
      <c r="I1808" s="138" t="str">
        <f>MID(H1808,1,(LEN(H1808)-VLOOKUP(K1808,datos!$B$2:$C$12,2,0)))</f>
        <v>TCCN-PTE-CON-EPM-B01-SMO-MOE</v>
      </c>
      <c r="J1808" s="138" t="s">
        <v>5341</v>
      </c>
      <c r="K1808" s="140">
        <f>VLOOKUP(LEN(SUBSTITUTE(H1808,"-","")),datos!$A$1:$B$12,2,0)</f>
        <v>7</v>
      </c>
      <c r="L1808" s="138" t="s">
        <v>250</v>
      </c>
      <c r="M1808" s="138" t="s">
        <v>0</v>
      </c>
    </row>
    <row r="1809" spans="1:13" x14ac:dyDescent="0.35">
      <c r="A1809" s="137" t="s">
        <v>487</v>
      </c>
      <c r="B1809" s="137" t="s">
        <v>3809</v>
      </c>
      <c r="C1809" s="137" t="s">
        <v>4035</v>
      </c>
      <c r="D1809" s="137" t="s">
        <v>4036</v>
      </c>
      <c r="E1809" s="137" t="s">
        <v>3947</v>
      </c>
      <c r="F1809" s="137" t="s">
        <v>3831</v>
      </c>
      <c r="G1809" s="137"/>
      <c r="H1809" s="82" t="str">
        <f>CONCATENATE(A1809,"-",B1809,"-",C1809,"-",D1809,"-",E1809,"-",F1809,"-",G1809)</f>
        <v>TCCN-PTE-CON-EPM-B01-INS-</v>
      </c>
      <c r="I1809" s="137" t="str">
        <f>MID(H1809,1,(LEN(H1809)-VLOOKUP(K1809,datos!$B$2:$C$12,2,0)))</f>
        <v>TCCN-PTE-CON-EPM-B01-INS</v>
      </c>
      <c r="J1809" s="137" t="s">
        <v>4699</v>
      </c>
      <c r="K1809" s="139">
        <f>VLOOKUP(LEN(SUBSTITUTE(H1809,"-","")),datos!$A$1:$B$12,2,0)</f>
        <v>6</v>
      </c>
      <c r="L1809" s="137"/>
      <c r="M1809" s="137" t="s">
        <v>0</v>
      </c>
    </row>
    <row r="1810" spans="1:13" x14ac:dyDescent="0.35">
      <c r="A1810" s="138" t="s">
        <v>487</v>
      </c>
      <c r="B1810" s="138" t="s">
        <v>3809</v>
      </c>
      <c r="C1810" s="138" t="s">
        <v>4035</v>
      </c>
      <c r="D1810" s="138" t="s">
        <v>4036</v>
      </c>
      <c r="E1810" s="138" t="s">
        <v>3947</v>
      </c>
      <c r="F1810" s="138" t="s">
        <v>3831</v>
      </c>
      <c r="G1810" s="138" t="s">
        <v>7069</v>
      </c>
      <c r="H1810" s="81" t="str">
        <f>CONCATENATE(A1810,"-",B1810,"-",C1810,"-",D1810,"-",E1810,"-",F1810,"-",G1810)</f>
        <v>TCCN-PTE-CON-EPM-B01-INS-MPN</v>
      </c>
      <c r="I1810" s="138" t="str">
        <f>MID(H1810,1,(LEN(H1810)-VLOOKUP(K1810,datos!$B$2:$C$12,2,0)))</f>
        <v>TCCN-PTE-CON-EPM-B01-INS-MPN</v>
      </c>
      <c r="J1810" s="138" t="s">
        <v>8150</v>
      </c>
      <c r="K1810" s="140">
        <f>VLOOKUP(LEN(SUBSTITUTE(H1810,"-","")),datos!$A$1:$B$12,2,0)</f>
        <v>7</v>
      </c>
      <c r="L1810" s="138" t="s">
        <v>8134</v>
      </c>
      <c r="M1810" s="138" t="s">
        <v>0</v>
      </c>
    </row>
    <row r="1811" spans="1:13" x14ac:dyDescent="0.35">
      <c r="A1811" s="137" t="s">
        <v>487</v>
      </c>
      <c r="B1811" s="137" t="s">
        <v>3809</v>
      </c>
      <c r="C1811" s="137" t="s">
        <v>4035</v>
      </c>
      <c r="D1811" s="137" t="s">
        <v>4036</v>
      </c>
      <c r="E1811" s="137" t="s">
        <v>3947</v>
      </c>
      <c r="F1811" s="137" t="s">
        <v>3869</v>
      </c>
      <c r="G1811" s="137"/>
      <c r="H1811" s="82" t="str">
        <f t="shared" si="122"/>
        <v>TCCN-PTE-CON-EPM-B01-SCE-</v>
      </c>
      <c r="I1811" s="137" t="str">
        <f>MID(H1811,1,(LEN(H1811)-VLOOKUP(K1811,datos!$B$2:$C$12,2,0)))</f>
        <v>TCCN-PTE-CON-EPM-B01-SCE</v>
      </c>
      <c r="J1811" s="137" t="s">
        <v>4697</v>
      </c>
      <c r="K1811" s="139">
        <f>VLOOKUP(LEN(SUBSTITUTE(H1811,"-","")),datos!$A$1:$B$12,2,0)</f>
        <v>6</v>
      </c>
      <c r="L1811" s="137"/>
      <c r="M1811" s="137" t="s">
        <v>0</v>
      </c>
    </row>
    <row r="1812" spans="1:13" x14ac:dyDescent="0.35">
      <c r="A1812" s="138" t="s">
        <v>487</v>
      </c>
      <c r="B1812" s="138" t="s">
        <v>3809</v>
      </c>
      <c r="C1812" s="138" t="s">
        <v>4035</v>
      </c>
      <c r="D1812" s="138" t="s">
        <v>4036</v>
      </c>
      <c r="E1812" s="138" t="s">
        <v>3947</v>
      </c>
      <c r="F1812" s="138" t="s">
        <v>3869</v>
      </c>
      <c r="G1812" s="138" t="s">
        <v>3870</v>
      </c>
      <c r="H1812" s="81" t="str">
        <f t="shared" si="122"/>
        <v>TCCN-PTE-CON-EPM-B01-SCE-BTN</v>
      </c>
      <c r="I1812" s="138" t="str">
        <f>MID(H1812,1,(LEN(H1812)-VLOOKUP(K1812,datos!$B$2:$C$12,2,0)))</f>
        <v>TCCN-PTE-CON-EPM-B01-SCE-BTN</v>
      </c>
      <c r="J1812" s="138" t="s">
        <v>4698</v>
      </c>
      <c r="K1812" s="140">
        <f>VLOOKUP(LEN(SUBSTITUTE(H1812,"-","")),datos!$A$1:$B$12,2,0)</f>
        <v>7</v>
      </c>
      <c r="L1812" s="138"/>
      <c r="M1812" s="138" t="s">
        <v>0</v>
      </c>
    </row>
    <row r="1813" spans="1:13" customFormat="1" ht="14.5" x14ac:dyDescent="0.35">
      <c r="A1813" s="129" t="s">
        <v>487</v>
      </c>
      <c r="B1813" s="129" t="s">
        <v>3809</v>
      </c>
      <c r="C1813" s="129" t="s">
        <v>4035</v>
      </c>
      <c r="D1813" s="129" t="s">
        <v>4036</v>
      </c>
      <c r="E1813" s="129" t="s">
        <v>3949</v>
      </c>
      <c r="F1813" s="129"/>
      <c r="G1813" s="129"/>
      <c r="H1813" s="83" t="str">
        <f t="shared" si="122"/>
        <v>TCCN-PTE-CON-EPM-B02--</v>
      </c>
      <c r="I1813" s="129" t="str">
        <f>MID(H1813,1,(LEN(H1813)-VLOOKUP(K1813,datos!$B$2:$C$12,2,0)))</f>
        <v>TCCN-PTE-CON-EPM-B02</v>
      </c>
      <c r="J1813" s="129" t="s">
        <v>7468</v>
      </c>
      <c r="K1813" s="130">
        <f>VLOOKUP(LEN(SUBSTITUTE(H1813,"-","")),datos!$A$1:$B$12,2,0)</f>
        <v>5</v>
      </c>
      <c r="L1813" s="129" t="s">
        <v>251</v>
      </c>
      <c r="M1813" s="129" t="s">
        <v>0</v>
      </c>
    </row>
    <row r="1814" spans="1:13" x14ac:dyDescent="0.35">
      <c r="A1814" s="137" t="s">
        <v>487</v>
      </c>
      <c r="B1814" s="137" t="s">
        <v>3809</v>
      </c>
      <c r="C1814" s="137" t="s">
        <v>4035</v>
      </c>
      <c r="D1814" s="137" t="s">
        <v>4036</v>
      </c>
      <c r="E1814" s="137" t="s">
        <v>3949</v>
      </c>
      <c r="F1814" s="137" t="s">
        <v>5106</v>
      </c>
      <c r="G1814" s="137"/>
      <c r="H1814" s="82" t="str">
        <f t="shared" si="122"/>
        <v>TCCN-PTE-CON-EPM-B02-PHU-</v>
      </c>
      <c r="I1814" s="137" t="str">
        <f>MID(H1814,1,(LEN(H1814)-VLOOKUP(K1814,datos!$B$2:$C$12,2,0)))</f>
        <v>TCCN-PTE-CON-EPM-B02-PHU</v>
      </c>
      <c r="J1814" s="137" t="s">
        <v>4686</v>
      </c>
      <c r="K1814" s="139">
        <f>VLOOKUP(LEN(SUBSTITUTE(H1814,"-","")),datos!$A$1:$B$12,2,0)</f>
        <v>6</v>
      </c>
      <c r="L1814" s="137"/>
      <c r="M1814" s="137" t="s">
        <v>0</v>
      </c>
    </row>
    <row r="1815" spans="1:13" x14ac:dyDescent="0.35">
      <c r="A1815" s="137" t="s">
        <v>487</v>
      </c>
      <c r="B1815" s="137" t="s">
        <v>3809</v>
      </c>
      <c r="C1815" s="137" t="s">
        <v>4035</v>
      </c>
      <c r="D1815" s="137" t="s">
        <v>4036</v>
      </c>
      <c r="E1815" s="137" t="s">
        <v>3949</v>
      </c>
      <c r="F1815" s="137" t="s">
        <v>4073</v>
      </c>
      <c r="G1815" s="137"/>
      <c r="H1815" s="82" t="str">
        <f t="shared" si="122"/>
        <v>TCCN-PTE-CON-EPM-B02-PYV-</v>
      </c>
      <c r="I1815" s="137" t="str">
        <f>MID(H1815,1,(LEN(H1815)-VLOOKUP(K1815,datos!$B$2:$C$12,2,0)))</f>
        <v>TCCN-PTE-CON-EPM-B02-PYV</v>
      </c>
      <c r="J1815" s="137" t="s">
        <v>4687</v>
      </c>
      <c r="K1815" s="139">
        <f>VLOOKUP(LEN(SUBSTITUTE(H1815,"-","")),datos!$A$1:$B$12,2,0)</f>
        <v>6</v>
      </c>
      <c r="L1815" s="137"/>
      <c r="M1815" s="137" t="s">
        <v>0</v>
      </c>
    </row>
    <row r="1816" spans="1:13" x14ac:dyDescent="0.35">
      <c r="A1816" s="137" t="s">
        <v>487</v>
      </c>
      <c r="B1816" s="137" t="s">
        <v>3809</v>
      </c>
      <c r="C1816" s="137" t="s">
        <v>4035</v>
      </c>
      <c r="D1816" s="137" t="s">
        <v>4036</v>
      </c>
      <c r="E1816" s="137" t="s">
        <v>3949</v>
      </c>
      <c r="F1816" s="137" t="s">
        <v>5107</v>
      </c>
      <c r="G1816" s="137"/>
      <c r="H1816" s="82" t="str">
        <f t="shared" si="122"/>
        <v>TCCN-PTE-CON-EPM-B02-SAS-</v>
      </c>
      <c r="I1816" s="137" t="str">
        <f>MID(H1816,1,(LEN(H1816)-VLOOKUP(K1816,datos!$B$2:$C$12,2,0)))</f>
        <v>TCCN-PTE-CON-EPM-B02-SAS</v>
      </c>
      <c r="J1816" s="137" t="s">
        <v>4688</v>
      </c>
      <c r="K1816" s="139">
        <f>VLOOKUP(LEN(SUBSTITUTE(H1816,"-","")),datos!$A$1:$B$12,2,0)</f>
        <v>6</v>
      </c>
      <c r="L1816" s="137"/>
      <c r="M1816" s="137" t="s">
        <v>0</v>
      </c>
    </row>
    <row r="1817" spans="1:13" x14ac:dyDescent="0.35">
      <c r="A1817" s="138" t="s">
        <v>487</v>
      </c>
      <c r="B1817" s="138" t="s">
        <v>3809</v>
      </c>
      <c r="C1817" s="138" t="s">
        <v>4035</v>
      </c>
      <c r="D1817" s="138" t="s">
        <v>4036</v>
      </c>
      <c r="E1817" s="138" t="s">
        <v>3949</v>
      </c>
      <c r="F1817" s="138" t="s">
        <v>5107</v>
      </c>
      <c r="G1817" s="138" t="s">
        <v>4075</v>
      </c>
      <c r="H1817" s="81" t="str">
        <f t="shared" si="122"/>
        <v>TCCN-PTE-CON-EPM-B02-SAS-VVA</v>
      </c>
      <c r="I1817" s="138" t="str">
        <f>MID(H1817,1,(LEN(H1817)-VLOOKUP(K1817,datos!$B$2:$C$12,2,0)))</f>
        <v>TCCN-PTE-CON-EPM-B02-SAS-VVA</v>
      </c>
      <c r="J1817" s="138" t="s">
        <v>7444</v>
      </c>
      <c r="K1817" s="140">
        <f>VLOOKUP(LEN(SUBSTITUTE(H1817,"-","")),datos!$A$1:$B$12,2,0)</f>
        <v>7</v>
      </c>
      <c r="L1817" s="138" t="s">
        <v>7470</v>
      </c>
      <c r="M1817" s="138" t="s">
        <v>0</v>
      </c>
    </row>
    <row r="1818" spans="1:13" x14ac:dyDescent="0.35">
      <c r="A1818" s="137" t="s">
        <v>487</v>
      </c>
      <c r="B1818" s="137" t="s">
        <v>3809</v>
      </c>
      <c r="C1818" s="137" t="s">
        <v>4035</v>
      </c>
      <c r="D1818" s="137" t="s">
        <v>4036</v>
      </c>
      <c r="E1818" s="137" t="s">
        <v>3949</v>
      </c>
      <c r="F1818" s="137" t="s">
        <v>3847</v>
      </c>
      <c r="G1818" s="137"/>
      <c r="H1818" s="82" t="str">
        <f t="shared" si="122"/>
        <v>TCCN-PTE-CON-EPM-B02-SMO-</v>
      </c>
      <c r="I1818" s="137" t="str">
        <f>MID(H1818,1,(LEN(H1818)-VLOOKUP(K1818,datos!$B$2:$C$12,2,0)))</f>
        <v>TCCN-PTE-CON-EPM-B02-SMO</v>
      </c>
      <c r="J1818" s="137" t="s">
        <v>4689</v>
      </c>
      <c r="K1818" s="139">
        <f>VLOOKUP(LEN(SUBSTITUTE(H1818,"-","")),datos!$A$1:$B$12,2,0)</f>
        <v>6</v>
      </c>
      <c r="L1818" s="137"/>
      <c r="M1818" s="137" t="s">
        <v>0</v>
      </c>
    </row>
    <row r="1819" spans="1:13" x14ac:dyDescent="0.35">
      <c r="A1819" s="138" t="s">
        <v>487</v>
      </c>
      <c r="B1819" s="138" t="s">
        <v>3809</v>
      </c>
      <c r="C1819" s="138" t="s">
        <v>4035</v>
      </c>
      <c r="D1819" s="138" t="s">
        <v>4036</v>
      </c>
      <c r="E1819" s="138" t="s">
        <v>3949</v>
      </c>
      <c r="F1819" s="138" t="s">
        <v>3847</v>
      </c>
      <c r="G1819" s="138" t="s">
        <v>3819</v>
      </c>
      <c r="H1819" s="81" t="str">
        <f t="shared" si="122"/>
        <v>TCCN-PTE-CON-EPM-B02-SMO-MOE</v>
      </c>
      <c r="I1819" s="138" t="str">
        <f>MID(H1819,1,(LEN(H1819)-VLOOKUP(K1819,datos!$B$2:$C$12,2,0)))</f>
        <v>TCCN-PTE-CON-EPM-B02-SMO-MOE</v>
      </c>
      <c r="J1819" s="138" t="s">
        <v>5342</v>
      </c>
      <c r="K1819" s="140">
        <f>VLOOKUP(LEN(SUBSTITUTE(H1819,"-","")),datos!$A$1:$B$12,2,0)</f>
        <v>7</v>
      </c>
      <c r="L1819" s="138" t="s">
        <v>252</v>
      </c>
      <c r="M1819" s="138" t="s">
        <v>0</v>
      </c>
    </row>
    <row r="1820" spans="1:13" x14ac:dyDescent="0.35">
      <c r="A1820" s="137" t="s">
        <v>487</v>
      </c>
      <c r="B1820" s="137" t="s">
        <v>3809</v>
      </c>
      <c r="C1820" s="137" t="s">
        <v>4035</v>
      </c>
      <c r="D1820" s="137" t="s">
        <v>4036</v>
      </c>
      <c r="E1820" s="137" t="s">
        <v>3949</v>
      </c>
      <c r="F1820" s="137" t="s">
        <v>3831</v>
      </c>
      <c r="G1820" s="137"/>
      <c r="H1820" s="82" t="str">
        <f>CONCATENATE(A1820,"-",B1820,"-",C1820,"-",D1820,"-",E1820,"-",F1820,"-",G1820)</f>
        <v>TCCN-PTE-CON-EPM-B02-INS-</v>
      </c>
      <c r="I1820" s="137" t="str">
        <f>MID(H1820,1,(LEN(H1820)-VLOOKUP(K1820,datos!$B$2:$C$12,2,0)))</f>
        <v>TCCN-PTE-CON-EPM-B02-INS</v>
      </c>
      <c r="J1820" s="137" t="s">
        <v>4692</v>
      </c>
      <c r="K1820" s="139">
        <f>VLOOKUP(LEN(SUBSTITUTE(H1820,"-","")),datos!$A$1:$B$12,2,0)</f>
        <v>6</v>
      </c>
      <c r="L1820" s="137"/>
      <c r="M1820" s="137" t="s">
        <v>0</v>
      </c>
    </row>
    <row r="1821" spans="1:13" x14ac:dyDescent="0.35">
      <c r="A1821" s="138" t="s">
        <v>487</v>
      </c>
      <c r="B1821" s="138" t="s">
        <v>3809</v>
      </c>
      <c r="C1821" s="138" t="s">
        <v>4035</v>
      </c>
      <c r="D1821" s="138" t="s">
        <v>4036</v>
      </c>
      <c r="E1821" s="138" t="s">
        <v>3949</v>
      </c>
      <c r="F1821" s="138" t="s">
        <v>3831</v>
      </c>
      <c r="G1821" s="138" t="s">
        <v>7069</v>
      </c>
      <c r="H1821" s="81" t="str">
        <f>CONCATENATE(A1821,"-",B1821,"-",C1821,"-",D1821,"-",E1821,"-",F1821,"-",G1821)</f>
        <v>TCCN-PTE-CON-EPM-B02-INS-MPN</v>
      </c>
      <c r="I1821" s="138" t="str">
        <f>MID(H1821,1,(LEN(H1821)-VLOOKUP(K1821,datos!$B$2:$C$12,2,0)))</f>
        <v>TCCN-PTE-CON-EPM-B02-INS-MPN</v>
      </c>
      <c r="J1821" s="138" t="s">
        <v>8151</v>
      </c>
      <c r="K1821" s="140">
        <f>VLOOKUP(LEN(SUBSTITUTE(H1821,"-","")),datos!$A$1:$B$12,2,0)</f>
        <v>7</v>
      </c>
      <c r="L1821" s="138" t="s">
        <v>8135</v>
      </c>
      <c r="M1821" s="138" t="s">
        <v>0</v>
      </c>
    </row>
    <row r="1822" spans="1:13" x14ac:dyDescent="0.35">
      <c r="A1822" s="137" t="s">
        <v>487</v>
      </c>
      <c r="B1822" s="137" t="s">
        <v>3809</v>
      </c>
      <c r="C1822" s="137" t="s">
        <v>4035</v>
      </c>
      <c r="D1822" s="137" t="s">
        <v>4036</v>
      </c>
      <c r="E1822" s="137" t="s">
        <v>3949</v>
      </c>
      <c r="F1822" s="137" t="s">
        <v>3869</v>
      </c>
      <c r="G1822" s="137"/>
      <c r="H1822" s="82" t="str">
        <f t="shared" si="122"/>
        <v>TCCN-PTE-CON-EPM-B02-SCE-</v>
      </c>
      <c r="I1822" s="137" t="str">
        <f>MID(H1822,1,(LEN(H1822)-VLOOKUP(K1822,datos!$B$2:$C$12,2,0)))</f>
        <v>TCCN-PTE-CON-EPM-B02-SCE</v>
      </c>
      <c r="J1822" s="137" t="s">
        <v>4690</v>
      </c>
      <c r="K1822" s="139">
        <f>VLOOKUP(LEN(SUBSTITUTE(H1822,"-","")),datos!$A$1:$B$12,2,0)</f>
        <v>6</v>
      </c>
      <c r="L1822" s="137"/>
      <c r="M1822" s="137" t="s">
        <v>0</v>
      </c>
    </row>
    <row r="1823" spans="1:13" x14ac:dyDescent="0.35">
      <c r="A1823" s="138" t="s">
        <v>487</v>
      </c>
      <c r="B1823" s="138" t="s">
        <v>3809</v>
      </c>
      <c r="C1823" s="138" t="s">
        <v>4035</v>
      </c>
      <c r="D1823" s="138" t="s">
        <v>4036</v>
      </c>
      <c r="E1823" s="138" t="s">
        <v>3949</v>
      </c>
      <c r="F1823" s="138" t="s">
        <v>3869</v>
      </c>
      <c r="G1823" s="138" t="s">
        <v>3870</v>
      </c>
      <c r="H1823" s="81" t="str">
        <f t="shared" si="122"/>
        <v>TCCN-PTE-CON-EPM-B02-SCE-BTN</v>
      </c>
      <c r="I1823" s="138" t="str">
        <f>MID(H1823,1,(LEN(H1823)-VLOOKUP(K1823,datos!$B$2:$C$12,2,0)))</f>
        <v>TCCN-PTE-CON-EPM-B02-SCE-BTN</v>
      </c>
      <c r="J1823" s="138" t="s">
        <v>4691</v>
      </c>
      <c r="K1823" s="140">
        <f>VLOOKUP(LEN(SUBSTITUTE(H1823,"-","")),datos!$A$1:$B$12,2,0)</f>
        <v>7</v>
      </c>
      <c r="L1823" s="138"/>
      <c r="M1823" s="138" t="s">
        <v>0</v>
      </c>
    </row>
    <row r="1824" spans="1:13" customFormat="1" ht="14.5" x14ac:dyDescent="0.35">
      <c r="A1824" s="129" t="s">
        <v>487</v>
      </c>
      <c r="B1824" s="129" t="s">
        <v>3809</v>
      </c>
      <c r="C1824" s="129" t="s">
        <v>4035</v>
      </c>
      <c r="D1824" s="129" t="s">
        <v>4036</v>
      </c>
      <c r="E1824" s="129" t="s">
        <v>4045</v>
      </c>
      <c r="F1824" s="129"/>
      <c r="G1824" s="129"/>
      <c r="H1824" s="83" t="str">
        <f t="shared" ref="H1824:H1886" si="125">CONCATENATE(A1824,"-",B1824,"-",C1824,"-",D1824,"-",E1824,"-",F1824,"-",G1824)</f>
        <v>TCCN-PTE-CON-EPM-UH1--</v>
      </c>
      <c r="I1824" s="129" t="str">
        <f>MID(H1824,1,(LEN(H1824)-VLOOKUP(K1824,datos!$B$2:$C$12,2,0)))</f>
        <v>TCCN-PTE-CON-EPM-UH1</v>
      </c>
      <c r="J1824" s="129" t="s">
        <v>4962</v>
      </c>
      <c r="K1824" s="130">
        <f>VLOOKUP(LEN(SUBSTITUTE(H1824,"-","")),datos!$A$1:$B$12,2,0)</f>
        <v>5</v>
      </c>
      <c r="L1824" s="129" t="s">
        <v>582</v>
      </c>
      <c r="M1824" s="129" t="s">
        <v>0</v>
      </c>
    </row>
    <row r="1825" spans="1:13" x14ac:dyDescent="0.35">
      <c r="A1825" s="137" t="s">
        <v>487</v>
      </c>
      <c r="B1825" s="137" t="s">
        <v>3809</v>
      </c>
      <c r="C1825" s="137" t="s">
        <v>4035</v>
      </c>
      <c r="D1825" s="137" t="s">
        <v>4036</v>
      </c>
      <c r="E1825" s="137" t="s">
        <v>4045</v>
      </c>
      <c r="F1825" s="137" t="s">
        <v>3816</v>
      </c>
      <c r="G1825" s="137"/>
      <c r="H1825" s="82" t="str">
        <f t="shared" si="125"/>
        <v>TCCN-PTE-CON-EPM-UH1-SHI-</v>
      </c>
      <c r="I1825" s="137" t="str">
        <f>MID(H1825,1,(LEN(H1825)-VLOOKUP(K1825,datos!$B$2:$C$12,2,0)))</f>
        <v>TCCN-PTE-CON-EPM-UH1-SHI</v>
      </c>
      <c r="J1825" s="137" t="s">
        <v>4980</v>
      </c>
      <c r="K1825" s="139">
        <f>VLOOKUP(LEN(SUBSTITUTE(H1825,"-","")),datos!$A$1:$B$12,2,0)</f>
        <v>6</v>
      </c>
      <c r="L1825" s="137"/>
      <c r="M1825" s="137" t="s">
        <v>0</v>
      </c>
    </row>
    <row r="1826" spans="1:13" x14ac:dyDescent="0.35">
      <c r="A1826" s="138" t="s">
        <v>487</v>
      </c>
      <c r="B1826" s="138" t="s">
        <v>3809</v>
      </c>
      <c r="C1826" s="138" t="s">
        <v>4035</v>
      </c>
      <c r="D1826" s="138" t="s">
        <v>4036</v>
      </c>
      <c r="E1826" s="138" t="s">
        <v>4045</v>
      </c>
      <c r="F1826" s="138" t="s">
        <v>3816</v>
      </c>
      <c r="G1826" s="138" t="s">
        <v>3818</v>
      </c>
      <c r="H1826" s="81" t="str">
        <f t="shared" si="125"/>
        <v>TCCN-PTE-CON-EPM-UH1-SHI-BBA</v>
      </c>
      <c r="I1826" s="138" t="str">
        <f>MID(H1826,1,(LEN(H1826)-VLOOKUP(K1826,datos!$B$2:$C$12,2,0)))</f>
        <v>TCCN-PTE-CON-EPM-UH1-SHI-BBA</v>
      </c>
      <c r="J1826" s="138" t="s">
        <v>4981</v>
      </c>
      <c r="K1826" s="140">
        <f>VLOOKUP(LEN(SUBSTITUTE(H1826,"-","")),datos!$A$1:$B$12,2,0)</f>
        <v>7</v>
      </c>
      <c r="L1826" s="138"/>
      <c r="M1826" s="138" t="s">
        <v>0</v>
      </c>
    </row>
    <row r="1827" spans="1:13" x14ac:dyDescent="0.35">
      <c r="A1827" s="138" t="s">
        <v>487</v>
      </c>
      <c r="B1827" s="138" t="s">
        <v>3809</v>
      </c>
      <c r="C1827" s="138" t="s">
        <v>4035</v>
      </c>
      <c r="D1827" s="138" t="s">
        <v>4036</v>
      </c>
      <c r="E1827" s="138" t="s">
        <v>4045</v>
      </c>
      <c r="F1827" s="138" t="s">
        <v>3816</v>
      </c>
      <c r="G1827" s="138" t="s">
        <v>4095</v>
      </c>
      <c r="H1827" s="81" t="str">
        <f t="shared" si="125"/>
        <v>TCCN-PTE-CON-EPM-UH1-SHI-ACU</v>
      </c>
      <c r="I1827" s="138" t="str">
        <f>MID(H1827,1,(LEN(H1827)-VLOOKUP(K1827,datos!$B$2:$C$12,2,0)))</f>
        <v>TCCN-PTE-CON-EPM-UH1-SHI-ACU</v>
      </c>
      <c r="J1827" s="138" t="s">
        <v>4982</v>
      </c>
      <c r="K1827" s="140">
        <f>VLOOKUP(LEN(SUBSTITUTE(H1827,"-","")),datos!$A$1:$B$12,2,0)</f>
        <v>7</v>
      </c>
      <c r="L1827" s="138"/>
      <c r="M1827" s="138" t="s">
        <v>0</v>
      </c>
    </row>
    <row r="1828" spans="1:13" x14ac:dyDescent="0.35">
      <c r="A1828" s="138" t="s">
        <v>487</v>
      </c>
      <c r="B1828" s="138" t="s">
        <v>3809</v>
      </c>
      <c r="C1828" s="138" t="s">
        <v>4035</v>
      </c>
      <c r="D1828" s="138" t="s">
        <v>4036</v>
      </c>
      <c r="E1828" s="138" t="s">
        <v>4045</v>
      </c>
      <c r="F1828" s="138" t="s">
        <v>3816</v>
      </c>
      <c r="G1828" s="138" t="s">
        <v>3853</v>
      </c>
      <c r="H1828" s="81" t="str">
        <f t="shared" si="125"/>
        <v>TCCN-PTE-CON-EPM-UH1-SHI-EST</v>
      </c>
      <c r="I1828" s="138" t="str">
        <f>MID(H1828,1,(LEN(H1828)-VLOOKUP(K1828,datos!$B$2:$C$12,2,0)))</f>
        <v>TCCN-PTE-CON-EPM-UH1-SHI-EST</v>
      </c>
      <c r="J1828" s="138" t="s">
        <v>4983</v>
      </c>
      <c r="K1828" s="140">
        <f>VLOOKUP(LEN(SUBSTITUTE(H1828,"-","")),datos!$A$1:$B$12,2,0)</f>
        <v>7</v>
      </c>
      <c r="L1828" s="138"/>
      <c r="M1828" s="138" t="s">
        <v>0</v>
      </c>
    </row>
    <row r="1829" spans="1:13" x14ac:dyDescent="0.35">
      <c r="A1829" s="137" t="s">
        <v>487</v>
      </c>
      <c r="B1829" s="137" t="s">
        <v>3809</v>
      </c>
      <c r="C1829" s="137" t="s">
        <v>4035</v>
      </c>
      <c r="D1829" s="137" t="s">
        <v>4036</v>
      </c>
      <c r="E1829" s="137" t="s">
        <v>4045</v>
      </c>
      <c r="F1829" s="137" t="s">
        <v>3847</v>
      </c>
      <c r="G1829" s="137"/>
      <c r="H1829" s="82" t="str">
        <f t="shared" si="125"/>
        <v>TCCN-PTE-CON-EPM-UH1-SMO-</v>
      </c>
      <c r="I1829" s="137" t="str">
        <f>MID(H1829,1,(LEN(H1829)-VLOOKUP(K1829,datos!$B$2:$C$12,2,0)))</f>
        <v>TCCN-PTE-CON-EPM-UH1-SMO</v>
      </c>
      <c r="J1829" s="137" t="s">
        <v>4984</v>
      </c>
      <c r="K1829" s="139">
        <f>VLOOKUP(LEN(SUBSTITUTE(H1829,"-","")),datos!$A$1:$B$12,2,0)</f>
        <v>6</v>
      </c>
      <c r="L1829" s="137"/>
      <c r="M1829" s="137" t="s">
        <v>0</v>
      </c>
    </row>
    <row r="1830" spans="1:13" x14ac:dyDescent="0.35">
      <c r="A1830" s="138" t="s">
        <v>487</v>
      </c>
      <c r="B1830" s="138" t="s">
        <v>3809</v>
      </c>
      <c r="C1830" s="138" t="s">
        <v>4035</v>
      </c>
      <c r="D1830" s="138" t="s">
        <v>4036</v>
      </c>
      <c r="E1830" s="138" t="s">
        <v>4045</v>
      </c>
      <c r="F1830" s="138" t="s">
        <v>3847</v>
      </c>
      <c r="G1830" s="138" t="s">
        <v>3819</v>
      </c>
      <c r="H1830" s="81" t="str">
        <f t="shared" si="125"/>
        <v>TCCN-PTE-CON-EPM-UH1-SMO-MOE</v>
      </c>
      <c r="I1830" s="138" t="str">
        <f>MID(H1830,1,(LEN(H1830)-VLOOKUP(K1830,datos!$B$2:$C$12,2,0)))</f>
        <v>TCCN-PTE-CON-EPM-UH1-SMO-MOE</v>
      </c>
      <c r="J1830" s="138" t="s">
        <v>5343</v>
      </c>
      <c r="K1830" s="140">
        <f>VLOOKUP(LEN(SUBSTITUTE(H1830,"-","")),datos!$A$1:$B$12,2,0)</f>
        <v>7</v>
      </c>
      <c r="L1830" s="138"/>
      <c r="M1830" s="138" t="s">
        <v>0</v>
      </c>
    </row>
    <row r="1831" spans="1:13" x14ac:dyDescent="0.35">
      <c r="A1831" s="137" t="s">
        <v>487</v>
      </c>
      <c r="B1831" s="137" t="s">
        <v>3809</v>
      </c>
      <c r="C1831" s="137" t="s">
        <v>4035</v>
      </c>
      <c r="D1831" s="137" t="s">
        <v>4036</v>
      </c>
      <c r="E1831" s="137" t="s">
        <v>4045</v>
      </c>
      <c r="F1831" s="137" t="s">
        <v>3831</v>
      </c>
      <c r="G1831" s="137"/>
      <c r="H1831" s="82" t="str">
        <f t="shared" si="125"/>
        <v>TCCN-PTE-CON-EPM-UH1-INS-</v>
      </c>
      <c r="I1831" s="137" t="str">
        <f>MID(H1831,1,(LEN(H1831)-VLOOKUP(K1831,datos!$B$2:$C$12,2,0)))</f>
        <v>TCCN-PTE-CON-EPM-UH1-INS</v>
      </c>
      <c r="J1831" s="137" t="s">
        <v>6745</v>
      </c>
      <c r="K1831" s="139">
        <f>VLOOKUP(LEN(SUBSTITUTE(H1831,"-","")),datos!$A$1:$B$12,2,0)</f>
        <v>6</v>
      </c>
      <c r="L1831" s="137"/>
      <c r="M1831" s="137" t="s">
        <v>0</v>
      </c>
    </row>
    <row r="1832" spans="1:13" customFormat="1" ht="14.5" x14ac:dyDescent="0.35">
      <c r="A1832" s="129" t="s">
        <v>487</v>
      </c>
      <c r="B1832" s="129" t="s">
        <v>3809</v>
      </c>
      <c r="C1832" s="129" t="s">
        <v>4035</v>
      </c>
      <c r="D1832" s="129" t="s">
        <v>4036</v>
      </c>
      <c r="E1832" s="129" t="s">
        <v>4047</v>
      </c>
      <c r="F1832" s="129"/>
      <c r="G1832" s="129"/>
      <c r="H1832" s="83" t="str">
        <f t="shared" si="125"/>
        <v>TCCN-PTE-CON-EPM-UH2--</v>
      </c>
      <c r="I1832" s="129" t="str">
        <f>MID(H1832,1,(LEN(H1832)-VLOOKUP(K1832,datos!$B$2:$C$12,2,0)))</f>
        <v>TCCN-PTE-CON-EPM-UH2</v>
      </c>
      <c r="J1832" s="129" t="s">
        <v>5047</v>
      </c>
      <c r="K1832" s="130">
        <f>VLOOKUP(LEN(SUBSTITUTE(H1832,"-","")),datos!$A$1:$B$12,2,0)</f>
        <v>5</v>
      </c>
      <c r="L1832" s="129" t="s">
        <v>583</v>
      </c>
      <c r="M1832" s="129" t="s">
        <v>0</v>
      </c>
    </row>
    <row r="1833" spans="1:13" x14ac:dyDescent="0.35">
      <c r="A1833" s="137" t="s">
        <v>487</v>
      </c>
      <c r="B1833" s="137" t="s">
        <v>3809</v>
      </c>
      <c r="C1833" s="137" t="s">
        <v>4035</v>
      </c>
      <c r="D1833" s="137" t="s">
        <v>4036</v>
      </c>
      <c r="E1833" s="137" t="s">
        <v>4047</v>
      </c>
      <c r="F1833" s="137" t="s">
        <v>3816</v>
      </c>
      <c r="G1833" s="137"/>
      <c r="H1833" s="82" t="str">
        <f t="shared" si="125"/>
        <v>TCCN-PTE-CON-EPM-UH2-SHI-</v>
      </c>
      <c r="I1833" s="137" t="str">
        <f>MID(H1833,1,(LEN(H1833)-VLOOKUP(K1833,datos!$B$2:$C$12,2,0)))</f>
        <v>TCCN-PTE-CON-EPM-UH2-SHI</v>
      </c>
      <c r="J1833" s="137" t="s">
        <v>4985</v>
      </c>
      <c r="K1833" s="139">
        <f>VLOOKUP(LEN(SUBSTITUTE(H1833,"-","")),datos!$A$1:$B$12,2,0)</f>
        <v>6</v>
      </c>
      <c r="L1833" s="137"/>
      <c r="M1833" s="137" t="s">
        <v>0</v>
      </c>
    </row>
    <row r="1834" spans="1:13" x14ac:dyDescent="0.35">
      <c r="A1834" s="138" t="s">
        <v>487</v>
      </c>
      <c r="B1834" s="138" t="s">
        <v>3809</v>
      </c>
      <c r="C1834" s="138" t="s">
        <v>4035</v>
      </c>
      <c r="D1834" s="138" t="s">
        <v>4036</v>
      </c>
      <c r="E1834" s="138" t="s">
        <v>4047</v>
      </c>
      <c r="F1834" s="138" t="s">
        <v>3816</v>
      </c>
      <c r="G1834" s="138" t="s">
        <v>3818</v>
      </c>
      <c r="H1834" s="81" t="str">
        <f t="shared" si="125"/>
        <v>TCCN-PTE-CON-EPM-UH2-SHI-BBA</v>
      </c>
      <c r="I1834" s="138" t="str">
        <f>MID(H1834,1,(LEN(H1834)-VLOOKUP(K1834,datos!$B$2:$C$12,2,0)))</f>
        <v>TCCN-PTE-CON-EPM-UH2-SHI-BBA</v>
      </c>
      <c r="J1834" s="138" t="s">
        <v>4986</v>
      </c>
      <c r="K1834" s="140">
        <f>VLOOKUP(LEN(SUBSTITUTE(H1834,"-","")),datos!$A$1:$B$12,2,0)</f>
        <v>7</v>
      </c>
      <c r="L1834" s="138"/>
      <c r="M1834" s="138" t="s">
        <v>0</v>
      </c>
    </row>
    <row r="1835" spans="1:13" x14ac:dyDescent="0.35">
      <c r="A1835" s="138" t="s">
        <v>487</v>
      </c>
      <c r="B1835" s="138" t="s">
        <v>3809</v>
      </c>
      <c r="C1835" s="138" t="s">
        <v>4035</v>
      </c>
      <c r="D1835" s="138" t="s">
        <v>4036</v>
      </c>
      <c r="E1835" s="138" t="s">
        <v>4047</v>
      </c>
      <c r="F1835" s="138" t="s">
        <v>3816</v>
      </c>
      <c r="G1835" s="138" t="s">
        <v>4095</v>
      </c>
      <c r="H1835" s="81" t="str">
        <f t="shared" si="125"/>
        <v>TCCN-PTE-CON-EPM-UH2-SHI-ACU</v>
      </c>
      <c r="I1835" s="138" t="str">
        <f>MID(H1835,1,(LEN(H1835)-VLOOKUP(K1835,datos!$B$2:$C$12,2,0)))</f>
        <v>TCCN-PTE-CON-EPM-UH2-SHI-ACU</v>
      </c>
      <c r="J1835" s="138" t="s">
        <v>4987</v>
      </c>
      <c r="K1835" s="140">
        <f>VLOOKUP(LEN(SUBSTITUTE(H1835,"-","")),datos!$A$1:$B$12,2,0)</f>
        <v>7</v>
      </c>
      <c r="L1835" s="138"/>
      <c r="M1835" s="138" t="s">
        <v>0</v>
      </c>
    </row>
    <row r="1836" spans="1:13" x14ac:dyDescent="0.35">
      <c r="A1836" s="138" t="s">
        <v>487</v>
      </c>
      <c r="B1836" s="138" t="s">
        <v>3809</v>
      </c>
      <c r="C1836" s="138" t="s">
        <v>4035</v>
      </c>
      <c r="D1836" s="138" t="s">
        <v>4036</v>
      </c>
      <c r="E1836" s="138" t="s">
        <v>4047</v>
      </c>
      <c r="F1836" s="138" t="s">
        <v>3816</v>
      </c>
      <c r="G1836" s="138" t="s">
        <v>3853</v>
      </c>
      <c r="H1836" s="81" t="str">
        <f t="shared" si="125"/>
        <v>TCCN-PTE-CON-EPM-UH2-SHI-EST</v>
      </c>
      <c r="I1836" s="138" t="str">
        <f>MID(H1836,1,(LEN(H1836)-VLOOKUP(K1836,datos!$B$2:$C$12,2,0)))</f>
        <v>TCCN-PTE-CON-EPM-UH2-SHI-EST</v>
      </c>
      <c r="J1836" s="138" t="s">
        <v>4988</v>
      </c>
      <c r="K1836" s="140">
        <f>VLOOKUP(LEN(SUBSTITUTE(H1836,"-","")),datos!$A$1:$B$12,2,0)</f>
        <v>7</v>
      </c>
      <c r="L1836" s="138"/>
      <c r="M1836" s="138" t="s">
        <v>0</v>
      </c>
    </row>
    <row r="1837" spans="1:13" x14ac:dyDescent="0.35">
      <c r="A1837" s="137" t="s">
        <v>487</v>
      </c>
      <c r="B1837" s="137" t="s">
        <v>3809</v>
      </c>
      <c r="C1837" s="137" t="s">
        <v>4035</v>
      </c>
      <c r="D1837" s="137" t="s">
        <v>4036</v>
      </c>
      <c r="E1837" s="137" t="s">
        <v>4047</v>
      </c>
      <c r="F1837" s="137" t="s">
        <v>3847</v>
      </c>
      <c r="G1837" s="137"/>
      <c r="H1837" s="82" t="str">
        <f t="shared" si="125"/>
        <v>TCCN-PTE-CON-EPM-UH2-SMO-</v>
      </c>
      <c r="I1837" s="137" t="str">
        <f>MID(H1837,1,(LEN(H1837)-VLOOKUP(K1837,datos!$B$2:$C$12,2,0)))</f>
        <v>TCCN-PTE-CON-EPM-UH2-SMO</v>
      </c>
      <c r="J1837" s="137" t="s">
        <v>4989</v>
      </c>
      <c r="K1837" s="139">
        <f>VLOOKUP(LEN(SUBSTITUTE(H1837,"-","")),datos!$A$1:$B$12,2,0)</f>
        <v>6</v>
      </c>
      <c r="L1837" s="137"/>
      <c r="M1837" s="137" t="s">
        <v>0</v>
      </c>
    </row>
    <row r="1838" spans="1:13" x14ac:dyDescent="0.35">
      <c r="A1838" s="138" t="s">
        <v>487</v>
      </c>
      <c r="B1838" s="138" t="s">
        <v>3809</v>
      </c>
      <c r="C1838" s="138" t="s">
        <v>4035</v>
      </c>
      <c r="D1838" s="138" t="s">
        <v>4036</v>
      </c>
      <c r="E1838" s="138" t="s">
        <v>4047</v>
      </c>
      <c r="F1838" s="138" t="s">
        <v>3847</v>
      </c>
      <c r="G1838" s="138" t="s">
        <v>3819</v>
      </c>
      <c r="H1838" s="81" t="str">
        <f t="shared" si="125"/>
        <v>TCCN-PTE-CON-EPM-UH2-SMO-MOE</v>
      </c>
      <c r="I1838" s="138" t="str">
        <f>MID(H1838,1,(LEN(H1838)-VLOOKUP(K1838,datos!$B$2:$C$12,2,0)))</f>
        <v>TCCN-PTE-CON-EPM-UH2-SMO-MOE</v>
      </c>
      <c r="J1838" s="138" t="s">
        <v>5344</v>
      </c>
      <c r="K1838" s="140">
        <f>VLOOKUP(LEN(SUBSTITUTE(H1838,"-","")),datos!$A$1:$B$12,2,0)</f>
        <v>7</v>
      </c>
      <c r="L1838" s="138"/>
      <c r="M1838" s="138" t="s">
        <v>0</v>
      </c>
    </row>
    <row r="1839" spans="1:13" x14ac:dyDescent="0.35">
      <c r="A1839" s="137" t="s">
        <v>487</v>
      </c>
      <c r="B1839" s="137" t="s">
        <v>3809</v>
      </c>
      <c r="C1839" s="137" t="s">
        <v>4035</v>
      </c>
      <c r="D1839" s="137" t="s">
        <v>4036</v>
      </c>
      <c r="E1839" s="137" t="s">
        <v>4047</v>
      </c>
      <c r="F1839" s="137" t="s">
        <v>3831</v>
      </c>
      <c r="G1839" s="137"/>
      <c r="H1839" s="82" t="str">
        <f t="shared" si="125"/>
        <v>TCCN-PTE-CON-EPM-UH2-INS-</v>
      </c>
      <c r="I1839" s="137" t="str">
        <f>MID(H1839,1,(LEN(H1839)-VLOOKUP(K1839,datos!$B$2:$C$12,2,0)))</f>
        <v>TCCN-PTE-CON-EPM-UH2-INS</v>
      </c>
      <c r="J1839" s="137" t="s">
        <v>6744</v>
      </c>
      <c r="K1839" s="139">
        <f>VLOOKUP(LEN(SUBSTITUTE(H1839,"-","")),datos!$A$1:$B$12,2,0)</f>
        <v>6</v>
      </c>
      <c r="L1839" s="137"/>
      <c r="M1839" s="137" t="s">
        <v>0</v>
      </c>
    </row>
    <row r="1840" spans="1:13" customFormat="1" ht="14.5" x14ac:dyDescent="0.35">
      <c r="A1840" s="129" t="s">
        <v>487</v>
      </c>
      <c r="B1840" s="129" t="s">
        <v>3809</v>
      </c>
      <c r="C1840" s="129" t="s">
        <v>4035</v>
      </c>
      <c r="D1840" s="129" t="s">
        <v>4036</v>
      </c>
      <c r="E1840" s="129" t="s">
        <v>4038</v>
      </c>
      <c r="F1840" s="129"/>
      <c r="G1840" s="129"/>
      <c r="H1840" s="83" t="str">
        <f t="shared" si="125"/>
        <v>TCCN-PTE-CON-EPM-ESP--</v>
      </c>
      <c r="I1840" s="129" t="str">
        <f>MID(H1840,1,(LEN(H1840)-VLOOKUP(K1840,datos!$B$2:$C$12,2,0)))</f>
        <v>TCCN-PTE-CON-EPM-ESP</v>
      </c>
      <c r="J1840" s="129" t="s">
        <v>244</v>
      </c>
      <c r="K1840" s="130">
        <f>VLOOKUP(LEN(SUBSTITUTE(H1840,"-","")),datos!$A$1:$B$12,2,0)</f>
        <v>5</v>
      </c>
      <c r="L1840" s="129" t="s">
        <v>255</v>
      </c>
      <c r="M1840" s="129" t="s">
        <v>0</v>
      </c>
    </row>
    <row r="1841" spans="1:13" x14ac:dyDescent="0.35">
      <c r="A1841" s="137" t="s">
        <v>487</v>
      </c>
      <c r="B1841" s="137" t="s">
        <v>3809</v>
      </c>
      <c r="C1841" s="137" t="s">
        <v>4035</v>
      </c>
      <c r="D1841" s="137" t="s">
        <v>4036</v>
      </c>
      <c r="E1841" s="137" t="s">
        <v>4038</v>
      </c>
      <c r="F1841" s="137" t="s">
        <v>3824</v>
      </c>
      <c r="G1841" s="137"/>
      <c r="H1841" s="82" t="str">
        <f t="shared" si="125"/>
        <v>TCCN-PTE-CON-EPM-ESP-SES-</v>
      </c>
      <c r="I1841" s="137" t="str">
        <f>MID(H1841,1,(LEN(H1841)-VLOOKUP(K1841,datos!$B$2:$C$12,2,0)))</f>
        <v>TCCN-PTE-CON-EPM-ESP-SES</v>
      </c>
      <c r="J1841" s="137" t="s">
        <v>4990</v>
      </c>
      <c r="K1841" s="139">
        <f>VLOOKUP(LEN(SUBSTITUTE(H1841,"-","")),datos!$A$1:$B$12,2,0)</f>
        <v>6</v>
      </c>
      <c r="L1841" s="137"/>
      <c r="M1841" s="137" t="s">
        <v>0</v>
      </c>
    </row>
    <row r="1842" spans="1:13" x14ac:dyDescent="0.35">
      <c r="A1842" s="138" t="s">
        <v>487</v>
      </c>
      <c r="B1842" s="138" t="s">
        <v>3809</v>
      </c>
      <c r="C1842" s="138" t="s">
        <v>4035</v>
      </c>
      <c r="D1842" s="138" t="s">
        <v>4036</v>
      </c>
      <c r="E1842" s="138" t="s">
        <v>4038</v>
      </c>
      <c r="F1842" s="138" t="s">
        <v>3824</v>
      </c>
      <c r="G1842" s="138" t="s">
        <v>4039</v>
      </c>
      <c r="H1842" s="81" t="str">
        <f t="shared" si="125"/>
        <v>TCCN-PTE-CON-EPM-ESP-SES-CNL</v>
      </c>
      <c r="I1842" s="138" t="str">
        <f>MID(H1842,1,(LEN(H1842)-VLOOKUP(K1842,datos!$B$2:$C$12,2,0)))</f>
        <v>TCCN-PTE-CON-EPM-ESP-SES-CNL</v>
      </c>
      <c r="J1842" s="138" t="s">
        <v>4991</v>
      </c>
      <c r="K1842" s="140">
        <f>VLOOKUP(LEN(SUBSTITUTE(H1842,"-","")),datos!$A$1:$B$12,2,0)</f>
        <v>7</v>
      </c>
      <c r="L1842" s="138"/>
      <c r="M1842" s="138" t="s">
        <v>0</v>
      </c>
    </row>
    <row r="1843" spans="1:13" x14ac:dyDescent="0.35">
      <c r="A1843" s="138" t="s">
        <v>487</v>
      </c>
      <c r="B1843" s="138" t="s">
        <v>3809</v>
      </c>
      <c r="C1843" s="138" t="s">
        <v>4035</v>
      </c>
      <c r="D1843" s="138" t="s">
        <v>4036</v>
      </c>
      <c r="E1843" s="138" t="s">
        <v>4038</v>
      </c>
      <c r="F1843" s="138" t="s">
        <v>3824</v>
      </c>
      <c r="G1843" s="138" t="s">
        <v>4040</v>
      </c>
      <c r="H1843" s="81" t="str">
        <f t="shared" si="125"/>
        <v>TCCN-PTE-CON-EPM-ESP-SES-RTE</v>
      </c>
      <c r="I1843" s="138" t="str">
        <f>MID(H1843,1,(LEN(H1843)-VLOOKUP(K1843,datos!$B$2:$C$12,2,0)))</f>
        <v>TCCN-PTE-CON-EPM-ESP-SES-RTE</v>
      </c>
      <c r="J1843" s="138" t="s">
        <v>4992</v>
      </c>
      <c r="K1843" s="140">
        <f>VLOOKUP(LEN(SUBSTITUTE(H1843,"-","")),datos!$A$1:$B$12,2,0)</f>
        <v>7</v>
      </c>
      <c r="L1843" s="138"/>
      <c r="M1843" s="138" t="s">
        <v>0</v>
      </c>
    </row>
    <row r="1844" spans="1:13" x14ac:dyDescent="0.35">
      <c r="A1844" s="138" t="s">
        <v>487</v>
      </c>
      <c r="B1844" s="138" t="s">
        <v>3809</v>
      </c>
      <c r="C1844" s="138" t="s">
        <v>4035</v>
      </c>
      <c r="D1844" s="138" t="s">
        <v>4036</v>
      </c>
      <c r="E1844" s="138" t="s">
        <v>4038</v>
      </c>
      <c r="F1844" s="138" t="s">
        <v>3824</v>
      </c>
      <c r="G1844" s="138" t="s">
        <v>4041</v>
      </c>
      <c r="H1844" s="81" t="str">
        <f t="shared" si="125"/>
        <v>TCCN-PTE-CON-EPM-ESP-SES-FEE</v>
      </c>
      <c r="I1844" s="138" t="str">
        <f>MID(H1844,1,(LEN(H1844)-VLOOKUP(K1844,datos!$B$2:$C$12,2,0)))</f>
        <v>TCCN-PTE-CON-EPM-ESP-SES-FEE</v>
      </c>
      <c r="J1844" s="138" t="s">
        <v>4993</v>
      </c>
      <c r="K1844" s="140">
        <f>VLOOKUP(LEN(SUBSTITUTE(H1844,"-","")),datos!$A$1:$B$12,2,0)</f>
        <v>7</v>
      </c>
      <c r="L1844" s="138"/>
      <c r="M1844" s="138" t="s">
        <v>0</v>
      </c>
    </row>
    <row r="1845" spans="1:13" x14ac:dyDescent="0.35">
      <c r="A1845" s="138" t="s">
        <v>487</v>
      </c>
      <c r="B1845" s="138" t="s">
        <v>3809</v>
      </c>
      <c r="C1845" s="138" t="s">
        <v>4035</v>
      </c>
      <c r="D1845" s="138" t="s">
        <v>4036</v>
      </c>
      <c r="E1845" s="138" t="s">
        <v>4038</v>
      </c>
      <c r="F1845" s="138" t="s">
        <v>3824</v>
      </c>
      <c r="G1845" s="138" t="s">
        <v>3998</v>
      </c>
      <c r="H1845" s="81" t="str">
        <f t="shared" si="125"/>
        <v>TCCN-PTE-CON-EPM-ESP-SES-BYG</v>
      </c>
      <c r="I1845" s="138" t="str">
        <f>MID(H1845,1,(LEN(H1845)-VLOOKUP(K1845,datos!$B$2:$C$12,2,0)))</f>
        <v>TCCN-PTE-CON-EPM-ESP-SES-BYG</v>
      </c>
      <c r="J1845" s="138" t="s">
        <v>8034</v>
      </c>
      <c r="K1845" s="140">
        <f>VLOOKUP(LEN(SUBSTITUTE(H1845,"-","")),datos!$A$1:$B$12,2,0)</f>
        <v>7</v>
      </c>
      <c r="L1845" s="138"/>
      <c r="M1845" s="138" t="s">
        <v>0</v>
      </c>
    </row>
    <row r="1846" spans="1:13" x14ac:dyDescent="0.35">
      <c r="A1846" s="137" t="s">
        <v>487</v>
      </c>
      <c r="B1846" s="137" t="s">
        <v>3809</v>
      </c>
      <c r="C1846" s="137" t="s">
        <v>4035</v>
      </c>
      <c r="D1846" s="137" t="s">
        <v>4036</v>
      </c>
      <c r="E1846" s="137" t="s">
        <v>4038</v>
      </c>
      <c r="F1846" s="137" t="s">
        <v>3847</v>
      </c>
      <c r="G1846" s="137"/>
      <c r="H1846" s="82" t="str">
        <f t="shared" si="125"/>
        <v>TCCN-PTE-CON-EPM-ESP-SMO-</v>
      </c>
      <c r="I1846" s="137" t="str">
        <f>MID(H1846,1,(LEN(H1846)-VLOOKUP(K1846,datos!$B$2:$C$12,2,0)))</f>
        <v>TCCN-PTE-CON-EPM-ESP-SMO</v>
      </c>
      <c r="J1846" s="137" t="s">
        <v>4994</v>
      </c>
      <c r="K1846" s="139">
        <f>VLOOKUP(LEN(SUBSTITUTE(H1846,"-","")),datos!$A$1:$B$12,2,0)</f>
        <v>6</v>
      </c>
      <c r="L1846" s="137"/>
      <c r="M1846" s="137" t="s">
        <v>0</v>
      </c>
    </row>
    <row r="1847" spans="1:13" x14ac:dyDescent="0.35">
      <c r="A1847" s="138" t="s">
        <v>487</v>
      </c>
      <c r="B1847" s="138" t="s">
        <v>3809</v>
      </c>
      <c r="C1847" s="138" t="s">
        <v>4035</v>
      </c>
      <c r="D1847" s="138" t="s">
        <v>4036</v>
      </c>
      <c r="E1847" s="138" t="s">
        <v>4038</v>
      </c>
      <c r="F1847" s="138" t="s">
        <v>3847</v>
      </c>
      <c r="G1847" s="138" t="s">
        <v>3861</v>
      </c>
      <c r="H1847" s="81" t="str">
        <f t="shared" si="125"/>
        <v>TCCN-PTE-CON-EPM-ESP-SMO-RED</v>
      </c>
      <c r="I1847" s="138" t="str">
        <f>MID(H1847,1,(LEN(H1847)-VLOOKUP(K1847,datos!$B$2:$C$12,2,0)))</f>
        <v>TCCN-PTE-CON-EPM-ESP-SMO-RED</v>
      </c>
      <c r="J1847" s="138" t="s">
        <v>6731</v>
      </c>
      <c r="K1847" s="140">
        <f>VLOOKUP(LEN(SUBSTITUTE(H1847,"-","")),datos!$A$1:$B$12,2,0)</f>
        <v>7</v>
      </c>
      <c r="L1847" s="138"/>
      <c r="M1847" s="138" t="s">
        <v>0</v>
      </c>
    </row>
    <row r="1848" spans="1:13" x14ac:dyDescent="0.35">
      <c r="A1848" s="138" t="s">
        <v>487</v>
      </c>
      <c r="B1848" s="138" t="s">
        <v>3809</v>
      </c>
      <c r="C1848" s="138" t="s">
        <v>4035</v>
      </c>
      <c r="D1848" s="138" t="s">
        <v>4036</v>
      </c>
      <c r="E1848" s="138" t="s">
        <v>4038</v>
      </c>
      <c r="F1848" s="138" t="s">
        <v>3847</v>
      </c>
      <c r="G1848" s="138" t="s">
        <v>4042</v>
      </c>
      <c r="H1848" s="81" t="str">
        <f t="shared" si="125"/>
        <v>TCCN-PTE-CON-EPM-ESP-SMO-MHD</v>
      </c>
      <c r="I1848" s="138" t="str">
        <f>MID(H1848,1,(LEN(H1848)-VLOOKUP(K1848,datos!$B$2:$C$12,2,0)))</f>
        <v>TCCN-PTE-CON-EPM-ESP-SMO-MHD</v>
      </c>
      <c r="J1848" s="138" t="s">
        <v>4995</v>
      </c>
      <c r="K1848" s="140">
        <f>VLOOKUP(LEN(SUBSTITUTE(H1848,"-","")),datos!$A$1:$B$12,2,0)</f>
        <v>7</v>
      </c>
      <c r="L1848" s="138"/>
      <c r="M1848" s="138" t="s">
        <v>0</v>
      </c>
    </row>
    <row r="1849" spans="1:13" x14ac:dyDescent="0.35">
      <c r="A1849" s="137" t="s">
        <v>487</v>
      </c>
      <c r="B1849" s="137" t="s">
        <v>3809</v>
      </c>
      <c r="C1849" s="137" t="s">
        <v>4035</v>
      </c>
      <c r="D1849" s="137" t="s">
        <v>4036</v>
      </c>
      <c r="E1849" s="137" t="s">
        <v>4038</v>
      </c>
      <c r="F1849" s="137" t="s">
        <v>3932</v>
      </c>
      <c r="G1849" s="137"/>
      <c r="H1849" s="82" t="str">
        <f t="shared" si="125"/>
        <v>TCCN-PTE-CON-EPM-ESP-UHD-</v>
      </c>
      <c r="I1849" s="137" t="str">
        <f>MID(H1849,1,(LEN(H1849)-VLOOKUP(K1849,datos!$B$2:$C$12,2,0)))</f>
        <v>TCCN-PTE-CON-EPM-ESP-UHD</v>
      </c>
      <c r="J1849" s="137" t="s">
        <v>4996</v>
      </c>
      <c r="K1849" s="139">
        <f>VLOOKUP(LEN(SUBSTITUTE(H1849,"-","")),datos!$A$1:$B$12,2,0)</f>
        <v>6</v>
      </c>
      <c r="L1849" s="137"/>
      <c r="M1849" s="137" t="s">
        <v>0</v>
      </c>
    </row>
    <row r="1850" spans="1:13" x14ac:dyDescent="0.35">
      <c r="A1850" s="138" t="s">
        <v>487</v>
      </c>
      <c r="B1850" s="138" t="s">
        <v>3809</v>
      </c>
      <c r="C1850" s="138" t="s">
        <v>4035</v>
      </c>
      <c r="D1850" s="138" t="s">
        <v>4036</v>
      </c>
      <c r="E1850" s="138" t="s">
        <v>4038</v>
      </c>
      <c r="F1850" s="138" t="s">
        <v>3932</v>
      </c>
      <c r="G1850" s="138" t="s">
        <v>3953</v>
      </c>
      <c r="H1850" s="81" t="str">
        <f t="shared" si="125"/>
        <v>TCCN-PTE-CON-EPM-ESP-UHD-BB1</v>
      </c>
      <c r="I1850" s="138" t="str">
        <f>MID(H1850,1,(LEN(H1850)-VLOOKUP(K1850,datos!$B$2:$C$12,2,0)))</f>
        <v>TCCN-PTE-CON-EPM-ESP-UHD-BB1</v>
      </c>
      <c r="J1850" s="138" t="s">
        <v>4997</v>
      </c>
      <c r="K1850" s="140">
        <f>VLOOKUP(LEN(SUBSTITUTE(H1850,"-","")),datos!$A$1:$B$12,2,0)</f>
        <v>7</v>
      </c>
      <c r="L1850" s="138"/>
      <c r="M1850" s="138" t="s">
        <v>0</v>
      </c>
    </row>
    <row r="1851" spans="1:13" x14ac:dyDescent="0.35">
      <c r="A1851" s="138" t="s">
        <v>487</v>
      </c>
      <c r="B1851" s="138" t="s">
        <v>3809</v>
      </c>
      <c r="C1851" s="138" t="s">
        <v>4035</v>
      </c>
      <c r="D1851" s="138" t="s">
        <v>4036</v>
      </c>
      <c r="E1851" s="138" t="s">
        <v>4038</v>
      </c>
      <c r="F1851" s="138" t="s">
        <v>3932</v>
      </c>
      <c r="G1851" s="138" t="s">
        <v>3942</v>
      </c>
      <c r="H1851" s="81" t="str">
        <f t="shared" si="125"/>
        <v>TCCN-PTE-CON-EPM-ESP-UHD-BB2</v>
      </c>
      <c r="I1851" s="138" t="str">
        <f>MID(H1851,1,(LEN(H1851)-VLOOKUP(K1851,datos!$B$2:$C$12,2,0)))</f>
        <v>TCCN-PTE-CON-EPM-ESP-UHD-BB2</v>
      </c>
      <c r="J1851" s="138" t="s">
        <v>4998</v>
      </c>
      <c r="K1851" s="140">
        <f>VLOOKUP(LEN(SUBSTITUTE(H1851,"-","")),datos!$A$1:$B$12,2,0)</f>
        <v>7</v>
      </c>
      <c r="L1851" s="138"/>
      <c r="M1851" s="138" t="s">
        <v>0</v>
      </c>
    </row>
    <row r="1852" spans="1:13" x14ac:dyDescent="0.35">
      <c r="A1852" s="138" t="s">
        <v>487</v>
      </c>
      <c r="B1852" s="138" t="s">
        <v>3809</v>
      </c>
      <c r="C1852" s="138" t="s">
        <v>4035</v>
      </c>
      <c r="D1852" s="138" t="s">
        <v>4036</v>
      </c>
      <c r="E1852" s="138" t="s">
        <v>4038</v>
      </c>
      <c r="F1852" s="138" t="s">
        <v>3932</v>
      </c>
      <c r="G1852" s="138" t="s">
        <v>4073</v>
      </c>
      <c r="H1852" s="81" t="str">
        <f t="shared" si="125"/>
        <v>TCCN-PTE-CON-EPM-ESP-UHD-PYV</v>
      </c>
      <c r="I1852" s="138" t="str">
        <f>MID(H1852,1,(LEN(H1852)-VLOOKUP(K1852,datos!$B$2:$C$12,2,0)))</f>
        <v>TCCN-PTE-CON-EPM-ESP-UHD-PYV</v>
      </c>
      <c r="J1852" s="138" t="s">
        <v>5001</v>
      </c>
      <c r="K1852" s="140">
        <f>VLOOKUP(LEN(SUBSTITUTE(H1852,"-","")),datos!$A$1:$B$12,2,0)</f>
        <v>7</v>
      </c>
      <c r="L1852" s="138"/>
      <c r="M1852" s="138" t="s">
        <v>0</v>
      </c>
    </row>
    <row r="1853" spans="1:13" x14ac:dyDescent="0.35">
      <c r="A1853" s="138" t="s">
        <v>487</v>
      </c>
      <c r="B1853" s="138" t="s">
        <v>3809</v>
      </c>
      <c r="C1853" s="138" t="s">
        <v>4035</v>
      </c>
      <c r="D1853" s="138" t="s">
        <v>4036</v>
      </c>
      <c r="E1853" s="138" t="s">
        <v>4038</v>
      </c>
      <c r="F1853" s="138" t="s">
        <v>3932</v>
      </c>
      <c r="G1853" s="138" t="s">
        <v>3853</v>
      </c>
      <c r="H1853" s="81" t="str">
        <f t="shared" si="125"/>
        <v>TCCN-PTE-CON-EPM-ESP-UHD-EST</v>
      </c>
      <c r="I1853" s="138" t="str">
        <f>MID(H1853,1,(LEN(H1853)-VLOOKUP(K1853,datos!$B$2:$C$12,2,0)))</f>
        <v>TCCN-PTE-CON-EPM-ESP-UHD-EST</v>
      </c>
      <c r="J1853" s="138" t="s">
        <v>5000</v>
      </c>
      <c r="K1853" s="140">
        <f>VLOOKUP(LEN(SUBSTITUTE(H1853,"-","")),datos!$A$1:$B$12,2,0)</f>
        <v>7</v>
      </c>
      <c r="L1853" s="138"/>
      <c r="M1853" s="138" t="s">
        <v>0</v>
      </c>
    </row>
    <row r="1854" spans="1:13" x14ac:dyDescent="0.35">
      <c r="A1854" s="138" t="s">
        <v>487</v>
      </c>
      <c r="B1854" s="138" t="s">
        <v>3809</v>
      </c>
      <c r="C1854" s="138" t="s">
        <v>4035</v>
      </c>
      <c r="D1854" s="138" t="s">
        <v>4036</v>
      </c>
      <c r="E1854" s="138" t="s">
        <v>4038</v>
      </c>
      <c r="F1854" s="138" t="s">
        <v>3932</v>
      </c>
      <c r="G1854" s="138" t="s">
        <v>5568</v>
      </c>
      <c r="H1854" s="81" t="str">
        <f t="shared" si="125"/>
        <v>TCCN-PTE-CON-EPM-ESP-UHD-UNF</v>
      </c>
      <c r="I1854" s="138" t="str">
        <f>MID(H1854,1,(LEN(H1854)-VLOOKUP(K1854,datos!$B$2:$C$12,2,0)))</f>
        <v>TCCN-PTE-CON-EPM-ESP-UHD-UNF</v>
      </c>
      <c r="J1854" s="138" t="s">
        <v>4999</v>
      </c>
      <c r="K1854" s="140">
        <f>VLOOKUP(LEN(SUBSTITUTE(H1854,"-","")),datos!$A$1:$B$12,2,0)</f>
        <v>7</v>
      </c>
      <c r="L1854" s="138"/>
      <c r="M1854" s="138" t="s">
        <v>0</v>
      </c>
    </row>
    <row r="1855" spans="1:13" x14ac:dyDescent="0.35">
      <c r="A1855" s="137" t="s">
        <v>487</v>
      </c>
      <c r="B1855" s="137" t="s">
        <v>3809</v>
      </c>
      <c r="C1855" s="137" t="s">
        <v>4035</v>
      </c>
      <c r="D1855" s="137" t="s">
        <v>4036</v>
      </c>
      <c r="E1855" s="137" t="s">
        <v>4038</v>
      </c>
      <c r="F1855" s="137" t="s">
        <v>3934</v>
      </c>
      <c r="G1855" s="137"/>
      <c r="H1855" s="82" t="str">
        <f t="shared" si="125"/>
        <v>TCCN-PTE-CON-EPM-ESP-SLE-</v>
      </c>
      <c r="I1855" s="137" t="str">
        <f>MID(H1855,1,(LEN(H1855)-VLOOKUP(K1855,datos!$B$2:$C$12,2,0)))</f>
        <v>TCCN-PTE-CON-EPM-ESP-SLE</v>
      </c>
      <c r="J1855" s="137" t="s">
        <v>5002</v>
      </c>
      <c r="K1855" s="139">
        <f>VLOOKUP(LEN(SUBSTITUTE(H1855,"-","")),datos!$A$1:$B$12,2,0)</f>
        <v>6</v>
      </c>
      <c r="L1855" s="137"/>
      <c r="M1855" s="137" t="s">
        <v>0</v>
      </c>
    </row>
    <row r="1856" spans="1:13" x14ac:dyDescent="0.35">
      <c r="A1856" s="138" t="s">
        <v>487</v>
      </c>
      <c r="B1856" s="138" t="s">
        <v>3809</v>
      </c>
      <c r="C1856" s="138" t="s">
        <v>4035</v>
      </c>
      <c r="D1856" s="138" t="s">
        <v>4036</v>
      </c>
      <c r="E1856" s="138" t="s">
        <v>4038</v>
      </c>
      <c r="F1856" s="138" t="s">
        <v>3934</v>
      </c>
      <c r="G1856" s="138" t="s">
        <v>3817</v>
      </c>
      <c r="H1856" s="81" t="str">
        <f t="shared" si="125"/>
        <v>TCCN-PTE-CON-EPM-ESP-SLE-CIH</v>
      </c>
      <c r="I1856" s="138" t="str">
        <f>MID(H1856,1,(LEN(H1856)-VLOOKUP(K1856,datos!$B$2:$C$12,2,0)))</f>
        <v>TCCN-PTE-CON-EPM-ESP-SLE-CIH</v>
      </c>
      <c r="J1856" s="138" t="s">
        <v>5003</v>
      </c>
      <c r="K1856" s="140">
        <f>VLOOKUP(LEN(SUBSTITUTE(H1856,"-","")),datos!$A$1:$B$12,2,0)</f>
        <v>7</v>
      </c>
      <c r="L1856" s="138"/>
      <c r="M1856" s="138" t="s">
        <v>0</v>
      </c>
    </row>
    <row r="1857" spans="1:13" x14ac:dyDescent="0.35">
      <c r="A1857" s="137" t="s">
        <v>487</v>
      </c>
      <c r="B1857" s="137" t="s">
        <v>3809</v>
      </c>
      <c r="C1857" s="137" t="s">
        <v>4035</v>
      </c>
      <c r="D1857" s="137" t="s">
        <v>4036</v>
      </c>
      <c r="E1857" s="137" t="s">
        <v>4038</v>
      </c>
      <c r="F1857" s="137" t="s">
        <v>3831</v>
      </c>
      <c r="G1857" s="137"/>
      <c r="H1857" s="82" t="str">
        <f t="shared" si="125"/>
        <v>TCCN-PTE-CON-EPM-ESP-INS-</v>
      </c>
      <c r="I1857" s="137" t="str">
        <f>MID(H1857,1,(LEN(H1857)-VLOOKUP(K1857,datos!$B$2:$C$12,2,0)))</f>
        <v>TCCN-PTE-CON-EPM-ESP-INS</v>
      </c>
      <c r="J1857" s="137" t="s">
        <v>7165</v>
      </c>
      <c r="K1857" s="139">
        <f>VLOOKUP(LEN(SUBSTITUTE(H1857,"-","")),datos!$A$1:$B$12,2,0)</f>
        <v>6</v>
      </c>
      <c r="L1857" s="137"/>
      <c r="M1857" s="137" t="s">
        <v>0</v>
      </c>
    </row>
    <row r="1858" spans="1:13" x14ac:dyDescent="0.35">
      <c r="A1858" s="138" t="s">
        <v>487</v>
      </c>
      <c r="B1858" s="138" t="s">
        <v>3809</v>
      </c>
      <c r="C1858" s="138" t="s">
        <v>4035</v>
      </c>
      <c r="D1858" s="138" t="s">
        <v>4036</v>
      </c>
      <c r="E1858" s="138" t="s">
        <v>4038</v>
      </c>
      <c r="F1858" s="138" t="s">
        <v>3831</v>
      </c>
      <c r="G1858" s="138" t="s">
        <v>5256</v>
      </c>
      <c r="H1858" s="81" t="str">
        <f t="shared" si="125"/>
        <v>TCCN-PTE-CON-EPM-ESP-INS-MNV</v>
      </c>
      <c r="I1858" s="138" t="str">
        <f>MID(H1858,1,(LEN(H1858)-VLOOKUP(K1858,datos!$B$2:$C$12,2,0)))</f>
        <v>TCCN-PTE-CON-EPM-ESP-INS-MNV</v>
      </c>
      <c r="J1858" s="138" t="s">
        <v>7613</v>
      </c>
      <c r="K1858" s="140">
        <f>VLOOKUP(LEN(SUBSTITUTE(H1858,"-","")),datos!$A$1:$B$12,2,0)</f>
        <v>7</v>
      </c>
      <c r="L1858" s="138" t="s">
        <v>7637</v>
      </c>
      <c r="M1858" s="138" t="s">
        <v>0</v>
      </c>
    </row>
    <row r="1859" spans="1:13" x14ac:dyDescent="0.35">
      <c r="A1859" s="138" t="s">
        <v>487</v>
      </c>
      <c r="B1859" s="138" t="s">
        <v>3809</v>
      </c>
      <c r="C1859" s="138" t="s">
        <v>4035</v>
      </c>
      <c r="D1859" s="138" t="s">
        <v>4036</v>
      </c>
      <c r="E1859" s="138" t="s">
        <v>4038</v>
      </c>
      <c r="F1859" s="138" t="s">
        <v>3831</v>
      </c>
      <c r="G1859" s="138" t="s">
        <v>7069</v>
      </c>
      <c r="H1859" s="81" t="str">
        <f t="shared" si="125"/>
        <v>TCCN-PTE-CON-EPM-ESP-INS-MPN</v>
      </c>
      <c r="I1859" s="138" t="str">
        <f>MID(H1859,1,(LEN(H1859)-VLOOKUP(K1859,datos!$B$2:$C$12,2,0)))</f>
        <v>TCCN-PTE-CON-EPM-ESP-INS-MPN</v>
      </c>
      <c r="J1859" s="138" t="s">
        <v>7562</v>
      </c>
      <c r="K1859" s="140">
        <f>VLOOKUP(LEN(SUBSTITUTE(H1859,"-","")),datos!$A$1:$B$12,2,0)</f>
        <v>7</v>
      </c>
      <c r="L1859" s="138"/>
      <c r="M1859" s="138" t="s">
        <v>0</v>
      </c>
    </row>
    <row r="1860" spans="1:13" x14ac:dyDescent="0.35">
      <c r="A1860" s="138" t="s">
        <v>487</v>
      </c>
      <c r="B1860" s="138" t="s">
        <v>3809</v>
      </c>
      <c r="C1860" s="138" t="s">
        <v>4035</v>
      </c>
      <c r="D1860" s="138" t="s">
        <v>4036</v>
      </c>
      <c r="E1860" s="138" t="s">
        <v>4038</v>
      </c>
      <c r="F1860" s="138" t="s">
        <v>3831</v>
      </c>
      <c r="G1860" s="138" t="s">
        <v>4043</v>
      </c>
      <c r="H1860" s="81" t="str">
        <f t="shared" si="125"/>
        <v>TCCN-PTE-CON-EPM-ESP-INS-SPO</v>
      </c>
      <c r="I1860" s="138" t="str">
        <f>MID(H1860,1,(LEN(H1860)-VLOOKUP(K1860,datos!$B$2:$C$12,2,0)))</f>
        <v>TCCN-PTE-CON-EPM-ESP-INS-SPO</v>
      </c>
      <c r="J1860" s="138" t="s">
        <v>7884</v>
      </c>
      <c r="K1860" s="140">
        <f>VLOOKUP(LEN(SUBSTITUTE(H1860,"-","")),datos!$A$1:$B$12,2,0)</f>
        <v>7</v>
      </c>
      <c r="L1860" s="138"/>
      <c r="M1860" s="138" t="s">
        <v>0</v>
      </c>
    </row>
    <row r="1861" spans="1:13" x14ac:dyDescent="0.35">
      <c r="A1861" s="138" t="s">
        <v>487</v>
      </c>
      <c r="B1861" s="138" t="s">
        <v>3809</v>
      </c>
      <c r="C1861" s="138" t="s">
        <v>4035</v>
      </c>
      <c r="D1861" s="138" t="s">
        <v>4036</v>
      </c>
      <c r="E1861" s="138" t="s">
        <v>4038</v>
      </c>
      <c r="F1861" s="138" t="s">
        <v>3831</v>
      </c>
      <c r="G1861" s="138" t="s">
        <v>7060</v>
      </c>
      <c r="H1861" s="81" t="str">
        <f t="shared" si="125"/>
        <v>TCCN-PTE-CON-EPM-ESP-INS-MTP</v>
      </c>
      <c r="I1861" s="138" t="str">
        <f>MID(H1861,1,(LEN(H1861)-VLOOKUP(K1861,datos!$B$2:$C$12,2,0)))</f>
        <v>TCCN-PTE-CON-EPM-ESP-INS-MTP</v>
      </c>
      <c r="J1861" s="138" t="s">
        <v>8074</v>
      </c>
      <c r="K1861" s="140">
        <f>VLOOKUP(LEN(SUBSTITUTE(H1861,"-","")),datos!$A$1:$B$12,2,0)</f>
        <v>7</v>
      </c>
      <c r="L1861" s="138"/>
      <c r="M1861" s="138" t="s">
        <v>0</v>
      </c>
    </row>
    <row r="1862" spans="1:13" x14ac:dyDescent="0.35">
      <c r="A1862" s="138" t="s">
        <v>487</v>
      </c>
      <c r="B1862" s="138" t="s">
        <v>3809</v>
      </c>
      <c r="C1862" s="138" t="s">
        <v>4035</v>
      </c>
      <c r="D1862" s="138" t="s">
        <v>4036</v>
      </c>
      <c r="E1862" s="138" t="s">
        <v>4038</v>
      </c>
      <c r="F1862" s="138" t="s">
        <v>3831</v>
      </c>
      <c r="G1862" s="138" t="s">
        <v>4044</v>
      </c>
      <c r="H1862" s="81" t="str">
        <f t="shared" si="125"/>
        <v>TCCN-PTE-CON-EPM-ESP-INS-STO</v>
      </c>
      <c r="I1862" s="138" t="str">
        <f>MID(H1862,1,(LEN(H1862)-VLOOKUP(K1862,datos!$B$2:$C$12,2,0)))</f>
        <v>TCCN-PTE-CON-EPM-ESP-INS-STO</v>
      </c>
      <c r="J1862" s="138" t="s">
        <v>8115</v>
      </c>
      <c r="K1862" s="140">
        <f>VLOOKUP(LEN(SUBSTITUTE(H1862,"-","")),datos!$A$1:$B$12,2,0)</f>
        <v>7</v>
      </c>
      <c r="L1862" s="138"/>
      <c r="M1862" s="138" t="s">
        <v>0</v>
      </c>
    </row>
    <row r="1863" spans="1:13" x14ac:dyDescent="0.35">
      <c r="A1863" s="138" t="s">
        <v>487</v>
      </c>
      <c r="B1863" s="138" t="s">
        <v>3809</v>
      </c>
      <c r="C1863" s="138" t="s">
        <v>4035</v>
      </c>
      <c r="D1863" s="138" t="s">
        <v>4036</v>
      </c>
      <c r="E1863" s="138" t="s">
        <v>4038</v>
      </c>
      <c r="F1863" s="138" t="s">
        <v>3831</v>
      </c>
      <c r="G1863" s="138" t="s">
        <v>4016</v>
      </c>
      <c r="H1863" s="81" t="str">
        <f t="shared" si="125"/>
        <v>TCCN-PTE-CON-EPM-ESP-INS-PAN</v>
      </c>
      <c r="I1863" s="138" t="str">
        <f>MID(H1863,1,(LEN(H1863)-VLOOKUP(K1863,datos!$B$2:$C$12,2,0)))</f>
        <v>TCCN-PTE-CON-EPM-ESP-INS-PAN</v>
      </c>
      <c r="J1863" s="138" t="s">
        <v>5004</v>
      </c>
      <c r="K1863" s="140">
        <f>VLOOKUP(LEN(SUBSTITUTE(H1863,"-","")),datos!$A$1:$B$12,2,0)</f>
        <v>7</v>
      </c>
      <c r="L1863" s="138"/>
      <c r="M1863" s="138" t="s">
        <v>0</v>
      </c>
    </row>
    <row r="1864" spans="1:13" customFormat="1" ht="14.5" x14ac:dyDescent="0.35">
      <c r="A1864" s="129" t="s">
        <v>487</v>
      </c>
      <c r="B1864" s="129" t="s">
        <v>3809</v>
      </c>
      <c r="C1864" s="129" t="s">
        <v>4035</v>
      </c>
      <c r="D1864" s="129" t="s">
        <v>4036</v>
      </c>
      <c r="E1864" s="129" t="s">
        <v>4048</v>
      </c>
      <c r="F1864" s="129"/>
      <c r="G1864" s="129"/>
      <c r="H1864" s="83" t="str">
        <f t="shared" si="125"/>
        <v>TCCN-PTE-CON-EPM-UH3--</v>
      </c>
      <c r="I1864" s="129" t="str">
        <f>MID(H1864,1,(LEN(H1864)-VLOOKUP(K1864,datos!$B$2:$C$12,2,0)))</f>
        <v>TCCN-PTE-CON-EPM-UH3</v>
      </c>
      <c r="J1864" s="129" t="s">
        <v>4496</v>
      </c>
      <c r="K1864" s="130">
        <f>VLOOKUP(LEN(SUBSTITUTE(H1864,"-","")),datos!$A$1:$B$12,2,0)</f>
        <v>5</v>
      </c>
      <c r="L1864" s="129" t="s">
        <v>584</v>
      </c>
      <c r="M1864" s="129" t="s">
        <v>0</v>
      </c>
    </row>
    <row r="1865" spans="1:13" x14ac:dyDescent="0.35">
      <c r="A1865" s="137" t="s">
        <v>487</v>
      </c>
      <c r="B1865" s="137" t="s">
        <v>3809</v>
      </c>
      <c r="C1865" s="137" t="s">
        <v>4035</v>
      </c>
      <c r="D1865" s="137" t="s">
        <v>4036</v>
      </c>
      <c r="E1865" s="137" t="s">
        <v>4048</v>
      </c>
      <c r="F1865" s="137" t="s">
        <v>3816</v>
      </c>
      <c r="G1865" s="137"/>
      <c r="H1865" s="82" t="str">
        <f t="shared" si="125"/>
        <v>TCCN-PTE-CON-EPM-UH3-SHI-</v>
      </c>
      <c r="I1865" s="137" t="str">
        <f>MID(H1865,1,(LEN(H1865)-VLOOKUP(K1865,datos!$B$2:$C$12,2,0)))</f>
        <v>TCCN-PTE-CON-EPM-UH3-SHI</v>
      </c>
      <c r="J1865" s="137" t="s">
        <v>6556</v>
      </c>
      <c r="K1865" s="139">
        <f>VLOOKUP(LEN(SUBSTITUTE(H1865,"-","")),datos!$A$1:$B$12,2,0)</f>
        <v>6</v>
      </c>
      <c r="L1865" s="137"/>
      <c r="M1865" s="137" t="s">
        <v>0</v>
      </c>
    </row>
    <row r="1866" spans="1:13" x14ac:dyDescent="0.35">
      <c r="A1866" s="138" t="s">
        <v>487</v>
      </c>
      <c r="B1866" s="138" t="s">
        <v>3809</v>
      </c>
      <c r="C1866" s="138" t="s">
        <v>4035</v>
      </c>
      <c r="D1866" s="138" t="s">
        <v>4036</v>
      </c>
      <c r="E1866" s="138" t="s">
        <v>4048</v>
      </c>
      <c r="F1866" s="138" t="s">
        <v>3816</v>
      </c>
      <c r="G1866" s="138" t="s">
        <v>3818</v>
      </c>
      <c r="H1866" s="81" t="str">
        <f t="shared" si="125"/>
        <v>TCCN-PTE-CON-EPM-UH3-SHI-BBA</v>
      </c>
      <c r="I1866" s="138" t="str">
        <f>MID(H1866,1,(LEN(H1866)-VLOOKUP(K1866,datos!$B$2:$C$12,2,0)))</f>
        <v>TCCN-PTE-CON-EPM-UH3-SHI-BBA</v>
      </c>
      <c r="J1866" s="138" t="s">
        <v>6557</v>
      </c>
      <c r="K1866" s="140">
        <f>VLOOKUP(LEN(SUBSTITUTE(H1866,"-","")),datos!$A$1:$B$12,2,0)</f>
        <v>7</v>
      </c>
      <c r="L1866" s="138"/>
      <c r="M1866" s="138" t="s">
        <v>0</v>
      </c>
    </row>
    <row r="1867" spans="1:13" x14ac:dyDescent="0.35">
      <c r="A1867" s="138" t="s">
        <v>487</v>
      </c>
      <c r="B1867" s="138" t="s">
        <v>3809</v>
      </c>
      <c r="C1867" s="138" t="s">
        <v>4035</v>
      </c>
      <c r="D1867" s="138" t="s">
        <v>4036</v>
      </c>
      <c r="E1867" s="138" t="s">
        <v>4048</v>
      </c>
      <c r="F1867" s="138" t="s">
        <v>3816</v>
      </c>
      <c r="G1867" s="138" t="s">
        <v>4095</v>
      </c>
      <c r="H1867" s="81" t="str">
        <f t="shared" si="125"/>
        <v>TCCN-PTE-CON-EPM-UH3-SHI-ACU</v>
      </c>
      <c r="I1867" s="138" t="str">
        <f>MID(H1867,1,(LEN(H1867)-VLOOKUP(K1867,datos!$B$2:$C$12,2,0)))</f>
        <v>TCCN-PTE-CON-EPM-UH3-SHI-ACU</v>
      </c>
      <c r="J1867" s="138" t="s">
        <v>6558</v>
      </c>
      <c r="K1867" s="140">
        <f>VLOOKUP(LEN(SUBSTITUTE(H1867,"-","")),datos!$A$1:$B$12,2,0)</f>
        <v>7</v>
      </c>
      <c r="L1867" s="138"/>
      <c r="M1867" s="138" t="s">
        <v>0</v>
      </c>
    </row>
    <row r="1868" spans="1:13" x14ac:dyDescent="0.35">
      <c r="A1868" s="138" t="s">
        <v>487</v>
      </c>
      <c r="B1868" s="138" t="s">
        <v>3809</v>
      </c>
      <c r="C1868" s="138" t="s">
        <v>4035</v>
      </c>
      <c r="D1868" s="138" t="s">
        <v>4036</v>
      </c>
      <c r="E1868" s="138" t="s">
        <v>4048</v>
      </c>
      <c r="F1868" s="138" t="s">
        <v>3816</v>
      </c>
      <c r="G1868" s="138" t="s">
        <v>3853</v>
      </c>
      <c r="H1868" s="81" t="str">
        <f t="shared" si="125"/>
        <v>TCCN-PTE-CON-EPM-UH3-SHI-EST</v>
      </c>
      <c r="I1868" s="138" t="str">
        <f>MID(H1868,1,(LEN(H1868)-VLOOKUP(K1868,datos!$B$2:$C$12,2,0)))</f>
        <v>TCCN-PTE-CON-EPM-UH3-SHI-EST</v>
      </c>
      <c r="J1868" s="138" t="s">
        <v>6559</v>
      </c>
      <c r="K1868" s="140">
        <f>VLOOKUP(LEN(SUBSTITUTE(H1868,"-","")),datos!$A$1:$B$12,2,0)</f>
        <v>7</v>
      </c>
      <c r="L1868" s="138"/>
      <c r="M1868" s="138" t="s">
        <v>0</v>
      </c>
    </row>
    <row r="1869" spans="1:13" x14ac:dyDescent="0.35">
      <c r="A1869" s="137" t="s">
        <v>487</v>
      </c>
      <c r="B1869" s="137" t="s">
        <v>3809</v>
      </c>
      <c r="C1869" s="137" t="s">
        <v>4035</v>
      </c>
      <c r="D1869" s="137" t="s">
        <v>4036</v>
      </c>
      <c r="E1869" s="137" t="s">
        <v>4048</v>
      </c>
      <c r="F1869" s="137" t="s">
        <v>3847</v>
      </c>
      <c r="G1869" s="137"/>
      <c r="H1869" s="82" t="str">
        <f t="shared" si="125"/>
        <v>TCCN-PTE-CON-EPM-UH3-SMO-</v>
      </c>
      <c r="I1869" s="137" t="str">
        <f>MID(H1869,1,(LEN(H1869)-VLOOKUP(K1869,datos!$B$2:$C$12,2,0)))</f>
        <v>TCCN-PTE-CON-EPM-UH3-SMO</v>
      </c>
      <c r="J1869" s="137" t="s">
        <v>6560</v>
      </c>
      <c r="K1869" s="139">
        <f>VLOOKUP(LEN(SUBSTITUTE(H1869,"-","")),datos!$A$1:$B$12,2,0)</f>
        <v>6</v>
      </c>
      <c r="L1869" s="137"/>
      <c r="M1869" s="137" t="s">
        <v>0</v>
      </c>
    </row>
    <row r="1870" spans="1:13" x14ac:dyDescent="0.35">
      <c r="A1870" s="138" t="s">
        <v>487</v>
      </c>
      <c r="B1870" s="138" t="s">
        <v>3809</v>
      </c>
      <c r="C1870" s="138" t="s">
        <v>4035</v>
      </c>
      <c r="D1870" s="138" t="s">
        <v>4036</v>
      </c>
      <c r="E1870" s="138" t="s">
        <v>4048</v>
      </c>
      <c r="F1870" s="138" t="s">
        <v>3847</v>
      </c>
      <c r="G1870" s="138" t="s">
        <v>3819</v>
      </c>
      <c r="H1870" s="81" t="str">
        <f t="shared" si="125"/>
        <v>TCCN-PTE-CON-EPM-UH3-SMO-MOE</v>
      </c>
      <c r="I1870" s="138" t="str">
        <f>MID(H1870,1,(LEN(H1870)-VLOOKUP(K1870,datos!$B$2:$C$12,2,0)))</f>
        <v>TCCN-PTE-CON-EPM-UH3-SMO-MOE</v>
      </c>
      <c r="J1870" s="138" t="s">
        <v>6561</v>
      </c>
      <c r="K1870" s="140">
        <f>VLOOKUP(LEN(SUBSTITUTE(H1870,"-","")),datos!$A$1:$B$12,2,0)</f>
        <v>7</v>
      </c>
      <c r="L1870" s="138"/>
      <c r="M1870" s="138" t="s">
        <v>0</v>
      </c>
    </row>
    <row r="1871" spans="1:13" x14ac:dyDescent="0.35">
      <c r="A1871" s="137" t="s">
        <v>487</v>
      </c>
      <c r="B1871" s="137" t="s">
        <v>3809</v>
      </c>
      <c r="C1871" s="137" t="s">
        <v>4035</v>
      </c>
      <c r="D1871" s="137" t="s">
        <v>4036</v>
      </c>
      <c r="E1871" s="137" t="s">
        <v>4048</v>
      </c>
      <c r="F1871" s="137" t="s">
        <v>3954</v>
      </c>
      <c r="G1871" s="137"/>
      <c r="H1871" s="82" t="str">
        <f t="shared" si="125"/>
        <v>TCCN-PTE-CON-EPM-UH3-SEN-</v>
      </c>
      <c r="I1871" s="137" t="str">
        <f>MID(H1871,1,(LEN(H1871)-VLOOKUP(K1871,datos!$B$2:$C$12,2,0)))</f>
        <v>TCCN-PTE-CON-EPM-UH3-SEN</v>
      </c>
      <c r="J1871" s="137" t="s">
        <v>6562</v>
      </c>
      <c r="K1871" s="139">
        <f>VLOOKUP(LEN(SUBSTITUTE(H1871,"-","")),datos!$A$1:$B$12,2,0)</f>
        <v>6</v>
      </c>
      <c r="L1871" s="137"/>
      <c r="M1871" s="137" t="s">
        <v>0</v>
      </c>
    </row>
    <row r="1872" spans="1:13" x14ac:dyDescent="0.35">
      <c r="A1872" s="138" t="s">
        <v>487</v>
      </c>
      <c r="B1872" s="138" t="s">
        <v>3809</v>
      </c>
      <c r="C1872" s="138" t="s">
        <v>4035</v>
      </c>
      <c r="D1872" s="138" t="s">
        <v>4036</v>
      </c>
      <c r="E1872" s="138" t="s">
        <v>4048</v>
      </c>
      <c r="F1872" s="138" t="s">
        <v>3954</v>
      </c>
      <c r="G1872" s="138" t="s">
        <v>3818</v>
      </c>
      <c r="H1872" s="81" t="str">
        <f t="shared" si="125"/>
        <v>TCCN-PTE-CON-EPM-UH3-SEN-BBA</v>
      </c>
      <c r="I1872" s="138" t="str">
        <f>MID(H1872,1,(LEN(H1872)-VLOOKUP(K1872,datos!$B$2:$C$12,2,0)))</f>
        <v>TCCN-PTE-CON-EPM-UH3-SEN-BBA</v>
      </c>
      <c r="J1872" s="138" t="s">
        <v>6557</v>
      </c>
      <c r="K1872" s="140">
        <f>VLOOKUP(LEN(SUBSTITUTE(H1872,"-","")),datos!$A$1:$B$12,2,0)</f>
        <v>7</v>
      </c>
      <c r="L1872" s="138"/>
      <c r="M1872" s="138" t="s">
        <v>0</v>
      </c>
    </row>
    <row r="1873" spans="1:13" x14ac:dyDescent="0.35">
      <c r="A1873" s="138" t="s">
        <v>487</v>
      </c>
      <c r="B1873" s="138" t="s">
        <v>3809</v>
      </c>
      <c r="C1873" s="138" t="s">
        <v>4035</v>
      </c>
      <c r="D1873" s="138" t="s">
        <v>4036</v>
      </c>
      <c r="E1873" s="138" t="s">
        <v>4048</v>
      </c>
      <c r="F1873" s="138" t="s">
        <v>3954</v>
      </c>
      <c r="G1873" s="138" t="s">
        <v>3819</v>
      </c>
      <c r="H1873" s="81" t="str">
        <f t="shared" si="125"/>
        <v>TCCN-PTE-CON-EPM-UH3-SEN-MOE</v>
      </c>
      <c r="I1873" s="138" t="str">
        <f>MID(H1873,1,(LEN(H1873)-VLOOKUP(K1873,datos!$B$2:$C$12,2,0)))</f>
        <v>TCCN-PTE-CON-EPM-UH3-SEN-MOE</v>
      </c>
      <c r="J1873" s="138" t="s">
        <v>6563</v>
      </c>
      <c r="K1873" s="140">
        <f>VLOOKUP(LEN(SUBSTITUTE(H1873,"-","")),datos!$A$1:$B$12,2,0)</f>
        <v>7</v>
      </c>
      <c r="L1873" s="138"/>
      <c r="M1873" s="138" t="s">
        <v>0</v>
      </c>
    </row>
    <row r="1874" spans="1:13" x14ac:dyDescent="0.35">
      <c r="A1874" s="138" t="s">
        <v>487</v>
      </c>
      <c r="B1874" s="138" t="s">
        <v>3809</v>
      </c>
      <c r="C1874" s="138" t="s">
        <v>4035</v>
      </c>
      <c r="D1874" s="138" t="s">
        <v>4036</v>
      </c>
      <c r="E1874" s="138" t="s">
        <v>4048</v>
      </c>
      <c r="F1874" s="138" t="s">
        <v>3954</v>
      </c>
      <c r="G1874" s="138" t="s">
        <v>4046</v>
      </c>
      <c r="H1874" s="81" t="str">
        <f t="shared" si="125"/>
        <v>TCCN-PTE-CON-EPM-UH3-SEN-ICA</v>
      </c>
      <c r="I1874" s="138" t="str">
        <f>MID(H1874,1,(LEN(H1874)-VLOOKUP(K1874,datos!$B$2:$C$12,2,0)))</f>
        <v>TCCN-PTE-CON-EPM-UH3-SEN-ICA</v>
      </c>
      <c r="J1874" s="138" t="s">
        <v>6564</v>
      </c>
      <c r="K1874" s="140">
        <f>VLOOKUP(LEN(SUBSTITUTE(H1874,"-","")),datos!$A$1:$B$12,2,0)</f>
        <v>7</v>
      </c>
      <c r="L1874" s="138"/>
      <c r="M1874" s="138" t="s">
        <v>0</v>
      </c>
    </row>
    <row r="1875" spans="1:13" customFormat="1" ht="14.5" x14ac:dyDescent="0.35">
      <c r="A1875" s="129" t="s">
        <v>487</v>
      </c>
      <c r="B1875" s="129" t="s">
        <v>3809</v>
      </c>
      <c r="C1875" s="129" t="s">
        <v>4035</v>
      </c>
      <c r="D1875" s="129" t="s">
        <v>4036</v>
      </c>
      <c r="E1875" s="129" t="s">
        <v>3866</v>
      </c>
      <c r="F1875" s="129"/>
      <c r="G1875" s="129"/>
      <c r="H1875" s="83" t="str">
        <f t="shared" si="125"/>
        <v>TCCN-PTE-CON-EPM-TC1--</v>
      </c>
      <c r="I1875" s="129" t="str">
        <f>MID(H1875,1,(LEN(H1875)-VLOOKUP(K1875,datos!$B$2:$C$12,2,0)))</f>
        <v>TCCN-PTE-CON-EPM-TC1</v>
      </c>
      <c r="J1875" s="129" t="s">
        <v>609</v>
      </c>
      <c r="K1875" s="130">
        <f>VLOOKUP(LEN(SUBSTITUTE(H1875,"-","")),datos!$A$1:$B$12,2,0)</f>
        <v>5</v>
      </c>
      <c r="L1875" s="129" t="s">
        <v>256</v>
      </c>
      <c r="M1875" s="129" t="s">
        <v>0</v>
      </c>
    </row>
    <row r="1876" spans="1:13" customFormat="1" ht="14.5" x14ac:dyDescent="0.35">
      <c r="A1876" s="129" t="s">
        <v>487</v>
      </c>
      <c r="B1876" s="129" t="s">
        <v>3809</v>
      </c>
      <c r="C1876" s="129" t="s">
        <v>4035</v>
      </c>
      <c r="D1876" s="129" t="s">
        <v>4036</v>
      </c>
      <c r="E1876" s="129" t="s">
        <v>4017</v>
      </c>
      <c r="F1876" s="129"/>
      <c r="G1876" s="129"/>
      <c r="H1876" s="83" t="str">
        <f t="shared" si="125"/>
        <v>TCCN-PTE-CON-EPM-B03--</v>
      </c>
      <c r="I1876" s="129" t="str">
        <f>MID(H1876,1,(LEN(H1876)-VLOOKUP(K1876,datos!$B$2:$C$12,2,0)))</f>
        <v>TCCN-PTE-CON-EPM-B03</v>
      </c>
      <c r="J1876" s="129" t="s">
        <v>7452</v>
      </c>
      <c r="K1876" s="130">
        <f>VLOOKUP(LEN(SUBSTITUTE(H1876,"-","")),datos!$A$1:$B$12,2,0)</f>
        <v>5</v>
      </c>
      <c r="L1876" s="129" t="s">
        <v>257</v>
      </c>
      <c r="M1876" s="129" t="s">
        <v>0</v>
      </c>
    </row>
    <row r="1877" spans="1:13" x14ac:dyDescent="0.35">
      <c r="A1877" s="137" t="s">
        <v>487</v>
      </c>
      <c r="B1877" s="137" t="s">
        <v>3809</v>
      </c>
      <c r="C1877" s="137" t="s">
        <v>4035</v>
      </c>
      <c r="D1877" s="137" t="s">
        <v>4036</v>
      </c>
      <c r="E1877" s="137" t="s">
        <v>4017</v>
      </c>
      <c r="F1877" s="137" t="s">
        <v>5106</v>
      </c>
      <c r="G1877" s="137"/>
      <c r="H1877" s="82" t="str">
        <f t="shared" si="125"/>
        <v>TCCN-PTE-CON-EPM-B03-PHU-</v>
      </c>
      <c r="I1877" s="137" t="str">
        <f>MID(H1877,1,(LEN(H1877)-VLOOKUP(K1877,datos!$B$2:$C$12,2,0)))</f>
        <v>TCCN-PTE-CON-EPM-B03-PHU</v>
      </c>
      <c r="J1877" s="137" t="s">
        <v>5569</v>
      </c>
      <c r="K1877" s="139">
        <f>VLOOKUP(LEN(SUBSTITUTE(H1877,"-","")),datos!$A$1:$B$12,2,0)</f>
        <v>6</v>
      </c>
      <c r="L1877" s="137"/>
      <c r="M1877" s="137" t="s">
        <v>0</v>
      </c>
    </row>
    <row r="1878" spans="1:13" x14ac:dyDescent="0.35">
      <c r="A1878" s="137" t="s">
        <v>487</v>
      </c>
      <c r="B1878" s="137" t="s">
        <v>3809</v>
      </c>
      <c r="C1878" s="137" t="s">
        <v>4035</v>
      </c>
      <c r="D1878" s="137" t="s">
        <v>4036</v>
      </c>
      <c r="E1878" s="137" t="s">
        <v>4017</v>
      </c>
      <c r="F1878" s="137" t="s">
        <v>4073</v>
      </c>
      <c r="G1878" s="137"/>
      <c r="H1878" s="82" t="str">
        <f t="shared" si="125"/>
        <v>TCCN-PTE-CON-EPM-B03-PYV-</v>
      </c>
      <c r="I1878" s="137" t="str">
        <f>MID(H1878,1,(LEN(H1878)-VLOOKUP(K1878,datos!$B$2:$C$12,2,0)))</f>
        <v>TCCN-PTE-CON-EPM-B03-PYV</v>
      </c>
      <c r="J1878" s="137" t="s">
        <v>5570</v>
      </c>
      <c r="K1878" s="139">
        <f>VLOOKUP(LEN(SUBSTITUTE(H1878,"-","")),datos!$A$1:$B$12,2,0)</f>
        <v>6</v>
      </c>
      <c r="L1878" s="137"/>
      <c r="M1878" s="137" t="s">
        <v>0</v>
      </c>
    </row>
    <row r="1879" spans="1:13" x14ac:dyDescent="0.35">
      <c r="A1879" s="137" t="s">
        <v>487</v>
      </c>
      <c r="B1879" s="137" t="s">
        <v>3809</v>
      </c>
      <c r="C1879" s="137" t="s">
        <v>4035</v>
      </c>
      <c r="D1879" s="137" t="s">
        <v>4036</v>
      </c>
      <c r="E1879" s="137" t="s">
        <v>4017</v>
      </c>
      <c r="F1879" s="137" t="s">
        <v>5107</v>
      </c>
      <c r="G1879" s="137"/>
      <c r="H1879" s="82" t="str">
        <f t="shared" si="125"/>
        <v>TCCN-PTE-CON-EPM-B03-SAS-</v>
      </c>
      <c r="I1879" s="137" t="str">
        <f>MID(H1879,1,(LEN(H1879)-VLOOKUP(K1879,datos!$B$2:$C$12,2,0)))</f>
        <v>TCCN-PTE-CON-EPM-B03-SAS</v>
      </c>
      <c r="J1879" s="137" t="s">
        <v>5571</v>
      </c>
      <c r="K1879" s="139">
        <f>VLOOKUP(LEN(SUBSTITUTE(H1879,"-","")),datos!$A$1:$B$12,2,0)</f>
        <v>6</v>
      </c>
      <c r="L1879" s="137"/>
      <c r="M1879" s="137" t="s">
        <v>0</v>
      </c>
    </row>
    <row r="1880" spans="1:13" x14ac:dyDescent="0.35">
      <c r="A1880" s="138" t="s">
        <v>487</v>
      </c>
      <c r="B1880" s="138" t="s">
        <v>3809</v>
      </c>
      <c r="C1880" s="138" t="s">
        <v>4035</v>
      </c>
      <c r="D1880" s="138" t="s">
        <v>4036</v>
      </c>
      <c r="E1880" s="138" t="s">
        <v>4017</v>
      </c>
      <c r="F1880" s="138" t="s">
        <v>5107</v>
      </c>
      <c r="G1880" s="138" t="s">
        <v>4075</v>
      </c>
      <c r="H1880" s="81" t="str">
        <f t="shared" ref="H1880" si="126">CONCATENATE(A1880,"-",B1880,"-",C1880,"-",D1880,"-",E1880,"-",F1880,"-",G1880)</f>
        <v>TCCN-PTE-CON-EPM-B03-SAS-VVA</v>
      </c>
      <c r="I1880" s="138" t="str">
        <f>MID(H1880,1,(LEN(H1880)-VLOOKUP(K1880,datos!$B$2:$C$12,2,0)))</f>
        <v>TCCN-PTE-CON-EPM-B03-SAS-VVA</v>
      </c>
      <c r="J1880" s="138" t="s">
        <v>7454</v>
      </c>
      <c r="K1880" s="140">
        <f>VLOOKUP(LEN(SUBSTITUTE(H1880,"-","")),datos!$A$1:$B$12,2,0)</f>
        <v>7</v>
      </c>
      <c r="L1880" s="138" t="s">
        <v>7455</v>
      </c>
      <c r="M1880" s="138" t="s">
        <v>0</v>
      </c>
    </row>
    <row r="1881" spans="1:13" x14ac:dyDescent="0.35">
      <c r="A1881" s="137" t="s">
        <v>487</v>
      </c>
      <c r="B1881" s="137" t="s">
        <v>3809</v>
      </c>
      <c r="C1881" s="137" t="s">
        <v>4035</v>
      </c>
      <c r="D1881" s="137" t="s">
        <v>4036</v>
      </c>
      <c r="E1881" s="137" t="s">
        <v>4017</v>
      </c>
      <c r="F1881" s="137" t="s">
        <v>3847</v>
      </c>
      <c r="G1881" s="137"/>
      <c r="H1881" s="82" t="str">
        <f t="shared" si="125"/>
        <v>TCCN-PTE-CON-EPM-B03-SMO-</v>
      </c>
      <c r="I1881" s="137" t="str">
        <f>MID(H1881,1,(LEN(H1881)-VLOOKUP(K1881,datos!$B$2:$C$12,2,0)))</f>
        <v>TCCN-PTE-CON-EPM-B03-SMO</v>
      </c>
      <c r="J1881" s="137" t="s">
        <v>5572</v>
      </c>
      <c r="K1881" s="139">
        <f>VLOOKUP(LEN(SUBSTITUTE(H1881,"-","")),datos!$A$1:$B$12,2,0)</f>
        <v>6</v>
      </c>
      <c r="L1881" s="137"/>
      <c r="M1881" s="137" t="s">
        <v>0</v>
      </c>
    </row>
    <row r="1882" spans="1:13" x14ac:dyDescent="0.35">
      <c r="A1882" s="138" t="s">
        <v>487</v>
      </c>
      <c r="B1882" s="138" t="s">
        <v>3809</v>
      </c>
      <c r="C1882" s="138" t="s">
        <v>4035</v>
      </c>
      <c r="D1882" s="138" t="s">
        <v>4036</v>
      </c>
      <c r="E1882" s="138" t="s">
        <v>4017</v>
      </c>
      <c r="F1882" s="138" t="s">
        <v>3847</v>
      </c>
      <c r="G1882" s="138" t="s">
        <v>3819</v>
      </c>
      <c r="H1882" s="81" t="str">
        <f t="shared" si="125"/>
        <v>TCCN-PTE-CON-EPM-B03-SMO-MOE</v>
      </c>
      <c r="I1882" s="138" t="str">
        <f>MID(H1882,1,(LEN(H1882)-VLOOKUP(K1882,datos!$B$2:$C$12,2,0)))</f>
        <v>TCCN-PTE-CON-EPM-B03-SMO-MOE</v>
      </c>
      <c r="J1882" s="138" t="s">
        <v>5573</v>
      </c>
      <c r="K1882" s="140">
        <f>VLOOKUP(LEN(SUBSTITUTE(H1882,"-","")),datos!$A$1:$B$12,2,0)</f>
        <v>7</v>
      </c>
      <c r="L1882" s="138" t="s">
        <v>258</v>
      </c>
      <c r="M1882" s="138" t="s">
        <v>0</v>
      </c>
    </row>
    <row r="1883" spans="1:13" x14ac:dyDescent="0.35">
      <c r="A1883" s="137" t="s">
        <v>487</v>
      </c>
      <c r="B1883" s="137" t="s">
        <v>3809</v>
      </c>
      <c r="C1883" s="137" t="s">
        <v>4035</v>
      </c>
      <c r="D1883" s="137" t="s">
        <v>4036</v>
      </c>
      <c r="E1883" s="137" t="s">
        <v>4017</v>
      </c>
      <c r="F1883" s="137" t="s">
        <v>3831</v>
      </c>
      <c r="G1883" s="137"/>
      <c r="H1883" s="82" t="str">
        <f>CONCATENATE(A1883,"-",B1883,"-",C1883,"-",D1883,"-",E1883,"-",F1883,"-",G1883)</f>
        <v>TCCN-PTE-CON-EPM-B03-INS-</v>
      </c>
      <c r="I1883" s="137" t="str">
        <f>MID(H1883,1,(LEN(H1883)-VLOOKUP(K1883,datos!$B$2:$C$12,2,0)))</f>
        <v>TCCN-PTE-CON-EPM-B03-INS</v>
      </c>
      <c r="J1883" s="137" t="s">
        <v>5574</v>
      </c>
      <c r="K1883" s="139">
        <f>VLOOKUP(LEN(SUBSTITUTE(H1883,"-","")),datos!$A$1:$B$12,2,0)</f>
        <v>6</v>
      </c>
      <c r="L1883" s="137"/>
      <c r="M1883" s="137" t="s">
        <v>0</v>
      </c>
    </row>
    <row r="1884" spans="1:13" x14ac:dyDescent="0.35">
      <c r="A1884" s="138" t="s">
        <v>487</v>
      </c>
      <c r="B1884" s="138" t="s">
        <v>3809</v>
      </c>
      <c r="C1884" s="138" t="s">
        <v>4035</v>
      </c>
      <c r="D1884" s="138" t="s">
        <v>4036</v>
      </c>
      <c r="E1884" s="138" t="s">
        <v>4017</v>
      </c>
      <c r="F1884" s="138" t="s">
        <v>3831</v>
      </c>
      <c r="G1884" s="138" t="s">
        <v>7069</v>
      </c>
      <c r="H1884" s="81" t="str">
        <f>CONCATENATE(A1884,"-",B1884,"-",C1884,"-",D1884,"-",E1884,"-",F1884,"-",G1884)</f>
        <v>TCCN-PTE-CON-EPM-B03-INS-MPN</v>
      </c>
      <c r="I1884" s="138" t="str">
        <f>MID(H1884,1,(LEN(H1884)-VLOOKUP(K1884,datos!$B$2:$C$12,2,0)))</f>
        <v>TCCN-PTE-CON-EPM-B03-INS-MPN</v>
      </c>
      <c r="J1884" s="138" t="s">
        <v>7563</v>
      </c>
      <c r="K1884" s="140">
        <f>VLOOKUP(LEN(SUBSTITUTE(H1884,"-","")),datos!$A$1:$B$12,2,0)</f>
        <v>7</v>
      </c>
      <c r="L1884" s="138" t="s">
        <v>8136</v>
      </c>
      <c r="M1884" s="138" t="s">
        <v>0</v>
      </c>
    </row>
    <row r="1885" spans="1:13" x14ac:dyDescent="0.35">
      <c r="A1885" s="137" t="s">
        <v>487</v>
      </c>
      <c r="B1885" s="137" t="s">
        <v>3809</v>
      </c>
      <c r="C1885" s="137" t="s">
        <v>4035</v>
      </c>
      <c r="D1885" s="137" t="s">
        <v>4036</v>
      </c>
      <c r="E1885" s="137" t="s">
        <v>4017</v>
      </c>
      <c r="F1885" s="137" t="s">
        <v>3869</v>
      </c>
      <c r="G1885" s="137"/>
      <c r="H1885" s="82" t="str">
        <f t="shared" si="125"/>
        <v>TCCN-PTE-CON-EPM-B03-SCE-</v>
      </c>
      <c r="I1885" s="137" t="str">
        <f>MID(H1885,1,(LEN(H1885)-VLOOKUP(K1885,datos!$B$2:$C$12,2,0)))</f>
        <v>TCCN-PTE-CON-EPM-B03-SCE</v>
      </c>
      <c r="J1885" s="137" t="s">
        <v>5575</v>
      </c>
      <c r="K1885" s="139">
        <f>VLOOKUP(LEN(SUBSTITUTE(H1885,"-","")),datos!$A$1:$B$12,2,0)</f>
        <v>6</v>
      </c>
      <c r="L1885" s="137"/>
      <c r="M1885" s="137" t="s">
        <v>0</v>
      </c>
    </row>
    <row r="1886" spans="1:13" x14ac:dyDescent="0.35">
      <c r="A1886" s="138" t="s">
        <v>487</v>
      </c>
      <c r="B1886" s="138" t="s">
        <v>3809</v>
      </c>
      <c r="C1886" s="138" t="s">
        <v>4035</v>
      </c>
      <c r="D1886" s="138" t="s">
        <v>4036</v>
      </c>
      <c r="E1886" s="138" t="s">
        <v>4017</v>
      </c>
      <c r="F1886" s="138" t="s">
        <v>3869</v>
      </c>
      <c r="G1886" s="138" t="s">
        <v>3870</v>
      </c>
      <c r="H1886" s="81" t="str">
        <f t="shared" si="125"/>
        <v>TCCN-PTE-CON-EPM-B03-SCE-BTN</v>
      </c>
      <c r="I1886" s="138" t="str">
        <f>MID(H1886,1,(LEN(H1886)-VLOOKUP(K1886,datos!$B$2:$C$12,2,0)))</f>
        <v>TCCN-PTE-CON-EPM-B03-SCE-BTN</v>
      </c>
      <c r="J1886" s="138" t="s">
        <v>5576</v>
      </c>
      <c r="K1886" s="140">
        <f>VLOOKUP(LEN(SUBSTITUTE(H1886,"-","")),datos!$A$1:$B$12,2,0)</f>
        <v>7</v>
      </c>
      <c r="L1886" s="138"/>
      <c r="M1886" s="138" t="s">
        <v>0</v>
      </c>
    </row>
    <row r="1887" spans="1:13" customFormat="1" ht="14.5" x14ac:dyDescent="0.35">
      <c r="A1887" s="129" t="s">
        <v>487</v>
      </c>
      <c r="B1887" s="129" t="s">
        <v>3809</v>
      </c>
      <c r="C1887" s="129" t="s">
        <v>4035</v>
      </c>
      <c r="D1887" s="129" t="s">
        <v>4036</v>
      </c>
      <c r="E1887" s="129" t="s">
        <v>4049</v>
      </c>
      <c r="F1887" s="129"/>
      <c r="G1887" s="129"/>
      <c r="H1887" s="83" t="str">
        <f t="shared" ref="H1887:H1946" si="127">CONCATENATE(A1887,"-",B1887,"-",C1887,"-",D1887,"-",E1887,"-",F1887,"-",G1887)</f>
        <v>TCCN-PTE-CON-EPM-B04--</v>
      </c>
      <c r="I1887" s="129" t="str">
        <f>MID(H1887,1,(LEN(H1887)-VLOOKUP(K1887,datos!$B$2:$C$12,2,0)))</f>
        <v>TCCN-PTE-CON-EPM-B04</v>
      </c>
      <c r="J1887" s="129" t="s">
        <v>7453</v>
      </c>
      <c r="K1887" s="130">
        <f>VLOOKUP(LEN(SUBSTITUTE(H1887,"-","")),datos!$A$1:$B$12,2,0)</f>
        <v>5</v>
      </c>
      <c r="L1887" s="129" t="s">
        <v>259</v>
      </c>
      <c r="M1887" s="129" t="s">
        <v>0</v>
      </c>
    </row>
    <row r="1888" spans="1:13" x14ac:dyDescent="0.35">
      <c r="A1888" s="137" t="s">
        <v>487</v>
      </c>
      <c r="B1888" s="137" t="s">
        <v>3809</v>
      </c>
      <c r="C1888" s="137" t="s">
        <v>4035</v>
      </c>
      <c r="D1888" s="137" t="s">
        <v>4036</v>
      </c>
      <c r="E1888" s="137" t="s">
        <v>4049</v>
      </c>
      <c r="F1888" s="137" t="s">
        <v>5106</v>
      </c>
      <c r="G1888" s="137"/>
      <c r="H1888" s="82" t="str">
        <f t="shared" si="127"/>
        <v>TCCN-PTE-CON-EPM-B04-PHU-</v>
      </c>
      <c r="I1888" s="137" t="str">
        <f>MID(H1888,1,(LEN(H1888)-VLOOKUP(K1888,datos!$B$2:$C$12,2,0)))</f>
        <v>TCCN-PTE-CON-EPM-B04-PHU</v>
      </c>
      <c r="J1888" s="137" t="s">
        <v>5577</v>
      </c>
      <c r="K1888" s="139">
        <f>VLOOKUP(LEN(SUBSTITUTE(H1888,"-","")),datos!$A$1:$B$12,2,0)</f>
        <v>6</v>
      </c>
      <c r="L1888" s="137"/>
      <c r="M1888" s="137" t="s">
        <v>0</v>
      </c>
    </row>
    <row r="1889" spans="1:13" x14ac:dyDescent="0.35">
      <c r="A1889" s="137" t="s">
        <v>487</v>
      </c>
      <c r="B1889" s="137" t="s">
        <v>3809</v>
      </c>
      <c r="C1889" s="137" t="s">
        <v>4035</v>
      </c>
      <c r="D1889" s="137" t="s">
        <v>4036</v>
      </c>
      <c r="E1889" s="137" t="s">
        <v>4049</v>
      </c>
      <c r="F1889" s="137" t="s">
        <v>4073</v>
      </c>
      <c r="G1889" s="137"/>
      <c r="H1889" s="82" t="str">
        <f t="shared" si="127"/>
        <v>TCCN-PTE-CON-EPM-B04-PYV-</v>
      </c>
      <c r="I1889" s="137" t="str">
        <f>MID(H1889,1,(LEN(H1889)-VLOOKUP(K1889,datos!$B$2:$C$12,2,0)))</f>
        <v>TCCN-PTE-CON-EPM-B04-PYV</v>
      </c>
      <c r="J1889" s="137" t="s">
        <v>5578</v>
      </c>
      <c r="K1889" s="139">
        <f>VLOOKUP(LEN(SUBSTITUTE(H1889,"-","")),datos!$A$1:$B$12,2,0)</f>
        <v>6</v>
      </c>
      <c r="L1889" s="137"/>
      <c r="M1889" s="137" t="s">
        <v>0</v>
      </c>
    </row>
    <row r="1890" spans="1:13" x14ac:dyDescent="0.35">
      <c r="A1890" s="137" t="s">
        <v>487</v>
      </c>
      <c r="B1890" s="137" t="s">
        <v>3809</v>
      </c>
      <c r="C1890" s="137" t="s">
        <v>4035</v>
      </c>
      <c r="D1890" s="137" t="s">
        <v>4036</v>
      </c>
      <c r="E1890" s="137" t="s">
        <v>4049</v>
      </c>
      <c r="F1890" s="137" t="s">
        <v>5107</v>
      </c>
      <c r="G1890" s="137"/>
      <c r="H1890" s="82" t="str">
        <f t="shared" si="127"/>
        <v>TCCN-PTE-CON-EPM-B04-SAS-</v>
      </c>
      <c r="I1890" s="137" t="str">
        <f>MID(H1890,1,(LEN(H1890)-VLOOKUP(K1890,datos!$B$2:$C$12,2,0)))</f>
        <v>TCCN-PTE-CON-EPM-B04-SAS</v>
      </c>
      <c r="J1890" s="137" t="s">
        <v>5579</v>
      </c>
      <c r="K1890" s="139">
        <f>VLOOKUP(LEN(SUBSTITUTE(H1890,"-","")),datos!$A$1:$B$12,2,0)</f>
        <v>6</v>
      </c>
      <c r="L1890" s="137"/>
      <c r="M1890" s="137" t="s">
        <v>0</v>
      </c>
    </row>
    <row r="1891" spans="1:13" x14ac:dyDescent="0.35">
      <c r="A1891" s="138" t="s">
        <v>487</v>
      </c>
      <c r="B1891" s="138" t="s">
        <v>3809</v>
      </c>
      <c r="C1891" s="138" t="s">
        <v>4035</v>
      </c>
      <c r="D1891" s="138" t="s">
        <v>4036</v>
      </c>
      <c r="E1891" s="138" t="s">
        <v>4049</v>
      </c>
      <c r="F1891" s="138" t="s">
        <v>5107</v>
      </c>
      <c r="G1891" s="138" t="s">
        <v>4075</v>
      </c>
      <c r="H1891" s="81" t="str">
        <f t="shared" si="127"/>
        <v>TCCN-PTE-CON-EPM-B04-SAS-VVA</v>
      </c>
      <c r="I1891" s="138" t="str">
        <f>MID(H1891,1,(LEN(H1891)-VLOOKUP(K1891,datos!$B$2:$C$12,2,0)))</f>
        <v>TCCN-PTE-CON-EPM-B04-SAS-VVA</v>
      </c>
      <c r="J1891" s="138" t="s">
        <v>7456</v>
      </c>
      <c r="K1891" s="140">
        <f>VLOOKUP(LEN(SUBSTITUTE(H1891,"-","")),datos!$A$1:$B$12,2,0)</f>
        <v>7</v>
      </c>
      <c r="L1891" s="138" t="s">
        <v>7457</v>
      </c>
      <c r="M1891" s="138" t="s">
        <v>0</v>
      </c>
    </row>
    <row r="1892" spans="1:13" x14ac:dyDescent="0.35">
      <c r="A1892" s="137" t="s">
        <v>487</v>
      </c>
      <c r="B1892" s="137" t="s">
        <v>3809</v>
      </c>
      <c r="C1892" s="137" t="s">
        <v>4035</v>
      </c>
      <c r="D1892" s="137" t="s">
        <v>4036</v>
      </c>
      <c r="E1892" s="137" t="s">
        <v>4049</v>
      </c>
      <c r="F1892" s="137" t="s">
        <v>3847</v>
      </c>
      <c r="G1892" s="137"/>
      <c r="H1892" s="82" t="str">
        <f t="shared" si="127"/>
        <v>TCCN-PTE-CON-EPM-B04-SMO-</v>
      </c>
      <c r="I1892" s="137" t="str">
        <f>MID(H1892,1,(LEN(H1892)-VLOOKUP(K1892,datos!$B$2:$C$12,2,0)))</f>
        <v>TCCN-PTE-CON-EPM-B04-SMO</v>
      </c>
      <c r="J1892" s="137" t="s">
        <v>5580</v>
      </c>
      <c r="K1892" s="139">
        <f>VLOOKUP(LEN(SUBSTITUTE(H1892,"-","")),datos!$A$1:$B$12,2,0)</f>
        <v>6</v>
      </c>
      <c r="L1892" s="137"/>
      <c r="M1892" s="137" t="s">
        <v>0</v>
      </c>
    </row>
    <row r="1893" spans="1:13" x14ac:dyDescent="0.35">
      <c r="A1893" s="138" t="s">
        <v>487</v>
      </c>
      <c r="B1893" s="138" t="s">
        <v>3809</v>
      </c>
      <c r="C1893" s="138" t="s">
        <v>4035</v>
      </c>
      <c r="D1893" s="138" t="s">
        <v>4036</v>
      </c>
      <c r="E1893" s="138" t="s">
        <v>4049</v>
      </c>
      <c r="F1893" s="138" t="s">
        <v>3847</v>
      </c>
      <c r="G1893" s="138" t="s">
        <v>3819</v>
      </c>
      <c r="H1893" s="81" t="str">
        <f t="shared" si="127"/>
        <v>TCCN-PTE-CON-EPM-B04-SMO-MOE</v>
      </c>
      <c r="I1893" s="138" t="str">
        <f>MID(H1893,1,(LEN(H1893)-VLOOKUP(K1893,datos!$B$2:$C$12,2,0)))</f>
        <v>TCCN-PTE-CON-EPM-B04-SMO-MOE</v>
      </c>
      <c r="J1893" s="138" t="s">
        <v>5581</v>
      </c>
      <c r="K1893" s="140">
        <f>VLOOKUP(LEN(SUBSTITUTE(H1893,"-","")),datos!$A$1:$B$12,2,0)</f>
        <v>7</v>
      </c>
      <c r="L1893" s="138" t="s">
        <v>260</v>
      </c>
      <c r="M1893" s="138" t="s">
        <v>0</v>
      </c>
    </row>
    <row r="1894" spans="1:13" x14ac:dyDescent="0.35">
      <c r="A1894" s="137" t="s">
        <v>487</v>
      </c>
      <c r="B1894" s="137" t="s">
        <v>3809</v>
      </c>
      <c r="C1894" s="137" t="s">
        <v>4035</v>
      </c>
      <c r="D1894" s="137" t="s">
        <v>4036</v>
      </c>
      <c r="E1894" s="137" t="s">
        <v>4049</v>
      </c>
      <c r="F1894" s="137" t="s">
        <v>3831</v>
      </c>
      <c r="G1894" s="137"/>
      <c r="H1894" s="82" t="str">
        <f>CONCATENATE(A1894,"-",B1894,"-",C1894,"-",D1894,"-",E1894,"-",F1894,"-",G1894)</f>
        <v>TCCN-PTE-CON-EPM-B04-INS-</v>
      </c>
      <c r="I1894" s="137" t="str">
        <f>MID(H1894,1,(LEN(H1894)-VLOOKUP(K1894,datos!$B$2:$C$12,2,0)))</f>
        <v>TCCN-PTE-CON-EPM-B04-INS</v>
      </c>
      <c r="J1894" s="137" t="s">
        <v>5582</v>
      </c>
      <c r="K1894" s="139">
        <f>VLOOKUP(LEN(SUBSTITUTE(H1894,"-","")),datos!$A$1:$B$12,2,0)</f>
        <v>6</v>
      </c>
      <c r="L1894" s="137"/>
      <c r="M1894" s="137" t="s">
        <v>0</v>
      </c>
    </row>
    <row r="1895" spans="1:13" x14ac:dyDescent="0.35">
      <c r="A1895" s="138" t="s">
        <v>487</v>
      </c>
      <c r="B1895" s="138" t="s">
        <v>3809</v>
      </c>
      <c r="C1895" s="138" t="s">
        <v>4035</v>
      </c>
      <c r="D1895" s="138" t="s">
        <v>4036</v>
      </c>
      <c r="E1895" s="138" t="s">
        <v>4049</v>
      </c>
      <c r="F1895" s="138" t="s">
        <v>3831</v>
      </c>
      <c r="G1895" s="138" t="s">
        <v>7069</v>
      </c>
      <c r="H1895" s="81" t="str">
        <f>CONCATENATE(A1895,"-",B1895,"-",C1895,"-",D1895,"-",E1895,"-",F1895,"-",G1895)</f>
        <v>TCCN-PTE-CON-EPM-B04-INS-MPN</v>
      </c>
      <c r="I1895" s="138" t="str">
        <f>MID(H1895,1,(LEN(H1895)-VLOOKUP(K1895,datos!$B$2:$C$12,2,0)))</f>
        <v>TCCN-PTE-CON-EPM-B04-INS-MPN</v>
      </c>
      <c r="J1895" s="138" t="s">
        <v>7564</v>
      </c>
      <c r="K1895" s="140">
        <f>VLOOKUP(LEN(SUBSTITUTE(H1895,"-","")),datos!$A$1:$B$12,2,0)</f>
        <v>7</v>
      </c>
      <c r="L1895" s="138" t="s">
        <v>8137</v>
      </c>
      <c r="M1895" s="138" t="s">
        <v>0</v>
      </c>
    </row>
    <row r="1896" spans="1:13" x14ac:dyDescent="0.35">
      <c r="A1896" s="137" t="s">
        <v>487</v>
      </c>
      <c r="B1896" s="137" t="s">
        <v>3809</v>
      </c>
      <c r="C1896" s="137" t="s">
        <v>4035</v>
      </c>
      <c r="D1896" s="137" t="s">
        <v>4036</v>
      </c>
      <c r="E1896" s="137" t="s">
        <v>4049</v>
      </c>
      <c r="F1896" s="137" t="s">
        <v>3869</v>
      </c>
      <c r="G1896" s="137"/>
      <c r="H1896" s="82" t="str">
        <f t="shared" ref="H1896:H1897" si="128">CONCATENATE(A1896,"-",B1896,"-",C1896,"-",D1896,"-",E1896,"-",F1896,"-",G1896)</f>
        <v>TCCN-PTE-CON-EPM-B04-SCE-</v>
      </c>
      <c r="I1896" s="137" t="str">
        <f>MID(H1896,1,(LEN(H1896)-VLOOKUP(K1896,datos!$B$2:$C$12,2,0)))</f>
        <v>TCCN-PTE-CON-EPM-B04-SCE</v>
      </c>
      <c r="J1896" s="137" t="s">
        <v>5583</v>
      </c>
      <c r="K1896" s="139">
        <f>VLOOKUP(LEN(SUBSTITUTE(H1896,"-","")),datos!$A$1:$B$12,2,0)</f>
        <v>6</v>
      </c>
      <c r="L1896" s="137"/>
      <c r="M1896" s="137" t="s">
        <v>0</v>
      </c>
    </row>
    <row r="1897" spans="1:13" x14ac:dyDescent="0.35">
      <c r="A1897" s="138" t="s">
        <v>487</v>
      </c>
      <c r="B1897" s="138" t="s">
        <v>3809</v>
      </c>
      <c r="C1897" s="138" t="s">
        <v>4035</v>
      </c>
      <c r="D1897" s="138" t="s">
        <v>4036</v>
      </c>
      <c r="E1897" s="138" t="s">
        <v>4049</v>
      </c>
      <c r="F1897" s="138" t="s">
        <v>3869</v>
      </c>
      <c r="G1897" s="138" t="s">
        <v>3870</v>
      </c>
      <c r="H1897" s="81" t="str">
        <f t="shared" si="128"/>
        <v>TCCN-PTE-CON-EPM-B04-SCE-BTN</v>
      </c>
      <c r="I1897" s="138" t="str">
        <f>MID(H1897,1,(LEN(H1897)-VLOOKUP(K1897,datos!$B$2:$C$12,2,0)))</f>
        <v>TCCN-PTE-CON-EPM-B04-SCE-BTN</v>
      </c>
      <c r="J1897" s="138" t="s">
        <v>5584</v>
      </c>
      <c r="K1897" s="140">
        <f>VLOOKUP(LEN(SUBSTITUTE(H1897,"-","")),datos!$A$1:$B$12,2,0)</f>
        <v>7</v>
      </c>
      <c r="L1897" s="138"/>
      <c r="M1897" s="138" t="s">
        <v>0</v>
      </c>
    </row>
    <row r="1898" spans="1:13" customFormat="1" ht="14.5" x14ac:dyDescent="0.35">
      <c r="A1898" s="129" t="s">
        <v>487</v>
      </c>
      <c r="B1898" s="129" t="s">
        <v>3809</v>
      </c>
      <c r="C1898" s="129" t="s">
        <v>4035</v>
      </c>
      <c r="D1898" s="129" t="s">
        <v>4036</v>
      </c>
      <c r="E1898" s="129" t="s">
        <v>3871</v>
      </c>
      <c r="F1898" s="129"/>
      <c r="G1898" s="129"/>
      <c r="H1898" s="83" t="str">
        <f t="shared" si="127"/>
        <v>TCCN-PTE-CON-EPM-TC2--</v>
      </c>
      <c r="I1898" s="129" t="str">
        <f>MID(H1898,1,(LEN(H1898)-VLOOKUP(K1898,datos!$B$2:$C$12,2,0)))</f>
        <v>TCCN-PTE-CON-EPM-TC2</v>
      </c>
      <c r="J1898" s="129" t="s">
        <v>8152</v>
      </c>
      <c r="K1898" s="130">
        <f>VLOOKUP(LEN(SUBSTITUTE(H1898,"-","")),datos!$A$1:$B$12,2,0)</f>
        <v>5</v>
      </c>
      <c r="L1898" s="129" t="s">
        <v>261</v>
      </c>
      <c r="M1898" s="129" t="s">
        <v>0</v>
      </c>
    </row>
    <row r="1899" spans="1:13" customFormat="1" ht="14.5" x14ac:dyDescent="0.35">
      <c r="A1899" s="129" t="s">
        <v>487</v>
      </c>
      <c r="B1899" s="129" t="s">
        <v>3809</v>
      </c>
      <c r="C1899" s="129" t="s">
        <v>4035</v>
      </c>
      <c r="D1899" s="129" t="s">
        <v>4036</v>
      </c>
      <c r="E1899" s="129" t="s">
        <v>3872</v>
      </c>
      <c r="F1899" s="129"/>
      <c r="G1899" s="129"/>
      <c r="H1899" s="83" t="str">
        <f t="shared" si="127"/>
        <v>TCCN-PTE-CON-EPM-TC3--</v>
      </c>
      <c r="I1899" s="129" t="str">
        <f>MID(H1899,1,(LEN(H1899)-VLOOKUP(K1899,datos!$B$2:$C$12,2,0)))</f>
        <v>TCCN-PTE-CON-EPM-TC3</v>
      </c>
      <c r="J1899" s="129" t="s">
        <v>8153</v>
      </c>
      <c r="K1899" s="130">
        <f>VLOOKUP(LEN(SUBSTITUTE(H1899,"-","")),datos!$A$1:$B$12,2,0)</f>
        <v>5</v>
      </c>
      <c r="L1899" s="129" t="s">
        <v>262</v>
      </c>
      <c r="M1899" s="129" t="s">
        <v>0</v>
      </c>
    </row>
    <row r="1900" spans="1:13" customFormat="1" ht="14.5" x14ac:dyDescent="0.35">
      <c r="A1900" s="129" t="s">
        <v>487</v>
      </c>
      <c r="B1900" s="129" t="s">
        <v>3809</v>
      </c>
      <c r="C1900" s="129" t="s">
        <v>4035</v>
      </c>
      <c r="D1900" s="129" t="s">
        <v>4036</v>
      </c>
      <c r="E1900" s="129" t="s">
        <v>3880</v>
      </c>
      <c r="F1900" s="129"/>
      <c r="G1900" s="129"/>
      <c r="H1900" s="83" t="str">
        <f t="shared" si="127"/>
        <v>TCCN-PTE-CON-EPM-DLO--</v>
      </c>
      <c r="I1900" s="129" t="str">
        <f>MID(H1900,1,(LEN(H1900)-VLOOKUP(K1900,datos!$B$2:$C$12,2,0)))</f>
        <v>TCCN-PTE-CON-EPM-DLO</v>
      </c>
      <c r="J1900" s="129" t="s">
        <v>169</v>
      </c>
      <c r="K1900" s="130">
        <f>VLOOKUP(LEN(SUBSTITUTE(H1900,"-","")),datos!$A$1:$B$12,2,0)</f>
        <v>5</v>
      </c>
      <c r="L1900" s="129" t="s">
        <v>263</v>
      </c>
      <c r="M1900" s="129" t="s">
        <v>0</v>
      </c>
    </row>
    <row r="1901" spans="1:13" customFormat="1" ht="14.5" x14ac:dyDescent="0.35">
      <c r="A1901" s="84" t="s">
        <v>487</v>
      </c>
      <c r="B1901" s="84" t="s">
        <v>3809</v>
      </c>
      <c r="C1901" s="84" t="s">
        <v>4035</v>
      </c>
      <c r="D1901" s="84" t="s">
        <v>4019</v>
      </c>
      <c r="E1901" s="84"/>
      <c r="F1901" s="84"/>
      <c r="G1901" s="84"/>
      <c r="H1901" s="84" t="str">
        <f t="shared" si="127"/>
        <v>TCCN-PTE-CON-SMU---</v>
      </c>
      <c r="I1901" s="84" t="str">
        <f>MID(H1901,1,(LEN(H1901)-VLOOKUP(K1901,datos!$B$2:$C$12,2,0)))</f>
        <v>TCCN-PTE-CON-SMU</v>
      </c>
      <c r="J1901" s="84" t="s">
        <v>1601</v>
      </c>
      <c r="K1901" s="119">
        <f>VLOOKUP(LEN(SUBSTITUTE(H1901,"-","")),datos!$A$1:$B$12,2,0)</f>
        <v>4</v>
      </c>
      <c r="L1901" s="84"/>
      <c r="M1901" s="84" t="s">
        <v>0</v>
      </c>
    </row>
    <row r="1902" spans="1:13" customFormat="1" ht="14.5" x14ac:dyDescent="0.35">
      <c r="A1902" s="129" t="s">
        <v>487</v>
      </c>
      <c r="B1902" s="129" t="s">
        <v>3809</v>
      </c>
      <c r="C1902" s="129" t="s">
        <v>4035</v>
      </c>
      <c r="D1902" s="129" t="s">
        <v>4019</v>
      </c>
      <c r="E1902" s="129" t="s">
        <v>3988</v>
      </c>
      <c r="F1902" s="129"/>
      <c r="G1902" s="129"/>
      <c r="H1902" s="83" t="str">
        <f t="shared" si="127"/>
        <v>TCCN-PTE-CON-SMU-CMU--</v>
      </c>
      <c r="I1902" s="129" t="str">
        <f>MID(H1902,1,(LEN(H1902)-VLOOKUP(K1902,datos!$B$2:$C$12,2,0)))</f>
        <v>TCCN-PTE-CON-SMU-CMU</v>
      </c>
      <c r="J1902" s="129" t="s">
        <v>253</v>
      </c>
      <c r="K1902" s="130">
        <f>VLOOKUP(LEN(SUBSTITUTE(H1902,"-","")),datos!$A$1:$B$12,2,0)</f>
        <v>5</v>
      </c>
      <c r="L1902" s="129" t="s">
        <v>254</v>
      </c>
      <c r="M1902" s="129" t="s">
        <v>0</v>
      </c>
    </row>
    <row r="1903" spans="1:13" x14ac:dyDescent="0.35">
      <c r="A1903" s="137" t="s">
        <v>487</v>
      </c>
      <c r="B1903" s="137" t="s">
        <v>3809</v>
      </c>
      <c r="C1903" s="137" t="s">
        <v>4035</v>
      </c>
      <c r="D1903" s="137" t="s">
        <v>4019</v>
      </c>
      <c r="E1903" s="137" t="s">
        <v>3988</v>
      </c>
      <c r="F1903" s="137" t="s">
        <v>3847</v>
      </c>
      <c r="G1903" s="137"/>
      <c r="H1903" s="82" t="str">
        <f t="shared" si="127"/>
        <v>TCCN-PTE-CON-SMU-CMU-SMO-</v>
      </c>
      <c r="I1903" s="137" t="str">
        <f>MID(H1903,1,(LEN(H1903)-VLOOKUP(K1903,datos!$B$2:$C$12,2,0)))</f>
        <v>TCCN-PTE-CON-SMU-CMU-SMO</v>
      </c>
      <c r="J1903" s="137" t="s">
        <v>4613</v>
      </c>
      <c r="K1903" s="139">
        <f>VLOOKUP(LEN(SUBSTITUTE(H1903,"-","")),datos!$A$1:$B$12,2,0)</f>
        <v>6</v>
      </c>
      <c r="L1903" s="137"/>
      <c r="M1903" s="137" t="s">
        <v>0</v>
      </c>
    </row>
    <row r="1904" spans="1:13" x14ac:dyDescent="0.35">
      <c r="A1904" s="138" t="s">
        <v>487</v>
      </c>
      <c r="B1904" s="138" t="s">
        <v>3809</v>
      </c>
      <c r="C1904" s="138" t="s">
        <v>4035</v>
      </c>
      <c r="D1904" s="138" t="s">
        <v>4019</v>
      </c>
      <c r="E1904" s="138" t="s">
        <v>3988</v>
      </c>
      <c r="F1904" s="138" t="s">
        <v>3847</v>
      </c>
      <c r="G1904" s="138" t="s">
        <v>3819</v>
      </c>
      <c r="H1904" s="81" t="str">
        <f t="shared" si="127"/>
        <v>TCCN-PTE-CON-SMU-CMU-SMO-MOE</v>
      </c>
      <c r="I1904" s="138" t="str">
        <f>MID(H1904,1,(LEN(H1904)-VLOOKUP(K1904,datos!$B$2:$C$12,2,0)))</f>
        <v>TCCN-PTE-CON-SMU-CMU-SMO-MOE</v>
      </c>
      <c r="J1904" s="138" t="s">
        <v>4614</v>
      </c>
      <c r="K1904" s="140">
        <f>VLOOKUP(LEN(SUBSTITUTE(H1904,"-","")),datos!$A$1:$B$12,2,0)</f>
        <v>7</v>
      </c>
      <c r="L1904" s="138"/>
      <c r="M1904" s="138" t="s">
        <v>0</v>
      </c>
    </row>
    <row r="1905" spans="1:13" x14ac:dyDescent="0.35">
      <c r="A1905" s="137" t="s">
        <v>487</v>
      </c>
      <c r="B1905" s="137" t="s">
        <v>3809</v>
      </c>
      <c r="C1905" s="137" t="s">
        <v>4035</v>
      </c>
      <c r="D1905" s="137" t="s">
        <v>4019</v>
      </c>
      <c r="E1905" s="137" t="s">
        <v>3988</v>
      </c>
      <c r="F1905" s="137" t="s">
        <v>3831</v>
      </c>
      <c r="G1905" s="137"/>
      <c r="H1905" s="82" t="str">
        <f t="shared" si="127"/>
        <v>TCCN-PTE-CON-SMU-CMU-INS-</v>
      </c>
      <c r="I1905" s="137" t="str">
        <f>MID(H1905,1,(LEN(H1905)-VLOOKUP(K1905,datos!$B$2:$C$12,2,0)))</f>
        <v>TCCN-PTE-CON-SMU-CMU-INS</v>
      </c>
      <c r="J1905" s="137" t="s">
        <v>4615</v>
      </c>
      <c r="K1905" s="139">
        <f>VLOOKUP(LEN(SUBSTITUTE(H1905,"-","")),datos!$A$1:$B$12,2,0)</f>
        <v>6</v>
      </c>
      <c r="L1905" s="137"/>
      <c r="M1905" s="137" t="s">
        <v>0</v>
      </c>
    </row>
    <row r="1906" spans="1:13" customFormat="1" ht="14.5" x14ac:dyDescent="0.35">
      <c r="A1906" s="84" t="s">
        <v>487</v>
      </c>
      <c r="B1906" s="84" t="s">
        <v>3809</v>
      </c>
      <c r="C1906" s="84" t="s">
        <v>4035</v>
      </c>
      <c r="D1906" s="84" t="s">
        <v>4050</v>
      </c>
      <c r="E1906" s="84"/>
      <c r="F1906" s="84"/>
      <c r="G1906" s="84"/>
      <c r="H1906" s="84" t="str">
        <f t="shared" si="127"/>
        <v>TCCN-PTE-CON-FLT---</v>
      </c>
      <c r="I1906" s="84" t="str">
        <f>MID(H1906,1,(LEN(H1906)-VLOOKUP(K1906,datos!$B$2:$C$12,2,0)))</f>
        <v>TCCN-PTE-CON-FLT</v>
      </c>
      <c r="J1906" s="84" t="s">
        <v>1602</v>
      </c>
      <c r="K1906" s="119">
        <f>VLOOKUP(LEN(SUBSTITUTE(H1906,"-","")),datos!$A$1:$B$12,2,0)</f>
        <v>4</v>
      </c>
      <c r="L1906" s="84"/>
      <c r="M1906" s="84" t="s">
        <v>0</v>
      </c>
    </row>
    <row r="1907" spans="1:13" customFormat="1" ht="14.5" x14ac:dyDescent="0.35">
      <c r="A1907" s="129" t="s">
        <v>487</v>
      </c>
      <c r="B1907" s="129" t="s">
        <v>3809</v>
      </c>
      <c r="C1907" s="129" t="s">
        <v>4035</v>
      </c>
      <c r="D1907" s="129" t="s">
        <v>4050</v>
      </c>
      <c r="E1907" s="129" t="s">
        <v>4051</v>
      </c>
      <c r="F1907" s="129"/>
      <c r="G1907" s="129"/>
      <c r="H1907" s="83" t="str">
        <f t="shared" si="127"/>
        <v>TCCN-PTE-CON-FLT-ES1--</v>
      </c>
      <c r="I1907" s="129" t="str">
        <f>MID(H1907,1,(LEN(H1907)-VLOOKUP(K1907,datos!$B$2:$C$12,2,0)))</f>
        <v>TCCN-PTE-CON-FLT-ES1</v>
      </c>
      <c r="J1907" s="129" t="s">
        <v>8154</v>
      </c>
      <c r="K1907" s="130">
        <f>VLOOKUP(LEN(SUBSTITUTE(H1907,"-","")),datos!$A$1:$B$12,2,0)</f>
        <v>5</v>
      </c>
      <c r="L1907" s="129" t="s">
        <v>264</v>
      </c>
      <c r="M1907" s="129" t="s">
        <v>0</v>
      </c>
    </row>
    <row r="1908" spans="1:13" x14ac:dyDescent="0.35">
      <c r="A1908" s="137" t="s">
        <v>487</v>
      </c>
      <c r="B1908" s="137" t="s">
        <v>3809</v>
      </c>
      <c r="C1908" s="137" t="s">
        <v>4035</v>
      </c>
      <c r="D1908" s="137" t="s">
        <v>4050</v>
      </c>
      <c r="E1908" s="137" t="s">
        <v>4051</v>
      </c>
      <c r="F1908" s="137" t="s">
        <v>3824</v>
      </c>
      <c r="G1908" s="137"/>
      <c r="H1908" s="82" t="str">
        <f t="shared" ref="H1908" si="129">CONCATENATE(A1908,"-",B1908,"-",C1908,"-",D1908,"-",E1908,"-",F1908,"-",G1908)</f>
        <v>TCCN-PTE-CON-FLT-ES1-SES-</v>
      </c>
      <c r="I1908" s="137" t="str">
        <f>MID(H1908,1,(LEN(H1908)-VLOOKUP(K1908,datos!$B$2:$C$12,2,0)))</f>
        <v>TCCN-PTE-CON-FLT-ES1-SES</v>
      </c>
      <c r="J1908" s="137" t="s">
        <v>7140</v>
      </c>
      <c r="K1908" s="139">
        <f>VLOOKUP(LEN(SUBSTITUTE(H1908,"-","")),datos!$A$1:$B$12,2,0)</f>
        <v>6</v>
      </c>
      <c r="L1908" s="137"/>
      <c r="M1908" s="137" t="s">
        <v>0</v>
      </c>
    </row>
    <row r="1909" spans="1:13" x14ac:dyDescent="0.35">
      <c r="A1909" s="137" t="s">
        <v>487</v>
      </c>
      <c r="B1909" s="137" t="s">
        <v>3809</v>
      </c>
      <c r="C1909" s="137" t="s">
        <v>4035</v>
      </c>
      <c r="D1909" s="137" t="s">
        <v>4050</v>
      </c>
      <c r="E1909" s="137" t="s">
        <v>4051</v>
      </c>
      <c r="F1909" s="137" t="s">
        <v>3831</v>
      </c>
      <c r="G1909" s="137"/>
      <c r="H1909" s="82" t="str">
        <f t="shared" si="127"/>
        <v>TCCN-PTE-CON-FLT-ES1-INS-</v>
      </c>
      <c r="I1909" s="137" t="str">
        <f>MID(H1909,1,(LEN(H1909)-VLOOKUP(K1909,datos!$B$2:$C$12,2,0)))</f>
        <v>TCCN-PTE-CON-FLT-ES1-INS</v>
      </c>
      <c r="J1909" s="137" t="s">
        <v>4829</v>
      </c>
      <c r="K1909" s="139">
        <f>VLOOKUP(LEN(SUBSTITUTE(H1909,"-","")),datos!$A$1:$B$12,2,0)</f>
        <v>6</v>
      </c>
      <c r="L1909" s="137"/>
      <c r="M1909" s="137" t="s">
        <v>0</v>
      </c>
    </row>
    <row r="1910" spans="1:13" x14ac:dyDescent="0.35">
      <c r="A1910" s="138" t="s">
        <v>487</v>
      </c>
      <c r="B1910" s="138" t="s">
        <v>3809</v>
      </c>
      <c r="C1910" s="138" t="s">
        <v>4035</v>
      </c>
      <c r="D1910" s="138" t="s">
        <v>4050</v>
      </c>
      <c r="E1910" s="138" t="s">
        <v>4051</v>
      </c>
      <c r="F1910" s="138" t="s">
        <v>3831</v>
      </c>
      <c r="G1910" s="138" t="s">
        <v>5256</v>
      </c>
      <c r="H1910" s="81" t="str">
        <f t="shared" si="127"/>
        <v>TCCN-PTE-CON-FLT-ES1-INS-MNV</v>
      </c>
      <c r="I1910" s="138" t="str">
        <f>MID(H1910,1,(LEN(H1910)-VLOOKUP(K1910,datos!$B$2:$C$12,2,0)))</f>
        <v>TCCN-PTE-CON-FLT-ES1-INS-MNV</v>
      </c>
      <c r="J1910" s="138" t="s">
        <v>7622</v>
      </c>
      <c r="K1910" s="140">
        <f>VLOOKUP(LEN(SUBSTITUTE(H1910,"-","")),datos!$A$1:$B$12,2,0)</f>
        <v>7</v>
      </c>
      <c r="L1910" s="138" t="s">
        <v>1678</v>
      </c>
      <c r="M1910" s="138" t="s">
        <v>0</v>
      </c>
    </row>
    <row r="1911" spans="1:13" customFormat="1" ht="14.5" x14ac:dyDescent="0.35">
      <c r="A1911" s="129" t="s">
        <v>487</v>
      </c>
      <c r="B1911" s="129" t="s">
        <v>3809</v>
      </c>
      <c r="C1911" s="129" t="s">
        <v>4035</v>
      </c>
      <c r="D1911" s="129" t="s">
        <v>4050</v>
      </c>
      <c r="E1911" s="129" t="s">
        <v>4052</v>
      </c>
      <c r="F1911" s="129"/>
      <c r="G1911" s="129"/>
      <c r="H1911" s="83" t="str">
        <f t="shared" si="127"/>
        <v>TCCN-PTE-CON-FLT-AGT--</v>
      </c>
      <c r="I1911" s="129" t="str">
        <f>MID(H1911,1,(LEN(H1911)-VLOOKUP(K1911,datos!$B$2:$C$12,2,0)))</f>
        <v>TCCN-PTE-CON-FLT-AGT</v>
      </c>
      <c r="J1911" s="129" t="s">
        <v>469</v>
      </c>
      <c r="K1911" s="130">
        <f>VLOOKUP(LEN(SUBSTITUTE(H1911,"-","")),datos!$A$1:$B$12,2,0)</f>
        <v>5</v>
      </c>
      <c r="L1911" s="129" t="s">
        <v>265</v>
      </c>
      <c r="M1911" s="129" t="s">
        <v>0</v>
      </c>
    </row>
    <row r="1912" spans="1:13" x14ac:dyDescent="0.35">
      <c r="A1912" s="137" t="s">
        <v>487</v>
      </c>
      <c r="B1912" s="137" t="s">
        <v>3809</v>
      </c>
      <c r="C1912" s="137" t="s">
        <v>4035</v>
      </c>
      <c r="D1912" s="137" t="s">
        <v>4050</v>
      </c>
      <c r="E1912" s="137" t="s">
        <v>4052</v>
      </c>
      <c r="F1912" s="137" t="s">
        <v>3847</v>
      </c>
      <c r="G1912" s="137"/>
      <c r="H1912" s="82" t="str">
        <f t="shared" si="127"/>
        <v>TCCN-PTE-CON-FLT-AGT-SMO-</v>
      </c>
      <c r="I1912" s="137" t="str">
        <f>MID(H1912,1,(LEN(H1912)-VLOOKUP(K1912,datos!$B$2:$C$12,2,0)))</f>
        <v>TCCN-PTE-CON-FLT-AGT-SMO</v>
      </c>
      <c r="J1912" s="137" t="s">
        <v>4616</v>
      </c>
      <c r="K1912" s="139">
        <f>VLOOKUP(LEN(SUBSTITUTE(H1912,"-","")),datos!$A$1:$B$12,2,0)</f>
        <v>6</v>
      </c>
      <c r="L1912" s="137"/>
      <c r="M1912" s="137" t="s">
        <v>0</v>
      </c>
    </row>
    <row r="1913" spans="1:13" x14ac:dyDescent="0.35">
      <c r="A1913" s="138" t="s">
        <v>487</v>
      </c>
      <c r="B1913" s="138" t="s">
        <v>3809</v>
      </c>
      <c r="C1913" s="138" t="s">
        <v>4035</v>
      </c>
      <c r="D1913" s="138" t="s">
        <v>4050</v>
      </c>
      <c r="E1913" s="138" t="s">
        <v>4052</v>
      </c>
      <c r="F1913" s="138" t="s">
        <v>3847</v>
      </c>
      <c r="G1913" s="138" t="s">
        <v>3819</v>
      </c>
      <c r="H1913" s="81" t="str">
        <f t="shared" si="127"/>
        <v>TCCN-PTE-CON-FLT-AGT-SMO-MOE</v>
      </c>
      <c r="I1913" s="138" t="str">
        <f>MID(H1913,1,(LEN(H1913)-VLOOKUP(K1913,datos!$B$2:$C$12,2,0)))</f>
        <v>TCCN-PTE-CON-FLT-AGT-SMO-MOE</v>
      </c>
      <c r="J1913" s="138" t="s">
        <v>5345</v>
      </c>
      <c r="K1913" s="140">
        <f>VLOOKUP(LEN(SUBSTITUTE(H1913,"-","")),datos!$A$1:$B$12,2,0)</f>
        <v>7</v>
      </c>
      <c r="L1913" s="138" t="s">
        <v>1680</v>
      </c>
      <c r="M1913" s="138" t="s">
        <v>0</v>
      </c>
    </row>
    <row r="1914" spans="1:13" x14ac:dyDescent="0.35">
      <c r="A1914" s="138" t="s">
        <v>487</v>
      </c>
      <c r="B1914" s="138" t="s">
        <v>3809</v>
      </c>
      <c r="C1914" s="138" t="s">
        <v>4035</v>
      </c>
      <c r="D1914" s="138" t="s">
        <v>4050</v>
      </c>
      <c r="E1914" s="138" t="s">
        <v>4052</v>
      </c>
      <c r="F1914" s="138" t="s">
        <v>3847</v>
      </c>
      <c r="G1914" s="138" t="s">
        <v>3861</v>
      </c>
      <c r="H1914" s="81" t="str">
        <f t="shared" si="127"/>
        <v>TCCN-PTE-CON-FLT-AGT-SMO-RED</v>
      </c>
      <c r="I1914" s="138" t="str">
        <f>MID(H1914,1,(LEN(H1914)-VLOOKUP(K1914,datos!$B$2:$C$12,2,0)))</f>
        <v>TCCN-PTE-CON-FLT-AGT-SMO-RED</v>
      </c>
      <c r="J1914" s="138" t="s">
        <v>4617</v>
      </c>
      <c r="K1914" s="140">
        <f>VLOOKUP(LEN(SUBSTITUTE(H1914,"-","")),datos!$A$1:$B$12,2,0)</f>
        <v>7</v>
      </c>
      <c r="L1914" s="138"/>
      <c r="M1914" s="138" t="s">
        <v>0</v>
      </c>
    </row>
    <row r="1915" spans="1:13" x14ac:dyDescent="0.35">
      <c r="A1915" s="138" t="s">
        <v>487</v>
      </c>
      <c r="B1915" s="138" t="s">
        <v>3809</v>
      </c>
      <c r="C1915" s="138" t="s">
        <v>4035</v>
      </c>
      <c r="D1915" s="138" t="s">
        <v>4050</v>
      </c>
      <c r="E1915" s="138" t="s">
        <v>4052</v>
      </c>
      <c r="F1915" s="138" t="s">
        <v>3847</v>
      </c>
      <c r="G1915" s="138" t="s">
        <v>3997</v>
      </c>
      <c r="H1915" s="81" t="str">
        <f t="shared" si="127"/>
        <v>TCCN-PTE-CON-FLT-AGT-SMO-EJE</v>
      </c>
      <c r="I1915" s="138" t="str">
        <f>MID(H1915,1,(LEN(H1915)-VLOOKUP(K1915,datos!$B$2:$C$12,2,0)))</f>
        <v>TCCN-PTE-CON-FLT-AGT-SMO-EJE</v>
      </c>
      <c r="J1915" s="138" t="s">
        <v>4618</v>
      </c>
      <c r="K1915" s="140">
        <f>VLOOKUP(LEN(SUBSTITUTE(H1915,"-","")),datos!$A$1:$B$12,2,0)</f>
        <v>7</v>
      </c>
      <c r="L1915" s="138"/>
      <c r="M1915" s="138" t="s">
        <v>0</v>
      </c>
    </row>
    <row r="1916" spans="1:13" x14ac:dyDescent="0.35">
      <c r="A1916" s="137" t="s">
        <v>487</v>
      </c>
      <c r="B1916" s="137" t="s">
        <v>3809</v>
      </c>
      <c r="C1916" s="137" t="s">
        <v>4035</v>
      </c>
      <c r="D1916" s="137" t="s">
        <v>4050</v>
      </c>
      <c r="E1916" s="137" t="s">
        <v>4052</v>
      </c>
      <c r="F1916" s="137" t="s">
        <v>3869</v>
      </c>
      <c r="G1916" s="137"/>
      <c r="H1916" s="82" t="str">
        <f t="shared" si="127"/>
        <v>TCCN-PTE-CON-FLT-AGT-SCE-</v>
      </c>
      <c r="I1916" s="137" t="str">
        <f>MID(H1916,1,(LEN(H1916)-VLOOKUP(K1916,datos!$B$2:$C$12,2,0)))</f>
        <v>TCCN-PTE-CON-FLT-AGT-SCE</v>
      </c>
      <c r="J1916" s="137" t="s">
        <v>4619</v>
      </c>
      <c r="K1916" s="139">
        <f>VLOOKUP(LEN(SUBSTITUTE(H1916,"-","")),datos!$A$1:$B$12,2,0)</f>
        <v>6</v>
      </c>
      <c r="L1916" s="137"/>
      <c r="M1916" s="137" t="s">
        <v>0</v>
      </c>
    </row>
    <row r="1917" spans="1:13" x14ac:dyDescent="0.35">
      <c r="A1917" s="138" t="s">
        <v>487</v>
      </c>
      <c r="B1917" s="138" t="s">
        <v>3809</v>
      </c>
      <c r="C1917" s="138" t="s">
        <v>4035</v>
      </c>
      <c r="D1917" s="138" t="s">
        <v>4050</v>
      </c>
      <c r="E1917" s="138" t="s">
        <v>4052</v>
      </c>
      <c r="F1917" s="138" t="s">
        <v>3869</v>
      </c>
      <c r="G1917" s="138" t="s">
        <v>3870</v>
      </c>
      <c r="H1917" s="81" t="str">
        <f t="shared" si="127"/>
        <v>TCCN-PTE-CON-FLT-AGT-SCE-BTN</v>
      </c>
      <c r="I1917" s="138" t="str">
        <f>MID(H1917,1,(LEN(H1917)-VLOOKUP(K1917,datos!$B$2:$C$12,2,0)))</f>
        <v>TCCN-PTE-CON-FLT-AGT-SCE-BTN</v>
      </c>
      <c r="J1917" s="138" t="s">
        <v>4620</v>
      </c>
      <c r="K1917" s="140">
        <f>VLOOKUP(LEN(SUBSTITUTE(H1917,"-","")),datos!$A$1:$B$12,2,0)</f>
        <v>7</v>
      </c>
      <c r="L1917" s="138"/>
      <c r="M1917" s="138" t="s">
        <v>0</v>
      </c>
    </row>
    <row r="1918" spans="1:13" customFormat="1" ht="14.5" x14ac:dyDescent="0.35">
      <c r="A1918" s="129" t="s">
        <v>487</v>
      </c>
      <c r="B1918" s="129" t="s">
        <v>3809</v>
      </c>
      <c r="C1918" s="129" t="s">
        <v>4035</v>
      </c>
      <c r="D1918" s="129" t="s">
        <v>4050</v>
      </c>
      <c r="E1918" s="129" t="s">
        <v>3947</v>
      </c>
      <c r="F1918" s="129"/>
      <c r="G1918" s="129"/>
      <c r="H1918" s="83" t="str">
        <f t="shared" si="127"/>
        <v>TCCN-PTE-CON-FLT-B01--</v>
      </c>
      <c r="I1918" s="129" t="str">
        <f>MID(H1918,1,(LEN(H1918)-VLOOKUP(K1918,datos!$B$2:$C$12,2,0)))</f>
        <v>TCCN-PTE-CON-FLT-B01</v>
      </c>
      <c r="J1918" s="129" t="s">
        <v>7458</v>
      </c>
      <c r="K1918" s="130">
        <f>VLOOKUP(LEN(SUBSTITUTE(H1918,"-","")),datos!$A$1:$B$12,2,0)</f>
        <v>5</v>
      </c>
      <c r="L1918" s="129" t="s">
        <v>266</v>
      </c>
      <c r="M1918" s="129" t="s">
        <v>0</v>
      </c>
    </row>
    <row r="1919" spans="1:13" x14ac:dyDescent="0.35">
      <c r="A1919" s="137" t="s">
        <v>487</v>
      </c>
      <c r="B1919" s="137" t="s">
        <v>3809</v>
      </c>
      <c r="C1919" s="137" t="s">
        <v>4035</v>
      </c>
      <c r="D1919" s="137" t="s">
        <v>4050</v>
      </c>
      <c r="E1919" s="137" t="s">
        <v>3947</v>
      </c>
      <c r="F1919" s="137" t="s">
        <v>5106</v>
      </c>
      <c r="G1919" s="137"/>
      <c r="H1919" s="82" t="str">
        <f t="shared" si="127"/>
        <v>TCCN-PTE-CON-FLT-B01-PHU-</v>
      </c>
      <c r="I1919" s="137" t="str">
        <f>MID(H1919,1,(LEN(H1919)-VLOOKUP(K1919,datos!$B$2:$C$12,2,0)))</f>
        <v>TCCN-PTE-CON-FLT-B01-PHU</v>
      </c>
      <c r="J1919" s="137" t="s">
        <v>4621</v>
      </c>
      <c r="K1919" s="139">
        <f>VLOOKUP(LEN(SUBSTITUTE(H1919,"-","")),datos!$A$1:$B$12,2,0)</f>
        <v>6</v>
      </c>
      <c r="L1919" s="137"/>
      <c r="M1919" s="137" t="s">
        <v>0</v>
      </c>
    </row>
    <row r="1920" spans="1:13" x14ac:dyDescent="0.35">
      <c r="A1920" s="137" t="s">
        <v>487</v>
      </c>
      <c r="B1920" s="137" t="s">
        <v>3809</v>
      </c>
      <c r="C1920" s="137" t="s">
        <v>4035</v>
      </c>
      <c r="D1920" s="137" t="s">
        <v>4050</v>
      </c>
      <c r="E1920" s="137" t="s">
        <v>3947</v>
      </c>
      <c r="F1920" s="137" t="s">
        <v>4073</v>
      </c>
      <c r="G1920" s="137"/>
      <c r="H1920" s="82" t="str">
        <f t="shared" si="127"/>
        <v>TCCN-PTE-CON-FLT-B01-PYV-</v>
      </c>
      <c r="I1920" s="137" t="str">
        <f>MID(H1920,1,(LEN(H1920)-VLOOKUP(K1920,datos!$B$2:$C$12,2,0)))</f>
        <v>TCCN-PTE-CON-FLT-B01-PYV</v>
      </c>
      <c r="J1920" s="137" t="s">
        <v>4622</v>
      </c>
      <c r="K1920" s="139">
        <f>VLOOKUP(LEN(SUBSTITUTE(H1920,"-","")),datos!$A$1:$B$12,2,0)</f>
        <v>6</v>
      </c>
      <c r="L1920" s="137"/>
      <c r="M1920" s="137" t="s">
        <v>0</v>
      </c>
    </row>
    <row r="1921" spans="1:13" x14ac:dyDescent="0.35">
      <c r="A1921" s="137" t="s">
        <v>487</v>
      </c>
      <c r="B1921" s="137" t="s">
        <v>3809</v>
      </c>
      <c r="C1921" s="137" t="s">
        <v>4035</v>
      </c>
      <c r="D1921" s="137" t="s">
        <v>4050</v>
      </c>
      <c r="E1921" s="137" t="s">
        <v>3947</v>
      </c>
      <c r="F1921" s="137" t="s">
        <v>5107</v>
      </c>
      <c r="G1921" s="137"/>
      <c r="H1921" s="82" t="str">
        <f t="shared" si="127"/>
        <v>TCCN-PTE-CON-FLT-B01-SAS-</v>
      </c>
      <c r="I1921" s="137" t="str">
        <f>MID(H1921,1,(LEN(H1921)-VLOOKUP(K1921,datos!$B$2:$C$12,2,0)))</f>
        <v>TCCN-PTE-CON-FLT-B01-SAS</v>
      </c>
      <c r="J1921" s="137" t="s">
        <v>4623</v>
      </c>
      <c r="K1921" s="139">
        <f>VLOOKUP(LEN(SUBSTITUTE(H1921,"-","")),datos!$A$1:$B$12,2,0)</f>
        <v>6</v>
      </c>
      <c r="L1921" s="137"/>
      <c r="M1921" s="137" t="s">
        <v>0</v>
      </c>
    </row>
    <row r="1922" spans="1:13" x14ac:dyDescent="0.35">
      <c r="A1922" s="137" t="s">
        <v>487</v>
      </c>
      <c r="B1922" s="137" t="s">
        <v>3809</v>
      </c>
      <c r="C1922" s="137" t="s">
        <v>4035</v>
      </c>
      <c r="D1922" s="137" t="s">
        <v>4050</v>
      </c>
      <c r="E1922" s="137" t="s">
        <v>3947</v>
      </c>
      <c r="F1922" s="137" t="s">
        <v>3847</v>
      </c>
      <c r="G1922" s="137"/>
      <c r="H1922" s="82" t="str">
        <f t="shared" si="127"/>
        <v>TCCN-PTE-CON-FLT-B01-SMO-</v>
      </c>
      <c r="I1922" s="137" t="str">
        <f>MID(H1922,1,(LEN(H1922)-VLOOKUP(K1922,datos!$B$2:$C$12,2,0)))</f>
        <v>TCCN-PTE-CON-FLT-B01-SMO</v>
      </c>
      <c r="J1922" s="137" t="s">
        <v>4624</v>
      </c>
      <c r="K1922" s="139">
        <f>VLOOKUP(LEN(SUBSTITUTE(H1922,"-","")),datos!$A$1:$B$12,2,0)</f>
        <v>6</v>
      </c>
      <c r="L1922" s="137"/>
      <c r="M1922" s="137" t="s">
        <v>0</v>
      </c>
    </row>
    <row r="1923" spans="1:13" x14ac:dyDescent="0.35">
      <c r="A1923" s="138" t="s">
        <v>487</v>
      </c>
      <c r="B1923" s="138" t="s">
        <v>3809</v>
      </c>
      <c r="C1923" s="138" t="s">
        <v>4035</v>
      </c>
      <c r="D1923" s="138" t="s">
        <v>4050</v>
      </c>
      <c r="E1923" s="138" t="s">
        <v>3947</v>
      </c>
      <c r="F1923" s="138" t="s">
        <v>3847</v>
      </c>
      <c r="G1923" s="138" t="s">
        <v>3819</v>
      </c>
      <c r="H1923" s="81" t="str">
        <f t="shared" si="127"/>
        <v>TCCN-PTE-CON-FLT-B01-SMO-MOE</v>
      </c>
      <c r="I1923" s="138" t="str">
        <f>MID(H1923,1,(LEN(H1923)-VLOOKUP(K1923,datos!$B$2:$C$12,2,0)))</f>
        <v>TCCN-PTE-CON-FLT-B01-SMO-MOE</v>
      </c>
      <c r="J1923" s="138" t="s">
        <v>5346</v>
      </c>
      <c r="K1923" s="140">
        <f>VLOOKUP(LEN(SUBSTITUTE(H1923,"-","")),datos!$A$1:$B$12,2,0)</f>
        <v>7</v>
      </c>
      <c r="L1923" s="138" t="s">
        <v>267</v>
      </c>
      <c r="M1923" s="138" t="s">
        <v>0</v>
      </c>
    </row>
    <row r="1924" spans="1:13" x14ac:dyDescent="0.35">
      <c r="A1924" s="137" t="s">
        <v>487</v>
      </c>
      <c r="B1924" s="137" t="s">
        <v>3809</v>
      </c>
      <c r="C1924" s="137" t="s">
        <v>4035</v>
      </c>
      <c r="D1924" s="137" t="s">
        <v>4050</v>
      </c>
      <c r="E1924" s="137" t="s">
        <v>3947</v>
      </c>
      <c r="F1924" s="137" t="s">
        <v>3831</v>
      </c>
      <c r="G1924" s="137"/>
      <c r="H1924" s="82" t="str">
        <f>CONCATENATE(A1924,"-",B1924,"-",C1924,"-",D1924,"-",E1924,"-",F1924,"-",G1924)</f>
        <v>TCCN-PTE-CON-FLT-B01-INS-</v>
      </c>
      <c r="I1924" s="137" t="str">
        <f>MID(H1924,1,(LEN(H1924)-VLOOKUP(K1924,datos!$B$2:$C$12,2,0)))</f>
        <v>TCCN-PTE-CON-FLT-B01-INS</v>
      </c>
      <c r="J1924" s="137" t="s">
        <v>4627</v>
      </c>
      <c r="K1924" s="139">
        <f>VLOOKUP(LEN(SUBSTITUTE(H1924,"-","")),datos!$A$1:$B$12,2,0)</f>
        <v>6</v>
      </c>
      <c r="L1924" s="137"/>
      <c r="M1924" s="137" t="s">
        <v>0</v>
      </c>
    </row>
    <row r="1925" spans="1:13" x14ac:dyDescent="0.35">
      <c r="A1925" s="138" t="s">
        <v>487</v>
      </c>
      <c r="B1925" s="138" t="s">
        <v>3809</v>
      </c>
      <c r="C1925" s="138" t="s">
        <v>4035</v>
      </c>
      <c r="D1925" s="138" t="s">
        <v>4050</v>
      </c>
      <c r="E1925" s="138" t="s">
        <v>3947</v>
      </c>
      <c r="F1925" s="138" t="s">
        <v>3831</v>
      </c>
      <c r="G1925" s="138" t="s">
        <v>7069</v>
      </c>
      <c r="H1925" s="81" t="str">
        <f>CONCATENATE(A1925,"-",B1925,"-",C1925,"-",D1925,"-",E1925,"-",F1925,"-",G1925)</f>
        <v>TCCN-PTE-CON-FLT-B01-INS-MPN</v>
      </c>
      <c r="I1925" s="138" t="str">
        <f>MID(H1925,1,(LEN(H1925)-VLOOKUP(K1925,datos!$B$2:$C$12,2,0)))</f>
        <v>TCCN-PTE-CON-FLT-B01-INS-MPN</v>
      </c>
      <c r="J1925" s="138" t="s">
        <v>7565</v>
      </c>
      <c r="K1925" s="140">
        <f>VLOOKUP(LEN(SUBSTITUTE(H1925,"-","")),datos!$A$1:$B$12,2,0)</f>
        <v>7</v>
      </c>
      <c r="L1925" s="138" t="s">
        <v>1682</v>
      </c>
      <c r="M1925" s="138" t="s">
        <v>0</v>
      </c>
    </row>
    <row r="1926" spans="1:13" x14ac:dyDescent="0.35">
      <c r="A1926" s="137" t="s">
        <v>487</v>
      </c>
      <c r="B1926" s="137" t="s">
        <v>3809</v>
      </c>
      <c r="C1926" s="137" t="s">
        <v>4035</v>
      </c>
      <c r="D1926" s="137" t="s">
        <v>4050</v>
      </c>
      <c r="E1926" s="137" t="s">
        <v>3947</v>
      </c>
      <c r="F1926" s="137" t="s">
        <v>3869</v>
      </c>
      <c r="G1926" s="137"/>
      <c r="H1926" s="82" t="str">
        <f t="shared" si="127"/>
        <v>TCCN-PTE-CON-FLT-B01-SCE-</v>
      </c>
      <c r="I1926" s="137" t="str">
        <f>MID(H1926,1,(LEN(H1926)-VLOOKUP(K1926,datos!$B$2:$C$12,2,0)))</f>
        <v>TCCN-PTE-CON-FLT-B01-SCE</v>
      </c>
      <c r="J1926" s="137" t="s">
        <v>4625</v>
      </c>
      <c r="K1926" s="139">
        <f>VLOOKUP(LEN(SUBSTITUTE(H1926,"-","")),datos!$A$1:$B$12,2,0)</f>
        <v>6</v>
      </c>
      <c r="L1926" s="137"/>
      <c r="M1926" s="137" t="s">
        <v>0</v>
      </c>
    </row>
    <row r="1927" spans="1:13" x14ac:dyDescent="0.35">
      <c r="A1927" s="138" t="s">
        <v>487</v>
      </c>
      <c r="B1927" s="138" t="s">
        <v>3809</v>
      </c>
      <c r="C1927" s="138" t="s">
        <v>4035</v>
      </c>
      <c r="D1927" s="138" t="s">
        <v>4050</v>
      </c>
      <c r="E1927" s="138" t="s">
        <v>3947</v>
      </c>
      <c r="F1927" s="138" t="s">
        <v>3869</v>
      </c>
      <c r="G1927" s="138" t="s">
        <v>3870</v>
      </c>
      <c r="H1927" s="81" t="str">
        <f t="shared" si="127"/>
        <v>TCCN-PTE-CON-FLT-B01-SCE-BTN</v>
      </c>
      <c r="I1927" s="138" t="str">
        <f>MID(H1927,1,(LEN(H1927)-VLOOKUP(K1927,datos!$B$2:$C$12,2,0)))</f>
        <v>TCCN-PTE-CON-FLT-B01-SCE-BTN</v>
      </c>
      <c r="J1927" s="138" t="s">
        <v>4626</v>
      </c>
      <c r="K1927" s="140">
        <f>VLOOKUP(LEN(SUBSTITUTE(H1927,"-","")),datos!$A$1:$B$12,2,0)</f>
        <v>7</v>
      </c>
      <c r="L1927" s="138"/>
      <c r="M1927" s="138" t="s">
        <v>0</v>
      </c>
    </row>
    <row r="1928" spans="1:13" customFormat="1" ht="14.5" x14ac:dyDescent="0.35">
      <c r="A1928" s="129" t="s">
        <v>487</v>
      </c>
      <c r="B1928" s="129" t="s">
        <v>3809</v>
      </c>
      <c r="C1928" s="129" t="s">
        <v>4035</v>
      </c>
      <c r="D1928" s="129" t="s">
        <v>4050</v>
      </c>
      <c r="E1928" s="129" t="s">
        <v>3949</v>
      </c>
      <c r="F1928" s="129"/>
      <c r="G1928" s="129"/>
      <c r="H1928" s="83" t="str">
        <f t="shared" si="127"/>
        <v>TCCN-PTE-CON-FLT-B02--</v>
      </c>
      <c r="I1928" s="129" t="str">
        <f>MID(H1928,1,(LEN(H1928)-VLOOKUP(K1928,datos!$B$2:$C$12,2,0)))</f>
        <v>TCCN-PTE-CON-FLT-B02</v>
      </c>
      <c r="J1928" s="129" t="s">
        <v>4633</v>
      </c>
      <c r="K1928" s="130">
        <f>VLOOKUP(LEN(SUBSTITUTE(H1928,"-","")),datos!$A$1:$B$12,2,0)</f>
        <v>5</v>
      </c>
      <c r="L1928" s="129" t="s">
        <v>268</v>
      </c>
      <c r="M1928" s="129" t="s">
        <v>0</v>
      </c>
    </row>
    <row r="1929" spans="1:13" x14ac:dyDescent="0.35">
      <c r="A1929" s="137" t="s">
        <v>487</v>
      </c>
      <c r="B1929" s="137" t="s">
        <v>3809</v>
      </c>
      <c r="C1929" s="137" t="s">
        <v>4035</v>
      </c>
      <c r="D1929" s="137" t="s">
        <v>4050</v>
      </c>
      <c r="E1929" s="137" t="s">
        <v>3949</v>
      </c>
      <c r="F1929" s="137" t="s">
        <v>5106</v>
      </c>
      <c r="G1929" s="137"/>
      <c r="H1929" s="82" t="str">
        <f t="shared" si="127"/>
        <v>TCCN-PTE-CON-FLT-B02-PHU-</v>
      </c>
      <c r="I1929" s="137" t="str">
        <f>MID(H1929,1,(LEN(H1929)-VLOOKUP(K1929,datos!$B$2:$C$12,2,0)))</f>
        <v>TCCN-PTE-CON-FLT-B02-PHU</v>
      </c>
      <c r="J1929" s="137" t="s">
        <v>4628</v>
      </c>
      <c r="K1929" s="139">
        <f>VLOOKUP(LEN(SUBSTITUTE(H1929,"-","")),datos!$A$1:$B$12,2,0)</f>
        <v>6</v>
      </c>
      <c r="L1929" s="137"/>
      <c r="M1929" s="137" t="s">
        <v>0</v>
      </c>
    </row>
    <row r="1930" spans="1:13" x14ac:dyDescent="0.35">
      <c r="A1930" s="137" t="s">
        <v>487</v>
      </c>
      <c r="B1930" s="137" t="s">
        <v>3809</v>
      </c>
      <c r="C1930" s="137" t="s">
        <v>4035</v>
      </c>
      <c r="D1930" s="137" t="s">
        <v>4050</v>
      </c>
      <c r="E1930" s="137" t="s">
        <v>3949</v>
      </c>
      <c r="F1930" s="137" t="s">
        <v>4073</v>
      </c>
      <c r="G1930" s="137"/>
      <c r="H1930" s="82" t="str">
        <f t="shared" si="127"/>
        <v>TCCN-PTE-CON-FLT-B02-PYV-</v>
      </c>
      <c r="I1930" s="137" t="str">
        <f>MID(H1930,1,(LEN(H1930)-VLOOKUP(K1930,datos!$B$2:$C$12,2,0)))</f>
        <v>TCCN-PTE-CON-FLT-B02-PYV</v>
      </c>
      <c r="J1930" s="137" t="s">
        <v>4629</v>
      </c>
      <c r="K1930" s="139">
        <f>VLOOKUP(LEN(SUBSTITUTE(H1930,"-","")),datos!$A$1:$B$12,2,0)</f>
        <v>6</v>
      </c>
      <c r="L1930" s="137"/>
      <c r="M1930" s="137" t="s">
        <v>0</v>
      </c>
    </row>
    <row r="1931" spans="1:13" x14ac:dyDescent="0.35">
      <c r="A1931" s="137" t="s">
        <v>487</v>
      </c>
      <c r="B1931" s="137" t="s">
        <v>3809</v>
      </c>
      <c r="C1931" s="137" t="s">
        <v>4035</v>
      </c>
      <c r="D1931" s="137" t="s">
        <v>4050</v>
      </c>
      <c r="E1931" s="137" t="s">
        <v>3949</v>
      </c>
      <c r="F1931" s="137" t="s">
        <v>5107</v>
      </c>
      <c r="G1931" s="137"/>
      <c r="H1931" s="82" t="str">
        <f t="shared" si="127"/>
        <v>TCCN-PTE-CON-FLT-B02-SAS-</v>
      </c>
      <c r="I1931" s="137" t="str">
        <f>MID(H1931,1,(LEN(H1931)-VLOOKUP(K1931,datos!$B$2:$C$12,2,0)))</f>
        <v>TCCN-PTE-CON-FLT-B02-SAS</v>
      </c>
      <c r="J1931" s="137" t="s">
        <v>4630</v>
      </c>
      <c r="K1931" s="139">
        <f>VLOOKUP(LEN(SUBSTITUTE(H1931,"-","")),datos!$A$1:$B$12,2,0)</f>
        <v>6</v>
      </c>
      <c r="L1931" s="137"/>
      <c r="M1931" s="137" t="s">
        <v>0</v>
      </c>
    </row>
    <row r="1932" spans="1:13" x14ac:dyDescent="0.35">
      <c r="A1932" s="137" t="s">
        <v>487</v>
      </c>
      <c r="B1932" s="137" t="s">
        <v>3809</v>
      </c>
      <c r="C1932" s="137" t="s">
        <v>4035</v>
      </c>
      <c r="D1932" s="137" t="s">
        <v>4050</v>
      </c>
      <c r="E1932" s="137" t="s">
        <v>3949</v>
      </c>
      <c r="F1932" s="137" t="s">
        <v>3847</v>
      </c>
      <c r="G1932" s="137"/>
      <c r="H1932" s="82" t="str">
        <f t="shared" si="127"/>
        <v>TCCN-PTE-CON-FLT-B02-SMO-</v>
      </c>
      <c r="I1932" s="137" t="str">
        <f>MID(H1932,1,(LEN(H1932)-VLOOKUP(K1932,datos!$B$2:$C$12,2,0)))</f>
        <v>TCCN-PTE-CON-FLT-B02-SMO</v>
      </c>
      <c r="J1932" s="137" t="s">
        <v>4624</v>
      </c>
      <c r="K1932" s="139">
        <f>VLOOKUP(LEN(SUBSTITUTE(H1932,"-","")),datos!$A$1:$B$12,2,0)</f>
        <v>6</v>
      </c>
      <c r="L1932" s="137"/>
      <c r="M1932" s="137" t="s">
        <v>0</v>
      </c>
    </row>
    <row r="1933" spans="1:13" x14ac:dyDescent="0.35">
      <c r="A1933" s="138" t="s">
        <v>487</v>
      </c>
      <c r="B1933" s="138" t="s">
        <v>3809</v>
      </c>
      <c r="C1933" s="138" t="s">
        <v>4035</v>
      </c>
      <c r="D1933" s="138" t="s">
        <v>4050</v>
      </c>
      <c r="E1933" s="138" t="s">
        <v>3949</v>
      </c>
      <c r="F1933" s="138" t="s">
        <v>3847</v>
      </c>
      <c r="G1933" s="138" t="s">
        <v>3819</v>
      </c>
      <c r="H1933" s="81" t="str">
        <f t="shared" si="127"/>
        <v>TCCN-PTE-CON-FLT-B02-SMO-MOE</v>
      </c>
      <c r="I1933" s="138" t="str">
        <f>MID(H1933,1,(LEN(H1933)-VLOOKUP(K1933,datos!$B$2:$C$12,2,0)))</f>
        <v>TCCN-PTE-CON-FLT-B02-SMO-MOE</v>
      </c>
      <c r="J1933" s="138" t="s">
        <v>5347</v>
      </c>
      <c r="K1933" s="140">
        <f>VLOOKUP(LEN(SUBSTITUTE(H1933,"-","")),datos!$A$1:$B$12,2,0)</f>
        <v>7</v>
      </c>
      <c r="L1933" s="138" t="s">
        <v>269</v>
      </c>
      <c r="M1933" s="138" t="s">
        <v>0</v>
      </c>
    </row>
    <row r="1934" spans="1:13" x14ac:dyDescent="0.35">
      <c r="A1934" s="137" t="s">
        <v>487</v>
      </c>
      <c r="B1934" s="137" t="s">
        <v>3809</v>
      </c>
      <c r="C1934" s="137" t="s">
        <v>4035</v>
      </c>
      <c r="D1934" s="137" t="s">
        <v>4050</v>
      </c>
      <c r="E1934" s="137" t="s">
        <v>3949</v>
      </c>
      <c r="F1934" s="137" t="s">
        <v>3831</v>
      </c>
      <c r="G1934" s="137"/>
      <c r="H1934" s="82" t="str">
        <f>CONCATENATE(A1934,"-",B1934,"-",C1934,"-",D1934,"-",E1934,"-",F1934,"-",G1934)</f>
        <v>TCCN-PTE-CON-FLT-B02-INS-</v>
      </c>
      <c r="I1934" s="137" t="str">
        <f>MID(H1934,1,(LEN(H1934)-VLOOKUP(K1934,datos!$B$2:$C$12,2,0)))</f>
        <v>TCCN-PTE-CON-FLT-B02-INS</v>
      </c>
      <c r="J1934" s="137" t="s">
        <v>6713</v>
      </c>
      <c r="K1934" s="139">
        <f>VLOOKUP(LEN(SUBSTITUTE(H1934,"-","")),datos!$A$1:$B$12,2,0)</f>
        <v>6</v>
      </c>
      <c r="L1934" s="137"/>
      <c r="M1934" s="137" t="s">
        <v>0</v>
      </c>
    </row>
    <row r="1935" spans="1:13" x14ac:dyDescent="0.35">
      <c r="A1935" s="138" t="s">
        <v>487</v>
      </c>
      <c r="B1935" s="138" t="s">
        <v>3809</v>
      </c>
      <c r="C1935" s="138" t="s">
        <v>4035</v>
      </c>
      <c r="D1935" s="138" t="s">
        <v>4050</v>
      </c>
      <c r="E1935" s="138" t="s">
        <v>3949</v>
      </c>
      <c r="F1935" s="138" t="s">
        <v>3831</v>
      </c>
      <c r="G1935" s="138" t="s">
        <v>7069</v>
      </c>
      <c r="H1935" s="81" t="str">
        <f>CONCATENATE(A1935,"-",B1935,"-",C1935,"-",D1935,"-",E1935,"-",F1935,"-",G1935)</f>
        <v>TCCN-PTE-CON-FLT-B02-INS-MPN</v>
      </c>
      <c r="I1935" s="138" t="str">
        <f>MID(H1935,1,(LEN(H1935)-VLOOKUP(K1935,datos!$B$2:$C$12,2,0)))</f>
        <v>TCCN-PTE-CON-FLT-B02-INS-MPN</v>
      </c>
      <c r="J1935" s="138" t="s">
        <v>7566</v>
      </c>
      <c r="K1935" s="140">
        <f>VLOOKUP(LEN(SUBSTITUTE(H1935,"-","")),datos!$A$1:$B$12,2,0)</f>
        <v>7</v>
      </c>
      <c r="L1935" s="138" t="s">
        <v>1681</v>
      </c>
      <c r="M1935" s="138" t="s">
        <v>0</v>
      </c>
    </row>
    <row r="1936" spans="1:13" x14ac:dyDescent="0.35">
      <c r="A1936" s="137" t="s">
        <v>487</v>
      </c>
      <c r="B1936" s="137" t="s">
        <v>3809</v>
      </c>
      <c r="C1936" s="137" t="s">
        <v>4035</v>
      </c>
      <c r="D1936" s="137" t="s">
        <v>4050</v>
      </c>
      <c r="E1936" s="137" t="s">
        <v>3949</v>
      </c>
      <c r="F1936" s="137" t="s">
        <v>3869</v>
      </c>
      <c r="G1936" s="137"/>
      <c r="H1936" s="82" t="str">
        <f t="shared" si="127"/>
        <v>TCCN-PTE-CON-FLT-B02-SCE-</v>
      </c>
      <c r="I1936" s="137" t="str">
        <f>MID(H1936,1,(LEN(H1936)-VLOOKUP(K1936,datos!$B$2:$C$12,2,0)))</f>
        <v>TCCN-PTE-CON-FLT-B02-SCE</v>
      </c>
      <c r="J1936" s="137" t="s">
        <v>4631</v>
      </c>
      <c r="K1936" s="139">
        <f>VLOOKUP(LEN(SUBSTITUTE(H1936,"-","")),datos!$A$1:$B$12,2,0)</f>
        <v>6</v>
      </c>
      <c r="L1936" s="137"/>
      <c r="M1936" s="137" t="s">
        <v>0</v>
      </c>
    </row>
    <row r="1937" spans="1:13" x14ac:dyDescent="0.35">
      <c r="A1937" s="138" t="s">
        <v>487</v>
      </c>
      <c r="B1937" s="138" t="s">
        <v>3809</v>
      </c>
      <c r="C1937" s="138" t="s">
        <v>4035</v>
      </c>
      <c r="D1937" s="138" t="s">
        <v>4050</v>
      </c>
      <c r="E1937" s="138" t="s">
        <v>3949</v>
      </c>
      <c r="F1937" s="138" t="s">
        <v>3869</v>
      </c>
      <c r="G1937" s="138" t="s">
        <v>3870</v>
      </c>
      <c r="H1937" s="81" t="str">
        <f t="shared" si="127"/>
        <v>TCCN-PTE-CON-FLT-B02-SCE-BTN</v>
      </c>
      <c r="I1937" s="138" t="str">
        <f>MID(H1937,1,(LEN(H1937)-VLOOKUP(K1937,datos!$B$2:$C$12,2,0)))</f>
        <v>TCCN-PTE-CON-FLT-B02-SCE-BTN</v>
      </c>
      <c r="J1937" s="138" t="s">
        <v>4632</v>
      </c>
      <c r="K1937" s="140">
        <f>VLOOKUP(LEN(SUBSTITUTE(H1937,"-","")),datos!$A$1:$B$12,2,0)</f>
        <v>7</v>
      </c>
      <c r="L1937" s="138"/>
      <c r="M1937" s="138" t="s">
        <v>0</v>
      </c>
    </row>
    <row r="1938" spans="1:13" customFormat="1" ht="14.5" x14ac:dyDescent="0.35">
      <c r="A1938" s="129" t="s">
        <v>487</v>
      </c>
      <c r="B1938" s="129" t="s">
        <v>3809</v>
      </c>
      <c r="C1938" s="129" t="s">
        <v>4035</v>
      </c>
      <c r="D1938" s="129" t="s">
        <v>4050</v>
      </c>
      <c r="E1938" s="129" t="s">
        <v>4053</v>
      </c>
      <c r="F1938" s="129"/>
      <c r="G1938" s="129"/>
      <c r="H1938" s="83" t="str">
        <f t="shared" si="127"/>
        <v>TCCN-PTE-CON-FLT-FT1--</v>
      </c>
      <c r="I1938" s="129" t="str">
        <f>MID(H1938,1,(LEN(H1938)-VLOOKUP(K1938,datos!$B$2:$C$12,2,0)))</f>
        <v>TCCN-PTE-CON-FLT-FT1</v>
      </c>
      <c r="J1938" s="129" t="s">
        <v>4611</v>
      </c>
      <c r="K1938" s="130">
        <f>VLOOKUP(LEN(SUBSTITUTE(H1938,"-","")),datos!$A$1:$B$12,2,0)</f>
        <v>5</v>
      </c>
      <c r="L1938" s="129" t="s">
        <v>270</v>
      </c>
      <c r="M1938" s="129" t="s">
        <v>0</v>
      </c>
    </row>
    <row r="1939" spans="1:13" x14ac:dyDescent="0.35">
      <c r="A1939" s="137" t="s">
        <v>487</v>
      </c>
      <c r="B1939" s="137" t="s">
        <v>3809</v>
      </c>
      <c r="C1939" s="137" t="s">
        <v>4035</v>
      </c>
      <c r="D1939" s="137" t="s">
        <v>4050</v>
      </c>
      <c r="E1939" s="137" t="s">
        <v>4053</v>
      </c>
      <c r="F1939" s="137" t="s">
        <v>4054</v>
      </c>
      <c r="G1939" s="137"/>
      <c r="H1939" s="82" t="str">
        <f t="shared" si="127"/>
        <v>TCCN-PTE-CON-FLT-FT1-STF-</v>
      </c>
      <c r="I1939" s="137" t="str">
        <f>MID(H1939,1,(LEN(H1939)-VLOOKUP(K1939,datos!$B$2:$C$12,2,0)))</f>
        <v>TCCN-PTE-CON-FLT-FT1-STF</v>
      </c>
      <c r="J1939" s="137" t="s">
        <v>6657</v>
      </c>
      <c r="K1939" s="139">
        <f>VLOOKUP(LEN(SUBSTITUTE(H1939,"-","")),datos!$A$1:$B$12,2,0)</f>
        <v>6</v>
      </c>
      <c r="L1939" s="137"/>
      <c r="M1939" s="137" t="s">
        <v>0</v>
      </c>
    </row>
    <row r="1940" spans="1:13" x14ac:dyDescent="0.35">
      <c r="A1940" s="138" t="s">
        <v>487</v>
      </c>
      <c r="B1940" s="138" t="s">
        <v>3809</v>
      </c>
      <c r="C1940" s="138" t="s">
        <v>4035</v>
      </c>
      <c r="D1940" s="138" t="s">
        <v>4050</v>
      </c>
      <c r="E1940" s="138" t="s">
        <v>4053</v>
      </c>
      <c r="F1940" s="138" t="s">
        <v>4054</v>
      </c>
      <c r="G1940" s="138" t="s">
        <v>4055</v>
      </c>
      <c r="H1940" s="81" t="str">
        <f t="shared" si="127"/>
        <v>TCCN-PTE-CON-FLT-FT1-STF-TLF</v>
      </c>
      <c r="I1940" s="138" t="str">
        <f>MID(H1940,1,(LEN(H1940)-VLOOKUP(K1940,datos!$B$2:$C$12,2,0)))</f>
        <v>TCCN-PTE-CON-FLT-FT1-STF-TLF</v>
      </c>
      <c r="J1940" s="138" t="s">
        <v>6658</v>
      </c>
      <c r="K1940" s="140">
        <f>VLOOKUP(LEN(SUBSTITUTE(H1940,"-","")),datos!$A$1:$B$12,2,0)</f>
        <v>7</v>
      </c>
      <c r="L1940" s="138"/>
      <c r="M1940" s="138" t="s">
        <v>0</v>
      </c>
    </row>
    <row r="1941" spans="1:13" x14ac:dyDescent="0.35">
      <c r="A1941" s="137" t="s">
        <v>487</v>
      </c>
      <c r="B1941" s="137" t="s">
        <v>3809</v>
      </c>
      <c r="C1941" s="137" t="s">
        <v>4035</v>
      </c>
      <c r="D1941" s="137" t="s">
        <v>4050</v>
      </c>
      <c r="E1941" s="137" t="s">
        <v>4053</v>
      </c>
      <c r="F1941" s="137" t="s">
        <v>4056</v>
      </c>
      <c r="G1941" s="137"/>
      <c r="H1941" s="82" t="str">
        <f t="shared" si="127"/>
        <v>TCCN-PTE-CON-FLT-FT1-STT-</v>
      </c>
      <c r="I1941" s="137" t="str">
        <f>MID(H1941,1,(LEN(H1941)-VLOOKUP(K1941,datos!$B$2:$C$12,2,0)))</f>
        <v>TCCN-PTE-CON-FLT-FT1-STT</v>
      </c>
      <c r="J1941" s="137" t="s">
        <v>6659</v>
      </c>
      <c r="K1941" s="139">
        <f>VLOOKUP(LEN(SUBSTITUTE(H1941,"-","")),datos!$A$1:$B$12,2,0)</f>
        <v>6</v>
      </c>
      <c r="L1941" s="137"/>
      <c r="M1941" s="137" t="s">
        <v>0</v>
      </c>
    </row>
    <row r="1942" spans="1:13" x14ac:dyDescent="0.35">
      <c r="A1942" s="138" t="s">
        <v>487</v>
      </c>
      <c r="B1942" s="138" t="s">
        <v>3809</v>
      </c>
      <c r="C1942" s="138" t="s">
        <v>4035</v>
      </c>
      <c r="D1942" s="138" t="s">
        <v>4050</v>
      </c>
      <c r="E1942" s="138" t="s">
        <v>4053</v>
      </c>
      <c r="F1942" s="138" t="s">
        <v>4056</v>
      </c>
      <c r="G1942" s="138" t="s">
        <v>4057</v>
      </c>
      <c r="H1942" s="81" t="str">
        <f t="shared" si="127"/>
        <v>TCCN-PTE-CON-FLT-FT1-STT-EGN</v>
      </c>
      <c r="I1942" s="138" t="str">
        <f>MID(H1942,1,(LEN(H1942)-VLOOKUP(K1942,datos!$B$2:$C$12,2,0)))</f>
        <v>TCCN-PTE-CON-FLT-FT1-STT-EGN</v>
      </c>
      <c r="J1942" s="138" t="s">
        <v>6661</v>
      </c>
      <c r="K1942" s="140">
        <f>VLOOKUP(LEN(SUBSTITUTE(H1942,"-","")),datos!$A$1:$B$12,2,0)</f>
        <v>7</v>
      </c>
      <c r="L1942" s="138"/>
      <c r="M1942" s="138" t="s">
        <v>0</v>
      </c>
    </row>
    <row r="1943" spans="1:13" x14ac:dyDescent="0.35">
      <c r="A1943" s="138" t="s">
        <v>487</v>
      </c>
      <c r="B1943" s="138" t="s">
        <v>3809</v>
      </c>
      <c r="C1943" s="138" t="s">
        <v>4035</v>
      </c>
      <c r="D1943" s="138" t="s">
        <v>4050</v>
      </c>
      <c r="E1943" s="138" t="s">
        <v>4053</v>
      </c>
      <c r="F1943" s="138" t="s">
        <v>4056</v>
      </c>
      <c r="G1943" s="138" t="s">
        <v>3829</v>
      </c>
      <c r="H1943" s="81" t="str">
        <f t="shared" si="127"/>
        <v>TCCN-PTE-CON-FLT-FT1-STT-CZP</v>
      </c>
      <c r="I1943" s="138" t="str">
        <f>MID(H1943,1,(LEN(H1943)-VLOOKUP(K1943,datos!$B$2:$C$12,2,0)))</f>
        <v>TCCN-PTE-CON-FLT-FT1-STT-CZP</v>
      </c>
      <c r="J1943" s="138" t="s">
        <v>6660</v>
      </c>
      <c r="K1943" s="140">
        <f>VLOOKUP(LEN(SUBSTITUTE(H1943,"-","")),datos!$A$1:$B$12,2,0)</f>
        <v>7</v>
      </c>
      <c r="L1943" s="138"/>
      <c r="M1943" s="138" t="s">
        <v>0</v>
      </c>
    </row>
    <row r="1944" spans="1:13" x14ac:dyDescent="0.35">
      <c r="A1944" s="137" t="s">
        <v>487</v>
      </c>
      <c r="B1944" s="137" t="s">
        <v>3809</v>
      </c>
      <c r="C1944" s="137" t="s">
        <v>4035</v>
      </c>
      <c r="D1944" s="137" t="s">
        <v>4050</v>
      </c>
      <c r="E1944" s="137" t="s">
        <v>4053</v>
      </c>
      <c r="F1944" s="137" t="s">
        <v>3920</v>
      </c>
      <c r="G1944" s="137"/>
      <c r="H1944" s="82" t="str">
        <f t="shared" si="127"/>
        <v>TCCN-PTE-CON-FLT-FT1-SDP-</v>
      </c>
      <c r="I1944" s="137" t="str">
        <f>MID(H1944,1,(LEN(H1944)-VLOOKUP(K1944,datos!$B$2:$C$12,2,0)))</f>
        <v>TCCN-PTE-CON-FLT-FT1-SDP</v>
      </c>
      <c r="J1944" s="137" t="s">
        <v>6662</v>
      </c>
      <c r="K1944" s="139">
        <f>VLOOKUP(LEN(SUBSTITUTE(H1944,"-","")),datos!$A$1:$B$12,2,0)</f>
        <v>6</v>
      </c>
      <c r="L1944" s="137"/>
      <c r="M1944" s="137" t="s">
        <v>0</v>
      </c>
    </row>
    <row r="1945" spans="1:13" x14ac:dyDescent="0.35">
      <c r="A1945" s="138" t="s">
        <v>487</v>
      </c>
      <c r="B1945" s="138" t="s">
        <v>3809</v>
      </c>
      <c r="C1945" s="138" t="s">
        <v>4035</v>
      </c>
      <c r="D1945" s="138" t="s">
        <v>4050</v>
      </c>
      <c r="E1945" s="138" t="s">
        <v>4053</v>
      </c>
      <c r="F1945" s="138" t="s">
        <v>3920</v>
      </c>
      <c r="G1945" s="138" t="s">
        <v>4058</v>
      </c>
      <c r="H1945" s="81" t="str">
        <f t="shared" si="127"/>
        <v>TCCN-PTE-CON-FLT-FT1-SDP-PL1</v>
      </c>
      <c r="I1945" s="138" t="str">
        <f>MID(H1945,1,(LEN(H1945)-VLOOKUP(K1945,datos!$B$2:$C$12,2,0)))</f>
        <v>TCCN-PTE-CON-FLT-FT1-SDP-PL1</v>
      </c>
      <c r="J1945" s="138" t="s">
        <v>6663</v>
      </c>
      <c r="K1945" s="140">
        <f>VLOOKUP(LEN(SUBSTITUTE(H1945,"-","")),datos!$A$1:$B$12,2,0)</f>
        <v>7</v>
      </c>
      <c r="L1945" s="138"/>
      <c r="M1945" s="138" t="s">
        <v>0</v>
      </c>
    </row>
    <row r="1946" spans="1:13" x14ac:dyDescent="0.35">
      <c r="A1946" s="138" t="s">
        <v>487</v>
      </c>
      <c r="B1946" s="138" t="s">
        <v>3809</v>
      </c>
      <c r="C1946" s="138" t="s">
        <v>4035</v>
      </c>
      <c r="D1946" s="138" t="s">
        <v>4050</v>
      </c>
      <c r="E1946" s="138" t="s">
        <v>4053</v>
      </c>
      <c r="F1946" s="138" t="s">
        <v>3920</v>
      </c>
      <c r="G1946" s="138" t="s">
        <v>4059</v>
      </c>
      <c r="H1946" s="81" t="str">
        <f t="shared" si="127"/>
        <v>TCCN-PTE-CON-FLT-FT1-SDP-PL2</v>
      </c>
      <c r="I1946" s="138" t="str">
        <f>MID(H1946,1,(LEN(H1946)-VLOOKUP(K1946,datos!$B$2:$C$12,2,0)))</f>
        <v>TCCN-PTE-CON-FLT-FT1-SDP-PL2</v>
      </c>
      <c r="J1946" s="138" t="s">
        <v>6664</v>
      </c>
      <c r="K1946" s="140">
        <f>VLOOKUP(LEN(SUBSTITUTE(H1946,"-","")),datos!$A$1:$B$12,2,0)</f>
        <v>7</v>
      </c>
      <c r="L1946" s="138"/>
      <c r="M1946" s="138" t="s">
        <v>0</v>
      </c>
    </row>
    <row r="1947" spans="1:13" x14ac:dyDescent="0.35">
      <c r="A1947" s="138" t="s">
        <v>487</v>
      </c>
      <c r="B1947" s="138" t="s">
        <v>3809</v>
      </c>
      <c r="C1947" s="138" t="s">
        <v>4035</v>
      </c>
      <c r="D1947" s="138" t="s">
        <v>4050</v>
      </c>
      <c r="E1947" s="138" t="s">
        <v>4053</v>
      </c>
      <c r="F1947" s="138" t="s">
        <v>3920</v>
      </c>
      <c r="G1947" s="138" t="s">
        <v>4060</v>
      </c>
      <c r="H1947" s="81" t="str">
        <f t="shared" ref="H1947:H2007" si="130">CONCATENATE(A1947,"-",B1947,"-",C1947,"-",D1947,"-",E1947,"-",F1947,"-",G1947)</f>
        <v>TCCN-PTE-CON-FLT-FT1-SDP-PL3</v>
      </c>
      <c r="I1947" s="138" t="str">
        <f>MID(H1947,1,(LEN(H1947)-VLOOKUP(K1947,datos!$B$2:$C$12,2,0)))</f>
        <v>TCCN-PTE-CON-FLT-FT1-SDP-PL3</v>
      </c>
      <c r="J1947" s="138" t="s">
        <v>6665</v>
      </c>
      <c r="K1947" s="140">
        <f>VLOOKUP(LEN(SUBSTITUTE(H1947,"-","")),datos!$A$1:$B$12,2,0)</f>
        <v>7</v>
      </c>
      <c r="L1947" s="138"/>
      <c r="M1947" s="138" t="s">
        <v>0</v>
      </c>
    </row>
    <row r="1948" spans="1:13" x14ac:dyDescent="0.35">
      <c r="A1948" s="137" t="s">
        <v>487</v>
      </c>
      <c r="B1948" s="137" t="s">
        <v>3809</v>
      </c>
      <c r="C1948" s="137" t="s">
        <v>4035</v>
      </c>
      <c r="D1948" s="137" t="s">
        <v>4050</v>
      </c>
      <c r="E1948" s="137" t="s">
        <v>4053</v>
      </c>
      <c r="F1948" s="137" t="s">
        <v>4061</v>
      </c>
      <c r="G1948" s="137"/>
      <c r="H1948" s="82" t="str">
        <f t="shared" si="130"/>
        <v>TCCN-PTE-CON-FLT-FT1-VPT-</v>
      </c>
      <c r="I1948" s="137" t="str">
        <f>MID(H1948,1,(LEN(H1948)-VLOOKUP(K1948,datos!$B$2:$C$12,2,0)))</f>
        <v>TCCN-PTE-CON-FLT-FT1-VPT</v>
      </c>
      <c r="J1948" s="137" t="s">
        <v>7949</v>
      </c>
      <c r="K1948" s="139">
        <f>VLOOKUP(LEN(SUBSTITUTE(H1948,"-","")),datos!$A$1:$B$12,2,0)</f>
        <v>6</v>
      </c>
      <c r="L1948" s="137"/>
      <c r="M1948" s="137" t="s">
        <v>0</v>
      </c>
    </row>
    <row r="1949" spans="1:13" x14ac:dyDescent="0.35">
      <c r="A1949" s="138" t="s">
        <v>487</v>
      </c>
      <c r="B1949" s="138" t="s">
        <v>3809</v>
      </c>
      <c r="C1949" s="138" t="s">
        <v>4035</v>
      </c>
      <c r="D1949" s="138" t="s">
        <v>4050</v>
      </c>
      <c r="E1949" s="138" t="s">
        <v>4053</v>
      </c>
      <c r="F1949" s="138" t="s">
        <v>4061</v>
      </c>
      <c r="G1949" s="138" t="s">
        <v>3986</v>
      </c>
      <c r="H1949" s="81" t="str">
        <f t="shared" si="130"/>
        <v>TCCN-PTE-CON-FLT-FT1-VPT-VV1</v>
      </c>
      <c r="I1949" s="138" t="str">
        <f>MID(H1949,1,(LEN(H1949)-VLOOKUP(K1949,datos!$B$2:$C$12,2,0)))</f>
        <v>TCCN-PTE-CON-FLT-FT1-VPT-VV1</v>
      </c>
      <c r="J1949" s="138" t="s">
        <v>7950</v>
      </c>
      <c r="K1949" s="140">
        <f>VLOOKUP(LEN(SUBSTITUTE(H1949,"-","")),datos!$A$1:$B$12,2,0)</f>
        <v>7</v>
      </c>
      <c r="L1949" s="138"/>
      <c r="M1949" s="138" t="s">
        <v>0</v>
      </c>
    </row>
    <row r="1950" spans="1:13" x14ac:dyDescent="0.35">
      <c r="A1950" s="138" t="s">
        <v>487</v>
      </c>
      <c r="B1950" s="138" t="s">
        <v>3809</v>
      </c>
      <c r="C1950" s="138" t="s">
        <v>4035</v>
      </c>
      <c r="D1950" s="138" t="s">
        <v>4050</v>
      </c>
      <c r="E1950" s="138" t="s">
        <v>4053</v>
      </c>
      <c r="F1950" s="138" t="s">
        <v>4061</v>
      </c>
      <c r="G1950" s="138" t="s">
        <v>3987</v>
      </c>
      <c r="H1950" s="81" t="str">
        <f t="shared" si="130"/>
        <v>TCCN-PTE-CON-FLT-FT1-VPT-VV2</v>
      </c>
      <c r="I1950" s="138" t="str">
        <f>MID(H1950,1,(LEN(H1950)-VLOOKUP(K1950,datos!$B$2:$C$12,2,0)))</f>
        <v>TCCN-PTE-CON-FLT-FT1-VPT-VV2</v>
      </c>
      <c r="J1950" s="138" t="s">
        <v>7951</v>
      </c>
      <c r="K1950" s="140">
        <f>VLOOKUP(LEN(SUBSTITUTE(H1950,"-","")),datos!$A$1:$B$12,2,0)</f>
        <v>7</v>
      </c>
      <c r="L1950" s="138"/>
      <c r="M1950" s="138" t="s">
        <v>0</v>
      </c>
    </row>
    <row r="1951" spans="1:13" x14ac:dyDescent="0.35">
      <c r="A1951" s="138" t="s">
        <v>487</v>
      </c>
      <c r="B1951" s="138" t="s">
        <v>3809</v>
      </c>
      <c r="C1951" s="138" t="s">
        <v>4035</v>
      </c>
      <c r="D1951" s="138" t="s">
        <v>4050</v>
      </c>
      <c r="E1951" s="138" t="s">
        <v>4053</v>
      </c>
      <c r="F1951" s="138" t="s">
        <v>4061</v>
      </c>
      <c r="G1951" s="138" t="s">
        <v>4065</v>
      </c>
      <c r="H1951" s="81" t="str">
        <f t="shared" si="130"/>
        <v>TCCN-PTE-CON-FLT-FT1-VPT-VV3</v>
      </c>
      <c r="I1951" s="138" t="str">
        <f>MID(H1951,1,(LEN(H1951)-VLOOKUP(K1951,datos!$B$2:$C$12,2,0)))</f>
        <v>TCCN-PTE-CON-FLT-FT1-VPT-VV3</v>
      </c>
      <c r="J1951" s="138" t="s">
        <v>7952</v>
      </c>
      <c r="K1951" s="140">
        <f>VLOOKUP(LEN(SUBSTITUTE(H1951,"-","")),datos!$A$1:$B$12,2,0)</f>
        <v>7</v>
      </c>
      <c r="L1951" s="138"/>
      <c r="M1951" s="138" t="s">
        <v>0</v>
      </c>
    </row>
    <row r="1952" spans="1:13" x14ac:dyDescent="0.35">
      <c r="A1952" s="138" t="s">
        <v>487</v>
      </c>
      <c r="B1952" s="138" t="s">
        <v>3809</v>
      </c>
      <c r="C1952" s="138" t="s">
        <v>4035</v>
      </c>
      <c r="D1952" s="138" t="s">
        <v>4050</v>
      </c>
      <c r="E1952" s="138" t="s">
        <v>4053</v>
      </c>
      <c r="F1952" s="138" t="s">
        <v>4061</v>
      </c>
      <c r="G1952" s="138" t="s">
        <v>5554</v>
      </c>
      <c r="H1952" s="81" t="str">
        <f t="shared" si="130"/>
        <v>TCCN-PTE-CON-FLT-FT1-VPT-VV4</v>
      </c>
      <c r="I1952" s="138" t="str">
        <f>MID(H1952,1,(LEN(H1952)-VLOOKUP(K1952,datos!$B$2:$C$12,2,0)))</f>
        <v>TCCN-PTE-CON-FLT-FT1-VPT-VV4</v>
      </c>
      <c r="J1952" s="138" t="s">
        <v>7953</v>
      </c>
      <c r="K1952" s="140">
        <f>VLOOKUP(LEN(SUBSTITUTE(H1952,"-","")),datos!$A$1:$B$12,2,0)</f>
        <v>7</v>
      </c>
      <c r="L1952" s="138"/>
      <c r="M1952" s="138" t="s">
        <v>0</v>
      </c>
    </row>
    <row r="1953" spans="1:13" x14ac:dyDescent="0.35">
      <c r="A1953" s="138" t="s">
        <v>487</v>
      </c>
      <c r="B1953" s="138" t="s">
        <v>3809</v>
      </c>
      <c r="C1953" s="138" t="s">
        <v>4035</v>
      </c>
      <c r="D1953" s="138" t="s">
        <v>4050</v>
      </c>
      <c r="E1953" s="138" t="s">
        <v>4053</v>
      </c>
      <c r="F1953" s="138" t="s">
        <v>4061</v>
      </c>
      <c r="G1953" s="138" t="s">
        <v>5555</v>
      </c>
      <c r="H1953" s="81" t="str">
        <f t="shared" si="130"/>
        <v>TCCN-PTE-CON-FLT-FT1-VPT-VV5</v>
      </c>
      <c r="I1953" s="138" t="str">
        <f>MID(H1953,1,(LEN(H1953)-VLOOKUP(K1953,datos!$B$2:$C$12,2,0)))</f>
        <v>TCCN-PTE-CON-FLT-FT1-VPT-VV5</v>
      </c>
      <c r="J1953" s="138" t="s">
        <v>7954</v>
      </c>
      <c r="K1953" s="140">
        <f>VLOOKUP(LEN(SUBSTITUTE(H1953,"-","")),datos!$A$1:$B$12,2,0)</f>
        <v>7</v>
      </c>
      <c r="L1953" s="138"/>
      <c r="M1953" s="138" t="s">
        <v>0</v>
      </c>
    </row>
    <row r="1954" spans="1:13" x14ac:dyDescent="0.35">
      <c r="A1954" s="138" t="s">
        <v>487</v>
      </c>
      <c r="B1954" s="138" t="s">
        <v>3809</v>
      </c>
      <c r="C1954" s="138" t="s">
        <v>4035</v>
      </c>
      <c r="D1954" s="138" t="s">
        <v>4050</v>
      </c>
      <c r="E1954" s="138" t="s">
        <v>4053</v>
      </c>
      <c r="F1954" s="138" t="s">
        <v>4061</v>
      </c>
      <c r="G1954" s="138" t="s">
        <v>5556</v>
      </c>
      <c r="H1954" s="81" t="str">
        <f t="shared" si="130"/>
        <v>TCCN-PTE-CON-FLT-FT1-VPT-VV6</v>
      </c>
      <c r="I1954" s="138" t="str">
        <f>MID(H1954,1,(LEN(H1954)-VLOOKUP(K1954,datos!$B$2:$C$12,2,0)))</f>
        <v>TCCN-PTE-CON-FLT-FT1-VPT-VV6</v>
      </c>
      <c r="J1954" s="138" t="s">
        <v>7955</v>
      </c>
      <c r="K1954" s="140">
        <f>VLOOKUP(LEN(SUBSTITUTE(H1954,"-","")),datos!$A$1:$B$12,2,0)</f>
        <v>7</v>
      </c>
      <c r="L1954" s="138"/>
      <c r="M1954" s="138" t="s">
        <v>0</v>
      </c>
    </row>
    <row r="1955" spans="1:13" x14ac:dyDescent="0.35">
      <c r="A1955" s="137" t="s">
        <v>487</v>
      </c>
      <c r="B1955" s="137" t="s">
        <v>3809</v>
      </c>
      <c r="C1955" s="137" t="s">
        <v>4035</v>
      </c>
      <c r="D1955" s="137" t="s">
        <v>4050</v>
      </c>
      <c r="E1955" s="137" t="s">
        <v>4053</v>
      </c>
      <c r="F1955" s="137" t="s">
        <v>3824</v>
      </c>
      <c r="G1955" s="137"/>
      <c r="H1955" s="82" t="str">
        <f t="shared" si="130"/>
        <v>TCCN-PTE-CON-FLT-FT1-SES-</v>
      </c>
      <c r="I1955" s="137" t="str">
        <f>MID(H1955,1,(LEN(H1955)-VLOOKUP(K1955,datos!$B$2:$C$12,2,0)))</f>
        <v>TCCN-PTE-CON-FLT-FT1-SES</v>
      </c>
      <c r="J1955" s="137" t="s">
        <v>6666</v>
      </c>
      <c r="K1955" s="139">
        <f>VLOOKUP(LEN(SUBSTITUTE(H1955,"-","")),datos!$A$1:$B$12,2,0)</f>
        <v>6</v>
      </c>
      <c r="L1955" s="137"/>
      <c r="M1955" s="137" t="s">
        <v>0</v>
      </c>
    </row>
    <row r="1956" spans="1:13" x14ac:dyDescent="0.35">
      <c r="A1956" s="138" t="s">
        <v>487</v>
      </c>
      <c r="B1956" s="138" t="s">
        <v>3809</v>
      </c>
      <c r="C1956" s="138" t="s">
        <v>4035</v>
      </c>
      <c r="D1956" s="138" t="s">
        <v>4050</v>
      </c>
      <c r="E1956" s="138" t="s">
        <v>4053</v>
      </c>
      <c r="F1956" s="138" t="s">
        <v>4061</v>
      </c>
      <c r="G1956" s="138" t="s">
        <v>3998</v>
      </c>
      <c r="H1956" s="81" t="str">
        <f t="shared" si="130"/>
        <v>TCCN-PTE-CON-FLT-FT1-VPT-BYG</v>
      </c>
      <c r="I1956" s="138" t="str">
        <f>MID(H1956,1,(LEN(H1956)-VLOOKUP(K1956,datos!$B$2:$C$12,2,0)))</f>
        <v>TCCN-PTE-CON-FLT-FT1-VPT-BYG</v>
      </c>
      <c r="J1956" s="138" t="s">
        <v>8035</v>
      </c>
      <c r="K1956" s="140">
        <f>VLOOKUP(LEN(SUBSTITUTE(H1956,"-","")),datos!$A$1:$B$12,2,0)</f>
        <v>7</v>
      </c>
      <c r="L1956" s="138"/>
      <c r="M1956" s="138" t="s">
        <v>0</v>
      </c>
    </row>
    <row r="1957" spans="1:13" x14ac:dyDescent="0.35">
      <c r="A1957" s="138" t="s">
        <v>487</v>
      </c>
      <c r="B1957" s="138" t="s">
        <v>3809</v>
      </c>
      <c r="C1957" s="138" t="s">
        <v>4035</v>
      </c>
      <c r="D1957" s="138" t="s">
        <v>4050</v>
      </c>
      <c r="E1957" s="138" t="s">
        <v>4053</v>
      </c>
      <c r="F1957" s="138" t="s">
        <v>4061</v>
      </c>
      <c r="G1957" s="138" t="s">
        <v>4062</v>
      </c>
      <c r="H1957" s="81" t="str">
        <f t="shared" si="130"/>
        <v>TCCN-PTE-CON-FLT-FT1-VPT-CLN</v>
      </c>
      <c r="I1957" s="138" t="str">
        <f>MID(H1957,1,(LEN(H1957)-VLOOKUP(K1957,datos!$B$2:$C$12,2,0)))</f>
        <v>TCCN-PTE-CON-FLT-FT1-VPT-CLN</v>
      </c>
      <c r="J1957" s="138" t="s">
        <v>6667</v>
      </c>
      <c r="K1957" s="140">
        <f>VLOOKUP(LEN(SUBSTITUTE(H1957,"-","")),datos!$A$1:$B$12,2,0)</f>
        <v>7</v>
      </c>
      <c r="L1957" s="138"/>
      <c r="M1957" s="138" t="s">
        <v>0</v>
      </c>
    </row>
    <row r="1958" spans="1:13" x14ac:dyDescent="0.35">
      <c r="A1958" s="137" t="s">
        <v>487</v>
      </c>
      <c r="B1958" s="137" t="s">
        <v>3809</v>
      </c>
      <c r="C1958" s="137" t="s">
        <v>4035</v>
      </c>
      <c r="D1958" s="137" t="s">
        <v>4050</v>
      </c>
      <c r="E1958" s="137" t="s">
        <v>4053</v>
      </c>
      <c r="F1958" s="137" t="s">
        <v>4063</v>
      </c>
      <c r="G1958" s="137"/>
      <c r="H1958" s="82" t="str">
        <f t="shared" si="130"/>
        <v>TCCN-PTE-CON-FLT-FT1-ELU-</v>
      </c>
      <c r="I1958" s="137" t="str">
        <f>MID(H1958,1,(LEN(H1958)-VLOOKUP(K1958,datos!$B$2:$C$12,2,0)))</f>
        <v>TCCN-PTE-CON-FLT-FT1-ELU</v>
      </c>
      <c r="J1958" s="137" t="s">
        <v>6668</v>
      </c>
      <c r="K1958" s="139">
        <f>VLOOKUP(LEN(SUBSTITUTE(H1958,"-","")),datos!$A$1:$B$12,2,0)</f>
        <v>6</v>
      </c>
      <c r="L1958" s="137"/>
      <c r="M1958" s="137" t="s">
        <v>0</v>
      </c>
    </row>
    <row r="1959" spans="1:13" x14ac:dyDescent="0.35">
      <c r="A1959" s="138" t="s">
        <v>487</v>
      </c>
      <c r="B1959" s="138" t="s">
        <v>3809</v>
      </c>
      <c r="C1959" s="138" t="s">
        <v>4035</v>
      </c>
      <c r="D1959" s="138" t="s">
        <v>4050</v>
      </c>
      <c r="E1959" s="138" t="s">
        <v>4053</v>
      </c>
      <c r="F1959" s="138" t="s">
        <v>4063</v>
      </c>
      <c r="G1959" s="138" t="s">
        <v>4064</v>
      </c>
      <c r="H1959" s="81" t="str">
        <f t="shared" si="130"/>
        <v>TCCN-PTE-CON-FLT-FT1-ELU-FLX</v>
      </c>
      <c r="I1959" s="138" t="str">
        <f>MID(H1959,1,(LEN(H1959)-VLOOKUP(K1959,datos!$B$2:$C$12,2,0)))</f>
        <v>TCCN-PTE-CON-FLT-FT1-ELU-FLX</v>
      </c>
      <c r="J1959" s="138" t="s">
        <v>6669</v>
      </c>
      <c r="K1959" s="140">
        <f>VLOOKUP(LEN(SUBSTITUTE(H1959,"-","")),datos!$A$1:$B$12,2,0)</f>
        <v>7</v>
      </c>
      <c r="L1959" s="138"/>
      <c r="M1959" s="138" t="s">
        <v>0</v>
      </c>
    </row>
    <row r="1960" spans="1:13" x14ac:dyDescent="0.35">
      <c r="A1960" s="137" t="s">
        <v>487</v>
      </c>
      <c r="B1960" s="137" t="s">
        <v>3809</v>
      </c>
      <c r="C1960" s="137" t="s">
        <v>4035</v>
      </c>
      <c r="D1960" s="137" t="s">
        <v>4050</v>
      </c>
      <c r="E1960" s="137" t="s">
        <v>4053</v>
      </c>
      <c r="F1960" s="137" t="s">
        <v>3831</v>
      </c>
      <c r="G1960" s="137"/>
      <c r="H1960" s="82" t="str">
        <f t="shared" si="130"/>
        <v>TCCN-PTE-CON-FLT-FT1-INS-</v>
      </c>
      <c r="I1960" s="137" t="str">
        <f>MID(H1960,1,(LEN(H1960)-VLOOKUP(K1960,datos!$B$2:$C$12,2,0)))</f>
        <v>TCCN-PTE-CON-FLT-FT1-INS</v>
      </c>
      <c r="J1960" s="137" t="s">
        <v>6670</v>
      </c>
      <c r="K1960" s="139">
        <f>VLOOKUP(LEN(SUBSTITUTE(H1960,"-","")),datos!$A$1:$B$12,2,0)</f>
        <v>6</v>
      </c>
      <c r="L1960" s="137"/>
      <c r="M1960" s="137" t="s">
        <v>0</v>
      </c>
    </row>
    <row r="1961" spans="1:13" x14ac:dyDescent="0.35">
      <c r="A1961" s="138" t="s">
        <v>487</v>
      </c>
      <c r="B1961" s="138" t="s">
        <v>3809</v>
      </c>
      <c r="C1961" s="138" t="s">
        <v>4035</v>
      </c>
      <c r="D1961" s="138" t="s">
        <v>4050</v>
      </c>
      <c r="E1961" s="138" t="s">
        <v>4053</v>
      </c>
      <c r="F1961" s="138" t="s">
        <v>3831</v>
      </c>
      <c r="G1961" s="138" t="s">
        <v>4002</v>
      </c>
      <c r="H1961" s="81" t="str">
        <f t="shared" si="130"/>
        <v>TCCN-PTE-CON-FLT-FT1-INS-FJM</v>
      </c>
      <c r="I1961" s="138" t="str">
        <f>MID(H1961,1,(LEN(H1961)-VLOOKUP(K1961,datos!$B$2:$C$12,2,0)))</f>
        <v>TCCN-PTE-CON-FLT-FT1-INS-FJM</v>
      </c>
      <c r="J1961" s="138" t="s">
        <v>6671</v>
      </c>
      <c r="K1961" s="140">
        <f>VLOOKUP(LEN(SUBSTITUTE(H1961,"-","")),datos!$A$1:$B$12,2,0)</f>
        <v>7</v>
      </c>
      <c r="L1961" s="138"/>
      <c r="M1961" s="138" t="s">
        <v>0</v>
      </c>
    </row>
    <row r="1962" spans="1:13" x14ac:dyDescent="0.35">
      <c r="A1962" s="138" t="s">
        <v>487</v>
      </c>
      <c r="B1962" s="138" t="s">
        <v>3809</v>
      </c>
      <c r="C1962" s="138" t="s">
        <v>4035</v>
      </c>
      <c r="D1962" s="138" t="s">
        <v>4050</v>
      </c>
      <c r="E1962" s="138" t="s">
        <v>4053</v>
      </c>
      <c r="F1962" s="138" t="s">
        <v>3831</v>
      </c>
      <c r="G1962" s="138" t="s">
        <v>3986</v>
      </c>
      <c r="H1962" s="81" t="str">
        <f t="shared" si="130"/>
        <v>TCCN-PTE-CON-FLT-FT1-INS-VV1</v>
      </c>
      <c r="I1962" s="138" t="str">
        <f>MID(H1962,1,(LEN(H1962)-VLOOKUP(K1962,datos!$B$2:$C$12,2,0)))</f>
        <v>TCCN-PTE-CON-FLT-FT1-INS-VV1</v>
      </c>
      <c r="J1962" s="138" t="s">
        <v>7956</v>
      </c>
      <c r="K1962" s="140">
        <f>VLOOKUP(LEN(SUBSTITUTE(H1962,"-","")),datos!$A$1:$B$12,2,0)</f>
        <v>7</v>
      </c>
      <c r="L1962" s="138"/>
      <c r="M1962" s="138" t="s">
        <v>0</v>
      </c>
    </row>
    <row r="1963" spans="1:13" x14ac:dyDescent="0.35">
      <c r="A1963" s="138" t="s">
        <v>487</v>
      </c>
      <c r="B1963" s="138" t="s">
        <v>3809</v>
      </c>
      <c r="C1963" s="138" t="s">
        <v>4035</v>
      </c>
      <c r="D1963" s="138" t="s">
        <v>4050</v>
      </c>
      <c r="E1963" s="138" t="s">
        <v>4053</v>
      </c>
      <c r="F1963" s="138" t="s">
        <v>3831</v>
      </c>
      <c r="G1963" s="138" t="s">
        <v>3987</v>
      </c>
      <c r="H1963" s="81" t="str">
        <f t="shared" si="130"/>
        <v>TCCN-PTE-CON-FLT-FT1-INS-VV2</v>
      </c>
      <c r="I1963" s="138" t="str">
        <f>MID(H1963,1,(LEN(H1963)-VLOOKUP(K1963,datos!$B$2:$C$12,2,0)))</f>
        <v>TCCN-PTE-CON-FLT-FT1-INS-VV2</v>
      </c>
      <c r="J1963" s="138" t="s">
        <v>7957</v>
      </c>
      <c r="K1963" s="140">
        <f>VLOOKUP(LEN(SUBSTITUTE(H1963,"-","")),datos!$A$1:$B$12,2,0)</f>
        <v>7</v>
      </c>
      <c r="L1963" s="138"/>
      <c r="M1963" s="138" t="s">
        <v>0</v>
      </c>
    </row>
    <row r="1964" spans="1:13" x14ac:dyDescent="0.35">
      <c r="A1964" s="138" t="s">
        <v>487</v>
      </c>
      <c r="B1964" s="138" t="s">
        <v>3809</v>
      </c>
      <c r="C1964" s="138" t="s">
        <v>4035</v>
      </c>
      <c r="D1964" s="138" t="s">
        <v>4050</v>
      </c>
      <c r="E1964" s="138" t="s">
        <v>4053</v>
      </c>
      <c r="F1964" s="138" t="s">
        <v>3831</v>
      </c>
      <c r="G1964" s="138" t="s">
        <v>4065</v>
      </c>
      <c r="H1964" s="81" t="str">
        <f t="shared" si="130"/>
        <v>TCCN-PTE-CON-FLT-FT1-INS-VV3</v>
      </c>
      <c r="I1964" s="138" t="str">
        <f>MID(H1964,1,(LEN(H1964)-VLOOKUP(K1964,datos!$B$2:$C$12,2,0)))</f>
        <v>TCCN-PTE-CON-FLT-FT1-INS-VV3</v>
      </c>
      <c r="J1964" s="138" t="s">
        <v>7958</v>
      </c>
      <c r="K1964" s="140">
        <f>VLOOKUP(LEN(SUBSTITUTE(H1964,"-","")),datos!$A$1:$B$12,2,0)</f>
        <v>7</v>
      </c>
      <c r="L1964" s="138"/>
      <c r="M1964" s="138" t="s">
        <v>0</v>
      </c>
    </row>
    <row r="1965" spans="1:13" x14ac:dyDescent="0.35">
      <c r="A1965" s="138" t="s">
        <v>487</v>
      </c>
      <c r="B1965" s="138" t="s">
        <v>3809</v>
      </c>
      <c r="C1965" s="138" t="s">
        <v>4035</v>
      </c>
      <c r="D1965" s="138" t="s">
        <v>4050</v>
      </c>
      <c r="E1965" s="138" t="s">
        <v>4053</v>
      </c>
      <c r="F1965" s="138" t="s">
        <v>3831</v>
      </c>
      <c r="G1965" s="138" t="s">
        <v>7070</v>
      </c>
      <c r="H1965" s="81" t="str">
        <f t="shared" si="130"/>
        <v>TCCN-PTE-CON-FLT-FT1-INS-MP1</v>
      </c>
      <c r="I1965" s="138" t="str">
        <f>MID(H1965,1,(LEN(H1965)-VLOOKUP(K1965,datos!$B$2:$C$12,2,0)))</f>
        <v>TCCN-PTE-CON-FLT-FT1-INS-MP1</v>
      </c>
      <c r="J1965" s="138" t="s">
        <v>7567</v>
      </c>
      <c r="K1965" s="140">
        <f>VLOOKUP(LEN(SUBSTITUTE(H1965,"-","")),datos!$A$1:$B$12,2,0)</f>
        <v>7</v>
      </c>
      <c r="L1965" s="138"/>
      <c r="M1965" s="138" t="s">
        <v>0</v>
      </c>
    </row>
    <row r="1966" spans="1:13" x14ac:dyDescent="0.35">
      <c r="A1966" s="138" t="s">
        <v>487</v>
      </c>
      <c r="B1966" s="138" t="s">
        <v>3809</v>
      </c>
      <c r="C1966" s="138" t="s">
        <v>4035</v>
      </c>
      <c r="D1966" s="138" t="s">
        <v>4050</v>
      </c>
      <c r="E1966" s="138" t="s">
        <v>4053</v>
      </c>
      <c r="F1966" s="138" t="s">
        <v>3831</v>
      </c>
      <c r="G1966" s="138" t="s">
        <v>7071</v>
      </c>
      <c r="H1966" s="81" t="str">
        <f t="shared" si="130"/>
        <v>TCCN-PTE-CON-FLT-FT1-INS-MP2</v>
      </c>
      <c r="I1966" s="138" t="str">
        <f>MID(H1966,1,(LEN(H1966)-VLOOKUP(K1966,datos!$B$2:$C$12,2,0)))</f>
        <v>TCCN-PTE-CON-FLT-FT1-INS-MP2</v>
      </c>
      <c r="J1966" s="138" t="s">
        <v>7568</v>
      </c>
      <c r="K1966" s="140">
        <f>VLOOKUP(LEN(SUBSTITUTE(H1966,"-","")),datos!$A$1:$B$12,2,0)</f>
        <v>7</v>
      </c>
      <c r="L1966" s="138"/>
      <c r="M1966" s="138" t="s">
        <v>0</v>
      </c>
    </row>
    <row r="1967" spans="1:13" x14ac:dyDescent="0.35">
      <c r="A1967" s="138" t="s">
        <v>487</v>
      </c>
      <c r="B1967" s="138" t="s">
        <v>3809</v>
      </c>
      <c r="C1967" s="138" t="s">
        <v>4035</v>
      </c>
      <c r="D1967" s="138" t="s">
        <v>4050</v>
      </c>
      <c r="E1967" s="138" t="s">
        <v>4053</v>
      </c>
      <c r="F1967" s="138" t="s">
        <v>3831</v>
      </c>
      <c r="G1967" s="138" t="s">
        <v>3865</v>
      </c>
      <c r="H1967" s="81" t="str">
        <f t="shared" si="130"/>
        <v>TCCN-PTE-CON-FLT-FT1-INS-PES</v>
      </c>
      <c r="I1967" s="138" t="str">
        <f>MID(H1967,1,(LEN(H1967)-VLOOKUP(K1967,datos!$B$2:$C$12,2,0)))</f>
        <v>TCCN-PTE-CON-FLT-FT1-INS-PES</v>
      </c>
      <c r="J1967" s="138" t="s">
        <v>6687</v>
      </c>
      <c r="K1967" s="140">
        <f>VLOOKUP(LEN(SUBSTITUTE(H1967,"-","")),datos!$A$1:$B$12,2,0)</f>
        <v>7</v>
      </c>
      <c r="L1967" s="138"/>
      <c r="M1967" s="138" t="s">
        <v>0</v>
      </c>
    </row>
    <row r="1968" spans="1:13" x14ac:dyDescent="0.35">
      <c r="A1968" s="138" t="s">
        <v>487</v>
      </c>
      <c r="B1968" s="138" t="s">
        <v>3809</v>
      </c>
      <c r="C1968" s="138" t="s">
        <v>4035</v>
      </c>
      <c r="D1968" s="138" t="s">
        <v>4050</v>
      </c>
      <c r="E1968" s="138" t="s">
        <v>4053</v>
      </c>
      <c r="F1968" s="138" t="s">
        <v>3831</v>
      </c>
      <c r="G1968" s="138" t="s">
        <v>4068</v>
      </c>
      <c r="H1968" s="81" t="str">
        <f t="shared" si="130"/>
        <v>TCCN-PTE-CON-FLT-FT1-INS-ECD</v>
      </c>
      <c r="I1968" s="138" t="str">
        <f>MID(H1968,1,(LEN(H1968)-VLOOKUP(K1968,datos!$B$2:$C$12,2,0)))</f>
        <v>TCCN-PTE-CON-FLT-FT1-INS-ECD</v>
      </c>
      <c r="J1968" s="138" t="s">
        <v>6689</v>
      </c>
      <c r="K1968" s="140">
        <f>VLOOKUP(LEN(SUBSTITUTE(H1968,"-","")),datos!$A$1:$B$12,2,0)</f>
        <v>7</v>
      </c>
      <c r="L1968" s="138"/>
      <c r="M1968" s="138" t="s">
        <v>0</v>
      </c>
    </row>
    <row r="1969" spans="1:13" x14ac:dyDescent="0.35">
      <c r="A1969" s="138" t="s">
        <v>487</v>
      </c>
      <c r="B1969" s="138" t="s">
        <v>3809</v>
      </c>
      <c r="C1969" s="138" t="s">
        <v>4035</v>
      </c>
      <c r="D1969" s="138" t="s">
        <v>4050</v>
      </c>
      <c r="E1969" s="138" t="s">
        <v>4053</v>
      </c>
      <c r="F1969" s="138" t="s">
        <v>3831</v>
      </c>
      <c r="G1969" s="138" t="s">
        <v>4069</v>
      </c>
      <c r="H1969" s="81" t="str">
        <f t="shared" si="130"/>
        <v>TCCN-PTE-CON-FLT-FT1-INS-SP1</v>
      </c>
      <c r="I1969" s="138" t="str">
        <f>MID(H1969,1,(LEN(H1969)-VLOOKUP(K1969,datos!$B$2:$C$12,2,0)))</f>
        <v>TCCN-PTE-CON-FLT-FT1-INS-SP1</v>
      </c>
      <c r="J1969" s="138" t="s">
        <v>7885</v>
      </c>
      <c r="K1969" s="140">
        <f>VLOOKUP(LEN(SUBSTITUTE(H1969,"-","")),datos!$A$1:$B$12,2,0)</f>
        <v>7</v>
      </c>
      <c r="L1969" s="138"/>
      <c r="M1969" s="138" t="s">
        <v>0</v>
      </c>
    </row>
    <row r="1970" spans="1:13" x14ac:dyDescent="0.35">
      <c r="A1970" s="138" t="s">
        <v>487</v>
      </c>
      <c r="B1970" s="138" t="s">
        <v>3809</v>
      </c>
      <c r="C1970" s="138" t="s">
        <v>4035</v>
      </c>
      <c r="D1970" s="138" t="s">
        <v>4050</v>
      </c>
      <c r="E1970" s="138" t="s">
        <v>4053</v>
      </c>
      <c r="F1970" s="138" t="s">
        <v>3831</v>
      </c>
      <c r="G1970" s="138" t="s">
        <v>4070</v>
      </c>
      <c r="H1970" s="81" t="str">
        <f t="shared" si="130"/>
        <v>TCCN-PTE-CON-FLT-FT1-INS-SP2</v>
      </c>
      <c r="I1970" s="138" t="str">
        <f>MID(H1970,1,(LEN(H1970)-VLOOKUP(K1970,datos!$B$2:$C$12,2,0)))</f>
        <v>TCCN-PTE-CON-FLT-FT1-INS-SP2</v>
      </c>
      <c r="J1970" s="138" t="s">
        <v>7886</v>
      </c>
      <c r="K1970" s="140">
        <f>VLOOKUP(LEN(SUBSTITUTE(H1970,"-","")),datos!$A$1:$B$12,2,0)</f>
        <v>7</v>
      </c>
      <c r="L1970" s="138"/>
      <c r="M1970" s="138" t="s">
        <v>0</v>
      </c>
    </row>
    <row r="1971" spans="1:13" x14ac:dyDescent="0.35">
      <c r="A1971" s="138" t="s">
        <v>487</v>
      </c>
      <c r="B1971" s="138" t="s">
        <v>3809</v>
      </c>
      <c r="C1971" s="138" t="s">
        <v>4035</v>
      </c>
      <c r="D1971" s="138" t="s">
        <v>4050</v>
      </c>
      <c r="E1971" s="138" t="s">
        <v>4053</v>
      </c>
      <c r="F1971" s="138" t="s">
        <v>3831</v>
      </c>
      <c r="G1971" s="138" t="s">
        <v>4071</v>
      </c>
      <c r="H1971" s="81" t="str">
        <f t="shared" si="130"/>
        <v>TCCN-PTE-CON-FLT-FT1-INS-SP3</v>
      </c>
      <c r="I1971" s="138" t="str">
        <f>MID(H1971,1,(LEN(H1971)-VLOOKUP(K1971,datos!$B$2:$C$12,2,0)))</f>
        <v>TCCN-PTE-CON-FLT-FT1-INS-SP3</v>
      </c>
      <c r="J1971" s="138" t="s">
        <v>8113</v>
      </c>
      <c r="K1971" s="140">
        <f>VLOOKUP(LEN(SUBSTITUTE(H1971,"-","")),datos!$A$1:$B$12,2,0)</f>
        <v>7</v>
      </c>
      <c r="L1971" s="138"/>
      <c r="M1971" s="138" t="s">
        <v>0</v>
      </c>
    </row>
    <row r="1972" spans="1:13" x14ac:dyDescent="0.35">
      <c r="A1972" s="138" t="s">
        <v>487</v>
      </c>
      <c r="B1972" s="138" t="s">
        <v>3809</v>
      </c>
      <c r="C1972" s="138" t="s">
        <v>4035</v>
      </c>
      <c r="D1972" s="138" t="s">
        <v>4050</v>
      </c>
      <c r="E1972" s="138" t="s">
        <v>4053</v>
      </c>
      <c r="F1972" s="138" t="s">
        <v>3831</v>
      </c>
      <c r="G1972" s="138" t="s">
        <v>4072</v>
      </c>
      <c r="H1972" s="81" t="str">
        <f t="shared" si="130"/>
        <v>TCCN-PTE-CON-FLT-FT1-INS-SP4</v>
      </c>
      <c r="I1972" s="138" t="str">
        <f>MID(H1972,1,(LEN(H1972)-VLOOKUP(K1972,datos!$B$2:$C$12,2,0)))</f>
        <v>TCCN-PTE-CON-FLT-FT1-INS-SP4</v>
      </c>
      <c r="J1972" s="138" t="s">
        <v>7887</v>
      </c>
      <c r="K1972" s="140">
        <f>VLOOKUP(LEN(SUBSTITUTE(H1972,"-","")),datos!$A$1:$B$12,2,0)</f>
        <v>7</v>
      </c>
      <c r="L1972" s="138"/>
      <c r="M1972" s="138" t="s">
        <v>0</v>
      </c>
    </row>
    <row r="1973" spans="1:13" x14ac:dyDescent="0.35">
      <c r="A1973" s="138" t="s">
        <v>487</v>
      </c>
      <c r="B1973" s="138" t="s">
        <v>3809</v>
      </c>
      <c r="C1973" s="138" t="s">
        <v>4035</v>
      </c>
      <c r="D1973" s="138" t="s">
        <v>4050</v>
      </c>
      <c r="E1973" s="138" t="s">
        <v>4053</v>
      </c>
      <c r="F1973" s="138" t="s">
        <v>3831</v>
      </c>
      <c r="G1973" s="138" t="s">
        <v>8112</v>
      </c>
      <c r="H1973" s="81" t="str">
        <f t="shared" si="130"/>
        <v>TCCN-PTE-CON-FLT-FT1-INS-SP5</v>
      </c>
      <c r="I1973" s="138" t="str">
        <f>MID(H1973,1,(LEN(H1973)-VLOOKUP(K1973,datos!$B$2:$C$12,2,0)))</f>
        <v>TCCN-PTE-CON-FLT-FT1-INS-SP5</v>
      </c>
      <c r="J1973" s="138" t="s">
        <v>7888</v>
      </c>
      <c r="K1973" s="140">
        <f>VLOOKUP(LEN(SUBSTITUTE(H1973,"-","")),datos!$A$1:$B$12,2,0)</f>
        <v>7</v>
      </c>
      <c r="L1973" s="138"/>
      <c r="M1973" s="138" t="s">
        <v>0</v>
      </c>
    </row>
    <row r="1974" spans="1:13" x14ac:dyDescent="0.35">
      <c r="A1974" s="138" t="s">
        <v>487</v>
      </c>
      <c r="B1974" s="138" t="s">
        <v>3809</v>
      </c>
      <c r="C1974" s="138" t="s">
        <v>4035</v>
      </c>
      <c r="D1974" s="138" t="s">
        <v>4050</v>
      </c>
      <c r="E1974" s="138" t="s">
        <v>4053</v>
      </c>
      <c r="F1974" s="138" t="s">
        <v>3831</v>
      </c>
      <c r="G1974" s="138" t="s">
        <v>6813</v>
      </c>
      <c r="H1974" s="81" t="str">
        <f t="shared" si="130"/>
        <v>TCCN-PTE-CON-FLT-FT1-INS-IDE</v>
      </c>
      <c r="I1974" s="138" t="str">
        <f>MID(H1974,1,(LEN(H1974)-VLOOKUP(K1974,datos!$B$2:$C$12,2,0)))</f>
        <v>TCCN-PTE-CON-FLT-FT1-INS-IDE</v>
      </c>
      <c r="J1974" s="138" t="s">
        <v>6690</v>
      </c>
      <c r="K1974" s="140">
        <f>VLOOKUP(LEN(SUBSTITUTE(H1974,"-","")),datos!$A$1:$B$12,2,0)</f>
        <v>7</v>
      </c>
      <c r="L1974" s="138"/>
      <c r="M1974" s="138" t="s">
        <v>0</v>
      </c>
    </row>
    <row r="1975" spans="1:13" x14ac:dyDescent="0.35">
      <c r="A1975" s="138" t="s">
        <v>487</v>
      </c>
      <c r="B1975" s="138" t="s">
        <v>3809</v>
      </c>
      <c r="C1975" s="138" t="s">
        <v>4035</v>
      </c>
      <c r="D1975" s="138" t="s">
        <v>4050</v>
      </c>
      <c r="E1975" s="138" t="s">
        <v>4053</v>
      </c>
      <c r="F1975" s="138" t="s">
        <v>3831</v>
      </c>
      <c r="G1975" s="138" t="s">
        <v>1694</v>
      </c>
      <c r="H1975" s="81" t="str">
        <f t="shared" si="130"/>
        <v>TCCN-PTE-CON-FLT-FT1-INS-PLC</v>
      </c>
      <c r="I1975" s="138" t="str">
        <f>MID(H1975,1,(LEN(H1975)-VLOOKUP(K1975,datos!$B$2:$C$12,2,0)))</f>
        <v>TCCN-PTE-CON-FLT-FT1-INS-PLC</v>
      </c>
      <c r="J1975" s="138" t="s">
        <v>6688</v>
      </c>
      <c r="K1975" s="140">
        <f>VLOOKUP(LEN(SUBSTITUTE(H1975,"-","")),datos!$A$1:$B$12,2,0)</f>
        <v>7</v>
      </c>
      <c r="L1975" s="138"/>
      <c r="M1975" s="138" t="s">
        <v>0</v>
      </c>
    </row>
    <row r="1976" spans="1:13" x14ac:dyDescent="0.35">
      <c r="A1976" s="137" t="s">
        <v>487</v>
      </c>
      <c r="B1976" s="137" t="s">
        <v>3809</v>
      </c>
      <c r="C1976" s="137" t="s">
        <v>4035</v>
      </c>
      <c r="D1976" s="137" t="s">
        <v>4050</v>
      </c>
      <c r="E1976" s="137" t="s">
        <v>4053</v>
      </c>
      <c r="F1976" s="137" t="s">
        <v>3869</v>
      </c>
      <c r="G1976" s="137"/>
      <c r="H1976" s="82" t="str">
        <f t="shared" si="130"/>
        <v>TCCN-PTE-CON-FLT-FT1-SCE-</v>
      </c>
      <c r="I1976" s="137" t="str">
        <f>MID(H1976,1,(LEN(H1976)-VLOOKUP(K1976,datos!$B$2:$C$12,2,0)))</f>
        <v>TCCN-PTE-CON-FLT-FT1-SCE</v>
      </c>
      <c r="J1976" s="137" t="s">
        <v>123</v>
      </c>
      <c r="K1976" s="139">
        <f>VLOOKUP(LEN(SUBSTITUTE(H1976,"-","")),datos!$A$1:$B$12,2,0)</f>
        <v>6</v>
      </c>
      <c r="L1976" s="137"/>
      <c r="M1976" s="137" t="s">
        <v>0</v>
      </c>
    </row>
    <row r="1977" spans="1:13" customFormat="1" ht="14.5" x14ac:dyDescent="0.35">
      <c r="A1977" s="129" t="s">
        <v>487</v>
      </c>
      <c r="B1977" s="129" t="s">
        <v>3809</v>
      </c>
      <c r="C1977" s="129" t="s">
        <v>4035</v>
      </c>
      <c r="D1977" s="129" t="s">
        <v>4050</v>
      </c>
      <c r="E1977" s="129" t="s">
        <v>4045</v>
      </c>
      <c r="F1977" s="129"/>
      <c r="G1977" s="129"/>
      <c r="H1977" s="83" t="str">
        <f t="shared" si="130"/>
        <v>TCCN-PTE-CON-FLT-UH1--</v>
      </c>
      <c r="I1977" s="129" t="str">
        <f>MID(H1977,1,(LEN(H1977)-VLOOKUP(K1977,datos!$B$2:$C$12,2,0)))</f>
        <v>TCCN-PTE-CON-FLT-UH1</v>
      </c>
      <c r="J1977" s="129" t="s">
        <v>6714</v>
      </c>
      <c r="K1977" s="130">
        <f>VLOOKUP(LEN(SUBSTITUTE(H1977,"-","")),datos!$A$1:$B$12,2,0)</f>
        <v>5</v>
      </c>
      <c r="L1977" s="129" t="s">
        <v>271</v>
      </c>
      <c r="M1977" s="129" t="s">
        <v>0</v>
      </c>
    </row>
    <row r="1978" spans="1:13" x14ac:dyDescent="0.35">
      <c r="A1978" s="137" t="s">
        <v>487</v>
      </c>
      <c r="B1978" s="137" t="s">
        <v>3809</v>
      </c>
      <c r="C1978" s="137" t="s">
        <v>4035</v>
      </c>
      <c r="D1978" s="137" t="s">
        <v>4050</v>
      </c>
      <c r="E1978" s="137" t="s">
        <v>4045</v>
      </c>
      <c r="F1978" s="137" t="s">
        <v>5193</v>
      </c>
      <c r="G1978" s="137"/>
      <c r="H1978" s="82" t="str">
        <f t="shared" si="130"/>
        <v>TCCN-PTE-CON-FLT-UH1-COM-</v>
      </c>
      <c r="I1978" s="137" t="str">
        <f>MID(H1978,1,(LEN(H1978)-VLOOKUP(K1978,datos!$B$2:$C$12,2,0)))</f>
        <v>TCCN-PTE-CON-FLT-UH1-COM</v>
      </c>
      <c r="J1978" s="137" t="s">
        <v>6636</v>
      </c>
      <c r="K1978" s="139">
        <f>VLOOKUP(LEN(SUBSTITUTE(H1978,"-","")),datos!$A$1:$B$12,2,0)</f>
        <v>6</v>
      </c>
      <c r="L1978" s="137"/>
      <c r="M1978" s="137" t="s">
        <v>0</v>
      </c>
    </row>
    <row r="1979" spans="1:13" x14ac:dyDescent="0.35">
      <c r="A1979" s="138" t="s">
        <v>487</v>
      </c>
      <c r="B1979" s="138" t="s">
        <v>3809</v>
      </c>
      <c r="C1979" s="138" t="s">
        <v>4035</v>
      </c>
      <c r="D1979" s="138" t="s">
        <v>4050</v>
      </c>
      <c r="E1979" s="138" t="s">
        <v>4045</v>
      </c>
      <c r="F1979" s="138" t="s">
        <v>5193</v>
      </c>
      <c r="G1979" s="138" t="s">
        <v>3818</v>
      </c>
      <c r="H1979" s="81" t="str">
        <f t="shared" si="130"/>
        <v>TCCN-PTE-CON-FLT-UH1-COM-BBA</v>
      </c>
      <c r="I1979" s="138" t="str">
        <f>MID(H1979,1,(LEN(H1979)-VLOOKUP(K1979,datos!$B$2:$C$12,2,0)))</f>
        <v>TCCN-PTE-CON-FLT-UH1-COM-BBA</v>
      </c>
      <c r="J1979" s="138" t="s">
        <v>6637</v>
      </c>
      <c r="K1979" s="140">
        <f>VLOOKUP(LEN(SUBSTITUTE(H1979,"-","")),datos!$A$1:$B$12,2,0)</f>
        <v>7</v>
      </c>
      <c r="L1979" s="138"/>
      <c r="M1979" s="138" t="s">
        <v>0</v>
      </c>
    </row>
    <row r="1980" spans="1:13" x14ac:dyDescent="0.35">
      <c r="A1980" s="138" t="s">
        <v>487</v>
      </c>
      <c r="B1980" s="138" t="s">
        <v>3809</v>
      </c>
      <c r="C1980" s="138" t="s">
        <v>4035</v>
      </c>
      <c r="D1980" s="138" t="s">
        <v>4050</v>
      </c>
      <c r="E1980" s="138" t="s">
        <v>4045</v>
      </c>
      <c r="F1980" s="138" t="s">
        <v>5193</v>
      </c>
      <c r="G1980" s="138" t="s">
        <v>4042</v>
      </c>
      <c r="H1980" s="81" t="str">
        <f t="shared" si="130"/>
        <v>TCCN-PTE-CON-FLT-UH1-COM-MHD</v>
      </c>
      <c r="I1980" s="138" t="str">
        <f>MID(H1980,1,(LEN(H1980)-VLOOKUP(K1980,datos!$B$2:$C$12,2,0)))</f>
        <v>TCCN-PTE-CON-FLT-UH1-COM-MHD</v>
      </c>
      <c r="J1980" s="138" t="s">
        <v>6638</v>
      </c>
      <c r="K1980" s="140">
        <f>VLOOKUP(LEN(SUBSTITUTE(H1980,"-","")),datos!$A$1:$B$12,2,0)</f>
        <v>7</v>
      </c>
      <c r="L1980" s="138"/>
      <c r="M1980" s="138" t="s">
        <v>0</v>
      </c>
    </row>
    <row r="1981" spans="1:13" x14ac:dyDescent="0.35">
      <c r="A1981" s="138" t="s">
        <v>487</v>
      </c>
      <c r="B1981" s="138" t="s">
        <v>3809</v>
      </c>
      <c r="C1981" s="138" t="s">
        <v>4035</v>
      </c>
      <c r="D1981" s="138" t="s">
        <v>4050</v>
      </c>
      <c r="E1981" s="138" t="s">
        <v>4045</v>
      </c>
      <c r="F1981" s="138" t="s">
        <v>5193</v>
      </c>
      <c r="G1981" s="138" t="s">
        <v>3817</v>
      </c>
      <c r="H1981" s="81" t="str">
        <f t="shared" si="130"/>
        <v>TCCN-PTE-CON-FLT-UH1-COM-CIH</v>
      </c>
      <c r="I1981" s="138" t="str">
        <f>MID(H1981,1,(LEN(H1981)-VLOOKUP(K1981,datos!$B$2:$C$12,2,0)))</f>
        <v>TCCN-PTE-CON-FLT-UH1-COM-CIH</v>
      </c>
      <c r="J1981" s="138" t="s">
        <v>6639</v>
      </c>
      <c r="K1981" s="140">
        <f>VLOOKUP(LEN(SUBSTITUTE(H1981,"-","")),datos!$A$1:$B$12,2,0)</f>
        <v>7</v>
      </c>
      <c r="L1981" s="138"/>
      <c r="M1981" s="138" t="s">
        <v>0</v>
      </c>
    </row>
    <row r="1982" spans="1:13" x14ac:dyDescent="0.35">
      <c r="A1982" s="137" t="s">
        <v>487</v>
      </c>
      <c r="B1982" s="137" t="s">
        <v>3809</v>
      </c>
      <c r="C1982" s="137" t="s">
        <v>4035</v>
      </c>
      <c r="D1982" s="137" t="s">
        <v>4050</v>
      </c>
      <c r="E1982" s="137" t="s">
        <v>4045</v>
      </c>
      <c r="F1982" s="137" t="s">
        <v>4073</v>
      </c>
      <c r="G1982" s="137"/>
      <c r="H1982" s="82" t="str">
        <f t="shared" si="130"/>
        <v>TCCN-PTE-CON-FLT-UH1-PYV-</v>
      </c>
      <c r="I1982" s="137" t="str">
        <f>MID(H1982,1,(LEN(H1982)-VLOOKUP(K1982,datos!$B$2:$C$12,2,0)))</f>
        <v>TCCN-PTE-CON-FLT-UH1-PYV</v>
      </c>
      <c r="J1982" s="137" t="s">
        <v>6640</v>
      </c>
      <c r="K1982" s="139">
        <f>VLOOKUP(LEN(SUBSTITUTE(H1982,"-","")),datos!$A$1:$B$12,2,0)</f>
        <v>6</v>
      </c>
      <c r="L1982" s="137"/>
      <c r="M1982" s="137" t="s">
        <v>0</v>
      </c>
    </row>
    <row r="1983" spans="1:13" x14ac:dyDescent="0.35">
      <c r="A1983" s="138" t="s">
        <v>487</v>
      </c>
      <c r="B1983" s="138" t="s">
        <v>3809</v>
      </c>
      <c r="C1983" s="138" t="s">
        <v>4035</v>
      </c>
      <c r="D1983" s="138" t="s">
        <v>4050</v>
      </c>
      <c r="E1983" s="138" t="s">
        <v>4045</v>
      </c>
      <c r="F1983" s="138" t="s">
        <v>4073</v>
      </c>
      <c r="G1983" s="138" t="s">
        <v>4074</v>
      </c>
      <c r="H1983" s="81" t="str">
        <f t="shared" si="130"/>
        <v>TCCN-PTE-CON-FLT-UH1-PYV-TUH</v>
      </c>
      <c r="I1983" s="138" t="str">
        <f>MID(H1983,1,(LEN(H1983)-VLOOKUP(K1983,datos!$B$2:$C$12,2,0)))</f>
        <v>TCCN-PTE-CON-FLT-UH1-PYV-TUH</v>
      </c>
      <c r="J1983" s="138" t="s">
        <v>6641</v>
      </c>
      <c r="K1983" s="140">
        <f>VLOOKUP(LEN(SUBSTITUTE(H1983,"-","")),datos!$A$1:$B$12,2,0)</f>
        <v>7</v>
      </c>
      <c r="L1983" s="138"/>
      <c r="M1983" s="138" t="s">
        <v>0</v>
      </c>
    </row>
    <row r="1984" spans="1:13" x14ac:dyDescent="0.35">
      <c r="A1984" s="138" t="s">
        <v>487</v>
      </c>
      <c r="B1984" s="138" t="s">
        <v>3809</v>
      </c>
      <c r="C1984" s="138" t="s">
        <v>4035</v>
      </c>
      <c r="D1984" s="138" t="s">
        <v>4050</v>
      </c>
      <c r="E1984" s="138" t="s">
        <v>4045</v>
      </c>
      <c r="F1984" s="138" t="s">
        <v>4073</v>
      </c>
      <c r="G1984" s="138" t="s">
        <v>4064</v>
      </c>
      <c r="H1984" s="81" t="str">
        <f t="shared" si="130"/>
        <v>TCCN-PTE-CON-FLT-UH1-PYV-FLX</v>
      </c>
      <c r="I1984" s="138" t="str">
        <f>MID(H1984,1,(LEN(H1984)-VLOOKUP(K1984,datos!$B$2:$C$12,2,0)))</f>
        <v>TCCN-PTE-CON-FLT-UH1-PYV-FLX</v>
      </c>
      <c r="J1984" s="138" t="s">
        <v>6642</v>
      </c>
      <c r="K1984" s="140">
        <f>VLOOKUP(LEN(SUBSTITUTE(H1984,"-","")),datos!$A$1:$B$12,2,0)</f>
        <v>7</v>
      </c>
      <c r="L1984" s="138"/>
      <c r="M1984" s="138" t="s">
        <v>0</v>
      </c>
    </row>
    <row r="1985" spans="1:13" x14ac:dyDescent="0.35">
      <c r="A1985" s="138" t="s">
        <v>487</v>
      </c>
      <c r="B1985" s="138" t="s">
        <v>3809</v>
      </c>
      <c r="C1985" s="138" t="s">
        <v>4035</v>
      </c>
      <c r="D1985" s="138" t="s">
        <v>4050</v>
      </c>
      <c r="E1985" s="138" t="s">
        <v>4045</v>
      </c>
      <c r="F1985" s="138" t="s">
        <v>4073</v>
      </c>
      <c r="G1985" s="138" t="s">
        <v>4075</v>
      </c>
      <c r="H1985" s="81" t="str">
        <f t="shared" si="130"/>
        <v>TCCN-PTE-CON-FLT-UH1-PYV-VVA</v>
      </c>
      <c r="I1985" s="138" t="str">
        <f>MID(H1985,1,(LEN(H1985)-VLOOKUP(K1985,datos!$B$2:$C$12,2,0)))</f>
        <v>TCCN-PTE-CON-FLT-UH1-PYV-VVA</v>
      </c>
      <c r="J1985" s="138" t="s">
        <v>7972</v>
      </c>
      <c r="K1985" s="140">
        <f>VLOOKUP(LEN(SUBSTITUTE(H1985,"-","")),datos!$A$1:$B$12,2,0)</f>
        <v>7</v>
      </c>
      <c r="L1985" s="138"/>
      <c r="M1985" s="138" t="s">
        <v>0</v>
      </c>
    </row>
    <row r="1986" spans="1:13" x14ac:dyDescent="0.35">
      <c r="A1986" s="137" t="s">
        <v>487</v>
      </c>
      <c r="B1986" s="137" t="s">
        <v>3809</v>
      </c>
      <c r="C1986" s="137" t="s">
        <v>4035</v>
      </c>
      <c r="D1986" s="137" t="s">
        <v>4050</v>
      </c>
      <c r="E1986" s="137" t="s">
        <v>4045</v>
      </c>
      <c r="F1986" s="137" t="s">
        <v>3824</v>
      </c>
      <c r="G1986" s="137"/>
      <c r="H1986" s="82" t="str">
        <f t="shared" si="130"/>
        <v>TCCN-PTE-CON-FLT-UH1-SES-</v>
      </c>
      <c r="I1986" s="137" t="str">
        <f>MID(H1986,1,(LEN(H1986)-VLOOKUP(K1986,datos!$B$2:$C$12,2,0)))</f>
        <v>TCCN-PTE-CON-FLT-UH1-SES</v>
      </c>
      <c r="J1986" s="137" t="s">
        <v>6720</v>
      </c>
      <c r="K1986" s="139">
        <f>VLOOKUP(LEN(SUBSTITUTE(H1986,"-","")),datos!$A$1:$B$12,2,0)</f>
        <v>6</v>
      </c>
      <c r="L1986" s="137"/>
      <c r="M1986" s="137" t="s">
        <v>0</v>
      </c>
    </row>
    <row r="1987" spans="1:13" x14ac:dyDescent="0.35">
      <c r="A1987" s="138" t="s">
        <v>487</v>
      </c>
      <c r="B1987" s="138" t="s">
        <v>3809</v>
      </c>
      <c r="C1987" s="138" t="s">
        <v>4035</v>
      </c>
      <c r="D1987" s="138" t="s">
        <v>4050</v>
      </c>
      <c r="E1987" s="138" t="s">
        <v>4045</v>
      </c>
      <c r="F1987" s="138" t="s">
        <v>3824</v>
      </c>
      <c r="G1987" s="138" t="s">
        <v>3853</v>
      </c>
      <c r="H1987" s="81" t="str">
        <f t="shared" si="130"/>
        <v>TCCN-PTE-CON-FLT-UH1-SES-EST</v>
      </c>
      <c r="I1987" s="138" t="str">
        <f>MID(H1987,1,(LEN(H1987)-VLOOKUP(K1987,datos!$B$2:$C$12,2,0)))</f>
        <v>TCCN-PTE-CON-FLT-UH1-SES-EST</v>
      </c>
      <c r="J1987" s="138" t="s">
        <v>6643</v>
      </c>
      <c r="K1987" s="140">
        <f>VLOOKUP(LEN(SUBSTITUTE(H1987,"-","")),datos!$A$1:$B$12,2,0)</f>
        <v>7</v>
      </c>
      <c r="L1987" s="138"/>
      <c r="M1987" s="138" t="s">
        <v>0</v>
      </c>
    </row>
    <row r="1988" spans="1:13" x14ac:dyDescent="0.35">
      <c r="A1988" s="137" t="s">
        <v>487</v>
      </c>
      <c r="B1988" s="137" t="s">
        <v>3809</v>
      </c>
      <c r="C1988" s="137" t="s">
        <v>4035</v>
      </c>
      <c r="D1988" s="137" t="s">
        <v>4050</v>
      </c>
      <c r="E1988" s="137" t="s">
        <v>4045</v>
      </c>
      <c r="F1988" s="137" t="s">
        <v>4076</v>
      </c>
      <c r="G1988" s="137"/>
      <c r="H1988" s="82" t="str">
        <f t="shared" si="130"/>
        <v>TCCN-PTE-CON-FLT-UH1-SER-</v>
      </c>
      <c r="I1988" s="137" t="str">
        <f>MID(H1988,1,(LEN(H1988)-VLOOKUP(K1988,datos!$B$2:$C$12,2,0)))</f>
        <v>TCCN-PTE-CON-FLT-UH1-SER</v>
      </c>
      <c r="J1988" s="137" t="s">
        <v>6644</v>
      </c>
      <c r="K1988" s="139">
        <f>VLOOKUP(LEN(SUBSTITUTE(H1988,"-","")),datos!$A$1:$B$12,2,0)</f>
        <v>6</v>
      </c>
      <c r="L1988" s="137"/>
      <c r="M1988" s="137" t="s">
        <v>0</v>
      </c>
    </row>
    <row r="1989" spans="1:13" x14ac:dyDescent="0.35">
      <c r="A1989" s="138" t="s">
        <v>487</v>
      </c>
      <c r="B1989" s="138" t="s">
        <v>3809</v>
      </c>
      <c r="C1989" s="138" t="s">
        <v>4035</v>
      </c>
      <c r="D1989" s="138" t="s">
        <v>4050</v>
      </c>
      <c r="E1989" s="138" t="s">
        <v>4045</v>
      </c>
      <c r="F1989" s="138" t="s">
        <v>4076</v>
      </c>
      <c r="G1989" s="138" t="s">
        <v>3946</v>
      </c>
      <c r="H1989" s="81" t="str">
        <f t="shared" si="130"/>
        <v>TCCN-PTE-CON-FLT-UH1-SER-ENF</v>
      </c>
      <c r="I1989" s="138" t="str">
        <f>MID(H1989,1,(LEN(H1989)-VLOOKUP(K1989,datos!$B$2:$C$12,2,0)))</f>
        <v>TCCN-PTE-CON-FLT-UH1-SER-ENF</v>
      </c>
      <c r="J1989" s="138" t="s">
        <v>6645</v>
      </c>
      <c r="K1989" s="140">
        <f>VLOOKUP(LEN(SUBSTITUTE(H1989,"-","")),datos!$A$1:$B$12,2,0)</f>
        <v>7</v>
      </c>
      <c r="L1989" s="138"/>
      <c r="M1989" s="138" t="s">
        <v>0</v>
      </c>
    </row>
    <row r="1990" spans="1:13" x14ac:dyDescent="0.35">
      <c r="A1990" s="137" t="s">
        <v>487</v>
      </c>
      <c r="B1990" s="137" t="s">
        <v>3809</v>
      </c>
      <c r="C1990" s="137" t="s">
        <v>4035</v>
      </c>
      <c r="D1990" s="137" t="s">
        <v>4050</v>
      </c>
      <c r="E1990" s="137" t="s">
        <v>4045</v>
      </c>
      <c r="F1990" s="137" t="s">
        <v>4077</v>
      </c>
      <c r="G1990" s="137"/>
      <c r="H1990" s="82" t="str">
        <f t="shared" si="130"/>
        <v>TCCN-PTE-CON-FLT-UH1-SCU-</v>
      </c>
      <c r="I1990" s="137" t="str">
        <f>MID(H1990,1,(LEN(H1990)-VLOOKUP(K1990,datos!$B$2:$C$12,2,0)))</f>
        <v>TCCN-PTE-CON-FLT-UH1-SCU</v>
      </c>
      <c r="J1990" s="137" t="s">
        <v>6646</v>
      </c>
      <c r="K1990" s="139">
        <f>VLOOKUP(LEN(SUBSTITUTE(H1990,"-","")),datos!$A$1:$B$12,2,0)</f>
        <v>6</v>
      </c>
      <c r="L1990" s="137"/>
      <c r="M1990" s="137" t="s">
        <v>0</v>
      </c>
    </row>
    <row r="1991" spans="1:13" x14ac:dyDescent="0.35">
      <c r="A1991" s="138" t="s">
        <v>487</v>
      </c>
      <c r="B1991" s="138" t="s">
        <v>3809</v>
      </c>
      <c r="C1991" s="138" t="s">
        <v>4035</v>
      </c>
      <c r="D1991" s="138" t="s">
        <v>4050</v>
      </c>
      <c r="E1991" s="138" t="s">
        <v>4045</v>
      </c>
      <c r="F1991" s="138" t="s">
        <v>4077</v>
      </c>
      <c r="G1991" s="138" t="s">
        <v>3820</v>
      </c>
      <c r="H1991" s="81" t="str">
        <f t="shared" si="130"/>
        <v>TCCN-PTE-CON-FLT-UH1-SCU-CUH</v>
      </c>
      <c r="I1991" s="138" t="str">
        <f>MID(H1991,1,(LEN(H1991)-VLOOKUP(K1991,datos!$B$2:$C$12,2,0)))</f>
        <v>TCCN-PTE-CON-FLT-UH1-SCU-CUH</v>
      </c>
      <c r="J1991" s="138" t="s">
        <v>6655</v>
      </c>
      <c r="K1991" s="140">
        <f>VLOOKUP(LEN(SUBSTITUTE(H1991,"-","")),datos!$A$1:$B$12,2,0)</f>
        <v>7</v>
      </c>
      <c r="L1991" s="138" t="s">
        <v>8140</v>
      </c>
      <c r="M1991" s="138" t="s">
        <v>0</v>
      </c>
    </row>
    <row r="1992" spans="1:13" x14ac:dyDescent="0.35">
      <c r="A1992" s="138" t="s">
        <v>487</v>
      </c>
      <c r="B1992" s="138" t="s">
        <v>3809</v>
      </c>
      <c r="C1992" s="138" t="s">
        <v>4035</v>
      </c>
      <c r="D1992" s="138" t="s">
        <v>4050</v>
      </c>
      <c r="E1992" s="138" t="s">
        <v>4045</v>
      </c>
      <c r="F1992" s="138" t="s">
        <v>4077</v>
      </c>
      <c r="G1992" s="138" t="s">
        <v>4078</v>
      </c>
      <c r="H1992" s="81" t="str">
        <f t="shared" si="130"/>
        <v>TCCN-PTE-CON-FLT-UH1-SCU-EUH</v>
      </c>
      <c r="I1992" s="138" t="str">
        <f>MID(H1992,1,(LEN(H1992)-VLOOKUP(K1992,datos!$B$2:$C$12,2,0)))</f>
        <v>TCCN-PTE-CON-FLT-UH1-SCU-EUH</v>
      </c>
      <c r="J1992" s="138" t="s">
        <v>6656</v>
      </c>
      <c r="K1992" s="140">
        <f>VLOOKUP(LEN(SUBSTITUTE(H1992,"-","")),datos!$A$1:$B$12,2,0)</f>
        <v>7</v>
      </c>
      <c r="L1992" s="138" t="s">
        <v>8141</v>
      </c>
      <c r="M1992" s="138" t="s">
        <v>0</v>
      </c>
    </row>
    <row r="1993" spans="1:13" x14ac:dyDescent="0.35">
      <c r="A1993" s="137" t="s">
        <v>487</v>
      </c>
      <c r="B1993" s="137" t="s">
        <v>3809</v>
      </c>
      <c r="C1993" s="137" t="s">
        <v>4035</v>
      </c>
      <c r="D1993" s="137" t="s">
        <v>4050</v>
      </c>
      <c r="E1993" s="137" t="s">
        <v>4045</v>
      </c>
      <c r="F1993" s="137" t="s">
        <v>3847</v>
      </c>
      <c r="G1993" s="137"/>
      <c r="H1993" s="82" t="str">
        <f t="shared" si="130"/>
        <v>TCCN-PTE-CON-FLT-UH1-SMO-</v>
      </c>
      <c r="I1993" s="137" t="str">
        <f>MID(H1993,1,(LEN(H1993)-VLOOKUP(K1993,datos!$B$2:$C$12,2,0)))</f>
        <v>TCCN-PTE-CON-FLT-UH1-SMO</v>
      </c>
      <c r="J1993" s="137" t="s">
        <v>6647</v>
      </c>
      <c r="K1993" s="139">
        <f>VLOOKUP(LEN(SUBSTITUTE(H1993,"-","")),datos!$A$1:$B$12,2,0)</f>
        <v>6</v>
      </c>
      <c r="L1993" s="137"/>
      <c r="M1993" s="137" t="s">
        <v>0</v>
      </c>
    </row>
    <row r="1994" spans="1:13" x14ac:dyDescent="0.35">
      <c r="A1994" s="138" t="s">
        <v>487</v>
      </c>
      <c r="B1994" s="138" t="s">
        <v>3809</v>
      </c>
      <c r="C1994" s="138" t="s">
        <v>4035</v>
      </c>
      <c r="D1994" s="138" t="s">
        <v>4050</v>
      </c>
      <c r="E1994" s="138" t="s">
        <v>4045</v>
      </c>
      <c r="F1994" s="138" t="s">
        <v>3847</v>
      </c>
      <c r="G1994" s="138" t="s">
        <v>3839</v>
      </c>
      <c r="H1994" s="81" t="str">
        <f t="shared" si="130"/>
        <v>TCCN-PTE-CON-FLT-UH1-SMO-MO1</v>
      </c>
      <c r="I1994" s="138" t="str">
        <f>MID(H1994,1,(LEN(H1994)-VLOOKUP(K1994,datos!$B$2:$C$12,2,0)))</f>
        <v>TCCN-PTE-CON-FLT-UH1-SMO-MO1</v>
      </c>
      <c r="J1994" s="138" t="s">
        <v>6648</v>
      </c>
      <c r="K1994" s="140">
        <f>VLOOKUP(LEN(SUBSTITUTE(H1994,"-","")),datos!$A$1:$B$12,2,0)</f>
        <v>7</v>
      </c>
      <c r="L1994" s="138" t="s">
        <v>8138</v>
      </c>
      <c r="M1994" s="138" t="s">
        <v>0</v>
      </c>
    </row>
    <row r="1995" spans="1:13" x14ac:dyDescent="0.35">
      <c r="A1995" s="138" t="s">
        <v>487</v>
      </c>
      <c r="B1995" s="138" t="s">
        <v>3809</v>
      </c>
      <c r="C1995" s="138" t="s">
        <v>4035</v>
      </c>
      <c r="D1995" s="138" t="s">
        <v>4050</v>
      </c>
      <c r="E1995" s="138" t="s">
        <v>4045</v>
      </c>
      <c r="F1995" s="138" t="s">
        <v>3847</v>
      </c>
      <c r="G1995" s="138" t="s">
        <v>3840</v>
      </c>
      <c r="H1995" s="81" t="str">
        <f t="shared" si="130"/>
        <v>TCCN-PTE-CON-FLT-UH1-SMO-MO2</v>
      </c>
      <c r="I1995" s="138" t="str">
        <f>MID(H1995,1,(LEN(H1995)-VLOOKUP(K1995,datos!$B$2:$C$12,2,0)))</f>
        <v>TCCN-PTE-CON-FLT-UH1-SMO-MO2</v>
      </c>
      <c r="J1995" s="138" t="s">
        <v>6649</v>
      </c>
      <c r="K1995" s="140">
        <f>VLOOKUP(LEN(SUBSTITUTE(H1995,"-","")),datos!$A$1:$B$12,2,0)</f>
        <v>7</v>
      </c>
      <c r="L1995" s="138" t="s">
        <v>8139</v>
      </c>
      <c r="M1995" s="138" t="s">
        <v>0</v>
      </c>
    </row>
    <row r="1996" spans="1:13" x14ac:dyDescent="0.35">
      <c r="A1996" s="138" t="s">
        <v>487</v>
      </c>
      <c r="B1996" s="138" t="s">
        <v>3809</v>
      </c>
      <c r="C1996" s="138" t="s">
        <v>4035</v>
      </c>
      <c r="D1996" s="138" t="s">
        <v>4050</v>
      </c>
      <c r="E1996" s="138" t="s">
        <v>4045</v>
      </c>
      <c r="F1996" s="138" t="s">
        <v>3847</v>
      </c>
      <c r="G1996" s="138" t="s">
        <v>3841</v>
      </c>
      <c r="H1996" s="81" t="str">
        <f t="shared" si="130"/>
        <v>TCCN-PTE-CON-FLT-UH1-SMO-MO3</v>
      </c>
      <c r="I1996" s="138" t="str">
        <f>MID(H1996,1,(LEN(H1996)-VLOOKUP(K1996,datos!$B$2:$C$12,2,0)))</f>
        <v>TCCN-PTE-CON-FLT-UH1-SMO-MO3</v>
      </c>
      <c r="J1996" s="138" t="s">
        <v>6650</v>
      </c>
      <c r="K1996" s="140">
        <f>VLOOKUP(LEN(SUBSTITUTE(H1996,"-","")),datos!$A$1:$B$12,2,0)</f>
        <v>7</v>
      </c>
      <c r="L1996" s="138" t="s">
        <v>8142</v>
      </c>
      <c r="M1996" s="138" t="s">
        <v>0</v>
      </c>
    </row>
    <row r="1997" spans="1:13" x14ac:dyDescent="0.35">
      <c r="A1997" s="137" t="s">
        <v>487</v>
      </c>
      <c r="B1997" s="137" t="s">
        <v>3809</v>
      </c>
      <c r="C1997" s="137" t="s">
        <v>4035</v>
      </c>
      <c r="D1997" s="137" t="s">
        <v>4050</v>
      </c>
      <c r="E1997" s="137" t="s">
        <v>4045</v>
      </c>
      <c r="F1997" s="137" t="s">
        <v>3831</v>
      </c>
      <c r="G1997" s="137"/>
      <c r="H1997" s="82" t="str">
        <f t="shared" si="130"/>
        <v>TCCN-PTE-CON-FLT-UH1-INS-</v>
      </c>
      <c r="I1997" s="137" t="str">
        <f>MID(H1997,1,(LEN(H1997)-VLOOKUP(K1997,datos!$B$2:$C$12,2,0)))</f>
        <v>TCCN-PTE-CON-FLT-UH1-INS</v>
      </c>
      <c r="J1997" s="137" t="s">
        <v>6651</v>
      </c>
      <c r="K1997" s="139">
        <f>VLOOKUP(LEN(SUBSTITUTE(H1997,"-","")),datos!$A$1:$B$12,2,0)</f>
        <v>6</v>
      </c>
      <c r="L1997" s="137"/>
      <c r="M1997" s="137" t="s">
        <v>0</v>
      </c>
    </row>
    <row r="1998" spans="1:13" x14ac:dyDescent="0.35">
      <c r="A1998" s="138" t="s">
        <v>487</v>
      </c>
      <c r="B1998" s="138" t="s">
        <v>3809</v>
      </c>
      <c r="C1998" s="138" t="s">
        <v>4035</v>
      </c>
      <c r="D1998" s="138" t="s">
        <v>4050</v>
      </c>
      <c r="E1998" s="138" t="s">
        <v>4045</v>
      </c>
      <c r="F1998" s="138" t="s">
        <v>3831</v>
      </c>
      <c r="G1998" s="138" t="s">
        <v>7070</v>
      </c>
      <c r="H1998" s="81" t="str">
        <f t="shared" si="130"/>
        <v>TCCN-PTE-CON-FLT-UH1-INS-MP1</v>
      </c>
      <c r="I1998" s="138" t="str">
        <f>MID(H1998,1,(LEN(H1998)-VLOOKUP(K1998,datos!$B$2:$C$12,2,0)))</f>
        <v>TCCN-PTE-CON-FLT-UH1-INS-MP1</v>
      </c>
      <c r="J1998" s="138" t="s">
        <v>7569</v>
      </c>
      <c r="K1998" s="140">
        <f>VLOOKUP(LEN(SUBSTITUTE(H1998,"-","")),datos!$A$1:$B$12,2,0)</f>
        <v>7</v>
      </c>
      <c r="L1998" s="138"/>
      <c r="M1998" s="138" t="s">
        <v>0</v>
      </c>
    </row>
    <row r="1999" spans="1:13" x14ac:dyDescent="0.35">
      <c r="A1999" s="138" t="s">
        <v>487</v>
      </c>
      <c r="B1999" s="138" t="s">
        <v>3809</v>
      </c>
      <c r="C1999" s="138" t="s">
        <v>4035</v>
      </c>
      <c r="D1999" s="138" t="s">
        <v>4050</v>
      </c>
      <c r="E1999" s="138" t="s">
        <v>4045</v>
      </c>
      <c r="F1999" s="138" t="s">
        <v>3831</v>
      </c>
      <c r="G1999" s="138" t="s">
        <v>7071</v>
      </c>
      <c r="H1999" s="81" t="str">
        <f t="shared" si="130"/>
        <v>TCCN-PTE-CON-FLT-UH1-INS-MP2</v>
      </c>
      <c r="I1999" s="138" t="str">
        <f>MID(H1999,1,(LEN(H1999)-VLOOKUP(K1999,datos!$B$2:$C$12,2,0)))</f>
        <v>TCCN-PTE-CON-FLT-UH1-INS-MP2</v>
      </c>
      <c r="J1999" s="138" t="s">
        <v>7570</v>
      </c>
      <c r="K1999" s="140">
        <f>VLOOKUP(LEN(SUBSTITUTE(H1999,"-","")),datos!$A$1:$B$12,2,0)</f>
        <v>7</v>
      </c>
      <c r="L1999" s="138"/>
      <c r="M1999" s="138" t="s">
        <v>0</v>
      </c>
    </row>
    <row r="2000" spans="1:13" x14ac:dyDescent="0.35">
      <c r="A2000" s="138" t="s">
        <v>487</v>
      </c>
      <c r="B2000" s="138" t="s">
        <v>3809</v>
      </c>
      <c r="C2000" s="138" t="s">
        <v>4035</v>
      </c>
      <c r="D2000" s="138" t="s">
        <v>4050</v>
      </c>
      <c r="E2000" s="138" t="s">
        <v>4045</v>
      </c>
      <c r="F2000" s="138" t="s">
        <v>3831</v>
      </c>
      <c r="G2000" s="138" t="s">
        <v>7060</v>
      </c>
      <c r="H2000" s="81" t="str">
        <f t="shared" si="130"/>
        <v>TCCN-PTE-CON-FLT-UH1-INS-MTP</v>
      </c>
      <c r="I2000" s="138" t="str">
        <f>MID(H2000,1,(LEN(H2000)-VLOOKUP(K2000,datos!$B$2:$C$12,2,0)))</f>
        <v>TCCN-PTE-CON-FLT-UH1-INS-MTP</v>
      </c>
      <c r="J2000" s="138" t="s">
        <v>8075</v>
      </c>
      <c r="K2000" s="140">
        <f>VLOOKUP(LEN(SUBSTITUTE(H2000,"-","")),datos!$A$1:$B$12,2,0)</f>
        <v>7</v>
      </c>
      <c r="L2000" s="138"/>
      <c r="M2000" s="138" t="s">
        <v>0</v>
      </c>
    </row>
    <row r="2001" spans="1:13" x14ac:dyDescent="0.35">
      <c r="A2001" s="138" t="s">
        <v>487</v>
      </c>
      <c r="B2001" s="138" t="s">
        <v>3809</v>
      </c>
      <c r="C2001" s="138" t="s">
        <v>4035</v>
      </c>
      <c r="D2001" s="138" t="s">
        <v>4050</v>
      </c>
      <c r="E2001" s="138" t="s">
        <v>4045</v>
      </c>
      <c r="F2001" s="138" t="s">
        <v>3831</v>
      </c>
      <c r="G2001" s="138" t="s">
        <v>3986</v>
      </c>
      <c r="H2001" s="81" t="str">
        <f t="shared" si="130"/>
        <v>TCCN-PTE-CON-FLT-UH1-INS-VV1</v>
      </c>
      <c r="I2001" s="138" t="str">
        <f>MID(H2001,1,(LEN(H2001)-VLOOKUP(K2001,datos!$B$2:$C$12,2,0)))</f>
        <v>TCCN-PTE-CON-FLT-UH1-INS-VV1</v>
      </c>
      <c r="J2001" s="138" t="s">
        <v>7959</v>
      </c>
      <c r="K2001" s="140">
        <f>VLOOKUP(LEN(SUBSTITUTE(H2001,"-","")),datos!$A$1:$B$12,2,0)</f>
        <v>7</v>
      </c>
      <c r="L2001" s="138"/>
      <c r="M2001" s="138" t="s">
        <v>0</v>
      </c>
    </row>
    <row r="2002" spans="1:13" x14ac:dyDescent="0.35">
      <c r="A2002" s="138" t="s">
        <v>487</v>
      </c>
      <c r="B2002" s="138" t="s">
        <v>3809</v>
      </c>
      <c r="C2002" s="138" t="s">
        <v>4035</v>
      </c>
      <c r="D2002" s="138" t="s">
        <v>4050</v>
      </c>
      <c r="E2002" s="138" t="s">
        <v>4045</v>
      </c>
      <c r="F2002" s="138" t="s">
        <v>3831</v>
      </c>
      <c r="G2002" s="138" t="s">
        <v>3987</v>
      </c>
      <c r="H2002" s="81" t="str">
        <f t="shared" si="130"/>
        <v>TCCN-PTE-CON-FLT-UH1-INS-VV2</v>
      </c>
      <c r="I2002" s="138" t="str">
        <f>MID(H2002,1,(LEN(H2002)-VLOOKUP(K2002,datos!$B$2:$C$12,2,0)))</f>
        <v>TCCN-PTE-CON-FLT-UH1-INS-VV2</v>
      </c>
      <c r="J2002" s="138" t="s">
        <v>7960</v>
      </c>
      <c r="K2002" s="140">
        <f>VLOOKUP(LEN(SUBSTITUTE(H2002,"-","")),datos!$A$1:$B$12,2,0)</f>
        <v>7</v>
      </c>
      <c r="L2002" s="138"/>
      <c r="M2002" s="138" t="s">
        <v>0</v>
      </c>
    </row>
    <row r="2003" spans="1:13" x14ac:dyDescent="0.35">
      <c r="A2003" s="138" t="s">
        <v>487</v>
      </c>
      <c r="B2003" s="138" t="s">
        <v>3809</v>
      </c>
      <c r="C2003" s="138" t="s">
        <v>4035</v>
      </c>
      <c r="D2003" s="138" t="s">
        <v>4050</v>
      </c>
      <c r="E2003" s="138" t="s">
        <v>4045</v>
      </c>
      <c r="F2003" s="138" t="s">
        <v>3831</v>
      </c>
      <c r="G2003" s="138" t="s">
        <v>5207</v>
      </c>
      <c r="H2003" s="81" t="str">
        <f t="shared" si="130"/>
        <v>TCCN-PTE-CON-FLT-UH1-INS-SLN</v>
      </c>
      <c r="I2003" s="138" t="str">
        <f>MID(H2003,1,(LEN(H2003)-VLOOKUP(K2003,datos!$B$2:$C$12,2,0)))</f>
        <v>TCCN-PTE-CON-FLT-UH1-INS-SLN</v>
      </c>
      <c r="J2003" s="138" t="s">
        <v>7961</v>
      </c>
      <c r="K2003" s="140">
        <f>VLOOKUP(LEN(SUBSTITUTE(H2003,"-","")),datos!$A$1:$B$12,2,0)</f>
        <v>7</v>
      </c>
      <c r="L2003" s="138"/>
      <c r="M2003" s="138" t="s">
        <v>0</v>
      </c>
    </row>
    <row r="2004" spans="1:13" x14ac:dyDescent="0.35">
      <c r="A2004" s="138" t="s">
        <v>487</v>
      </c>
      <c r="B2004" s="138" t="s">
        <v>3809</v>
      </c>
      <c r="C2004" s="138" t="s">
        <v>4035</v>
      </c>
      <c r="D2004" s="138" t="s">
        <v>4050</v>
      </c>
      <c r="E2004" s="138" t="s">
        <v>4045</v>
      </c>
      <c r="F2004" s="138" t="s">
        <v>3831</v>
      </c>
      <c r="G2004" s="138" t="s">
        <v>4016</v>
      </c>
      <c r="H2004" s="81" t="str">
        <f t="shared" si="130"/>
        <v>TCCN-PTE-CON-FLT-UH1-INS-PAN</v>
      </c>
      <c r="I2004" s="138" t="str">
        <f>MID(H2004,1,(LEN(H2004)-VLOOKUP(K2004,datos!$B$2:$C$12,2,0)))</f>
        <v>TCCN-PTE-CON-FLT-UH1-INS-PAN</v>
      </c>
      <c r="J2004" s="138" t="s">
        <v>6652</v>
      </c>
      <c r="K2004" s="140">
        <f>VLOOKUP(LEN(SUBSTITUTE(H2004,"-","")),datos!$A$1:$B$12,2,0)</f>
        <v>7</v>
      </c>
      <c r="L2004" s="138"/>
      <c r="M2004" s="138" t="s">
        <v>0</v>
      </c>
    </row>
    <row r="2005" spans="1:13" customFormat="1" ht="14.5" x14ac:dyDescent="0.35">
      <c r="A2005" s="129" t="s">
        <v>487</v>
      </c>
      <c r="B2005" s="129" t="s">
        <v>3809</v>
      </c>
      <c r="C2005" s="129" t="s">
        <v>4035</v>
      </c>
      <c r="D2005" s="129" t="s">
        <v>4050</v>
      </c>
      <c r="E2005" s="129" t="s">
        <v>4079</v>
      </c>
      <c r="F2005" s="129"/>
      <c r="G2005" s="129"/>
      <c r="H2005" s="83" t="str">
        <f t="shared" si="130"/>
        <v>TCCN-PTE-CON-FLT-ES2--</v>
      </c>
      <c r="I2005" s="129" t="str">
        <f>MID(H2005,1,(LEN(H2005)-VLOOKUP(K2005,datos!$B$2:$C$12,2,0)))</f>
        <v>TCCN-PTE-CON-FLT-ES2</v>
      </c>
      <c r="J2005" s="129" t="s">
        <v>277</v>
      </c>
      <c r="K2005" s="130">
        <f>VLOOKUP(LEN(SUBSTITUTE(H2005,"-","")),datos!$A$1:$B$12,2,0)</f>
        <v>5</v>
      </c>
      <c r="L2005" s="129" t="s">
        <v>278</v>
      </c>
      <c r="M2005" s="129" t="s">
        <v>0</v>
      </c>
    </row>
    <row r="2006" spans="1:13" customFormat="1" ht="14.5" x14ac:dyDescent="0.35">
      <c r="A2006" s="129" t="s">
        <v>487</v>
      </c>
      <c r="B2006" s="129" t="s">
        <v>3809</v>
      </c>
      <c r="C2006" s="129" t="s">
        <v>4035</v>
      </c>
      <c r="D2006" s="129" t="s">
        <v>4050</v>
      </c>
      <c r="E2006" s="129" t="s">
        <v>4080</v>
      </c>
      <c r="F2006" s="129"/>
      <c r="G2006" s="129"/>
      <c r="H2006" s="83" t="str">
        <f t="shared" si="130"/>
        <v>TCCN-PTE-CON-FLT-SI1--</v>
      </c>
      <c r="I2006" s="129" t="str">
        <f>MID(H2006,1,(LEN(H2006)-VLOOKUP(K2006,datos!$B$2:$C$12,2,0)))</f>
        <v>TCCN-PTE-CON-FLT-SI1</v>
      </c>
      <c r="J2006" s="129" t="s">
        <v>1603</v>
      </c>
      <c r="K2006" s="130">
        <f>VLOOKUP(LEN(SUBSTITUTE(H2006,"-","")),datos!$A$1:$B$12,2,0)</f>
        <v>5</v>
      </c>
      <c r="L2006" s="129" t="s">
        <v>279</v>
      </c>
      <c r="M2006" s="129" t="s">
        <v>0</v>
      </c>
    </row>
    <row r="2007" spans="1:13" customFormat="1" ht="14.5" x14ac:dyDescent="0.35">
      <c r="A2007" s="129" t="s">
        <v>487</v>
      </c>
      <c r="B2007" s="129" t="s">
        <v>3809</v>
      </c>
      <c r="C2007" s="129" t="s">
        <v>4035</v>
      </c>
      <c r="D2007" s="129" t="s">
        <v>4050</v>
      </c>
      <c r="E2007" s="129" t="s">
        <v>4081</v>
      </c>
      <c r="F2007" s="129"/>
      <c r="G2007" s="129"/>
      <c r="H2007" s="83" t="str">
        <f t="shared" si="130"/>
        <v>TCCN-PTE-CON-FLT-FT2--</v>
      </c>
      <c r="I2007" s="129" t="str">
        <f>MID(H2007,1,(LEN(H2007)-VLOOKUP(K2007,datos!$B$2:$C$12,2,0)))</f>
        <v>TCCN-PTE-CON-FLT-FT2</v>
      </c>
      <c r="J2007" s="129" t="s">
        <v>4612</v>
      </c>
      <c r="K2007" s="130">
        <f>VLOOKUP(LEN(SUBSTITUTE(H2007,"-","")),datos!$A$1:$B$12,2,0)</f>
        <v>5</v>
      </c>
      <c r="L2007" s="129" t="s">
        <v>280</v>
      </c>
      <c r="M2007" s="129" t="s">
        <v>0</v>
      </c>
    </row>
    <row r="2008" spans="1:13" x14ac:dyDescent="0.35">
      <c r="A2008" s="137" t="s">
        <v>487</v>
      </c>
      <c r="B2008" s="137" t="s">
        <v>3809</v>
      </c>
      <c r="C2008" s="137" t="s">
        <v>4035</v>
      </c>
      <c r="D2008" s="137" t="s">
        <v>4050</v>
      </c>
      <c r="E2008" s="137" t="s">
        <v>4081</v>
      </c>
      <c r="F2008" s="137" t="s">
        <v>4054</v>
      </c>
      <c r="G2008" s="137"/>
      <c r="H2008" s="82" t="str">
        <f t="shared" ref="H2008:H2068" si="131">CONCATENATE(A2008,"-",B2008,"-",C2008,"-",D2008,"-",E2008,"-",F2008,"-",G2008)</f>
        <v>TCCN-PTE-CON-FLT-FT2-STF-</v>
      </c>
      <c r="I2008" s="137" t="str">
        <f>MID(H2008,1,(LEN(H2008)-VLOOKUP(K2008,datos!$B$2:$C$12,2,0)))</f>
        <v>TCCN-PTE-CON-FLT-FT2-STF</v>
      </c>
      <c r="J2008" s="137" t="s">
        <v>6672</v>
      </c>
      <c r="K2008" s="139">
        <f>VLOOKUP(LEN(SUBSTITUTE(H2008,"-","")),datos!$A$1:$B$12,2,0)</f>
        <v>6</v>
      </c>
      <c r="L2008" s="137"/>
      <c r="M2008" s="137" t="s">
        <v>0</v>
      </c>
    </row>
    <row r="2009" spans="1:13" x14ac:dyDescent="0.35">
      <c r="A2009" s="138" t="s">
        <v>487</v>
      </c>
      <c r="B2009" s="138" t="s">
        <v>3809</v>
      </c>
      <c r="C2009" s="138" t="s">
        <v>4035</v>
      </c>
      <c r="D2009" s="138" t="s">
        <v>4050</v>
      </c>
      <c r="E2009" s="138" t="s">
        <v>4082</v>
      </c>
      <c r="F2009" s="138" t="s">
        <v>4054</v>
      </c>
      <c r="G2009" s="138" t="s">
        <v>4055</v>
      </c>
      <c r="H2009" s="81" t="str">
        <f t="shared" si="131"/>
        <v>TCCN-PTE-CON-FLT-FL2-STF-TLF</v>
      </c>
      <c r="I2009" s="138" t="str">
        <f>MID(H2009,1,(LEN(H2009)-VLOOKUP(K2009,datos!$B$2:$C$12,2,0)))</f>
        <v>TCCN-PTE-CON-FLT-FL2-STF-TLF</v>
      </c>
      <c r="J2009" s="138" t="s">
        <v>6673</v>
      </c>
      <c r="K2009" s="140">
        <f>VLOOKUP(LEN(SUBSTITUTE(H2009,"-","")),datos!$A$1:$B$12,2,0)</f>
        <v>7</v>
      </c>
      <c r="L2009" s="138"/>
      <c r="M2009" s="138" t="s">
        <v>0</v>
      </c>
    </row>
    <row r="2010" spans="1:13" x14ac:dyDescent="0.35">
      <c r="A2010" s="137" t="s">
        <v>487</v>
      </c>
      <c r="B2010" s="137" t="s">
        <v>3809</v>
      </c>
      <c r="C2010" s="137" t="s">
        <v>4035</v>
      </c>
      <c r="D2010" s="137" t="s">
        <v>4050</v>
      </c>
      <c r="E2010" s="137" t="s">
        <v>4081</v>
      </c>
      <c r="F2010" s="137" t="s">
        <v>4056</v>
      </c>
      <c r="G2010" s="137"/>
      <c r="H2010" s="82" t="str">
        <f t="shared" si="131"/>
        <v>TCCN-PTE-CON-FLT-FT2-STT-</v>
      </c>
      <c r="I2010" s="137" t="str">
        <f>MID(H2010,1,(LEN(H2010)-VLOOKUP(K2010,datos!$B$2:$C$12,2,0)))</f>
        <v>TCCN-PTE-CON-FLT-FT2-STT</v>
      </c>
      <c r="J2010" s="137" t="s">
        <v>6674</v>
      </c>
      <c r="K2010" s="139">
        <f>VLOOKUP(LEN(SUBSTITUTE(H2010,"-","")),datos!$A$1:$B$12,2,0)</f>
        <v>6</v>
      </c>
      <c r="L2010" s="137"/>
      <c r="M2010" s="137" t="s">
        <v>0</v>
      </c>
    </row>
    <row r="2011" spans="1:13" x14ac:dyDescent="0.35">
      <c r="A2011" s="138" t="s">
        <v>487</v>
      </c>
      <c r="B2011" s="138" t="s">
        <v>3809</v>
      </c>
      <c r="C2011" s="138" t="s">
        <v>4035</v>
      </c>
      <c r="D2011" s="138" t="s">
        <v>4050</v>
      </c>
      <c r="E2011" s="138" t="s">
        <v>4082</v>
      </c>
      <c r="F2011" s="138" t="s">
        <v>4056</v>
      </c>
      <c r="G2011" s="138" t="s">
        <v>4057</v>
      </c>
      <c r="H2011" s="81" t="str">
        <f t="shared" si="131"/>
        <v>TCCN-PTE-CON-FLT-FL2-STT-EGN</v>
      </c>
      <c r="I2011" s="138" t="str">
        <f>MID(H2011,1,(LEN(H2011)-VLOOKUP(K2011,datos!$B$2:$C$12,2,0)))</f>
        <v>TCCN-PTE-CON-FLT-FL2-STT-EGN</v>
      </c>
      <c r="J2011" s="138" t="s">
        <v>6675</v>
      </c>
      <c r="K2011" s="140">
        <f>VLOOKUP(LEN(SUBSTITUTE(H2011,"-","")),datos!$A$1:$B$12,2,0)</f>
        <v>7</v>
      </c>
      <c r="L2011" s="138"/>
      <c r="M2011" s="138" t="s">
        <v>0</v>
      </c>
    </row>
    <row r="2012" spans="1:13" x14ac:dyDescent="0.35">
      <c r="A2012" s="138" t="s">
        <v>487</v>
      </c>
      <c r="B2012" s="138" t="s">
        <v>3809</v>
      </c>
      <c r="C2012" s="138" t="s">
        <v>4035</v>
      </c>
      <c r="D2012" s="138" t="s">
        <v>4050</v>
      </c>
      <c r="E2012" s="138" t="s">
        <v>4082</v>
      </c>
      <c r="F2012" s="138" t="s">
        <v>4056</v>
      </c>
      <c r="G2012" s="138" t="s">
        <v>3829</v>
      </c>
      <c r="H2012" s="81" t="str">
        <f t="shared" si="131"/>
        <v>TCCN-PTE-CON-FLT-FL2-STT-CZP</v>
      </c>
      <c r="I2012" s="138" t="str">
        <f>MID(H2012,1,(LEN(H2012)-VLOOKUP(K2012,datos!$B$2:$C$12,2,0)))</f>
        <v>TCCN-PTE-CON-FLT-FL2-STT-CZP</v>
      </c>
      <c r="J2012" s="138" t="s">
        <v>6676</v>
      </c>
      <c r="K2012" s="140">
        <f>VLOOKUP(LEN(SUBSTITUTE(H2012,"-","")),datos!$A$1:$B$12,2,0)</f>
        <v>7</v>
      </c>
      <c r="L2012" s="138"/>
      <c r="M2012" s="138" t="s">
        <v>0</v>
      </c>
    </row>
    <row r="2013" spans="1:13" x14ac:dyDescent="0.35">
      <c r="A2013" s="137" t="s">
        <v>487</v>
      </c>
      <c r="B2013" s="137" t="s">
        <v>3809</v>
      </c>
      <c r="C2013" s="137" t="s">
        <v>4035</v>
      </c>
      <c r="D2013" s="137" t="s">
        <v>4050</v>
      </c>
      <c r="E2013" s="137" t="s">
        <v>4081</v>
      </c>
      <c r="F2013" s="137" t="s">
        <v>3920</v>
      </c>
      <c r="G2013" s="137"/>
      <c r="H2013" s="82" t="str">
        <f t="shared" si="131"/>
        <v>TCCN-PTE-CON-FLT-FT2-SDP-</v>
      </c>
      <c r="I2013" s="137" t="str">
        <f>MID(H2013,1,(LEN(H2013)-VLOOKUP(K2013,datos!$B$2:$C$12,2,0)))</f>
        <v>TCCN-PTE-CON-FLT-FT2-SDP</v>
      </c>
      <c r="J2013" s="137" t="s">
        <v>6677</v>
      </c>
      <c r="K2013" s="139">
        <f>VLOOKUP(LEN(SUBSTITUTE(H2013,"-","")),datos!$A$1:$B$12,2,0)</f>
        <v>6</v>
      </c>
      <c r="L2013" s="137"/>
      <c r="M2013" s="137" t="s">
        <v>0</v>
      </c>
    </row>
    <row r="2014" spans="1:13" x14ac:dyDescent="0.35">
      <c r="A2014" s="138" t="s">
        <v>487</v>
      </c>
      <c r="B2014" s="138" t="s">
        <v>3809</v>
      </c>
      <c r="C2014" s="138" t="s">
        <v>4035</v>
      </c>
      <c r="D2014" s="138" t="s">
        <v>4050</v>
      </c>
      <c r="E2014" s="138" t="s">
        <v>4082</v>
      </c>
      <c r="F2014" s="138" t="s">
        <v>3920</v>
      </c>
      <c r="G2014" s="138" t="s">
        <v>4058</v>
      </c>
      <c r="H2014" s="81" t="str">
        <f t="shared" si="131"/>
        <v>TCCN-PTE-CON-FLT-FL2-SDP-PL1</v>
      </c>
      <c r="I2014" s="138" t="str">
        <f>MID(H2014,1,(LEN(H2014)-VLOOKUP(K2014,datos!$B$2:$C$12,2,0)))</f>
        <v>TCCN-PTE-CON-FLT-FL2-SDP-PL1</v>
      </c>
      <c r="J2014" s="138" t="s">
        <v>6678</v>
      </c>
      <c r="K2014" s="140">
        <f>VLOOKUP(LEN(SUBSTITUTE(H2014,"-","")),datos!$A$1:$B$12,2,0)</f>
        <v>7</v>
      </c>
      <c r="L2014" s="138"/>
      <c r="M2014" s="138" t="s">
        <v>0</v>
      </c>
    </row>
    <row r="2015" spans="1:13" x14ac:dyDescent="0.35">
      <c r="A2015" s="138" t="s">
        <v>487</v>
      </c>
      <c r="B2015" s="138" t="s">
        <v>3809</v>
      </c>
      <c r="C2015" s="138" t="s">
        <v>4035</v>
      </c>
      <c r="D2015" s="138" t="s">
        <v>4050</v>
      </c>
      <c r="E2015" s="138" t="s">
        <v>4082</v>
      </c>
      <c r="F2015" s="138" t="s">
        <v>3920</v>
      </c>
      <c r="G2015" s="138" t="s">
        <v>4059</v>
      </c>
      <c r="H2015" s="81" t="str">
        <f t="shared" si="131"/>
        <v>TCCN-PTE-CON-FLT-FL2-SDP-PL2</v>
      </c>
      <c r="I2015" s="138" t="str">
        <f>MID(H2015,1,(LEN(H2015)-VLOOKUP(K2015,datos!$B$2:$C$12,2,0)))</f>
        <v>TCCN-PTE-CON-FLT-FL2-SDP-PL2</v>
      </c>
      <c r="J2015" s="138" t="s">
        <v>6679</v>
      </c>
      <c r="K2015" s="140">
        <f>VLOOKUP(LEN(SUBSTITUTE(H2015,"-","")),datos!$A$1:$B$12,2,0)</f>
        <v>7</v>
      </c>
      <c r="L2015" s="138"/>
      <c r="M2015" s="138" t="s">
        <v>0</v>
      </c>
    </row>
    <row r="2016" spans="1:13" x14ac:dyDescent="0.35">
      <c r="A2016" s="138" t="s">
        <v>487</v>
      </c>
      <c r="B2016" s="138" t="s">
        <v>3809</v>
      </c>
      <c r="C2016" s="138" t="s">
        <v>4035</v>
      </c>
      <c r="D2016" s="138" t="s">
        <v>4050</v>
      </c>
      <c r="E2016" s="138" t="s">
        <v>4082</v>
      </c>
      <c r="F2016" s="138" t="s">
        <v>3920</v>
      </c>
      <c r="G2016" s="138" t="s">
        <v>4060</v>
      </c>
      <c r="H2016" s="81" t="str">
        <f t="shared" si="131"/>
        <v>TCCN-PTE-CON-FLT-FL2-SDP-PL3</v>
      </c>
      <c r="I2016" s="138" t="str">
        <f>MID(H2016,1,(LEN(H2016)-VLOOKUP(K2016,datos!$B$2:$C$12,2,0)))</f>
        <v>TCCN-PTE-CON-FLT-FL2-SDP-PL3</v>
      </c>
      <c r="J2016" s="138" t="s">
        <v>6680</v>
      </c>
      <c r="K2016" s="140">
        <f>VLOOKUP(LEN(SUBSTITUTE(H2016,"-","")),datos!$A$1:$B$12,2,0)</f>
        <v>7</v>
      </c>
      <c r="L2016" s="138"/>
      <c r="M2016" s="138" t="s">
        <v>0</v>
      </c>
    </row>
    <row r="2017" spans="1:13" x14ac:dyDescent="0.35">
      <c r="A2017" s="137" t="s">
        <v>487</v>
      </c>
      <c r="B2017" s="137" t="s">
        <v>3809</v>
      </c>
      <c r="C2017" s="137" t="s">
        <v>4035</v>
      </c>
      <c r="D2017" s="137" t="s">
        <v>4050</v>
      </c>
      <c r="E2017" s="137" t="s">
        <v>4081</v>
      </c>
      <c r="F2017" s="137" t="s">
        <v>4061</v>
      </c>
      <c r="G2017" s="137"/>
      <c r="H2017" s="82" t="str">
        <f t="shared" si="131"/>
        <v>TCCN-PTE-CON-FLT-FT2-VPT-</v>
      </c>
      <c r="I2017" s="137" t="str">
        <f>MID(H2017,1,(LEN(H2017)-VLOOKUP(K2017,datos!$B$2:$C$12,2,0)))</f>
        <v>TCCN-PTE-CON-FLT-FT2-VPT</v>
      </c>
      <c r="J2017" s="137" t="s">
        <v>7962</v>
      </c>
      <c r="K2017" s="139">
        <f>VLOOKUP(LEN(SUBSTITUTE(H2017,"-","")),datos!$A$1:$B$12,2,0)</f>
        <v>6</v>
      </c>
      <c r="L2017" s="137"/>
      <c r="M2017" s="137" t="s">
        <v>0</v>
      </c>
    </row>
    <row r="2018" spans="1:13" x14ac:dyDescent="0.35">
      <c r="A2018" s="138" t="s">
        <v>487</v>
      </c>
      <c r="B2018" s="138" t="s">
        <v>3809</v>
      </c>
      <c r="C2018" s="138" t="s">
        <v>4035</v>
      </c>
      <c r="D2018" s="138" t="s">
        <v>4050</v>
      </c>
      <c r="E2018" s="138" t="s">
        <v>4082</v>
      </c>
      <c r="F2018" s="138" t="s">
        <v>4061</v>
      </c>
      <c r="G2018" s="138" t="s">
        <v>3986</v>
      </c>
      <c r="H2018" s="81" t="str">
        <f t="shared" si="131"/>
        <v>TCCN-PTE-CON-FLT-FL2-VPT-VV1</v>
      </c>
      <c r="I2018" s="138" t="str">
        <f>MID(H2018,1,(LEN(H2018)-VLOOKUP(K2018,datos!$B$2:$C$12,2,0)))</f>
        <v>TCCN-PTE-CON-FLT-FL2-VPT-VV1</v>
      </c>
      <c r="J2018" s="138" t="s">
        <v>7963</v>
      </c>
      <c r="K2018" s="140">
        <f>VLOOKUP(LEN(SUBSTITUTE(H2018,"-","")),datos!$A$1:$B$12,2,0)</f>
        <v>7</v>
      </c>
      <c r="L2018" s="138"/>
      <c r="M2018" s="138" t="s">
        <v>0</v>
      </c>
    </row>
    <row r="2019" spans="1:13" x14ac:dyDescent="0.35">
      <c r="A2019" s="138" t="s">
        <v>487</v>
      </c>
      <c r="B2019" s="138" t="s">
        <v>3809</v>
      </c>
      <c r="C2019" s="138" t="s">
        <v>4035</v>
      </c>
      <c r="D2019" s="138" t="s">
        <v>4050</v>
      </c>
      <c r="E2019" s="138" t="s">
        <v>4082</v>
      </c>
      <c r="F2019" s="138" t="s">
        <v>4061</v>
      </c>
      <c r="G2019" s="138" t="s">
        <v>3987</v>
      </c>
      <c r="H2019" s="81" t="str">
        <f t="shared" si="131"/>
        <v>TCCN-PTE-CON-FLT-FL2-VPT-VV2</v>
      </c>
      <c r="I2019" s="138" t="str">
        <f>MID(H2019,1,(LEN(H2019)-VLOOKUP(K2019,datos!$B$2:$C$12,2,0)))</f>
        <v>TCCN-PTE-CON-FLT-FL2-VPT-VV2</v>
      </c>
      <c r="J2019" s="138" t="s">
        <v>7964</v>
      </c>
      <c r="K2019" s="140">
        <f>VLOOKUP(LEN(SUBSTITUTE(H2019,"-","")),datos!$A$1:$B$12,2,0)</f>
        <v>7</v>
      </c>
      <c r="L2019" s="138"/>
      <c r="M2019" s="138" t="s">
        <v>0</v>
      </c>
    </row>
    <row r="2020" spans="1:13" x14ac:dyDescent="0.35">
      <c r="A2020" s="138" t="s">
        <v>487</v>
      </c>
      <c r="B2020" s="138" t="s">
        <v>3809</v>
      </c>
      <c r="C2020" s="138" t="s">
        <v>4035</v>
      </c>
      <c r="D2020" s="138" t="s">
        <v>4050</v>
      </c>
      <c r="E2020" s="138" t="s">
        <v>4082</v>
      </c>
      <c r="F2020" s="138" t="s">
        <v>4061</v>
      </c>
      <c r="G2020" s="138" t="s">
        <v>4065</v>
      </c>
      <c r="H2020" s="81" t="str">
        <f t="shared" si="131"/>
        <v>TCCN-PTE-CON-FLT-FL2-VPT-VV3</v>
      </c>
      <c r="I2020" s="138" t="str">
        <f>MID(H2020,1,(LEN(H2020)-VLOOKUP(K2020,datos!$B$2:$C$12,2,0)))</f>
        <v>TCCN-PTE-CON-FLT-FL2-VPT-VV3</v>
      </c>
      <c r="J2020" s="138" t="s">
        <v>7965</v>
      </c>
      <c r="K2020" s="140">
        <f>VLOOKUP(LEN(SUBSTITUTE(H2020,"-","")),datos!$A$1:$B$12,2,0)</f>
        <v>7</v>
      </c>
      <c r="L2020" s="138"/>
      <c r="M2020" s="138" t="s">
        <v>0</v>
      </c>
    </row>
    <row r="2021" spans="1:13" x14ac:dyDescent="0.35">
      <c r="A2021" s="138" t="s">
        <v>487</v>
      </c>
      <c r="B2021" s="138" t="s">
        <v>3809</v>
      </c>
      <c r="C2021" s="138" t="s">
        <v>4035</v>
      </c>
      <c r="D2021" s="138" t="s">
        <v>4050</v>
      </c>
      <c r="E2021" s="138" t="s">
        <v>4082</v>
      </c>
      <c r="F2021" s="138" t="s">
        <v>4061</v>
      </c>
      <c r="G2021" s="138" t="s">
        <v>5554</v>
      </c>
      <c r="H2021" s="81" t="str">
        <f t="shared" si="131"/>
        <v>TCCN-PTE-CON-FLT-FL2-VPT-VV4</v>
      </c>
      <c r="I2021" s="138" t="str">
        <f>MID(H2021,1,(LEN(H2021)-VLOOKUP(K2021,datos!$B$2:$C$12,2,0)))</f>
        <v>TCCN-PTE-CON-FLT-FL2-VPT-VV4</v>
      </c>
      <c r="J2021" s="138" t="s">
        <v>7966</v>
      </c>
      <c r="K2021" s="140">
        <f>VLOOKUP(LEN(SUBSTITUTE(H2021,"-","")),datos!$A$1:$B$12,2,0)</f>
        <v>7</v>
      </c>
      <c r="L2021" s="138"/>
      <c r="M2021" s="138" t="s">
        <v>0</v>
      </c>
    </row>
    <row r="2022" spans="1:13" x14ac:dyDescent="0.35">
      <c r="A2022" s="138" t="s">
        <v>487</v>
      </c>
      <c r="B2022" s="138" t="s">
        <v>3809</v>
      </c>
      <c r="C2022" s="138" t="s">
        <v>4035</v>
      </c>
      <c r="D2022" s="138" t="s">
        <v>4050</v>
      </c>
      <c r="E2022" s="138" t="s">
        <v>4082</v>
      </c>
      <c r="F2022" s="138" t="s">
        <v>4061</v>
      </c>
      <c r="G2022" s="138" t="s">
        <v>5555</v>
      </c>
      <c r="H2022" s="81" t="str">
        <f t="shared" si="131"/>
        <v>TCCN-PTE-CON-FLT-FL2-VPT-VV5</v>
      </c>
      <c r="I2022" s="138" t="str">
        <f>MID(H2022,1,(LEN(H2022)-VLOOKUP(K2022,datos!$B$2:$C$12,2,0)))</f>
        <v>TCCN-PTE-CON-FLT-FL2-VPT-VV5</v>
      </c>
      <c r="J2022" s="138" t="s">
        <v>7967</v>
      </c>
      <c r="K2022" s="140">
        <f>VLOOKUP(LEN(SUBSTITUTE(H2022,"-","")),datos!$A$1:$B$12,2,0)</f>
        <v>7</v>
      </c>
      <c r="L2022" s="138"/>
      <c r="M2022" s="138" t="s">
        <v>0</v>
      </c>
    </row>
    <row r="2023" spans="1:13" x14ac:dyDescent="0.35">
      <c r="A2023" s="138" t="s">
        <v>487</v>
      </c>
      <c r="B2023" s="138" t="s">
        <v>3809</v>
      </c>
      <c r="C2023" s="138" t="s">
        <v>4035</v>
      </c>
      <c r="D2023" s="138" t="s">
        <v>4050</v>
      </c>
      <c r="E2023" s="138" t="s">
        <v>4082</v>
      </c>
      <c r="F2023" s="138" t="s">
        <v>4061</v>
      </c>
      <c r="G2023" s="138" t="s">
        <v>5556</v>
      </c>
      <c r="H2023" s="81" t="str">
        <f t="shared" si="131"/>
        <v>TCCN-PTE-CON-FLT-FL2-VPT-VV6</v>
      </c>
      <c r="I2023" s="138" t="str">
        <f>MID(H2023,1,(LEN(H2023)-VLOOKUP(K2023,datos!$B$2:$C$12,2,0)))</f>
        <v>TCCN-PTE-CON-FLT-FL2-VPT-VV6</v>
      </c>
      <c r="J2023" s="138" t="s">
        <v>7968</v>
      </c>
      <c r="K2023" s="140">
        <f>VLOOKUP(LEN(SUBSTITUTE(H2023,"-","")),datos!$A$1:$B$12,2,0)</f>
        <v>7</v>
      </c>
      <c r="L2023" s="138"/>
      <c r="M2023" s="138" t="s">
        <v>0</v>
      </c>
    </row>
    <row r="2024" spans="1:13" x14ac:dyDescent="0.35">
      <c r="A2024" s="137" t="s">
        <v>487</v>
      </c>
      <c r="B2024" s="137" t="s">
        <v>3809</v>
      </c>
      <c r="C2024" s="137" t="s">
        <v>4035</v>
      </c>
      <c r="D2024" s="137" t="s">
        <v>4050</v>
      </c>
      <c r="E2024" s="137" t="s">
        <v>4081</v>
      </c>
      <c r="F2024" s="137" t="s">
        <v>3824</v>
      </c>
      <c r="G2024" s="137"/>
      <c r="H2024" s="82" t="str">
        <f t="shared" si="131"/>
        <v>TCCN-PTE-CON-FLT-FT2-SES-</v>
      </c>
      <c r="I2024" s="137" t="str">
        <f>MID(H2024,1,(LEN(H2024)-VLOOKUP(K2024,datos!$B$2:$C$12,2,0)))</f>
        <v>TCCN-PTE-CON-FLT-FT2-SES</v>
      </c>
      <c r="J2024" s="137" t="s">
        <v>6681</v>
      </c>
      <c r="K2024" s="139">
        <f>VLOOKUP(LEN(SUBSTITUTE(H2024,"-","")),datos!$A$1:$B$12,2,0)</f>
        <v>6</v>
      </c>
      <c r="L2024" s="137"/>
      <c r="M2024" s="137" t="s">
        <v>0</v>
      </c>
    </row>
    <row r="2025" spans="1:13" x14ac:dyDescent="0.35">
      <c r="A2025" s="138" t="s">
        <v>487</v>
      </c>
      <c r="B2025" s="138" t="s">
        <v>3809</v>
      </c>
      <c r="C2025" s="138" t="s">
        <v>4035</v>
      </c>
      <c r="D2025" s="138" t="s">
        <v>4050</v>
      </c>
      <c r="E2025" s="138" t="s">
        <v>4082</v>
      </c>
      <c r="F2025" s="138" t="s">
        <v>3824</v>
      </c>
      <c r="G2025" s="138" t="s">
        <v>3998</v>
      </c>
      <c r="H2025" s="81" t="str">
        <f t="shared" si="131"/>
        <v>TCCN-PTE-CON-FLT-FL2-SES-BYG</v>
      </c>
      <c r="I2025" s="138" t="str">
        <f>MID(H2025,1,(LEN(H2025)-VLOOKUP(K2025,datos!$B$2:$C$12,2,0)))</f>
        <v>TCCN-PTE-CON-FLT-FL2-SES-BYG</v>
      </c>
      <c r="J2025" s="138" t="s">
        <v>8036</v>
      </c>
      <c r="K2025" s="140">
        <f>VLOOKUP(LEN(SUBSTITUTE(H2025,"-","")),datos!$A$1:$B$12,2,0)</f>
        <v>7</v>
      </c>
      <c r="L2025" s="138"/>
      <c r="M2025" s="138" t="s">
        <v>0</v>
      </c>
    </row>
    <row r="2026" spans="1:13" x14ac:dyDescent="0.35">
      <c r="A2026" s="138" t="s">
        <v>487</v>
      </c>
      <c r="B2026" s="138" t="s">
        <v>3809</v>
      </c>
      <c r="C2026" s="138" t="s">
        <v>4035</v>
      </c>
      <c r="D2026" s="138" t="s">
        <v>4050</v>
      </c>
      <c r="E2026" s="138" t="s">
        <v>4082</v>
      </c>
      <c r="F2026" s="138" t="s">
        <v>3824</v>
      </c>
      <c r="G2026" s="138" t="s">
        <v>4062</v>
      </c>
      <c r="H2026" s="81" t="str">
        <f t="shared" si="131"/>
        <v>TCCN-PTE-CON-FLT-FL2-SES-CLN</v>
      </c>
      <c r="I2026" s="138" t="str">
        <f>MID(H2026,1,(LEN(H2026)-VLOOKUP(K2026,datos!$B$2:$C$12,2,0)))</f>
        <v>TCCN-PTE-CON-FLT-FL2-SES-CLN</v>
      </c>
      <c r="J2026" s="138" t="s">
        <v>6682</v>
      </c>
      <c r="K2026" s="140">
        <f>VLOOKUP(LEN(SUBSTITUTE(H2026,"-","")),datos!$A$1:$B$12,2,0)</f>
        <v>7</v>
      </c>
      <c r="L2026" s="138"/>
      <c r="M2026" s="138" t="s">
        <v>0</v>
      </c>
    </row>
    <row r="2027" spans="1:13" x14ac:dyDescent="0.35">
      <c r="A2027" s="137" t="s">
        <v>487</v>
      </c>
      <c r="B2027" s="137" t="s">
        <v>3809</v>
      </c>
      <c r="C2027" s="137" t="s">
        <v>4035</v>
      </c>
      <c r="D2027" s="137" t="s">
        <v>4050</v>
      </c>
      <c r="E2027" s="137" t="s">
        <v>4081</v>
      </c>
      <c r="F2027" s="137" t="s">
        <v>4063</v>
      </c>
      <c r="G2027" s="137"/>
      <c r="H2027" s="82" t="str">
        <f t="shared" si="131"/>
        <v>TCCN-PTE-CON-FLT-FT2-ELU-</v>
      </c>
      <c r="I2027" s="137" t="str">
        <f>MID(H2027,1,(LEN(H2027)-VLOOKUP(K2027,datos!$B$2:$C$12,2,0)))</f>
        <v>TCCN-PTE-CON-FLT-FT2-ELU</v>
      </c>
      <c r="J2027" s="137" t="s">
        <v>6683</v>
      </c>
      <c r="K2027" s="139">
        <f>VLOOKUP(LEN(SUBSTITUTE(H2027,"-","")),datos!$A$1:$B$12,2,0)</f>
        <v>6</v>
      </c>
      <c r="L2027" s="137"/>
      <c r="M2027" s="137" t="s">
        <v>0</v>
      </c>
    </row>
    <row r="2028" spans="1:13" x14ac:dyDescent="0.35">
      <c r="A2028" s="138" t="s">
        <v>487</v>
      </c>
      <c r="B2028" s="138" t="s">
        <v>3809</v>
      </c>
      <c r="C2028" s="138" t="s">
        <v>4035</v>
      </c>
      <c r="D2028" s="138" t="s">
        <v>4050</v>
      </c>
      <c r="E2028" s="138" t="s">
        <v>4082</v>
      </c>
      <c r="F2028" s="138" t="s">
        <v>4063</v>
      </c>
      <c r="G2028" s="138" t="s">
        <v>4064</v>
      </c>
      <c r="H2028" s="81" t="str">
        <f t="shared" si="131"/>
        <v>TCCN-PTE-CON-FLT-FL2-ELU-FLX</v>
      </c>
      <c r="I2028" s="138" t="str">
        <f>MID(H2028,1,(LEN(H2028)-VLOOKUP(K2028,datos!$B$2:$C$12,2,0)))</f>
        <v>TCCN-PTE-CON-FLT-FL2-ELU-FLX</v>
      </c>
      <c r="J2028" s="138" t="s">
        <v>6684</v>
      </c>
      <c r="K2028" s="140">
        <f>VLOOKUP(LEN(SUBSTITUTE(H2028,"-","")),datos!$A$1:$B$12,2,0)</f>
        <v>7</v>
      </c>
      <c r="L2028" s="138"/>
      <c r="M2028" s="138" t="s">
        <v>0</v>
      </c>
    </row>
    <row r="2029" spans="1:13" x14ac:dyDescent="0.35">
      <c r="A2029" s="137" t="s">
        <v>487</v>
      </c>
      <c r="B2029" s="137" t="s">
        <v>3809</v>
      </c>
      <c r="C2029" s="137" t="s">
        <v>4035</v>
      </c>
      <c r="D2029" s="137" t="s">
        <v>4050</v>
      </c>
      <c r="E2029" s="137" t="s">
        <v>4081</v>
      </c>
      <c r="F2029" s="137" t="s">
        <v>3831</v>
      </c>
      <c r="G2029" s="137"/>
      <c r="H2029" s="82" t="str">
        <f t="shared" si="131"/>
        <v>TCCN-PTE-CON-FLT-FT2-INS-</v>
      </c>
      <c r="I2029" s="137" t="str">
        <f>MID(H2029,1,(LEN(H2029)-VLOOKUP(K2029,datos!$B$2:$C$12,2,0)))</f>
        <v>TCCN-PTE-CON-FLT-FT2-INS</v>
      </c>
      <c r="J2029" s="137" t="s">
        <v>6685</v>
      </c>
      <c r="K2029" s="139">
        <f>VLOOKUP(LEN(SUBSTITUTE(H2029,"-","")),datos!$A$1:$B$12,2,0)</f>
        <v>6</v>
      </c>
      <c r="L2029" s="137"/>
      <c r="M2029" s="137" t="s">
        <v>0</v>
      </c>
    </row>
    <row r="2030" spans="1:13" x14ac:dyDescent="0.35">
      <c r="A2030" s="138" t="s">
        <v>487</v>
      </c>
      <c r="B2030" s="138" t="s">
        <v>3809</v>
      </c>
      <c r="C2030" s="138" t="s">
        <v>4035</v>
      </c>
      <c r="D2030" s="138" t="s">
        <v>4050</v>
      </c>
      <c r="E2030" s="138" t="s">
        <v>4082</v>
      </c>
      <c r="F2030" s="138" t="s">
        <v>3831</v>
      </c>
      <c r="G2030" s="138" t="s">
        <v>4002</v>
      </c>
      <c r="H2030" s="81" t="str">
        <f t="shared" si="131"/>
        <v>TCCN-PTE-CON-FLT-FL2-INS-FJM</v>
      </c>
      <c r="I2030" s="138" t="str">
        <f>MID(H2030,1,(LEN(H2030)-VLOOKUP(K2030,datos!$B$2:$C$12,2,0)))</f>
        <v>TCCN-PTE-CON-FLT-FL2-INS-FJM</v>
      </c>
      <c r="J2030" s="138" t="s">
        <v>6686</v>
      </c>
      <c r="K2030" s="140">
        <f>VLOOKUP(LEN(SUBSTITUTE(H2030,"-","")),datos!$A$1:$B$12,2,0)</f>
        <v>7</v>
      </c>
      <c r="L2030" s="138"/>
      <c r="M2030" s="138" t="s">
        <v>0</v>
      </c>
    </row>
    <row r="2031" spans="1:13" x14ac:dyDescent="0.35">
      <c r="A2031" s="138" t="s">
        <v>487</v>
      </c>
      <c r="B2031" s="138" t="s">
        <v>3809</v>
      </c>
      <c r="C2031" s="138" t="s">
        <v>4035</v>
      </c>
      <c r="D2031" s="138" t="s">
        <v>4050</v>
      </c>
      <c r="E2031" s="138" t="s">
        <v>4082</v>
      </c>
      <c r="F2031" s="138" t="s">
        <v>3831</v>
      </c>
      <c r="G2031" s="138" t="s">
        <v>3986</v>
      </c>
      <c r="H2031" s="81" t="str">
        <f t="shared" si="131"/>
        <v>TCCN-PTE-CON-FLT-FL2-INS-VV1</v>
      </c>
      <c r="I2031" s="138" t="str">
        <f>MID(H2031,1,(LEN(H2031)-VLOOKUP(K2031,datos!$B$2:$C$12,2,0)))</f>
        <v>TCCN-PTE-CON-FLT-FL2-INS-VV1</v>
      </c>
      <c r="J2031" s="138" t="s">
        <v>7969</v>
      </c>
      <c r="K2031" s="140">
        <f>VLOOKUP(LEN(SUBSTITUTE(H2031,"-","")),datos!$A$1:$B$12,2,0)</f>
        <v>7</v>
      </c>
      <c r="L2031" s="138"/>
      <c r="M2031" s="138" t="s">
        <v>0</v>
      </c>
    </row>
    <row r="2032" spans="1:13" x14ac:dyDescent="0.35">
      <c r="A2032" s="138" t="s">
        <v>487</v>
      </c>
      <c r="B2032" s="138" t="s">
        <v>3809</v>
      </c>
      <c r="C2032" s="138" t="s">
        <v>4035</v>
      </c>
      <c r="D2032" s="138" t="s">
        <v>4050</v>
      </c>
      <c r="E2032" s="138" t="s">
        <v>4082</v>
      </c>
      <c r="F2032" s="138" t="s">
        <v>3831</v>
      </c>
      <c r="G2032" s="138" t="s">
        <v>3987</v>
      </c>
      <c r="H2032" s="81" t="str">
        <f t="shared" si="131"/>
        <v>TCCN-PTE-CON-FLT-FL2-INS-VV2</v>
      </c>
      <c r="I2032" s="138" t="str">
        <f>MID(H2032,1,(LEN(H2032)-VLOOKUP(K2032,datos!$B$2:$C$12,2,0)))</f>
        <v>TCCN-PTE-CON-FLT-FL2-INS-VV2</v>
      </c>
      <c r="J2032" s="138" t="s">
        <v>7970</v>
      </c>
      <c r="K2032" s="140">
        <f>VLOOKUP(LEN(SUBSTITUTE(H2032,"-","")),datos!$A$1:$B$12,2,0)</f>
        <v>7</v>
      </c>
      <c r="L2032" s="138"/>
      <c r="M2032" s="138" t="s">
        <v>0</v>
      </c>
    </row>
    <row r="2033" spans="1:13" x14ac:dyDescent="0.35">
      <c r="A2033" s="138" t="s">
        <v>487</v>
      </c>
      <c r="B2033" s="138" t="s">
        <v>3809</v>
      </c>
      <c r="C2033" s="138" t="s">
        <v>4035</v>
      </c>
      <c r="D2033" s="138" t="s">
        <v>4050</v>
      </c>
      <c r="E2033" s="138" t="s">
        <v>4082</v>
      </c>
      <c r="F2033" s="138" t="s">
        <v>3831</v>
      </c>
      <c r="G2033" s="138" t="s">
        <v>4065</v>
      </c>
      <c r="H2033" s="81" t="str">
        <f t="shared" si="131"/>
        <v>TCCN-PTE-CON-FLT-FL2-INS-VV3</v>
      </c>
      <c r="I2033" s="138" t="str">
        <f>MID(H2033,1,(LEN(H2033)-VLOOKUP(K2033,datos!$B$2:$C$12,2,0)))</f>
        <v>TCCN-PTE-CON-FLT-FL2-INS-VV3</v>
      </c>
      <c r="J2033" s="138" t="s">
        <v>7971</v>
      </c>
      <c r="K2033" s="140">
        <f>VLOOKUP(LEN(SUBSTITUTE(H2033,"-","")),datos!$A$1:$B$12,2,0)</f>
        <v>7</v>
      </c>
      <c r="L2033" s="138"/>
      <c r="M2033" s="138" t="s">
        <v>0</v>
      </c>
    </row>
    <row r="2034" spans="1:13" x14ac:dyDescent="0.35">
      <c r="A2034" s="138" t="s">
        <v>487</v>
      </c>
      <c r="B2034" s="138" t="s">
        <v>3809</v>
      </c>
      <c r="C2034" s="138" t="s">
        <v>4035</v>
      </c>
      <c r="D2034" s="138" t="s">
        <v>4050</v>
      </c>
      <c r="E2034" s="138" t="s">
        <v>4082</v>
      </c>
      <c r="F2034" s="138" t="s">
        <v>3831</v>
      </c>
      <c r="G2034" s="138" t="s">
        <v>7070</v>
      </c>
      <c r="H2034" s="81" t="str">
        <f t="shared" si="131"/>
        <v>TCCN-PTE-CON-FLT-FL2-INS-MP1</v>
      </c>
      <c r="I2034" s="138" t="str">
        <f>MID(H2034,1,(LEN(H2034)-VLOOKUP(K2034,datos!$B$2:$C$12,2,0)))</f>
        <v>TCCN-PTE-CON-FLT-FL2-INS-MP1</v>
      </c>
      <c r="J2034" s="138" t="s">
        <v>7571</v>
      </c>
      <c r="K2034" s="140">
        <f>VLOOKUP(LEN(SUBSTITUTE(H2034,"-","")),datos!$A$1:$B$12,2,0)</f>
        <v>7</v>
      </c>
      <c r="L2034" s="138"/>
      <c r="M2034" s="138" t="s">
        <v>0</v>
      </c>
    </row>
    <row r="2035" spans="1:13" x14ac:dyDescent="0.35">
      <c r="A2035" s="138" t="s">
        <v>487</v>
      </c>
      <c r="B2035" s="138" t="s">
        <v>3809</v>
      </c>
      <c r="C2035" s="138" t="s">
        <v>4035</v>
      </c>
      <c r="D2035" s="138" t="s">
        <v>4050</v>
      </c>
      <c r="E2035" s="138" t="s">
        <v>4082</v>
      </c>
      <c r="F2035" s="138" t="s">
        <v>3831</v>
      </c>
      <c r="G2035" s="138" t="s">
        <v>7071</v>
      </c>
      <c r="H2035" s="81" t="str">
        <f t="shared" si="131"/>
        <v>TCCN-PTE-CON-FLT-FL2-INS-MP2</v>
      </c>
      <c r="I2035" s="138" t="str">
        <f>MID(H2035,1,(LEN(H2035)-VLOOKUP(K2035,datos!$B$2:$C$12,2,0)))</f>
        <v>TCCN-PTE-CON-FLT-FL2-INS-MP2</v>
      </c>
      <c r="J2035" s="138" t="s">
        <v>7572</v>
      </c>
      <c r="K2035" s="140">
        <f>VLOOKUP(LEN(SUBSTITUTE(H2035,"-","")),datos!$A$1:$B$12,2,0)</f>
        <v>7</v>
      </c>
      <c r="L2035" s="138"/>
      <c r="M2035" s="138" t="s">
        <v>0</v>
      </c>
    </row>
    <row r="2036" spans="1:13" x14ac:dyDescent="0.35">
      <c r="A2036" s="138" t="s">
        <v>487</v>
      </c>
      <c r="B2036" s="138" t="s">
        <v>3809</v>
      </c>
      <c r="C2036" s="138" t="s">
        <v>4035</v>
      </c>
      <c r="D2036" s="138" t="s">
        <v>4050</v>
      </c>
      <c r="E2036" s="138" t="s">
        <v>4082</v>
      </c>
      <c r="F2036" s="138" t="s">
        <v>3831</v>
      </c>
      <c r="G2036" s="138" t="s">
        <v>3865</v>
      </c>
      <c r="H2036" s="81" t="str">
        <f t="shared" si="131"/>
        <v>TCCN-PTE-CON-FLT-FL2-INS-PES</v>
      </c>
      <c r="I2036" s="138" t="str">
        <f>MID(H2036,1,(LEN(H2036)-VLOOKUP(K2036,datos!$B$2:$C$12,2,0)))</f>
        <v>TCCN-PTE-CON-FLT-FL2-INS-PES</v>
      </c>
      <c r="J2036" s="138" t="s">
        <v>6691</v>
      </c>
      <c r="K2036" s="140">
        <f>VLOOKUP(LEN(SUBSTITUTE(H2036,"-","")),datos!$A$1:$B$12,2,0)</f>
        <v>7</v>
      </c>
      <c r="L2036" s="138"/>
      <c r="M2036" s="138" t="s">
        <v>0</v>
      </c>
    </row>
    <row r="2037" spans="1:13" x14ac:dyDescent="0.35">
      <c r="A2037" s="138" t="s">
        <v>487</v>
      </c>
      <c r="B2037" s="138" t="s">
        <v>3809</v>
      </c>
      <c r="C2037" s="138" t="s">
        <v>4035</v>
      </c>
      <c r="D2037" s="138" t="s">
        <v>4050</v>
      </c>
      <c r="E2037" s="138" t="s">
        <v>4082</v>
      </c>
      <c r="F2037" s="138" t="s">
        <v>3831</v>
      </c>
      <c r="G2037" s="138" t="s">
        <v>4068</v>
      </c>
      <c r="H2037" s="81" t="str">
        <f t="shared" si="131"/>
        <v>TCCN-PTE-CON-FLT-FL2-INS-ECD</v>
      </c>
      <c r="I2037" s="138" t="str">
        <f>MID(H2037,1,(LEN(H2037)-VLOOKUP(K2037,datos!$B$2:$C$12,2,0)))</f>
        <v>TCCN-PTE-CON-FLT-FL2-INS-ECD</v>
      </c>
      <c r="J2037" s="138" t="s">
        <v>6692</v>
      </c>
      <c r="K2037" s="140">
        <f>VLOOKUP(LEN(SUBSTITUTE(H2037,"-","")),datos!$A$1:$B$12,2,0)</f>
        <v>7</v>
      </c>
      <c r="L2037" s="138"/>
      <c r="M2037" s="138" t="s">
        <v>0</v>
      </c>
    </row>
    <row r="2038" spans="1:13" x14ac:dyDescent="0.35">
      <c r="A2038" s="138" t="s">
        <v>487</v>
      </c>
      <c r="B2038" s="138" t="s">
        <v>3809</v>
      </c>
      <c r="C2038" s="138" t="s">
        <v>4035</v>
      </c>
      <c r="D2038" s="138" t="s">
        <v>4050</v>
      </c>
      <c r="E2038" s="138" t="s">
        <v>4082</v>
      </c>
      <c r="F2038" s="138" t="s">
        <v>3831</v>
      </c>
      <c r="G2038" s="138" t="s">
        <v>4069</v>
      </c>
      <c r="H2038" s="81" t="str">
        <f t="shared" si="131"/>
        <v>TCCN-PTE-CON-FLT-FL2-INS-SP1</v>
      </c>
      <c r="I2038" s="138" t="str">
        <f>MID(H2038,1,(LEN(H2038)-VLOOKUP(K2038,datos!$B$2:$C$12,2,0)))</f>
        <v>TCCN-PTE-CON-FLT-FL2-INS-SP1</v>
      </c>
      <c r="J2038" s="138" t="s">
        <v>7889</v>
      </c>
      <c r="K2038" s="140">
        <f>VLOOKUP(LEN(SUBSTITUTE(H2038,"-","")),datos!$A$1:$B$12,2,0)</f>
        <v>7</v>
      </c>
      <c r="L2038" s="138"/>
      <c r="M2038" s="138" t="s">
        <v>0</v>
      </c>
    </row>
    <row r="2039" spans="1:13" x14ac:dyDescent="0.35">
      <c r="A2039" s="138" t="s">
        <v>487</v>
      </c>
      <c r="B2039" s="138" t="s">
        <v>3809</v>
      </c>
      <c r="C2039" s="138" t="s">
        <v>4035</v>
      </c>
      <c r="D2039" s="138" t="s">
        <v>4050</v>
      </c>
      <c r="E2039" s="138" t="s">
        <v>4082</v>
      </c>
      <c r="F2039" s="138" t="s">
        <v>3831</v>
      </c>
      <c r="G2039" s="138" t="s">
        <v>4070</v>
      </c>
      <c r="H2039" s="81" t="str">
        <f t="shared" si="131"/>
        <v>TCCN-PTE-CON-FLT-FL2-INS-SP2</v>
      </c>
      <c r="I2039" s="138" t="str">
        <f>MID(H2039,1,(LEN(H2039)-VLOOKUP(K2039,datos!$B$2:$C$12,2,0)))</f>
        <v>TCCN-PTE-CON-FLT-FL2-INS-SP2</v>
      </c>
      <c r="J2039" s="138" t="s">
        <v>7890</v>
      </c>
      <c r="K2039" s="140">
        <f>VLOOKUP(LEN(SUBSTITUTE(H2039,"-","")),datos!$A$1:$B$12,2,0)</f>
        <v>7</v>
      </c>
      <c r="L2039" s="138"/>
      <c r="M2039" s="138" t="s">
        <v>0</v>
      </c>
    </row>
    <row r="2040" spans="1:13" x14ac:dyDescent="0.35">
      <c r="A2040" s="138" t="s">
        <v>487</v>
      </c>
      <c r="B2040" s="138" t="s">
        <v>3809</v>
      </c>
      <c r="C2040" s="138" t="s">
        <v>4035</v>
      </c>
      <c r="D2040" s="138" t="s">
        <v>4050</v>
      </c>
      <c r="E2040" s="138" t="s">
        <v>4082</v>
      </c>
      <c r="F2040" s="138" t="s">
        <v>3831</v>
      </c>
      <c r="G2040" s="138" t="s">
        <v>4071</v>
      </c>
      <c r="H2040" s="81" t="str">
        <f t="shared" si="131"/>
        <v>TCCN-PTE-CON-FLT-FL2-INS-SP3</v>
      </c>
      <c r="I2040" s="138" t="str">
        <f>MID(H2040,1,(LEN(H2040)-VLOOKUP(K2040,datos!$B$2:$C$12,2,0)))</f>
        <v>TCCN-PTE-CON-FLT-FL2-INS-SP3</v>
      </c>
      <c r="J2040" s="138" t="s">
        <v>8111</v>
      </c>
      <c r="K2040" s="140">
        <f>VLOOKUP(LEN(SUBSTITUTE(H2040,"-","")),datos!$A$1:$B$12,2,0)</f>
        <v>7</v>
      </c>
      <c r="L2040" s="138"/>
      <c r="M2040" s="138" t="s">
        <v>0</v>
      </c>
    </row>
    <row r="2041" spans="1:13" x14ac:dyDescent="0.35">
      <c r="A2041" s="138" t="s">
        <v>487</v>
      </c>
      <c r="B2041" s="138" t="s">
        <v>3809</v>
      </c>
      <c r="C2041" s="138" t="s">
        <v>4035</v>
      </c>
      <c r="D2041" s="138" t="s">
        <v>4050</v>
      </c>
      <c r="E2041" s="138" t="s">
        <v>4082</v>
      </c>
      <c r="F2041" s="138" t="s">
        <v>3831</v>
      </c>
      <c r="G2041" s="138" t="s">
        <v>4072</v>
      </c>
      <c r="H2041" s="81" t="str">
        <f t="shared" si="131"/>
        <v>TCCN-PTE-CON-FLT-FL2-INS-SP4</v>
      </c>
      <c r="I2041" s="138" t="str">
        <f>MID(H2041,1,(LEN(H2041)-VLOOKUP(K2041,datos!$B$2:$C$12,2,0)))</f>
        <v>TCCN-PTE-CON-FLT-FL2-INS-SP4</v>
      </c>
      <c r="J2041" s="138" t="s">
        <v>7891</v>
      </c>
      <c r="K2041" s="140">
        <f>VLOOKUP(LEN(SUBSTITUTE(H2041,"-","")),datos!$A$1:$B$12,2,0)</f>
        <v>7</v>
      </c>
      <c r="L2041" s="138"/>
      <c r="M2041" s="138" t="s">
        <v>0</v>
      </c>
    </row>
    <row r="2042" spans="1:13" x14ac:dyDescent="0.35">
      <c r="A2042" s="138" t="s">
        <v>487</v>
      </c>
      <c r="B2042" s="138" t="s">
        <v>3809</v>
      </c>
      <c r="C2042" s="138" t="s">
        <v>4035</v>
      </c>
      <c r="D2042" s="138" t="s">
        <v>4050</v>
      </c>
      <c r="E2042" s="138" t="s">
        <v>4082</v>
      </c>
      <c r="F2042" s="138" t="s">
        <v>3831</v>
      </c>
      <c r="G2042" s="138" t="s">
        <v>8112</v>
      </c>
      <c r="H2042" s="81" t="str">
        <f t="shared" si="131"/>
        <v>TCCN-PTE-CON-FLT-FL2-INS-SP5</v>
      </c>
      <c r="I2042" s="138" t="str">
        <f>MID(H2042,1,(LEN(H2042)-VLOOKUP(K2042,datos!$B$2:$C$12,2,0)))</f>
        <v>TCCN-PTE-CON-FLT-FL2-INS-SP5</v>
      </c>
      <c r="J2042" s="138" t="s">
        <v>7892</v>
      </c>
      <c r="K2042" s="140">
        <f>VLOOKUP(LEN(SUBSTITUTE(H2042,"-","")),datos!$A$1:$B$12,2,0)</f>
        <v>7</v>
      </c>
      <c r="L2042" s="138"/>
      <c r="M2042" s="138" t="s">
        <v>0</v>
      </c>
    </row>
    <row r="2043" spans="1:13" x14ac:dyDescent="0.35">
      <c r="A2043" s="138" t="s">
        <v>487</v>
      </c>
      <c r="B2043" s="138" t="s">
        <v>3809</v>
      </c>
      <c r="C2043" s="138" t="s">
        <v>4035</v>
      </c>
      <c r="D2043" s="138" t="s">
        <v>4050</v>
      </c>
      <c r="E2043" s="138" t="s">
        <v>4082</v>
      </c>
      <c r="F2043" s="138" t="s">
        <v>3831</v>
      </c>
      <c r="G2043" s="138" t="s">
        <v>6813</v>
      </c>
      <c r="H2043" s="81" t="str">
        <f t="shared" si="131"/>
        <v>TCCN-PTE-CON-FLT-FL2-INS-IDE</v>
      </c>
      <c r="I2043" s="138" t="str">
        <f>MID(H2043,1,(LEN(H2043)-VLOOKUP(K2043,datos!$B$2:$C$12,2,0)))</f>
        <v>TCCN-PTE-CON-FLT-FL2-INS-IDE</v>
      </c>
      <c r="J2043" s="138" t="s">
        <v>6693</v>
      </c>
      <c r="K2043" s="140">
        <f>VLOOKUP(LEN(SUBSTITUTE(H2043,"-","")),datos!$A$1:$B$12,2,0)</f>
        <v>7</v>
      </c>
      <c r="L2043" s="138"/>
      <c r="M2043" s="138" t="s">
        <v>0</v>
      </c>
    </row>
    <row r="2044" spans="1:13" x14ac:dyDescent="0.35">
      <c r="A2044" s="138" t="s">
        <v>487</v>
      </c>
      <c r="B2044" s="138" t="s">
        <v>3809</v>
      </c>
      <c r="C2044" s="138" t="s">
        <v>4035</v>
      </c>
      <c r="D2044" s="138" t="s">
        <v>4050</v>
      </c>
      <c r="E2044" s="138" t="s">
        <v>4082</v>
      </c>
      <c r="F2044" s="138" t="s">
        <v>3831</v>
      </c>
      <c r="G2044" s="138" t="s">
        <v>1694</v>
      </c>
      <c r="H2044" s="81" t="str">
        <f t="shared" si="131"/>
        <v>TCCN-PTE-CON-FLT-FL2-INS-PLC</v>
      </c>
      <c r="I2044" s="138" t="str">
        <f>MID(H2044,1,(LEN(H2044)-VLOOKUP(K2044,datos!$B$2:$C$12,2,0)))</f>
        <v>TCCN-PTE-CON-FLT-FL2-INS-PLC</v>
      </c>
      <c r="J2044" s="138" t="s">
        <v>6694</v>
      </c>
      <c r="K2044" s="140">
        <f>VLOOKUP(LEN(SUBSTITUTE(H2044,"-","")),datos!$A$1:$B$12,2,0)</f>
        <v>7</v>
      </c>
      <c r="L2044" s="138"/>
      <c r="M2044" s="138" t="s">
        <v>0</v>
      </c>
    </row>
    <row r="2045" spans="1:13" x14ac:dyDescent="0.35">
      <c r="A2045" s="137" t="s">
        <v>487</v>
      </c>
      <c r="B2045" s="137" t="s">
        <v>3809</v>
      </c>
      <c r="C2045" s="137" t="s">
        <v>4035</v>
      </c>
      <c r="D2045" s="137" t="s">
        <v>4050</v>
      </c>
      <c r="E2045" s="137" t="s">
        <v>4081</v>
      </c>
      <c r="F2045" s="137" t="s">
        <v>3869</v>
      </c>
      <c r="G2045" s="137"/>
      <c r="H2045" s="82" t="str">
        <f t="shared" si="131"/>
        <v>TCCN-PTE-CON-FLT-FT2-SCE-</v>
      </c>
      <c r="I2045" s="137" t="str">
        <f>MID(H2045,1,(LEN(H2045)-VLOOKUP(K2045,datos!$B$2:$C$12,2,0)))</f>
        <v>TCCN-PTE-CON-FLT-FT2-SCE</v>
      </c>
      <c r="J2045" s="137" t="s">
        <v>123</v>
      </c>
      <c r="K2045" s="139">
        <f>VLOOKUP(LEN(SUBSTITUTE(H2045,"-","")),datos!$A$1:$B$12,2,0)</f>
        <v>6</v>
      </c>
      <c r="L2045" s="137"/>
      <c r="M2045" s="137" t="s">
        <v>0</v>
      </c>
    </row>
    <row r="2046" spans="1:13" customFormat="1" ht="14.5" x14ac:dyDescent="0.35">
      <c r="A2046" s="129" t="s">
        <v>487</v>
      </c>
      <c r="B2046" s="129" t="s">
        <v>3809</v>
      </c>
      <c r="C2046" s="129" t="s">
        <v>4035</v>
      </c>
      <c r="D2046" s="129" t="s">
        <v>4050</v>
      </c>
      <c r="E2046" s="129" t="s">
        <v>4047</v>
      </c>
      <c r="F2046" s="129"/>
      <c r="G2046" s="129"/>
      <c r="H2046" s="83" t="str">
        <f t="shared" si="131"/>
        <v>TCCN-PTE-CON-FLT-UH2--</v>
      </c>
      <c r="I2046" s="129" t="str">
        <f>MID(H2046,1,(LEN(H2046)-VLOOKUP(K2046,datos!$B$2:$C$12,2,0)))</f>
        <v>TCCN-PTE-CON-FLT-UH2</v>
      </c>
      <c r="J2046" s="129" t="s">
        <v>1239</v>
      </c>
      <c r="K2046" s="130">
        <f>VLOOKUP(LEN(SUBSTITUTE(H2046,"-","")),datos!$A$1:$B$12,2,0)</f>
        <v>5</v>
      </c>
      <c r="L2046" s="129" t="s">
        <v>281</v>
      </c>
      <c r="M2046" s="129" t="s">
        <v>0</v>
      </c>
    </row>
    <row r="2047" spans="1:13" x14ac:dyDescent="0.35">
      <c r="A2047" s="137" t="s">
        <v>487</v>
      </c>
      <c r="B2047" s="137" t="s">
        <v>3809</v>
      </c>
      <c r="C2047" s="137" t="s">
        <v>4035</v>
      </c>
      <c r="D2047" s="137" t="s">
        <v>4050</v>
      </c>
      <c r="E2047" s="137" t="s">
        <v>4047</v>
      </c>
      <c r="F2047" s="137" t="s">
        <v>5193</v>
      </c>
      <c r="G2047" s="137"/>
      <c r="H2047" s="82" t="str">
        <f t="shared" si="131"/>
        <v>TCCN-PTE-CON-FLT-UH2-COM-</v>
      </c>
      <c r="I2047" s="137" t="str">
        <f>MID(H2047,1,(LEN(H2047)-VLOOKUP(K2047,datos!$B$2:$C$12,2,0)))</f>
        <v>TCCN-PTE-CON-FLT-UH2-COM</v>
      </c>
      <c r="J2047" s="137" t="s">
        <v>6616</v>
      </c>
      <c r="K2047" s="139">
        <f>VLOOKUP(LEN(SUBSTITUTE(H2047,"-","")),datos!$A$1:$B$12,2,0)</f>
        <v>6</v>
      </c>
      <c r="L2047" s="137"/>
      <c r="M2047" s="137" t="s">
        <v>0</v>
      </c>
    </row>
    <row r="2048" spans="1:13" x14ac:dyDescent="0.35">
      <c r="A2048" s="138" t="s">
        <v>487</v>
      </c>
      <c r="B2048" s="138" t="s">
        <v>3809</v>
      </c>
      <c r="C2048" s="138" t="s">
        <v>4035</v>
      </c>
      <c r="D2048" s="138" t="s">
        <v>4050</v>
      </c>
      <c r="E2048" s="138" t="s">
        <v>4047</v>
      </c>
      <c r="F2048" s="138" t="s">
        <v>5193</v>
      </c>
      <c r="G2048" s="138" t="s">
        <v>3818</v>
      </c>
      <c r="H2048" s="81" t="str">
        <f t="shared" si="131"/>
        <v>TCCN-PTE-CON-FLT-UH2-COM-BBA</v>
      </c>
      <c r="I2048" s="138" t="str">
        <f>MID(H2048,1,(LEN(H2048)-VLOOKUP(K2048,datos!$B$2:$C$12,2,0)))</f>
        <v>TCCN-PTE-CON-FLT-UH2-COM-BBA</v>
      </c>
      <c r="J2048" s="138" t="s">
        <v>6617</v>
      </c>
      <c r="K2048" s="140">
        <f>VLOOKUP(LEN(SUBSTITUTE(H2048,"-","")),datos!$A$1:$B$12,2,0)</f>
        <v>7</v>
      </c>
      <c r="L2048" s="138"/>
      <c r="M2048" s="138" t="s">
        <v>0</v>
      </c>
    </row>
    <row r="2049" spans="1:13" x14ac:dyDescent="0.35">
      <c r="A2049" s="138" t="s">
        <v>487</v>
      </c>
      <c r="B2049" s="138" t="s">
        <v>3809</v>
      </c>
      <c r="C2049" s="138" t="s">
        <v>4035</v>
      </c>
      <c r="D2049" s="138" t="s">
        <v>4050</v>
      </c>
      <c r="E2049" s="138" t="s">
        <v>4047</v>
      </c>
      <c r="F2049" s="138" t="s">
        <v>5193</v>
      </c>
      <c r="G2049" s="138" t="s">
        <v>4042</v>
      </c>
      <c r="H2049" s="81" t="str">
        <f t="shared" si="131"/>
        <v>TCCN-PTE-CON-FLT-UH2-COM-MHD</v>
      </c>
      <c r="I2049" s="138" t="str">
        <f>MID(H2049,1,(LEN(H2049)-VLOOKUP(K2049,datos!$B$2:$C$12,2,0)))</f>
        <v>TCCN-PTE-CON-FLT-UH2-COM-MHD</v>
      </c>
      <c r="J2049" s="138" t="s">
        <v>6618</v>
      </c>
      <c r="K2049" s="140">
        <f>VLOOKUP(LEN(SUBSTITUTE(H2049,"-","")),datos!$A$1:$B$12,2,0)</f>
        <v>7</v>
      </c>
      <c r="L2049" s="138"/>
      <c r="M2049" s="138" t="s">
        <v>0</v>
      </c>
    </row>
    <row r="2050" spans="1:13" x14ac:dyDescent="0.35">
      <c r="A2050" s="138" t="s">
        <v>487</v>
      </c>
      <c r="B2050" s="138" t="s">
        <v>3809</v>
      </c>
      <c r="C2050" s="138" t="s">
        <v>4035</v>
      </c>
      <c r="D2050" s="138" t="s">
        <v>4050</v>
      </c>
      <c r="E2050" s="138" t="s">
        <v>4047</v>
      </c>
      <c r="F2050" s="138" t="s">
        <v>5193</v>
      </c>
      <c r="G2050" s="138" t="s">
        <v>3817</v>
      </c>
      <c r="H2050" s="81" t="str">
        <f t="shared" si="131"/>
        <v>TCCN-PTE-CON-FLT-UH2-COM-CIH</v>
      </c>
      <c r="I2050" s="138" t="str">
        <f>MID(H2050,1,(LEN(H2050)-VLOOKUP(K2050,datos!$B$2:$C$12,2,0)))</f>
        <v>TCCN-PTE-CON-FLT-UH2-COM-CIH</v>
      </c>
      <c r="J2050" s="138" t="s">
        <v>6620</v>
      </c>
      <c r="K2050" s="140">
        <f>VLOOKUP(LEN(SUBSTITUTE(H2050,"-","")),datos!$A$1:$B$12,2,0)</f>
        <v>7</v>
      </c>
      <c r="L2050" s="138"/>
      <c r="M2050" s="138" t="s">
        <v>0</v>
      </c>
    </row>
    <row r="2051" spans="1:13" x14ac:dyDescent="0.35">
      <c r="A2051" s="137" t="s">
        <v>487</v>
      </c>
      <c r="B2051" s="137" t="s">
        <v>3809</v>
      </c>
      <c r="C2051" s="137" t="s">
        <v>4035</v>
      </c>
      <c r="D2051" s="137" t="s">
        <v>4050</v>
      </c>
      <c r="E2051" s="137" t="s">
        <v>4047</v>
      </c>
      <c r="F2051" s="137" t="s">
        <v>4073</v>
      </c>
      <c r="G2051" s="137"/>
      <c r="H2051" s="82" t="str">
        <f t="shared" si="131"/>
        <v>TCCN-PTE-CON-FLT-UH2-PYV-</v>
      </c>
      <c r="I2051" s="137" t="str">
        <f>MID(H2051,1,(LEN(H2051)-VLOOKUP(K2051,datos!$B$2:$C$12,2,0)))</f>
        <v>TCCN-PTE-CON-FLT-UH2-PYV</v>
      </c>
      <c r="J2051" s="137" t="s">
        <v>6619</v>
      </c>
      <c r="K2051" s="139">
        <f>VLOOKUP(LEN(SUBSTITUTE(H2051,"-","")),datos!$A$1:$B$12,2,0)</f>
        <v>6</v>
      </c>
      <c r="L2051" s="137"/>
      <c r="M2051" s="137" t="s">
        <v>0</v>
      </c>
    </row>
    <row r="2052" spans="1:13" x14ac:dyDescent="0.35">
      <c r="A2052" s="138" t="s">
        <v>487</v>
      </c>
      <c r="B2052" s="138" t="s">
        <v>3809</v>
      </c>
      <c r="C2052" s="138" t="s">
        <v>4035</v>
      </c>
      <c r="D2052" s="138" t="s">
        <v>4050</v>
      </c>
      <c r="E2052" s="138" t="s">
        <v>4047</v>
      </c>
      <c r="F2052" s="138" t="s">
        <v>4073</v>
      </c>
      <c r="G2052" s="138" t="s">
        <v>4074</v>
      </c>
      <c r="H2052" s="81" t="str">
        <f t="shared" si="131"/>
        <v>TCCN-PTE-CON-FLT-UH2-PYV-TUH</v>
      </c>
      <c r="I2052" s="138" t="str">
        <f>MID(H2052,1,(LEN(H2052)-VLOOKUP(K2052,datos!$B$2:$C$12,2,0)))</f>
        <v>TCCN-PTE-CON-FLT-UH2-PYV-TUH</v>
      </c>
      <c r="J2052" s="138" t="s">
        <v>6621</v>
      </c>
      <c r="K2052" s="140">
        <f>VLOOKUP(LEN(SUBSTITUTE(H2052,"-","")),datos!$A$1:$B$12,2,0)</f>
        <v>7</v>
      </c>
      <c r="L2052" s="138"/>
      <c r="M2052" s="138" t="s">
        <v>0</v>
      </c>
    </row>
    <row r="2053" spans="1:13" x14ac:dyDescent="0.35">
      <c r="A2053" s="138" t="s">
        <v>487</v>
      </c>
      <c r="B2053" s="138" t="s">
        <v>3809</v>
      </c>
      <c r="C2053" s="138" t="s">
        <v>4035</v>
      </c>
      <c r="D2053" s="138" t="s">
        <v>4050</v>
      </c>
      <c r="E2053" s="138" t="s">
        <v>4047</v>
      </c>
      <c r="F2053" s="138" t="s">
        <v>4073</v>
      </c>
      <c r="G2053" s="138" t="s">
        <v>4064</v>
      </c>
      <c r="H2053" s="81" t="str">
        <f t="shared" si="131"/>
        <v>TCCN-PTE-CON-FLT-UH2-PYV-FLX</v>
      </c>
      <c r="I2053" s="138" t="str">
        <f>MID(H2053,1,(LEN(H2053)-VLOOKUP(K2053,datos!$B$2:$C$12,2,0)))</f>
        <v>TCCN-PTE-CON-FLT-UH2-PYV-FLX</v>
      </c>
      <c r="J2053" s="138" t="s">
        <v>6635</v>
      </c>
      <c r="K2053" s="140">
        <f>VLOOKUP(LEN(SUBSTITUTE(H2053,"-","")),datos!$A$1:$B$12,2,0)</f>
        <v>7</v>
      </c>
      <c r="L2053" s="138"/>
      <c r="M2053" s="138" t="s">
        <v>0</v>
      </c>
    </row>
    <row r="2054" spans="1:13" x14ac:dyDescent="0.35">
      <c r="A2054" s="138" t="s">
        <v>487</v>
      </c>
      <c r="B2054" s="138" t="s">
        <v>3809</v>
      </c>
      <c r="C2054" s="138" t="s">
        <v>4035</v>
      </c>
      <c r="D2054" s="138" t="s">
        <v>4050</v>
      </c>
      <c r="E2054" s="138" t="s">
        <v>4047</v>
      </c>
      <c r="F2054" s="138" t="s">
        <v>4073</v>
      </c>
      <c r="G2054" s="138" t="s">
        <v>4075</v>
      </c>
      <c r="H2054" s="81" t="str">
        <f t="shared" si="131"/>
        <v>TCCN-PTE-CON-FLT-UH2-PYV-VVA</v>
      </c>
      <c r="I2054" s="138" t="str">
        <f>MID(H2054,1,(LEN(H2054)-VLOOKUP(K2054,datos!$B$2:$C$12,2,0)))</f>
        <v>TCCN-PTE-CON-FLT-UH2-PYV-VVA</v>
      </c>
      <c r="J2054" s="138" t="s">
        <v>7973</v>
      </c>
      <c r="K2054" s="140">
        <f>VLOOKUP(LEN(SUBSTITUTE(H2054,"-","")),datos!$A$1:$B$12,2,0)</f>
        <v>7</v>
      </c>
      <c r="L2054" s="138"/>
      <c r="M2054" s="138" t="s">
        <v>0</v>
      </c>
    </row>
    <row r="2055" spans="1:13" x14ac:dyDescent="0.35">
      <c r="A2055" s="137" t="s">
        <v>487</v>
      </c>
      <c r="B2055" s="137" t="s">
        <v>3809</v>
      </c>
      <c r="C2055" s="137" t="s">
        <v>4035</v>
      </c>
      <c r="D2055" s="137" t="s">
        <v>4050</v>
      </c>
      <c r="E2055" s="137" t="s">
        <v>4047</v>
      </c>
      <c r="F2055" s="137" t="s">
        <v>3824</v>
      </c>
      <c r="G2055" s="137"/>
      <c r="H2055" s="82" t="str">
        <f t="shared" si="131"/>
        <v>TCCN-PTE-CON-FLT-UH2-SES-</v>
      </c>
      <c r="I2055" s="137" t="str">
        <f>MID(H2055,1,(LEN(H2055)-VLOOKUP(K2055,datos!$B$2:$C$12,2,0)))</f>
        <v>TCCN-PTE-CON-FLT-UH2-SES</v>
      </c>
      <c r="J2055" s="137" t="s">
        <v>6721</v>
      </c>
      <c r="K2055" s="139">
        <f>VLOOKUP(LEN(SUBSTITUTE(H2055,"-","")),datos!$A$1:$B$12,2,0)</f>
        <v>6</v>
      </c>
      <c r="L2055" s="137"/>
      <c r="M2055" s="137" t="s">
        <v>0</v>
      </c>
    </row>
    <row r="2056" spans="1:13" x14ac:dyDescent="0.35">
      <c r="A2056" s="138" t="s">
        <v>487</v>
      </c>
      <c r="B2056" s="138" t="s">
        <v>3809</v>
      </c>
      <c r="C2056" s="138" t="s">
        <v>4035</v>
      </c>
      <c r="D2056" s="138" t="s">
        <v>4050</v>
      </c>
      <c r="E2056" s="138" t="s">
        <v>4047</v>
      </c>
      <c r="F2056" s="138" t="s">
        <v>3824</v>
      </c>
      <c r="G2056" s="138" t="s">
        <v>3853</v>
      </c>
      <c r="H2056" s="81" t="str">
        <f t="shared" si="131"/>
        <v>TCCN-PTE-CON-FLT-UH2-SES-EST</v>
      </c>
      <c r="I2056" s="138" t="str">
        <f>MID(H2056,1,(LEN(H2056)-VLOOKUP(K2056,datos!$B$2:$C$12,2,0)))</f>
        <v>TCCN-PTE-CON-FLT-UH2-SES-EST</v>
      </c>
      <c r="J2056" s="138" t="s">
        <v>6622</v>
      </c>
      <c r="K2056" s="140">
        <f>VLOOKUP(LEN(SUBSTITUTE(H2056,"-","")),datos!$A$1:$B$12,2,0)</f>
        <v>7</v>
      </c>
      <c r="L2056" s="138"/>
      <c r="M2056" s="138" t="s">
        <v>0</v>
      </c>
    </row>
    <row r="2057" spans="1:13" x14ac:dyDescent="0.35">
      <c r="A2057" s="137" t="s">
        <v>487</v>
      </c>
      <c r="B2057" s="137" t="s">
        <v>3809</v>
      </c>
      <c r="C2057" s="137" t="s">
        <v>4035</v>
      </c>
      <c r="D2057" s="137" t="s">
        <v>4050</v>
      </c>
      <c r="E2057" s="137" t="s">
        <v>4047</v>
      </c>
      <c r="F2057" s="137" t="s">
        <v>4076</v>
      </c>
      <c r="G2057" s="137"/>
      <c r="H2057" s="82" t="str">
        <f t="shared" si="131"/>
        <v>TCCN-PTE-CON-FLT-UH2-SER-</v>
      </c>
      <c r="I2057" s="137" t="str">
        <f>MID(H2057,1,(LEN(H2057)-VLOOKUP(K2057,datos!$B$2:$C$12,2,0)))</f>
        <v>TCCN-PTE-CON-FLT-UH2-SER</v>
      </c>
      <c r="J2057" s="137" t="s">
        <v>6624</v>
      </c>
      <c r="K2057" s="139">
        <f>VLOOKUP(LEN(SUBSTITUTE(H2057,"-","")),datos!$A$1:$B$12,2,0)</f>
        <v>6</v>
      </c>
      <c r="L2057" s="137"/>
      <c r="M2057" s="137" t="s">
        <v>0</v>
      </c>
    </row>
    <row r="2058" spans="1:13" x14ac:dyDescent="0.35">
      <c r="A2058" s="138" t="s">
        <v>487</v>
      </c>
      <c r="B2058" s="138" t="s">
        <v>3809</v>
      </c>
      <c r="C2058" s="138" t="s">
        <v>4035</v>
      </c>
      <c r="D2058" s="138" t="s">
        <v>4050</v>
      </c>
      <c r="E2058" s="138" t="s">
        <v>4047</v>
      </c>
      <c r="F2058" s="138" t="s">
        <v>4076</v>
      </c>
      <c r="G2058" s="138" t="s">
        <v>3946</v>
      </c>
      <c r="H2058" s="81" t="str">
        <f t="shared" si="131"/>
        <v>TCCN-PTE-CON-FLT-UH2-SER-ENF</v>
      </c>
      <c r="I2058" s="138" t="str">
        <f>MID(H2058,1,(LEN(H2058)-VLOOKUP(K2058,datos!$B$2:$C$12,2,0)))</f>
        <v>TCCN-PTE-CON-FLT-UH2-SER-ENF</v>
      </c>
      <c r="J2058" s="138" t="s">
        <v>6633</v>
      </c>
      <c r="K2058" s="140">
        <f>VLOOKUP(LEN(SUBSTITUTE(H2058,"-","")),datos!$A$1:$B$12,2,0)</f>
        <v>7</v>
      </c>
      <c r="L2058" s="138"/>
      <c r="M2058" s="138" t="s">
        <v>0</v>
      </c>
    </row>
    <row r="2059" spans="1:13" x14ac:dyDescent="0.35">
      <c r="A2059" s="137" t="s">
        <v>487</v>
      </c>
      <c r="B2059" s="137" t="s">
        <v>3809</v>
      </c>
      <c r="C2059" s="137" t="s">
        <v>4035</v>
      </c>
      <c r="D2059" s="137" t="s">
        <v>4050</v>
      </c>
      <c r="E2059" s="137" t="s">
        <v>4047</v>
      </c>
      <c r="F2059" s="137" t="s">
        <v>4077</v>
      </c>
      <c r="G2059" s="137"/>
      <c r="H2059" s="82" t="str">
        <f t="shared" si="131"/>
        <v>TCCN-PTE-CON-FLT-UH2-SCU-</v>
      </c>
      <c r="I2059" s="137" t="str">
        <f>MID(H2059,1,(LEN(H2059)-VLOOKUP(K2059,datos!$B$2:$C$12,2,0)))</f>
        <v>TCCN-PTE-CON-FLT-UH2-SCU</v>
      </c>
      <c r="J2059" s="137" t="s">
        <v>6634</v>
      </c>
      <c r="K2059" s="139">
        <f>VLOOKUP(LEN(SUBSTITUTE(H2059,"-","")),datos!$A$1:$B$12,2,0)</f>
        <v>6</v>
      </c>
      <c r="L2059" s="137"/>
      <c r="M2059" s="137" t="s">
        <v>0</v>
      </c>
    </row>
    <row r="2060" spans="1:13" x14ac:dyDescent="0.35">
      <c r="A2060" s="138" t="s">
        <v>487</v>
      </c>
      <c r="B2060" s="138" t="s">
        <v>3809</v>
      </c>
      <c r="C2060" s="138" t="s">
        <v>4035</v>
      </c>
      <c r="D2060" s="138" t="s">
        <v>4050</v>
      </c>
      <c r="E2060" s="138" t="s">
        <v>4047</v>
      </c>
      <c r="F2060" s="138" t="s">
        <v>4077</v>
      </c>
      <c r="G2060" s="138" t="s">
        <v>3820</v>
      </c>
      <c r="H2060" s="81" t="str">
        <f t="shared" si="131"/>
        <v>TCCN-PTE-CON-FLT-UH2-SCU-CUH</v>
      </c>
      <c r="I2060" s="138" t="str">
        <f>MID(H2060,1,(LEN(H2060)-VLOOKUP(K2060,datos!$B$2:$C$12,2,0)))</f>
        <v>TCCN-PTE-CON-FLT-UH2-SCU-CUH</v>
      </c>
      <c r="J2060" s="138" t="s">
        <v>6653</v>
      </c>
      <c r="K2060" s="140">
        <f>VLOOKUP(LEN(SUBSTITUTE(H2060,"-","")),datos!$A$1:$B$12,2,0)</f>
        <v>7</v>
      </c>
      <c r="L2060" s="138" t="s">
        <v>274</v>
      </c>
      <c r="M2060" s="138" t="s">
        <v>0</v>
      </c>
    </row>
    <row r="2061" spans="1:13" x14ac:dyDescent="0.35">
      <c r="A2061" s="138" t="s">
        <v>487</v>
      </c>
      <c r="B2061" s="138" t="s">
        <v>3809</v>
      </c>
      <c r="C2061" s="138" t="s">
        <v>4035</v>
      </c>
      <c r="D2061" s="138" t="s">
        <v>4050</v>
      </c>
      <c r="E2061" s="138" t="s">
        <v>4047</v>
      </c>
      <c r="F2061" s="138" t="s">
        <v>4077</v>
      </c>
      <c r="G2061" s="138" t="s">
        <v>4078</v>
      </c>
      <c r="H2061" s="81" t="str">
        <f t="shared" si="131"/>
        <v>TCCN-PTE-CON-FLT-UH2-SCU-EUH</v>
      </c>
      <c r="I2061" s="138" t="str">
        <f>MID(H2061,1,(LEN(H2061)-VLOOKUP(K2061,datos!$B$2:$C$12,2,0)))</f>
        <v>TCCN-PTE-CON-FLT-UH2-SCU-EUH</v>
      </c>
      <c r="J2061" s="138" t="s">
        <v>6654</v>
      </c>
      <c r="K2061" s="140">
        <f>VLOOKUP(LEN(SUBSTITUTE(H2061,"-","")),datos!$A$1:$B$12,2,0)</f>
        <v>7</v>
      </c>
      <c r="L2061" s="138" t="s">
        <v>275</v>
      </c>
      <c r="M2061" s="138" t="s">
        <v>0</v>
      </c>
    </row>
    <row r="2062" spans="1:13" x14ac:dyDescent="0.35">
      <c r="A2062" s="137" t="s">
        <v>487</v>
      </c>
      <c r="B2062" s="137" t="s">
        <v>3809</v>
      </c>
      <c r="C2062" s="137" t="s">
        <v>4035</v>
      </c>
      <c r="D2062" s="137" t="s">
        <v>4050</v>
      </c>
      <c r="E2062" s="137" t="s">
        <v>4047</v>
      </c>
      <c r="F2062" s="137" t="s">
        <v>3847</v>
      </c>
      <c r="G2062" s="137"/>
      <c r="H2062" s="82" t="str">
        <f t="shared" si="131"/>
        <v>TCCN-PTE-CON-FLT-UH2-SMO-</v>
      </c>
      <c r="I2062" s="137" t="str">
        <f>MID(H2062,1,(LEN(H2062)-VLOOKUP(K2062,datos!$B$2:$C$12,2,0)))</f>
        <v>TCCN-PTE-CON-FLT-UH2-SMO</v>
      </c>
      <c r="J2062" s="137" t="s">
        <v>6623</v>
      </c>
      <c r="K2062" s="139">
        <f>VLOOKUP(LEN(SUBSTITUTE(H2062,"-","")),datos!$A$1:$B$12,2,0)</f>
        <v>6</v>
      </c>
      <c r="L2062" s="137"/>
      <c r="M2062" s="137" t="s">
        <v>0</v>
      </c>
    </row>
    <row r="2063" spans="1:13" x14ac:dyDescent="0.35">
      <c r="A2063" s="138" t="s">
        <v>487</v>
      </c>
      <c r="B2063" s="138" t="s">
        <v>3809</v>
      </c>
      <c r="C2063" s="138" t="s">
        <v>4035</v>
      </c>
      <c r="D2063" s="138" t="s">
        <v>4050</v>
      </c>
      <c r="E2063" s="138" t="s">
        <v>4047</v>
      </c>
      <c r="F2063" s="138" t="s">
        <v>3847</v>
      </c>
      <c r="G2063" s="138" t="s">
        <v>3839</v>
      </c>
      <c r="H2063" s="81" t="str">
        <f t="shared" si="131"/>
        <v>TCCN-PTE-CON-FLT-UH2-SMO-MO1</v>
      </c>
      <c r="I2063" s="138" t="str">
        <f>MID(H2063,1,(LEN(H2063)-VLOOKUP(K2063,datos!$B$2:$C$12,2,0)))</f>
        <v>TCCN-PTE-CON-FLT-UH2-SMO-MO1</v>
      </c>
      <c r="J2063" s="138" t="s">
        <v>6625</v>
      </c>
      <c r="K2063" s="140">
        <f>VLOOKUP(LEN(SUBSTITUTE(H2063,"-","")),datos!$A$1:$B$12,2,0)</f>
        <v>7</v>
      </c>
      <c r="L2063" s="138" t="s">
        <v>272</v>
      </c>
      <c r="M2063" s="138" t="s">
        <v>0</v>
      </c>
    </row>
    <row r="2064" spans="1:13" x14ac:dyDescent="0.35">
      <c r="A2064" s="138" t="s">
        <v>487</v>
      </c>
      <c r="B2064" s="138" t="s">
        <v>3809</v>
      </c>
      <c r="C2064" s="138" t="s">
        <v>4035</v>
      </c>
      <c r="D2064" s="138" t="s">
        <v>4050</v>
      </c>
      <c r="E2064" s="138" t="s">
        <v>4047</v>
      </c>
      <c r="F2064" s="138" t="s">
        <v>3847</v>
      </c>
      <c r="G2064" s="138" t="s">
        <v>3840</v>
      </c>
      <c r="H2064" s="81" t="str">
        <f t="shared" si="131"/>
        <v>TCCN-PTE-CON-FLT-UH2-SMO-MO2</v>
      </c>
      <c r="I2064" s="138" t="str">
        <f>MID(H2064,1,(LEN(H2064)-VLOOKUP(K2064,datos!$B$2:$C$12,2,0)))</f>
        <v>TCCN-PTE-CON-FLT-UH2-SMO-MO2</v>
      </c>
      <c r="J2064" s="138" t="s">
        <v>6626</v>
      </c>
      <c r="K2064" s="140">
        <f>VLOOKUP(LEN(SUBSTITUTE(H2064,"-","")),datos!$A$1:$B$12,2,0)</f>
        <v>7</v>
      </c>
      <c r="L2064" s="138" t="s">
        <v>273</v>
      </c>
      <c r="M2064" s="138" t="s">
        <v>0</v>
      </c>
    </row>
    <row r="2065" spans="1:13" x14ac:dyDescent="0.35">
      <c r="A2065" s="138" t="s">
        <v>487</v>
      </c>
      <c r="B2065" s="138" t="s">
        <v>3809</v>
      </c>
      <c r="C2065" s="138" t="s">
        <v>4035</v>
      </c>
      <c r="D2065" s="138" t="s">
        <v>4050</v>
      </c>
      <c r="E2065" s="138" t="s">
        <v>4047</v>
      </c>
      <c r="F2065" s="138" t="s">
        <v>3847</v>
      </c>
      <c r="G2065" s="138" t="s">
        <v>3841</v>
      </c>
      <c r="H2065" s="81" t="str">
        <f t="shared" si="131"/>
        <v>TCCN-PTE-CON-FLT-UH2-SMO-MO3</v>
      </c>
      <c r="I2065" s="138" t="str">
        <f>MID(H2065,1,(LEN(H2065)-VLOOKUP(K2065,datos!$B$2:$C$12,2,0)))</f>
        <v>TCCN-PTE-CON-FLT-UH2-SMO-MO3</v>
      </c>
      <c r="J2065" s="138" t="s">
        <v>6632</v>
      </c>
      <c r="K2065" s="140">
        <f>VLOOKUP(LEN(SUBSTITUTE(H2065,"-","")),datos!$A$1:$B$12,2,0)</f>
        <v>7</v>
      </c>
      <c r="L2065" s="138" t="s">
        <v>276</v>
      </c>
      <c r="M2065" s="138" t="s">
        <v>0</v>
      </c>
    </row>
    <row r="2066" spans="1:13" x14ac:dyDescent="0.35">
      <c r="A2066" s="137" t="s">
        <v>487</v>
      </c>
      <c r="B2066" s="137" t="s">
        <v>3809</v>
      </c>
      <c r="C2066" s="137" t="s">
        <v>4035</v>
      </c>
      <c r="D2066" s="137" t="s">
        <v>4050</v>
      </c>
      <c r="E2066" s="137" t="s">
        <v>4047</v>
      </c>
      <c r="F2066" s="137" t="s">
        <v>3831</v>
      </c>
      <c r="G2066" s="137"/>
      <c r="H2066" s="82" t="str">
        <f t="shared" si="131"/>
        <v>TCCN-PTE-CON-FLT-UH2-INS-</v>
      </c>
      <c r="I2066" s="137" t="str">
        <f>MID(H2066,1,(LEN(H2066)-VLOOKUP(K2066,datos!$B$2:$C$12,2,0)))</f>
        <v>TCCN-PTE-CON-FLT-UH2-INS</v>
      </c>
      <c r="J2066" s="137" t="s">
        <v>6631</v>
      </c>
      <c r="K2066" s="139">
        <f>VLOOKUP(LEN(SUBSTITUTE(H2066,"-","")),datos!$A$1:$B$12,2,0)</f>
        <v>6</v>
      </c>
      <c r="L2066" s="137"/>
      <c r="M2066" s="137" t="s">
        <v>0</v>
      </c>
    </row>
    <row r="2067" spans="1:13" x14ac:dyDescent="0.35">
      <c r="A2067" s="138" t="s">
        <v>487</v>
      </c>
      <c r="B2067" s="138" t="s">
        <v>3809</v>
      </c>
      <c r="C2067" s="138" t="s">
        <v>4035</v>
      </c>
      <c r="D2067" s="138" t="s">
        <v>4050</v>
      </c>
      <c r="E2067" s="138" t="s">
        <v>4047</v>
      </c>
      <c r="F2067" s="138" t="s">
        <v>3831</v>
      </c>
      <c r="G2067" s="138" t="s">
        <v>7070</v>
      </c>
      <c r="H2067" s="81" t="str">
        <f t="shared" si="131"/>
        <v>TCCN-PTE-CON-FLT-UH2-INS-MP1</v>
      </c>
      <c r="I2067" s="138" t="str">
        <f>MID(H2067,1,(LEN(H2067)-VLOOKUP(K2067,datos!$B$2:$C$12,2,0)))</f>
        <v>TCCN-PTE-CON-FLT-UH2-INS-MP1</v>
      </c>
      <c r="J2067" s="138" t="s">
        <v>7573</v>
      </c>
      <c r="K2067" s="140">
        <f>VLOOKUP(LEN(SUBSTITUTE(H2067,"-","")),datos!$A$1:$B$12,2,0)</f>
        <v>7</v>
      </c>
      <c r="L2067" s="138"/>
      <c r="M2067" s="138" t="s">
        <v>0</v>
      </c>
    </row>
    <row r="2068" spans="1:13" x14ac:dyDescent="0.35">
      <c r="A2068" s="138" t="s">
        <v>487</v>
      </c>
      <c r="B2068" s="138" t="s">
        <v>3809</v>
      </c>
      <c r="C2068" s="138" t="s">
        <v>4035</v>
      </c>
      <c r="D2068" s="138" t="s">
        <v>4050</v>
      </c>
      <c r="E2068" s="138" t="s">
        <v>4047</v>
      </c>
      <c r="F2068" s="138" t="s">
        <v>3831</v>
      </c>
      <c r="G2068" s="138" t="s">
        <v>7071</v>
      </c>
      <c r="H2068" s="81" t="str">
        <f t="shared" si="131"/>
        <v>TCCN-PTE-CON-FLT-UH2-INS-MP2</v>
      </c>
      <c r="I2068" s="138" t="str">
        <f>MID(H2068,1,(LEN(H2068)-VLOOKUP(K2068,datos!$B$2:$C$12,2,0)))</f>
        <v>TCCN-PTE-CON-FLT-UH2-INS-MP2</v>
      </c>
      <c r="J2068" s="138" t="s">
        <v>7574</v>
      </c>
      <c r="K2068" s="140">
        <f>VLOOKUP(LEN(SUBSTITUTE(H2068,"-","")),datos!$A$1:$B$12,2,0)</f>
        <v>7</v>
      </c>
      <c r="L2068" s="138"/>
      <c r="M2068" s="138" t="s">
        <v>0</v>
      </c>
    </row>
    <row r="2069" spans="1:13" x14ac:dyDescent="0.35">
      <c r="A2069" s="138" t="s">
        <v>487</v>
      </c>
      <c r="B2069" s="138" t="s">
        <v>3809</v>
      </c>
      <c r="C2069" s="138" t="s">
        <v>4035</v>
      </c>
      <c r="D2069" s="138" t="s">
        <v>4050</v>
      </c>
      <c r="E2069" s="138" t="s">
        <v>4047</v>
      </c>
      <c r="F2069" s="138" t="s">
        <v>3831</v>
      </c>
      <c r="G2069" s="138" t="s">
        <v>7060</v>
      </c>
      <c r="H2069" s="81" t="str">
        <f t="shared" ref="H2069:H2130" si="132">CONCATENATE(A2069,"-",B2069,"-",C2069,"-",D2069,"-",E2069,"-",F2069,"-",G2069)</f>
        <v>TCCN-PTE-CON-FLT-UH2-INS-MTP</v>
      </c>
      <c r="I2069" s="138" t="str">
        <f>MID(H2069,1,(LEN(H2069)-VLOOKUP(K2069,datos!$B$2:$C$12,2,0)))</f>
        <v>TCCN-PTE-CON-FLT-UH2-INS-MTP</v>
      </c>
      <c r="J2069" s="138" t="s">
        <v>8076</v>
      </c>
      <c r="K2069" s="140">
        <f>VLOOKUP(LEN(SUBSTITUTE(H2069,"-","")),datos!$A$1:$B$12,2,0)</f>
        <v>7</v>
      </c>
      <c r="L2069" s="138"/>
      <c r="M2069" s="138" t="s">
        <v>0</v>
      </c>
    </row>
    <row r="2070" spans="1:13" x14ac:dyDescent="0.35">
      <c r="A2070" s="138" t="s">
        <v>487</v>
      </c>
      <c r="B2070" s="138" t="s">
        <v>3809</v>
      </c>
      <c r="C2070" s="138" t="s">
        <v>4035</v>
      </c>
      <c r="D2070" s="138" t="s">
        <v>4050</v>
      </c>
      <c r="E2070" s="138" t="s">
        <v>4047</v>
      </c>
      <c r="F2070" s="138" t="s">
        <v>3831</v>
      </c>
      <c r="G2070" s="138" t="s">
        <v>3986</v>
      </c>
      <c r="H2070" s="81" t="str">
        <f t="shared" si="132"/>
        <v>TCCN-PTE-CON-FLT-UH2-INS-VV1</v>
      </c>
      <c r="I2070" s="138" t="str">
        <f>MID(H2070,1,(LEN(H2070)-VLOOKUP(K2070,datos!$B$2:$C$12,2,0)))</f>
        <v>TCCN-PTE-CON-FLT-UH2-INS-VV1</v>
      </c>
      <c r="J2070" s="138" t="s">
        <v>6627</v>
      </c>
      <c r="K2070" s="140">
        <f>VLOOKUP(LEN(SUBSTITUTE(H2070,"-","")),datos!$A$1:$B$12,2,0)</f>
        <v>7</v>
      </c>
      <c r="L2070" s="138"/>
      <c r="M2070" s="138" t="s">
        <v>0</v>
      </c>
    </row>
    <row r="2071" spans="1:13" x14ac:dyDescent="0.35">
      <c r="A2071" s="138" t="s">
        <v>487</v>
      </c>
      <c r="B2071" s="138" t="s">
        <v>3809</v>
      </c>
      <c r="C2071" s="138" t="s">
        <v>4035</v>
      </c>
      <c r="D2071" s="138" t="s">
        <v>4050</v>
      </c>
      <c r="E2071" s="138" t="s">
        <v>4047</v>
      </c>
      <c r="F2071" s="138" t="s">
        <v>3831</v>
      </c>
      <c r="G2071" s="138" t="s">
        <v>3987</v>
      </c>
      <c r="H2071" s="81" t="str">
        <f t="shared" si="132"/>
        <v>TCCN-PTE-CON-FLT-UH2-INS-VV2</v>
      </c>
      <c r="I2071" s="138" t="str">
        <f>MID(H2071,1,(LEN(H2071)-VLOOKUP(K2071,datos!$B$2:$C$12,2,0)))</f>
        <v>TCCN-PTE-CON-FLT-UH2-INS-VV2</v>
      </c>
      <c r="J2071" s="138" t="s">
        <v>6628</v>
      </c>
      <c r="K2071" s="140">
        <f>VLOOKUP(LEN(SUBSTITUTE(H2071,"-","")),datos!$A$1:$B$12,2,0)</f>
        <v>7</v>
      </c>
      <c r="L2071" s="138"/>
      <c r="M2071" s="138" t="s">
        <v>0</v>
      </c>
    </row>
    <row r="2072" spans="1:13" x14ac:dyDescent="0.35">
      <c r="A2072" s="138" t="s">
        <v>487</v>
      </c>
      <c r="B2072" s="138" t="s">
        <v>3809</v>
      </c>
      <c r="C2072" s="138" t="s">
        <v>4035</v>
      </c>
      <c r="D2072" s="138" t="s">
        <v>4050</v>
      </c>
      <c r="E2072" s="138" t="s">
        <v>4047</v>
      </c>
      <c r="F2072" s="138" t="s">
        <v>3831</v>
      </c>
      <c r="G2072" s="138" t="s">
        <v>5207</v>
      </c>
      <c r="H2072" s="81" t="str">
        <f t="shared" si="132"/>
        <v>TCCN-PTE-CON-FLT-UH2-INS-SLN</v>
      </c>
      <c r="I2072" s="138" t="str">
        <f>MID(H2072,1,(LEN(H2072)-VLOOKUP(K2072,datos!$B$2:$C$12,2,0)))</f>
        <v>TCCN-PTE-CON-FLT-UH2-INS-SLN</v>
      </c>
      <c r="J2072" s="138" t="s">
        <v>6629</v>
      </c>
      <c r="K2072" s="140">
        <f>VLOOKUP(LEN(SUBSTITUTE(H2072,"-","")),datos!$A$1:$B$12,2,0)</f>
        <v>7</v>
      </c>
      <c r="L2072" s="138"/>
      <c r="M2072" s="138" t="s">
        <v>0</v>
      </c>
    </row>
    <row r="2073" spans="1:13" x14ac:dyDescent="0.35">
      <c r="A2073" s="138" t="s">
        <v>487</v>
      </c>
      <c r="B2073" s="138" t="s">
        <v>3809</v>
      </c>
      <c r="C2073" s="138" t="s">
        <v>4035</v>
      </c>
      <c r="D2073" s="138" t="s">
        <v>4050</v>
      </c>
      <c r="E2073" s="138" t="s">
        <v>4047</v>
      </c>
      <c r="F2073" s="138" t="s">
        <v>3831</v>
      </c>
      <c r="G2073" s="138" t="s">
        <v>4016</v>
      </c>
      <c r="H2073" s="81" t="str">
        <f t="shared" si="132"/>
        <v>TCCN-PTE-CON-FLT-UH2-INS-PAN</v>
      </c>
      <c r="I2073" s="138" t="str">
        <f>MID(H2073,1,(LEN(H2073)-VLOOKUP(K2073,datos!$B$2:$C$12,2,0)))</f>
        <v>TCCN-PTE-CON-FLT-UH2-INS-PAN</v>
      </c>
      <c r="J2073" s="138" t="s">
        <v>6630</v>
      </c>
      <c r="K2073" s="140">
        <f>VLOOKUP(LEN(SUBSTITUTE(H2073,"-","")),datos!$A$1:$B$12,2,0)</f>
        <v>7</v>
      </c>
      <c r="L2073" s="138"/>
      <c r="M2073" s="138" t="s">
        <v>0</v>
      </c>
    </row>
    <row r="2074" spans="1:13" customFormat="1" ht="14.5" x14ac:dyDescent="0.35">
      <c r="A2074" s="129" t="s">
        <v>487</v>
      </c>
      <c r="B2074" s="129" t="s">
        <v>3809</v>
      </c>
      <c r="C2074" s="129" t="s">
        <v>4035</v>
      </c>
      <c r="D2074" s="129" t="s">
        <v>4050</v>
      </c>
      <c r="E2074" s="129" t="s">
        <v>4083</v>
      </c>
      <c r="F2074" s="129"/>
      <c r="G2074" s="129"/>
      <c r="H2074" s="83" t="str">
        <f t="shared" si="132"/>
        <v>TCCN-PTE-CON-FLT-ES3--</v>
      </c>
      <c r="I2074" s="129" t="str">
        <f>MID(H2074,1,(LEN(H2074)-VLOOKUP(K2074,datos!$B$2:$C$12,2,0)))</f>
        <v>TCCN-PTE-CON-FLT-ES3</v>
      </c>
      <c r="J2074" s="129" t="s">
        <v>277</v>
      </c>
      <c r="K2074" s="130">
        <f>VLOOKUP(LEN(SUBSTITUTE(H2074,"-","")),datos!$A$1:$B$12,2,0)</f>
        <v>5</v>
      </c>
      <c r="L2074" s="129" t="s">
        <v>282</v>
      </c>
      <c r="M2074" s="129" t="s">
        <v>0</v>
      </c>
    </row>
    <row r="2075" spans="1:13" customFormat="1" ht="14.5" x14ac:dyDescent="0.35">
      <c r="A2075" s="129" t="s">
        <v>487</v>
      </c>
      <c r="B2075" s="129" t="s">
        <v>3809</v>
      </c>
      <c r="C2075" s="129" t="s">
        <v>4035</v>
      </c>
      <c r="D2075" s="129" t="s">
        <v>4050</v>
      </c>
      <c r="E2075" s="129" t="s">
        <v>4084</v>
      </c>
      <c r="F2075" s="129"/>
      <c r="G2075" s="129"/>
      <c r="H2075" s="83" t="str">
        <f t="shared" si="132"/>
        <v>TCCN-PTE-CON-FLT-SI2--</v>
      </c>
      <c r="I2075" s="129" t="str">
        <f>MID(H2075,1,(LEN(H2075)-VLOOKUP(K2075,datos!$B$2:$C$12,2,0)))</f>
        <v>TCCN-PTE-CON-FLT-SI2</v>
      </c>
      <c r="J2075" s="129" t="s">
        <v>7880</v>
      </c>
      <c r="K2075" s="130">
        <f>VLOOKUP(LEN(SUBSTITUTE(H2075,"-","")),datos!$A$1:$B$12,2,0)</f>
        <v>5</v>
      </c>
      <c r="L2075" s="129" t="s">
        <v>283</v>
      </c>
      <c r="M2075" s="129" t="s">
        <v>0</v>
      </c>
    </row>
    <row r="2076" spans="1:13" customFormat="1" ht="14.5" x14ac:dyDescent="0.35">
      <c r="A2076" s="129" t="s">
        <v>487</v>
      </c>
      <c r="B2076" s="129" t="s">
        <v>3809</v>
      </c>
      <c r="C2076" s="129" t="s">
        <v>4035</v>
      </c>
      <c r="D2076" s="129" t="s">
        <v>4050</v>
      </c>
      <c r="E2076" s="129" t="s">
        <v>3842</v>
      </c>
      <c r="F2076" s="129"/>
      <c r="G2076" s="129"/>
      <c r="H2076" s="83" t="str">
        <f t="shared" si="132"/>
        <v>TCCN-PTE-CON-FLT-CH1--</v>
      </c>
      <c r="I2076" s="129" t="str">
        <f>MID(H2076,1,(LEN(H2076)-VLOOKUP(K2076,datos!$B$2:$C$12,2,0)))</f>
        <v>TCCN-PTE-CON-FLT-CH1</v>
      </c>
      <c r="J2076" s="129" t="s">
        <v>284</v>
      </c>
      <c r="K2076" s="130">
        <f>VLOOKUP(LEN(SUBSTITUTE(H2076,"-","")),datos!$A$1:$B$12,2,0)</f>
        <v>5</v>
      </c>
      <c r="L2076" s="129" t="s">
        <v>285</v>
      </c>
      <c r="M2076" s="129" t="s">
        <v>0</v>
      </c>
    </row>
    <row r="2077" spans="1:13" customFormat="1" ht="14.5" x14ac:dyDescent="0.35">
      <c r="A2077" s="129" t="s">
        <v>487</v>
      </c>
      <c r="B2077" s="129" t="s">
        <v>3809</v>
      </c>
      <c r="C2077" s="129" t="s">
        <v>4035</v>
      </c>
      <c r="D2077" s="129" t="s">
        <v>4050</v>
      </c>
      <c r="E2077" s="129" t="s">
        <v>3843</v>
      </c>
      <c r="F2077" s="129"/>
      <c r="G2077" s="129"/>
      <c r="H2077" s="83" t="str">
        <f t="shared" si="132"/>
        <v>TCCN-PTE-CON-FLT-CH2--</v>
      </c>
      <c r="I2077" s="129" t="str">
        <f>MID(H2077,1,(LEN(H2077)-VLOOKUP(K2077,datos!$B$2:$C$12,2,0)))</f>
        <v>TCCN-PTE-CON-FLT-CH2</v>
      </c>
      <c r="J2077" s="129" t="s">
        <v>284</v>
      </c>
      <c r="K2077" s="130">
        <f>VLOOKUP(LEN(SUBSTITUTE(H2077,"-","")),datos!$A$1:$B$12,2,0)</f>
        <v>5</v>
      </c>
      <c r="L2077" s="129" t="s">
        <v>286</v>
      </c>
      <c r="M2077" s="129" t="s">
        <v>0</v>
      </c>
    </row>
    <row r="2078" spans="1:13" customFormat="1" ht="14.5" x14ac:dyDescent="0.35">
      <c r="A2078" s="129" t="s">
        <v>487</v>
      </c>
      <c r="B2078" s="129" t="s">
        <v>3809</v>
      </c>
      <c r="C2078" s="129" t="s">
        <v>4035</v>
      </c>
      <c r="D2078" s="129" t="s">
        <v>4050</v>
      </c>
      <c r="E2078" s="129" t="s">
        <v>3917</v>
      </c>
      <c r="F2078" s="129"/>
      <c r="G2078" s="129"/>
      <c r="H2078" s="83" t="str">
        <f t="shared" si="132"/>
        <v>TCCN-PTE-CON-FLT-CH3--</v>
      </c>
      <c r="I2078" s="129" t="str">
        <f>MID(H2078,1,(LEN(H2078)-VLOOKUP(K2078,datos!$B$2:$C$12,2,0)))</f>
        <v>TCCN-PTE-CON-FLT-CH3</v>
      </c>
      <c r="J2078" s="129" t="s">
        <v>287</v>
      </c>
      <c r="K2078" s="130">
        <f>VLOOKUP(LEN(SUBSTITUTE(H2078,"-","")),datos!$A$1:$B$12,2,0)</f>
        <v>5</v>
      </c>
      <c r="L2078" s="129" t="s">
        <v>288</v>
      </c>
      <c r="M2078" s="129" t="s">
        <v>0</v>
      </c>
    </row>
    <row r="2079" spans="1:13" customFormat="1" ht="14.5" x14ac:dyDescent="0.35">
      <c r="A2079" s="129" t="s">
        <v>487</v>
      </c>
      <c r="B2079" s="129" t="s">
        <v>3809</v>
      </c>
      <c r="C2079" s="129" t="s">
        <v>4035</v>
      </c>
      <c r="D2079" s="129" t="s">
        <v>4050</v>
      </c>
      <c r="E2079" s="129" t="s">
        <v>3941</v>
      </c>
      <c r="F2079" s="129"/>
      <c r="G2079" s="129"/>
      <c r="H2079" s="83" t="str">
        <f t="shared" si="132"/>
        <v>TCCN-PTE-CON-FLT-CH4--</v>
      </c>
      <c r="I2079" s="129" t="str">
        <f>MID(H2079,1,(LEN(H2079)-VLOOKUP(K2079,datos!$B$2:$C$12,2,0)))</f>
        <v>TCCN-PTE-CON-FLT-CH4</v>
      </c>
      <c r="J2079" s="129" t="s">
        <v>287</v>
      </c>
      <c r="K2079" s="130">
        <f>VLOOKUP(LEN(SUBSTITUTE(H2079,"-","")),datos!$A$1:$B$12,2,0)</f>
        <v>5</v>
      </c>
      <c r="L2079" s="129" t="s">
        <v>289</v>
      </c>
      <c r="M2079" s="129" t="s">
        <v>0</v>
      </c>
    </row>
    <row r="2080" spans="1:13" customFormat="1" ht="14.5" x14ac:dyDescent="0.35">
      <c r="A2080" s="84" t="s">
        <v>487</v>
      </c>
      <c r="B2080" s="84" t="s">
        <v>3809</v>
      </c>
      <c r="C2080" s="84" t="s">
        <v>4035</v>
      </c>
      <c r="D2080" s="84" t="s">
        <v>4085</v>
      </c>
      <c r="E2080" s="84"/>
      <c r="F2080" s="84"/>
      <c r="G2080" s="84"/>
      <c r="H2080" s="84" t="str">
        <f t="shared" si="132"/>
        <v>TCCN-PTE-CON-MCN---</v>
      </c>
      <c r="I2080" s="84" t="str">
        <f>MID(H2080,1,(LEN(H2080)-VLOOKUP(K2080,datos!$B$2:$C$12,2,0)))</f>
        <v>TCCN-PTE-CON-MCN</v>
      </c>
      <c r="J2080" s="84" t="s">
        <v>290</v>
      </c>
      <c r="K2080" s="119">
        <f>VLOOKUP(LEN(SUBSTITUTE(H2080,"-","")),datos!$A$1:$B$12,2,0)</f>
        <v>4</v>
      </c>
      <c r="L2080" s="84"/>
      <c r="M2080" s="84" t="s">
        <v>0</v>
      </c>
    </row>
    <row r="2081" spans="1:13" customFormat="1" ht="14.5" x14ac:dyDescent="0.35">
      <c r="A2081" s="129" t="s">
        <v>487</v>
      </c>
      <c r="B2081" s="129" t="s">
        <v>3809</v>
      </c>
      <c r="C2081" s="129" t="s">
        <v>4035</v>
      </c>
      <c r="D2081" s="129" t="s">
        <v>4085</v>
      </c>
      <c r="E2081" s="129" t="s">
        <v>3812</v>
      </c>
      <c r="F2081" s="129"/>
      <c r="G2081" s="129"/>
      <c r="H2081" s="83" t="str">
        <f t="shared" si="132"/>
        <v>TCCN-PTE-CON-MCN-TOL--</v>
      </c>
      <c r="I2081" s="129" t="str">
        <f>MID(H2081,1,(LEN(H2081)-VLOOKUP(K2081,datos!$B$2:$C$12,2,0)))</f>
        <v>TCCN-PTE-CON-MCN-TOL</v>
      </c>
      <c r="J2081" s="129" t="s">
        <v>472</v>
      </c>
      <c r="K2081" s="130">
        <f>VLOOKUP(LEN(SUBSTITUTE(H2081,"-","")),datos!$A$1:$B$12,2,0)</f>
        <v>5</v>
      </c>
      <c r="L2081" s="129" t="s">
        <v>291</v>
      </c>
      <c r="M2081" s="129" t="s">
        <v>0</v>
      </c>
    </row>
    <row r="2082" spans="1:13" x14ac:dyDescent="0.35">
      <c r="A2082" s="137" t="s">
        <v>487</v>
      </c>
      <c r="B2082" s="137" t="s">
        <v>3809</v>
      </c>
      <c r="C2082" s="137" t="s">
        <v>4035</v>
      </c>
      <c r="D2082" s="137" t="s">
        <v>4085</v>
      </c>
      <c r="E2082" s="137" t="s">
        <v>3812</v>
      </c>
      <c r="F2082" s="137" t="s">
        <v>3831</v>
      </c>
      <c r="G2082" s="137"/>
      <c r="H2082" s="82" t="str">
        <f t="shared" si="132"/>
        <v>TCCN-PTE-CON-MCN-TOL-INS-</v>
      </c>
      <c r="I2082" s="137" t="str">
        <f>MID(H2082,1,(LEN(H2082)-VLOOKUP(K2082,datos!$B$2:$C$12,2,0)))</f>
        <v>TCCN-PTE-CON-MCN-TOL-INS</v>
      </c>
      <c r="J2082" s="137" t="s">
        <v>6603</v>
      </c>
      <c r="K2082" s="139">
        <f>VLOOKUP(LEN(SUBSTITUTE(H2082,"-","")),datos!$A$1:$B$12,2,0)</f>
        <v>6</v>
      </c>
      <c r="L2082" s="137"/>
      <c r="M2082" s="137" t="s">
        <v>0</v>
      </c>
    </row>
    <row r="2083" spans="1:13" x14ac:dyDescent="0.35">
      <c r="A2083" s="138" t="s">
        <v>487</v>
      </c>
      <c r="B2083" s="138" t="s">
        <v>3809</v>
      </c>
      <c r="C2083" s="138" t="s">
        <v>4035</v>
      </c>
      <c r="D2083" s="138" t="s">
        <v>4085</v>
      </c>
      <c r="E2083" s="138" t="s">
        <v>3812</v>
      </c>
      <c r="F2083" s="138" t="s">
        <v>3831</v>
      </c>
      <c r="G2083" s="138" t="s">
        <v>7067</v>
      </c>
      <c r="H2083" s="81" t="str">
        <f t="shared" si="132"/>
        <v>TCCN-PTE-CON-MCN-TOL-INS-MN1</v>
      </c>
      <c r="I2083" s="138" t="str">
        <f>MID(H2083,1,(LEN(H2083)-VLOOKUP(K2083,datos!$B$2:$C$12,2,0)))</f>
        <v>TCCN-PTE-CON-MCN-TOL-INS-MN1</v>
      </c>
      <c r="J2083" s="138" t="s">
        <v>6604</v>
      </c>
      <c r="K2083" s="140">
        <f>VLOOKUP(LEN(SUBSTITUTE(H2083,"-","")),datos!$A$1:$B$12,2,0)</f>
        <v>7</v>
      </c>
      <c r="L2083" s="138" t="s">
        <v>1734</v>
      </c>
      <c r="M2083" s="138" t="s">
        <v>0</v>
      </c>
    </row>
    <row r="2084" spans="1:13" x14ac:dyDescent="0.35">
      <c r="A2084" s="138" t="s">
        <v>487</v>
      </c>
      <c r="B2084" s="138" t="s">
        <v>3809</v>
      </c>
      <c r="C2084" s="138" t="s">
        <v>4035</v>
      </c>
      <c r="D2084" s="138" t="s">
        <v>4085</v>
      </c>
      <c r="E2084" s="138" t="s">
        <v>3812</v>
      </c>
      <c r="F2084" s="138" t="s">
        <v>3831</v>
      </c>
      <c r="G2084" s="138" t="s">
        <v>7068</v>
      </c>
      <c r="H2084" s="81" t="str">
        <f t="shared" si="132"/>
        <v>TCCN-PTE-CON-MCN-TOL-INS-MN2</v>
      </c>
      <c r="I2084" s="138" t="str">
        <f>MID(H2084,1,(LEN(H2084)-VLOOKUP(K2084,datos!$B$2:$C$12,2,0)))</f>
        <v>TCCN-PTE-CON-MCN-TOL-INS-MN2</v>
      </c>
      <c r="J2084" s="138" t="s">
        <v>7614</v>
      </c>
      <c r="K2084" s="140">
        <f>VLOOKUP(LEN(SUBSTITUTE(H2084,"-","")),datos!$A$1:$B$12,2,0)</f>
        <v>7</v>
      </c>
      <c r="L2084" s="138" t="s">
        <v>1736</v>
      </c>
      <c r="M2084" s="138" t="s">
        <v>0</v>
      </c>
    </row>
    <row r="2085" spans="1:13" customFormat="1" ht="14.5" x14ac:dyDescent="0.35">
      <c r="A2085" s="129" t="s">
        <v>487</v>
      </c>
      <c r="B2085" s="129" t="s">
        <v>3809</v>
      </c>
      <c r="C2085" s="129" t="s">
        <v>4035</v>
      </c>
      <c r="D2085" s="129" t="s">
        <v>4085</v>
      </c>
      <c r="E2085" s="129" t="s">
        <v>3814</v>
      </c>
      <c r="F2085" s="129"/>
      <c r="G2085" s="129"/>
      <c r="H2085" s="83" t="str">
        <f t="shared" si="132"/>
        <v>TCCN-PTE-CON-MCN-SLZ--</v>
      </c>
      <c r="I2085" s="129" t="str">
        <f>MID(H2085,1,(LEN(H2085)-VLOOKUP(K2085,datos!$B$2:$C$12,2,0)))</f>
        <v>TCCN-PTE-CON-MCN-SLZ</v>
      </c>
      <c r="J2085" s="129" t="s">
        <v>292</v>
      </c>
      <c r="K2085" s="130">
        <f>VLOOKUP(LEN(SUBSTITUTE(H2085,"-","")),datos!$A$1:$B$12,2,0)</f>
        <v>5</v>
      </c>
      <c r="L2085" s="129" t="s">
        <v>293</v>
      </c>
      <c r="M2085" s="129" t="s">
        <v>0</v>
      </c>
    </row>
    <row r="2086" spans="1:13" x14ac:dyDescent="0.35">
      <c r="A2086" s="137" t="s">
        <v>487</v>
      </c>
      <c r="B2086" s="137" t="s">
        <v>3809</v>
      </c>
      <c r="C2086" s="137" t="s">
        <v>4035</v>
      </c>
      <c r="D2086" s="137" t="s">
        <v>4085</v>
      </c>
      <c r="E2086" s="137" t="s">
        <v>3814</v>
      </c>
      <c r="F2086" s="137" t="s">
        <v>3816</v>
      </c>
      <c r="G2086" s="137"/>
      <c r="H2086" s="82" t="str">
        <f t="shared" si="132"/>
        <v>TCCN-PTE-CON-MCN-SLZ-SHI-</v>
      </c>
      <c r="I2086" s="137" t="str">
        <f>MID(H2086,1,(LEN(H2086)-VLOOKUP(K2086,datos!$B$2:$C$12,2,0)))</f>
        <v>TCCN-PTE-CON-MCN-SLZ-SHI</v>
      </c>
      <c r="J2086" s="137" t="s">
        <v>6605</v>
      </c>
      <c r="K2086" s="139">
        <f>VLOOKUP(LEN(SUBSTITUTE(H2086,"-","")),datos!$A$1:$B$12,2,0)</f>
        <v>6</v>
      </c>
      <c r="L2086" s="137" t="s">
        <v>1578</v>
      </c>
      <c r="M2086" s="137" t="s">
        <v>0</v>
      </c>
    </row>
    <row r="2087" spans="1:13" x14ac:dyDescent="0.35">
      <c r="A2087" s="138" t="s">
        <v>487</v>
      </c>
      <c r="B2087" s="138" t="s">
        <v>3809</v>
      </c>
      <c r="C2087" s="138" t="s">
        <v>4035</v>
      </c>
      <c r="D2087" s="138" t="s">
        <v>4085</v>
      </c>
      <c r="E2087" s="138" t="s">
        <v>3814</v>
      </c>
      <c r="F2087" s="138" t="s">
        <v>3816</v>
      </c>
      <c r="G2087" s="138" t="s">
        <v>3817</v>
      </c>
      <c r="H2087" s="81" t="str">
        <f t="shared" si="132"/>
        <v>TCCN-PTE-CON-MCN-SLZ-SHI-CIH</v>
      </c>
      <c r="I2087" s="138" t="str">
        <f>MID(H2087,1,(LEN(H2087)-VLOOKUP(K2087,datos!$B$2:$C$12,2,0)))</f>
        <v>TCCN-PTE-CON-MCN-SLZ-SHI-CIH</v>
      </c>
      <c r="J2087" s="138" t="s">
        <v>6612</v>
      </c>
      <c r="K2087" s="140">
        <f>VLOOKUP(LEN(SUBSTITUTE(H2087,"-","")),datos!$A$1:$B$12,2,0)</f>
        <v>7</v>
      </c>
      <c r="L2087" s="138"/>
      <c r="M2087" s="138" t="s">
        <v>0</v>
      </c>
    </row>
    <row r="2088" spans="1:13" x14ac:dyDescent="0.35">
      <c r="A2088" s="138" t="s">
        <v>487</v>
      </c>
      <c r="B2088" s="138" t="s">
        <v>3809</v>
      </c>
      <c r="C2088" s="138" t="s">
        <v>4035</v>
      </c>
      <c r="D2088" s="138" t="s">
        <v>4085</v>
      </c>
      <c r="E2088" s="138" t="s">
        <v>3814</v>
      </c>
      <c r="F2088" s="138" t="s">
        <v>3816</v>
      </c>
      <c r="G2088" s="138" t="s">
        <v>3818</v>
      </c>
      <c r="H2088" s="81" t="str">
        <f t="shared" si="132"/>
        <v>TCCN-PTE-CON-MCN-SLZ-SHI-BBA</v>
      </c>
      <c r="I2088" s="138" t="str">
        <f>MID(H2088,1,(LEN(H2088)-VLOOKUP(K2088,datos!$B$2:$C$12,2,0)))</f>
        <v>TCCN-PTE-CON-MCN-SLZ-SHI-BBA</v>
      </c>
      <c r="J2088" s="138" t="s">
        <v>6613</v>
      </c>
      <c r="K2088" s="140">
        <f>VLOOKUP(LEN(SUBSTITUTE(H2088,"-","")),datos!$A$1:$B$12,2,0)</f>
        <v>7</v>
      </c>
      <c r="L2088" s="138"/>
      <c r="M2088" s="138" t="s">
        <v>0</v>
      </c>
    </row>
    <row r="2089" spans="1:13" x14ac:dyDescent="0.35">
      <c r="A2089" s="138" t="s">
        <v>487</v>
      </c>
      <c r="B2089" s="138" t="s">
        <v>3809</v>
      </c>
      <c r="C2089" s="138" t="s">
        <v>4035</v>
      </c>
      <c r="D2089" s="138" t="s">
        <v>4085</v>
      </c>
      <c r="E2089" s="138" t="s">
        <v>3814</v>
      </c>
      <c r="F2089" s="138" t="s">
        <v>3816</v>
      </c>
      <c r="G2089" s="138" t="s">
        <v>3853</v>
      </c>
      <c r="H2089" s="81" t="str">
        <f t="shared" si="132"/>
        <v>TCCN-PTE-CON-MCN-SLZ-SHI-EST</v>
      </c>
      <c r="I2089" s="138" t="str">
        <f>MID(H2089,1,(LEN(H2089)-VLOOKUP(K2089,datos!$B$2:$C$12,2,0)))</f>
        <v>TCCN-PTE-CON-MCN-SLZ-SHI-EST</v>
      </c>
      <c r="J2089" s="138" t="s">
        <v>6614</v>
      </c>
      <c r="K2089" s="140">
        <f>VLOOKUP(LEN(SUBSTITUTE(H2089,"-","")),datos!$A$1:$B$12,2,0)</f>
        <v>7</v>
      </c>
      <c r="L2089" s="138"/>
      <c r="M2089" s="138" t="s">
        <v>0</v>
      </c>
    </row>
    <row r="2090" spans="1:13" x14ac:dyDescent="0.35">
      <c r="A2090" s="138" t="s">
        <v>487</v>
      </c>
      <c r="B2090" s="138" t="s">
        <v>3809</v>
      </c>
      <c r="C2090" s="138" t="s">
        <v>4035</v>
      </c>
      <c r="D2090" s="138" t="s">
        <v>4085</v>
      </c>
      <c r="E2090" s="138" t="s">
        <v>3814</v>
      </c>
      <c r="F2090" s="138" t="s">
        <v>3816</v>
      </c>
      <c r="G2090" s="138" t="s">
        <v>3819</v>
      </c>
      <c r="H2090" s="81" t="str">
        <f t="shared" si="132"/>
        <v>TCCN-PTE-CON-MCN-SLZ-SHI-MOE</v>
      </c>
      <c r="I2090" s="138" t="str">
        <f>MID(H2090,1,(LEN(H2090)-VLOOKUP(K2090,datos!$B$2:$C$12,2,0)))</f>
        <v>TCCN-PTE-CON-MCN-SLZ-SHI-MOE</v>
      </c>
      <c r="J2090" s="138" t="s">
        <v>6611</v>
      </c>
      <c r="K2090" s="140">
        <f>VLOOKUP(LEN(SUBSTITUTE(H2090,"-","")),datos!$A$1:$B$12,2,0)</f>
        <v>7</v>
      </c>
      <c r="L2090" s="138" t="s">
        <v>1579</v>
      </c>
      <c r="M2090" s="138" t="s">
        <v>0</v>
      </c>
    </row>
    <row r="2091" spans="1:13" x14ac:dyDescent="0.35">
      <c r="A2091" s="138" t="s">
        <v>487</v>
      </c>
      <c r="B2091" s="138" t="s">
        <v>3809</v>
      </c>
      <c r="C2091" s="138" t="s">
        <v>4035</v>
      </c>
      <c r="D2091" s="138" t="s">
        <v>4085</v>
      </c>
      <c r="E2091" s="138" t="s">
        <v>3814</v>
      </c>
      <c r="F2091" s="138" t="s">
        <v>3816</v>
      </c>
      <c r="G2091" s="138" t="s">
        <v>3820</v>
      </c>
      <c r="H2091" s="81" t="str">
        <f t="shared" si="132"/>
        <v>TCCN-PTE-CON-MCN-SLZ-SHI-CUH</v>
      </c>
      <c r="I2091" s="138" t="str">
        <f>MID(H2091,1,(LEN(H2091)-VLOOKUP(K2091,datos!$B$2:$C$12,2,0)))</f>
        <v>TCCN-PTE-CON-MCN-SLZ-SHI-CUH</v>
      </c>
      <c r="J2091" s="138" t="s">
        <v>6615</v>
      </c>
      <c r="K2091" s="140">
        <f>VLOOKUP(LEN(SUBSTITUTE(H2091,"-","")),datos!$A$1:$B$12,2,0)</f>
        <v>7</v>
      </c>
      <c r="L2091" s="138" t="s">
        <v>1580</v>
      </c>
      <c r="M2091" s="138" t="s">
        <v>0</v>
      </c>
    </row>
    <row r="2092" spans="1:13" x14ac:dyDescent="0.35">
      <c r="A2092" s="137" t="s">
        <v>487</v>
      </c>
      <c r="B2092" s="137" t="s">
        <v>3809</v>
      </c>
      <c r="C2092" s="137" t="s">
        <v>4035</v>
      </c>
      <c r="D2092" s="137" t="s">
        <v>4085</v>
      </c>
      <c r="E2092" s="137" t="s">
        <v>3814</v>
      </c>
      <c r="F2092" s="137" t="s">
        <v>3821</v>
      </c>
      <c r="G2092" s="137"/>
      <c r="H2092" s="82" t="str">
        <f t="shared" si="132"/>
        <v>TCCN-PTE-CON-MCN-SLZ-SME-</v>
      </c>
      <c r="I2092" s="137" t="str">
        <f>MID(H2092,1,(LEN(H2092)-VLOOKUP(K2092,datos!$B$2:$C$12,2,0)))</f>
        <v>TCCN-PTE-CON-MCN-SLZ-SME</v>
      </c>
      <c r="J2092" s="137" t="s">
        <v>6606</v>
      </c>
      <c r="K2092" s="139">
        <f>VLOOKUP(LEN(SUBSTITUTE(H2092,"-","")),datos!$A$1:$B$12,2,0)</f>
        <v>6</v>
      </c>
      <c r="L2092" s="137"/>
      <c r="M2092" s="137" t="s">
        <v>0</v>
      </c>
    </row>
    <row r="2093" spans="1:13" x14ac:dyDescent="0.35">
      <c r="A2093" s="138" t="s">
        <v>487</v>
      </c>
      <c r="B2093" s="138" t="s">
        <v>3809</v>
      </c>
      <c r="C2093" s="138" t="s">
        <v>4035</v>
      </c>
      <c r="D2093" s="138" t="s">
        <v>4085</v>
      </c>
      <c r="E2093" s="138" t="s">
        <v>3814</v>
      </c>
      <c r="F2093" s="138" t="s">
        <v>3821</v>
      </c>
      <c r="G2093" s="138" t="s">
        <v>3822</v>
      </c>
      <c r="H2093" s="81" t="str">
        <f t="shared" si="132"/>
        <v>TCCN-PTE-CON-MCN-SLZ-SME-LAN</v>
      </c>
      <c r="I2093" s="138" t="str">
        <f>MID(H2093,1,(LEN(H2093)-VLOOKUP(K2093,datos!$B$2:$C$12,2,0)))</f>
        <v>TCCN-PTE-CON-MCN-SLZ-SME-LAN</v>
      </c>
      <c r="J2093" s="138" t="s">
        <v>6607</v>
      </c>
      <c r="K2093" s="140">
        <f>VLOOKUP(LEN(SUBSTITUTE(H2093,"-","")),datos!$A$1:$B$12,2,0)</f>
        <v>7</v>
      </c>
      <c r="L2093" s="138"/>
      <c r="M2093" s="138" t="s">
        <v>0</v>
      </c>
    </row>
    <row r="2094" spans="1:13" x14ac:dyDescent="0.35">
      <c r="A2094" s="138" t="s">
        <v>487</v>
      </c>
      <c r="B2094" s="138" t="s">
        <v>3809</v>
      </c>
      <c r="C2094" s="138" t="s">
        <v>4035</v>
      </c>
      <c r="D2094" s="138" t="s">
        <v>4085</v>
      </c>
      <c r="E2094" s="138" t="s">
        <v>3814</v>
      </c>
      <c r="F2094" s="138" t="s">
        <v>3821</v>
      </c>
      <c r="G2094" s="138" t="s">
        <v>3823</v>
      </c>
      <c r="H2094" s="81" t="str">
        <f t="shared" si="132"/>
        <v>TCCN-PTE-CON-MCN-SLZ-SME-CRL</v>
      </c>
      <c r="I2094" s="138" t="str">
        <f>MID(H2094,1,(LEN(H2094)-VLOOKUP(K2094,datos!$B$2:$C$12,2,0)))</f>
        <v>TCCN-PTE-CON-MCN-SLZ-SME-CRL</v>
      </c>
      <c r="J2094" s="138" t="s">
        <v>6608</v>
      </c>
      <c r="K2094" s="140">
        <f>VLOOKUP(LEN(SUBSTITUTE(H2094,"-","")),datos!$A$1:$B$12,2,0)</f>
        <v>7</v>
      </c>
      <c r="L2094" s="138"/>
      <c r="M2094" s="138" t="s">
        <v>0</v>
      </c>
    </row>
    <row r="2095" spans="1:13" x14ac:dyDescent="0.35">
      <c r="A2095" s="137" t="s">
        <v>487</v>
      </c>
      <c r="B2095" s="137" t="s">
        <v>3809</v>
      </c>
      <c r="C2095" s="137" t="s">
        <v>4035</v>
      </c>
      <c r="D2095" s="137" t="s">
        <v>4085</v>
      </c>
      <c r="E2095" s="137" t="s">
        <v>3814</v>
      </c>
      <c r="F2095" s="137" t="s">
        <v>3824</v>
      </c>
      <c r="G2095" s="137"/>
      <c r="H2095" s="82" t="str">
        <f t="shared" si="132"/>
        <v>TCCN-PTE-CON-MCN-SLZ-SES-</v>
      </c>
      <c r="I2095" s="137" t="str">
        <f>MID(H2095,1,(LEN(H2095)-VLOOKUP(K2095,datos!$B$2:$C$12,2,0)))</f>
        <v>TCCN-PTE-CON-MCN-SLZ-SES</v>
      </c>
      <c r="J2095" s="137" t="s">
        <v>6609</v>
      </c>
      <c r="K2095" s="139">
        <f>VLOOKUP(LEN(SUBSTITUTE(H2095,"-","")),datos!$A$1:$B$12,2,0)</f>
        <v>6</v>
      </c>
      <c r="L2095" s="137"/>
      <c r="M2095" s="137" t="s">
        <v>0</v>
      </c>
    </row>
    <row r="2096" spans="1:13" x14ac:dyDescent="0.35">
      <c r="A2096" s="138" t="s">
        <v>487</v>
      </c>
      <c r="B2096" s="138" t="s">
        <v>3809</v>
      </c>
      <c r="C2096" s="138" t="s">
        <v>4035</v>
      </c>
      <c r="D2096" s="138" t="s">
        <v>4085</v>
      </c>
      <c r="E2096" s="138" t="s">
        <v>3814</v>
      </c>
      <c r="F2096" s="138" t="s">
        <v>3824</v>
      </c>
      <c r="G2096" s="138" t="s">
        <v>3825</v>
      </c>
      <c r="H2096" s="81" t="str">
        <f t="shared" si="132"/>
        <v>TCCN-PTE-CON-MCN-SLZ-SES-CHU</v>
      </c>
      <c r="I2096" s="138" t="str">
        <f>MID(H2096,1,(LEN(H2096)-VLOOKUP(K2096,datos!$B$2:$C$12,2,0)))</f>
        <v>TCCN-PTE-CON-MCN-SLZ-SES-CHU</v>
      </c>
      <c r="J2096" s="138" t="s">
        <v>6610</v>
      </c>
      <c r="K2096" s="140">
        <f>VLOOKUP(LEN(SUBSTITUTE(H2096,"-","")),datos!$A$1:$B$12,2,0)</f>
        <v>7</v>
      </c>
      <c r="L2096" s="138" t="s">
        <v>1581</v>
      </c>
      <c r="M2096" s="138" t="s">
        <v>0</v>
      </c>
    </row>
    <row r="2097" spans="1:13" customFormat="1" ht="14.5" x14ac:dyDescent="0.35">
      <c r="A2097" s="129" t="s">
        <v>487</v>
      </c>
      <c r="B2097" s="129" t="s">
        <v>3809</v>
      </c>
      <c r="C2097" s="129" t="s">
        <v>4035</v>
      </c>
      <c r="D2097" s="129" t="s">
        <v>4085</v>
      </c>
      <c r="E2097" s="129" t="s">
        <v>4086</v>
      </c>
      <c r="F2097" s="129"/>
      <c r="G2097" s="129"/>
      <c r="H2097" s="83" t="str">
        <f t="shared" si="132"/>
        <v>TCCN-PTE-CON-MCN-ACT--</v>
      </c>
      <c r="I2097" s="129" t="str">
        <f>MID(H2097,1,(LEN(H2097)-VLOOKUP(K2097,datos!$B$2:$C$12,2,0)))</f>
        <v>TCCN-PTE-CON-MCN-ACT</v>
      </c>
      <c r="J2097" s="129" t="s">
        <v>7075</v>
      </c>
      <c r="K2097" s="130">
        <f>VLOOKUP(LEN(SUBSTITUTE(H2097,"-","")),datos!$A$1:$B$12,2,0)</f>
        <v>5</v>
      </c>
      <c r="L2097" s="129" t="s">
        <v>294</v>
      </c>
      <c r="M2097" s="129" t="s">
        <v>0</v>
      </c>
    </row>
    <row r="2098" spans="1:13" x14ac:dyDescent="0.35">
      <c r="A2098" s="137" t="s">
        <v>487</v>
      </c>
      <c r="B2098" s="137" t="s">
        <v>3809</v>
      </c>
      <c r="C2098" s="137" t="s">
        <v>4035</v>
      </c>
      <c r="D2098" s="137" t="s">
        <v>4085</v>
      </c>
      <c r="E2098" s="137" t="s">
        <v>4086</v>
      </c>
      <c r="F2098" s="137" t="s">
        <v>3824</v>
      </c>
      <c r="G2098" s="137"/>
      <c r="H2098" s="82" t="str">
        <f t="shared" ref="H2098:H2099" si="133">CONCATENATE(A2098,"-",B2098,"-",C2098,"-",D2098,"-",E2098,"-",F2098,"-",G2098)</f>
        <v>TCCN-PTE-CON-MCN-ACT-SES-</v>
      </c>
      <c r="I2098" s="137" t="str">
        <f>MID(H2098,1,(LEN(H2098)-VLOOKUP(K2098,datos!$B$2:$C$12,2,0)))</f>
        <v>TCCN-PTE-CON-MCN-ACT-SES</v>
      </c>
      <c r="J2098" s="137" t="s">
        <v>7076</v>
      </c>
      <c r="K2098" s="139">
        <f>VLOOKUP(LEN(SUBSTITUTE(H2098,"-","")),datos!$A$1:$B$12,2,0)</f>
        <v>6</v>
      </c>
      <c r="L2098" s="137"/>
      <c r="M2098" s="137" t="s">
        <v>0</v>
      </c>
    </row>
    <row r="2099" spans="1:13" x14ac:dyDescent="0.35">
      <c r="A2099" s="138" t="s">
        <v>487</v>
      </c>
      <c r="B2099" s="138" t="s">
        <v>3809</v>
      </c>
      <c r="C2099" s="138" t="s">
        <v>4035</v>
      </c>
      <c r="D2099" s="138" t="s">
        <v>4085</v>
      </c>
      <c r="E2099" s="138" t="s">
        <v>4086</v>
      </c>
      <c r="F2099" s="138" t="s">
        <v>3824</v>
      </c>
      <c r="G2099" s="138" t="s">
        <v>3825</v>
      </c>
      <c r="H2099" s="81" t="str">
        <f t="shared" si="133"/>
        <v>TCCN-PTE-CON-MCN-ACT-SES-CHU</v>
      </c>
      <c r="I2099" s="138" t="str">
        <f>MID(H2099,1,(LEN(H2099)-VLOOKUP(K2099,datos!$B$2:$C$12,2,0)))</f>
        <v>TCCN-PTE-CON-MCN-ACT-SES-CHU</v>
      </c>
      <c r="J2099" s="138" t="s">
        <v>7077</v>
      </c>
      <c r="K2099" s="140">
        <f>VLOOKUP(LEN(SUBSTITUTE(H2099,"-","")),datos!$A$1:$B$12,2,0)</f>
        <v>7</v>
      </c>
      <c r="L2099" s="138" t="s">
        <v>7078</v>
      </c>
      <c r="M2099" s="138" t="s">
        <v>0</v>
      </c>
    </row>
    <row r="2100" spans="1:13" x14ac:dyDescent="0.35">
      <c r="A2100" s="137" t="s">
        <v>487</v>
      </c>
      <c r="B2100" s="137" t="s">
        <v>3809</v>
      </c>
      <c r="C2100" s="137" t="s">
        <v>4035</v>
      </c>
      <c r="D2100" s="137" t="s">
        <v>4085</v>
      </c>
      <c r="E2100" s="137" t="s">
        <v>4086</v>
      </c>
      <c r="F2100" s="137" t="s">
        <v>3854</v>
      </c>
      <c r="G2100" s="137"/>
      <c r="H2100" s="82" t="str">
        <f t="shared" si="132"/>
        <v>TCCN-PTE-CON-MCN-ACT-STR-</v>
      </c>
      <c r="I2100" s="137" t="str">
        <f>MID(H2100,1,(LEN(H2100)-VLOOKUP(K2100,datos!$B$2:$C$12,2,0)))</f>
        <v>TCCN-PTE-CON-MCN-ACT-STR</v>
      </c>
      <c r="J2100" s="137" t="s">
        <v>5005</v>
      </c>
      <c r="K2100" s="139">
        <f>VLOOKUP(LEN(SUBSTITUTE(H2100,"-","")),datos!$A$1:$B$12,2,0)</f>
        <v>6</v>
      </c>
      <c r="L2100" s="137"/>
      <c r="M2100" s="137" t="s">
        <v>0</v>
      </c>
    </row>
    <row r="2101" spans="1:13" x14ac:dyDescent="0.35">
      <c r="A2101" s="138" t="s">
        <v>487</v>
      </c>
      <c r="B2101" s="138" t="s">
        <v>3809</v>
      </c>
      <c r="C2101" s="138" t="s">
        <v>4035</v>
      </c>
      <c r="D2101" s="138" t="s">
        <v>4085</v>
      </c>
      <c r="E2101" s="138" t="s">
        <v>4086</v>
      </c>
      <c r="F2101" s="138" t="s">
        <v>3854</v>
      </c>
      <c r="G2101" s="138" t="s">
        <v>3864</v>
      </c>
      <c r="H2101" s="81" t="str">
        <f t="shared" si="132"/>
        <v>TCCN-PTE-CON-MCN-ACT-STR-PMO</v>
      </c>
      <c r="I2101" s="138" t="str">
        <f>MID(H2101,1,(LEN(H2101)-VLOOKUP(K2101,datos!$B$2:$C$12,2,0)))</f>
        <v>TCCN-PTE-CON-MCN-ACT-STR-PMO</v>
      </c>
      <c r="J2101" s="138" t="s">
        <v>5006</v>
      </c>
      <c r="K2101" s="140">
        <f>VLOOKUP(LEN(SUBSTITUTE(H2101,"-","")),datos!$A$1:$B$12,2,0)</f>
        <v>7</v>
      </c>
      <c r="L2101" s="138"/>
      <c r="M2101" s="138" t="s">
        <v>0</v>
      </c>
    </row>
    <row r="2102" spans="1:13" x14ac:dyDescent="0.35">
      <c r="A2102" s="138" t="s">
        <v>487</v>
      </c>
      <c r="B2102" s="138" t="s">
        <v>3809</v>
      </c>
      <c r="C2102" s="138" t="s">
        <v>4035</v>
      </c>
      <c r="D2102" s="138" t="s">
        <v>4085</v>
      </c>
      <c r="E2102" s="138" t="s">
        <v>4086</v>
      </c>
      <c r="F2102" s="138" t="s">
        <v>3854</v>
      </c>
      <c r="G2102" s="138" t="s">
        <v>3857</v>
      </c>
      <c r="H2102" s="81" t="str">
        <f t="shared" si="132"/>
        <v>TCCN-PTE-CON-MCN-ACT-STR-PCO</v>
      </c>
      <c r="I2102" s="138" t="str">
        <f>MID(H2102,1,(LEN(H2102)-VLOOKUP(K2102,datos!$B$2:$C$12,2,0)))</f>
        <v>TCCN-PTE-CON-MCN-ACT-STR-PCO</v>
      </c>
      <c r="J2102" s="138" t="s">
        <v>5007</v>
      </c>
      <c r="K2102" s="140">
        <f>VLOOKUP(LEN(SUBSTITUTE(H2102,"-","")),datos!$A$1:$B$12,2,0)</f>
        <v>7</v>
      </c>
      <c r="L2102" s="138"/>
      <c r="M2102" s="138" t="s">
        <v>0</v>
      </c>
    </row>
    <row r="2103" spans="1:13" x14ac:dyDescent="0.35">
      <c r="A2103" s="138" t="s">
        <v>487</v>
      </c>
      <c r="B2103" s="138" t="s">
        <v>3809</v>
      </c>
      <c r="C2103" s="138" t="s">
        <v>4035</v>
      </c>
      <c r="D2103" s="138" t="s">
        <v>4085</v>
      </c>
      <c r="E2103" s="138" t="s">
        <v>4086</v>
      </c>
      <c r="F2103" s="138" t="s">
        <v>3854</v>
      </c>
      <c r="G2103" s="138" t="s">
        <v>3855</v>
      </c>
      <c r="H2103" s="81" t="str">
        <f t="shared" si="132"/>
        <v>TCCN-PTE-CON-MCN-ACT-STR-CTA</v>
      </c>
      <c r="I2103" s="138" t="str">
        <f>MID(H2103,1,(LEN(H2103)-VLOOKUP(K2103,datos!$B$2:$C$12,2,0)))</f>
        <v>TCCN-PTE-CON-MCN-ACT-STR-CTA</v>
      </c>
      <c r="J2103" s="138" t="s">
        <v>5008</v>
      </c>
      <c r="K2103" s="140">
        <f>VLOOKUP(LEN(SUBSTITUTE(H2103,"-","")),datos!$A$1:$B$12,2,0)</f>
        <v>7</v>
      </c>
      <c r="L2103" s="138"/>
      <c r="M2103" s="138" t="s">
        <v>0</v>
      </c>
    </row>
    <row r="2104" spans="1:13" x14ac:dyDescent="0.35">
      <c r="A2104" s="138" t="s">
        <v>487</v>
      </c>
      <c r="B2104" s="138" t="s">
        <v>3809</v>
      </c>
      <c r="C2104" s="138" t="s">
        <v>4035</v>
      </c>
      <c r="D2104" s="138" t="s">
        <v>4085</v>
      </c>
      <c r="E2104" s="138" t="s">
        <v>4086</v>
      </c>
      <c r="F2104" s="138" t="s">
        <v>3854</v>
      </c>
      <c r="G2104" s="138" t="s">
        <v>5585</v>
      </c>
      <c r="H2104" s="81" t="str">
        <f t="shared" si="132"/>
        <v>TCCN-PTE-CON-MCN-ACT-STR-RP1</v>
      </c>
      <c r="I2104" s="138" t="str">
        <f>MID(H2104,1,(LEN(H2104)-VLOOKUP(K2104,datos!$B$2:$C$12,2,0)))</f>
        <v>TCCN-PTE-CON-MCN-ACT-STR-RP1</v>
      </c>
      <c r="J2104" s="138" t="s">
        <v>5013</v>
      </c>
      <c r="K2104" s="140">
        <f>VLOOKUP(LEN(SUBSTITUTE(H2104,"-","")),datos!$A$1:$B$12,2,0)</f>
        <v>7</v>
      </c>
      <c r="L2104" s="138"/>
      <c r="M2104" s="138" t="s">
        <v>0</v>
      </c>
    </row>
    <row r="2105" spans="1:13" x14ac:dyDescent="0.35">
      <c r="A2105" s="138" t="s">
        <v>487</v>
      </c>
      <c r="B2105" s="138" t="s">
        <v>3809</v>
      </c>
      <c r="C2105" s="138" t="s">
        <v>4035</v>
      </c>
      <c r="D2105" s="138" t="s">
        <v>4085</v>
      </c>
      <c r="E2105" s="138" t="s">
        <v>4086</v>
      </c>
      <c r="F2105" s="138" t="s">
        <v>3854</v>
      </c>
      <c r="G2105" s="138" t="s">
        <v>5586</v>
      </c>
      <c r="H2105" s="81" t="str">
        <f t="shared" si="132"/>
        <v>TCCN-PTE-CON-MCN-ACT-STR-RP2</v>
      </c>
      <c r="I2105" s="138" t="str">
        <f>MID(H2105,1,(LEN(H2105)-VLOOKUP(K2105,datos!$B$2:$C$12,2,0)))</f>
        <v>TCCN-PTE-CON-MCN-ACT-STR-RP2</v>
      </c>
      <c r="J2105" s="138" t="s">
        <v>5014</v>
      </c>
      <c r="K2105" s="140">
        <f>VLOOKUP(LEN(SUBSTITUTE(H2105,"-","")),datos!$A$1:$B$12,2,0)</f>
        <v>7</v>
      </c>
      <c r="L2105" s="138"/>
      <c r="M2105" s="138" t="s">
        <v>0</v>
      </c>
    </row>
    <row r="2106" spans="1:13" x14ac:dyDescent="0.35">
      <c r="A2106" s="138" t="s">
        <v>487</v>
      </c>
      <c r="B2106" s="138" t="s">
        <v>3809</v>
      </c>
      <c r="C2106" s="138" t="s">
        <v>4035</v>
      </c>
      <c r="D2106" s="138" t="s">
        <v>4085</v>
      </c>
      <c r="E2106" s="138" t="s">
        <v>4086</v>
      </c>
      <c r="F2106" s="138" t="s">
        <v>3854</v>
      </c>
      <c r="G2106" s="138" t="s">
        <v>5587</v>
      </c>
      <c r="H2106" s="81" t="str">
        <f t="shared" si="132"/>
        <v>TCCN-PTE-CON-MCN-ACT-STR-RP3</v>
      </c>
      <c r="I2106" s="138" t="str">
        <f>MID(H2106,1,(LEN(H2106)-VLOOKUP(K2106,datos!$B$2:$C$12,2,0)))</f>
        <v>TCCN-PTE-CON-MCN-ACT-STR-RP3</v>
      </c>
      <c r="J2106" s="138" t="s">
        <v>5009</v>
      </c>
      <c r="K2106" s="140">
        <f>VLOOKUP(LEN(SUBSTITUTE(H2106,"-","")),datos!$A$1:$B$12,2,0)</f>
        <v>7</v>
      </c>
      <c r="L2106" s="138"/>
      <c r="M2106" s="138" t="s">
        <v>0</v>
      </c>
    </row>
    <row r="2107" spans="1:13" x14ac:dyDescent="0.35">
      <c r="A2107" s="138" t="s">
        <v>487</v>
      </c>
      <c r="B2107" s="138" t="s">
        <v>3809</v>
      </c>
      <c r="C2107" s="138" t="s">
        <v>4035</v>
      </c>
      <c r="D2107" s="138" t="s">
        <v>4085</v>
      </c>
      <c r="E2107" s="138" t="s">
        <v>4086</v>
      </c>
      <c r="F2107" s="138" t="s">
        <v>3854</v>
      </c>
      <c r="G2107" s="138" t="s">
        <v>3922</v>
      </c>
      <c r="H2107" s="81" t="str">
        <f t="shared" si="132"/>
        <v>TCCN-PTE-CON-MCN-ACT-STR-PO1</v>
      </c>
      <c r="I2107" s="138" t="str">
        <f>MID(H2107,1,(LEN(H2107)-VLOOKUP(K2107,datos!$B$2:$C$12,2,0)))</f>
        <v>TCCN-PTE-CON-MCN-ACT-STR-PO1</v>
      </c>
      <c r="J2107" s="138" t="s">
        <v>5010</v>
      </c>
      <c r="K2107" s="140">
        <f>VLOOKUP(LEN(SUBSTITUTE(H2107,"-","")),datos!$A$1:$B$12,2,0)</f>
        <v>7</v>
      </c>
      <c r="L2107" s="138"/>
      <c r="M2107" s="138" t="s">
        <v>0</v>
      </c>
    </row>
    <row r="2108" spans="1:13" x14ac:dyDescent="0.35">
      <c r="A2108" s="138" t="s">
        <v>487</v>
      </c>
      <c r="B2108" s="138" t="s">
        <v>3809</v>
      </c>
      <c r="C2108" s="138" t="s">
        <v>4035</v>
      </c>
      <c r="D2108" s="138" t="s">
        <v>4085</v>
      </c>
      <c r="E2108" s="138" t="s">
        <v>4086</v>
      </c>
      <c r="F2108" s="138" t="s">
        <v>3854</v>
      </c>
      <c r="G2108" s="138" t="s">
        <v>3923</v>
      </c>
      <c r="H2108" s="81" t="str">
        <f t="shared" si="132"/>
        <v>TCCN-PTE-CON-MCN-ACT-STR-PO2</v>
      </c>
      <c r="I2108" s="138" t="str">
        <f>MID(H2108,1,(LEN(H2108)-VLOOKUP(K2108,datos!$B$2:$C$12,2,0)))</f>
        <v>TCCN-PTE-CON-MCN-ACT-STR-PO2</v>
      </c>
      <c r="J2108" s="138" t="s">
        <v>5015</v>
      </c>
      <c r="K2108" s="140">
        <f>VLOOKUP(LEN(SUBSTITUTE(H2108,"-","")),datos!$A$1:$B$12,2,0)</f>
        <v>7</v>
      </c>
      <c r="L2108" s="138"/>
      <c r="M2108" s="138" t="s">
        <v>0</v>
      </c>
    </row>
    <row r="2109" spans="1:13" x14ac:dyDescent="0.35">
      <c r="A2109" s="138" t="s">
        <v>487</v>
      </c>
      <c r="B2109" s="138" t="s">
        <v>3809</v>
      </c>
      <c r="C2109" s="138" t="s">
        <v>4035</v>
      </c>
      <c r="D2109" s="138" t="s">
        <v>4085</v>
      </c>
      <c r="E2109" s="138" t="s">
        <v>4086</v>
      </c>
      <c r="F2109" s="138" t="s">
        <v>3854</v>
      </c>
      <c r="G2109" s="138" t="s">
        <v>3924</v>
      </c>
      <c r="H2109" s="81" t="str">
        <f t="shared" si="132"/>
        <v>TCCN-PTE-CON-MCN-ACT-STR-PO3</v>
      </c>
      <c r="I2109" s="138" t="str">
        <f>MID(H2109,1,(LEN(H2109)-VLOOKUP(K2109,datos!$B$2:$C$12,2,0)))</f>
        <v>TCCN-PTE-CON-MCN-ACT-STR-PO3</v>
      </c>
      <c r="J2109" s="138" t="s">
        <v>5016</v>
      </c>
      <c r="K2109" s="140">
        <f>VLOOKUP(LEN(SUBSTITUTE(H2109,"-","")),datos!$A$1:$B$12,2,0)</f>
        <v>7</v>
      </c>
      <c r="L2109" s="138"/>
      <c r="M2109" s="138" t="s">
        <v>0</v>
      </c>
    </row>
    <row r="2110" spans="1:13" x14ac:dyDescent="0.35">
      <c r="A2110" s="138" t="s">
        <v>487</v>
      </c>
      <c r="B2110" s="138" t="s">
        <v>3809</v>
      </c>
      <c r="C2110" s="138" t="s">
        <v>4035</v>
      </c>
      <c r="D2110" s="138" t="s">
        <v>4085</v>
      </c>
      <c r="E2110" s="138" t="s">
        <v>4086</v>
      </c>
      <c r="F2110" s="138" t="s">
        <v>3854</v>
      </c>
      <c r="G2110" s="138" t="s">
        <v>3925</v>
      </c>
      <c r="H2110" s="81" t="str">
        <f t="shared" si="132"/>
        <v>TCCN-PTE-CON-MCN-ACT-STR-PO4</v>
      </c>
      <c r="I2110" s="138" t="str">
        <f>MID(H2110,1,(LEN(H2110)-VLOOKUP(K2110,datos!$B$2:$C$12,2,0)))</f>
        <v>TCCN-PTE-CON-MCN-ACT-STR-PO4</v>
      </c>
      <c r="J2110" s="138" t="s">
        <v>5017</v>
      </c>
      <c r="K2110" s="140">
        <f>VLOOKUP(LEN(SUBSTITUTE(H2110,"-","")),datos!$A$1:$B$12,2,0)</f>
        <v>7</v>
      </c>
      <c r="L2110" s="138"/>
      <c r="M2110" s="138" t="s">
        <v>0</v>
      </c>
    </row>
    <row r="2111" spans="1:13" x14ac:dyDescent="0.35">
      <c r="A2111" s="138" t="s">
        <v>487</v>
      </c>
      <c r="B2111" s="138" t="s">
        <v>3809</v>
      </c>
      <c r="C2111" s="138" t="s">
        <v>4035</v>
      </c>
      <c r="D2111" s="138" t="s">
        <v>4085</v>
      </c>
      <c r="E2111" s="138" t="s">
        <v>4086</v>
      </c>
      <c r="F2111" s="138" t="s">
        <v>3854</v>
      </c>
      <c r="G2111" s="138" t="s">
        <v>3926</v>
      </c>
      <c r="H2111" s="81" t="str">
        <f t="shared" si="132"/>
        <v>TCCN-PTE-CON-MCN-ACT-STR-PO5</v>
      </c>
      <c r="I2111" s="138" t="str">
        <f>MID(H2111,1,(LEN(H2111)-VLOOKUP(K2111,datos!$B$2:$C$12,2,0)))</f>
        <v>TCCN-PTE-CON-MCN-ACT-STR-PO5</v>
      </c>
      <c r="J2111" s="138" t="s">
        <v>5012</v>
      </c>
      <c r="K2111" s="140">
        <f>VLOOKUP(LEN(SUBSTITUTE(H2111,"-","")),datos!$A$1:$B$12,2,0)</f>
        <v>7</v>
      </c>
      <c r="L2111" s="138"/>
      <c r="M2111" s="138" t="s">
        <v>0</v>
      </c>
    </row>
    <row r="2112" spans="1:13" x14ac:dyDescent="0.35">
      <c r="A2112" s="137" t="s">
        <v>487</v>
      </c>
      <c r="B2112" s="137" t="s">
        <v>3809</v>
      </c>
      <c r="C2112" s="137" t="s">
        <v>4035</v>
      </c>
      <c r="D2112" s="137" t="s">
        <v>4085</v>
      </c>
      <c r="E2112" s="137" t="s">
        <v>4086</v>
      </c>
      <c r="F2112" s="137" t="s">
        <v>3816</v>
      </c>
      <c r="G2112" s="137"/>
      <c r="H2112" s="82" t="str">
        <f t="shared" si="132"/>
        <v>TCCN-PTE-CON-MCN-ACT-SHI-</v>
      </c>
      <c r="I2112" s="137" t="str">
        <f>MID(H2112,1,(LEN(H2112)-VLOOKUP(K2112,datos!$B$2:$C$12,2,0)))</f>
        <v>TCCN-PTE-CON-MCN-ACT-SHI</v>
      </c>
      <c r="J2112" s="137" t="s">
        <v>5011</v>
      </c>
      <c r="K2112" s="139">
        <f>VLOOKUP(LEN(SUBSTITUTE(H2112,"-","")),datos!$A$1:$B$12,2,0)</f>
        <v>6</v>
      </c>
      <c r="L2112" s="137"/>
      <c r="M2112" s="137" t="s">
        <v>0</v>
      </c>
    </row>
    <row r="2113" spans="1:13" x14ac:dyDescent="0.35">
      <c r="A2113" s="138" t="s">
        <v>487</v>
      </c>
      <c r="B2113" s="138" t="s">
        <v>3809</v>
      </c>
      <c r="C2113" s="138" t="s">
        <v>4035</v>
      </c>
      <c r="D2113" s="138" t="s">
        <v>4085</v>
      </c>
      <c r="E2113" s="138" t="s">
        <v>4086</v>
      </c>
      <c r="F2113" s="138" t="s">
        <v>3816</v>
      </c>
      <c r="G2113" s="138" t="s">
        <v>4042</v>
      </c>
      <c r="H2113" s="81" t="str">
        <f t="shared" ref="H2113" si="134">CONCATENATE(A2113,"-",B2113,"-",C2113,"-",D2113,"-",E2113,"-",F2113,"-",G2113)</f>
        <v>TCCN-PTE-CON-MCN-ACT-SHI-MHD</v>
      </c>
      <c r="I2113" s="138" t="str">
        <f>MID(H2113,1,(LEN(H2113)-VLOOKUP(K2113,datos!$B$2:$C$12,2,0)))</f>
        <v>TCCN-PTE-CON-MCN-ACT-SHI-MHD</v>
      </c>
      <c r="J2113" s="138" t="s">
        <v>8183</v>
      </c>
      <c r="K2113" s="140">
        <f>VLOOKUP(LEN(SUBSTITUTE(H2113,"-","")),datos!$A$1:$B$12,2,0)</f>
        <v>7</v>
      </c>
      <c r="L2113" s="138"/>
      <c r="M2113" s="138" t="s">
        <v>0</v>
      </c>
    </row>
    <row r="2114" spans="1:13" x14ac:dyDescent="0.35">
      <c r="A2114" s="138" t="s">
        <v>487</v>
      </c>
      <c r="B2114" s="138" t="s">
        <v>3809</v>
      </c>
      <c r="C2114" s="138" t="s">
        <v>4035</v>
      </c>
      <c r="D2114" s="138" t="s">
        <v>4085</v>
      </c>
      <c r="E2114" s="138" t="s">
        <v>4086</v>
      </c>
      <c r="F2114" s="138" t="s">
        <v>3816</v>
      </c>
      <c r="G2114" s="138" t="s">
        <v>3818</v>
      </c>
      <c r="H2114" s="81" t="str">
        <f t="shared" si="132"/>
        <v>TCCN-PTE-CON-MCN-ACT-SHI-BBA</v>
      </c>
      <c r="I2114" s="138" t="str">
        <f>MID(H2114,1,(LEN(H2114)-VLOOKUP(K2114,datos!$B$2:$C$12,2,0)))</f>
        <v>TCCN-PTE-CON-MCN-ACT-SHI-BBA</v>
      </c>
      <c r="J2114" s="138" t="s">
        <v>5018</v>
      </c>
      <c r="K2114" s="140">
        <f>VLOOKUP(LEN(SUBSTITUTE(H2114,"-","")),datos!$A$1:$B$12,2,0)</f>
        <v>7</v>
      </c>
      <c r="L2114" s="138"/>
      <c r="M2114" s="138" t="s">
        <v>0</v>
      </c>
    </row>
    <row r="2115" spans="1:13" x14ac:dyDescent="0.35">
      <c r="A2115" s="138" t="s">
        <v>487</v>
      </c>
      <c r="B2115" s="138" t="s">
        <v>3809</v>
      </c>
      <c r="C2115" s="138" t="s">
        <v>4035</v>
      </c>
      <c r="D2115" s="138" t="s">
        <v>4085</v>
      </c>
      <c r="E2115" s="138" t="s">
        <v>4086</v>
      </c>
      <c r="F2115" s="138" t="s">
        <v>3816</v>
      </c>
      <c r="G2115" s="138" t="s">
        <v>3819</v>
      </c>
      <c r="H2115" s="81" t="str">
        <f t="shared" si="132"/>
        <v>TCCN-PTE-CON-MCN-ACT-SHI-MOE</v>
      </c>
      <c r="I2115" s="138" t="str">
        <f>MID(H2115,1,(LEN(H2115)-VLOOKUP(K2115,datos!$B$2:$C$12,2,0)))</f>
        <v>TCCN-PTE-CON-MCN-ACT-SHI-MOE</v>
      </c>
      <c r="J2115" s="138" t="s">
        <v>5348</v>
      </c>
      <c r="K2115" s="140">
        <f>VLOOKUP(LEN(SUBSTITUTE(H2115,"-","")),datos!$A$1:$B$12,2,0)</f>
        <v>7</v>
      </c>
      <c r="L2115" s="138"/>
      <c r="M2115" s="138" t="s">
        <v>0</v>
      </c>
    </row>
    <row r="2116" spans="1:13" x14ac:dyDescent="0.35">
      <c r="A2116" s="138" t="s">
        <v>487</v>
      </c>
      <c r="B2116" s="138" t="s">
        <v>3809</v>
      </c>
      <c r="C2116" s="138" t="s">
        <v>4035</v>
      </c>
      <c r="D2116" s="138" t="s">
        <v>4085</v>
      </c>
      <c r="E2116" s="138" t="s">
        <v>4086</v>
      </c>
      <c r="F2116" s="138" t="s">
        <v>3816</v>
      </c>
      <c r="G2116" s="138" t="s">
        <v>4073</v>
      </c>
      <c r="H2116" s="81" t="str">
        <f t="shared" si="132"/>
        <v>TCCN-PTE-CON-MCN-ACT-SHI-PYV</v>
      </c>
      <c r="I2116" s="138" t="str">
        <f>MID(H2116,1,(LEN(H2116)-VLOOKUP(K2116,datos!$B$2:$C$12,2,0)))</f>
        <v>TCCN-PTE-CON-MCN-ACT-SHI-PYV</v>
      </c>
      <c r="J2116" s="138" t="s">
        <v>6734</v>
      </c>
      <c r="K2116" s="140">
        <f>VLOOKUP(LEN(SUBSTITUTE(H2116,"-","")),datos!$A$1:$B$12,2,0)</f>
        <v>7</v>
      </c>
      <c r="L2116" s="138"/>
      <c r="M2116" s="138" t="s">
        <v>0</v>
      </c>
    </row>
    <row r="2117" spans="1:13" x14ac:dyDescent="0.35">
      <c r="A2117" s="138" t="s">
        <v>487</v>
      </c>
      <c r="B2117" s="138" t="s">
        <v>3809</v>
      </c>
      <c r="C2117" s="138" t="s">
        <v>4035</v>
      </c>
      <c r="D2117" s="138" t="s">
        <v>4085</v>
      </c>
      <c r="E2117" s="138" t="s">
        <v>4086</v>
      </c>
      <c r="F2117" s="138" t="s">
        <v>3816</v>
      </c>
      <c r="G2117" s="138" t="s">
        <v>5568</v>
      </c>
      <c r="H2117" s="81" t="str">
        <f t="shared" si="132"/>
        <v>TCCN-PTE-CON-MCN-ACT-SHI-UNF</v>
      </c>
      <c r="I2117" s="138" t="str">
        <f>MID(H2117,1,(LEN(H2117)-VLOOKUP(K2117,datos!$B$2:$C$12,2,0)))</f>
        <v>TCCN-PTE-CON-MCN-ACT-SHI-UNF</v>
      </c>
      <c r="J2117" s="138" t="s">
        <v>5019</v>
      </c>
      <c r="K2117" s="140">
        <f>VLOOKUP(LEN(SUBSTITUTE(H2117,"-","")),datos!$A$1:$B$12,2,0)</f>
        <v>7</v>
      </c>
      <c r="L2117" s="138"/>
      <c r="M2117" s="138" t="s">
        <v>0</v>
      </c>
    </row>
    <row r="2118" spans="1:13" x14ac:dyDescent="0.35">
      <c r="A2118" s="138" t="s">
        <v>487</v>
      </c>
      <c r="B2118" s="138" t="s">
        <v>3809</v>
      </c>
      <c r="C2118" s="138" t="s">
        <v>4035</v>
      </c>
      <c r="D2118" s="138" t="s">
        <v>4085</v>
      </c>
      <c r="E2118" s="138" t="s">
        <v>4086</v>
      </c>
      <c r="F2118" s="138" t="s">
        <v>3816</v>
      </c>
      <c r="G2118" s="138" t="s">
        <v>3853</v>
      </c>
      <c r="H2118" s="81" t="str">
        <f t="shared" si="132"/>
        <v>TCCN-PTE-CON-MCN-ACT-SHI-EST</v>
      </c>
      <c r="I2118" s="138" t="str">
        <f>MID(H2118,1,(LEN(H2118)-VLOOKUP(K2118,datos!$B$2:$C$12,2,0)))</f>
        <v>TCCN-PTE-CON-MCN-ACT-SHI-EST</v>
      </c>
      <c r="J2118" s="138" t="s">
        <v>5020</v>
      </c>
      <c r="K2118" s="140">
        <f>VLOOKUP(LEN(SUBSTITUTE(H2118,"-","")),datos!$A$1:$B$12,2,0)</f>
        <v>7</v>
      </c>
      <c r="L2118" s="138"/>
      <c r="M2118" s="138" t="s">
        <v>0</v>
      </c>
    </row>
    <row r="2119" spans="1:13" x14ac:dyDescent="0.35">
      <c r="A2119" s="138" t="s">
        <v>487</v>
      </c>
      <c r="B2119" s="138" t="s">
        <v>3809</v>
      </c>
      <c r="C2119" s="138" t="s">
        <v>4035</v>
      </c>
      <c r="D2119" s="138" t="s">
        <v>4085</v>
      </c>
      <c r="E2119" s="138" t="s">
        <v>4086</v>
      </c>
      <c r="F2119" s="138" t="s">
        <v>3816</v>
      </c>
      <c r="G2119" s="138" t="s">
        <v>3820</v>
      </c>
      <c r="H2119" s="81" t="str">
        <f t="shared" si="132"/>
        <v>TCCN-PTE-CON-MCN-ACT-SHI-CUH</v>
      </c>
      <c r="I2119" s="138" t="str">
        <f>MID(H2119,1,(LEN(H2119)-VLOOKUP(K2119,datos!$B$2:$C$12,2,0)))</f>
        <v>TCCN-PTE-CON-MCN-ACT-SHI-CUH</v>
      </c>
      <c r="J2119" s="138" t="s">
        <v>5021</v>
      </c>
      <c r="K2119" s="140">
        <f>VLOOKUP(LEN(SUBSTITUTE(H2119,"-","")),datos!$A$1:$B$12,2,0)</f>
        <v>7</v>
      </c>
      <c r="L2119" s="138"/>
      <c r="M2119" s="138" t="s">
        <v>0</v>
      </c>
    </row>
    <row r="2120" spans="1:13" x14ac:dyDescent="0.35">
      <c r="A2120" s="138" t="s">
        <v>487</v>
      </c>
      <c r="B2120" s="138" t="s">
        <v>3809</v>
      </c>
      <c r="C2120" s="138" t="s">
        <v>4035</v>
      </c>
      <c r="D2120" s="138" t="s">
        <v>4085</v>
      </c>
      <c r="E2120" s="138" t="s">
        <v>4086</v>
      </c>
      <c r="F2120" s="138" t="s">
        <v>3816</v>
      </c>
      <c r="G2120" s="138" t="s">
        <v>7060</v>
      </c>
      <c r="H2120" s="81" t="str">
        <f t="shared" si="132"/>
        <v>TCCN-PTE-CON-MCN-ACT-SHI-MTP</v>
      </c>
      <c r="I2120" s="138" t="str">
        <f>MID(H2120,1,(LEN(H2120)-VLOOKUP(K2120,datos!$B$2:$C$12,2,0)))</f>
        <v>TCCN-PTE-CON-MCN-ACT-SHI-MTP</v>
      </c>
      <c r="J2120" s="138" t="s">
        <v>8077</v>
      </c>
      <c r="K2120" s="140">
        <f>VLOOKUP(LEN(SUBSTITUTE(H2120,"-","")),datos!$A$1:$B$12,2,0)</f>
        <v>7</v>
      </c>
      <c r="L2120" s="138"/>
      <c r="M2120" s="138" t="s">
        <v>0</v>
      </c>
    </row>
    <row r="2121" spans="1:13" x14ac:dyDescent="0.35">
      <c r="A2121" s="138" t="s">
        <v>487</v>
      </c>
      <c r="B2121" s="138" t="s">
        <v>3809</v>
      </c>
      <c r="C2121" s="138" t="s">
        <v>4035</v>
      </c>
      <c r="D2121" s="138" t="s">
        <v>4085</v>
      </c>
      <c r="E2121" s="138" t="s">
        <v>4086</v>
      </c>
      <c r="F2121" s="138" t="s">
        <v>3816</v>
      </c>
      <c r="G2121" s="138" t="s">
        <v>5256</v>
      </c>
      <c r="H2121" s="81" t="str">
        <f t="shared" si="132"/>
        <v>TCCN-PTE-CON-MCN-ACT-SHI-MNV</v>
      </c>
      <c r="I2121" s="138" t="str">
        <f>MID(H2121,1,(LEN(H2121)-VLOOKUP(K2121,datos!$B$2:$C$12,2,0)))</f>
        <v>TCCN-PTE-CON-MCN-ACT-SHI-MNV</v>
      </c>
      <c r="J2121" s="138" t="s">
        <v>7629</v>
      </c>
      <c r="K2121" s="140">
        <f>VLOOKUP(LEN(SUBSTITUTE(H2121,"-","")),datos!$A$1:$B$12,2,0)</f>
        <v>7</v>
      </c>
      <c r="L2121" s="138"/>
      <c r="M2121" s="138" t="s">
        <v>0</v>
      </c>
    </row>
    <row r="2122" spans="1:13" x14ac:dyDescent="0.35">
      <c r="A2122" s="137" t="s">
        <v>487</v>
      </c>
      <c r="B2122" s="137" t="s">
        <v>3809</v>
      </c>
      <c r="C2122" s="137" t="s">
        <v>4035</v>
      </c>
      <c r="D2122" s="137" t="s">
        <v>4085</v>
      </c>
      <c r="E2122" s="137" t="s">
        <v>4086</v>
      </c>
      <c r="F2122" s="137" t="s">
        <v>3831</v>
      </c>
      <c r="G2122" s="137"/>
      <c r="H2122" s="82" t="str">
        <f t="shared" si="132"/>
        <v>TCCN-PTE-CON-MCN-ACT-INS-</v>
      </c>
      <c r="I2122" s="137" t="str">
        <f>MID(H2122,1,(LEN(H2122)-VLOOKUP(K2122,datos!$B$2:$C$12,2,0)))</f>
        <v>TCCN-PTE-CON-MCN-ACT-INS</v>
      </c>
      <c r="J2122" s="137" t="s">
        <v>5022</v>
      </c>
      <c r="K2122" s="139">
        <f>VLOOKUP(LEN(SUBSTITUTE(H2122,"-","")),datos!$A$1:$B$12,2,0)</f>
        <v>6</v>
      </c>
      <c r="L2122" s="137"/>
      <c r="M2122" s="137" t="s">
        <v>0</v>
      </c>
    </row>
    <row r="2123" spans="1:13" x14ac:dyDescent="0.35">
      <c r="A2123" s="138" t="s">
        <v>487</v>
      </c>
      <c r="B2123" s="138" t="s">
        <v>3809</v>
      </c>
      <c r="C2123" s="138" t="s">
        <v>4035</v>
      </c>
      <c r="D2123" s="138" t="s">
        <v>4085</v>
      </c>
      <c r="E2123" s="138" t="s">
        <v>4086</v>
      </c>
      <c r="F2123" s="138" t="s">
        <v>3831</v>
      </c>
      <c r="G2123" s="138" t="s">
        <v>5202</v>
      </c>
      <c r="H2123" s="81" t="str">
        <f t="shared" si="132"/>
        <v>TCCN-PTE-CON-MCN-ACT-INS-MVD</v>
      </c>
      <c r="I2123" s="138" t="str">
        <f>MID(H2123,1,(LEN(H2123)-VLOOKUP(K2123,datos!$B$2:$C$12,2,0)))</f>
        <v>TCCN-PTE-CON-MCN-ACT-INS-MVD</v>
      </c>
      <c r="J2123" s="138" t="s">
        <v>8100</v>
      </c>
      <c r="K2123" s="140">
        <f>VLOOKUP(LEN(SUBSTITUTE(H2123,"-","")),datos!$A$1:$B$12,2,0)</f>
        <v>7</v>
      </c>
      <c r="L2123" s="138" t="s">
        <v>1742</v>
      </c>
      <c r="M2123" s="138" t="s">
        <v>0</v>
      </c>
    </row>
    <row r="2124" spans="1:13" x14ac:dyDescent="0.35">
      <c r="A2124" s="138" t="s">
        <v>487</v>
      </c>
      <c r="B2124" s="138" t="s">
        <v>3809</v>
      </c>
      <c r="C2124" s="138" t="s">
        <v>4035</v>
      </c>
      <c r="D2124" s="138" t="s">
        <v>4085</v>
      </c>
      <c r="E2124" s="138" t="s">
        <v>4086</v>
      </c>
      <c r="F2124" s="138" t="s">
        <v>3831</v>
      </c>
      <c r="G2124" s="138" t="s">
        <v>4087</v>
      </c>
      <c r="H2124" s="81" t="str">
        <f t="shared" si="132"/>
        <v>TCCN-PTE-CON-MCN-ACT-INS-ICO</v>
      </c>
      <c r="I2124" s="138" t="str">
        <f>MID(H2124,1,(LEN(H2124)-VLOOKUP(K2124,datos!$B$2:$C$12,2,0)))</f>
        <v>TCCN-PTE-CON-MCN-ACT-INS-ICO</v>
      </c>
      <c r="J2124" s="138" t="s">
        <v>6716</v>
      </c>
      <c r="K2124" s="140">
        <f>VLOOKUP(LEN(SUBSTITUTE(H2124,"-","")),datos!$A$1:$B$12,2,0)</f>
        <v>7</v>
      </c>
      <c r="L2124" s="138" t="s">
        <v>1744</v>
      </c>
      <c r="M2124" s="138" t="s">
        <v>0</v>
      </c>
    </row>
    <row r="2125" spans="1:13" x14ac:dyDescent="0.35">
      <c r="A2125" s="138" t="s">
        <v>487</v>
      </c>
      <c r="B2125" s="138" t="s">
        <v>3809</v>
      </c>
      <c r="C2125" s="138" t="s">
        <v>4035</v>
      </c>
      <c r="D2125" s="138" t="s">
        <v>4085</v>
      </c>
      <c r="E2125" s="138" t="s">
        <v>4086</v>
      </c>
      <c r="F2125" s="138" t="s">
        <v>3831</v>
      </c>
      <c r="G2125" s="138" t="s">
        <v>3832</v>
      </c>
      <c r="H2125" s="81" t="str">
        <f t="shared" si="132"/>
        <v>TCCN-PTE-CON-MCN-ACT-INS-PE1</v>
      </c>
      <c r="I2125" s="138" t="str">
        <f>MID(H2125,1,(LEN(H2125)-VLOOKUP(K2125,datos!$B$2:$C$12,2,0)))</f>
        <v>TCCN-PTE-CON-MCN-ACT-INS-PE1</v>
      </c>
      <c r="J2125" s="138" t="s">
        <v>5023</v>
      </c>
      <c r="K2125" s="140">
        <f>VLOOKUP(LEN(SUBSTITUTE(H2125,"-","")),datos!$A$1:$B$12,2,0)</f>
        <v>7</v>
      </c>
      <c r="L2125" s="138" t="s">
        <v>7145</v>
      </c>
      <c r="M2125" s="138" t="s">
        <v>0</v>
      </c>
    </row>
    <row r="2126" spans="1:13" x14ac:dyDescent="0.35">
      <c r="A2126" s="138" t="s">
        <v>487</v>
      </c>
      <c r="B2126" s="138" t="s">
        <v>3809</v>
      </c>
      <c r="C2126" s="138" t="s">
        <v>4035</v>
      </c>
      <c r="D2126" s="138" t="s">
        <v>4085</v>
      </c>
      <c r="E2126" s="138" t="s">
        <v>4086</v>
      </c>
      <c r="F2126" s="138" t="s">
        <v>3831</v>
      </c>
      <c r="G2126" s="138" t="s">
        <v>6813</v>
      </c>
      <c r="H2126" s="81" t="str">
        <f t="shared" si="132"/>
        <v>TCCN-PTE-CON-MCN-ACT-INS-IDE</v>
      </c>
      <c r="I2126" s="138" t="str">
        <f>MID(H2126,1,(LEN(H2126)-VLOOKUP(K2126,datos!$B$2:$C$12,2,0)))</f>
        <v>TCCN-PTE-CON-MCN-ACT-INS-IDE</v>
      </c>
      <c r="J2126" s="138" t="s">
        <v>5024</v>
      </c>
      <c r="K2126" s="140">
        <f>VLOOKUP(LEN(SUBSTITUTE(H2126,"-","")),datos!$A$1:$B$12,2,0)</f>
        <v>7</v>
      </c>
      <c r="L2126" s="138" t="s">
        <v>7146</v>
      </c>
      <c r="M2126" s="138" t="s">
        <v>0</v>
      </c>
    </row>
    <row r="2127" spans="1:13" x14ac:dyDescent="0.35">
      <c r="A2127" s="138" t="s">
        <v>487</v>
      </c>
      <c r="B2127" s="138" t="s">
        <v>3809</v>
      </c>
      <c r="C2127" s="138" t="s">
        <v>4035</v>
      </c>
      <c r="D2127" s="138" t="s">
        <v>4085</v>
      </c>
      <c r="E2127" s="138" t="s">
        <v>4086</v>
      </c>
      <c r="F2127" s="138" t="s">
        <v>3831</v>
      </c>
      <c r="G2127" s="138" t="s">
        <v>4088</v>
      </c>
      <c r="H2127" s="81" t="str">
        <f t="shared" si="132"/>
        <v>TCCN-PTE-CON-MCN-ACT-INS-BYB</v>
      </c>
      <c r="I2127" s="138" t="str">
        <f>MID(H2127,1,(LEN(H2127)-VLOOKUP(K2127,datos!$B$2:$C$12,2,0)))</f>
        <v>TCCN-PTE-CON-MCN-ACT-INS-BYB</v>
      </c>
      <c r="J2127" s="138" t="s">
        <v>5025</v>
      </c>
      <c r="K2127" s="140">
        <f>VLOOKUP(LEN(SUBSTITUTE(H2127,"-","")),datos!$A$1:$B$12,2,0)</f>
        <v>7</v>
      </c>
      <c r="L2127" s="138" t="s">
        <v>1753</v>
      </c>
      <c r="M2127" s="138" t="s">
        <v>0</v>
      </c>
    </row>
    <row r="2128" spans="1:13" x14ac:dyDescent="0.35">
      <c r="A2128" s="138" t="s">
        <v>487</v>
      </c>
      <c r="B2128" s="138" t="s">
        <v>3809</v>
      </c>
      <c r="C2128" s="138" t="s">
        <v>4035</v>
      </c>
      <c r="D2128" s="138" t="s">
        <v>4085</v>
      </c>
      <c r="E2128" s="138" t="s">
        <v>4086</v>
      </c>
      <c r="F2128" s="138" t="s">
        <v>3831</v>
      </c>
      <c r="G2128" s="138" t="s">
        <v>7060</v>
      </c>
      <c r="H2128" s="81" t="str">
        <f t="shared" si="132"/>
        <v>TCCN-PTE-CON-MCN-ACT-INS-MTP</v>
      </c>
      <c r="I2128" s="138" t="str">
        <f>MID(H2128,1,(LEN(H2128)-VLOOKUP(K2128,datos!$B$2:$C$12,2,0)))</f>
        <v>TCCN-PTE-CON-MCN-ACT-INS-MTP</v>
      </c>
      <c r="J2128" s="138" t="s">
        <v>8078</v>
      </c>
      <c r="K2128" s="140">
        <f>VLOOKUP(LEN(SUBSTITUTE(H2128,"-","")),datos!$A$1:$B$12,2,0)</f>
        <v>7</v>
      </c>
      <c r="L2128" s="138" t="s">
        <v>7628</v>
      </c>
      <c r="M2128" s="138" t="s">
        <v>0</v>
      </c>
    </row>
    <row r="2129" spans="1:13" x14ac:dyDescent="0.35">
      <c r="A2129" s="137" t="s">
        <v>487</v>
      </c>
      <c r="B2129" s="137" t="s">
        <v>3809</v>
      </c>
      <c r="C2129" s="137" t="s">
        <v>4035</v>
      </c>
      <c r="D2129" s="137" t="s">
        <v>4085</v>
      </c>
      <c r="E2129" s="137" t="s">
        <v>4086</v>
      </c>
      <c r="F2129" s="137" t="s">
        <v>3869</v>
      </c>
      <c r="G2129" s="137"/>
      <c r="H2129" s="82" t="str">
        <f t="shared" si="132"/>
        <v>TCCN-PTE-CON-MCN-ACT-SCE-</v>
      </c>
      <c r="I2129" s="137" t="str">
        <f>MID(H2129,1,(LEN(H2129)-VLOOKUP(K2129,datos!$B$2:$C$12,2,0)))</f>
        <v>TCCN-PTE-CON-MCN-ACT-SCE</v>
      </c>
      <c r="J2129" s="137" t="s">
        <v>5026</v>
      </c>
      <c r="K2129" s="139">
        <f>VLOOKUP(LEN(SUBSTITUTE(H2129,"-","")),datos!$A$1:$B$12,2,0)</f>
        <v>6</v>
      </c>
      <c r="L2129" s="137"/>
      <c r="M2129" s="137" t="s">
        <v>0</v>
      </c>
    </row>
    <row r="2130" spans="1:13" x14ac:dyDescent="0.35">
      <c r="A2130" s="138" t="s">
        <v>487</v>
      </c>
      <c r="B2130" s="138" t="s">
        <v>3809</v>
      </c>
      <c r="C2130" s="138" t="s">
        <v>4035</v>
      </c>
      <c r="D2130" s="138" t="s">
        <v>4085</v>
      </c>
      <c r="E2130" s="138" t="s">
        <v>4086</v>
      </c>
      <c r="F2130" s="138" t="s">
        <v>3869</v>
      </c>
      <c r="G2130" s="138" t="s">
        <v>3870</v>
      </c>
      <c r="H2130" s="81" t="str">
        <f t="shared" si="132"/>
        <v>TCCN-PTE-CON-MCN-ACT-SCE-BTN</v>
      </c>
      <c r="I2130" s="138" t="str">
        <f>MID(H2130,1,(LEN(H2130)-VLOOKUP(K2130,datos!$B$2:$C$12,2,0)))</f>
        <v>TCCN-PTE-CON-MCN-ACT-SCE-BTN</v>
      </c>
      <c r="J2130" s="138" t="s">
        <v>6260</v>
      </c>
      <c r="K2130" s="140">
        <f>VLOOKUP(LEN(SUBSTITUTE(H2130,"-","")),datos!$A$1:$B$12,2,0)</f>
        <v>7</v>
      </c>
      <c r="L2130" s="138"/>
      <c r="M2130" s="138" t="s">
        <v>0</v>
      </c>
    </row>
    <row r="2131" spans="1:13" customFormat="1" ht="14.5" x14ac:dyDescent="0.35">
      <c r="A2131" s="129" t="s">
        <v>487</v>
      </c>
      <c r="B2131" s="129" t="s">
        <v>3809</v>
      </c>
      <c r="C2131" s="129" t="s">
        <v>4035</v>
      </c>
      <c r="D2131" s="129" t="s">
        <v>4085</v>
      </c>
      <c r="E2131" s="129" t="s">
        <v>3865</v>
      </c>
      <c r="F2131" s="129"/>
      <c r="G2131" s="129"/>
      <c r="H2131" s="83" t="str">
        <f t="shared" ref="H2131:H2181" si="135">CONCATENATE(A2131,"-",B2131,"-",C2131,"-",D2131,"-",E2131,"-",F2131,"-",G2131)</f>
        <v>TCCN-PTE-CON-MCN-PES--</v>
      </c>
      <c r="I2131" s="129" t="str">
        <f>MID(H2131,1,(LEN(H2131)-VLOOKUP(K2131,datos!$B$2:$C$12,2,0)))</f>
        <v>TCCN-PTE-CON-MCN-PES</v>
      </c>
      <c r="J2131" s="129" t="s">
        <v>5234</v>
      </c>
      <c r="K2131" s="130">
        <f>VLOOKUP(LEN(SUBSTITUTE(H2131,"-","")),datos!$A$1:$B$12,2,0)</f>
        <v>5</v>
      </c>
      <c r="L2131" s="129" t="s">
        <v>1754</v>
      </c>
      <c r="M2131" s="129" t="s">
        <v>0</v>
      </c>
    </row>
    <row r="2132" spans="1:13" x14ac:dyDescent="0.35">
      <c r="A2132" s="137" t="s">
        <v>487</v>
      </c>
      <c r="B2132" s="137" t="s">
        <v>3809</v>
      </c>
      <c r="C2132" s="137" t="s">
        <v>4035</v>
      </c>
      <c r="D2132" s="137" t="s">
        <v>4085</v>
      </c>
      <c r="E2132" s="137" t="s">
        <v>3865</v>
      </c>
      <c r="F2132" s="137" t="s">
        <v>5199</v>
      </c>
      <c r="G2132" s="137"/>
      <c r="H2132" s="82" t="str">
        <f t="shared" si="135"/>
        <v>TCCN-PTE-CON-MCN-PES-SPJ-</v>
      </c>
      <c r="I2132" s="137" t="str">
        <f>MID(H2132,1,(LEN(H2132)-VLOOKUP(K2132,datos!$B$2:$C$12,2,0)))</f>
        <v>TCCN-PTE-CON-MCN-PES-SPJ</v>
      </c>
      <c r="J2132" s="137" t="s">
        <v>6597</v>
      </c>
      <c r="K2132" s="139">
        <f>VLOOKUP(LEN(SUBSTITUTE(H2132,"-","")),datos!$A$1:$B$12,2,0)</f>
        <v>6</v>
      </c>
      <c r="L2132" s="137"/>
      <c r="M2132" s="137" t="s">
        <v>0</v>
      </c>
    </row>
    <row r="2133" spans="1:13" x14ac:dyDescent="0.35">
      <c r="A2133" s="138" t="s">
        <v>487</v>
      </c>
      <c r="B2133" s="138" t="s">
        <v>3809</v>
      </c>
      <c r="C2133" s="138" t="s">
        <v>4035</v>
      </c>
      <c r="D2133" s="138" t="s">
        <v>4085</v>
      </c>
      <c r="E2133" s="138" t="s">
        <v>3865</v>
      </c>
      <c r="F2133" s="138" t="s">
        <v>5199</v>
      </c>
      <c r="G2133" s="138" t="s">
        <v>6320</v>
      </c>
      <c r="H2133" s="81" t="str">
        <f t="shared" si="135"/>
        <v>TCCN-PTE-CON-MCN-PES-SPJ-UMP</v>
      </c>
      <c r="I2133" s="138" t="str">
        <f>MID(H2133,1,(LEN(H2133)-VLOOKUP(K2133,datos!$B$2:$C$12,2,0)))</f>
        <v>TCCN-PTE-CON-MCN-PES-SPJ-UMP</v>
      </c>
      <c r="J2133" s="138" t="s">
        <v>6598</v>
      </c>
      <c r="K2133" s="140">
        <f>VLOOKUP(LEN(SUBSTITUTE(H2133,"-","")),datos!$A$1:$B$12,2,0)</f>
        <v>7</v>
      </c>
      <c r="L2133" s="138"/>
      <c r="M2133" s="138" t="s">
        <v>0</v>
      </c>
    </row>
    <row r="2134" spans="1:13" x14ac:dyDescent="0.35">
      <c r="A2134" s="138" t="s">
        <v>487</v>
      </c>
      <c r="B2134" s="138" t="s">
        <v>3809</v>
      </c>
      <c r="C2134" s="138" t="s">
        <v>4035</v>
      </c>
      <c r="D2134" s="138" t="s">
        <v>4085</v>
      </c>
      <c r="E2134" s="138" t="s">
        <v>3865</v>
      </c>
      <c r="F2134" s="138" t="s">
        <v>5199</v>
      </c>
      <c r="G2134" s="138" t="s">
        <v>3958</v>
      </c>
      <c r="H2134" s="81" t="str">
        <f t="shared" si="135"/>
        <v>TCCN-PTE-CON-MCN-PES-SPJ-CDC</v>
      </c>
      <c r="I2134" s="138" t="str">
        <f>MID(H2134,1,(LEN(H2134)-VLOOKUP(K2134,datos!$B$2:$C$12,2,0)))</f>
        <v>TCCN-PTE-CON-MCN-PES-SPJ-CDC</v>
      </c>
      <c r="J2134" s="138" t="s">
        <v>6599</v>
      </c>
      <c r="K2134" s="140">
        <f>VLOOKUP(LEN(SUBSTITUTE(H2134,"-","")),datos!$A$1:$B$12,2,0)</f>
        <v>7</v>
      </c>
      <c r="L2134" s="138"/>
      <c r="M2134" s="138" t="s">
        <v>0</v>
      </c>
    </row>
    <row r="2135" spans="1:13" x14ac:dyDescent="0.35">
      <c r="A2135" s="138" t="s">
        <v>487</v>
      </c>
      <c r="B2135" s="138" t="s">
        <v>3809</v>
      </c>
      <c r="C2135" s="138" t="s">
        <v>4035</v>
      </c>
      <c r="D2135" s="138" t="s">
        <v>4085</v>
      </c>
      <c r="E2135" s="138" t="s">
        <v>3865</v>
      </c>
      <c r="F2135" s="138" t="s">
        <v>5199</v>
      </c>
      <c r="G2135" s="138" t="s">
        <v>5200</v>
      </c>
      <c r="H2135" s="81" t="str">
        <f t="shared" si="135"/>
        <v>TCCN-PTE-CON-MCN-PES-SPJ-CSU</v>
      </c>
      <c r="I2135" s="138" t="str">
        <f>MID(H2135,1,(LEN(H2135)-VLOOKUP(K2135,datos!$B$2:$C$12,2,0)))</f>
        <v>TCCN-PTE-CON-MCN-PES-SPJ-CSU</v>
      </c>
      <c r="J2135" s="138" t="s">
        <v>6600</v>
      </c>
      <c r="K2135" s="140">
        <f>VLOOKUP(LEN(SUBSTITUTE(H2135,"-","")),datos!$A$1:$B$12,2,0)</f>
        <v>7</v>
      </c>
      <c r="L2135" s="138"/>
      <c r="M2135" s="138" t="s">
        <v>0</v>
      </c>
    </row>
    <row r="2136" spans="1:13" x14ac:dyDescent="0.35">
      <c r="A2136" s="138" t="s">
        <v>487</v>
      </c>
      <c r="B2136" s="138" t="s">
        <v>3809</v>
      </c>
      <c r="C2136" s="138" t="s">
        <v>4035</v>
      </c>
      <c r="D2136" s="138" t="s">
        <v>4085</v>
      </c>
      <c r="E2136" s="138" t="s">
        <v>3865</v>
      </c>
      <c r="F2136" s="138" t="s">
        <v>5199</v>
      </c>
      <c r="G2136" s="138" t="s">
        <v>5198</v>
      </c>
      <c r="H2136" s="81" t="str">
        <f t="shared" si="135"/>
        <v>TCCN-PTE-CON-MCN-PES-SPJ-POL</v>
      </c>
      <c r="I2136" s="138" t="str">
        <f>MID(H2136,1,(LEN(H2136)-VLOOKUP(K2136,datos!$B$2:$C$12,2,0)))</f>
        <v>TCCN-PTE-CON-MCN-PES-SPJ-POL</v>
      </c>
      <c r="J2136" s="138" t="s">
        <v>6601</v>
      </c>
      <c r="K2136" s="140">
        <f>VLOOKUP(LEN(SUBSTITUTE(H2136,"-","")),datos!$A$1:$B$12,2,0)</f>
        <v>7</v>
      </c>
      <c r="L2136" s="138"/>
      <c r="M2136" s="138" t="s">
        <v>0</v>
      </c>
    </row>
    <row r="2137" spans="1:13" x14ac:dyDescent="0.35">
      <c r="A2137" s="138" t="s">
        <v>487</v>
      </c>
      <c r="B2137" s="138" t="s">
        <v>3809</v>
      </c>
      <c r="C2137" s="138" t="s">
        <v>4035</v>
      </c>
      <c r="D2137" s="138" t="s">
        <v>4085</v>
      </c>
      <c r="E2137" s="138" t="s">
        <v>3865</v>
      </c>
      <c r="F2137" s="138" t="s">
        <v>5199</v>
      </c>
      <c r="G2137" s="138" t="s">
        <v>5201</v>
      </c>
      <c r="H2137" s="81" t="str">
        <f t="shared" si="135"/>
        <v>TCCN-PTE-CON-MCN-PES-SPJ-PAT</v>
      </c>
      <c r="I2137" s="138" t="str">
        <f>MID(H2137,1,(LEN(H2137)-VLOOKUP(K2137,datos!$B$2:$C$12,2,0)))</f>
        <v>TCCN-PTE-CON-MCN-PES-SPJ-PAT</v>
      </c>
      <c r="J2137" s="138" t="s">
        <v>6602</v>
      </c>
      <c r="K2137" s="140">
        <f>VLOOKUP(LEN(SUBSTITUTE(H2137,"-","")),datos!$A$1:$B$12,2,0)</f>
        <v>7</v>
      </c>
      <c r="L2137" s="138"/>
      <c r="M2137" s="138" t="s">
        <v>0</v>
      </c>
    </row>
    <row r="2138" spans="1:13" x14ac:dyDescent="0.35">
      <c r="A2138" s="138" t="s">
        <v>487</v>
      </c>
      <c r="B2138" s="138" t="s">
        <v>3809</v>
      </c>
      <c r="C2138" s="138" t="s">
        <v>4035</v>
      </c>
      <c r="D2138" s="138" t="s">
        <v>4085</v>
      </c>
      <c r="E2138" s="138" t="s">
        <v>3865</v>
      </c>
      <c r="F2138" s="138" t="s">
        <v>5199</v>
      </c>
      <c r="G2138" s="138" t="s">
        <v>5202</v>
      </c>
      <c r="H2138" s="81" t="str">
        <f t="shared" si="135"/>
        <v>TCCN-PTE-CON-MCN-PES-SPJ-MVD</v>
      </c>
      <c r="I2138" s="138" t="str">
        <f>MID(H2138,1,(LEN(H2138)-VLOOKUP(K2138,datos!$B$2:$C$12,2,0)))</f>
        <v>TCCN-PTE-CON-MCN-PES-SPJ-MVD</v>
      </c>
      <c r="J2138" s="138" t="s">
        <v>8101</v>
      </c>
      <c r="K2138" s="140">
        <f>VLOOKUP(LEN(SUBSTITUTE(H2138,"-","")),datos!$A$1:$B$12,2,0)</f>
        <v>7</v>
      </c>
      <c r="L2138" s="138"/>
      <c r="M2138" s="138" t="s">
        <v>0</v>
      </c>
    </row>
    <row r="2139" spans="1:13" customFormat="1" ht="14.5" x14ac:dyDescent="0.35">
      <c r="A2139" s="129" t="s">
        <v>487</v>
      </c>
      <c r="B2139" s="129" t="s">
        <v>3809</v>
      </c>
      <c r="C2139" s="129" t="s">
        <v>4035</v>
      </c>
      <c r="D2139" s="129" t="s">
        <v>4085</v>
      </c>
      <c r="E2139" s="129" t="s">
        <v>3866</v>
      </c>
      <c r="F2139" s="129"/>
      <c r="G2139" s="129"/>
      <c r="H2139" s="83" t="str">
        <f t="shared" si="135"/>
        <v>TCCN-PTE-CON-MCN-TC1--</v>
      </c>
      <c r="I2139" s="129" t="str">
        <f>MID(H2139,1,(LEN(H2139)-VLOOKUP(K2139,datos!$B$2:$C$12,2,0)))</f>
        <v>TCCN-PTE-CON-MCN-TC1</v>
      </c>
      <c r="J2139" s="129" t="s">
        <v>599</v>
      </c>
      <c r="K2139" s="130">
        <f>VLOOKUP(LEN(SUBSTITUTE(H2139,"-","")),datos!$A$1:$B$12,2,0)</f>
        <v>5</v>
      </c>
      <c r="L2139" s="129" t="s">
        <v>295</v>
      </c>
      <c r="M2139" s="129" t="s">
        <v>0</v>
      </c>
    </row>
    <row r="2140" spans="1:13" customFormat="1" ht="14.5" x14ac:dyDescent="0.35">
      <c r="A2140" s="129" t="s">
        <v>487</v>
      </c>
      <c r="B2140" s="129" t="s">
        <v>3809</v>
      </c>
      <c r="C2140" s="129" t="s">
        <v>4035</v>
      </c>
      <c r="D2140" s="129" t="s">
        <v>4085</v>
      </c>
      <c r="E2140" s="129" t="s">
        <v>3852</v>
      </c>
      <c r="F2140" s="129"/>
      <c r="G2140" s="129"/>
      <c r="H2140" s="83" t="str">
        <f t="shared" si="135"/>
        <v>TCCN-PTE-CON-MCN-CTR--</v>
      </c>
      <c r="I2140" s="129" t="str">
        <f>MID(H2140,1,(LEN(H2140)-VLOOKUP(K2140,datos!$B$2:$C$12,2,0)))</f>
        <v>TCCN-PTE-CON-MCN-CTR</v>
      </c>
      <c r="J2140" s="129" t="s">
        <v>296</v>
      </c>
      <c r="K2140" s="130">
        <f>VLOOKUP(LEN(SUBSTITUTE(H2140,"-","")),datos!$A$1:$B$12,2,0)</f>
        <v>5</v>
      </c>
      <c r="L2140" s="129" t="s">
        <v>297</v>
      </c>
      <c r="M2140" s="129" t="s">
        <v>0</v>
      </c>
    </row>
    <row r="2141" spans="1:13" x14ac:dyDescent="0.35">
      <c r="A2141" s="137" t="s">
        <v>487</v>
      </c>
      <c r="B2141" s="137" t="s">
        <v>3809</v>
      </c>
      <c r="C2141" s="137" t="s">
        <v>4035</v>
      </c>
      <c r="D2141" s="137" t="s">
        <v>4085</v>
      </c>
      <c r="E2141" s="137" t="s">
        <v>3852</v>
      </c>
      <c r="F2141" s="137" t="s">
        <v>3824</v>
      </c>
      <c r="G2141" s="137"/>
      <c r="H2141" s="82" t="str">
        <f t="shared" si="135"/>
        <v>TCCN-PTE-CON-MCN-CTR-SES-</v>
      </c>
      <c r="I2141" s="137" t="str">
        <f>MID(H2141,1,(LEN(H2141)-VLOOKUP(K2141,datos!$B$2:$C$12,2,0)))</f>
        <v>TCCN-PTE-CON-MCN-CTR-SES</v>
      </c>
      <c r="J2141" s="137" t="s">
        <v>4635</v>
      </c>
      <c r="K2141" s="139">
        <f>VLOOKUP(LEN(SUBSTITUTE(H2141,"-","")),datos!$A$1:$B$12,2,0)</f>
        <v>6</v>
      </c>
      <c r="L2141" s="137"/>
      <c r="M2141" s="137" t="s">
        <v>0</v>
      </c>
    </row>
    <row r="2142" spans="1:13" x14ac:dyDescent="0.35">
      <c r="A2142" s="138" t="s">
        <v>487</v>
      </c>
      <c r="B2142" s="138" t="s">
        <v>3809</v>
      </c>
      <c r="C2142" s="138" t="s">
        <v>4035</v>
      </c>
      <c r="D2142" s="138" t="s">
        <v>4085</v>
      </c>
      <c r="E2142" s="138" t="s">
        <v>3852</v>
      </c>
      <c r="F2142" s="138" t="s">
        <v>3824</v>
      </c>
      <c r="G2142" s="138" t="s">
        <v>3853</v>
      </c>
      <c r="H2142" s="81" t="str">
        <f t="shared" si="135"/>
        <v>TCCN-PTE-CON-MCN-CTR-SES-EST</v>
      </c>
      <c r="I2142" s="138" t="str">
        <f>MID(H2142,1,(LEN(H2142)-VLOOKUP(K2142,datos!$B$2:$C$12,2,0)))</f>
        <v>TCCN-PTE-CON-MCN-CTR-SES-EST</v>
      </c>
      <c r="J2142" s="138" t="s">
        <v>4634</v>
      </c>
      <c r="K2142" s="140">
        <f>VLOOKUP(LEN(SUBSTITUTE(H2142,"-","")),datos!$A$1:$B$12,2,0)</f>
        <v>7</v>
      </c>
      <c r="L2142" s="138"/>
      <c r="M2142" s="138" t="s">
        <v>0</v>
      </c>
    </row>
    <row r="2143" spans="1:13" x14ac:dyDescent="0.35">
      <c r="A2143" s="138" t="s">
        <v>487</v>
      </c>
      <c r="B2143" s="138" t="s">
        <v>3809</v>
      </c>
      <c r="C2143" s="138" t="s">
        <v>4035</v>
      </c>
      <c r="D2143" s="138" t="s">
        <v>4085</v>
      </c>
      <c r="E2143" s="138" t="s">
        <v>3852</v>
      </c>
      <c r="F2143" s="138" t="s">
        <v>3824</v>
      </c>
      <c r="G2143" s="138" t="s">
        <v>3825</v>
      </c>
      <c r="H2143" s="81" t="str">
        <f t="shared" si="135"/>
        <v>TCCN-PTE-CON-MCN-CTR-SES-CHU</v>
      </c>
      <c r="I2143" s="138" t="str">
        <f>MID(H2143,1,(LEN(H2143)-VLOOKUP(K2143,datos!$B$2:$C$12,2,0)))</f>
        <v>TCCN-PTE-CON-MCN-CTR-SES-CHU</v>
      </c>
      <c r="J2143" s="138" t="s">
        <v>6843</v>
      </c>
      <c r="K2143" s="140">
        <f>VLOOKUP(LEN(SUBSTITUTE(H2143,"-","")),datos!$A$1:$B$12,2,0)</f>
        <v>7</v>
      </c>
      <c r="L2143" s="138" t="s">
        <v>6840</v>
      </c>
      <c r="M2143" s="138" t="s">
        <v>0</v>
      </c>
    </row>
    <row r="2144" spans="1:13" x14ac:dyDescent="0.35">
      <c r="A2144" s="137" t="s">
        <v>487</v>
      </c>
      <c r="B2144" s="137" t="s">
        <v>3809</v>
      </c>
      <c r="C2144" s="137" t="s">
        <v>4035</v>
      </c>
      <c r="D2144" s="137" t="s">
        <v>4085</v>
      </c>
      <c r="E2144" s="137" t="s">
        <v>3852</v>
      </c>
      <c r="F2144" s="137" t="s">
        <v>3854</v>
      </c>
      <c r="G2144" s="137"/>
      <c r="H2144" s="82" t="str">
        <f t="shared" si="135"/>
        <v>TCCN-PTE-CON-MCN-CTR-STR-</v>
      </c>
      <c r="I2144" s="137" t="str">
        <f>MID(H2144,1,(LEN(H2144)-VLOOKUP(K2144,datos!$B$2:$C$12,2,0)))</f>
        <v>TCCN-PTE-CON-MCN-CTR-STR</v>
      </c>
      <c r="J2144" s="137" t="s">
        <v>4636</v>
      </c>
      <c r="K2144" s="139">
        <f>VLOOKUP(LEN(SUBSTITUTE(H2144,"-","")),datos!$A$1:$B$12,2,0)</f>
        <v>6</v>
      </c>
      <c r="L2144" s="137"/>
      <c r="M2144" s="137" t="s">
        <v>0</v>
      </c>
    </row>
    <row r="2145" spans="1:13" x14ac:dyDescent="0.35">
      <c r="A2145" s="138" t="s">
        <v>487</v>
      </c>
      <c r="B2145" s="138" t="s">
        <v>3809</v>
      </c>
      <c r="C2145" s="138" t="s">
        <v>4035</v>
      </c>
      <c r="D2145" s="138" t="s">
        <v>4085</v>
      </c>
      <c r="E2145" s="138" t="s">
        <v>3852</v>
      </c>
      <c r="F2145" s="138" t="s">
        <v>3854</v>
      </c>
      <c r="G2145" s="138" t="s">
        <v>6787</v>
      </c>
      <c r="H2145" s="81" t="str">
        <f t="shared" si="135"/>
        <v>TCCN-PTE-CON-MCN-CTR-STR-RAS</v>
      </c>
      <c r="I2145" s="138" t="str">
        <f>MID(H2145,1,(LEN(H2145)-VLOOKUP(K2145,datos!$B$2:$C$12,2,0)))</f>
        <v>TCCN-PTE-CON-MCN-CTR-STR-RAS</v>
      </c>
      <c r="J2145" s="138" t="s">
        <v>6842</v>
      </c>
      <c r="K2145" s="140">
        <f>VLOOKUP(LEN(SUBSTITUTE(H2145,"-","")),datos!$A$1:$B$12,2,0)</f>
        <v>7</v>
      </c>
      <c r="L2145" s="138"/>
      <c r="M2145" s="138" t="s">
        <v>0</v>
      </c>
    </row>
    <row r="2146" spans="1:13" x14ac:dyDescent="0.35">
      <c r="A2146" s="138" t="s">
        <v>487</v>
      </c>
      <c r="B2146" s="138" t="s">
        <v>3809</v>
      </c>
      <c r="C2146" s="138" t="s">
        <v>4035</v>
      </c>
      <c r="D2146" s="138" t="s">
        <v>4085</v>
      </c>
      <c r="E2146" s="138" t="s">
        <v>3852</v>
      </c>
      <c r="F2146" s="138" t="s">
        <v>3854</v>
      </c>
      <c r="G2146" s="138" t="s">
        <v>3855</v>
      </c>
      <c r="H2146" s="81" t="str">
        <f t="shared" si="135"/>
        <v>TCCN-PTE-CON-MCN-CTR-STR-CTA</v>
      </c>
      <c r="I2146" s="138" t="str">
        <f>MID(H2146,1,(LEN(H2146)-VLOOKUP(K2146,datos!$B$2:$C$12,2,0)))</f>
        <v>TCCN-PTE-CON-MCN-CTR-STR-CTA</v>
      </c>
      <c r="J2146" s="138" t="s">
        <v>6849</v>
      </c>
      <c r="K2146" s="140">
        <f>VLOOKUP(LEN(SUBSTITUTE(H2146,"-","")),datos!$A$1:$B$12,2,0)</f>
        <v>7</v>
      </c>
      <c r="L2146" s="138"/>
      <c r="M2146" s="138" t="s">
        <v>0</v>
      </c>
    </row>
    <row r="2147" spans="1:13" x14ac:dyDescent="0.35">
      <c r="A2147" s="138" t="s">
        <v>487</v>
      </c>
      <c r="B2147" s="138" t="s">
        <v>3809</v>
      </c>
      <c r="C2147" s="138" t="s">
        <v>4035</v>
      </c>
      <c r="D2147" s="138" t="s">
        <v>4085</v>
      </c>
      <c r="E2147" s="138" t="s">
        <v>3852</v>
      </c>
      <c r="F2147" s="138" t="s">
        <v>3854</v>
      </c>
      <c r="G2147" s="138" t="s">
        <v>3857</v>
      </c>
      <c r="H2147" s="81" t="str">
        <f t="shared" si="135"/>
        <v>TCCN-PTE-CON-MCN-CTR-STR-PCO</v>
      </c>
      <c r="I2147" s="138" t="str">
        <f>MID(H2147,1,(LEN(H2147)-VLOOKUP(K2147,datos!$B$2:$C$12,2,0)))</f>
        <v>TCCN-PTE-CON-MCN-CTR-STR-PCO</v>
      </c>
      <c r="J2147" s="138" t="s">
        <v>4637</v>
      </c>
      <c r="K2147" s="140">
        <f>VLOOKUP(LEN(SUBSTITUTE(H2147,"-","")),datos!$A$1:$B$12,2,0)</f>
        <v>7</v>
      </c>
      <c r="L2147" s="138"/>
      <c r="M2147" s="138" t="s">
        <v>0</v>
      </c>
    </row>
    <row r="2148" spans="1:13" x14ac:dyDescent="0.35">
      <c r="A2148" s="138" t="s">
        <v>487</v>
      </c>
      <c r="B2148" s="138" t="s">
        <v>3809</v>
      </c>
      <c r="C2148" s="138" t="s">
        <v>4035</v>
      </c>
      <c r="D2148" s="138" t="s">
        <v>4085</v>
      </c>
      <c r="E2148" s="138" t="s">
        <v>3852</v>
      </c>
      <c r="F2148" s="138" t="s">
        <v>3854</v>
      </c>
      <c r="G2148" s="138" t="s">
        <v>3858</v>
      </c>
      <c r="H2148" s="81" t="str">
        <f t="shared" si="135"/>
        <v>TCCN-PTE-CON-MCN-CTR-STR-PDF</v>
      </c>
      <c r="I2148" s="138" t="str">
        <f>MID(H2148,1,(LEN(H2148)-VLOOKUP(K2148,datos!$B$2:$C$12,2,0)))</f>
        <v>TCCN-PTE-CON-MCN-CTR-STR-PDF</v>
      </c>
      <c r="J2148" s="138" t="s">
        <v>4638</v>
      </c>
      <c r="K2148" s="140">
        <f>VLOOKUP(LEN(SUBSTITUTE(H2148,"-","")),datos!$A$1:$B$12,2,0)</f>
        <v>7</v>
      </c>
      <c r="L2148" s="138"/>
      <c r="M2148" s="138" t="s">
        <v>0</v>
      </c>
    </row>
    <row r="2149" spans="1:13" x14ac:dyDescent="0.35">
      <c r="A2149" s="138" t="s">
        <v>487</v>
      </c>
      <c r="B2149" s="138" t="s">
        <v>3809</v>
      </c>
      <c r="C2149" s="138" t="s">
        <v>4035</v>
      </c>
      <c r="D2149" s="138" t="s">
        <v>4085</v>
      </c>
      <c r="E2149" s="138" t="s">
        <v>3852</v>
      </c>
      <c r="F2149" s="138" t="s">
        <v>3854</v>
      </c>
      <c r="G2149" s="138" t="s">
        <v>6851</v>
      </c>
      <c r="H2149" s="81" t="str">
        <f t="shared" si="135"/>
        <v>TCCN-PTE-CON-MCN-CTR-STR-PCP</v>
      </c>
      <c r="I2149" s="138" t="str">
        <f>MID(H2149,1,(LEN(H2149)-VLOOKUP(K2149,datos!$B$2:$C$12,2,0)))</f>
        <v>TCCN-PTE-CON-MCN-CTR-STR-PCP</v>
      </c>
      <c r="J2149" s="138" t="s">
        <v>4639</v>
      </c>
      <c r="K2149" s="140">
        <f>VLOOKUP(LEN(SUBSTITUTE(H2149,"-","")),datos!$A$1:$B$12,2,0)</f>
        <v>7</v>
      </c>
      <c r="L2149" s="138"/>
      <c r="M2149" s="138" t="s">
        <v>0</v>
      </c>
    </row>
    <row r="2150" spans="1:13" x14ac:dyDescent="0.35">
      <c r="A2150" s="138" t="s">
        <v>487</v>
      </c>
      <c r="B2150" s="138" t="s">
        <v>3809</v>
      </c>
      <c r="C2150" s="138" t="s">
        <v>4035</v>
      </c>
      <c r="D2150" s="138" t="s">
        <v>4085</v>
      </c>
      <c r="E2150" s="138" t="s">
        <v>3852</v>
      </c>
      <c r="F2150" s="138" t="s">
        <v>3854</v>
      </c>
      <c r="G2150" s="138" t="s">
        <v>3922</v>
      </c>
      <c r="H2150" s="81" t="str">
        <f t="shared" si="135"/>
        <v>TCCN-PTE-CON-MCN-CTR-STR-PO1</v>
      </c>
      <c r="I2150" s="138" t="str">
        <f>MID(H2150,1,(LEN(H2150)-VLOOKUP(K2150,datos!$B$2:$C$12,2,0)))</f>
        <v>TCCN-PTE-CON-MCN-CTR-STR-PO1</v>
      </c>
      <c r="J2150" s="138" t="s">
        <v>4640</v>
      </c>
      <c r="K2150" s="140">
        <f>VLOOKUP(LEN(SUBSTITUTE(H2150,"-","")),datos!$A$1:$B$12,2,0)</f>
        <v>7</v>
      </c>
      <c r="L2150" s="138"/>
      <c r="M2150" s="138" t="s">
        <v>0</v>
      </c>
    </row>
    <row r="2151" spans="1:13" x14ac:dyDescent="0.35">
      <c r="A2151" s="138" t="s">
        <v>487</v>
      </c>
      <c r="B2151" s="138" t="s">
        <v>3809</v>
      </c>
      <c r="C2151" s="138" t="s">
        <v>4035</v>
      </c>
      <c r="D2151" s="138" t="s">
        <v>4085</v>
      </c>
      <c r="E2151" s="138" t="s">
        <v>3852</v>
      </c>
      <c r="F2151" s="138" t="s">
        <v>3854</v>
      </c>
      <c r="G2151" s="138" t="s">
        <v>3923</v>
      </c>
      <c r="H2151" s="81" t="str">
        <f t="shared" si="135"/>
        <v>TCCN-PTE-CON-MCN-CTR-STR-PO2</v>
      </c>
      <c r="I2151" s="138" t="str">
        <f>MID(H2151,1,(LEN(H2151)-VLOOKUP(K2151,datos!$B$2:$C$12,2,0)))</f>
        <v>TCCN-PTE-CON-MCN-CTR-STR-PO2</v>
      </c>
      <c r="J2151" s="138" t="s">
        <v>4641</v>
      </c>
      <c r="K2151" s="140">
        <f>VLOOKUP(LEN(SUBSTITUTE(H2151,"-","")),datos!$A$1:$B$12,2,0)</f>
        <v>7</v>
      </c>
      <c r="L2151" s="138"/>
      <c r="M2151" s="138" t="s">
        <v>0</v>
      </c>
    </row>
    <row r="2152" spans="1:13" x14ac:dyDescent="0.35">
      <c r="A2152" s="138" t="s">
        <v>487</v>
      </c>
      <c r="B2152" s="138" t="s">
        <v>3809</v>
      </c>
      <c r="C2152" s="138" t="s">
        <v>4035</v>
      </c>
      <c r="D2152" s="138" t="s">
        <v>4085</v>
      </c>
      <c r="E2152" s="138" t="s">
        <v>3852</v>
      </c>
      <c r="F2152" s="138" t="s">
        <v>3854</v>
      </c>
      <c r="G2152" s="138" t="s">
        <v>3924</v>
      </c>
      <c r="H2152" s="81" t="str">
        <f t="shared" si="135"/>
        <v>TCCN-PTE-CON-MCN-CTR-STR-PO3</v>
      </c>
      <c r="I2152" s="138" t="str">
        <f>MID(H2152,1,(LEN(H2152)-VLOOKUP(K2152,datos!$B$2:$C$12,2,0)))</f>
        <v>TCCN-PTE-CON-MCN-CTR-STR-PO3</v>
      </c>
      <c r="J2152" s="138" t="s">
        <v>4642</v>
      </c>
      <c r="K2152" s="140">
        <f>VLOOKUP(LEN(SUBSTITUTE(H2152,"-","")),datos!$A$1:$B$12,2,0)</f>
        <v>7</v>
      </c>
      <c r="L2152" s="138"/>
      <c r="M2152" s="138" t="s">
        <v>0</v>
      </c>
    </row>
    <row r="2153" spans="1:13" x14ac:dyDescent="0.35">
      <c r="A2153" s="138" t="s">
        <v>487</v>
      </c>
      <c r="B2153" s="138" t="s">
        <v>3809</v>
      </c>
      <c r="C2153" s="138" t="s">
        <v>4035</v>
      </c>
      <c r="D2153" s="138" t="s">
        <v>4085</v>
      </c>
      <c r="E2153" s="138" t="s">
        <v>3852</v>
      </c>
      <c r="F2153" s="138" t="s">
        <v>3854</v>
      </c>
      <c r="G2153" s="138" t="s">
        <v>3925</v>
      </c>
      <c r="H2153" s="81" t="str">
        <f t="shared" si="135"/>
        <v>TCCN-PTE-CON-MCN-CTR-STR-PO4</v>
      </c>
      <c r="I2153" s="138" t="str">
        <f>MID(H2153,1,(LEN(H2153)-VLOOKUP(K2153,datos!$B$2:$C$12,2,0)))</f>
        <v>TCCN-PTE-CON-MCN-CTR-STR-PO4</v>
      </c>
      <c r="J2153" s="138" t="s">
        <v>4643</v>
      </c>
      <c r="K2153" s="140">
        <f>VLOOKUP(LEN(SUBSTITUTE(H2153,"-","")),datos!$A$1:$B$12,2,0)</f>
        <v>7</v>
      </c>
      <c r="L2153" s="138"/>
      <c r="M2153" s="138" t="s">
        <v>0</v>
      </c>
    </row>
    <row r="2154" spans="1:13" x14ac:dyDescent="0.35">
      <c r="A2154" s="138" t="s">
        <v>487</v>
      </c>
      <c r="B2154" s="138" t="s">
        <v>3809</v>
      </c>
      <c r="C2154" s="138" t="s">
        <v>4035</v>
      </c>
      <c r="D2154" s="138" t="s">
        <v>4085</v>
      </c>
      <c r="E2154" s="138" t="s">
        <v>3852</v>
      </c>
      <c r="F2154" s="138" t="s">
        <v>3854</v>
      </c>
      <c r="G2154" s="138" t="s">
        <v>3926</v>
      </c>
      <c r="H2154" s="81" t="str">
        <f t="shared" si="135"/>
        <v>TCCN-PTE-CON-MCN-CTR-STR-PO5</v>
      </c>
      <c r="I2154" s="138" t="str">
        <f>MID(H2154,1,(LEN(H2154)-VLOOKUP(K2154,datos!$B$2:$C$12,2,0)))</f>
        <v>TCCN-PTE-CON-MCN-CTR-STR-PO5</v>
      </c>
      <c r="J2154" s="138" t="s">
        <v>4644</v>
      </c>
      <c r="K2154" s="140">
        <f>VLOOKUP(LEN(SUBSTITUTE(H2154,"-","")),datos!$A$1:$B$12,2,0)</f>
        <v>7</v>
      </c>
      <c r="L2154" s="138"/>
      <c r="M2154" s="138" t="s">
        <v>0</v>
      </c>
    </row>
    <row r="2155" spans="1:13" x14ac:dyDescent="0.35">
      <c r="A2155" s="137" t="s">
        <v>487</v>
      </c>
      <c r="B2155" s="137" t="s">
        <v>3809</v>
      </c>
      <c r="C2155" s="137" t="s">
        <v>4035</v>
      </c>
      <c r="D2155" s="137" t="s">
        <v>4085</v>
      </c>
      <c r="E2155" s="137" t="s">
        <v>3852</v>
      </c>
      <c r="F2155" s="137" t="s">
        <v>3859</v>
      </c>
      <c r="G2155" s="137"/>
      <c r="H2155" s="82" t="str">
        <f t="shared" si="135"/>
        <v>TCCN-PTE-CON-MCN-CTR-STE-</v>
      </c>
      <c r="I2155" s="137" t="str">
        <f>MID(H2155,1,(LEN(H2155)-VLOOKUP(K2155,datos!$B$2:$C$12,2,0)))</f>
        <v>TCCN-PTE-CON-MCN-CTR-STE</v>
      </c>
      <c r="J2155" s="137" t="s">
        <v>4645</v>
      </c>
      <c r="K2155" s="139">
        <f>VLOOKUP(LEN(SUBSTITUTE(H2155,"-","")),datos!$A$1:$B$12,2,0)</f>
        <v>6</v>
      </c>
      <c r="L2155" s="137"/>
      <c r="M2155" s="137" t="s">
        <v>0</v>
      </c>
    </row>
    <row r="2156" spans="1:13" x14ac:dyDescent="0.35">
      <c r="A2156" s="138" t="s">
        <v>487</v>
      </c>
      <c r="B2156" s="138" t="s">
        <v>3809</v>
      </c>
      <c r="C2156" s="138" t="s">
        <v>4035</v>
      </c>
      <c r="D2156" s="138" t="s">
        <v>4085</v>
      </c>
      <c r="E2156" s="138" t="s">
        <v>3852</v>
      </c>
      <c r="F2156" s="138" t="s">
        <v>3859</v>
      </c>
      <c r="G2156" s="138" t="s">
        <v>3860</v>
      </c>
      <c r="H2156" s="81" t="str">
        <f t="shared" si="135"/>
        <v>TCCN-PTE-CON-MCN-CTR-STE-TEN</v>
      </c>
      <c r="I2156" s="138" t="str">
        <f>MID(H2156,1,(LEN(H2156)-VLOOKUP(K2156,datos!$B$2:$C$12,2,0)))</f>
        <v>TCCN-PTE-CON-MCN-CTR-STE-TEN</v>
      </c>
      <c r="J2156" s="138" t="s">
        <v>6879</v>
      </c>
      <c r="K2156" s="140">
        <f>VLOOKUP(LEN(SUBSTITUTE(H2156,"-","")),datos!$A$1:$B$12,2,0)</f>
        <v>7</v>
      </c>
      <c r="L2156" s="138"/>
      <c r="M2156" s="138" t="s">
        <v>0</v>
      </c>
    </row>
    <row r="2157" spans="1:13" x14ac:dyDescent="0.35">
      <c r="A2157" s="137" t="s">
        <v>487</v>
      </c>
      <c r="B2157" s="137" t="s">
        <v>3809</v>
      </c>
      <c r="C2157" s="137" t="s">
        <v>4035</v>
      </c>
      <c r="D2157" s="137" t="s">
        <v>4085</v>
      </c>
      <c r="E2157" s="137" t="s">
        <v>3852</v>
      </c>
      <c r="F2157" s="137" t="s">
        <v>3847</v>
      </c>
      <c r="G2157" s="137"/>
      <c r="H2157" s="82" t="str">
        <f t="shared" si="135"/>
        <v>TCCN-PTE-CON-MCN-CTR-SMO-</v>
      </c>
      <c r="I2157" s="137" t="str">
        <f>MID(H2157,1,(LEN(H2157)-VLOOKUP(K2157,datos!$B$2:$C$12,2,0)))</f>
        <v>TCCN-PTE-CON-MCN-CTR-SMO</v>
      </c>
      <c r="J2157" s="137" t="s">
        <v>4646</v>
      </c>
      <c r="K2157" s="139">
        <f>VLOOKUP(LEN(SUBSTITUTE(H2157,"-","")),datos!$A$1:$B$12,2,0)</f>
        <v>6</v>
      </c>
      <c r="L2157" s="137"/>
      <c r="M2157" s="137" t="s">
        <v>0</v>
      </c>
    </row>
    <row r="2158" spans="1:13" x14ac:dyDescent="0.35">
      <c r="A2158" s="138" t="s">
        <v>487</v>
      </c>
      <c r="B2158" s="138" t="s">
        <v>3809</v>
      </c>
      <c r="C2158" s="138" t="s">
        <v>4035</v>
      </c>
      <c r="D2158" s="138" t="s">
        <v>4085</v>
      </c>
      <c r="E2158" s="138" t="s">
        <v>3852</v>
      </c>
      <c r="F2158" s="138" t="s">
        <v>3847</v>
      </c>
      <c r="G2158" s="138" t="s">
        <v>3819</v>
      </c>
      <c r="H2158" s="81" t="str">
        <f t="shared" si="135"/>
        <v>TCCN-PTE-CON-MCN-CTR-SMO-MOE</v>
      </c>
      <c r="I2158" s="138" t="str">
        <f>MID(H2158,1,(LEN(H2158)-VLOOKUP(K2158,datos!$B$2:$C$12,2,0)))</f>
        <v>TCCN-PTE-CON-MCN-CTR-SMO-MOE</v>
      </c>
      <c r="J2158" s="138" t="s">
        <v>6863</v>
      </c>
      <c r="K2158" s="140">
        <f>VLOOKUP(LEN(SUBSTITUTE(H2158,"-","")),datos!$A$1:$B$12,2,0)</f>
        <v>7</v>
      </c>
      <c r="L2158" s="138" t="s">
        <v>8125</v>
      </c>
      <c r="M2158" s="138" t="s">
        <v>0</v>
      </c>
    </row>
    <row r="2159" spans="1:13" x14ac:dyDescent="0.35">
      <c r="A2159" s="138" t="s">
        <v>487</v>
      </c>
      <c r="B2159" s="138" t="s">
        <v>3809</v>
      </c>
      <c r="C2159" s="138" t="s">
        <v>4035</v>
      </c>
      <c r="D2159" s="138" t="s">
        <v>4085</v>
      </c>
      <c r="E2159" s="138" t="s">
        <v>3852</v>
      </c>
      <c r="F2159" s="138" t="s">
        <v>3847</v>
      </c>
      <c r="G2159" s="138" t="s">
        <v>3861</v>
      </c>
      <c r="H2159" s="81" t="str">
        <f t="shared" si="135"/>
        <v>TCCN-PTE-CON-MCN-CTR-SMO-RED</v>
      </c>
      <c r="I2159" s="138" t="str">
        <f>MID(H2159,1,(LEN(H2159)-VLOOKUP(K2159,datos!$B$2:$C$12,2,0)))</f>
        <v>TCCN-PTE-CON-MCN-CTR-SMO-RED</v>
      </c>
      <c r="J2159" s="138" t="s">
        <v>6866</v>
      </c>
      <c r="K2159" s="140">
        <f>VLOOKUP(LEN(SUBSTITUTE(H2159,"-","")),datos!$A$1:$B$12,2,0)</f>
        <v>7</v>
      </c>
      <c r="L2159" s="138"/>
      <c r="M2159" s="138" t="s">
        <v>0</v>
      </c>
    </row>
    <row r="2160" spans="1:13" x14ac:dyDescent="0.35">
      <c r="A2160" s="138" t="s">
        <v>487</v>
      </c>
      <c r="B2160" s="138" t="s">
        <v>3809</v>
      </c>
      <c r="C2160" s="138" t="s">
        <v>4035</v>
      </c>
      <c r="D2160" s="138" t="s">
        <v>4085</v>
      </c>
      <c r="E2160" s="138" t="s">
        <v>3852</v>
      </c>
      <c r="F2160" s="138" t="s">
        <v>3847</v>
      </c>
      <c r="G2160" s="138" t="s">
        <v>3862</v>
      </c>
      <c r="H2160" s="81" t="str">
        <f t="shared" si="135"/>
        <v>TCCN-PTE-CON-MCN-CTR-SMO-ACP</v>
      </c>
      <c r="I2160" s="138" t="str">
        <f>MID(H2160,1,(LEN(H2160)-VLOOKUP(K2160,datos!$B$2:$C$12,2,0)))</f>
        <v>TCCN-PTE-CON-MCN-CTR-SMO-ACP</v>
      </c>
      <c r="J2160" s="138" t="s">
        <v>4648</v>
      </c>
      <c r="K2160" s="140">
        <f>VLOOKUP(LEN(SUBSTITUTE(H2160,"-","")),datos!$A$1:$B$12,2,0)</f>
        <v>7</v>
      </c>
      <c r="L2160" s="138"/>
      <c r="M2160" s="138" t="s">
        <v>0</v>
      </c>
    </row>
    <row r="2161" spans="1:13" x14ac:dyDescent="0.35">
      <c r="A2161" s="138" t="s">
        <v>487</v>
      </c>
      <c r="B2161" s="138" t="s">
        <v>3809</v>
      </c>
      <c r="C2161" s="138" t="s">
        <v>4035</v>
      </c>
      <c r="D2161" s="138" t="s">
        <v>4085</v>
      </c>
      <c r="E2161" s="138" t="s">
        <v>3852</v>
      </c>
      <c r="F2161" s="138" t="s">
        <v>3847</v>
      </c>
      <c r="G2161" s="138" t="s">
        <v>3863</v>
      </c>
      <c r="H2161" s="81" t="str">
        <f t="shared" si="135"/>
        <v>TCCN-PTE-CON-MCN-CTR-SMO-FSE</v>
      </c>
      <c r="I2161" s="138" t="str">
        <f>MID(H2161,1,(LEN(H2161)-VLOOKUP(K2161,datos!$B$2:$C$12,2,0)))</f>
        <v>TCCN-PTE-CON-MCN-CTR-SMO-FSE</v>
      </c>
      <c r="J2161" s="138" t="s">
        <v>6877</v>
      </c>
      <c r="K2161" s="140">
        <f>VLOOKUP(LEN(SUBSTITUTE(H2161,"-","")),datos!$A$1:$B$12,2,0)</f>
        <v>7</v>
      </c>
      <c r="L2161" s="138"/>
      <c r="M2161" s="138" t="s">
        <v>0</v>
      </c>
    </row>
    <row r="2162" spans="1:13" x14ac:dyDescent="0.35">
      <c r="A2162" s="138" t="s">
        <v>487</v>
      </c>
      <c r="B2162" s="138" t="s">
        <v>3809</v>
      </c>
      <c r="C2162" s="138" t="s">
        <v>4035</v>
      </c>
      <c r="D2162" s="138" t="s">
        <v>4085</v>
      </c>
      <c r="E2162" s="138" t="s">
        <v>3852</v>
      </c>
      <c r="F2162" s="138" t="s">
        <v>3847</v>
      </c>
      <c r="G2162" s="138" t="s">
        <v>3864</v>
      </c>
      <c r="H2162" s="81" t="str">
        <f t="shared" si="135"/>
        <v>TCCN-PTE-CON-MCN-CTR-SMO-PMO</v>
      </c>
      <c r="I2162" s="138" t="str">
        <f>MID(H2162,1,(LEN(H2162)-VLOOKUP(K2162,datos!$B$2:$C$12,2,0)))</f>
        <v>TCCN-PTE-CON-MCN-CTR-SMO-PMO</v>
      </c>
      <c r="J2162" s="138" t="s">
        <v>4649</v>
      </c>
      <c r="K2162" s="140">
        <f>VLOOKUP(LEN(SUBSTITUTE(H2162,"-","")),datos!$A$1:$B$12,2,0)</f>
        <v>7</v>
      </c>
      <c r="L2162" s="138"/>
      <c r="M2162" s="138" t="s">
        <v>0</v>
      </c>
    </row>
    <row r="2163" spans="1:13" x14ac:dyDescent="0.35">
      <c r="A2163" s="137" t="s">
        <v>487</v>
      </c>
      <c r="B2163" s="137" t="s">
        <v>3809</v>
      </c>
      <c r="C2163" s="137" t="s">
        <v>4035</v>
      </c>
      <c r="D2163" s="137" t="s">
        <v>4085</v>
      </c>
      <c r="E2163" s="137" t="s">
        <v>3852</v>
      </c>
      <c r="F2163" s="137" t="s">
        <v>3831</v>
      </c>
      <c r="G2163" s="137"/>
      <c r="H2163" s="82" t="str">
        <f t="shared" si="135"/>
        <v>TCCN-PTE-CON-MCN-CTR-INS-</v>
      </c>
      <c r="I2163" s="137" t="str">
        <f>MID(H2163,1,(LEN(H2163)-VLOOKUP(K2163,datos!$B$2:$C$12,2,0)))</f>
        <v>TCCN-PTE-CON-MCN-CTR-INS</v>
      </c>
      <c r="J2163" s="137" t="s">
        <v>4647</v>
      </c>
      <c r="K2163" s="139">
        <f>VLOOKUP(LEN(SUBSTITUTE(H2163,"-","")),datos!$A$1:$B$12,2,0)</f>
        <v>6</v>
      </c>
      <c r="L2163" s="137"/>
      <c r="M2163" s="137" t="s">
        <v>0</v>
      </c>
    </row>
    <row r="2164" spans="1:13" x14ac:dyDescent="0.35">
      <c r="A2164" s="138" t="s">
        <v>487</v>
      </c>
      <c r="B2164" s="138" t="s">
        <v>3809</v>
      </c>
      <c r="C2164" s="138" t="s">
        <v>4035</v>
      </c>
      <c r="D2164" s="138" t="s">
        <v>4085</v>
      </c>
      <c r="E2164" s="138" t="s">
        <v>3852</v>
      </c>
      <c r="F2164" s="138" t="s">
        <v>3831</v>
      </c>
      <c r="G2164" s="138" t="s">
        <v>5202</v>
      </c>
      <c r="H2164" s="81" t="str">
        <f t="shared" si="135"/>
        <v>TCCN-PTE-CON-MCN-CTR-INS-MVD</v>
      </c>
      <c r="I2164" s="138" t="str">
        <f>MID(H2164,1,(LEN(H2164)-VLOOKUP(K2164,datos!$B$2:$C$12,2,0)))</f>
        <v>TCCN-PTE-CON-MCN-CTR-INS-MVD</v>
      </c>
      <c r="J2164" s="138" t="s">
        <v>8102</v>
      </c>
      <c r="K2164" s="140">
        <f>VLOOKUP(LEN(SUBSTITUTE(H2164,"-","")),datos!$A$1:$B$12,2,0)</f>
        <v>7</v>
      </c>
      <c r="L2164" s="138" t="s">
        <v>6839</v>
      </c>
      <c r="M2164" s="138" t="s">
        <v>0</v>
      </c>
    </row>
    <row r="2165" spans="1:13" x14ac:dyDescent="0.35">
      <c r="A2165" s="138" t="s">
        <v>487</v>
      </c>
      <c r="B2165" s="138" t="s">
        <v>3809</v>
      </c>
      <c r="C2165" s="138" t="s">
        <v>4035</v>
      </c>
      <c r="D2165" s="138" t="s">
        <v>4085</v>
      </c>
      <c r="E2165" s="138" t="s">
        <v>3852</v>
      </c>
      <c r="F2165" s="138" t="s">
        <v>3831</v>
      </c>
      <c r="G2165" s="138" t="s">
        <v>4087</v>
      </c>
      <c r="H2165" s="81" t="str">
        <f t="shared" si="135"/>
        <v>TCCN-PTE-CON-MCN-CTR-INS-ICO</v>
      </c>
      <c r="I2165" s="138" t="str">
        <f>MID(H2165,1,(LEN(H2165)-VLOOKUP(K2165,datos!$B$2:$C$12,2,0)))</f>
        <v>TCCN-PTE-CON-MCN-CTR-INS-ICO</v>
      </c>
      <c r="J2165" s="138" t="s">
        <v>4650</v>
      </c>
      <c r="K2165" s="140">
        <f>VLOOKUP(LEN(SUBSTITUTE(H2165,"-","")),datos!$A$1:$B$12,2,0)</f>
        <v>7</v>
      </c>
      <c r="L2165" s="138" t="s">
        <v>6838</v>
      </c>
      <c r="M2165" s="138" t="s">
        <v>0</v>
      </c>
    </row>
    <row r="2166" spans="1:13" x14ac:dyDescent="0.35">
      <c r="A2166" s="138" t="s">
        <v>487</v>
      </c>
      <c r="B2166" s="138" t="s">
        <v>3809</v>
      </c>
      <c r="C2166" s="138" t="s">
        <v>4035</v>
      </c>
      <c r="D2166" s="138" t="s">
        <v>4085</v>
      </c>
      <c r="E2166" s="138" t="s">
        <v>3852</v>
      </c>
      <c r="F2166" s="138" t="s">
        <v>3831</v>
      </c>
      <c r="G2166" s="138" t="s">
        <v>4342</v>
      </c>
      <c r="H2166" s="81" t="str">
        <f t="shared" si="135"/>
        <v>TCCN-PTE-CON-MCN-CTR-INS-PEM</v>
      </c>
      <c r="I2166" s="138" t="str">
        <f>MID(H2166,1,(LEN(H2166)-VLOOKUP(K2166,datos!$B$2:$C$12,2,0)))</f>
        <v>TCCN-PTE-CON-MCN-CTR-INS-PEM</v>
      </c>
      <c r="J2166" s="138" t="s">
        <v>6875</v>
      </c>
      <c r="K2166" s="140">
        <f>VLOOKUP(LEN(SUBSTITUTE(H2166,"-","")),datos!$A$1:$B$12,2,0)</f>
        <v>7</v>
      </c>
      <c r="L2166" s="138" t="s">
        <v>6869</v>
      </c>
      <c r="M2166" s="138" t="s">
        <v>0</v>
      </c>
    </row>
    <row r="2167" spans="1:13" x14ac:dyDescent="0.35">
      <c r="A2167" s="138" t="s">
        <v>487</v>
      </c>
      <c r="B2167" s="138" t="s">
        <v>3809</v>
      </c>
      <c r="C2167" s="138" t="s">
        <v>4035</v>
      </c>
      <c r="D2167" s="138" t="s">
        <v>4085</v>
      </c>
      <c r="E2167" s="138" t="s">
        <v>3852</v>
      </c>
      <c r="F2167" s="138" t="s">
        <v>3831</v>
      </c>
      <c r="G2167" s="138" t="s">
        <v>6813</v>
      </c>
      <c r="H2167" s="81" t="str">
        <f t="shared" si="135"/>
        <v>TCCN-PTE-CON-MCN-CTR-INS-IDE</v>
      </c>
      <c r="I2167" s="138" t="str">
        <f>MID(H2167,1,(LEN(H2167)-VLOOKUP(K2167,datos!$B$2:$C$12,2,0)))</f>
        <v>TCCN-PTE-CON-MCN-CTR-INS-IDE</v>
      </c>
      <c r="J2167" s="138" t="s">
        <v>4651</v>
      </c>
      <c r="K2167" s="140">
        <f>VLOOKUP(LEN(SUBSTITUTE(H2167,"-","")),datos!$A$1:$B$12,2,0)</f>
        <v>7</v>
      </c>
      <c r="L2167" s="138" t="s">
        <v>6861</v>
      </c>
      <c r="M2167" s="138" t="s">
        <v>0</v>
      </c>
    </row>
    <row r="2168" spans="1:13" x14ac:dyDescent="0.35">
      <c r="A2168" s="138" t="s">
        <v>487</v>
      </c>
      <c r="B2168" s="138" t="s">
        <v>3809</v>
      </c>
      <c r="C2168" s="138" t="s">
        <v>4035</v>
      </c>
      <c r="D2168" s="138" t="s">
        <v>4085</v>
      </c>
      <c r="E2168" s="138" t="s">
        <v>3852</v>
      </c>
      <c r="F2168" s="138" t="s">
        <v>3831</v>
      </c>
      <c r="G2168" s="138" t="s">
        <v>4088</v>
      </c>
      <c r="H2168" s="81" t="str">
        <f t="shared" si="135"/>
        <v>TCCN-PTE-CON-MCN-CTR-INS-BYB</v>
      </c>
      <c r="I2168" s="138" t="str">
        <f>MID(H2168,1,(LEN(H2168)-VLOOKUP(K2168,datos!$B$2:$C$12,2,0)))</f>
        <v>TCCN-PTE-CON-MCN-CTR-INS-BYB</v>
      </c>
      <c r="J2168" s="138" t="s">
        <v>6854</v>
      </c>
      <c r="K2168" s="140">
        <f>VLOOKUP(LEN(SUBSTITUTE(H2168,"-","")),datos!$A$1:$B$12,2,0)</f>
        <v>7</v>
      </c>
      <c r="L2168" s="138" t="s">
        <v>6855</v>
      </c>
      <c r="M2168" s="138" t="s">
        <v>0</v>
      </c>
    </row>
    <row r="2169" spans="1:13" x14ac:dyDescent="0.35">
      <c r="A2169" s="138" t="s">
        <v>487</v>
      </c>
      <c r="B2169" s="138" t="s">
        <v>3809</v>
      </c>
      <c r="C2169" s="138" t="s">
        <v>4035</v>
      </c>
      <c r="D2169" s="138" t="s">
        <v>4085</v>
      </c>
      <c r="E2169" s="138" t="s">
        <v>3852</v>
      </c>
      <c r="F2169" s="138" t="s">
        <v>3831</v>
      </c>
      <c r="G2169" s="138" t="s">
        <v>5256</v>
      </c>
      <c r="H2169" s="81" t="str">
        <f t="shared" si="135"/>
        <v>TCCN-PTE-CON-MCN-CTR-INS-MNV</v>
      </c>
      <c r="I2169" s="138" t="str">
        <f>MID(H2169,1,(LEN(H2169)-VLOOKUP(K2169,datos!$B$2:$C$12,2,0)))</f>
        <v>TCCN-PTE-CON-MCN-CTR-INS-MNV</v>
      </c>
      <c r="J2169" s="138" t="s">
        <v>7621</v>
      </c>
      <c r="K2169" s="140">
        <f>VLOOKUP(LEN(SUBSTITUTE(H2169,"-","")),datos!$A$1:$B$12,2,0)</f>
        <v>7</v>
      </c>
      <c r="L2169" s="138" t="s">
        <v>6852</v>
      </c>
      <c r="M2169" s="138" t="s">
        <v>0</v>
      </c>
    </row>
    <row r="2170" spans="1:13" x14ac:dyDescent="0.35">
      <c r="A2170" s="138" t="s">
        <v>487</v>
      </c>
      <c r="B2170" s="138" t="s">
        <v>3809</v>
      </c>
      <c r="C2170" s="138" t="s">
        <v>4035</v>
      </c>
      <c r="D2170" s="138" t="s">
        <v>4085</v>
      </c>
      <c r="E2170" s="138" t="s">
        <v>3852</v>
      </c>
      <c r="F2170" s="138" t="s">
        <v>3831</v>
      </c>
      <c r="G2170" s="138" t="s">
        <v>6814</v>
      </c>
      <c r="H2170" s="81" t="str">
        <f t="shared" si="135"/>
        <v>TCCN-PTE-CON-MCN-CTR-INS-SAM</v>
      </c>
      <c r="I2170" s="138" t="str">
        <f>MID(H2170,1,(LEN(H2170)-VLOOKUP(K2170,datos!$B$2:$C$12,2,0)))</f>
        <v>TCCN-PTE-CON-MCN-CTR-INS-SAM</v>
      </c>
      <c r="J2170" s="138" t="s">
        <v>6841</v>
      </c>
      <c r="K2170" s="140">
        <f>VLOOKUP(LEN(SUBSTITUTE(H2170,"-","")),datos!$A$1:$B$12,2,0)</f>
        <v>7</v>
      </c>
      <c r="L2170" s="138" t="s">
        <v>6853</v>
      </c>
      <c r="M2170" s="138" t="s">
        <v>0</v>
      </c>
    </row>
    <row r="2171" spans="1:13" customFormat="1" ht="14.5" x14ac:dyDescent="0.35">
      <c r="A2171" s="129" t="s">
        <v>487</v>
      </c>
      <c r="B2171" s="129" t="s">
        <v>3809</v>
      </c>
      <c r="C2171" s="129" t="s">
        <v>4035</v>
      </c>
      <c r="D2171" s="129" t="s">
        <v>4085</v>
      </c>
      <c r="E2171" s="129" t="s">
        <v>3871</v>
      </c>
      <c r="F2171" s="129"/>
      <c r="G2171" s="129"/>
      <c r="H2171" s="83" t="str">
        <f t="shared" si="135"/>
        <v>TCCN-PTE-CON-MCN-TC2--</v>
      </c>
      <c r="I2171" s="129" t="str">
        <f>MID(H2171,1,(LEN(H2171)-VLOOKUP(K2171,datos!$B$2:$C$12,2,0)))</f>
        <v>TCCN-PTE-CON-MCN-TC2</v>
      </c>
      <c r="J2171" s="129" t="s">
        <v>473</v>
      </c>
      <c r="K2171" s="130">
        <f>VLOOKUP(LEN(SUBSTITUTE(H2171,"-","")),datos!$A$1:$B$12,2,0)</f>
        <v>5</v>
      </c>
      <c r="L2171" s="129" t="s">
        <v>298</v>
      </c>
      <c r="M2171" s="129" t="s">
        <v>0</v>
      </c>
    </row>
    <row r="2172" spans="1:13" customFormat="1" ht="14.5" x14ac:dyDescent="0.35">
      <c r="A2172" s="129" t="s">
        <v>487</v>
      </c>
      <c r="B2172" s="129" t="s">
        <v>3809</v>
      </c>
      <c r="C2172" s="129" t="s">
        <v>4035</v>
      </c>
      <c r="D2172" s="129" t="s">
        <v>4085</v>
      </c>
      <c r="E2172" s="129" t="s">
        <v>3872</v>
      </c>
      <c r="F2172" s="129"/>
      <c r="G2172" s="129"/>
      <c r="H2172" s="83" t="str">
        <f t="shared" si="135"/>
        <v>TCCN-PTE-CON-MCN-TC3--</v>
      </c>
      <c r="I2172" s="129" t="str">
        <f>MID(H2172,1,(LEN(H2172)-VLOOKUP(K2172,datos!$B$2:$C$12,2,0)))</f>
        <v>TCCN-PTE-CON-MCN-TC3</v>
      </c>
      <c r="J2172" s="129" t="s">
        <v>473</v>
      </c>
      <c r="K2172" s="130">
        <f>VLOOKUP(LEN(SUBSTITUTE(H2172,"-","")),datos!$A$1:$B$12,2,0)</f>
        <v>5</v>
      </c>
      <c r="L2172" s="129" t="s">
        <v>299</v>
      </c>
      <c r="M2172" s="129" t="s">
        <v>0</v>
      </c>
    </row>
    <row r="2173" spans="1:13" customFormat="1" ht="14.5" x14ac:dyDescent="0.35">
      <c r="A2173" s="129" t="s">
        <v>487</v>
      </c>
      <c r="B2173" s="129" t="s">
        <v>3809</v>
      </c>
      <c r="C2173" s="129" t="s">
        <v>4035</v>
      </c>
      <c r="D2173" s="129" t="s">
        <v>4085</v>
      </c>
      <c r="E2173" s="129" t="s">
        <v>3825</v>
      </c>
      <c r="F2173" s="129"/>
      <c r="G2173" s="129"/>
      <c r="H2173" s="83" t="str">
        <f t="shared" si="135"/>
        <v>TCCN-PTE-CON-MCN-CHU--</v>
      </c>
      <c r="I2173" s="129" t="str">
        <f>MID(H2173,1,(LEN(H2173)-VLOOKUP(K2173,datos!$B$2:$C$12,2,0)))</f>
        <v>TCCN-PTE-CON-MCN-CHU</v>
      </c>
      <c r="J2173" s="129" t="s">
        <v>610</v>
      </c>
      <c r="K2173" s="130">
        <f>VLOOKUP(LEN(SUBSTITUTE(H2173,"-","")),datos!$A$1:$B$12,2,0)</f>
        <v>5</v>
      </c>
      <c r="L2173" s="129" t="s">
        <v>7072</v>
      </c>
      <c r="M2173" s="129" t="s">
        <v>0</v>
      </c>
    </row>
    <row r="2174" spans="1:13" customFormat="1" ht="14.5" x14ac:dyDescent="0.35">
      <c r="A2174" s="129" t="s">
        <v>487</v>
      </c>
      <c r="B2174" s="129" t="s">
        <v>3809</v>
      </c>
      <c r="C2174" s="129" t="s">
        <v>4035</v>
      </c>
      <c r="D2174" s="129" t="s">
        <v>4085</v>
      </c>
      <c r="E2174" s="129" t="s">
        <v>3880</v>
      </c>
      <c r="F2174" s="129"/>
      <c r="G2174" s="129"/>
      <c r="H2174" s="83" t="str">
        <f t="shared" si="135"/>
        <v>TCCN-PTE-CON-MCN-DLO--</v>
      </c>
      <c r="I2174" s="129" t="str">
        <f>MID(H2174,1,(LEN(H2174)-VLOOKUP(K2174,datos!$B$2:$C$12,2,0)))</f>
        <v>TCCN-PTE-CON-MCN-DLO</v>
      </c>
      <c r="J2174" s="129" t="s">
        <v>169</v>
      </c>
      <c r="K2174" s="130">
        <f>VLOOKUP(LEN(SUBSTITUTE(H2174,"-","")),datos!$A$1:$B$12,2,0)</f>
        <v>5</v>
      </c>
      <c r="L2174" s="129" t="s">
        <v>301</v>
      </c>
      <c r="M2174" s="129" t="s">
        <v>0</v>
      </c>
    </row>
    <row r="2175" spans="1:13" customFormat="1" ht="14.5" x14ac:dyDescent="0.35">
      <c r="A2175" s="129" t="s">
        <v>487</v>
      </c>
      <c r="B2175" s="129" t="s">
        <v>3809</v>
      </c>
      <c r="C2175" s="129" t="s">
        <v>4035</v>
      </c>
      <c r="D2175" s="129" t="s">
        <v>4085</v>
      </c>
      <c r="E2175" s="129" t="s">
        <v>4089</v>
      </c>
      <c r="F2175" s="129"/>
      <c r="G2175" s="129"/>
      <c r="H2175" s="83" t="str">
        <f t="shared" si="135"/>
        <v>TCCN-PTE-CON-MCN-RMN--</v>
      </c>
      <c r="I2175" s="129" t="str">
        <f>MID(H2175,1,(LEN(H2175)-VLOOKUP(K2175,datos!$B$2:$C$12,2,0)))</f>
        <v>TCCN-PTE-CON-MCN-RMN</v>
      </c>
      <c r="J2175" s="129" t="s">
        <v>598</v>
      </c>
      <c r="K2175" s="130">
        <f>VLOOKUP(LEN(SUBSTITUTE(H2175,"-","")),datos!$A$1:$B$12,2,0)</f>
        <v>5</v>
      </c>
      <c r="L2175" s="129" t="s">
        <v>302</v>
      </c>
      <c r="M2175" s="129" t="s">
        <v>0</v>
      </c>
    </row>
    <row r="2176" spans="1:13" x14ac:dyDescent="0.35">
      <c r="A2176" s="137" t="s">
        <v>487</v>
      </c>
      <c r="B2176" s="137" t="s">
        <v>3809</v>
      </c>
      <c r="C2176" s="137" t="s">
        <v>4035</v>
      </c>
      <c r="D2176" s="137" t="s">
        <v>4085</v>
      </c>
      <c r="E2176" s="137" t="s">
        <v>4089</v>
      </c>
      <c r="F2176" s="137" t="s">
        <v>3831</v>
      </c>
      <c r="G2176" s="137"/>
      <c r="H2176" s="82" t="str">
        <f t="shared" si="135"/>
        <v>TCCN-PTE-CON-MCN-RMN-INS-</v>
      </c>
      <c r="I2176" s="137" t="str">
        <f>MID(H2176,1,(LEN(H2176)-VLOOKUP(K2176,datos!$B$2:$C$12,2,0)))</f>
        <v>TCCN-PTE-CON-MCN-RMN-INS</v>
      </c>
      <c r="J2176" s="137" t="s">
        <v>4652</v>
      </c>
      <c r="K2176" s="139">
        <f>VLOOKUP(LEN(SUBSTITUTE(H2176,"-","")),datos!$A$1:$B$12,2,0)</f>
        <v>6</v>
      </c>
      <c r="L2176" s="137"/>
      <c r="M2176" s="137" t="s">
        <v>0</v>
      </c>
    </row>
    <row r="2177" spans="1:13" customFormat="1" ht="14.5" x14ac:dyDescent="0.35">
      <c r="A2177" s="129" t="s">
        <v>487</v>
      </c>
      <c r="B2177" s="129" t="s">
        <v>3809</v>
      </c>
      <c r="C2177" s="129" t="s">
        <v>4035</v>
      </c>
      <c r="D2177" s="129" t="s">
        <v>4085</v>
      </c>
      <c r="E2177" s="129" t="s">
        <v>3833</v>
      </c>
      <c r="F2177" s="129"/>
      <c r="G2177" s="129"/>
      <c r="H2177" s="83" t="str">
        <f t="shared" si="135"/>
        <v>TCCN-PTE-CON-MCN-PE2--</v>
      </c>
      <c r="I2177" s="129" t="str">
        <f>MID(H2177,1,(LEN(H2177)-VLOOKUP(K2177,datos!$B$2:$C$12,2,0)))</f>
        <v>TCCN-PTE-CON-MCN-PE2</v>
      </c>
      <c r="J2177" s="129" t="s">
        <v>1650</v>
      </c>
      <c r="K2177" s="130">
        <f>VLOOKUP(LEN(SUBSTITUTE(H2177,"-","")),datos!$A$1:$B$12,2,0)</f>
        <v>5</v>
      </c>
      <c r="L2177" s="129" t="s">
        <v>1757</v>
      </c>
      <c r="M2177" s="129" t="s">
        <v>0</v>
      </c>
    </row>
    <row r="2178" spans="1:13" customFormat="1" ht="14.5" x14ac:dyDescent="0.35">
      <c r="A2178" s="129" t="s">
        <v>487</v>
      </c>
      <c r="B2178" s="129" t="s">
        <v>3809</v>
      </c>
      <c r="C2178" s="129" t="s">
        <v>4035</v>
      </c>
      <c r="D2178" s="129" t="s">
        <v>4085</v>
      </c>
      <c r="E2178" s="129" t="s">
        <v>4090</v>
      </c>
      <c r="F2178" s="129"/>
      <c r="G2178" s="129"/>
      <c r="H2178" s="83" t="str">
        <f t="shared" si="135"/>
        <v>TCCN-PTE-CON-MCN-GPT--</v>
      </c>
      <c r="I2178" s="129" t="str">
        <f>MID(H2178,1,(LEN(H2178)-VLOOKUP(K2178,datos!$B$2:$C$12,2,0)))</f>
        <v>TCCN-PTE-CON-MCN-GPT</v>
      </c>
      <c r="J2178" s="129" t="s">
        <v>474</v>
      </c>
      <c r="K2178" s="130">
        <f>VLOOKUP(LEN(SUBSTITUTE(H2178,"-","")),datos!$A$1:$B$12,2,0)</f>
        <v>5</v>
      </c>
      <c r="L2178" s="129" t="s">
        <v>303</v>
      </c>
      <c r="M2178" s="129" t="s">
        <v>0</v>
      </c>
    </row>
    <row r="2179" spans="1:13" x14ac:dyDescent="0.35">
      <c r="A2179" s="137" t="s">
        <v>487</v>
      </c>
      <c r="B2179" s="137" t="s">
        <v>3809</v>
      </c>
      <c r="C2179" s="137" t="s">
        <v>4035</v>
      </c>
      <c r="D2179" s="137" t="s">
        <v>4085</v>
      </c>
      <c r="E2179" s="137" t="s">
        <v>4090</v>
      </c>
      <c r="F2179" s="137" t="s">
        <v>3869</v>
      </c>
      <c r="G2179" s="137"/>
      <c r="H2179" s="82" t="str">
        <f t="shared" si="135"/>
        <v>TCCN-PTE-CON-MCN-GPT-SCE-</v>
      </c>
      <c r="I2179" s="137" t="str">
        <f>MID(H2179,1,(LEN(H2179)-VLOOKUP(K2179,datos!$B$2:$C$12,2,0)))</f>
        <v>TCCN-PTE-CON-MCN-GPT-SCE</v>
      </c>
      <c r="J2179" s="137" t="s">
        <v>4738</v>
      </c>
      <c r="K2179" s="139">
        <f>VLOOKUP(LEN(SUBSTITUTE(H2179,"-","")),datos!$A$1:$B$12,2,0)</f>
        <v>6</v>
      </c>
      <c r="L2179" s="137"/>
      <c r="M2179" s="137" t="s">
        <v>0</v>
      </c>
    </row>
    <row r="2180" spans="1:13" x14ac:dyDescent="0.35">
      <c r="A2180" s="138" t="s">
        <v>487</v>
      </c>
      <c r="B2180" s="138" t="s">
        <v>3809</v>
      </c>
      <c r="C2180" s="138" t="s">
        <v>4035</v>
      </c>
      <c r="D2180" s="138" t="s">
        <v>4085</v>
      </c>
      <c r="E2180" s="138" t="s">
        <v>4090</v>
      </c>
      <c r="F2180" s="138" t="s">
        <v>3869</v>
      </c>
      <c r="G2180" s="138" t="s">
        <v>4717</v>
      </c>
      <c r="H2180" s="81" t="str">
        <f t="shared" si="135"/>
        <v>TCCN-PTE-CON-MCN-GPT-SCE-VD1</v>
      </c>
      <c r="I2180" s="138" t="str">
        <f>MID(H2180,1,(LEN(H2180)-VLOOKUP(K2180,datos!$B$2:$C$12,2,0)))</f>
        <v>TCCN-PTE-CON-MCN-GPT-SCE-VD1</v>
      </c>
      <c r="J2180" s="138" t="s">
        <v>4739</v>
      </c>
      <c r="K2180" s="140">
        <f>VLOOKUP(LEN(SUBSTITUTE(H2180,"-","")),datos!$A$1:$B$12,2,0)</f>
        <v>7</v>
      </c>
      <c r="L2180" s="138"/>
      <c r="M2180" s="138" t="s">
        <v>0</v>
      </c>
    </row>
    <row r="2181" spans="1:13" x14ac:dyDescent="0.35">
      <c r="A2181" s="138" t="s">
        <v>487</v>
      </c>
      <c r="B2181" s="138" t="s">
        <v>3809</v>
      </c>
      <c r="C2181" s="138" t="s">
        <v>4035</v>
      </c>
      <c r="D2181" s="138" t="s">
        <v>4085</v>
      </c>
      <c r="E2181" s="138" t="s">
        <v>4090</v>
      </c>
      <c r="F2181" s="138" t="s">
        <v>3869</v>
      </c>
      <c r="G2181" s="138" t="s">
        <v>4718</v>
      </c>
      <c r="H2181" s="81" t="str">
        <f t="shared" si="135"/>
        <v>TCCN-PTE-CON-MCN-GPT-SCE-VD2</v>
      </c>
      <c r="I2181" s="138" t="str">
        <f>MID(H2181,1,(LEN(H2181)-VLOOKUP(K2181,datos!$B$2:$C$12,2,0)))</f>
        <v>TCCN-PTE-CON-MCN-GPT-SCE-VD2</v>
      </c>
      <c r="J2181" s="138" t="s">
        <v>4740</v>
      </c>
      <c r="K2181" s="140">
        <f>VLOOKUP(LEN(SUBSTITUTE(H2181,"-","")),datos!$A$1:$B$12,2,0)</f>
        <v>7</v>
      </c>
      <c r="L2181" s="138"/>
      <c r="M2181" s="138" t="s">
        <v>0</v>
      </c>
    </row>
    <row r="2182" spans="1:13" x14ac:dyDescent="0.35">
      <c r="A2182" s="138" t="s">
        <v>487</v>
      </c>
      <c r="B2182" s="138" t="s">
        <v>3809</v>
      </c>
      <c r="C2182" s="138" t="s">
        <v>4035</v>
      </c>
      <c r="D2182" s="138" t="s">
        <v>4085</v>
      </c>
      <c r="E2182" s="138" t="s">
        <v>4090</v>
      </c>
      <c r="F2182" s="138" t="s">
        <v>3869</v>
      </c>
      <c r="G2182" s="138" t="s">
        <v>4719</v>
      </c>
      <c r="H2182" s="81" t="str">
        <f t="shared" ref="H2182:H2248" si="136">CONCATENATE(A2182,"-",B2182,"-",C2182,"-",D2182,"-",E2182,"-",F2182,"-",G2182)</f>
        <v>TCCN-PTE-CON-MCN-GPT-SCE-VD3</v>
      </c>
      <c r="I2182" s="138" t="str">
        <f>MID(H2182,1,(LEN(H2182)-VLOOKUP(K2182,datos!$B$2:$C$12,2,0)))</f>
        <v>TCCN-PTE-CON-MCN-GPT-SCE-VD3</v>
      </c>
      <c r="J2182" s="138" t="s">
        <v>4741</v>
      </c>
      <c r="K2182" s="140">
        <f>VLOOKUP(LEN(SUBSTITUTE(H2182,"-","")),datos!$A$1:$B$12,2,0)</f>
        <v>7</v>
      </c>
      <c r="L2182" s="138"/>
      <c r="M2182" s="138" t="s">
        <v>0</v>
      </c>
    </row>
    <row r="2183" spans="1:13" x14ac:dyDescent="0.35">
      <c r="A2183" s="138" t="s">
        <v>487</v>
      </c>
      <c r="B2183" s="138" t="s">
        <v>3809</v>
      </c>
      <c r="C2183" s="138" t="s">
        <v>4035</v>
      </c>
      <c r="D2183" s="138" t="s">
        <v>4085</v>
      </c>
      <c r="E2183" s="138" t="s">
        <v>4090</v>
      </c>
      <c r="F2183" s="138" t="s">
        <v>3869</v>
      </c>
      <c r="G2183" s="138" t="s">
        <v>4720</v>
      </c>
      <c r="H2183" s="81" t="str">
        <f t="shared" si="136"/>
        <v>TCCN-PTE-CON-MCN-GPT-SCE-VD4</v>
      </c>
      <c r="I2183" s="138" t="str">
        <f>MID(H2183,1,(LEN(H2183)-VLOOKUP(K2183,datos!$B$2:$C$12,2,0)))</f>
        <v>TCCN-PTE-CON-MCN-GPT-SCE-VD4</v>
      </c>
      <c r="J2183" s="138" t="s">
        <v>4742</v>
      </c>
      <c r="K2183" s="140">
        <f>VLOOKUP(LEN(SUBSTITUTE(H2183,"-","")),datos!$A$1:$B$12,2,0)</f>
        <v>7</v>
      </c>
      <c r="L2183" s="138"/>
      <c r="M2183" s="138" t="s">
        <v>0</v>
      </c>
    </row>
    <row r="2184" spans="1:13" x14ac:dyDescent="0.35">
      <c r="A2184" s="138" t="s">
        <v>487</v>
      </c>
      <c r="B2184" s="138" t="s">
        <v>3809</v>
      </c>
      <c r="C2184" s="138" t="s">
        <v>4035</v>
      </c>
      <c r="D2184" s="138" t="s">
        <v>4085</v>
      </c>
      <c r="E2184" s="138" t="s">
        <v>4090</v>
      </c>
      <c r="F2184" s="138" t="s">
        <v>3869</v>
      </c>
      <c r="G2184" s="138" t="s">
        <v>6911</v>
      </c>
      <c r="H2184" s="81" t="str">
        <f t="shared" si="136"/>
        <v>TCCN-PTE-CON-MCN-GPT-SCE-TFZ</v>
      </c>
      <c r="I2184" s="138" t="str">
        <f>MID(H2184,1,(LEN(H2184)-VLOOKUP(K2184,datos!$B$2:$C$12,2,0)))</f>
        <v>TCCN-PTE-CON-MCN-GPT-SCE-TFZ</v>
      </c>
      <c r="J2184" s="138" t="s">
        <v>4743</v>
      </c>
      <c r="K2184" s="140">
        <f>VLOOKUP(LEN(SUBSTITUTE(H2184,"-","")),datos!$A$1:$B$12,2,0)</f>
        <v>7</v>
      </c>
      <c r="L2184" s="138"/>
      <c r="M2184" s="138" t="s">
        <v>0</v>
      </c>
    </row>
    <row r="2185" spans="1:13" x14ac:dyDescent="0.35">
      <c r="A2185" s="138" t="s">
        <v>487</v>
      </c>
      <c r="B2185" s="138" t="s">
        <v>3809</v>
      </c>
      <c r="C2185" s="138" t="s">
        <v>4035</v>
      </c>
      <c r="D2185" s="138" t="s">
        <v>4085</v>
      </c>
      <c r="E2185" s="138" t="s">
        <v>4090</v>
      </c>
      <c r="F2185" s="138" t="s">
        <v>3869</v>
      </c>
      <c r="G2185" s="138" t="s">
        <v>4016</v>
      </c>
      <c r="H2185" s="81" t="str">
        <f t="shared" si="136"/>
        <v>TCCN-PTE-CON-MCN-GPT-SCE-PAN</v>
      </c>
      <c r="I2185" s="138" t="str">
        <f>MID(H2185,1,(LEN(H2185)-VLOOKUP(K2185,datos!$B$2:$C$12,2,0)))</f>
        <v>TCCN-PTE-CON-MCN-GPT-SCE-PAN</v>
      </c>
      <c r="J2185" s="138" t="s">
        <v>4744</v>
      </c>
      <c r="K2185" s="140">
        <f>VLOOKUP(LEN(SUBSTITUTE(H2185,"-","")),datos!$A$1:$B$12,2,0)</f>
        <v>7</v>
      </c>
      <c r="L2185" s="138"/>
      <c r="M2185" s="138" t="s">
        <v>0</v>
      </c>
    </row>
    <row r="2186" spans="1:13" x14ac:dyDescent="0.35">
      <c r="A2186" s="138" t="s">
        <v>487</v>
      </c>
      <c r="B2186" s="138" t="s">
        <v>3809</v>
      </c>
      <c r="C2186" s="138" t="s">
        <v>4035</v>
      </c>
      <c r="D2186" s="138" t="s">
        <v>4085</v>
      </c>
      <c r="E2186" s="138" t="s">
        <v>4090</v>
      </c>
      <c r="F2186" s="138" t="s">
        <v>3869</v>
      </c>
      <c r="G2186" s="138" t="s">
        <v>3870</v>
      </c>
      <c r="H2186" s="81" t="str">
        <f t="shared" si="136"/>
        <v>TCCN-PTE-CON-MCN-GPT-SCE-BTN</v>
      </c>
      <c r="I2186" s="138" t="str">
        <f>MID(H2186,1,(LEN(H2186)-VLOOKUP(K2186,datos!$B$2:$C$12,2,0)))</f>
        <v>TCCN-PTE-CON-MCN-GPT-SCE-BTN</v>
      </c>
      <c r="J2186" s="138" t="s">
        <v>6740</v>
      </c>
      <c r="K2186" s="140">
        <f>VLOOKUP(LEN(SUBSTITUTE(H2186,"-","")),datos!$A$1:$B$12,2,0)</f>
        <v>7</v>
      </c>
      <c r="L2186" s="138"/>
      <c r="M2186" s="138" t="s">
        <v>0</v>
      </c>
    </row>
    <row r="2187" spans="1:13" x14ac:dyDescent="0.35">
      <c r="A2187" s="138" t="s">
        <v>487</v>
      </c>
      <c r="B2187" s="138" t="s">
        <v>3809</v>
      </c>
      <c r="C2187" s="138" t="s">
        <v>4035</v>
      </c>
      <c r="D2187" s="138" t="s">
        <v>4085</v>
      </c>
      <c r="E2187" s="138" t="s">
        <v>4090</v>
      </c>
      <c r="F2187" s="138" t="s">
        <v>3869</v>
      </c>
      <c r="G2187" s="138" t="s">
        <v>3852</v>
      </c>
      <c r="H2187" s="81" t="str">
        <f t="shared" si="136"/>
        <v>TCCN-PTE-CON-MCN-GPT-SCE-CTR</v>
      </c>
      <c r="I2187" s="138" t="str">
        <f>MID(H2187,1,(LEN(H2187)-VLOOKUP(K2187,datos!$B$2:$C$12,2,0)))</f>
        <v>TCCN-PTE-CON-MCN-GPT-SCE-CTR</v>
      </c>
      <c r="J2187" s="138" t="s">
        <v>4745</v>
      </c>
      <c r="K2187" s="140">
        <f>VLOOKUP(LEN(SUBSTITUTE(H2187,"-","")),datos!$A$1:$B$12,2,0)</f>
        <v>7</v>
      </c>
      <c r="L2187" s="138"/>
      <c r="M2187" s="138" t="s">
        <v>0</v>
      </c>
    </row>
    <row r="2188" spans="1:13" x14ac:dyDescent="0.35">
      <c r="A2188" s="137" t="s">
        <v>487</v>
      </c>
      <c r="B2188" s="137" t="s">
        <v>3809</v>
      </c>
      <c r="C2188" s="137" t="s">
        <v>4035</v>
      </c>
      <c r="D2188" s="137" t="s">
        <v>4085</v>
      </c>
      <c r="E2188" s="137" t="s">
        <v>4090</v>
      </c>
      <c r="F2188" s="137" t="s">
        <v>3824</v>
      </c>
      <c r="G2188" s="137"/>
      <c r="H2188" s="82" t="str">
        <f t="shared" si="136"/>
        <v>TCCN-PTE-CON-MCN-GPT-SES-</v>
      </c>
      <c r="I2188" s="137" t="str">
        <f>MID(H2188,1,(LEN(H2188)-VLOOKUP(K2188,datos!$B$2:$C$12,2,0)))</f>
        <v>TCCN-PTE-CON-MCN-GPT-SES</v>
      </c>
      <c r="J2188" s="137" t="s">
        <v>4746</v>
      </c>
      <c r="K2188" s="139">
        <f>VLOOKUP(LEN(SUBSTITUTE(H2188,"-","")),datos!$A$1:$B$12,2,0)</f>
        <v>6</v>
      </c>
      <c r="L2188" s="137"/>
      <c r="M2188" s="137" t="s">
        <v>0</v>
      </c>
    </row>
    <row r="2189" spans="1:13" x14ac:dyDescent="0.35">
      <c r="A2189" s="137" t="s">
        <v>487</v>
      </c>
      <c r="B2189" s="137" t="s">
        <v>3809</v>
      </c>
      <c r="C2189" s="137" t="s">
        <v>4035</v>
      </c>
      <c r="D2189" s="137" t="s">
        <v>4085</v>
      </c>
      <c r="E2189" s="137" t="s">
        <v>4090</v>
      </c>
      <c r="F2189" s="137" t="s">
        <v>3867</v>
      </c>
      <c r="G2189" s="137"/>
      <c r="H2189" s="82" t="str">
        <f t="shared" si="136"/>
        <v>TCCN-PTE-CON-MCN-GPT-SIZ-</v>
      </c>
      <c r="I2189" s="137" t="str">
        <f>MID(H2189,1,(LEN(H2189)-VLOOKUP(K2189,datos!$B$2:$C$12,2,0)))</f>
        <v>TCCN-PTE-CON-MCN-GPT-SIZ</v>
      </c>
      <c r="J2189" s="137" t="s">
        <v>4747</v>
      </c>
      <c r="K2189" s="139">
        <f>VLOOKUP(LEN(SUBSTITUTE(H2189,"-","")),datos!$A$1:$B$12,2,0)</f>
        <v>6</v>
      </c>
      <c r="L2189" s="137"/>
      <c r="M2189" s="137" t="s">
        <v>0</v>
      </c>
    </row>
    <row r="2190" spans="1:13" x14ac:dyDescent="0.35">
      <c r="A2190" s="138" t="s">
        <v>487</v>
      </c>
      <c r="B2190" s="138" t="s">
        <v>3809</v>
      </c>
      <c r="C2190" s="138" t="s">
        <v>4035</v>
      </c>
      <c r="D2190" s="138" t="s">
        <v>4085</v>
      </c>
      <c r="E2190" s="138" t="s">
        <v>4090</v>
      </c>
      <c r="F2190" s="138" t="s">
        <v>3867</v>
      </c>
      <c r="G2190" s="138" t="s">
        <v>3897</v>
      </c>
      <c r="H2190" s="81" t="str">
        <f t="shared" si="136"/>
        <v>TCCN-PTE-CON-MCN-GPT-SIZ-GA1</v>
      </c>
      <c r="I2190" s="138" t="str">
        <f>MID(H2190,1,(LEN(H2190)-VLOOKUP(K2190,datos!$B$2:$C$12,2,0)))</f>
        <v>TCCN-PTE-CON-MCN-GPT-SIZ-GA1</v>
      </c>
      <c r="J2190" s="138" t="s">
        <v>4748</v>
      </c>
      <c r="K2190" s="140">
        <f>VLOOKUP(LEN(SUBSTITUTE(H2190,"-","")),datos!$A$1:$B$12,2,0)</f>
        <v>7</v>
      </c>
      <c r="L2190" s="138"/>
      <c r="M2190" s="138" t="s">
        <v>0</v>
      </c>
    </row>
    <row r="2191" spans="1:13" x14ac:dyDescent="0.35">
      <c r="A2191" s="138" t="s">
        <v>487</v>
      </c>
      <c r="B2191" s="138" t="s">
        <v>3809</v>
      </c>
      <c r="C2191" s="138" t="s">
        <v>4035</v>
      </c>
      <c r="D2191" s="138" t="s">
        <v>4085</v>
      </c>
      <c r="E2191" s="138" t="s">
        <v>4090</v>
      </c>
      <c r="F2191" s="138" t="s">
        <v>3867</v>
      </c>
      <c r="G2191" s="138" t="s">
        <v>3905</v>
      </c>
      <c r="H2191" s="81" t="str">
        <f t="shared" si="136"/>
        <v>TCCN-PTE-CON-MCN-GPT-SIZ-GA2</v>
      </c>
      <c r="I2191" s="138" t="str">
        <f>MID(H2191,1,(LEN(H2191)-VLOOKUP(K2191,datos!$B$2:$C$12,2,0)))</f>
        <v>TCCN-PTE-CON-MCN-GPT-SIZ-GA2</v>
      </c>
      <c r="J2191" s="138" t="s">
        <v>4749</v>
      </c>
      <c r="K2191" s="140">
        <f>VLOOKUP(LEN(SUBSTITUTE(H2191,"-","")),datos!$A$1:$B$12,2,0)</f>
        <v>7</v>
      </c>
      <c r="L2191" s="138"/>
      <c r="M2191" s="138" t="s">
        <v>0</v>
      </c>
    </row>
    <row r="2192" spans="1:13" x14ac:dyDescent="0.35">
      <c r="A2192" s="138" t="s">
        <v>487</v>
      </c>
      <c r="B2192" s="138" t="s">
        <v>3809</v>
      </c>
      <c r="C2192" s="138" t="s">
        <v>4035</v>
      </c>
      <c r="D2192" s="138" t="s">
        <v>4085</v>
      </c>
      <c r="E2192" s="138" t="s">
        <v>4090</v>
      </c>
      <c r="F2192" s="138" t="s">
        <v>3867</v>
      </c>
      <c r="G2192" s="138" t="s">
        <v>3839</v>
      </c>
      <c r="H2192" s="81" t="str">
        <f t="shared" si="136"/>
        <v>TCCN-PTE-CON-MCN-GPT-SIZ-MO1</v>
      </c>
      <c r="I2192" s="138" t="str">
        <f>MID(H2192,1,(LEN(H2192)-VLOOKUP(K2192,datos!$B$2:$C$12,2,0)))</f>
        <v>TCCN-PTE-CON-MCN-GPT-SIZ-MO1</v>
      </c>
      <c r="J2192" s="138" t="s">
        <v>5349</v>
      </c>
      <c r="K2192" s="140">
        <f>VLOOKUP(LEN(SUBSTITUTE(H2192,"-","")),datos!$A$1:$B$12,2,0)</f>
        <v>7</v>
      </c>
      <c r="L2192" s="138"/>
      <c r="M2192" s="138" t="s">
        <v>0</v>
      </c>
    </row>
    <row r="2193" spans="1:13" x14ac:dyDescent="0.35">
      <c r="A2193" s="138" t="s">
        <v>487</v>
      </c>
      <c r="B2193" s="138" t="s">
        <v>3809</v>
      </c>
      <c r="C2193" s="138" t="s">
        <v>4035</v>
      </c>
      <c r="D2193" s="138" t="s">
        <v>4085</v>
      </c>
      <c r="E2193" s="138" t="s">
        <v>4090</v>
      </c>
      <c r="F2193" s="138" t="s">
        <v>3867</v>
      </c>
      <c r="G2193" s="138" t="s">
        <v>3840</v>
      </c>
      <c r="H2193" s="81" t="str">
        <f t="shared" si="136"/>
        <v>TCCN-PTE-CON-MCN-GPT-SIZ-MO2</v>
      </c>
      <c r="I2193" s="138" t="str">
        <f>MID(H2193,1,(LEN(H2193)-VLOOKUP(K2193,datos!$B$2:$C$12,2,0)))</f>
        <v>TCCN-PTE-CON-MCN-GPT-SIZ-MO2</v>
      </c>
      <c r="J2193" s="138" t="s">
        <v>8155</v>
      </c>
      <c r="K2193" s="140">
        <f>VLOOKUP(LEN(SUBSTITUTE(H2193,"-","")),datos!$A$1:$B$12,2,0)</f>
        <v>7</v>
      </c>
      <c r="L2193" s="138"/>
      <c r="M2193" s="138" t="s">
        <v>0</v>
      </c>
    </row>
    <row r="2194" spans="1:13" x14ac:dyDescent="0.35">
      <c r="A2194" s="138" t="s">
        <v>487</v>
      </c>
      <c r="B2194" s="138" t="s">
        <v>3809</v>
      </c>
      <c r="C2194" s="138" t="s">
        <v>4035</v>
      </c>
      <c r="D2194" s="138" t="s">
        <v>4085</v>
      </c>
      <c r="E2194" s="138" t="s">
        <v>4090</v>
      </c>
      <c r="F2194" s="138" t="s">
        <v>3867</v>
      </c>
      <c r="G2194" s="138" t="s">
        <v>4722</v>
      </c>
      <c r="H2194" s="81" t="str">
        <f t="shared" si="136"/>
        <v>TCCN-PTE-CON-MCN-GPT-SIZ-FR1</v>
      </c>
      <c r="I2194" s="138" t="str">
        <f>MID(H2194,1,(LEN(H2194)-VLOOKUP(K2194,datos!$B$2:$C$12,2,0)))</f>
        <v>TCCN-PTE-CON-MCN-GPT-SIZ-FR1</v>
      </c>
      <c r="J2194" s="138" t="s">
        <v>4750</v>
      </c>
      <c r="K2194" s="140">
        <f>VLOOKUP(LEN(SUBSTITUTE(H2194,"-","")),datos!$A$1:$B$12,2,0)</f>
        <v>7</v>
      </c>
      <c r="L2194" s="138"/>
      <c r="M2194" s="138" t="s">
        <v>0</v>
      </c>
    </row>
    <row r="2195" spans="1:13" x14ac:dyDescent="0.35">
      <c r="A2195" s="138" t="s">
        <v>487</v>
      </c>
      <c r="B2195" s="138" t="s">
        <v>3809</v>
      </c>
      <c r="C2195" s="138" t="s">
        <v>4035</v>
      </c>
      <c r="D2195" s="138" t="s">
        <v>4085</v>
      </c>
      <c r="E2195" s="138" t="s">
        <v>4090</v>
      </c>
      <c r="F2195" s="138" t="s">
        <v>3867</v>
      </c>
      <c r="G2195" s="138" t="s">
        <v>4723</v>
      </c>
      <c r="H2195" s="81" t="str">
        <f t="shared" si="136"/>
        <v>TCCN-PTE-CON-MCN-GPT-SIZ-FR2</v>
      </c>
      <c r="I2195" s="138" t="str">
        <f>MID(H2195,1,(LEN(H2195)-VLOOKUP(K2195,datos!$B$2:$C$12,2,0)))</f>
        <v>TCCN-PTE-CON-MCN-GPT-SIZ-FR2</v>
      </c>
      <c r="J2195" s="138" t="s">
        <v>4751</v>
      </c>
      <c r="K2195" s="140">
        <f>VLOOKUP(LEN(SUBSTITUTE(H2195,"-","")),datos!$A$1:$B$12,2,0)</f>
        <v>7</v>
      </c>
      <c r="L2195" s="138"/>
      <c r="M2195" s="138" t="s">
        <v>0</v>
      </c>
    </row>
    <row r="2196" spans="1:13" x14ac:dyDescent="0.35">
      <c r="A2196" s="137" t="s">
        <v>487</v>
      </c>
      <c r="B2196" s="137" t="s">
        <v>3809</v>
      </c>
      <c r="C2196" s="137" t="s">
        <v>4035</v>
      </c>
      <c r="D2196" s="137" t="s">
        <v>4085</v>
      </c>
      <c r="E2196" s="137" t="s">
        <v>4090</v>
      </c>
      <c r="F2196" s="137" t="s">
        <v>3854</v>
      </c>
      <c r="G2196" s="137"/>
      <c r="H2196" s="82" t="str">
        <f t="shared" si="136"/>
        <v>TCCN-PTE-CON-MCN-GPT-STR-</v>
      </c>
      <c r="I2196" s="137" t="str">
        <f>MID(H2196,1,(LEN(H2196)-VLOOKUP(K2196,datos!$B$2:$C$12,2,0)))</f>
        <v>TCCN-PTE-CON-MCN-GPT-STR</v>
      </c>
      <c r="J2196" s="137" t="s">
        <v>4752</v>
      </c>
      <c r="K2196" s="139">
        <f>VLOOKUP(LEN(SUBSTITUTE(H2196,"-","")),datos!$A$1:$B$12,2,0)</f>
        <v>6</v>
      </c>
      <c r="L2196" s="137"/>
      <c r="M2196" s="137" t="s">
        <v>0</v>
      </c>
    </row>
    <row r="2197" spans="1:13" x14ac:dyDescent="0.35">
      <c r="A2197" s="138" t="s">
        <v>487</v>
      </c>
      <c r="B2197" s="138" t="s">
        <v>3809</v>
      </c>
      <c r="C2197" s="138" t="s">
        <v>4035</v>
      </c>
      <c r="D2197" s="138" t="s">
        <v>4085</v>
      </c>
      <c r="E2197" s="138" t="s">
        <v>4090</v>
      </c>
      <c r="F2197" s="138" t="s">
        <v>3854</v>
      </c>
      <c r="G2197" s="138" t="s">
        <v>3839</v>
      </c>
      <c r="H2197" s="81" t="str">
        <f t="shared" si="136"/>
        <v>TCCN-PTE-CON-MCN-GPT-STR-MO1</v>
      </c>
      <c r="I2197" s="138" t="str">
        <f>MID(H2197,1,(LEN(H2197)-VLOOKUP(K2197,datos!$B$2:$C$12,2,0)))</f>
        <v>TCCN-PTE-CON-MCN-GPT-STR-MO1</v>
      </c>
      <c r="J2197" s="138" t="s">
        <v>5350</v>
      </c>
      <c r="K2197" s="140">
        <f>VLOOKUP(LEN(SUBSTITUTE(H2197,"-","")),datos!$A$1:$B$12,2,0)</f>
        <v>7</v>
      </c>
      <c r="L2197" s="138"/>
      <c r="M2197" s="138" t="s">
        <v>0</v>
      </c>
    </row>
    <row r="2198" spans="1:13" x14ac:dyDescent="0.35">
      <c r="A2198" s="138" t="s">
        <v>487</v>
      </c>
      <c r="B2198" s="138" t="s">
        <v>3809</v>
      </c>
      <c r="C2198" s="138" t="s">
        <v>4035</v>
      </c>
      <c r="D2198" s="138" t="s">
        <v>4085</v>
      </c>
      <c r="E2198" s="138" t="s">
        <v>4090</v>
      </c>
      <c r="F2198" s="138" t="s">
        <v>3854</v>
      </c>
      <c r="G2198" s="138" t="s">
        <v>3840</v>
      </c>
      <c r="H2198" s="81" t="str">
        <f t="shared" si="136"/>
        <v>TCCN-PTE-CON-MCN-GPT-STR-MO2</v>
      </c>
      <c r="I2198" s="138" t="str">
        <f>MID(H2198,1,(LEN(H2198)-VLOOKUP(K2198,datos!$B$2:$C$12,2,0)))</f>
        <v>TCCN-PTE-CON-MCN-GPT-STR-MO2</v>
      </c>
      <c r="J2198" s="138" t="s">
        <v>5351</v>
      </c>
      <c r="K2198" s="140">
        <f>VLOOKUP(LEN(SUBSTITUTE(H2198,"-","")),datos!$A$1:$B$12,2,0)</f>
        <v>7</v>
      </c>
      <c r="L2198" s="138"/>
      <c r="M2198" s="138" t="s">
        <v>0</v>
      </c>
    </row>
    <row r="2199" spans="1:13" customFormat="1" ht="14.5" x14ac:dyDescent="0.35">
      <c r="A2199" s="129" t="s">
        <v>487</v>
      </c>
      <c r="B2199" s="129" t="s">
        <v>3809</v>
      </c>
      <c r="C2199" s="129" t="s">
        <v>4035</v>
      </c>
      <c r="D2199" s="129" t="s">
        <v>4085</v>
      </c>
      <c r="E2199" s="129" t="s">
        <v>3947</v>
      </c>
      <c r="F2199" s="129"/>
      <c r="G2199" s="129"/>
      <c r="H2199" s="83" t="str">
        <f t="shared" si="136"/>
        <v>TCCN-PTE-CON-MCN-B01--</v>
      </c>
      <c r="I2199" s="129" t="str">
        <f>MID(H2199,1,(LEN(H2199)-VLOOKUP(K2199,datos!$B$2:$C$12,2,0)))</f>
        <v>TCCN-PTE-CON-MCN-B01</v>
      </c>
      <c r="J2199" s="129" t="s">
        <v>304</v>
      </c>
      <c r="K2199" s="130">
        <f>VLOOKUP(LEN(SUBSTITUTE(H2199,"-","")),datos!$A$1:$B$12,2,0)</f>
        <v>5</v>
      </c>
      <c r="L2199" s="129" t="s">
        <v>305</v>
      </c>
      <c r="M2199" s="129" t="s">
        <v>0</v>
      </c>
    </row>
    <row r="2200" spans="1:13" x14ac:dyDescent="0.35">
      <c r="A2200" s="137" t="s">
        <v>487</v>
      </c>
      <c r="B2200" s="137" t="s">
        <v>3809</v>
      </c>
      <c r="C2200" s="137" t="s">
        <v>4035</v>
      </c>
      <c r="D2200" s="137" t="s">
        <v>4085</v>
      </c>
      <c r="E2200" s="137" t="s">
        <v>3947</v>
      </c>
      <c r="F2200" s="137" t="s">
        <v>5106</v>
      </c>
      <c r="G2200" s="137"/>
      <c r="H2200" s="82" t="str">
        <f t="shared" si="136"/>
        <v>TCCN-PTE-CON-MCN-B01-PHU-</v>
      </c>
      <c r="I2200" s="137" t="str">
        <f>MID(H2200,1,(LEN(H2200)-VLOOKUP(K2200,datos!$B$2:$C$12,2,0)))</f>
        <v>TCCN-PTE-CON-MCN-B01-PHU</v>
      </c>
      <c r="J2200" s="137" t="s">
        <v>4653</v>
      </c>
      <c r="K2200" s="139">
        <f>VLOOKUP(LEN(SUBSTITUTE(H2200,"-","")),datos!$A$1:$B$12,2,0)</f>
        <v>6</v>
      </c>
      <c r="L2200" s="137"/>
      <c r="M2200" s="137" t="s">
        <v>0</v>
      </c>
    </row>
    <row r="2201" spans="1:13" x14ac:dyDescent="0.35">
      <c r="A2201" s="137" t="s">
        <v>487</v>
      </c>
      <c r="B2201" s="137" t="s">
        <v>3809</v>
      </c>
      <c r="C2201" s="137" t="s">
        <v>4035</v>
      </c>
      <c r="D2201" s="137" t="s">
        <v>4085</v>
      </c>
      <c r="E2201" s="137" t="s">
        <v>3947</v>
      </c>
      <c r="F2201" s="137" t="s">
        <v>4073</v>
      </c>
      <c r="G2201" s="137"/>
      <c r="H2201" s="82" t="str">
        <f t="shared" si="136"/>
        <v>TCCN-PTE-CON-MCN-B01-PYV-</v>
      </c>
      <c r="I2201" s="137" t="str">
        <f>MID(H2201,1,(LEN(H2201)-VLOOKUP(K2201,datos!$B$2:$C$12,2,0)))</f>
        <v>TCCN-PTE-CON-MCN-B01-PYV</v>
      </c>
      <c r="J2201" s="137" t="s">
        <v>4656</v>
      </c>
      <c r="K2201" s="139">
        <f>VLOOKUP(LEN(SUBSTITUTE(H2201,"-","")),datos!$A$1:$B$12,2,0)</f>
        <v>6</v>
      </c>
      <c r="L2201" s="137"/>
      <c r="M2201" s="137" t="s">
        <v>0</v>
      </c>
    </row>
    <row r="2202" spans="1:13" x14ac:dyDescent="0.35">
      <c r="A2202" s="137" t="s">
        <v>487</v>
      </c>
      <c r="B2202" s="137" t="s">
        <v>3809</v>
      </c>
      <c r="C2202" s="137" t="s">
        <v>4035</v>
      </c>
      <c r="D2202" s="137" t="s">
        <v>4085</v>
      </c>
      <c r="E2202" s="137" t="s">
        <v>3947</v>
      </c>
      <c r="F2202" s="137" t="s">
        <v>3847</v>
      </c>
      <c r="G2202" s="137"/>
      <c r="H2202" s="82" t="str">
        <f t="shared" si="136"/>
        <v>TCCN-PTE-CON-MCN-B01-SMO-</v>
      </c>
      <c r="I2202" s="137" t="str">
        <f>MID(H2202,1,(LEN(H2202)-VLOOKUP(K2202,datos!$B$2:$C$12,2,0)))</f>
        <v>TCCN-PTE-CON-MCN-B01-SMO</v>
      </c>
      <c r="J2202" s="137" t="s">
        <v>4654</v>
      </c>
      <c r="K2202" s="139">
        <f>VLOOKUP(LEN(SUBSTITUTE(H2202,"-","")),datos!$A$1:$B$12,2,0)</f>
        <v>6</v>
      </c>
      <c r="L2202" s="137"/>
      <c r="M2202" s="137" t="s">
        <v>0</v>
      </c>
    </row>
    <row r="2203" spans="1:13" x14ac:dyDescent="0.35">
      <c r="A2203" s="138" t="s">
        <v>487</v>
      </c>
      <c r="B2203" s="138" t="s">
        <v>3809</v>
      </c>
      <c r="C2203" s="138" t="s">
        <v>4035</v>
      </c>
      <c r="D2203" s="138" t="s">
        <v>4085</v>
      </c>
      <c r="E2203" s="138" t="s">
        <v>3947</v>
      </c>
      <c r="F2203" s="138" t="s">
        <v>3847</v>
      </c>
      <c r="G2203" s="138" t="s">
        <v>3819</v>
      </c>
      <c r="H2203" s="81" t="str">
        <f t="shared" si="136"/>
        <v>TCCN-PTE-CON-MCN-B01-SMO-MOE</v>
      </c>
      <c r="I2203" s="138" t="str">
        <f>MID(H2203,1,(LEN(H2203)-VLOOKUP(K2203,datos!$B$2:$C$12,2,0)))</f>
        <v>TCCN-PTE-CON-MCN-B01-SMO-MOE</v>
      </c>
      <c r="J2203" s="138" t="s">
        <v>4655</v>
      </c>
      <c r="K2203" s="140">
        <f>VLOOKUP(LEN(SUBSTITUTE(H2203,"-","")),datos!$A$1:$B$12,2,0)</f>
        <v>7</v>
      </c>
      <c r="L2203" s="138" t="s">
        <v>306</v>
      </c>
      <c r="M2203" s="138" t="s">
        <v>0</v>
      </c>
    </row>
    <row r="2204" spans="1:13" x14ac:dyDescent="0.35">
      <c r="A2204" s="137" t="s">
        <v>487</v>
      </c>
      <c r="B2204" s="137" t="s">
        <v>3809</v>
      </c>
      <c r="C2204" s="137" t="s">
        <v>4035</v>
      </c>
      <c r="D2204" s="137" t="s">
        <v>4085</v>
      </c>
      <c r="E2204" s="137" t="s">
        <v>3947</v>
      </c>
      <c r="F2204" s="137" t="s">
        <v>3831</v>
      </c>
      <c r="G2204" s="137"/>
      <c r="H2204" s="82" t="str">
        <f t="shared" si="136"/>
        <v>TCCN-PTE-CON-MCN-B01-INS-</v>
      </c>
      <c r="I2204" s="137" t="str">
        <f>MID(H2204,1,(LEN(H2204)-VLOOKUP(K2204,datos!$B$2:$C$12,2,0)))</f>
        <v>TCCN-PTE-CON-MCN-B01-INS</v>
      </c>
      <c r="J2204" s="137" t="s">
        <v>4657</v>
      </c>
      <c r="K2204" s="139">
        <f>VLOOKUP(LEN(SUBSTITUTE(H2204,"-","")),datos!$A$1:$B$12,2,0)</f>
        <v>6</v>
      </c>
      <c r="L2204" s="137"/>
      <c r="M2204" s="137" t="s">
        <v>0</v>
      </c>
    </row>
    <row r="2205" spans="1:13" customFormat="1" ht="14.5" x14ac:dyDescent="0.35">
      <c r="A2205" s="129" t="s">
        <v>487</v>
      </c>
      <c r="B2205" s="129" t="s">
        <v>3809</v>
      </c>
      <c r="C2205" s="129" t="s">
        <v>4035</v>
      </c>
      <c r="D2205" s="129" t="s">
        <v>4085</v>
      </c>
      <c r="E2205" s="129" t="s">
        <v>4091</v>
      </c>
      <c r="F2205" s="129"/>
      <c r="G2205" s="129"/>
      <c r="H2205" s="83" t="str">
        <f t="shared" si="136"/>
        <v>TCCN-PTE-CON-MCN-GPC--</v>
      </c>
      <c r="I2205" s="129" t="str">
        <f>MID(H2205,1,(LEN(H2205)-VLOOKUP(K2205,datos!$B$2:$C$12,2,0)))</f>
        <v>TCCN-PTE-CON-MCN-GPC</v>
      </c>
      <c r="J2205" s="129" t="s">
        <v>475</v>
      </c>
      <c r="K2205" s="130">
        <f>VLOOKUP(LEN(SUBSTITUTE(H2205,"-","")),datos!$A$1:$B$12,2,0)</f>
        <v>5</v>
      </c>
      <c r="L2205" s="129" t="s">
        <v>307</v>
      </c>
      <c r="M2205" s="129" t="s">
        <v>0</v>
      </c>
    </row>
    <row r="2206" spans="1:13" x14ac:dyDescent="0.35">
      <c r="A2206" s="137" t="s">
        <v>487</v>
      </c>
      <c r="B2206" s="137" t="s">
        <v>3809</v>
      </c>
      <c r="C2206" s="137" t="s">
        <v>4035</v>
      </c>
      <c r="D2206" s="137" t="s">
        <v>4085</v>
      </c>
      <c r="E2206" s="137" t="s">
        <v>4091</v>
      </c>
      <c r="F2206" s="137" t="s">
        <v>3869</v>
      </c>
      <c r="G2206" s="137"/>
      <c r="H2206" s="82" t="str">
        <f t="shared" si="136"/>
        <v>TCCN-PTE-CON-MCN-GPC-SCE-</v>
      </c>
      <c r="I2206" s="137" t="str">
        <f>MID(H2206,1,(LEN(H2206)-VLOOKUP(K2206,datos!$B$2:$C$12,2,0)))</f>
        <v>TCCN-PTE-CON-MCN-GPC-SCE</v>
      </c>
      <c r="J2206" s="137" t="s">
        <v>4658</v>
      </c>
      <c r="K2206" s="139">
        <f>VLOOKUP(LEN(SUBSTITUTE(H2206,"-","")),datos!$A$1:$B$12,2,0)</f>
        <v>6</v>
      </c>
      <c r="L2206" s="137"/>
      <c r="M2206" s="137" t="s">
        <v>0</v>
      </c>
    </row>
    <row r="2207" spans="1:13" x14ac:dyDescent="0.35">
      <c r="A2207" s="138" t="s">
        <v>487</v>
      </c>
      <c r="B2207" s="138" t="s">
        <v>3809</v>
      </c>
      <c r="C2207" s="138" t="s">
        <v>4035</v>
      </c>
      <c r="D2207" s="138" t="s">
        <v>4085</v>
      </c>
      <c r="E2207" s="138" t="s">
        <v>4091</v>
      </c>
      <c r="F2207" s="138" t="s">
        <v>3869</v>
      </c>
      <c r="G2207" s="138" t="s">
        <v>3870</v>
      </c>
      <c r="H2207" s="81" t="str">
        <f t="shared" si="136"/>
        <v>TCCN-PTE-CON-MCN-GPC-SCE-BTN</v>
      </c>
      <c r="I2207" s="138" t="str">
        <f>MID(H2207,1,(LEN(H2207)-VLOOKUP(K2207,datos!$B$2:$C$12,2,0)))</f>
        <v>TCCN-PTE-CON-MCN-GPC-SCE-BTN</v>
      </c>
      <c r="J2207" s="138" t="s">
        <v>6259</v>
      </c>
      <c r="K2207" s="140">
        <f>VLOOKUP(LEN(SUBSTITUTE(H2207,"-","")),datos!$A$1:$B$12,2,0)</f>
        <v>7</v>
      </c>
      <c r="L2207" s="138"/>
      <c r="M2207" s="138" t="s">
        <v>0</v>
      </c>
    </row>
    <row r="2208" spans="1:13" x14ac:dyDescent="0.35">
      <c r="A2208" s="137" t="s">
        <v>487</v>
      </c>
      <c r="B2208" s="137" t="s">
        <v>3809</v>
      </c>
      <c r="C2208" s="137" t="s">
        <v>4035</v>
      </c>
      <c r="D2208" s="137" t="s">
        <v>4085</v>
      </c>
      <c r="E2208" s="137" t="s">
        <v>4091</v>
      </c>
      <c r="F2208" s="137" t="s">
        <v>3867</v>
      </c>
      <c r="G2208" s="137"/>
      <c r="H2208" s="82" t="str">
        <f t="shared" ref="H2208:H2210" si="137">CONCATENATE(A2208,"-",B2208,"-",C2208,"-",D2208,"-",E2208,"-",F2208,"-",G2208)</f>
        <v>TCCN-PTE-CON-MCN-GPC-SIZ-</v>
      </c>
      <c r="I2208" s="137" t="str">
        <f>MID(H2208,1,(LEN(H2208)-VLOOKUP(K2208,datos!$B$2:$C$12,2,0)))</f>
        <v>TCCN-PTE-CON-MCN-GPC-SIZ</v>
      </c>
      <c r="J2208" s="137" t="s">
        <v>7141</v>
      </c>
      <c r="K2208" s="139">
        <f>VLOOKUP(LEN(SUBSTITUTE(H2208,"-","")),datos!$A$1:$B$12,2,0)</f>
        <v>6</v>
      </c>
      <c r="L2208" s="137"/>
      <c r="M2208" s="137" t="s">
        <v>0</v>
      </c>
    </row>
    <row r="2209" spans="1:13" x14ac:dyDescent="0.35">
      <c r="A2209" s="137" t="s">
        <v>487</v>
      </c>
      <c r="B2209" s="137" t="s">
        <v>3809</v>
      </c>
      <c r="C2209" s="137" t="s">
        <v>4035</v>
      </c>
      <c r="D2209" s="137" t="s">
        <v>4085</v>
      </c>
      <c r="E2209" s="137" t="s">
        <v>4091</v>
      </c>
      <c r="F2209" s="137" t="s">
        <v>7139</v>
      </c>
      <c r="G2209" s="137"/>
      <c r="H2209" s="82" t="str">
        <f t="shared" si="137"/>
        <v>TCCN-PTE-CON-MCN-GPC-SRD-</v>
      </c>
      <c r="I2209" s="137" t="str">
        <f>MID(H2209,1,(LEN(H2209)-VLOOKUP(K2209,datos!$B$2:$C$12,2,0)))</f>
        <v>TCCN-PTE-CON-MCN-GPC-SRD</v>
      </c>
      <c r="J2209" s="137" t="s">
        <v>7142</v>
      </c>
      <c r="K2209" s="139">
        <f>VLOOKUP(LEN(SUBSTITUTE(H2209,"-","")),datos!$A$1:$B$12,2,0)</f>
        <v>6</v>
      </c>
      <c r="L2209" s="137"/>
      <c r="M2209" s="137" t="s">
        <v>0</v>
      </c>
    </row>
    <row r="2210" spans="1:13" x14ac:dyDescent="0.35">
      <c r="A2210" s="137" t="s">
        <v>487</v>
      </c>
      <c r="B2210" s="137" t="s">
        <v>3809</v>
      </c>
      <c r="C2210" s="137" t="s">
        <v>4035</v>
      </c>
      <c r="D2210" s="137" t="s">
        <v>4085</v>
      </c>
      <c r="E2210" s="137" t="s">
        <v>4091</v>
      </c>
      <c r="F2210" s="137" t="s">
        <v>3824</v>
      </c>
      <c r="G2210" s="137"/>
      <c r="H2210" s="82" t="str">
        <f t="shared" si="137"/>
        <v>TCCN-PTE-CON-MCN-GPC-SES-</v>
      </c>
      <c r="I2210" s="137" t="str">
        <f>MID(H2210,1,(LEN(H2210)-VLOOKUP(K2210,datos!$B$2:$C$12,2,0)))</f>
        <v>TCCN-PTE-CON-MCN-GPC-SES</v>
      </c>
      <c r="J2210" s="137" t="s">
        <v>7143</v>
      </c>
      <c r="K2210" s="139">
        <f>VLOOKUP(LEN(SUBSTITUTE(H2210,"-","")),datos!$A$1:$B$12,2,0)</f>
        <v>6</v>
      </c>
      <c r="L2210" s="137"/>
      <c r="M2210" s="137" t="s">
        <v>0</v>
      </c>
    </row>
    <row r="2211" spans="1:13" customFormat="1" ht="14.5" x14ac:dyDescent="0.35">
      <c r="A2211" s="129" t="s">
        <v>487</v>
      </c>
      <c r="B2211" s="129" t="s">
        <v>3809</v>
      </c>
      <c r="C2211" s="129" t="s">
        <v>4035</v>
      </c>
      <c r="D2211" s="129" t="s">
        <v>4085</v>
      </c>
      <c r="E2211" s="129" t="s">
        <v>4092</v>
      </c>
      <c r="F2211" s="129"/>
      <c r="G2211" s="129"/>
      <c r="H2211" s="83" t="str">
        <f t="shared" si="136"/>
        <v>TCCN-PTE-CON-MCN-CO1--</v>
      </c>
      <c r="I2211" s="129" t="str">
        <f>MID(H2211,1,(LEN(H2211)-VLOOKUP(K2211,datos!$B$2:$C$12,2,0)))</f>
        <v>TCCN-PTE-CON-MCN-CO1</v>
      </c>
      <c r="J2211" s="129" t="s">
        <v>7338</v>
      </c>
      <c r="K2211" s="130">
        <f>VLOOKUP(LEN(SUBSTITUTE(H2211,"-","")),datos!$A$1:$B$12,2,0)</f>
        <v>5</v>
      </c>
      <c r="L2211" s="129" t="s">
        <v>308</v>
      </c>
      <c r="M2211" s="129" t="s">
        <v>0</v>
      </c>
    </row>
    <row r="2212" spans="1:13" x14ac:dyDescent="0.35">
      <c r="A2212" s="137" t="s">
        <v>487</v>
      </c>
      <c r="B2212" s="137" t="s">
        <v>3809</v>
      </c>
      <c r="C2212" s="137" t="s">
        <v>4035</v>
      </c>
      <c r="D2212" s="137" t="s">
        <v>4085</v>
      </c>
      <c r="E2212" s="137" t="s">
        <v>4092</v>
      </c>
      <c r="F2212" s="137" t="s">
        <v>3824</v>
      </c>
      <c r="G2212" s="137"/>
      <c r="H2212" s="82" t="str">
        <f t="shared" si="136"/>
        <v>TCCN-PTE-CON-MCN-CO1-SES-</v>
      </c>
      <c r="I2212" s="137" t="str">
        <f>MID(H2212,1,(LEN(H2212)-VLOOKUP(K2212,datos!$B$2:$C$12,2,0)))</f>
        <v>TCCN-PTE-CON-MCN-CO1-SES</v>
      </c>
      <c r="J2212" s="137" t="s">
        <v>7254</v>
      </c>
      <c r="K2212" s="139">
        <f>VLOOKUP(LEN(SUBSTITUTE(H2212,"-","")),datos!$A$1:$B$12,2,0)</f>
        <v>6</v>
      </c>
      <c r="L2212" s="137"/>
      <c r="M2212" s="137" t="s">
        <v>0</v>
      </c>
    </row>
    <row r="2213" spans="1:13" x14ac:dyDescent="0.35">
      <c r="A2213" s="137" t="s">
        <v>487</v>
      </c>
      <c r="B2213" s="137" t="s">
        <v>3809</v>
      </c>
      <c r="C2213" s="137" t="s">
        <v>4035</v>
      </c>
      <c r="D2213" s="137" t="s">
        <v>4085</v>
      </c>
      <c r="E2213" s="137" t="s">
        <v>4092</v>
      </c>
      <c r="F2213" s="137" t="s">
        <v>5666</v>
      </c>
      <c r="G2213" s="137"/>
      <c r="H2213" s="82" t="str">
        <f t="shared" ref="H2213" si="138">CONCATENATE(A2213,"-",B2213,"-",C2213,"-",D2213,"-",E2213,"-",F2213,"-",G2213)</f>
        <v>TCCN-PTE-CON-MCN-CO1-SIA-</v>
      </c>
      <c r="I2213" s="137" t="str">
        <f>MID(H2213,1,(LEN(H2213)-VLOOKUP(K2213,datos!$B$2:$C$12,2,0)))</f>
        <v>TCCN-PTE-CON-MCN-CO1-SIA</v>
      </c>
      <c r="J2213" s="137" t="s">
        <v>7256</v>
      </c>
      <c r="K2213" s="139">
        <f>VLOOKUP(LEN(SUBSTITUTE(H2213,"-","")),datos!$A$1:$B$12,2,0)</f>
        <v>6</v>
      </c>
      <c r="L2213" s="137"/>
      <c r="M2213" s="137" t="s">
        <v>0</v>
      </c>
    </row>
    <row r="2214" spans="1:13" x14ac:dyDescent="0.35">
      <c r="A2214" s="137" t="s">
        <v>487</v>
      </c>
      <c r="B2214" s="137" t="s">
        <v>3809</v>
      </c>
      <c r="C2214" s="137" t="s">
        <v>4035</v>
      </c>
      <c r="D2214" s="137" t="s">
        <v>4085</v>
      </c>
      <c r="E2214" s="137" t="s">
        <v>4092</v>
      </c>
      <c r="F2214" s="137" t="s">
        <v>5667</v>
      </c>
      <c r="G2214" s="137"/>
      <c r="H2214" s="82" t="str">
        <f t="shared" ref="H2214" si="139">CONCATENATE(A2214,"-",B2214,"-",C2214,"-",D2214,"-",E2214,"-",F2214,"-",G2214)</f>
        <v>TCCN-PTE-CON-MCN-CO1-UCO-</v>
      </c>
      <c r="I2214" s="137" t="str">
        <f>MID(H2214,1,(LEN(H2214)-VLOOKUP(K2214,datos!$B$2:$C$12,2,0)))</f>
        <v>TCCN-PTE-CON-MCN-CO1-UCO</v>
      </c>
      <c r="J2214" s="137" t="s">
        <v>7327</v>
      </c>
      <c r="K2214" s="139">
        <f>VLOOKUP(LEN(SUBSTITUTE(H2214,"-","")),datos!$A$1:$B$12,2,0)</f>
        <v>6</v>
      </c>
      <c r="L2214" s="137"/>
      <c r="M2214" s="137" t="s">
        <v>0</v>
      </c>
    </row>
    <row r="2215" spans="1:13" x14ac:dyDescent="0.35">
      <c r="A2215" s="137" t="s">
        <v>487</v>
      </c>
      <c r="B2215" s="137" t="s">
        <v>3809</v>
      </c>
      <c r="C2215" s="137" t="s">
        <v>4035</v>
      </c>
      <c r="D2215" s="137" t="s">
        <v>4085</v>
      </c>
      <c r="E2215" s="137" t="s">
        <v>4092</v>
      </c>
      <c r="F2215" s="137" t="s">
        <v>5668</v>
      </c>
      <c r="G2215" s="137"/>
      <c r="H2215" s="82" t="str">
        <f t="shared" ref="H2215" si="140">CONCATENATE(A2215,"-",B2215,"-",C2215,"-",D2215,"-",E2215,"-",F2215,"-",G2215)</f>
        <v>TCCN-PTE-CON-MCN-CO1-SEF-</v>
      </c>
      <c r="I2215" s="137" t="str">
        <f>MID(H2215,1,(LEN(H2215)-VLOOKUP(K2215,datos!$B$2:$C$12,2,0)))</f>
        <v>TCCN-PTE-CON-MCN-CO1-SEF</v>
      </c>
      <c r="J2215" s="137" t="s">
        <v>7257</v>
      </c>
      <c r="K2215" s="139">
        <f>VLOOKUP(LEN(SUBSTITUTE(H2215,"-","")),datos!$A$1:$B$12,2,0)</f>
        <v>6</v>
      </c>
      <c r="L2215" s="137"/>
      <c r="M2215" s="137" t="s">
        <v>0</v>
      </c>
    </row>
    <row r="2216" spans="1:13" x14ac:dyDescent="0.35">
      <c r="A2216" s="137" t="s">
        <v>487</v>
      </c>
      <c r="B2216" s="137" t="s">
        <v>3809</v>
      </c>
      <c r="C2216" s="137" t="s">
        <v>4035</v>
      </c>
      <c r="D2216" s="137" t="s">
        <v>4085</v>
      </c>
      <c r="E2216" s="137" t="s">
        <v>4092</v>
      </c>
      <c r="F2216" s="137" t="s">
        <v>3831</v>
      </c>
      <c r="G2216" s="137"/>
      <c r="H2216" s="82" t="str">
        <f t="shared" ref="H2216" si="141">CONCATENATE(A2216,"-",B2216,"-",C2216,"-",D2216,"-",E2216,"-",F2216,"-",G2216)</f>
        <v>TCCN-PTE-CON-MCN-CO1-INS-</v>
      </c>
      <c r="I2216" s="137" t="str">
        <f>MID(H2216,1,(LEN(H2216)-VLOOKUP(K2216,datos!$B$2:$C$12,2,0)))</f>
        <v>TCCN-PTE-CON-MCN-CO1-INS</v>
      </c>
      <c r="J2216" s="137" t="s">
        <v>7258</v>
      </c>
      <c r="K2216" s="139">
        <f>VLOOKUP(LEN(SUBSTITUTE(H2216,"-","")),datos!$A$1:$B$12,2,0)</f>
        <v>6</v>
      </c>
      <c r="L2216" s="137"/>
      <c r="M2216" s="137" t="s">
        <v>0</v>
      </c>
    </row>
    <row r="2217" spans="1:13" customFormat="1" ht="14.5" x14ac:dyDescent="0.35">
      <c r="A2217" s="129" t="s">
        <v>487</v>
      </c>
      <c r="B2217" s="129" t="s">
        <v>3809</v>
      </c>
      <c r="C2217" s="129" t="s">
        <v>4035</v>
      </c>
      <c r="D2217" s="129" t="s">
        <v>4085</v>
      </c>
      <c r="E2217" s="129" t="s">
        <v>4093</v>
      </c>
      <c r="F2217" s="129"/>
      <c r="G2217" s="129"/>
      <c r="H2217" s="83" t="str">
        <f t="shared" si="136"/>
        <v>TCCN-PTE-CON-MCN-CO2--</v>
      </c>
      <c r="I2217" s="129" t="str">
        <f>MID(H2217,1,(LEN(H2217)-VLOOKUP(K2217,datos!$B$2:$C$12,2,0)))</f>
        <v>TCCN-PTE-CON-MCN-CO2</v>
      </c>
      <c r="J2217" s="129" t="s">
        <v>7339</v>
      </c>
      <c r="K2217" s="130">
        <f>VLOOKUP(LEN(SUBSTITUTE(H2217,"-","")),datos!$A$1:$B$12,2,0)</f>
        <v>5</v>
      </c>
      <c r="L2217" s="129" t="s">
        <v>309</v>
      </c>
      <c r="M2217" s="129" t="s">
        <v>0</v>
      </c>
    </row>
    <row r="2218" spans="1:13" x14ac:dyDescent="0.35">
      <c r="A2218" s="137" t="s">
        <v>487</v>
      </c>
      <c r="B2218" s="137" t="s">
        <v>3809</v>
      </c>
      <c r="C2218" s="137" t="s">
        <v>4035</v>
      </c>
      <c r="D2218" s="137" t="s">
        <v>4085</v>
      </c>
      <c r="E2218" s="137" t="s">
        <v>4093</v>
      </c>
      <c r="F2218" s="137" t="s">
        <v>3824</v>
      </c>
      <c r="G2218" s="137"/>
      <c r="H2218" s="82" t="str">
        <f t="shared" ref="H2218:H2222" si="142">CONCATENATE(A2218,"-",B2218,"-",C2218,"-",D2218,"-",E2218,"-",F2218,"-",G2218)</f>
        <v>TCCN-PTE-CON-MCN-CO2-SES-</v>
      </c>
      <c r="I2218" s="137" t="str">
        <f>MID(H2218,1,(LEN(H2218)-VLOOKUP(K2218,datos!$B$2:$C$12,2,0)))</f>
        <v>TCCN-PTE-CON-MCN-CO2-SES</v>
      </c>
      <c r="J2218" s="137" t="s">
        <v>7328</v>
      </c>
      <c r="K2218" s="139">
        <f>VLOOKUP(LEN(SUBSTITUTE(H2218,"-","")),datos!$A$1:$B$12,2,0)</f>
        <v>6</v>
      </c>
      <c r="L2218" s="137"/>
      <c r="M2218" s="137" t="s">
        <v>0</v>
      </c>
    </row>
    <row r="2219" spans="1:13" x14ac:dyDescent="0.35">
      <c r="A2219" s="137" t="s">
        <v>487</v>
      </c>
      <c r="B2219" s="137" t="s">
        <v>3809</v>
      </c>
      <c r="C2219" s="137" t="s">
        <v>4035</v>
      </c>
      <c r="D2219" s="137" t="s">
        <v>4085</v>
      </c>
      <c r="E2219" s="137" t="s">
        <v>4093</v>
      </c>
      <c r="F2219" s="137" t="s">
        <v>5666</v>
      </c>
      <c r="G2219" s="137"/>
      <c r="H2219" s="82" t="str">
        <f t="shared" si="142"/>
        <v>TCCN-PTE-CON-MCN-CO2-SIA-</v>
      </c>
      <c r="I2219" s="137" t="str">
        <f>MID(H2219,1,(LEN(H2219)-VLOOKUP(K2219,datos!$B$2:$C$12,2,0)))</f>
        <v>TCCN-PTE-CON-MCN-CO2-SIA</v>
      </c>
      <c r="J2219" s="137" t="s">
        <v>7329</v>
      </c>
      <c r="K2219" s="139">
        <f>VLOOKUP(LEN(SUBSTITUTE(H2219,"-","")),datos!$A$1:$B$12,2,0)</f>
        <v>6</v>
      </c>
      <c r="L2219" s="137"/>
      <c r="M2219" s="137" t="s">
        <v>0</v>
      </c>
    </row>
    <row r="2220" spans="1:13" x14ac:dyDescent="0.35">
      <c r="A2220" s="137" t="s">
        <v>487</v>
      </c>
      <c r="B2220" s="137" t="s">
        <v>3809</v>
      </c>
      <c r="C2220" s="137" t="s">
        <v>4035</v>
      </c>
      <c r="D2220" s="137" t="s">
        <v>4085</v>
      </c>
      <c r="E2220" s="137" t="s">
        <v>4093</v>
      </c>
      <c r="F2220" s="137" t="s">
        <v>5667</v>
      </c>
      <c r="G2220" s="137"/>
      <c r="H2220" s="82" t="str">
        <f t="shared" si="142"/>
        <v>TCCN-PTE-CON-MCN-CO2-UCO-</v>
      </c>
      <c r="I2220" s="137" t="str">
        <f>MID(H2220,1,(LEN(H2220)-VLOOKUP(K2220,datos!$B$2:$C$12,2,0)))</f>
        <v>TCCN-PTE-CON-MCN-CO2-UCO</v>
      </c>
      <c r="J2220" s="137" t="s">
        <v>7330</v>
      </c>
      <c r="K2220" s="139">
        <f>VLOOKUP(LEN(SUBSTITUTE(H2220,"-","")),datos!$A$1:$B$12,2,0)</f>
        <v>6</v>
      </c>
      <c r="L2220" s="137"/>
      <c r="M2220" s="137" t="s">
        <v>0</v>
      </c>
    </row>
    <row r="2221" spans="1:13" x14ac:dyDescent="0.35">
      <c r="A2221" s="137" t="s">
        <v>487</v>
      </c>
      <c r="B2221" s="137" t="s">
        <v>3809</v>
      </c>
      <c r="C2221" s="137" t="s">
        <v>4035</v>
      </c>
      <c r="D2221" s="137" t="s">
        <v>4085</v>
      </c>
      <c r="E2221" s="137" t="s">
        <v>4093</v>
      </c>
      <c r="F2221" s="137" t="s">
        <v>5668</v>
      </c>
      <c r="G2221" s="137"/>
      <c r="H2221" s="82" t="str">
        <f t="shared" si="142"/>
        <v>TCCN-PTE-CON-MCN-CO2-SEF-</v>
      </c>
      <c r="I2221" s="137" t="str">
        <f>MID(H2221,1,(LEN(H2221)-VLOOKUP(K2221,datos!$B$2:$C$12,2,0)))</f>
        <v>TCCN-PTE-CON-MCN-CO2-SEF</v>
      </c>
      <c r="J2221" s="137" t="s">
        <v>7331</v>
      </c>
      <c r="K2221" s="139">
        <f>VLOOKUP(LEN(SUBSTITUTE(H2221,"-","")),datos!$A$1:$B$12,2,0)</f>
        <v>6</v>
      </c>
      <c r="L2221" s="137"/>
      <c r="M2221" s="137" t="s">
        <v>0</v>
      </c>
    </row>
    <row r="2222" spans="1:13" x14ac:dyDescent="0.35">
      <c r="A2222" s="137" t="s">
        <v>487</v>
      </c>
      <c r="B2222" s="137" t="s">
        <v>3809</v>
      </c>
      <c r="C2222" s="137" t="s">
        <v>4035</v>
      </c>
      <c r="D2222" s="137" t="s">
        <v>4085</v>
      </c>
      <c r="E2222" s="137" t="s">
        <v>4093</v>
      </c>
      <c r="F2222" s="137" t="s">
        <v>3831</v>
      </c>
      <c r="G2222" s="137"/>
      <c r="H2222" s="82" t="str">
        <f t="shared" si="142"/>
        <v>TCCN-PTE-CON-MCN-CO2-INS-</v>
      </c>
      <c r="I2222" s="137" t="str">
        <f>MID(H2222,1,(LEN(H2222)-VLOOKUP(K2222,datos!$B$2:$C$12,2,0)))</f>
        <v>TCCN-PTE-CON-MCN-CO2-INS</v>
      </c>
      <c r="J2222" s="137" t="s">
        <v>7332</v>
      </c>
      <c r="K2222" s="139">
        <f>VLOOKUP(LEN(SUBSTITUTE(H2222,"-","")),datos!$A$1:$B$12,2,0)</f>
        <v>6</v>
      </c>
      <c r="L2222" s="137"/>
      <c r="M2222" s="137" t="s">
        <v>0</v>
      </c>
    </row>
    <row r="2223" spans="1:13" customFormat="1" ht="14.5" x14ac:dyDescent="0.35">
      <c r="A2223" s="129" t="s">
        <v>487</v>
      </c>
      <c r="B2223" s="129" t="s">
        <v>3809</v>
      </c>
      <c r="C2223" s="129" t="s">
        <v>4035</v>
      </c>
      <c r="D2223" s="129" t="s">
        <v>4085</v>
      </c>
      <c r="E2223" s="129" t="s">
        <v>4094</v>
      </c>
      <c r="F2223" s="129"/>
      <c r="G2223" s="129"/>
      <c r="H2223" s="83" t="str">
        <f t="shared" si="136"/>
        <v>TCCN-PTE-CON-MCN-CO3--</v>
      </c>
      <c r="I2223" s="129" t="str">
        <f>MID(H2223,1,(LEN(H2223)-VLOOKUP(K2223,datos!$B$2:$C$12,2,0)))</f>
        <v>TCCN-PTE-CON-MCN-CO3</v>
      </c>
      <c r="J2223" s="129" t="s">
        <v>7340</v>
      </c>
      <c r="K2223" s="130">
        <f>VLOOKUP(LEN(SUBSTITUTE(H2223,"-","")),datos!$A$1:$B$12,2,0)</f>
        <v>5</v>
      </c>
      <c r="L2223" s="129" t="s">
        <v>310</v>
      </c>
      <c r="M2223" s="129" t="s">
        <v>0</v>
      </c>
    </row>
    <row r="2224" spans="1:13" x14ac:dyDescent="0.35">
      <c r="A2224" s="137" t="s">
        <v>487</v>
      </c>
      <c r="B2224" s="137" t="s">
        <v>3809</v>
      </c>
      <c r="C2224" s="137" t="s">
        <v>4035</v>
      </c>
      <c r="D2224" s="137" t="s">
        <v>4085</v>
      </c>
      <c r="E2224" s="137" t="s">
        <v>4094</v>
      </c>
      <c r="F2224" s="137" t="s">
        <v>3824</v>
      </c>
      <c r="G2224" s="137"/>
      <c r="H2224" s="82" t="str">
        <f t="shared" si="136"/>
        <v>TCCN-PTE-CON-MCN-CO3-SES-</v>
      </c>
      <c r="I2224" s="137" t="str">
        <f>MID(H2224,1,(LEN(H2224)-VLOOKUP(K2224,datos!$B$2:$C$12,2,0)))</f>
        <v>TCCN-PTE-CON-MCN-CO3-SES</v>
      </c>
      <c r="J2224" s="137" t="s">
        <v>7333</v>
      </c>
      <c r="K2224" s="139">
        <f>VLOOKUP(LEN(SUBSTITUTE(H2224,"-","")),datos!$A$1:$B$12,2,0)</f>
        <v>6</v>
      </c>
      <c r="L2224" s="137"/>
      <c r="M2224" s="137" t="s">
        <v>0</v>
      </c>
    </row>
    <row r="2225" spans="1:13" x14ac:dyDescent="0.35">
      <c r="A2225" s="137" t="s">
        <v>487</v>
      </c>
      <c r="B2225" s="137" t="s">
        <v>3809</v>
      </c>
      <c r="C2225" s="137" t="s">
        <v>4035</v>
      </c>
      <c r="D2225" s="137" t="s">
        <v>4085</v>
      </c>
      <c r="E2225" s="137" t="s">
        <v>4094</v>
      </c>
      <c r="F2225" s="137" t="s">
        <v>5666</v>
      </c>
      <c r="G2225" s="137"/>
      <c r="H2225" s="82" t="str">
        <f t="shared" si="136"/>
        <v>TCCN-PTE-CON-MCN-CO3-SIA-</v>
      </c>
      <c r="I2225" s="137" t="str">
        <f>MID(H2225,1,(LEN(H2225)-VLOOKUP(K2225,datos!$B$2:$C$12,2,0)))</f>
        <v>TCCN-PTE-CON-MCN-CO3-SIA</v>
      </c>
      <c r="J2225" s="137" t="s">
        <v>7334</v>
      </c>
      <c r="K2225" s="139">
        <f>VLOOKUP(LEN(SUBSTITUTE(H2225,"-","")),datos!$A$1:$B$12,2,0)</f>
        <v>6</v>
      </c>
      <c r="L2225" s="137"/>
      <c r="M2225" s="137" t="s">
        <v>0</v>
      </c>
    </row>
    <row r="2226" spans="1:13" x14ac:dyDescent="0.35">
      <c r="A2226" s="137" t="s">
        <v>487</v>
      </c>
      <c r="B2226" s="137" t="s">
        <v>3809</v>
      </c>
      <c r="C2226" s="137" t="s">
        <v>4035</v>
      </c>
      <c r="D2226" s="137" t="s">
        <v>4085</v>
      </c>
      <c r="E2226" s="137" t="s">
        <v>4094</v>
      </c>
      <c r="F2226" s="137" t="s">
        <v>5667</v>
      </c>
      <c r="G2226" s="137"/>
      <c r="H2226" s="82" t="str">
        <f t="shared" si="136"/>
        <v>TCCN-PTE-CON-MCN-CO3-UCO-</v>
      </c>
      <c r="I2226" s="137" t="str">
        <f>MID(H2226,1,(LEN(H2226)-VLOOKUP(K2226,datos!$B$2:$C$12,2,0)))</f>
        <v>TCCN-PTE-CON-MCN-CO3-UCO</v>
      </c>
      <c r="J2226" s="137" t="s">
        <v>7335</v>
      </c>
      <c r="K2226" s="139">
        <f>VLOOKUP(LEN(SUBSTITUTE(H2226,"-","")),datos!$A$1:$B$12,2,0)</f>
        <v>6</v>
      </c>
      <c r="L2226" s="137"/>
      <c r="M2226" s="137" t="s">
        <v>0</v>
      </c>
    </row>
    <row r="2227" spans="1:13" x14ac:dyDescent="0.35">
      <c r="A2227" s="137" t="s">
        <v>487</v>
      </c>
      <c r="B2227" s="137" t="s">
        <v>3809</v>
      </c>
      <c r="C2227" s="137" t="s">
        <v>4035</v>
      </c>
      <c r="D2227" s="137" t="s">
        <v>4085</v>
      </c>
      <c r="E2227" s="137" t="s">
        <v>4094</v>
      </c>
      <c r="F2227" s="137" t="s">
        <v>5668</v>
      </c>
      <c r="G2227" s="137"/>
      <c r="H2227" s="82" t="str">
        <f t="shared" si="136"/>
        <v>TCCN-PTE-CON-MCN-CO3-SEF-</v>
      </c>
      <c r="I2227" s="137" t="str">
        <f>MID(H2227,1,(LEN(H2227)-VLOOKUP(K2227,datos!$B$2:$C$12,2,0)))</f>
        <v>TCCN-PTE-CON-MCN-CO3-SEF</v>
      </c>
      <c r="J2227" s="137" t="s">
        <v>7336</v>
      </c>
      <c r="K2227" s="139">
        <f>VLOOKUP(LEN(SUBSTITUTE(H2227,"-","")),datos!$A$1:$B$12,2,0)</f>
        <v>6</v>
      </c>
      <c r="L2227" s="137"/>
      <c r="M2227" s="137" t="s">
        <v>0</v>
      </c>
    </row>
    <row r="2228" spans="1:13" x14ac:dyDescent="0.35">
      <c r="A2228" s="137" t="s">
        <v>487</v>
      </c>
      <c r="B2228" s="137" t="s">
        <v>3809</v>
      </c>
      <c r="C2228" s="137" t="s">
        <v>4035</v>
      </c>
      <c r="D2228" s="137" t="s">
        <v>4085</v>
      </c>
      <c r="E2228" s="137" t="s">
        <v>4094</v>
      </c>
      <c r="F2228" s="137" t="s">
        <v>3831</v>
      </c>
      <c r="G2228" s="137"/>
      <c r="H2228" s="82" t="str">
        <f t="shared" si="136"/>
        <v>TCCN-PTE-CON-MCN-CO3-INS-</v>
      </c>
      <c r="I2228" s="137" t="str">
        <f>MID(H2228,1,(LEN(H2228)-VLOOKUP(K2228,datos!$B$2:$C$12,2,0)))</f>
        <v>TCCN-PTE-CON-MCN-CO3-INS</v>
      </c>
      <c r="J2228" s="137" t="s">
        <v>7337</v>
      </c>
      <c r="K2228" s="139">
        <f>VLOOKUP(LEN(SUBSTITUTE(H2228,"-","")),datos!$A$1:$B$12,2,0)</f>
        <v>6</v>
      </c>
      <c r="L2228" s="137"/>
      <c r="M2228" s="137" t="s">
        <v>0</v>
      </c>
    </row>
    <row r="2229" spans="1:13" customFormat="1" ht="14.5" x14ac:dyDescent="0.35">
      <c r="A2229" s="129" t="s">
        <v>487</v>
      </c>
      <c r="B2229" s="129" t="s">
        <v>3809</v>
      </c>
      <c r="C2229" s="129" t="s">
        <v>4035</v>
      </c>
      <c r="D2229" s="129" t="s">
        <v>4085</v>
      </c>
      <c r="E2229" s="129" t="s">
        <v>4095</v>
      </c>
      <c r="F2229" s="129"/>
      <c r="G2229" s="129"/>
      <c r="H2229" s="83" t="str">
        <f t="shared" si="136"/>
        <v>TCCN-PTE-CON-MCN-ACU--</v>
      </c>
      <c r="I2229" s="129" t="str">
        <f>MID(H2229,1,(LEN(H2229)-VLOOKUP(K2229,datos!$B$2:$C$12,2,0)))</f>
        <v>TCCN-PTE-CON-MCN-ACU</v>
      </c>
      <c r="J2229" s="129" t="s">
        <v>311</v>
      </c>
      <c r="K2229" s="130">
        <f>VLOOKUP(LEN(SUBSTITUTE(H2229,"-","")),datos!$A$1:$B$12,2,0)</f>
        <v>5</v>
      </c>
      <c r="L2229" s="129" t="s">
        <v>312</v>
      </c>
      <c r="M2229" s="129" t="s">
        <v>0</v>
      </c>
    </row>
    <row r="2230" spans="1:13" customFormat="1" ht="14.5" x14ac:dyDescent="0.35">
      <c r="A2230" s="129" t="s">
        <v>487</v>
      </c>
      <c r="B2230" s="129" t="s">
        <v>3809</v>
      </c>
      <c r="C2230" s="129" t="s">
        <v>4035</v>
      </c>
      <c r="D2230" s="129" t="s">
        <v>4085</v>
      </c>
      <c r="E2230" s="129" t="s">
        <v>4053</v>
      </c>
      <c r="F2230" s="129"/>
      <c r="G2230" s="129"/>
      <c r="H2230" s="83" t="str">
        <f t="shared" si="136"/>
        <v>TCCN-PTE-CON-MCN-FT1--</v>
      </c>
      <c r="I2230" s="129" t="str">
        <f>MID(H2230,1,(LEN(H2230)-VLOOKUP(K2230,datos!$B$2:$C$12,2,0)))</f>
        <v>TCCN-PTE-CON-MCN-FT1</v>
      </c>
      <c r="J2230" s="129" t="s">
        <v>313</v>
      </c>
      <c r="K2230" s="130">
        <f>VLOOKUP(LEN(SUBSTITUTE(H2230,"-","")),datos!$A$1:$B$12,2,0)</f>
        <v>5</v>
      </c>
      <c r="L2230" s="129" t="s">
        <v>314</v>
      </c>
      <c r="M2230" s="129" t="s">
        <v>0</v>
      </c>
    </row>
    <row r="2231" spans="1:13" customFormat="1" ht="14.5" x14ac:dyDescent="0.35">
      <c r="A2231" s="129" t="s">
        <v>487</v>
      </c>
      <c r="B2231" s="129" t="s">
        <v>3809</v>
      </c>
      <c r="C2231" s="129" t="s">
        <v>4035</v>
      </c>
      <c r="D2231" s="129" t="s">
        <v>4085</v>
      </c>
      <c r="E2231" s="129" t="s">
        <v>4081</v>
      </c>
      <c r="F2231" s="129"/>
      <c r="G2231" s="129"/>
      <c r="H2231" s="83" t="str">
        <f t="shared" si="136"/>
        <v>TCCN-PTE-CON-MCN-FT2--</v>
      </c>
      <c r="I2231" s="129" t="str">
        <f>MID(H2231,1,(LEN(H2231)-VLOOKUP(K2231,datos!$B$2:$C$12,2,0)))</f>
        <v>TCCN-PTE-CON-MCN-FT2</v>
      </c>
      <c r="J2231" s="129" t="s">
        <v>313</v>
      </c>
      <c r="K2231" s="130">
        <f>VLOOKUP(LEN(SUBSTITUTE(H2231,"-","")),datos!$A$1:$B$12,2,0)</f>
        <v>5</v>
      </c>
      <c r="L2231" s="129" t="s">
        <v>315</v>
      </c>
      <c r="M2231" s="129" t="s">
        <v>0</v>
      </c>
    </row>
    <row r="2232" spans="1:13" customFormat="1" ht="14.5" x14ac:dyDescent="0.35">
      <c r="A2232" s="129" t="s">
        <v>487</v>
      </c>
      <c r="B2232" s="129" t="s">
        <v>3809</v>
      </c>
      <c r="C2232" s="129" t="s">
        <v>4035</v>
      </c>
      <c r="D2232" s="129" t="s">
        <v>4085</v>
      </c>
      <c r="E2232" s="129" t="s">
        <v>4096</v>
      </c>
      <c r="F2232" s="129"/>
      <c r="G2232" s="129"/>
      <c r="H2232" s="83" t="str">
        <f t="shared" si="136"/>
        <v>TCCN-PTE-CON-MCN-FT3--</v>
      </c>
      <c r="I2232" s="129" t="str">
        <f>MID(H2232,1,(LEN(H2232)-VLOOKUP(K2232,datos!$B$2:$C$12,2,0)))</f>
        <v>TCCN-PTE-CON-MCN-FT3</v>
      </c>
      <c r="J2232" s="129" t="s">
        <v>313</v>
      </c>
      <c r="K2232" s="130">
        <f>VLOOKUP(LEN(SUBSTITUTE(H2232,"-","")),datos!$A$1:$B$12,2,0)</f>
        <v>5</v>
      </c>
      <c r="L2232" s="129" t="s">
        <v>316</v>
      </c>
      <c r="M2232" s="129" t="s">
        <v>0</v>
      </c>
    </row>
    <row r="2233" spans="1:13" customFormat="1" ht="14.5" x14ac:dyDescent="0.35">
      <c r="A2233" s="129" t="s">
        <v>487</v>
      </c>
      <c r="B2233" s="129" t="s">
        <v>3809</v>
      </c>
      <c r="C2233" s="129" t="s">
        <v>4035</v>
      </c>
      <c r="D2233" s="129" t="s">
        <v>4085</v>
      </c>
      <c r="E2233" s="129" t="s">
        <v>4097</v>
      </c>
      <c r="F2233" s="129"/>
      <c r="G2233" s="129"/>
      <c r="H2233" s="83" t="str">
        <f t="shared" si="136"/>
        <v>TCCN-PTE-CON-MCN-SPA--</v>
      </c>
      <c r="I2233" s="129" t="str">
        <f>MID(H2233,1,(LEN(H2233)-VLOOKUP(K2233,datos!$B$2:$C$12,2,0)))</f>
        <v>TCCN-PTE-CON-MCN-SPA</v>
      </c>
      <c r="J2233" s="129" t="s">
        <v>318</v>
      </c>
      <c r="K2233" s="130">
        <f>VLOOKUP(LEN(SUBSTITUTE(H2233,"-","")),datos!$A$1:$B$12,2,0)</f>
        <v>5</v>
      </c>
      <c r="L2233" s="129" t="s">
        <v>319</v>
      </c>
      <c r="M2233" s="129" t="s">
        <v>0</v>
      </c>
    </row>
    <row r="2234" spans="1:13" customFormat="1" ht="14.5" x14ac:dyDescent="0.35">
      <c r="A2234" s="129" t="s">
        <v>487</v>
      </c>
      <c r="B2234" s="129" t="s">
        <v>3809</v>
      </c>
      <c r="C2234" s="129" t="s">
        <v>4035</v>
      </c>
      <c r="D2234" s="129" t="s">
        <v>4085</v>
      </c>
      <c r="E2234" s="129" t="s">
        <v>3881</v>
      </c>
      <c r="F2234" s="129"/>
      <c r="G2234" s="129"/>
      <c r="H2234" s="83" t="str">
        <f t="shared" si="136"/>
        <v>TCCN-PTE-CON-MCN-TC4--</v>
      </c>
      <c r="I2234" s="129" t="str">
        <f>MID(H2234,1,(LEN(H2234)-VLOOKUP(K2234,datos!$B$2:$C$12,2,0)))</f>
        <v>TCCN-PTE-CON-MCN-TC4</v>
      </c>
      <c r="J2234" s="129" t="s">
        <v>478</v>
      </c>
      <c r="K2234" s="130">
        <f>VLOOKUP(LEN(SUBSTITUTE(H2234,"-","")),datos!$A$1:$B$12,2,0)</f>
        <v>5</v>
      </c>
      <c r="L2234" s="129" t="s">
        <v>320</v>
      </c>
      <c r="M2234" s="129" t="s">
        <v>0</v>
      </c>
    </row>
    <row r="2235" spans="1:13" customFormat="1" ht="14.5" x14ac:dyDescent="0.35">
      <c r="A2235" s="84" t="s">
        <v>487</v>
      </c>
      <c r="B2235" s="84" t="s">
        <v>3809</v>
      </c>
      <c r="C2235" s="84" t="s">
        <v>4035</v>
      </c>
      <c r="D2235" s="84" t="s">
        <v>3888</v>
      </c>
      <c r="E2235" s="84"/>
      <c r="F2235" s="84"/>
      <c r="G2235" s="84"/>
      <c r="H2235" s="84" t="str">
        <f t="shared" si="136"/>
        <v>TCCN-PTE-CON-SEL---</v>
      </c>
      <c r="I2235" s="84" t="str">
        <f>MID(H2235,1,(LEN(H2235)-VLOOKUP(K2235,datos!$B$2:$C$12,2,0)))</f>
        <v>TCCN-PTE-CON-SEL</v>
      </c>
      <c r="J2235" s="84" t="s">
        <v>1793</v>
      </c>
      <c r="K2235" s="119">
        <f>VLOOKUP(LEN(SUBSTITUTE(H2235,"-","")),datos!$A$1:$B$12,2,0)</f>
        <v>4</v>
      </c>
      <c r="L2235" s="84"/>
      <c r="M2235" s="84" t="s">
        <v>0</v>
      </c>
    </row>
    <row r="2236" spans="1:13" customFormat="1" ht="14.5" x14ac:dyDescent="0.35">
      <c r="A2236" s="129" t="s">
        <v>487</v>
      </c>
      <c r="B2236" s="129" t="s">
        <v>3809</v>
      </c>
      <c r="C2236" s="129" t="s">
        <v>4035</v>
      </c>
      <c r="D2236" s="129" t="s">
        <v>3888</v>
      </c>
      <c r="E2236" s="129" t="s">
        <v>7877</v>
      </c>
      <c r="F2236" s="129"/>
      <c r="G2236" s="129"/>
      <c r="H2236" s="83" t="str">
        <f t="shared" ref="H2236" si="143">CONCATENATE(A2236,"-",B2236,"-",C2236,"-",D2236,"-",E2236,"-",F2236,"-",G2236)</f>
        <v>TCCN-PTE-CON-SEL-TCM--</v>
      </c>
      <c r="I2236" s="129" t="str">
        <f>MID(H2236,1,(LEN(H2236)-VLOOKUP(K2236,datos!$B$2:$C$12,2,0)))</f>
        <v>TCCN-PTE-CON-SEL-TCM</v>
      </c>
      <c r="J2236" s="129" t="s">
        <v>7878</v>
      </c>
      <c r="K2236" s="130">
        <f>VLOOKUP(LEN(SUBSTITUTE(H2236,"-","")),datos!$A$1:$B$12,2,0)</f>
        <v>5</v>
      </c>
      <c r="L2236" s="129" t="s">
        <v>7879</v>
      </c>
      <c r="M2236" s="129" t="s">
        <v>0</v>
      </c>
    </row>
    <row r="2237" spans="1:13" customFormat="1" ht="14.5" x14ac:dyDescent="0.35">
      <c r="A2237" s="129" t="s">
        <v>487</v>
      </c>
      <c r="B2237" s="129" t="s">
        <v>3809</v>
      </c>
      <c r="C2237" s="129" t="s">
        <v>4035</v>
      </c>
      <c r="D2237" s="129" t="s">
        <v>3888</v>
      </c>
      <c r="E2237" s="129" t="s">
        <v>3889</v>
      </c>
      <c r="F2237" s="129"/>
      <c r="G2237" s="129"/>
      <c r="H2237" s="83" t="str">
        <f t="shared" si="136"/>
        <v>TCCN-PTE-CON-SEL-SAE--</v>
      </c>
      <c r="I2237" s="129" t="str">
        <f>MID(H2237,1,(LEN(H2237)-VLOOKUP(K2237,datos!$B$2:$C$12,2,0)))</f>
        <v>TCCN-PTE-CON-SEL-SAE</v>
      </c>
      <c r="J2237" s="129" t="s">
        <v>486</v>
      </c>
      <c r="K2237" s="130">
        <f>VLOOKUP(LEN(SUBSTITUTE(H2237,"-","")),datos!$A$1:$B$12,2,0)</f>
        <v>5</v>
      </c>
      <c r="L2237" s="129" t="s">
        <v>5689</v>
      </c>
      <c r="M2237" s="129" t="s">
        <v>0</v>
      </c>
    </row>
    <row r="2238" spans="1:13" x14ac:dyDescent="0.35">
      <c r="A2238" s="137" t="s">
        <v>487</v>
      </c>
      <c r="B2238" s="137" t="s">
        <v>3809</v>
      </c>
      <c r="C2238" s="137" t="s">
        <v>4035</v>
      </c>
      <c r="D2238" s="137" t="s">
        <v>3888</v>
      </c>
      <c r="E2238" s="137" t="s">
        <v>3889</v>
      </c>
      <c r="F2238" s="137" t="s">
        <v>3869</v>
      </c>
      <c r="G2238" s="137"/>
      <c r="H2238" s="82" t="str">
        <f t="shared" si="136"/>
        <v>TCCN-PTE-CON-SEL-SAE-SCE-</v>
      </c>
      <c r="I2238" s="137" t="str">
        <f>MID(H2238,1,(LEN(H2238)-VLOOKUP(K2238,datos!$B$2:$C$12,2,0)))</f>
        <v>TCCN-PTE-CON-SEL-SAE-SCE</v>
      </c>
      <c r="J2238" s="137" t="s">
        <v>5690</v>
      </c>
      <c r="K2238" s="139">
        <f>VLOOKUP(LEN(SUBSTITUTE(H2238,"-","")),datos!$A$1:$B$12,2,0)</f>
        <v>6</v>
      </c>
      <c r="L2238" s="137"/>
      <c r="M2238" s="137" t="s">
        <v>0</v>
      </c>
    </row>
    <row r="2239" spans="1:13" x14ac:dyDescent="0.35">
      <c r="A2239" s="138" t="s">
        <v>487</v>
      </c>
      <c r="B2239" s="138" t="s">
        <v>3809</v>
      </c>
      <c r="C2239" s="138" t="s">
        <v>4035</v>
      </c>
      <c r="D2239" s="138" t="s">
        <v>3888</v>
      </c>
      <c r="E2239" s="138" t="s">
        <v>3889</v>
      </c>
      <c r="F2239" s="138" t="s">
        <v>3869</v>
      </c>
      <c r="G2239" s="138" t="s">
        <v>3958</v>
      </c>
      <c r="H2239" s="81" t="str">
        <f t="shared" si="136"/>
        <v>TCCN-PTE-CON-SEL-SAE-SCE-CDC</v>
      </c>
      <c r="I2239" s="138" t="str">
        <f>MID(H2239,1,(LEN(H2239)-VLOOKUP(K2239,datos!$B$2:$C$12,2,0)))</f>
        <v>TCCN-PTE-CON-SEL-SAE-SCE-CDC</v>
      </c>
      <c r="J2239" s="138" t="s">
        <v>1284</v>
      </c>
      <c r="K2239" s="140">
        <f>VLOOKUP(LEN(SUBSTITUTE(H2239,"-","")),datos!$A$1:$B$12,2,0)</f>
        <v>7</v>
      </c>
      <c r="L2239" s="138" t="s">
        <v>397</v>
      </c>
      <c r="M2239" s="138" t="s">
        <v>0</v>
      </c>
    </row>
    <row r="2240" spans="1:13" x14ac:dyDescent="0.35">
      <c r="A2240" s="138" t="s">
        <v>487</v>
      </c>
      <c r="B2240" s="138" t="s">
        <v>3809</v>
      </c>
      <c r="C2240" s="138" t="s">
        <v>4035</v>
      </c>
      <c r="D2240" s="138" t="s">
        <v>3888</v>
      </c>
      <c r="E2240" s="138" t="s">
        <v>3889</v>
      </c>
      <c r="F2240" s="138" t="s">
        <v>3869</v>
      </c>
      <c r="G2240" s="138" t="s">
        <v>3960</v>
      </c>
      <c r="H2240" s="81" t="str">
        <f t="shared" si="136"/>
        <v>TCCN-PTE-CON-SEL-SAE-SCE-CC1</v>
      </c>
      <c r="I2240" s="138" t="str">
        <f>MID(H2240,1,(LEN(H2240)-VLOOKUP(K2240,datos!$B$2:$C$12,2,0)))</f>
        <v>TCCN-PTE-CON-SEL-SAE-SCE-CC1</v>
      </c>
      <c r="J2240" s="138" t="s">
        <v>1286</v>
      </c>
      <c r="K2240" s="140">
        <f>VLOOKUP(LEN(SUBSTITUTE(H2240,"-","")),datos!$A$1:$B$12,2,0)</f>
        <v>7</v>
      </c>
      <c r="L2240" s="138" t="s">
        <v>398</v>
      </c>
      <c r="M2240" s="138" t="s">
        <v>0</v>
      </c>
    </row>
    <row r="2241" spans="1:13" x14ac:dyDescent="0.35">
      <c r="A2241" s="138" t="s">
        <v>487</v>
      </c>
      <c r="B2241" s="138" t="s">
        <v>3809</v>
      </c>
      <c r="C2241" s="138" t="s">
        <v>4035</v>
      </c>
      <c r="D2241" s="138" t="s">
        <v>3888</v>
      </c>
      <c r="E2241" s="138" t="s">
        <v>3889</v>
      </c>
      <c r="F2241" s="138" t="s">
        <v>3869</v>
      </c>
      <c r="G2241" s="138" t="s">
        <v>3961</v>
      </c>
      <c r="H2241" s="81" t="str">
        <f t="shared" si="136"/>
        <v>TCCN-PTE-CON-SEL-SAE-SCE-CC2</v>
      </c>
      <c r="I2241" s="138" t="str">
        <f>MID(H2241,1,(LEN(H2241)-VLOOKUP(K2241,datos!$B$2:$C$12,2,0)))</f>
        <v>TCCN-PTE-CON-SEL-SAE-SCE-CC2</v>
      </c>
      <c r="J2241" s="138" t="s">
        <v>1287</v>
      </c>
      <c r="K2241" s="140">
        <f>VLOOKUP(LEN(SUBSTITUTE(H2241,"-","")),datos!$A$1:$B$12,2,0)</f>
        <v>7</v>
      </c>
      <c r="L2241" s="138" t="s">
        <v>399</v>
      </c>
      <c r="M2241" s="138" t="s">
        <v>0</v>
      </c>
    </row>
    <row r="2242" spans="1:13" x14ac:dyDescent="0.35">
      <c r="A2242" s="138" t="s">
        <v>487</v>
      </c>
      <c r="B2242" s="138" t="s">
        <v>3809</v>
      </c>
      <c r="C2242" s="138" t="s">
        <v>4035</v>
      </c>
      <c r="D2242" s="138" t="s">
        <v>3888</v>
      </c>
      <c r="E2242" s="138" t="s">
        <v>3889</v>
      </c>
      <c r="F2242" s="138" t="s">
        <v>3869</v>
      </c>
      <c r="G2242" s="138" t="s">
        <v>4029</v>
      </c>
      <c r="H2242" s="81" t="str">
        <f t="shared" si="136"/>
        <v>TCCN-PTE-CON-SEL-SAE-SCE-CC3</v>
      </c>
      <c r="I2242" s="138" t="str">
        <f>MID(H2242,1,(LEN(H2242)-VLOOKUP(K2242,datos!$B$2:$C$12,2,0)))</f>
        <v>TCCN-PTE-CON-SEL-SAE-SCE-CC3</v>
      </c>
      <c r="J2242" s="138" t="s">
        <v>1288</v>
      </c>
      <c r="K2242" s="140">
        <f>VLOOKUP(LEN(SUBSTITUTE(H2242,"-","")),datos!$A$1:$B$12,2,0)</f>
        <v>7</v>
      </c>
      <c r="L2242" s="138" t="s">
        <v>400</v>
      </c>
      <c r="M2242" s="138" t="s">
        <v>0</v>
      </c>
    </row>
    <row r="2243" spans="1:13" x14ac:dyDescent="0.35">
      <c r="A2243" s="138" t="s">
        <v>487</v>
      </c>
      <c r="B2243" s="138" t="s">
        <v>3809</v>
      </c>
      <c r="C2243" s="138" t="s">
        <v>4035</v>
      </c>
      <c r="D2243" s="138" t="s">
        <v>3888</v>
      </c>
      <c r="E2243" s="138" t="s">
        <v>3889</v>
      </c>
      <c r="F2243" s="138" t="s">
        <v>3869</v>
      </c>
      <c r="G2243" s="138" t="s">
        <v>3891</v>
      </c>
      <c r="H2243" s="81" t="str">
        <f t="shared" si="136"/>
        <v>TCCN-PTE-CON-SEL-SAE-SCE-TF1</v>
      </c>
      <c r="I2243" s="138" t="str">
        <f>MID(H2243,1,(LEN(H2243)-VLOOKUP(K2243,datos!$B$2:$C$12,2,0)))</f>
        <v>TCCN-PTE-CON-SEL-SAE-SCE-TF1</v>
      </c>
      <c r="J2243" s="138" t="s">
        <v>1285</v>
      </c>
      <c r="K2243" s="140">
        <f>VLOOKUP(LEN(SUBSTITUTE(H2243,"-","")),datos!$A$1:$B$12,2,0)</f>
        <v>7</v>
      </c>
      <c r="L2243" s="138" t="s">
        <v>401</v>
      </c>
      <c r="M2243" s="138" t="s">
        <v>0</v>
      </c>
    </row>
    <row r="2244" spans="1:13" x14ac:dyDescent="0.35">
      <c r="A2244" s="138" t="s">
        <v>487</v>
      </c>
      <c r="B2244" s="138" t="s">
        <v>3809</v>
      </c>
      <c r="C2244" s="138" t="s">
        <v>4035</v>
      </c>
      <c r="D2244" s="138" t="s">
        <v>3888</v>
      </c>
      <c r="E2244" s="138" t="s">
        <v>3889</v>
      </c>
      <c r="F2244" s="138" t="s">
        <v>3869</v>
      </c>
      <c r="G2244" s="138" t="s">
        <v>4066</v>
      </c>
      <c r="H2244" s="81" t="str">
        <f t="shared" si="136"/>
        <v>TCCN-PTE-CON-SEL-SAE-SCE-TR1</v>
      </c>
      <c r="I2244" s="138" t="str">
        <f>MID(H2244,1,(LEN(H2244)-VLOOKUP(K2244,datos!$B$2:$C$12,2,0)))</f>
        <v>TCCN-PTE-CON-SEL-SAE-SCE-TR1</v>
      </c>
      <c r="J2244" s="138" t="s">
        <v>1275</v>
      </c>
      <c r="K2244" s="140">
        <f>VLOOKUP(LEN(SUBSTITUTE(H2244,"-","")),datos!$A$1:$B$12,2,0)</f>
        <v>7</v>
      </c>
      <c r="L2244" s="138" t="s">
        <v>403</v>
      </c>
      <c r="M2244" s="138" t="s">
        <v>0</v>
      </c>
    </row>
    <row r="2245" spans="1:13" x14ac:dyDescent="0.35">
      <c r="A2245" s="138" t="s">
        <v>487</v>
      </c>
      <c r="B2245" s="138" t="s">
        <v>3809</v>
      </c>
      <c r="C2245" s="138" t="s">
        <v>4035</v>
      </c>
      <c r="D2245" s="138" t="s">
        <v>3888</v>
      </c>
      <c r="E2245" s="138" t="s">
        <v>3889</v>
      </c>
      <c r="F2245" s="138" t="s">
        <v>3869</v>
      </c>
      <c r="G2245" s="138" t="s">
        <v>3893</v>
      </c>
      <c r="H2245" s="81" t="str">
        <f t="shared" si="136"/>
        <v>TCCN-PTE-CON-SEL-SAE-SCE-TF3</v>
      </c>
      <c r="I2245" s="138" t="str">
        <f>MID(H2245,1,(LEN(H2245)-VLOOKUP(K2245,datos!$B$2:$C$12,2,0)))</f>
        <v>TCCN-PTE-CON-SEL-SAE-SCE-TF3</v>
      </c>
      <c r="J2245" s="138" t="s">
        <v>622</v>
      </c>
      <c r="K2245" s="140">
        <f>VLOOKUP(LEN(SUBSTITUTE(H2245,"-","")),datos!$A$1:$B$12,2,0)</f>
        <v>7</v>
      </c>
      <c r="L2245" s="138" t="s">
        <v>404</v>
      </c>
      <c r="M2245" s="138" t="s">
        <v>0</v>
      </c>
    </row>
    <row r="2246" spans="1:13" x14ac:dyDescent="0.35">
      <c r="A2246" s="138" t="s">
        <v>487</v>
      </c>
      <c r="B2246" s="138" t="s">
        <v>3809</v>
      </c>
      <c r="C2246" s="138" t="s">
        <v>4035</v>
      </c>
      <c r="D2246" s="138" t="s">
        <v>3888</v>
      </c>
      <c r="E2246" s="138" t="s">
        <v>3889</v>
      </c>
      <c r="F2246" s="138" t="s">
        <v>3869</v>
      </c>
      <c r="G2246" s="138" t="s">
        <v>3956</v>
      </c>
      <c r="H2246" s="81" t="str">
        <f t="shared" si="136"/>
        <v>TCCN-PTE-CON-SEL-SAE-SCE-VF1</v>
      </c>
      <c r="I2246" s="138" t="str">
        <f>MID(H2246,1,(LEN(H2246)-VLOOKUP(K2246,datos!$B$2:$C$12,2,0)))</f>
        <v>TCCN-PTE-CON-SEL-SAE-SCE-VF1</v>
      </c>
      <c r="J2246" s="138" t="s">
        <v>7225</v>
      </c>
      <c r="K2246" s="140">
        <f>VLOOKUP(LEN(SUBSTITUTE(H2246,"-","")),datos!$A$1:$B$12,2,0)</f>
        <v>7</v>
      </c>
      <c r="L2246" s="138" t="s">
        <v>405</v>
      </c>
      <c r="M2246" s="138" t="s">
        <v>0</v>
      </c>
    </row>
    <row r="2247" spans="1:13" x14ac:dyDescent="0.35">
      <c r="A2247" s="138" t="s">
        <v>487</v>
      </c>
      <c r="B2247" s="138" t="s">
        <v>3809</v>
      </c>
      <c r="C2247" s="138" t="s">
        <v>4035</v>
      </c>
      <c r="D2247" s="138" t="s">
        <v>3888</v>
      </c>
      <c r="E2247" s="138" t="s">
        <v>3889</v>
      </c>
      <c r="F2247" s="138" t="s">
        <v>3869</v>
      </c>
      <c r="G2247" s="138" t="s">
        <v>3957</v>
      </c>
      <c r="H2247" s="81" t="str">
        <f t="shared" si="136"/>
        <v>TCCN-PTE-CON-SEL-SAE-SCE-VF2</v>
      </c>
      <c r="I2247" s="138" t="str">
        <f>MID(H2247,1,(LEN(H2247)-VLOOKUP(K2247,datos!$B$2:$C$12,2,0)))</f>
        <v>TCCN-PTE-CON-SEL-SAE-SCE-VF2</v>
      </c>
      <c r="J2247" s="138" t="s">
        <v>7226</v>
      </c>
      <c r="K2247" s="140">
        <f>VLOOKUP(LEN(SUBSTITUTE(H2247,"-","")),datos!$A$1:$B$12,2,0)</f>
        <v>7</v>
      </c>
      <c r="L2247" s="138" t="s">
        <v>406</v>
      </c>
      <c r="M2247" s="138" t="s">
        <v>0</v>
      </c>
    </row>
    <row r="2248" spans="1:13" x14ac:dyDescent="0.35">
      <c r="A2248" s="138" t="s">
        <v>487</v>
      </c>
      <c r="B2248" s="138" t="s">
        <v>3809</v>
      </c>
      <c r="C2248" s="138" t="s">
        <v>4035</v>
      </c>
      <c r="D2248" s="138" t="s">
        <v>3888</v>
      </c>
      <c r="E2248" s="138" t="s">
        <v>3889</v>
      </c>
      <c r="F2248" s="138" t="s">
        <v>3869</v>
      </c>
      <c r="G2248" s="138" t="s">
        <v>3962</v>
      </c>
      <c r="H2248" s="81" t="str">
        <f t="shared" si="136"/>
        <v>TCCN-PTE-CON-SEL-SAE-SCE-VF3</v>
      </c>
      <c r="I2248" s="138" t="str">
        <f>MID(H2248,1,(LEN(H2248)-VLOOKUP(K2248,datos!$B$2:$C$12,2,0)))</f>
        <v>TCCN-PTE-CON-SEL-SAE-SCE-VF3</v>
      </c>
      <c r="J2248" s="138" t="s">
        <v>7227</v>
      </c>
      <c r="K2248" s="140">
        <f>VLOOKUP(LEN(SUBSTITUTE(H2248,"-","")),datos!$A$1:$B$12,2,0)</f>
        <v>7</v>
      </c>
      <c r="L2248" s="138" t="s">
        <v>407</v>
      </c>
      <c r="M2248" s="138" t="s">
        <v>0</v>
      </c>
    </row>
    <row r="2249" spans="1:13" x14ac:dyDescent="0.35">
      <c r="A2249" s="138" t="s">
        <v>487</v>
      </c>
      <c r="B2249" s="138" t="s">
        <v>3809</v>
      </c>
      <c r="C2249" s="138" t="s">
        <v>4035</v>
      </c>
      <c r="D2249" s="138" t="s">
        <v>3888</v>
      </c>
      <c r="E2249" s="138" t="s">
        <v>3889</v>
      </c>
      <c r="F2249" s="138" t="s">
        <v>3869</v>
      </c>
      <c r="G2249" s="138" t="s">
        <v>3963</v>
      </c>
      <c r="H2249" s="81" t="str">
        <f t="shared" ref="H2249:H2311" si="144">CONCATENATE(A2249,"-",B2249,"-",C2249,"-",D2249,"-",E2249,"-",F2249,"-",G2249)</f>
        <v>TCCN-PTE-CON-SEL-SAE-SCE-VF4</v>
      </c>
      <c r="I2249" s="138" t="str">
        <f>MID(H2249,1,(LEN(H2249)-VLOOKUP(K2249,datos!$B$2:$C$12,2,0)))</f>
        <v>TCCN-PTE-CON-SEL-SAE-SCE-VF4</v>
      </c>
      <c r="J2249" s="138" t="s">
        <v>7228</v>
      </c>
      <c r="K2249" s="140">
        <f>VLOOKUP(LEN(SUBSTITUTE(H2249,"-","")),datos!$A$1:$B$12,2,0)</f>
        <v>7</v>
      </c>
      <c r="L2249" s="138" t="s">
        <v>408</v>
      </c>
      <c r="M2249" s="138" t="s">
        <v>0</v>
      </c>
    </row>
    <row r="2250" spans="1:13" x14ac:dyDescent="0.35">
      <c r="A2250" s="138" t="s">
        <v>487</v>
      </c>
      <c r="B2250" s="138" t="s">
        <v>3809</v>
      </c>
      <c r="C2250" s="138" t="s">
        <v>4035</v>
      </c>
      <c r="D2250" s="138" t="s">
        <v>3888</v>
      </c>
      <c r="E2250" s="138" t="s">
        <v>3889</v>
      </c>
      <c r="F2250" s="138" t="s">
        <v>3869</v>
      </c>
      <c r="G2250" s="138" t="s">
        <v>3980</v>
      </c>
      <c r="H2250" s="81" t="str">
        <f t="shared" si="144"/>
        <v>TCCN-PTE-CON-SEL-SAE-SCE-VF5</v>
      </c>
      <c r="I2250" s="138" t="str">
        <f>MID(H2250,1,(LEN(H2250)-VLOOKUP(K2250,datos!$B$2:$C$12,2,0)))</f>
        <v>TCCN-PTE-CON-SEL-SAE-SCE-VF5</v>
      </c>
      <c r="J2250" s="138" t="s">
        <v>7229</v>
      </c>
      <c r="K2250" s="140">
        <f>VLOOKUP(LEN(SUBSTITUTE(H2250,"-","")),datos!$A$1:$B$12,2,0)</f>
        <v>7</v>
      </c>
      <c r="L2250" s="138" t="s">
        <v>409</v>
      </c>
      <c r="M2250" s="138" t="s">
        <v>0</v>
      </c>
    </row>
    <row r="2251" spans="1:13" x14ac:dyDescent="0.35">
      <c r="A2251" s="138" t="s">
        <v>487</v>
      </c>
      <c r="B2251" s="138" t="s">
        <v>3809</v>
      </c>
      <c r="C2251" s="138" t="s">
        <v>4035</v>
      </c>
      <c r="D2251" s="138" t="s">
        <v>3888</v>
      </c>
      <c r="E2251" s="138" t="s">
        <v>3889</v>
      </c>
      <c r="F2251" s="138" t="s">
        <v>3869</v>
      </c>
      <c r="G2251" s="138" t="s">
        <v>3981</v>
      </c>
      <c r="H2251" s="81" t="str">
        <f t="shared" si="144"/>
        <v>TCCN-PTE-CON-SEL-SAE-SCE-VF6</v>
      </c>
      <c r="I2251" s="138" t="str">
        <f>MID(H2251,1,(LEN(H2251)-VLOOKUP(K2251,datos!$B$2:$C$12,2,0)))</f>
        <v>TCCN-PTE-CON-SEL-SAE-SCE-VF6</v>
      </c>
      <c r="J2251" s="138" t="s">
        <v>7230</v>
      </c>
      <c r="K2251" s="140">
        <f>VLOOKUP(LEN(SUBSTITUTE(H2251,"-","")),datos!$A$1:$B$12,2,0)</f>
        <v>7</v>
      </c>
      <c r="L2251" s="138" t="s">
        <v>410</v>
      </c>
      <c r="M2251" s="138" t="s">
        <v>0</v>
      </c>
    </row>
    <row r="2252" spans="1:13" x14ac:dyDescent="0.35">
      <c r="A2252" s="138" t="s">
        <v>487</v>
      </c>
      <c r="B2252" s="138" t="s">
        <v>3809</v>
      </c>
      <c r="C2252" s="138" t="s">
        <v>4035</v>
      </c>
      <c r="D2252" s="138" t="s">
        <v>3888</v>
      </c>
      <c r="E2252" s="138" t="s">
        <v>3889</v>
      </c>
      <c r="F2252" s="138" t="s">
        <v>3869</v>
      </c>
      <c r="G2252" s="138" t="s">
        <v>4099</v>
      </c>
      <c r="H2252" s="81" t="str">
        <f t="shared" si="144"/>
        <v>TCCN-PTE-CON-SEL-SAE-SCE-VF7</v>
      </c>
      <c r="I2252" s="138" t="str">
        <f>MID(H2252,1,(LEN(H2252)-VLOOKUP(K2252,datos!$B$2:$C$12,2,0)))</f>
        <v>TCCN-PTE-CON-SEL-SAE-SCE-VF7</v>
      </c>
      <c r="J2252" s="138" t="s">
        <v>7231</v>
      </c>
      <c r="K2252" s="140">
        <f>VLOOKUP(LEN(SUBSTITUTE(H2252,"-","")),datos!$A$1:$B$12,2,0)</f>
        <v>7</v>
      </c>
      <c r="L2252" s="138" t="s">
        <v>411</v>
      </c>
      <c r="M2252" s="138" t="s">
        <v>0</v>
      </c>
    </row>
    <row r="2253" spans="1:13" x14ac:dyDescent="0.35">
      <c r="A2253" s="138" t="s">
        <v>487</v>
      </c>
      <c r="B2253" s="138" t="s">
        <v>3809</v>
      </c>
      <c r="C2253" s="138" t="s">
        <v>4035</v>
      </c>
      <c r="D2253" s="138" t="s">
        <v>3888</v>
      </c>
      <c r="E2253" s="138" t="s">
        <v>3889</v>
      </c>
      <c r="F2253" s="138" t="s">
        <v>3869</v>
      </c>
      <c r="G2253" s="138" t="s">
        <v>4100</v>
      </c>
      <c r="H2253" s="81" t="str">
        <f t="shared" si="144"/>
        <v>TCCN-PTE-CON-SEL-SAE-SCE-VF8</v>
      </c>
      <c r="I2253" s="138" t="str">
        <f>MID(H2253,1,(LEN(H2253)-VLOOKUP(K2253,datos!$B$2:$C$12,2,0)))</f>
        <v>TCCN-PTE-CON-SEL-SAE-SCE-VF8</v>
      </c>
      <c r="J2253" s="138" t="s">
        <v>7232</v>
      </c>
      <c r="K2253" s="140">
        <f>VLOOKUP(LEN(SUBSTITUTE(H2253,"-","")),datos!$A$1:$B$12,2,0)</f>
        <v>7</v>
      </c>
      <c r="L2253" s="138" t="s">
        <v>412</v>
      </c>
      <c r="M2253" s="138" t="s">
        <v>0</v>
      </c>
    </row>
    <row r="2254" spans="1:13" x14ac:dyDescent="0.35">
      <c r="A2254" s="138" t="s">
        <v>487</v>
      </c>
      <c r="B2254" s="138" t="s">
        <v>3809</v>
      </c>
      <c r="C2254" s="138" t="s">
        <v>4035</v>
      </c>
      <c r="D2254" s="138" t="s">
        <v>3888</v>
      </c>
      <c r="E2254" s="138" t="s">
        <v>3889</v>
      </c>
      <c r="F2254" s="138" t="s">
        <v>3869</v>
      </c>
      <c r="G2254" s="138" t="s">
        <v>3910</v>
      </c>
      <c r="H2254" s="81" t="str">
        <f t="shared" si="144"/>
        <v>TCCN-PTE-CON-SEL-SAE-SCE-TF4</v>
      </c>
      <c r="I2254" s="138" t="str">
        <f>MID(H2254,1,(LEN(H2254)-VLOOKUP(K2254,datos!$B$2:$C$12,2,0)))</f>
        <v>TCCN-PTE-CON-SEL-SAE-SCE-TF4</v>
      </c>
      <c r="J2254" s="138" t="s">
        <v>621</v>
      </c>
      <c r="K2254" s="140">
        <f>VLOOKUP(LEN(SUBSTITUTE(H2254,"-","")),datos!$A$1:$B$12,2,0)</f>
        <v>7</v>
      </c>
      <c r="L2254" s="138" t="s">
        <v>413</v>
      </c>
      <c r="M2254" s="138" t="s">
        <v>0</v>
      </c>
    </row>
    <row r="2255" spans="1:13" x14ac:dyDescent="0.35">
      <c r="A2255" s="138" t="s">
        <v>487</v>
      </c>
      <c r="B2255" s="138" t="s">
        <v>3809</v>
      </c>
      <c r="C2255" s="138" t="s">
        <v>4035</v>
      </c>
      <c r="D2255" s="138" t="s">
        <v>3888</v>
      </c>
      <c r="E2255" s="138" t="s">
        <v>3889</v>
      </c>
      <c r="F2255" s="138" t="s">
        <v>3869</v>
      </c>
      <c r="G2255" s="138" t="s">
        <v>3964</v>
      </c>
      <c r="H2255" s="81" t="str">
        <f t="shared" si="144"/>
        <v>TCCN-PTE-CON-SEL-SAE-SCE-UPS</v>
      </c>
      <c r="I2255" s="138" t="str">
        <f>MID(H2255,1,(LEN(H2255)-VLOOKUP(K2255,datos!$B$2:$C$12,2,0)))</f>
        <v>TCCN-PTE-CON-SEL-SAE-SCE-UPS</v>
      </c>
      <c r="J2255" s="138" t="s">
        <v>1289</v>
      </c>
      <c r="K2255" s="140">
        <f>VLOOKUP(LEN(SUBSTITUTE(H2255,"-","")),datos!$A$1:$B$12,2,0)</f>
        <v>7</v>
      </c>
      <c r="L2255" s="138" t="s">
        <v>414</v>
      </c>
      <c r="M2255" s="138" t="s">
        <v>0</v>
      </c>
    </row>
    <row r="2256" spans="1:13" x14ac:dyDescent="0.35">
      <c r="A2256" s="138" t="s">
        <v>487</v>
      </c>
      <c r="B2256" s="138" t="s">
        <v>3809</v>
      </c>
      <c r="C2256" s="138" t="s">
        <v>4035</v>
      </c>
      <c r="D2256" s="138" t="s">
        <v>3888</v>
      </c>
      <c r="E2256" s="138" t="s">
        <v>3889</v>
      </c>
      <c r="F2256" s="138" t="s">
        <v>3869</v>
      </c>
      <c r="G2256" s="138" t="s">
        <v>3897</v>
      </c>
      <c r="H2256" s="81" t="str">
        <f t="shared" si="144"/>
        <v>TCCN-PTE-CON-SEL-SAE-SCE-GA1</v>
      </c>
      <c r="I2256" s="138" t="str">
        <f>MID(H2256,1,(LEN(H2256)-VLOOKUP(K2256,datos!$B$2:$C$12,2,0)))</f>
        <v>TCCN-PTE-CON-SEL-SAE-SCE-GA1</v>
      </c>
      <c r="J2256" s="138" t="s">
        <v>1290</v>
      </c>
      <c r="K2256" s="140">
        <f>VLOOKUP(LEN(SUBSTITUTE(H2256,"-","")),datos!$A$1:$B$12,2,0)</f>
        <v>7</v>
      </c>
      <c r="L2256" s="138" t="s">
        <v>415</v>
      </c>
      <c r="M2256" s="138" t="s">
        <v>0</v>
      </c>
    </row>
    <row r="2257" spans="1:13" x14ac:dyDescent="0.35">
      <c r="A2257" s="138" t="s">
        <v>487</v>
      </c>
      <c r="B2257" s="138" t="s">
        <v>3809</v>
      </c>
      <c r="C2257" s="138" t="s">
        <v>4035</v>
      </c>
      <c r="D2257" s="138" t="s">
        <v>3888</v>
      </c>
      <c r="E2257" s="138" t="s">
        <v>3889</v>
      </c>
      <c r="F2257" s="138" t="s">
        <v>3869</v>
      </c>
      <c r="G2257" s="138" t="s">
        <v>3906</v>
      </c>
      <c r="H2257" s="81" t="str">
        <f t="shared" si="144"/>
        <v>TCCN-PTE-CON-SEL-SAE-SCE-RK1</v>
      </c>
      <c r="I2257" s="138" t="str">
        <f>MID(H2257,1,(LEN(H2257)-VLOOKUP(K2257,datos!$B$2:$C$12,2,0)))</f>
        <v>TCCN-PTE-CON-SEL-SAE-SCE-RK1</v>
      </c>
      <c r="J2257" s="138" t="s">
        <v>1291</v>
      </c>
      <c r="K2257" s="140">
        <f>VLOOKUP(LEN(SUBSTITUTE(H2257,"-","")),datos!$A$1:$B$12,2,0)</f>
        <v>7</v>
      </c>
      <c r="L2257" s="138" t="s">
        <v>416</v>
      </c>
      <c r="M2257" s="138" t="s">
        <v>0</v>
      </c>
    </row>
    <row r="2258" spans="1:13" x14ac:dyDescent="0.35">
      <c r="A2258" s="138" t="s">
        <v>487</v>
      </c>
      <c r="B2258" s="138" t="s">
        <v>3809</v>
      </c>
      <c r="C2258" s="138" t="s">
        <v>4035</v>
      </c>
      <c r="D2258" s="138" t="s">
        <v>3888</v>
      </c>
      <c r="E2258" s="138" t="s">
        <v>3889</v>
      </c>
      <c r="F2258" s="138" t="s">
        <v>3869</v>
      </c>
      <c r="G2258" s="138" t="s">
        <v>6912</v>
      </c>
      <c r="H2258" s="81" t="str">
        <f t="shared" si="144"/>
        <v>TCCN-PTE-CON-SEL-SAE-SCE-TIN</v>
      </c>
      <c r="I2258" s="138" t="str">
        <f>MID(H2258,1,(LEN(H2258)-VLOOKUP(K2258,datos!$B$2:$C$12,2,0)))</f>
        <v>TCCN-PTE-CON-SEL-SAE-SCE-TIN</v>
      </c>
      <c r="J2258" s="138" t="s">
        <v>1292</v>
      </c>
      <c r="K2258" s="140">
        <f>VLOOKUP(LEN(SUBSTITUTE(H2258,"-","")),datos!$A$1:$B$12,2,0)</f>
        <v>7</v>
      </c>
      <c r="L2258" s="138" t="s">
        <v>417</v>
      </c>
      <c r="M2258" s="138" t="s">
        <v>0</v>
      </c>
    </row>
    <row r="2259" spans="1:13" x14ac:dyDescent="0.35">
      <c r="A2259" s="138" t="s">
        <v>487</v>
      </c>
      <c r="B2259" s="138" t="s">
        <v>3809</v>
      </c>
      <c r="C2259" s="138" t="s">
        <v>4035</v>
      </c>
      <c r="D2259" s="138" t="s">
        <v>3888</v>
      </c>
      <c r="E2259" s="138" t="s">
        <v>3889</v>
      </c>
      <c r="F2259" s="138" t="s">
        <v>3869</v>
      </c>
      <c r="G2259" s="138" t="s">
        <v>3908</v>
      </c>
      <c r="H2259" s="81" t="str">
        <f t="shared" si="144"/>
        <v>TCCN-PTE-CON-SEL-SAE-SCE-SCA</v>
      </c>
      <c r="I2259" s="138" t="str">
        <f>MID(H2259,1,(LEN(H2259)-VLOOKUP(K2259,datos!$B$2:$C$12,2,0)))</f>
        <v>TCCN-PTE-CON-SEL-SAE-SCE-SCA</v>
      </c>
      <c r="J2259" s="138" t="s">
        <v>1293</v>
      </c>
      <c r="K2259" s="140">
        <f>VLOOKUP(LEN(SUBSTITUTE(H2259,"-","")),datos!$A$1:$B$12,2,0)</f>
        <v>7</v>
      </c>
      <c r="L2259" s="138" t="s">
        <v>418</v>
      </c>
      <c r="M2259" s="138" t="s">
        <v>0</v>
      </c>
    </row>
    <row r="2260" spans="1:13" x14ac:dyDescent="0.35">
      <c r="A2260" s="138" t="s">
        <v>487</v>
      </c>
      <c r="B2260" s="138" t="s">
        <v>3809</v>
      </c>
      <c r="C2260" s="138" t="s">
        <v>4035</v>
      </c>
      <c r="D2260" s="138" t="s">
        <v>3888</v>
      </c>
      <c r="E2260" s="138" t="s">
        <v>3889</v>
      </c>
      <c r="F2260" s="138" t="s">
        <v>3869</v>
      </c>
      <c r="G2260" s="138" t="s">
        <v>3903</v>
      </c>
      <c r="H2260" s="81" t="str">
        <f t="shared" si="144"/>
        <v>TCCN-PTE-CON-SEL-SAE-SCE-PC1</v>
      </c>
      <c r="I2260" s="138" t="str">
        <f>MID(H2260,1,(LEN(H2260)-VLOOKUP(K2260,datos!$B$2:$C$12,2,0)))</f>
        <v>TCCN-PTE-CON-SEL-SAE-SCE-PC1</v>
      </c>
      <c r="J2260" s="138" t="s">
        <v>1294</v>
      </c>
      <c r="K2260" s="140">
        <f>VLOOKUP(LEN(SUBSTITUTE(H2260,"-","")),datos!$A$1:$B$12,2,0)</f>
        <v>7</v>
      </c>
      <c r="L2260" s="138" t="s">
        <v>419</v>
      </c>
      <c r="M2260" s="138" t="s">
        <v>0</v>
      </c>
    </row>
    <row r="2261" spans="1:13" x14ac:dyDescent="0.35">
      <c r="A2261" s="138" t="s">
        <v>487</v>
      </c>
      <c r="B2261" s="138" t="s">
        <v>3809</v>
      </c>
      <c r="C2261" s="138" t="s">
        <v>4035</v>
      </c>
      <c r="D2261" s="138" t="s">
        <v>3888</v>
      </c>
      <c r="E2261" s="138" t="s">
        <v>3889</v>
      </c>
      <c r="F2261" s="138" t="s">
        <v>3869</v>
      </c>
      <c r="G2261" s="138" t="s">
        <v>3904</v>
      </c>
      <c r="H2261" s="81" t="str">
        <f t="shared" si="144"/>
        <v>TCCN-PTE-CON-SEL-SAE-SCE-PC2</v>
      </c>
      <c r="I2261" s="138" t="str">
        <f>MID(H2261,1,(LEN(H2261)-VLOOKUP(K2261,datos!$B$2:$C$12,2,0)))</f>
        <v>TCCN-PTE-CON-SEL-SAE-SCE-PC2</v>
      </c>
      <c r="J2261" s="138" t="s">
        <v>1295</v>
      </c>
      <c r="K2261" s="140">
        <f>VLOOKUP(LEN(SUBSTITUTE(H2261,"-","")),datos!$A$1:$B$12,2,0)</f>
        <v>7</v>
      </c>
      <c r="L2261" s="138" t="s">
        <v>420</v>
      </c>
      <c r="M2261" s="138" t="s">
        <v>0</v>
      </c>
    </row>
    <row r="2262" spans="1:13" x14ac:dyDescent="0.35">
      <c r="A2262" s="138" t="s">
        <v>487</v>
      </c>
      <c r="B2262" s="138" t="s">
        <v>3809</v>
      </c>
      <c r="C2262" s="138" t="s">
        <v>4035</v>
      </c>
      <c r="D2262" s="138" t="s">
        <v>3888</v>
      </c>
      <c r="E2262" s="138" t="s">
        <v>3889</v>
      </c>
      <c r="F2262" s="138" t="s">
        <v>3869</v>
      </c>
      <c r="G2262" s="138" t="s">
        <v>3905</v>
      </c>
      <c r="H2262" s="81" t="str">
        <f t="shared" si="144"/>
        <v>TCCN-PTE-CON-SEL-SAE-SCE-GA2</v>
      </c>
      <c r="I2262" s="138" t="str">
        <f>MID(H2262,1,(LEN(H2262)-VLOOKUP(K2262,datos!$B$2:$C$12,2,0)))</f>
        <v>TCCN-PTE-CON-SEL-SAE-SCE-GA2</v>
      </c>
      <c r="J2262" s="138" t="s">
        <v>1296</v>
      </c>
      <c r="K2262" s="140">
        <f>VLOOKUP(LEN(SUBSTITUTE(H2262,"-","")),datos!$A$1:$B$12,2,0)</f>
        <v>7</v>
      </c>
      <c r="L2262" s="138" t="s">
        <v>421</v>
      </c>
      <c r="M2262" s="138" t="s">
        <v>0</v>
      </c>
    </row>
    <row r="2263" spans="1:13" x14ac:dyDescent="0.35">
      <c r="A2263" s="138" t="s">
        <v>487</v>
      </c>
      <c r="B2263" s="138" t="s">
        <v>3809</v>
      </c>
      <c r="C2263" s="138" t="s">
        <v>4035</v>
      </c>
      <c r="D2263" s="138" t="s">
        <v>3888</v>
      </c>
      <c r="E2263" s="138" t="s">
        <v>3889</v>
      </c>
      <c r="F2263" s="138" t="s">
        <v>3869</v>
      </c>
      <c r="G2263" s="138" t="s">
        <v>8002</v>
      </c>
      <c r="H2263" s="81" t="str">
        <f t="shared" si="144"/>
        <v>TCCN-PTE-CON-SEL-SAE-SCE-AD1</v>
      </c>
      <c r="I2263" s="138" t="str">
        <f>MID(H2263,1,(LEN(H2263)-VLOOKUP(K2263,datos!$B$2:$C$12,2,0)))</f>
        <v>TCCN-PTE-CON-SEL-SAE-SCE-AD1</v>
      </c>
      <c r="J2263" s="138" t="s">
        <v>1297</v>
      </c>
      <c r="K2263" s="140">
        <f>VLOOKUP(LEN(SUBSTITUTE(H2263,"-","")),datos!$A$1:$B$12,2,0)</f>
        <v>7</v>
      </c>
      <c r="L2263" s="138" t="s">
        <v>422</v>
      </c>
      <c r="M2263" s="138" t="s">
        <v>0</v>
      </c>
    </row>
    <row r="2264" spans="1:13" x14ac:dyDescent="0.35">
      <c r="A2264" s="138" t="s">
        <v>487</v>
      </c>
      <c r="B2264" s="138" t="s">
        <v>3809</v>
      </c>
      <c r="C2264" s="138" t="s">
        <v>4035</v>
      </c>
      <c r="D2264" s="138" t="s">
        <v>3888</v>
      </c>
      <c r="E2264" s="138" t="s">
        <v>3889</v>
      </c>
      <c r="F2264" s="138" t="s">
        <v>3869</v>
      </c>
      <c r="G2264" s="138" t="s">
        <v>8003</v>
      </c>
      <c r="H2264" s="81" t="str">
        <f t="shared" si="144"/>
        <v>TCCN-PTE-CON-SEL-SAE-SCE-AD2</v>
      </c>
      <c r="I2264" s="138" t="str">
        <f>MID(H2264,1,(LEN(H2264)-VLOOKUP(K2264,datos!$B$2:$C$12,2,0)))</f>
        <v>TCCN-PTE-CON-SEL-SAE-SCE-AD2</v>
      </c>
      <c r="J2264" s="138" t="s">
        <v>1298</v>
      </c>
      <c r="K2264" s="140">
        <f>VLOOKUP(LEN(SUBSTITUTE(H2264,"-","")),datos!$A$1:$B$12,2,0)</f>
        <v>7</v>
      </c>
      <c r="L2264" s="138" t="s">
        <v>423</v>
      </c>
      <c r="M2264" s="138" t="s">
        <v>0</v>
      </c>
    </row>
    <row r="2265" spans="1:13" x14ac:dyDescent="0.35">
      <c r="A2265" s="138" t="s">
        <v>487</v>
      </c>
      <c r="B2265" s="138" t="s">
        <v>3809</v>
      </c>
      <c r="C2265" s="138" t="s">
        <v>4035</v>
      </c>
      <c r="D2265" s="138" t="s">
        <v>3888</v>
      </c>
      <c r="E2265" s="138" t="s">
        <v>3889</v>
      </c>
      <c r="F2265" s="138" t="s">
        <v>3869</v>
      </c>
      <c r="G2265" s="138" t="s">
        <v>8004</v>
      </c>
      <c r="H2265" s="81" t="str">
        <f t="shared" si="144"/>
        <v>TCCN-PTE-CON-SEL-SAE-SCE-AD3</v>
      </c>
      <c r="I2265" s="138" t="str">
        <f>MID(H2265,1,(LEN(H2265)-VLOOKUP(K2265,datos!$B$2:$C$12,2,0)))</f>
        <v>TCCN-PTE-CON-SEL-SAE-SCE-AD3</v>
      </c>
      <c r="J2265" s="138" t="s">
        <v>1299</v>
      </c>
      <c r="K2265" s="140">
        <f>VLOOKUP(LEN(SUBSTITUTE(H2265,"-","")),datos!$A$1:$B$12,2,0)</f>
        <v>7</v>
      </c>
      <c r="L2265" s="138" t="s">
        <v>424</v>
      </c>
      <c r="M2265" s="138" t="s">
        <v>0</v>
      </c>
    </row>
    <row r="2266" spans="1:13" x14ac:dyDescent="0.35">
      <c r="A2266" s="138" t="s">
        <v>487</v>
      </c>
      <c r="B2266" s="138" t="s">
        <v>3809</v>
      </c>
      <c r="C2266" s="138" t="s">
        <v>4035</v>
      </c>
      <c r="D2266" s="138" t="s">
        <v>3888</v>
      </c>
      <c r="E2266" s="138" t="s">
        <v>3889</v>
      </c>
      <c r="F2266" s="138" t="s">
        <v>3869</v>
      </c>
      <c r="G2266" s="138" t="s">
        <v>8005</v>
      </c>
      <c r="H2266" s="81" t="str">
        <f t="shared" si="144"/>
        <v>TCCN-PTE-CON-SEL-SAE-SCE-AD4</v>
      </c>
      <c r="I2266" s="138" t="str">
        <f>MID(H2266,1,(LEN(H2266)-VLOOKUP(K2266,datos!$B$2:$C$12,2,0)))</f>
        <v>TCCN-PTE-CON-SEL-SAE-SCE-AD4</v>
      </c>
      <c r="J2266" s="138" t="s">
        <v>1300</v>
      </c>
      <c r="K2266" s="140">
        <f>VLOOKUP(LEN(SUBSTITUTE(H2266,"-","")),datos!$A$1:$B$12,2,0)</f>
        <v>7</v>
      </c>
      <c r="L2266" s="138" t="s">
        <v>425</v>
      </c>
      <c r="M2266" s="138" t="s">
        <v>0</v>
      </c>
    </row>
    <row r="2267" spans="1:13" x14ac:dyDescent="0.35">
      <c r="A2267" s="138" t="s">
        <v>487</v>
      </c>
      <c r="B2267" s="138" t="s">
        <v>3809</v>
      </c>
      <c r="C2267" s="138" t="s">
        <v>4035</v>
      </c>
      <c r="D2267" s="138" t="s">
        <v>3888</v>
      </c>
      <c r="E2267" s="138" t="s">
        <v>3889</v>
      </c>
      <c r="F2267" s="138" t="s">
        <v>3869</v>
      </c>
      <c r="G2267" s="138" t="s">
        <v>8006</v>
      </c>
      <c r="H2267" s="81" t="str">
        <f t="shared" si="144"/>
        <v>TCCN-PTE-CON-SEL-SAE-SCE-AD5</v>
      </c>
      <c r="I2267" s="138" t="str">
        <f>MID(H2267,1,(LEN(H2267)-VLOOKUP(K2267,datos!$B$2:$C$12,2,0)))</f>
        <v>TCCN-PTE-CON-SEL-SAE-SCE-AD5</v>
      </c>
      <c r="J2267" s="138" t="s">
        <v>1301</v>
      </c>
      <c r="K2267" s="140">
        <f>VLOOKUP(LEN(SUBSTITUTE(H2267,"-","")),datos!$A$1:$B$12,2,0)</f>
        <v>7</v>
      </c>
      <c r="L2267" s="138" t="s">
        <v>426</v>
      </c>
      <c r="M2267" s="138" t="s">
        <v>0</v>
      </c>
    </row>
    <row r="2268" spans="1:13" x14ac:dyDescent="0.35">
      <c r="A2268" s="138" t="s">
        <v>487</v>
      </c>
      <c r="B2268" s="138" t="s">
        <v>3809</v>
      </c>
      <c r="C2268" s="138" t="s">
        <v>4035</v>
      </c>
      <c r="D2268" s="138" t="s">
        <v>3888</v>
      </c>
      <c r="E2268" s="138" t="s">
        <v>3889</v>
      </c>
      <c r="F2268" s="138" t="s">
        <v>3869</v>
      </c>
      <c r="G2268" s="138" t="s">
        <v>8007</v>
      </c>
      <c r="H2268" s="81" t="str">
        <f t="shared" si="144"/>
        <v>TCCN-PTE-CON-SEL-SAE-SCE-AD6</v>
      </c>
      <c r="I2268" s="138" t="str">
        <f>MID(H2268,1,(LEN(H2268)-VLOOKUP(K2268,datos!$B$2:$C$12,2,0)))</f>
        <v>TCCN-PTE-CON-SEL-SAE-SCE-AD6</v>
      </c>
      <c r="J2268" s="138" t="s">
        <v>1302</v>
      </c>
      <c r="K2268" s="140">
        <f>VLOOKUP(LEN(SUBSTITUTE(H2268,"-","")),datos!$A$1:$B$12,2,0)</f>
        <v>7</v>
      </c>
      <c r="L2268" s="138" t="s">
        <v>427</v>
      </c>
      <c r="M2268" s="138" t="s">
        <v>0</v>
      </c>
    </row>
    <row r="2269" spans="1:13" x14ac:dyDescent="0.35">
      <c r="A2269" s="138" t="s">
        <v>487</v>
      </c>
      <c r="B2269" s="138" t="s">
        <v>3809</v>
      </c>
      <c r="C2269" s="138" t="s">
        <v>4035</v>
      </c>
      <c r="D2269" s="138" t="s">
        <v>3888</v>
      </c>
      <c r="E2269" s="138" t="s">
        <v>3889</v>
      </c>
      <c r="F2269" s="138" t="s">
        <v>3869</v>
      </c>
      <c r="G2269" s="138" t="s">
        <v>3969</v>
      </c>
      <c r="H2269" s="81" t="str">
        <f t="shared" si="144"/>
        <v>TCCN-PTE-CON-SEL-SAE-SCE-SE1</v>
      </c>
      <c r="I2269" s="138" t="str">
        <f>MID(H2269,1,(LEN(H2269)-VLOOKUP(K2269,datos!$B$2:$C$12,2,0)))</f>
        <v>TCCN-PTE-CON-SEL-SAE-SCE-SE1</v>
      </c>
      <c r="J2269" s="138" t="s">
        <v>1303</v>
      </c>
      <c r="K2269" s="140">
        <f>VLOOKUP(LEN(SUBSTITUTE(H2269,"-","")),datos!$A$1:$B$12,2,0)</f>
        <v>7</v>
      </c>
      <c r="L2269" s="138" t="s">
        <v>428</v>
      </c>
      <c r="M2269" s="138" t="s">
        <v>0</v>
      </c>
    </row>
    <row r="2270" spans="1:13" x14ac:dyDescent="0.35">
      <c r="A2270" s="138" t="s">
        <v>487</v>
      </c>
      <c r="B2270" s="138" t="s">
        <v>3809</v>
      </c>
      <c r="C2270" s="138" t="s">
        <v>4035</v>
      </c>
      <c r="D2270" s="138" t="s">
        <v>3888</v>
      </c>
      <c r="E2270" s="138" t="s">
        <v>3889</v>
      </c>
      <c r="F2270" s="138" t="s">
        <v>3869</v>
      </c>
      <c r="G2270" s="138" t="s">
        <v>3970</v>
      </c>
      <c r="H2270" s="81" t="str">
        <f t="shared" si="144"/>
        <v>TCCN-PTE-CON-SEL-SAE-SCE-SE2</v>
      </c>
      <c r="I2270" s="138" t="str">
        <f>MID(H2270,1,(LEN(H2270)-VLOOKUP(K2270,datos!$B$2:$C$12,2,0)))</f>
        <v>TCCN-PTE-CON-SEL-SAE-SCE-SE2</v>
      </c>
      <c r="J2270" s="138" t="s">
        <v>1304</v>
      </c>
      <c r="K2270" s="140">
        <f>VLOOKUP(LEN(SUBSTITUTE(H2270,"-","")),datos!$A$1:$B$12,2,0)</f>
        <v>7</v>
      </c>
      <c r="L2270" s="138" t="s">
        <v>429</v>
      </c>
      <c r="M2270" s="138" t="s">
        <v>0</v>
      </c>
    </row>
    <row r="2271" spans="1:13" x14ac:dyDescent="0.35">
      <c r="A2271" s="138" t="s">
        <v>487</v>
      </c>
      <c r="B2271" s="138" t="s">
        <v>3809</v>
      </c>
      <c r="C2271" s="138" t="s">
        <v>4035</v>
      </c>
      <c r="D2271" s="138" t="s">
        <v>3888</v>
      </c>
      <c r="E2271" s="138" t="s">
        <v>3889</v>
      </c>
      <c r="F2271" s="138" t="s">
        <v>3869</v>
      </c>
      <c r="G2271" s="138" t="s">
        <v>3971</v>
      </c>
      <c r="H2271" s="81" t="str">
        <f t="shared" si="144"/>
        <v>TCCN-PTE-CON-SEL-SAE-SCE-SE3</v>
      </c>
      <c r="I2271" s="138" t="str">
        <f>MID(H2271,1,(LEN(H2271)-VLOOKUP(K2271,datos!$B$2:$C$12,2,0)))</f>
        <v>TCCN-PTE-CON-SEL-SAE-SCE-SE3</v>
      </c>
      <c r="J2271" s="138" t="s">
        <v>1305</v>
      </c>
      <c r="K2271" s="140">
        <f>VLOOKUP(LEN(SUBSTITUTE(H2271,"-","")),datos!$A$1:$B$12,2,0)</f>
        <v>7</v>
      </c>
      <c r="L2271" s="138" t="s">
        <v>430</v>
      </c>
      <c r="M2271" s="138" t="s">
        <v>0</v>
      </c>
    </row>
    <row r="2272" spans="1:13" x14ac:dyDescent="0.35">
      <c r="A2272" s="138" t="s">
        <v>487</v>
      </c>
      <c r="B2272" s="138" t="s">
        <v>3809</v>
      </c>
      <c r="C2272" s="138" t="s">
        <v>4035</v>
      </c>
      <c r="D2272" s="138" t="s">
        <v>3888</v>
      </c>
      <c r="E2272" s="138" t="s">
        <v>3889</v>
      </c>
      <c r="F2272" s="138" t="s">
        <v>3869</v>
      </c>
      <c r="G2272" s="138" t="s">
        <v>4148</v>
      </c>
      <c r="H2272" s="81" t="str">
        <f t="shared" si="144"/>
        <v>TCCN-PTE-CON-SEL-SAE-SCE-EPZ</v>
      </c>
      <c r="I2272" s="138" t="str">
        <f>MID(H2272,1,(LEN(H2272)-VLOOKUP(K2272,datos!$B$2:$C$12,2,0)))</f>
        <v>TCCN-PTE-CON-SEL-SAE-SCE-EPZ</v>
      </c>
      <c r="J2272" s="138" t="s">
        <v>1306</v>
      </c>
      <c r="K2272" s="140">
        <f>VLOOKUP(LEN(SUBSTITUTE(H2272,"-","")),datos!$A$1:$B$12,2,0)</f>
        <v>7</v>
      </c>
      <c r="L2272" s="138" t="s">
        <v>431</v>
      </c>
      <c r="M2272" s="138" t="s">
        <v>0</v>
      </c>
    </row>
    <row r="2273" spans="1:13" x14ac:dyDescent="0.35">
      <c r="A2273" s="138" t="s">
        <v>487</v>
      </c>
      <c r="B2273" s="138" t="s">
        <v>3809</v>
      </c>
      <c r="C2273" s="138" t="s">
        <v>4035</v>
      </c>
      <c r="D2273" s="138" t="s">
        <v>3888</v>
      </c>
      <c r="E2273" s="138" t="s">
        <v>3889</v>
      </c>
      <c r="F2273" s="138" t="s">
        <v>3869</v>
      </c>
      <c r="G2273" s="138" t="s">
        <v>3898</v>
      </c>
      <c r="H2273" s="81" t="str">
        <f t="shared" si="144"/>
        <v>TCCN-PTE-CON-SEL-SAE-SCE-EX1</v>
      </c>
      <c r="I2273" s="138" t="str">
        <f>MID(H2273,1,(LEN(H2273)-VLOOKUP(K2273,datos!$B$2:$C$12,2,0)))</f>
        <v>TCCN-PTE-CON-SEL-SAE-SCE-EX1</v>
      </c>
      <c r="J2273" s="138" t="s">
        <v>6905</v>
      </c>
      <c r="K2273" s="140">
        <f>VLOOKUP(LEN(SUBSTITUTE(H2273,"-","")),datos!$A$1:$B$12,2,0)</f>
        <v>7</v>
      </c>
      <c r="L2273" s="138" t="s">
        <v>432</v>
      </c>
      <c r="M2273" s="138" t="s">
        <v>0</v>
      </c>
    </row>
    <row r="2274" spans="1:13" x14ac:dyDescent="0.35">
      <c r="A2274" s="138" t="s">
        <v>487</v>
      </c>
      <c r="B2274" s="138" t="s">
        <v>3809</v>
      </c>
      <c r="C2274" s="138" t="s">
        <v>4035</v>
      </c>
      <c r="D2274" s="138" t="s">
        <v>3888</v>
      </c>
      <c r="E2274" s="138" t="s">
        <v>3889</v>
      </c>
      <c r="F2274" s="138" t="s">
        <v>3869</v>
      </c>
      <c r="G2274" s="138" t="s">
        <v>3899</v>
      </c>
      <c r="H2274" s="81" t="str">
        <f t="shared" si="144"/>
        <v>TCCN-PTE-CON-SEL-SAE-SCE-EX2</v>
      </c>
      <c r="I2274" s="138" t="str">
        <f>MID(H2274,1,(LEN(H2274)-VLOOKUP(K2274,datos!$B$2:$C$12,2,0)))</f>
        <v>TCCN-PTE-CON-SEL-SAE-SCE-EX2</v>
      </c>
      <c r="J2274" s="138" t="s">
        <v>6906</v>
      </c>
      <c r="K2274" s="140">
        <f>VLOOKUP(LEN(SUBSTITUTE(H2274,"-","")),datos!$A$1:$B$12,2,0)</f>
        <v>7</v>
      </c>
      <c r="L2274" s="138" t="s">
        <v>433</v>
      </c>
      <c r="M2274" s="138" t="s">
        <v>0</v>
      </c>
    </row>
    <row r="2275" spans="1:13" x14ac:dyDescent="0.35">
      <c r="A2275" s="138" t="s">
        <v>487</v>
      </c>
      <c r="B2275" s="138" t="s">
        <v>3809</v>
      </c>
      <c r="C2275" s="138" t="s">
        <v>4035</v>
      </c>
      <c r="D2275" s="138" t="s">
        <v>3888</v>
      </c>
      <c r="E2275" s="138" t="s">
        <v>3889</v>
      </c>
      <c r="F2275" s="138" t="s">
        <v>3869</v>
      </c>
      <c r="G2275" s="138" t="s">
        <v>3909</v>
      </c>
      <c r="H2275" s="81" t="str">
        <f t="shared" si="144"/>
        <v>TCCN-PTE-CON-SEL-SAE-SCE-GTS</v>
      </c>
      <c r="I2275" s="138" t="str">
        <f>MID(H2275,1,(LEN(H2275)-VLOOKUP(K2275,datos!$B$2:$C$12,2,0)))</f>
        <v>TCCN-PTE-CON-SEL-SAE-SCE-GTS</v>
      </c>
      <c r="J2275" s="138" t="s">
        <v>1309</v>
      </c>
      <c r="K2275" s="140">
        <f>VLOOKUP(LEN(SUBSTITUTE(H2275,"-","")),datos!$A$1:$B$12,2,0)</f>
        <v>7</v>
      </c>
      <c r="L2275" s="138" t="s">
        <v>8143</v>
      </c>
      <c r="M2275" s="138" t="s">
        <v>0</v>
      </c>
    </row>
    <row r="2276" spans="1:13" x14ac:dyDescent="0.35">
      <c r="A2276" s="138" t="s">
        <v>487</v>
      </c>
      <c r="B2276" s="138" t="s">
        <v>3809</v>
      </c>
      <c r="C2276" s="138" t="s">
        <v>4035</v>
      </c>
      <c r="D2276" s="138" t="s">
        <v>3888</v>
      </c>
      <c r="E2276" s="138" t="s">
        <v>3889</v>
      </c>
      <c r="F2276" s="138" t="s">
        <v>3869</v>
      </c>
      <c r="G2276" s="138" t="s">
        <v>3896</v>
      </c>
      <c r="H2276" s="81" t="str">
        <f t="shared" si="144"/>
        <v>TCCN-PTE-CON-SEL-SAE-SCE-CBN</v>
      </c>
      <c r="I2276" s="138" t="str">
        <f>MID(H2276,1,(LEN(H2276)-VLOOKUP(K2276,datos!$B$2:$C$12,2,0)))</f>
        <v>TCCN-PTE-CON-SEL-SAE-SCE-CBN</v>
      </c>
      <c r="J2276" s="138" t="s">
        <v>1311</v>
      </c>
      <c r="K2276" s="140">
        <f>VLOOKUP(LEN(SUBSTITUTE(H2276,"-","")),datos!$A$1:$B$12,2,0)</f>
        <v>7</v>
      </c>
      <c r="L2276" s="138" t="s">
        <v>435</v>
      </c>
      <c r="M2276" s="138" t="s">
        <v>0</v>
      </c>
    </row>
    <row r="2277" spans="1:13" x14ac:dyDescent="0.35">
      <c r="A2277" s="138" t="s">
        <v>487</v>
      </c>
      <c r="B2277" s="138" t="s">
        <v>3809</v>
      </c>
      <c r="C2277" s="138" t="s">
        <v>4035</v>
      </c>
      <c r="D2277" s="138" t="s">
        <v>3888</v>
      </c>
      <c r="E2277" s="138" t="s">
        <v>3889</v>
      </c>
      <c r="F2277" s="138" t="s">
        <v>3869</v>
      </c>
      <c r="G2277" s="138" t="s">
        <v>3982</v>
      </c>
      <c r="H2277" s="81" t="str">
        <f t="shared" si="144"/>
        <v>TCCN-PTE-CON-SEL-SAE-SCE-TF5</v>
      </c>
      <c r="I2277" s="138" t="str">
        <f>MID(H2277,1,(LEN(H2277)-VLOOKUP(K2277,datos!$B$2:$C$12,2,0)))</f>
        <v>TCCN-PTE-CON-SEL-SAE-SCE-TF5</v>
      </c>
      <c r="J2277" s="138" t="s">
        <v>1617</v>
      </c>
      <c r="K2277" s="140">
        <f>VLOOKUP(LEN(SUBSTITUTE(H2277,"-","")),datos!$A$1:$B$12,2,0)</f>
        <v>7</v>
      </c>
      <c r="L2277" s="138" t="s">
        <v>1446</v>
      </c>
      <c r="M2277" s="138" t="s">
        <v>0</v>
      </c>
    </row>
    <row r="2278" spans="1:13" x14ac:dyDescent="0.35">
      <c r="A2278" s="138" t="s">
        <v>487</v>
      </c>
      <c r="B2278" s="138" t="s">
        <v>3809</v>
      </c>
      <c r="C2278" s="138" t="s">
        <v>4035</v>
      </c>
      <c r="D2278" s="138" t="s">
        <v>3888</v>
      </c>
      <c r="E2278" s="138" t="s">
        <v>3889</v>
      </c>
      <c r="F2278" s="138" t="s">
        <v>3869</v>
      </c>
      <c r="G2278" s="138" t="s">
        <v>4101</v>
      </c>
      <c r="H2278" s="81" t="str">
        <f t="shared" si="144"/>
        <v>TCCN-PTE-CON-SEL-SAE-SCE-VF9</v>
      </c>
      <c r="I2278" s="138" t="str">
        <f>MID(H2278,1,(LEN(H2278)-VLOOKUP(K2278,datos!$B$2:$C$12,2,0)))</f>
        <v>TCCN-PTE-CON-SEL-SAE-SCE-VF9</v>
      </c>
      <c r="J2278" s="138" t="s">
        <v>7233</v>
      </c>
      <c r="K2278" s="140">
        <f>VLOOKUP(LEN(SUBSTITUTE(H2278,"-","")),datos!$A$1:$B$12,2,0)</f>
        <v>7</v>
      </c>
      <c r="L2278" s="138" t="s">
        <v>1448</v>
      </c>
      <c r="M2278" s="138" t="s">
        <v>0</v>
      </c>
    </row>
    <row r="2279" spans="1:13" x14ac:dyDescent="0.35">
      <c r="A2279" s="138" t="s">
        <v>487</v>
      </c>
      <c r="B2279" s="138" t="s">
        <v>3809</v>
      </c>
      <c r="C2279" s="138" t="s">
        <v>4035</v>
      </c>
      <c r="D2279" s="138" t="s">
        <v>3888</v>
      </c>
      <c r="E2279" s="138" t="s">
        <v>3889</v>
      </c>
      <c r="F2279" s="138" t="s">
        <v>3869</v>
      </c>
      <c r="G2279" s="138" t="s">
        <v>4102</v>
      </c>
      <c r="H2279" s="81" t="str">
        <f t="shared" si="144"/>
        <v>TCCN-PTE-CON-SEL-SAE-SCE-V10</v>
      </c>
      <c r="I2279" s="138" t="str">
        <f>MID(H2279,1,(LEN(H2279)-VLOOKUP(K2279,datos!$B$2:$C$12,2,0)))</f>
        <v>TCCN-PTE-CON-SEL-SAE-SCE-V10</v>
      </c>
      <c r="J2279" s="138" t="s">
        <v>7234</v>
      </c>
      <c r="K2279" s="140">
        <f>VLOOKUP(LEN(SUBSTITUTE(H2279,"-","")),datos!$A$1:$B$12,2,0)</f>
        <v>7</v>
      </c>
      <c r="L2279" s="138" t="s">
        <v>1449</v>
      </c>
      <c r="M2279" s="138" t="s">
        <v>0</v>
      </c>
    </row>
    <row r="2280" spans="1:13" x14ac:dyDescent="0.35">
      <c r="A2280" s="138" t="s">
        <v>487</v>
      </c>
      <c r="B2280" s="138" t="s">
        <v>3809</v>
      </c>
      <c r="C2280" s="138" t="s">
        <v>4035</v>
      </c>
      <c r="D2280" s="138" t="s">
        <v>3888</v>
      </c>
      <c r="E2280" s="138" t="s">
        <v>3889</v>
      </c>
      <c r="F2280" s="138" t="s">
        <v>3869</v>
      </c>
      <c r="G2280" s="138" t="s">
        <v>4103</v>
      </c>
      <c r="H2280" s="81" t="str">
        <f t="shared" si="144"/>
        <v>TCCN-PTE-CON-SEL-SAE-SCE-V11</v>
      </c>
      <c r="I2280" s="138" t="str">
        <f>MID(H2280,1,(LEN(H2280)-VLOOKUP(K2280,datos!$B$2:$C$12,2,0)))</f>
        <v>TCCN-PTE-CON-SEL-SAE-SCE-V11</v>
      </c>
      <c r="J2280" s="138" t="s">
        <v>7235</v>
      </c>
      <c r="K2280" s="140">
        <f>VLOOKUP(LEN(SUBSTITUTE(H2280,"-","")),datos!$A$1:$B$12,2,0)</f>
        <v>7</v>
      </c>
      <c r="L2280" s="138" t="s">
        <v>1451</v>
      </c>
      <c r="M2280" s="138" t="s">
        <v>0</v>
      </c>
    </row>
    <row r="2281" spans="1:13" x14ac:dyDescent="0.35">
      <c r="A2281" s="138" t="s">
        <v>487</v>
      </c>
      <c r="B2281" s="138" t="s">
        <v>3809</v>
      </c>
      <c r="C2281" s="138" t="s">
        <v>4035</v>
      </c>
      <c r="D2281" s="138" t="s">
        <v>3888</v>
      </c>
      <c r="E2281" s="138" t="s">
        <v>3889</v>
      </c>
      <c r="F2281" s="138" t="s">
        <v>3869</v>
      </c>
      <c r="G2281" s="138" t="s">
        <v>4104</v>
      </c>
      <c r="H2281" s="81" t="str">
        <f t="shared" si="144"/>
        <v>TCCN-PTE-CON-SEL-SAE-SCE-V12</v>
      </c>
      <c r="I2281" s="138" t="str">
        <f>MID(H2281,1,(LEN(H2281)-VLOOKUP(K2281,datos!$B$2:$C$12,2,0)))</f>
        <v>TCCN-PTE-CON-SEL-SAE-SCE-V12</v>
      </c>
      <c r="J2281" s="138" t="s">
        <v>7236</v>
      </c>
      <c r="K2281" s="140">
        <f>VLOOKUP(LEN(SUBSTITUTE(H2281,"-","")),datos!$A$1:$B$12,2,0)</f>
        <v>7</v>
      </c>
      <c r="L2281" s="138" t="s">
        <v>1452</v>
      </c>
      <c r="M2281" s="138" t="s">
        <v>0</v>
      </c>
    </row>
    <row r="2282" spans="1:13" x14ac:dyDescent="0.35">
      <c r="A2282" s="138" t="s">
        <v>487</v>
      </c>
      <c r="B2282" s="138" t="s">
        <v>3809</v>
      </c>
      <c r="C2282" s="138" t="s">
        <v>4035</v>
      </c>
      <c r="D2282" s="138" t="s">
        <v>3888</v>
      </c>
      <c r="E2282" s="138" t="s">
        <v>3889</v>
      </c>
      <c r="F2282" s="138" t="s">
        <v>3869</v>
      </c>
      <c r="G2282" s="138" t="s">
        <v>4067</v>
      </c>
      <c r="H2282" s="81" t="str">
        <f t="shared" si="144"/>
        <v>TCCN-PTE-CON-SEL-SAE-SCE-TR2</v>
      </c>
      <c r="I2282" s="138" t="str">
        <f>MID(H2282,1,(LEN(H2282)-VLOOKUP(K2282,datos!$B$2:$C$12,2,0)))</f>
        <v>TCCN-PTE-CON-SEL-SAE-SCE-TR2</v>
      </c>
      <c r="J2282" s="138" t="s">
        <v>7237</v>
      </c>
      <c r="K2282" s="140">
        <f>VLOOKUP(LEN(SUBSTITUTE(H2282,"-","")),datos!$A$1:$B$12,2,0)</f>
        <v>7</v>
      </c>
      <c r="L2282" s="138" t="s">
        <v>1453</v>
      </c>
      <c r="M2282" s="138" t="s">
        <v>0</v>
      </c>
    </row>
    <row r="2283" spans="1:13" x14ac:dyDescent="0.35">
      <c r="A2283" s="138" t="s">
        <v>487</v>
      </c>
      <c r="B2283" s="138" t="s">
        <v>3809</v>
      </c>
      <c r="C2283" s="138" t="s">
        <v>4035</v>
      </c>
      <c r="D2283" s="138" t="s">
        <v>3888</v>
      </c>
      <c r="E2283" s="138" t="s">
        <v>3889</v>
      </c>
      <c r="F2283" s="138" t="s">
        <v>3869</v>
      </c>
      <c r="G2283" s="138" t="s">
        <v>6891</v>
      </c>
      <c r="H2283" s="81" t="str">
        <f t="shared" si="144"/>
        <v>TCCN-PTE-CON-SEL-SAE-SCE-TR3</v>
      </c>
      <c r="I2283" s="138" t="str">
        <f>MID(H2283,1,(LEN(H2283)-VLOOKUP(K2283,datos!$B$2:$C$12,2,0)))</f>
        <v>TCCN-PTE-CON-SEL-SAE-SCE-TR3</v>
      </c>
      <c r="J2283" s="138" t="s">
        <v>7238</v>
      </c>
      <c r="K2283" s="140">
        <f>VLOOKUP(LEN(SUBSTITUTE(H2283,"-","")),datos!$A$1:$B$12,2,0)</f>
        <v>7</v>
      </c>
      <c r="L2283" s="138" t="s">
        <v>1454</v>
      </c>
      <c r="M2283" s="138" t="s">
        <v>0</v>
      </c>
    </row>
    <row r="2284" spans="1:13" x14ac:dyDescent="0.35">
      <c r="A2284" s="138" t="s">
        <v>487</v>
      </c>
      <c r="B2284" s="138" t="s">
        <v>3809</v>
      </c>
      <c r="C2284" s="138" t="s">
        <v>4035</v>
      </c>
      <c r="D2284" s="138" t="s">
        <v>3888</v>
      </c>
      <c r="E2284" s="138" t="s">
        <v>3889</v>
      </c>
      <c r="F2284" s="138" t="s">
        <v>3869</v>
      </c>
      <c r="G2284" s="138" t="s">
        <v>4105</v>
      </c>
      <c r="H2284" s="81" t="str">
        <f t="shared" si="144"/>
        <v>TCCN-PTE-CON-SEL-SAE-SCE-V13</v>
      </c>
      <c r="I2284" s="138" t="str">
        <f>MID(H2284,1,(LEN(H2284)-VLOOKUP(K2284,datos!$B$2:$C$12,2,0)))</f>
        <v>TCCN-PTE-CON-SEL-SAE-SCE-V13</v>
      </c>
      <c r="J2284" s="138" t="s">
        <v>7239</v>
      </c>
      <c r="K2284" s="140">
        <f>VLOOKUP(LEN(SUBSTITUTE(H2284,"-","")),datos!$A$1:$B$12,2,0)</f>
        <v>7</v>
      </c>
      <c r="L2284" s="138" t="s">
        <v>1456</v>
      </c>
      <c r="M2284" s="138" t="s">
        <v>0</v>
      </c>
    </row>
    <row r="2285" spans="1:13" x14ac:dyDescent="0.35">
      <c r="A2285" s="138" t="s">
        <v>487</v>
      </c>
      <c r="B2285" s="138" t="s">
        <v>3809</v>
      </c>
      <c r="C2285" s="138" t="s">
        <v>4035</v>
      </c>
      <c r="D2285" s="138" t="s">
        <v>3888</v>
      </c>
      <c r="E2285" s="138" t="s">
        <v>3889</v>
      </c>
      <c r="F2285" s="138" t="s">
        <v>3869</v>
      </c>
      <c r="G2285" s="138" t="s">
        <v>4106</v>
      </c>
      <c r="H2285" s="81" t="str">
        <f t="shared" si="144"/>
        <v>TCCN-PTE-CON-SEL-SAE-SCE-V14</v>
      </c>
      <c r="I2285" s="138" t="str">
        <f>MID(H2285,1,(LEN(H2285)-VLOOKUP(K2285,datos!$B$2:$C$12,2,0)))</f>
        <v>TCCN-PTE-CON-SEL-SAE-SCE-V14</v>
      </c>
      <c r="J2285" s="138" t="s">
        <v>7240</v>
      </c>
      <c r="K2285" s="140">
        <f>VLOOKUP(LEN(SUBSTITUTE(H2285,"-","")),datos!$A$1:$B$12,2,0)</f>
        <v>7</v>
      </c>
      <c r="L2285" s="138" t="s">
        <v>1457</v>
      </c>
      <c r="M2285" s="138" t="s">
        <v>0</v>
      </c>
    </row>
    <row r="2286" spans="1:13" x14ac:dyDescent="0.35">
      <c r="A2286" s="138" t="s">
        <v>487</v>
      </c>
      <c r="B2286" s="138" t="s">
        <v>3809</v>
      </c>
      <c r="C2286" s="138" t="s">
        <v>4035</v>
      </c>
      <c r="D2286" s="138" t="s">
        <v>3888</v>
      </c>
      <c r="E2286" s="138" t="s">
        <v>3889</v>
      </c>
      <c r="F2286" s="138" t="s">
        <v>3869</v>
      </c>
      <c r="G2286" s="138" t="s">
        <v>6893</v>
      </c>
      <c r="H2286" s="81" t="str">
        <f t="shared" si="144"/>
        <v>TCCN-PTE-CON-SEL-SAE-SCE-TR4</v>
      </c>
      <c r="I2286" s="138" t="str">
        <f>MID(H2286,1,(LEN(H2286)-VLOOKUP(K2286,datos!$B$2:$C$12,2,0)))</f>
        <v>TCCN-PTE-CON-SEL-SAE-SCE-TR4</v>
      </c>
      <c r="J2286" s="138" t="s">
        <v>1458</v>
      </c>
      <c r="K2286" s="140">
        <f>VLOOKUP(LEN(SUBSTITUTE(H2286,"-","")),datos!$A$1:$B$12,2,0)</f>
        <v>7</v>
      </c>
      <c r="L2286" s="138" t="s">
        <v>1459</v>
      </c>
      <c r="M2286" s="138" t="s">
        <v>0</v>
      </c>
    </row>
    <row r="2287" spans="1:13" x14ac:dyDescent="0.35">
      <c r="A2287" s="138" t="s">
        <v>487</v>
      </c>
      <c r="B2287" s="138" t="s">
        <v>3809</v>
      </c>
      <c r="C2287" s="138" t="s">
        <v>4035</v>
      </c>
      <c r="D2287" s="138" t="s">
        <v>3888</v>
      </c>
      <c r="E2287" s="138" t="s">
        <v>3889</v>
      </c>
      <c r="F2287" s="138" t="s">
        <v>3869</v>
      </c>
      <c r="G2287" s="138" t="s">
        <v>4107</v>
      </c>
      <c r="H2287" s="81" t="str">
        <f t="shared" si="144"/>
        <v>TCCN-PTE-CON-SEL-SAE-SCE-CD1</v>
      </c>
      <c r="I2287" s="138" t="str">
        <f>MID(H2287,1,(LEN(H2287)-VLOOKUP(K2287,datos!$B$2:$C$12,2,0)))</f>
        <v>TCCN-PTE-CON-SEL-SAE-SCE-CD1</v>
      </c>
      <c r="J2287" s="138" t="s">
        <v>1486</v>
      </c>
      <c r="K2287" s="140">
        <f>VLOOKUP(LEN(SUBSTITUTE(H2287,"-","")),datos!$A$1:$B$12,2,0)</f>
        <v>7</v>
      </c>
      <c r="L2287" s="138" t="s">
        <v>1460</v>
      </c>
      <c r="M2287" s="138" t="s">
        <v>0</v>
      </c>
    </row>
    <row r="2288" spans="1:13" x14ac:dyDescent="0.35">
      <c r="A2288" s="138" t="s">
        <v>487</v>
      </c>
      <c r="B2288" s="138" t="s">
        <v>3809</v>
      </c>
      <c r="C2288" s="138" t="s">
        <v>4035</v>
      </c>
      <c r="D2288" s="138" t="s">
        <v>3888</v>
      </c>
      <c r="E2288" s="138" t="s">
        <v>3889</v>
      </c>
      <c r="F2288" s="138" t="s">
        <v>3869</v>
      </c>
      <c r="G2288" s="138" t="s">
        <v>4108</v>
      </c>
      <c r="H2288" s="81" t="str">
        <f t="shared" si="144"/>
        <v>TCCN-PTE-CON-SEL-SAE-SCE-CD2</v>
      </c>
      <c r="I2288" s="138" t="str">
        <f>MID(H2288,1,(LEN(H2288)-VLOOKUP(K2288,datos!$B$2:$C$12,2,0)))</f>
        <v>TCCN-PTE-CON-SEL-SAE-SCE-CD2</v>
      </c>
      <c r="J2288" s="138" t="s">
        <v>1487</v>
      </c>
      <c r="K2288" s="140">
        <f>VLOOKUP(LEN(SUBSTITUTE(H2288,"-","")),datos!$A$1:$B$12,2,0)</f>
        <v>7</v>
      </c>
      <c r="L2288" s="138" t="s">
        <v>1461</v>
      </c>
      <c r="M2288" s="138" t="s">
        <v>0</v>
      </c>
    </row>
    <row r="2289" spans="1:13" x14ac:dyDescent="0.35">
      <c r="A2289" s="137" t="s">
        <v>487</v>
      </c>
      <c r="B2289" s="137" t="s">
        <v>3809</v>
      </c>
      <c r="C2289" s="137" t="s">
        <v>4035</v>
      </c>
      <c r="D2289" s="137" t="s">
        <v>3888</v>
      </c>
      <c r="E2289" s="137" t="s">
        <v>3889</v>
      </c>
      <c r="F2289" s="137" t="s">
        <v>5232</v>
      </c>
      <c r="G2289" s="137"/>
      <c r="H2289" s="82" t="str">
        <f t="shared" si="144"/>
        <v>TCCN-PTE-CON-SEL-SAE-SAL-</v>
      </c>
      <c r="I2289" s="137" t="str">
        <f>MID(H2289,1,(LEN(H2289)-VLOOKUP(K2289,datos!$B$2:$C$12,2,0)))</f>
        <v>TCCN-PTE-CON-SEL-SAE-SAL</v>
      </c>
      <c r="J2289" s="137" t="s">
        <v>7342</v>
      </c>
      <c r="K2289" s="139">
        <f>VLOOKUP(LEN(SUBSTITUTE(H2289,"-","")),datos!$A$1:$B$12,2,0)</f>
        <v>6</v>
      </c>
      <c r="L2289" s="137"/>
      <c r="M2289" s="137" t="s">
        <v>0</v>
      </c>
    </row>
    <row r="2290" spans="1:13" x14ac:dyDescent="0.35">
      <c r="A2290" s="138" t="s">
        <v>487</v>
      </c>
      <c r="B2290" s="138" t="s">
        <v>3809</v>
      </c>
      <c r="C2290" s="138" t="s">
        <v>4035</v>
      </c>
      <c r="D2290" s="138" t="s">
        <v>3888</v>
      </c>
      <c r="E2290" s="138" t="s">
        <v>3889</v>
      </c>
      <c r="F2290" s="138" t="s">
        <v>5232</v>
      </c>
      <c r="G2290" s="138" t="s">
        <v>6887</v>
      </c>
      <c r="H2290" s="81" t="str">
        <f t="shared" si="144"/>
        <v>TCCN-PTE-CON-SEL-SAE-SAL-TA1</v>
      </c>
      <c r="I2290" s="138" t="str">
        <f>MID(H2290,1,(LEN(H2290)-VLOOKUP(K2290,datos!$B$2:$C$12,2,0)))</f>
        <v>TCCN-PTE-CON-SEL-SAE-SAL-TA1</v>
      </c>
      <c r="J2290" s="138" t="s">
        <v>7341</v>
      </c>
      <c r="K2290" s="140">
        <f>VLOOKUP(LEN(SUBSTITUTE(H2290,"-","")),datos!$A$1:$B$12,2,0)</f>
        <v>7</v>
      </c>
      <c r="L2290" s="138" t="s">
        <v>402</v>
      </c>
      <c r="M2290" s="138" t="s">
        <v>0</v>
      </c>
    </row>
    <row r="2291" spans="1:13" x14ac:dyDescent="0.35">
      <c r="A2291" s="138" t="s">
        <v>487</v>
      </c>
      <c r="B2291" s="138" t="s">
        <v>3809</v>
      </c>
      <c r="C2291" s="138" t="s">
        <v>4035</v>
      </c>
      <c r="D2291" s="138" t="s">
        <v>3888</v>
      </c>
      <c r="E2291" s="138" t="s">
        <v>3889</v>
      </c>
      <c r="F2291" s="138" t="s">
        <v>5232</v>
      </c>
      <c r="G2291" s="138" t="s">
        <v>6888</v>
      </c>
      <c r="H2291" s="81" t="str">
        <f t="shared" si="144"/>
        <v>TCCN-PTE-CON-SEL-SAE-SAL-TA2</v>
      </c>
      <c r="I2291" s="138" t="str">
        <f>MID(H2291,1,(LEN(H2291)-VLOOKUP(K2291,datos!$B$2:$C$12,2,0)))</f>
        <v>TCCN-PTE-CON-SEL-SAE-SAL-TA2</v>
      </c>
      <c r="J2291" s="138" t="s">
        <v>7344</v>
      </c>
      <c r="K2291" s="140">
        <f>VLOOKUP(LEN(SUBSTITUTE(H2291,"-","")),datos!$A$1:$B$12,2,0)</f>
        <v>7</v>
      </c>
      <c r="L2291" s="138" t="s">
        <v>5252</v>
      </c>
      <c r="M2291" s="138" t="s">
        <v>0</v>
      </c>
    </row>
    <row r="2292" spans="1:13" x14ac:dyDescent="0.35">
      <c r="A2292" s="137" t="s">
        <v>487</v>
      </c>
      <c r="B2292" s="137" t="s">
        <v>3809</v>
      </c>
      <c r="C2292" s="137" t="s">
        <v>4035</v>
      </c>
      <c r="D2292" s="137" t="s">
        <v>3888</v>
      </c>
      <c r="E2292" s="137" t="s">
        <v>3889</v>
      </c>
      <c r="F2292" s="137" t="s">
        <v>5567</v>
      </c>
      <c r="G2292" s="137"/>
      <c r="H2292" s="82" t="str">
        <f t="shared" si="144"/>
        <v>TCCN-PTE-CON-SEL-SAE-STV-</v>
      </c>
      <c r="I2292" s="137" t="str">
        <f>MID(H2292,1,(LEN(H2292)-VLOOKUP(K2292,datos!$B$2:$C$12,2,0)))</f>
        <v>TCCN-PTE-CON-SEL-SAE-STV</v>
      </c>
      <c r="J2292" s="137" t="s">
        <v>5283</v>
      </c>
      <c r="K2292" s="139">
        <f>VLOOKUP(LEN(SUBSTITUTE(H2292,"-","")),datos!$A$1:$B$12,2,0)</f>
        <v>6</v>
      </c>
      <c r="L2292" s="137"/>
      <c r="M2292" s="137" t="s">
        <v>0</v>
      </c>
    </row>
    <row r="2293" spans="1:13" x14ac:dyDescent="0.35">
      <c r="A2293" s="138" t="s">
        <v>487</v>
      </c>
      <c r="B2293" s="138" t="s">
        <v>3809</v>
      </c>
      <c r="C2293" s="138" t="s">
        <v>4035</v>
      </c>
      <c r="D2293" s="138" t="s">
        <v>3888</v>
      </c>
      <c r="E2293" s="138" t="s">
        <v>3889</v>
      </c>
      <c r="F2293" s="138" t="s">
        <v>5567</v>
      </c>
      <c r="G2293" s="138" t="s">
        <v>5290</v>
      </c>
      <c r="H2293" s="81" t="str">
        <f t="shared" si="144"/>
        <v>TCCN-PTE-CON-SEL-SAE-STV-GBT</v>
      </c>
      <c r="I2293" s="138" t="str">
        <f>MID(H2293,1,(LEN(H2293)-VLOOKUP(K2293,datos!$B$2:$C$12,2,0)))</f>
        <v>TCCN-PTE-CON-SEL-SAE-STV-GBT</v>
      </c>
      <c r="J2293" s="138" t="s">
        <v>4913</v>
      </c>
      <c r="K2293" s="140">
        <f>VLOOKUP(LEN(SUBSTITUTE(H2293,"-","")),datos!$A$1:$B$12,2,0)</f>
        <v>7</v>
      </c>
      <c r="L2293" s="138" t="s">
        <v>434</v>
      </c>
      <c r="M2293" s="138" t="s">
        <v>0</v>
      </c>
    </row>
    <row r="2294" spans="1:13" x14ac:dyDescent="0.35">
      <c r="A2294" s="138" t="s">
        <v>487</v>
      </c>
      <c r="B2294" s="138" t="s">
        <v>3809</v>
      </c>
      <c r="C2294" s="138" t="s">
        <v>4035</v>
      </c>
      <c r="D2294" s="138" t="s">
        <v>3888</v>
      </c>
      <c r="E2294" s="138" t="s">
        <v>3889</v>
      </c>
      <c r="F2294" s="138" t="s">
        <v>5567</v>
      </c>
      <c r="G2294" s="138" t="s">
        <v>5324</v>
      </c>
      <c r="H2294" s="81" t="str">
        <f t="shared" si="144"/>
        <v>TCCN-PTE-CON-SEL-SAE-STV-PF1</v>
      </c>
      <c r="I2294" s="138" t="str">
        <f>MID(H2294,1,(LEN(H2294)-VLOOKUP(K2294,datos!$B$2:$C$12,2,0)))</f>
        <v>TCCN-PTE-CON-SEL-SAE-STV-PF1</v>
      </c>
      <c r="J2294" s="138" t="s">
        <v>4356</v>
      </c>
      <c r="K2294" s="140">
        <f>VLOOKUP(LEN(SUBSTITUTE(H2294,"-","")),datos!$A$1:$B$12,2,0)</f>
        <v>7</v>
      </c>
      <c r="L2294" s="138" t="s">
        <v>4914</v>
      </c>
      <c r="M2294" s="138" t="s">
        <v>0</v>
      </c>
    </row>
    <row r="2295" spans="1:13" x14ac:dyDescent="0.35">
      <c r="A2295" s="138" t="s">
        <v>487</v>
      </c>
      <c r="B2295" s="138" t="s">
        <v>3809</v>
      </c>
      <c r="C2295" s="138" t="s">
        <v>4035</v>
      </c>
      <c r="D2295" s="138" t="s">
        <v>3888</v>
      </c>
      <c r="E2295" s="138" t="s">
        <v>3889</v>
      </c>
      <c r="F2295" s="138" t="s">
        <v>5567</v>
      </c>
      <c r="G2295" s="138" t="s">
        <v>5325</v>
      </c>
      <c r="H2295" s="81" t="str">
        <f t="shared" si="144"/>
        <v>TCCN-PTE-CON-SEL-SAE-STV-PF2</v>
      </c>
      <c r="I2295" s="138" t="str">
        <f>MID(H2295,1,(LEN(H2295)-VLOOKUP(K2295,datos!$B$2:$C$12,2,0)))</f>
        <v>TCCN-PTE-CON-SEL-SAE-STV-PF2</v>
      </c>
      <c r="J2295" s="138" t="s">
        <v>4357</v>
      </c>
      <c r="K2295" s="140">
        <f>VLOOKUP(LEN(SUBSTITUTE(H2295,"-","")),datos!$A$1:$B$12,2,0)</f>
        <v>7</v>
      </c>
      <c r="L2295" s="138" t="s">
        <v>4915</v>
      </c>
      <c r="M2295" s="138" t="s">
        <v>0</v>
      </c>
    </row>
    <row r="2296" spans="1:13" x14ac:dyDescent="0.35">
      <c r="A2296" s="138" t="s">
        <v>487</v>
      </c>
      <c r="B2296" s="138" t="s">
        <v>3809</v>
      </c>
      <c r="C2296" s="138" t="s">
        <v>4035</v>
      </c>
      <c r="D2296" s="138" t="s">
        <v>3888</v>
      </c>
      <c r="E2296" s="138" t="s">
        <v>3889</v>
      </c>
      <c r="F2296" s="138" t="s">
        <v>5567</v>
      </c>
      <c r="G2296" s="138" t="s">
        <v>5326</v>
      </c>
      <c r="H2296" s="81" t="str">
        <f t="shared" si="144"/>
        <v>TCCN-PTE-CON-SEL-SAE-STV-PF3</v>
      </c>
      <c r="I2296" s="138" t="str">
        <f>MID(H2296,1,(LEN(H2296)-VLOOKUP(K2296,datos!$B$2:$C$12,2,0)))</f>
        <v>TCCN-PTE-CON-SEL-SAE-STV-PF3</v>
      </c>
      <c r="J2296" s="138" t="s">
        <v>4358</v>
      </c>
      <c r="K2296" s="140">
        <f>VLOOKUP(LEN(SUBSTITUTE(H2296,"-","")),datos!$A$1:$B$12,2,0)</f>
        <v>7</v>
      </c>
      <c r="L2296" s="138" t="s">
        <v>4916</v>
      </c>
      <c r="M2296" s="138" t="s">
        <v>0</v>
      </c>
    </row>
    <row r="2297" spans="1:13" x14ac:dyDescent="0.35">
      <c r="A2297" s="138" t="s">
        <v>487</v>
      </c>
      <c r="B2297" s="138" t="s">
        <v>3809</v>
      </c>
      <c r="C2297" s="138" t="s">
        <v>4035</v>
      </c>
      <c r="D2297" s="138" t="s">
        <v>3888</v>
      </c>
      <c r="E2297" s="138" t="s">
        <v>3889</v>
      </c>
      <c r="F2297" s="138" t="s">
        <v>5567</v>
      </c>
      <c r="G2297" s="138" t="s">
        <v>5588</v>
      </c>
      <c r="H2297" s="81" t="str">
        <f t="shared" si="144"/>
        <v>TCCN-PTE-CON-SEL-SAE-STV-PF4</v>
      </c>
      <c r="I2297" s="138" t="str">
        <f>MID(H2297,1,(LEN(H2297)-VLOOKUP(K2297,datos!$B$2:$C$12,2,0)))</f>
        <v>TCCN-PTE-CON-SEL-SAE-STV-PF4</v>
      </c>
      <c r="J2297" s="138" t="s">
        <v>6886</v>
      </c>
      <c r="K2297" s="140">
        <f>VLOOKUP(LEN(SUBSTITUTE(H2297,"-","")),datos!$A$1:$B$12,2,0)</f>
        <v>7</v>
      </c>
      <c r="L2297" s="138" t="s">
        <v>4917</v>
      </c>
      <c r="M2297" s="138" t="s">
        <v>0</v>
      </c>
    </row>
    <row r="2298" spans="1:13" customFormat="1" ht="14.5" x14ac:dyDescent="0.35">
      <c r="A2298" s="84" t="s">
        <v>487</v>
      </c>
      <c r="B2298" s="84" t="s">
        <v>3809</v>
      </c>
      <c r="C2298" s="84" t="s">
        <v>4035</v>
      </c>
      <c r="D2298" s="84" t="s">
        <v>5282</v>
      </c>
      <c r="E2298" s="84"/>
      <c r="F2298" s="84"/>
      <c r="G2298" s="84"/>
      <c r="H2298" s="84" t="str">
        <f t="shared" si="144"/>
        <v>TCCN-PTE-CON-CTV---</v>
      </c>
      <c r="I2298" s="84" t="str">
        <f>MID(H2298,1,(LEN(H2298)-VLOOKUP(K2298,datos!$B$2:$C$12,2,0)))</f>
        <v>TCCN-PTE-CON-CTV</v>
      </c>
      <c r="J2298" s="84" t="s">
        <v>4933</v>
      </c>
      <c r="K2298" s="119">
        <f>VLOOKUP(LEN(SUBSTITUTE(H2298,"-","")),datos!$A$1:$B$12,2,0)</f>
        <v>4</v>
      </c>
      <c r="L2298" s="84"/>
      <c r="M2298" s="84" t="s">
        <v>0</v>
      </c>
    </row>
    <row r="2299" spans="1:13" customFormat="1" ht="14.5" x14ac:dyDescent="0.35">
      <c r="A2299" s="129" t="s">
        <v>487</v>
      </c>
      <c r="B2299" s="129" t="s">
        <v>3809</v>
      </c>
      <c r="C2299" s="129" t="s">
        <v>4035</v>
      </c>
      <c r="D2299" s="129" t="s">
        <v>5282</v>
      </c>
      <c r="E2299" s="129" t="s">
        <v>3921</v>
      </c>
      <c r="F2299" s="129"/>
      <c r="G2299" s="129"/>
      <c r="H2299" s="83" t="str">
        <f t="shared" si="144"/>
        <v>TCCN-PTE-CON-CTV-CT1--</v>
      </c>
      <c r="I2299" s="129" t="str">
        <f>MID(H2299,1,(LEN(H2299)-VLOOKUP(K2299,datos!$B$2:$C$12,2,0)))</f>
        <v>TCCN-PTE-CON-CTV-CT1</v>
      </c>
      <c r="J2299" s="129" t="s">
        <v>4920</v>
      </c>
      <c r="K2299" s="130">
        <f>VLOOKUP(LEN(SUBSTITUTE(H2299,"-","")),datos!$A$1:$B$12,2,0)</f>
        <v>5</v>
      </c>
      <c r="L2299" s="129" t="s">
        <v>4921</v>
      </c>
      <c r="M2299" s="129" t="s">
        <v>0</v>
      </c>
    </row>
    <row r="2300" spans="1:13" customFormat="1" ht="14.5" x14ac:dyDescent="0.35">
      <c r="A2300" s="129" t="s">
        <v>487</v>
      </c>
      <c r="B2300" s="129" t="s">
        <v>3809</v>
      </c>
      <c r="C2300" s="129" t="s">
        <v>4035</v>
      </c>
      <c r="D2300" s="129" t="s">
        <v>5282</v>
      </c>
      <c r="E2300" s="129" t="s">
        <v>5292</v>
      </c>
      <c r="F2300" s="129"/>
      <c r="G2300" s="129"/>
      <c r="H2300" s="83" t="str">
        <f t="shared" si="144"/>
        <v>TCCN-PTE-CON-CTV-GB1--</v>
      </c>
      <c r="I2300" s="129" t="str">
        <f>MID(H2300,1,(LEN(H2300)-VLOOKUP(K2300,datos!$B$2:$C$12,2,0)))</f>
        <v>TCCN-PTE-CON-CTV-GB1</v>
      </c>
      <c r="J2300" s="129" t="s">
        <v>4929</v>
      </c>
      <c r="K2300" s="130">
        <f>VLOOKUP(LEN(SUBSTITUTE(H2300,"-","")),datos!$A$1:$B$12,2,0)</f>
        <v>5</v>
      </c>
      <c r="L2300" s="129" t="s">
        <v>4922</v>
      </c>
      <c r="M2300" s="129" t="s">
        <v>0</v>
      </c>
    </row>
    <row r="2301" spans="1:13" customFormat="1" ht="14.5" x14ac:dyDescent="0.35">
      <c r="A2301" s="129" t="s">
        <v>487</v>
      </c>
      <c r="B2301" s="129" t="s">
        <v>3809</v>
      </c>
      <c r="C2301" s="129" t="s">
        <v>4035</v>
      </c>
      <c r="D2301" s="129" t="s">
        <v>5282</v>
      </c>
      <c r="E2301" s="129" t="s">
        <v>3943</v>
      </c>
      <c r="F2301" s="129"/>
      <c r="G2301" s="129"/>
      <c r="H2301" s="83" t="str">
        <f t="shared" si="144"/>
        <v>TCCN-PTE-CON-CTV-CT2--</v>
      </c>
      <c r="I2301" s="129" t="str">
        <f>MID(H2301,1,(LEN(H2301)-VLOOKUP(K2301,datos!$B$2:$C$12,2,0)))</f>
        <v>TCCN-PTE-CON-CTV-CT2</v>
      </c>
      <c r="J2301" s="129" t="s">
        <v>4923</v>
      </c>
      <c r="K2301" s="130">
        <f>VLOOKUP(LEN(SUBSTITUTE(H2301,"-","")),datos!$A$1:$B$12,2,0)</f>
        <v>5</v>
      </c>
      <c r="L2301" s="129" t="s">
        <v>4918</v>
      </c>
      <c r="M2301" s="129" t="s">
        <v>0</v>
      </c>
    </row>
    <row r="2302" spans="1:13" customFormat="1" ht="14.5" x14ac:dyDescent="0.35">
      <c r="A2302" s="129" t="s">
        <v>487</v>
      </c>
      <c r="B2302" s="129" t="s">
        <v>3809</v>
      </c>
      <c r="C2302" s="129" t="s">
        <v>4035</v>
      </c>
      <c r="D2302" s="129" t="s">
        <v>5282</v>
      </c>
      <c r="E2302" s="129" t="s">
        <v>5293</v>
      </c>
      <c r="F2302" s="129"/>
      <c r="G2302" s="129"/>
      <c r="H2302" s="83" t="str">
        <f t="shared" si="144"/>
        <v>TCCN-PTE-CON-CTV-GB2--</v>
      </c>
      <c r="I2302" s="129" t="str">
        <f>MID(H2302,1,(LEN(H2302)-VLOOKUP(K2302,datos!$B$2:$C$12,2,0)))</f>
        <v>TCCN-PTE-CON-CTV-GB2</v>
      </c>
      <c r="J2302" s="129" t="s">
        <v>4928</v>
      </c>
      <c r="K2302" s="130">
        <f>VLOOKUP(LEN(SUBSTITUTE(H2302,"-","")),datos!$A$1:$B$12,2,0)</f>
        <v>5</v>
      </c>
      <c r="L2302" s="129" t="s">
        <v>4919</v>
      </c>
      <c r="M2302" s="129" t="s">
        <v>0</v>
      </c>
    </row>
    <row r="2303" spans="1:13" customFormat="1" ht="14.5" x14ac:dyDescent="0.35">
      <c r="A2303" s="129" t="s">
        <v>487</v>
      </c>
      <c r="B2303" s="129" t="s">
        <v>3809</v>
      </c>
      <c r="C2303" s="129" t="s">
        <v>4035</v>
      </c>
      <c r="D2303" s="129" t="s">
        <v>5282</v>
      </c>
      <c r="E2303" s="129" t="s">
        <v>3944</v>
      </c>
      <c r="F2303" s="129"/>
      <c r="G2303" s="129"/>
      <c r="H2303" s="83" t="str">
        <f t="shared" si="144"/>
        <v>TCCN-PTE-CON-CTV-CT3--</v>
      </c>
      <c r="I2303" s="129" t="str">
        <f>MID(H2303,1,(LEN(H2303)-VLOOKUP(K2303,datos!$B$2:$C$12,2,0)))</f>
        <v>TCCN-PTE-CON-CTV-CT3</v>
      </c>
      <c r="J2303" s="129" t="s">
        <v>4924</v>
      </c>
      <c r="K2303" s="130">
        <f>VLOOKUP(LEN(SUBSTITUTE(H2303,"-","")),datos!$A$1:$B$12,2,0)</f>
        <v>5</v>
      </c>
      <c r="L2303" s="129" t="s">
        <v>4925</v>
      </c>
      <c r="M2303" s="129" t="s">
        <v>0</v>
      </c>
    </row>
    <row r="2304" spans="1:13" customFormat="1" ht="14.5" x14ac:dyDescent="0.35">
      <c r="A2304" s="129" t="s">
        <v>487</v>
      </c>
      <c r="B2304" s="129" t="s">
        <v>3809</v>
      </c>
      <c r="C2304" s="129" t="s">
        <v>4035</v>
      </c>
      <c r="D2304" s="129" t="s">
        <v>5282</v>
      </c>
      <c r="E2304" s="129" t="s">
        <v>5294</v>
      </c>
      <c r="F2304" s="129"/>
      <c r="G2304" s="129"/>
      <c r="H2304" s="83" t="str">
        <f t="shared" si="144"/>
        <v>TCCN-PTE-CON-CTV-GB3--</v>
      </c>
      <c r="I2304" s="129" t="str">
        <f>MID(H2304,1,(LEN(H2304)-VLOOKUP(K2304,datos!$B$2:$C$12,2,0)))</f>
        <v>TCCN-PTE-CON-CTV-GB3</v>
      </c>
      <c r="J2304" s="129" t="s">
        <v>4927</v>
      </c>
      <c r="K2304" s="130">
        <f>VLOOKUP(LEN(SUBSTITUTE(H2304,"-","")),datos!$A$1:$B$12,2,0)</f>
        <v>5</v>
      </c>
      <c r="L2304" s="129" t="s">
        <v>4926</v>
      </c>
      <c r="M2304" s="129" t="s">
        <v>0</v>
      </c>
    </row>
    <row r="2305" spans="1:13" customFormat="1" ht="14.5" x14ac:dyDescent="0.35">
      <c r="A2305" s="129" t="s">
        <v>487</v>
      </c>
      <c r="B2305" s="129" t="s">
        <v>3809</v>
      </c>
      <c r="C2305" s="129" t="s">
        <v>4035</v>
      </c>
      <c r="D2305" s="129" t="s">
        <v>5282</v>
      </c>
      <c r="E2305" s="129" t="s">
        <v>3945</v>
      </c>
      <c r="F2305" s="129"/>
      <c r="G2305" s="129"/>
      <c r="H2305" s="83" t="str">
        <f t="shared" si="144"/>
        <v>TCCN-PTE-CON-CTV-CT4--</v>
      </c>
      <c r="I2305" s="129" t="str">
        <f>MID(H2305,1,(LEN(H2305)-VLOOKUP(K2305,datos!$B$2:$C$12,2,0)))</f>
        <v>TCCN-PTE-CON-CTV-CT4</v>
      </c>
      <c r="J2305" s="129" t="s">
        <v>4930</v>
      </c>
      <c r="K2305" s="130">
        <f>VLOOKUP(LEN(SUBSTITUTE(H2305,"-","")),datos!$A$1:$B$12,2,0)</f>
        <v>5</v>
      </c>
      <c r="L2305" s="129" t="s">
        <v>4931</v>
      </c>
      <c r="M2305" s="129" t="s">
        <v>0</v>
      </c>
    </row>
    <row r="2306" spans="1:13" customFormat="1" ht="14.5" x14ac:dyDescent="0.35">
      <c r="A2306" s="129" t="s">
        <v>487</v>
      </c>
      <c r="B2306" s="129" t="s">
        <v>3809</v>
      </c>
      <c r="C2306" s="129" t="s">
        <v>4035</v>
      </c>
      <c r="D2306" s="129" t="s">
        <v>5282</v>
      </c>
      <c r="E2306" s="129" t="s">
        <v>5295</v>
      </c>
      <c r="F2306" s="129"/>
      <c r="G2306" s="129"/>
      <c r="H2306" s="83" t="str">
        <f t="shared" si="144"/>
        <v>TCCN-PTE-CON-CTV-GB4--</v>
      </c>
      <c r="I2306" s="129" t="str">
        <f>MID(H2306,1,(LEN(H2306)-VLOOKUP(K2306,datos!$B$2:$C$12,2,0)))</f>
        <v>TCCN-PTE-CON-CTV-GB4</v>
      </c>
      <c r="J2306" s="129" t="s">
        <v>6715</v>
      </c>
      <c r="K2306" s="130">
        <f>VLOOKUP(LEN(SUBSTITUTE(H2306,"-","")),datos!$A$1:$B$12,2,0)</f>
        <v>5</v>
      </c>
      <c r="L2306" s="129" t="s">
        <v>4932</v>
      </c>
      <c r="M2306" s="129" t="s">
        <v>0</v>
      </c>
    </row>
    <row r="2307" spans="1:13" customFormat="1" ht="14.5" x14ac:dyDescent="0.35">
      <c r="A2307" s="127" t="s">
        <v>487</v>
      </c>
      <c r="B2307" s="127" t="s">
        <v>3809</v>
      </c>
      <c r="C2307" s="127" t="s">
        <v>4109</v>
      </c>
      <c r="D2307" s="127"/>
      <c r="E2307" s="127"/>
      <c r="F2307" s="127"/>
      <c r="G2307" s="127"/>
      <c r="H2307" s="86" t="str">
        <f t="shared" si="144"/>
        <v>TCCN-PTE-PRL----</v>
      </c>
      <c r="I2307" s="127" t="str">
        <f>MID(H2307,1,(LEN(H2307)-VLOOKUP(K2307,datos!$B$2:$C$12,2,0)))</f>
        <v>TCCN-PTE-PRL</v>
      </c>
      <c r="J2307" s="127" t="s">
        <v>562</v>
      </c>
      <c r="K2307" s="128">
        <f>VLOOKUP(LEN(SUBSTITUTE(H2307,"-","")),datos!$A$1:$B$12,2,0)</f>
        <v>3</v>
      </c>
      <c r="L2307" s="127"/>
      <c r="M2307" s="127" t="s">
        <v>0</v>
      </c>
    </row>
    <row r="2308" spans="1:13" customFormat="1" ht="14.5" x14ac:dyDescent="0.35">
      <c r="A2308" s="84" t="s">
        <v>487</v>
      </c>
      <c r="B2308" s="84" t="s">
        <v>3809</v>
      </c>
      <c r="C2308" s="84" t="s">
        <v>4109</v>
      </c>
      <c r="D2308" s="84" t="s">
        <v>4110</v>
      </c>
      <c r="E2308" s="84"/>
      <c r="F2308" s="84"/>
      <c r="G2308" s="84"/>
      <c r="H2308" s="84" t="str">
        <f t="shared" si="144"/>
        <v>TCCN-PTE-PRL-RVS---</v>
      </c>
      <c r="I2308" s="84" t="str">
        <f>MID(H2308,1,(LEN(H2308)-VLOOKUP(K2308,datos!$B$2:$C$12,2,0)))</f>
        <v>TCCN-PTE-PRL-RVS</v>
      </c>
      <c r="J2308" s="84" t="s">
        <v>321</v>
      </c>
      <c r="K2308" s="119">
        <f>VLOOKUP(LEN(SUBSTITUTE(H2308,"-","")),datos!$A$1:$B$12,2,0)</f>
        <v>4</v>
      </c>
      <c r="L2308" s="84"/>
      <c r="M2308" s="84" t="s">
        <v>0</v>
      </c>
    </row>
    <row r="2309" spans="1:13" customFormat="1" ht="14.5" x14ac:dyDescent="0.35">
      <c r="A2309" s="129" t="s">
        <v>487</v>
      </c>
      <c r="B2309" s="129" t="s">
        <v>3809</v>
      </c>
      <c r="C2309" s="129" t="s">
        <v>4109</v>
      </c>
      <c r="D2309" s="129" t="s">
        <v>4110</v>
      </c>
      <c r="E2309" s="129" t="s">
        <v>3947</v>
      </c>
      <c r="F2309" s="129"/>
      <c r="G2309" s="129"/>
      <c r="H2309" s="83" t="str">
        <f t="shared" si="144"/>
        <v>TCCN-PTE-PRL-RVS-B01--</v>
      </c>
      <c r="I2309" s="129" t="str">
        <f>MID(H2309,1,(LEN(H2309)-VLOOKUP(K2309,datos!$B$2:$C$12,2,0)))</f>
        <v>TCCN-PTE-PRL-RVS-B01</v>
      </c>
      <c r="J2309" s="129" t="s">
        <v>7460</v>
      </c>
      <c r="K2309" s="130">
        <f>VLOOKUP(LEN(SUBSTITUTE(H2309,"-","")),datos!$A$1:$B$12,2,0)</f>
        <v>5</v>
      </c>
      <c r="L2309" s="129" t="s">
        <v>322</v>
      </c>
      <c r="M2309" s="129" t="s">
        <v>0</v>
      </c>
    </row>
    <row r="2310" spans="1:13" x14ac:dyDescent="0.35">
      <c r="A2310" s="137" t="s">
        <v>487</v>
      </c>
      <c r="B2310" s="137" t="s">
        <v>3809</v>
      </c>
      <c r="C2310" s="137" t="s">
        <v>4109</v>
      </c>
      <c r="D2310" s="137" t="s">
        <v>4110</v>
      </c>
      <c r="E2310" s="137" t="s">
        <v>3947</v>
      </c>
      <c r="F2310" s="137" t="s">
        <v>5106</v>
      </c>
      <c r="G2310" s="137"/>
      <c r="H2310" s="82" t="str">
        <f t="shared" si="144"/>
        <v>TCCN-PTE-PRL-RVS-B01-PHU-</v>
      </c>
      <c r="I2310" s="137" t="str">
        <f>MID(H2310,1,(LEN(H2310)-VLOOKUP(K2310,datos!$B$2:$C$12,2,0)))</f>
        <v>TCCN-PTE-PRL-RVS-B01-PHU</v>
      </c>
      <c r="J2310" s="137" t="s">
        <v>4660</v>
      </c>
      <c r="K2310" s="139">
        <f>VLOOKUP(LEN(SUBSTITUTE(H2310,"-","")),datos!$A$1:$B$12,2,0)</f>
        <v>6</v>
      </c>
      <c r="L2310" s="137"/>
      <c r="M2310" s="137" t="s">
        <v>0</v>
      </c>
    </row>
    <row r="2311" spans="1:13" x14ac:dyDescent="0.35">
      <c r="A2311" s="137" t="s">
        <v>487</v>
      </c>
      <c r="B2311" s="137" t="s">
        <v>3809</v>
      </c>
      <c r="C2311" s="137" t="s">
        <v>4109</v>
      </c>
      <c r="D2311" s="137" t="s">
        <v>4110</v>
      </c>
      <c r="E2311" s="137" t="s">
        <v>3947</v>
      </c>
      <c r="F2311" s="137" t="s">
        <v>4073</v>
      </c>
      <c r="G2311" s="137"/>
      <c r="H2311" s="82" t="str">
        <f t="shared" si="144"/>
        <v>TCCN-PTE-PRL-RVS-B01-PYV-</v>
      </c>
      <c r="I2311" s="137" t="str">
        <f>MID(H2311,1,(LEN(H2311)-VLOOKUP(K2311,datos!$B$2:$C$12,2,0)))</f>
        <v>TCCN-PTE-PRL-RVS-B01-PYV</v>
      </c>
      <c r="J2311" s="137" t="s">
        <v>4661</v>
      </c>
      <c r="K2311" s="139">
        <f>VLOOKUP(LEN(SUBSTITUTE(H2311,"-","")),datos!$A$1:$B$12,2,0)</f>
        <v>6</v>
      </c>
      <c r="L2311" s="137"/>
      <c r="M2311" s="137" t="s">
        <v>0</v>
      </c>
    </row>
    <row r="2312" spans="1:13" x14ac:dyDescent="0.35">
      <c r="A2312" s="137" t="s">
        <v>487</v>
      </c>
      <c r="B2312" s="137" t="s">
        <v>3809</v>
      </c>
      <c r="C2312" s="137" t="s">
        <v>4109</v>
      </c>
      <c r="D2312" s="137" t="s">
        <v>4110</v>
      </c>
      <c r="E2312" s="137" t="s">
        <v>3947</v>
      </c>
      <c r="F2312" s="137" t="s">
        <v>5107</v>
      </c>
      <c r="G2312" s="137"/>
      <c r="H2312" s="82" t="str">
        <f t="shared" ref="H2312:H2380" si="145">CONCATENATE(A2312,"-",B2312,"-",C2312,"-",D2312,"-",E2312,"-",F2312,"-",G2312)</f>
        <v>TCCN-PTE-PRL-RVS-B01-SAS-</v>
      </c>
      <c r="I2312" s="137" t="str">
        <f>MID(H2312,1,(LEN(H2312)-VLOOKUP(K2312,datos!$B$2:$C$12,2,0)))</f>
        <v>TCCN-PTE-PRL-RVS-B01-SAS</v>
      </c>
      <c r="J2312" s="137" t="s">
        <v>4662</v>
      </c>
      <c r="K2312" s="139">
        <f>VLOOKUP(LEN(SUBSTITUTE(H2312,"-","")),datos!$A$1:$B$12,2,0)</f>
        <v>6</v>
      </c>
      <c r="L2312" s="137"/>
      <c r="M2312" s="137" t="s">
        <v>0</v>
      </c>
    </row>
    <row r="2313" spans="1:13" x14ac:dyDescent="0.35">
      <c r="A2313" s="138" t="s">
        <v>487</v>
      </c>
      <c r="B2313" s="138" t="s">
        <v>3809</v>
      </c>
      <c r="C2313" s="138" t="s">
        <v>4109</v>
      </c>
      <c r="D2313" s="138" t="s">
        <v>4110</v>
      </c>
      <c r="E2313" s="138" t="s">
        <v>3947</v>
      </c>
      <c r="F2313" s="138" t="s">
        <v>5107</v>
      </c>
      <c r="G2313" s="138" t="s">
        <v>4075</v>
      </c>
      <c r="H2313" s="81" t="str">
        <f t="shared" ref="H2313" si="146">CONCATENATE(A2313,"-",B2313,"-",C2313,"-",D2313,"-",E2313,"-",F2313,"-",G2313)</f>
        <v>TCCN-PTE-PRL-RVS-B01-SAS-VVA</v>
      </c>
      <c r="I2313" s="138" t="str">
        <f>MID(H2313,1,(LEN(H2313)-VLOOKUP(K2313,datos!$B$2:$C$12,2,0)))</f>
        <v>TCCN-PTE-PRL-RVS-B01-SAS-VVA</v>
      </c>
      <c r="J2313" s="138" t="s">
        <v>7443</v>
      </c>
      <c r="K2313" s="140">
        <f>VLOOKUP(LEN(SUBSTITUTE(H2313,"-","")),datos!$A$1:$B$12,2,0)</f>
        <v>7</v>
      </c>
      <c r="L2313" s="138" t="s">
        <v>7459</v>
      </c>
      <c r="M2313" s="138" t="s">
        <v>0</v>
      </c>
    </row>
    <row r="2314" spans="1:13" x14ac:dyDescent="0.35">
      <c r="A2314" s="137" t="s">
        <v>487</v>
      </c>
      <c r="B2314" s="137" t="s">
        <v>3809</v>
      </c>
      <c r="C2314" s="137" t="s">
        <v>4109</v>
      </c>
      <c r="D2314" s="137" t="s">
        <v>4110</v>
      </c>
      <c r="E2314" s="137" t="s">
        <v>3947</v>
      </c>
      <c r="F2314" s="137" t="s">
        <v>3847</v>
      </c>
      <c r="G2314" s="137"/>
      <c r="H2314" s="82" t="str">
        <f t="shared" si="145"/>
        <v>TCCN-PTE-PRL-RVS-B01-SMO-</v>
      </c>
      <c r="I2314" s="137" t="str">
        <f>MID(H2314,1,(LEN(H2314)-VLOOKUP(K2314,datos!$B$2:$C$12,2,0)))</f>
        <v>TCCN-PTE-PRL-RVS-B01-SMO</v>
      </c>
      <c r="J2314" s="137" t="s">
        <v>4663</v>
      </c>
      <c r="K2314" s="139">
        <f>VLOOKUP(LEN(SUBSTITUTE(H2314,"-","")),datos!$A$1:$B$12,2,0)</f>
        <v>6</v>
      </c>
      <c r="L2314" s="137"/>
      <c r="M2314" s="137" t="s">
        <v>0</v>
      </c>
    </row>
    <row r="2315" spans="1:13" x14ac:dyDescent="0.35">
      <c r="A2315" s="138" t="s">
        <v>487</v>
      </c>
      <c r="B2315" s="138" t="s">
        <v>3809</v>
      </c>
      <c r="C2315" s="138" t="s">
        <v>4109</v>
      </c>
      <c r="D2315" s="138" t="s">
        <v>4110</v>
      </c>
      <c r="E2315" s="138" t="s">
        <v>3947</v>
      </c>
      <c r="F2315" s="138" t="s">
        <v>3847</v>
      </c>
      <c r="G2315" s="138" t="s">
        <v>3819</v>
      </c>
      <c r="H2315" s="81" t="str">
        <f t="shared" si="145"/>
        <v>TCCN-PTE-PRL-RVS-B01-SMO-MOE</v>
      </c>
      <c r="I2315" s="138" t="str">
        <f>MID(H2315,1,(LEN(H2315)-VLOOKUP(K2315,datos!$B$2:$C$12,2,0)))</f>
        <v>TCCN-PTE-PRL-RVS-B01-SMO-MOE</v>
      </c>
      <c r="J2315" s="138" t="s">
        <v>4664</v>
      </c>
      <c r="K2315" s="140">
        <f>VLOOKUP(LEN(SUBSTITUTE(H2315,"-","")),datos!$A$1:$B$12,2,0)</f>
        <v>7</v>
      </c>
      <c r="L2315" s="138" t="s">
        <v>323</v>
      </c>
      <c r="M2315" s="138" t="s">
        <v>0</v>
      </c>
    </row>
    <row r="2316" spans="1:13" x14ac:dyDescent="0.35">
      <c r="A2316" s="137" t="s">
        <v>487</v>
      </c>
      <c r="B2316" s="137" t="s">
        <v>3809</v>
      </c>
      <c r="C2316" s="137" t="s">
        <v>4109</v>
      </c>
      <c r="D2316" s="137" t="s">
        <v>4110</v>
      </c>
      <c r="E2316" s="137" t="s">
        <v>3947</v>
      </c>
      <c r="F2316" s="137" t="s">
        <v>3831</v>
      </c>
      <c r="G2316" s="137"/>
      <c r="H2316" s="82" t="str">
        <f t="shared" ref="H2316:H2317" si="147">CONCATENATE(A2316,"-",B2316,"-",C2316,"-",D2316,"-",E2316,"-",F2316,"-",G2316)</f>
        <v>TCCN-PTE-PRL-RVS-B01-INS-</v>
      </c>
      <c r="I2316" s="137" t="str">
        <f>MID(H2316,1,(LEN(H2316)-VLOOKUP(K2316,datos!$B$2:$C$12,2,0)))</f>
        <v>TCCN-PTE-PRL-RVS-B01-INS</v>
      </c>
      <c r="J2316" s="137" t="s">
        <v>4667</v>
      </c>
      <c r="K2316" s="139">
        <f>VLOOKUP(LEN(SUBSTITUTE(H2316,"-","")),datos!$A$1:$B$12,2,0)</f>
        <v>6</v>
      </c>
      <c r="L2316" s="137"/>
      <c r="M2316" s="137" t="s">
        <v>0</v>
      </c>
    </row>
    <row r="2317" spans="1:13" x14ac:dyDescent="0.35">
      <c r="A2317" s="138" t="s">
        <v>487</v>
      </c>
      <c r="B2317" s="138" t="s">
        <v>3809</v>
      </c>
      <c r="C2317" s="138" t="s">
        <v>4109</v>
      </c>
      <c r="D2317" s="138" t="s">
        <v>4110</v>
      </c>
      <c r="E2317" s="138" t="s">
        <v>3947</v>
      </c>
      <c r="F2317" s="138" t="s">
        <v>3831</v>
      </c>
      <c r="G2317" s="138" t="s">
        <v>7069</v>
      </c>
      <c r="H2317" s="81" t="str">
        <f t="shared" si="147"/>
        <v>TCCN-PTE-PRL-RVS-B01-INS-MPN</v>
      </c>
      <c r="I2317" s="138" t="str">
        <f>MID(H2317,1,(LEN(H2317)-VLOOKUP(K2317,datos!$B$2:$C$12,2,0)))</f>
        <v>TCCN-PTE-PRL-RVS-B01-INS-MPN</v>
      </c>
      <c r="J2317" s="138" t="s">
        <v>7575</v>
      </c>
      <c r="K2317" s="140">
        <f>VLOOKUP(LEN(SUBSTITUTE(H2317,"-","")),datos!$A$1:$B$12,2,0)</f>
        <v>7</v>
      </c>
      <c r="L2317" s="138" t="s">
        <v>8132</v>
      </c>
      <c r="M2317" s="138" t="s">
        <v>0</v>
      </c>
    </row>
    <row r="2318" spans="1:13" x14ac:dyDescent="0.35">
      <c r="A2318" s="137" t="s">
        <v>487</v>
      </c>
      <c r="B2318" s="137" t="s">
        <v>3809</v>
      </c>
      <c r="C2318" s="137" t="s">
        <v>4109</v>
      </c>
      <c r="D2318" s="137" t="s">
        <v>4110</v>
      </c>
      <c r="E2318" s="137" t="s">
        <v>3947</v>
      </c>
      <c r="F2318" s="137" t="s">
        <v>3869</v>
      </c>
      <c r="G2318" s="137"/>
      <c r="H2318" s="82" t="str">
        <f t="shared" si="145"/>
        <v>TCCN-PTE-PRL-RVS-B01-SCE-</v>
      </c>
      <c r="I2318" s="137" t="str">
        <f>MID(H2318,1,(LEN(H2318)-VLOOKUP(K2318,datos!$B$2:$C$12,2,0)))</f>
        <v>TCCN-PTE-PRL-RVS-B01-SCE</v>
      </c>
      <c r="J2318" s="137" t="s">
        <v>4665</v>
      </c>
      <c r="K2318" s="139">
        <f>VLOOKUP(LEN(SUBSTITUTE(H2318,"-","")),datos!$A$1:$B$12,2,0)</f>
        <v>6</v>
      </c>
      <c r="L2318" s="137"/>
      <c r="M2318" s="137" t="s">
        <v>0</v>
      </c>
    </row>
    <row r="2319" spans="1:13" x14ac:dyDescent="0.35">
      <c r="A2319" s="138" t="s">
        <v>487</v>
      </c>
      <c r="B2319" s="138" t="s">
        <v>3809</v>
      </c>
      <c r="C2319" s="138" t="s">
        <v>4109</v>
      </c>
      <c r="D2319" s="138" t="s">
        <v>4110</v>
      </c>
      <c r="E2319" s="138" t="s">
        <v>3947</v>
      </c>
      <c r="F2319" s="138" t="s">
        <v>3869</v>
      </c>
      <c r="G2319" s="138" t="s">
        <v>3870</v>
      </c>
      <c r="H2319" s="81" t="str">
        <f t="shared" si="145"/>
        <v>TCCN-PTE-PRL-RVS-B01-SCE-BTN</v>
      </c>
      <c r="I2319" s="138" t="str">
        <f>MID(H2319,1,(LEN(H2319)-VLOOKUP(K2319,datos!$B$2:$C$12,2,0)))</f>
        <v>TCCN-PTE-PRL-RVS-B01-SCE-BTN</v>
      </c>
      <c r="J2319" s="138" t="s">
        <v>4666</v>
      </c>
      <c r="K2319" s="140">
        <f>VLOOKUP(LEN(SUBSTITUTE(H2319,"-","")),datos!$A$1:$B$12,2,0)</f>
        <v>7</v>
      </c>
      <c r="L2319" s="138"/>
      <c r="M2319" s="138" t="s">
        <v>0</v>
      </c>
    </row>
    <row r="2320" spans="1:13" customFormat="1" ht="14.5" x14ac:dyDescent="0.35">
      <c r="A2320" s="129" t="s">
        <v>487</v>
      </c>
      <c r="B2320" s="129" t="s">
        <v>3809</v>
      </c>
      <c r="C2320" s="129" t="s">
        <v>4109</v>
      </c>
      <c r="D2320" s="129" t="s">
        <v>4110</v>
      </c>
      <c r="E2320" s="129" t="s">
        <v>3949</v>
      </c>
      <c r="F2320" s="129"/>
      <c r="G2320" s="129"/>
      <c r="H2320" s="83" t="str">
        <f t="shared" si="145"/>
        <v>TCCN-PTE-PRL-RVS-B02--</v>
      </c>
      <c r="I2320" s="129" t="str">
        <f>MID(H2320,1,(LEN(H2320)-VLOOKUP(K2320,datos!$B$2:$C$12,2,0)))</f>
        <v>TCCN-PTE-PRL-RVS-B02</v>
      </c>
      <c r="J2320" s="129" t="s">
        <v>7461</v>
      </c>
      <c r="K2320" s="130">
        <f>VLOOKUP(LEN(SUBSTITUTE(H2320,"-","")),datos!$A$1:$B$12,2,0)</f>
        <v>5</v>
      </c>
      <c r="L2320" s="129" t="s">
        <v>324</v>
      </c>
      <c r="M2320" s="129" t="s">
        <v>0</v>
      </c>
    </row>
    <row r="2321" spans="1:13" x14ac:dyDescent="0.35">
      <c r="A2321" s="137" t="s">
        <v>487</v>
      </c>
      <c r="B2321" s="137" t="s">
        <v>3809</v>
      </c>
      <c r="C2321" s="137" t="s">
        <v>4109</v>
      </c>
      <c r="D2321" s="137" t="s">
        <v>4110</v>
      </c>
      <c r="E2321" s="137" t="s">
        <v>3949</v>
      </c>
      <c r="F2321" s="137" t="s">
        <v>5106</v>
      </c>
      <c r="G2321" s="137"/>
      <c r="H2321" s="82" t="str">
        <f t="shared" si="145"/>
        <v>TCCN-PTE-PRL-RVS-B02-PHU-</v>
      </c>
      <c r="I2321" s="137" t="str">
        <f>MID(H2321,1,(LEN(H2321)-VLOOKUP(K2321,datos!$B$2:$C$12,2,0)))</f>
        <v>TCCN-PTE-PRL-RVS-B02-PHU</v>
      </c>
      <c r="J2321" s="137" t="s">
        <v>7465</v>
      </c>
      <c r="K2321" s="139">
        <f>VLOOKUP(LEN(SUBSTITUTE(H2321,"-","")),datos!$A$1:$B$12,2,0)</f>
        <v>6</v>
      </c>
      <c r="L2321" s="137"/>
      <c r="M2321" s="137" t="s">
        <v>0</v>
      </c>
    </row>
    <row r="2322" spans="1:13" x14ac:dyDescent="0.35">
      <c r="A2322" s="137" t="s">
        <v>487</v>
      </c>
      <c r="B2322" s="137" t="s">
        <v>3809</v>
      </c>
      <c r="C2322" s="137" t="s">
        <v>4109</v>
      </c>
      <c r="D2322" s="137" t="s">
        <v>4110</v>
      </c>
      <c r="E2322" s="137" t="s">
        <v>3949</v>
      </c>
      <c r="F2322" s="137" t="s">
        <v>4073</v>
      </c>
      <c r="G2322" s="137"/>
      <c r="H2322" s="82" t="str">
        <f t="shared" si="145"/>
        <v>TCCN-PTE-PRL-RVS-B02-PYV-</v>
      </c>
      <c r="I2322" s="137" t="str">
        <f>MID(H2322,1,(LEN(H2322)-VLOOKUP(K2322,datos!$B$2:$C$12,2,0)))</f>
        <v>TCCN-PTE-PRL-RVS-B02-PYV</v>
      </c>
      <c r="J2322" s="137" t="s">
        <v>7464</v>
      </c>
      <c r="K2322" s="139">
        <f>VLOOKUP(LEN(SUBSTITUTE(H2322,"-","")),datos!$A$1:$B$12,2,0)</f>
        <v>6</v>
      </c>
      <c r="L2322" s="137"/>
      <c r="M2322" s="137" t="s">
        <v>0</v>
      </c>
    </row>
    <row r="2323" spans="1:13" x14ac:dyDescent="0.35">
      <c r="A2323" s="137" t="s">
        <v>487</v>
      </c>
      <c r="B2323" s="137" t="s">
        <v>3809</v>
      </c>
      <c r="C2323" s="137" t="s">
        <v>4109</v>
      </c>
      <c r="D2323" s="137" t="s">
        <v>4110</v>
      </c>
      <c r="E2323" s="137" t="s">
        <v>3949</v>
      </c>
      <c r="F2323" s="137" t="s">
        <v>5107</v>
      </c>
      <c r="G2323" s="137"/>
      <c r="H2323" s="82" t="str">
        <f t="shared" si="145"/>
        <v>TCCN-PTE-PRL-RVS-B02-SAS-</v>
      </c>
      <c r="I2323" s="137" t="str">
        <f>MID(H2323,1,(LEN(H2323)-VLOOKUP(K2323,datos!$B$2:$C$12,2,0)))</f>
        <v>TCCN-PTE-PRL-RVS-B02-SAS</v>
      </c>
      <c r="J2323" s="137" t="s">
        <v>7463</v>
      </c>
      <c r="K2323" s="139">
        <f>VLOOKUP(LEN(SUBSTITUTE(H2323,"-","")),datos!$A$1:$B$12,2,0)</f>
        <v>6</v>
      </c>
      <c r="L2323" s="137"/>
      <c r="M2323" s="137" t="s">
        <v>0</v>
      </c>
    </row>
    <row r="2324" spans="1:13" x14ac:dyDescent="0.35">
      <c r="A2324" s="138" t="s">
        <v>487</v>
      </c>
      <c r="B2324" s="138" t="s">
        <v>3809</v>
      </c>
      <c r="C2324" s="138" t="s">
        <v>4109</v>
      </c>
      <c r="D2324" s="138" t="s">
        <v>4110</v>
      </c>
      <c r="E2324" s="138" t="s">
        <v>3949</v>
      </c>
      <c r="F2324" s="138" t="s">
        <v>5107</v>
      </c>
      <c r="G2324" s="138" t="s">
        <v>4075</v>
      </c>
      <c r="H2324" s="81" t="str">
        <f t="shared" si="145"/>
        <v>TCCN-PTE-PRL-RVS-B02-SAS-VVA</v>
      </c>
      <c r="I2324" s="138" t="str">
        <f>MID(H2324,1,(LEN(H2324)-VLOOKUP(K2324,datos!$B$2:$C$12,2,0)))</f>
        <v>TCCN-PTE-PRL-RVS-B02-SAS-VVA</v>
      </c>
      <c r="J2324" s="138" t="s">
        <v>7444</v>
      </c>
      <c r="K2324" s="140">
        <f>VLOOKUP(LEN(SUBSTITUTE(H2324,"-","")),datos!$A$1:$B$12,2,0)</f>
        <v>7</v>
      </c>
      <c r="L2324" s="138" t="s">
        <v>7462</v>
      </c>
      <c r="M2324" s="138" t="s">
        <v>0</v>
      </c>
    </row>
    <row r="2325" spans="1:13" x14ac:dyDescent="0.35">
      <c r="A2325" s="137" t="s">
        <v>487</v>
      </c>
      <c r="B2325" s="137" t="s">
        <v>3809</v>
      </c>
      <c r="C2325" s="137" t="s">
        <v>4109</v>
      </c>
      <c r="D2325" s="137" t="s">
        <v>4110</v>
      </c>
      <c r="E2325" s="137" t="s">
        <v>3949</v>
      </c>
      <c r="F2325" s="137" t="s">
        <v>3847</v>
      </c>
      <c r="G2325" s="137"/>
      <c r="H2325" s="82" t="str">
        <f t="shared" si="145"/>
        <v>TCCN-PTE-PRL-RVS-B02-SMO-</v>
      </c>
      <c r="I2325" s="137" t="str">
        <f>MID(H2325,1,(LEN(H2325)-VLOOKUP(K2325,datos!$B$2:$C$12,2,0)))</f>
        <v>TCCN-PTE-PRL-RVS-B02-SMO</v>
      </c>
      <c r="J2325" s="137" t="s">
        <v>7466</v>
      </c>
      <c r="K2325" s="139">
        <f>VLOOKUP(LEN(SUBSTITUTE(H2325,"-","")),datos!$A$1:$B$12,2,0)</f>
        <v>6</v>
      </c>
      <c r="L2325" s="137"/>
      <c r="M2325" s="137" t="s">
        <v>0</v>
      </c>
    </row>
    <row r="2326" spans="1:13" x14ac:dyDescent="0.35">
      <c r="A2326" s="138" t="s">
        <v>487</v>
      </c>
      <c r="B2326" s="138" t="s">
        <v>3809</v>
      </c>
      <c r="C2326" s="138" t="s">
        <v>4109</v>
      </c>
      <c r="D2326" s="138" t="s">
        <v>4110</v>
      </c>
      <c r="E2326" s="138" t="s">
        <v>3949</v>
      </c>
      <c r="F2326" s="138" t="s">
        <v>3847</v>
      </c>
      <c r="G2326" s="138" t="s">
        <v>3819</v>
      </c>
      <c r="H2326" s="81" t="str">
        <f t="shared" si="145"/>
        <v>TCCN-PTE-PRL-RVS-B02-SMO-MOE</v>
      </c>
      <c r="I2326" s="138" t="str">
        <f>MID(H2326,1,(LEN(H2326)-VLOOKUP(K2326,datos!$B$2:$C$12,2,0)))</f>
        <v>TCCN-PTE-PRL-RVS-B02-SMO-MOE</v>
      </c>
      <c r="J2326" s="138" t="s">
        <v>5352</v>
      </c>
      <c r="K2326" s="140">
        <f>VLOOKUP(LEN(SUBSTITUTE(H2326,"-","")),datos!$A$1:$B$12,2,0)</f>
        <v>7</v>
      </c>
      <c r="L2326" s="138" t="s">
        <v>325</v>
      </c>
      <c r="M2326" s="138" t="s">
        <v>0</v>
      </c>
    </row>
    <row r="2327" spans="1:13" x14ac:dyDescent="0.35">
      <c r="A2327" s="137" t="s">
        <v>487</v>
      </c>
      <c r="B2327" s="137" t="s">
        <v>3809</v>
      </c>
      <c r="C2327" s="137" t="s">
        <v>4109</v>
      </c>
      <c r="D2327" s="137" t="s">
        <v>4110</v>
      </c>
      <c r="E2327" s="137" t="s">
        <v>3949</v>
      </c>
      <c r="F2327" s="137" t="s">
        <v>3831</v>
      </c>
      <c r="G2327" s="137"/>
      <c r="H2327" s="82" t="str">
        <f>CONCATENATE(A2327,"-",B2327,"-",C2327,"-",D2327,"-",E2327,"-",F2327,"-",G2327)</f>
        <v>TCCN-PTE-PRL-RVS-B02-INS-</v>
      </c>
      <c r="I2327" s="137" t="str">
        <f>MID(H2327,1,(LEN(H2327)-VLOOKUP(K2327,datos!$B$2:$C$12,2,0)))</f>
        <v>TCCN-PTE-PRL-RVS-B02-INS</v>
      </c>
      <c r="J2327" s="137" t="s">
        <v>5590</v>
      </c>
      <c r="K2327" s="139">
        <f>VLOOKUP(LEN(SUBSTITUTE(H2327,"-","")),datos!$A$1:$B$12,2,0)</f>
        <v>6</v>
      </c>
      <c r="L2327" s="137"/>
      <c r="M2327" s="137" t="s">
        <v>0</v>
      </c>
    </row>
    <row r="2328" spans="1:13" x14ac:dyDescent="0.35">
      <c r="A2328" s="138" t="s">
        <v>487</v>
      </c>
      <c r="B2328" s="138" t="s">
        <v>3809</v>
      </c>
      <c r="C2328" s="138" t="s">
        <v>4109</v>
      </c>
      <c r="D2328" s="138" t="s">
        <v>4110</v>
      </c>
      <c r="E2328" s="138" t="s">
        <v>3949</v>
      </c>
      <c r="F2328" s="138" t="s">
        <v>3831</v>
      </c>
      <c r="G2328" s="138" t="s">
        <v>7069</v>
      </c>
      <c r="H2328" s="81" t="str">
        <f>CONCATENATE(A2328,"-",B2328,"-",C2328,"-",D2328,"-",E2328,"-",F2328,"-",G2328)</f>
        <v>TCCN-PTE-PRL-RVS-B02-INS-MPN</v>
      </c>
      <c r="I2328" s="138" t="str">
        <f>MID(H2328,1,(LEN(H2328)-VLOOKUP(K2328,datos!$B$2:$C$12,2,0)))</f>
        <v>TCCN-PTE-PRL-RVS-B02-INS-MPN</v>
      </c>
      <c r="J2328" s="138" t="s">
        <v>7576</v>
      </c>
      <c r="K2328" s="140">
        <f>VLOOKUP(LEN(SUBSTITUTE(H2328,"-","")),datos!$A$1:$B$12,2,0)</f>
        <v>7</v>
      </c>
      <c r="L2328" s="138" t="s">
        <v>8133</v>
      </c>
      <c r="M2328" s="138" t="s">
        <v>0</v>
      </c>
    </row>
    <row r="2329" spans="1:13" x14ac:dyDescent="0.35">
      <c r="A2329" s="137" t="s">
        <v>487</v>
      </c>
      <c r="B2329" s="137" t="s">
        <v>3809</v>
      </c>
      <c r="C2329" s="137" t="s">
        <v>4109</v>
      </c>
      <c r="D2329" s="137" t="s">
        <v>4110</v>
      </c>
      <c r="E2329" s="137" t="s">
        <v>3949</v>
      </c>
      <c r="F2329" s="137" t="s">
        <v>3869</v>
      </c>
      <c r="G2329" s="137"/>
      <c r="H2329" s="82" t="str">
        <f t="shared" si="145"/>
        <v>TCCN-PTE-PRL-RVS-B02-SCE-</v>
      </c>
      <c r="I2329" s="137" t="str">
        <f>MID(H2329,1,(LEN(H2329)-VLOOKUP(K2329,datos!$B$2:$C$12,2,0)))</f>
        <v>TCCN-PTE-PRL-RVS-B02-SCE</v>
      </c>
      <c r="J2329" s="137" t="s">
        <v>5589</v>
      </c>
      <c r="K2329" s="139">
        <f>VLOOKUP(LEN(SUBSTITUTE(H2329,"-","")),datos!$A$1:$B$12,2,0)</f>
        <v>6</v>
      </c>
      <c r="L2329" s="137"/>
      <c r="M2329" s="137" t="s">
        <v>0</v>
      </c>
    </row>
    <row r="2330" spans="1:13" x14ac:dyDescent="0.35">
      <c r="A2330" s="138" t="s">
        <v>487</v>
      </c>
      <c r="B2330" s="138" t="s">
        <v>3809</v>
      </c>
      <c r="C2330" s="138" t="s">
        <v>4109</v>
      </c>
      <c r="D2330" s="138" t="s">
        <v>4110</v>
      </c>
      <c r="E2330" s="138" t="s">
        <v>3949</v>
      </c>
      <c r="F2330" s="138" t="s">
        <v>3869</v>
      </c>
      <c r="G2330" s="138" t="s">
        <v>3870</v>
      </c>
      <c r="H2330" s="81" t="str">
        <f t="shared" si="145"/>
        <v>TCCN-PTE-PRL-RVS-B02-SCE-BTN</v>
      </c>
      <c r="I2330" s="138" t="str">
        <f>MID(H2330,1,(LEN(H2330)-VLOOKUP(K2330,datos!$B$2:$C$12,2,0)))</f>
        <v>TCCN-PTE-PRL-RVS-B02-SCE-BTN</v>
      </c>
      <c r="J2330" s="138" t="s">
        <v>6741</v>
      </c>
      <c r="K2330" s="140">
        <f>VLOOKUP(LEN(SUBSTITUTE(H2330,"-","")),datos!$A$1:$B$12,2,0)</f>
        <v>7</v>
      </c>
      <c r="L2330" s="138"/>
      <c r="M2330" s="138" t="s">
        <v>0</v>
      </c>
    </row>
    <row r="2331" spans="1:13" customFormat="1" ht="14.5" x14ac:dyDescent="0.35">
      <c r="A2331" s="129" t="s">
        <v>487</v>
      </c>
      <c r="B2331" s="129" t="s">
        <v>3809</v>
      </c>
      <c r="C2331" s="129" t="s">
        <v>4109</v>
      </c>
      <c r="D2331" s="129" t="s">
        <v>4110</v>
      </c>
      <c r="E2331" s="129" t="s">
        <v>4045</v>
      </c>
      <c r="F2331" s="129"/>
      <c r="G2331" s="129"/>
      <c r="H2331" s="83" t="str">
        <f t="shared" si="145"/>
        <v>TCCN-PTE-PRL-RVS-UH1--</v>
      </c>
      <c r="I2331" s="129" t="str">
        <f>MID(H2331,1,(LEN(H2331)-VLOOKUP(K2331,datos!$B$2:$C$12,2,0)))</f>
        <v>TCCN-PTE-PRL-RVS-UH1</v>
      </c>
      <c r="J2331" s="129" t="s">
        <v>5063</v>
      </c>
      <c r="K2331" s="130">
        <f>VLOOKUP(LEN(SUBSTITUTE(H2331,"-","")),datos!$A$1:$B$12,2,0)</f>
        <v>5</v>
      </c>
      <c r="L2331" s="129" t="s">
        <v>5027</v>
      </c>
      <c r="M2331" s="129" t="s">
        <v>0</v>
      </c>
    </row>
    <row r="2332" spans="1:13" x14ac:dyDescent="0.35">
      <c r="A2332" s="137" t="s">
        <v>487</v>
      </c>
      <c r="B2332" s="137" t="s">
        <v>3809</v>
      </c>
      <c r="C2332" s="137" t="s">
        <v>4109</v>
      </c>
      <c r="D2332" s="137" t="s">
        <v>4110</v>
      </c>
      <c r="E2332" s="137" t="s">
        <v>4045</v>
      </c>
      <c r="F2332" s="137" t="s">
        <v>5591</v>
      </c>
      <c r="G2332" s="137"/>
      <c r="H2332" s="82" t="str">
        <f t="shared" si="145"/>
        <v>TCCN-PTE-PRL-RVS-UH1-SHD-</v>
      </c>
      <c r="I2332" s="137" t="str">
        <f>MID(H2332,1,(LEN(H2332)-VLOOKUP(K2332,datos!$B$2:$C$12,2,0)))</f>
        <v>TCCN-PTE-PRL-RVS-UH1-SHD</v>
      </c>
      <c r="J2332" s="137" t="s">
        <v>5029</v>
      </c>
      <c r="K2332" s="139">
        <f>VLOOKUP(LEN(SUBSTITUTE(H2332,"-","")),datos!$A$1:$B$12,2,0)</f>
        <v>6</v>
      </c>
      <c r="L2332" s="137"/>
      <c r="M2332" s="137" t="s">
        <v>0</v>
      </c>
    </row>
    <row r="2333" spans="1:13" x14ac:dyDescent="0.35">
      <c r="A2333" s="138" t="s">
        <v>487</v>
      </c>
      <c r="B2333" s="138" t="s">
        <v>3809</v>
      </c>
      <c r="C2333" s="138" t="s">
        <v>4109</v>
      </c>
      <c r="D2333" s="138" t="s">
        <v>4110</v>
      </c>
      <c r="E2333" s="138" t="s">
        <v>4045</v>
      </c>
      <c r="F2333" s="138" t="s">
        <v>5591</v>
      </c>
      <c r="G2333" s="138" t="s">
        <v>3818</v>
      </c>
      <c r="H2333" s="81" t="str">
        <f t="shared" si="145"/>
        <v>TCCN-PTE-PRL-RVS-UH1-SHD-BBA</v>
      </c>
      <c r="I2333" s="138" t="str">
        <f>MID(H2333,1,(LEN(H2333)-VLOOKUP(K2333,datos!$B$2:$C$12,2,0)))</f>
        <v>TCCN-PTE-PRL-RVS-UH1-SHD-BBA</v>
      </c>
      <c r="J2333" s="138" t="s">
        <v>5030</v>
      </c>
      <c r="K2333" s="140">
        <f>VLOOKUP(LEN(SUBSTITUTE(H2333,"-","")),datos!$A$1:$B$12,2,0)</f>
        <v>7</v>
      </c>
      <c r="L2333" s="138"/>
      <c r="M2333" s="138" t="s">
        <v>0</v>
      </c>
    </row>
    <row r="2334" spans="1:13" x14ac:dyDescent="0.35">
      <c r="A2334" s="138" t="s">
        <v>487</v>
      </c>
      <c r="B2334" s="138" t="s">
        <v>3809</v>
      </c>
      <c r="C2334" s="138" t="s">
        <v>4109</v>
      </c>
      <c r="D2334" s="138" t="s">
        <v>4110</v>
      </c>
      <c r="E2334" s="138" t="s">
        <v>4045</v>
      </c>
      <c r="F2334" s="138" t="s">
        <v>5591</v>
      </c>
      <c r="G2334" s="138" t="s">
        <v>4095</v>
      </c>
      <c r="H2334" s="81" t="str">
        <f t="shared" si="145"/>
        <v>TCCN-PTE-PRL-RVS-UH1-SHD-ACU</v>
      </c>
      <c r="I2334" s="138" t="str">
        <f>MID(H2334,1,(LEN(H2334)-VLOOKUP(K2334,datos!$B$2:$C$12,2,0)))</f>
        <v>TCCN-PTE-PRL-RVS-UH1-SHD-ACU</v>
      </c>
      <c r="J2334" s="138" t="s">
        <v>5055</v>
      </c>
      <c r="K2334" s="140">
        <f>VLOOKUP(LEN(SUBSTITUTE(H2334,"-","")),datos!$A$1:$B$12,2,0)</f>
        <v>7</v>
      </c>
      <c r="L2334" s="138"/>
      <c r="M2334" s="138" t="s">
        <v>0</v>
      </c>
    </row>
    <row r="2335" spans="1:13" x14ac:dyDescent="0.35">
      <c r="A2335" s="138" t="s">
        <v>487</v>
      </c>
      <c r="B2335" s="138" t="s">
        <v>3809</v>
      </c>
      <c r="C2335" s="138" t="s">
        <v>4109</v>
      </c>
      <c r="D2335" s="138" t="s">
        <v>4110</v>
      </c>
      <c r="E2335" s="138" t="s">
        <v>4045</v>
      </c>
      <c r="F2335" s="138" t="s">
        <v>5591</v>
      </c>
      <c r="G2335" s="138" t="s">
        <v>3853</v>
      </c>
      <c r="H2335" s="81" t="str">
        <f t="shared" si="145"/>
        <v>TCCN-PTE-PRL-RVS-UH1-SHD-EST</v>
      </c>
      <c r="I2335" s="138" t="str">
        <f>MID(H2335,1,(LEN(H2335)-VLOOKUP(K2335,datos!$B$2:$C$12,2,0)))</f>
        <v>TCCN-PTE-PRL-RVS-UH1-SHD-EST</v>
      </c>
      <c r="J2335" s="138" t="s">
        <v>5031</v>
      </c>
      <c r="K2335" s="140">
        <f>VLOOKUP(LEN(SUBSTITUTE(H2335,"-","")),datos!$A$1:$B$12,2,0)</f>
        <v>7</v>
      </c>
      <c r="L2335" s="138"/>
      <c r="M2335" s="138" t="s">
        <v>0</v>
      </c>
    </row>
    <row r="2336" spans="1:13" x14ac:dyDescent="0.35">
      <c r="A2336" s="137" t="s">
        <v>487</v>
      </c>
      <c r="B2336" s="137" t="s">
        <v>3809</v>
      </c>
      <c r="C2336" s="137" t="s">
        <v>4109</v>
      </c>
      <c r="D2336" s="137" t="s">
        <v>4110</v>
      </c>
      <c r="E2336" s="137" t="s">
        <v>4045</v>
      </c>
      <c r="F2336" s="137" t="s">
        <v>3847</v>
      </c>
      <c r="G2336" s="137"/>
      <c r="H2336" s="82" t="str">
        <f t="shared" si="145"/>
        <v>TCCN-PTE-PRL-RVS-UH1-SMO-</v>
      </c>
      <c r="I2336" s="137" t="str">
        <f>MID(H2336,1,(LEN(H2336)-VLOOKUP(K2336,datos!$B$2:$C$12,2,0)))</f>
        <v>TCCN-PTE-PRL-RVS-UH1-SMO</v>
      </c>
      <c r="J2336" s="137" t="s">
        <v>5032</v>
      </c>
      <c r="K2336" s="139">
        <f>VLOOKUP(LEN(SUBSTITUTE(H2336,"-","")),datos!$A$1:$B$12,2,0)</f>
        <v>6</v>
      </c>
      <c r="L2336" s="137"/>
      <c r="M2336" s="137" t="s">
        <v>0</v>
      </c>
    </row>
    <row r="2337" spans="1:13" x14ac:dyDescent="0.35">
      <c r="A2337" s="138" t="s">
        <v>487</v>
      </c>
      <c r="B2337" s="138" t="s">
        <v>3809</v>
      </c>
      <c r="C2337" s="138" t="s">
        <v>4109</v>
      </c>
      <c r="D2337" s="138" t="s">
        <v>4110</v>
      </c>
      <c r="E2337" s="138" t="s">
        <v>4045</v>
      </c>
      <c r="F2337" s="138" t="s">
        <v>3847</v>
      </c>
      <c r="G2337" s="138" t="s">
        <v>3819</v>
      </c>
      <c r="H2337" s="81" t="str">
        <f t="shared" si="145"/>
        <v>TCCN-PTE-PRL-RVS-UH1-SMO-MOE</v>
      </c>
      <c r="I2337" s="138" t="str">
        <f>MID(H2337,1,(LEN(H2337)-VLOOKUP(K2337,datos!$B$2:$C$12,2,0)))</f>
        <v>TCCN-PTE-PRL-RVS-UH1-SMO-MOE</v>
      </c>
      <c r="J2337" s="138" t="s">
        <v>5353</v>
      </c>
      <c r="K2337" s="140">
        <f>VLOOKUP(LEN(SUBSTITUTE(H2337,"-","")),datos!$A$1:$B$12,2,0)</f>
        <v>7</v>
      </c>
      <c r="L2337" s="138"/>
      <c r="M2337" s="138" t="s">
        <v>0</v>
      </c>
    </row>
    <row r="2338" spans="1:13" x14ac:dyDescent="0.35">
      <c r="A2338" s="137" t="s">
        <v>487</v>
      </c>
      <c r="B2338" s="137" t="s">
        <v>3809</v>
      </c>
      <c r="C2338" s="137" t="s">
        <v>4109</v>
      </c>
      <c r="D2338" s="137" t="s">
        <v>4110</v>
      </c>
      <c r="E2338" s="137" t="s">
        <v>4045</v>
      </c>
      <c r="F2338" s="137" t="s">
        <v>3831</v>
      </c>
      <c r="G2338" s="137"/>
      <c r="H2338" s="82" t="str">
        <f t="shared" si="145"/>
        <v>TCCN-PTE-PRL-RVS-UH1-INS-</v>
      </c>
      <c r="I2338" s="137" t="str">
        <f>MID(H2338,1,(LEN(H2338)-VLOOKUP(K2338,datos!$B$2:$C$12,2,0)))</f>
        <v>TCCN-PTE-PRL-RVS-UH1-INS</v>
      </c>
      <c r="J2338" s="137" t="s">
        <v>5033</v>
      </c>
      <c r="K2338" s="139">
        <f>VLOOKUP(LEN(SUBSTITUTE(H2338,"-","")),datos!$A$1:$B$12,2,0)</f>
        <v>6</v>
      </c>
      <c r="L2338" s="137"/>
      <c r="M2338" s="137" t="s">
        <v>0</v>
      </c>
    </row>
    <row r="2339" spans="1:13" customFormat="1" ht="14.5" x14ac:dyDescent="0.35">
      <c r="A2339" s="129" t="s">
        <v>487</v>
      </c>
      <c r="B2339" s="129" t="s">
        <v>3809</v>
      </c>
      <c r="C2339" s="129" t="s">
        <v>4109</v>
      </c>
      <c r="D2339" s="129" t="s">
        <v>4110</v>
      </c>
      <c r="E2339" s="129" t="s">
        <v>3985</v>
      </c>
      <c r="F2339" s="129"/>
      <c r="G2339" s="129"/>
      <c r="H2339" s="83" t="str">
        <f t="shared" si="145"/>
        <v>TCCN-PTE-PRL-RVS-CA1--</v>
      </c>
      <c r="I2339" s="129" t="str">
        <f>MID(H2339,1,(LEN(H2339)-VLOOKUP(K2339,datos!$B$2:$C$12,2,0)))</f>
        <v>TCCN-PTE-PRL-RVS-CA1</v>
      </c>
      <c r="J2339" s="129" t="s">
        <v>479</v>
      </c>
      <c r="K2339" s="130">
        <f>VLOOKUP(LEN(SUBSTITUTE(H2339,"-","")),datos!$A$1:$B$12,2,0)</f>
        <v>5</v>
      </c>
      <c r="L2339" s="129" t="s">
        <v>326</v>
      </c>
      <c r="M2339" s="129" t="s">
        <v>0</v>
      </c>
    </row>
    <row r="2340" spans="1:13" x14ac:dyDescent="0.35">
      <c r="A2340" s="137" t="s">
        <v>487</v>
      </c>
      <c r="B2340" s="137" t="s">
        <v>3809</v>
      </c>
      <c r="C2340" s="137" t="s">
        <v>4109</v>
      </c>
      <c r="D2340" s="137" t="s">
        <v>4110</v>
      </c>
      <c r="E2340" s="137" t="s">
        <v>3985</v>
      </c>
      <c r="F2340" s="137" t="s">
        <v>3831</v>
      </c>
      <c r="G2340" s="137"/>
      <c r="H2340" s="82" t="str">
        <f t="shared" si="145"/>
        <v>TCCN-PTE-PRL-RVS-CA1-INS-</v>
      </c>
      <c r="I2340" s="137" t="str">
        <f>MID(H2340,1,(LEN(H2340)-VLOOKUP(K2340,datos!$B$2:$C$12,2,0)))</f>
        <v>TCCN-PTE-PRL-RVS-CA1-INS</v>
      </c>
      <c r="J2340" s="137" t="s">
        <v>4829</v>
      </c>
      <c r="K2340" s="139">
        <f>VLOOKUP(LEN(SUBSTITUTE(H2340,"-","")),datos!$A$1:$B$12,2,0)</f>
        <v>6</v>
      </c>
      <c r="L2340" s="137"/>
      <c r="M2340" s="137" t="s">
        <v>0</v>
      </c>
    </row>
    <row r="2341" spans="1:13" x14ac:dyDescent="0.35">
      <c r="A2341" s="138" t="s">
        <v>487</v>
      </c>
      <c r="B2341" s="138" t="s">
        <v>3809</v>
      </c>
      <c r="C2341" s="138" t="s">
        <v>4109</v>
      </c>
      <c r="D2341" s="138" t="s">
        <v>4110</v>
      </c>
      <c r="E2341" s="138" t="s">
        <v>3985</v>
      </c>
      <c r="F2341" s="138" t="s">
        <v>3831</v>
      </c>
      <c r="G2341" s="138" t="s">
        <v>5256</v>
      </c>
      <c r="H2341" s="81" t="str">
        <f t="shared" si="145"/>
        <v>TCCN-PTE-PRL-RVS-CA1-INS-MNV</v>
      </c>
      <c r="I2341" s="138" t="str">
        <f>MID(H2341,1,(LEN(H2341)-VLOOKUP(K2341,datos!$B$2:$C$12,2,0)))</f>
        <v>TCCN-PTE-PRL-RVS-CA1-INS-MNV</v>
      </c>
      <c r="J2341" s="138" t="s">
        <v>7632</v>
      </c>
      <c r="K2341" s="140">
        <f>VLOOKUP(LEN(SUBSTITUTE(H2341,"-","")),datos!$A$1:$B$12,2,0)</f>
        <v>7</v>
      </c>
      <c r="L2341" s="138" t="s">
        <v>7633</v>
      </c>
      <c r="M2341" s="138" t="s">
        <v>0</v>
      </c>
    </row>
    <row r="2342" spans="1:13" customFormat="1" ht="14.5" x14ac:dyDescent="0.35">
      <c r="A2342" s="129" t="s">
        <v>487</v>
      </c>
      <c r="B2342" s="129" t="s">
        <v>3809</v>
      </c>
      <c r="C2342" s="129" t="s">
        <v>4109</v>
      </c>
      <c r="D2342" s="129" t="s">
        <v>4110</v>
      </c>
      <c r="E2342" s="129" t="s">
        <v>4014</v>
      </c>
      <c r="F2342" s="129"/>
      <c r="G2342" s="129"/>
      <c r="H2342" s="83" t="str">
        <f t="shared" si="145"/>
        <v>TCCN-PTE-PRL-RVS-CA2--</v>
      </c>
      <c r="I2342" s="129" t="str">
        <f>MID(H2342,1,(LEN(H2342)-VLOOKUP(K2342,datos!$B$2:$C$12,2,0)))</f>
        <v>TCCN-PTE-PRL-RVS-CA2</v>
      </c>
      <c r="J2342" s="129" t="s">
        <v>480</v>
      </c>
      <c r="K2342" s="130">
        <f>VLOOKUP(LEN(SUBSTITUTE(H2342,"-","")),datos!$A$1:$B$12,2,0)</f>
        <v>5</v>
      </c>
      <c r="L2342" s="129" t="s">
        <v>327</v>
      </c>
      <c r="M2342" s="129" t="s">
        <v>0</v>
      </c>
    </row>
    <row r="2343" spans="1:13" x14ac:dyDescent="0.35">
      <c r="A2343" s="137" t="s">
        <v>487</v>
      </c>
      <c r="B2343" s="137" t="s">
        <v>3809</v>
      </c>
      <c r="C2343" s="137" t="s">
        <v>4109</v>
      </c>
      <c r="D2343" s="137" t="s">
        <v>4110</v>
      </c>
      <c r="E2343" s="137" t="s">
        <v>4014</v>
      </c>
      <c r="F2343" s="137" t="s">
        <v>3831</v>
      </c>
      <c r="G2343" s="137"/>
      <c r="H2343" s="82" t="str">
        <f t="shared" si="145"/>
        <v>TCCN-PTE-PRL-RVS-CA2-INS-</v>
      </c>
      <c r="I2343" s="137" t="str">
        <f>MID(H2343,1,(LEN(H2343)-VLOOKUP(K2343,datos!$B$2:$C$12,2,0)))</f>
        <v>TCCN-PTE-PRL-RVS-CA2-INS</v>
      </c>
      <c r="J2343" s="137" t="s">
        <v>7138</v>
      </c>
      <c r="K2343" s="139">
        <f>VLOOKUP(LEN(SUBSTITUTE(H2343,"-","")),datos!$A$1:$B$12,2,0)</f>
        <v>6</v>
      </c>
      <c r="L2343" s="137"/>
      <c r="M2343" s="137" t="s">
        <v>0</v>
      </c>
    </row>
    <row r="2344" spans="1:13" x14ac:dyDescent="0.35">
      <c r="A2344" s="138" t="s">
        <v>487</v>
      </c>
      <c r="B2344" s="138" t="s">
        <v>3809</v>
      </c>
      <c r="C2344" s="138" t="s">
        <v>4109</v>
      </c>
      <c r="D2344" s="138" t="s">
        <v>4110</v>
      </c>
      <c r="E2344" s="138" t="s">
        <v>4014</v>
      </c>
      <c r="F2344" s="138" t="s">
        <v>3831</v>
      </c>
      <c r="G2344" s="138" t="s">
        <v>5256</v>
      </c>
      <c r="H2344" s="81" t="str">
        <f t="shared" si="145"/>
        <v>TCCN-PTE-PRL-RVS-CA2-INS-MNV</v>
      </c>
      <c r="I2344" s="138" t="str">
        <f>MID(H2344,1,(LEN(H2344)-VLOOKUP(K2344,datos!$B$2:$C$12,2,0)))</f>
        <v>TCCN-PTE-PRL-RVS-CA2-INS-MNV</v>
      </c>
      <c r="J2344" s="138" t="s">
        <v>7631</v>
      </c>
      <c r="K2344" s="140">
        <f>VLOOKUP(LEN(SUBSTITUTE(H2344,"-","")),datos!$A$1:$B$12,2,0)</f>
        <v>7</v>
      </c>
      <c r="L2344" s="138" t="s">
        <v>7630</v>
      </c>
      <c r="M2344" s="138" t="s">
        <v>0</v>
      </c>
    </row>
    <row r="2345" spans="1:13" x14ac:dyDescent="0.35">
      <c r="A2345" s="137" t="s">
        <v>487</v>
      </c>
      <c r="B2345" s="137" t="s">
        <v>3809</v>
      </c>
      <c r="C2345" s="137" t="s">
        <v>4109</v>
      </c>
      <c r="D2345" s="137" t="s">
        <v>4110</v>
      </c>
      <c r="E2345" s="137" t="s">
        <v>4014</v>
      </c>
      <c r="F2345" s="137" t="s">
        <v>3824</v>
      </c>
      <c r="G2345" s="137"/>
      <c r="H2345" s="82" t="str">
        <f t="shared" ref="H2345:H2346" si="148">CONCATENATE(A2345,"-",B2345,"-",C2345,"-",D2345,"-",E2345,"-",F2345,"-",G2345)</f>
        <v>TCCN-PTE-PRL-RVS-CA2-SES-</v>
      </c>
      <c r="I2345" s="137" t="str">
        <f>MID(H2345,1,(LEN(H2345)-VLOOKUP(K2345,datos!$B$2:$C$12,2,0)))</f>
        <v>TCCN-PTE-PRL-RVS-CA2-SES</v>
      </c>
      <c r="J2345" s="137" t="s">
        <v>7137</v>
      </c>
      <c r="K2345" s="139">
        <f>VLOOKUP(LEN(SUBSTITUTE(H2345,"-","")),datos!$A$1:$B$12,2,0)</f>
        <v>6</v>
      </c>
      <c r="L2345" s="137"/>
      <c r="M2345" s="137" t="s">
        <v>0</v>
      </c>
    </row>
    <row r="2346" spans="1:13" x14ac:dyDescent="0.35">
      <c r="A2346" s="138" t="s">
        <v>487</v>
      </c>
      <c r="B2346" s="138" t="s">
        <v>3809</v>
      </c>
      <c r="C2346" s="138" t="s">
        <v>4109</v>
      </c>
      <c r="D2346" s="138" t="s">
        <v>4110</v>
      </c>
      <c r="E2346" s="138" t="s">
        <v>4014</v>
      </c>
      <c r="F2346" s="138" t="s">
        <v>3824</v>
      </c>
      <c r="G2346" s="138" t="s">
        <v>4724</v>
      </c>
      <c r="H2346" s="81" t="str">
        <f t="shared" si="148"/>
        <v>TCCN-PTE-PRL-RVS-CA2-SES-TRP</v>
      </c>
      <c r="I2346" s="138" t="str">
        <f>MID(H2346,1,(LEN(H2346)-VLOOKUP(K2346,datos!$B$2:$C$12,2,0)))</f>
        <v>TCCN-PTE-PRL-RVS-CA2-SES-TRP</v>
      </c>
      <c r="J2346" s="138" t="s">
        <v>343</v>
      </c>
      <c r="K2346" s="140">
        <f>VLOOKUP(LEN(SUBSTITUTE(H2346,"-","")),datos!$A$1:$B$12,2,0)</f>
        <v>7</v>
      </c>
      <c r="L2346" s="138" t="s">
        <v>344</v>
      </c>
      <c r="M2346" s="138" t="s">
        <v>0</v>
      </c>
    </row>
    <row r="2347" spans="1:13" customFormat="1" ht="14.5" x14ac:dyDescent="0.35">
      <c r="A2347" s="129" t="s">
        <v>487</v>
      </c>
      <c r="B2347" s="129" t="s">
        <v>3809</v>
      </c>
      <c r="C2347" s="129" t="s">
        <v>4109</v>
      </c>
      <c r="D2347" s="129" t="s">
        <v>4110</v>
      </c>
      <c r="E2347" s="129" t="s">
        <v>4111</v>
      </c>
      <c r="F2347" s="129"/>
      <c r="G2347" s="129"/>
      <c r="H2347" s="83" t="str">
        <f t="shared" si="145"/>
        <v>TCCN-PTE-PRL-RVS-ERV--</v>
      </c>
      <c r="I2347" s="129" t="str">
        <f>MID(H2347,1,(LEN(H2347)-VLOOKUP(K2347,datos!$B$2:$C$12,2,0)))</f>
        <v>TCCN-PTE-PRL-RVS-ERV</v>
      </c>
      <c r="J2347" s="129" t="s">
        <v>328</v>
      </c>
      <c r="K2347" s="130">
        <f>VLOOKUP(LEN(SUBSTITUTE(H2347,"-","")),datos!$A$1:$B$12,2,0)</f>
        <v>5</v>
      </c>
      <c r="L2347" s="129" t="s">
        <v>329</v>
      </c>
      <c r="M2347" s="129" t="s">
        <v>0</v>
      </c>
    </row>
    <row r="2348" spans="1:13" x14ac:dyDescent="0.35">
      <c r="A2348" s="137" t="s">
        <v>487</v>
      </c>
      <c r="B2348" s="137" t="s">
        <v>3809</v>
      </c>
      <c r="C2348" s="137" t="s">
        <v>4109</v>
      </c>
      <c r="D2348" s="137" t="s">
        <v>4110</v>
      </c>
      <c r="E2348" s="137" t="s">
        <v>4111</v>
      </c>
      <c r="F2348" s="137" t="s">
        <v>3824</v>
      </c>
      <c r="G2348" s="137"/>
      <c r="H2348" s="82" t="str">
        <f t="shared" si="145"/>
        <v>TCCN-PTE-PRL-RVS-ERV-SES-</v>
      </c>
      <c r="I2348" s="137" t="str">
        <f>MID(H2348,1,(LEN(H2348)-VLOOKUP(K2348,datos!$B$2:$C$12,2,0)))</f>
        <v>TCCN-PTE-PRL-RVS-ERV-SES</v>
      </c>
      <c r="J2348" s="137" t="s">
        <v>5034</v>
      </c>
      <c r="K2348" s="139">
        <f>VLOOKUP(LEN(SUBSTITUTE(H2348,"-","")),datos!$A$1:$B$12,2,0)</f>
        <v>6</v>
      </c>
      <c r="L2348" s="137"/>
      <c r="M2348" s="137" t="s">
        <v>0</v>
      </c>
    </row>
    <row r="2349" spans="1:13" x14ac:dyDescent="0.35">
      <c r="A2349" s="138" t="s">
        <v>487</v>
      </c>
      <c r="B2349" s="138" t="s">
        <v>3809</v>
      </c>
      <c r="C2349" s="138" t="s">
        <v>4109</v>
      </c>
      <c r="D2349" s="138" t="s">
        <v>4110</v>
      </c>
      <c r="E2349" s="138" t="s">
        <v>4111</v>
      </c>
      <c r="F2349" s="138" t="s">
        <v>3824</v>
      </c>
      <c r="G2349" s="138" t="s">
        <v>4040</v>
      </c>
      <c r="H2349" s="81" t="str">
        <f t="shared" si="145"/>
        <v>TCCN-PTE-PRL-RVS-ERV-SES-RTE</v>
      </c>
      <c r="I2349" s="138" t="str">
        <f>MID(H2349,1,(LEN(H2349)-VLOOKUP(K2349,datos!$B$2:$C$12,2,0)))</f>
        <v>TCCN-PTE-PRL-RVS-ERV-SES-RTE</v>
      </c>
      <c r="J2349" s="138" t="s">
        <v>5035</v>
      </c>
      <c r="K2349" s="140">
        <f>VLOOKUP(LEN(SUBSTITUTE(H2349,"-","")),datos!$A$1:$B$12,2,0)</f>
        <v>7</v>
      </c>
      <c r="L2349" s="138"/>
      <c r="M2349" s="138" t="s">
        <v>0</v>
      </c>
    </row>
    <row r="2350" spans="1:13" x14ac:dyDescent="0.35">
      <c r="A2350" s="138" t="s">
        <v>487</v>
      </c>
      <c r="B2350" s="138" t="s">
        <v>3809</v>
      </c>
      <c r="C2350" s="138" t="s">
        <v>4109</v>
      </c>
      <c r="D2350" s="138" t="s">
        <v>4110</v>
      </c>
      <c r="E2350" s="138" t="s">
        <v>4111</v>
      </c>
      <c r="F2350" s="138" t="s">
        <v>3824</v>
      </c>
      <c r="G2350" s="138" t="s">
        <v>4041</v>
      </c>
      <c r="H2350" s="81" t="str">
        <f t="shared" si="145"/>
        <v>TCCN-PTE-PRL-RVS-ERV-SES-FEE</v>
      </c>
      <c r="I2350" s="138" t="str">
        <f>MID(H2350,1,(LEN(H2350)-VLOOKUP(K2350,datos!$B$2:$C$12,2,0)))</f>
        <v>TCCN-PTE-PRL-RVS-ERV-SES-FEE</v>
      </c>
      <c r="J2350" s="138" t="s">
        <v>5036</v>
      </c>
      <c r="K2350" s="140">
        <f>VLOOKUP(LEN(SUBSTITUTE(H2350,"-","")),datos!$A$1:$B$12,2,0)</f>
        <v>7</v>
      </c>
      <c r="L2350" s="138"/>
      <c r="M2350" s="138" t="s">
        <v>0</v>
      </c>
    </row>
    <row r="2351" spans="1:13" x14ac:dyDescent="0.35">
      <c r="A2351" s="138" t="s">
        <v>487</v>
      </c>
      <c r="B2351" s="138" t="s">
        <v>3809</v>
      </c>
      <c r="C2351" s="138" t="s">
        <v>4109</v>
      </c>
      <c r="D2351" s="138" t="s">
        <v>4110</v>
      </c>
      <c r="E2351" s="138" t="s">
        <v>4111</v>
      </c>
      <c r="F2351" s="138" t="s">
        <v>3824</v>
      </c>
      <c r="G2351" s="138" t="s">
        <v>3998</v>
      </c>
      <c r="H2351" s="81" t="str">
        <f t="shared" si="145"/>
        <v>TCCN-PTE-PRL-RVS-ERV-SES-BYG</v>
      </c>
      <c r="I2351" s="138" t="str">
        <f>MID(H2351,1,(LEN(H2351)-VLOOKUP(K2351,datos!$B$2:$C$12,2,0)))</f>
        <v>TCCN-PTE-PRL-RVS-ERV-SES-BYG</v>
      </c>
      <c r="J2351" s="138" t="s">
        <v>8037</v>
      </c>
      <c r="K2351" s="140">
        <f>VLOOKUP(LEN(SUBSTITUTE(H2351,"-","")),datos!$A$1:$B$12,2,0)</f>
        <v>7</v>
      </c>
      <c r="L2351" s="138"/>
      <c r="M2351" s="138" t="s">
        <v>0</v>
      </c>
    </row>
    <row r="2352" spans="1:13" x14ac:dyDescent="0.35">
      <c r="A2352" s="137" t="s">
        <v>487</v>
      </c>
      <c r="B2352" s="137" t="s">
        <v>3809</v>
      </c>
      <c r="C2352" s="137" t="s">
        <v>4109</v>
      </c>
      <c r="D2352" s="137" t="s">
        <v>4110</v>
      </c>
      <c r="E2352" s="137" t="s">
        <v>4111</v>
      </c>
      <c r="F2352" s="137" t="s">
        <v>3847</v>
      </c>
      <c r="G2352" s="137"/>
      <c r="H2352" s="82" t="str">
        <f t="shared" si="145"/>
        <v>TCCN-PTE-PRL-RVS-ERV-SMO-</v>
      </c>
      <c r="I2352" s="137" t="str">
        <f>MID(H2352,1,(LEN(H2352)-VLOOKUP(K2352,datos!$B$2:$C$12,2,0)))</f>
        <v>TCCN-PTE-PRL-RVS-ERV-SMO</v>
      </c>
      <c r="J2352" s="137" t="s">
        <v>5037</v>
      </c>
      <c r="K2352" s="139">
        <f>VLOOKUP(LEN(SUBSTITUTE(H2352,"-","")),datos!$A$1:$B$12,2,0)</f>
        <v>6</v>
      </c>
      <c r="L2352" s="137"/>
      <c r="M2352" s="137" t="s">
        <v>0</v>
      </c>
    </row>
    <row r="2353" spans="1:13" x14ac:dyDescent="0.35">
      <c r="A2353" s="138" t="s">
        <v>487</v>
      </c>
      <c r="B2353" s="138" t="s">
        <v>3809</v>
      </c>
      <c r="C2353" s="138" t="s">
        <v>4109</v>
      </c>
      <c r="D2353" s="138" t="s">
        <v>4110</v>
      </c>
      <c r="E2353" s="138" t="s">
        <v>4111</v>
      </c>
      <c r="F2353" s="138" t="s">
        <v>3847</v>
      </c>
      <c r="G2353" s="138" t="s">
        <v>3861</v>
      </c>
      <c r="H2353" s="81" t="str">
        <f t="shared" si="145"/>
        <v>TCCN-PTE-PRL-RVS-ERV-SMO-RED</v>
      </c>
      <c r="I2353" s="138" t="str">
        <f>MID(H2353,1,(LEN(H2353)-VLOOKUP(K2353,datos!$B$2:$C$12,2,0)))</f>
        <v>TCCN-PTE-PRL-RVS-ERV-SMO-RED</v>
      </c>
      <c r="J2353" s="138" t="s">
        <v>6732</v>
      </c>
      <c r="K2353" s="140">
        <f>VLOOKUP(LEN(SUBSTITUTE(H2353,"-","")),datos!$A$1:$B$12,2,0)</f>
        <v>7</v>
      </c>
      <c r="L2353" s="138"/>
      <c r="M2353" s="138" t="s">
        <v>0</v>
      </c>
    </row>
    <row r="2354" spans="1:13" x14ac:dyDescent="0.35">
      <c r="A2354" s="138" t="s">
        <v>487</v>
      </c>
      <c r="B2354" s="138" t="s">
        <v>3809</v>
      </c>
      <c r="C2354" s="138" t="s">
        <v>4109</v>
      </c>
      <c r="D2354" s="138" t="s">
        <v>4110</v>
      </c>
      <c r="E2354" s="138" t="s">
        <v>4111</v>
      </c>
      <c r="F2354" s="138" t="s">
        <v>3847</v>
      </c>
      <c r="G2354" s="138" t="s">
        <v>4042</v>
      </c>
      <c r="H2354" s="81" t="str">
        <f t="shared" si="145"/>
        <v>TCCN-PTE-PRL-RVS-ERV-SMO-MHD</v>
      </c>
      <c r="I2354" s="138" t="str">
        <f>MID(H2354,1,(LEN(H2354)-VLOOKUP(K2354,datos!$B$2:$C$12,2,0)))</f>
        <v>TCCN-PTE-PRL-RVS-ERV-SMO-MHD</v>
      </c>
      <c r="J2354" s="138" t="s">
        <v>5038</v>
      </c>
      <c r="K2354" s="140">
        <f>VLOOKUP(LEN(SUBSTITUTE(H2354,"-","")),datos!$A$1:$B$12,2,0)</f>
        <v>7</v>
      </c>
      <c r="L2354" s="138"/>
      <c r="M2354" s="138" t="s">
        <v>0</v>
      </c>
    </row>
    <row r="2355" spans="1:13" x14ac:dyDescent="0.35">
      <c r="A2355" s="137" t="s">
        <v>487</v>
      </c>
      <c r="B2355" s="137" t="s">
        <v>3809</v>
      </c>
      <c r="C2355" s="137" t="s">
        <v>4109</v>
      </c>
      <c r="D2355" s="137" t="s">
        <v>4110</v>
      </c>
      <c r="E2355" s="137" t="s">
        <v>4111</v>
      </c>
      <c r="F2355" s="137" t="s">
        <v>4112</v>
      </c>
      <c r="G2355" s="137"/>
      <c r="H2355" s="82" t="str">
        <f t="shared" si="145"/>
        <v>TCCN-PTE-PRL-RVS-ERV-SLR-</v>
      </c>
      <c r="I2355" s="137" t="str">
        <f>MID(H2355,1,(LEN(H2355)-VLOOKUP(K2355,datos!$B$2:$C$12,2,0)))</f>
        <v>TCCN-PTE-PRL-RVS-ERV-SLR</v>
      </c>
      <c r="J2355" s="137" t="s">
        <v>5039</v>
      </c>
      <c r="K2355" s="139">
        <f>VLOOKUP(LEN(SUBSTITUTE(H2355,"-","")),datos!$A$1:$B$12,2,0)</f>
        <v>6</v>
      </c>
      <c r="L2355" s="137"/>
      <c r="M2355" s="137" t="s">
        <v>0</v>
      </c>
    </row>
    <row r="2356" spans="1:13" x14ac:dyDescent="0.35">
      <c r="A2356" s="138" t="s">
        <v>487</v>
      </c>
      <c r="B2356" s="138" t="s">
        <v>3809</v>
      </c>
      <c r="C2356" s="138" t="s">
        <v>4109</v>
      </c>
      <c r="D2356" s="138" t="s">
        <v>4110</v>
      </c>
      <c r="E2356" s="138" t="s">
        <v>4111</v>
      </c>
      <c r="F2356" s="138" t="s">
        <v>4112</v>
      </c>
      <c r="G2356" s="138" t="s">
        <v>3817</v>
      </c>
      <c r="H2356" s="81" t="str">
        <f t="shared" si="145"/>
        <v>TCCN-PTE-PRL-RVS-ERV-SLR-CIH</v>
      </c>
      <c r="I2356" s="138" t="str">
        <f>MID(H2356,1,(LEN(H2356)-VLOOKUP(K2356,datos!$B$2:$C$12,2,0)))</f>
        <v>TCCN-PTE-PRL-RVS-ERV-SLR-CIH</v>
      </c>
      <c r="J2356" s="138" t="s">
        <v>5043</v>
      </c>
      <c r="K2356" s="140">
        <f>VLOOKUP(LEN(SUBSTITUTE(H2356,"-","")),datos!$A$1:$B$12,2,0)</f>
        <v>7</v>
      </c>
      <c r="L2356" s="138"/>
      <c r="M2356" s="138" t="s">
        <v>0</v>
      </c>
    </row>
    <row r="2357" spans="1:13" x14ac:dyDescent="0.35">
      <c r="A2357" s="137" t="s">
        <v>487</v>
      </c>
      <c r="B2357" s="137" t="s">
        <v>3809</v>
      </c>
      <c r="C2357" s="137" t="s">
        <v>4109</v>
      </c>
      <c r="D2357" s="137" t="s">
        <v>4110</v>
      </c>
      <c r="E2357" s="137" t="s">
        <v>4111</v>
      </c>
      <c r="F2357" s="137" t="s">
        <v>3932</v>
      </c>
      <c r="G2357" s="137"/>
      <c r="H2357" s="82" t="str">
        <f t="shared" si="145"/>
        <v>TCCN-PTE-PRL-RVS-ERV-UHD-</v>
      </c>
      <c r="I2357" s="137" t="str">
        <f>MID(H2357,1,(LEN(H2357)-VLOOKUP(K2357,datos!$B$2:$C$12,2,0)))</f>
        <v>TCCN-PTE-PRL-RVS-ERV-UHD</v>
      </c>
      <c r="J2357" s="137" t="s">
        <v>5040</v>
      </c>
      <c r="K2357" s="139">
        <f>VLOOKUP(LEN(SUBSTITUTE(H2357,"-","")),datos!$A$1:$B$12,2,0)</f>
        <v>6</v>
      </c>
      <c r="L2357" s="137"/>
      <c r="M2357" s="137" t="s">
        <v>0</v>
      </c>
    </row>
    <row r="2358" spans="1:13" x14ac:dyDescent="0.35">
      <c r="A2358" s="138" t="s">
        <v>487</v>
      </c>
      <c r="B2358" s="138" t="s">
        <v>3809</v>
      </c>
      <c r="C2358" s="138" t="s">
        <v>4109</v>
      </c>
      <c r="D2358" s="138" t="s">
        <v>4110</v>
      </c>
      <c r="E2358" s="138" t="s">
        <v>4111</v>
      </c>
      <c r="F2358" s="138" t="s">
        <v>3932</v>
      </c>
      <c r="G2358" s="138" t="s">
        <v>3953</v>
      </c>
      <c r="H2358" s="81" t="str">
        <f t="shared" si="145"/>
        <v>TCCN-PTE-PRL-RVS-ERV-UHD-BB1</v>
      </c>
      <c r="I2358" s="138" t="str">
        <f>MID(H2358,1,(LEN(H2358)-VLOOKUP(K2358,datos!$B$2:$C$12,2,0)))</f>
        <v>TCCN-PTE-PRL-RVS-ERV-UHD-BB1</v>
      </c>
      <c r="J2358" s="138" t="s">
        <v>5041</v>
      </c>
      <c r="K2358" s="140">
        <f>VLOOKUP(LEN(SUBSTITUTE(H2358,"-","")),datos!$A$1:$B$12,2,0)</f>
        <v>7</v>
      </c>
      <c r="L2358" s="138"/>
      <c r="M2358" s="138" t="s">
        <v>0</v>
      </c>
    </row>
    <row r="2359" spans="1:13" x14ac:dyDescent="0.35">
      <c r="A2359" s="138" t="s">
        <v>487</v>
      </c>
      <c r="B2359" s="138" t="s">
        <v>3809</v>
      </c>
      <c r="C2359" s="138" t="s">
        <v>4109</v>
      </c>
      <c r="D2359" s="138" t="s">
        <v>4110</v>
      </c>
      <c r="E2359" s="138" t="s">
        <v>4111</v>
      </c>
      <c r="F2359" s="138" t="s">
        <v>3932</v>
      </c>
      <c r="G2359" s="138" t="s">
        <v>3942</v>
      </c>
      <c r="H2359" s="81" t="str">
        <f t="shared" si="145"/>
        <v>TCCN-PTE-PRL-RVS-ERV-UHD-BB2</v>
      </c>
      <c r="I2359" s="138" t="str">
        <f>MID(H2359,1,(LEN(H2359)-VLOOKUP(K2359,datos!$B$2:$C$12,2,0)))</f>
        <v>TCCN-PTE-PRL-RVS-ERV-UHD-BB2</v>
      </c>
      <c r="J2359" s="138" t="s">
        <v>8156</v>
      </c>
      <c r="K2359" s="140">
        <f>VLOOKUP(LEN(SUBSTITUTE(H2359,"-","")),datos!$A$1:$B$12,2,0)</f>
        <v>7</v>
      </c>
      <c r="L2359" s="138"/>
      <c r="M2359" s="138" t="s">
        <v>0</v>
      </c>
    </row>
    <row r="2360" spans="1:13" x14ac:dyDescent="0.35">
      <c r="A2360" s="138" t="s">
        <v>487</v>
      </c>
      <c r="B2360" s="138" t="s">
        <v>3809</v>
      </c>
      <c r="C2360" s="138" t="s">
        <v>4109</v>
      </c>
      <c r="D2360" s="138" t="s">
        <v>4110</v>
      </c>
      <c r="E2360" s="138" t="s">
        <v>4111</v>
      </c>
      <c r="F2360" s="138" t="s">
        <v>3932</v>
      </c>
      <c r="G2360" s="138" t="s">
        <v>4073</v>
      </c>
      <c r="H2360" s="81" t="str">
        <f t="shared" si="145"/>
        <v>TCCN-PTE-PRL-RVS-ERV-UHD-PYV</v>
      </c>
      <c r="I2360" s="138" t="str">
        <f>MID(H2360,1,(LEN(H2360)-VLOOKUP(K2360,datos!$B$2:$C$12,2,0)))</f>
        <v>TCCN-PTE-PRL-RVS-ERV-UHD-PYV</v>
      </c>
      <c r="J2360" s="138" t="s">
        <v>8157</v>
      </c>
      <c r="K2360" s="140">
        <f>VLOOKUP(LEN(SUBSTITUTE(H2360,"-","")),datos!$A$1:$B$12,2,0)</f>
        <v>7</v>
      </c>
      <c r="L2360" s="138"/>
      <c r="M2360" s="138" t="s">
        <v>0</v>
      </c>
    </row>
    <row r="2361" spans="1:13" x14ac:dyDescent="0.35">
      <c r="A2361" s="138" t="s">
        <v>487</v>
      </c>
      <c r="B2361" s="138" t="s">
        <v>3809</v>
      </c>
      <c r="C2361" s="138" t="s">
        <v>4109</v>
      </c>
      <c r="D2361" s="138" t="s">
        <v>4110</v>
      </c>
      <c r="E2361" s="138" t="s">
        <v>4111</v>
      </c>
      <c r="F2361" s="138" t="s">
        <v>3932</v>
      </c>
      <c r="G2361" s="138" t="s">
        <v>3853</v>
      </c>
      <c r="H2361" s="81" t="str">
        <f t="shared" si="145"/>
        <v>TCCN-PTE-PRL-RVS-ERV-UHD-EST</v>
      </c>
      <c r="I2361" s="138" t="str">
        <f>MID(H2361,1,(LEN(H2361)-VLOOKUP(K2361,datos!$B$2:$C$12,2,0)))</f>
        <v>TCCN-PTE-PRL-RVS-ERV-UHD-EST</v>
      </c>
      <c r="J2361" s="138" t="s">
        <v>8158</v>
      </c>
      <c r="K2361" s="140">
        <f>VLOOKUP(LEN(SUBSTITUTE(H2361,"-","")),datos!$A$1:$B$12,2,0)</f>
        <v>7</v>
      </c>
      <c r="L2361" s="138"/>
      <c r="M2361" s="138" t="s">
        <v>0</v>
      </c>
    </row>
    <row r="2362" spans="1:13" x14ac:dyDescent="0.35">
      <c r="A2362" s="138" t="s">
        <v>487</v>
      </c>
      <c r="B2362" s="138" t="s">
        <v>3809</v>
      </c>
      <c r="C2362" s="138" t="s">
        <v>4109</v>
      </c>
      <c r="D2362" s="138" t="s">
        <v>4110</v>
      </c>
      <c r="E2362" s="138" t="s">
        <v>4111</v>
      </c>
      <c r="F2362" s="138" t="s">
        <v>3932</v>
      </c>
      <c r="G2362" s="138" t="s">
        <v>5568</v>
      </c>
      <c r="H2362" s="81" t="str">
        <f t="shared" si="145"/>
        <v>TCCN-PTE-PRL-RVS-ERV-UHD-UNF</v>
      </c>
      <c r="I2362" s="138" t="str">
        <f>MID(H2362,1,(LEN(H2362)-VLOOKUP(K2362,datos!$B$2:$C$12,2,0)))</f>
        <v>TCCN-PTE-PRL-RVS-ERV-UHD-UNF</v>
      </c>
      <c r="J2362" s="138" t="s">
        <v>5042</v>
      </c>
      <c r="K2362" s="140">
        <f>VLOOKUP(LEN(SUBSTITUTE(H2362,"-","")),datos!$A$1:$B$12,2,0)</f>
        <v>7</v>
      </c>
      <c r="L2362" s="138"/>
      <c r="M2362" s="138" t="s">
        <v>0</v>
      </c>
    </row>
    <row r="2363" spans="1:13" x14ac:dyDescent="0.35">
      <c r="A2363" s="137" t="s">
        <v>487</v>
      </c>
      <c r="B2363" s="137" t="s">
        <v>3809</v>
      </c>
      <c r="C2363" s="137" t="s">
        <v>4109</v>
      </c>
      <c r="D2363" s="137" t="s">
        <v>4110</v>
      </c>
      <c r="E2363" s="137" t="s">
        <v>4111</v>
      </c>
      <c r="F2363" s="137" t="s">
        <v>3831</v>
      </c>
      <c r="G2363" s="137"/>
      <c r="H2363" s="82" t="str">
        <f t="shared" si="145"/>
        <v>TCCN-PTE-PRL-RVS-ERV-INS-</v>
      </c>
      <c r="I2363" s="137" t="str">
        <f>MID(H2363,1,(LEN(H2363)-VLOOKUP(K2363,datos!$B$2:$C$12,2,0)))</f>
        <v>TCCN-PTE-PRL-RVS-ERV-INS</v>
      </c>
      <c r="J2363" s="137" t="s">
        <v>6743</v>
      </c>
      <c r="K2363" s="139">
        <f>VLOOKUP(LEN(SUBSTITUTE(H2363,"-","")),datos!$A$1:$B$12,2,0)</f>
        <v>6</v>
      </c>
      <c r="L2363" s="137"/>
      <c r="M2363" s="137" t="s">
        <v>0</v>
      </c>
    </row>
    <row r="2364" spans="1:13" x14ac:dyDescent="0.35">
      <c r="A2364" s="138" t="s">
        <v>487</v>
      </c>
      <c r="B2364" s="138" t="s">
        <v>3809</v>
      </c>
      <c r="C2364" s="138" t="s">
        <v>4109</v>
      </c>
      <c r="D2364" s="138" t="s">
        <v>4110</v>
      </c>
      <c r="E2364" s="138" t="s">
        <v>4111</v>
      </c>
      <c r="F2364" s="138" t="s">
        <v>3831</v>
      </c>
      <c r="G2364" s="138" t="s">
        <v>5256</v>
      </c>
      <c r="H2364" s="81" t="str">
        <f t="shared" si="145"/>
        <v>TCCN-PTE-PRL-RVS-ERV-INS-MNV</v>
      </c>
      <c r="I2364" s="138" t="str">
        <f>MID(H2364,1,(LEN(H2364)-VLOOKUP(K2364,datos!$B$2:$C$12,2,0)))</f>
        <v>TCCN-PTE-PRL-RVS-ERV-INS-MNV</v>
      </c>
      <c r="J2364" s="138" t="s">
        <v>7615</v>
      </c>
      <c r="K2364" s="140">
        <f>VLOOKUP(LEN(SUBSTITUTE(H2364,"-","")),datos!$A$1:$B$12,2,0)</f>
        <v>7</v>
      </c>
      <c r="L2364" s="138" t="s">
        <v>7638</v>
      </c>
      <c r="M2364" s="138" t="s">
        <v>0</v>
      </c>
    </row>
    <row r="2365" spans="1:13" x14ac:dyDescent="0.35">
      <c r="A2365" s="138" t="s">
        <v>487</v>
      </c>
      <c r="B2365" s="138" t="s">
        <v>3809</v>
      </c>
      <c r="C2365" s="138" t="s">
        <v>4109</v>
      </c>
      <c r="D2365" s="138" t="s">
        <v>4110</v>
      </c>
      <c r="E2365" s="138" t="s">
        <v>4111</v>
      </c>
      <c r="F2365" s="138" t="s">
        <v>3831</v>
      </c>
      <c r="G2365" s="138" t="s">
        <v>7069</v>
      </c>
      <c r="H2365" s="81" t="str">
        <f t="shared" si="145"/>
        <v>TCCN-PTE-PRL-RVS-ERV-INS-MPN</v>
      </c>
      <c r="I2365" s="138" t="str">
        <f>MID(H2365,1,(LEN(H2365)-VLOOKUP(K2365,datos!$B$2:$C$12,2,0)))</f>
        <v>TCCN-PTE-PRL-RVS-ERV-INS-MPN</v>
      </c>
      <c r="J2365" s="138" t="s">
        <v>7577</v>
      </c>
      <c r="K2365" s="140">
        <f>VLOOKUP(LEN(SUBSTITUTE(H2365,"-","")),datos!$A$1:$B$12,2,0)</f>
        <v>7</v>
      </c>
      <c r="L2365" s="138"/>
      <c r="M2365" s="138" t="s">
        <v>0</v>
      </c>
    </row>
    <row r="2366" spans="1:13" x14ac:dyDescent="0.35">
      <c r="A2366" s="138" t="s">
        <v>487</v>
      </c>
      <c r="B2366" s="138" t="s">
        <v>3809</v>
      </c>
      <c r="C2366" s="138" t="s">
        <v>4109</v>
      </c>
      <c r="D2366" s="138" t="s">
        <v>4110</v>
      </c>
      <c r="E2366" s="138" t="s">
        <v>4111</v>
      </c>
      <c r="F2366" s="138" t="s">
        <v>3831</v>
      </c>
      <c r="G2366" s="138" t="s">
        <v>4043</v>
      </c>
      <c r="H2366" s="81" t="str">
        <f t="shared" si="145"/>
        <v>TCCN-PTE-PRL-RVS-ERV-INS-SPO</v>
      </c>
      <c r="I2366" s="138" t="str">
        <f>MID(H2366,1,(LEN(H2366)-VLOOKUP(K2366,datos!$B$2:$C$12,2,0)))</f>
        <v>TCCN-PTE-PRL-RVS-ERV-INS-SPO</v>
      </c>
      <c r="J2366" s="138" t="s">
        <v>7893</v>
      </c>
      <c r="K2366" s="140">
        <f>VLOOKUP(LEN(SUBSTITUTE(H2366,"-","")),datos!$A$1:$B$12,2,0)</f>
        <v>7</v>
      </c>
      <c r="L2366" s="138"/>
      <c r="M2366" s="138" t="s">
        <v>0</v>
      </c>
    </row>
    <row r="2367" spans="1:13" x14ac:dyDescent="0.35">
      <c r="A2367" s="138" t="s">
        <v>487</v>
      </c>
      <c r="B2367" s="138" t="s">
        <v>3809</v>
      </c>
      <c r="C2367" s="138" t="s">
        <v>4109</v>
      </c>
      <c r="D2367" s="138" t="s">
        <v>4110</v>
      </c>
      <c r="E2367" s="138" t="s">
        <v>4111</v>
      </c>
      <c r="F2367" s="138" t="s">
        <v>3831</v>
      </c>
      <c r="G2367" s="138" t="s">
        <v>7060</v>
      </c>
      <c r="H2367" s="81" t="str">
        <f t="shared" si="145"/>
        <v>TCCN-PTE-PRL-RVS-ERV-INS-MTP</v>
      </c>
      <c r="I2367" s="138" t="str">
        <f>MID(H2367,1,(LEN(H2367)-VLOOKUP(K2367,datos!$B$2:$C$12,2,0)))</f>
        <v>TCCN-PTE-PRL-RVS-ERV-INS-MTP</v>
      </c>
      <c r="J2367" s="138" t="s">
        <v>8079</v>
      </c>
      <c r="K2367" s="140">
        <f>VLOOKUP(LEN(SUBSTITUTE(H2367,"-","")),datos!$A$1:$B$12,2,0)</f>
        <v>7</v>
      </c>
      <c r="L2367" s="138"/>
      <c r="M2367" s="138" t="s">
        <v>0</v>
      </c>
    </row>
    <row r="2368" spans="1:13" x14ac:dyDescent="0.35">
      <c r="A2368" s="138" t="s">
        <v>487</v>
      </c>
      <c r="B2368" s="138" t="s">
        <v>3809</v>
      </c>
      <c r="C2368" s="138" t="s">
        <v>4109</v>
      </c>
      <c r="D2368" s="138" t="s">
        <v>4110</v>
      </c>
      <c r="E2368" s="138" t="s">
        <v>4111</v>
      </c>
      <c r="F2368" s="138" t="s">
        <v>3831</v>
      </c>
      <c r="G2368" s="138" t="s">
        <v>4044</v>
      </c>
      <c r="H2368" s="81" t="str">
        <f t="shared" si="145"/>
        <v>TCCN-PTE-PRL-RVS-ERV-INS-STO</v>
      </c>
      <c r="I2368" s="138" t="str">
        <f>MID(H2368,1,(LEN(H2368)-VLOOKUP(K2368,datos!$B$2:$C$12,2,0)))</f>
        <v>TCCN-PTE-PRL-RVS-ERV-INS-STO</v>
      </c>
      <c r="J2368" s="138" t="s">
        <v>8114</v>
      </c>
      <c r="K2368" s="140">
        <f>VLOOKUP(LEN(SUBSTITUTE(H2368,"-","")),datos!$A$1:$B$12,2,0)</f>
        <v>7</v>
      </c>
      <c r="L2368" s="138"/>
      <c r="M2368" s="138" t="s">
        <v>0</v>
      </c>
    </row>
    <row r="2369" spans="1:13" x14ac:dyDescent="0.35">
      <c r="A2369" s="138" t="s">
        <v>487</v>
      </c>
      <c r="B2369" s="138" t="s">
        <v>3809</v>
      </c>
      <c r="C2369" s="138" t="s">
        <v>4109</v>
      </c>
      <c r="D2369" s="138" t="s">
        <v>4110</v>
      </c>
      <c r="E2369" s="138" t="s">
        <v>4111</v>
      </c>
      <c r="F2369" s="138" t="s">
        <v>3831</v>
      </c>
      <c r="G2369" s="138" t="s">
        <v>4016</v>
      </c>
      <c r="H2369" s="81" t="str">
        <f t="shared" si="145"/>
        <v>TCCN-PTE-PRL-RVS-ERV-INS-PAN</v>
      </c>
      <c r="I2369" s="138" t="str">
        <f>MID(H2369,1,(LEN(H2369)-VLOOKUP(K2369,datos!$B$2:$C$12,2,0)))</f>
        <v>TCCN-PTE-PRL-RVS-ERV-INS-PAN</v>
      </c>
      <c r="J2369" s="138" t="s">
        <v>5044</v>
      </c>
      <c r="K2369" s="140">
        <f>VLOOKUP(LEN(SUBSTITUTE(H2369,"-","")),datos!$A$1:$B$12,2,0)</f>
        <v>7</v>
      </c>
      <c r="L2369" s="138"/>
      <c r="M2369" s="138" t="s">
        <v>0</v>
      </c>
    </row>
    <row r="2370" spans="1:13" customFormat="1" ht="14.5" x14ac:dyDescent="0.35">
      <c r="A2370" s="129" t="s">
        <v>487</v>
      </c>
      <c r="B2370" s="129" t="s">
        <v>3809</v>
      </c>
      <c r="C2370" s="129" t="s">
        <v>4109</v>
      </c>
      <c r="D2370" s="129" t="s">
        <v>4110</v>
      </c>
      <c r="E2370" s="129" t="s">
        <v>3866</v>
      </c>
      <c r="F2370" s="129"/>
      <c r="G2370" s="129"/>
      <c r="H2370" s="83" t="str">
        <f t="shared" si="145"/>
        <v>TCCN-PTE-PRL-RVS-TC1--</v>
      </c>
      <c r="I2370" s="129" t="str">
        <f>MID(H2370,1,(LEN(H2370)-VLOOKUP(K2370,datos!$B$2:$C$12,2,0)))</f>
        <v>TCCN-PTE-PRL-RVS-TC1</v>
      </c>
      <c r="J2370" s="129" t="s">
        <v>627</v>
      </c>
      <c r="K2370" s="130">
        <f>VLOOKUP(LEN(SUBSTITUTE(H2370,"-","")),datos!$A$1:$B$12,2,0)</f>
        <v>5</v>
      </c>
      <c r="L2370" s="129" t="s">
        <v>330</v>
      </c>
      <c r="M2370" s="129" t="s">
        <v>0</v>
      </c>
    </row>
    <row r="2371" spans="1:13" customFormat="1" ht="14.5" x14ac:dyDescent="0.35">
      <c r="A2371" s="129" t="s">
        <v>487</v>
      </c>
      <c r="B2371" s="129" t="s">
        <v>3809</v>
      </c>
      <c r="C2371" s="129" t="s">
        <v>4109</v>
      </c>
      <c r="D2371" s="129" t="s">
        <v>4110</v>
      </c>
      <c r="E2371" s="129" t="s">
        <v>4017</v>
      </c>
      <c r="F2371" s="129"/>
      <c r="G2371" s="129"/>
      <c r="H2371" s="83" t="str">
        <f t="shared" si="145"/>
        <v>TCCN-PTE-PRL-RVS-B03--</v>
      </c>
      <c r="I2371" s="129" t="str">
        <f>MID(H2371,1,(LEN(H2371)-VLOOKUP(K2371,datos!$B$2:$C$12,2,0)))</f>
        <v>TCCN-PTE-PRL-RVS-B03</v>
      </c>
      <c r="J2371" s="129" t="s">
        <v>7447</v>
      </c>
      <c r="K2371" s="130">
        <f>VLOOKUP(LEN(SUBSTITUTE(H2371,"-","")),datos!$A$1:$B$12,2,0)</f>
        <v>5</v>
      </c>
      <c r="L2371" s="129" t="s">
        <v>331</v>
      </c>
      <c r="M2371" s="129" t="s">
        <v>0</v>
      </c>
    </row>
    <row r="2372" spans="1:13" x14ac:dyDescent="0.35">
      <c r="A2372" s="137" t="s">
        <v>487</v>
      </c>
      <c r="B2372" s="137" t="s">
        <v>3809</v>
      </c>
      <c r="C2372" s="137" t="s">
        <v>4109</v>
      </c>
      <c r="D2372" s="137" t="s">
        <v>4110</v>
      </c>
      <c r="E2372" s="137" t="s">
        <v>4017</v>
      </c>
      <c r="F2372" s="137" t="s">
        <v>5592</v>
      </c>
      <c r="G2372" s="137"/>
      <c r="H2372" s="82" t="str">
        <f t="shared" si="145"/>
        <v>TCCN-PTE-PRL-RVS-B03-PYH-</v>
      </c>
      <c r="I2372" s="137" t="str">
        <f>MID(H2372,1,(LEN(H2372)-VLOOKUP(K2372,datos!$B$2:$C$12,2,0)))</f>
        <v>TCCN-PTE-PRL-RVS-B03-PYH</v>
      </c>
      <c r="J2372" s="137" t="s">
        <v>4668</v>
      </c>
      <c r="K2372" s="139">
        <f>VLOOKUP(LEN(SUBSTITUTE(H2372,"-","")),datos!$A$1:$B$12,2,0)</f>
        <v>6</v>
      </c>
      <c r="L2372" s="137"/>
      <c r="M2372" s="137" t="s">
        <v>0</v>
      </c>
    </row>
    <row r="2373" spans="1:13" x14ac:dyDescent="0.35">
      <c r="A2373" s="137" t="s">
        <v>487</v>
      </c>
      <c r="B2373" s="137" t="s">
        <v>3809</v>
      </c>
      <c r="C2373" s="137" t="s">
        <v>4109</v>
      </c>
      <c r="D2373" s="137" t="s">
        <v>4110</v>
      </c>
      <c r="E2373" s="137" t="s">
        <v>4017</v>
      </c>
      <c r="F2373" s="137" t="s">
        <v>4073</v>
      </c>
      <c r="G2373" s="137"/>
      <c r="H2373" s="82" t="str">
        <f t="shared" si="145"/>
        <v>TCCN-PTE-PRL-RVS-B03-PYV-</v>
      </c>
      <c r="I2373" s="137" t="str">
        <f>MID(H2373,1,(LEN(H2373)-VLOOKUP(K2373,datos!$B$2:$C$12,2,0)))</f>
        <v>TCCN-PTE-PRL-RVS-B03-PYV</v>
      </c>
      <c r="J2373" s="137" t="s">
        <v>4669</v>
      </c>
      <c r="K2373" s="139">
        <f>VLOOKUP(LEN(SUBSTITUTE(H2373,"-","")),datos!$A$1:$B$12,2,0)</f>
        <v>6</v>
      </c>
      <c r="L2373" s="137"/>
      <c r="M2373" s="137" t="s">
        <v>0</v>
      </c>
    </row>
    <row r="2374" spans="1:13" x14ac:dyDescent="0.35">
      <c r="A2374" s="137" t="s">
        <v>487</v>
      </c>
      <c r="B2374" s="137" t="s">
        <v>3809</v>
      </c>
      <c r="C2374" s="137" t="s">
        <v>4109</v>
      </c>
      <c r="D2374" s="137" t="s">
        <v>4110</v>
      </c>
      <c r="E2374" s="137" t="s">
        <v>4017</v>
      </c>
      <c r="F2374" s="137" t="s">
        <v>5107</v>
      </c>
      <c r="G2374" s="137"/>
      <c r="H2374" s="82" t="str">
        <f t="shared" si="145"/>
        <v>TCCN-PTE-PRL-RVS-B03-SAS-</v>
      </c>
      <c r="I2374" s="137" t="str">
        <f>MID(H2374,1,(LEN(H2374)-VLOOKUP(K2374,datos!$B$2:$C$12,2,0)))</f>
        <v>TCCN-PTE-PRL-RVS-B03-SAS</v>
      </c>
      <c r="J2374" s="137" t="s">
        <v>4670</v>
      </c>
      <c r="K2374" s="139">
        <f>VLOOKUP(LEN(SUBSTITUTE(H2374,"-","")),datos!$A$1:$B$12,2,0)</f>
        <v>6</v>
      </c>
      <c r="L2374" s="137"/>
      <c r="M2374" s="137" t="s">
        <v>0</v>
      </c>
    </row>
    <row r="2375" spans="1:13" x14ac:dyDescent="0.35">
      <c r="A2375" s="138" t="s">
        <v>487</v>
      </c>
      <c r="B2375" s="138" t="s">
        <v>3809</v>
      </c>
      <c r="C2375" s="138" t="s">
        <v>4109</v>
      </c>
      <c r="D2375" s="138" t="s">
        <v>4110</v>
      </c>
      <c r="E2375" s="138" t="s">
        <v>4017</v>
      </c>
      <c r="F2375" s="138" t="s">
        <v>5107</v>
      </c>
      <c r="G2375" s="138" t="s">
        <v>4075</v>
      </c>
      <c r="H2375" s="81" t="str">
        <f t="shared" ref="H2375" si="149">CONCATENATE(A2375,"-",B2375,"-",C2375,"-",D2375,"-",E2375,"-",F2375,"-",G2375)</f>
        <v>TCCN-PTE-PRL-RVS-B03-SAS-VVA</v>
      </c>
      <c r="I2375" s="138" t="str">
        <f>MID(H2375,1,(LEN(H2375)-VLOOKUP(K2375,datos!$B$2:$C$12,2,0)))</f>
        <v>TCCN-PTE-PRL-RVS-B03-SAS-VVA</v>
      </c>
      <c r="J2375" s="138" t="s">
        <v>7446</v>
      </c>
      <c r="K2375" s="140">
        <f>VLOOKUP(LEN(SUBSTITUTE(H2375,"-","")),datos!$A$1:$B$12,2,0)</f>
        <v>7</v>
      </c>
      <c r="L2375" s="138" t="s">
        <v>7449</v>
      </c>
      <c r="M2375" s="138" t="s">
        <v>0</v>
      </c>
    </row>
    <row r="2376" spans="1:13" x14ac:dyDescent="0.35">
      <c r="A2376" s="137" t="s">
        <v>487</v>
      </c>
      <c r="B2376" s="137" t="s">
        <v>3809</v>
      </c>
      <c r="C2376" s="137" t="s">
        <v>4109</v>
      </c>
      <c r="D2376" s="137" t="s">
        <v>4110</v>
      </c>
      <c r="E2376" s="137" t="s">
        <v>4017</v>
      </c>
      <c r="F2376" s="137" t="s">
        <v>3847</v>
      </c>
      <c r="G2376" s="137"/>
      <c r="H2376" s="82" t="str">
        <f t="shared" si="145"/>
        <v>TCCN-PTE-PRL-RVS-B03-SMO-</v>
      </c>
      <c r="I2376" s="137" t="str">
        <f>MID(H2376,1,(LEN(H2376)-VLOOKUP(K2376,datos!$B$2:$C$12,2,0)))</f>
        <v>TCCN-PTE-PRL-RVS-B03-SMO</v>
      </c>
      <c r="J2376" s="137" t="s">
        <v>4671</v>
      </c>
      <c r="K2376" s="139">
        <f>VLOOKUP(LEN(SUBSTITUTE(H2376,"-","")),datos!$A$1:$B$12,2,0)</f>
        <v>6</v>
      </c>
      <c r="L2376" s="137"/>
      <c r="M2376" s="137" t="s">
        <v>0</v>
      </c>
    </row>
    <row r="2377" spans="1:13" x14ac:dyDescent="0.35">
      <c r="A2377" s="138" t="s">
        <v>487</v>
      </c>
      <c r="B2377" s="138" t="s">
        <v>3809</v>
      </c>
      <c r="C2377" s="138" t="s">
        <v>4109</v>
      </c>
      <c r="D2377" s="138" t="s">
        <v>4110</v>
      </c>
      <c r="E2377" s="138" t="s">
        <v>4017</v>
      </c>
      <c r="F2377" s="138" t="s">
        <v>3847</v>
      </c>
      <c r="G2377" s="138" t="s">
        <v>3819</v>
      </c>
      <c r="H2377" s="81" t="str">
        <f t="shared" si="145"/>
        <v>TCCN-PTE-PRL-RVS-B03-SMO-MOE</v>
      </c>
      <c r="I2377" s="138" t="str">
        <f>MID(H2377,1,(LEN(H2377)-VLOOKUP(K2377,datos!$B$2:$C$12,2,0)))</f>
        <v>TCCN-PTE-PRL-RVS-B03-SMO-MOE</v>
      </c>
      <c r="J2377" s="138" t="s">
        <v>5354</v>
      </c>
      <c r="K2377" s="140">
        <f>VLOOKUP(LEN(SUBSTITUTE(H2377,"-","")),datos!$A$1:$B$12,2,0)</f>
        <v>7</v>
      </c>
      <c r="L2377" s="138" t="s">
        <v>332</v>
      </c>
      <c r="M2377" s="138" t="s">
        <v>0</v>
      </c>
    </row>
    <row r="2378" spans="1:13" x14ac:dyDescent="0.35">
      <c r="A2378" s="137" t="s">
        <v>487</v>
      </c>
      <c r="B2378" s="137" t="s">
        <v>3809</v>
      </c>
      <c r="C2378" s="137" t="s">
        <v>4109</v>
      </c>
      <c r="D2378" s="137" t="s">
        <v>4113</v>
      </c>
      <c r="E2378" s="137" t="s">
        <v>4017</v>
      </c>
      <c r="F2378" s="137" t="s">
        <v>3831</v>
      </c>
      <c r="G2378" s="137"/>
      <c r="H2378" s="82" t="str">
        <f>CONCATENATE(A2378,"-",B2378,"-",C2378,"-",D2378,"-",E2378,"-",F2378,"-",G2378)</f>
        <v>TCCN-PTE-PRL-EPR-B03-INS-</v>
      </c>
      <c r="I2378" s="137" t="str">
        <f>MID(H2378,1,(LEN(H2378)-VLOOKUP(K2378,datos!$B$2:$C$12,2,0)))</f>
        <v>TCCN-PTE-PRL-EPR-B03-INS</v>
      </c>
      <c r="J2378" s="137" t="s">
        <v>4674</v>
      </c>
      <c r="K2378" s="139">
        <f>VLOOKUP(LEN(SUBSTITUTE(H2378,"-","")),datos!$A$1:$B$12,2,0)</f>
        <v>6</v>
      </c>
      <c r="L2378" s="137"/>
      <c r="M2378" s="137" t="s">
        <v>0</v>
      </c>
    </row>
    <row r="2379" spans="1:13" x14ac:dyDescent="0.35">
      <c r="A2379" s="138" t="s">
        <v>487</v>
      </c>
      <c r="B2379" s="138" t="s">
        <v>3809</v>
      </c>
      <c r="C2379" s="138" t="s">
        <v>4109</v>
      </c>
      <c r="D2379" s="138" t="s">
        <v>4113</v>
      </c>
      <c r="E2379" s="138" t="s">
        <v>4017</v>
      </c>
      <c r="F2379" s="138" t="s">
        <v>3831</v>
      </c>
      <c r="G2379" s="138" t="s">
        <v>7069</v>
      </c>
      <c r="H2379" s="81" t="str">
        <f>CONCATENATE(A2379,"-",B2379,"-",C2379,"-",D2379,"-",E2379,"-",F2379,"-",G2379)</f>
        <v>TCCN-PTE-PRL-EPR-B03-INS-MPN</v>
      </c>
      <c r="I2379" s="138" t="str">
        <f>MID(H2379,1,(LEN(H2379)-VLOOKUP(K2379,datos!$B$2:$C$12,2,0)))</f>
        <v>TCCN-PTE-PRL-EPR-B03-INS-MPN</v>
      </c>
      <c r="J2379" s="138" t="s">
        <v>7578</v>
      </c>
      <c r="K2379" s="140">
        <f>VLOOKUP(LEN(SUBSTITUTE(H2379,"-","")),datos!$A$1:$B$12,2,0)</f>
        <v>7</v>
      </c>
      <c r="L2379" s="138"/>
      <c r="M2379" s="138" t="s">
        <v>0</v>
      </c>
    </row>
    <row r="2380" spans="1:13" x14ac:dyDescent="0.35">
      <c r="A2380" s="137" t="s">
        <v>487</v>
      </c>
      <c r="B2380" s="137" t="s">
        <v>3809</v>
      </c>
      <c r="C2380" s="137" t="s">
        <v>4109</v>
      </c>
      <c r="D2380" s="137" t="s">
        <v>4110</v>
      </c>
      <c r="E2380" s="137" t="s">
        <v>4017</v>
      </c>
      <c r="F2380" s="137" t="s">
        <v>3869</v>
      </c>
      <c r="G2380" s="137"/>
      <c r="H2380" s="82" t="str">
        <f t="shared" si="145"/>
        <v>TCCN-PTE-PRL-RVS-B03-SCE-</v>
      </c>
      <c r="I2380" s="137" t="str">
        <f>MID(H2380,1,(LEN(H2380)-VLOOKUP(K2380,datos!$B$2:$C$12,2,0)))</f>
        <v>TCCN-PTE-PRL-RVS-B03-SCE</v>
      </c>
      <c r="J2380" s="137" t="s">
        <v>4672</v>
      </c>
      <c r="K2380" s="139">
        <f>VLOOKUP(LEN(SUBSTITUTE(H2380,"-","")),datos!$A$1:$B$12,2,0)</f>
        <v>6</v>
      </c>
      <c r="L2380" s="137"/>
      <c r="M2380" s="137" t="s">
        <v>0</v>
      </c>
    </row>
    <row r="2381" spans="1:13" x14ac:dyDescent="0.35">
      <c r="A2381" s="138" t="s">
        <v>487</v>
      </c>
      <c r="B2381" s="138" t="s">
        <v>3809</v>
      </c>
      <c r="C2381" s="138" t="s">
        <v>4109</v>
      </c>
      <c r="D2381" s="138" t="s">
        <v>4110</v>
      </c>
      <c r="E2381" s="138" t="s">
        <v>4017</v>
      </c>
      <c r="F2381" s="138" t="s">
        <v>3869</v>
      </c>
      <c r="G2381" s="138" t="s">
        <v>3870</v>
      </c>
      <c r="H2381" s="81" t="str">
        <f t="shared" ref="H2381:H2445" si="150">CONCATENATE(A2381,"-",B2381,"-",C2381,"-",D2381,"-",E2381,"-",F2381,"-",G2381)</f>
        <v>TCCN-PTE-PRL-RVS-B03-SCE-BTN</v>
      </c>
      <c r="I2381" s="138" t="str">
        <f>MID(H2381,1,(LEN(H2381)-VLOOKUP(K2381,datos!$B$2:$C$12,2,0)))</f>
        <v>TCCN-PTE-PRL-RVS-B03-SCE-BTN</v>
      </c>
      <c r="J2381" s="138" t="s">
        <v>4673</v>
      </c>
      <c r="K2381" s="140">
        <f>VLOOKUP(LEN(SUBSTITUTE(H2381,"-","")),datos!$A$1:$B$12,2,0)</f>
        <v>7</v>
      </c>
      <c r="L2381" s="138"/>
      <c r="M2381" s="138" t="s">
        <v>0</v>
      </c>
    </row>
    <row r="2382" spans="1:13" customFormat="1" ht="14.5" x14ac:dyDescent="0.35">
      <c r="A2382" s="129" t="s">
        <v>487</v>
      </c>
      <c r="B2382" s="129" t="s">
        <v>3809</v>
      </c>
      <c r="C2382" s="129" t="s">
        <v>4109</v>
      </c>
      <c r="D2382" s="129" t="s">
        <v>4110</v>
      </c>
      <c r="E2382" s="129" t="s">
        <v>4049</v>
      </c>
      <c r="F2382" s="129"/>
      <c r="G2382" s="129"/>
      <c r="H2382" s="83" t="str">
        <f t="shared" si="150"/>
        <v>TCCN-PTE-PRL-RVS-B04--</v>
      </c>
      <c r="I2382" s="129" t="str">
        <f>MID(H2382,1,(LEN(H2382)-VLOOKUP(K2382,datos!$B$2:$C$12,2,0)))</f>
        <v>TCCN-PTE-PRL-RVS-B04</v>
      </c>
      <c r="J2382" s="129" t="s">
        <v>7448</v>
      </c>
      <c r="K2382" s="130">
        <f>VLOOKUP(LEN(SUBSTITUTE(H2382,"-","")),datos!$A$1:$B$12,2,0)</f>
        <v>5</v>
      </c>
      <c r="L2382" s="129" t="s">
        <v>333</v>
      </c>
      <c r="M2382" s="129" t="s">
        <v>0</v>
      </c>
    </row>
    <row r="2383" spans="1:13" x14ac:dyDescent="0.35">
      <c r="A2383" s="137" t="s">
        <v>487</v>
      </c>
      <c r="B2383" s="137" t="s">
        <v>3809</v>
      </c>
      <c r="C2383" s="137" t="s">
        <v>4109</v>
      </c>
      <c r="D2383" s="137" t="s">
        <v>4110</v>
      </c>
      <c r="E2383" s="137" t="s">
        <v>4049</v>
      </c>
      <c r="F2383" s="137" t="s">
        <v>5106</v>
      </c>
      <c r="G2383" s="137"/>
      <c r="H2383" s="82" t="str">
        <f t="shared" si="150"/>
        <v>TCCN-PTE-PRL-RVS-B04-PHU-</v>
      </c>
      <c r="I2383" s="137" t="str">
        <f>MID(H2383,1,(LEN(H2383)-VLOOKUP(K2383,datos!$B$2:$C$12,2,0)))</f>
        <v>TCCN-PTE-PRL-RVS-B04-PHU</v>
      </c>
      <c r="J2383" s="137" t="s">
        <v>4676</v>
      </c>
      <c r="K2383" s="139">
        <f>VLOOKUP(LEN(SUBSTITUTE(H2383,"-","")),datos!$A$1:$B$12,2,0)</f>
        <v>6</v>
      </c>
      <c r="L2383" s="137"/>
      <c r="M2383" s="137" t="s">
        <v>0</v>
      </c>
    </row>
    <row r="2384" spans="1:13" x14ac:dyDescent="0.35">
      <c r="A2384" s="137" t="s">
        <v>487</v>
      </c>
      <c r="B2384" s="137" t="s">
        <v>3809</v>
      </c>
      <c r="C2384" s="137" t="s">
        <v>4109</v>
      </c>
      <c r="D2384" s="137" t="s">
        <v>4110</v>
      </c>
      <c r="E2384" s="137" t="s">
        <v>4049</v>
      </c>
      <c r="F2384" s="137" t="s">
        <v>4073</v>
      </c>
      <c r="G2384" s="137"/>
      <c r="H2384" s="82" t="str">
        <f t="shared" si="150"/>
        <v>TCCN-PTE-PRL-RVS-B04-PYV-</v>
      </c>
      <c r="I2384" s="137" t="str">
        <f>MID(H2384,1,(LEN(H2384)-VLOOKUP(K2384,datos!$B$2:$C$12,2,0)))</f>
        <v>TCCN-PTE-PRL-RVS-B04-PYV</v>
      </c>
      <c r="J2384" s="137" t="s">
        <v>4675</v>
      </c>
      <c r="K2384" s="139">
        <f>VLOOKUP(LEN(SUBSTITUTE(H2384,"-","")),datos!$A$1:$B$12,2,0)</f>
        <v>6</v>
      </c>
      <c r="L2384" s="137"/>
      <c r="M2384" s="137" t="s">
        <v>0</v>
      </c>
    </row>
    <row r="2385" spans="1:13" x14ac:dyDescent="0.35">
      <c r="A2385" s="137" t="s">
        <v>487</v>
      </c>
      <c r="B2385" s="137" t="s">
        <v>3809</v>
      </c>
      <c r="C2385" s="137" t="s">
        <v>4109</v>
      </c>
      <c r="D2385" s="137" t="s">
        <v>4110</v>
      </c>
      <c r="E2385" s="137" t="s">
        <v>4049</v>
      </c>
      <c r="F2385" s="137" t="s">
        <v>5107</v>
      </c>
      <c r="G2385" s="137"/>
      <c r="H2385" s="82" t="str">
        <f t="shared" si="150"/>
        <v>TCCN-PTE-PRL-RVS-B04-SAS-</v>
      </c>
      <c r="I2385" s="137" t="str">
        <f>MID(H2385,1,(LEN(H2385)-VLOOKUP(K2385,datos!$B$2:$C$12,2,0)))</f>
        <v>TCCN-PTE-PRL-RVS-B04-SAS</v>
      </c>
      <c r="J2385" s="137" t="s">
        <v>4677</v>
      </c>
      <c r="K2385" s="139">
        <f>VLOOKUP(LEN(SUBSTITUTE(H2385,"-","")),datos!$A$1:$B$12,2,0)</f>
        <v>6</v>
      </c>
      <c r="L2385" s="137"/>
      <c r="M2385" s="137" t="s">
        <v>0</v>
      </c>
    </row>
    <row r="2386" spans="1:13" x14ac:dyDescent="0.35">
      <c r="A2386" s="138" t="s">
        <v>487</v>
      </c>
      <c r="B2386" s="138" t="s">
        <v>3809</v>
      </c>
      <c r="C2386" s="138" t="s">
        <v>4109</v>
      </c>
      <c r="D2386" s="138" t="s">
        <v>4110</v>
      </c>
      <c r="E2386" s="138" t="s">
        <v>4049</v>
      </c>
      <c r="F2386" s="138" t="s">
        <v>5107</v>
      </c>
      <c r="G2386" s="138" t="s">
        <v>4075</v>
      </c>
      <c r="H2386" s="81" t="str">
        <f t="shared" si="150"/>
        <v>TCCN-PTE-PRL-RVS-B04-SAS-VVA</v>
      </c>
      <c r="I2386" s="138" t="str">
        <f>MID(H2386,1,(LEN(H2386)-VLOOKUP(K2386,datos!$B$2:$C$12,2,0)))</f>
        <v>TCCN-PTE-PRL-RVS-B04-SAS-VVA</v>
      </c>
      <c r="J2386" s="138" t="s">
        <v>7451</v>
      </c>
      <c r="K2386" s="140">
        <f>VLOOKUP(LEN(SUBSTITUTE(H2386,"-","")),datos!$A$1:$B$12,2,0)</f>
        <v>7</v>
      </c>
      <c r="L2386" s="138" t="s">
        <v>7450</v>
      </c>
      <c r="M2386" s="138" t="s">
        <v>0</v>
      </c>
    </row>
    <row r="2387" spans="1:13" x14ac:dyDescent="0.35">
      <c r="A2387" s="137" t="s">
        <v>487</v>
      </c>
      <c r="B2387" s="137" t="s">
        <v>3809</v>
      </c>
      <c r="C2387" s="137" t="s">
        <v>4109</v>
      </c>
      <c r="D2387" s="137" t="s">
        <v>4110</v>
      </c>
      <c r="E2387" s="137" t="s">
        <v>4049</v>
      </c>
      <c r="F2387" s="137" t="s">
        <v>3847</v>
      </c>
      <c r="G2387" s="137"/>
      <c r="H2387" s="82" t="str">
        <f t="shared" si="150"/>
        <v>TCCN-PTE-PRL-RVS-B04-SMO-</v>
      </c>
      <c r="I2387" s="137" t="str">
        <f>MID(H2387,1,(LEN(H2387)-VLOOKUP(K2387,datos!$B$2:$C$12,2,0)))</f>
        <v>TCCN-PTE-PRL-RVS-B04-SMO</v>
      </c>
      <c r="J2387" s="137" t="s">
        <v>4678</v>
      </c>
      <c r="K2387" s="139">
        <f>VLOOKUP(LEN(SUBSTITUTE(H2387,"-","")),datos!$A$1:$B$12,2,0)</f>
        <v>6</v>
      </c>
      <c r="L2387" s="137"/>
      <c r="M2387" s="137" t="s">
        <v>0</v>
      </c>
    </row>
    <row r="2388" spans="1:13" x14ac:dyDescent="0.35">
      <c r="A2388" s="138" t="s">
        <v>487</v>
      </c>
      <c r="B2388" s="138" t="s">
        <v>3809</v>
      </c>
      <c r="C2388" s="138" t="s">
        <v>4109</v>
      </c>
      <c r="D2388" s="138" t="s">
        <v>4110</v>
      </c>
      <c r="E2388" s="138" t="s">
        <v>4049</v>
      </c>
      <c r="F2388" s="138" t="s">
        <v>3847</v>
      </c>
      <c r="G2388" s="138" t="s">
        <v>3819</v>
      </c>
      <c r="H2388" s="81" t="str">
        <f t="shared" si="150"/>
        <v>TCCN-PTE-PRL-RVS-B04-SMO-MOE</v>
      </c>
      <c r="I2388" s="138" t="str">
        <f>MID(H2388,1,(LEN(H2388)-VLOOKUP(K2388,datos!$B$2:$C$12,2,0)))</f>
        <v>TCCN-PTE-PRL-RVS-B04-SMO-MOE</v>
      </c>
      <c r="J2388" s="138" t="s">
        <v>5355</v>
      </c>
      <c r="K2388" s="140">
        <f>VLOOKUP(LEN(SUBSTITUTE(H2388,"-","")),datos!$A$1:$B$12,2,0)</f>
        <v>7</v>
      </c>
      <c r="L2388" s="138" t="s">
        <v>334</v>
      </c>
      <c r="M2388" s="138" t="s">
        <v>0</v>
      </c>
    </row>
    <row r="2389" spans="1:13" x14ac:dyDescent="0.35">
      <c r="A2389" s="137" t="s">
        <v>487</v>
      </c>
      <c r="B2389" s="137" t="s">
        <v>3809</v>
      </c>
      <c r="C2389" s="137" t="s">
        <v>4109</v>
      </c>
      <c r="D2389" s="137" t="s">
        <v>4113</v>
      </c>
      <c r="E2389" s="137" t="s">
        <v>4049</v>
      </c>
      <c r="F2389" s="137" t="s">
        <v>3831</v>
      </c>
      <c r="G2389" s="137"/>
      <c r="H2389" s="82" t="str">
        <f>CONCATENATE(A2389,"-",B2389,"-",C2389,"-",D2389,"-",E2389,"-",F2389,"-",G2389)</f>
        <v>TCCN-PTE-PRL-EPR-B04-INS-</v>
      </c>
      <c r="I2389" s="137" t="str">
        <f>MID(H2389,1,(LEN(H2389)-VLOOKUP(K2389,datos!$B$2:$C$12,2,0)))</f>
        <v>TCCN-PTE-PRL-EPR-B04-INS</v>
      </c>
      <c r="J2389" s="137" t="s">
        <v>4681</v>
      </c>
      <c r="K2389" s="139">
        <f>VLOOKUP(LEN(SUBSTITUTE(H2389,"-","")),datos!$A$1:$B$12,2,0)</f>
        <v>6</v>
      </c>
      <c r="L2389" s="137"/>
      <c r="M2389" s="137" t="s">
        <v>0</v>
      </c>
    </row>
    <row r="2390" spans="1:13" x14ac:dyDescent="0.35">
      <c r="A2390" s="138" t="s">
        <v>487</v>
      </c>
      <c r="B2390" s="138" t="s">
        <v>3809</v>
      </c>
      <c r="C2390" s="138" t="s">
        <v>4109</v>
      </c>
      <c r="D2390" s="138" t="s">
        <v>4113</v>
      </c>
      <c r="E2390" s="138" t="s">
        <v>4049</v>
      </c>
      <c r="F2390" s="138" t="s">
        <v>3831</v>
      </c>
      <c r="G2390" s="138" t="s">
        <v>7069</v>
      </c>
      <c r="H2390" s="81" t="str">
        <f>CONCATENATE(A2390,"-",B2390,"-",C2390,"-",D2390,"-",E2390,"-",F2390,"-",G2390)</f>
        <v>TCCN-PTE-PRL-EPR-B04-INS-MPN</v>
      </c>
      <c r="I2390" s="138" t="str">
        <f>MID(H2390,1,(LEN(H2390)-VLOOKUP(K2390,datos!$B$2:$C$12,2,0)))</f>
        <v>TCCN-PTE-PRL-EPR-B04-INS-MPN</v>
      </c>
      <c r="J2390" s="138" t="s">
        <v>7579</v>
      </c>
      <c r="K2390" s="140">
        <f>VLOOKUP(LEN(SUBSTITUTE(H2390,"-","")),datos!$A$1:$B$12,2,0)</f>
        <v>7</v>
      </c>
      <c r="L2390" s="138"/>
      <c r="M2390" s="138" t="s">
        <v>0</v>
      </c>
    </row>
    <row r="2391" spans="1:13" x14ac:dyDescent="0.35">
      <c r="A2391" s="137" t="s">
        <v>487</v>
      </c>
      <c r="B2391" s="137" t="s">
        <v>3809</v>
      </c>
      <c r="C2391" s="137" t="s">
        <v>4109</v>
      </c>
      <c r="D2391" s="137" t="s">
        <v>4110</v>
      </c>
      <c r="E2391" s="137" t="s">
        <v>4049</v>
      </c>
      <c r="F2391" s="137" t="s">
        <v>3869</v>
      </c>
      <c r="G2391" s="137"/>
      <c r="H2391" s="82" t="str">
        <f t="shared" si="150"/>
        <v>TCCN-PTE-PRL-RVS-B04-SCE-</v>
      </c>
      <c r="I2391" s="137" t="str">
        <f>MID(H2391,1,(LEN(H2391)-VLOOKUP(K2391,datos!$B$2:$C$12,2,0)))</f>
        <v>TCCN-PTE-PRL-RVS-B04-SCE</v>
      </c>
      <c r="J2391" s="137" t="s">
        <v>4679</v>
      </c>
      <c r="K2391" s="139">
        <f>VLOOKUP(LEN(SUBSTITUTE(H2391,"-","")),datos!$A$1:$B$12,2,0)</f>
        <v>6</v>
      </c>
      <c r="L2391" s="137"/>
      <c r="M2391" s="137" t="s">
        <v>0</v>
      </c>
    </row>
    <row r="2392" spans="1:13" x14ac:dyDescent="0.35">
      <c r="A2392" s="138" t="s">
        <v>487</v>
      </c>
      <c r="B2392" s="138" t="s">
        <v>3809</v>
      </c>
      <c r="C2392" s="138" t="s">
        <v>4109</v>
      </c>
      <c r="D2392" s="138" t="s">
        <v>4110</v>
      </c>
      <c r="E2392" s="138" t="s">
        <v>4049</v>
      </c>
      <c r="F2392" s="138" t="s">
        <v>3869</v>
      </c>
      <c r="G2392" s="138" t="s">
        <v>3870</v>
      </c>
      <c r="H2392" s="81" t="str">
        <f t="shared" si="150"/>
        <v>TCCN-PTE-PRL-RVS-B04-SCE-BTN</v>
      </c>
      <c r="I2392" s="138" t="str">
        <f>MID(H2392,1,(LEN(H2392)-VLOOKUP(K2392,datos!$B$2:$C$12,2,0)))</f>
        <v>TCCN-PTE-PRL-RVS-B04-SCE-BTN</v>
      </c>
      <c r="J2392" s="138" t="s">
        <v>4680</v>
      </c>
      <c r="K2392" s="140">
        <f>VLOOKUP(LEN(SUBSTITUTE(H2392,"-","")),datos!$A$1:$B$12,2,0)</f>
        <v>7</v>
      </c>
      <c r="L2392" s="138"/>
      <c r="M2392" s="138" t="s">
        <v>0</v>
      </c>
    </row>
    <row r="2393" spans="1:13" customFormat="1" ht="14.5" x14ac:dyDescent="0.35">
      <c r="A2393" s="129" t="s">
        <v>487</v>
      </c>
      <c r="B2393" s="129" t="s">
        <v>3809</v>
      </c>
      <c r="C2393" s="129" t="s">
        <v>4109</v>
      </c>
      <c r="D2393" s="129" t="s">
        <v>4110</v>
      </c>
      <c r="E2393" s="129" t="s">
        <v>4047</v>
      </c>
      <c r="F2393" s="129"/>
      <c r="G2393" s="129"/>
      <c r="H2393" s="83" t="str">
        <f t="shared" si="150"/>
        <v>TCCN-PTE-PRL-RVS-UH2--</v>
      </c>
      <c r="I2393" s="129" t="str">
        <f>MID(H2393,1,(LEN(H2393)-VLOOKUP(K2393,datos!$B$2:$C$12,2,0)))</f>
        <v>TCCN-PTE-PRL-RVS-UH2</v>
      </c>
      <c r="J2393" s="129" t="s">
        <v>5047</v>
      </c>
      <c r="K2393" s="130">
        <f>VLOOKUP(LEN(SUBSTITUTE(H2393,"-","")),datos!$A$1:$B$12,2,0)</f>
        <v>5</v>
      </c>
      <c r="L2393" s="129" t="s">
        <v>5045</v>
      </c>
      <c r="M2393" s="129" t="s">
        <v>0</v>
      </c>
    </row>
    <row r="2394" spans="1:13" x14ac:dyDescent="0.35">
      <c r="A2394" s="137" t="s">
        <v>487</v>
      </c>
      <c r="B2394" s="137" t="s">
        <v>3809</v>
      </c>
      <c r="C2394" s="137" t="s">
        <v>4109</v>
      </c>
      <c r="D2394" s="137" t="s">
        <v>4110</v>
      </c>
      <c r="E2394" s="137" t="s">
        <v>4047</v>
      </c>
      <c r="F2394" s="137" t="s">
        <v>5591</v>
      </c>
      <c r="G2394" s="137"/>
      <c r="H2394" s="82" t="str">
        <f t="shared" si="150"/>
        <v>TCCN-PTE-PRL-RVS-UH2-SHD-</v>
      </c>
      <c r="I2394" s="137" t="str">
        <f>MID(H2394,1,(LEN(H2394)-VLOOKUP(K2394,datos!$B$2:$C$12,2,0)))</f>
        <v>TCCN-PTE-PRL-RVS-UH2-SHD</v>
      </c>
      <c r="J2394" s="137" t="s">
        <v>5049</v>
      </c>
      <c r="K2394" s="139">
        <f>VLOOKUP(LEN(SUBSTITUTE(H2394,"-","")),datos!$A$1:$B$12,2,0)</f>
        <v>6</v>
      </c>
      <c r="L2394" s="137"/>
      <c r="M2394" s="137" t="s">
        <v>0</v>
      </c>
    </row>
    <row r="2395" spans="1:13" x14ac:dyDescent="0.35">
      <c r="A2395" s="138" t="s">
        <v>487</v>
      </c>
      <c r="B2395" s="138" t="s">
        <v>3809</v>
      </c>
      <c r="C2395" s="138" t="s">
        <v>4109</v>
      </c>
      <c r="D2395" s="138" t="s">
        <v>4110</v>
      </c>
      <c r="E2395" s="138" t="s">
        <v>4047</v>
      </c>
      <c r="F2395" s="138" t="s">
        <v>5591</v>
      </c>
      <c r="G2395" s="138" t="s">
        <v>3818</v>
      </c>
      <c r="H2395" s="81" t="str">
        <f t="shared" si="150"/>
        <v>TCCN-PTE-PRL-RVS-UH2-SHD-BBA</v>
      </c>
      <c r="I2395" s="138" t="str">
        <f>MID(H2395,1,(LEN(H2395)-VLOOKUP(K2395,datos!$B$2:$C$12,2,0)))</f>
        <v>TCCN-PTE-PRL-RVS-UH2-SHD-BBA</v>
      </c>
      <c r="J2395" s="138" t="s">
        <v>5050</v>
      </c>
      <c r="K2395" s="140">
        <f>VLOOKUP(LEN(SUBSTITUTE(H2395,"-","")),datos!$A$1:$B$12,2,0)</f>
        <v>7</v>
      </c>
      <c r="L2395" s="138"/>
      <c r="M2395" s="138" t="s">
        <v>0</v>
      </c>
    </row>
    <row r="2396" spans="1:13" x14ac:dyDescent="0.35">
      <c r="A2396" s="138" t="s">
        <v>487</v>
      </c>
      <c r="B2396" s="138" t="s">
        <v>3809</v>
      </c>
      <c r="C2396" s="138" t="s">
        <v>4109</v>
      </c>
      <c r="D2396" s="138" t="s">
        <v>4110</v>
      </c>
      <c r="E2396" s="138" t="s">
        <v>4047</v>
      </c>
      <c r="F2396" s="138" t="s">
        <v>5591</v>
      </c>
      <c r="G2396" s="138" t="s">
        <v>4095</v>
      </c>
      <c r="H2396" s="81" t="str">
        <f t="shared" si="150"/>
        <v>TCCN-PTE-PRL-RVS-UH2-SHD-ACU</v>
      </c>
      <c r="I2396" s="138" t="str">
        <f>MID(H2396,1,(LEN(H2396)-VLOOKUP(K2396,datos!$B$2:$C$12,2,0)))</f>
        <v>TCCN-PTE-PRL-RVS-UH2-SHD-ACU</v>
      </c>
      <c r="J2396" s="138" t="s">
        <v>5051</v>
      </c>
      <c r="K2396" s="140">
        <f>VLOOKUP(LEN(SUBSTITUTE(H2396,"-","")),datos!$A$1:$B$12,2,0)</f>
        <v>7</v>
      </c>
      <c r="L2396" s="138"/>
      <c r="M2396" s="138" t="s">
        <v>0</v>
      </c>
    </row>
    <row r="2397" spans="1:13" x14ac:dyDescent="0.35">
      <c r="A2397" s="138" t="s">
        <v>487</v>
      </c>
      <c r="B2397" s="138" t="s">
        <v>3809</v>
      </c>
      <c r="C2397" s="138" t="s">
        <v>4109</v>
      </c>
      <c r="D2397" s="138" t="s">
        <v>4110</v>
      </c>
      <c r="E2397" s="138" t="s">
        <v>4047</v>
      </c>
      <c r="F2397" s="138" t="s">
        <v>5591</v>
      </c>
      <c r="G2397" s="138" t="s">
        <v>3853</v>
      </c>
      <c r="H2397" s="81" t="str">
        <f t="shared" si="150"/>
        <v>TCCN-PTE-PRL-RVS-UH2-SHD-EST</v>
      </c>
      <c r="I2397" s="138" t="str">
        <f>MID(H2397,1,(LEN(H2397)-VLOOKUP(K2397,datos!$B$2:$C$12,2,0)))</f>
        <v>TCCN-PTE-PRL-RVS-UH2-SHD-EST</v>
      </c>
      <c r="J2397" s="138" t="s">
        <v>5052</v>
      </c>
      <c r="K2397" s="140">
        <f>VLOOKUP(LEN(SUBSTITUTE(H2397,"-","")),datos!$A$1:$B$12,2,0)</f>
        <v>7</v>
      </c>
      <c r="L2397" s="138"/>
      <c r="M2397" s="138" t="s">
        <v>0</v>
      </c>
    </row>
    <row r="2398" spans="1:13" x14ac:dyDescent="0.35">
      <c r="A2398" s="137" t="s">
        <v>487</v>
      </c>
      <c r="B2398" s="137" t="s">
        <v>3809</v>
      </c>
      <c r="C2398" s="137" t="s">
        <v>4109</v>
      </c>
      <c r="D2398" s="137" t="s">
        <v>4110</v>
      </c>
      <c r="E2398" s="137" t="s">
        <v>4047</v>
      </c>
      <c r="F2398" s="137" t="s">
        <v>3847</v>
      </c>
      <c r="G2398" s="137"/>
      <c r="H2398" s="82" t="str">
        <f t="shared" si="150"/>
        <v>TCCN-PTE-PRL-RVS-UH2-SMO-</v>
      </c>
      <c r="I2398" s="137" t="str">
        <f>MID(H2398,1,(LEN(H2398)-VLOOKUP(K2398,datos!$B$2:$C$12,2,0)))</f>
        <v>TCCN-PTE-PRL-RVS-UH2-SMO</v>
      </c>
      <c r="J2398" s="137" t="s">
        <v>5053</v>
      </c>
      <c r="K2398" s="139">
        <f>VLOOKUP(LEN(SUBSTITUTE(H2398,"-","")),datos!$A$1:$B$12,2,0)</f>
        <v>6</v>
      </c>
      <c r="L2398" s="137"/>
      <c r="M2398" s="137" t="s">
        <v>0</v>
      </c>
    </row>
    <row r="2399" spans="1:13" x14ac:dyDescent="0.35">
      <c r="A2399" s="138" t="s">
        <v>487</v>
      </c>
      <c r="B2399" s="138" t="s">
        <v>3809</v>
      </c>
      <c r="C2399" s="138" t="s">
        <v>4109</v>
      </c>
      <c r="D2399" s="138" t="s">
        <v>4110</v>
      </c>
      <c r="E2399" s="138" t="s">
        <v>4047</v>
      </c>
      <c r="F2399" s="138" t="s">
        <v>3847</v>
      </c>
      <c r="G2399" s="138" t="s">
        <v>3819</v>
      </c>
      <c r="H2399" s="81" t="str">
        <f t="shared" si="150"/>
        <v>TCCN-PTE-PRL-RVS-UH2-SMO-MOE</v>
      </c>
      <c r="I2399" s="138" t="str">
        <f>MID(H2399,1,(LEN(H2399)-VLOOKUP(K2399,datos!$B$2:$C$12,2,0)))</f>
        <v>TCCN-PTE-PRL-RVS-UH2-SMO-MOE</v>
      </c>
      <c r="J2399" s="138" t="s">
        <v>5356</v>
      </c>
      <c r="K2399" s="140">
        <f>VLOOKUP(LEN(SUBSTITUTE(H2399,"-","")),datos!$A$1:$B$12,2,0)</f>
        <v>7</v>
      </c>
      <c r="L2399" s="138"/>
      <c r="M2399" s="138" t="s">
        <v>0</v>
      </c>
    </row>
    <row r="2400" spans="1:13" x14ac:dyDescent="0.35">
      <c r="A2400" s="137" t="s">
        <v>487</v>
      </c>
      <c r="B2400" s="137" t="s">
        <v>3809</v>
      </c>
      <c r="C2400" s="137" t="s">
        <v>4109</v>
      </c>
      <c r="D2400" s="137" t="s">
        <v>4110</v>
      </c>
      <c r="E2400" s="137" t="s">
        <v>4047</v>
      </c>
      <c r="F2400" s="137" t="s">
        <v>3831</v>
      </c>
      <c r="G2400" s="137"/>
      <c r="H2400" s="82" t="str">
        <f t="shared" si="150"/>
        <v>TCCN-PTE-PRL-RVS-UH2-INS-</v>
      </c>
      <c r="I2400" s="137" t="str">
        <f>MID(H2400,1,(LEN(H2400)-VLOOKUP(K2400,datos!$B$2:$C$12,2,0)))</f>
        <v>TCCN-PTE-PRL-RVS-UH2-INS</v>
      </c>
      <c r="J2400" s="137" t="s">
        <v>5060</v>
      </c>
      <c r="K2400" s="139">
        <f>VLOOKUP(LEN(SUBSTITUTE(H2400,"-","")),datos!$A$1:$B$12,2,0)</f>
        <v>6</v>
      </c>
      <c r="L2400" s="137"/>
      <c r="M2400" s="137" t="s">
        <v>0</v>
      </c>
    </row>
    <row r="2401" spans="1:13" customFormat="1" ht="14.5" x14ac:dyDescent="0.35">
      <c r="A2401" s="129" t="s">
        <v>487</v>
      </c>
      <c r="B2401" s="129" t="s">
        <v>3809</v>
      </c>
      <c r="C2401" s="129" t="s">
        <v>4109</v>
      </c>
      <c r="D2401" s="129" t="s">
        <v>4110</v>
      </c>
      <c r="E2401" s="129" t="s">
        <v>4048</v>
      </c>
      <c r="F2401" s="129"/>
      <c r="G2401" s="129"/>
      <c r="H2401" s="83" t="str">
        <f t="shared" si="150"/>
        <v>TCCN-PTE-PRL-RVS-UH3--</v>
      </c>
      <c r="I2401" s="129" t="str">
        <f>MID(H2401,1,(LEN(H2401)-VLOOKUP(K2401,datos!$B$2:$C$12,2,0)))</f>
        <v>TCCN-PTE-PRL-RVS-UH3</v>
      </c>
      <c r="J2401" s="129" t="s">
        <v>5048</v>
      </c>
      <c r="K2401" s="130">
        <f>VLOOKUP(LEN(SUBSTITUTE(H2401,"-","")),datos!$A$1:$B$12,2,0)</f>
        <v>5</v>
      </c>
      <c r="L2401" s="129" t="s">
        <v>5046</v>
      </c>
      <c r="M2401" s="129" t="s">
        <v>0</v>
      </c>
    </row>
    <row r="2402" spans="1:13" x14ac:dyDescent="0.35">
      <c r="A2402" s="137" t="s">
        <v>487</v>
      </c>
      <c r="B2402" s="137" t="s">
        <v>3809</v>
      </c>
      <c r="C2402" s="137" t="s">
        <v>4109</v>
      </c>
      <c r="D2402" s="137" t="s">
        <v>4110</v>
      </c>
      <c r="E2402" s="137" t="s">
        <v>4048</v>
      </c>
      <c r="F2402" s="137" t="s">
        <v>5591</v>
      </c>
      <c r="G2402" s="137"/>
      <c r="H2402" s="82" t="str">
        <f t="shared" si="150"/>
        <v>TCCN-PTE-PRL-RVS-UH3-SHD-</v>
      </c>
      <c r="I2402" s="137" t="str">
        <f>MID(H2402,1,(LEN(H2402)-VLOOKUP(K2402,datos!$B$2:$C$12,2,0)))</f>
        <v>TCCN-PTE-PRL-RVS-UH3-SHD</v>
      </c>
      <c r="J2402" s="137" t="s">
        <v>5054</v>
      </c>
      <c r="K2402" s="139">
        <f>VLOOKUP(LEN(SUBSTITUTE(H2402,"-","")),datos!$A$1:$B$12,2,0)</f>
        <v>6</v>
      </c>
      <c r="L2402" s="137"/>
      <c r="M2402" s="137" t="s">
        <v>0</v>
      </c>
    </row>
    <row r="2403" spans="1:13" x14ac:dyDescent="0.35">
      <c r="A2403" s="138" t="s">
        <v>487</v>
      </c>
      <c r="B2403" s="138" t="s">
        <v>3809</v>
      </c>
      <c r="C2403" s="138" t="s">
        <v>4109</v>
      </c>
      <c r="D2403" s="138" t="s">
        <v>4110</v>
      </c>
      <c r="E2403" s="138" t="s">
        <v>4048</v>
      </c>
      <c r="F2403" s="138" t="s">
        <v>5591</v>
      </c>
      <c r="G2403" s="138" t="s">
        <v>3818</v>
      </c>
      <c r="H2403" s="81" t="str">
        <f t="shared" si="150"/>
        <v>TCCN-PTE-PRL-RVS-UH3-SHD-BBA</v>
      </c>
      <c r="I2403" s="138" t="str">
        <f>MID(H2403,1,(LEN(H2403)-VLOOKUP(K2403,datos!$B$2:$C$12,2,0)))</f>
        <v>TCCN-PTE-PRL-RVS-UH3-SHD-BBA</v>
      </c>
      <c r="J2403" s="138" t="s">
        <v>5056</v>
      </c>
      <c r="K2403" s="140">
        <f>VLOOKUP(LEN(SUBSTITUTE(H2403,"-","")),datos!$A$1:$B$12,2,0)</f>
        <v>7</v>
      </c>
      <c r="L2403" s="138"/>
      <c r="M2403" s="138" t="s">
        <v>0</v>
      </c>
    </row>
    <row r="2404" spans="1:13" x14ac:dyDescent="0.35">
      <c r="A2404" s="138" t="s">
        <v>487</v>
      </c>
      <c r="B2404" s="138" t="s">
        <v>3809</v>
      </c>
      <c r="C2404" s="138" t="s">
        <v>4109</v>
      </c>
      <c r="D2404" s="138" t="s">
        <v>4110</v>
      </c>
      <c r="E2404" s="138" t="s">
        <v>4048</v>
      </c>
      <c r="F2404" s="138" t="s">
        <v>5591</v>
      </c>
      <c r="G2404" s="138" t="s">
        <v>4095</v>
      </c>
      <c r="H2404" s="81" t="str">
        <f t="shared" si="150"/>
        <v>TCCN-PTE-PRL-RVS-UH3-SHD-ACU</v>
      </c>
      <c r="I2404" s="138" t="str">
        <f>MID(H2404,1,(LEN(H2404)-VLOOKUP(K2404,datos!$B$2:$C$12,2,0)))</f>
        <v>TCCN-PTE-PRL-RVS-UH3-SHD-ACU</v>
      </c>
      <c r="J2404" s="138" t="s">
        <v>5057</v>
      </c>
      <c r="K2404" s="140">
        <f>VLOOKUP(LEN(SUBSTITUTE(H2404,"-","")),datos!$A$1:$B$12,2,0)</f>
        <v>7</v>
      </c>
      <c r="L2404" s="138"/>
      <c r="M2404" s="138" t="s">
        <v>0</v>
      </c>
    </row>
    <row r="2405" spans="1:13" x14ac:dyDescent="0.35">
      <c r="A2405" s="138" t="s">
        <v>487</v>
      </c>
      <c r="B2405" s="138" t="s">
        <v>3809</v>
      </c>
      <c r="C2405" s="138" t="s">
        <v>4109</v>
      </c>
      <c r="D2405" s="138" t="s">
        <v>4110</v>
      </c>
      <c r="E2405" s="138" t="s">
        <v>4048</v>
      </c>
      <c r="F2405" s="138" t="s">
        <v>5591</v>
      </c>
      <c r="G2405" s="138" t="s">
        <v>3853</v>
      </c>
      <c r="H2405" s="81" t="str">
        <f t="shared" si="150"/>
        <v>TCCN-PTE-PRL-RVS-UH3-SHD-EST</v>
      </c>
      <c r="I2405" s="138" t="str">
        <f>MID(H2405,1,(LEN(H2405)-VLOOKUP(K2405,datos!$B$2:$C$12,2,0)))</f>
        <v>TCCN-PTE-PRL-RVS-UH3-SHD-EST</v>
      </c>
      <c r="J2405" s="138" t="s">
        <v>5058</v>
      </c>
      <c r="K2405" s="140">
        <f>VLOOKUP(LEN(SUBSTITUTE(H2405,"-","")),datos!$A$1:$B$12,2,0)</f>
        <v>7</v>
      </c>
      <c r="L2405" s="138"/>
      <c r="M2405" s="138" t="s">
        <v>0</v>
      </c>
    </row>
    <row r="2406" spans="1:13" x14ac:dyDescent="0.35">
      <c r="A2406" s="137" t="s">
        <v>487</v>
      </c>
      <c r="B2406" s="137" t="s">
        <v>3809</v>
      </c>
      <c r="C2406" s="137" t="s">
        <v>4109</v>
      </c>
      <c r="D2406" s="137" t="s">
        <v>4110</v>
      </c>
      <c r="E2406" s="137" t="s">
        <v>4048</v>
      </c>
      <c r="F2406" s="137" t="s">
        <v>3847</v>
      </c>
      <c r="G2406" s="137"/>
      <c r="H2406" s="82" t="str">
        <f t="shared" si="150"/>
        <v>TCCN-PTE-PRL-RVS-UH3-SMO-</v>
      </c>
      <c r="I2406" s="137" t="str">
        <f>MID(H2406,1,(LEN(H2406)-VLOOKUP(K2406,datos!$B$2:$C$12,2,0)))</f>
        <v>TCCN-PTE-PRL-RVS-UH3-SMO</v>
      </c>
      <c r="J2406" s="137" t="s">
        <v>5059</v>
      </c>
      <c r="K2406" s="139">
        <f>VLOOKUP(LEN(SUBSTITUTE(H2406,"-","")),datos!$A$1:$B$12,2,0)</f>
        <v>6</v>
      </c>
      <c r="L2406" s="137"/>
      <c r="M2406" s="137" t="s">
        <v>0</v>
      </c>
    </row>
    <row r="2407" spans="1:13" x14ac:dyDescent="0.35">
      <c r="A2407" s="138" t="s">
        <v>487</v>
      </c>
      <c r="B2407" s="138" t="s">
        <v>3809</v>
      </c>
      <c r="C2407" s="138" t="s">
        <v>4109</v>
      </c>
      <c r="D2407" s="138" t="s">
        <v>4110</v>
      </c>
      <c r="E2407" s="138" t="s">
        <v>4048</v>
      </c>
      <c r="F2407" s="138" t="s">
        <v>3847</v>
      </c>
      <c r="G2407" s="138" t="s">
        <v>3819</v>
      </c>
      <c r="H2407" s="81" t="str">
        <f t="shared" si="150"/>
        <v>TCCN-PTE-PRL-RVS-UH3-SMO-MOE</v>
      </c>
      <c r="I2407" s="138" t="str">
        <f>MID(H2407,1,(LEN(H2407)-VLOOKUP(K2407,datos!$B$2:$C$12,2,0)))</f>
        <v>TCCN-PTE-PRL-RVS-UH3-SMO-MOE</v>
      </c>
      <c r="J2407" s="138" t="s">
        <v>5357</v>
      </c>
      <c r="K2407" s="140">
        <f>VLOOKUP(LEN(SUBSTITUTE(H2407,"-","")),datos!$A$1:$B$12,2,0)</f>
        <v>7</v>
      </c>
      <c r="L2407" s="138"/>
      <c r="M2407" s="138" t="s">
        <v>0</v>
      </c>
    </row>
    <row r="2408" spans="1:13" x14ac:dyDescent="0.35">
      <c r="A2408" s="137" t="s">
        <v>487</v>
      </c>
      <c r="B2408" s="137" t="s">
        <v>3809</v>
      </c>
      <c r="C2408" s="137" t="s">
        <v>4109</v>
      </c>
      <c r="D2408" s="137" t="s">
        <v>4110</v>
      </c>
      <c r="E2408" s="137" t="s">
        <v>4048</v>
      </c>
      <c r="F2408" s="137" t="s">
        <v>3831</v>
      </c>
      <c r="G2408" s="137"/>
      <c r="H2408" s="82" t="str">
        <f t="shared" si="150"/>
        <v>TCCN-PTE-PRL-RVS-UH3-INS-</v>
      </c>
      <c r="I2408" s="137" t="str">
        <f>MID(H2408,1,(LEN(H2408)-VLOOKUP(K2408,datos!$B$2:$C$12,2,0)))</f>
        <v>TCCN-PTE-PRL-RVS-UH3-INS</v>
      </c>
      <c r="J2408" s="137" t="s">
        <v>5061</v>
      </c>
      <c r="K2408" s="139">
        <f>VLOOKUP(LEN(SUBSTITUTE(H2408,"-","")),datos!$A$1:$B$12,2,0)</f>
        <v>6</v>
      </c>
      <c r="L2408" s="137"/>
      <c r="M2408" s="137" t="s">
        <v>0</v>
      </c>
    </row>
    <row r="2409" spans="1:13" customFormat="1" ht="14.5" x14ac:dyDescent="0.35">
      <c r="A2409" s="129" t="s">
        <v>487</v>
      </c>
      <c r="B2409" s="129" t="s">
        <v>3809</v>
      </c>
      <c r="C2409" s="129" t="s">
        <v>4109</v>
      </c>
      <c r="D2409" s="129" t="s">
        <v>4110</v>
      </c>
      <c r="E2409" s="129" t="s">
        <v>3871</v>
      </c>
      <c r="F2409" s="129"/>
      <c r="G2409" s="129"/>
      <c r="H2409" s="83" t="str">
        <f t="shared" si="150"/>
        <v>TCCN-PTE-PRL-RVS-TC2--</v>
      </c>
      <c r="I2409" s="129" t="str">
        <f>MID(H2409,1,(LEN(H2409)-VLOOKUP(K2409,datos!$B$2:$C$12,2,0)))</f>
        <v>TCCN-PTE-PRL-RVS-TC2</v>
      </c>
      <c r="J2409" s="129" t="s">
        <v>8159</v>
      </c>
      <c r="K2409" s="130">
        <f>VLOOKUP(LEN(SUBSTITUTE(H2409,"-","")),datos!$A$1:$B$12,2,0)</f>
        <v>5</v>
      </c>
      <c r="L2409" s="129" t="s">
        <v>335</v>
      </c>
      <c r="M2409" s="129" t="s">
        <v>0</v>
      </c>
    </row>
    <row r="2410" spans="1:13" customFormat="1" ht="14.5" x14ac:dyDescent="0.35">
      <c r="A2410" s="129" t="s">
        <v>487</v>
      </c>
      <c r="B2410" s="129" t="s">
        <v>3809</v>
      </c>
      <c r="C2410" s="129" t="s">
        <v>4109</v>
      </c>
      <c r="D2410" s="129" t="s">
        <v>4110</v>
      </c>
      <c r="E2410" s="129" t="s">
        <v>3872</v>
      </c>
      <c r="F2410" s="129"/>
      <c r="G2410" s="129"/>
      <c r="H2410" s="83" t="str">
        <f t="shared" si="150"/>
        <v>TCCN-PTE-PRL-RVS-TC3--</v>
      </c>
      <c r="I2410" s="129" t="str">
        <f>MID(H2410,1,(LEN(H2410)-VLOOKUP(K2410,datos!$B$2:$C$12,2,0)))</f>
        <v>TCCN-PTE-PRL-RVS-TC3</v>
      </c>
      <c r="J2410" s="129" t="s">
        <v>8160</v>
      </c>
      <c r="K2410" s="130">
        <f>VLOOKUP(LEN(SUBSTITUTE(H2410,"-","")),datos!$A$1:$B$12,2,0)</f>
        <v>5</v>
      </c>
      <c r="L2410" s="129" t="s">
        <v>336</v>
      </c>
      <c r="M2410" s="129" t="s">
        <v>0</v>
      </c>
    </row>
    <row r="2411" spans="1:13" customFormat="1" ht="14.5" x14ac:dyDescent="0.35">
      <c r="A2411" s="129" t="s">
        <v>487</v>
      </c>
      <c r="B2411" s="129" t="s">
        <v>3809</v>
      </c>
      <c r="C2411" s="129" t="s">
        <v>4109</v>
      </c>
      <c r="D2411" s="129" t="s">
        <v>4110</v>
      </c>
      <c r="E2411" s="129" t="s">
        <v>4114</v>
      </c>
      <c r="F2411" s="129"/>
      <c r="G2411" s="129"/>
      <c r="H2411" s="83" t="str">
        <f t="shared" si="150"/>
        <v>TCCN-PTE-PRL-RVS-B05--</v>
      </c>
      <c r="I2411" s="129" t="str">
        <f>MID(H2411,1,(LEN(H2411)-VLOOKUP(K2411,datos!$B$2:$C$12,2,0)))</f>
        <v>TCCN-PTE-PRL-RVS-B05</v>
      </c>
      <c r="J2411" s="129" t="s">
        <v>337</v>
      </c>
      <c r="K2411" s="130">
        <f>VLOOKUP(LEN(SUBSTITUTE(H2411,"-","")),datos!$A$1:$B$12,2,0)</f>
        <v>5</v>
      </c>
      <c r="L2411" s="129" t="s">
        <v>338</v>
      </c>
      <c r="M2411" s="129" t="s">
        <v>0</v>
      </c>
    </row>
    <row r="2412" spans="1:13" x14ac:dyDescent="0.35">
      <c r="A2412" s="137" t="s">
        <v>487</v>
      </c>
      <c r="B2412" s="137" t="s">
        <v>3809</v>
      </c>
      <c r="C2412" s="137" t="s">
        <v>4109</v>
      </c>
      <c r="D2412" s="137" t="s">
        <v>4110</v>
      </c>
      <c r="E2412" s="137" t="s">
        <v>4114</v>
      </c>
      <c r="F2412" s="137" t="s">
        <v>5106</v>
      </c>
      <c r="G2412" s="137"/>
      <c r="H2412" s="82" t="str">
        <f t="shared" si="150"/>
        <v>TCCN-PTE-PRL-RVS-B05-PHU-</v>
      </c>
      <c r="I2412" s="137" t="str">
        <f>MID(H2412,1,(LEN(H2412)-VLOOKUP(K2412,datos!$B$2:$C$12,2,0)))</f>
        <v>TCCN-PTE-PRL-RVS-B05-PHU</v>
      </c>
      <c r="J2412" s="137" t="s">
        <v>4607</v>
      </c>
      <c r="K2412" s="139">
        <f>VLOOKUP(LEN(SUBSTITUTE(H2412,"-","")),datos!$A$1:$B$12,2,0)</f>
        <v>6</v>
      </c>
      <c r="L2412" s="137"/>
      <c r="M2412" s="137" t="s">
        <v>0</v>
      </c>
    </row>
    <row r="2413" spans="1:13" x14ac:dyDescent="0.35">
      <c r="A2413" s="137" t="s">
        <v>487</v>
      </c>
      <c r="B2413" s="137" t="s">
        <v>3809</v>
      </c>
      <c r="C2413" s="137" t="s">
        <v>4109</v>
      </c>
      <c r="D2413" s="137" t="s">
        <v>4110</v>
      </c>
      <c r="E2413" s="137" t="s">
        <v>4114</v>
      </c>
      <c r="F2413" s="137" t="s">
        <v>4073</v>
      </c>
      <c r="G2413" s="137"/>
      <c r="H2413" s="82" t="str">
        <f t="shared" si="150"/>
        <v>TCCN-PTE-PRL-RVS-B05-PYV-</v>
      </c>
      <c r="I2413" s="137" t="str">
        <f>MID(H2413,1,(LEN(H2413)-VLOOKUP(K2413,datos!$B$2:$C$12,2,0)))</f>
        <v>TCCN-PTE-PRL-RVS-B05-PYV</v>
      </c>
      <c r="J2413" s="137" t="s">
        <v>4608</v>
      </c>
      <c r="K2413" s="139">
        <f>VLOOKUP(LEN(SUBSTITUTE(H2413,"-","")),datos!$A$1:$B$12,2,0)</f>
        <v>6</v>
      </c>
      <c r="L2413" s="137"/>
      <c r="M2413" s="137" t="s">
        <v>0</v>
      </c>
    </row>
    <row r="2414" spans="1:13" x14ac:dyDescent="0.35">
      <c r="A2414" s="137" t="s">
        <v>487</v>
      </c>
      <c r="B2414" s="137" t="s">
        <v>3809</v>
      </c>
      <c r="C2414" s="137" t="s">
        <v>4109</v>
      </c>
      <c r="D2414" s="137" t="s">
        <v>4110</v>
      </c>
      <c r="E2414" s="137" t="s">
        <v>4114</v>
      </c>
      <c r="F2414" s="137" t="s">
        <v>3847</v>
      </c>
      <c r="G2414" s="137"/>
      <c r="H2414" s="82" t="str">
        <f t="shared" si="150"/>
        <v>TCCN-PTE-PRL-RVS-B05-SMO-</v>
      </c>
      <c r="I2414" s="137" t="str">
        <f>MID(H2414,1,(LEN(H2414)-VLOOKUP(K2414,datos!$B$2:$C$12,2,0)))</f>
        <v>TCCN-PTE-PRL-RVS-B05-SMO</v>
      </c>
      <c r="J2414" s="137" t="s">
        <v>4609</v>
      </c>
      <c r="K2414" s="139">
        <f>VLOOKUP(LEN(SUBSTITUTE(H2414,"-","")),datos!$A$1:$B$12,2,0)</f>
        <v>6</v>
      </c>
      <c r="L2414" s="137"/>
      <c r="M2414" s="137" t="s">
        <v>0</v>
      </c>
    </row>
    <row r="2415" spans="1:13" x14ac:dyDescent="0.35">
      <c r="A2415" s="138" t="s">
        <v>487</v>
      </c>
      <c r="B2415" s="138" t="s">
        <v>3809</v>
      </c>
      <c r="C2415" s="138" t="s">
        <v>4109</v>
      </c>
      <c r="D2415" s="138" t="s">
        <v>4110</v>
      </c>
      <c r="E2415" s="138" t="s">
        <v>4114</v>
      </c>
      <c r="F2415" s="138" t="s">
        <v>3847</v>
      </c>
      <c r="G2415" s="138" t="s">
        <v>3819</v>
      </c>
      <c r="H2415" s="81" t="str">
        <f t="shared" si="150"/>
        <v>TCCN-PTE-PRL-RVS-B05-SMO-MOE</v>
      </c>
      <c r="I2415" s="138" t="str">
        <f>MID(H2415,1,(LEN(H2415)-VLOOKUP(K2415,datos!$B$2:$C$12,2,0)))</f>
        <v>TCCN-PTE-PRL-RVS-B05-SMO-MOE</v>
      </c>
      <c r="J2415" s="138" t="s">
        <v>5358</v>
      </c>
      <c r="K2415" s="140">
        <f>VLOOKUP(LEN(SUBSTITUTE(H2415,"-","")),datos!$A$1:$B$12,2,0)</f>
        <v>7</v>
      </c>
      <c r="L2415" s="138" t="s">
        <v>339</v>
      </c>
      <c r="M2415" s="138" t="s">
        <v>0</v>
      </c>
    </row>
    <row r="2416" spans="1:13" x14ac:dyDescent="0.35">
      <c r="A2416" s="137" t="s">
        <v>487</v>
      </c>
      <c r="B2416" s="137" t="s">
        <v>3809</v>
      </c>
      <c r="C2416" s="137" t="s">
        <v>4109</v>
      </c>
      <c r="D2416" s="137" t="s">
        <v>4110</v>
      </c>
      <c r="E2416" s="137" t="s">
        <v>4114</v>
      </c>
      <c r="F2416" s="137" t="s">
        <v>3831</v>
      </c>
      <c r="G2416" s="137"/>
      <c r="H2416" s="82" t="str">
        <f>CONCATENATE(A2416,"-",B2416,"-",C2416,"-",D2416,"-",E2416,"-",F2416,"-",G2416)</f>
        <v>TCCN-PTE-PRL-RVS-B05-INS-</v>
      </c>
      <c r="I2416" s="137" t="str">
        <f>MID(H2416,1,(LEN(H2416)-VLOOKUP(K2416,datos!$B$2:$C$12,2,0)))</f>
        <v>TCCN-PTE-PRL-RVS-B05-INS</v>
      </c>
      <c r="J2416" s="137" t="s">
        <v>5593</v>
      </c>
      <c r="K2416" s="139">
        <f>VLOOKUP(LEN(SUBSTITUTE(H2416,"-","")),datos!$A$1:$B$12,2,0)</f>
        <v>6</v>
      </c>
      <c r="L2416" s="137"/>
      <c r="M2416" s="137" t="s">
        <v>0</v>
      </c>
    </row>
    <row r="2417" spans="1:13" x14ac:dyDescent="0.35">
      <c r="A2417" s="138" t="s">
        <v>487</v>
      </c>
      <c r="B2417" s="138" t="s">
        <v>3809</v>
      </c>
      <c r="C2417" s="138" t="s">
        <v>4109</v>
      </c>
      <c r="D2417" s="138" t="s">
        <v>4110</v>
      </c>
      <c r="E2417" s="138" t="s">
        <v>4114</v>
      </c>
      <c r="F2417" s="138" t="s">
        <v>3831</v>
      </c>
      <c r="G2417" s="138" t="s">
        <v>7069</v>
      </c>
      <c r="H2417" s="81" t="str">
        <f>CONCATENATE(A2417,"-",B2417,"-",C2417,"-",D2417,"-",E2417,"-",F2417,"-",G2417)</f>
        <v>TCCN-PTE-PRL-RVS-B05-INS-MPN</v>
      </c>
      <c r="I2417" s="138" t="str">
        <f>MID(H2417,1,(LEN(H2417)-VLOOKUP(K2417,datos!$B$2:$C$12,2,0)))</f>
        <v>TCCN-PTE-PRL-RVS-B05-INS-MPN</v>
      </c>
      <c r="J2417" s="138" t="s">
        <v>7580</v>
      </c>
      <c r="K2417" s="140">
        <f>VLOOKUP(LEN(SUBSTITUTE(H2417,"-","")),datos!$A$1:$B$12,2,0)</f>
        <v>7</v>
      </c>
      <c r="L2417" s="138"/>
      <c r="M2417" s="138" t="s">
        <v>0</v>
      </c>
    </row>
    <row r="2418" spans="1:13" x14ac:dyDescent="0.35">
      <c r="A2418" s="137" t="s">
        <v>487</v>
      </c>
      <c r="B2418" s="137" t="s">
        <v>3809</v>
      </c>
      <c r="C2418" s="137" t="s">
        <v>4109</v>
      </c>
      <c r="D2418" s="137" t="s">
        <v>4110</v>
      </c>
      <c r="E2418" s="137" t="s">
        <v>4114</v>
      </c>
      <c r="F2418" s="137" t="s">
        <v>3869</v>
      </c>
      <c r="G2418" s="137"/>
      <c r="H2418" s="82" t="str">
        <f t="shared" si="150"/>
        <v>TCCN-PTE-PRL-RVS-B05-SCE-</v>
      </c>
      <c r="I2418" s="137" t="str">
        <f>MID(H2418,1,(LEN(H2418)-VLOOKUP(K2418,datos!$B$2:$C$12,2,0)))</f>
        <v>TCCN-PTE-PRL-RVS-B05-SCE</v>
      </c>
      <c r="J2418" s="137" t="s">
        <v>4610</v>
      </c>
      <c r="K2418" s="139">
        <f>VLOOKUP(LEN(SUBSTITUTE(H2418,"-","")),datos!$A$1:$B$12,2,0)</f>
        <v>6</v>
      </c>
      <c r="L2418" s="137"/>
      <c r="M2418" s="137" t="s">
        <v>0</v>
      </c>
    </row>
    <row r="2419" spans="1:13" x14ac:dyDescent="0.35">
      <c r="A2419" s="138" t="s">
        <v>487</v>
      </c>
      <c r="B2419" s="138" t="s">
        <v>3809</v>
      </c>
      <c r="C2419" s="138" t="s">
        <v>4109</v>
      </c>
      <c r="D2419" s="138" t="s">
        <v>4110</v>
      </c>
      <c r="E2419" s="138" t="s">
        <v>4114</v>
      </c>
      <c r="F2419" s="138" t="s">
        <v>3869</v>
      </c>
      <c r="G2419" s="138" t="s">
        <v>3870</v>
      </c>
      <c r="H2419" s="81" t="str">
        <f t="shared" si="150"/>
        <v>TCCN-PTE-PRL-RVS-B05-SCE-BTN</v>
      </c>
      <c r="I2419" s="138" t="str">
        <f>MID(H2419,1,(LEN(H2419)-VLOOKUP(K2419,datos!$B$2:$C$12,2,0)))</f>
        <v>TCCN-PTE-PRL-RVS-B05-SCE-BTN</v>
      </c>
      <c r="J2419" s="138" t="s">
        <v>6258</v>
      </c>
      <c r="K2419" s="140">
        <f>VLOOKUP(LEN(SUBSTITUTE(H2419,"-","")),datos!$A$1:$B$12,2,0)</f>
        <v>7</v>
      </c>
      <c r="L2419" s="138"/>
      <c r="M2419" s="138" t="s">
        <v>0</v>
      </c>
    </row>
    <row r="2420" spans="1:13" customFormat="1" ht="14.5" x14ac:dyDescent="0.35">
      <c r="A2420" s="129" t="s">
        <v>487</v>
      </c>
      <c r="B2420" s="129" t="s">
        <v>3809</v>
      </c>
      <c r="C2420" s="129" t="s">
        <v>4109</v>
      </c>
      <c r="D2420" s="129" t="s">
        <v>4110</v>
      </c>
      <c r="E2420" s="129" t="s">
        <v>4115</v>
      </c>
      <c r="F2420" s="129"/>
      <c r="G2420" s="129"/>
      <c r="H2420" s="83" t="str">
        <f t="shared" si="150"/>
        <v>TCCN-PTE-PRL-RVS-GP1--</v>
      </c>
      <c r="I2420" s="129" t="str">
        <f>MID(H2420,1,(LEN(H2420)-VLOOKUP(K2420,datos!$B$2:$C$12,2,0)))</f>
        <v>TCCN-PTE-PRL-RVS-GP1</v>
      </c>
      <c r="J2420" s="129" t="s">
        <v>1488</v>
      </c>
      <c r="K2420" s="130">
        <f>VLOOKUP(LEN(SUBSTITUTE(H2420,"-","")),datos!$A$1:$B$12,2,0)</f>
        <v>5</v>
      </c>
      <c r="L2420" s="129" t="s">
        <v>340</v>
      </c>
      <c r="M2420" s="129" t="s">
        <v>0</v>
      </c>
    </row>
    <row r="2421" spans="1:13" customFormat="1" ht="14.5" x14ac:dyDescent="0.35">
      <c r="A2421" s="129" t="s">
        <v>487</v>
      </c>
      <c r="B2421" s="129" t="s">
        <v>3809</v>
      </c>
      <c r="C2421" s="129" t="s">
        <v>4109</v>
      </c>
      <c r="D2421" s="129" t="s">
        <v>4110</v>
      </c>
      <c r="E2421" s="129" t="s">
        <v>3988</v>
      </c>
      <c r="F2421" s="129"/>
      <c r="G2421" s="129"/>
      <c r="H2421" s="83" t="str">
        <f t="shared" si="150"/>
        <v>TCCN-PTE-PRL-RVS-CMU--</v>
      </c>
      <c r="I2421" s="129" t="str">
        <f>MID(H2421,1,(LEN(H2421)-VLOOKUP(K2421,datos!$B$2:$C$12,2,0)))</f>
        <v>TCCN-PTE-PRL-RVS-CMU</v>
      </c>
      <c r="J2421" s="129" t="s">
        <v>341</v>
      </c>
      <c r="K2421" s="130">
        <f>VLOOKUP(LEN(SUBSTITUTE(H2421,"-","")),datos!$A$1:$B$12,2,0)</f>
        <v>5</v>
      </c>
      <c r="L2421" s="129" t="s">
        <v>342</v>
      </c>
      <c r="M2421" s="129" t="s">
        <v>0</v>
      </c>
    </row>
    <row r="2422" spans="1:13" x14ac:dyDescent="0.35">
      <c r="A2422" s="137" t="s">
        <v>487</v>
      </c>
      <c r="B2422" s="137" t="s">
        <v>3809</v>
      </c>
      <c r="C2422" s="137" t="s">
        <v>4109</v>
      </c>
      <c r="D2422" s="137" t="s">
        <v>4110</v>
      </c>
      <c r="E2422" s="137" t="s">
        <v>3988</v>
      </c>
      <c r="F2422" s="137" t="s">
        <v>3821</v>
      </c>
      <c r="G2422" s="137"/>
      <c r="H2422" s="82" t="str">
        <f t="shared" ref="H2422:H2425" si="151">CONCATENATE(A2422,"-",B2422,"-",C2422,"-",D2422,"-",E2422,"-",F2422,"-",G2422)</f>
        <v>TCCN-PTE-PRL-RVS-CMU-SME-</v>
      </c>
      <c r="I2422" s="137" t="str">
        <f>MID(H2422,1,(LEN(H2422)-VLOOKUP(K2422,datos!$B$2:$C$12,2,0)))</f>
        <v>TCCN-PTE-PRL-RVS-CMU-SME</v>
      </c>
      <c r="J2422" s="137" t="s">
        <v>7243</v>
      </c>
      <c r="K2422" s="139">
        <f>VLOOKUP(LEN(SUBSTITUTE(H2422,"-","")),datos!$A$1:$B$12,2,0)</f>
        <v>6</v>
      </c>
      <c r="L2422" s="137"/>
      <c r="M2422" s="137" t="s">
        <v>0</v>
      </c>
    </row>
    <row r="2423" spans="1:13" x14ac:dyDescent="0.35">
      <c r="A2423" s="137" t="s">
        <v>487</v>
      </c>
      <c r="B2423" s="137" t="s">
        <v>3809</v>
      </c>
      <c r="C2423" s="137" t="s">
        <v>4109</v>
      </c>
      <c r="D2423" s="137" t="s">
        <v>4110</v>
      </c>
      <c r="E2423" s="137" t="s">
        <v>3988</v>
      </c>
      <c r="F2423" s="137" t="s">
        <v>3847</v>
      </c>
      <c r="G2423" s="137"/>
      <c r="H2423" s="82" t="str">
        <f t="shared" si="151"/>
        <v>TCCN-PTE-PRL-RVS-CMU-SMO-</v>
      </c>
      <c r="I2423" s="137" t="str">
        <f>MID(H2423,1,(LEN(H2423)-VLOOKUP(K2423,datos!$B$2:$C$12,2,0)))</f>
        <v>TCCN-PTE-PRL-RVS-CMU-SMO</v>
      </c>
      <c r="J2423" s="137" t="s">
        <v>7242</v>
      </c>
      <c r="K2423" s="139">
        <f>VLOOKUP(LEN(SUBSTITUTE(H2423,"-","")),datos!$A$1:$B$12,2,0)</f>
        <v>6</v>
      </c>
      <c r="L2423" s="137"/>
      <c r="M2423" s="137" t="s">
        <v>0</v>
      </c>
    </row>
    <row r="2424" spans="1:13" x14ac:dyDescent="0.35">
      <c r="A2424" s="137" t="s">
        <v>487</v>
      </c>
      <c r="B2424" s="137" t="s">
        <v>3809</v>
      </c>
      <c r="C2424" s="137" t="s">
        <v>4109</v>
      </c>
      <c r="D2424" s="137" t="s">
        <v>4110</v>
      </c>
      <c r="E2424" s="137" t="s">
        <v>3988</v>
      </c>
      <c r="F2424" s="137" t="s">
        <v>3869</v>
      </c>
      <c r="G2424" s="137"/>
      <c r="H2424" s="82" t="str">
        <f t="shared" si="151"/>
        <v>TCCN-PTE-PRL-RVS-CMU-SCE-</v>
      </c>
      <c r="I2424" s="137" t="str">
        <f>MID(H2424,1,(LEN(H2424)-VLOOKUP(K2424,datos!$B$2:$C$12,2,0)))</f>
        <v>TCCN-PTE-PRL-RVS-CMU-SCE</v>
      </c>
      <c r="J2424" s="137" t="s">
        <v>7241</v>
      </c>
      <c r="K2424" s="139">
        <f>VLOOKUP(LEN(SUBSTITUTE(H2424,"-","")),datos!$A$1:$B$12,2,0)</f>
        <v>6</v>
      </c>
      <c r="L2424" s="137"/>
      <c r="M2424" s="137" t="s">
        <v>0</v>
      </c>
    </row>
    <row r="2425" spans="1:13" customFormat="1" ht="14.5" x14ac:dyDescent="0.35">
      <c r="A2425" s="84" t="s">
        <v>487</v>
      </c>
      <c r="B2425" s="84" t="s">
        <v>3809</v>
      </c>
      <c r="C2425" s="84" t="s">
        <v>4109</v>
      </c>
      <c r="D2425" s="84" t="s">
        <v>4113</v>
      </c>
      <c r="E2425" s="84"/>
      <c r="F2425" s="84"/>
      <c r="G2425" s="84"/>
      <c r="H2425" s="84" t="str">
        <f t="shared" si="151"/>
        <v>TCCN-PTE-PRL-EPR---</v>
      </c>
      <c r="I2425" s="84" t="str">
        <f>MID(H2425,1,(LEN(H2425)-VLOOKUP(K2425,datos!$B$2:$C$12,2,0)))</f>
        <v>TCCN-PTE-PRL-EPR</v>
      </c>
      <c r="J2425" s="84" t="s">
        <v>7346</v>
      </c>
      <c r="K2425" s="119">
        <f>VLOOKUP(LEN(SUBSTITUTE(H2425,"-","")),datos!$A$1:$B$12,2,0)</f>
        <v>4</v>
      </c>
      <c r="L2425" s="84"/>
      <c r="M2425" s="84" t="s">
        <v>0</v>
      </c>
    </row>
    <row r="2426" spans="1:13" customFormat="1" ht="14.5" x14ac:dyDescent="0.35">
      <c r="A2426" s="129" t="s">
        <v>487</v>
      </c>
      <c r="B2426" s="129" t="s">
        <v>3809</v>
      </c>
      <c r="C2426" s="129" t="s">
        <v>4109</v>
      </c>
      <c r="D2426" s="129" t="s">
        <v>4113</v>
      </c>
      <c r="E2426" s="129" t="s">
        <v>3853</v>
      </c>
      <c r="F2426" s="129"/>
      <c r="G2426" s="129"/>
      <c r="H2426" s="83" t="str">
        <f t="shared" si="150"/>
        <v>TCCN-PTE-PRL-EPR-EST--</v>
      </c>
      <c r="I2426" s="129" t="str">
        <f>MID(H2426,1,(LEN(H2426)-VLOOKUP(K2426,datos!$B$2:$C$12,2,0)))</f>
        <v>TCCN-PTE-PRL-EPR-EST</v>
      </c>
      <c r="J2426" s="129" t="s">
        <v>8161</v>
      </c>
      <c r="K2426" s="130">
        <f>VLOOKUP(LEN(SUBSTITUTE(H2426,"-","")),datos!$A$1:$B$12,2,0)</f>
        <v>5</v>
      </c>
      <c r="L2426" s="129" t="s">
        <v>346</v>
      </c>
      <c r="M2426" s="129" t="s">
        <v>0</v>
      </c>
    </row>
    <row r="2427" spans="1:13" x14ac:dyDescent="0.35">
      <c r="A2427" s="137" t="s">
        <v>487</v>
      </c>
      <c r="B2427" s="137" t="s">
        <v>3809</v>
      </c>
      <c r="C2427" s="137" t="s">
        <v>4109</v>
      </c>
      <c r="D2427" s="137" t="s">
        <v>4113</v>
      </c>
      <c r="E2427" s="137" t="s">
        <v>3853</v>
      </c>
      <c r="F2427" s="137" t="s">
        <v>3831</v>
      </c>
      <c r="G2427" s="137"/>
      <c r="H2427" s="82" t="str">
        <f t="shared" si="150"/>
        <v>TCCN-PTE-PRL-EPR-EST-INS-</v>
      </c>
      <c r="I2427" s="137" t="str">
        <f>MID(H2427,1,(LEN(H2427)-VLOOKUP(K2427,datos!$B$2:$C$12,2,0)))</f>
        <v>TCCN-PTE-PRL-EPR-EST-INS</v>
      </c>
      <c r="J2427" s="137" t="s">
        <v>4606</v>
      </c>
      <c r="K2427" s="139">
        <f>VLOOKUP(LEN(SUBSTITUTE(H2427,"-","")),datos!$A$1:$B$12,2,0)</f>
        <v>6</v>
      </c>
      <c r="L2427" s="137"/>
      <c r="M2427" s="137" t="s">
        <v>0</v>
      </c>
    </row>
    <row r="2428" spans="1:13" x14ac:dyDescent="0.35">
      <c r="A2428" s="138" t="s">
        <v>487</v>
      </c>
      <c r="B2428" s="138" t="s">
        <v>3809</v>
      </c>
      <c r="C2428" s="138" t="s">
        <v>4109</v>
      </c>
      <c r="D2428" s="138" t="s">
        <v>4113</v>
      </c>
      <c r="E2428" s="138" t="s">
        <v>3853</v>
      </c>
      <c r="F2428" s="138" t="s">
        <v>3831</v>
      </c>
      <c r="G2428" s="138" t="s">
        <v>5256</v>
      </c>
      <c r="H2428" s="81" t="str">
        <f t="shared" si="150"/>
        <v>TCCN-PTE-PRL-EPR-EST-INS-MNV</v>
      </c>
      <c r="I2428" s="138" t="str">
        <f>MID(H2428,1,(LEN(H2428)-VLOOKUP(K2428,datos!$B$2:$C$12,2,0)))</f>
        <v>TCCN-PTE-PRL-EPR-EST-INS-MNV</v>
      </c>
      <c r="J2428" s="138" t="s">
        <v>7620</v>
      </c>
      <c r="K2428" s="140">
        <f>VLOOKUP(LEN(SUBSTITUTE(H2428,"-","")),datos!$A$1:$B$12,2,0)</f>
        <v>7</v>
      </c>
      <c r="L2428" s="138" t="s">
        <v>7639</v>
      </c>
      <c r="M2428" s="138" t="s">
        <v>0</v>
      </c>
    </row>
    <row r="2429" spans="1:13" x14ac:dyDescent="0.35">
      <c r="A2429" s="137" t="s">
        <v>487</v>
      </c>
      <c r="B2429" s="137" t="s">
        <v>3809</v>
      </c>
      <c r="C2429" s="137" t="s">
        <v>4109</v>
      </c>
      <c r="D2429" s="137" t="s">
        <v>4113</v>
      </c>
      <c r="E2429" s="137" t="s">
        <v>3853</v>
      </c>
      <c r="F2429" s="137" t="s">
        <v>3824</v>
      </c>
      <c r="G2429" s="137"/>
      <c r="H2429" s="82" t="str">
        <f t="shared" ref="H2429" si="152">CONCATENATE(A2429,"-",B2429,"-",C2429,"-",D2429,"-",E2429,"-",F2429,"-",G2429)</f>
        <v>TCCN-PTE-PRL-EPR-EST-SES-</v>
      </c>
      <c r="I2429" s="137" t="str">
        <f>MID(H2429,1,(LEN(H2429)-VLOOKUP(K2429,datos!$B$2:$C$12,2,0)))</f>
        <v>TCCN-PTE-PRL-EPR-EST-SES</v>
      </c>
      <c r="J2429" s="137" t="s">
        <v>7144</v>
      </c>
      <c r="K2429" s="139">
        <f>VLOOKUP(LEN(SUBSTITUTE(H2429,"-","")),datos!$A$1:$B$12,2,0)</f>
        <v>6</v>
      </c>
      <c r="L2429" s="137"/>
      <c r="M2429" s="137" t="s">
        <v>0</v>
      </c>
    </row>
    <row r="2430" spans="1:13" customFormat="1" ht="14.5" x14ac:dyDescent="0.35">
      <c r="A2430" s="129" t="s">
        <v>487</v>
      </c>
      <c r="B2430" s="129" t="s">
        <v>3809</v>
      </c>
      <c r="C2430" s="129" t="s">
        <v>4109</v>
      </c>
      <c r="D2430" s="129" t="s">
        <v>4113</v>
      </c>
      <c r="E2430" s="129" t="s">
        <v>4052</v>
      </c>
      <c r="F2430" s="129"/>
      <c r="G2430" s="129"/>
      <c r="H2430" s="83" t="str">
        <f t="shared" si="150"/>
        <v>TCCN-PTE-PRL-EPR-AGT--</v>
      </c>
      <c r="I2430" s="129" t="str">
        <f>MID(H2430,1,(LEN(H2430)-VLOOKUP(K2430,datos!$B$2:$C$12,2,0)))</f>
        <v>TCCN-PTE-PRL-EPR-AGT</v>
      </c>
      <c r="J2430" s="129" t="s">
        <v>347</v>
      </c>
      <c r="K2430" s="130">
        <f>VLOOKUP(LEN(SUBSTITUTE(H2430,"-","")),datos!$A$1:$B$12,2,0)</f>
        <v>5</v>
      </c>
      <c r="L2430" s="129" t="s">
        <v>348</v>
      </c>
      <c r="M2430" s="129" t="s">
        <v>0</v>
      </c>
    </row>
    <row r="2431" spans="1:13" x14ac:dyDescent="0.35">
      <c r="A2431" s="137" t="s">
        <v>487</v>
      </c>
      <c r="B2431" s="137" t="s">
        <v>3809</v>
      </c>
      <c r="C2431" s="137" t="s">
        <v>4109</v>
      </c>
      <c r="D2431" s="137" t="s">
        <v>4113</v>
      </c>
      <c r="E2431" s="137" t="s">
        <v>4052</v>
      </c>
      <c r="F2431" s="137" t="s">
        <v>3847</v>
      </c>
      <c r="G2431" s="137"/>
      <c r="H2431" s="82" t="str">
        <f t="shared" si="150"/>
        <v>TCCN-PTE-PRL-EPR-AGT-SMO-</v>
      </c>
      <c r="I2431" s="137" t="str">
        <f>MID(H2431,1,(LEN(H2431)-VLOOKUP(K2431,datos!$B$2:$C$12,2,0)))</f>
        <v>TCCN-PTE-PRL-EPR-AGT-SMO</v>
      </c>
      <c r="J2431" s="137" t="s">
        <v>4602</v>
      </c>
      <c r="K2431" s="139">
        <f>VLOOKUP(LEN(SUBSTITUTE(H2431,"-","")),datos!$A$1:$B$12,2,0)</f>
        <v>6</v>
      </c>
      <c r="L2431" s="137"/>
      <c r="M2431" s="137" t="s">
        <v>0</v>
      </c>
    </row>
    <row r="2432" spans="1:13" x14ac:dyDescent="0.35">
      <c r="A2432" s="138" t="s">
        <v>487</v>
      </c>
      <c r="B2432" s="138" t="s">
        <v>3809</v>
      </c>
      <c r="C2432" s="138" t="s">
        <v>4109</v>
      </c>
      <c r="D2432" s="138" t="s">
        <v>4113</v>
      </c>
      <c r="E2432" s="138" t="s">
        <v>4052</v>
      </c>
      <c r="F2432" s="138" t="s">
        <v>3847</v>
      </c>
      <c r="G2432" s="138" t="s">
        <v>3819</v>
      </c>
      <c r="H2432" s="81" t="str">
        <f t="shared" si="150"/>
        <v>TCCN-PTE-PRL-EPR-AGT-SMO-MOE</v>
      </c>
      <c r="I2432" s="138" t="str">
        <f>MID(H2432,1,(LEN(H2432)-VLOOKUP(K2432,datos!$B$2:$C$12,2,0)))</f>
        <v>TCCN-PTE-PRL-EPR-AGT-SMO-MOE</v>
      </c>
      <c r="J2432" s="138" t="s">
        <v>5359</v>
      </c>
      <c r="K2432" s="140">
        <f>VLOOKUP(LEN(SUBSTITUTE(H2432,"-","")),datos!$A$1:$B$12,2,0)</f>
        <v>7</v>
      </c>
      <c r="L2432" s="138"/>
      <c r="M2432" s="138" t="s">
        <v>0</v>
      </c>
    </row>
    <row r="2433" spans="1:13" x14ac:dyDescent="0.35">
      <c r="A2433" s="138" t="s">
        <v>487</v>
      </c>
      <c r="B2433" s="138" t="s">
        <v>3809</v>
      </c>
      <c r="C2433" s="138" t="s">
        <v>4109</v>
      </c>
      <c r="D2433" s="138" t="s">
        <v>4113</v>
      </c>
      <c r="E2433" s="138" t="s">
        <v>4052</v>
      </c>
      <c r="F2433" s="138" t="s">
        <v>3847</v>
      </c>
      <c r="G2433" s="138" t="s">
        <v>3861</v>
      </c>
      <c r="H2433" s="81" t="str">
        <f t="shared" si="150"/>
        <v>TCCN-PTE-PRL-EPR-AGT-SMO-RED</v>
      </c>
      <c r="I2433" s="138" t="str">
        <f>MID(H2433,1,(LEN(H2433)-VLOOKUP(K2433,datos!$B$2:$C$12,2,0)))</f>
        <v>TCCN-PTE-PRL-EPR-AGT-SMO-RED</v>
      </c>
      <c r="J2433" s="138" t="s">
        <v>4603</v>
      </c>
      <c r="K2433" s="140">
        <f>VLOOKUP(LEN(SUBSTITUTE(H2433,"-","")),datos!$A$1:$B$12,2,0)</f>
        <v>7</v>
      </c>
      <c r="L2433" s="138"/>
      <c r="M2433" s="138" t="s">
        <v>0</v>
      </c>
    </row>
    <row r="2434" spans="1:13" x14ac:dyDescent="0.35">
      <c r="A2434" s="137" t="s">
        <v>487</v>
      </c>
      <c r="B2434" s="137" t="s">
        <v>3809</v>
      </c>
      <c r="C2434" s="137" t="s">
        <v>4109</v>
      </c>
      <c r="D2434" s="137" t="s">
        <v>4113</v>
      </c>
      <c r="E2434" s="137" t="s">
        <v>4052</v>
      </c>
      <c r="F2434" s="137" t="s">
        <v>3869</v>
      </c>
      <c r="G2434" s="137"/>
      <c r="H2434" s="82" t="str">
        <f t="shared" si="150"/>
        <v>TCCN-PTE-PRL-EPR-AGT-SCE-</v>
      </c>
      <c r="I2434" s="137" t="str">
        <f>MID(H2434,1,(LEN(H2434)-VLOOKUP(K2434,datos!$B$2:$C$12,2,0)))</f>
        <v>TCCN-PTE-PRL-EPR-AGT-SCE</v>
      </c>
      <c r="J2434" s="137" t="s">
        <v>4604</v>
      </c>
      <c r="K2434" s="139">
        <f>VLOOKUP(LEN(SUBSTITUTE(H2434,"-","")),datos!$A$1:$B$12,2,0)</f>
        <v>6</v>
      </c>
      <c r="L2434" s="137"/>
      <c r="M2434" s="137" t="s">
        <v>0</v>
      </c>
    </row>
    <row r="2435" spans="1:13" x14ac:dyDescent="0.35">
      <c r="A2435" s="138" t="s">
        <v>487</v>
      </c>
      <c r="B2435" s="138" t="s">
        <v>3809</v>
      </c>
      <c r="C2435" s="138" t="s">
        <v>4109</v>
      </c>
      <c r="D2435" s="138" t="s">
        <v>4113</v>
      </c>
      <c r="E2435" s="138" t="s">
        <v>4052</v>
      </c>
      <c r="F2435" s="138" t="s">
        <v>3869</v>
      </c>
      <c r="G2435" s="138" t="s">
        <v>3870</v>
      </c>
      <c r="H2435" s="81" t="str">
        <f t="shared" si="150"/>
        <v>TCCN-PTE-PRL-EPR-AGT-SCE-BTN</v>
      </c>
      <c r="I2435" s="138" t="str">
        <f>MID(H2435,1,(LEN(H2435)-VLOOKUP(K2435,datos!$B$2:$C$12,2,0)))</f>
        <v>TCCN-PTE-PRL-EPR-AGT-SCE-BTN</v>
      </c>
      <c r="J2435" s="138" t="s">
        <v>4605</v>
      </c>
      <c r="K2435" s="140">
        <f>VLOOKUP(LEN(SUBSTITUTE(H2435,"-","")),datos!$A$1:$B$12,2,0)</f>
        <v>7</v>
      </c>
      <c r="L2435" s="138"/>
      <c r="M2435" s="138" t="s">
        <v>0</v>
      </c>
    </row>
    <row r="2436" spans="1:13" customFormat="1" ht="14.5" x14ac:dyDescent="0.35">
      <c r="A2436" s="129" t="s">
        <v>487</v>
      </c>
      <c r="B2436" s="129" t="s">
        <v>3809</v>
      </c>
      <c r="C2436" s="129" t="s">
        <v>4109</v>
      </c>
      <c r="D2436" s="129" t="s">
        <v>4113</v>
      </c>
      <c r="E2436" s="129" t="s">
        <v>4116</v>
      </c>
      <c r="F2436" s="129"/>
      <c r="G2436" s="129"/>
      <c r="H2436" s="83" t="str">
        <f t="shared" si="150"/>
        <v>TCCN-PTE-PRL-EPR-B06--</v>
      </c>
      <c r="I2436" s="129" t="str">
        <f>MID(H2436,1,(LEN(H2436)-VLOOKUP(K2436,datos!$B$2:$C$12,2,0)))</f>
        <v>TCCN-PTE-PRL-EPR-B06</v>
      </c>
      <c r="J2436" s="129" t="s">
        <v>4594</v>
      </c>
      <c r="K2436" s="130">
        <f>VLOOKUP(LEN(SUBSTITUTE(H2436,"-","")),datos!$A$1:$B$12,2,0)</f>
        <v>5</v>
      </c>
      <c r="L2436" s="129" t="s">
        <v>349</v>
      </c>
      <c r="M2436" s="129" t="s">
        <v>0</v>
      </c>
    </row>
    <row r="2437" spans="1:13" x14ac:dyDescent="0.35">
      <c r="A2437" s="137" t="s">
        <v>487</v>
      </c>
      <c r="B2437" s="137" t="s">
        <v>3809</v>
      </c>
      <c r="C2437" s="137" t="s">
        <v>4109</v>
      </c>
      <c r="D2437" s="137" t="s">
        <v>4113</v>
      </c>
      <c r="E2437" s="137" t="s">
        <v>4116</v>
      </c>
      <c r="F2437" s="137" t="s">
        <v>5106</v>
      </c>
      <c r="G2437" s="137"/>
      <c r="H2437" s="82" t="str">
        <f t="shared" si="150"/>
        <v>TCCN-PTE-PRL-EPR-B06-PHU-</v>
      </c>
      <c r="I2437" s="137" t="str">
        <f>MID(H2437,1,(LEN(H2437)-VLOOKUP(K2437,datos!$B$2:$C$12,2,0)))</f>
        <v>TCCN-PTE-PRL-EPR-B06-PHU</v>
      </c>
      <c r="J2437" s="137" t="s">
        <v>4595</v>
      </c>
      <c r="K2437" s="139">
        <f>VLOOKUP(LEN(SUBSTITUTE(H2437,"-","")),datos!$A$1:$B$12,2,0)</f>
        <v>6</v>
      </c>
      <c r="L2437" s="137"/>
      <c r="M2437" s="137" t="s">
        <v>0</v>
      </c>
    </row>
    <row r="2438" spans="1:13" x14ac:dyDescent="0.35">
      <c r="A2438" s="137" t="s">
        <v>487</v>
      </c>
      <c r="B2438" s="137" t="s">
        <v>3809</v>
      </c>
      <c r="C2438" s="137" t="s">
        <v>4109</v>
      </c>
      <c r="D2438" s="137" t="s">
        <v>4113</v>
      </c>
      <c r="E2438" s="137" t="s">
        <v>4116</v>
      </c>
      <c r="F2438" s="137" t="s">
        <v>4073</v>
      </c>
      <c r="G2438" s="137"/>
      <c r="H2438" s="82" t="str">
        <f t="shared" si="150"/>
        <v>TCCN-PTE-PRL-EPR-B06-PYV-</v>
      </c>
      <c r="I2438" s="137" t="str">
        <f>MID(H2438,1,(LEN(H2438)-VLOOKUP(K2438,datos!$B$2:$C$12,2,0)))</f>
        <v>TCCN-PTE-PRL-EPR-B06-PYV</v>
      </c>
      <c r="J2438" s="137" t="s">
        <v>4596</v>
      </c>
      <c r="K2438" s="139">
        <f>VLOOKUP(LEN(SUBSTITUTE(H2438,"-","")),datos!$A$1:$B$12,2,0)</f>
        <v>6</v>
      </c>
      <c r="L2438" s="137"/>
      <c r="M2438" s="137" t="s">
        <v>0</v>
      </c>
    </row>
    <row r="2439" spans="1:13" x14ac:dyDescent="0.35">
      <c r="A2439" s="137" t="s">
        <v>487</v>
      </c>
      <c r="B2439" s="137" t="s">
        <v>3809</v>
      </c>
      <c r="C2439" s="137" t="s">
        <v>4109</v>
      </c>
      <c r="D2439" s="137" t="s">
        <v>4113</v>
      </c>
      <c r="E2439" s="137" t="s">
        <v>4116</v>
      </c>
      <c r="F2439" s="137" t="s">
        <v>5107</v>
      </c>
      <c r="G2439" s="137"/>
      <c r="H2439" s="82" t="str">
        <f t="shared" si="150"/>
        <v>TCCN-PTE-PRL-EPR-B06-SAS-</v>
      </c>
      <c r="I2439" s="137" t="str">
        <f>MID(H2439,1,(LEN(H2439)-VLOOKUP(K2439,datos!$B$2:$C$12,2,0)))</f>
        <v>TCCN-PTE-PRL-EPR-B06-SAS</v>
      </c>
      <c r="J2439" s="137" t="s">
        <v>4597</v>
      </c>
      <c r="K2439" s="139">
        <f>VLOOKUP(LEN(SUBSTITUTE(H2439,"-","")),datos!$A$1:$B$12,2,0)</f>
        <v>6</v>
      </c>
      <c r="L2439" s="137"/>
      <c r="M2439" s="137" t="s">
        <v>0</v>
      </c>
    </row>
    <row r="2440" spans="1:13" x14ac:dyDescent="0.35">
      <c r="A2440" s="138" t="s">
        <v>487</v>
      </c>
      <c r="B2440" s="138" t="s">
        <v>3809</v>
      </c>
      <c r="C2440" s="138" t="s">
        <v>4109</v>
      </c>
      <c r="D2440" s="138" t="s">
        <v>4113</v>
      </c>
      <c r="E2440" s="138" t="s">
        <v>4116</v>
      </c>
      <c r="F2440" s="138" t="s">
        <v>5107</v>
      </c>
      <c r="G2440" s="138" t="s">
        <v>4075</v>
      </c>
      <c r="H2440" s="81" t="str">
        <f t="shared" ref="H2440" si="153">CONCATENATE(A2440,"-",B2440,"-",C2440,"-",D2440,"-",E2440,"-",F2440,"-",G2440)</f>
        <v>TCCN-PTE-PRL-EPR-B06-SAS-VVA</v>
      </c>
      <c r="I2440" s="138" t="str">
        <f>MID(H2440,1,(LEN(H2440)-VLOOKUP(K2440,datos!$B$2:$C$12,2,0)))</f>
        <v>TCCN-PTE-PRL-EPR-B06-SAS-VVA</v>
      </c>
      <c r="J2440" s="138" t="s">
        <v>7443</v>
      </c>
      <c r="K2440" s="140">
        <f>VLOOKUP(LEN(SUBSTITUTE(H2440,"-","")),datos!$A$1:$B$12,2,0)</f>
        <v>7</v>
      </c>
      <c r="L2440" s="138" t="s">
        <v>7442</v>
      </c>
      <c r="M2440" s="138" t="s">
        <v>0</v>
      </c>
    </row>
    <row r="2441" spans="1:13" x14ac:dyDescent="0.35">
      <c r="A2441" s="137" t="s">
        <v>487</v>
      </c>
      <c r="B2441" s="137" t="s">
        <v>3809</v>
      </c>
      <c r="C2441" s="137" t="s">
        <v>4109</v>
      </c>
      <c r="D2441" s="137" t="s">
        <v>4113</v>
      </c>
      <c r="E2441" s="137" t="s">
        <v>4116</v>
      </c>
      <c r="F2441" s="137" t="s">
        <v>3847</v>
      </c>
      <c r="G2441" s="137"/>
      <c r="H2441" s="82" t="str">
        <f t="shared" si="150"/>
        <v>TCCN-PTE-PRL-EPR-B06-SMO-</v>
      </c>
      <c r="I2441" s="137" t="str">
        <f>MID(H2441,1,(LEN(H2441)-VLOOKUP(K2441,datos!$B$2:$C$12,2,0)))</f>
        <v>TCCN-PTE-PRL-EPR-B06-SMO</v>
      </c>
      <c r="J2441" s="137" t="s">
        <v>4598</v>
      </c>
      <c r="K2441" s="139">
        <f>VLOOKUP(LEN(SUBSTITUTE(H2441,"-","")),datos!$A$1:$B$12,2,0)</f>
        <v>6</v>
      </c>
      <c r="L2441" s="137"/>
      <c r="M2441" s="137" t="s">
        <v>0</v>
      </c>
    </row>
    <row r="2442" spans="1:13" x14ac:dyDescent="0.35">
      <c r="A2442" s="138" t="s">
        <v>487</v>
      </c>
      <c r="B2442" s="138" t="s">
        <v>3809</v>
      </c>
      <c r="C2442" s="138" t="s">
        <v>4109</v>
      </c>
      <c r="D2442" s="138" t="s">
        <v>4113</v>
      </c>
      <c r="E2442" s="138" t="s">
        <v>4116</v>
      </c>
      <c r="F2442" s="138" t="s">
        <v>3847</v>
      </c>
      <c r="G2442" s="138" t="s">
        <v>3819</v>
      </c>
      <c r="H2442" s="81" t="str">
        <f t="shared" si="150"/>
        <v>TCCN-PTE-PRL-EPR-B06-SMO-MOE</v>
      </c>
      <c r="I2442" s="138" t="str">
        <f>MID(H2442,1,(LEN(H2442)-VLOOKUP(K2442,datos!$B$2:$C$12,2,0)))</f>
        <v>TCCN-PTE-PRL-EPR-B06-SMO-MOE</v>
      </c>
      <c r="J2442" s="138" t="s">
        <v>5360</v>
      </c>
      <c r="K2442" s="140">
        <f>VLOOKUP(LEN(SUBSTITUTE(H2442,"-","")),datos!$A$1:$B$12,2,0)</f>
        <v>7</v>
      </c>
      <c r="L2442" s="138" t="s">
        <v>350</v>
      </c>
      <c r="M2442" s="138" t="s">
        <v>0</v>
      </c>
    </row>
    <row r="2443" spans="1:13" x14ac:dyDescent="0.35">
      <c r="A2443" s="137" t="s">
        <v>487</v>
      </c>
      <c r="B2443" s="137" t="s">
        <v>3809</v>
      </c>
      <c r="C2443" s="137" t="s">
        <v>4109</v>
      </c>
      <c r="D2443" s="137" t="s">
        <v>4113</v>
      </c>
      <c r="E2443" s="137" t="s">
        <v>4116</v>
      </c>
      <c r="F2443" s="137" t="s">
        <v>3831</v>
      </c>
      <c r="G2443" s="137"/>
      <c r="H2443" s="82" t="str">
        <f>CONCATENATE(A2443,"-",B2443,"-",C2443,"-",D2443,"-",E2443,"-",F2443,"-",G2443)</f>
        <v>TCCN-PTE-PRL-EPR-B06-INS-</v>
      </c>
      <c r="I2443" s="137" t="str">
        <f>MID(H2443,1,(LEN(H2443)-VLOOKUP(K2443,datos!$B$2:$C$12,2,0)))</f>
        <v>TCCN-PTE-PRL-EPR-B06-INS</v>
      </c>
      <c r="J2443" s="137" t="s">
        <v>4601</v>
      </c>
      <c r="K2443" s="139">
        <f>VLOOKUP(LEN(SUBSTITUTE(H2443,"-","")),datos!$A$1:$B$12,2,0)</f>
        <v>6</v>
      </c>
      <c r="L2443" s="137"/>
      <c r="M2443" s="137" t="s">
        <v>0</v>
      </c>
    </row>
    <row r="2444" spans="1:13" x14ac:dyDescent="0.35">
      <c r="A2444" s="138" t="s">
        <v>487</v>
      </c>
      <c r="B2444" s="138" t="s">
        <v>3809</v>
      </c>
      <c r="C2444" s="138" t="s">
        <v>4109</v>
      </c>
      <c r="D2444" s="138" t="s">
        <v>4113</v>
      </c>
      <c r="E2444" s="138" t="s">
        <v>4116</v>
      </c>
      <c r="F2444" s="138" t="s">
        <v>3831</v>
      </c>
      <c r="G2444" s="138" t="s">
        <v>7069</v>
      </c>
      <c r="H2444" s="81" t="str">
        <f>CONCATENATE(A2444,"-",B2444,"-",C2444,"-",D2444,"-",E2444,"-",F2444,"-",G2444)</f>
        <v>TCCN-PTE-PRL-EPR-B06-INS-MPN</v>
      </c>
      <c r="I2444" s="138" t="str">
        <f>MID(H2444,1,(LEN(H2444)-VLOOKUP(K2444,datos!$B$2:$C$12,2,0)))</f>
        <v>TCCN-PTE-PRL-EPR-B06-INS-MPN</v>
      </c>
      <c r="J2444" s="138" t="s">
        <v>7581</v>
      </c>
      <c r="K2444" s="140">
        <f>VLOOKUP(LEN(SUBSTITUTE(H2444,"-","")),datos!$A$1:$B$12,2,0)</f>
        <v>7</v>
      </c>
      <c r="L2444" s="138"/>
      <c r="M2444" s="138" t="s">
        <v>0</v>
      </c>
    </row>
    <row r="2445" spans="1:13" x14ac:dyDescent="0.35">
      <c r="A2445" s="137" t="s">
        <v>487</v>
      </c>
      <c r="B2445" s="137" t="s">
        <v>3809</v>
      </c>
      <c r="C2445" s="137" t="s">
        <v>4109</v>
      </c>
      <c r="D2445" s="137" t="s">
        <v>4113</v>
      </c>
      <c r="E2445" s="137" t="s">
        <v>4116</v>
      </c>
      <c r="F2445" s="137" t="s">
        <v>3869</v>
      </c>
      <c r="G2445" s="137"/>
      <c r="H2445" s="82" t="str">
        <f t="shared" si="150"/>
        <v>TCCN-PTE-PRL-EPR-B06-SCE-</v>
      </c>
      <c r="I2445" s="137" t="str">
        <f>MID(H2445,1,(LEN(H2445)-VLOOKUP(K2445,datos!$B$2:$C$12,2,0)))</f>
        <v>TCCN-PTE-PRL-EPR-B06-SCE</v>
      </c>
      <c r="J2445" s="137" t="s">
        <v>4599</v>
      </c>
      <c r="K2445" s="139">
        <f>VLOOKUP(LEN(SUBSTITUTE(H2445,"-","")),datos!$A$1:$B$12,2,0)</f>
        <v>6</v>
      </c>
      <c r="L2445" s="137"/>
      <c r="M2445" s="137" t="s">
        <v>0</v>
      </c>
    </row>
    <row r="2446" spans="1:13" x14ac:dyDescent="0.35">
      <c r="A2446" s="138" t="s">
        <v>487</v>
      </c>
      <c r="B2446" s="138" t="s">
        <v>3809</v>
      </c>
      <c r="C2446" s="138" t="s">
        <v>4109</v>
      </c>
      <c r="D2446" s="138" t="s">
        <v>4113</v>
      </c>
      <c r="E2446" s="138" t="s">
        <v>4116</v>
      </c>
      <c r="F2446" s="138" t="s">
        <v>3869</v>
      </c>
      <c r="G2446" s="138" t="s">
        <v>3870</v>
      </c>
      <c r="H2446" s="81" t="str">
        <f t="shared" ref="H2446:H2496" si="154">CONCATENATE(A2446,"-",B2446,"-",C2446,"-",D2446,"-",E2446,"-",F2446,"-",G2446)</f>
        <v>TCCN-PTE-PRL-EPR-B06-SCE-BTN</v>
      </c>
      <c r="I2446" s="138" t="str">
        <f>MID(H2446,1,(LEN(H2446)-VLOOKUP(K2446,datos!$B$2:$C$12,2,0)))</f>
        <v>TCCN-PTE-PRL-EPR-B06-SCE-BTN</v>
      </c>
      <c r="J2446" s="138" t="s">
        <v>4600</v>
      </c>
      <c r="K2446" s="140">
        <f>VLOOKUP(LEN(SUBSTITUTE(H2446,"-","")),datos!$A$1:$B$12,2,0)</f>
        <v>7</v>
      </c>
      <c r="L2446" s="138"/>
      <c r="M2446" s="138" t="s">
        <v>0</v>
      </c>
    </row>
    <row r="2447" spans="1:13" customFormat="1" ht="14.5" x14ac:dyDescent="0.35">
      <c r="A2447" s="129" t="s">
        <v>487</v>
      </c>
      <c r="B2447" s="129" t="s">
        <v>3809</v>
      </c>
      <c r="C2447" s="129" t="s">
        <v>4109</v>
      </c>
      <c r="D2447" s="129" t="s">
        <v>4113</v>
      </c>
      <c r="E2447" s="129" t="s">
        <v>4117</v>
      </c>
      <c r="F2447" s="129"/>
      <c r="G2447" s="129"/>
      <c r="H2447" s="83" t="str">
        <f t="shared" si="154"/>
        <v>TCCN-PTE-PRL-EPR-B07--</v>
      </c>
      <c r="I2447" s="129" t="str">
        <f>MID(H2447,1,(LEN(H2447)-VLOOKUP(K2447,datos!$B$2:$C$12,2,0)))</f>
        <v>TCCN-PTE-PRL-EPR-B07</v>
      </c>
      <c r="J2447" s="129" t="s">
        <v>4586</v>
      </c>
      <c r="K2447" s="130">
        <f>VLOOKUP(LEN(SUBSTITUTE(H2447,"-","")),datos!$A$1:$B$12,2,0)</f>
        <v>5</v>
      </c>
      <c r="L2447" s="129" t="s">
        <v>351</v>
      </c>
      <c r="M2447" s="129" t="s">
        <v>0</v>
      </c>
    </row>
    <row r="2448" spans="1:13" x14ac:dyDescent="0.35">
      <c r="A2448" s="137" t="s">
        <v>487</v>
      </c>
      <c r="B2448" s="137" t="s">
        <v>3809</v>
      </c>
      <c r="C2448" s="137" t="s">
        <v>4109</v>
      </c>
      <c r="D2448" s="137" t="s">
        <v>4113</v>
      </c>
      <c r="E2448" s="137" t="s">
        <v>4117</v>
      </c>
      <c r="F2448" s="137" t="s">
        <v>5106</v>
      </c>
      <c r="G2448" s="137"/>
      <c r="H2448" s="82" t="str">
        <f t="shared" si="154"/>
        <v>TCCN-PTE-PRL-EPR-B07-PHU-</v>
      </c>
      <c r="I2448" s="137" t="str">
        <f>MID(H2448,1,(LEN(H2448)-VLOOKUP(K2448,datos!$B$2:$C$12,2,0)))</f>
        <v>TCCN-PTE-PRL-EPR-B07-PHU</v>
      </c>
      <c r="J2448" s="137" t="s">
        <v>4587</v>
      </c>
      <c r="K2448" s="139">
        <f>VLOOKUP(LEN(SUBSTITUTE(H2448,"-","")),datos!$A$1:$B$12,2,0)</f>
        <v>6</v>
      </c>
      <c r="L2448" s="137"/>
      <c r="M2448" s="137" t="s">
        <v>0</v>
      </c>
    </row>
    <row r="2449" spans="1:13" x14ac:dyDescent="0.35">
      <c r="A2449" s="137" t="s">
        <v>487</v>
      </c>
      <c r="B2449" s="137" t="s">
        <v>3809</v>
      </c>
      <c r="C2449" s="137" t="s">
        <v>4109</v>
      </c>
      <c r="D2449" s="137" t="s">
        <v>4113</v>
      </c>
      <c r="E2449" s="137" t="s">
        <v>4117</v>
      </c>
      <c r="F2449" s="137" t="s">
        <v>4073</v>
      </c>
      <c r="G2449" s="137"/>
      <c r="H2449" s="82" t="str">
        <f t="shared" si="154"/>
        <v>TCCN-PTE-PRL-EPR-B07-PYV-</v>
      </c>
      <c r="I2449" s="137" t="str">
        <f>MID(H2449,1,(LEN(H2449)-VLOOKUP(K2449,datos!$B$2:$C$12,2,0)))</f>
        <v>TCCN-PTE-PRL-EPR-B07-PYV</v>
      </c>
      <c r="J2449" s="137" t="s">
        <v>4588</v>
      </c>
      <c r="K2449" s="139">
        <f>VLOOKUP(LEN(SUBSTITUTE(H2449,"-","")),datos!$A$1:$B$12,2,0)</f>
        <v>6</v>
      </c>
      <c r="L2449" s="137"/>
      <c r="M2449" s="137" t="s">
        <v>0</v>
      </c>
    </row>
    <row r="2450" spans="1:13" x14ac:dyDescent="0.35">
      <c r="A2450" s="137" t="s">
        <v>487</v>
      </c>
      <c r="B2450" s="137" t="s">
        <v>3809</v>
      </c>
      <c r="C2450" s="137" t="s">
        <v>4109</v>
      </c>
      <c r="D2450" s="137" t="s">
        <v>4113</v>
      </c>
      <c r="E2450" s="137" t="s">
        <v>4117</v>
      </c>
      <c r="F2450" s="137" t="s">
        <v>5107</v>
      </c>
      <c r="G2450" s="137"/>
      <c r="H2450" s="82" t="str">
        <f t="shared" si="154"/>
        <v>TCCN-PTE-PRL-EPR-B07-SAS-</v>
      </c>
      <c r="I2450" s="137" t="str">
        <f>MID(H2450,1,(LEN(H2450)-VLOOKUP(K2450,datos!$B$2:$C$12,2,0)))</f>
        <v>TCCN-PTE-PRL-EPR-B07-SAS</v>
      </c>
      <c r="J2450" s="137" t="s">
        <v>4589</v>
      </c>
      <c r="K2450" s="139">
        <f>VLOOKUP(LEN(SUBSTITUTE(H2450,"-","")),datos!$A$1:$B$12,2,0)</f>
        <v>6</v>
      </c>
      <c r="L2450" s="137"/>
      <c r="M2450" s="137" t="s">
        <v>0</v>
      </c>
    </row>
    <row r="2451" spans="1:13" x14ac:dyDescent="0.35">
      <c r="A2451" s="138" t="s">
        <v>487</v>
      </c>
      <c r="B2451" s="138" t="s">
        <v>3809</v>
      </c>
      <c r="C2451" s="138" t="s">
        <v>4109</v>
      </c>
      <c r="D2451" s="138" t="s">
        <v>4113</v>
      </c>
      <c r="E2451" s="138" t="s">
        <v>4117</v>
      </c>
      <c r="F2451" s="138" t="s">
        <v>5107</v>
      </c>
      <c r="G2451" s="138" t="s">
        <v>4075</v>
      </c>
      <c r="H2451" s="81" t="str">
        <f t="shared" si="154"/>
        <v>TCCN-PTE-PRL-EPR-B07-SAS-VVA</v>
      </c>
      <c r="I2451" s="138" t="str">
        <f>MID(H2451,1,(LEN(H2451)-VLOOKUP(K2451,datos!$B$2:$C$12,2,0)))</f>
        <v>TCCN-PTE-PRL-EPR-B07-SAS-VVA</v>
      </c>
      <c r="J2451" s="138" t="s">
        <v>7444</v>
      </c>
      <c r="K2451" s="140">
        <f>VLOOKUP(LEN(SUBSTITUTE(H2451,"-","")),datos!$A$1:$B$12,2,0)</f>
        <v>7</v>
      </c>
      <c r="L2451" s="138" t="s">
        <v>7445</v>
      </c>
      <c r="M2451" s="138" t="s">
        <v>0</v>
      </c>
    </row>
    <row r="2452" spans="1:13" x14ac:dyDescent="0.35">
      <c r="A2452" s="137" t="s">
        <v>487</v>
      </c>
      <c r="B2452" s="137" t="s">
        <v>3809</v>
      </c>
      <c r="C2452" s="137" t="s">
        <v>4109</v>
      </c>
      <c r="D2452" s="137" t="s">
        <v>4113</v>
      </c>
      <c r="E2452" s="137" t="s">
        <v>4117</v>
      </c>
      <c r="F2452" s="137" t="s">
        <v>3847</v>
      </c>
      <c r="G2452" s="137"/>
      <c r="H2452" s="82" t="str">
        <f t="shared" si="154"/>
        <v>TCCN-PTE-PRL-EPR-B07-SMO-</v>
      </c>
      <c r="I2452" s="137" t="str">
        <f>MID(H2452,1,(LEN(H2452)-VLOOKUP(K2452,datos!$B$2:$C$12,2,0)))</f>
        <v>TCCN-PTE-PRL-EPR-B07-SMO</v>
      </c>
      <c r="J2452" s="137" t="s">
        <v>4590</v>
      </c>
      <c r="K2452" s="139">
        <f>VLOOKUP(LEN(SUBSTITUTE(H2452,"-","")),datos!$A$1:$B$12,2,0)</f>
        <v>6</v>
      </c>
      <c r="L2452" s="137"/>
      <c r="M2452" s="137" t="s">
        <v>0</v>
      </c>
    </row>
    <row r="2453" spans="1:13" x14ac:dyDescent="0.35">
      <c r="A2453" s="138" t="s">
        <v>487</v>
      </c>
      <c r="B2453" s="138" t="s">
        <v>3809</v>
      </c>
      <c r="C2453" s="138" t="s">
        <v>4109</v>
      </c>
      <c r="D2453" s="138" t="s">
        <v>4113</v>
      </c>
      <c r="E2453" s="138" t="s">
        <v>4117</v>
      </c>
      <c r="F2453" s="138" t="s">
        <v>3847</v>
      </c>
      <c r="G2453" s="138" t="s">
        <v>3819</v>
      </c>
      <c r="H2453" s="81" t="str">
        <f t="shared" si="154"/>
        <v>TCCN-PTE-PRL-EPR-B07-SMO-MOE</v>
      </c>
      <c r="I2453" s="138" t="str">
        <f>MID(H2453,1,(LEN(H2453)-VLOOKUP(K2453,datos!$B$2:$C$12,2,0)))</f>
        <v>TCCN-PTE-PRL-EPR-B07-SMO-MOE</v>
      </c>
      <c r="J2453" s="138" t="s">
        <v>5361</v>
      </c>
      <c r="K2453" s="140">
        <f>VLOOKUP(LEN(SUBSTITUTE(H2453,"-","")),datos!$A$1:$B$12,2,0)</f>
        <v>7</v>
      </c>
      <c r="L2453" s="138" t="s">
        <v>352</v>
      </c>
      <c r="M2453" s="138" t="s">
        <v>0</v>
      </c>
    </row>
    <row r="2454" spans="1:13" x14ac:dyDescent="0.35">
      <c r="A2454" s="137" t="s">
        <v>487</v>
      </c>
      <c r="B2454" s="137" t="s">
        <v>3809</v>
      </c>
      <c r="C2454" s="137" t="s">
        <v>4109</v>
      </c>
      <c r="D2454" s="137" t="s">
        <v>4113</v>
      </c>
      <c r="E2454" s="137" t="s">
        <v>4117</v>
      </c>
      <c r="F2454" s="137" t="s">
        <v>3831</v>
      </c>
      <c r="G2454" s="137"/>
      <c r="H2454" s="82" t="str">
        <f>CONCATENATE(A2454,"-",B2454,"-",C2454,"-",D2454,"-",E2454,"-",F2454,"-",G2454)</f>
        <v>TCCN-PTE-PRL-EPR-B07-INS-</v>
      </c>
      <c r="I2454" s="137" t="str">
        <f>MID(H2454,1,(LEN(H2454)-VLOOKUP(K2454,datos!$B$2:$C$12,2,0)))</f>
        <v>TCCN-PTE-PRL-EPR-B07-INS</v>
      </c>
      <c r="J2454" s="137" t="s">
        <v>4593</v>
      </c>
      <c r="K2454" s="139">
        <f>VLOOKUP(LEN(SUBSTITUTE(H2454,"-","")),datos!$A$1:$B$12,2,0)</f>
        <v>6</v>
      </c>
      <c r="L2454" s="137"/>
      <c r="M2454" s="137" t="s">
        <v>0</v>
      </c>
    </row>
    <row r="2455" spans="1:13" x14ac:dyDescent="0.35">
      <c r="A2455" s="138" t="s">
        <v>487</v>
      </c>
      <c r="B2455" s="138" t="s">
        <v>3809</v>
      </c>
      <c r="C2455" s="138" t="s">
        <v>4109</v>
      </c>
      <c r="D2455" s="138" t="s">
        <v>4113</v>
      </c>
      <c r="E2455" s="138" t="s">
        <v>4117</v>
      </c>
      <c r="F2455" s="138" t="s">
        <v>3831</v>
      </c>
      <c r="G2455" s="138" t="s">
        <v>7069</v>
      </c>
      <c r="H2455" s="81" t="str">
        <f>CONCATENATE(A2455,"-",B2455,"-",C2455,"-",D2455,"-",E2455,"-",F2455,"-",G2455)</f>
        <v>TCCN-PTE-PRL-EPR-B07-INS-MPN</v>
      </c>
      <c r="I2455" s="138" t="str">
        <f>MID(H2455,1,(LEN(H2455)-VLOOKUP(K2455,datos!$B$2:$C$12,2,0)))</f>
        <v>TCCN-PTE-PRL-EPR-B07-INS-MPN</v>
      </c>
      <c r="J2455" s="138" t="s">
        <v>7582</v>
      </c>
      <c r="K2455" s="140">
        <f>VLOOKUP(LEN(SUBSTITUTE(H2455,"-","")),datos!$A$1:$B$12,2,0)</f>
        <v>7</v>
      </c>
      <c r="L2455" s="138"/>
      <c r="M2455" s="138" t="s">
        <v>0</v>
      </c>
    </row>
    <row r="2456" spans="1:13" x14ac:dyDescent="0.35">
      <c r="A2456" s="137" t="s">
        <v>487</v>
      </c>
      <c r="B2456" s="137" t="s">
        <v>3809</v>
      </c>
      <c r="C2456" s="137" t="s">
        <v>4109</v>
      </c>
      <c r="D2456" s="137" t="s">
        <v>4113</v>
      </c>
      <c r="E2456" s="137" t="s">
        <v>4117</v>
      </c>
      <c r="F2456" s="137" t="s">
        <v>3869</v>
      </c>
      <c r="G2456" s="137"/>
      <c r="H2456" s="82" t="str">
        <f t="shared" si="154"/>
        <v>TCCN-PTE-PRL-EPR-B07-SCE-</v>
      </c>
      <c r="I2456" s="137" t="str">
        <f>MID(H2456,1,(LEN(H2456)-VLOOKUP(K2456,datos!$B$2:$C$12,2,0)))</f>
        <v>TCCN-PTE-PRL-EPR-B07-SCE</v>
      </c>
      <c r="J2456" s="137" t="s">
        <v>4591</v>
      </c>
      <c r="K2456" s="139">
        <f>VLOOKUP(LEN(SUBSTITUTE(H2456,"-","")),datos!$A$1:$B$12,2,0)</f>
        <v>6</v>
      </c>
      <c r="L2456" s="137"/>
      <c r="M2456" s="137" t="s">
        <v>0</v>
      </c>
    </row>
    <row r="2457" spans="1:13" x14ac:dyDescent="0.35">
      <c r="A2457" s="138" t="s">
        <v>487</v>
      </c>
      <c r="B2457" s="138" t="s">
        <v>3809</v>
      </c>
      <c r="C2457" s="138" t="s">
        <v>4109</v>
      </c>
      <c r="D2457" s="138" t="s">
        <v>4113</v>
      </c>
      <c r="E2457" s="138" t="s">
        <v>4117</v>
      </c>
      <c r="F2457" s="138" t="s">
        <v>3869</v>
      </c>
      <c r="G2457" s="138" t="s">
        <v>3870</v>
      </c>
      <c r="H2457" s="81" t="str">
        <f t="shared" si="154"/>
        <v>TCCN-PTE-PRL-EPR-B07-SCE-BTN</v>
      </c>
      <c r="I2457" s="138" t="str">
        <f>MID(H2457,1,(LEN(H2457)-VLOOKUP(K2457,datos!$B$2:$C$12,2,0)))</f>
        <v>TCCN-PTE-PRL-EPR-B07-SCE-BTN</v>
      </c>
      <c r="J2457" s="138" t="s">
        <v>4592</v>
      </c>
      <c r="K2457" s="140">
        <f>VLOOKUP(LEN(SUBSTITUTE(H2457,"-","")),datos!$A$1:$B$12,2,0)</f>
        <v>7</v>
      </c>
      <c r="L2457" s="138"/>
      <c r="M2457" s="138" t="s">
        <v>0</v>
      </c>
    </row>
    <row r="2458" spans="1:13" customFormat="1" ht="14.5" x14ac:dyDescent="0.35">
      <c r="A2458" s="129" t="s">
        <v>487</v>
      </c>
      <c r="B2458" s="129" t="s">
        <v>3809</v>
      </c>
      <c r="C2458" s="129" t="s">
        <v>4109</v>
      </c>
      <c r="D2458" s="129" t="s">
        <v>4113</v>
      </c>
      <c r="E2458" s="129" t="s">
        <v>5298</v>
      </c>
      <c r="F2458" s="129"/>
      <c r="G2458" s="129"/>
      <c r="H2458" s="83" t="str">
        <f t="shared" si="154"/>
        <v>TCCN-PTE-PRL-EPR-UH4--</v>
      </c>
      <c r="I2458" s="129" t="str">
        <f>MID(H2458,1,(LEN(H2458)-VLOOKUP(K2458,datos!$B$2:$C$12,2,0)))</f>
        <v>TCCN-PTE-PRL-EPR-UH4</v>
      </c>
      <c r="J2458" s="129" t="s">
        <v>5063</v>
      </c>
      <c r="K2458" s="130">
        <f>VLOOKUP(LEN(SUBSTITUTE(H2458,"-","")),datos!$A$1:$B$12,2,0)</f>
        <v>5</v>
      </c>
      <c r="L2458" s="129" t="s">
        <v>5062</v>
      </c>
      <c r="M2458" s="129" t="s">
        <v>0</v>
      </c>
    </row>
    <row r="2459" spans="1:13" x14ac:dyDescent="0.35">
      <c r="A2459" s="137" t="s">
        <v>487</v>
      </c>
      <c r="B2459" s="137" t="s">
        <v>3809</v>
      </c>
      <c r="C2459" s="137" t="s">
        <v>4109</v>
      </c>
      <c r="D2459" s="137" t="s">
        <v>4113</v>
      </c>
      <c r="E2459" s="137" t="s">
        <v>5298</v>
      </c>
      <c r="F2459" s="137" t="s">
        <v>5591</v>
      </c>
      <c r="G2459" s="137"/>
      <c r="H2459" s="82" t="str">
        <f t="shared" si="154"/>
        <v>TCCN-PTE-PRL-EPR-UH4-SHD-</v>
      </c>
      <c r="I2459" s="137" t="str">
        <f>MID(H2459,1,(LEN(H2459)-VLOOKUP(K2459,datos!$B$2:$C$12,2,0)))</f>
        <v>TCCN-PTE-PRL-EPR-UH4-SHD</v>
      </c>
      <c r="J2459" s="137" t="s">
        <v>5066</v>
      </c>
      <c r="K2459" s="139">
        <f>VLOOKUP(LEN(SUBSTITUTE(H2459,"-","")),datos!$A$1:$B$12,2,0)</f>
        <v>6</v>
      </c>
      <c r="L2459" s="137"/>
      <c r="M2459" s="137" t="s">
        <v>0</v>
      </c>
    </row>
    <row r="2460" spans="1:13" x14ac:dyDescent="0.35">
      <c r="A2460" s="138" t="s">
        <v>487</v>
      </c>
      <c r="B2460" s="138" t="s">
        <v>3809</v>
      </c>
      <c r="C2460" s="138" t="s">
        <v>4109</v>
      </c>
      <c r="D2460" s="138" t="s">
        <v>4113</v>
      </c>
      <c r="E2460" s="138" t="s">
        <v>5298</v>
      </c>
      <c r="F2460" s="138" t="s">
        <v>5591</v>
      </c>
      <c r="G2460" s="138" t="s">
        <v>3818</v>
      </c>
      <c r="H2460" s="81" t="str">
        <f t="shared" si="154"/>
        <v>TCCN-PTE-PRL-EPR-UH4-SHD-BBA</v>
      </c>
      <c r="I2460" s="138" t="str">
        <f>MID(H2460,1,(LEN(H2460)-VLOOKUP(K2460,datos!$B$2:$C$12,2,0)))</f>
        <v>TCCN-PTE-PRL-EPR-UH4-SHD-BBA</v>
      </c>
      <c r="J2460" s="138" t="s">
        <v>5067</v>
      </c>
      <c r="K2460" s="140">
        <f>VLOOKUP(LEN(SUBSTITUTE(H2460,"-","")),datos!$A$1:$B$12,2,0)</f>
        <v>7</v>
      </c>
      <c r="L2460" s="138"/>
      <c r="M2460" s="138" t="s">
        <v>0</v>
      </c>
    </row>
    <row r="2461" spans="1:13" x14ac:dyDescent="0.35">
      <c r="A2461" s="138" t="s">
        <v>487</v>
      </c>
      <c r="B2461" s="138" t="s">
        <v>3809</v>
      </c>
      <c r="C2461" s="138" t="s">
        <v>4109</v>
      </c>
      <c r="D2461" s="138" t="s">
        <v>4113</v>
      </c>
      <c r="E2461" s="138" t="s">
        <v>5298</v>
      </c>
      <c r="F2461" s="138" t="s">
        <v>5591</v>
      </c>
      <c r="G2461" s="138" t="s">
        <v>4095</v>
      </c>
      <c r="H2461" s="81" t="str">
        <f t="shared" si="154"/>
        <v>TCCN-PTE-PRL-EPR-UH4-SHD-ACU</v>
      </c>
      <c r="I2461" s="138" t="str">
        <f>MID(H2461,1,(LEN(H2461)-VLOOKUP(K2461,datos!$B$2:$C$12,2,0)))</f>
        <v>TCCN-PTE-PRL-EPR-UH4-SHD-ACU</v>
      </c>
      <c r="J2461" s="138" t="s">
        <v>5068</v>
      </c>
      <c r="K2461" s="140">
        <f>VLOOKUP(LEN(SUBSTITUTE(H2461,"-","")),datos!$A$1:$B$12,2,0)</f>
        <v>7</v>
      </c>
      <c r="L2461" s="138"/>
      <c r="M2461" s="138" t="s">
        <v>0</v>
      </c>
    </row>
    <row r="2462" spans="1:13" x14ac:dyDescent="0.35">
      <c r="A2462" s="138" t="s">
        <v>487</v>
      </c>
      <c r="B2462" s="138" t="s">
        <v>3809</v>
      </c>
      <c r="C2462" s="138" t="s">
        <v>4109</v>
      </c>
      <c r="D2462" s="138" t="s">
        <v>4113</v>
      </c>
      <c r="E2462" s="138" t="s">
        <v>5298</v>
      </c>
      <c r="F2462" s="138" t="s">
        <v>5591</v>
      </c>
      <c r="G2462" s="138" t="s">
        <v>3853</v>
      </c>
      <c r="H2462" s="81" t="str">
        <f t="shared" si="154"/>
        <v>TCCN-PTE-PRL-EPR-UH4-SHD-EST</v>
      </c>
      <c r="I2462" s="138" t="str">
        <f>MID(H2462,1,(LEN(H2462)-VLOOKUP(K2462,datos!$B$2:$C$12,2,0)))</f>
        <v>TCCN-PTE-PRL-EPR-UH4-SHD-EST</v>
      </c>
      <c r="J2462" s="138" t="s">
        <v>5069</v>
      </c>
      <c r="K2462" s="140">
        <f>VLOOKUP(LEN(SUBSTITUTE(H2462,"-","")),datos!$A$1:$B$12,2,0)</f>
        <v>7</v>
      </c>
      <c r="L2462" s="138"/>
      <c r="M2462" s="138" t="s">
        <v>0</v>
      </c>
    </row>
    <row r="2463" spans="1:13" x14ac:dyDescent="0.35">
      <c r="A2463" s="137" t="s">
        <v>487</v>
      </c>
      <c r="B2463" s="137" t="s">
        <v>3809</v>
      </c>
      <c r="C2463" s="137" t="s">
        <v>4109</v>
      </c>
      <c r="D2463" s="137" t="s">
        <v>4113</v>
      </c>
      <c r="E2463" s="137" t="s">
        <v>5298</v>
      </c>
      <c r="F2463" s="137" t="s">
        <v>3847</v>
      </c>
      <c r="G2463" s="137"/>
      <c r="H2463" s="82" t="str">
        <f t="shared" si="154"/>
        <v>TCCN-PTE-PRL-EPR-UH4-SMO-</v>
      </c>
      <c r="I2463" s="137" t="str">
        <f>MID(H2463,1,(LEN(H2463)-VLOOKUP(K2463,datos!$B$2:$C$12,2,0)))</f>
        <v>TCCN-PTE-PRL-EPR-UH4-SMO</v>
      </c>
      <c r="J2463" s="137" t="s">
        <v>5070</v>
      </c>
      <c r="K2463" s="139">
        <f>VLOOKUP(LEN(SUBSTITUTE(H2463,"-","")),datos!$A$1:$B$12,2,0)</f>
        <v>6</v>
      </c>
      <c r="L2463" s="137"/>
      <c r="M2463" s="137" t="s">
        <v>0</v>
      </c>
    </row>
    <row r="2464" spans="1:13" x14ac:dyDescent="0.35">
      <c r="A2464" s="138" t="s">
        <v>487</v>
      </c>
      <c r="B2464" s="138" t="s">
        <v>3809</v>
      </c>
      <c r="C2464" s="138" t="s">
        <v>4109</v>
      </c>
      <c r="D2464" s="138" t="s">
        <v>4113</v>
      </c>
      <c r="E2464" s="138" t="s">
        <v>5298</v>
      </c>
      <c r="F2464" s="138" t="s">
        <v>3847</v>
      </c>
      <c r="G2464" s="138" t="s">
        <v>3819</v>
      </c>
      <c r="H2464" s="81" t="str">
        <f t="shared" si="154"/>
        <v>TCCN-PTE-PRL-EPR-UH4-SMO-MOE</v>
      </c>
      <c r="I2464" s="138" t="str">
        <f>MID(H2464,1,(LEN(H2464)-VLOOKUP(K2464,datos!$B$2:$C$12,2,0)))</f>
        <v>TCCN-PTE-PRL-EPR-UH4-SMO-MOE</v>
      </c>
      <c r="J2464" s="138" t="s">
        <v>5362</v>
      </c>
      <c r="K2464" s="140">
        <f>VLOOKUP(LEN(SUBSTITUTE(H2464,"-","")),datos!$A$1:$B$12,2,0)</f>
        <v>7</v>
      </c>
      <c r="L2464" s="138"/>
      <c r="M2464" s="138" t="s">
        <v>0</v>
      </c>
    </row>
    <row r="2465" spans="1:13" x14ac:dyDescent="0.35">
      <c r="A2465" s="137" t="s">
        <v>487</v>
      </c>
      <c r="B2465" s="137" t="s">
        <v>3809</v>
      </c>
      <c r="C2465" s="137" t="s">
        <v>4109</v>
      </c>
      <c r="D2465" s="137" t="s">
        <v>4113</v>
      </c>
      <c r="E2465" s="137" t="s">
        <v>5298</v>
      </c>
      <c r="F2465" s="137" t="s">
        <v>3831</v>
      </c>
      <c r="G2465" s="137"/>
      <c r="H2465" s="82" t="str">
        <f t="shared" si="154"/>
        <v>TCCN-PTE-PRL-EPR-UH4-INS-</v>
      </c>
      <c r="I2465" s="137" t="str">
        <f>MID(H2465,1,(LEN(H2465)-VLOOKUP(K2465,datos!$B$2:$C$12,2,0)))</f>
        <v>TCCN-PTE-PRL-EPR-UH4-INS</v>
      </c>
      <c r="J2465" s="137" t="s">
        <v>5071</v>
      </c>
      <c r="K2465" s="139">
        <f>VLOOKUP(LEN(SUBSTITUTE(H2465,"-","")),datos!$A$1:$B$12,2,0)</f>
        <v>6</v>
      </c>
      <c r="L2465" s="137"/>
      <c r="M2465" s="137" t="s">
        <v>0</v>
      </c>
    </row>
    <row r="2466" spans="1:13" customFormat="1" ht="14.5" x14ac:dyDescent="0.35">
      <c r="A2466" s="129" t="s">
        <v>487</v>
      </c>
      <c r="B2466" s="129" t="s">
        <v>3809</v>
      </c>
      <c r="C2466" s="129" t="s">
        <v>4109</v>
      </c>
      <c r="D2466" s="129" t="s">
        <v>4113</v>
      </c>
      <c r="E2466" s="129" t="s">
        <v>5299</v>
      </c>
      <c r="F2466" s="129"/>
      <c r="G2466" s="129"/>
      <c r="H2466" s="83" t="str">
        <f t="shared" si="154"/>
        <v>TCCN-PTE-PRL-EPR-UH5--</v>
      </c>
      <c r="I2466" s="129" t="str">
        <f>MID(H2466,1,(LEN(H2466)-VLOOKUP(K2466,datos!$B$2:$C$12,2,0)))</f>
        <v>TCCN-PTE-PRL-EPR-UH5</v>
      </c>
      <c r="J2466" s="129" t="s">
        <v>5047</v>
      </c>
      <c r="K2466" s="130">
        <f>VLOOKUP(LEN(SUBSTITUTE(H2466,"-","")),datos!$A$1:$B$12,2,0)</f>
        <v>5</v>
      </c>
      <c r="L2466" s="129" t="s">
        <v>5064</v>
      </c>
      <c r="M2466" s="129" t="s">
        <v>0</v>
      </c>
    </row>
    <row r="2467" spans="1:13" x14ac:dyDescent="0.35">
      <c r="A2467" s="137" t="s">
        <v>487</v>
      </c>
      <c r="B2467" s="137" t="s">
        <v>3809</v>
      </c>
      <c r="C2467" s="137" t="s">
        <v>4109</v>
      </c>
      <c r="D2467" s="137" t="s">
        <v>4113</v>
      </c>
      <c r="E2467" s="137" t="s">
        <v>5299</v>
      </c>
      <c r="F2467" s="137" t="s">
        <v>5591</v>
      </c>
      <c r="G2467" s="137"/>
      <c r="H2467" s="82" t="str">
        <f t="shared" si="154"/>
        <v>TCCN-PTE-PRL-EPR-UH5-SHD-</v>
      </c>
      <c r="I2467" s="137" t="str">
        <f>MID(H2467,1,(LEN(H2467)-VLOOKUP(K2467,datos!$B$2:$C$12,2,0)))</f>
        <v>TCCN-PTE-PRL-EPR-UH5-SHD</v>
      </c>
      <c r="J2467" s="137" t="s">
        <v>5065</v>
      </c>
      <c r="K2467" s="139">
        <f>VLOOKUP(LEN(SUBSTITUTE(H2467,"-","")),datos!$A$1:$B$12,2,0)</f>
        <v>6</v>
      </c>
      <c r="L2467" s="137"/>
      <c r="M2467" s="137" t="s">
        <v>0</v>
      </c>
    </row>
    <row r="2468" spans="1:13" x14ac:dyDescent="0.35">
      <c r="A2468" s="138" t="s">
        <v>487</v>
      </c>
      <c r="B2468" s="138" t="s">
        <v>3809</v>
      </c>
      <c r="C2468" s="138" t="s">
        <v>4109</v>
      </c>
      <c r="D2468" s="138" t="s">
        <v>4113</v>
      </c>
      <c r="E2468" s="138" t="s">
        <v>5299</v>
      </c>
      <c r="F2468" s="138" t="s">
        <v>5591</v>
      </c>
      <c r="G2468" s="138" t="s">
        <v>3818</v>
      </c>
      <c r="H2468" s="81" t="str">
        <f t="shared" si="154"/>
        <v>TCCN-PTE-PRL-EPR-UH5-SHD-BBA</v>
      </c>
      <c r="I2468" s="138" t="str">
        <f>MID(H2468,1,(LEN(H2468)-VLOOKUP(K2468,datos!$B$2:$C$12,2,0)))</f>
        <v>TCCN-PTE-PRL-EPR-UH5-SHD-BBA</v>
      </c>
      <c r="J2468" s="138" t="s">
        <v>5072</v>
      </c>
      <c r="K2468" s="140">
        <f>VLOOKUP(LEN(SUBSTITUTE(H2468,"-","")),datos!$A$1:$B$12,2,0)</f>
        <v>7</v>
      </c>
      <c r="L2468" s="138"/>
      <c r="M2468" s="138" t="s">
        <v>0</v>
      </c>
    </row>
    <row r="2469" spans="1:13" x14ac:dyDescent="0.35">
      <c r="A2469" s="138" t="s">
        <v>487</v>
      </c>
      <c r="B2469" s="138" t="s">
        <v>3809</v>
      </c>
      <c r="C2469" s="138" t="s">
        <v>4109</v>
      </c>
      <c r="D2469" s="138" t="s">
        <v>4113</v>
      </c>
      <c r="E2469" s="138" t="s">
        <v>5299</v>
      </c>
      <c r="F2469" s="138" t="s">
        <v>5591</v>
      </c>
      <c r="G2469" s="138" t="s">
        <v>4095</v>
      </c>
      <c r="H2469" s="81" t="str">
        <f t="shared" si="154"/>
        <v>TCCN-PTE-PRL-EPR-UH5-SHD-ACU</v>
      </c>
      <c r="I2469" s="138" t="str">
        <f>MID(H2469,1,(LEN(H2469)-VLOOKUP(K2469,datos!$B$2:$C$12,2,0)))</f>
        <v>TCCN-PTE-PRL-EPR-UH5-SHD-ACU</v>
      </c>
      <c r="J2469" s="138" t="s">
        <v>5073</v>
      </c>
      <c r="K2469" s="140">
        <f>VLOOKUP(LEN(SUBSTITUTE(H2469,"-","")),datos!$A$1:$B$12,2,0)</f>
        <v>7</v>
      </c>
      <c r="L2469" s="138"/>
      <c r="M2469" s="138" t="s">
        <v>0</v>
      </c>
    </row>
    <row r="2470" spans="1:13" x14ac:dyDescent="0.35">
      <c r="A2470" s="138" t="s">
        <v>487</v>
      </c>
      <c r="B2470" s="138" t="s">
        <v>3809</v>
      </c>
      <c r="C2470" s="138" t="s">
        <v>4109</v>
      </c>
      <c r="D2470" s="138" t="s">
        <v>4113</v>
      </c>
      <c r="E2470" s="138" t="s">
        <v>5299</v>
      </c>
      <c r="F2470" s="138" t="s">
        <v>5591</v>
      </c>
      <c r="G2470" s="138" t="s">
        <v>3853</v>
      </c>
      <c r="H2470" s="81" t="str">
        <f t="shared" si="154"/>
        <v>TCCN-PTE-PRL-EPR-UH5-SHD-EST</v>
      </c>
      <c r="I2470" s="138" t="str">
        <f>MID(H2470,1,(LEN(H2470)-VLOOKUP(K2470,datos!$B$2:$C$12,2,0)))</f>
        <v>TCCN-PTE-PRL-EPR-UH5-SHD-EST</v>
      </c>
      <c r="J2470" s="138" t="s">
        <v>5074</v>
      </c>
      <c r="K2470" s="140">
        <f>VLOOKUP(LEN(SUBSTITUTE(H2470,"-","")),datos!$A$1:$B$12,2,0)</f>
        <v>7</v>
      </c>
      <c r="L2470" s="138"/>
      <c r="M2470" s="138" t="s">
        <v>0</v>
      </c>
    </row>
    <row r="2471" spans="1:13" x14ac:dyDescent="0.35">
      <c r="A2471" s="137" t="s">
        <v>487</v>
      </c>
      <c r="B2471" s="137" t="s">
        <v>3809</v>
      </c>
      <c r="C2471" s="137" t="s">
        <v>4109</v>
      </c>
      <c r="D2471" s="137" t="s">
        <v>4113</v>
      </c>
      <c r="E2471" s="137" t="s">
        <v>5299</v>
      </c>
      <c r="F2471" s="137" t="s">
        <v>3847</v>
      </c>
      <c r="G2471" s="137"/>
      <c r="H2471" s="82" t="str">
        <f t="shared" si="154"/>
        <v>TCCN-PTE-PRL-EPR-UH5-SMO-</v>
      </c>
      <c r="I2471" s="137" t="str">
        <f>MID(H2471,1,(LEN(H2471)-VLOOKUP(K2471,datos!$B$2:$C$12,2,0)))</f>
        <v>TCCN-PTE-PRL-EPR-UH5-SMO</v>
      </c>
      <c r="J2471" s="137" t="s">
        <v>5075</v>
      </c>
      <c r="K2471" s="139">
        <f>VLOOKUP(LEN(SUBSTITUTE(H2471,"-","")),datos!$A$1:$B$12,2,0)</f>
        <v>6</v>
      </c>
      <c r="L2471" s="137"/>
      <c r="M2471" s="137" t="s">
        <v>0</v>
      </c>
    </row>
    <row r="2472" spans="1:13" x14ac:dyDescent="0.35">
      <c r="A2472" s="138" t="s">
        <v>487</v>
      </c>
      <c r="B2472" s="138" t="s">
        <v>3809</v>
      </c>
      <c r="C2472" s="138" t="s">
        <v>4109</v>
      </c>
      <c r="D2472" s="138" t="s">
        <v>4113</v>
      </c>
      <c r="E2472" s="138" t="s">
        <v>5299</v>
      </c>
      <c r="F2472" s="138" t="s">
        <v>3847</v>
      </c>
      <c r="G2472" s="138" t="s">
        <v>3819</v>
      </c>
      <c r="H2472" s="81" t="str">
        <f t="shared" si="154"/>
        <v>TCCN-PTE-PRL-EPR-UH5-SMO-MOE</v>
      </c>
      <c r="I2472" s="138" t="str">
        <f>MID(H2472,1,(LEN(H2472)-VLOOKUP(K2472,datos!$B$2:$C$12,2,0)))</f>
        <v>TCCN-PTE-PRL-EPR-UH5-SMO-MOE</v>
      </c>
      <c r="J2472" s="138" t="s">
        <v>5363</v>
      </c>
      <c r="K2472" s="140">
        <f>VLOOKUP(LEN(SUBSTITUTE(H2472,"-","")),datos!$A$1:$B$12,2,0)</f>
        <v>7</v>
      </c>
      <c r="L2472" s="138"/>
      <c r="M2472" s="138" t="s">
        <v>0</v>
      </c>
    </row>
    <row r="2473" spans="1:13" x14ac:dyDescent="0.35">
      <c r="A2473" s="137" t="s">
        <v>487</v>
      </c>
      <c r="B2473" s="137" t="s">
        <v>3809</v>
      </c>
      <c r="C2473" s="137" t="s">
        <v>4109</v>
      </c>
      <c r="D2473" s="137" t="s">
        <v>4113</v>
      </c>
      <c r="E2473" s="137" t="s">
        <v>5299</v>
      </c>
      <c r="F2473" s="137" t="s">
        <v>3831</v>
      </c>
      <c r="G2473" s="137"/>
      <c r="H2473" s="82" t="str">
        <f t="shared" si="154"/>
        <v>TCCN-PTE-PRL-EPR-UH5-INS-</v>
      </c>
      <c r="I2473" s="137" t="str">
        <f>MID(H2473,1,(LEN(H2473)-VLOOKUP(K2473,datos!$B$2:$C$12,2,0)))</f>
        <v>TCCN-PTE-PRL-EPR-UH5-INS</v>
      </c>
      <c r="J2473" s="137" t="s">
        <v>5076</v>
      </c>
      <c r="K2473" s="139">
        <f>VLOOKUP(LEN(SUBSTITUTE(H2473,"-","")),datos!$A$1:$B$12,2,0)</f>
        <v>6</v>
      </c>
      <c r="L2473" s="137"/>
      <c r="M2473" s="137" t="s">
        <v>0</v>
      </c>
    </row>
    <row r="2474" spans="1:13" customFormat="1" ht="14.5" x14ac:dyDescent="0.35">
      <c r="A2474" s="129" t="s">
        <v>487</v>
      </c>
      <c r="B2474" s="129" t="s">
        <v>3809</v>
      </c>
      <c r="C2474" s="129" t="s">
        <v>4109</v>
      </c>
      <c r="D2474" s="129" t="s">
        <v>4113</v>
      </c>
      <c r="E2474" s="129" t="s">
        <v>4118</v>
      </c>
      <c r="F2474" s="129"/>
      <c r="G2474" s="129"/>
      <c r="H2474" s="83" t="str">
        <f t="shared" si="154"/>
        <v>TCCN-PTE-PRL-EPR-B08--</v>
      </c>
      <c r="I2474" s="129" t="str">
        <f>MID(H2474,1,(LEN(H2474)-VLOOKUP(K2474,datos!$B$2:$C$12,2,0)))</f>
        <v>TCCN-PTE-PRL-EPR-B08</v>
      </c>
      <c r="J2474" s="129" t="s">
        <v>4578</v>
      </c>
      <c r="K2474" s="130">
        <f>VLOOKUP(LEN(SUBSTITUTE(H2474,"-","")),datos!$A$1:$B$12,2,0)</f>
        <v>5</v>
      </c>
      <c r="L2474" s="129" t="s">
        <v>353</v>
      </c>
      <c r="M2474" s="129" t="s">
        <v>0</v>
      </c>
    </row>
    <row r="2475" spans="1:13" x14ac:dyDescent="0.35">
      <c r="A2475" s="137" t="s">
        <v>487</v>
      </c>
      <c r="B2475" s="137" t="s">
        <v>3809</v>
      </c>
      <c r="C2475" s="137" t="s">
        <v>4109</v>
      </c>
      <c r="D2475" s="137" t="s">
        <v>4113</v>
      </c>
      <c r="E2475" s="137" t="s">
        <v>4118</v>
      </c>
      <c r="F2475" s="137" t="s">
        <v>5193</v>
      </c>
      <c r="G2475" s="137"/>
      <c r="H2475" s="82" t="str">
        <f t="shared" si="154"/>
        <v>TCCN-PTE-PRL-EPR-B08-COM-</v>
      </c>
      <c r="I2475" s="137" t="str">
        <f>MID(H2475,1,(LEN(H2475)-VLOOKUP(K2475,datos!$B$2:$C$12,2,0)))</f>
        <v>TCCN-PTE-PRL-EPR-B08-COM</v>
      </c>
      <c r="J2475" s="137" t="s">
        <v>5077</v>
      </c>
      <c r="K2475" s="139">
        <f>VLOOKUP(LEN(SUBSTITUTE(H2475,"-","")),datos!$A$1:$B$12,2,0)</f>
        <v>6</v>
      </c>
      <c r="L2475" s="137"/>
      <c r="M2475" s="137" t="s">
        <v>0</v>
      </c>
    </row>
    <row r="2476" spans="1:13" x14ac:dyDescent="0.35">
      <c r="A2476" s="138" t="s">
        <v>487</v>
      </c>
      <c r="B2476" s="138" t="s">
        <v>3809</v>
      </c>
      <c r="C2476" s="138" t="s">
        <v>4109</v>
      </c>
      <c r="D2476" s="138" t="s">
        <v>4113</v>
      </c>
      <c r="E2476" s="138" t="s">
        <v>4118</v>
      </c>
      <c r="F2476" s="138" t="s">
        <v>5193</v>
      </c>
      <c r="G2476" s="138" t="s">
        <v>3900</v>
      </c>
      <c r="H2476" s="81" t="str">
        <f t="shared" si="154"/>
        <v>TCCN-PTE-PRL-EPR-B08-COM-AC1</v>
      </c>
      <c r="I2476" s="138" t="str">
        <f>MID(H2476,1,(LEN(H2476)-VLOOKUP(K2476,datos!$B$2:$C$12,2,0)))</f>
        <v>TCCN-PTE-PRL-EPR-B08-COM-AC1</v>
      </c>
      <c r="J2476" s="138" t="s">
        <v>5082</v>
      </c>
      <c r="K2476" s="140">
        <f>VLOOKUP(LEN(SUBSTITUTE(H2476,"-","")),datos!$A$1:$B$12,2,0)</f>
        <v>7</v>
      </c>
      <c r="L2476" s="138"/>
      <c r="M2476" s="138" t="s">
        <v>0</v>
      </c>
    </row>
    <row r="2477" spans="1:13" x14ac:dyDescent="0.35">
      <c r="A2477" s="138" t="s">
        <v>487</v>
      </c>
      <c r="B2477" s="138" t="s">
        <v>3809</v>
      </c>
      <c r="C2477" s="138" t="s">
        <v>4109</v>
      </c>
      <c r="D2477" s="138" t="s">
        <v>4113</v>
      </c>
      <c r="E2477" s="138" t="s">
        <v>4118</v>
      </c>
      <c r="F2477" s="138" t="s">
        <v>5193</v>
      </c>
      <c r="G2477" s="138" t="s">
        <v>3901</v>
      </c>
      <c r="H2477" s="81" t="str">
        <f t="shared" si="154"/>
        <v>TCCN-PTE-PRL-EPR-B08-COM-AC2</v>
      </c>
      <c r="I2477" s="138" t="str">
        <f>MID(H2477,1,(LEN(H2477)-VLOOKUP(K2477,datos!$B$2:$C$12,2,0)))</f>
        <v>TCCN-PTE-PRL-EPR-B08-COM-AC2</v>
      </c>
      <c r="J2477" s="138" t="s">
        <v>5083</v>
      </c>
      <c r="K2477" s="140">
        <f>VLOOKUP(LEN(SUBSTITUTE(H2477,"-","")),datos!$A$1:$B$12,2,0)</f>
        <v>7</v>
      </c>
      <c r="L2477" s="138"/>
      <c r="M2477" s="138" t="s">
        <v>0</v>
      </c>
    </row>
    <row r="2478" spans="1:13" x14ac:dyDescent="0.35">
      <c r="A2478" s="138" t="s">
        <v>487</v>
      </c>
      <c r="B2478" s="138" t="s">
        <v>3809</v>
      </c>
      <c r="C2478" s="138" t="s">
        <v>4109</v>
      </c>
      <c r="D2478" s="138" t="s">
        <v>4113</v>
      </c>
      <c r="E2478" s="138" t="s">
        <v>4118</v>
      </c>
      <c r="F2478" s="138" t="s">
        <v>5193</v>
      </c>
      <c r="G2478" s="138" t="s">
        <v>3986</v>
      </c>
      <c r="H2478" s="81" t="str">
        <f t="shared" si="154"/>
        <v>TCCN-PTE-PRL-EPR-B08-COM-VV1</v>
      </c>
      <c r="I2478" s="138" t="str">
        <f>MID(H2478,1,(LEN(H2478)-VLOOKUP(K2478,datos!$B$2:$C$12,2,0)))</f>
        <v>TCCN-PTE-PRL-EPR-B08-COM-VV1</v>
      </c>
      <c r="J2478" s="138" t="s">
        <v>7899</v>
      </c>
      <c r="K2478" s="140">
        <f>VLOOKUP(LEN(SUBSTITUTE(H2478,"-","")),datos!$A$1:$B$12,2,0)</f>
        <v>7</v>
      </c>
      <c r="L2478" s="138"/>
      <c r="M2478" s="138" t="s">
        <v>0</v>
      </c>
    </row>
    <row r="2479" spans="1:13" x14ac:dyDescent="0.35">
      <c r="A2479" s="138" t="s">
        <v>487</v>
      </c>
      <c r="B2479" s="138" t="s">
        <v>3809</v>
      </c>
      <c r="C2479" s="138" t="s">
        <v>4109</v>
      </c>
      <c r="D2479" s="138" t="s">
        <v>4113</v>
      </c>
      <c r="E2479" s="138" t="s">
        <v>4118</v>
      </c>
      <c r="F2479" s="138" t="s">
        <v>5193</v>
      </c>
      <c r="G2479" s="138" t="s">
        <v>3987</v>
      </c>
      <c r="H2479" s="81" t="str">
        <f t="shared" si="154"/>
        <v>TCCN-PTE-PRL-EPR-B08-COM-VV2</v>
      </c>
      <c r="I2479" s="138" t="str">
        <f>MID(H2479,1,(LEN(H2479)-VLOOKUP(K2479,datos!$B$2:$C$12,2,0)))</f>
        <v>TCCN-PTE-PRL-EPR-B08-COM-VV2</v>
      </c>
      <c r="J2479" s="138" t="s">
        <v>7974</v>
      </c>
      <c r="K2479" s="140">
        <f>VLOOKUP(LEN(SUBSTITUTE(H2479,"-","")),datos!$A$1:$B$12,2,0)</f>
        <v>7</v>
      </c>
      <c r="L2479" s="138"/>
      <c r="M2479" s="138" t="s">
        <v>0</v>
      </c>
    </row>
    <row r="2480" spans="1:13" x14ac:dyDescent="0.35">
      <c r="A2480" s="138" t="s">
        <v>487</v>
      </c>
      <c r="B2480" s="138" t="s">
        <v>3809</v>
      </c>
      <c r="C2480" s="138" t="s">
        <v>4109</v>
      </c>
      <c r="D2480" s="138" t="s">
        <v>4113</v>
      </c>
      <c r="E2480" s="138" t="s">
        <v>4118</v>
      </c>
      <c r="F2480" s="138" t="s">
        <v>5193</v>
      </c>
      <c r="G2480" s="138" t="s">
        <v>4065</v>
      </c>
      <c r="H2480" s="81" t="str">
        <f t="shared" si="154"/>
        <v>TCCN-PTE-PRL-EPR-B08-COM-VV3</v>
      </c>
      <c r="I2480" s="138" t="str">
        <f>MID(H2480,1,(LEN(H2480)-VLOOKUP(K2480,datos!$B$2:$C$12,2,0)))</f>
        <v>TCCN-PTE-PRL-EPR-B08-COM-VV3</v>
      </c>
      <c r="J2480" s="138" t="s">
        <v>7975</v>
      </c>
      <c r="K2480" s="140">
        <f>VLOOKUP(LEN(SUBSTITUTE(H2480,"-","")),datos!$A$1:$B$12,2,0)</f>
        <v>7</v>
      </c>
      <c r="L2480" s="138"/>
      <c r="M2480" s="138" t="s">
        <v>0</v>
      </c>
    </row>
    <row r="2481" spans="1:13" x14ac:dyDescent="0.35">
      <c r="A2481" s="138" t="s">
        <v>487</v>
      </c>
      <c r="B2481" s="138" t="s">
        <v>3809</v>
      </c>
      <c r="C2481" s="138" t="s">
        <v>4109</v>
      </c>
      <c r="D2481" s="138" t="s">
        <v>4113</v>
      </c>
      <c r="E2481" s="138" t="s">
        <v>4118</v>
      </c>
      <c r="F2481" s="138" t="s">
        <v>5193</v>
      </c>
      <c r="G2481" s="138" t="s">
        <v>5554</v>
      </c>
      <c r="H2481" s="81" t="str">
        <f t="shared" si="154"/>
        <v>TCCN-PTE-PRL-EPR-B08-COM-VV4</v>
      </c>
      <c r="I2481" s="138" t="str">
        <f>MID(H2481,1,(LEN(H2481)-VLOOKUP(K2481,datos!$B$2:$C$12,2,0)))</f>
        <v>TCCN-PTE-PRL-EPR-B08-COM-VV4</v>
      </c>
      <c r="J2481" s="138" t="s">
        <v>7976</v>
      </c>
      <c r="K2481" s="140">
        <f>VLOOKUP(LEN(SUBSTITUTE(H2481,"-","")),datos!$A$1:$B$12,2,0)</f>
        <v>7</v>
      </c>
      <c r="L2481" s="138"/>
      <c r="M2481" s="138" t="s">
        <v>0</v>
      </c>
    </row>
    <row r="2482" spans="1:13" x14ac:dyDescent="0.35">
      <c r="A2482" s="137" t="s">
        <v>487</v>
      </c>
      <c r="B2482" s="137" t="s">
        <v>3809</v>
      </c>
      <c r="C2482" s="137" t="s">
        <v>4109</v>
      </c>
      <c r="D2482" s="137" t="s">
        <v>4113</v>
      </c>
      <c r="E2482" s="137" t="s">
        <v>4118</v>
      </c>
      <c r="F2482" s="137" t="s">
        <v>3847</v>
      </c>
      <c r="G2482" s="137"/>
      <c r="H2482" s="82" t="str">
        <f t="shared" si="154"/>
        <v>TCCN-PTE-PRL-EPR-B08-SMO-</v>
      </c>
      <c r="I2482" s="137" t="str">
        <f>MID(H2482,1,(LEN(H2482)-VLOOKUP(K2482,datos!$B$2:$C$12,2,0)))</f>
        <v>TCCN-PTE-PRL-EPR-B08-SMO</v>
      </c>
      <c r="J2482" s="137" t="s">
        <v>4579</v>
      </c>
      <c r="K2482" s="139">
        <f>VLOOKUP(LEN(SUBSTITUTE(H2482,"-","")),datos!$A$1:$B$12,2,0)</f>
        <v>6</v>
      </c>
      <c r="L2482" s="137"/>
      <c r="M2482" s="137" t="s">
        <v>0</v>
      </c>
    </row>
    <row r="2483" spans="1:13" x14ac:dyDescent="0.35">
      <c r="A2483" s="138" t="s">
        <v>487</v>
      </c>
      <c r="B2483" s="138" t="s">
        <v>3809</v>
      </c>
      <c r="C2483" s="138" t="s">
        <v>4109</v>
      </c>
      <c r="D2483" s="138" t="s">
        <v>4113</v>
      </c>
      <c r="E2483" s="138" t="s">
        <v>4118</v>
      </c>
      <c r="F2483" s="138" t="s">
        <v>3847</v>
      </c>
      <c r="G2483" s="138" t="s">
        <v>3819</v>
      </c>
      <c r="H2483" s="81" t="str">
        <f t="shared" si="154"/>
        <v>TCCN-PTE-PRL-EPR-B08-SMO-MOE</v>
      </c>
      <c r="I2483" s="138" t="str">
        <f>MID(H2483,1,(LEN(H2483)-VLOOKUP(K2483,datos!$B$2:$C$12,2,0)))</f>
        <v>TCCN-PTE-PRL-EPR-B08-SMO-MOE</v>
      </c>
      <c r="J2483" s="138" t="s">
        <v>5364</v>
      </c>
      <c r="K2483" s="140">
        <f>VLOOKUP(LEN(SUBSTITUTE(H2483,"-","")),datos!$A$1:$B$12,2,0)</f>
        <v>7</v>
      </c>
      <c r="L2483" s="138" t="s">
        <v>720</v>
      </c>
      <c r="M2483" s="138" t="s">
        <v>0</v>
      </c>
    </row>
    <row r="2484" spans="1:13" x14ac:dyDescent="0.35">
      <c r="A2484" s="138" t="s">
        <v>487</v>
      </c>
      <c r="B2484" s="138" t="s">
        <v>3809</v>
      </c>
      <c r="C2484" s="138" t="s">
        <v>4109</v>
      </c>
      <c r="D2484" s="138" t="s">
        <v>4113</v>
      </c>
      <c r="E2484" s="138" t="s">
        <v>4118</v>
      </c>
      <c r="F2484" s="138" t="s">
        <v>3847</v>
      </c>
      <c r="G2484" s="138" t="s">
        <v>3900</v>
      </c>
      <c r="H2484" s="81" t="str">
        <f t="shared" si="154"/>
        <v>TCCN-PTE-PRL-EPR-B08-SMO-AC1</v>
      </c>
      <c r="I2484" s="138" t="str">
        <f>MID(H2484,1,(LEN(H2484)-VLOOKUP(K2484,datos!$B$2:$C$12,2,0)))</f>
        <v>TCCN-PTE-PRL-EPR-B08-SMO-AC1</v>
      </c>
      <c r="J2484" s="138" t="s">
        <v>5084</v>
      </c>
      <c r="K2484" s="140">
        <f>VLOOKUP(LEN(SUBSTITUTE(H2484,"-","")),datos!$A$1:$B$12,2,0)</f>
        <v>7</v>
      </c>
      <c r="L2484" s="138"/>
      <c r="M2484" s="138" t="s">
        <v>0</v>
      </c>
    </row>
    <row r="2485" spans="1:13" x14ac:dyDescent="0.35">
      <c r="A2485" s="138" t="s">
        <v>487</v>
      </c>
      <c r="B2485" s="138" t="s">
        <v>3809</v>
      </c>
      <c r="C2485" s="138" t="s">
        <v>4109</v>
      </c>
      <c r="D2485" s="138" t="s">
        <v>4113</v>
      </c>
      <c r="E2485" s="138" t="s">
        <v>4118</v>
      </c>
      <c r="F2485" s="138" t="s">
        <v>3847</v>
      </c>
      <c r="G2485" s="138" t="s">
        <v>3861</v>
      </c>
      <c r="H2485" s="81" t="str">
        <f t="shared" si="154"/>
        <v>TCCN-PTE-PRL-EPR-B08-SMO-RED</v>
      </c>
      <c r="I2485" s="138" t="str">
        <f>MID(H2485,1,(LEN(H2485)-VLOOKUP(K2485,datos!$B$2:$C$12,2,0)))</f>
        <v>TCCN-PTE-PRL-EPR-B08-SMO-RED</v>
      </c>
      <c r="J2485" s="138" t="s">
        <v>5085</v>
      </c>
      <c r="K2485" s="140">
        <f>VLOOKUP(LEN(SUBSTITUTE(H2485,"-","")),datos!$A$1:$B$12,2,0)</f>
        <v>7</v>
      </c>
      <c r="L2485" s="138"/>
      <c r="M2485" s="138" t="s">
        <v>0</v>
      </c>
    </row>
    <row r="2486" spans="1:13" x14ac:dyDescent="0.35">
      <c r="A2486" s="138" t="s">
        <v>487</v>
      </c>
      <c r="B2486" s="138" t="s">
        <v>3809</v>
      </c>
      <c r="C2486" s="138" t="s">
        <v>4109</v>
      </c>
      <c r="D2486" s="138" t="s">
        <v>4113</v>
      </c>
      <c r="E2486" s="138" t="s">
        <v>4118</v>
      </c>
      <c r="F2486" s="138" t="s">
        <v>3847</v>
      </c>
      <c r="G2486" s="138" t="s">
        <v>3901</v>
      </c>
      <c r="H2486" s="81" t="str">
        <f t="shared" si="154"/>
        <v>TCCN-PTE-PRL-EPR-B08-SMO-AC2</v>
      </c>
      <c r="I2486" s="138" t="str">
        <f>MID(H2486,1,(LEN(H2486)-VLOOKUP(K2486,datos!$B$2:$C$12,2,0)))</f>
        <v>TCCN-PTE-PRL-EPR-B08-SMO-AC2</v>
      </c>
      <c r="J2486" s="138" t="s">
        <v>5086</v>
      </c>
      <c r="K2486" s="140">
        <f>VLOOKUP(LEN(SUBSTITUTE(H2486,"-","")),datos!$A$1:$B$12,2,0)</f>
        <v>7</v>
      </c>
      <c r="L2486" s="138"/>
      <c r="M2486" s="138" t="s">
        <v>0</v>
      </c>
    </row>
    <row r="2487" spans="1:13" x14ac:dyDescent="0.35">
      <c r="A2487" s="138" t="s">
        <v>487</v>
      </c>
      <c r="B2487" s="138" t="s">
        <v>3809</v>
      </c>
      <c r="C2487" s="138" t="s">
        <v>4109</v>
      </c>
      <c r="D2487" s="138" t="s">
        <v>4113</v>
      </c>
      <c r="E2487" s="138" t="s">
        <v>4118</v>
      </c>
      <c r="F2487" s="138" t="s">
        <v>3847</v>
      </c>
      <c r="G2487" s="138" t="s">
        <v>5594</v>
      </c>
      <c r="H2487" s="81" t="str">
        <f t="shared" si="154"/>
        <v>TCCN-PTE-PRL-EPR-B08-SMO-EJ1</v>
      </c>
      <c r="I2487" s="138" t="str">
        <f>MID(H2487,1,(LEN(H2487)-VLOOKUP(K2487,datos!$B$2:$C$12,2,0)))</f>
        <v>TCCN-PTE-PRL-EPR-B08-SMO-EJ1</v>
      </c>
      <c r="J2487" s="138" t="s">
        <v>5087</v>
      </c>
      <c r="K2487" s="140">
        <f>VLOOKUP(LEN(SUBSTITUTE(H2487,"-","")),datos!$A$1:$B$12,2,0)</f>
        <v>7</v>
      </c>
      <c r="L2487" s="138"/>
      <c r="M2487" s="138" t="s">
        <v>0</v>
      </c>
    </row>
    <row r="2488" spans="1:13" x14ac:dyDescent="0.35">
      <c r="A2488" s="138" t="s">
        <v>487</v>
      </c>
      <c r="B2488" s="138" t="s">
        <v>3809</v>
      </c>
      <c r="C2488" s="138" t="s">
        <v>4109</v>
      </c>
      <c r="D2488" s="138" t="s">
        <v>4113</v>
      </c>
      <c r="E2488" s="138" t="s">
        <v>4118</v>
      </c>
      <c r="F2488" s="138" t="s">
        <v>3847</v>
      </c>
      <c r="G2488" s="138" t="s">
        <v>5595</v>
      </c>
      <c r="H2488" s="81" t="str">
        <f t="shared" si="154"/>
        <v>TCCN-PTE-PRL-EPR-B08-SMO-EJ2</v>
      </c>
      <c r="I2488" s="138" t="str">
        <f>MID(H2488,1,(LEN(H2488)-VLOOKUP(K2488,datos!$B$2:$C$12,2,0)))</f>
        <v>TCCN-PTE-PRL-EPR-B08-SMO-EJ2</v>
      </c>
      <c r="J2488" s="138" t="s">
        <v>5088</v>
      </c>
      <c r="K2488" s="140">
        <f>VLOOKUP(LEN(SUBSTITUTE(H2488,"-","")),datos!$A$1:$B$12,2,0)</f>
        <v>7</v>
      </c>
      <c r="L2488" s="138"/>
      <c r="M2488" s="138" t="s">
        <v>0</v>
      </c>
    </row>
    <row r="2489" spans="1:13" x14ac:dyDescent="0.35">
      <c r="A2489" s="137" t="s">
        <v>487</v>
      </c>
      <c r="B2489" s="137" t="s">
        <v>3809</v>
      </c>
      <c r="C2489" s="137" t="s">
        <v>4109</v>
      </c>
      <c r="D2489" s="137" t="s">
        <v>4113</v>
      </c>
      <c r="E2489" s="137" t="s">
        <v>4118</v>
      </c>
      <c r="F2489" s="137" t="s">
        <v>3836</v>
      </c>
      <c r="G2489" s="137"/>
      <c r="H2489" s="82" t="str">
        <f t="shared" si="154"/>
        <v>TCCN-PTE-PRL-EPR-B08-SLU-</v>
      </c>
      <c r="I2489" s="137" t="str">
        <f>MID(H2489,1,(LEN(H2489)-VLOOKUP(K2489,datos!$B$2:$C$12,2,0)))</f>
        <v>TCCN-PTE-PRL-EPR-B08-SLU</v>
      </c>
      <c r="J2489" s="137" t="s">
        <v>4580</v>
      </c>
      <c r="K2489" s="139">
        <f>VLOOKUP(LEN(SUBSTITUTE(H2489,"-","")),datos!$A$1:$B$12,2,0)</f>
        <v>6</v>
      </c>
      <c r="L2489" s="137"/>
      <c r="M2489" s="137" t="s">
        <v>0</v>
      </c>
    </row>
    <row r="2490" spans="1:13" x14ac:dyDescent="0.35">
      <c r="A2490" s="138" t="s">
        <v>487</v>
      </c>
      <c r="B2490" s="138" t="s">
        <v>3809</v>
      </c>
      <c r="C2490" s="138" t="s">
        <v>4109</v>
      </c>
      <c r="D2490" s="138" t="s">
        <v>4113</v>
      </c>
      <c r="E2490" s="138" t="s">
        <v>4118</v>
      </c>
      <c r="F2490" s="138" t="s">
        <v>3836</v>
      </c>
      <c r="G2490" s="138" t="s">
        <v>3818</v>
      </c>
      <c r="H2490" s="81" t="str">
        <f t="shared" si="154"/>
        <v>TCCN-PTE-PRL-EPR-B08-SLU-BBA</v>
      </c>
      <c r="I2490" s="138" t="str">
        <f>MID(H2490,1,(LEN(H2490)-VLOOKUP(K2490,datos!$B$2:$C$12,2,0)))</f>
        <v>TCCN-PTE-PRL-EPR-B08-SLU-BBA</v>
      </c>
      <c r="J2490" s="138" t="s">
        <v>4581</v>
      </c>
      <c r="K2490" s="140">
        <f>VLOOKUP(LEN(SUBSTITUTE(H2490,"-","")),datos!$A$1:$B$12,2,0)</f>
        <v>7</v>
      </c>
      <c r="L2490" s="138" t="s">
        <v>721</v>
      </c>
      <c r="M2490" s="138" t="s">
        <v>0</v>
      </c>
    </row>
    <row r="2491" spans="1:13" x14ac:dyDescent="0.35">
      <c r="A2491" s="138" t="s">
        <v>487</v>
      </c>
      <c r="B2491" s="138" t="s">
        <v>3809</v>
      </c>
      <c r="C2491" s="138" t="s">
        <v>4109</v>
      </c>
      <c r="D2491" s="138" t="s">
        <v>4113</v>
      </c>
      <c r="E2491" s="138" t="s">
        <v>4118</v>
      </c>
      <c r="F2491" s="138" t="s">
        <v>3836</v>
      </c>
      <c r="G2491" s="138" t="s">
        <v>3819</v>
      </c>
      <c r="H2491" s="81" t="str">
        <f t="shared" si="154"/>
        <v>TCCN-PTE-PRL-EPR-B08-SLU-MOE</v>
      </c>
      <c r="I2491" s="138" t="str">
        <f>MID(H2491,1,(LEN(H2491)-VLOOKUP(K2491,datos!$B$2:$C$12,2,0)))</f>
        <v>TCCN-PTE-PRL-EPR-B08-SLU-MOE</v>
      </c>
      <c r="J2491" s="138" t="s">
        <v>5365</v>
      </c>
      <c r="K2491" s="140">
        <f>VLOOKUP(LEN(SUBSTITUTE(H2491,"-","")),datos!$A$1:$B$12,2,0)</f>
        <v>7</v>
      </c>
      <c r="L2491" s="138" t="s">
        <v>722</v>
      </c>
      <c r="M2491" s="138" t="s">
        <v>0</v>
      </c>
    </row>
    <row r="2492" spans="1:13" x14ac:dyDescent="0.35">
      <c r="A2492" s="137" t="s">
        <v>487</v>
      </c>
      <c r="B2492" s="137" t="s">
        <v>3809</v>
      </c>
      <c r="C2492" s="137" t="s">
        <v>4109</v>
      </c>
      <c r="D2492" s="137" t="s">
        <v>4113</v>
      </c>
      <c r="E2492" s="137" t="s">
        <v>4118</v>
      </c>
      <c r="F2492" s="137" t="s">
        <v>3831</v>
      </c>
      <c r="G2492" s="137"/>
      <c r="H2492" s="82" t="str">
        <f t="shared" si="154"/>
        <v>TCCN-PTE-PRL-EPR-B08-INS-</v>
      </c>
      <c r="I2492" s="137" t="str">
        <f>MID(H2492,1,(LEN(H2492)-VLOOKUP(K2492,datos!$B$2:$C$12,2,0)))</f>
        <v>TCCN-PTE-PRL-EPR-B08-INS</v>
      </c>
      <c r="J2492" s="137" t="s">
        <v>4582</v>
      </c>
      <c r="K2492" s="139">
        <f>VLOOKUP(LEN(SUBSTITUTE(H2492,"-","")),datos!$A$1:$B$12,2,0)</f>
        <v>6</v>
      </c>
      <c r="L2492" s="137"/>
      <c r="M2492" s="137" t="s">
        <v>0</v>
      </c>
    </row>
    <row r="2493" spans="1:13" x14ac:dyDescent="0.35">
      <c r="A2493" s="138" t="s">
        <v>487</v>
      </c>
      <c r="B2493" s="138" t="s">
        <v>3809</v>
      </c>
      <c r="C2493" s="138" t="s">
        <v>4109</v>
      </c>
      <c r="D2493" s="138" t="s">
        <v>4113</v>
      </c>
      <c r="E2493" s="138" t="s">
        <v>4118</v>
      </c>
      <c r="F2493" s="138" t="s">
        <v>3831</v>
      </c>
      <c r="G2493" s="138" t="s">
        <v>4119</v>
      </c>
      <c r="H2493" s="81" t="str">
        <f t="shared" si="154"/>
        <v>TCCN-PTE-PRL-EPR-B08-INS-SSR</v>
      </c>
      <c r="I2493" s="138" t="str">
        <f>MID(H2493,1,(LEN(H2493)-VLOOKUP(K2493,datos!$B$2:$C$12,2,0)))</f>
        <v>TCCN-PTE-PRL-EPR-B08-INS-SSR</v>
      </c>
      <c r="J2493" s="138" t="s">
        <v>4583</v>
      </c>
      <c r="K2493" s="140">
        <f>VLOOKUP(LEN(SUBSTITUTE(H2493,"-","")),datos!$A$1:$B$12,2,0)</f>
        <v>7</v>
      </c>
      <c r="L2493" s="138"/>
      <c r="M2493" s="138" t="s">
        <v>0</v>
      </c>
    </row>
    <row r="2494" spans="1:13" x14ac:dyDescent="0.35">
      <c r="A2494" s="138" t="s">
        <v>487</v>
      </c>
      <c r="B2494" s="138" t="s">
        <v>3809</v>
      </c>
      <c r="C2494" s="138" t="s">
        <v>4109</v>
      </c>
      <c r="D2494" s="138" t="s">
        <v>4113</v>
      </c>
      <c r="E2494" s="138" t="s">
        <v>4118</v>
      </c>
      <c r="F2494" s="138" t="s">
        <v>3831</v>
      </c>
      <c r="G2494" s="138" t="s">
        <v>7070</v>
      </c>
      <c r="H2494" s="81" t="str">
        <f t="shared" si="154"/>
        <v>TCCN-PTE-PRL-EPR-B08-INS-MP1</v>
      </c>
      <c r="I2494" s="138" t="str">
        <f>MID(H2494,1,(LEN(H2494)-VLOOKUP(K2494,datos!$B$2:$C$12,2,0)))</f>
        <v>TCCN-PTE-PRL-EPR-B08-INS-MP1</v>
      </c>
      <c r="J2494" s="138" t="s">
        <v>7583</v>
      </c>
      <c r="K2494" s="140">
        <f>VLOOKUP(LEN(SUBSTITUTE(H2494,"-","")),datos!$A$1:$B$12,2,0)</f>
        <v>7</v>
      </c>
      <c r="L2494" s="138"/>
      <c r="M2494" s="138" t="s">
        <v>0</v>
      </c>
    </row>
    <row r="2495" spans="1:13" x14ac:dyDescent="0.35">
      <c r="A2495" s="138" t="s">
        <v>487</v>
      </c>
      <c r="B2495" s="138" t="s">
        <v>3809</v>
      </c>
      <c r="C2495" s="138" t="s">
        <v>4109</v>
      </c>
      <c r="D2495" s="138" t="s">
        <v>4113</v>
      </c>
      <c r="E2495" s="138" t="s">
        <v>4118</v>
      </c>
      <c r="F2495" s="138" t="s">
        <v>3831</v>
      </c>
      <c r="G2495" s="138" t="s">
        <v>7071</v>
      </c>
      <c r="H2495" s="81" t="str">
        <f t="shared" si="154"/>
        <v>TCCN-PTE-PRL-EPR-B08-INS-MP2</v>
      </c>
      <c r="I2495" s="138" t="str">
        <f>MID(H2495,1,(LEN(H2495)-VLOOKUP(K2495,datos!$B$2:$C$12,2,0)))</f>
        <v>TCCN-PTE-PRL-EPR-B08-INS-MP2</v>
      </c>
      <c r="J2495" s="138" t="s">
        <v>7553</v>
      </c>
      <c r="K2495" s="140">
        <f>VLOOKUP(LEN(SUBSTITUTE(H2495,"-","")),datos!$A$1:$B$12,2,0)</f>
        <v>7</v>
      </c>
      <c r="L2495" s="138"/>
      <c r="M2495" s="138" t="s">
        <v>0</v>
      </c>
    </row>
    <row r="2496" spans="1:13" x14ac:dyDescent="0.35">
      <c r="A2496" s="138" t="s">
        <v>487</v>
      </c>
      <c r="B2496" s="138" t="s">
        <v>3809</v>
      </c>
      <c r="C2496" s="138" t="s">
        <v>4109</v>
      </c>
      <c r="D2496" s="138" t="s">
        <v>4113</v>
      </c>
      <c r="E2496" s="138" t="s">
        <v>4118</v>
      </c>
      <c r="F2496" s="138" t="s">
        <v>3831</v>
      </c>
      <c r="G2496" s="138" t="s">
        <v>1694</v>
      </c>
      <c r="H2496" s="81" t="str">
        <f t="shared" si="154"/>
        <v>TCCN-PTE-PRL-EPR-B08-INS-PLC</v>
      </c>
      <c r="I2496" s="138" t="str">
        <f>MID(H2496,1,(LEN(H2496)-VLOOKUP(K2496,datos!$B$2:$C$12,2,0)))</f>
        <v>TCCN-PTE-PRL-EPR-B08-INS-PLC</v>
      </c>
      <c r="J2496" s="138" t="s">
        <v>4584</v>
      </c>
      <c r="K2496" s="140">
        <f>VLOOKUP(LEN(SUBSTITUTE(H2496,"-","")),datos!$A$1:$B$12,2,0)</f>
        <v>7</v>
      </c>
      <c r="L2496" s="138"/>
      <c r="M2496" s="138" t="s">
        <v>0</v>
      </c>
    </row>
    <row r="2497" spans="1:13" x14ac:dyDescent="0.35">
      <c r="A2497" s="138" t="s">
        <v>487</v>
      </c>
      <c r="B2497" s="138" t="s">
        <v>3809</v>
      </c>
      <c r="C2497" s="138" t="s">
        <v>4109</v>
      </c>
      <c r="D2497" s="138" t="s">
        <v>4113</v>
      </c>
      <c r="E2497" s="138" t="s">
        <v>4118</v>
      </c>
      <c r="F2497" s="138" t="s">
        <v>3831</v>
      </c>
      <c r="G2497" s="138" t="s">
        <v>4016</v>
      </c>
      <c r="H2497" s="81" t="str">
        <f t="shared" ref="H2497:H2539" si="155">CONCATENATE(A2497,"-",B2497,"-",C2497,"-",D2497,"-",E2497,"-",F2497,"-",G2497)</f>
        <v>TCCN-PTE-PRL-EPR-B08-INS-PAN</v>
      </c>
      <c r="I2497" s="138" t="str">
        <f>MID(H2497,1,(LEN(H2497)-VLOOKUP(K2497,datos!$B$2:$C$12,2,0)))</f>
        <v>TCCN-PTE-PRL-EPR-B08-INS-PAN</v>
      </c>
      <c r="J2497" s="138" t="s">
        <v>4585</v>
      </c>
      <c r="K2497" s="140">
        <f>VLOOKUP(LEN(SUBSTITUTE(H2497,"-","")),datos!$A$1:$B$12,2,0)</f>
        <v>7</v>
      </c>
      <c r="L2497" s="138"/>
      <c r="M2497" s="138" t="s">
        <v>0</v>
      </c>
    </row>
    <row r="2498" spans="1:13" x14ac:dyDescent="0.35">
      <c r="A2498" s="137" t="s">
        <v>487</v>
      </c>
      <c r="B2498" s="137" t="s">
        <v>3809</v>
      </c>
      <c r="C2498" s="137" t="s">
        <v>4109</v>
      </c>
      <c r="D2498" s="137" t="s">
        <v>4113</v>
      </c>
      <c r="E2498" s="137" t="s">
        <v>4118</v>
      </c>
      <c r="F2498" s="137" t="s">
        <v>3869</v>
      </c>
      <c r="G2498" s="137"/>
      <c r="H2498" s="82" t="str">
        <f t="shared" si="155"/>
        <v>TCCN-PTE-PRL-EPR-B08-SCE-</v>
      </c>
      <c r="I2498" s="137" t="str">
        <f>MID(H2498,1,(LEN(H2498)-VLOOKUP(K2498,datos!$B$2:$C$12,2,0)))</f>
        <v>TCCN-PTE-PRL-EPR-B08-SCE</v>
      </c>
      <c r="J2498" s="137" t="s">
        <v>4576</v>
      </c>
      <c r="K2498" s="139">
        <f>VLOOKUP(LEN(SUBSTITUTE(H2498,"-","")),datos!$A$1:$B$12,2,0)</f>
        <v>6</v>
      </c>
      <c r="L2498" s="137"/>
      <c r="M2498" s="137" t="s">
        <v>0</v>
      </c>
    </row>
    <row r="2499" spans="1:13" x14ac:dyDescent="0.35">
      <c r="A2499" s="138" t="s">
        <v>487</v>
      </c>
      <c r="B2499" s="138" t="s">
        <v>3809</v>
      </c>
      <c r="C2499" s="138" t="s">
        <v>4109</v>
      </c>
      <c r="D2499" s="138" t="s">
        <v>4113</v>
      </c>
      <c r="E2499" s="138" t="s">
        <v>4118</v>
      </c>
      <c r="F2499" s="138" t="s">
        <v>3869</v>
      </c>
      <c r="G2499" s="138" t="s">
        <v>3870</v>
      </c>
      <c r="H2499" s="81" t="str">
        <f t="shared" si="155"/>
        <v>TCCN-PTE-PRL-EPR-B08-SCE-BTN</v>
      </c>
      <c r="I2499" s="138" t="str">
        <f>MID(H2499,1,(LEN(H2499)-VLOOKUP(K2499,datos!$B$2:$C$12,2,0)))</f>
        <v>TCCN-PTE-PRL-EPR-B08-SCE-BTN</v>
      </c>
      <c r="J2499" s="138" t="s">
        <v>4577</v>
      </c>
      <c r="K2499" s="140">
        <f>VLOOKUP(LEN(SUBSTITUTE(H2499,"-","")),datos!$A$1:$B$12,2,0)</f>
        <v>7</v>
      </c>
      <c r="L2499" s="138"/>
      <c r="M2499" s="138" t="s">
        <v>0</v>
      </c>
    </row>
    <row r="2500" spans="1:13" customFormat="1" ht="14.5" x14ac:dyDescent="0.35">
      <c r="A2500" s="129" t="s">
        <v>487</v>
      </c>
      <c r="B2500" s="129" t="s">
        <v>3809</v>
      </c>
      <c r="C2500" s="129" t="s">
        <v>4109</v>
      </c>
      <c r="D2500" s="129" t="s">
        <v>4113</v>
      </c>
      <c r="E2500" s="129" t="s">
        <v>4120</v>
      </c>
      <c r="F2500" s="129"/>
      <c r="G2500" s="129"/>
      <c r="H2500" s="83" t="str">
        <f t="shared" si="155"/>
        <v>TCCN-PTE-PRL-EPR-B09--</v>
      </c>
      <c r="I2500" s="129" t="str">
        <f>MID(H2500,1,(LEN(H2500)-VLOOKUP(K2500,datos!$B$2:$C$12,2,0)))</f>
        <v>TCCN-PTE-PRL-EPR-B09</v>
      </c>
      <c r="J2500" s="129" t="s">
        <v>4566</v>
      </c>
      <c r="K2500" s="130">
        <f>VLOOKUP(LEN(SUBSTITUTE(H2500,"-","")),datos!$A$1:$B$12,2,0)</f>
        <v>5</v>
      </c>
      <c r="L2500" s="129" t="s">
        <v>354</v>
      </c>
      <c r="M2500" s="129" t="s">
        <v>0</v>
      </c>
    </row>
    <row r="2501" spans="1:13" x14ac:dyDescent="0.35">
      <c r="A2501" s="137" t="s">
        <v>487</v>
      </c>
      <c r="B2501" s="137" t="s">
        <v>3809</v>
      </c>
      <c r="C2501" s="137" t="s">
        <v>4109</v>
      </c>
      <c r="D2501" s="137" t="s">
        <v>4113</v>
      </c>
      <c r="E2501" s="137" t="s">
        <v>4120</v>
      </c>
      <c r="F2501" s="137" t="s">
        <v>5193</v>
      </c>
      <c r="G2501" s="137"/>
      <c r="H2501" s="82" t="str">
        <f t="shared" si="155"/>
        <v>TCCN-PTE-PRL-EPR-B09-COM-</v>
      </c>
      <c r="I2501" s="137" t="str">
        <f>MID(H2501,1,(LEN(H2501)-VLOOKUP(K2501,datos!$B$2:$C$12,2,0)))</f>
        <v>TCCN-PTE-PRL-EPR-B09-COM</v>
      </c>
      <c r="J2501" s="137" t="s">
        <v>5089</v>
      </c>
      <c r="K2501" s="139">
        <f>VLOOKUP(LEN(SUBSTITUTE(H2501,"-","")),datos!$A$1:$B$12,2,0)</f>
        <v>6</v>
      </c>
      <c r="L2501" s="137"/>
      <c r="M2501" s="137" t="s">
        <v>0</v>
      </c>
    </row>
    <row r="2502" spans="1:13" x14ac:dyDescent="0.35">
      <c r="A2502" s="138" t="s">
        <v>487</v>
      </c>
      <c r="B2502" s="138" t="s">
        <v>3809</v>
      </c>
      <c r="C2502" s="138" t="s">
        <v>4109</v>
      </c>
      <c r="D2502" s="138" t="s">
        <v>4113</v>
      </c>
      <c r="E2502" s="138" t="s">
        <v>4120</v>
      </c>
      <c r="F2502" s="138" t="s">
        <v>5193</v>
      </c>
      <c r="G2502" s="138" t="s">
        <v>3900</v>
      </c>
      <c r="H2502" s="81" t="str">
        <f t="shared" si="155"/>
        <v>TCCN-PTE-PRL-EPR-B09-COM-AC1</v>
      </c>
      <c r="I2502" s="138" t="str">
        <f>MID(H2502,1,(LEN(H2502)-VLOOKUP(K2502,datos!$B$2:$C$12,2,0)))</f>
        <v>TCCN-PTE-PRL-EPR-B09-COM-AC1</v>
      </c>
      <c r="J2502" s="138" t="s">
        <v>5090</v>
      </c>
      <c r="K2502" s="140">
        <f>VLOOKUP(LEN(SUBSTITUTE(H2502,"-","")),datos!$A$1:$B$12,2,0)</f>
        <v>7</v>
      </c>
      <c r="L2502" s="138"/>
      <c r="M2502" s="138" t="s">
        <v>0</v>
      </c>
    </row>
    <row r="2503" spans="1:13" x14ac:dyDescent="0.35">
      <c r="A2503" s="138" t="s">
        <v>487</v>
      </c>
      <c r="B2503" s="138" t="s">
        <v>3809</v>
      </c>
      <c r="C2503" s="138" t="s">
        <v>4109</v>
      </c>
      <c r="D2503" s="138" t="s">
        <v>4113</v>
      </c>
      <c r="E2503" s="138" t="s">
        <v>4120</v>
      </c>
      <c r="F2503" s="138" t="s">
        <v>5193</v>
      </c>
      <c r="G2503" s="138" t="s">
        <v>3901</v>
      </c>
      <c r="H2503" s="81" t="str">
        <f t="shared" si="155"/>
        <v>TCCN-PTE-PRL-EPR-B09-COM-AC2</v>
      </c>
      <c r="I2503" s="138" t="str">
        <f>MID(H2503,1,(LEN(H2503)-VLOOKUP(K2503,datos!$B$2:$C$12,2,0)))</f>
        <v>TCCN-PTE-PRL-EPR-B09-COM-AC2</v>
      </c>
      <c r="J2503" s="138" t="s">
        <v>5091</v>
      </c>
      <c r="K2503" s="140">
        <f>VLOOKUP(LEN(SUBSTITUTE(H2503,"-","")),datos!$A$1:$B$12,2,0)</f>
        <v>7</v>
      </c>
      <c r="L2503" s="138"/>
      <c r="M2503" s="138" t="s">
        <v>0</v>
      </c>
    </row>
    <row r="2504" spans="1:13" x14ac:dyDescent="0.35">
      <c r="A2504" s="138" t="s">
        <v>487</v>
      </c>
      <c r="B2504" s="138" t="s">
        <v>3809</v>
      </c>
      <c r="C2504" s="138" t="s">
        <v>4109</v>
      </c>
      <c r="D2504" s="138" t="s">
        <v>4113</v>
      </c>
      <c r="E2504" s="138" t="s">
        <v>4120</v>
      </c>
      <c r="F2504" s="138" t="s">
        <v>5193</v>
      </c>
      <c r="G2504" s="138" t="s">
        <v>3986</v>
      </c>
      <c r="H2504" s="81" t="str">
        <f t="shared" si="155"/>
        <v>TCCN-PTE-PRL-EPR-B09-COM-VV1</v>
      </c>
      <c r="I2504" s="138" t="str">
        <f>MID(H2504,1,(LEN(H2504)-VLOOKUP(K2504,datos!$B$2:$C$12,2,0)))</f>
        <v>TCCN-PTE-PRL-EPR-B09-COM-VV1</v>
      </c>
      <c r="J2504" s="138" t="s">
        <v>7977</v>
      </c>
      <c r="K2504" s="140">
        <f>VLOOKUP(LEN(SUBSTITUTE(H2504,"-","")),datos!$A$1:$B$12,2,0)</f>
        <v>7</v>
      </c>
      <c r="L2504" s="138"/>
      <c r="M2504" s="138" t="s">
        <v>0</v>
      </c>
    </row>
    <row r="2505" spans="1:13" x14ac:dyDescent="0.35">
      <c r="A2505" s="138" t="s">
        <v>487</v>
      </c>
      <c r="B2505" s="138" t="s">
        <v>3809</v>
      </c>
      <c r="C2505" s="138" t="s">
        <v>4109</v>
      </c>
      <c r="D2505" s="138" t="s">
        <v>4113</v>
      </c>
      <c r="E2505" s="138" t="s">
        <v>4120</v>
      </c>
      <c r="F2505" s="138" t="s">
        <v>5193</v>
      </c>
      <c r="G2505" s="138" t="s">
        <v>3987</v>
      </c>
      <c r="H2505" s="81" t="str">
        <f t="shared" si="155"/>
        <v>TCCN-PTE-PRL-EPR-B09-COM-VV2</v>
      </c>
      <c r="I2505" s="138" t="str">
        <f>MID(H2505,1,(LEN(H2505)-VLOOKUP(K2505,datos!$B$2:$C$12,2,0)))</f>
        <v>TCCN-PTE-PRL-EPR-B09-COM-VV2</v>
      </c>
      <c r="J2505" s="138" t="s">
        <v>7978</v>
      </c>
      <c r="K2505" s="140">
        <f>VLOOKUP(LEN(SUBSTITUTE(H2505,"-","")),datos!$A$1:$B$12,2,0)</f>
        <v>7</v>
      </c>
      <c r="L2505" s="138"/>
      <c r="M2505" s="138" t="s">
        <v>0</v>
      </c>
    </row>
    <row r="2506" spans="1:13" x14ac:dyDescent="0.35">
      <c r="A2506" s="138" t="s">
        <v>487</v>
      </c>
      <c r="B2506" s="138" t="s">
        <v>3809</v>
      </c>
      <c r="C2506" s="138" t="s">
        <v>4109</v>
      </c>
      <c r="D2506" s="138" t="s">
        <v>4113</v>
      </c>
      <c r="E2506" s="138" t="s">
        <v>4120</v>
      </c>
      <c r="F2506" s="138" t="s">
        <v>5193</v>
      </c>
      <c r="G2506" s="138" t="s">
        <v>4065</v>
      </c>
      <c r="H2506" s="81" t="str">
        <f t="shared" si="155"/>
        <v>TCCN-PTE-PRL-EPR-B09-COM-VV3</v>
      </c>
      <c r="I2506" s="138" t="str">
        <f>MID(H2506,1,(LEN(H2506)-VLOOKUP(K2506,datos!$B$2:$C$12,2,0)))</f>
        <v>TCCN-PTE-PRL-EPR-B09-COM-VV3</v>
      </c>
      <c r="J2506" s="138" t="s">
        <v>7979</v>
      </c>
      <c r="K2506" s="140">
        <f>VLOOKUP(LEN(SUBSTITUTE(H2506,"-","")),datos!$A$1:$B$12,2,0)</f>
        <v>7</v>
      </c>
      <c r="L2506" s="138"/>
      <c r="M2506" s="138" t="s">
        <v>0</v>
      </c>
    </row>
    <row r="2507" spans="1:13" x14ac:dyDescent="0.35">
      <c r="A2507" s="138" t="s">
        <v>487</v>
      </c>
      <c r="B2507" s="138" t="s">
        <v>3809</v>
      </c>
      <c r="C2507" s="138" t="s">
        <v>4109</v>
      </c>
      <c r="D2507" s="138" t="s">
        <v>4113</v>
      </c>
      <c r="E2507" s="138" t="s">
        <v>4120</v>
      </c>
      <c r="F2507" s="138" t="s">
        <v>5193</v>
      </c>
      <c r="G2507" s="138" t="s">
        <v>5554</v>
      </c>
      <c r="H2507" s="81" t="str">
        <f t="shared" si="155"/>
        <v>TCCN-PTE-PRL-EPR-B09-COM-VV4</v>
      </c>
      <c r="I2507" s="138" t="str">
        <f>MID(H2507,1,(LEN(H2507)-VLOOKUP(K2507,datos!$B$2:$C$12,2,0)))</f>
        <v>TCCN-PTE-PRL-EPR-B09-COM-VV4</v>
      </c>
      <c r="J2507" s="138" t="s">
        <v>7980</v>
      </c>
      <c r="K2507" s="140">
        <f>VLOOKUP(LEN(SUBSTITUTE(H2507,"-","")),datos!$A$1:$B$12,2,0)</f>
        <v>7</v>
      </c>
      <c r="L2507" s="138"/>
      <c r="M2507" s="138" t="s">
        <v>0</v>
      </c>
    </row>
    <row r="2508" spans="1:13" x14ac:dyDescent="0.35">
      <c r="A2508" s="137" t="s">
        <v>487</v>
      </c>
      <c r="B2508" s="137" t="s">
        <v>3809</v>
      </c>
      <c r="C2508" s="137" t="s">
        <v>4109</v>
      </c>
      <c r="D2508" s="137" t="s">
        <v>4113</v>
      </c>
      <c r="E2508" s="137" t="s">
        <v>4120</v>
      </c>
      <c r="F2508" s="137" t="s">
        <v>3847</v>
      </c>
      <c r="G2508" s="137"/>
      <c r="H2508" s="82" t="str">
        <f t="shared" si="155"/>
        <v>TCCN-PTE-PRL-EPR-B09-SMO-</v>
      </c>
      <c r="I2508" s="137" t="str">
        <f>MID(H2508,1,(LEN(H2508)-VLOOKUP(K2508,datos!$B$2:$C$12,2,0)))</f>
        <v>TCCN-PTE-PRL-EPR-B09-SMO</v>
      </c>
      <c r="J2508" s="137" t="s">
        <v>4568</v>
      </c>
      <c r="K2508" s="139">
        <f>VLOOKUP(LEN(SUBSTITUTE(H2508,"-","")),datos!$A$1:$B$12,2,0)</f>
        <v>6</v>
      </c>
      <c r="L2508" s="137"/>
      <c r="M2508" s="137" t="s">
        <v>0</v>
      </c>
    </row>
    <row r="2509" spans="1:13" x14ac:dyDescent="0.35">
      <c r="A2509" s="138" t="s">
        <v>487</v>
      </c>
      <c r="B2509" s="138" t="s">
        <v>3809</v>
      </c>
      <c r="C2509" s="138" t="s">
        <v>4109</v>
      </c>
      <c r="D2509" s="138" t="s">
        <v>4113</v>
      </c>
      <c r="E2509" s="138" t="s">
        <v>4120</v>
      </c>
      <c r="F2509" s="138" t="s">
        <v>3847</v>
      </c>
      <c r="G2509" s="138" t="s">
        <v>3819</v>
      </c>
      <c r="H2509" s="81" t="str">
        <f t="shared" si="155"/>
        <v>TCCN-PTE-PRL-EPR-B09-SMO-MOE</v>
      </c>
      <c r="I2509" s="138" t="str">
        <f>MID(H2509,1,(LEN(H2509)-VLOOKUP(K2509,datos!$B$2:$C$12,2,0)))</f>
        <v>TCCN-PTE-PRL-EPR-B09-SMO-MOE</v>
      </c>
      <c r="J2509" s="138" t="s">
        <v>5366</v>
      </c>
      <c r="K2509" s="140">
        <f>VLOOKUP(LEN(SUBSTITUTE(H2509,"-","")),datos!$A$1:$B$12,2,0)</f>
        <v>7</v>
      </c>
      <c r="L2509" s="138" t="s">
        <v>723</v>
      </c>
      <c r="M2509" s="138" t="s">
        <v>0</v>
      </c>
    </row>
    <row r="2510" spans="1:13" x14ac:dyDescent="0.35">
      <c r="A2510" s="138" t="s">
        <v>487</v>
      </c>
      <c r="B2510" s="138" t="s">
        <v>3809</v>
      </c>
      <c r="C2510" s="138" t="s">
        <v>4109</v>
      </c>
      <c r="D2510" s="138" t="s">
        <v>4113</v>
      </c>
      <c r="E2510" s="138" t="s">
        <v>4120</v>
      </c>
      <c r="F2510" s="138" t="s">
        <v>3847</v>
      </c>
      <c r="G2510" s="138" t="s">
        <v>3900</v>
      </c>
      <c r="H2510" s="81" t="str">
        <f t="shared" si="155"/>
        <v>TCCN-PTE-PRL-EPR-B09-SMO-AC1</v>
      </c>
      <c r="I2510" s="138" t="str">
        <f>MID(H2510,1,(LEN(H2510)-VLOOKUP(K2510,datos!$B$2:$C$12,2,0)))</f>
        <v>TCCN-PTE-PRL-EPR-B09-SMO-AC1</v>
      </c>
      <c r="J2510" s="138" t="s">
        <v>5092</v>
      </c>
      <c r="K2510" s="140">
        <f>VLOOKUP(LEN(SUBSTITUTE(H2510,"-","")),datos!$A$1:$B$12,2,0)</f>
        <v>7</v>
      </c>
      <c r="L2510" s="138"/>
      <c r="M2510" s="138" t="s">
        <v>0</v>
      </c>
    </row>
    <row r="2511" spans="1:13" x14ac:dyDescent="0.35">
      <c r="A2511" s="138" t="s">
        <v>487</v>
      </c>
      <c r="B2511" s="138" t="s">
        <v>3809</v>
      </c>
      <c r="C2511" s="138" t="s">
        <v>4109</v>
      </c>
      <c r="D2511" s="138" t="s">
        <v>4113</v>
      </c>
      <c r="E2511" s="138" t="s">
        <v>4120</v>
      </c>
      <c r="F2511" s="138" t="s">
        <v>3847</v>
      </c>
      <c r="G2511" s="138" t="s">
        <v>3861</v>
      </c>
      <c r="H2511" s="81" t="str">
        <f t="shared" si="155"/>
        <v>TCCN-PTE-PRL-EPR-B09-SMO-RED</v>
      </c>
      <c r="I2511" s="138" t="str">
        <f>MID(H2511,1,(LEN(H2511)-VLOOKUP(K2511,datos!$B$2:$C$12,2,0)))</f>
        <v>TCCN-PTE-PRL-EPR-B09-SMO-RED</v>
      </c>
      <c r="J2511" s="138" t="s">
        <v>5093</v>
      </c>
      <c r="K2511" s="140">
        <f>VLOOKUP(LEN(SUBSTITUTE(H2511,"-","")),datos!$A$1:$B$12,2,0)</f>
        <v>7</v>
      </c>
      <c r="L2511" s="138"/>
      <c r="M2511" s="138" t="s">
        <v>0</v>
      </c>
    </row>
    <row r="2512" spans="1:13" x14ac:dyDescent="0.35">
      <c r="A2512" s="138" t="s">
        <v>487</v>
      </c>
      <c r="B2512" s="138" t="s">
        <v>3809</v>
      </c>
      <c r="C2512" s="138" t="s">
        <v>4109</v>
      </c>
      <c r="D2512" s="138" t="s">
        <v>4113</v>
      </c>
      <c r="E2512" s="138" t="s">
        <v>4120</v>
      </c>
      <c r="F2512" s="138" t="s">
        <v>3847</v>
      </c>
      <c r="G2512" s="138" t="s">
        <v>3901</v>
      </c>
      <c r="H2512" s="81" t="str">
        <f t="shared" si="155"/>
        <v>TCCN-PTE-PRL-EPR-B09-SMO-AC2</v>
      </c>
      <c r="I2512" s="138" t="str">
        <f>MID(H2512,1,(LEN(H2512)-VLOOKUP(K2512,datos!$B$2:$C$12,2,0)))</f>
        <v>TCCN-PTE-PRL-EPR-B09-SMO-AC2</v>
      </c>
      <c r="J2512" s="138" t="s">
        <v>5094</v>
      </c>
      <c r="K2512" s="140">
        <f>VLOOKUP(LEN(SUBSTITUTE(H2512,"-","")),datos!$A$1:$B$12,2,0)</f>
        <v>7</v>
      </c>
      <c r="L2512" s="138"/>
      <c r="M2512" s="138" t="s">
        <v>0</v>
      </c>
    </row>
    <row r="2513" spans="1:13" x14ac:dyDescent="0.35">
      <c r="A2513" s="138" t="s">
        <v>487</v>
      </c>
      <c r="B2513" s="138" t="s">
        <v>3809</v>
      </c>
      <c r="C2513" s="138" t="s">
        <v>4109</v>
      </c>
      <c r="D2513" s="138" t="s">
        <v>4113</v>
      </c>
      <c r="E2513" s="138" t="s">
        <v>4120</v>
      </c>
      <c r="F2513" s="138" t="s">
        <v>3847</v>
      </c>
      <c r="G2513" s="138" t="s">
        <v>5594</v>
      </c>
      <c r="H2513" s="81" t="str">
        <f t="shared" si="155"/>
        <v>TCCN-PTE-PRL-EPR-B09-SMO-EJ1</v>
      </c>
      <c r="I2513" s="138" t="str">
        <f>MID(H2513,1,(LEN(H2513)-VLOOKUP(K2513,datos!$B$2:$C$12,2,0)))</f>
        <v>TCCN-PTE-PRL-EPR-B09-SMO-EJ1</v>
      </c>
      <c r="J2513" s="138" t="s">
        <v>5095</v>
      </c>
      <c r="K2513" s="140">
        <f>VLOOKUP(LEN(SUBSTITUTE(H2513,"-","")),datos!$A$1:$B$12,2,0)</f>
        <v>7</v>
      </c>
      <c r="L2513" s="138"/>
      <c r="M2513" s="138" t="s">
        <v>0</v>
      </c>
    </row>
    <row r="2514" spans="1:13" x14ac:dyDescent="0.35">
      <c r="A2514" s="138" t="s">
        <v>487</v>
      </c>
      <c r="B2514" s="138" t="s">
        <v>3809</v>
      </c>
      <c r="C2514" s="138" t="s">
        <v>4109</v>
      </c>
      <c r="D2514" s="138" t="s">
        <v>4113</v>
      </c>
      <c r="E2514" s="138" t="s">
        <v>4120</v>
      </c>
      <c r="F2514" s="138" t="s">
        <v>3847</v>
      </c>
      <c r="G2514" s="138" t="s">
        <v>5595</v>
      </c>
      <c r="H2514" s="81" t="str">
        <f t="shared" si="155"/>
        <v>TCCN-PTE-PRL-EPR-B09-SMO-EJ2</v>
      </c>
      <c r="I2514" s="138" t="str">
        <f>MID(H2514,1,(LEN(H2514)-VLOOKUP(K2514,datos!$B$2:$C$12,2,0)))</f>
        <v>TCCN-PTE-PRL-EPR-B09-SMO-EJ2</v>
      </c>
      <c r="J2514" s="138" t="s">
        <v>5096</v>
      </c>
      <c r="K2514" s="140">
        <f>VLOOKUP(LEN(SUBSTITUTE(H2514,"-","")),datos!$A$1:$B$12,2,0)</f>
        <v>7</v>
      </c>
      <c r="L2514" s="138"/>
      <c r="M2514" s="138" t="s">
        <v>0</v>
      </c>
    </row>
    <row r="2515" spans="1:13" x14ac:dyDescent="0.35">
      <c r="A2515" s="137" t="s">
        <v>487</v>
      </c>
      <c r="B2515" s="137" t="s">
        <v>3809</v>
      </c>
      <c r="C2515" s="137" t="s">
        <v>4109</v>
      </c>
      <c r="D2515" s="137" t="s">
        <v>4113</v>
      </c>
      <c r="E2515" s="137" t="s">
        <v>4120</v>
      </c>
      <c r="F2515" s="137" t="s">
        <v>3836</v>
      </c>
      <c r="G2515" s="137"/>
      <c r="H2515" s="82" t="str">
        <f t="shared" si="155"/>
        <v>TCCN-PTE-PRL-EPR-B09-SLU-</v>
      </c>
      <c r="I2515" s="137" t="str">
        <f>MID(H2515,1,(LEN(H2515)-VLOOKUP(K2515,datos!$B$2:$C$12,2,0)))</f>
        <v>TCCN-PTE-PRL-EPR-B09-SLU</v>
      </c>
      <c r="J2515" s="137" t="s">
        <v>4569</v>
      </c>
      <c r="K2515" s="139">
        <f>VLOOKUP(LEN(SUBSTITUTE(H2515,"-","")),datos!$A$1:$B$12,2,0)</f>
        <v>6</v>
      </c>
      <c r="L2515" s="137"/>
      <c r="M2515" s="137" t="s">
        <v>0</v>
      </c>
    </row>
    <row r="2516" spans="1:13" x14ac:dyDescent="0.35">
      <c r="A2516" s="138" t="s">
        <v>487</v>
      </c>
      <c r="B2516" s="138" t="s">
        <v>3809</v>
      </c>
      <c r="C2516" s="138" t="s">
        <v>4109</v>
      </c>
      <c r="D2516" s="138" t="s">
        <v>4113</v>
      </c>
      <c r="E2516" s="138" t="s">
        <v>4120</v>
      </c>
      <c r="F2516" s="138" t="s">
        <v>3836</v>
      </c>
      <c r="G2516" s="138" t="s">
        <v>3818</v>
      </c>
      <c r="H2516" s="81" t="str">
        <f t="shared" si="155"/>
        <v>TCCN-PTE-PRL-EPR-B09-SLU-BBA</v>
      </c>
      <c r="I2516" s="138" t="str">
        <f>MID(H2516,1,(LEN(H2516)-VLOOKUP(K2516,datos!$B$2:$C$12,2,0)))</f>
        <v>TCCN-PTE-PRL-EPR-B09-SLU-BBA</v>
      </c>
      <c r="J2516" s="138" t="s">
        <v>4570</v>
      </c>
      <c r="K2516" s="140">
        <f>VLOOKUP(LEN(SUBSTITUTE(H2516,"-","")),datos!$A$1:$B$12,2,0)</f>
        <v>7</v>
      </c>
      <c r="L2516" s="138" t="s">
        <v>724</v>
      </c>
      <c r="M2516" s="138" t="s">
        <v>0</v>
      </c>
    </row>
    <row r="2517" spans="1:13" x14ac:dyDescent="0.35">
      <c r="A2517" s="138" t="s">
        <v>487</v>
      </c>
      <c r="B2517" s="138" t="s">
        <v>3809</v>
      </c>
      <c r="C2517" s="138" t="s">
        <v>4109</v>
      </c>
      <c r="D2517" s="138" t="s">
        <v>4113</v>
      </c>
      <c r="E2517" s="138" t="s">
        <v>4120</v>
      </c>
      <c r="F2517" s="138" t="s">
        <v>3836</v>
      </c>
      <c r="G2517" s="138" t="s">
        <v>3819</v>
      </c>
      <c r="H2517" s="81" t="str">
        <f t="shared" si="155"/>
        <v>TCCN-PTE-PRL-EPR-B09-SLU-MOE</v>
      </c>
      <c r="I2517" s="138" t="str">
        <f>MID(H2517,1,(LEN(H2517)-VLOOKUP(K2517,datos!$B$2:$C$12,2,0)))</f>
        <v>TCCN-PTE-PRL-EPR-B09-SLU-MOE</v>
      </c>
      <c r="J2517" s="138" t="s">
        <v>5367</v>
      </c>
      <c r="K2517" s="140">
        <f>VLOOKUP(LEN(SUBSTITUTE(H2517,"-","")),datos!$A$1:$B$12,2,0)</f>
        <v>7</v>
      </c>
      <c r="L2517" s="138" t="s">
        <v>725</v>
      </c>
      <c r="M2517" s="138" t="s">
        <v>0</v>
      </c>
    </row>
    <row r="2518" spans="1:13" x14ac:dyDescent="0.35">
      <c r="A2518" s="137" t="s">
        <v>487</v>
      </c>
      <c r="B2518" s="137" t="s">
        <v>3809</v>
      </c>
      <c r="C2518" s="137" t="s">
        <v>4109</v>
      </c>
      <c r="D2518" s="137" t="s">
        <v>4113</v>
      </c>
      <c r="E2518" s="137" t="s">
        <v>4120</v>
      </c>
      <c r="F2518" s="137" t="s">
        <v>3831</v>
      </c>
      <c r="G2518" s="137"/>
      <c r="H2518" s="82" t="str">
        <f t="shared" si="155"/>
        <v>TCCN-PTE-PRL-EPR-B09-INS-</v>
      </c>
      <c r="I2518" s="137" t="str">
        <f>MID(H2518,1,(LEN(H2518)-VLOOKUP(K2518,datos!$B$2:$C$12,2,0)))</f>
        <v>TCCN-PTE-PRL-EPR-B09-INS</v>
      </c>
      <c r="J2518" s="137" t="s">
        <v>6706</v>
      </c>
      <c r="K2518" s="139">
        <f>VLOOKUP(LEN(SUBSTITUTE(H2518,"-","")),datos!$A$1:$B$12,2,0)</f>
        <v>6</v>
      </c>
      <c r="L2518" s="137"/>
      <c r="M2518" s="137" t="s">
        <v>0</v>
      </c>
    </row>
    <row r="2519" spans="1:13" x14ac:dyDescent="0.35">
      <c r="A2519" s="138" t="s">
        <v>487</v>
      </c>
      <c r="B2519" s="138" t="s">
        <v>3809</v>
      </c>
      <c r="C2519" s="138" t="s">
        <v>4109</v>
      </c>
      <c r="D2519" s="138" t="s">
        <v>4113</v>
      </c>
      <c r="E2519" s="138" t="s">
        <v>4120</v>
      </c>
      <c r="F2519" s="138" t="s">
        <v>3831</v>
      </c>
      <c r="G2519" s="138" t="s">
        <v>4119</v>
      </c>
      <c r="H2519" s="81" t="str">
        <f t="shared" si="155"/>
        <v>TCCN-PTE-PRL-EPR-B09-INS-SSR</v>
      </c>
      <c r="I2519" s="138" t="str">
        <f>MID(H2519,1,(LEN(H2519)-VLOOKUP(K2519,datos!$B$2:$C$12,2,0)))</f>
        <v>TCCN-PTE-PRL-EPR-B09-INS-SSR</v>
      </c>
      <c r="J2519" s="138" t="s">
        <v>4573</v>
      </c>
      <c r="K2519" s="140">
        <f>VLOOKUP(LEN(SUBSTITUTE(H2519,"-","")),datos!$A$1:$B$12,2,0)</f>
        <v>7</v>
      </c>
      <c r="L2519" s="138"/>
      <c r="M2519" s="138" t="s">
        <v>0</v>
      </c>
    </row>
    <row r="2520" spans="1:13" x14ac:dyDescent="0.35">
      <c r="A2520" s="138" t="s">
        <v>487</v>
      </c>
      <c r="B2520" s="138" t="s">
        <v>3809</v>
      </c>
      <c r="C2520" s="138" t="s">
        <v>4109</v>
      </c>
      <c r="D2520" s="138" t="s">
        <v>4113</v>
      </c>
      <c r="E2520" s="138" t="s">
        <v>4120</v>
      </c>
      <c r="F2520" s="138" t="s">
        <v>3831</v>
      </c>
      <c r="G2520" s="138" t="s">
        <v>7070</v>
      </c>
      <c r="H2520" s="81" t="str">
        <f t="shared" si="155"/>
        <v>TCCN-PTE-PRL-EPR-B09-INS-MP1</v>
      </c>
      <c r="I2520" s="138" t="str">
        <f>MID(H2520,1,(LEN(H2520)-VLOOKUP(K2520,datos!$B$2:$C$12,2,0)))</f>
        <v>TCCN-PTE-PRL-EPR-B09-INS-MP1</v>
      </c>
      <c r="J2520" s="138" t="s">
        <v>7556</v>
      </c>
      <c r="K2520" s="140">
        <f>VLOOKUP(LEN(SUBSTITUTE(H2520,"-","")),datos!$A$1:$B$12,2,0)</f>
        <v>7</v>
      </c>
      <c r="L2520" s="138"/>
      <c r="M2520" s="138" t="s">
        <v>0</v>
      </c>
    </row>
    <row r="2521" spans="1:13" x14ac:dyDescent="0.35">
      <c r="A2521" s="138" t="s">
        <v>487</v>
      </c>
      <c r="B2521" s="138" t="s">
        <v>3809</v>
      </c>
      <c r="C2521" s="138" t="s">
        <v>4109</v>
      </c>
      <c r="D2521" s="138" t="s">
        <v>4113</v>
      </c>
      <c r="E2521" s="138" t="s">
        <v>4120</v>
      </c>
      <c r="F2521" s="138" t="s">
        <v>3831</v>
      </c>
      <c r="G2521" s="138" t="s">
        <v>7071</v>
      </c>
      <c r="H2521" s="81" t="str">
        <f t="shared" si="155"/>
        <v>TCCN-PTE-PRL-EPR-B09-INS-MP2</v>
      </c>
      <c r="I2521" s="138" t="str">
        <f>MID(H2521,1,(LEN(H2521)-VLOOKUP(K2521,datos!$B$2:$C$12,2,0)))</f>
        <v>TCCN-PTE-PRL-EPR-B09-INS-MP2</v>
      </c>
      <c r="J2521" s="138" t="s">
        <v>7554</v>
      </c>
      <c r="K2521" s="140">
        <f>VLOOKUP(LEN(SUBSTITUTE(H2521,"-","")),datos!$A$1:$B$12,2,0)</f>
        <v>7</v>
      </c>
      <c r="L2521" s="138"/>
      <c r="M2521" s="138" t="s">
        <v>0</v>
      </c>
    </row>
    <row r="2522" spans="1:13" x14ac:dyDescent="0.35">
      <c r="A2522" s="138" t="s">
        <v>487</v>
      </c>
      <c r="B2522" s="138" t="s">
        <v>3809</v>
      </c>
      <c r="C2522" s="138" t="s">
        <v>4109</v>
      </c>
      <c r="D2522" s="138" t="s">
        <v>4113</v>
      </c>
      <c r="E2522" s="138" t="s">
        <v>4120</v>
      </c>
      <c r="F2522" s="138" t="s">
        <v>3831</v>
      </c>
      <c r="G2522" s="138" t="s">
        <v>1694</v>
      </c>
      <c r="H2522" s="81" t="str">
        <f t="shared" si="155"/>
        <v>TCCN-PTE-PRL-EPR-B09-INS-PLC</v>
      </c>
      <c r="I2522" s="138" t="str">
        <f>MID(H2522,1,(LEN(H2522)-VLOOKUP(K2522,datos!$B$2:$C$12,2,0)))</f>
        <v>TCCN-PTE-PRL-EPR-B09-INS-PLC</v>
      </c>
      <c r="J2522" s="138" t="s">
        <v>4574</v>
      </c>
      <c r="K2522" s="140">
        <f>VLOOKUP(LEN(SUBSTITUTE(H2522,"-","")),datos!$A$1:$B$12,2,0)</f>
        <v>7</v>
      </c>
      <c r="L2522" s="138"/>
      <c r="M2522" s="138" t="s">
        <v>0</v>
      </c>
    </row>
    <row r="2523" spans="1:13" x14ac:dyDescent="0.35">
      <c r="A2523" s="138" t="s">
        <v>487</v>
      </c>
      <c r="B2523" s="138" t="s">
        <v>3809</v>
      </c>
      <c r="C2523" s="138" t="s">
        <v>4109</v>
      </c>
      <c r="D2523" s="138" t="s">
        <v>4113</v>
      </c>
      <c r="E2523" s="138" t="s">
        <v>4120</v>
      </c>
      <c r="F2523" s="138" t="s">
        <v>3831</v>
      </c>
      <c r="G2523" s="138" t="s">
        <v>4016</v>
      </c>
      <c r="H2523" s="81" t="str">
        <f t="shared" si="155"/>
        <v>TCCN-PTE-PRL-EPR-B09-INS-PAN</v>
      </c>
      <c r="I2523" s="138" t="str">
        <f>MID(H2523,1,(LEN(H2523)-VLOOKUP(K2523,datos!$B$2:$C$12,2,0)))</f>
        <v>TCCN-PTE-PRL-EPR-B09-INS-PAN</v>
      </c>
      <c r="J2523" s="138" t="s">
        <v>4575</v>
      </c>
      <c r="K2523" s="140">
        <f>VLOOKUP(LEN(SUBSTITUTE(H2523,"-","")),datos!$A$1:$B$12,2,0)</f>
        <v>7</v>
      </c>
      <c r="L2523" s="138"/>
      <c r="M2523" s="138" t="s">
        <v>0</v>
      </c>
    </row>
    <row r="2524" spans="1:13" x14ac:dyDescent="0.35">
      <c r="A2524" s="137" t="s">
        <v>487</v>
      </c>
      <c r="B2524" s="137" t="s">
        <v>3809</v>
      </c>
      <c r="C2524" s="137" t="s">
        <v>4109</v>
      </c>
      <c r="D2524" s="137" t="s">
        <v>4113</v>
      </c>
      <c r="E2524" s="137" t="s">
        <v>4120</v>
      </c>
      <c r="F2524" s="137" t="s">
        <v>3869</v>
      </c>
      <c r="G2524" s="137"/>
      <c r="H2524" s="82" t="str">
        <f t="shared" si="155"/>
        <v>TCCN-PTE-PRL-EPR-B09-SCE-</v>
      </c>
      <c r="I2524" s="137" t="str">
        <f>MID(H2524,1,(LEN(H2524)-VLOOKUP(K2524,datos!$B$2:$C$12,2,0)))</f>
        <v>TCCN-PTE-PRL-EPR-B09-SCE</v>
      </c>
      <c r="J2524" s="137" t="s">
        <v>4571</v>
      </c>
      <c r="K2524" s="139">
        <f>VLOOKUP(LEN(SUBSTITUTE(H2524,"-","")),datos!$A$1:$B$12,2,0)</f>
        <v>6</v>
      </c>
      <c r="L2524" s="137"/>
      <c r="M2524" s="137" t="s">
        <v>0</v>
      </c>
    </row>
    <row r="2525" spans="1:13" x14ac:dyDescent="0.35">
      <c r="A2525" s="138" t="s">
        <v>487</v>
      </c>
      <c r="B2525" s="138" t="s">
        <v>3809</v>
      </c>
      <c r="C2525" s="138" t="s">
        <v>4109</v>
      </c>
      <c r="D2525" s="138" t="s">
        <v>4113</v>
      </c>
      <c r="E2525" s="138" t="s">
        <v>4120</v>
      </c>
      <c r="F2525" s="138" t="s">
        <v>3869</v>
      </c>
      <c r="G2525" s="138" t="s">
        <v>3870</v>
      </c>
      <c r="H2525" s="81" t="str">
        <f t="shared" si="155"/>
        <v>TCCN-PTE-PRL-EPR-B09-SCE-BTN</v>
      </c>
      <c r="I2525" s="138" t="str">
        <f>MID(H2525,1,(LEN(H2525)-VLOOKUP(K2525,datos!$B$2:$C$12,2,0)))</f>
        <v>TCCN-PTE-PRL-EPR-B09-SCE-BTN</v>
      </c>
      <c r="J2525" s="138" t="s">
        <v>4572</v>
      </c>
      <c r="K2525" s="140">
        <f>VLOOKUP(LEN(SUBSTITUTE(H2525,"-","")),datos!$A$1:$B$12,2,0)</f>
        <v>7</v>
      </c>
      <c r="L2525" s="138"/>
      <c r="M2525" s="138" t="s">
        <v>0</v>
      </c>
    </row>
    <row r="2526" spans="1:13" customFormat="1" ht="14.5" x14ac:dyDescent="0.35">
      <c r="A2526" s="129" t="s">
        <v>487</v>
      </c>
      <c r="B2526" s="129" t="s">
        <v>3809</v>
      </c>
      <c r="C2526" s="129" t="s">
        <v>4109</v>
      </c>
      <c r="D2526" s="129" t="s">
        <v>4113</v>
      </c>
      <c r="E2526" s="129" t="s">
        <v>4090</v>
      </c>
      <c r="F2526" s="129"/>
      <c r="G2526" s="129"/>
      <c r="H2526" s="83" t="str">
        <f t="shared" si="155"/>
        <v>TCCN-PTE-PRL-EPR-GPT--</v>
      </c>
      <c r="I2526" s="129" t="str">
        <f>MID(H2526,1,(LEN(H2526)-VLOOKUP(K2526,datos!$B$2:$C$12,2,0)))</f>
        <v>TCCN-PTE-PRL-EPR-GPT</v>
      </c>
      <c r="J2526" s="129" t="s">
        <v>481</v>
      </c>
      <c r="K2526" s="130">
        <f>VLOOKUP(LEN(SUBSTITUTE(H2526,"-","")),datos!$A$1:$B$12,2,0)</f>
        <v>5</v>
      </c>
      <c r="L2526" s="129" t="s">
        <v>355</v>
      </c>
      <c r="M2526" s="129" t="s">
        <v>0</v>
      </c>
    </row>
    <row r="2527" spans="1:13" x14ac:dyDescent="0.35">
      <c r="A2527" s="137" t="s">
        <v>487</v>
      </c>
      <c r="B2527" s="137" t="s">
        <v>3809</v>
      </c>
      <c r="C2527" s="137" t="s">
        <v>4109</v>
      </c>
      <c r="D2527" s="137" t="s">
        <v>4113</v>
      </c>
      <c r="E2527" s="137" t="s">
        <v>4090</v>
      </c>
      <c r="F2527" s="137" t="s">
        <v>3869</v>
      </c>
      <c r="G2527" s="137"/>
      <c r="H2527" s="82" t="str">
        <f t="shared" si="155"/>
        <v>TCCN-PTE-PRL-EPR-GPT-SCE-</v>
      </c>
      <c r="I2527" s="137" t="str">
        <f>MID(H2527,1,(LEN(H2527)-VLOOKUP(K2527,datos!$B$2:$C$12,2,0)))</f>
        <v>TCCN-PTE-PRL-EPR-GPT-SCE</v>
      </c>
      <c r="J2527" s="137" t="s">
        <v>4753</v>
      </c>
      <c r="K2527" s="139">
        <f>VLOOKUP(LEN(SUBSTITUTE(H2527,"-","")),datos!$A$1:$B$12,2,0)</f>
        <v>6</v>
      </c>
      <c r="L2527" s="137"/>
      <c r="M2527" s="137" t="s">
        <v>0</v>
      </c>
    </row>
    <row r="2528" spans="1:13" x14ac:dyDescent="0.35">
      <c r="A2528" s="138" t="s">
        <v>487</v>
      </c>
      <c r="B2528" s="138" t="s">
        <v>3809</v>
      </c>
      <c r="C2528" s="138" t="s">
        <v>4109</v>
      </c>
      <c r="D2528" s="138" t="s">
        <v>4113</v>
      </c>
      <c r="E2528" s="138" t="s">
        <v>4090</v>
      </c>
      <c r="F2528" s="138" t="s">
        <v>3869</v>
      </c>
      <c r="G2528" s="138" t="s">
        <v>4717</v>
      </c>
      <c r="H2528" s="81" t="str">
        <f t="shared" si="155"/>
        <v>TCCN-PTE-PRL-EPR-GPT-SCE-VD1</v>
      </c>
      <c r="I2528" s="138" t="str">
        <f>MID(H2528,1,(LEN(H2528)-VLOOKUP(K2528,datos!$B$2:$C$12,2,0)))</f>
        <v>TCCN-PTE-PRL-EPR-GPT-SCE-VD1</v>
      </c>
      <c r="J2528" s="138" t="s">
        <v>4754</v>
      </c>
      <c r="K2528" s="140">
        <f>VLOOKUP(LEN(SUBSTITUTE(H2528,"-","")),datos!$A$1:$B$12,2,0)</f>
        <v>7</v>
      </c>
      <c r="L2528" s="138"/>
      <c r="M2528" s="138" t="s">
        <v>0</v>
      </c>
    </row>
    <row r="2529" spans="1:13" x14ac:dyDescent="0.35">
      <c r="A2529" s="138" t="s">
        <v>487</v>
      </c>
      <c r="B2529" s="138" t="s">
        <v>3809</v>
      </c>
      <c r="C2529" s="138" t="s">
        <v>4109</v>
      </c>
      <c r="D2529" s="138" t="s">
        <v>4113</v>
      </c>
      <c r="E2529" s="138" t="s">
        <v>4090</v>
      </c>
      <c r="F2529" s="138" t="s">
        <v>3869</v>
      </c>
      <c r="G2529" s="138" t="s">
        <v>4718</v>
      </c>
      <c r="H2529" s="81" t="str">
        <f t="shared" si="155"/>
        <v>TCCN-PTE-PRL-EPR-GPT-SCE-VD2</v>
      </c>
      <c r="I2529" s="138" t="str">
        <f>MID(H2529,1,(LEN(H2529)-VLOOKUP(K2529,datos!$B$2:$C$12,2,0)))</f>
        <v>TCCN-PTE-PRL-EPR-GPT-SCE-VD2</v>
      </c>
      <c r="J2529" s="138" t="s">
        <v>4755</v>
      </c>
      <c r="K2529" s="140">
        <f>VLOOKUP(LEN(SUBSTITUTE(H2529,"-","")),datos!$A$1:$B$12,2,0)</f>
        <v>7</v>
      </c>
      <c r="L2529" s="138"/>
      <c r="M2529" s="138" t="s">
        <v>0</v>
      </c>
    </row>
    <row r="2530" spans="1:13" x14ac:dyDescent="0.35">
      <c r="A2530" s="138" t="s">
        <v>487</v>
      </c>
      <c r="B2530" s="138" t="s">
        <v>3809</v>
      </c>
      <c r="C2530" s="138" t="s">
        <v>4109</v>
      </c>
      <c r="D2530" s="138" t="s">
        <v>4113</v>
      </c>
      <c r="E2530" s="138" t="s">
        <v>4090</v>
      </c>
      <c r="F2530" s="138" t="s">
        <v>3869</v>
      </c>
      <c r="G2530" s="138" t="s">
        <v>4719</v>
      </c>
      <c r="H2530" s="81" t="str">
        <f t="shared" si="155"/>
        <v>TCCN-PTE-PRL-EPR-GPT-SCE-VD3</v>
      </c>
      <c r="I2530" s="138" t="str">
        <f>MID(H2530,1,(LEN(H2530)-VLOOKUP(K2530,datos!$B$2:$C$12,2,0)))</f>
        <v>TCCN-PTE-PRL-EPR-GPT-SCE-VD3</v>
      </c>
      <c r="J2530" s="138" t="s">
        <v>4756</v>
      </c>
      <c r="K2530" s="140">
        <f>VLOOKUP(LEN(SUBSTITUTE(H2530,"-","")),datos!$A$1:$B$12,2,0)</f>
        <v>7</v>
      </c>
      <c r="L2530" s="138"/>
      <c r="M2530" s="138" t="s">
        <v>0</v>
      </c>
    </row>
    <row r="2531" spans="1:13" x14ac:dyDescent="0.35">
      <c r="A2531" s="138" t="s">
        <v>487</v>
      </c>
      <c r="B2531" s="138" t="s">
        <v>3809</v>
      </c>
      <c r="C2531" s="138" t="s">
        <v>4109</v>
      </c>
      <c r="D2531" s="138" t="s">
        <v>4113</v>
      </c>
      <c r="E2531" s="138" t="s">
        <v>4090</v>
      </c>
      <c r="F2531" s="138" t="s">
        <v>3869</v>
      </c>
      <c r="G2531" s="138" t="s">
        <v>4720</v>
      </c>
      <c r="H2531" s="81" t="str">
        <f t="shared" si="155"/>
        <v>TCCN-PTE-PRL-EPR-GPT-SCE-VD4</v>
      </c>
      <c r="I2531" s="138" t="str">
        <f>MID(H2531,1,(LEN(H2531)-VLOOKUP(K2531,datos!$B$2:$C$12,2,0)))</f>
        <v>TCCN-PTE-PRL-EPR-GPT-SCE-VD4</v>
      </c>
      <c r="J2531" s="138" t="s">
        <v>4757</v>
      </c>
      <c r="K2531" s="140">
        <f>VLOOKUP(LEN(SUBSTITUTE(H2531,"-","")),datos!$A$1:$B$12,2,0)</f>
        <v>7</v>
      </c>
      <c r="L2531" s="138"/>
      <c r="M2531" s="138" t="s">
        <v>0</v>
      </c>
    </row>
    <row r="2532" spans="1:13" x14ac:dyDescent="0.35">
      <c r="A2532" s="138" t="s">
        <v>487</v>
      </c>
      <c r="B2532" s="138" t="s">
        <v>3809</v>
      </c>
      <c r="C2532" s="138" t="s">
        <v>4109</v>
      </c>
      <c r="D2532" s="138" t="s">
        <v>4113</v>
      </c>
      <c r="E2532" s="138" t="s">
        <v>4090</v>
      </c>
      <c r="F2532" s="138" t="s">
        <v>3869</v>
      </c>
      <c r="G2532" s="138" t="s">
        <v>6911</v>
      </c>
      <c r="H2532" s="81" t="str">
        <f t="shared" si="155"/>
        <v>TCCN-PTE-PRL-EPR-GPT-SCE-TFZ</v>
      </c>
      <c r="I2532" s="138" t="str">
        <f>MID(H2532,1,(LEN(H2532)-VLOOKUP(K2532,datos!$B$2:$C$12,2,0)))</f>
        <v>TCCN-PTE-PRL-EPR-GPT-SCE-TFZ</v>
      </c>
      <c r="J2532" s="138" t="s">
        <v>4758</v>
      </c>
      <c r="K2532" s="140">
        <f>VLOOKUP(LEN(SUBSTITUTE(H2532,"-","")),datos!$A$1:$B$12,2,0)</f>
        <v>7</v>
      </c>
      <c r="L2532" s="138"/>
      <c r="M2532" s="138" t="s">
        <v>0</v>
      </c>
    </row>
    <row r="2533" spans="1:13" x14ac:dyDescent="0.35">
      <c r="A2533" s="138" t="s">
        <v>487</v>
      </c>
      <c r="B2533" s="138" t="s">
        <v>3809</v>
      </c>
      <c r="C2533" s="138" t="s">
        <v>4109</v>
      </c>
      <c r="D2533" s="138" t="s">
        <v>4113</v>
      </c>
      <c r="E2533" s="138" t="s">
        <v>4090</v>
      </c>
      <c r="F2533" s="138" t="s">
        <v>3869</v>
      </c>
      <c r="G2533" s="138" t="s">
        <v>4016</v>
      </c>
      <c r="H2533" s="81" t="str">
        <f t="shared" si="155"/>
        <v>TCCN-PTE-PRL-EPR-GPT-SCE-PAN</v>
      </c>
      <c r="I2533" s="138" t="str">
        <f>MID(H2533,1,(LEN(H2533)-VLOOKUP(K2533,datos!$B$2:$C$12,2,0)))</f>
        <v>TCCN-PTE-PRL-EPR-GPT-SCE-PAN</v>
      </c>
      <c r="J2533" s="138" t="s">
        <v>4759</v>
      </c>
      <c r="K2533" s="140">
        <f>VLOOKUP(LEN(SUBSTITUTE(H2533,"-","")),datos!$A$1:$B$12,2,0)</f>
        <v>7</v>
      </c>
      <c r="L2533" s="138"/>
      <c r="M2533" s="138" t="s">
        <v>0</v>
      </c>
    </row>
    <row r="2534" spans="1:13" x14ac:dyDescent="0.35">
      <c r="A2534" s="138" t="s">
        <v>487</v>
      </c>
      <c r="B2534" s="138" t="s">
        <v>3809</v>
      </c>
      <c r="C2534" s="138" t="s">
        <v>4109</v>
      </c>
      <c r="D2534" s="138" t="s">
        <v>4113</v>
      </c>
      <c r="E2534" s="138" t="s">
        <v>4090</v>
      </c>
      <c r="F2534" s="138" t="s">
        <v>3869</v>
      </c>
      <c r="G2534" s="138" t="s">
        <v>3870</v>
      </c>
      <c r="H2534" s="81" t="str">
        <f t="shared" si="155"/>
        <v>TCCN-PTE-PRL-EPR-GPT-SCE-BTN</v>
      </c>
      <c r="I2534" s="138" t="str">
        <f>MID(H2534,1,(LEN(H2534)-VLOOKUP(K2534,datos!$B$2:$C$12,2,0)))</f>
        <v>TCCN-PTE-PRL-EPR-GPT-SCE-BTN</v>
      </c>
      <c r="J2534" s="138" t="s">
        <v>6742</v>
      </c>
      <c r="K2534" s="140">
        <f>VLOOKUP(LEN(SUBSTITUTE(H2534,"-","")),datos!$A$1:$B$12,2,0)</f>
        <v>7</v>
      </c>
      <c r="L2534" s="138"/>
      <c r="M2534" s="138" t="s">
        <v>0</v>
      </c>
    </row>
    <row r="2535" spans="1:13" x14ac:dyDescent="0.35">
      <c r="A2535" s="138" t="s">
        <v>487</v>
      </c>
      <c r="B2535" s="138" t="s">
        <v>3809</v>
      </c>
      <c r="C2535" s="138" t="s">
        <v>4109</v>
      </c>
      <c r="D2535" s="138" t="s">
        <v>4113</v>
      </c>
      <c r="E2535" s="138" t="s">
        <v>4090</v>
      </c>
      <c r="F2535" s="138" t="s">
        <v>3869</v>
      </c>
      <c r="G2535" s="138" t="s">
        <v>3852</v>
      </c>
      <c r="H2535" s="81" t="str">
        <f t="shared" si="155"/>
        <v>TCCN-PTE-PRL-EPR-GPT-SCE-CTR</v>
      </c>
      <c r="I2535" s="138" t="str">
        <f>MID(H2535,1,(LEN(H2535)-VLOOKUP(K2535,datos!$B$2:$C$12,2,0)))</f>
        <v>TCCN-PTE-PRL-EPR-GPT-SCE-CTR</v>
      </c>
      <c r="J2535" s="138" t="s">
        <v>4760</v>
      </c>
      <c r="K2535" s="140">
        <f>VLOOKUP(LEN(SUBSTITUTE(H2535,"-","")),datos!$A$1:$B$12,2,0)</f>
        <v>7</v>
      </c>
      <c r="L2535" s="138"/>
      <c r="M2535" s="138" t="s">
        <v>0</v>
      </c>
    </row>
    <row r="2536" spans="1:13" x14ac:dyDescent="0.35">
      <c r="A2536" s="137" t="s">
        <v>487</v>
      </c>
      <c r="B2536" s="137" t="s">
        <v>3809</v>
      </c>
      <c r="C2536" s="137" t="s">
        <v>4109</v>
      </c>
      <c r="D2536" s="137" t="s">
        <v>4113</v>
      </c>
      <c r="E2536" s="137" t="s">
        <v>4090</v>
      </c>
      <c r="F2536" s="137" t="s">
        <v>3824</v>
      </c>
      <c r="G2536" s="137"/>
      <c r="H2536" s="82" t="str">
        <f t="shared" si="155"/>
        <v>TCCN-PTE-PRL-EPR-GPT-SES-</v>
      </c>
      <c r="I2536" s="137" t="str">
        <f>MID(H2536,1,(LEN(H2536)-VLOOKUP(K2536,datos!$B$2:$C$12,2,0)))</f>
        <v>TCCN-PTE-PRL-EPR-GPT-SES</v>
      </c>
      <c r="J2536" s="137" t="s">
        <v>4761</v>
      </c>
      <c r="K2536" s="139">
        <f>VLOOKUP(LEN(SUBSTITUTE(H2536,"-","")),datos!$A$1:$B$12,2,0)</f>
        <v>6</v>
      </c>
      <c r="L2536" s="137"/>
      <c r="M2536" s="137" t="s">
        <v>0</v>
      </c>
    </row>
    <row r="2537" spans="1:13" x14ac:dyDescent="0.35">
      <c r="A2537" s="137" t="s">
        <v>487</v>
      </c>
      <c r="B2537" s="137" t="s">
        <v>3809</v>
      </c>
      <c r="C2537" s="137" t="s">
        <v>4109</v>
      </c>
      <c r="D2537" s="137" t="s">
        <v>4113</v>
      </c>
      <c r="E2537" s="137" t="s">
        <v>4090</v>
      </c>
      <c r="F2537" s="137" t="s">
        <v>3867</v>
      </c>
      <c r="G2537" s="137"/>
      <c r="H2537" s="82" t="str">
        <f t="shared" si="155"/>
        <v>TCCN-PTE-PRL-EPR-GPT-SIZ-</v>
      </c>
      <c r="I2537" s="137" t="str">
        <f>MID(H2537,1,(LEN(H2537)-VLOOKUP(K2537,datos!$B$2:$C$12,2,0)))</f>
        <v>TCCN-PTE-PRL-EPR-GPT-SIZ</v>
      </c>
      <c r="J2537" s="137" t="s">
        <v>4762</v>
      </c>
      <c r="K2537" s="139">
        <f>VLOOKUP(LEN(SUBSTITUTE(H2537,"-","")),datos!$A$1:$B$12,2,0)</f>
        <v>6</v>
      </c>
      <c r="L2537" s="137"/>
      <c r="M2537" s="137" t="s">
        <v>0</v>
      </c>
    </row>
    <row r="2538" spans="1:13" x14ac:dyDescent="0.35">
      <c r="A2538" s="138" t="s">
        <v>487</v>
      </c>
      <c r="B2538" s="138" t="s">
        <v>3809</v>
      </c>
      <c r="C2538" s="138" t="s">
        <v>4109</v>
      </c>
      <c r="D2538" s="138" t="s">
        <v>4113</v>
      </c>
      <c r="E2538" s="138" t="s">
        <v>4090</v>
      </c>
      <c r="F2538" s="138" t="s">
        <v>3867</v>
      </c>
      <c r="G2538" s="138" t="s">
        <v>3897</v>
      </c>
      <c r="H2538" s="81" t="str">
        <f t="shared" si="155"/>
        <v>TCCN-PTE-PRL-EPR-GPT-SIZ-GA1</v>
      </c>
      <c r="I2538" s="138" t="str">
        <f>MID(H2538,1,(LEN(H2538)-VLOOKUP(K2538,datos!$B$2:$C$12,2,0)))</f>
        <v>TCCN-PTE-PRL-EPR-GPT-SIZ-GA1</v>
      </c>
      <c r="J2538" s="138" t="s">
        <v>4763</v>
      </c>
      <c r="K2538" s="140">
        <f>VLOOKUP(LEN(SUBSTITUTE(H2538,"-","")),datos!$A$1:$B$12,2,0)</f>
        <v>7</v>
      </c>
      <c r="L2538" s="138"/>
      <c r="M2538" s="138" t="s">
        <v>0</v>
      </c>
    </row>
    <row r="2539" spans="1:13" x14ac:dyDescent="0.35">
      <c r="A2539" s="138" t="s">
        <v>487</v>
      </c>
      <c r="B2539" s="138" t="s">
        <v>3809</v>
      </c>
      <c r="C2539" s="138" t="s">
        <v>4109</v>
      </c>
      <c r="D2539" s="138" t="s">
        <v>4113</v>
      </c>
      <c r="E2539" s="138" t="s">
        <v>4090</v>
      </c>
      <c r="F2539" s="138" t="s">
        <v>3867</v>
      </c>
      <c r="G2539" s="138" t="s">
        <v>3905</v>
      </c>
      <c r="H2539" s="81" t="str">
        <f t="shared" si="155"/>
        <v>TCCN-PTE-PRL-EPR-GPT-SIZ-GA2</v>
      </c>
      <c r="I2539" s="138" t="str">
        <f>MID(H2539,1,(LEN(H2539)-VLOOKUP(K2539,datos!$B$2:$C$12,2,0)))</f>
        <v>TCCN-PTE-PRL-EPR-GPT-SIZ-GA2</v>
      </c>
      <c r="J2539" s="138" t="s">
        <v>4764</v>
      </c>
      <c r="K2539" s="140">
        <f>VLOOKUP(LEN(SUBSTITUTE(H2539,"-","")),datos!$A$1:$B$12,2,0)</f>
        <v>7</v>
      </c>
      <c r="L2539" s="138"/>
      <c r="M2539" s="138" t="s">
        <v>0</v>
      </c>
    </row>
    <row r="2540" spans="1:13" x14ac:dyDescent="0.35">
      <c r="A2540" s="138" t="s">
        <v>487</v>
      </c>
      <c r="B2540" s="138" t="s">
        <v>3809</v>
      </c>
      <c r="C2540" s="138" t="s">
        <v>4109</v>
      </c>
      <c r="D2540" s="138" t="s">
        <v>4113</v>
      </c>
      <c r="E2540" s="138" t="s">
        <v>4090</v>
      </c>
      <c r="F2540" s="138" t="s">
        <v>3867</v>
      </c>
      <c r="G2540" s="138" t="s">
        <v>3839</v>
      </c>
      <c r="H2540" s="81" t="str">
        <f t="shared" ref="H2540:H2648" si="156">CONCATENATE(A2540,"-",B2540,"-",C2540,"-",D2540,"-",E2540,"-",F2540,"-",G2540)</f>
        <v>TCCN-PTE-PRL-EPR-GPT-SIZ-MO1</v>
      </c>
      <c r="I2540" s="138" t="str">
        <f>MID(H2540,1,(LEN(H2540)-VLOOKUP(K2540,datos!$B$2:$C$12,2,0)))</f>
        <v>TCCN-PTE-PRL-EPR-GPT-SIZ-MO1</v>
      </c>
      <c r="J2540" s="138" t="s">
        <v>5368</v>
      </c>
      <c r="K2540" s="140">
        <f>VLOOKUP(LEN(SUBSTITUTE(H2540,"-","")),datos!$A$1:$B$12,2,0)</f>
        <v>7</v>
      </c>
      <c r="L2540" s="138"/>
      <c r="M2540" s="138" t="s">
        <v>0</v>
      </c>
    </row>
    <row r="2541" spans="1:13" x14ac:dyDescent="0.35">
      <c r="A2541" s="138" t="s">
        <v>487</v>
      </c>
      <c r="B2541" s="138" t="s">
        <v>3809</v>
      </c>
      <c r="C2541" s="138" t="s">
        <v>4109</v>
      </c>
      <c r="D2541" s="138" t="s">
        <v>4113</v>
      </c>
      <c r="E2541" s="138" t="s">
        <v>4090</v>
      </c>
      <c r="F2541" s="138" t="s">
        <v>3867</v>
      </c>
      <c r="G2541" s="138" t="s">
        <v>3840</v>
      </c>
      <c r="H2541" s="81" t="str">
        <f t="shared" si="156"/>
        <v>TCCN-PTE-PRL-EPR-GPT-SIZ-MO2</v>
      </c>
      <c r="I2541" s="138" t="str">
        <f>MID(H2541,1,(LEN(H2541)-VLOOKUP(K2541,datos!$B$2:$C$12,2,0)))</f>
        <v>TCCN-PTE-PRL-EPR-GPT-SIZ-MO2</v>
      </c>
      <c r="J2541" s="138" t="s">
        <v>6703</v>
      </c>
      <c r="K2541" s="140">
        <f>VLOOKUP(LEN(SUBSTITUTE(H2541,"-","")),datos!$A$1:$B$12,2,0)</f>
        <v>7</v>
      </c>
      <c r="L2541" s="138"/>
      <c r="M2541" s="138" t="s">
        <v>0</v>
      </c>
    </row>
    <row r="2542" spans="1:13" x14ac:dyDescent="0.35">
      <c r="A2542" s="138" t="s">
        <v>487</v>
      </c>
      <c r="B2542" s="138" t="s">
        <v>3809</v>
      </c>
      <c r="C2542" s="138" t="s">
        <v>4109</v>
      </c>
      <c r="D2542" s="138" t="s">
        <v>4113</v>
      </c>
      <c r="E2542" s="138" t="s">
        <v>4090</v>
      </c>
      <c r="F2542" s="138" t="s">
        <v>3867</v>
      </c>
      <c r="G2542" s="138" t="s">
        <v>4722</v>
      </c>
      <c r="H2542" s="81" t="str">
        <f t="shared" si="156"/>
        <v>TCCN-PTE-PRL-EPR-GPT-SIZ-FR1</v>
      </c>
      <c r="I2542" s="138" t="str">
        <f>MID(H2542,1,(LEN(H2542)-VLOOKUP(K2542,datos!$B$2:$C$12,2,0)))</f>
        <v>TCCN-PTE-PRL-EPR-GPT-SIZ-FR1</v>
      </c>
      <c r="J2542" s="138" t="s">
        <v>4765</v>
      </c>
      <c r="K2542" s="140">
        <f>VLOOKUP(LEN(SUBSTITUTE(H2542,"-","")),datos!$A$1:$B$12,2,0)</f>
        <v>7</v>
      </c>
      <c r="L2542" s="138"/>
      <c r="M2542" s="138" t="s">
        <v>0</v>
      </c>
    </row>
    <row r="2543" spans="1:13" x14ac:dyDescent="0.35">
      <c r="A2543" s="138" t="s">
        <v>487</v>
      </c>
      <c r="B2543" s="138" t="s">
        <v>3809</v>
      </c>
      <c r="C2543" s="138" t="s">
        <v>4109</v>
      </c>
      <c r="D2543" s="138" t="s">
        <v>4113</v>
      </c>
      <c r="E2543" s="138" t="s">
        <v>4090</v>
      </c>
      <c r="F2543" s="138" t="s">
        <v>3867</v>
      </c>
      <c r="G2543" s="138" t="s">
        <v>4723</v>
      </c>
      <c r="H2543" s="81" t="str">
        <f t="shared" si="156"/>
        <v>TCCN-PTE-PRL-EPR-GPT-SIZ-FR2</v>
      </c>
      <c r="I2543" s="138" t="str">
        <f>MID(H2543,1,(LEN(H2543)-VLOOKUP(K2543,datos!$B$2:$C$12,2,0)))</f>
        <v>TCCN-PTE-PRL-EPR-GPT-SIZ-FR2</v>
      </c>
      <c r="J2543" s="138" t="s">
        <v>4766</v>
      </c>
      <c r="K2543" s="140">
        <f>VLOOKUP(LEN(SUBSTITUTE(H2543,"-","")),datos!$A$1:$B$12,2,0)</f>
        <v>7</v>
      </c>
      <c r="L2543" s="138"/>
      <c r="M2543" s="138" t="s">
        <v>0</v>
      </c>
    </row>
    <row r="2544" spans="1:13" x14ac:dyDescent="0.35">
      <c r="A2544" s="137" t="s">
        <v>487</v>
      </c>
      <c r="B2544" s="137" t="s">
        <v>3809</v>
      </c>
      <c r="C2544" s="137" t="s">
        <v>4109</v>
      </c>
      <c r="D2544" s="137" t="s">
        <v>4113</v>
      </c>
      <c r="E2544" s="137" t="s">
        <v>4090</v>
      </c>
      <c r="F2544" s="137" t="s">
        <v>3854</v>
      </c>
      <c r="G2544" s="137"/>
      <c r="H2544" s="82" t="str">
        <f t="shared" si="156"/>
        <v>TCCN-PTE-PRL-EPR-GPT-STR-</v>
      </c>
      <c r="I2544" s="137" t="str">
        <f>MID(H2544,1,(LEN(H2544)-VLOOKUP(K2544,datos!$B$2:$C$12,2,0)))</f>
        <v>TCCN-PTE-PRL-EPR-GPT-STR</v>
      </c>
      <c r="J2544" s="137" t="s">
        <v>4767</v>
      </c>
      <c r="K2544" s="139">
        <f>VLOOKUP(LEN(SUBSTITUTE(H2544,"-","")),datos!$A$1:$B$12,2,0)</f>
        <v>6</v>
      </c>
      <c r="L2544" s="137"/>
      <c r="M2544" s="137" t="s">
        <v>0</v>
      </c>
    </row>
    <row r="2545" spans="1:13" x14ac:dyDescent="0.35">
      <c r="A2545" s="138" t="s">
        <v>487</v>
      </c>
      <c r="B2545" s="138" t="s">
        <v>3809</v>
      </c>
      <c r="C2545" s="138" t="s">
        <v>4109</v>
      </c>
      <c r="D2545" s="138" t="s">
        <v>4113</v>
      </c>
      <c r="E2545" s="138" t="s">
        <v>4090</v>
      </c>
      <c r="F2545" s="138" t="s">
        <v>3854</v>
      </c>
      <c r="G2545" s="138" t="s">
        <v>3839</v>
      </c>
      <c r="H2545" s="81" t="str">
        <f t="shared" si="156"/>
        <v>TCCN-PTE-PRL-EPR-GPT-STR-MO1</v>
      </c>
      <c r="I2545" s="138" t="str">
        <f>MID(H2545,1,(LEN(H2545)-VLOOKUP(K2545,datos!$B$2:$C$12,2,0)))</f>
        <v>TCCN-PTE-PRL-EPR-GPT-STR-MO1</v>
      </c>
      <c r="J2545" s="138" t="s">
        <v>5369</v>
      </c>
      <c r="K2545" s="140">
        <f>VLOOKUP(LEN(SUBSTITUTE(H2545,"-","")),datos!$A$1:$B$12,2,0)</f>
        <v>7</v>
      </c>
      <c r="L2545" s="138"/>
      <c r="M2545" s="138" t="s">
        <v>0</v>
      </c>
    </row>
    <row r="2546" spans="1:13" x14ac:dyDescent="0.35">
      <c r="A2546" s="138" t="s">
        <v>487</v>
      </c>
      <c r="B2546" s="138" t="s">
        <v>3809</v>
      </c>
      <c r="C2546" s="138" t="s">
        <v>4109</v>
      </c>
      <c r="D2546" s="138" t="s">
        <v>4113</v>
      </c>
      <c r="E2546" s="138" t="s">
        <v>4090</v>
      </c>
      <c r="F2546" s="138" t="s">
        <v>3854</v>
      </c>
      <c r="G2546" s="138" t="s">
        <v>3840</v>
      </c>
      <c r="H2546" s="81" t="str">
        <f t="shared" si="156"/>
        <v>TCCN-PTE-PRL-EPR-GPT-STR-MO2</v>
      </c>
      <c r="I2546" s="138" t="str">
        <f>MID(H2546,1,(LEN(H2546)-VLOOKUP(K2546,datos!$B$2:$C$12,2,0)))</f>
        <v>TCCN-PTE-PRL-EPR-GPT-STR-MO2</v>
      </c>
      <c r="J2546" s="138" t="s">
        <v>5370</v>
      </c>
      <c r="K2546" s="140">
        <f>VLOOKUP(LEN(SUBSTITUTE(H2546,"-","")),datos!$A$1:$B$12,2,0)</f>
        <v>7</v>
      </c>
      <c r="L2546" s="138"/>
      <c r="M2546" s="138" t="s">
        <v>0</v>
      </c>
    </row>
    <row r="2547" spans="1:13" customFormat="1" ht="14.5" x14ac:dyDescent="0.35">
      <c r="A2547" s="129" t="s">
        <v>487</v>
      </c>
      <c r="B2547" s="129" t="s">
        <v>3809</v>
      </c>
      <c r="C2547" s="129" t="s">
        <v>4109</v>
      </c>
      <c r="D2547" s="129" t="s">
        <v>4113</v>
      </c>
      <c r="E2547" s="129" t="s">
        <v>4121</v>
      </c>
      <c r="F2547" s="129"/>
      <c r="G2547" s="129"/>
      <c r="H2547" s="83" t="str">
        <f t="shared" si="156"/>
        <v>TCCN-PTE-PRL-EPR-B10--</v>
      </c>
      <c r="I2547" s="129" t="str">
        <f>MID(H2547,1,(LEN(H2547)-VLOOKUP(K2547,datos!$B$2:$C$12,2,0)))</f>
        <v>TCCN-PTE-PRL-EPR-B10</v>
      </c>
      <c r="J2547" s="129" t="s">
        <v>482</v>
      </c>
      <c r="K2547" s="130">
        <f>VLOOKUP(LEN(SUBSTITUTE(H2547,"-","")),datos!$A$1:$B$12,2,0)</f>
        <v>5</v>
      </c>
      <c r="L2547" s="129" t="s">
        <v>356</v>
      </c>
      <c r="M2547" s="129" t="s">
        <v>0</v>
      </c>
    </row>
    <row r="2548" spans="1:13" x14ac:dyDescent="0.35">
      <c r="A2548" s="137" t="s">
        <v>487</v>
      </c>
      <c r="B2548" s="137" t="s">
        <v>3809</v>
      </c>
      <c r="C2548" s="137" t="s">
        <v>4109</v>
      </c>
      <c r="D2548" s="137" t="s">
        <v>4113</v>
      </c>
      <c r="E2548" s="137" t="s">
        <v>4121</v>
      </c>
      <c r="F2548" s="137" t="s">
        <v>5106</v>
      </c>
      <c r="G2548" s="137"/>
      <c r="H2548" s="82" t="str">
        <f t="shared" si="156"/>
        <v>TCCN-PTE-PRL-EPR-B10-PHU-</v>
      </c>
      <c r="I2548" s="137" t="str">
        <f>MID(H2548,1,(LEN(H2548)-VLOOKUP(K2548,datos!$B$2:$C$12,2,0)))</f>
        <v>TCCN-PTE-PRL-EPR-B10-PHU</v>
      </c>
      <c r="J2548" s="137" t="s">
        <v>4561</v>
      </c>
      <c r="K2548" s="139">
        <f>VLOOKUP(LEN(SUBSTITUTE(H2548,"-","")),datos!$A$1:$B$12,2,0)</f>
        <v>6</v>
      </c>
      <c r="L2548" s="137"/>
      <c r="M2548" s="137" t="s">
        <v>0</v>
      </c>
    </row>
    <row r="2549" spans="1:13" x14ac:dyDescent="0.35">
      <c r="A2549" s="137" t="s">
        <v>487</v>
      </c>
      <c r="B2549" s="137" t="s">
        <v>3809</v>
      </c>
      <c r="C2549" s="137" t="s">
        <v>4109</v>
      </c>
      <c r="D2549" s="137" t="s">
        <v>4113</v>
      </c>
      <c r="E2549" s="137" t="s">
        <v>4121</v>
      </c>
      <c r="F2549" s="137" t="s">
        <v>4073</v>
      </c>
      <c r="G2549" s="137"/>
      <c r="H2549" s="82" t="str">
        <f t="shared" si="156"/>
        <v>TCCN-PTE-PRL-EPR-B10-PYV-</v>
      </c>
      <c r="I2549" s="137" t="str">
        <f>MID(H2549,1,(LEN(H2549)-VLOOKUP(K2549,datos!$B$2:$C$12,2,0)))</f>
        <v>TCCN-PTE-PRL-EPR-B10-PYV</v>
      </c>
      <c r="J2549" s="137" t="s">
        <v>4562</v>
      </c>
      <c r="K2549" s="139">
        <f>VLOOKUP(LEN(SUBSTITUTE(H2549,"-","")),datos!$A$1:$B$12,2,0)</f>
        <v>6</v>
      </c>
      <c r="L2549" s="137"/>
      <c r="M2549" s="137" t="s">
        <v>0</v>
      </c>
    </row>
    <row r="2550" spans="1:13" x14ac:dyDescent="0.35">
      <c r="A2550" s="137" t="s">
        <v>487</v>
      </c>
      <c r="B2550" s="137" t="s">
        <v>3809</v>
      </c>
      <c r="C2550" s="137" t="s">
        <v>4109</v>
      </c>
      <c r="D2550" s="137" t="s">
        <v>4113</v>
      </c>
      <c r="E2550" s="137" t="s">
        <v>4121</v>
      </c>
      <c r="F2550" s="137" t="s">
        <v>3847</v>
      </c>
      <c r="G2550" s="137"/>
      <c r="H2550" s="82" t="str">
        <f t="shared" si="156"/>
        <v>TCCN-PTE-PRL-EPR-B10-SMO-</v>
      </c>
      <c r="I2550" s="137" t="str">
        <f>MID(H2550,1,(LEN(H2550)-VLOOKUP(K2550,datos!$B$2:$C$12,2,0)))</f>
        <v>TCCN-PTE-PRL-EPR-B10-SMO</v>
      </c>
      <c r="J2550" s="137" t="s">
        <v>4563</v>
      </c>
      <c r="K2550" s="139">
        <f>VLOOKUP(LEN(SUBSTITUTE(H2550,"-","")),datos!$A$1:$B$12,2,0)</f>
        <v>6</v>
      </c>
      <c r="L2550" s="137"/>
      <c r="M2550" s="137" t="s">
        <v>0</v>
      </c>
    </row>
    <row r="2551" spans="1:13" x14ac:dyDescent="0.35">
      <c r="A2551" s="138" t="s">
        <v>487</v>
      </c>
      <c r="B2551" s="138" t="s">
        <v>3809</v>
      </c>
      <c r="C2551" s="138" t="s">
        <v>4109</v>
      </c>
      <c r="D2551" s="138" t="s">
        <v>4113</v>
      </c>
      <c r="E2551" s="138" t="s">
        <v>4121</v>
      </c>
      <c r="F2551" s="138" t="s">
        <v>3847</v>
      </c>
      <c r="G2551" s="138" t="s">
        <v>3819</v>
      </c>
      <c r="H2551" s="81" t="str">
        <f t="shared" si="156"/>
        <v>TCCN-PTE-PRL-EPR-B10-SMO-MOE</v>
      </c>
      <c r="I2551" s="138" t="str">
        <f>MID(H2551,1,(LEN(H2551)-VLOOKUP(K2551,datos!$B$2:$C$12,2,0)))</f>
        <v>TCCN-PTE-PRL-EPR-B10-SMO-MOE</v>
      </c>
      <c r="J2551" s="138" t="s">
        <v>5371</v>
      </c>
      <c r="K2551" s="140">
        <f>VLOOKUP(LEN(SUBSTITUTE(H2551,"-","")),datos!$A$1:$B$12,2,0)</f>
        <v>7</v>
      </c>
      <c r="L2551" s="138" t="s">
        <v>357</v>
      </c>
      <c r="M2551" s="138" t="s">
        <v>0</v>
      </c>
    </row>
    <row r="2552" spans="1:13" x14ac:dyDescent="0.35">
      <c r="A2552" s="137" t="s">
        <v>487</v>
      </c>
      <c r="B2552" s="137" t="s">
        <v>3809</v>
      </c>
      <c r="C2552" s="137" t="s">
        <v>4109</v>
      </c>
      <c r="D2552" s="137" t="s">
        <v>4113</v>
      </c>
      <c r="E2552" s="137" t="s">
        <v>4121</v>
      </c>
      <c r="F2552" s="137" t="s">
        <v>3831</v>
      </c>
      <c r="G2552" s="137"/>
      <c r="H2552" s="82" t="str">
        <f>CONCATENATE(A2552,"-",B2552,"-",C2552,"-",D2552,"-",E2552,"-",F2552,"-",G2552)</f>
        <v>TCCN-PTE-PRL-EPR-B10-INS-</v>
      </c>
      <c r="I2552" s="137" t="str">
        <f>MID(H2552,1,(LEN(H2552)-VLOOKUP(K2552,datos!$B$2:$C$12,2,0)))</f>
        <v>TCCN-PTE-PRL-EPR-B10-INS</v>
      </c>
      <c r="J2552" s="137" t="s">
        <v>5601</v>
      </c>
      <c r="K2552" s="139">
        <f>VLOOKUP(LEN(SUBSTITUTE(H2552,"-","")),datos!$A$1:$B$12,2,0)</f>
        <v>6</v>
      </c>
      <c r="L2552" s="137"/>
      <c r="M2552" s="137" t="s">
        <v>0</v>
      </c>
    </row>
    <row r="2553" spans="1:13" x14ac:dyDescent="0.35">
      <c r="A2553" s="138" t="s">
        <v>487</v>
      </c>
      <c r="B2553" s="138" t="s">
        <v>3809</v>
      </c>
      <c r="C2553" s="138" t="s">
        <v>4109</v>
      </c>
      <c r="D2553" s="138" t="s">
        <v>4113</v>
      </c>
      <c r="E2553" s="138" t="s">
        <v>4121</v>
      </c>
      <c r="F2553" s="138" t="s">
        <v>3831</v>
      </c>
      <c r="G2553" s="138" t="s">
        <v>7069</v>
      </c>
      <c r="H2553" s="81" t="str">
        <f>CONCATENATE(A2553,"-",B2553,"-",C2553,"-",D2553,"-",E2553,"-",F2553,"-",G2553)</f>
        <v>TCCN-PTE-PRL-EPR-B10-INS-MPN</v>
      </c>
      <c r="I2553" s="138" t="str">
        <f>MID(H2553,1,(LEN(H2553)-VLOOKUP(K2553,datos!$B$2:$C$12,2,0)))</f>
        <v>TCCN-PTE-PRL-EPR-B10-INS-MPN</v>
      </c>
      <c r="J2553" s="138" t="s">
        <v>7555</v>
      </c>
      <c r="K2553" s="140">
        <f>VLOOKUP(LEN(SUBSTITUTE(H2553,"-","")),datos!$A$1:$B$12,2,0)</f>
        <v>7</v>
      </c>
      <c r="L2553" s="138"/>
      <c r="M2553" s="138" t="s">
        <v>0</v>
      </c>
    </row>
    <row r="2554" spans="1:13" x14ac:dyDescent="0.35">
      <c r="A2554" s="137" t="s">
        <v>487</v>
      </c>
      <c r="B2554" s="137" t="s">
        <v>3809</v>
      </c>
      <c r="C2554" s="137" t="s">
        <v>4109</v>
      </c>
      <c r="D2554" s="137" t="s">
        <v>4113</v>
      </c>
      <c r="E2554" s="137" t="s">
        <v>4121</v>
      </c>
      <c r="F2554" s="137" t="s">
        <v>3869</v>
      </c>
      <c r="G2554" s="137"/>
      <c r="H2554" s="82" t="str">
        <f t="shared" si="156"/>
        <v>TCCN-PTE-PRL-EPR-B10-SCE-</v>
      </c>
      <c r="I2554" s="137" t="str">
        <f>MID(H2554,1,(LEN(H2554)-VLOOKUP(K2554,datos!$B$2:$C$12,2,0)))</f>
        <v>TCCN-PTE-PRL-EPR-B10-SCE</v>
      </c>
      <c r="J2554" s="137" t="s">
        <v>4564</v>
      </c>
      <c r="K2554" s="139">
        <f>VLOOKUP(LEN(SUBSTITUTE(H2554,"-","")),datos!$A$1:$B$12,2,0)</f>
        <v>6</v>
      </c>
      <c r="L2554" s="137"/>
      <c r="M2554" s="137" t="s">
        <v>0</v>
      </c>
    </row>
    <row r="2555" spans="1:13" x14ac:dyDescent="0.35">
      <c r="A2555" s="138" t="s">
        <v>487</v>
      </c>
      <c r="B2555" s="138" t="s">
        <v>3809</v>
      </c>
      <c r="C2555" s="138" t="s">
        <v>4109</v>
      </c>
      <c r="D2555" s="138" t="s">
        <v>4113</v>
      </c>
      <c r="E2555" s="138" t="s">
        <v>4121</v>
      </c>
      <c r="F2555" s="138" t="s">
        <v>3869</v>
      </c>
      <c r="G2555" s="138" t="s">
        <v>3870</v>
      </c>
      <c r="H2555" s="81" t="str">
        <f t="shared" si="156"/>
        <v>TCCN-PTE-PRL-EPR-B10-SCE-BTN</v>
      </c>
      <c r="I2555" s="138" t="str">
        <f>MID(H2555,1,(LEN(H2555)-VLOOKUP(K2555,datos!$B$2:$C$12,2,0)))</f>
        <v>TCCN-PTE-PRL-EPR-B10-SCE-BTN</v>
      </c>
      <c r="J2555" s="138" t="s">
        <v>4565</v>
      </c>
      <c r="K2555" s="140">
        <f>VLOOKUP(LEN(SUBSTITUTE(H2555,"-","")),datos!$A$1:$B$12,2,0)</f>
        <v>7</v>
      </c>
      <c r="L2555" s="138"/>
      <c r="M2555" s="138" t="s">
        <v>0</v>
      </c>
    </row>
    <row r="2556" spans="1:13" customFormat="1" ht="14.5" x14ac:dyDescent="0.35">
      <c r="A2556" s="129" t="s">
        <v>487</v>
      </c>
      <c r="B2556" s="129" t="s">
        <v>3809</v>
      </c>
      <c r="C2556" s="129" t="s">
        <v>4109</v>
      </c>
      <c r="D2556" s="129" t="s">
        <v>4113</v>
      </c>
      <c r="E2556" s="129" t="s">
        <v>4122</v>
      </c>
      <c r="F2556" s="129"/>
      <c r="G2556" s="129"/>
      <c r="H2556" s="83" t="str">
        <f t="shared" si="156"/>
        <v>TCCN-PTE-PRL-EPR-GP2--</v>
      </c>
      <c r="I2556" s="129" t="str">
        <f>MID(H2556,1,(LEN(H2556)-VLOOKUP(K2556,datos!$B$2:$C$12,2,0)))</f>
        <v>TCCN-PTE-PRL-EPR-GP2</v>
      </c>
      <c r="J2556" s="129" t="s">
        <v>483</v>
      </c>
      <c r="K2556" s="130">
        <f>VLOOKUP(LEN(SUBSTITUTE(H2556,"-","")),datos!$A$1:$B$12,2,0)</f>
        <v>5</v>
      </c>
      <c r="L2556" s="129" t="s">
        <v>358</v>
      </c>
      <c r="M2556" s="129" t="s">
        <v>0</v>
      </c>
    </row>
    <row r="2557" spans="1:13" customFormat="1" ht="14.5" x14ac:dyDescent="0.35">
      <c r="A2557" s="129" t="s">
        <v>487</v>
      </c>
      <c r="B2557" s="129" t="s">
        <v>3809</v>
      </c>
      <c r="C2557" s="129" t="s">
        <v>4109</v>
      </c>
      <c r="D2557" s="129" t="s">
        <v>4113</v>
      </c>
      <c r="E2557" s="129" t="s">
        <v>4123</v>
      </c>
      <c r="F2557" s="129"/>
      <c r="G2557" s="129"/>
      <c r="H2557" s="83" t="str">
        <f t="shared" si="156"/>
        <v>TCCN-PTE-PRL-EPR-PRT--</v>
      </c>
      <c r="I2557" s="129" t="str">
        <f>MID(H2557,1,(LEN(H2557)-VLOOKUP(K2557,datos!$B$2:$C$12,2,0)))</f>
        <v>TCCN-PTE-PRL-EPR-PRT</v>
      </c>
      <c r="J2557" s="129" t="s">
        <v>484</v>
      </c>
      <c r="K2557" s="130">
        <f>VLOOKUP(LEN(SUBSTITUTE(H2557,"-","")),datos!$A$1:$B$12,2,0)</f>
        <v>5</v>
      </c>
      <c r="L2557" s="129" t="s">
        <v>359</v>
      </c>
      <c r="M2557" s="129" t="s">
        <v>0</v>
      </c>
    </row>
    <row r="2558" spans="1:13" customFormat="1" ht="14.5" x14ac:dyDescent="0.35">
      <c r="A2558" s="84" t="s">
        <v>487</v>
      </c>
      <c r="B2558" s="84" t="s">
        <v>3809</v>
      </c>
      <c r="C2558" s="84" t="s">
        <v>4109</v>
      </c>
      <c r="D2558" s="84" t="s">
        <v>7347</v>
      </c>
      <c r="E2558" s="84"/>
      <c r="F2558" s="84"/>
      <c r="G2558" s="84"/>
      <c r="H2558" s="84" t="str">
        <f t="shared" ref="H2558:H2559" si="157">CONCATENATE(A2558,"-",B2558,"-",C2558,"-",D2558,"-",E2558,"-",F2558,"-",G2558)</f>
        <v>TCCN-PTE-PRL-RVD---</v>
      </c>
      <c r="I2558" s="84" t="str">
        <f>MID(H2558,1,(LEN(H2558)-VLOOKUP(K2558,datos!$B$2:$C$12,2,0)))</f>
        <v>TCCN-PTE-PRL-RVD</v>
      </c>
      <c r="J2558" s="84" t="s">
        <v>7348</v>
      </c>
      <c r="K2558" s="119">
        <f>VLOOKUP(LEN(SUBSTITUTE(H2558,"-","")),datos!$A$1:$B$12,2,0)</f>
        <v>4</v>
      </c>
      <c r="L2558" s="84"/>
      <c r="M2558" s="84" t="s">
        <v>0</v>
      </c>
    </row>
    <row r="2559" spans="1:13" customFormat="1" ht="14.5" x14ac:dyDescent="0.35">
      <c r="A2559" s="129" t="s">
        <v>487</v>
      </c>
      <c r="B2559" s="129" t="s">
        <v>3809</v>
      </c>
      <c r="C2559" s="129" t="s">
        <v>4109</v>
      </c>
      <c r="D2559" s="129" t="s">
        <v>7347</v>
      </c>
      <c r="E2559" s="129" t="s">
        <v>4058</v>
      </c>
      <c r="F2559" s="129"/>
      <c r="G2559" s="129"/>
      <c r="H2559" s="83" t="str">
        <f t="shared" si="157"/>
        <v>TCCN-PTE-PRL-RVD-PL1--</v>
      </c>
      <c r="I2559" s="129" t="str">
        <f>MID(H2559,1,(LEN(H2559)-VLOOKUP(K2559,datos!$B$2:$C$12,2,0)))</f>
        <v>TCCN-PTE-PRL-RVD-PL1</v>
      </c>
      <c r="J2559" s="129" t="s">
        <v>7873</v>
      </c>
      <c r="K2559" s="130">
        <f>VLOOKUP(LEN(SUBSTITUTE(H2559,"-","")),datos!$A$1:$B$12,2,0)</f>
        <v>5</v>
      </c>
      <c r="L2559" s="129" t="s">
        <v>7875</v>
      </c>
      <c r="M2559" s="129" t="s">
        <v>0</v>
      </c>
    </row>
    <row r="2560" spans="1:13" customFormat="1" ht="14.5" x14ac:dyDescent="0.35">
      <c r="A2560" s="129" t="s">
        <v>487</v>
      </c>
      <c r="B2560" s="129" t="s">
        <v>3809</v>
      </c>
      <c r="C2560" s="129" t="s">
        <v>4109</v>
      </c>
      <c r="D2560" s="129" t="s">
        <v>7347</v>
      </c>
      <c r="E2560" s="129" t="s">
        <v>4059</v>
      </c>
      <c r="F2560" s="129"/>
      <c r="G2560" s="129"/>
      <c r="H2560" s="83" t="str">
        <f t="shared" ref="H2560" si="158">CONCATENATE(A2560,"-",B2560,"-",C2560,"-",D2560,"-",E2560,"-",F2560,"-",G2560)</f>
        <v>TCCN-PTE-PRL-RVD-PL2--</v>
      </c>
      <c r="I2560" s="129" t="str">
        <f>MID(H2560,1,(LEN(H2560)-VLOOKUP(K2560,datos!$B$2:$C$12,2,0)))</f>
        <v>TCCN-PTE-PRL-RVD-PL2</v>
      </c>
      <c r="J2560" s="129" t="s">
        <v>7874</v>
      </c>
      <c r="K2560" s="130">
        <f>VLOOKUP(LEN(SUBSTITUTE(H2560,"-","")),datos!$A$1:$B$12,2,0)</f>
        <v>5</v>
      </c>
      <c r="L2560" s="129" t="s">
        <v>7876</v>
      </c>
      <c r="M2560" s="129" t="s">
        <v>0</v>
      </c>
    </row>
    <row r="2561" spans="1:13" customFormat="1" ht="14.5" x14ac:dyDescent="0.35">
      <c r="A2561" s="129" t="s">
        <v>487</v>
      </c>
      <c r="B2561" s="129" t="s">
        <v>3809</v>
      </c>
      <c r="C2561" s="129" t="s">
        <v>4109</v>
      </c>
      <c r="D2561" s="129" t="s">
        <v>7347</v>
      </c>
      <c r="E2561" s="129" t="s">
        <v>3937</v>
      </c>
      <c r="F2561" s="129"/>
      <c r="G2561" s="129"/>
      <c r="H2561" s="83" t="str">
        <f t="shared" si="156"/>
        <v>TCCN-PTE-PRL-RVD-RV1--</v>
      </c>
      <c r="I2561" s="129" t="str">
        <f>MID(H2561,1,(LEN(H2561)-VLOOKUP(K2561,datos!$B$2:$C$12,2,0)))</f>
        <v>TCCN-PTE-PRL-RVD-RV1</v>
      </c>
      <c r="J2561" s="129" t="s">
        <v>7896</v>
      </c>
      <c r="K2561" s="130">
        <f>VLOOKUP(LEN(SUBSTITUTE(H2561,"-","")),datos!$A$1:$B$12,2,0)</f>
        <v>5</v>
      </c>
      <c r="L2561" s="129"/>
      <c r="M2561" s="129" t="s">
        <v>0</v>
      </c>
    </row>
    <row r="2562" spans="1:13" x14ac:dyDescent="0.35">
      <c r="A2562" s="137" t="s">
        <v>487</v>
      </c>
      <c r="B2562" s="137" t="s">
        <v>3809</v>
      </c>
      <c r="C2562" s="137" t="s">
        <v>4109</v>
      </c>
      <c r="D2562" s="137" t="s">
        <v>7347</v>
      </c>
      <c r="E2562" s="137" t="s">
        <v>3937</v>
      </c>
      <c r="F2562" s="137" t="s">
        <v>4073</v>
      </c>
      <c r="G2562" s="137"/>
      <c r="H2562" s="82" t="str">
        <f t="shared" si="156"/>
        <v>TCCN-PTE-PRL-RVD-RV1-PYV-</v>
      </c>
      <c r="I2562" s="137" t="str">
        <f>MID(H2562,1,(LEN(H2562)-VLOOKUP(K2562,datos!$B$2:$C$12,2,0)))</f>
        <v>TCCN-PTE-PRL-RVD-RV1-PYV</v>
      </c>
      <c r="J2562" s="137" t="s">
        <v>7349</v>
      </c>
      <c r="K2562" s="139">
        <f>VLOOKUP(LEN(SUBSTITUTE(H2562,"-","")),datos!$A$1:$B$12,2,0)</f>
        <v>6</v>
      </c>
      <c r="L2562" s="137"/>
      <c r="M2562" s="137" t="s">
        <v>0</v>
      </c>
    </row>
    <row r="2563" spans="1:13" x14ac:dyDescent="0.35">
      <c r="A2563" s="138" t="s">
        <v>487</v>
      </c>
      <c r="B2563" s="138" t="s">
        <v>3809</v>
      </c>
      <c r="C2563" s="138" t="s">
        <v>4109</v>
      </c>
      <c r="D2563" s="138" t="s">
        <v>7347</v>
      </c>
      <c r="E2563" s="138" t="s">
        <v>3937</v>
      </c>
      <c r="F2563" s="138" t="s">
        <v>4073</v>
      </c>
      <c r="G2563" s="138" t="s">
        <v>4069</v>
      </c>
      <c r="H2563" s="81" t="str">
        <f t="shared" si="156"/>
        <v>TCCN-PTE-PRL-RVD-RV1-PYV-SP1</v>
      </c>
      <c r="I2563" s="138" t="str">
        <f>MID(H2563,1,(LEN(H2563)-VLOOKUP(K2563,datos!$B$2:$C$12,2,0)))</f>
        <v>TCCN-PTE-PRL-RVD-RV1-PYV-SP1</v>
      </c>
      <c r="J2563" s="138" t="s">
        <v>7380</v>
      </c>
      <c r="K2563" s="140">
        <f>VLOOKUP(LEN(SUBSTITUTE(H2563,"-","")),datos!$A$1:$B$12,2,0)</f>
        <v>7</v>
      </c>
      <c r="L2563" s="138"/>
      <c r="M2563" s="138" t="s">
        <v>0</v>
      </c>
    </row>
    <row r="2564" spans="1:13" x14ac:dyDescent="0.35">
      <c r="A2564" s="138" t="s">
        <v>487</v>
      </c>
      <c r="B2564" s="138" t="s">
        <v>3809</v>
      </c>
      <c r="C2564" s="138" t="s">
        <v>4109</v>
      </c>
      <c r="D2564" s="138" t="s">
        <v>7347</v>
      </c>
      <c r="E2564" s="138" t="s">
        <v>3937</v>
      </c>
      <c r="F2564" s="138" t="s">
        <v>4073</v>
      </c>
      <c r="G2564" s="138" t="s">
        <v>4070</v>
      </c>
      <c r="H2564" s="81" t="str">
        <f t="shared" ref="H2564" si="159">CONCATENATE(A2564,"-",B2564,"-",C2564,"-",D2564,"-",E2564,"-",F2564,"-",G2564)</f>
        <v>TCCN-PTE-PRL-RVD-RV1-PYV-SP2</v>
      </c>
      <c r="I2564" s="138" t="str">
        <f>MID(H2564,1,(LEN(H2564)-VLOOKUP(K2564,datos!$B$2:$C$12,2,0)))</f>
        <v>TCCN-PTE-PRL-RVD-RV1-PYV-SP2</v>
      </c>
      <c r="J2564" s="138" t="s">
        <v>7381</v>
      </c>
      <c r="K2564" s="140">
        <f>VLOOKUP(LEN(SUBSTITUTE(H2564,"-","")),datos!$A$1:$B$12,2,0)</f>
        <v>7</v>
      </c>
      <c r="L2564" s="138"/>
      <c r="M2564" s="138" t="s">
        <v>0</v>
      </c>
    </row>
    <row r="2565" spans="1:13" x14ac:dyDescent="0.35">
      <c r="A2565" s="138" t="s">
        <v>487</v>
      </c>
      <c r="B2565" s="138" t="s">
        <v>3809</v>
      </c>
      <c r="C2565" s="138" t="s">
        <v>4109</v>
      </c>
      <c r="D2565" s="138" t="s">
        <v>7347</v>
      </c>
      <c r="E2565" s="138" t="s">
        <v>3937</v>
      </c>
      <c r="F2565" s="138" t="s">
        <v>4073</v>
      </c>
      <c r="G2565" s="138" t="s">
        <v>5597</v>
      </c>
      <c r="H2565" s="81" t="str">
        <f t="shared" si="156"/>
        <v>TCCN-PTE-PRL-RVD-RV1-PYV-AN1</v>
      </c>
      <c r="I2565" s="138" t="str">
        <f>MID(H2565,1,(LEN(H2565)-VLOOKUP(K2565,datos!$B$2:$C$12,2,0)))</f>
        <v>TCCN-PTE-PRL-RVD-RV1-PYV-AN1</v>
      </c>
      <c r="J2565" s="138" t="s">
        <v>5078</v>
      </c>
      <c r="K2565" s="140">
        <f>VLOOKUP(LEN(SUBSTITUTE(H2565,"-","")),datos!$A$1:$B$12,2,0)</f>
        <v>7</v>
      </c>
      <c r="L2565" s="138"/>
      <c r="M2565" s="138" t="s">
        <v>0</v>
      </c>
    </row>
    <row r="2566" spans="1:13" x14ac:dyDescent="0.35">
      <c r="A2566" s="138" t="s">
        <v>487</v>
      </c>
      <c r="B2566" s="138" t="s">
        <v>3809</v>
      </c>
      <c r="C2566" s="138" t="s">
        <v>4109</v>
      </c>
      <c r="D2566" s="138" t="s">
        <v>7347</v>
      </c>
      <c r="E2566" s="138" t="s">
        <v>3937</v>
      </c>
      <c r="F2566" s="138" t="s">
        <v>4073</v>
      </c>
      <c r="G2566" s="138" t="s">
        <v>5598</v>
      </c>
      <c r="H2566" s="81" t="str">
        <f t="shared" si="156"/>
        <v>TCCN-PTE-PRL-RVD-RV1-PYV-AN2</v>
      </c>
      <c r="I2566" s="138" t="str">
        <f>MID(H2566,1,(LEN(H2566)-VLOOKUP(K2566,datos!$B$2:$C$12,2,0)))</f>
        <v>TCCN-PTE-PRL-RVD-RV1-PYV-AN2</v>
      </c>
      <c r="J2566" s="138" t="s">
        <v>5079</v>
      </c>
      <c r="K2566" s="140">
        <f>VLOOKUP(LEN(SUBSTITUTE(H2566,"-","")),datos!$A$1:$B$12,2,0)</f>
        <v>7</v>
      </c>
      <c r="L2566" s="138"/>
      <c r="M2566" s="138" t="s">
        <v>0</v>
      </c>
    </row>
    <row r="2567" spans="1:13" x14ac:dyDescent="0.35">
      <c r="A2567" s="138" t="s">
        <v>487</v>
      </c>
      <c r="B2567" s="138" t="s">
        <v>3809</v>
      </c>
      <c r="C2567" s="138" t="s">
        <v>4109</v>
      </c>
      <c r="D2567" s="138" t="s">
        <v>7347</v>
      </c>
      <c r="E2567" s="138" t="s">
        <v>3937</v>
      </c>
      <c r="F2567" s="138" t="s">
        <v>4073</v>
      </c>
      <c r="G2567" s="138" t="s">
        <v>5599</v>
      </c>
      <c r="H2567" s="81" t="str">
        <f t="shared" si="156"/>
        <v>TCCN-PTE-PRL-RVD-RV1-PYV-AN3</v>
      </c>
      <c r="I2567" s="138" t="str">
        <f>MID(H2567,1,(LEN(H2567)-VLOOKUP(K2567,datos!$B$2:$C$12,2,0)))</f>
        <v>TCCN-PTE-PRL-RVD-RV1-PYV-AN3</v>
      </c>
      <c r="J2567" s="138" t="s">
        <v>5080</v>
      </c>
      <c r="K2567" s="140">
        <f>VLOOKUP(LEN(SUBSTITUTE(H2567,"-","")),datos!$A$1:$B$12,2,0)</f>
        <v>7</v>
      </c>
      <c r="L2567" s="138"/>
      <c r="M2567" s="138" t="s">
        <v>0</v>
      </c>
    </row>
    <row r="2568" spans="1:13" x14ac:dyDescent="0.35">
      <c r="A2568" s="138" t="s">
        <v>487</v>
      </c>
      <c r="B2568" s="138" t="s">
        <v>3809</v>
      </c>
      <c r="C2568" s="138" t="s">
        <v>4109</v>
      </c>
      <c r="D2568" s="138" t="s">
        <v>7347</v>
      </c>
      <c r="E2568" s="138" t="s">
        <v>3937</v>
      </c>
      <c r="F2568" s="138" t="s">
        <v>4073</v>
      </c>
      <c r="G2568" s="138" t="s">
        <v>5600</v>
      </c>
      <c r="H2568" s="81" t="str">
        <f t="shared" si="156"/>
        <v>TCCN-PTE-PRL-RVD-RV1-PYV-AN4</v>
      </c>
      <c r="I2568" s="138" t="str">
        <f>MID(H2568,1,(LEN(H2568)-VLOOKUP(K2568,datos!$B$2:$C$12,2,0)))</f>
        <v>TCCN-PTE-PRL-RVD-RV1-PYV-AN4</v>
      </c>
      <c r="J2568" s="138" t="s">
        <v>5081</v>
      </c>
      <c r="K2568" s="140">
        <f>VLOOKUP(LEN(SUBSTITUTE(H2568,"-","")),datos!$A$1:$B$12,2,0)</f>
        <v>7</v>
      </c>
      <c r="L2568" s="138"/>
      <c r="M2568" s="138" t="s">
        <v>0</v>
      </c>
    </row>
    <row r="2569" spans="1:13" x14ac:dyDescent="0.35">
      <c r="A2569" s="138" t="s">
        <v>487</v>
      </c>
      <c r="B2569" s="138" t="s">
        <v>3809</v>
      </c>
      <c r="C2569" s="138" t="s">
        <v>4109</v>
      </c>
      <c r="D2569" s="138" t="s">
        <v>7347</v>
      </c>
      <c r="E2569" s="138" t="s">
        <v>3937</v>
      </c>
      <c r="F2569" s="138" t="s">
        <v>4073</v>
      </c>
      <c r="G2569" s="138" t="s">
        <v>3986</v>
      </c>
      <c r="H2569" s="81" t="str">
        <f t="shared" si="156"/>
        <v>TCCN-PTE-PRL-RVD-RV1-PYV-VV1</v>
      </c>
      <c r="I2569" s="138" t="str">
        <f>MID(H2569,1,(LEN(H2569)-VLOOKUP(K2569,datos!$B$2:$C$12,2,0)))</f>
        <v>TCCN-PTE-PRL-RVD-RV1-PYV-VV1</v>
      </c>
      <c r="J2569" s="138" t="s">
        <v>7981</v>
      </c>
      <c r="K2569" s="140">
        <f>VLOOKUP(LEN(SUBSTITUTE(H2569,"-","")),datos!$A$1:$B$12,2,0)</f>
        <v>7</v>
      </c>
      <c r="L2569" s="138"/>
      <c r="M2569" s="138" t="s">
        <v>0</v>
      </c>
    </row>
    <row r="2570" spans="1:13" x14ac:dyDescent="0.35">
      <c r="A2570" s="138" t="s">
        <v>487</v>
      </c>
      <c r="B2570" s="138" t="s">
        <v>3809</v>
      </c>
      <c r="C2570" s="138" t="s">
        <v>4109</v>
      </c>
      <c r="D2570" s="138" t="s">
        <v>7347</v>
      </c>
      <c r="E2570" s="138" t="s">
        <v>3937</v>
      </c>
      <c r="F2570" s="138" t="s">
        <v>4073</v>
      </c>
      <c r="G2570" s="138" t="s">
        <v>3987</v>
      </c>
      <c r="H2570" s="81" t="str">
        <f t="shared" si="156"/>
        <v>TCCN-PTE-PRL-RVD-RV1-PYV-VV2</v>
      </c>
      <c r="I2570" s="138" t="str">
        <f>MID(H2570,1,(LEN(H2570)-VLOOKUP(K2570,datos!$B$2:$C$12,2,0)))</f>
        <v>TCCN-PTE-PRL-RVD-RV1-PYV-VV2</v>
      </c>
      <c r="J2570" s="138" t="s">
        <v>7982</v>
      </c>
      <c r="K2570" s="140">
        <f>VLOOKUP(LEN(SUBSTITUTE(H2570,"-","")),datos!$A$1:$B$12,2,0)</f>
        <v>7</v>
      </c>
      <c r="L2570" s="138"/>
      <c r="M2570" s="138" t="s">
        <v>0</v>
      </c>
    </row>
    <row r="2571" spans="1:13" x14ac:dyDescent="0.35">
      <c r="A2571" s="138" t="s">
        <v>487</v>
      </c>
      <c r="B2571" s="138" t="s">
        <v>3809</v>
      </c>
      <c r="C2571" s="138" t="s">
        <v>4109</v>
      </c>
      <c r="D2571" s="138" t="s">
        <v>7347</v>
      </c>
      <c r="E2571" s="138" t="s">
        <v>3937</v>
      </c>
      <c r="F2571" s="138" t="s">
        <v>4073</v>
      </c>
      <c r="G2571" s="138" t="s">
        <v>4065</v>
      </c>
      <c r="H2571" s="81" t="str">
        <f t="shared" si="156"/>
        <v>TCCN-PTE-PRL-RVD-RV1-PYV-VV3</v>
      </c>
      <c r="I2571" s="138" t="str">
        <f>MID(H2571,1,(LEN(H2571)-VLOOKUP(K2571,datos!$B$2:$C$12,2,0)))</f>
        <v>TCCN-PTE-PRL-RVD-RV1-PYV-VV3</v>
      </c>
      <c r="J2571" s="138" t="s">
        <v>7983</v>
      </c>
      <c r="K2571" s="140">
        <f>VLOOKUP(LEN(SUBSTITUTE(H2571,"-","")),datos!$A$1:$B$12,2,0)</f>
        <v>7</v>
      </c>
      <c r="L2571" s="138"/>
      <c r="M2571" s="138" t="s">
        <v>0</v>
      </c>
    </row>
    <row r="2572" spans="1:13" x14ac:dyDescent="0.35">
      <c r="A2572" s="138" t="s">
        <v>487</v>
      </c>
      <c r="B2572" s="138" t="s">
        <v>3809</v>
      </c>
      <c r="C2572" s="138" t="s">
        <v>4109</v>
      </c>
      <c r="D2572" s="138" t="s">
        <v>7347</v>
      </c>
      <c r="E2572" s="138" t="s">
        <v>3937</v>
      </c>
      <c r="F2572" s="138" t="s">
        <v>4073</v>
      </c>
      <c r="G2572" s="138" t="s">
        <v>5554</v>
      </c>
      <c r="H2572" s="81" t="str">
        <f t="shared" si="156"/>
        <v>TCCN-PTE-PRL-RVD-RV1-PYV-VV4</v>
      </c>
      <c r="I2572" s="138" t="str">
        <f>MID(H2572,1,(LEN(H2572)-VLOOKUP(K2572,datos!$B$2:$C$12,2,0)))</f>
        <v>TCCN-PTE-PRL-RVD-RV1-PYV-VV4</v>
      </c>
      <c r="J2572" s="138" t="s">
        <v>7984</v>
      </c>
      <c r="K2572" s="140">
        <f>VLOOKUP(LEN(SUBSTITUTE(H2572,"-","")),datos!$A$1:$B$12,2,0)</f>
        <v>7</v>
      </c>
      <c r="L2572" s="138"/>
      <c r="M2572" s="138" t="s">
        <v>0</v>
      </c>
    </row>
    <row r="2573" spans="1:13" x14ac:dyDescent="0.35">
      <c r="A2573" s="138" t="s">
        <v>487</v>
      </c>
      <c r="B2573" s="138" t="s">
        <v>3809</v>
      </c>
      <c r="C2573" s="138" t="s">
        <v>4109</v>
      </c>
      <c r="D2573" s="138" t="s">
        <v>7347</v>
      </c>
      <c r="E2573" s="138" t="s">
        <v>3937</v>
      </c>
      <c r="F2573" s="138" t="s">
        <v>4073</v>
      </c>
      <c r="G2573" s="138" t="s">
        <v>5555</v>
      </c>
      <c r="H2573" s="81" t="str">
        <f t="shared" si="156"/>
        <v>TCCN-PTE-PRL-RVD-RV1-PYV-VV5</v>
      </c>
      <c r="I2573" s="138" t="str">
        <f>MID(H2573,1,(LEN(H2573)-VLOOKUP(K2573,datos!$B$2:$C$12,2,0)))</f>
        <v>TCCN-PTE-PRL-RVD-RV1-PYV-VV5</v>
      </c>
      <c r="J2573" s="138" t="s">
        <v>7985</v>
      </c>
      <c r="K2573" s="140">
        <f>VLOOKUP(LEN(SUBSTITUTE(H2573,"-","")),datos!$A$1:$B$12,2,0)</f>
        <v>7</v>
      </c>
      <c r="L2573" s="138"/>
      <c r="M2573" s="138" t="s">
        <v>0</v>
      </c>
    </row>
    <row r="2574" spans="1:13" x14ac:dyDescent="0.35">
      <c r="A2574" s="138" t="s">
        <v>487</v>
      </c>
      <c r="B2574" s="138" t="s">
        <v>3809</v>
      </c>
      <c r="C2574" s="138" t="s">
        <v>4109</v>
      </c>
      <c r="D2574" s="138" t="s">
        <v>7347</v>
      </c>
      <c r="E2574" s="138" t="s">
        <v>3937</v>
      </c>
      <c r="F2574" s="138" t="s">
        <v>4073</v>
      </c>
      <c r="G2574" s="138" t="s">
        <v>5556</v>
      </c>
      <c r="H2574" s="81" t="str">
        <f t="shared" si="156"/>
        <v>TCCN-PTE-PRL-RVD-RV1-PYV-VV6</v>
      </c>
      <c r="I2574" s="138" t="str">
        <f>MID(H2574,1,(LEN(H2574)-VLOOKUP(K2574,datos!$B$2:$C$12,2,0)))</f>
        <v>TCCN-PTE-PRL-RVD-RV1-PYV-VV6</v>
      </c>
      <c r="J2574" s="138" t="s">
        <v>7986</v>
      </c>
      <c r="K2574" s="140">
        <f>VLOOKUP(LEN(SUBSTITUTE(H2574,"-","")),datos!$A$1:$B$12,2,0)</f>
        <v>7</v>
      </c>
      <c r="L2574" s="138"/>
      <c r="M2574" s="138" t="s">
        <v>0</v>
      </c>
    </row>
    <row r="2575" spans="1:13" x14ac:dyDescent="0.35">
      <c r="A2575" s="137" t="s">
        <v>487</v>
      </c>
      <c r="B2575" s="137" t="s">
        <v>3809</v>
      </c>
      <c r="C2575" s="137" t="s">
        <v>4109</v>
      </c>
      <c r="D2575" s="137" t="s">
        <v>7347</v>
      </c>
      <c r="E2575" s="137" t="s">
        <v>3937</v>
      </c>
      <c r="F2575" s="137" t="s">
        <v>3831</v>
      </c>
      <c r="G2575" s="137"/>
      <c r="H2575" s="82" t="str">
        <f t="shared" ref="H2575:H2579" si="160">CONCATENATE(A2575,"-",B2575,"-",C2575,"-",D2575,"-",E2575,"-",F2575,"-",G2575)</f>
        <v>TCCN-PTE-PRL-RVD-RV1-INS-</v>
      </c>
      <c r="I2575" s="137" t="str">
        <f>MID(H2575,1,(LEN(H2575)-VLOOKUP(K2575,datos!$B$2:$C$12,2,0)))</f>
        <v>TCCN-PTE-PRL-RVD-RV1-INS</v>
      </c>
      <c r="J2575" s="137" t="s">
        <v>7354</v>
      </c>
      <c r="K2575" s="139">
        <f>VLOOKUP(LEN(SUBSTITUTE(H2575,"-","")),datos!$A$1:$B$12,2,0)</f>
        <v>6</v>
      </c>
      <c r="L2575" s="137"/>
      <c r="M2575" s="137" t="s">
        <v>0</v>
      </c>
    </row>
    <row r="2576" spans="1:13" x14ac:dyDescent="0.35">
      <c r="A2576" s="138" t="s">
        <v>487</v>
      </c>
      <c r="B2576" s="138" t="s">
        <v>3809</v>
      </c>
      <c r="C2576" s="138" t="s">
        <v>4109</v>
      </c>
      <c r="D2576" s="138" t="s">
        <v>7347</v>
      </c>
      <c r="E2576" s="138" t="s">
        <v>3937</v>
      </c>
      <c r="F2576" s="138" t="s">
        <v>3831</v>
      </c>
      <c r="G2576" s="138" t="s">
        <v>5632</v>
      </c>
      <c r="H2576" s="81" t="str">
        <f t="shared" si="160"/>
        <v>TCCN-PTE-PRL-RVD-RV1-INS-FJ1</v>
      </c>
      <c r="I2576" s="138" t="str">
        <f>MID(H2576,1,(LEN(H2576)-VLOOKUP(K2576,datos!$B$2:$C$12,2,0)))</f>
        <v>TCCN-PTE-PRL-RVD-RV1-INS-FJ1</v>
      </c>
      <c r="J2576" s="138" t="s">
        <v>7361</v>
      </c>
      <c r="K2576" s="140">
        <f>VLOOKUP(LEN(SUBSTITUTE(H2576,"-","")),datos!$A$1:$B$12,2,0)</f>
        <v>7</v>
      </c>
      <c r="L2576" s="138" t="s">
        <v>7355</v>
      </c>
      <c r="M2576" s="138" t="s">
        <v>0</v>
      </c>
    </row>
    <row r="2577" spans="1:13" x14ac:dyDescent="0.35">
      <c r="A2577" s="138" t="s">
        <v>487</v>
      </c>
      <c r="B2577" s="138" t="s">
        <v>3809</v>
      </c>
      <c r="C2577" s="138" t="s">
        <v>4109</v>
      </c>
      <c r="D2577" s="138" t="s">
        <v>7347</v>
      </c>
      <c r="E2577" s="138" t="s">
        <v>3937</v>
      </c>
      <c r="F2577" s="138" t="s">
        <v>3831</v>
      </c>
      <c r="G2577" s="138" t="s">
        <v>5633</v>
      </c>
      <c r="H2577" s="81" t="str">
        <f t="shared" ref="H2577" si="161">CONCATENATE(A2577,"-",B2577,"-",C2577,"-",D2577,"-",E2577,"-",F2577,"-",G2577)</f>
        <v>TCCN-PTE-PRL-RVD-RV1-INS-FJ2</v>
      </c>
      <c r="I2577" s="138" t="str">
        <f>MID(H2577,1,(LEN(H2577)-VLOOKUP(K2577,datos!$B$2:$C$12,2,0)))</f>
        <v>TCCN-PTE-PRL-RVD-RV1-INS-FJ2</v>
      </c>
      <c r="J2577" s="138" t="s">
        <v>7362</v>
      </c>
      <c r="K2577" s="140">
        <f>VLOOKUP(LEN(SUBSTITUTE(H2577,"-","")),datos!$A$1:$B$12,2,0)</f>
        <v>7</v>
      </c>
      <c r="L2577" s="138" t="s">
        <v>7360</v>
      </c>
      <c r="M2577" s="138" t="s">
        <v>0</v>
      </c>
    </row>
    <row r="2578" spans="1:13" x14ac:dyDescent="0.35">
      <c r="A2578" s="138" t="s">
        <v>487</v>
      </c>
      <c r="B2578" s="138" t="s">
        <v>3809</v>
      </c>
      <c r="C2578" s="138" t="s">
        <v>4109</v>
      </c>
      <c r="D2578" s="138" t="s">
        <v>7347</v>
      </c>
      <c r="E2578" s="138" t="s">
        <v>3937</v>
      </c>
      <c r="F2578" s="138" t="s">
        <v>3831</v>
      </c>
      <c r="G2578" s="138" t="s">
        <v>7070</v>
      </c>
      <c r="H2578" s="81" t="str">
        <f t="shared" si="160"/>
        <v>TCCN-PTE-PRL-RVD-RV1-INS-MP1</v>
      </c>
      <c r="I2578" s="138" t="str">
        <f>MID(H2578,1,(LEN(H2578)-VLOOKUP(K2578,datos!$B$2:$C$12,2,0)))</f>
        <v>TCCN-PTE-PRL-RVD-RV1-INS-MP1</v>
      </c>
      <c r="J2578" s="138" t="s">
        <v>7363</v>
      </c>
      <c r="K2578" s="140">
        <f>VLOOKUP(LEN(SUBSTITUTE(H2578,"-","")),datos!$A$1:$B$12,2,0)</f>
        <v>7</v>
      </c>
      <c r="L2578" s="138" t="s">
        <v>7356</v>
      </c>
      <c r="M2578" s="138" t="s">
        <v>0</v>
      </c>
    </row>
    <row r="2579" spans="1:13" x14ac:dyDescent="0.35">
      <c r="A2579" s="138" t="s">
        <v>487</v>
      </c>
      <c r="B2579" s="138" t="s">
        <v>3809</v>
      </c>
      <c r="C2579" s="138" t="s">
        <v>4109</v>
      </c>
      <c r="D2579" s="138" t="s">
        <v>7347</v>
      </c>
      <c r="E2579" s="138" t="s">
        <v>3937</v>
      </c>
      <c r="F2579" s="138" t="s">
        <v>3831</v>
      </c>
      <c r="G2579" s="138" t="s">
        <v>7071</v>
      </c>
      <c r="H2579" s="81" t="str">
        <f t="shared" si="160"/>
        <v>TCCN-PTE-PRL-RVD-RV1-INS-MP2</v>
      </c>
      <c r="I2579" s="138" t="str">
        <f>MID(H2579,1,(LEN(H2579)-VLOOKUP(K2579,datos!$B$2:$C$12,2,0)))</f>
        <v>TCCN-PTE-PRL-RVD-RV1-INS-MP2</v>
      </c>
      <c r="J2579" s="138" t="s">
        <v>7365</v>
      </c>
      <c r="K2579" s="140">
        <f>VLOOKUP(LEN(SUBSTITUTE(H2579,"-","")),datos!$A$1:$B$12,2,0)</f>
        <v>7</v>
      </c>
      <c r="L2579" s="138" t="s">
        <v>7357</v>
      </c>
      <c r="M2579" s="138" t="s">
        <v>0</v>
      </c>
    </row>
    <row r="2580" spans="1:13" x14ac:dyDescent="0.35">
      <c r="A2580" s="138" t="s">
        <v>487</v>
      </c>
      <c r="B2580" s="138" t="s">
        <v>3809</v>
      </c>
      <c r="C2580" s="138" t="s">
        <v>4109</v>
      </c>
      <c r="D2580" s="138" t="s">
        <v>7347</v>
      </c>
      <c r="E2580" s="138" t="s">
        <v>3937</v>
      </c>
      <c r="F2580" s="138" t="s">
        <v>3831</v>
      </c>
      <c r="G2580" s="138" t="s">
        <v>7367</v>
      </c>
      <c r="H2580" s="81" t="str">
        <f t="shared" ref="H2580:H2581" si="162">CONCATENATE(A2580,"-",B2580,"-",C2580,"-",D2580,"-",E2580,"-",F2580,"-",G2580)</f>
        <v>TCCN-PTE-PRL-RVD-RV1-INS-MP3</v>
      </c>
      <c r="I2580" s="138" t="str">
        <f>MID(H2580,1,(LEN(H2580)-VLOOKUP(K2580,datos!$B$2:$C$12,2,0)))</f>
        <v>TCCN-PTE-PRL-RVD-RV1-INS-MP3</v>
      </c>
      <c r="J2580" s="138" t="s">
        <v>7366</v>
      </c>
      <c r="K2580" s="140">
        <f>VLOOKUP(LEN(SUBSTITUTE(H2580,"-","")),datos!$A$1:$B$12,2,0)</f>
        <v>7</v>
      </c>
      <c r="L2580" s="138" t="s">
        <v>7358</v>
      </c>
      <c r="M2580" s="138" t="s">
        <v>0</v>
      </c>
    </row>
    <row r="2581" spans="1:13" x14ac:dyDescent="0.35">
      <c r="A2581" s="138" t="s">
        <v>487</v>
      </c>
      <c r="B2581" s="138" t="s">
        <v>3809</v>
      </c>
      <c r="C2581" s="138" t="s">
        <v>4109</v>
      </c>
      <c r="D2581" s="138" t="s">
        <v>7347</v>
      </c>
      <c r="E2581" s="138" t="s">
        <v>3937</v>
      </c>
      <c r="F2581" s="138" t="s">
        <v>3831</v>
      </c>
      <c r="G2581" s="138" t="s">
        <v>7368</v>
      </c>
      <c r="H2581" s="81" t="str">
        <f t="shared" si="162"/>
        <v>TCCN-PTE-PRL-RVD-RV1-INS-MP4</v>
      </c>
      <c r="I2581" s="138" t="str">
        <f>MID(H2581,1,(LEN(H2581)-VLOOKUP(K2581,datos!$B$2:$C$12,2,0)))</f>
        <v>TCCN-PTE-PRL-RVD-RV1-INS-MP4</v>
      </c>
      <c r="J2581" s="138" t="s">
        <v>7364</v>
      </c>
      <c r="K2581" s="140">
        <f>VLOOKUP(LEN(SUBSTITUTE(H2581,"-","")),datos!$A$1:$B$12,2,0)</f>
        <v>7</v>
      </c>
      <c r="L2581" s="138" t="s">
        <v>7359</v>
      </c>
      <c r="M2581" s="138" t="s">
        <v>0</v>
      </c>
    </row>
    <row r="2582" spans="1:13" customFormat="1" ht="14.5" x14ac:dyDescent="0.35">
      <c r="A2582" s="129" t="s">
        <v>487</v>
      </c>
      <c r="B2582" s="129" t="s">
        <v>3809</v>
      </c>
      <c r="C2582" s="129" t="s">
        <v>4109</v>
      </c>
      <c r="D2582" s="129" t="s">
        <v>7347</v>
      </c>
      <c r="E2582" s="129" t="s">
        <v>3938</v>
      </c>
      <c r="F2582" s="129"/>
      <c r="G2582" s="129"/>
      <c r="H2582" s="83" t="str">
        <f t="shared" ref="H2582" si="163">CONCATENATE(A2582,"-",B2582,"-",C2582,"-",D2582,"-",E2582,"-",F2582,"-",G2582)</f>
        <v>TCCN-PTE-PRL-RVD-RV2--</v>
      </c>
      <c r="I2582" s="129" t="str">
        <f>MID(H2582,1,(LEN(H2582)-VLOOKUP(K2582,datos!$B$2:$C$12,2,0)))</f>
        <v>TCCN-PTE-PRL-RVD-RV2</v>
      </c>
      <c r="J2582" s="129" t="s">
        <v>7897</v>
      </c>
      <c r="K2582" s="130">
        <f>VLOOKUP(LEN(SUBSTITUTE(H2582,"-","")),datos!$A$1:$B$12,2,0)</f>
        <v>5</v>
      </c>
      <c r="L2582" s="129"/>
      <c r="M2582" s="129" t="s">
        <v>0</v>
      </c>
    </row>
    <row r="2583" spans="1:13" x14ac:dyDescent="0.35">
      <c r="A2583" s="137" t="s">
        <v>487</v>
      </c>
      <c r="B2583" s="137" t="s">
        <v>3809</v>
      </c>
      <c r="C2583" s="137" t="s">
        <v>4109</v>
      </c>
      <c r="D2583" s="137" t="s">
        <v>7347</v>
      </c>
      <c r="E2583" s="137" t="s">
        <v>3938</v>
      </c>
      <c r="F2583" s="137" t="s">
        <v>4073</v>
      </c>
      <c r="G2583" s="137"/>
      <c r="H2583" s="82" t="str">
        <f t="shared" ref="H2583:H2600" si="164">CONCATENATE(A2583,"-",B2583,"-",C2583,"-",D2583,"-",E2583,"-",F2583,"-",G2583)</f>
        <v>TCCN-PTE-PRL-RVD-RV2-PYV-</v>
      </c>
      <c r="I2583" s="137" t="str">
        <f>MID(H2583,1,(LEN(H2583)-VLOOKUP(K2583,datos!$B$2:$C$12,2,0)))</f>
        <v>TCCN-PTE-PRL-RVD-RV2-PYV</v>
      </c>
      <c r="J2583" s="137" t="s">
        <v>4567</v>
      </c>
      <c r="K2583" s="139">
        <f>VLOOKUP(LEN(SUBSTITUTE(H2583,"-","")),datos!$A$1:$B$12,2,0)</f>
        <v>6</v>
      </c>
      <c r="L2583" s="137"/>
      <c r="M2583" s="137" t="s">
        <v>0</v>
      </c>
    </row>
    <row r="2584" spans="1:13" x14ac:dyDescent="0.35">
      <c r="A2584" s="138" t="s">
        <v>487</v>
      </c>
      <c r="B2584" s="138" t="s">
        <v>3809</v>
      </c>
      <c r="C2584" s="138" t="s">
        <v>4109</v>
      </c>
      <c r="D2584" s="138" t="s">
        <v>7347</v>
      </c>
      <c r="E2584" s="138" t="s">
        <v>3938</v>
      </c>
      <c r="F2584" s="138" t="s">
        <v>4073</v>
      </c>
      <c r="G2584" s="138" t="s">
        <v>5596</v>
      </c>
      <c r="H2584" s="81" t="str">
        <f t="shared" si="164"/>
        <v>TCCN-PTE-PRL-RVD-RV2-PYV-SPL</v>
      </c>
      <c r="I2584" s="138" t="str">
        <f>MID(H2584,1,(LEN(H2584)-VLOOKUP(K2584,datos!$B$2:$C$12,2,0)))</f>
        <v>TCCN-PTE-PRL-RVD-RV2-PYV-SPL</v>
      </c>
      <c r="J2584" s="138" t="s">
        <v>7382</v>
      </c>
      <c r="K2584" s="140">
        <f>VLOOKUP(LEN(SUBSTITUTE(H2584,"-","")),datos!$A$1:$B$12,2,0)</f>
        <v>7</v>
      </c>
      <c r="L2584" s="138"/>
      <c r="M2584" s="138" t="s">
        <v>0</v>
      </c>
    </row>
    <row r="2585" spans="1:13" x14ac:dyDescent="0.35">
      <c r="A2585" s="138" t="s">
        <v>487</v>
      </c>
      <c r="B2585" s="138" t="s">
        <v>3809</v>
      </c>
      <c r="C2585" s="138" t="s">
        <v>4109</v>
      </c>
      <c r="D2585" s="138" t="s">
        <v>7347</v>
      </c>
      <c r="E2585" s="138" t="s">
        <v>3938</v>
      </c>
      <c r="F2585" s="138" t="s">
        <v>4073</v>
      </c>
      <c r="G2585" s="138" t="s">
        <v>5597</v>
      </c>
      <c r="H2585" s="81" t="str">
        <f t="shared" si="164"/>
        <v>TCCN-PTE-PRL-RVD-RV2-PYV-AN1</v>
      </c>
      <c r="I2585" s="138" t="str">
        <f>MID(H2585,1,(LEN(H2585)-VLOOKUP(K2585,datos!$B$2:$C$12,2,0)))</f>
        <v>TCCN-PTE-PRL-RVD-RV2-PYV-AN1</v>
      </c>
      <c r="J2585" s="138" t="s">
        <v>7350</v>
      </c>
      <c r="K2585" s="140">
        <f>VLOOKUP(LEN(SUBSTITUTE(H2585,"-","")),datos!$A$1:$B$12,2,0)</f>
        <v>7</v>
      </c>
      <c r="L2585" s="138"/>
      <c r="M2585" s="138" t="s">
        <v>0</v>
      </c>
    </row>
    <row r="2586" spans="1:13" x14ac:dyDescent="0.35">
      <c r="A2586" s="138" t="s">
        <v>487</v>
      </c>
      <c r="B2586" s="138" t="s">
        <v>3809</v>
      </c>
      <c r="C2586" s="138" t="s">
        <v>4109</v>
      </c>
      <c r="D2586" s="138" t="s">
        <v>7347</v>
      </c>
      <c r="E2586" s="138" t="s">
        <v>3938</v>
      </c>
      <c r="F2586" s="138" t="s">
        <v>4073</v>
      </c>
      <c r="G2586" s="138" t="s">
        <v>5598</v>
      </c>
      <c r="H2586" s="81" t="str">
        <f t="shared" si="164"/>
        <v>TCCN-PTE-PRL-RVD-RV2-PYV-AN2</v>
      </c>
      <c r="I2586" s="138" t="str">
        <f>MID(H2586,1,(LEN(H2586)-VLOOKUP(K2586,datos!$B$2:$C$12,2,0)))</f>
        <v>TCCN-PTE-PRL-RVD-RV2-PYV-AN2</v>
      </c>
      <c r="J2586" s="138" t="s">
        <v>7351</v>
      </c>
      <c r="K2586" s="140">
        <f>VLOOKUP(LEN(SUBSTITUTE(H2586,"-","")),datos!$A$1:$B$12,2,0)</f>
        <v>7</v>
      </c>
      <c r="L2586" s="138"/>
      <c r="M2586" s="138" t="s">
        <v>0</v>
      </c>
    </row>
    <row r="2587" spans="1:13" x14ac:dyDescent="0.35">
      <c r="A2587" s="138" t="s">
        <v>487</v>
      </c>
      <c r="B2587" s="138" t="s">
        <v>3809</v>
      </c>
      <c r="C2587" s="138" t="s">
        <v>4109</v>
      </c>
      <c r="D2587" s="138" t="s">
        <v>7347</v>
      </c>
      <c r="E2587" s="138" t="s">
        <v>3938</v>
      </c>
      <c r="F2587" s="138" t="s">
        <v>4073</v>
      </c>
      <c r="G2587" s="138" t="s">
        <v>5599</v>
      </c>
      <c r="H2587" s="81" t="str">
        <f t="shared" si="164"/>
        <v>TCCN-PTE-PRL-RVD-RV2-PYV-AN3</v>
      </c>
      <c r="I2587" s="138" t="str">
        <f>MID(H2587,1,(LEN(H2587)-VLOOKUP(K2587,datos!$B$2:$C$12,2,0)))</f>
        <v>TCCN-PTE-PRL-RVD-RV2-PYV-AN3</v>
      </c>
      <c r="J2587" s="138" t="s">
        <v>7352</v>
      </c>
      <c r="K2587" s="140">
        <f>VLOOKUP(LEN(SUBSTITUTE(H2587,"-","")),datos!$A$1:$B$12,2,0)</f>
        <v>7</v>
      </c>
      <c r="L2587" s="138"/>
      <c r="M2587" s="138" t="s">
        <v>0</v>
      </c>
    </row>
    <row r="2588" spans="1:13" x14ac:dyDescent="0.35">
      <c r="A2588" s="138" t="s">
        <v>487</v>
      </c>
      <c r="B2588" s="138" t="s">
        <v>3809</v>
      </c>
      <c r="C2588" s="138" t="s">
        <v>4109</v>
      </c>
      <c r="D2588" s="138" t="s">
        <v>7347</v>
      </c>
      <c r="E2588" s="138" t="s">
        <v>3938</v>
      </c>
      <c r="F2588" s="138" t="s">
        <v>4073</v>
      </c>
      <c r="G2588" s="138" t="s">
        <v>5600</v>
      </c>
      <c r="H2588" s="81" t="str">
        <f t="shared" si="164"/>
        <v>TCCN-PTE-PRL-RVD-RV2-PYV-AN4</v>
      </c>
      <c r="I2588" s="138" t="str">
        <f>MID(H2588,1,(LEN(H2588)-VLOOKUP(K2588,datos!$B$2:$C$12,2,0)))</f>
        <v>TCCN-PTE-PRL-RVD-RV2-PYV-AN4</v>
      </c>
      <c r="J2588" s="138" t="s">
        <v>7353</v>
      </c>
      <c r="K2588" s="140">
        <f>VLOOKUP(LEN(SUBSTITUTE(H2588,"-","")),datos!$A$1:$B$12,2,0)</f>
        <v>7</v>
      </c>
      <c r="L2588" s="138"/>
      <c r="M2588" s="138" t="s">
        <v>0</v>
      </c>
    </row>
    <row r="2589" spans="1:13" x14ac:dyDescent="0.35">
      <c r="A2589" s="138" t="s">
        <v>487</v>
      </c>
      <c r="B2589" s="138" t="s">
        <v>3809</v>
      </c>
      <c r="C2589" s="138" t="s">
        <v>4109</v>
      </c>
      <c r="D2589" s="138" t="s">
        <v>7347</v>
      </c>
      <c r="E2589" s="138" t="s">
        <v>3938</v>
      </c>
      <c r="F2589" s="138" t="s">
        <v>4073</v>
      </c>
      <c r="G2589" s="138" t="s">
        <v>3986</v>
      </c>
      <c r="H2589" s="81" t="str">
        <f t="shared" si="164"/>
        <v>TCCN-PTE-PRL-RVD-RV2-PYV-VV1</v>
      </c>
      <c r="I2589" s="138" t="str">
        <f>MID(H2589,1,(LEN(H2589)-VLOOKUP(K2589,datos!$B$2:$C$12,2,0)))</f>
        <v>TCCN-PTE-PRL-RVD-RV2-PYV-VV1</v>
      </c>
      <c r="J2589" s="138" t="s">
        <v>7987</v>
      </c>
      <c r="K2589" s="140">
        <f>VLOOKUP(LEN(SUBSTITUTE(H2589,"-","")),datos!$A$1:$B$12,2,0)</f>
        <v>7</v>
      </c>
      <c r="L2589" s="138"/>
      <c r="M2589" s="138" t="s">
        <v>0</v>
      </c>
    </row>
    <row r="2590" spans="1:13" x14ac:dyDescent="0.35">
      <c r="A2590" s="138" t="s">
        <v>487</v>
      </c>
      <c r="B2590" s="138" t="s">
        <v>3809</v>
      </c>
      <c r="C2590" s="138" t="s">
        <v>4109</v>
      </c>
      <c r="D2590" s="138" t="s">
        <v>7347</v>
      </c>
      <c r="E2590" s="138" t="s">
        <v>3938</v>
      </c>
      <c r="F2590" s="138" t="s">
        <v>4073</v>
      </c>
      <c r="G2590" s="138" t="s">
        <v>3987</v>
      </c>
      <c r="H2590" s="81" t="str">
        <f t="shared" si="164"/>
        <v>TCCN-PTE-PRL-RVD-RV2-PYV-VV2</v>
      </c>
      <c r="I2590" s="138" t="str">
        <f>MID(H2590,1,(LEN(H2590)-VLOOKUP(K2590,datos!$B$2:$C$12,2,0)))</f>
        <v>TCCN-PTE-PRL-RVD-RV2-PYV-VV2</v>
      </c>
      <c r="J2590" s="138" t="s">
        <v>7988</v>
      </c>
      <c r="K2590" s="140">
        <f>VLOOKUP(LEN(SUBSTITUTE(H2590,"-","")),datos!$A$1:$B$12,2,0)</f>
        <v>7</v>
      </c>
      <c r="L2590" s="138"/>
      <c r="M2590" s="138" t="s">
        <v>0</v>
      </c>
    </row>
    <row r="2591" spans="1:13" x14ac:dyDescent="0.35">
      <c r="A2591" s="138" t="s">
        <v>487</v>
      </c>
      <c r="B2591" s="138" t="s">
        <v>3809</v>
      </c>
      <c r="C2591" s="138" t="s">
        <v>4109</v>
      </c>
      <c r="D2591" s="138" t="s">
        <v>7347</v>
      </c>
      <c r="E2591" s="138" t="s">
        <v>3938</v>
      </c>
      <c r="F2591" s="138" t="s">
        <v>4073</v>
      </c>
      <c r="G2591" s="138" t="s">
        <v>4065</v>
      </c>
      <c r="H2591" s="81" t="str">
        <f t="shared" si="164"/>
        <v>TCCN-PTE-PRL-RVD-RV2-PYV-VV3</v>
      </c>
      <c r="I2591" s="138" t="str">
        <f>MID(H2591,1,(LEN(H2591)-VLOOKUP(K2591,datos!$B$2:$C$12,2,0)))</f>
        <v>TCCN-PTE-PRL-RVD-RV2-PYV-VV3</v>
      </c>
      <c r="J2591" s="138" t="s">
        <v>7989</v>
      </c>
      <c r="K2591" s="140">
        <f>VLOOKUP(LEN(SUBSTITUTE(H2591,"-","")),datos!$A$1:$B$12,2,0)</f>
        <v>7</v>
      </c>
      <c r="L2591" s="138"/>
      <c r="M2591" s="138" t="s">
        <v>0</v>
      </c>
    </row>
    <row r="2592" spans="1:13" x14ac:dyDescent="0.35">
      <c r="A2592" s="138" t="s">
        <v>487</v>
      </c>
      <c r="B2592" s="138" t="s">
        <v>3809</v>
      </c>
      <c r="C2592" s="138" t="s">
        <v>4109</v>
      </c>
      <c r="D2592" s="138" t="s">
        <v>7347</v>
      </c>
      <c r="E2592" s="138" t="s">
        <v>3938</v>
      </c>
      <c r="F2592" s="138" t="s">
        <v>4073</v>
      </c>
      <c r="G2592" s="138" t="s">
        <v>5554</v>
      </c>
      <c r="H2592" s="81" t="str">
        <f t="shared" si="164"/>
        <v>TCCN-PTE-PRL-RVD-RV2-PYV-VV4</v>
      </c>
      <c r="I2592" s="138" t="str">
        <f>MID(H2592,1,(LEN(H2592)-VLOOKUP(K2592,datos!$B$2:$C$12,2,0)))</f>
        <v>TCCN-PTE-PRL-RVD-RV2-PYV-VV4</v>
      </c>
      <c r="J2592" s="138" t="s">
        <v>7990</v>
      </c>
      <c r="K2592" s="140">
        <f>VLOOKUP(LEN(SUBSTITUTE(H2592,"-","")),datos!$A$1:$B$12,2,0)</f>
        <v>7</v>
      </c>
      <c r="L2592" s="138"/>
      <c r="M2592" s="138" t="s">
        <v>0</v>
      </c>
    </row>
    <row r="2593" spans="1:13" x14ac:dyDescent="0.35">
      <c r="A2593" s="138" t="s">
        <v>487</v>
      </c>
      <c r="B2593" s="138" t="s">
        <v>3809</v>
      </c>
      <c r="C2593" s="138" t="s">
        <v>4109</v>
      </c>
      <c r="D2593" s="138" t="s">
        <v>7347</v>
      </c>
      <c r="E2593" s="138" t="s">
        <v>3938</v>
      </c>
      <c r="F2593" s="138" t="s">
        <v>4073</v>
      </c>
      <c r="G2593" s="138" t="s">
        <v>5555</v>
      </c>
      <c r="H2593" s="81" t="str">
        <f t="shared" si="164"/>
        <v>TCCN-PTE-PRL-RVD-RV2-PYV-VV5</v>
      </c>
      <c r="I2593" s="138" t="str">
        <f>MID(H2593,1,(LEN(H2593)-VLOOKUP(K2593,datos!$B$2:$C$12,2,0)))</f>
        <v>TCCN-PTE-PRL-RVD-RV2-PYV-VV5</v>
      </c>
      <c r="J2593" s="138" t="s">
        <v>7991</v>
      </c>
      <c r="K2593" s="140">
        <f>VLOOKUP(LEN(SUBSTITUTE(H2593,"-","")),datos!$A$1:$B$12,2,0)</f>
        <v>7</v>
      </c>
      <c r="L2593" s="138"/>
      <c r="M2593" s="138" t="s">
        <v>0</v>
      </c>
    </row>
    <row r="2594" spans="1:13" x14ac:dyDescent="0.35">
      <c r="A2594" s="138" t="s">
        <v>487</v>
      </c>
      <c r="B2594" s="138" t="s">
        <v>3809</v>
      </c>
      <c r="C2594" s="138" t="s">
        <v>4109</v>
      </c>
      <c r="D2594" s="138" t="s">
        <v>7347</v>
      </c>
      <c r="E2594" s="138" t="s">
        <v>3938</v>
      </c>
      <c r="F2594" s="138" t="s">
        <v>4073</v>
      </c>
      <c r="G2594" s="138" t="s">
        <v>5556</v>
      </c>
      <c r="H2594" s="81" t="str">
        <f t="shared" si="164"/>
        <v>TCCN-PTE-PRL-RVD-RV2-PYV-VV6</v>
      </c>
      <c r="I2594" s="138" t="str">
        <f>MID(H2594,1,(LEN(H2594)-VLOOKUP(K2594,datos!$B$2:$C$12,2,0)))</f>
        <v>TCCN-PTE-PRL-RVD-RV2-PYV-VV6</v>
      </c>
      <c r="J2594" s="138" t="s">
        <v>7992</v>
      </c>
      <c r="K2594" s="140">
        <f>VLOOKUP(LEN(SUBSTITUTE(H2594,"-","")),datos!$A$1:$B$12,2,0)</f>
        <v>7</v>
      </c>
      <c r="L2594" s="138"/>
      <c r="M2594" s="138" t="s">
        <v>0</v>
      </c>
    </row>
    <row r="2595" spans="1:13" x14ac:dyDescent="0.35">
      <c r="A2595" s="137" t="s">
        <v>487</v>
      </c>
      <c r="B2595" s="137" t="s">
        <v>3809</v>
      </c>
      <c r="C2595" s="137" t="s">
        <v>4109</v>
      </c>
      <c r="D2595" s="137" t="s">
        <v>7347</v>
      </c>
      <c r="E2595" s="137" t="s">
        <v>3938</v>
      </c>
      <c r="F2595" s="137" t="s">
        <v>3831</v>
      </c>
      <c r="G2595" s="137"/>
      <c r="H2595" s="82" t="str">
        <f t="shared" si="164"/>
        <v>TCCN-PTE-PRL-RVD-RV2-INS-</v>
      </c>
      <c r="I2595" s="137" t="str">
        <f>MID(H2595,1,(LEN(H2595)-VLOOKUP(K2595,datos!$B$2:$C$12,2,0)))</f>
        <v>TCCN-PTE-PRL-RVD-RV2-INS</v>
      </c>
      <c r="J2595" s="137" t="s">
        <v>7369</v>
      </c>
      <c r="K2595" s="139">
        <f>VLOOKUP(LEN(SUBSTITUTE(H2595,"-","")),datos!$A$1:$B$12,2,0)</f>
        <v>6</v>
      </c>
      <c r="L2595" s="137"/>
      <c r="M2595" s="137" t="s">
        <v>0</v>
      </c>
    </row>
    <row r="2596" spans="1:13" x14ac:dyDescent="0.35">
      <c r="A2596" s="138" t="s">
        <v>487</v>
      </c>
      <c r="B2596" s="138" t="s">
        <v>3809</v>
      </c>
      <c r="C2596" s="138" t="s">
        <v>4109</v>
      </c>
      <c r="D2596" s="138" t="s">
        <v>7347</v>
      </c>
      <c r="E2596" s="138" t="s">
        <v>3938</v>
      </c>
      <c r="F2596" s="138" t="s">
        <v>3831</v>
      </c>
      <c r="G2596" s="138" t="s">
        <v>5632</v>
      </c>
      <c r="H2596" s="81" t="str">
        <f t="shared" si="164"/>
        <v>TCCN-PTE-PRL-RVD-RV2-INS-FJ1</v>
      </c>
      <c r="I2596" s="138" t="str">
        <f>MID(H2596,1,(LEN(H2596)-VLOOKUP(K2596,datos!$B$2:$C$12,2,0)))</f>
        <v>TCCN-PTE-PRL-RVD-RV2-INS-FJ1</v>
      </c>
      <c r="J2596" s="138" t="s">
        <v>7375</v>
      </c>
      <c r="K2596" s="140">
        <f>VLOOKUP(LEN(SUBSTITUTE(H2596,"-","")),datos!$A$1:$B$12,2,0)</f>
        <v>7</v>
      </c>
      <c r="L2596" s="138" t="s">
        <v>7370</v>
      </c>
      <c r="M2596" s="138" t="s">
        <v>0</v>
      </c>
    </row>
    <row r="2597" spans="1:13" x14ac:dyDescent="0.35">
      <c r="A2597" s="138" t="s">
        <v>487</v>
      </c>
      <c r="B2597" s="138" t="s">
        <v>3809</v>
      </c>
      <c r="C2597" s="138" t="s">
        <v>4109</v>
      </c>
      <c r="D2597" s="138" t="s">
        <v>7347</v>
      </c>
      <c r="E2597" s="138" t="s">
        <v>3938</v>
      </c>
      <c r="F2597" s="138" t="s">
        <v>3831</v>
      </c>
      <c r="G2597" s="138" t="s">
        <v>5633</v>
      </c>
      <c r="H2597" s="81" t="str">
        <f t="shared" si="164"/>
        <v>TCCN-PTE-PRL-RVD-RV2-INS-FJ2</v>
      </c>
      <c r="I2597" s="138" t="str">
        <f>MID(H2597,1,(LEN(H2597)-VLOOKUP(K2597,datos!$B$2:$C$12,2,0)))</f>
        <v>TCCN-PTE-PRL-RVD-RV2-INS-FJ2</v>
      </c>
      <c r="J2597" s="138" t="s">
        <v>7376</v>
      </c>
      <c r="K2597" s="140">
        <f>VLOOKUP(LEN(SUBSTITUTE(H2597,"-","")),datos!$A$1:$B$12,2,0)</f>
        <v>7</v>
      </c>
      <c r="L2597" s="138" t="s">
        <v>7373</v>
      </c>
      <c r="M2597" s="138" t="s">
        <v>0</v>
      </c>
    </row>
    <row r="2598" spans="1:13" x14ac:dyDescent="0.35">
      <c r="A2598" s="138" t="s">
        <v>487</v>
      </c>
      <c r="B2598" s="138" t="s">
        <v>3809</v>
      </c>
      <c r="C2598" s="138" t="s">
        <v>4109</v>
      </c>
      <c r="D2598" s="138" t="s">
        <v>7347</v>
      </c>
      <c r="E2598" s="138" t="s">
        <v>3938</v>
      </c>
      <c r="F2598" s="138" t="s">
        <v>3831</v>
      </c>
      <c r="G2598" s="138" t="s">
        <v>7070</v>
      </c>
      <c r="H2598" s="81" t="str">
        <f t="shared" si="164"/>
        <v>TCCN-PTE-PRL-RVD-RV2-INS-MP1</v>
      </c>
      <c r="I2598" s="138" t="str">
        <f>MID(H2598,1,(LEN(H2598)-VLOOKUP(K2598,datos!$B$2:$C$12,2,0)))</f>
        <v>TCCN-PTE-PRL-RVD-RV2-INS-MP1</v>
      </c>
      <c r="J2598" s="138" t="s">
        <v>7377</v>
      </c>
      <c r="K2598" s="140">
        <f>VLOOKUP(LEN(SUBSTITUTE(H2598,"-","")),datos!$A$1:$B$12,2,0)</f>
        <v>7</v>
      </c>
      <c r="L2598" s="138" t="s">
        <v>7374</v>
      </c>
      <c r="M2598" s="138" t="s">
        <v>0</v>
      </c>
    </row>
    <row r="2599" spans="1:13" x14ac:dyDescent="0.35">
      <c r="A2599" s="138" t="s">
        <v>487</v>
      </c>
      <c r="B2599" s="138" t="s">
        <v>3809</v>
      </c>
      <c r="C2599" s="138" t="s">
        <v>4109</v>
      </c>
      <c r="D2599" s="138" t="s">
        <v>7347</v>
      </c>
      <c r="E2599" s="138" t="s">
        <v>3938</v>
      </c>
      <c r="F2599" s="138" t="s">
        <v>3831</v>
      </c>
      <c r="G2599" s="138" t="s">
        <v>7071</v>
      </c>
      <c r="H2599" s="81" t="str">
        <f t="shared" si="164"/>
        <v>TCCN-PTE-PRL-RVD-RV2-INS-MP2</v>
      </c>
      <c r="I2599" s="138" t="str">
        <f>MID(H2599,1,(LEN(H2599)-VLOOKUP(K2599,datos!$B$2:$C$12,2,0)))</f>
        <v>TCCN-PTE-PRL-RVD-RV2-INS-MP2</v>
      </c>
      <c r="J2599" s="138" t="s">
        <v>7378</v>
      </c>
      <c r="K2599" s="140">
        <f>VLOOKUP(LEN(SUBSTITUTE(H2599,"-","")),datos!$A$1:$B$12,2,0)</f>
        <v>7</v>
      </c>
      <c r="L2599" s="138" t="s">
        <v>7371</v>
      </c>
      <c r="M2599" s="138" t="s">
        <v>0</v>
      </c>
    </row>
    <row r="2600" spans="1:13" x14ac:dyDescent="0.35">
      <c r="A2600" s="138" t="s">
        <v>487</v>
      </c>
      <c r="B2600" s="138" t="s">
        <v>3809</v>
      </c>
      <c r="C2600" s="138" t="s">
        <v>4109</v>
      </c>
      <c r="D2600" s="138" t="s">
        <v>7347</v>
      </c>
      <c r="E2600" s="138" t="s">
        <v>3938</v>
      </c>
      <c r="F2600" s="138" t="s">
        <v>3831</v>
      </c>
      <c r="G2600" s="138" t="s">
        <v>7367</v>
      </c>
      <c r="H2600" s="81" t="str">
        <f t="shared" si="164"/>
        <v>TCCN-PTE-PRL-RVD-RV2-INS-MP3</v>
      </c>
      <c r="I2600" s="138" t="str">
        <f>MID(H2600,1,(LEN(H2600)-VLOOKUP(K2600,datos!$B$2:$C$12,2,0)))</f>
        <v>TCCN-PTE-PRL-RVD-RV2-INS-MP3</v>
      </c>
      <c r="J2600" s="138" t="s">
        <v>7379</v>
      </c>
      <c r="K2600" s="140">
        <f>VLOOKUP(LEN(SUBSTITUTE(H2600,"-","")),datos!$A$1:$B$12,2,0)</f>
        <v>7</v>
      </c>
      <c r="L2600" s="138" t="s">
        <v>7372</v>
      </c>
      <c r="M2600" s="138" t="s">
        <v>0</v>
      </c>
    </row>
    <row r="2601" spans="1:13" customFormat="1" ht="14.5" x14ac:dyDescent="0.35">
      <c r="A2601" s="84" t="s">
        <v>487</v>
      </c>
      <c r="B2601" s="84" t="s">
        <v>3809</v>
      </c>
      <c r="C2601" s="84" t="s">
        <v>4109</v>
      </c>
      <c r="D2601" s="84" t="s">
        <v>5282</v>
      </c>
      <c r="E2601" s="84"/>
      <c r="F2601" s="84"/>
      <c r="G2601" s="84"/>
      <c r="H2601" s="84" t="str">
        <f t="shared" si="156"/>
        <v>TCCN-PTE-PRL-CTV---</v>
      </c>
      <c r="I2601" s="84" t="str">
        <f>MID(H2601,1,(LEN(H2601)-VLOOKUP(K2601,datos!$B$2:$C$12,2,0)))</f>
        <v>TCCN-PTE-PRL-CTV</v>
      </c>
      <c r="J2601" s="84" t="s">
        <v>4934</v>
      </c>
      <c r="K2601" s="119">
        <f>VLOOKUP(LEN(SUBSTITUTE(H2601,"-","")),datos!$A$1:$B$12,2,0)</f>
        <v>4</v>
      </c>
      <c r="L2601" s="84"/>
      <c r="M2601" s="84" t="s">
        <v>0</v>
      </c>
    </row>
    <row r="2602" spans="1:13" customFormat="1" ht="14.5" x14ac:dyDescent="0.35">
      <c r="A2602" s="129" t="s">
        <v>487</v>
      </c>
      <c r="B2602" s="129" t="s">
        <v>3809</v>
      </c>
      <c r="C2602" s="129" t="s">
        <v>4109</v>
      </c>
      <c r="D2602" s="129" t="s">
        <v>5282</v>
      </c>
      <c r="E2602" s="129" t="s">
        <v>3921</v>
      </c>
      <c r="F2602" s="129"/>
      <c r="G2602" s="129"/>
      <c r="H2602" s="83" t="str">
        <f t="shared" si="156"/>
        <v>TCCN-PTE-PRL-CTV-CT1--</v>
      </c>
      <c r="I2602" s="129" t="str">
        <f>MID(H2602,1,(LEN(H2602)-VLOOKUP(K2602,datos!$B$2:$C$12,2,0)))</f>
        <v>TCCN-PTE-PRL-CTV-CT1</v>
      </c>
      <c r="J2602" s="129" t="s">
        <v>4938</v>
      </c>
      <c r="K2602" s="130">
        <f>VLOOKUP(LEN(SUBSTITUTE(H2602,"-","")),datos!$A$1:$B$12,2,0)</f>
        <v>5</v>
      </c>
      <c r="L2602" s="129" t="s">
        <v>4940</v>
      </c>
      <c r="M2602" s="129" t="s">
        <v>0</v>
      </c>
    </row>
    <row r="2603" spans="1:13" customFormat="1" ht="14.5" x14ac:dyDescent="0.35">
      <c r="A2603" s="129" t="s">
        <v>487</v>
      </c>
      <c r="B2603" s="129" t="s">
        <v>3809</v>
      </c>
      <c r="C2603" s="129" t="s">
        <v>4109</v>
      </c>
      <c r="D2603" s="129" t="s">
        <v>5282</v>
      </c>
      <c r="E2603" s="129" t="s">
        <v>5292</v>
      </c>
      <c r="F2603" s="129"/>
      <c r="G2603" s="129"/>
      <c r="H2603" s="83" t="str">
        <f t="shared" si="156"/>
        <v>TCCN-PTE-PRL-CTV-GB1--</v>
      </c>
      <c r="I2603" s="129" t="str">
        <f>MID(H2603,1,(LEN(H2603)-VLOOKUP(K2603,datos!$B$2:$C$12,2,0)))</f>
        <v>TCCN-PTE-PRL-CTV-GB1</v>
      </c>
      <c r="J2603" s="129" t="s">
        <v>4939</v>
      </c>
      <c r="K2603" s="130">
        <f>VLOOKUP(LEN(SUBSTITUTE(H2603,"-","")),datos!$A$1:$B$12,2,0)</f>
        <v>5</v>
      </c>
      <c r="L2603" s="129" t="s">
        <v>4941</v>
      </c>
      <c r="M2603" s="129" t="s">
        <v>0</v>
      </c>
    </row>
    <row r="2604" spans="1:13" customFormat="1" ht="14.5" x14ac:dyDescent="0.35">
      <c r="A2604" s="129" t="s">
        <v>487</v>
      </c>
      <c r="B2604" s="129" t="s">
        <v>3809</v>
      </c>
      <c r="C2604" s="129" t="s">
        <v>4109</v>
      </c>
      <c r="D2604" s="129" t="s">
        <v>5282</v>
      </c>
      <c r="E2604" s="129" t="s">
        <v>3943</v>
      </c>
      <c r="F2604" s="129"/>
      <c r="G2604" s="129"/>
      <c r="H2604" s="83" t="str">
        <f t="shared" si="156"/>
        <v>TCCN-PTE-PRL-CTV-CT2--</v>
      </c>
      <c r="I2604" s="129" t="str">
        <f>MID(H2604,1,(LEN(H2604)-VLOOKUP(K2604,datos!$B$2:$C$12,2,0)))</f>
        <v>TCCN-PTE-PRL-CTV-CT2</v>
      </c>
      <c r="J2604" s="129" t="s">
        <v>4935</v>
      </c>
      <c r="K2604" s="130">
        <f>VLOOKUP(LEN(SUBSTITUTE(H2604,"-","")),datos!$A$1:$B$12,2,0)</f>
        <v>5</v>
      </c>
      <c r="L2604" s="129" t="s">
        <v>4936</v>
      </c>
      <c r="M2604" s="129" t="s">
        <v>0</v>
      </c>
    </row>
    <row r="2605" spans="1:13" customFormat="1" ht="14.5" x14ac:dyDescent="0.35">
      <c r="A2605" s="129" t="s">
        <v>487</v>
      </c>
      <c r="B2605" s="129" t="s">
        <v>3809</v>
      </c>
      <c r="C2605" s="129" t="s">
        <v>4109</v>
      </c>
      <c r="D2605" s="129" t="s">
        <v>5282</v>
      </c>
      <c r="E2605" s="129" t="s">
        <v>5293</v>
      </c>
      <c r="F2605" s="129"/>
      <c r="G2605" s="129"/>
      <c r="H2605" s="83" t="str">
        <f t="shared" si="156"/>
        <v>TCCN-PTE-PRL-CTV-GB2--</v>
      </c>
      <c r="I2605" s="129" t="str">
        <f>MID(H2605,1,(LEN(H2605)-VLOOKUP(K2605,datos!$B$2:$C$12,2,0)))</f>
        <v>TCCN-PTE-PRL-CTV-GB2</v>
      </c>
      <c r="J2605" s="129" t="s">
        <v>4942</v>
      </c>
      <c r="K2605" s="130">
        <f>VLOOKUP(LEN(SUBSTITUTE(H2605,"-","")),datos!$A$1:$B$12,2,0)</f>
        <v>5</v>
      </c>
      <c r="L2605" s="129" t="s">
        <v>4937</v>
      </c>
      <c r="M2605" s="129" t="s">
        <v>0</v>
      </c>
    </row>
    <row r="2606" spans="1:13" customFormat="1" ht="14.5" x14ac:dyDescent="0.35">
      <c r="A2606" s="129" t="s">
        <v>487</v>
      </c>
      <c r="B2606" s="129" t="s">
        <v>3809</v>
      </c>
      <c r="C2606" s="129" t="s">
        <v>4109</v>
      </c>
      <c r="D2606" s="129" t="s">
        <v>5282</v>
      </c>
      <c r="E2606" s="129" t="s">
        <v>3944</v>
      </c>
      <c r="F2606" s="129"/>
      <c r="G2606" s="129"/>
      <c r="H2606" s="83" t="str">
        <f t="shared" si="156"/>
        <v>TCCN-PTE-PRL-CTV-CT3--</v>
      </c>
      <c r="I2606" s="129" t="str">
        <f>MID(H2606,1,(LEN(H2606)-VLOOKUP(K2606,datos!$B$2:$C$12,2,0)))</f>
        <v>TCCN-PTE-PRL-CTV-CT3</v>
      </c>
      <c r="J2606" s="129" t="s">
        <v>4943</v>
      </c>
      <c r="K2606" s="130">
        <f>VLOOKUP(LEN(SUBSTITUTE(H2606,"-","")),datos!$A$1:$B$12,2,0)</f>
        <v>5</v>
      </c>
      <c r="L2606" s="129" t="s">
        <v>4944</v>
      </c>
      <c r="M2606" s="129" t="s">
        <v>0</v>
      </c>
    </row>
    <row r="2607" spans="1:13" customFormat="1" ht="14.5" x14ac:dyDescent="0.35">
      <c r="A2607" s="129" t="s">
        <v>487</v>
      </c>
      <c r="B2607" s="129" t="s">
        <v>3809</v>
      </c>
      <c r="C2607" s="129" t="s">
        <v>4109</v>
      </c>
      <c r="D2607" s="129" t="s">
        <v>5282</v>
      </c>
      <c r="E2607" s="129" t="s">
        <v>5294</v>
      </c>
      <c r="F2607" s="129"/>
      <c r="G2607" s="129"/>
      <c r="H2607" s="83" t="str">
        <f t="shared" si="156"/>
        <v>TCCN-PTE-PRL-CTV-GB3--</v>
      </c>
      <c r="I2607" s="129" t="str">
        <f>MID(H2607,1,(LEN(H2607)-VLOOKUP(K2607,datos!$B$2:$C$12,2,0)))</f>
        <v>TCCN-PTE-PRL-CTV-GB3</v>
      </c>
      <c r="J2607" s="129" t="s">
        <v>4946</v>
      </c>
      <c r="K2607" s="130">
        <f>VLOOKUP(LEN(SUBSTITUTE(H2607,"-","")),datos!$A$1:$B$12,2,0)</f>
        <v>5</v>
      </c>
      <c r="L2607" s="129" t="s">
        <v>4945</v>
      </c>
      <c r="M2607" s="129" t="s">
        <v>0</v>
      </c>
    </row>
    <row r="2608" spans="1:13" customFormat="1" ht="14.5" x14ac:dyDescent="0.35">
      <c r="A2608" s="129" t="s">
        <v>487</v>
      </c>
      <c r="B2608" s="129" t="s">
        <v>3809</v>
      </c>
      <c r="C2608" s="129" t="s">
        <v>4109</v>
      </c>
      <c r="D2608" s="129" t="s">
        <v>5282</v>
      </c>
      <c r="E2608" s="129" t="s">
        <v>3945</v>
      </c>
      <c r="F2608" s="129"/>
      <c r="G2608" s="129"/>
      <c r="H2608" s="83" t="str">
        <f t="shared" si="156"/>
        <v>TCCN-PTE-PRL-CTV-CT4--</v>
      </c>
      <c r="I2608" s="129" t="str">
        <f>MID(H2608,1,(LEN(H2608)-VLOOKUP(K2608,datos!$B$2:$C$12,2,0)))</f>
        <v>TCCN-PTE-PRL-CTV-CT4</v>
      </c>
      <c r="J2608" s="129" t="s">
        <v>4947</v>
      </c>
      <c r="K2608" s="130">
        <f>VLOOKUP(LEN(SUBSTITUTE(H2608,"-","")),datos!$A$1:$B$12,2,0)</f>
        <v>5</v>
      </c>
      <c r="L2608" s="129" t="s">
        <v>4949</v>
      </c>
      <c r="M2608" s="129" t="s">
        <v>0</v>
      </c>
    </row>
    <row r="2609" spans="1:13" customFormat="1" ht="14.5" x14ac:dyDescent="0.35">
      <c r="A2609" s="129" t="s">
        <v>487</v>
      </c>
      <c r="B2609" s="129" t="s">
        <v>3809</v>
      </c>
      <c r="C2609" s="129" t="s">
        <v>4109</v>
      </c>
      <c r="D2609" s="129" t="s">
        <v>5282</v>
      </c>
      <c r="E2609" s="129" t="s">
        <v>5295</v>
      </c>
      <c r="F2609" s="129"/>
      <c r="G2609" s="129"/>
      <c r="H2609" s="83" t="str">
        <f t="shared" si="156"/>
        <v>TCCN-PTE-PRL-CTV-GB4--</v>
      </c>
      <c r="I2609" s="129" t="str">
        <f>MID(H2609,1,(LEN(H2609)-VLOOKUP(K2609,datos!$B$2:$C$12,2,0)))</f>
        <v>TCCN-PTE-PRL-CTV-GB4</v>
      </c>
      <c r="J2609" s="129" t="s">
        <v>4948</v>
      </c>
      <c r="K2609" s="130">
        <f>VLOOKUP(LEN(SUBSTITUTE(H2609,"-","")),datos!$A$1:$B$12,2,0)</f>
        <v>5</v>
      </c>
      <c r="L2609" s="129" t="s">
        <v>4950</v>
      </c>
      <c r="M2609" s="129" t="s">
        <v>0</v>
      </c>
    </row>
    <row r="2610" spans="1:13" customFormat="1" ht="14.5" x14ac:dyDescent="0.35">
      <c r="A2610" s="129" t="s">
        <v>487</v>
      </c>
      <c r="B2610" s="129" t="s">
        <v>3809</v>
      </c>
      <c r="C2610" s="129" t="s">
        <v>4109</v>
      </c>
      <c r="D2610" s="129" t="s">
        <v>5282</v>
      </c>
      <c r="E2610" s="129" t="s">
        <v>5296</v>
      </c>
      <c r="F2610" s="129"/>
      <c r="G2610" s="129"/>
      <c r="H2610" s="83" t="str">
        <f t="shared" si="156"/>
        <v>TCCN-PTE-PRL-CTV-CT5--</v>
      </c>
      <c r="I2610" s="129" t="str">
        <f>MID(H2610,1,(LEN(H2610)-VLOOKUP(K2610,datos!$B$2:$C$12,2,0)))</f>
        <v>TCCN-PTE-PRL-CTV-CT5</v>
      </c>
      <c r="J2610" s="129" t="s">
        <v>4951</v>
      </c>
      <c r="K2610" s="130">
        <f>VLOOKUP(LEN(SUBSTITUTE(H2610,"-","")),datos!$A$1:$B$12,2,0)</f>
        <v>5</v>
      </c>
      <c r="L2610" s="129" t="s">
        <v>4952</v>
      </c>
      <c r="M2610" s="129" t="s">
        <v>0</v>
      </c>
    </row>
    <row r="2611" spans="1:13" customFormat="1" ht="14.5" x14ac:dyDescent="0.35">
      <c r="A2611" s="129" t="s">
        <v>487</v>
      </c>
      <c r="B2611" s="129" t="s">
        <v>3809</v>
      </c>
      <c r="C2611" s="129" t="s">
        <v>4109</v>
      </c>
      <c r="D2611" s="129" t="s">
        <v>5282</v>
      </c>
      <c r="E2611" s="129" t="s">
        <v>5297</v>
      </c>
      <c r="F2611" s="129"/>
      <c r="G2611" s="129"/>
      <c r="H2611" s="83" t="str">
        <f t="shared" si="156"/>
        <v>TCCN-PTE-PRL-CTV-GB5--</v>
      </c>
      <c r="I2611" s="129" t="str">
        <f>MID(H2611,1,(LEN(H2611)-VLOOKUP(K2611,datos!$B$2:$C$12,2,0)))</f>
        <v>TCCN-PTE-PRL-CTV-GB5</v>
      </c>
      <c r="J2611" s="129" t="s">
        <v>4954</v>
      </c>
      <c r="K2611" s="130">
        <f>VLOOKUP(LEN(SUBSTITUTE(H2611,"-","")),datos!$A$1:$B$12,2,0)</f>
        <v>5</v>
      </c>
      <c r="L2611" s="129" t="s">
        <v>4953</v>
      </c>
      <c r="M2611" s="129" t="s">
        <v>0</v>
      </c>
    </row>
    <row r="2612" spans="1:13" customFormat="1" ht="14.5" x14ac:dyDescent="0.35">
      <c r="A2612" s="127" t="s">
        <v>487</v>
      </c>
      <c r="B2612" s="127" t="s">
        <v>3809</v>
      </c>
      <c r="C2612" s="127" t="s">
        <v>5280</v>
      </c>
      <c r="D2612" s="127"/>
      <c r="E2612" s="127"/>
      <c r="F2612" s="127"/>
      <c r="G2612" s="127"/>
      <c r="H2612" s="86" t="str">
        <f t="shared" si="156"/>
        <v>TCCN-PTE-EDI----</v>
      </c>
      <c r="I2612" s="127" t="str">
        <f>MID(H2612,1,(LEN(H2612)-VLOOKUP(K2612,datos!$B$2:$C$12,2,0)))</f>
        <v>TCCN-PTE-EDI</v>
      </c>
      <c r="J2612" s="127" t="s">
        <v>4321</v>
      </c>
      <c r="K2612" s="128">
        <f>VLOOKUP(LEN(SUBSTITUTE(H2612,"-","")),datos!$A$1:$B$12,2,0)</f>
        <v>3</v>
      </c>
      <c r="L2612" s="127"/>
      <c r="M2612" s="127" t="s">
        <v>0</v>
      </c>
    </row>
    <row r="2613" spans="1:13" customFormat="1" ht="14.5" x14ac:dyDescent="0.35">
      <c r="A2613" s="84" t="s">
        <v>487</v>
      </c>
      <c r="B2613" s="84" t="s">
        <v>3809</v>
      </c>
      <c r="C2613" s="84" t="s">
        <v>5280</v>
      </c>
      <c r="D2613" s="84" t="s">
        <v>5602</v>
      </c>
      <c r="E2613" s="84"/>
      <c r="F2613" s="84"/>
      <c r="G2613" s="84"/>
      <c r="H2613" s="84" t="str">
        <f t="shared" si="156"/>
        <v>TCCN-PTE-EDI-EDG---</v>
      </c>
      <c r="I2613" s="84" t="str">
        <f>MID(H2613,1,(LEN(H2613)-VLOOKUP(K2613,datos!$B$2:$C$12,2,0)))</f>
        <v>TCCN-PTE-EDI-EDG</v>
      </c>
      <c r="J2613" s="84" t="s">
        <v>4344</v>
      </c>
      <c r="K2613" s="119">
        <f>VLOOKUP(LEN(SUBSTITUTE(H2613,"-","")),datos!$A$1:$B$12,2,0)</f>
        <v>4</v>
      </c>
      <c r="L2613" s="84"/>
      <c r="M2613" s="84" t="s">
        <v>0</v>
      </c>
    </row>
    <row r="2614" spans="1:13" customFormat="1" ht="14.5" x14ac:dyDescent="0.35">
      <c r="A2614" s="129" t="s">
        <v>487</v>
      </c>
      <c r="B2614" s="129" t="s">
        <v>3809</v>
      </c>
      <c r="C2614" s="129" t="s">
        <v>5280</v>
      </c>
      <c r="D2614" s="129" t="s">
        <v>5602</v>
      </c>
      <c r="E2614" s="129" t="s">
        <v>4329</v>
      </c>
      <c r="F2614" s="129"/>
      <c r="G2614" s="129"/>
      <c r="H2614" s="83" t="str">
        <f t="shared" si="156"/>
        <v>TCCN-PTE-EDI-EDG-EDF--</v>
      </c>
      <c r="I2614" s="129" t="str">
        <f>MID(H2614,1,(LEN(H2614)-VLOOKUP(K2614,datos!$B$2:$C$12,2,0)))</f>
        <v>TCCN-PTE-EDI-EDG-EDF</v>
      </c>
      <c r="J2614" s="129" t="s">
        <v>4324</v>
      </c>
      <c r="K2614" s="130">
        <f>VLOOKUP(LEN(SUBSTITUTE(H2614,"-","")),datos!$A$1:$B$12,2,0)</f>
        <v>5</v>
      </c>
      <c r="L2614" s="129"/>
      <c r="M2614" s="129" t="s">
        <v>0</v>
      </c>
    </row>
    <row r="2615" spans="1:13" x14ac:dyDescent="0.35">
      <c r="A2615" s="137" t="s">
        <v>487</v>
      </c>
      <c r="B2615" s="137" t="s">
        <v>3809</v>
      </c>
      <c r="C2615" s="137" t="s">
        <v>5280</v>
      </c>
      <c r="D2615" s="137" t="s">
        <v>5602</v>
      </c>
      <c r="E2615" s="137" t="s">
        <v>4329</v>
      </c>
      <c r="F2615" s="137" t="s">
        <v>4332</v>
      </c>
      <c r="G2615" s="137"/>
      <c r="H2615" s="82" t="str">
        <f t="shared" si="156"/>
        <v>TCCN-PTE-EDI-EDG-EDF-SDA-</v>
      </c>
      <c r="I2615" s="137" t="str">
        <f>MID(H2615,1,(LEN(H2615)-VLOOKUP(K2615,datos!$B$2:$C$12,2,0)))</f>
        <v>TCCN-PTE-EDI-EDG-EDF-SDA</v>
      </c>
      <c r="J2615" s="137" t="s">
        <v>4327</v>
      </c>
      <c r="K2615" s="139">
        <f>VLOOKUP(LEN(SUBSTITUTE(H2615,"-","")),datos!$A$1:$B$12,2,0)</f>
        <v>6</v>
      </c>
      <c r="L2615" s="137"/>
      <c r="M2615" s="137" t="s">
        <v>0</v>
      </c>
    </row>
    <row r="2616" spans="1:13" x14ac:dyDescent="0.35">
      <c r="A2616" s="137" t="s">
        <v>487</v>
      </c>
      <c r="B2616" s="137" t="s">
        <v>3809</v>
      </c>
      <c r="C2616" s="137" t="s">
        <v>5280</v>
      </c>
      <c r="D2616" s="137" t="s">
        <v>5602</v>
      </c>
      <c r="E2616" s="137" t="s">
        <v>4329</v>
      </c>
      <c r="F2616" s="137" t="s">
        <v>4333</v>
      </c>
      <c r="G2616" s="137"/>
      <c r="H2616" s="82" t="str">
        <f t="shared" si="156"/>
        <v>TCCN-PTE-EDI-EDG-EDF-SCO-</v>
      </c>
      <c r="I2616" s="137" t="str">
        <f>MID(H2616,1,(LEN(H2616)-VLOOKUP(K2616,datos!$B$2:$C$12,2,0)))</f>
        <v>TCCN-PTE-EDI-EDG-EDF-SCO</v>
      </c>
      <c r="J2616" s="137" t="s">
        <v>4328</v>
      </c>
      <c r="K2616" s="139">
        <f>VLOOKUP(LEN(SUBSTITUTE(H2616,"-","")),datos!$A$1:$B$12,2,0)</f>
        <v>6</v>
      </c>
      <c r="L2616" s="137"/>
      <c r="M2616" s="137" t="s">
        <v>0</v>
      </c>
    </row>
    <row r="2617" spans="1:13" customFormat="1" ht="14.5" x14ac:dyDescent="0.35">
      <c r="A2617" s="129" t="s">
        <v>487</v>
      </c>
      <c r="B2617" s="129" t="s">
        <v>3809</v>
      </c>
      <c r="C2617" s="129" t="s">
        <v>5280</v>
      </c>
      <c r="D2617" s="129" t="s">
        <v>5602</v>
      </c>
      <c r="E2617" s="129" t="s">
        <v>4330</v>
      </c>
      <c r="F2617" s="129"/>
      <c r="G2617" s="129"/>
      <c r="H2617" s="83" t="str">
        <f t="shared" si="156"/>
        <v>TCCN-PTE-EDI-EDG-TLL--</v>
      </c>
      <c r="I2617" s="129" t="str">
        <f>MID(H2617,1,(LEN(H2617)-VLOOKUP(K2617,datos!$B$2:$C$12,2,0)))</f>
        <v>TCCN-PTE-EDI-EDG-TLL</v>
      </c>
      <c r="J2617" s="129" t="s">
        <v>4322</v>
      </c>
      <c r="K2617" s="130">
        <f>VLOOKUP(LEN(SUBSTITUTE(H2617,"-","")),datos!$A$1:$B$12,2,0)</f>
        <v>5</v>
      </c>
      <c r="L2617" s="129"/>
      <c r="M2617" s="129" t="s">
        <v>0</v>
      </c>
    </row>
    <row r="2618" spans="1:13" customFormat="1" ht="14.5" x14ac:dyDescent="0.35">
      <c r="A2618" s="129" t="s">
        <v>487</v>
      </c>
      <c r="B2618" s="129" t="s">
        <v>3809</v>
      </c>
      <c r="C2618" s="129" t="s">
        <v>5280</v>
      </c>
      <c r="D2618" s="129" t="s">
        <v>5602</v>
      </c>
      <c r="E2618" s="129" t="s">
        <v>4325</v>
      </c>
      <c r="F2618" s="129"/>
      <c r="G2618" s="129"/>
      <c r="H2618" s="83" t="str">
        <f t="shared" si="156"/>
        <v>TCCN-PTE-EDI-EDG-BDG--</v>
      </c>
      <c r="I2618" s="129" t="str">
        <f>MID(H2618,1,(LEN(H2618)-VLOOKUP(K2618,datos!$B$2:$C$12,2,0)))</f>
        <v>TCCN-PTE-EDI-EDG-BDG</v>
      </c>
      <c r="J2618" s="129" t="s">
        <v>4323</v>
      </c>
      <c r="K2618" s="130">
        <f>VLOOKUP(LEN(SUBSTITUTE(H2618,"-","")),datos!$A$1:$B$12,2,0)</f>
        <v>5</v>
      </c>
      <c r="L2618" s="129"/>
      <c r="M2618" s="129" t="s">
        <v>0</v>
      </c>
    </row>
    <row r="2619" spans="1:13" customFormat="1" ht="14.5" x14ac:dyDescent="0.35">
      <c r="A2619" s="129" t="s">
        <v>487</v>
      </c>
      <c r="B2619" s="129" t="s">
        <v>3809</v>
      </c>
      <c r="C2619" s="129" t="s">
        <v>5280</v>
      </c>
      <c r="D2619" s="129" t="s">
        <v>5602</v>
      </c>
      <c r="E2619" s="129" t="s">
        <v>4326</v>
      </c>
      <c r="F2619" s="129"/>
      <c r="G2619" s="129"/>
      <c r="H2619" s="83" t="str">
        <f t="shared" si="156"/>
        <v>TCCN-PTE-EDI-EDG-CIE--</v>
      </c>
      <c r="I2619" s="129" t="str">
        <f>MID(H2619,1,(LEN(H2619)-VLOOKUP(K2619,datos!$B$2:$C$12,2,0)))</f>
        <v>TCCN-PTE-EDI-EDG-CIE</v>
      </c>
      <c r="J2619" s="129" t="s">
        <v>4331</v>
      </c>
      <c r="K2619" s="130">
        <f>VLOOKUP(LEN(SUBSTITUTE(H2619,"-","")),datos!$A$1:$B$12,2,0)</f>
        <v>5</v>
      </c>
      <c r="L2619" s="129"/>
      <c r="M2619" s="129" t="s">
        <v>0</v>
      </c>
    </row>
    <row r="2620" spans="1:13" customFormat="1" ht="14.5" x14ac:dyDescent="0.35">
      <c r="A2620" s="127" t="s">
        <v>487</v>
      </c>
      <c r="B2620" s="127" t="s">
        <v>3809</v>
      </c>
      <c r="C2620" s="127" t="s">
        <v>4124</v>
      </c>
      <c r="D2620" s="127"/>
      <c r="E2620" s="127"/>
      <c r="F2620" s="127"/>
      <c r="G2620" s="127"/>
      <c r="H2620" s="86" t="str">
        <f t="shared" si="156"/>
        <v>TCCN-PTE-PAF----</v>
      </c>
      <c r="I2620" s="127" t="str">
        <f>MID(H2620,1,(LEN(H2620)-VLOOKUP(K2620,datos!$B$2:$C$12,2,0)))</f>
        <v>TCCN-PTE-PAF</v>
      </c>
      <c r="J2620" s="127" t="s">
        <v>587</v>
      </c>
      <c r="K2620" s="128">
        <f>VLOOKUP(LEN(SUBSTITUTE(H2620,"-","")),datos!$A$1:$B$12,2,0)</f>
        <v>3</v>
      </c>
      <c r="L2620" s="127"/>
      <c r="M2620" s="127" t="s">
        <v>0</v>
      </c>
    </row>
    <row r="2621" spans="1:13" customFormat="1" ht="14.5" x14ac:dyDescent="0.35">
      <c r="A2621" s="84" t="s">
        <v>487</v>
      </c>
      <c r="B2621" s="84" t="s">
        <v>3809</v>
      </c>
      <c r="C2621" s="84" t="s">
        <v>4124</v>
      </c>
      <c r="D2621" s="84" t="s">
        <v>4125</v>
      </c>
      <c r="E2621" s="84"/>
      <c r="F2621" s="84"/>
      <c r="G2621" s="84"/>
      <c r="H2621" s="84" t="str">
        <f t="shared" si="156"/>
        <v>TCCN-PTE-PAF-COA---</v>
      </c>
      <c r="I2621" s="84" t="str">
        <f>MID(H2621,1,(LEN(H2621)-VLOOKUP(K2621,datos!$B$2:$C$12,2,0)))</f>
        <v>TCCN-PTE-PAF-COA</v>
      </c>
      <c r="J2621" s="84" t="s">
        <v>4253</v>
      </c>
      <c r="K2621" s="119">
        <f>VLOOKUP(LEN(SUBSTITUTE(H2621,"-","")),datos!$A$1:$B$12,2,0)</f>
        <v>4</v>
      </c>
      <c r="L2621" s="84"/>
      <c r="M2621" s="84" t="s">
        <v>0</v>
      </c>
    </row>
    <row r="2622" spans="1:13" customFormat="1" ht="14.5" x14ac:dyDescent="0.35">
      <c r="A2622" s="129" t="s">
        <v>487</v>
      </c>
      <c r="B2622" s="129" t="s">
        <v>3809</v>
      </c>
      <c r="C2622" s="129" t="s">
        <v>4124</v>
      </c>
      <c r="D2622" s="129" t="s">
        <v>4125</v>
      </c>
      <c r="E2622" s="129" t="s">
        <v>7383</v>
      </c>
      <c r="F2622" s="129"/>
      <c r="G2622" s="129"/>
      <c r="H2622" s="83" t="str">
        <f t="shared" ref="H2622:H2623" si="165">CONCATENATE(A2622,"-",B2622,"-",C2622,"-",D2622,"-",E2622,"-",F2622,"-",G2622)</f>
        <v>TCCN-PTE-PAF-COA-ACD--</v>
      </c>
      <c r="I2622" s="129" t="str">
        <f>MID(H2622,1,(LEN(H2622)-VLOOKUP(K2622,datos!$B$2:$C$12,2,0)))</f>
        <v>TCCN-PTE-PAF-COA-ACD</v>
      </c>
      <c r="J2622" s="129" t="s">
        <v>7384</v>
      </c>
      <c r="K2622" s="130">
        <f>VLOOKUP(LEN(SUBSTITUTE(H2622,"-","")),datos!$A$1:$B$12,2,0)</f>
        <v>5</v>
      </c>
      <c r="L2622" s="129"/>
      <c r="M2622" s="129" t="s">
        <v>0</v>
      </c>
    </row>
    <row r="2623" spans="1:13" x14ac:dyDescent="0.35">
      <c r="A2623" s="137" t="s">
        <v>487</v>
      </c>
      <c r="B2623" s="137" t="s">
        <v>3809</v>
      </c>
      <c r="C2623" s="137" t="s">
        <v>4124</v>
      </c>
      <c r="D2623" s="137" t="s">
        <v>4125</v>
      </c>
      <c r="E2623" s="137" t="s">
        <v>7383</v>
      </c>
      <c r="F2623" s="137" t="s">
        <v>4073</v>
      </c>
      <c r="G2623" s="137"/>
      <c r="H2623" s="82" t="str">
        <f t="shared" si="165"/>
        <v>TCCN-PTE-PAF-COA-ACD-PYV-</v>
      </c>
      <c r="I2623" s="137" t="str">
        <f>MID(H2623,1,(LEN(H2623)-VLOOKUP(K2623,datos!$B$2:$C$12,2,0)))</f>
        <v>TCCN-PTE-PAF-COA-ACD-PYV</v>
      </c>
      <c r="J2623" s="137" t="s">
        <v>7898</v>
      </c>
      <c r="K2623" s="139">
        <f>VLOOKUP(LEN(SUBSTITUTE(H2623,"-","")),datos!$A$1:$B$12,2,0)</f>
        <v>6</v>
      </c>
      <c r="L2623" s="137"/>
      <c r="M2623" s="137" t="s">
        <v>0</v>
      </c>
    </row>
    <row r="2624" spans="1:13" x14ac:dyDescent="0.35">
      <c r="A2624" s="138" t="s">
        <v>487</v>
      </c>
      <c r="B2624" s="138" t="s">
        <v>3809</v>
      </c>
      <c r="C2624" s="138" t="s">
        <v>4124</v>
      </c>
      <c r="D2624" s="138" t="s">
        <v>4125</v>
      </c>
      <c r="E2624" s="138" t="s">
        <v>7383</v>
      </c>
      <c r="F2624" s="138" t="s">
        <v>4073</v>
      </c>
      <c r="G2624" s="138" t="s">
        <v>4256</v>
      </c>
      <c r="H2624" s="118" t="str">
        <f t="shared" si="156"/>
        <v>TCCN-PTE-PAF-COA-ACD-PYV-PD1</v>
      </c>
      <c r="I2624" s="138" t="str">
        <f>MID(H2624,1,(LEN(H2624)-VLOOKUP(K2624,datos!$B$2:$C$12,2,0)))</f>
        <v>TCCN-PTE-PAF-COA-ACD-PYV-PD1</v>
      </c>
      <c r="J2624" s="138" t="s">
        <v>4263</v>
      </c>
      <c r="K2624" s="140">
        <f>VLOOKUP(LEN(SUBSTITUTE(H2624,"-","")),datos!$A$1:$B$12,2,0)</f>
        <v>7</v>
      </c>
      <c r="L2624" s="138" t="s">
        <v>4270</v>
      </c>
      <c r="M2624" s="138" t="s">
        <v>0</v>
      </c>
    </row>
    <row r="2625" spans="1:13" x14ac:dyDescent="0.35">
      <c r="A2625" s="138" t="s">
        <v>487</v>
      </c>
      <c r="B2625" s="138" t="s">
        <v>3809</v>
      </c>
      <c r="C2625" s="138" t="s">
        <v>4124</v>
      </c>
      <c r="D2625" s="138" t="s">
        <v>4125</v>
      </c>
      <c r="E2625" s="138" t="s">
        <v>7383</v>
      </c>
      <c r="F2625" s="138" t="s">
        <v>4073</v>
      </c>
      <c r="G2625" s="138" t="s">
        <v>4257</v>
      </c>
      <c r="H2625" s="118" t="str">
        <f t="shared" si="156"/>
        <v>TCCN-PTE-PAF-COA-ACD-PYV-PD2</v>
      </c>
      <c r="I2625" s="138" t="str">
        <f>MID(H2625,1,(LEN(H2625)-VLOOKUP(K2625,datos!$B$2:$C$12,2,0)))</f>
        <v>TCCN-PTE-PAF-COA-ACD-PYV-PD2</v>
      </c>
      <c r="J2625" s="138" t="s">
        <v>4264</v>
      </c>
      <c r="K2625" s="140">
        <f>VLOOKUP(LEN(SUBSTITUTE(H2625,"-","")),datos!$A$1:$B$12,2,0)</f>
        <v>7</v>
      </c>
      <c r="L2625" s="138" t="s">
        <v>4271</v>
      </c>
      <c r="M2625" s="138" t="s">
        <v>0</v>
      </c>
    </row>
    <row r="2626" spans="1:13" x14ac:dyDescent="0.35">
      <c r="A2626" s="138" t="s">
        <v>487</v>
      </c>
      <c r="B2626" s="138" t="s">
        <v>3809</v>
      </c>
      <c r="C2626" s="138" t="s">
        <v>4124</v>
      </c>
      <c r="D2626" s="138" t="s">
        <v>4125</v>
      </c>
      <c r="E2626" s="138" t="s">
        <v>7383</v>
      </c>
      <c r="F2626" s="138" t="s">
        <v>4073</v>
      </c>
      <c r="G2626" s="138" t="s">
        <v>4258</v>
      </c>
      <c r="H2626" s="118" t="str">
        <f t="shared" si="156"/>
        <v>TCCN-PTE-PAF-COA-ACD-PYV-PD3</v>
      </c>
      <c r="I2626" s="138" t="str">
        <f>MID(H2626,1,(LEN(H2626)-VLOOKUP(K2626,datos!$B$2:$C$12,2,0)))</f>
        <v>TCCN-PTE-PAF-COA-ACD-PYV-PD3</v>
      </c>
      <c r="J2626" s="138" t="s">
        <v>4265</v>
      </c>
      <c r="K2626" s="140">
        <f>VLOOKUP(LEN(SUBSTITUTE(H2626,"-","")),datos!$A$1:$B$12,2,0)</f>
        <v>7</v>
      </c>
      <c r="L2626" s="138" t="s">
        <v>4272</v>
      </c>
      <c r="M2626" s="138" t="s">
        <v>0</v>
      </c>
    </row>
    <row r="2627" spans="1:13" x14ac:dyDescent="0.35">
      <c r="A2627" s="138" t="s">
        <v>487</v>
      </c>
      <c r="B2627" s="138" t="s">
        <v>3809</v>
      </c>
      <c r="C2627" s="138" t="s">
        <v>4124</v>
      </c>
      <c r="D2627" s="138" t="s">
        <v>4125</v>
      </c>
      <c r="E2627" s="138" t="s">
        <v>7383</v>
      </c>
      <c r="F2627" s="138" t="s">
        <v>4073</v>
      </c>
      <c r="G2627" s="138" t="s">
        <v>4259</v>
      </c>
      <c r="H2627" s="118" t="str">
        <f t="shared" si="156"/>
        <v>TCCN-PTE-PAF-COA-ACD-PYV-PD4</v>
      </c>
      <c r="I2627" s="138" t="str">
        <f>MID(H2627,1,(LEN(H2627)-VLOOKUP(K2627,datos!$B$2:$C$12,2,0)))</f>
        <v>TCCN-PTE-PAF-COA-ACD-PYV-PD4</v>
      </c>
      <c r="J2627" s="138" t="s">
        <v>4266</v>
      </c>
      <c r="K2627" s="140">
        <f>VLOOKUP(LEN(SUBSTITUTE(H2627,"-","")),datos!$A$1:$B$12,2,0)</f>
        <v>7</v>
      </c>
      <c r="L2627" s="138" t="s">
        <v>4273</v>
      </c>
      <c r="M2627" s="138" t="s">
        <v>0</v>
      </c>
    </row>
    <row r="2628" spans="1:13" x14ac:dyDescent="0.35">
      <c r="A2628" s="138" t="s">
        <v>487</v>
      </c>
      <c r="B2628" s="138" t="s">
        <v>3809</v>
      </c>
      <c r="C2628" s="138" t="s">
        <v>4124</v>
      </c>
      <c r="D2628" s="138" t="s">
        <v>4125</v>
      </c>
      <c r="E2628" s="138" t="s">
        <v>7383</v>
      </c>
      <c r="F2628" s="138" t="s">
        <v>4073</v>
      </c>
      <c r="G2628" s="138" t="s">
        <v>4260</v>
      </c>
      <c r="H2628" s="118" t="str">
        <f t="shared" si="156"/>
        <v>TCCN-PTE-PAF-COA-ACD-PYV-PD5</v>
      </c>
      <c r="I2628" s="138" t="str">
        <f>MID(H2628,1,(LEN(H2628)-VLOOKUP(K2628,datos!$B$2:$C$12,2,0)))</f>
        <v>TCCN-PTE-PAF-COA-ACD-PYV-PD5</v>
      </c>
      <c r="J2628" s="138" t="s">
        <v>4267</v>
      </c>
      <c r="K2628" s="140">
        <f>VLOOKUP(LEN(SUBSTITUTE(H2628,"-","")),datos!$A$1:$B$12,2,0)</f>
        <v>7</v>
      </c>
      <c r="L2628" s="138" t="s">
        <v>4274</v>
      </c>
      <c r="M2628" s="138" t="s">
        <v>0</v>
      </c>
    </row>
    <row r="2629" spans="1:13" x14ac:dyDescent="0.35">
      <c r="A2629" s="138" t="s">
        <v>487</v>
      </c>
      <c r="B2629" s="138" t="s">
        <v>3809</v>
      </c>
      <c r="C2629" s="138" t="s">
        <v>4124</v>
      </c>
      <c r="D2629" s="138" t="s">
        <v>4125</v>
      </c>
      <c r="E2629" s="138" t="s">
        <v>7383</v>
      </c>
      <c r="F2629" s="138" t="s">
        <v>4073</v>
      </c>
      <c r="G2629" s="138" t="s">
        <v>4261</v>
      </c>
      <c r="H2629" s="118" t="str">
        <f t="shared" si="156"/>
        <v>TCCN-PTE-PAF-COA-ACD-PYV-PD6</v>
      </c>
      <c r="I2629" s="138" t="str">
        <f>MID(H2629,1,(LEN(H2629)-VLOOKUP(K2629,datos!$B$2:$C$12,2,0)))</f>
        <v>TCCN-PTE-PAF-COA-ACD-PYV-PD6</v>
      </c>
      <c r="J2629" s="138" t="s">
        <v>4268</v>
      </c>
      <c r="K2629" s="140">
        <f>VLOOKUP(LEN(SUBSTITUTE(H2629,"-","")),datos!$A$1:$B$12,2,0)</f>
        <v>7</v>
      </c>
      <c r="L2629" s="138" t="s">
        <v>4275</v>
      </c>
      <c r="M2629" s="138" t="s">
        <v>0</v>
      </c>
    </row>
    <row r="2630" spans="1:13" x14ac:dyDescent="0.35">
      <c r="A2630" s="138" t="s">
        <v>487</v>
      </c>
      <c r="B2630" s="138" t="s">
        <v>3809</v>
      </c>
      <c r="C2630" s="138" t="s">
        <v>4124</v>
      </c>
      <c r="D2630" s="138" t="s">
        <v>4125</v>
      </c>
      <c r="E2630" s="138" t="s">
        <v>7383</v>
      </c>
      <c r="F2630" s="138" t="s">
        <v>4073</v>
      </c>
      <c r="G2630" s="138" t="s">
        <v>4262</v>
      </c>
      <c r="H2630" s="118" t="str">
        <f t="shared" si="156"/>
        <v>TCCN-PTE-PAF-COA-ACD-PYV-PD7</v>
      </c>
      <c r="I2630" s="138" t="str">
        <f>MID(H2630,1,(LEN(H2630)-VLOOKUP(K2630,datos!$B$2:$C$12,2,0)))</f>
        <v>TCCN-PTE-PAF-COA-ACD-PYV-PD7</v>
      </c>
      <c r="J2630" s="138" t="s">
        <v>4269</v>
      </c>
      <c r="K2630" s="140">
        <f>VLOOKUP(LEN(SUBSTITUTE(H2630,"-","")),datos!$A$1:$B$12,2,0)</f>
        <v>7</v>
      </c>
      <c r="L2630" s="138" t="s">
        <v>4276</v>
      </c>
      <c r="M2630" s="138" t="s">
        <v>0</v>
      </c>
    </row>
    <row r="2631" spans="1:13" x14ac:dyDescent="0.35">
      <c r="A2631" s="137" t="s">
        <v>487</v>
      </c>
      <c r="B2631" s="137" t="s">
        <v>3809</v>
      </c>
      <c r="C2631" s="137" t="s">
        <v>4124</v>
      </c>
      <c r="D2631" s="137" t="s">
        <v>4125</v>
      </c>
      <c r="E2631" s="137" t="s">
        <v>7383</v>
      </c>
      <c r="F2631" s="137" t="s">
        <v>3831</v>
      </c>
      <c r="G2631" s="137"/>
      <c r="H2631" s="82" t="str">
        <f t="shared" si="156"/>
        <v>TCCN-PTE-PAF-COA-ACD-INS-</v>
      </c>
      <c r="I2631" s="137" t="str">
        <f>MID(H2631,1,(LEN(H2631)-VLOOKUP(K2631,datos!$B$2:$C$12,2,0)))</f>
        <v>TCCN-PTE-PAF-COA-ACD-INS</v>
      </c>
      <c r="J2631" s="137" t="s">
        <v>7898</v>
      </c>
      <c r="K2631" s="139">
        <f>VLOOKUP(LEN(SUBSTITUTE(H2631,"-","")),datos!$A$1:$B$12,2,0)</f>
        <v>6</v>
      </c>
      <c r="L2631" s="137"/>
      <c r="M2631" s="137" t="s">
        <v>0</v>
      </c>
    </row>
    <row r="2632" spans="1:13" x14ac:dyDescent="0.35">
      <c r="A2632" s="138" t="s">
        <v>487</v>
      </c>
      <c r="B2632" s="138" t="s">
        <v>3809</v>
      </c>
      <c r="C2632" s="138" t="s">
        <v>4124</v>
      </c>
      <c r="D2632" s="138" t="s">
        <v>4125</v>
      </c>
      <c r="E2632" s="138" t="s">
        <v>7383</v>
      </c>
      <c r="F2632" s="138" t="s">
        <v>3831</v>
      </c>
      <c r="G2632" s="138" t="s">
        <v>4002</v>
      </c>
      <c r="H2632" s="118" t="str">
        <f t="shared" si="156"/>
        <v>TCCN-PTE-PAF-COA-ACD-INS-FJM</v>
      </c>
      <c r="I2632" s="138" t="str">
        <f>MID(H2632,1,(LEN(H2632)-VLOOKUP(K2632,datos!$B$2:$C$12,2,0)))</f>
        <v>TCCN-PTE-PAF-COA-ACD-INS-FJM</v>
      </c>
      <c r="J2632" s="138" t="s">
        <v>7389</v>
      </c>
      <c r="K2632" s="140">
        <f>VLOOKUP(LEN(SUBSTITUTE(H2632,"-","")),datos!$A$1:$B$12,2,0)</f>
        <v>7</v>
      </c>
      <c r="L2632" s="138" t="s">
        <v>8131</v>
      </c>
      <c r="M2632" s="138" t="s">
        <v>0</v>
      </c>
    </row>
    <row r="2633" spans="1:13" x14ac:dyDescent="0.35">
      <c r="A2633" s="138" t="s">
        <v>487</v>
      </c>
      <c r="B2633" s="138" t="s">
        <v>3809</v>
      </c>
      <c r="C2633" s="138" t="s">
        <v>4124</v>
      </c>
      <c r="D2633" s="138" t="s">
        <v>4125</v>
      </c>
      <c r="E2633" s="138" t="s">
        <v>7383</v>
      </c>
      <c r="F2633" s="138" t="s">
        <v>3831</v>
      </c>
      <c r="G2633" s="138" t="s">
        <v>3986</v>
      </c>
      <c r="H2633" s="118" t="str">
        <f t="shared" ref="H2633" si="166">CONCATENATE(A2633,"-",B2633,"-",C2633,"-",D2633,"-",E2633,"-",F2633,"-",G2633)</f>
        <v>TCCN-PTE-PAF-COA-ACD-INS-VV1</v>
      </c>
      <c r="I2633" s="138" t="str">
        <f>MID(H2633,1,(LEN(H2633)-VLOOKUP(K2633,datos!$B$2:$C$12,2,0)))</f>
        <v>TCCN-PTE-PAF-COA-ACD-INS-VV1</v>
      </c>
      <c r="J2633" s="138" t="s">
        <v>7388</v>
      </c>
      <c r="K2633" s="140">
        <f>VLOOKUP(LEN(SUBSTITUTE(H2633,"-","")),datos!$A$1:$B$12,2,0)</f>
        <v>7</v>
      </c>
      <c r="L2633" s="138" t="s">
        <v>7387</v>
      </c>
      <c r="M2633" s="138" t="s">
        <v>0</v>
      </c>
    </row>
    <row r="2634" spans="1:13" x14ac:dyDescent="0.35">
      <c r="A2634" s="138" t="s">
        <v>487</v>
      </c>
      <c r="B2634" s="138" t="s">
        <v>3809</v>
      </c>
      <c r="C2634" s="138" t="s">
        <v>4124</v>
      </c>
      <c r="D2634" s="138" t="s">
        <v>4125</v>
      </c>
      <c r="E2634" s="138" t="s">
        <v>7383</v>
      </c>
      <c r="F2634" s="138" t="s">
        <v>3831</v>
      </c>
      <c r="G2634" s="138" t="s">
        <v>3987</v>
      </c>
      <c r="H2634" s="118" t="str">
        <f t="shared" ref="H2634" si="167">CONCATENATE(A2634,"-",B2634,"-",C2634,"-",D2634,"-",E2634,"-",F2634,"-",G2634)</f>
        <v>TCCN-PTE-PAF-COA-ACD-INS-VV2</v>
      </c>
      <c r="I2634" s="138" t="str">
        <f>MID(H2634,1,(LEN(H2634)-VLOOKUP(K2634,datos!$B$2:$C$12,2,0)))</f>
        <v>TCCN-PTE-PAF-COA-ACD-INS-VV2</v>
      </c>
      <c r="J2634" s="138" t="s">
        <v>7386</v>
      </c>
      <c r="K2634" s="140">
        <f>VLOOKUP(LEN(SUBSTITUTE(H2634,"-","")),datos!$A$1:$B$12,2,0)</f>
        <v>7</v>
      </c>
      <c r="L2634" s="138" t="s">
        <v>7385</v>
      </c>
      <c r="M2634" s="138" t="s">
        <v>0</v>
      </c>
    </row>
    <row r="2635" spans="1:13" customFormat="1" ht="14.5" x14ac:dyDescent="0.35">
      <c r="A2635" s="84" t="s">
        <v>487</v>
      </c>
      <c r="B2635" s="84" t="s">
        <v>3809</v>
      </c>
      <c r="C2635" s="84" t="s">
        <v>4124</v>
      </c>
      <c r="D2635" s="84" t="s">
        <v>4126</v>
      </c>
      <c r="E2635" s="84"/>
      <c r="F2635" s="84"/>
      <c r="G2635" s="84"/>
      <c r="H2635" s="84" t="str">
        <f t="shared" si="156"/>
        <v>TCCN-PTE-PAF-AL1---</v>
      </c>
      <c r="I2635" s="84" t="str">
        <f>MID(H2635,1,(LEN(H2635)-VLOOKUP(K2635,datos!$B$2:$C$12,2,0)))</f>
        <v>TCCN-PTE-PAF-AL1</v>
      </c>
      <c r="J2635" s="84" t="s">
        <v>4477</v>
      </c>
      <c r="K2635" s="119">
        <f>VLOOKUP(LEN(SUBSTITUTE(H2635,"-","")),datos!$A$1:$B$12,2,0)</f>
        <v>4</v>
      </c>
      <c r="L2635" s="84"/>
      <c r="M2635" s="84" t="s">
        <v>0</v>
      </c>
    </row>
    <row r="2636" spans="1:13" customFormat="1" ht="14.5" x14ac:dyDescent="0.35">
      <c r="A2636" s="129" t="s">
        <v>487</v>
      </c>
      <c r="B2636" s="129" t="s">
        <v>3809</v>
      </c>
      <c r="C2636" s="129" t="s">
        <v>4124</v>
      </c>
      <c r="D2636" s="129" t="s">
        <v>4126</v>
      </c>
      <c r="E2636" s="129" t="s">
        <v>1694</v>
      </c>
      <c r="F2636" s="129"/>
      <c r="G2636" s="129"/>
      <c r="H2636" s="83" t="str">
        <f t="shared" ref="H2636" si="168">CONCATENATE(A2636,"-",B2636,"-",C2636,"-",D2636,"-",E2636,"-",F2636,"-",G2636)</f>
        <v>TCCN-PTE-PAF-AL1-PLC--</v>
      </c>
      <c r="I2636" s="129" t="str">
        <f>MID(H2636,1,(LEN(H2636)-VLOOKUP(K2636,datos!$B$2:$C$12,2,0)))</f>
        <v>TCCN-PTE-PAF-AL1-PLC</v>
      </c>
      <c r="J2636" s="129" t="s">
        <v>7871</v>
      </c>
      <c r="K2636" s="130">
        <f>VLOOKUP(LEN(SUBSTITUTE(H2636,"-","")),datos!$A$1:$B$12,2,0)</f>
        <v>5</v>
      </c>
      <c r="L2636" s="129" t="s">
        <v>7872</v>
      </c>
      <c r="M2636" s="129" t="s">
        <v>0</v>
      </c>
    </row>
    <row r="2637" spans="1:13" customFormat="1" ht="14.5" x14ac:dyDescent="0.35">
      <c r="A2637" s="129" t="s">
        <v>487</v>
      </c>
      <c r="B2637" s="129" t="s">
        <v>3809</v>
      </c>
      <c r="C2637" s="129" t="s">
        <v>4124</v>
      </c>
      <c r="D2637" s="129" t="s">
        <v>4126</v>
      </c>
      <c r="E2637" s="129" t="s">
        <v>4051</v>
      </c>
      <c r="F2637" s="129"/>
      <c r="G2637" s="129"/>
      <c r="H2637" s="83" t="str">
        <f t="shared" si="156"/>
        <v>TCCN-PTE-PAF-AL1-ES1--</v>
      </c>
      <c r="I2637" s="129" t="str">
        <f>MID(H2637,1,(LEN(H2637)-VLOOKUP(K2637,datos!$B$2:$C$12,2,0)))</f>
        <v>TCCN-PTE-PAF-AL1-ES1</v>
      </c>
      <c r="J2637" s="129" t="s">
        <v>4559</v>
      </c>
      <c r="K2637" s="130">
        <f>VLOOKUP(LEN(SUBSTITUTE(H2637,"-","")),datos!$A$1:$B$12,2,0)</f>
        <v>5</v>
      </c>
      <c r="L2637" s="129" t="s">
        <v>4277</v>
      </c>
      <c r="M2637" s="129" t="s">
        <v>0</v>
      </c>
    </row>
    <row r="2638" spans="1:13" x14ac:dyDescent="0.35">
      <c r="A2638" s="137" t="s">
        <v>487</v>
      </c>
      <c r="B2638" s="137" t="s">
        <v>3809</v>
      </c>
      <c r="C2638" s="137" t="s">
        <v>4124</v>
      </c>
      <c r="D2638" s="137" t="s">
        <v>4126</v>
      </c>
      <c r="E2638" s="137" t="s">
        <v>4051</v>
      </c>
      <c r="F2638" s="137" t="s">
        <v>5253</v>
      </c>
      <c r="G2638" s="137"/>
      <c r="H2638" s="82" t="str">
        <f t="shared" si="156"/>
        <v>TCCN-PTE-PAF-AL1-ES1-CYV-</v>
      </c>
      <c r="I2638" s="137" t="str">
        <f>MID(H2638,1,(LEN(H2638)-VLOOKUP(K2638,datos!$B$2:$C$12,2,0)))</f>
        <v>TCCN-PTE-PAF-AL1-ES1-CYV</v>
      </c>
      <c r="J2638" s="137" t="s">
        <v>6595</v>
      </c>
      <c r="K2638" s="139">
        <f>VLOOKUP(LEN(SUBSTITUTE(H2638,"-","")),datos!$A$1:$B$12,2,0)</f>
        <v>6</v>
      </c>
      <c r="L2638" s="137"/>
      <c r="M2638" s="137" t="s">
        <v>0</v>
      </c>
    </row>
    <row r="2639" spans="1:13" x14ac:dyDescent="0.35">
      <c r="A2639" s="138" t="s">
        <v>487</v>
      </c>
      <c r="B2639" s="138" t="s">
        <v>3809</v>
      </c>
      <c r="C2639" s="138" t="s">
        <v>4124</v>
      </c>
      <c r="D2639" s="138" t="s">
        <v>4126</v>
      </c>
      <c r="E2639" s="138" t="s">
        <v>4051</v>
      </c>
      <c r="F2639" s="138" t="s">
        <v>5253</v>
      </c>
      <c r="G2639" s="138" t="s">
        <v>3986</v>
      </c>
      <c r="H2639" s="118" t="str">
        <f t="shared" si="156"/>
        <v>TCCN-PTE-PAF-AL1-ES1-CYV-VV1</v>
      </c>
      <c r="I2639" s="138" t="str">
        <f>MID(H2639,1,(LEN(H2639)-VLOOKUP(K2639,datos!$B$2:$C$12,2,0)))</f>
        <v>TCCN-PTE-PAF-AL1-ES1-CYV-VV1</v>
      </c>
      <c r="J2639" s="138" t="s">
        <v>7993</v>
      </c>
      <c r="K2639" s="140">
        <f>VLOOKUP(LEN(SUBSTITUTE(H2639,"-","")),datos!$A$1:$B$12,2,0)</f>
        <v>7</v>
      </c>
      <c r="L2639" s="138"/>
      <c r="M2639" s="138" t="s">
        <v>0</v>
      </c>
    </row>
    <row r="2640" spans="1:13" x14ac:dyDescent="0.35">
      <c r="A2640" s="138" t="s">
        <v>487</v>
      </c>
      <c r="B2640" s="138" t="s">
        <v>3809</v>
      </c>
      <c r="C2640" s="138" t="s">
        <v>4124</v>
      </c>
      <c r="D2640" s="138" t="s">
        <v>4126</v>
      </c>
      <c r="E2640" s="138" t="s">
        <v>4051</v>
      </c>
      <c r="F2640" s="138" t="s">
        <v>5253</v>
      </c>
      <c r="G2640" s="138" t="s">
        <v>3987</v>
      </c>
      <c r="H2640" s="81" t="str">
        <f t="shared" si="156"/>
        <v>TCCN-PTE-PAF-AL1-ES1-CYV-VV2</v>
      </c>
      <c r="I2640" s="138" t="str">
        <f>MID(H2640,1,(LEN(H2640)-VLOOKUP(K2640,datos!$B$2:$C$12,2,0)))</f>
        <v>TCCN-PTE-PAF-AL1-ES1-CYV-VV2</v>
      </c>
      <c r="J2640" s="138" t="s">
        <v>7994</v>
      </c>
      <c r="K2640" s="140">
        <f>VLOOKUP(LEN(SUBSTITUTE(H2640,"-","")),datos!$A$1:$B$12,2,0)</f>
        <v>7</v>
      </c>
      <c r="L2640" s="138"/>
      <c r="M2640" s="138" t="s">
        <v>0</v>
      </c>
    </row>
    <row r="2641" spans="1:13" x14ac:dyDescent="0.35">
      <c r="A2641" s="137" t="s">
        <v>487</v>
      </c>
      <c r="B2641" s="137" t="s">
        <v>3809</v>
      </c>
      <c r="C2641" s="137" t="s">
        <v>4124</v>
      </c>
      <c r="D2641" s="137" t="s">
        <v>4126</v>
      </c>
      <c r="E2641" s="137" t="s">
        <v>4051</v>
      </c>
      <c r="F2641" s="137" t="s">
        <v>3831</v>
      </c>
      <c r="G2641" s="137"/>
      <c r="H2641" s="82" t="str">
        <f t="shared" si="156"/>
        <v>TCCN-PTE-PAF-AL1-ES1-INS-</v>
      </c>
      <c r="I2641" s="137" t="str">
        <f>MID(H2641,1,(LEN(H2641)-VLOOKUP(K2641,datos!$B$2:$C$12,2,0)))</f>
        <v>TCCN-PTE-PAF-AL1-ES1-INS</v>
      </c>
      <c r="J2641" s="137" t="s">
        <v>6707</v>
      </c>
      <c r="K2641" s="139">
        <f>VLOOKUP(LEN(SUBSTITUTE(H2641,"-","")),datos!$A$1:$B$12,2,0)</f>
        <v>6</v>
      </c>
      <c r="L2641" s="137"/>
      <c r="M2641" s="137" t="s">
        <v>0</v>
      </c>
    </row>
    <row r="2642" spans="1:13" x14ac:dyDescent="0.35">
      <c r="A2642" s="138" t="s">
        <v>487</v>
      </c>
      <c r="B2642" s="138" t="s">
        <v>3809</v>
      </c>
      <c r="C2642" s="138" t="s">
        <v>4124</v>
      </c>
      <c r="D2642" s="138" t="s">
        <v>4126</v>
      </c>
      <c r="E2642" s="138" t="s">
        <v>4051</v>
      </c>
      <c r="F2642" s="138" t="s">
        <v>3831</v>
      </c>
      <c r="G2642" s="138" t="s">
        <v>5256</v>
      </c>
      <c r="H2642" s="81" t="str">
        <f t="shared" si="156"/>
        <v>TCCN-PTE-PAF-AL1-ES1-INS-MNV</v>
      </c>
      <c r="I2642" s="138" t="str">
        <f>MID(H2642,1,(LEN(H2642)-VLOOKUP(K2642,datos!$B$2:$C$12,2,0)))</f>
        <v>TCCN-PTE-PAF-AL1-ES1-INS-MNV</v>
      </c>
      <c r="J2642" s="138" t="s">
        <v>7618</v>
      </c>
      <c r="K2642" s="140">
        <f>VLOOKUP(LEN(SUBSTITUTE(H2642,"-","")),datos!$A$1:$B$12,2,0)</f>
        <v>7</v>
      </c>
      <c r="L2642" s="138" t="s">
        <v>5257</v>
      </c>
      <c r="M2642" s="138" t="s">
        <v>0</v>
      </c>
    </row>
    <row r="2643" spans="1:13" customFormat="1" ht="14.5" x14ac:dyDescent="0.35">
      <c r="A2643" s="129" t="s">
        <v>487</v>
      </c>
      <c r="B2643" s="129" t="s">
        <v>3809</v>
      </c>
      <c r="C2643" s="129" t="s">
        <v>4124</v>
      </c>
      <c r="D2643" s="129" t="s">
        <v>4126</v>
      </c>
      <c r="E2643" s="129" t="s">
        <v>4079</v>
      </c>
      <c r="F2643" s="129"/>
      <c r="G2643" s="129"/>
      <c r="H2643" s="83" t="str">
        <f t="shared" si="156"/>
        <v>TCCN-PTE-PAF-AL1-ES2--</v>
      </c>
      <c r="I2643" s="129" t="str">
        <f>MID(H2643,1,(LEN(H2643)-VLOOKUP(K2643,datos!$B$2:$C$12,2,0)))</f>
        <v>TCCN-PTE-PAF-AL1-ES2</v>
      </c>
      <c r="J2643" s="129" t="s">
        <v>4560</v>
      </c>
      <c r="K2643" s="130">
        <f>VLOOKUP(LEN(SUBSTITUTE(H2643,"-","")),datos!$A$1:$B$12,2,0)</f>
        <v>5</v>
      </c>
      <c r="L2643" s="129" t="s">
        <v>4278</v>
      </c>
      <c r="M2643" s="129" t="s">
        <v>0</v>
      </c>
    </row>
    <row r="2644" spans="1:13" x14ac:dyDescent="0.35">
      <c r="A2644" s="137" t="s">
        <v>487</v>
      </c>
      <c r="B2644" s="137" t="s">
        <v>3809</v>
      </c>
      <c r="C2644" s="137" t="s">
        <v>4124</v>
      </c>
      <c r="D2644" s="137" t="s">
        <v>4126</v>
      </c>
      <c r="E2644" s="137" t="s">
        <v>4079</v>
      </c>
      <c r="F2644" s="137" t="s">
        <v>5253</v>
      </c>
      <c r="G2644" s="137"/>
      <c r="H2644" s="82" t="str">
        <f t="shared" si="156"/>
        <v>TCCN-PTE-PAF-AL1-ES2-CYV-</v>
      </c>
      <c r="I2644" s="137" t="str">
        <f>MID(H2644,1,(LEN(H2644)-VLOOKUP(K2644,datos!$B$2:$C$12,2,0)))</f>
        <v>TCCN-PTE-PAF-AL1-ES2-CYV</v>
      </c>
      <c r="J2644" s="137" t="s">
        <v>6596</v>
      </c>
      <c r="K2644" s="139">
        <f>VLOOKUP(LEN(SUBSTITUTE(H2644,"-","")),datos!$A$1:$B$12,2,0)</f>
        <v>6</v>
      </c>
      <c r="L2644" s="137"/>
      <c r="M2644" s="137" t="s">
        <v>0</v>
      </c>
    </row>
    <row r="2645" spans="1:13" x14ac:dyDescent="0.35">
      <c r="A2645" s="138" t="s">
        <v>487</v>
      </c>
      <c r="B2645" s="138" t="s">
        <v>3809</v>
      </c>
      <c r="C2645" s="138" t="s">
        <v>4124</v>
      </c>
      <c r="D2645" s="138" t="s">
        <v>4126</v>
      </c>
      <c r="E2645" s="138" t="s">
        <v>4079</v>
      </c>
      <c r="F2645" s="138" t="s">
        <v>5253</v>
      </c>
      <c r="G2645" s="138" t="s">
        <v>3986</v>
      </c>
      <c r="H2645" s="118" t="str">
        <f t="shared" si="156"/>
        <v>TCCN-PTE-PAF-AL1-ES2-CYV-VV1</v>
      </c>
      <c r="I2645" s="138" t="str">
        <f>MID(H2645,1,(LEN(H2645)-VLOOKUP(K2645,datos!$B$2:$C$12,2,0)))</f>
        <v>TCCN-PTE-PAF-AL1-ES2-CYV-VV1</v>
      </c>
      <c r="J2645" s="138" t="s">
        <v>7995</v>
      </c>
      <c r="K2645" s="140">
        <f>VLOOKUP(LEN(SUBSTITUTE(H2645,"-","")),datos!$A$1:$B$12,2,0)</f>
        <v>7</v>
      </c>
      <c r="L2645" s="138"/>
      <c r="M2645" s="138" t="s">
        <v>0</v>
      </c>
    </row>
    <row r="2646" spans="1:13" x14ac:dyDescent="0.35">
      <c r="A2646" s="138" t="s">
        <v>487</v>
      </c>
      <c r="B2646" s="138" t="s">
        <v>3809</v>
      </c>
      <c r="C2646" s="138" t="s">
        <v>4124</v>
      </c>
      <c r="D2646" s="138" t="s">
        <v>4126</v>
      </c>
      <c r="E2646" s="138" t="s">
        <v>4079</v>
      </c>
      <c r="F2646" s="138" t="s">
        <v>5253</v>
      </c>
      <c r="G2646" s="138" t="s">
        <v>3987</v>
      </c>
      <c r="H2646" s="81" t="str">
        <f t="shared" si="156"/>
        <v>TCCN-PTE-PAF-AL1-ES2-CYV-VV2</v>
      </c>
      <c r="I2646" s="138" t="str">
        <f>MID(H2646,1,(LEN(H2646)-VLOOKUP(K2646,datos!$B$2:$C$12,2,0)))</f>
        <v>TCCN-PTE-PAF-AL1-ES2-CYV-VV2</v>
      </c>
      <c r="J2646" s="138" t="s">
        <v>7996</v>
      </c>
      <c r="K2646" s="140">
        <f>VLOOKUP(LEN(SUBSTITUTE(H2646,"-","")),datos!$A$1:$B$12,2,0)</f>
        <v>7</v>
      </c>
      <c r="L2646" s="138"/>
      <c r="M2646" s="138" t="s">
        <v>0</v>
      </c>
    </row>
    <row r="2647" spans="1:13" x14ac:dyDescent="0.35">
      <c r="A2647" s="137" t="s">
        <v>487</v>
      </c>
      <c r="B2647" s="137" t="s">
        <v>3809</v>
      </c>
      <c r="C2647" s="137" t="s">
        <v>4136</v>
      </c>
      <c r="D2647" s="137" t="s">
        <v>4126</v>
      </c>
      <c r="E2647" s="137" t="s">
        <v>4079</v>
      </c>
      <c r="F2647" s="137" t="s">
        <v>3831</v>
      </c>
      <c r="G2647" s="137"/>
      <c r="H2647" s="82" t="str">
        <f t="shared" si="156"/>
        <v>TCCN-PTE-SUE-AL1-ES2-INS-</v>
      </c>
      <c r="I2647" s="137" t="str">
        <f>MID(H2647,1,(LEN(H2647)-VLOOKUP(K2647,datos!$B$2:$C$12,2,0)))</f>
        <v>TCCN-PTE-SUE-AL1-ES2-INS</v>
      </c>
      <c r="J2647" s="137" t="s">
        <v>6705</v>
      </c>
      <c r="K2647" s="139">
        <f>VLOOKUP(LEN(SUBSTITUTE(H2647,"-","")),datos!$A$1:$B$12,2,0)</f>
        <v>6</v>
      </c>
      <c r="L2647" s="137"/>
      <c r="M2647" s="137" t="s">
        <v>0</v>
      </c>
    </row>
    <row r="2648" spans="1:13" x14ac:dyDescent="0.35">
      <c r="A2648" s="138" t="s">
        <v>487</v>
      </c>
      <c r="B2648" s="138" t="s">
        <v>3809</v>
      </c>
      <c r="C2648" s="138" t="s">
        <v>4124</v>
      </c>
      <c r="D2648" s="138" t="s">
        <v>4126</v>
      </c>
      <c r="E2648" s="138" t="s">
        <v>4079</v>
      </c>
      <c r="F2648" s="138" t="s">
        <v>3831</v>
      </c>
      <c r="G2648" s="138" t="s">
        <v>5256</v>
      </c>
      <c r="H2648" s="81" t="str">
        <f t="shared" si="156"/>
        <v>TCCN-PTE-PAF-AL1-ES2-INS-MNV</v>
      </c>
      <c r="I2648" s="138" t="str">
        <f>MID(H2648,1,(LEN(H2648)-VLOOKUP(K2648,datos!$B$2:$C$12,2,0)))</f>
        <v>TCCN-PTE-PAF-AL1-ES2-INS-MNV</v>
      </c>
      <c r="J2648" s="138" t="s">
        <v>7619</v>
      </c>
      <c r="K2648" s="140">
        <f>VLOOKUP(LEN(SUBSTITUTE(H2648,"-","")),datos!$A$1:$B$12,2,0)</f>
        <v>7</v>
      </c>
      <c r="L2648" s="138" t="s">
        <v>5258</v>
      </c>
      <c r="M2648" s="138" t="s">
        <v>0</v>
      </c>
    </row>
    <row r="2649" spans="1:13" customFormat="1" ht="14.5" x14ac:dyDescent="0.35">
      <c r="A2649" s="129" t="s">
        <v>487</v>
      </c>
      <c r="B2649" s="129" t="s">
        <v>3809</v>
      </c>
      <c r="C2649" s="129" t="s">
        <v>4124</v>
      </c>
      <c r="D2649" s="129" t="s">
        <v>4126</v>
      </c>
      <c r="E2649" s="129" t="s">
        <v>5259</v>
      </c>
      <c r="F2649" s="129"/>
      <c r="G2649" s="129"/>
      <c r="H2649" s="83" t="str">
        <f t="shared" ref="H2649:H2711" si="169">CONCATENATE(A2649,"-",B2649,"-",C2649,"-",D2649,"-",E2649,"-",F2649,"-",G2649)</f>
        <v>TCCN-PTE-PAF-AL1-MDI--</v>
      </c>
      <c r="I2649" s="129" t="str">
        <f>MID(H2649,1,(LEN(H2649)-VLOOKUP(K2649,datos!$B$2:$C$12,2,0)))</f>
        <v>TCCN-PTE-PAF-AL1-MDI</v>
      </c>
      <c r="J2649" s="129" t="s">
        <v>5260</v>
      </c>
      <c r="K2649" s="130">
        <f>VLOOKUP(LEN(SUBSTITUTE(H2649,"-","")),datos!$A$1:$B$12,2,0)</f>
        <v>5</v>
      </c>
      <c r="L2649" s="129" t="s">
        <v>5261</v>
      </c>
      <c r="M2649" s="129" t="s">
        <v>0</v>
      </c>
    </row>
    <row r="2650" spans="1:13" x14ac:dyDescent="0.35">
      <c r="A2650" s="137" t="s">
        <v>487</v>
      </c>
      <c r="B2650" s="137" t="s">
        <v>3809</v>
      </c>
      <c r="C2650" s="137" t="s">
        <v>4124</v>
      </c>
      <c r="D2650" s="137" t="s">
        <v>4126</v>
      </c>
      <c r="E2650" s="137" t="s">
        <v>5259</v>
      </c>
      <c r="F2650" s="137" t="s">
        <v>4073</v>
      </c>
      <c r="G2650" s="137"/>
      <c r="H2650" s="82" t="str">
        <f t="shared" si="169"/>
        <v>TCCN-PTE-PAF-AL1-MDI-PYV-</v>
      </c>
      <c r="I2650" s="137" t="str">
        <f>MID(H2650,1,(LEN(H2650)-VLOOKUP(K2650,datos!$B$2:$C$12,2,0)))</f>
        <v>TCCN-PTE-PAF-AL1-MDI-PYV</v>
      </c>
      <c r="J2650" s="137" t="s">
        <v>4486</v>
      </c>
      <c r="K2650" s="139">
        <f>VLOOKUP(LEN(SUBSTITUTE(H2650,"-","")),datos!$A$1:$B$12,2,0)</f>
        <v>6</v>
      </c>
      <c r="L2650" s="137"/>
      <c r="M2650" s="137" t="s">
        <v>0</v>
      </c>
    </row>
    <row r="2651" spans="1:13" x14ac:dyDescent="0.35">
      <c r="A2651" s="138" t="s">
        <v>487</v>
      </c>
      <c r="B2651" s="138" t="s">
        <v>3809</v>
      </c>
      <c r="C2651" s="138" t="s">
        <v>4124</v>
      </c>
      <c r="D2651" s="138" t="s">
        <v>4126</v>
      </c>
      <c r="E2651" s="138" t="s">
        <v>5259</v>
      </c>
      <c r="F2651" s="138" t="s">
        <v>4073</v>
      </c>
      <c r="G2651" s="138" t="s">
        <v>5262</v>
      </c>
      <c r="H2651" s="118" t="str">
        <f t="shared" si="169"/>
        <v>TCCN-PTE-PAF-AL1-MDI-PYV-CFD</v>
      </c>
      <c r="I2651" s="138" t="str">
        <f>MID(H2651,1,(LEN(H2651)-VLOOKUP(K2651,datos!$B$2:$C$12,2,0)))</f>
        <v>TCCN-PTE-PAF-AL1-MDI-PYV-CFD</v>
      </c>
      <c r="J2651" s="138" t="s">
        <v>5263</v>
      </c>
      <c r="K2651" s="140">
        <f>VLOOKUP(LEN(SUBSTITUTE(H2651,"-","")),datos!$A$1:$B$12,2,0)</f>
        <v>7</v>
      </c>
      <c r="L2651" s="138"/>
      <c r="M2651" s="138" t="s">
        <v>0</v>
      </c>
    </row>
    <row r="2652" spans="1:13" x14ac:dyDescent="0.35">
      <c r="A2652" s="138" t="s">
        <v>487</v>
      </c>
      <c r="B2652" s="138" t="s">
        <v>3809</v>
      </c>
      <c r="C2652" s="138" t="s">
        <v>4124</v>
      </c>
      <c r="D2652" s="138" t="s">
        <v>4126</v>
      </c>
      <c r="E2652" s="138" t="s">
        <v>5259</v>
      </c>
      <c r="F2652" s="138" t="s">
        <v>4073</v>
      </c>
      <c r="G2652" s="138" t="s">
        <v>3986</v>
      </c>
      <c r="H2652" s="118" t="str">
        <f t="shared" si="169"/>
        <v>TCCN-PTE-PAF-AL1-MDI-PYV-VV1</v>
      </c>
      <c r="I2652" s="138" t="str">
        <f>MID(H2652,1,(LEN(H2652)-VLOOKUP(K2652,datos!$B$2:$C$12,2,0)))</f>
        <v>TCCN-PTE-PAF-AL1-MDI-PYV-VV1</v>
      </c>
      <c r="J2652" s="138" t="s">
        <v>7997</v>
      </c>
      <c r="K2652" s="140">
        <f>VLOOKUP(LEN(SUBSTITUTE(H2652,"-","")),datos!$A$1:$B$12,2,0)</f>
        <v>7</v>
      </c>
      <c r="L2652" s="138" t="s">
        <v>5264</v>
      </c>
      <c r="M2652" s="138" t="s">
        <v>0</v>
      </c>
    </row>
    <row r="2653" spans="1:13" x14ac:dyDescent="0.35">
      <c r="A2653" s="138" t="s">
        <v>487</v>
      </c>
      <c r="B2653" s="138" t="s">
        <v>3809</v>
      </c>
      <c r="C2653" s="138" t="s">
        <v>4124</v>
      </c>
      <c r="D2653" s="138" t="s">
        <v>4126</v>
      </c>
      <c r="E2653" s="138" t="s">
        <v>5259</v>
      </c>
      <c r="F2653" s="138" t="s">
        <v>4073</v>
      </c>
      <c r="G2653" s="138" t="s">
        <v>3987</v>
      </c>
      <c r="H2653" s="118" t="str">
        <f t="shared" si="169"/>
        <v>TCCN-PTE-PAF-AL1-MDI-PYV-VV2</v>
      </c>
      <c r="I2653" s="138" t="str">
        <f>MID(H2653,1,(LEN(H2653)-VLOOKUP(K2653,datos!$B$2:$C$12,2,0)))</f>
        <v>TCCN-PTE-PAF-AL1-MDI-PYV-VV2</v>
      </c>
      <c r="J2653" s="138" t="s">
        <v>7998</v>
      </c>
      <c r="K2653" s="140">
        <f>VLOOKUP(LEN(SUBSTITUTE(H2653,"-","")),datos!$A$1:$B$12,2,0)</f>
        <v>7</v>
      </c>
      <c r="L2653" s="138" t="s">
        <v>5265</v>
      </c>
      <c r="M2653" s="138" t="s">
        <v>0</v>
      </c>
    </row>
    <row r="2654" spans="1:13" x14ac:dyDescent="0.35">
      <c r="A2654" s="138" t="s">
        <v>487</v>
      </c>
      <c r="B2654" s="138" t="s">
        <v>3809</v>
      </c>
      <c r="C2654" s="138" t="s">
        <v>4124</v>
      </c>
      <c r="D2654" s="138" t="s">
        <v>4126</v>
      </c>
      <c r="E2654" s="138" t="s">
        <v>5259</v>
      </c>
      <c r="F2654" s="138" t="s">
        <v>4073</v>
      </c>
      <c r="G2654" s="138" t="s">
        <v>4065</v>
      </c>
      <c r="H2654" s="118" t="str">
        <f t="shared" si="169"/>
        <v>TCCN-PTE-PAF-AL1-MDI-PYV-VV3</v>
      </c>
      <c r="I2654" s="138" t="str">
        <f>MID(H2654,1,(LEN(H2654)-VLOOKUP(K2654,datos!$B$2:$C$12,2,0)))</f>
        <v>TCCN-PTE-PAF-AL1-MDI-PYV-VV3</v>
      </c>
      <c r="J2654" s="138" t="s">
        <v>7999</v>
      </c>
      <c r="K2654" s="140">
        <f>VLOOKUP(LEN(SUBSTITUTE(H2654,"-","")),datos!$A$1:$B$12,2,0)</f>
        <v>7</v>
      </c>
      <c r="L2654" s="138" t="s">
        <v>5266</v>
      </c>
      <c r="M2654" s="138" t="s">
        <v>0</v>
      </c>
    </row>
    <row r="2655" spans="1:13" x14ac:dyDescent="0.35">
      <c r="A2655" s="138" t="s">
        <v>487</v>
      </c>
      <c r="B2655" s="138" t="s">
        <v>3809</v>
      </c>
      <c r="C2655" s="138" t="s">
        <v>4124</v>
      </c>
      <c r="D2655" s="138" t="s">
        <v>4126</v>
      </c>
      <c r="E2655" s="138" t="s">
        <v>5259</v>
      </c>
      <c r="F2655" s="138" t="s">
        <v>4073</v>
      </c>
      <c r="G2655" s="138" t="s">
        <v>5554</v>
      </c>
      <c r="H2655" s="118" t="str">
        <f t="shared" si="169"/>
        <v>TCCN-PTE-PAF-AL1-MDI-PYV-VV4</v>
      </c>
      <c r="I2655" s="138" t="str">
        <f>MID(H2655,1,(LEN(H2655)-VLOOKUP(K2655,datos!$B$2:$C$12,2,0)))</f>
        <v>TCCN-PTE-PAF-AL1-MDI-PYV-VV4</v>
      </c>
      <c r="J2655" s="138" t="s">
        <v>8000</v>
      </c>
      <c r="K2655" s="140">
        <f>VLOOKUP(LEN(SUBSTITUTE(H2655,"-","")),datos!$A$1:$B$12,2,0)</f>
        <v>7</v>
      </c>
      <c r="L2655" s="138" t="s">
        <v>5267</v>
      </c>
      <c r="M2655" s="138" t="s">
        <v>0</v>
      </c>
    </row>
    <row r="2656" spans="1:13" x14ac:dyDescent="0.35">
      <c r="A2656" s="137" t="s">
        <v>487</v>
      </c>
      <c r="B2656" s="137" t="s">
        <v>3809</v>
      </c>
      <c r="C2656" s="137" t="s">
        <v>4124</v>
      </c>
      <c r="D2656" s="137" t="s">
        <v>4126</v>
      </c>
      <c r="E2656" s="137" t="s">
        <v>5259</v>
      </c>
      <c r="F2656" s="137" t="s">
        <v>3831</v>
      </c>
      <c r="G2656" s="137"/>
      <c r="H2656" s="82" t="str">
        <f t="shared" si="169"/>
        <v>TCCN-PTE-PAF-AL1-MDI-INS-</v>
      </c>
      <c r="I2656" s="137" t="str">
        <f>MID(H2656,1,(LEN(H2656)-VLOOKUP(K2656,datos!$B$2:$C$12,2,0)))</f>
        <v>TCCN-PTE-PAF-AL1-MDI-INS</v>
      </c>
      <c r="J2656" s="137" t="s">
        <v>4829</v>
      </c>
      <c r="K2656" s="139">
        <f>VLOOKUP(LEN(SUBSTITUTE(H2656,"-","")),datos!$A$1:$B$12,2,0)</f>
        <v>6</v>
      </c>
      <c r="L2656" s="137"/>
      <c r="M2656" s="137" t="s">
        <v>0</v>
      </c>
    </row>
    <row r="2657" spans="1:13" x14ac:dyDescent="0.35">
      <c r="A2657" s="138" t="s">
        <v>487</v>
      </c>
      <c r="B2657" s="138" t="s">
        <v>3809</v>
      </c>
      <c r="C2657" s="138" t="s">
        <v>4124</v>
      </c>
      <c r="D2657" s="138" t="s">
        <v>4126</v>
      </c>
      <c r="E2657" s="138" t="s">
        <v>5259</v>
      </c>
      <c r="F2657" s="138" t="s">
        <v>3831</v>
      </c>
      <c r="G2657" s="138" t="s">
        <v>5268</v>
      </c>
      <c r="H2657" s="118" t="str">
        <f t="shared" si="169"/>
        <v>TCCN-PTE-PAF-AL1-MDI-INS-MCD</v>
      </c>
      <c r="I2657" s="138" t="str">
        <f>MID(H2657,1,(LEN(H2657)-VLOOKUP(K2657,datos!$B$2:$C$12,2,0)))</f>
        <v>TCCN-PTE-PAF-AL1-MDI-INS-MCD</v>
      </c>
      <c r="J2657" s="138" t="s">
        <v>5269</v>
      </c>
      <c r="K2657" s="140">
        <f>VLOOKUP(LEN(SUBSTITUTE(H2657,"-","")),datos!$A$1:$B$12,2,0)</f>
        <v>7</v>
      </c>
      <c r="L2657" s="138" t="s">
        <v>5270</v>
      </c>
      <c r="M2657" s="138" t="s">
        <v>0</v>
      </c>
    </row>
    <row r="2658" spans="1:13" customFormat="1" ht="14.5" x14ac:dyDescent="0.35">
      <c r="A2658" s="129" t="s">
        <v>487</v>
      </c>
      <c r="B2658" s="129" t="s">
        <v>3809</v>
      </c>
      <c r="C2658" s="129" t="s">
        <v>4124</v>
      </c>
      <c r="D2658" s="129" t="s">
        <v>4126</v>
      </c>
      <c r="E2658" s="129" t="s">
        <v>5271</v>
      </c>
      <c r="F2658" s="129"/>
      <c r="G2658" s="129"/>
      <c r="H2658" s="83" t="str">
        <f t="shared" si="169"/>
        <v>TCCN-PTE-PAF-AL1-LVM--</v>
      </c>
      <c r="I2658" s="129" t="str">
        <f>MID(H2658,1,(LEN(H2658)-VLOOKUP(K2658,datos!$B$2:$C$12,2,0)))</f>
        <v>TCCN-PTE-PAF-AL1-LVM</v>
      </c>
      <c r="J2658" s="129" t="s">
        <v>5272</v>
      </c>
      <c r="K2658" s="130">
        <f>VLOOKUP(LEN(SUBSTITUTE(H2658,"-","")),datos!$A$1:$B$12,2,0)</f>
        <v>5</v>
      </c>
      <c r="L2658" s="129" t="s">
        <v>5273</v>
      </c>
      <c r="M2658" s="129" t="s">
        <v>0</v>
      </c>
    </row>
    <row r="2659" spans="1:13" x14ac:dyDescent="0.35">
      <c r="A2659" s="137" t="s">
        <v>487</v>
      </c>
      <c r="B2659" s="137" t="s">
        <v>3809</v>
      </c>
      <c r="C2659" s="137" t="s">
        <v>4124</v>
      </c>
      <c r="D2659" s="137" t="s">
        <v>4126</v>
      </c>
      <c r="E2659" s="137" t="s">
        <v>5271</v>
      </c>
      <c r="F2659" s="137" t="s">
        <v>4073</v>
      </c>
      <c r="G2659" s="137"/>
      <c r="H2659" s="82" t="str">
        <f t="shared" si="169"/>
        <v>TCCN-PTE-PAF-AL1-LVM-PYV-</v>
      </c>
      <c r="I2659" s="137" t="str">
        <f>MID(H2659,1,(LEN(H2659)-VLOOKUP(K2659,datos!$B$2:$C$12,2,0)))</f>
        <v>TCCN-PTE-PAF-AL1-LVM-PYV</v>
      </c>
      <c r="J2659" s="137" t="s">
        <v>4486</v>
      </c>
      <c r="K2659" s="139">
        <f>VLOOKUP(LEN(SUBSTITUTE(H2659,"-","")),datos!$A$1:$B$12,2,0)</f>
        <v>6</v>
      </c>
      <c r="L2659" s="137"/>
      <c r="M2659" s="137" t="s">
        <v>0</v>
      </c>
    </row>
    <row r="2660" spans="1:13" x14ac:dyDescent="0.35">
      <c r="A2660" s="138" t="s">
        <v>487</v>
      </c>
      <c r="B2660" s="138" t="s">
        <v>3809</v>
      </c>
      <c r="C2660" s="138" t="s">
        <v>4124</v>
      </c>
      <c r="D2660" s="138" t="s">
        <v>4126</v>
      </c>
      <c r="E2660" s="138" t="s">
        <v>5271</v>
      </c>
      <c r="F2660" s="138" t="s">
        <v>4073</v>
      </c>
      <c r="G2660" s="138" t="s">
        <v>5262</v>
      </c>
      <c r="H2660" s="118" t="str">
        <f t="shared" si="169"/>
        <v>TCCN-PTE-PAF-AL1-LVM-PYV-CFD</v>
      </c>
      <c r="I2660" s="138" t="str">
        <f>MID(H2660,1,(LEN(H2660)-VLOOKUP(K2660,datos!$B$2:$C$12,2,0)))</f>
        <v>TCCN-PTE-PAF-AL1-LVM-PYV-CFD</v>
      </c>
      <c r="J2660" s="138" t="s">
        <v>5274</v>
      </c>
      <c r="K2660" s="140">
        <f>VLOOKUP(LEN(SUBSTITUTE(H2660,"-","")),datos!$A$1:$B$12,2,0)</f>
        <v>7</v>
      </c>
      <c r="L2660" s="138"/>
      <c r="M2660" s="138" t="s">
        <v>0</v>
      </c>
    </row>
    <row r="2661" spans="1:13" customFormat="1" ht="14.5" x14ac:dyDescent="0.35">
      <c r="A2661" s="84" t="s">
        <v>487</v>
      </c>
      <c r="B2661" s="84" t="s">
        <v>3809</v>
      </c>
      <c r="C2661" s="84" t="s">
        <v>4124</v>
      </c>
      <c r="D2661" s="84" t="s">
        <v>3861</v>
      </c>
      <c r="E2661" s="84"/>
      <c r="F2661" s="84"/>
      <c r="G2661" s="84"/>
      <c r="H2661" s="84" t="str">
        <f t="shared" si="169"/>
        <v>TCCN-PTE-PAF-RED---</v>
      </c>
      <c r="I2661" s="84" t="str">
        <f>MID(H2661,1,(LEN(H2661)-VLOOKUP(K2661,datos!$B$2:$C$12,2,0)))</f>
        <v>TCCN-PTE-PAF-RED</v>
      </c>
      <c r="J2661" s="84" t="s">
        <v>7895</v>
      </c>
      <c r="K2661" s="119">
        <f>VLOOKUP(LEN(SUBSTITUTE(H2661,"-","")),datos!$A$1:$B$12,2,0)</f>
        <v>4</v>
      </c>
      <c r="L2661" s="84"/>
      <c r="M2661" s="84" t="s">
        <v>0</v>
      </c>
    </row>
    <row r="2662" spans="1:13" customFormat="1" ht="14.5" x14ac:dyDescent="0.35">
      <c r="A2662" s="129" t="s">
        <v>487</v>
      </c>
      <c r="B2662" s="129" t="s">
        <v>3809</v>
      </c>
      <c r="C2662" s="129" t="s">
        <v>4124</v>
      </c>
      <c r="D2662" s="129" t="s">
        <v>3861</v>
      </c>
      <c r="E2662" s="129" t="s">
        <v>4080</v>
      </c>
      <c r="F2662" s="129"/>
      <c r="G2662" s="129"/>
      <c r="H2662" s="83" t="str">
        <f t="shared" si="169"/>
        <v>TCCN-PTE-PAF-RED-SI1--</v>
      </c>
      <c r="I2662" s="129" t="str">
        <f>MID(H2662,1,(LEN(H2662)-VLOOKUP(K2662,datos!$B$2:$C$12,2,0)))</f>
        <v>TCCN-PTE-PAF-RED-SI1</v>
      </c>
      <c r="J2662" s="129" t="s">
        <v>4359</v>
      </c>
      <c r="K2662" s="130">
        <f>VLOOKUP(LEN(SUBSTITUTE(H2662,"-","")),datos!$A$1:$B$12,2,0)</f>
        <v>5</v>
      </c>
      <c r="L2662" s="129"/>
      <c r="M2662" s="129" t="s">
        <v>0</v>
      </c>
    </row>
    <row r="2663" spans="1:13" x14ac:dyDescent="0.35">
      <c r="A2663" s="137" t="s">
        <v>487</v>
      </c>
      <c r="B2663" s="137" t="s">
        <v>3809</v>
      </c>
      <c r="C2663" s="137" t="s">
        <v>4124</v>
      </c>
      <c r="D2663" s="137" t="s">
        <v>3861</v>
      </c>
      <c r="E2663" s="137" t="s">
        <v>4080</v>
      </c>
      <c r="F2663" s="137" t="s">
        <v>4360</v>
      </c>
      <c r="G2663" s="137"/>
      <c r="H2663" s="82" t="str">
        <f t="shared" si="169"/>
        <v>TCCN-PTE-PAF-RED-SI1-CDI-</v>
      </c>
      <c r="I2663" s="137" t="str">
        <f>MID(H2663,1,(LEN(H2663)-VLOOKUP(K2663,datos!$B$2:$C$12,2,0)))</f>
        <v>TCCN-PTE-PAF-RED-SI1-CDI</v>
      </c>
      <c r="J2663" s="137" t="s">
        <v>4361</v>
      </c>
      <c r="K2663" s="139">
        <f>VLOOKUP(LEN(SUBSTITUTE(H2663,"-","")),datos!$A$1:$B$12,2,0)</f>
        <v>6</v>
      </c>
      <c r="L2663" s="137"/>
      <c r="M2663" s="137" t="s">
        <v>0</v>
      </c>
    </row>
    <row r="2664" spans="1:13" x14ac:dyDescent="0.35">
      <c r="A2664" s="137" t="s">
        <v>487</v>
      </c>
      <c r="B2664" s="137" t="s">
        <v>3809</v>
      </c>
      <c r="C2664" s="137" t="s">
        <v>4124</v>
      </c>
      <c r="D2664" s="137" t="s">
        <v>3861</v>
      </c>
      <c r="E2664" s="137" t="s">
        <v>4080</v>
      </c>
      <c r="F2664" s="137" t="s">
        <v>4362</v>
      </c>
      <c r="G2664" s="137"/>
      <c r="H2664" s="82" t="str">
        <f t="shared" si="169"/>
        <v>TCCN-PTE-PAF-RED-SI1-EEI-</v>
      </c>
      <c r="I2664" s="137" t="str">
        <f>MID(H2664,1,(LEN(H2664)-VLOOKUP(K2664,datos!$B$2:$C$12,2,0)))</f>
        <v>TCCN-PTE-PAF-RED-SI1-EEI</v>
      </c>
      <c r="J2664" s="137" t="s">
        <v>4363</v>
      </c>
      <c r="K2664" s="139">
        <f>VLOOKUP(LEN(SUBSTITUTE(H2664,"-","")),datos!$A$1:$B$12,2,0)</f>
        <v>6</v>
      </c>
      <c r="L2664" s="137"/>
      <c r="M2664" s="137" t="s">
        <v>0</v>
      </c>
    </row>
    <row r="2665" spans="1:13" customFormat="1" ht="14.5" x14ac:dyDescent="0.35">
      <c r="A2665" s="129" t="s">
        <v>487</v>
      </c>
      <c r="B2665" s="129" t="s">
        <v>3809</v>
      </c>
      <c r="C2665" s="129" t="s">
        <v>4124</v>
      </c>
      <c r="D2665" s="129" t="s">
        <v>3861</v>
      </c>
      <c r="E2665" s="129" t="s">
        <v>4084</v>
      </c>
      <c r="F2665" s="129"/>
      <c r="G2665" s="129"/>
      <c r="H2665" s="83" t="str">
        <f t="shared" si="169"/>
        <v>TCCN-PTE-PAF-RED-SI2--</v>
      </c>
      <c r="I2665" s="129" t="str">
        <f>MID(H2665,1,(LEN(H2665)-VLOOKUP(K2665,datos!$B$2:$C$12,2,0)))</f>
        <v>TCCN-PTE-PAF-RED-SI2</v>
      </c>
      <c r="J2665" s="129" t="s">
        <v>4460</v>
      </c>
      <c r="K2665" s="130">
        <f>VLOOKUP(LEN(SUBSTITUTE(H2665,"-","")),datos!$A$1:$B$12,2,0)</f>
        <v>5</v>
      </c>
      <c r="L2665" s="129"/>
      <c r="M2665" s="129" t="s">
        <v>0</v>
      </c>
    </row>
    <row r="2666" spans="1:13" x14ac:dyDescent="0.35">
      <c r="A2666" s="137" t="s">
        <v>487</v>
      </c>
      <c r="B2666" s="137" t="s">
        <v>3809</v>
      </c>
      <c r="C2666" s="137" t="s">
        <v>4124</v>
      </c>
      <c r="D2666" s="137" t="s">
        <v>3861</v>
      </c>
      <c r="E2666" s="137" t="s">
        <v>4084</v>
      </c>
      <c r="F2666" s="137" t="s">
        <v>4360</v>
      </c>
      <c r="G2666" s="137"/>
      <c r="H2666" s="82" t="str">
        <f t="shared" si="169"/>
        <v>TCCN-PTE-PAF-RED-SI2-CDI-</v>
      </c>
      <c r="I2666" s="137" t="str">
        <f>MID(H2666,1,(LEN(H2666)-VLOOKUP(K2666,datos!$B$2:$C$12,2,0)))</f>
        <v>TCCN-PTE-PAF-RED-SI2-CDI</v>
      </c>
      <c r="J2666" s="137" t="s">
        <v>4461</v>
      </c>
      <c r="K2666" s="139">
        <f>VLOOKUP(LEN(SUBSTITUTE(H2666,"-","")),datos!$A$1:$B$12,2,0)</f>
        <v>6</v>
      </c>
      <c r="L2666" s="137"/>
      <c r="M2666" s="137" t="s">
        <v>0</v>
      </c>
    </row>
    <row r="2667" spans="1:13" x14ac:dyDescent="0.35">
      <c r="A2667" s="137" t="s">
        <v>487</v>
      </c>
      <c r="B2667" s="137" t="s">
        <v>3809</v>
      </c>
      <c r="C2667" s="137" t="s">
        <v>4124</v>
      </c>
      <c r="D2667" s="137" t="s">
        <v>3861</v>
      </c>
      <c r="E2667" s="137" t="s">
        <v>4084</v>
      </c>
      <c r="F2667" s="137" t="s">
        <v>4364</v>
      </c>
      <c r="G2667" s="137"/>
      <c r="H2667" s="82" t="str">
        <f t="shared" si="169"/>
        <v>TCCN-PTE-PAF-RED-SI2-RCI-</v>
      </c>
      <c r="I2667" s="137" t="str">
        <f>MID(H2667,1,(LEN(H2667)-VLOOKUP(K2667,datos!$B$2:$C$12,2,0)))</f>
        <v>TCCN-PTE-PAF-RED-SI2-RCI</v>
      </c>
      <c r="J2667" s="137" t="s">
        <v>4462</v>
      </c>
      <c r="K2667" s="139">
        <f>VLOOKUP(LEN(SUBSTITUTE(H2667,"-","")),datos!$A$1:$B$12,2,0)</f>
        <v>6</v>
      </c>
      <c r="L2667" s="137"/>
      <c r="M2667" s="137" t="s">
        <v>0</v>
      </c>
    </row>
    <row r="2668" spans="1:13" x14ac:dyDescent="0.35">
      <c r="A2668" s="137" t="s">
        <v>487</v>
      </c>
      <c r="B2668" s="137" t="s">
        <v>3809</v>
      </c>
      <c r="C2668" s="137" t="s">
        <v>4124</v>
      </c>
      <c r="D2668" s="137" t="s">
        <v>3861</v>
      </c>
      <c r="E2668" s="137" t="s">
        <v>4084</v>
      </c>
      <c r="F2668" s="137" t="s">
        <v>4362</v>
      </c>
      <c r="G2668" s="137"/>
      <c r="H2668" s="82" t="str">
        <f t="shared" si="169"/>
        <v>TCCN-PTE-PAF-RED-SI2-EEI-</v>
      </c>
      <c r="I2668" s="137" t="str">
        <f>MID(H2668,1,(LEN(H2668)-VLOOKUP(K2668,datos!$B$2:$C$12,2,0)))</f>
        <v>TCCN-PTE-PAF-RED-SI2-EEI</v>
      </c>
      <c r="J2668" s="137" t="s">
        <v>4463</v>
      </c>
      <c r="K2668" s="139">
        <f>VLOOKUP(LEN(SUBSTITUTE(H2668,"-","")),datos!$A$1:$B$12,2,0)</f>
        <v>6</v>
      </c>
      <c r="L2668" s="137"/>
      <c r="M2668" s="137" t="s">
        <v>0</v>
      </c>
    </row>
    <row r="2669" spans="1:13" customFormat="1" ht="14.5" x14ac:dyDescent="0.35">
      <c r="A2669" s="129" t="s">
        <v>487</v>
      </c>
      <c r="B2669" s="129" t="s">
        <v>3809</v>
      </c>
      <c r="C2669" s="129" t="s">
        <v>4124</v>
      </c>
      <c r="D2669" s="129" t="s">
        <v>3861</v>
      </c>
      <c r="E2669" s="129" t="s">
        <v>4365</v>
      </c>
      <c r="F2669" s="129"/>
      <c r="G2669" s="129"/>
      <c r="H2669" s="83" t="str">
        <f t="shared" si="169"/>
        <v>TCCN-PTE-PAF-RED-SI3--</v>
      </c>
      <c r="I2669" s="129" t="str">
        <f>MID(H2669,1,(LEN(H2669)-VLOOKUP(K2669,datos!$B$2:$C$12,2,0)))</f>
        <v>TCCN-PTE-PAF-RED-SI3</v>
      </c>
      <c r="J2669" s="129" t="s">
        <v>4366</v>
      </c>
      <c r="K2669" s="130">
        <f>VLOOKUP(LEN(SUBSTITUTE(H2669,"-","")),datos!$A$1:$B$12,2,0)</f>
        <v>5</v>
      </c>
      <c r="L2669" s="129"/>
      <c r="M2669" s="129" t="s">
        <v>0</v>
      </c>
    </row>
    <row r="2670" spans="1:13" x14ac:dyDescent="0.35">
      <c r="A2670" s="137" t="s">
        <v>487</v>
      </c>
      <c r="B2670" s="137" t="s">
        <v>3809</v>
      </c>
      <c r="C2670" s="137" t="s">
        <v>4124</v>
      </c>
      <c r="D2670" s="137" t="s">
        <v>3861</v>
      </c>
      <c r="E2670" s="137" t="s">
        <v>4365</v>
      </c>
      <c r="F2670" s="137" t="s">
        <v>4360</v>
      </c>
      <c r="G2670" s="137"/>
      <c r="H2670" s="82" t="str">
        <f t="shared" si="169"/>
        <v>TCCN-PTE-PAF-RED-SI3-CDI-</v>
      </c>
      <c r="I2670" s="137" t="str">
        <f>MID(H2670,1,(LEN(H2670)-VLOOKUP(K2670,datos!$B$2:$C$12,2,0)))</f>
        <v>TCCN-PTE-PAF-RED-SI3-CDI</v>
      </c>
      <c r="J2670" s="137" t="s">
        <v>4367</v>
      </c>
      <c r="K2670" s="139">
        <f>VLOOKUP(LEN(SUBSTITUTE(H2670,"-","")),datos!$A$1:$B$12,2,0)</f>
        <v>6</v>
      </c>
      <c r="L2670" s="137"/>
      <c r="M2670" s="137" t="s">
        <v>0</v>
      </c>
    </row>
    <row r="2671" spans="1:13" x14ac:dyDescent="0.35">
      <c r="A2671" s="137" t="s">
        <v>487</v>
      </c>
      <c r="B2671" s="137" t="s">
        <v>3809</v>
      </c>
      <c r="C2671" s="137" t="s">
        <v>4124</v>
      </c>
      <c r="D2671" s="137" t="s">
        <v>3861</v>
      </c>
      <c r="E2671" s="137" t="s">
        <v>4365</v>
      </c>
      <c r="F2671" s="137" t="s">
        <v>4362</v>
      </c>
      <c r="G2671" s="137"/>
      <c r="H2671" s="82" t="str">
        <f t="shared" si="169"/>
        <v>TCCN-PTE-PAF-RED-SI3-EEI-</v>
      </c>
      <c r="I2671" s="137" t="str">
        <f>MID(H2671,1,(LEN(H2671)-VLOOKUP(K2671,datos!$B$2:$C$12,2,0)))</f>
        <v>TCCN-PTE-PAF-RED-SI3-EEI</v>
      </c>
      <c r="J2671" s="137" t="s">
        <v>4368</v>
      </c>
      <c r="K2671" s="139">
        <f>VLOOKUP(LEN(SUBSTITUTE(H2671,"-","")),datos!$A$1:$B$12,2,0)</f>
        <v>6</v>
      </c>
      <c r="L2671" s="137"/>
      <c r="M2671" s="137" t="s">
        <v>0</v>
      </c>
    </row>
    <row r="2672" spans="1:13" customFormat="1" ht="14.5" x14ac:dyDescent="0.35">
      <c r="A2672" s="129" t="s">
        <v>487</v>
      </c>
      <c r="B2672" s="129" t="s">
        <v>3809</v>
      </c>
      <c r="C2672" s="129" t="s">
        <v>4124</v>
      </c>
      <c r="D2672" s="129" t="s">
        <v>3861</v>
      </c>
      <c r="E2672" s="129" t="s">
        <v>4369</v>
      </c>
      <c r="F2672" s="129"/>
      <c r="G2672" s="129"/>
      <c r="H2672" s="83" t="str">
        <f t="shared" si="169"/>
        <v>TCCN-PTE-PAF-RED-SI4--</v>
      </c>
      <c r="I2672" s="129" t="str">
        <f>MID(H2672,1,(LEN(H2672)-VLOOKUP(K2672,datos!$B$2:$C$12,2,0)))</f>
        <v>TCCN-PTE-PAF-RED-SI4</v>
      </c>
      <c r="J2672" s="129" t="s">
        <v>4464</v>
      </c>
      <c r="K2672" s="130">
        <f>VLOOKUP(LEN(SUBSTITUTE(H2672,"-","")),datos!$A$1:$B$12,2,0)</f>
        <v>5</v>
      </c>
      <c r="L2672" s="129"/>
      <c r="M2672" s="129" t="s">
        <v>0</v>
      </c>
    </row>
    <row r="2673" spans="1:13" x14ac:dyDescent="0.35">
      <c r="A2673" s="137" t="s">
        <v>487</v>
      </c>
      <c r="B2673" s="137" t="s">
        <v>3809</v>
      </c>
      <c r="C2673" s="137" t="s">
        <v>4124</v>
      </c>
      <c r="D2673" s="137" t="s">
        <v>3861</v>
      </c>
      <c r="E2673" s="137" t="s">
        <v>4369</v>
      </c>
      <c r="F2673" s="137" t="s">
        <v>4360</v>
      </c>
      <c r="G2673" s="137"/>
      <c r="H2673" s="82" t="str">
        <f t="shared" si="169"/>
        <v>TCCN-PTE-PAF-RED-SI4-CDI-</v>
      </c>
      <c r="I2673" s="137" t="str">
        <f>MID(H2673,1,(LEN(H2673)-VLOOKUP(K2673,datos!$B$2:$C$12,2,0)))</f>
        <v>TCCN-PTE-PAF-RED-SI4-CDI</v>
      </c>
      <c r="J2673" s="137" t="s">
        <v>4465</v>
      </c>
      <c r="K2673" s="139">
        <f>VLOOKUP(LEN(SUBSTITUTE(H2673,"-","")),datos!$A$1:$B$12,2,0)</f>
        <v>6</v>
      </c>
      <c r="L2673" s="137"/>
      <c r="M2673" s="137" t="s">
        <v>0</v>
      </c>
    </row>
    <row r="2674" spans="1:13" x14ac:dyDescent="0.35">
      <c r="A2674" s="137" t="s">
        <v>487</v>
      </c>
      <c r="B2674" s="137" t="s">
        <v>3809</v>
      </c>
      <c r="C2674" s="137" t="s">
        <v>4124</v>
      </c>
      <c r="D2674" s="137" t="s">
        <v>3861</v>
      </c>
      <c r="E2674" s="137" t="s">
        <v>4369</v>
      </c>
      <c r="F2674" s="137" t="s">
        <v>4364</v>
      </c>
      <c r="G2674" s="137"/>
      <c r="H2674" s="82" t="str">
        <f t="shared" si="169"/>
        <v>TCCN-PTE-PAF-RED-SI4-RCI-</v>
      </c>
      <c r="I2674" s="137" t="str">
        <f>MID(H2674,1,(LEN(H2674)-VLOOKUP(K2674,datos!$B$2:$C$12,2,0)))</f>
        <v>TCCN-PTE-PAF-RED-SI4-RCI</v>
      </c>
      <c r="J2674" s="137" t="s">
        <v>4466</v>
      </c>
      <c r="K2674" s="139">
        <f>VLOOKUP(LEN(SUBSTITUTE(H2674,"-","")),datos!$A$1:$B$12,2,0)</f>
        <v>6</v>
      </c>
      <c r="L2674" s="137"/>
      <c r="M2674" s="137" t="s">
        <v>0</v>
      </c>
    </row>
    <row r="2675" spans="1:13" x14ac:dyDescent="0.35">
      <c r="A2675" s="137" t="s">
        <v>487</v>
      </c>
      <c r="B2675" s="137" t="s">
        <v>3809</v>
      </c>
      <c r="C2675" s="137" t="s">
        <v>4124</v>
      </c>
      <c r="D2675" s="137" t="s">
        <v>3861</v>
      </c>
      <c r="E2675" s="137" t="s">
        <v>4369</v>
      </c>
      <c r="F2675" s="137" t="s">
        <v>4362</v>
      </c>
      <c r="G2675" s="137"/>
      <c r="H2675" s="82" t="str">
        <f t="shared" si="169"/>
        <v>TCCN-PTE-PAF-RED-SI4-EEI-</v>
      </c>
      <c r="I2675" s="137" t="str">
        <f>MID(H2675,1,(LEN(H2675)-VLOOKUP(K2675,datos!$B$2:$C$12,2,0)))</f>
        <v>TCCN-PTE-PAF-RED-SI4-EEI</v>
      </c>
      <c r="J2675" s="137" t="s">
        <v>4467</v>
      </c>
      <c r="K2675" s="139">
        <f>VLOOKUP(LEN(SUBSTITUTE(H2675,"-","")),datos!$A$1:$B$12,2,0)</f>
        <v>6</v>
      </c>
      <c r="L2675" s="137"/>
      <c r="M2675" s="137" t="s">
        <v>0</v>
      </c>
    </row>
    <row r="2676" spans="1:13" customFormat="1" ht="14.5" x14ac:dyDescent="0.35">
      <c r="A2676" s="129" t="s">
        <v>487</v>
      </c>
      <c r="B2676" s="129" t="s">
        <v>3809</v>
      </c>
      <c r="C2676" s="129" t="s">
        <v>4124</v>
      </c>
      <c r="D2676" s="129" t="s">
        <v>3861</v>
      </c>
      <c r="E2676" s="129" t="s">
        <v>4370</v>
      </c>
      <c r="F2676" s="129"/>
      <c r="G2676" s="129"/>
      <c r="H2676" s="83" t="str">
        <f t="shared" si="169"/>
        <v>TCCN-PTE-PAF-RED-SI5--</v>
      </c>
      <c r="I2676" s="129" t="str">
        <f>MID(H2676,1,(LEN(H2676)-VLOOKUP(K2676,datos!$B$2:$C$12,2,0)))</f>
        <v>TCCN-PTE-PAF-RED-SI5</v>
      </c>
      <c r="J2676" s="129" t="s">
        <v>4468</v>
      </c>
      <c r="K2676" s="130">
        <f>VLOOKUP(LEN(SUBSTITUTE(H2676,"-","")),datos!$A$1:$B$12,2,0)</f>
        <v>5</v>
      </c>
      <c r="L2676" s="129"/>
      <c r="M2676" s="129" t="s">
        <v>0</v>
      </c>
    </row>
    <row r="2677" spans="1:13" x14ac:dyDescent="0.35">
      <c r="A2677" s="137" t="s">
        <v>487</v>
      </c>
      <c r="B2677" s="137" t="s">
        <v>3809</v>
      </c>
      <c r="C2677" s="137" t="s">
        <v>4124</v>
      </c>
      <c r="D2677" s="137" t="s">
        <v>3861</v>
      </c>
      <c r="E2677" s="137" t="s">
        <v>4370</v>
      </c>
      <c r="F2677" s="137" t="s">
        <v>4360</v>
      </c>
      <c r="G2677" s="137"/>
      <c r="H2677" s="82" t="str">
        <f t="shared" si="169"/>
        <v>TCCN-PTE-PAF-RED-SI5-CDI-</v>
      </c>
      <c r="I2677" s="137" t="str">
        <f>MID(H2677,1,(LEN(H2677)-VLOOKUP(K2677,datos!$B$2:$C$12,2,0)))</f>
        <v>TCCN-PTE-PAF-RED-SI5-CDI</v>
      </c>
      <c r="J2677" s="137" t="s">
        <v>4469</v>
      </c>
      <c r="K2677" s="139">
        <f>VLOOKUP(LEN(SUBSTITUTE(H2677,"-","")),datos!$A$1:$B$12,2,0)</f>
        <v>6</v>
      </c>
      <c r="L2677" s="137"/>
      <c r="M2677" s="137" t="s">
        <v>0</v>
      </c>
    </row>
    <row r="2678" spans="1:13" x14ac:dyDescent="0.35">
      <c r="A2678" s="137" t="s">
        <v>487</v>
      </c>
      <c r="B2678" s="137" t="s">
        <v>3809</v>
      </c>
      <c r="C2678" s="137" t="s">
        <v>4124</v>
      </c>
      <c r="D2678" s="137" t="s">
        <v>3861</v>
      </c>
      <c r="E2678" s="137" t="s">
        <v>4370</v>
      </c>
      <c r="F2678" s="137" t="s">
        <v>4364</v>
      </c>
      <c r="G2678" s="137"/>
      <c r="H2678" s="82" t="str">
        <f t="shared" si="169"/>
        <v>TCCN-PTE-PAF-RED-SI5-RCI-</v>
      </c>
      <c r="I2678" s="137" t="str">
        <f>MID(H2678,1,(LEN(H2678)-VLOOKUP(K2678,datos!$B$2:$C$12,2,0)))</f>
        <v>TCCN-PTE-PAF-RED-SI5-RCI</v>
      </c>
      <c r="J2678" s="137" t="s">
        <v>4462</v>
      </c>
      <c r="K2678" s="139">
        <f>VLOOKUP(LEN(SUBSTITUTE(H2678,"-","")),datos!$A$1:$B$12,2,0)</f>
        <v>6</v>
      </c>
      <c r="L2678" s="137"/>
      <c r="M2678" s="137" t="s">
        <v>0</v>
      </c>
    </row>
    <row r="2679" spans="1:13" x14ac:dyDescent="0.35">
      <c r="A2679" s="137" t="s">
        <v>487</v>
      </c>
      <c r="B2679" s="137" t="s">
        <v>3809</v>
      </c>
      <c r="C2679" s="137" t="s">
        <v>4124</v>
      </c>
      <c r="D2679" s="137" t="s">
        <v>3861</v>
      </c>
      <c r="E2679" s="137" t="s">
        <v>4370</v>
      </c>
      <c r="F2679" s="137" t="s">
        <v>4362</v>
      </c>
      <c r="G2679" s="137"/>
      <c r="H2679" s="82" t="str">
        <f t="shared" si="169"/>
        <v>TCCN-PTE-PAF-RED-SI5-EEI-</v>
      </c>
      <c r="I2679" s="137" t="str">
        <f>MID(H2679,1,(LEN(H2679)-VLOOKUP(K2679,datos!$B$2:$C$12,2,0)))</f>
        <v>TCCN-PTE-PAF-RED-SI5-EEI</v>
      </c>
      <c r="J2679" s="137" t="s">
        <v>4470</v>
      </c>
      <c r="K2679" s="139">
        <f>VLOOKUP(LEN(SUBSTITUTE(H2679,"-","")),datos!$A$1:$B$12,2,0)</f>
        <v>6</v>
      </c>
      <c r="L2679" s="137"/>
      <c r="M2679" s="137" t="s">
        <v>0</v>
      </c>
    </row>
    <row r="2680" spans="1:13" customFormat="1" ht="14.5" x14ac:dyDescent="0.35">
      <c r="A2680" s="129" t="s">
        <v>487</v>
      </c>
      <c r="B2680" s="129" t="s">
        <v>3809</v>
      </c>
      <c r="C2680" s="129" t="s">
        <v>4124</v>
      </c>
      <c r="D2680" s="129" t="s">
        <v>3861</v>
      </c>
      <c r="E2680" s="129" t="s">
        <v>4371</v>
      </c>
      <c r="F2680" s="129"/>
      <c r="G2680" s="129"/>
      <c r="H2680" s="83" t="str">
        <f t="shared" si="169"/>
        <v>TCCN-PTE-PAF-RED-SI6--</v>
      </c>
      <c r="I2680" s="129" t="str">
        <f>MID(H2680,1,(LEN(H2680)-VLOOKUP(K2680,datos!$B$2:$C$12,2,0)))</f>
        <v>TCCN-PTE-PAF-RED-SI6</v>
      </c>
      <c r="J2680" s="129" t="s">
        <v>4372</v>
      </c>
      <c r="K2680" s="130">
        <f>VLOOKUP(LEN(SUBSTITUTE(H2680,"-","")),datos!$A$1:$B$12,2,0)</f>
        <v>5</v>
      </c>
      <c r="L2680" s="129"/>
      <c r="M2680" s="129" t="s">
        <v>0</v>
      </c>
    </row>
    <row r="2681" spans="1:13" x14ac:dyDescent="0.35">
      <c r="A2681" s="137" t="s">
        <v>487</v>
      </c>
      <c r="B2681" s="137" t="s">
        <v>3809</v>
      </c>
      <c r="C2681" s="137" t="s">
        <v>4124</v>
      </c>
      <c r="D2681" s="137" t="s">
        <v>3861</v>
      </c>
      <c r="E2681" s="137" t="s">
        <v>4371</v>
      </c>
      <c r="F2681" s="137" t="s">
        <v>4360</v>
      </c>
      <c r="G2681" s="137"/>
      <c r="H2681" s="82" t="str">
        <f t="shared" si="169"/>
        <v>TCCN-PTE-PAF-RED-SI6-CDI-</v>
      </c>
      <c r="I2681" s="137" t="str">
        <f>MID(H2681,1,(LEN(H2681)-VLOOKUP(K2681,datos!$B$2:$C$12,2,0)))</f>
        <v>TCCN-PTE-PAF-RED-SI6-CDI</v>
      </c>
      <c r="J2681" s="137" t="s">
        <v>4373</v>
      </c>
      <c r="K2681" s="139">
        <f>VLOOKUP(LEN(SUBSTITUTE(H2681,"-","")),datos!$A$1:$B$12,2,0)</f>
        <v>6</v>
      </c>
      <c r="L2681" s="137"/>
      <c r="M2681" s="137" t="s">
        <v>0</v>
      </c>
    </row>
    <row r="2682" spans="1:13" x14ac:dyDescent="0.35">
      <c r="A2682" s="137" t="s">
        <v>487</v>
      </c>
      <c r="B2682" s="137" t="s">
        <v>3809</v>
      </c>
      <c r="C2682" s="137" t="s">
        <v>4124</v>
      </c>
      <c r="D2682" s="137" t="s">
        <v>3861</v>
      </c>
      <c r="E2682" s="137" t="s">
        <v>4371</v>
      </c>
      <c r="F2682" s="137" t="s">
        <v>4362</v>
      </c>
      <c r="G2682" s="137"/>
      <c r="H2682" s="82" t="str">
        <f t="shared" si="169"/>
        <v>TCCN-PTE-PAF-RED-SI6-EEI-</v>
      </c>
      <c r="I2682" s="137" t="str">
        <f>MID(H2682,1,(LEN(H2682)-VLOOKUP(K2682,datos!$B$2:$C$12,2,0)))</f>
        <v>TCCN-PTE-PAF-RED-SI6-EEI</v>
      </c>
      <c r="J2682" s="137" t="s">
        <v>4374</v>
      </c>
      <c r="K2682" s="139">
        <f>VLOOKUP(LEN(SUBSTITUTE(H2682,"-","")),datos!$A$1:$B$12,2,0)</f>
        <v>6</v>
      </c>
      <c r="L2682" s="137"/>
      <c r="M2682" s="137" t="s">
        <v>0</v>
      </c>
    </row>
    <row r="2683" spans="1:13" customFormat="1" ht="14.5" x14ac:dyDescent="0.35">
      <c r="A2683" s="129" t="s">
        <v>487</v>
      </c>
      <c r="B2683" s="129" t="s">
        <v>3809</v>
      </c>
      <c r="C2683" s="129" t="s">
        <v>4124</v>
      </c>
      <c r="D2683" s="129" t="s">
        <v>3861</v>
      </c>
      <c r="E2683" s="129" t="s">
        <v>4375</v>
      </c>
      <c r="F2683" s="129"/>
      <c r="G2683" s="129"/>
      <c r="H2683" s="83" t="str">
        <f t="shared" si="169"/>
        <v>TCCN-PTE-PAF-RED-SI7--</v>
      </c>
      <c r="I2683" s="129" t="str">
        <f>MID(H2683,1,(LEN(H2683)-VLOOKUP(K2683,datos!$B$2:$C$12,2,0)))</f>
        <v>TCCN-PTE-PAF-RED-SI7</v>
      </c>
      <c r="J2683" s="129" t="s">
        <v>4376</v>
      </c>
      <c r="K2683" s="130">
        <f>VLOOKUP(LEN(SUBSTITUTE(H2683,"-","")),datos!$A$1:$B$12,2,0)</f>
        <v>5</v>
      </c>
      <c r="L2683" s="129"/>
      <c r="M2683" s="129" t="s">
        <v>0</v>
      </c>
    </row>
    <row r="2684" spans="1:13" x14ac:dyDescent="0.35">
      <c r="A2684" s="137" t="s">
        <v>487</v>
      </c>
      <c r="B2684" s="137" t="s">
        <v>3809</v>
      </c>
      <c r="C2684" s="137" t="s">
        <v>4124</v>
      </c>
      <c r="D2684" s="137" t="s">
        <v>3861</v>
      </c>
      <c r="E2684" s="137" t="s">
        <v>4375</v>
      </c>
      <c r="F2684" s="137" t="s">
        <v>4360</v>
      </c>
      <c r="G2684" s="137"/>
      <c r="H2684" s="82" t="str">
        <f t="shared" si="169"/>
        <v>TCCN-PTE-PAF-RED-SI7-CDI-</v>
      </c>
      <c r="I2684" s="137" t="str">
        <f>MID(H2684,1,(LEN(H2684)-VLOOKUP(K2684,datos!$B$2:$C$12,2,0)))</f>
        <v>TCCN-PTE-PAF-RED-SI7-CDI</v>
      </c>
      <c r="J2684" s="137" t="s">
        <v>4377</v>
      </c>
      <c r="K2684" s="139">
        <f>VLOOKUP(LEN(SUBSTITUTE(H2684,"-","")),datos!$A$1:$B$12,2,0)</f>
        <v>6</v>
      </c>
      <c r="L2684" s="137"/>
      <c r="M2684" s="137" t="s">
        <v>0</v>
      </c>
    </row>
    <row r="2685" spans="1:13" x14ac:dyDescent="0.35">
      <c r="A2685" s="137" t="s">
        <v>487</v>
      </c>
      <c r="B2685" s="137" t="s">
        <v>3809</v>
      </c>
      <c r="C2685" s="137" t="s">
        <v>4124</v>
      </c>
      <c r="D2685" s="137" t="s">
        <v>3861</v>
      </c>
      <c r="E2685" s="137" t="s">
        <v>4375</v>
      </c>
      <c r="F2685" s="137" t="s">
        <v>4362</v>
      </c>
      <c r="G2685" s="137"/>
      <c r="H2685" s="82" t="str">
        <f t="shared" si="169"/>
        <v>TCCN-PTE-PAF-RED-SI7-EEI-</v>
      </c>
      <c r="I2685" s="137" t="str">
        <f>MID(H2685,1,(LEN(H2685)-VLOOKUP(K2685,datos!$B$2:$C$12,2,0)))</f>
        <v>TCCN-PTE-PAF-RED-SI7-EEI</v>
      </c>
      <c r="J2685" s="137" t="s">
        <v>4378</v>
      </c>
      <c r="K2685" s="139">
        <f>VLOOKUP(LEN(SUBSTITUTE(H2685,"-","")),datos!$A$1:$B$12,2,0)</f>
        <v>6</v>
      </c>
      <c r="L2685" s="137"/>
      <c r="M2685" s="137" t="s">
        <v>0</v>
      </c>
    </row>
    <row r="2686" spans="1:13" customFormat="1" ht="14.5" x14ac:dyDescent="0.35">
      <c r="A2686" s="129" t="s">
        <v>487</v>
      </c>
      <c r="B2686" s="129" t="s">
        <v>3809</v>
      </c>
      <c r="C2686" s="129" t="s">
        <v>4124</v>
      </c>
      <c r="D2686" s="129" t="s">
        <v>3861</v>
      </c>
      <c r="E2686" s="129" t="s">
        <v>4379</v>
      </c>
      <c r="F2686" s="129"/>
      <c r="G2686" s="129"/>
      <c r="H2686" s="83" t="str">
        <f t="shared" si="169"/>
        <v>TCCN-PTE-PAF-RED-SI8--</v>
      </c>
      <c r="I2686" s="129" t="str">
        <f>MID(H2686,1,(LEN(H2686)-VLOOKUP(K2686,datos!$B$2:$C$12,2,0)))</f>
        <v>TCCN-PTE-PAF-RED-SI8</v>
      </c>
      <c r="J2686" s="129" t="s">
        <v>4474</v>
      </c>
      <c r="K2686" s="130">
        <f>VLOOKUP(LEN(SUBSTITUTE(H2686,"-","")),datos!$A$1:$B$12,2,0)</f>
        <v>5</v>
      </c>
      <c r="L2686" s="129"/>
      <c r="M2686" s="129" t="s">
        <v>0</v>
      </c>
    </row>
    <row r="2687" spans="1:13" x14ac:dyDescent="0.35">
      <c r="A2687" s="137" t="s">
        <v>487</v>
      </c>
      <c r="B2687" s="137" t="s">
        <v>3809</v>
      </c>
      <c r="C2687" s="137" t="s">
        <v>4124</v>
      </c>
      <c r="D2687" s="137" t="s">
        <v>3861</v>
      </c>
      <c r="E2687" s="137" t="s">
        <v>4379</v>
      </c>
      <c r="F2687" s="137" t="s">
        <v>4360</v>
      </c>
      <c r="G2687" s="137"/>
      <c r="H2687" s="82" t="str">
        <f t="shared" si="169"/>
        <v>TCCN-PTE-PAF-RED-SI8-CDI-</v>
      </c>
      <c r="I2687" s="137" t="str">
        <f>MID(H2687,1,(LEN(H2687)-VLOOKUP(K2687,datos!$B$2:$C$12,2,0)))</f>
        <v>TCCN-PTE-PAF-RED-SI8-CDI</v>
      </c>
      <c r="J2687" s="137" t="s">
        <v>4475</v>
      </c>
      <c r="K2687" s="139">
        <f>VLOOKUP(LEN(SUBSTITUTE(H2687,"-","")),datos!$A$1:$B$12,2,0)</f>
        <v>6</v>
      </c>
      <c r="L2687" s="137"/>
      <c r="M2687" s="137" t="s">
        <v>0</v>
      </c>
    </row>
    <row r="2688" spans="1:13" x14ac:dyDescent="0.35">
      <c r="A2688" s="137" t="s">
        <v>487</v>
      </c>
      <c r="B2688" s="137" t="s">
        <v>3809</v>
      </c>
      <c r="C2688" s="137" t="s">
        <v>4124</v>
      </c>
      <c r="D2688" s="137" t="s">
        <v>3861</v>
      </c>
      <c r="E2688" s="137" t="s">
        <v>4379</v>
      </c>
      <c r="F2688" s="137" t="s">
        <v>4362</v>
      </c>
      <c r="G2688" s="137"/>
      <c r="H2688" s="82" t="str">
        <f t="shared" si="169"/>
        <v>TCCN-PTE-PAF-RED-SI8-EEI-</v>
      </c>
      <c r="I2688" s="137" t="str">
        <f>MID(H2688,1,(LEN(H2688)-VLOOKUP(K2688,datos!$B$2:$C$12,2,0)))</f>
        <v>TCCN-PTE-PAF-RED-SI8-EEI</v>
      </c>
      <c r="J2688" s="137" t="s">
        <v>4380</v>
      </c>
      <c r="K2688" s="139">
        <f>VLOOKUP(LEN(SUBSTITUTE(H2688,"-","")),datos!$A$1:$B$12,2,0)</f>
        <v>6</v>
      </c>
      <c r="L2688" s="137"/>
      <c r="M2688" s="137" t="s">
        <v>0</v>
      </c>
    </row>
    <row r="2689" spans="1:13" customFormat="1" ht="14.5" x14ac:dyDescent="0.35">
      <c r="A2689" s="129" t="s">
        <v>487</v>
      </c>
      <c r="B2689" s="129" t="s">
        <v>3809</v>
      </c>
      <c r="C2689" s="129" t="s">
        <v>4124</v>
      </c>
      <c r="D2689" s="129" t="s">
        <v>3861</v>
      </c>
      <c r="E2689" s="129" t="s">
        <v>4381</v>
      </c>
      <c r="F2689" s="129"/>
      <c r="G2689" s="129"/>
      <c r="H2689" s="83" t="str">
        <f t="shared" si="169"/>
        <v>TCCN-PTE-PAF-RED-SI9--</v>
      </c>
      <c r="I2689" s="129" t="str">
        <f>MID(H2689,1,(LEN(H2689)-VLOOKUP(K2689,datos!$B$2:$C$12,2,0)))</f>
        <v>TCCN-PTE-PAF-RED-SI9</v>
      </c>
      <c r="J2689" s="129" t="s">
        <v>4382</v>
      </c>
      <c r="K2689" s="130">
        <f>VLOOKUP(LEN(SUBSTITUTE(H2689,"-","")),datos!$A$1:$B$12,2,0)</f>
        <v>5</v>
      </c>
      <c r="L2689" s="129"/>
      <c r="M2689" s="129" t="s">
        <v>0</v>
      </c>
    </row>
    <row r="2690" spans="1:13" x14ac:dyDescent="0.35">
      <c r="A2690" s="137" t="s">
        <v>487</v>
      </c>
      <c r="B2690" s="137" t="s">
        <v>3809</v>
      </c>
      <c r="C2690" s="137" t="s">
        <v>4124</v>
      </c>
      <c r="D2690" s="137" t="s">
        <v>3861</v>
      </c>
      <c r="E2690" s="137" t="s">
        <v>4381</v>
      </c>
      <c r="F2690" s="137" t="s">
        <v>4360</v>
      </c>
      <c r="G2690" s="137"/>
      <c r="H2690" s="82" t="str">
        <f t="shared" si="169"/>
        <v>TCCN-PTE-PAF-RED-SI9-CDI-</v>
      </c>
      <c r="I2690" s="137" t="str">
        <f>MID(H2690,1,(LEN(H2690)-VLOOKUP(K2690,datos!$B$2:$C$12,2,0)))</f>
        <v>TCCN-PTE-PAF-RED-SI9-CDI</v>
      </c>
      <c r="J2690" s="137" t="s">
        <v>4383</v>
      </c>
      <c r="K2690" s="139">
        <f>VLOOKUP(LEN(SUBSTITUTE(H2690,"-","")),datos!$A$1:$B$12,2,0)</f>
        <v>6</v>
      </c>
      <c r="L2690" s="137"/>
      <c r="M2690" s="137" t="s">
        <v>0</v>
      </c>
    </row>
    <row r="2691" spans="1:13" x14ac:dyDescent="0.35">
      <c r="A2691" s="137" t="s">
        <v>487</v>
      </c>
      <c r="B2691" s="137" t="s">
        <v>3809</v>
      </c>
      <c r="C2691" s="137" t="s">
        <v>4124</v>
      </c>
      <c r="D2691" s="137" t="s">
        <v>3861</v>
      </c>
      <c r="E2691" s="137" t="s">
        <v>4381</v>
      </c>
      <c r="F2691" s="137" t="s">
        <v>4362</v>
      </c>
      <c r="G2691" s="137"/>
      <c r="H2691" s="82" t="str">
        <f t="shared" si="169"/>
        <v>TCCN-PTE-PAF-RED-SI9-EEI-</v>
      </c>
      <c r="I2691" s="137" t="str">
        <f>MID(H2691,1,(LEN(H2691)-VLOOKUP(K2691,datos!$B$2:$C$12,2,0)))</f>
        <v>TCCN-PTE-PAF-RED-SI9-EEI</v>
      </c>
      <c r="J2691" s="137" t="s">
        <v>4384</v>
      </c>
      <c r="K2691" s="139">
        <f>VLOOKUP(LEN(SUBSTITUTE(H2691,"-","")),datos!$A$1:$B$12,2,0)</f>
        <v>6</v>
      </c>
      <c r="L2691" s="137"/>
      <c r="M2691" s="137" t="s">
        <v>0</v>
      </c>
    </row>
    <row r="2692" spans="1:13" customFormat="1" ht="14.5" x14ac:dyDescent="0.35">
      <c r="A2692" s="129" t="s">
        <v>487</v>
      </c>
      <c r="B2692" s="129" t="s">
        <v>3809</v>
      </c>
      <c r="C2692" s="129" t="s">
        <v>4124</v>
      </c>
      <c r="D2692" s="129" t="s">
        <v>3861</v>
      </c>
      <c r="E2692" s="129" t="s">
        <v>4385</v>
      </c>
      <c r="F2692" s="129"/>
      <c r="G2692" s="129"/>
      <c r="H2692" s="83" t="str">
        <f t="shared" si="169"/>
        <v>TCCN-PTE-PAF-RED-S10--</v>
      </c>
      <c r="I2692" s="129" t="str">
        <f>MID(H2692,1,(LEN(H2692)-VLOOKUP(K2692,datos!$B$2:$C$12,2,0)))</f>
        <v>TCCN-PTE-PAF-RED-S10</v>
      </c>
      <c r="J2692" s="129" t="s">
        <v>4386</v>
      </c>
      <c r="K2692" s="130">
        <f>VLOOKUP(LEN(SUBSTITUTE(H2692,"-","")),datos!$A$1:$B$12,2,0)</f>
        <v>5</v>
      </c>
      <c r="L2692" s="129"/>
      <c r="M2692" s="129" t="s">
        <v>0</v>
      </c>
    </row>
    <row r="2693" spans="1:13" x14ac:dyDescent="0.35">
      <c r="A2693" s="137" t="s">
        <v>487</v>
      </c>
      <c r="B2693" s="137" t="s">
        <v>3809</v>
      </c>
      <c r="C2693" s="137" t="s">
        <v>4124</v>
      </c>
      <c r="D2693" s="137" t="s">
        <v>3861</v>
      </c>
      <c r="E2693" s="137" t="s">
        <v>4385</v>
      </c>
      <c r="F2693" s="137" t="s">
        <v>4360</v>
      </c>
      <c r="G2693" s="137"/>
      <c r="H2693" s="82" t="str">
        <f t="shared" si="169"/>
        <v>TCCN-PTE-PAF-RED-S10-CDI-</v>
      </c>
      <c r="I2693" s="137" t="str">
        <f>MID(H2693,1,(LEN(H2693)-VLOOKUP(K2693,datos!$B$2:$C$12,2,0)))</f>
        <v>TCCN-PTE-PAF-RED-S10-CDI</v>
      </c>
      <c r="J2693" s="137" t="s">
        <v>4387</v>
      </c>
      <c r="K2693" s="139">
        <f>VLOOKUP(LEN(SUBSTITUTE(H2693,"-","")),datos!$A$1:$B$12,2,0)</f>
        <v>6</v>
      </c>
      <c r="L2693" s="137"/>
      <c r="M2693" s="137" t="s">
        <v>0</v>
      </c>
    </row>
    <row r="2694" spans="1:13" x14ac:dyDescent="0.35">
      <c r="A2694" s="137" t="s">
        <v>487</v>
      </c>
      <c r="B2694" s="137" t="s">
        <v>3809</v>
      </c>
      <c r="C2694" s="137" t="s">
        <v>4124</v>
      </c>
      <c r="D2694" s="137" t="s">
        <v>3861</v>
      </c>
      <c r="E2694" s="137" t="s">
        <v>4385</v>
      </c>
      <c r="F2694" s="137" t="s">
        <v>4362</v>
      </c>
      <c r="G2694" s="137"/>
      <c r="H2694" s="82" t="str">
        <f t="shared" si="169"/>
        <v>TCCN-PTE-PAF-RED-S10-EEI-</v>
      </c>
      <c r="I2694" s="137" t="str">
        <f>MID(H2694,1,(LEN(H2694)-VLOOKUP(K2694,datos!$B$2:$C$12,2,0)))</f>
        <v>TCCN-PTE-PAF-RED-S10-EEI</v>
      </c>
      <c r="J2694" s="137" t="s">
        <v>4388</v>
      </c>
      <c r="K2694" s="139">
        <f>VLOOKUP(LEN(SUBSTITUTE(H2694,"-","")),datos!$A$1:$B$12,2,0)</f>
        <v>6</v>
      </c>
      <c r="L2694" s="137"/>
      <c r="M2694" s="137" t="s">
        <v>0</v>
      </c>
    </row>
    <row r="2695" spans="1:13" customFormat="1" ht="14.5" x14ac:dyDescent="0.35">
      <c r="A2695" s="129" t="s">
        <v>487</v>
      </c>
      <c r="B2695" s="129" t="s">
        <v>3809</v>
      </c>
      <c r="C2695" s="129" t="s">
        <v>4124</v>
      </c>
      <c r="D2695" s="129" t="s">
        <v>3861</v>
      </c>
      <c r="E2695" s="129" t="s">
        <v>4389</v>
      </c>
      <c r="F2695" s="129"/>
      <c r="G2695" s="129"/>
      <c r="H2695" s="83" t="str">
        <f t="shared" si="169"/>
        <v>TCCN-PTE-PAF-RED-S11--</v>
      </c>
      <c r="I2695" s="129" t="str">
        <f>MID(H2695,1,(LEN(H2695)-VLOOKUP(K2695,datos!$B$2:$C$12,2,0)))</f>
        <v>TCCN-PTE-PAF-RED-S11</v>
      </c>
      <c r="J2695" s="129" t="s">
        <v>4478</v>
      </c>
      <c r="K2695" s="130">
        <f>VLOOKUP(LEN(SUBSTITUTE(H2695,"-","")),datos!$A$1:$B$12,2,0)</f>
        <v>5</v>
      </c>
      <c r="L2695" s="129"/>
      <c r="M2695" s="129" t="s">
        <v>0</v>
      </c>
    </row>
    <row r="2696" spans="1:13" x14ac:dyDescent="0.35">
      <c r="A2696" s="137" t="s">
        <v>487</v>
      </c>
      <c r="B2696" s="137" t="s">
        <v>3809</v>
      </c>
      <c r="C2696" s="137" t="s">
        <v>4124</v>
      </c>
      <c r="D2696" s="137" t="s">
        <v>3861</v>
      </c>
      <c r="E2696" s="137" t="s">
        <v>4389</v>
      </c>
      <c r="F2696" s="137" t="s">
        <v>4360</v>
      </c>
      <c r="G2696" s="137"/>
      <c r="H2696" s="82" t="str">
        <f t="shared" si="169"/>
        <v>TCCN-PTE-PAF-RED-S11-CDI-</v>
      </c>
      <c r="I2696" s="137" t="str">
        <f>MID(H2696,1,(LEN(H2696)-VLOOKUP(K2696,datos!$B$2:$C$12,2,0)))</f>
        <v>TCCN-PTE-PAF-RED-S11-CDI</v>
      </c>
      <c r="J2696" s="137" t="s">
        <v>4461</v>
      </c>
      <c r="K2696" s="139">
        <f>VLOOKUP(LEN(SUBSTITUTE(H2696,"-","")),datos!$A$1:$B$12,2,0)</f>
        <v>6</v>
      </c>
      <c r="L2696" s="137"/>
      <c r="M2696" s="137" t="s">
        <v>0</v>
      </c>
    </row>
    <row r="2697" spans="1:13" x14ac:dyDescent="0.35">
      <c r="A2697" s="137" t="s">
        <v>487</v>
      </c>
      <c r="B2697" s="137" t="s">
        <v>3809</v>
      </c>
      <c r="C2697" s="137" t="s">
        <v>4124</v>
      </c>
      <c r="D2697" s="137" t="s">
        <v>3861</v>
      </c>
      <c r="E2697" s="137" t="s">
        <v>4389</v>
      </c>
      <c r="F2697" s="137" t="s">
        <v>4364</v>
      </c>
      <c r="G2697" s="137"/>
      <c r="H2697" s="82" t="str">
        <f t="shared" si="169"/>
        <v>TCCN-PTE-PAF-RED-S11-RCI-</v>
      </c>
      <c r="I2697" s="137" t="str">
        <f>MID(H2697,1,(LEN(H2697)-VLOOKUP(K2697,datos!$B$2:$C$12,2,0)))</f>
        <v>TCCN-PTE-PAF-RED-S11-RCI</v>
      </c>
      <c r="J2697" s="137" t="s">
        <v>4462</v>
      </c>
      <c r="K2697" s="139">
        <f>VLOOKUP(LEN(SUBSTITUTE(H2697,"-","")),datos!$A$1:$B$12,2,0)</f>
        <v>6</v>
      </c>
      <c r="L2697" s="137"/>
      <c r="M2697" s="137" t="s">
        <v>0</v>
      </c>
    </row>
    <row r="2698" spans="1:13" x14ac:dyDescent="0.35">
      <c r="A2698" s="137" t="s">
        <v>487</v>
      </c>
      <c r="B2698" s="137" t="s">
        <v>3809</v>
      </c>
      <c r="C2698" s="137" t="s">
        <v>4124</v>
      </c>
      <c r="D2698" s="137" t="s">
        <v>3861</v>
      </c>
      <c r="E2698" s="137" t="s">
        <v>4389</v>
      </c>
      <c r="F2698" s="137" t="s">
        <v>4362</v>
      </c>
      <c r="G2698" s="137"/>
      <c r="H2698" s="82" t="str">
        <f t="shared" si="169"/>
        <v>TCCN-PTE-PAF-RED-S11-EEI-</v>
      </c>
      <c r="I2698" s="137" t="str">
        <f>MID(H2698,1,(LEN(H2698)-VLOOKUP(K2698,datos!$B$2:$C$12,2,0)))</f>
        <v>TCCN-PTE-PAF-RED-S11-EEI</v>
      </c>
      <c r="J2698" s="137" t="s">
        <v>4463</v>
      </c>
      <c r="K2698" s="139">
        <f>VLOOKUP(LEN(SUBSTITUTE(H2698,"-","")),datos!$A$1:$B$12,2,0)</f>
        <v>6</v>
      </c>
      <c r="L2698" s="137"/>
      <c r="M2698" s="137" t="s">
        <v>0</v>
      </c>
    </row>
    <row r="2699" spans="1:13" customFormat="1" ht="14.5" x14ac:dyDescent="0.35">
      <c r="A2699" s="129" t="s">
        <v>487</v>
      </c>
      <c r="B2699" s="129" t="s">
        <v>3809</v>
      </c>
      <c r="C2699" s="129" t="s">
        <v>4124</v>
      </c>
      <c r="D2699" s="129" t="s">
        <v>3861</v>
      </c>
      <c r="E2699" s="129" t="s">
        <v>4390</v>
      </c>
      <c r="F2699" s="129"/>
      <c r="G2699" s="129"/>
      <c r="H2699" s="83" t="str">
        <f t="shared" si="169"/>
        <v>TCCN-PTE-PAF-RED-S12--</v>
      </c>
      <c r="I2699" s="129" t="str">
        <f>MID(H2699,1,(LEN(H2699)-VLOOKUP(K2699,datos!$B$2:$C$12,2,0)))</f>
        <v>TCCN-PTE-PAF-RED-S12</v>
      </c>
      <c r="J2699" s="129" t="s">
        <v>4479</v>
      </c>
      <c r="K2699" s="130">
        <f>VLOOKUP(LEN(SUBSTITUTE(H2699,"-","")),datos!$A$1:$B$12,2,0)</f>
        <v>5</v>
      </c>
      <c r="L2699" s="129"/>
      <c r="M2699" s="129" t="s">
        <v>0</v>
      </c>
    </row>
    <row r="2700" spans="1:13" x14ac:dyDescent="0.35">
      <c r="A2700" s="137" t="s">
        <v>487</v>
      </c>
      <c r="B2700" s="137" t="s">
        <v>3809</v>
      </c>
      <c r="C2700" s="137" t="s">
        <v>4124</v>
      </c>
      <c r="D2700" s="137" t="s">
        <v>3861</v>
      </c>
      <c r="E2700" s="137" t="s">
        <v>4390</v>
      </c>
      <c r="F2700" s="137" t="s">
        <v>4362</v>
      </c>
      <c r="G2700" s="137"/>
      <c r="H2700" s="82" t="str">
        <f t="shared" si="169"/>
        <v>TCCN-PTE-PAF-RED-S12-EEI-</v>
      </c>
      <c r="I2700" s="137" t="str">
        <f>MID(H2700,1,(LEN(H2700)-VLOOKUP(K2700,datos!$B$2:$C$12,2,0)))</f>
        <v>TCCN-PTE-PAF-RED-S12-EEI</v>
      </c>
      <c r="J2700" s="137" t="s">
        <v>4391</v>
      </c>
      <c r="K2700" s="139">
        <f>VLOOKUP(LEN(SUBSTITUTE(H2700,"-","")),datos!$A$1:$B$12,2,0)</f>
        <v>6</v>
      </c>
      <c r="L2700" s="137"/>
      <c r="M2700" s="137" t="s">
        <v>0</v>
      </c>
    </row>
    <row r="2701" spans="1:13" customFormat="1" ht="14.5" x14ac:dyDescent="0.35">
      <c r="A2701" s="129" t="s">
        <v>487</v>
      </c>
      <c r="B2701" s="129" t="s">
        <v>3809</v>
      </c>
      <c r="C2701" s="129" t="s">
        <v>4124</v>
      </c>
      <c r="D2701" s="129" t="s">
        <v>3861</v>
      </c>
      <c r="E2701" s="129" t="s">
        <v>4392</v>
      </c>
      <c r="F2701" s="129"/>
      <c r="G2701" s="129"/>
      <c r="H2701" s="83" t="str">
        <f t="shared" si="169"/>
        <v>TCCN-PTE-PAF-RED-S13--</v>
      </c>
      <c r="I2701" s="129" t="str">
        <f>MID(H2701,1,(LEN(H2701)-VLOOKUP(K2701,datos!$B$2:$C$12,2,0)))</f>
        <v>TCCN-PTE-PAF-RED-S13</v>
      </c>
      <c r="J2701" s="129" t="s">
        <v>4393</v>
      </c>
      <c r="K2701" s="130">
        <f>VLOOKUP(LEN(SUBSTITUTE(H2701,"-","")),datos!$A$1:$B$12,2,0)</f>
        <v>5</v>
      </c>
      <c r="L2701" s="129"/>
      <c r="M2701" s="129" t="s">
        <v>0</v>
      </c>
    </row>
    <row r="2702" spans="1:13" x14ac:dyDescent="0.35">
      <c r="A2702" s="137" t="s">
        <v>487</v>
      </c>
      <c r="B2702" s="137" t="s">
        <v>3809</v>
      </c>
      <c r="C2702" s="137" t="s">
        <v>4124</v>
      </c>
      <c r="D2702" s="137" t="s">
        <v>3861</v>
      </c>
      <c r="E2702" s="137" t="s">
        <v>4392</v>
      </c>
      <c r="F2702" s="137" t="s">
        <v>4360</v>
      </c>
      <c r="G2702" s="137"/>
      <c r="H2702" s="82" t="str">
        <f t="shared" si="169"/>
        <v>TCCN-PTE-PAF-RED-S13-CDI-</v>
      </c>
      <c r="I2702" s="137" t="str">
        <f>MID(H2702,1,(LEN(H2702)-VLOOKUP(K2702,datos!$B$2:$C$12,2,0)))</f>
        <v>TCCN-PTE-PAF-RED-S13-CDI</v>
      </c>
      <c r="J2702" s="137" t="s">
        <v>4394</v>
      </c>
      <c r="K2702" s="139">
        <f>VLOOKUP(LEN(SUBSTITUTE(H2702,"-","")),datos!$A$1:$B$12,2,0)</f>
        <v>6</v>
      </c>
      <c r="L2702" s="137"/>
      <c r="M2702" s="137" t="s">
        <v>0</v>
      </c>
    </row>
    <row r="2703" spans="1:13" x14ac:dyDescent="0.35">
      <c r="A2703" s="137" t="s">
        <v>487</v>
      </c>
      <c r="B2703" s="137" t="s">
        <v>3809</v>
      </c>
      <c r="C2703" s="137" t="s">
        <v>4124</v>
      </c>
      <c r="D2703" s="137" t="s">
        <v>3861</v>
      </c>
      <c r="E2703" s="137" t="s">
        <v>4392</v>
      </c>
      <c r="F2703" s="137" t="s">
        <v>4362</v>
      </c>
      <c r="G2703" s="137"/>
      <c r="H2703" s="82" t="str">
        <f t="shared" si="169"/>
        <v>TCCN-PTE-PAF-RED-S13-EEI-</v>
      </c>
      <c r="I2703" s="137" t="str">
        <f>MID(H2703,1,(LEN(H2703)-VLOOKUP(K2703,datos!$B$2:$C$12,2,0)))</f>
        <v>TCCN-PTE-PAF-RED-S13-EEI</v>
      </c>
      <c r="J2703" s="137" t="s">
        <v>4395</v>
      </c>
      <c r="K2703" s="139">
        <f>VLOOKUP(LEN(SUBSTITUTE(H2703,"-","")),datos!$A$1:$B$12,2,0)</f>
        <v>6</v>
      </c>
      <c r="L2703" s="137"/>
      <c r="M2703" s="137" t="s">
        <v>0</v>
      </c>
    </row>
    <row r="2704" spans="1:13" customFormat="1" ht="14.5" x14ac:dyDescent="0.35">
      <c r="A2704" s="129" t="s">
        <v>487</v>
      </c>
      <c r="B2704" s="129" t="s">
        <v>3809</v>
      </c>
      <c r="C2704" s="129" t="s">
        <v>4124</v>
      </c>
      <c r="D2704" s="129" t="s">
        <v>3861</v>
      </c>
      <c r="E2704" s="129" t="s">
        <v>4396</v>
      </c>
      <c r="F2704" s="129"/>
      <c r="G2704" s="129"/>
      <c r="H2704" s="83" t="str">
        <f t="shared" si="169"/>
        <v>TCCN-PTE-PAF-RED-S14--</v>
      </c>
      <c r="I2704" s="129" t="str">
        <f>MID(H2704,1,(LEN(H2704)-VLOOKUP(K2704,datos!$B$2:$C$12,2,0)))</f>
        <v>TCCN-PTE-PAF-RED-S14</v>
      </c>
      <c r="J2704" s="129" t="s">
        <v>4397</v>
      </c>
      <c r="K2704" s="130">
        <f>VLOOKUP(LEN(SUBSTITUTE(H2704,"-","")),datos!$A$1:$B$12,2,0)</f>
        <v>5</v>
      </c>
      <c r="L2704" s="129"/>
      <c r="M2704" s="129" t="s">
        <v>0</v>
      </c>
    </row>
    <row r="2705" spans="1:13" x14ac:dyDescent="0.35">
      <c r="A2705" s="137" t="s">
        <v>487</v>
      </c>
      <c r="B2705" s="137" t="s">
        <v>3809</v>
      </c>
      <c r="C2705" s="137" t="s">
        <v>4124</v>
      </c>
      <c r="D2705" s="137" t="s">
        <v>3861</v>
      </c>
      <c r="E2705" s="137" t="s">
        <v>4396</v>
      </c>
      <c r="F2705" s="137" t="s">
        <v>4360</v>
      </c>
      <c r="G2705" s="137"/>
      <c r="H2705" s="82" t="str">
        <f t="shared" si="169"/>
        <v>TCCN-PTE-PAF-RED-S14-CDI-</v>
      </c>
      <c r="I2705" s="137" t="str">
        <f>MID(H2705,1,(LEN(H2705)-VLOOKUP(K2705,datos!$B$2:$C$12,2,0)))</f>
        <v>TCCN-PTE-PAF-RED-S14-CDI</v>
      </c>
      <c r="J2705" s="137" t="s">
        <v>4398</v>
      </c>
      <c r="K2705" s="139">
        <f>VLOOKUP(LEN(SUBSTITUTE(H2705,"-","")),datos!$A$1:$B$12,2,0)</f>
        <v>6</v>
      </c>
      <c r="L2705" s="137"/>
      <c r="M2705" s="137" t="s">
        <v>0</v>
      </c>
    </row>
    <row r="2706" spans="1:13" x14ac:dyDescent="0.35">
      <c r="A2706" s="137" t="s">
        <v>487</v>
      </c>
      <c r="B2706" s="137" t="s">
        <v>3809</v>
      </c>
      <c r="C2706" s="137" t="s">
        <v>4124</v>
      </c>
      <c r="D2706" s="137" t="s">
        <v>3861</v>
      </c>
      <c r="E2706" s="137" t="s">
        <v>4396</v>
      </c>
      <c r="F2706" s="137" t="s">
        <v>4362</v>
      </c>
      <c r="G2706" s="137"/>
      <c r="H2706" s="82" t="str">
        <f t="shared" si="169"/>
        <v>TCCN-PTE-PAF-RED-S14-EEI-</v>
      </c>
      <c r="I2706" s="137" t="str">
        <f>MID(H2706,1,(LEN(H2706)-VLOOKUP(K2706,datos!$B$2:$C$12,2,0)))</f>
        <v>TCCN-PTE-PAF-RED-S14-EEI</v>
      </c>
      <c r="J2706" s="137" t="s">
        <v>4399</v>
      </c>
      <c r="K2706" s="139">
        <f>VLOOKUP(LEN(SUBSTITUTE(H2706,"-","")),datos!$A$1:$B$12,2,0)</f>
        <v>6</v>
      </c>
      <c r="L2706" s="137"/>
      <c r="M2706" s="137" t="s">
        <v>0</v>
      </c>
    </row>
    <row r="2707" spans="1:13" customFormat="1" ht="14.5" x14ac:dyDescent="0.35">
      <c r="A2707" s="129" t="s">
        <v>487</v>
      </c>
      <c r="B2707" s="129" t="s">
        <v>3809</v>
      </c>
      <c r="C2707" s="129" t="s">
        <v>4124</v>
      </c>
      <c r="D2707" s="129" t="s">
        <v>3861</v>
      </c>
      <c r="E2707" s="129" t="s">
        <v>4400</v>
      </c>
      <c r="F2707" s="129"/>
      <c r="G2707" s="129"/>
      <c r="H2707" s="83" t="str">
        <f t="shared" si="169"/>
        <v>TCCN-PTE-PAF-RED-S15--</v>
      </c>
      <c r="I2707" s="129" t="str">
        <f>MID(H2707,1,(LEN(H2707)-VLOOKUP(K2707,datos!$B$2:$C$12,2,0)))</f>
        <v>TCCN-PTE-PAF-RED-S15</v>
      </c>
      <c r="J2707" s="129" t="s">
        <v>4401</v>
      </c>
      <c r="K2707" s="130">
        <f>VLOOKUP(LEN(SUBSTITUTE(H2707,"-","")),datos!$A$1:$B$12,2,0)</f>
        <v>5</v>
      </c>
      <c r="L2707" s="129"/>
      <c r="M2707" s="129" t="s">
        <v>0</v>
      </c>
    </row>
    <row r="2708" spans="1:13" x14ac:dyDescent="0.35">
      <c r="A2708" s="137" t="s">
        <v>487</v>
      </c>
      <c r="B2708" s="137" t="s">
        <v>3809</v>
      </c>
      <c r="C2708" s="137" t="s">
        <v>4124</v>
      </c>
      <c r="D2708" s="137" t="s">
        <v>3861</v>
      </c>
      <c r="E2708" s="137" t="s">
        <v>4400</v>
      </c>
      <c r="F2708" s="137" t="s">
        <v>4362</v>
      </c>
      <c r="G2708" s="137"/>
      <c r="H2708" s="82" t="str">
        <f t="shared" si="169"/>
        <v>TCCN-PTE-PAF-RED-S15-EEI-</v>
      </c>
      <c r="I2708" s="137" t="str">
        <f>MID(H2708,1,(LEN(H2708)-VLOOKUP(K2708,datos!$B$2:$C$12,2,0)))</f>
        <v>TCCN-PTE-PAF-RED-S15-EEI</v>
      </c>
      <c r="J2708" s="137" t="s">
        <v>4402</v>
      </c>
      <c r="K2708" s="139">
        <f>VLOOKUP(LEN(SUBSTITUTE(H2708,"-","")),datos!$A$1:$B$12,2,0)</f>
        <v>6</v>
      </c>
      <c r="L2708" s="137"/>
      <c r="M2708" s="137" t="s">
        <v>0</v>
      </c>
    </row>
    <row r="2709" spans="1:13" customFormat="1" ht="14.5" x14ac:dyDescent="0.35">
      <c r="A2709" s="129" t="s">
        <v>487</v>
      </c>
      <c r="B2709" s="129" t="s">
        <v>3809</v>
      </c>
      <c r="C2709" s="129" t="s">
        <v>4124</v>
      </c>
      <c r="D2709" s="129" t="s">
        <v>3861</v>
      </c>
      <c r="E2709" s="129" t="s">
        <v>4403</v>
      </c>
      <c r="F2709" s="129"/>
      <c r="G2709" s="129"/>
      <c r="H2709" s="83" t="str">
        <f t="shared" si="169"/>
        <v>TCCN-PTE-PAF-RED-S16--</v>
      </c>
      <c r="I2709" s="129" t="str">
        <f>MID(H2709,1,(LEN(H2709)-VLOOKUP(K2709,datos!$B$2:$C$12,2,0)))</f>
        <v>TCCN-PTE-PAF-RED-S16</v>
      </c>
      <c r="J2709" s="129" t="s">
        <v>4404</v>
      </c>
      <c r="K2709" s="130">
        <f>VLOOKUP(LEN(SUBSTITUTE(H2709,"-","")),datos!$A$1:$B$12,2,0)</f>
        <v>5</v>
      </c>
      <c r="L2709" s="129"/>
      <c r="M2709" s="129" t="s">
        <v>0</v>
      </c>
    </row>
    <row r="2710" spans="1:13" x14ac:dyDescent="0.35">
      <c r="A2710" s="137" t="s">
        <v>487</v>
      </c>
      <c r="B2710" s="137" t="s">
        <v>3809</v>
      </c>
      <c r="C2710" s="137" t="s">
        <v>4124</v>
      </c>
      <c r="D2710" s="137" t="s">
        <v>3861</v>
      </c>
      <c r="E2710" s="137" t="s">
        <v>4403</v>
      </c>
      <c r="F2710" s="137" t="s">
        <v>4360</v>
      </c>
      <c r="G2710" s="137"/>
      <c r="H2710" s="82" t="str">
        <f t="shared" si="169"/>
        <v>TCCN-PTE-PAF-RED-S16-CDI-</v>
      </c>
      <c r="I2710" s="137" t="str">
        <f>MID(H2710,1,(LEN(H2710)-VLOOKUP(K2710,datos!$B$2:$C$12,2,0)))</f>
        <v>TCCN-PTE-PAF-RED-S16-CDI</v>
      </c>
      <c r="J2710" s="137" t="s">
        <v>4405</v>
      </c>
      <c r="K2710" s="139">
        <f>VLOOKUP(LEN(SUBSTITUTE(H2710,"-","")),datos!$A$1:$B$12,2,0)</f>
        <v>6</v>
      </c>
      <c r="L2710" s="137"/>
      <c r="M2710" s="137" t="s">
        <v>0</v>
      </c>
    </row>
    <row r="2711" spans="1:13" x14ac:dyDescent="0.35">
      <c r="A2711" s="137" t="s">
        <v>487</v>
      </c>
      <c r="B2711" s="137" t="s">
        <v>3809</v>
      </c>
      <c r="C2711" s="137" t="s">
        <v>4124</v>
      </c>
      <c r="D2711" s="137" t="s">
        <v>3861</v>
      </c>
      <c r="E2711" s="137" t="s">
        <v>4403</v>
      </c>
      <c r="F2711" s="137" t="s">
        <v>4364</v>
      </c>
      <c r="G2711" s="137"/>
      <c r="H2711" s="82" t="str">
        <f t="shared" si="169"/>
        <v>TCCN-PTE-PAF-RED-S16-RCI-</v>
      </c>
      <c r="I2711" s="137" t="str">
        <f>MID(H2711,1,(LEN(H2711)-VLOOKUP(K2711,datos!$B$2:$C$12,2,0)))</f>
        <v>TCCN-PTE-PAF-RED-S16-RCI</v>
      </c>
      <c r="J2711" s="137" t="s">
        <v>4406</v>
      </c>
      <c r="K2711" s="139">
        <f>VLOOKUP(LEN(SUBSTITUTE(H2711,"-","")),datos!$A$1:$B$12,2,0)</f>
        <v>6</v>
      </c>
      <c r="L2711" s="137"/>
      <c r="M2711" s="137" t="s">
        <v>0</v>
      </c>
    </row>
    <row r="2712" spans="1:13" x14ac:dyDescent="0.35">
      <c r="A2712" s="137" t="s">
        <v>487</v>
      </c>
      <c r="B2712" s="137" t="s">
        <v>3809</v>
      </c>
      <c r="C2712" s="137" t="s">
        <v>4124</v>
      </c>
      <c r="D2712" s="137" t="s">
        <v>3861</v>
      </c>
      <c r="E2712" s="137" t="s">
        <v>4403</v>
      </c>
      <c r="F2712" s="137" t="s">
        <v>4362</v>
      </c>
      <c r="G2712" s="137"/>
      <c r="H2712" s="82" t="str">
        <f t="shared" ref="H2712:H2797" si="170">CONCATENATE(A2712,"-",B2712,"-",C2712,"-",D2712,"-",E2712,"-",F2712,"-",G2712)</f>
        <v>TCCN-PTE-PAF-RED-S16-EEI-</v>
      </c>
      <c r="I2712" s="137" t="str">
        <f>MID(H2712,1,(LEN(H2712)-VLOOKUP(K2712,datos!$B$2:$C$12,2,0)))</f>
        <v>TCCN-PTE-PAF-RED-S16-EEI</v>
      </c>
      <c r="J2712" s="137" t="s">
        <v>4407</v>
      </c>
      <c r="K2712" s="139">
        <f>VLOOKUP(LEN(SUBSTITUTE(H2712,"-","")),datos!$A$1:$B$12,2,0)</f>
        <v>6</v>
      </c>
      <c r="L2712" s="137"/>
      <c r="M2712" s="137" t="s">
        <v>0</v>
      </c>
    </row>
    <row r="2713" spans="1:13" customFormat="1" ht="14.5" x14ac:dyDescent="0.35">
      <c r="A2713" s="129" t="s">
        <v>487</v>
      </c>
      <c r="B2713" s="129" t="s">
        <v>3809</v>
      </c>
      <c r="C2713" s="129" t="s">
        <v>4124</v>
      </c>
      <c r="D2713" s="129" t="s">
        <v>3861</v>
      </c>
      <c r="E2713" s="129" t="s">
        <v>4408</v>
      </c>
      <c r="F2713" s="129"/>
      <c r="G2713" s="129"/>
      <c r="H2713" s="83" t="str">
        <f t="shared" si="170"/>
        <v>TCCN-PTE-PAF-RED-S17--</v>
      </c>
      <c r="I2713" s="129" t="str">
        <f>MID(H2713,1,(LEN(H2713)-VLOOKUP(K2713,datos!$B$2:$C$12,2,0)))</f>
        <v>TCCN-PTE-PAF-RED-S17</v>
      </c>
      <c r="J2713" s="129" t="s">
        <v>4409</v>
      </c>
      <c r="K2713" s="130">
        <f>VLOOKUP(LEN(SUBSTITUTE(H2713,"-","")),datos!$A$1:$B$12,2,0)</f>
        <v>5</v>
      </c>
      <c r="L2713" s="129"/>
      <c r="M2713" s="129" t="s">
        <v>0</v>
      </c>
    </row>
    <row r="2714" spans="1:13" x14ac:dyDescent="0.35">
      <c r="A2714" s="137" t="s">
        <v>487</v>
      </c>
      <c r="B2714" s="137" t="s">
        <v>3809</v>
      </c>
      <c r="C2714" s="137" t="s">
        <v>4124</v>
      </c>
      <c r="D2714" s="137" t="s">
        <v>3861</v>
      </c>
      <c r="E2714" s="137" t="s">
        <v>4408</v>
      </c>
      <c r="F2714" s="137" t="s">
        <v>4360</v>
      </c>
      <c r="G2714" s="137"/>
      <c r="H2714" s="82" t="str">
        <f t="shared" si="170"/>
        <v>TCCN-PTE-PAF-RED-S17-CDI-</v>
      </c>
      <c r="I2714" s="137" t="str">
        <f>MID(H2714,1,(LEN(H2714)-VLOOKUP(K2714,datos!$B$2:$C$12,2,0)))</f>
        <v>TCCN-PTE-PAF-RED-S17-CDI</v>
      </c>
      <c r="J2714" s="137" t="s">
        <v>4410</v>
      </c>
      <c r="K2714" s="139">
        <f>VLOOKUP(LEN(SUBSTITUTE(H2714,"-","")),datos!$A$1:$B$12,2,0)</f>
        <v>6</v>
      </c>
      <c r="L2714" s="137"/>
      <c r="M2714" s="137" t="s">
        <v>0</v>
      </c>
    </row>
    <row r="2715" spans="1:13" x14ac:dyDescent="0.35">
      <c r="A2715" s="137" t="s">
        <v>487</v>
      </c>
      <c r="B2715" s="137" t="s">
        <v>3809</v>
      </c>
      <c r="C2715" s="137" t="s">
        <v>4124</v>
      </c>
      <c r="D2715" s="137" t="s">
        <v>3861</v>
      </c>
      <c r="E2715" s="137" t="s">
        <v>4408</v>
      </c>
      <c r="F2715" s="137" t="s">
        <v>4362</v>
      </c>
      <c r="G2715" s="137"/>
      <c r="H2715" s="82" t="str">
        <f t="shared" si="170"/>
        <v>TCCN-PTE-PAF-RED-S17-EEI-</v>
      </c>
      <c r="I2715" s="137" t="str">
        <f>MID(H2715,1,(LEN(H2715)-VLOOKUP(K2715,datos!$B$2:$C$12,2,0)))</f>
        <v>TCCN-PTE-PAF-RED-S17-EEI</v>
      </c>
      <c r="J2715" s="137" t="s">
        <v>4411</v>
      </c>
      <c r="K2715" s="139">
        <f>VLOOKUP(LEN(SUBSTITUTE(H2715,"-","")),datos!$A$1:$B$12,2,0)</f>
        <v>6</v>
      </c>
      <c r="L2715" s="137"/>
      <c r="M2715" s="137" t="s">
        <v>0</v>
      </c>
    </row>
    <row r="2716" spans="1:13" customFormat="1" ht="14.5" x14ac:dyDescent="0.35">
      <c r="A2716" s="129" t="s">
        <v>487</v>
      </c>
      <c r="B2716" s="129" t="s">
        <v>3809</v>
      </c>
      <c r="C2716" s="129" t="s">
        <v>4124</v>
      </c>
      <c r="D2716" s="129" t="s">
        <v>3861</v>
      </c>
      <c r="E2716" s="129" t="s">
        <v>4412</v>
      </c>
      <c r="F2716" s="129"/>
      <c r="G2716" s="129"/>
      <c r="H2716" s="83" t="str">
        <f t="shared" si="170"/>
        <v>TCCN-PTE-PAF-RED-S18--</v>
      </c>
      <c r="I2716" s="129" t="str">
        <f>MID(H2716,1,(LEN(H2716)-VLOOKUP(K2716,datos!$B$2:$C$12,2,0)))</f>
        <v>TCCN-PTE-PAF-RED-S18</v>
      </c>
      <c r="J2716" s="129" t="s">
        <v>4413</v>
      </c>
      <c r="K2716" s="130">
        <f>VLOOKUP(LEN(SUBSTITUTE(H2716,"-","")),datos!$A$1:$B$12,2,0)</f>
        <v>5</v>
      </c>
      <c r="L2716" s="129"/>
      <c r="M2716" s="129" t="s">
        <v>0</v>
      </c>
    </row>
    <row r="2717" spans="1:13" x14ac:dyDescent="0.35">
      <c r="A2717" s="137" t="s">
        <v>487</v>
      </c>
      <c r="B2717" s="137" t="s">
        <v>3809</v>
      </c>
      <c r="C2717" s="137" t="s">
        <v>4124</v>
      </c>
      <c r="D2717" s="137" t="s">
        <v>3861</v>
      </c>
      <c r="E2717" s="137" t="s">
        <v>4412</v>
      </c>
      <c r="F2717" s="137" t="s">
        <v>4360</v>
      </c>
      <c r="G2717" s="137"/>
      <c r="H2717" s="82" t="str">
        <f t="shared" si="170"/>
        <v>TCCN-PTE-PAF-RED-S18-CDI-</v>
      </c>
      <c r="I2717" s="137" t="str">
        <f>MID(H2717,1,(LEN(H2717)-VLOOKUP(K2717,datos!$B$2:$C$12,2,0)))</f>
        <v>TCCN-PTE-PAF-RED-S18-CDI</v>
      </c>
      <c r="J2717" s="137" t="s">
        <v>4414</v>
      </c>
      <c r="K2717" s="139">
        <f>VLOOKUP(LEN(SUBSTITUTE(H2717,"-","")),datos!$A$1:$B$12,2,0)</f>
        <v>6</v>
      </c>
      <c r="L2717" s="137"/>
      <c r="M2717" s="137" t="s">
        <v>0</v>
      </c>
    </row>
    <row r="2718" spans="1:13" x14ac:dyDescent="0.35">
      <c r="A2718" s="137" t="s">
        <v>487</v>
      </c>
      <c r="B2718" s="137" t="s">
        <v>3809</v>
      </c>
      <c r="C2718" s="137" t="s">
        <v>4124</v>
      </c>
      <c r="D2718" s="137" t="s">
        <v>3861</v>
      </c>
      <c r="E2718" s="137" t="s">
        <v>4412</v>
      </c>
      <c r="F2718" s="137" t="s">
        <v>4362</v>
      </c>
      <c r="G2718" s="137"/>
      <c r="H2718" s="82" t="str">
        <f t="shared" si="170"/>
        <v>TCCN-PTE-PAF-RED-S18-EEI-</v>
      </c>
      <c r="I2718" s="137" t="str">
        <f>MID(H2718,1,(LEN(H2718)-VLOOKUP(K2718,datos!$B$2:$C$12,2,0)))</f>
        <v>TCCN-PTE-PAF-RED-S18-EEI</v>
      </c>
      <c r="J2718" s="137" t="s">
        <v>4415</v>
      </c>
      <c r="K2718" s="139">
        <f>VLOOKUP(LEN(SUBSTITUTE(H2718,"-","")),datos!$A$1:$B$12,2,0)</f>
        <v>6</v>
      </c>
      <c r="L2718" s="137"/>
      <c r="M2718" s="137" t="s">
        <v>0</v>
      </c>
    </row>
    <row r="2719" spans="1:13" customFormat="1" ht="14.5" x14ac:dyDescent="0.35">
      <c r="A2719" s="129" t="s">
        <v>487</v>
      </c>
      <c r="B2719" s="129" t="s">
        <v>3809</v>
      </c>
      <c r="C2719" s="129" t="s">
        <v>4124</v>
      </c>
      <c r="D2719" s="129" t="s">
        <v>3861</v>
      </c>
      <c r="E2719" s="129" t="s">
        <v>4416</v>
      </c>
      <c r="F2719" s="129"/>
      <c r="G2719" s="129"/>
      <c r="H2719" s="83" t="str">
        <f t="shared" si="170"/>
        <v>TCCN-PTE-PAF-RED-S19--</v>
      </c>
      <c r="I2719" s="129" t="str">
        <f>MID(H2719,1,(LEN(H2719)-VLOOKUP(K2719,datos!$B$2:$C$12,2,0)))</f>
        <v>TCCN-PTE-PAF-RED-S19</v>
      </c>
      <c r="J2719" s="129" t="s">
        <v>4417</v>
      </c>
      <c r="K2719" s="130">
        <f>VLOOKUP(LEN(SUBSTITUTE(H2719,"-","")),datos!$A$1:$B$12,2,0)</f>
        <v>5</v>
      </c>
      <c r="L2719" s="129"/>
      <c r="M2719" s="129" t="s">
        <v>0</v>
      </c>
    </row>
    <row r="2720" spans="1:13" x14ac:dyDescent="0.35">
      <c r="A2720" s="137" t="s">
        <v>487</v>
      </c>
      <c r="B2720" s="137" t="s">
        <v>3809</v>
      </c>
      <c r="C2720" s="137" t="s">
        <v>4124</v>
      </c>
      <c r="D2720" s="137" t="s">
        <v>3861</v>
      </c>
      <c r="E2720" s="137" t="s">
        <v>4416</v>
      </c>
      <c r="F2720" s="137" t="s">
        <v>4360</v>
      </c>
      <c r="G2720" s="137"/>
      <c r="H2720" s="82" t="str">
        <f t="shared" si="170"/>
        <v>TCCN-PTE-PAF-RED-S19-CDI-</v>
      </c>
      <c r="I2720" s="137" t="str">
        <f>MID(H2720,1,(LEN(H2720)-VLOOKUP(K2720,datos!$B$2:$C$12,2,0)))</f>
        <v>TCCN-PTE-PAF-RED-S19-CDI</v>
      </c>
      <c r="J2720" s="137" t="s">
        <v>4418</v>
      </c>
      <c r="K2720" s="139">
        <f>VLOOKUP(LEN(SUBSTITUTE(H2720,"-","")),datos!$A$1:$B$12,2,0)</f>
        <v>6</v>
      </c>
      <c r="L2720" s="137"/>
      <c r="M2720" s="137" t="s">
        <v>0</v>
      </c>
    </row>
    <row r="2721" spans="1:13" x14ac:dyDescent="0.35">
      <c r="A2721" s="137" t="s">
        <v>487</v>
      </c>
      <c r="B2721" s="137" t="s">
        <v>3809</v>
      </c>
      <c r="C2721" s="137" t="s">
        <v>4124</v>
      </c>
      <c r="D2721" s="137" t="s">
        <v>3861</v>
      </c>
      <c r="E2721" s="137" t="s">
        <v>4416</v>
      </c>
      <c r="F2721" s="137" t="s">
        <v>4362</v>
      </c>
      <c r="G2721" s="137"/>
      <c r="H2721" s="82" t="str">
        <f t="shared" si="170"/>
        <v>TCCN-PTE-PAF-RED-S19-EEI-</v>
      </c>
      <c r="I2721" s="137" t="str">
        <f>MID(H2721,1,(LEN(H2721)-VLOOKUP(K2721,datos!$B$2:$C$12,2,0)))</f>
        <v>TCCN-PTE-PAF-RED-S19-EEI</v>
      </c>
      <c r="J2721" s="137" t="s">
        <v>4419</v>
      </c>
      <c r="K2721" s="139">
        <f>VLOOKUP(LEN(SUBSTITUTE(H2721,"-","")),datos!$A$1:$B$12,2,0)</f>
        <v>6</v>
      </c>
      <c r="L2721" s="137"/>
      <c r="M2721" s="137" t="s">
        <v>0</v>
      </c>
    </row>
    <row r="2722" spans="1:13" customFormat="1" ht="14.5" x14ac:dyDescent="0.35">
      <c r="A2722" s="129" t="s">
        <v>487</v>
      </c>
      <c r="B2722" s="129" t="s">
        <v>3809</v>
      </c>
      <c r="C2722" s="129" t="s">
        <v>4124</v>
      </c>
      <c r="D2722" s="129" t="s">
        <v>3861</v>
      </c>
      <c r="E2722" s="129" t="s">
        <v>4420</v>
      </c>
      <c r="F2722" s="129"/>
      <c r="G2722" s="129"/>
      <c r="H2722" s="83" t="str">
        <f t="shared" si="170"/>
        <v>TCCN-PTE-PAF-RED-S20--</v>
      </c>
      <c r="I2722" s="129" t="str">
        <f>MID(H2722,1,(LEN(H2722)-VLOOKUP(K2722,datos!$B$2:$C$12,2,0)))</f>
        <v>TCCN-PTE-PAF-RED-S20</v>
      </c>
      <c r="J2722" s="129" t="s">
        <v>4421</v>
      </c>
      <c r="K2722" s="130">
        <f>VLOOKUP(LEN(SUBSTITUTE(H2722,"-","")),datos!$A$1:$B$12,2,0)</f>
        <v>5</v>
      </c>
      <c r="L2722" s="129"/>
      <c r="M2722" s="129" t="s">
        <v>0</v>
      </c>
    </row>
    <row r="2723" spans="1:13" x14ac:dyDescent="0.35">
      <c r="A2723" s="137" t="s">
        <v>487</v>
      </c>
      <c r="B2723" s="137" t="s">
        <v>3809</v>
      </c>
      <c r="C2723" s="137" t="s">
        <v>4124</v>
      </c>
      <c r="D2723" s="137" t="s">
        <v>3861</v>
      </c>
      <c r="E2723" s="137" t="s">
        <v>4420</v>
      </c>
      <c r="F2723" s="137" t="s">
        <v>4360</v>
      </c>
      <c r="G2723" s="137"/>
      <c r="H2723" s="82" t="str">
        <f t="shared" si="170"/>
        <v>TCCN-PTE-PAF-RED-S20-CDI-</v>
      </c>
      <c r="I2723" s="137" t="str">
        <f>MID(H2723,1,(LEN(H2723)-VLOOKUP(K2723,datos!$B$2:$C$12,2,0)))</f>
        <v>TCCN-PTE-PAF-RED-S20-CDI</v>
      </c>
      <c r="J2723" s="137" t="s">
        <v>4422</v>
      </c>
      <c r="K2723" s="139">
        <f>VLOOKUP(LEN(SUBSTITUTE(H2723,"-","")),datos!$A$1:$B$12,2,0)</f>
        <v>6</v>
      </c>
      <c r="L2723" s="137"/>
      <c r="M2723" s="137" t="s">
        <v>0</v>
      </c>
    </row>
    <row r="2724" spans="1:13" x14ac:dyDescent="0.35">
      <c r="A2724" s="137" t="s">
        <v>487</v>
      </c>
      <c r="B2724" s="137" t="s">
        <v>3809</v>
      </c>
      <c r="C2724" s="137" t="s">
        <v>4124</v>
      </c>
      <c r="D2724" s="137" t="s">
        <v>3861</v>
      </c>
      <c r="E2724" s="137" t="s">
        <v>4420</v>
      </c>
      <c r="F2724" s="137" t="s">
        <v>4364</v>
      </c>
      <c r="G2724" s="137"/>
      <c r="H2724" s="82" t="str">
        <f t="shared" si="170"/>
        <v>TCCN-PTE-PAF-RED-S20-RCI-</v>
      </c>
      <c r="I2724" s="137" t="str">
        <f>MID(H2724,1,(LEN(H2724)-VLOOKUP(K2724,datos!$B$2:$C$12,2,0)))</f>
        <v>TCCN-PTE-PAF-RED-S20-RCI</v>
      </c>
      <c r="J2724" s="137" t="s">
        <v>4423</v>
      </c>
      <c r="K2724" s="139">
        <f>VLOOKUP(LEN(SUBSTITUTE(H2724,"-","")),datos!$A$1:$B$12,2,0)</f>
        <v>6</v>
      </c>
      <c r="L2724" s="137"/>
      <c r="M2724" s="137" t="s">
        <v>0</v>
      </c>
    </row>
    <row r="2725" spans="1:13" x14ac:dyDescent="0.35">
      <c r="A2725" s="137" t="s">
        <v>487</v>
      </c>
      <c r="B2725" s="137" t="s">
        <v>3809</v>
      </c>
      <c r="C2725" s="137" t="s">
        <v>4124</v>
      </c>
      <c r="D2725" s="137" t="s">
        <v>3861</v>
      </c>
      <c r="E2725" s="137" t="s">
        <v>4420</v>
      </c>
      <c r="F2725" s="137" t="s">
        <v>4362</v>
      </c>
      <c r="G2725" s="137"/>
      <c r="H2725" s="82" t="str">
        <f t="shared" si="170"/>
        <v>TCCN-PTE-PAF-RED-S20-EEI-</v>
      </c>
      <c r="I2725" s="137" t="str">
        <f>MID(H2725,1,(LEN(H2725)-VLOOKUP(K2725,datos!$B$2:$C$12,2,0)))</f>
        <v>TCCN-PTE-PAF-RED-S20-EEI</v>
      </c>
      <c r="J2725" s="137" t="s">
        <v>4424</v>
      </c>
      <c r="K2725" s="139">
        <f>VLOOKUP(LEN(SUBSTITUTE(H2725,"-","")),datos!$A$1:$B$12,2,0)</f>
        <v>6</v>
      </c>
      <c r="L2725" s="137"/>
      <c r="M2725" s="137" t="s">
        <v>0</v>
      </c>
    </row>
    <row r="2726" spans="1:13" customFormat="1" ht="14.5" x14ac:dyDescent="0.35">
      <c r="A2726" s="129" t="s">
        <v>487</v>
      </c>
      <c r="B2726" s="129" t="s">
        <v>3809</v>
      </c>
      <c r="C2726" s="129" t="s">
        <v>4124</v>
      </c>
      <c r="D2726" s="129" t="s">
        <v>3861</v>
      </c>
      <c r="E2726" s="129" t="s">
        <v>4425</v>
      </c>
      <c r="F2726" s="129"/>
      <c r="G2726" s="129"/>
      <c r="H2726" s="83" t="str">
        <f t="shared" si="170"/>
        <v>TCCN-PTE-PAF-RED-S21--</v>
      </c>
      <c r="I2726" s="129" t="str">
        <f>MID(H2726,1,(LEN(H2726)-VLOOKUP(K2726,datos!$B$2:$C$12,2,0)))</f>
        <v>TCCN-PTE-PAF-RED-S21</v>
      </c>
      <c r="J2726" s="129" t="s">
        <v>4426</v>
      </c>
      <c r="K2726" s="130">
        <f>VLOOKUP(LEN(SUBSTITUTE(H2726,"-","")),datos!$A$1:$B$12,2,0)</f>
        <v>5</v>
      </c>
      <c r="L2726" s="129"/>
      <c r="M2726" s="129" t="s">
        <v>0</v>
      </c>
    </row>
    <row r="2727" spans="1:13" x14ac:dyDescent="0.35">
      <c r="A2727" s="137" t="s">
        <v>487</v>
      </c>
      <c r="B2727" s="137" t="s">
        <v>3809</v>
      </c>
      <c r="C2727" s="137" t="s">
        <v>4124</v>
      </c>
      <c r="D2727" s="137" t="s">
        <v>3861</v>
      </c>
      <c r="E2727" s="137" t="s">
        <v>4425</v>
      </c>
      <c r="F2727" s="137" t="s">
        <v>4360</v>
      </c>
      <c r="G2727" s="137"/>
      <c r="H2727" s="82" t="str">
        <f t="shared" si="170"/>
        <v>TCCN-PTE-PAF-RED-S21-CDI-</v>
      </c>
      <c r="I2727" s="137" t="str">
        <f>MID(H2727,1,(LEN(H2727)-VLOOKUP(K2727,datos!$B$2:$C$12,2,0)))</f>
        <v>TCCN-PTE-PAF-RED-S21-CDI</v>
      </c>
      <c r="J2727" s="137" t="s">
        <v>4427</v>
      </c>
      <c r="K2727" s="139">
        <f>VLOOKUP(LEN(SUBSTITUTE(H2727,"-","")),datos!$A$1:$B$12,2,0)</f>
        <v>6</v>
      </c>
      <c r="L2727" s="137"/>
      <c r="M2727" s="137" t="s">
        <v>0</v>
      </c>
    </row>
    <row r="2728" spans="1:13" x14ac:dyDescent="0.35">
      <c r="A2728" s="137" t="s">
        <v>487</v>
      </c>
      <c r="B2728" s="137" t="s">
        <v>3809</v>
      </c>
      <c r="C2728" s="137" t="s">
        <v>4124</v>
      </c>
      <c r="D2728" s="137" t="s">
        <v>3861</v>
      </c>
      <c r="E2728" s="137" t="s">
        <v>4425</v>
      </c>
      <c r="F2728" s="137" t="s">
        <v>4362</v>
      </c>
      <c r="G2728" s="137"/>
      <c r="H2728" s="82" t="str">
        <f t="shared" si="170"/>
        <v>TCCN-PTE-PAF-RED-S21-EEI-</v>
      </c>
      <c r="I2728" s="137" t="str">
        <f>MID(H2728,1,(LEN(H2728)-VLOOKUP(K2728,datos!$B$2:$C$12,2,0)))</f>
        <v>TCCN-PTE-PAF-RED-S21-EEI</v>
      </c>
      <c r="J2728" s="137" t="s">
        <v>4428</v>
      </c>
      <c r="K2728" s="139">
        <f>VLOOKUP(LEN(SUBSTITUTE(H2728,"-","")),datos!$A$1:$B$12,2,0)</f>
        <v>6</v>
      </c>
      <c r="L2728" s="137"/>
      <c r="M2728" s="137" t="s">
        <v>0</v>
      </c>
    </row>
    <row r="2729" spans="1:13" customFormat="1" ht="14.5" x14ac:dyDescent="0.35">
      <c r="A2729" s="129" t="s">
        <v>487</v>
      </c>
      <c r="B2729" s="129" t="s">
        <v>3809</v>
      </c>
      <c r="C2729" s="129" t="s">
        <v>4124</v>
      </c>
      <c r="D2729" s="129" t="s">
        <v>3861</v>
      </c>
      <c r="E2729" s="129" t="s">
        <v>4429</v>
      </c>
      <c r="F2729" s="129"/>
      <c r="G2729" s="129"/>
      <c r="H2729" s="83" t="str">
        <f t="shared" si="170"/>
        <v>TCCN-PTE-PAF-RED-S22--</v>
      </c>
      <c r="I2729" s="129" t="str">
        <f>MID(H2729,1,(LEN(H2729)-VLOOKUP(K2729,datos!$B$2:$C$12,2,0)))</f>
        <v>TCCN-PTE-PAF-RED-S22</v>
      </c>
      <c r="J2729" s="129" t="s">
        <v>4430</v>
      </c>
      <c r="K2729" s="130">
        <f>VLOOKUP(LEN(SUBSTITUTE(H2729,"-","")),datos!$A$1:$B$12,2,0)</f>
        <v>5</v>
      </c>
      <c r="L2729" s="129"/>
      <c r="M2729" s="129" t="s">
        <v>0</v>
      </c>
    </row>
    <row r="2730" spans="1:13" x14ac:dyDescent="0.35">
      <c r="A2730" s="137" t="s">
        <v>487</v>
      </c>
      <c r="B2730" s="137" t="s">
        <v>3809</v>
      </c>
      <c r="C2730" s="137" t="s">
        <v>4124</v>
      </c>
      <c r="D2730" s="137" t="s">
        <v>3861</v>
      </c>
      <c r="E2730" s="137" t="s">
        <v>4429</v>
      </c>
      <c r="F2730" s="137" t="s">
        <v>4362</v>
      </c>
      <c r="G2730" s="137"/>
      <c r="H2730" s="82" t="str">
        <f t="shared" si="170"/>
        <v>TCCN-PTE-PAF-RED-S22-EEI-</v>
      </c>
      <c r="I2730" s="137" t="str">
        <f>MID(H2730,1,(LEN(H2730)-VLOOKUP(K2730,datos!$B$2:$C$12,2,0)))</f>
        <v>TCCN-PTE-PAF-RED-S22-EEI</v>
      </c>
      <c r="J2730" s="137" t="s">
        <v>4431</v>
      </c>
      <c r="K2730" s="139">
        <f>VLOOKUP(LEN(SUBSTITUTE(H2730,"-","")),datos!$A$1:$B$12,2,0)</f>
        <v>6</v>
      </c>
      <c r="L2730" s="137"/>
      <c r="M2730" s="137" t="s">
        <v>0</v>
      </c>
    </row>
    <row r="2731" spans="1:13" customFormat="1" ht="14.5" x14ac:dyDescent="0.35">
      <c r="A2731" s="129" t="s">
        <v>487</v>
      </c>
      <c r="B2731" s="129" t="s">
        <v>3809</v>
      </c>
      <c r="C2731" s="129" t="s">
        <v>4124</v>
      </c>
      <c r="D2731" s="129" t="s">
        <v>3861</v>
      </c>
      <c r="E2731" s="129" t="s">
        <v>4432</v>
      </c>
      <c r="F2731" s="129"/>
      <c r="G2731" s="129"/>
      <c r="H2731" s="83" t="str">
        <f t="shared" si="170"/>
        <v>TCCN-PTE-PAF-RED-S23--</v>
      </c>
      <c r="I2731" s="129" t="str">
        <f>MID(H2731,1,(LEN(H2731)-VLOOKUP(K2731,datos!$B$2:$C$12,2,0)))</f>
        <v>TCCN-PTE-PAF-RED-S23</v>
      </c>
      <c r="J2731" s="129" t="s">
        <v>4433</v>
      </c>
      <c r="K2731" s="130">
        <f>VLOOKUP(LEN(SUBSTITUTE(H2731,"-","")),datos!$A$1:$B$12,2,0)</f>
        <v>5</v>
      </c>
      <c r="L2731" s="129"/>
      <c r="M2731" s="129" t="s">
        <v>0</v>
      </c>
    </row>
    <row r="2732" spans="1:13" x14ac:dyDescent="0.35">
      <c r="A2732" s="137" t="s">
        <v>487</v>
      </c>
      <c r="B2732" s="137" t="s">
        <v>3809</v>
      </c>
      <c r="C2732" s="137" t="s">
        <v>4124</v>
      </c>
      <c r="D2732" s="137" t="s">
        <v>3861</v>
      </c>
      <c r="E2732" s="137" t="s">
        <v>4432</v>
      </c>
      <c r="F2732" s="137" t="s">
        <v>4360</v>
      </c>
      <c r="G2732" s="137"/>
      <c r="H2732" s="82" t="str">
        <f t="shared" si="170"/>
        <v>TCCN-PTE-PAF-RED-S23-CDI-</v>
      </c>
      <c r="I2732" s="137" t="str">
        <f>MID(H2732,1,(LEN(H2732)-VLOOKUP(K2732,datos!$B$2:$C$12,2,0)))</f>
        <v>TCCN-PTE-PAF-RED-S23-CDI</v>
      </c>
      <c r="J2732" s="137" t="s">
        <v>4434</v>
      </c>
      <c r="K2732" s="139">
        <f>VLOOKUP(LEN(SUBSTITUTE(H2732,"-","")),datos!$A$1:$B$12,2,0)</f>
        <v>6</v>
      </c>
      <c r="L2732" s="137"/>
      <c r="M2732" s="137" t="s">
        <v>0</v>
      </c>
    </row>
    <row r="2733" spans="1:13" x14ac:dyDescent="0.35">
      <c r="A2733" s="137" t="s">
        <v>487</v>
      </c>
      <c r="B2733" s="137" t="s">
        <v>3809</v>
      </c>
      <c r="C2733" s="137" t="s">
        <v>4124</v>
      </c>
      <c r="D2733" s="137" t="s">
        <v>3861</v>
      </c>
      <c r="E2733" s="137" t="s">
        <v>4432</v>
      </c>
      <c r="F2733" s="137" t="s">
        <v>4364</v>
      </c>
      <c r="G2733" s="137"/>
      <c r="H2733" s="82" t="str">
        <f t="shared" si="170"/>
        <v>TCCN-PTE-PAF-RED-S23-RCI-</v>
      </c>
      <c r="I2733" s="137" t="str">
        <f>MID(H2733,1,(LEN(H2733)-VLOOKUP(K2733,datos!$B$2:$C$12,2,0)))</f>
        <v>TCCN-PTE-PAF-RED-S23-RCI</v>
      </c>
      <c r="J2733" s="137" t="s">
        <v>4435</v>
      </c>
      <c r="K2733" s="139">
        <f>VLOOKUP(LEN(SUBSTITUTE(H2733,"-","")),datos!$A$1:$B$12,2,0)</f>
        <v>6</v>
      </c>
      <c r="L2733" s="137"/>
      <c r="M2733" s="137" t="s">
        <v>0</v>
      </c>
    </row>
    <row r="2734" spans="1:13" customFormat="1" ht="14.5" x14ac:dyDescent="0.35">
      <c r="A2734" s="129" t="s">
        <v>487</v>
      </c>
      <c r="B2734" s="129" t="s">
        <v>3809</v>
      </c>
      <c r="C2734" s="129" t="s">
        <v>4124</v>
      </c>
      <c r="D2734" s="129" t="s">
        <v>3861</v>
      </c>
      <c r="E2734" s="129" t="s">
        <v>4436</v>
      </c>
      <c r="F2734" s="129"/>
      <c r="G2734" s="129"/>
      <c r="H2734" s="83" t="str">
        <f t="shared" si="170"/>
        <v>TCCN-PTE-PAF-RED-S24--</v>
      </c>
      <c r="I2734" s="129" t="str">
        <f>MID(H2734,1,(LEN(H2734)-VLOOKUP(K2734,datos!$B$2:$C$12,2,0)))</f>
        <v>TCCN-PTE-PAF-RED-S24</v>
      </c>
      <c r="J2734" s="129" t="s">
        <v>4437</v>
      </c>
      <c r="K2734" s="130">
        <f>VLOOKUP(LEN(SUBSTITUTE(H2734,"-","")),datos!$A$1:$B$12,2,0)</f>
        <v>5</v>
      </c>
      <c r="L2734" s="129"/>
      <c r="M2734" s="129" t="s">
        <v>0</v>
      </c>
    </row>
    <row r="2735" spans="1:13" x14ac:dyDescent="0.35">
      <c r="A2735" s="137" t="s">
        <v>487</v>
      </c>
      <c r="B2735" s="137" t="s">
        <v>3809</v>
      </c>
      <c r="C2735" s="137" t="s">
        <v>4124</v>
      </c>
      <c r="D2735" s="137" t="s">
        <v>3861</v>
      </c>
      <c r="E2735" s="137" t="s">
        <v>4436</v>
      </c>
      <c r="F2735" s="137" t="s">
        <v>4360</v>
      </c>
      <c r="G2735" s="137"/>
      <c r="H2735" s="82" t="str">
        <f t="shared" si="170"/>
        <v>TCCN-PTE-PAF-RED-S24-CDI-</v>
      </c>
      <c r="I2735" s="137" t="str">
        <f>MID(H2735,1,(LEN(H2735)-VLOOKUP(K2735,datos!$B$2:$C$12,2,0)))</f>
        <v>TCCN-PTE-PAF-RED-S24-CDI</v>
      </c>
      <c r="J2735" s="137" t="s">
        <v>4438</v>
      </c>
      <c r="K2735" s="139">
        <f>VLOOKUP(LEN(SUBSTITUTE(H2735,"-","")),datos!$A$1:$B$12,2,0)</f>
        <v>6</v>
      </c>
      <c r="L2735" s="137"/>
      <c r="M2735" s="137" t="s">
        <v>0</v>
      </c>
    </row>
    <row r="2736" spans="1:13" x14ac:dyDescent="0.35">
      <c r="A2736" s="137" t="s">
        <v>487</v>
      </c>
      <c r="B2736" s="137" t="s">
        <v>3809</v>
      </c>
      <c r="C2736" s="137" t="s">
        <v>4124</v>
      </c>
      <c r="D2736" s="137" t="s">
        <v>3861</v>
      </c>
      <c r="E2736" s="137" t="s">
        <v>4436</v>
      </c>
      <c r="F2736" s="137" t="s">
        <v>4364</v>
      </c>
      <c r="G2736" s="137"/>
      <c r="H2736" s="82" t="str">
        <f t="shared" si="170"/>
        <v>TCCN-PTE-PAF-RED-S24-RCI-</v>
      </c>
      <c r="I2736" s="137" t="str">
        <f>MID(H2736,1,(LEN(H2736)-VLOOKUP(K2736,datos!$B$2:$C$12,2,0)))</f>
        <v>TCCN-PTE-PAF-RED-S24-RCI</v>
      </c>
      <c r="J2736" s="137" t="s">
        <v>4439</v>
      </c>
      <c r="K2736" s="139">
        <f>VLOOKUP(LEN(SUBSTITUTE(H2736,"-","")),datos!$A$1:$B$12,2,0)</f>
        <v>6</v>
      </c>
      <c r="L2736" s="137"/>
      <c r="M2736" s="137" t="s">
        <v>0</v>
      </c>
    </row>
    <row r="2737" spans="1:13" x14ac:dyDescent="0.35">
      <c r="A2737" s="137" t="s">
        <v>487</v>
      </c>
      <c r="B2737" s="137" t="s">
        <v>3809</v>
      </c>
      <c r="C2737" s="137" t="s">
        <v>4124</v>
      </c>
      <c r="D2737" s="137" t="s">
        <v>3861</v>
      </c>
      <c r="E2737" s="137" t="s">
        <v>4436</v>
      </c>
      <c r="F2737" s="137" t="s">
        <v>4362</v>
      </c>
      <c r="G2737" s="137"/>
      <c r="H2737" s="82" t="str">
        <f t="shared" si="170"/>
        <v>TCCN-PTE-PAF-RED-S24-EEI-</v>
      </c>
      <c r="I2737" s="137" t="str">
        <f>MID(H2737,1,(LEN(H2737)-VLOOKUP(K2737,datos!$B$2:$C$12,2,0)))</f>
        <v>TCCN-PTE-PAF-RED-S24-EEI</v>
      </c>
      <c r="J2737" s="137" t="s">
        <v>4440</v>
      </c>
      <c r="K2737" s="139">
        <f>VLOOKUP(LEN(SUBSTITUTE(H2737,"-","")),datos!$A$1:$B$12,2,0)</f>
        <v>6</v>
      </c>
      <c r="L2737" s="137"/>
      <c r="M2737" s="137" t="s">
        <v>0</v>
      </c>
    </row>
    <row r="2738" spans="1:13" customFormat="1" ht="14.5" x14ac:dyDescent="0.35">
      <c r="A2738" s="129" t="s">
        <v>487</v>
      </c>
      <c r="B2738" s="129" t="s">
        <v>3809</v>
      </c>
      <c r="C2738" s="129" t="s">
        <v>4124</v>
      </c>
      <c r="D2738" s="129" t="s">
        <v>3861</v>
      </c>
      <c r="E2738" s="129" t="s">
        <v>4441</v>
      </c>
      <c r="F2738" s="129"/>
      <c r="G2738" s="129"/>
      <c r="H2738" s="83" t="str">
        <f t="shared" si="170"/>
        <v>TCCN-PTE-PAF-RED-S25--</v>
      </c>
      <c r="I2738" s="129" t="str">
        <f>MID(H2738,1,(LEN(H2738)-VLOOKUP(K2738,datos!$B$2:$C$12,2,0)))</f>
        <v>TCCN-PTE-PAF-RED-S25</v>
      </c>
      <c r="J2738" s="129" t="s">
        <v>4442</v>
      </c>
      <c r="K2738" s="130">
        <f>VLOOKUP(LEN(SUBSTITUTE(H2738,"-","")),datos!$A$1:$B$12,2,0)</f>
        <v>5</v>
      </c>
      <c r="L2738" s="129"/>
      <c r="M2738" s="129" t="s">
        <v>0</v>
      </c>
    </row>
    <row r="2739" spans="1:13" x14ac:dyDescent="0.35">
      <c r="A2739" s="137" t="s">
        <v>487</v>
      </c>
      <c r="B2739" s="137" t="s">
        <v>3809</v>
      </c>
      <c r="C2739" s="137" t="s">
        <v>4124</v>
      </c>
      <c r="D2739" s="137" t="s">
        <v>3861</v>
      </c>
      <c r="E2739" s="137" t="s">
        <v>4441</v>
      </c>
      <c r="F2739" s="137" t="s">
        <v>4107</v>
      </c>
      <c r="G2739" s="137"/>
      <c r="H2739" s="82" t="str">
        <f t="shared" si="170"/>
        <v>TCCN-PTE-PAF-RED-S25-CD1-</v>
      </c>
      <c r="I2739" s="137" t="str">
        <f>MID(H2739,1,(LEN(H2739)-VLOOKUP(K2739,datos!$B$2:$C$12,2,0)))</f>
        <v>TCCN-PTE-PAF-RED-S25-CD1</v>
      </c>
      <c r="J2739" s="137" t="s">
        <v>4443</v>
      </c>
      <c r="K2739" s="139">
        <f>VLOOKUP(LEN(SUBSTITUTE(H2739,"-","")),datos!$A$1:$B$12,2,0)</f>
        <v>6</v>
      </c>
      <c r="L2739" s="137"/>
      <c r="M2739" s="137" t="s">
        <v>0</v>
      </c>
    </row>
    <row r="2740" spans="1:13" x14ac:dyDescent="0.35">
      <c r="A2740" s="137" t="s">
        <v>487</v>
      </c>
      <c r="B2740" s="137" t="s">
        <v>3809</v>
      </c>
      <c r="C2740" s="137" t="s">
        <v>4124</v>
      </c>
      <c r="D2740" s="137" t="s">
        <v>3861</v>
      </c>
      <c r="E2740" s="137" t="s">
        <v>4441</v>
      </c>
      <c r="F2740" s="137" t="s">
        <v>4108</v>
      </c>
      <c r="G2740" s="137"/>
      <c r="H2740" s="82" t="str">
        <f t="shared" si="170"/>
        <v>TCCN-PTE-PAF-RED-S25-CD2-</v>
      </c>
      <c r="I2740" s="137" t="str">
        <f>MID(H2740,1,(LEN(H2740)-VLOOKUP(K2740,datos!$B$2:$C$12,2,0)))</f>
        <v>TCCN-PTE-PAF-RED-S25-CD2</v>
      </c>
      <c r="J2740" s="137" t="s">
        <v>4444</v>
      </c>
      <c r="K2740" s="139">
        <f>VLOOKUP(LEN(SUBSTITUTE(H2740,"-","")),datos!$A$1:$B$12,2,0)</f>
        <v>6</v>
      </c>
      <c r="L2740" s="137"/>
      <c r="M2740" s="137" t="s">
        <v>0</v>
      </c>
    </row>
    <row r="2741" spans="1:13" x14ac:dyDescent="0.35">
      <c r="A2741" s="137" t="s">
        <v>487</v>
      </c>
      <c r="B2741" s="137" t="s">
        <v>3809</v>
      </c>
      <c r="C2741" s="137" t="s">
        <v>4124</v>
      </c>
      <c r="D2741" s="137" t="s">
        <v>3861</v>
      </c>
      <c r="E2741" s="137" t="s">
        <v>4441</v>
      </c>
      <c r="F2741" s="137" t="s">
        <v>4445</v>
      </c>
      <c r="G2741" s="137"/>
      <c r="H2741" s="82" t="str">
        <f t="shared" si="170"/>
        <v>TCCN-PTE-PAF-RED-S25-RC1-</v>
      </c>
      <c r="I2741" s="137" t="str">
        <f>MID(H2741,1,(LEN(H2741)-VLOOKUP(K2741,datos!$B$2:$C$12,2,0)))</f>
        <v>TCCN-PTE-PAF-RED-S25-RC1</v>
      </c>
      <c r="J2741" s="137" t="s">
        <v>4446</v>
      </c>
      <c r="K2741" s="139">
        <f>VLOOKUP(LEN(SUBSTITUTE(H2741,"-","")),datos!$A$1:$B$12,2,0)</f>
        <v>6</v>
      </c>
      <c r="L2741" s="137"/>
      <c r="M2741" s="137" t="s">
        <v>0</v>
      </c>
    </row>
    <row r="2742" spans="1:13" x14ac:dyDescent="0.35">
      <c r="A2742" s="137" t="s">
        <v>487</v>
      </c>
      <c r="B2742" s="137" t="s">
        <v>3809</v>
      </c>
      <c r="C2742" s="137" t="s">
        <v>4124</v>
      </c>
      <c r="D2742" s="137" t="s">
        <v>3861</v>
      </c>
      <c r="E2742" s="137" t="s">
        <v>4441</v>
      </c>
      <c r="F2742" s="137" t="s">
        <v>4447</v>
      </c>
      <c r="G2742" s="137"/>
      <c r="H2742" s="82" t="str">
        <f t="shared" si="170"/>
        <v>TCCN-PTE-PAF-RED-S25-RC2-</v>
      </c>
      <c r="I2742" s="137" t="str">
        <f>MID(H2742,1,(LEN(H2742)-VLOOKUP(K2742,datos!$B$2:$C$12,2,0)))</f>
        <v>TCCN-PTE-PAF-RED-S25-RC2</v>
      </c>
      <c r="J2742" s="137" t="s">
        <v>4448</v>
      </c>
      <c r="K2742" s="139">
        <f>VLOOKUP(LEN(SUBSTITUTE(H2742,"-","")),datos!$A$1:$B$12,2,0)</f>
        <v>6</v>
      </c>
      <c r="L2742" s="137"/>
      <c r="M2742" s="137" t="s">
        <v>0</v>
      </c>
    </row>
    <row r="2743" spans="1:13" x14ac:dyDescent="0.35">
      <c r="A2743" s="137" t="s">
        <v>487</v>
      </c>
      <c r="B2743" s="137" t="s">
        <v>3809</v>
      </c>
      <c r="C2743" s="137" t="s">
        <v>4124</v>
      </c>
      <c r="D2743" s="137" t="s">
        <v>3861</v>
      </c>
      <c r="E2743" s="137" t="s">
        <v>4441</v>
      </c>
      <c r="F2743" s="137" t="s">
        <v>4362</v>
      </c>
      <c r="G2743" s="137"/>
      <c r="H2743" s="82" t="str">
        <f t="shared" si="170"/>
        <v>TCCN-PTE-PAF-RED-S25-EEI-</v>
      </c>
      <c r="I2743" s="137" t="str">
        <f>MID(H2743,1,(LEN(H2743)-VLOOKUP(K2743,datos!$B$2:$C$12,2,0)))</f>
        <v>TCCN-PTE-PAF-RED-S25-EEI</v>
      </c>
      <c r="J2743" s="137" t="s">
        <v>4449</v>
      </c>
      <c r="K2743" s="139">
        <f>VLOOKUP(LEN(SUBSTITUTE(H2743,"-","")),datos!$A$1:$B$12,2,0)</f>
        <v>6</v>
      </c>
      <c r="L2743" s="137"/>
      <c r="M2743" s="137" t="s">
        <v>0</v>
      </c>
    </row>
    <row r="2744" spans="1:13" customFormat="1" ht="14.5" x14ac:dyDescent="0.35">
      <c r="A2744" s="129" t="s">
        <v>487</v>
      </c>
      <c r="B2744" s="129" t="s">
        <v>3809</v>
      </c>
      <c r="C2744" s="129" t="s">
        <v>4124</v>
      </c>
      <c r="D2744" s="129" t="s">
        <v>3861</v>
      </c>
      <c r="E2744" s="129" t="s">
        <v>4450</v>
      </c>
      <c r="F2744" s="129"/>
      <c r="G2744" s="129"/>
      <c r="H2744" s="83" t="str">
        <f t="shared" si="170"/>
        <v>TCCN-PTE-PAF-RED-S26--</v>
      </c>
      <c r="I2744" s="129" t="str">
        <f>MID(H2744,1,(LEN(H2744)-VLOOKUP(K2744,datos!$B$2:$C$12,2,0)))</f>
        <v>TCCN-PTE-PAF-RED-S26</v>
      </c>
      <c r="J2744" s="129" t="s">
        <v>4451</v>
      </c>
      <c r="K2744" s="130">
        <f>VLOOKUP(LEN(SUBSTITUTE(H2744,"-","")),datos!$A$1:$B$12,2,0)</f>
        <v>5</v>
      </c>
      <c r="L2744" s="129"/>
      <c r="M2744" s="129" t="s">
        <v>0</v>
      </c>
    </row>
    <row r="2745" spans="1:13" x14ac:dyDescent="0.35">
      <c r="A2745" s="137" t="s">
        <v>487</v>
      </c>
      <c r="B2745" s="137" t="s">
        <v>3809</v>
      </c>
      <c r="C2745" s="137" t="s">
        <v>4124</v>
      </c>
      <c r="D2745" s="137" t="s">
        <v>3861</v>
      </c>
      <c r="E2745" s="137" t="s">
        <v>4450</v>
      </c>
      <c r="F2745" s="137" t="s">
        <v>4360</v>
      </c>
      <c r="G2745" s="137"/>
      <c r="H2745" s="82" t="str">
        <f t="shared" si="170"/>
        <v>TCCN-PTE-PAF-RED-S26-CDI-</v>
      </c>
      <c r="I2745" s="137" t="str">
        <f>MID(H2745,1,(LEN(H2745)-VLOOKUP(K2745,datos!$B$2:$C$12,2,0)))</f>
        <v>TCCN-PTE-PAF-RED-S26-CDI</v>
      </c>
      <c r="J2745" s="137" t="s">
        <v>4452</v>
      </c>
      <c r="K2745" s="139">
        <f>VLOOKUP(LEN(SUBSTITUTE(H2745,"-","")),datos!$A$1:$B$12,2,0)</f>
        <v>6</v>
      </c>
      <c r="L2745" s="137"/>
      <c r="M2745" s="137" t="s">
        <v>0</v>
      </c>
    </row>
    <row r="2746" spans="1:13" x14ac:dyDescent="0.35">
      <c r="A2746" s="137" t="s">
        <v>487</v>
      </c>
      <c r="B2746" s="137" t="s">
        <v>3809</v>
      </c>
      <c r="C2746" s="137" t="s">
        <v>4124</v>
      </c>
      <c r="D2746" s="137" t="s">
        <v>3861</v>
      </c>
      <c r="E2746" s="137" t="s">
        <v>4450</v>
      </c>
      <c r="F2746" s="137" t="s">
        <v>4364</v>
      </c>
      <c r="G2746" s="137"/>
      <c r="H2746" s="82" t="str">
        <f t="shared" si="170"/>
        <v>TCCN-PTE-PAF-RED-S26-RCI-</v>
      </c>
      <c r="I2746" s="137" t="str">
        <f>MID(H2746,1,(LEN(H2746)-VLOOKUP(K2746,datos!$B$2:$C$12,2,0)))</f>
        <v>TCCN-PTE-PAF-RED-S26-RCI</v>
      </c>
      <c r="J2746" s="137" t="s">
        <v>4453</v>
      </c>
      <c r="K2746" s="139">
        <f>VLOOKUP(LEN(SUBSTITUTE(H2746,"-","")),datos!$A$1:$B$12,2,0)</f>
        <v>6</v>
      </c>
      <c r="L2746" s="137"/>
      <c r="M2746" s="137" t="s">
        <v>0</v>
      </c>
    </row>
    <row r="2747" spans="1:13" x14ac:dyDescent="0.35">
      <c r="A2747" s="137" t="s">
        <v>487</v>
      </c>
      <c r="B2747" s="137" t="s">
        <v>3809</v>
      </c>
      <c r="C2747" s="137" t="s">
        <v>4124</v>
      </c>
      <c r="D2747" s="137" t="s">
        <v>3861</v>
      </c>
      <c r="E2747" s="137" t="s">
        <v>4450</v>
      </c>
      <c r="F2747" s="137" t="s">
        <v>4362</v>
      </c>
      <c r="G2747" s="137"/>
      <c r="H2747" s="82" t="str">
        <f t="shared" si="170"/>
        <v>TCCN-PTE-PAF-RED-S26-EEI-</v>
      </c>
      <c r="I2747" s="137" t="str">
        <f>MID(H2747,1,(LEN(H2747)-VLOOKUP(K2747,datos!$B$2:$C$12,2,0)))</f>
        <v>TCCN-PTE-PAF-RED-S26-EEI</v>
      </c>
      <c r="J2747" s="137" t="s">
        <v>4454</v>
      </c>
      <c r="K2747" s="139">
        <f>VLOOKUP(LEN(SUBSTITUTE(H2747,"-","")),datos!$A$1:$B$12,2,0)</f>
        <v>6</v>
      </c>
      <c r="L2747" s="137"/>
      <c r="M2747" s="137" t="s">
        <v>0</v>
      </c>
    </row>
    <row r="2748" spans="1:13" customFormat="1" ht="14.5" x14ac:dyDescent="0.35">
      <c r="A2748" s="129" t="s">
        <v>487</v>
      </c>
      <c r="B2748" s="129" t="s">
        <v>3809</v>
      </c>
      <c r="C2748" s="129" t="s">
        <v>4124</v>
      </c>
      <c r="D2748" s="129" t="s">
        <v>3861</v>
      </c>
      <c r="E2748" s="129" t="s">
        <v>4455</v>
      </c>
      <c r="F2748" s="129"/>
      <c r="G2748" s="129"/>
      <c r="H2748" s="83" t="str">
        <f t="shared" si="170"/>
        <v>TCCN-PTE-PAF-RED-S27--</v>
      </c>
      <c r="I2748" s="129" t="str">
        <f>MID(H2748,1,(LEN(H2748)-VLOOKUP(K2748,datos!$B$2:$C$12,2,0)))</f>
        <v>TCCN-PTE-PAF-RED-S27</v>
      </c>
      <c r="J2748" s="129" t="s">
        <v>4456</v>
      </c>
      <c r="K2748" s="130">
        <f>VLOOKUP(LEN(SUBSTITUTE(H2748,"-","")),datos!$A$1:$B$12,2,0)</f>
        <v>5</v>
      </c>
      <c r="L2748" s="129"/>
      <c r="M2748" s="129" t="s">
        <v>0</v>
      </c>
    </row>
    <row r="2749" spans="1:13" x14ac:dyDescent="0.35">
      <c r="A2749" s="137" t="s">
        <v>487</v>
      </c>
      <c r="B2749" s="137" t="s">
        <v>3809</v>
      </c>
      <c r="C2749" s="137" t="s">
        <v>4124</v>
      </c>
      <c r="D2749" s="137" t="s">
        <v>3861</v>
      </c>
      <c r="E2749" s="137" t="s">
        <v>4455</v>
      </c>
      <c r="F2749" s="137" t="s">
        <v>4362</v>
      </c>
      <c r="G2749" s="137"/>
      <c r="H2749" s="82" t="str">
        <f t="shared" si="170"/>
        <v>TCCN-PTE-PAF-RED-S27-EEI-</v>
      </c>
      <c r="I2749" s="137" t="str">
        <f>MID(H2749,1,(LEN(H2749)-VLOOKUP(K2749,datos!$B$2:$C$12,2,0)))</f>
        <v>TCCN-PTE-PAF-RED-S27-EEI</v>
      </c>
      <c r="J2749" s="137" t="s">
        <v>4457</v>
      </c>
      <c r="K2749" s="139">
        <f>VLOOKUP(LEN(SUBSTITUTE(H2749,"-","")),datos!$A$1:$B$12,2,0)</f>
        <v>6</v>
      </c>
      <c r="L2749" s="137"/>
      <c r="M2749" s="137" t="s">
        <v>0</v>
      </c>
    </row>
    <row r="2750" spans="1:13" customFormat="1" ht="14.5" x14ac:dyDescent="0.35">
      <c r="A2750" s="129" t="s">
        <v>487</v>
      </c>
      <c r="B2750" s="129" t="s">
        <v>3809</v>
      </c>
      <c r="C2750" s="129" t="s">
        <v>4124</v>
      </c>
      <c r="D2750" s="129" t="s">
        <v>3861</v>
      </c>
      <c r="E2750" s="129" t="s">
        <v>4458</v>
      </c>
      <c r="F2750" s="129"/>
      <c r="G2750" s="129"/>
      <c r="H2750" s="83" t="str">
        <f t="shared" si="170"/>
        <v>TCCN-PTE-PAF-RED-S28--</v>
      </c>
      <c r="I2750" s="129" t="str">
        <f>MID(H2750,1,(LEN(H2750)-VLOOKUP(K2750,datos!$B$2:$C$12,2,0)))</f>
        <v>TCCN-PTE-PAF-RED-S28</v>
      </c>
      <c r="J2750" s="129" t="s">
        <v>4459</v>
      </c>
      <c r="K2750" s="130">
        <f>VLOOKUP(LEN(SUBSTITUTE(H2750,"-","")),datos!$A$1:$B$12,2,0)</f>
        <v>5</v>
      </c>
      <c r="L2750" s="129"/>
      <c r="M2750" s="129" t="s">
        <v>0</v>
      </c>
    </row>
    <row r="2751" spans="1:13" x14ac:dyDescent="0.35">
      <c r="A2751" s="137" t="s">
        <v>487</v>
      </c>
      <c r="B2751" s="137" t="s">
        <v>3809</v>
      </c>
      <c r="C2751" s="137" t="s">
        <v>4124</v>
      </c>
      <c r="D2751" s="137" t="s">
        <v>3861</v>
      </c>
      <c r="E2751" s="137" t="s">
        <v>4458</v>
      </c>
      <c r="F2751" s="137" t="s">
        <v>4362</v>
      </c>
      <c r="G2751" s="137"/>
      <c r="H2751" s="82" t="str">
        <f t="shared" si="170"/>
        <v>TCCN-PTE-PAF-RED-S28-EEI-</v>
      </c>
      <c r="I2751" s="137" t="str">
        <f>MID(H2751,1,(LEN(H2751)-VLOOKUP(K2751,datos!$B$2:$C$12,2,0)))</f>
        <v>TCCN-PTE-PAF-RED-S28-EEI</v>
      </c>
      <c r="J2751" s="137" t="s">
        <v>4454</v>
      </c>
      <c r="K2751" s="139">
        <f>VLOOKUP(LEN(SUBSTITUTE(H2751,"-","")),datos!$A$1:$B$12,2,0)</f>
        <v>6</v>
      </c>
      <c r="L2751" s="137"/>
      <c r="M2751" s="137" t="s">
        <v>0</v>
      </c>
    </row>
    <row r="2752" spans="1:13" customFormat="1" ht="14.5" x14ac:dyDescent="0.35">
      <c r="A2752" s="84" t="s">
        <v>487</v>
      </c>
      <c r="B2752" s="84" t="s">
        <v>3809</v>
      </c>
      <c r="C2752" s="84" t="s">
        <v>4124</v>
      </c>
      <c r="D2752" s="84" t="s">
        <v>4127</v>
      </c>
      <c r="E2752" s="84"/>
      <c r="F2752" s="84"/>
      <c r="G2752" s="84"/>
      <c r="H2752" s="84" t="str">
        <f t="shared" si="170"/>
        <v>TCCN-PTE-PAF-TMA---</v>
      </c>
      <c r="I2752" s="84" t="str">
        <f>MID(H2752,1,(LEN(H2752)-VLOOKUP(K2752,datos!$B$2:$C$12,2,0)))</f>
        <v>TCCN-PTE-PAF-TMA</v>
      </c>
      <c r="J2752" s="84" t="s">
        <v>4254</v>
      </c>
      <c r="K2752" s="119">
        <f>VLOOKUP(LEN(SUBSTITUTE(H2752,"-","")),datos!$A$1:$B$12,2,0)</f>
        <v>4</v>
      </c>
      <c r="L2752" s="84"/>
      <c r="M2752" s="84" t="s">
        <v>0</v>
      </c>
    </row>
    <row r="2753" spans="1:13" customFormat="1" ht="14.5" x14ac:dyDescent="0.35">
      <c r="A2753" s="129" t="s">
        <v>487</v>
      </c>
      <c r="B2753" s="129" t="s">
        <v>3809</v>
      </c>
      <c r="C2753" s="129" t="s">
        <v>4124</v>
      </c>
      <c r="D2753" s="129" t="s">
        <v>4127</v>
      </c>
      <c r="E2753" s="129" t="s">
        <v>4051</v>
      </c>
      <c r="F2753" s="129"/>
      <c r="G2753" s="129"/>
      <c r="H2753" s="83" t="str">
        <f t="shared" si="170"/>
        <v>TCCN-PTE-PAF-TMA-ES1--</v>
      </c>
      <c r="I2753" s="129" t="str">
        <f>MID(H2753,1,(LEN(H2753)-VLOOKUP(K2753,datos!$B$2:$C$12,2,0)))</f>
        <v>TCCN-PTE-PAF-TMA-ES1</v>
      </c>
      <c r="J2753" s="129" t="s">
        <v>4245</v>
      </c>
      <c r="K2753" s="130">
        <f>VLOOKUP(LEN(SUBSTITUTE(H2753,"-","")),datos!$A$1:$B$12,2,0)</f>
        <v>5</v>
      </c>
      <c r="L2753" s="129" t="s">
        <v>4232</v>
      </c>
      <c r="M2753" s="129" t="s">
        <v>0</v>
      </c>
    </row>
    <row r="2754" spans="1:13" x14ac:dyDescent="0.35">
      <c r="A2754" s="137" t="s">
        <v>487</v>
      </c>
      <c r="B2754" s="137" t="s">
        <v>3809</v>
      </c>
      <c r="C2754" s="137" t="s">
        <v>4124</v>
      </c>
      <c r="D2754" s="137" t="s">
        <v>4127</v>
      </c>
      <c r="E2754" s="137" t="s">
        <v>4051</v>
      </c>
      <c r="F2754" s="137" t="s">
        <v>4073</v>
      </c>
      <c r="G2754" s="137"/>
      <c r="H2754" s="82" t="str">
        <f t="shared" ref="H2754:H2755" si="171">CONCATENATE(A2754,"-",B2754,"-",C2754,"-",D2754,"-",E2754,"-",F2754,"-",G2754)</f>
        <v>TCCN-PTE-PAF-TMA-ES1-PYV-</v>
      </c>
      <c r="I2754" s="137" t="str">
        <f>MID(H2754,1,(LEN(H2754)-VLOOKUP(K2754,datos!$B$2:$C$12,2,0)))</f>
        <v>TCCN-PTE-PAF-TMA-ES1-PYV</v>
      </c>
      <c r="J2754" s="137" t="s">
        <v>7390</v>
      </c>
      <c r="K2754" s="139">
        <f>VLOOKUP(LEN(SUBSTITUTE(H2754,"-","")),datos!$A$1:$B$12,2,0)</f>
        <v>6</v>
      </c>
      <c r="L2754" s="137"/>
      <c r="M2754" s="137" t="s">
        <v>0</v>
      </c>
    </row>
    <row r="2755" spans="1:13" x14ac:dyDescent="0.35">
      <c r="A2755" s="138" t="s">
        <v>487</v>
      </c>
      <c r="B2755" s="138" t="s">
        <v>3809</v>
      </c>
      <c r="C2755" s="138" t="s">
        <v>4124</v>
      </c>
      <c r="D2755" s="138" t="s">
        <v>4127</v>
      </c>
      <c r="E2755" s="138" t="s">
        <v>4051</v>
      </c>
      <c r="F2755" s="138" t="s">
        <v>4073</v>
      </c>
      <c r="G2755" s="138" t="s">
        <v>4075</v>
      </c>
      <c r="H2755" s="81" t="str">
        <f t="shared" si="171"/>
        <v>TCCN-PTE-PAF-TMA-ES1-PYV-VVA</v>
      </c>
      <c r="I2755" s="138" t="str">
        <f>MID(H2755,1,(LEN(H2755)-VLOOKUP(K2755,datos!$B$2:$C$12,2,0)))</f>
        <v>TCCN-PTE-PAF-TMA-ES1-PYV-VVA</v>
      </c>
      <c r="J2755" s="138" t="s">
        <v>7392</v>
      </c>
      <c r="K2755" s="140">
        <f>VLOOKUP(LEN(SUBSTITUTE(H2755,"-","")),datos!$A$1:$B$12,2,0)</f>
        <v>7</v>
      </c>
      <c r="L2755" s="138" t="s">
        <v>7391</v>
      </c>
      <c r="M2755" s="138" t="s">
        <v>0</v>
      </c>
    </row>
    <row r="2756" spans="1:13" x14ac:dyDescent="0.35">
      <c r="A2756" s="137" t="s">
        <v>487</v>
      </c>
      <c r="B2756" s="137" t="s">
        <v>3809</v>
      </c>
      <c r="C2756" s="137" t="s">
        <v>4124</v>
      </c>
      <c r="D2756" s="137" t="s">
        <v>4127</v>
      </c>
      <c r="E2756" s="137" t="s">
        <v>4051</v>
      </c>
      <c r="F2756" s="137" t="s">
        <v>3831</v>
      </c>
      <c r="G2756" s="137"/>
      <c r="H2756" s="82" t="str">
        <f t="shared" ref="H2756:H2757" si="172">CONCATENATE(A2756,"-",B2756,"-",C2756,"-",D2756,"-",E2756,"-",F2756,"-",G2756)</f>
        <v>TCCN-PTE-PAF-TMA-ES1-INS-</v>
      </c>
      <c r="I2756" s="137" t="str">
        <f>MID(H2756,1,(LEN(H2756)-VLOOKUP(K2756,datos!$B$2:$C$12,2,0)))</f>
        <v>TCCN-PTE-PAF-TMA-ES1-INS</v>
      </c>
      <c r="J2756" s="137" t="s">
        <v>7393</v>
      </c>
      <c r="K2756" s="139">
        <f>VLOOKUP(LEN(SUBSTITUTE(H2756,"-","")),datos!$A$1:$B$12,2,0)</f>
        <v>6</v>
      </c>
      <c r="L2756" s="137"/>
      <c r="M2756" s="137" t="s">
        <v>0</v>
      </c>
    </row>
    <row r="2757" spans="1:13" x14ac:dyDescent="0.35">
      <c r="A2757" s="138" t="s">
        <v>487</v>
      </c>
      <c r="B2757" s="138" t="s">
        <v>3809</v>
      </c>
      <c r="C2757" s="138" t="s">
        <v>4124</v>
      </c>
      <c r="D2757" s="138" t="s">
        <v>4127</v>
      </c>
      <c r="E2757" s="138" t="s">
        <v>4051</v>
      </c>
      <c r="F2757" s="138" t="s">
        <v>3831</v>
      </c>
      <c r="G2757" s="138" t="s">
        <v>4002</v>
      </c>
      <c r="H2757" s="81" t="str">
        <f t="shared" si="172"/>
        <v>TCCN-PTE-PAF-TMA-ES1-INS-FJM</v>
      </c>
      <c r="I2757" s="138" t="str">
        <f>MID(H2757,1,(LEN(H2757)-VLOOKUP(K2757,datos!$B$2:$C$12,2,0)))</f>
        <v>TCCN-PTE-PAF-TMA-ES1-INS-FJM</v>
      </c>
      <c r="J2757" s="138" t="s">
        <v>7395</v>
      </c>
      <c r="K2757" s="140">
        <f>VLOOKUP(LEN(SUBSTITUTE(H2757,"-","")),datos!$A$1:$B$12,2,0)</f>
        <v>7</v>
      </c>
      <c r="L2757" s="138" t="s">
        <v>7394</v>
      </c>
      <c r="M2757" s="138" t="s">
        <v>0</v>
      </c>
    </row>
    <row r="2758" spans="1:13" customFormat="1" ht="14.5" x14ac:dyDescent="0.35">
      <c r="A2758" s="129" t="s">
        <v>487</v>
      </c>
      <c r="B2758" s="129" t="s">
        <v>3809</v>
      </c>
      <c r="C2758" s="129" t="s">
        <v>4124</v>
      </c>
      <c r="D2758" s="129" t="s">
        <v>4127</v>
      </c>
      <c r="E2758" s="129" t="s">
        <v>4079</v>
      </c>
      <c r="F2758" s="129"/>
      <c r="G2758" s="129"/>
      <c r="H2758" s="83" t="str">
        <f t="shared" si="170"/>
        <v>TCCN-PTE-PAF-TMA-ES2--</v>
      </c>
      <c r="I2758" s="129" t="str">
        <f>MID(H2758,1,(LEN(H2758)-VLOOKUP(K2758,datos!$B$2:$C$12,2,0)))</f>
        <v>TCCN-PTE-PAF-TMA-ES2</v>
      </c>
      <c r="J2758" s="129" t="s">
        <v>4247</v>
      </c>
      <c r="K2758" s="130">
        <f>VLOOKUP(LEN(SUBSTITUTE(H2758,"-","")),datos!$A$1:$B$12,2,0)</f>
        <v>5</v>
      </c>
      <c r="L2758" s="129" t="s">
        <v>4233</v>
      </c>
      <c r="M2758" s="129" t="s">
        <v>0</v>
      </c>
    </row>
    <row r="2759" spans="1:13" x14ac:dyDescent="0.35">
      <c r="A2759" s="137" t="s">
        <v>487</v>
      </c>
      <c r="B2759" s="137" t="s">
        <v>3809</v>
      </c>
      <c r="C2759" s="137" t="s">
        <v>4124</v>
      </c>
      <c r="D2759" s="137" t="s">
        <v>4127</v>
      </c>
      <c r="E2759" s="137" t="s">
        <v>4079</v>
      </c>
      <c r="F2759" s="137" t="s">
        <v>4073</v>
      </c>
      <c r="G2759" s="137"/>
      <c r="H2759" s="82" t="str">
        <f t="shared" ref="H2759:H2760" si="173">CONCATENATE(A2759,"-",B2759,"-",C2759,"-",D2759,"-",E2759,"-",F2759,"-",G2759)</f>
        <v>TCCN-PTE-PAF-TMA-ES2-PYV-</v>
      </c>
      <c r="I2759" s="137" t="str">
        <f>MID(H2759,1,(LEN(H2759)-VLOOKUP(K2759,datos!$B$2:$C$12,2,0)))</f>
        <v>TCCN-PTE-PAF-TMA-ES2-PYV</v>
      </c>
      <c r="J2759" s="137" t="s">
        <v>7423</v>
      </c>
      <c r="K2759" s="139">
        <f>VLOOKUP(LEN(SUBSTITUTE(H2759,"-","")),datos!$A$1:$B$12,2,0)</f>
        <v>6</v>
      </c>
      <c r="L2759" s="137"/>
      <c r="M2759" s="137" t="s">
        <v>0</v>
      </c>
    </row>
    <row r="2760" spans="1:13" x14ac:dyDescent="0.35">
      <c r="A2760" s="138" t="s">
        <v>487</v>
      </c>
      <c r="B2760" s="138" t="s">
        <v>3809</v>
      </c>
      <c r="C2760" s="138" t="s">
        <v>4124</v>
      </c>
      <c r="D2760" s="138" t="s">
        <v>4127</v>
      </c>
      <c r="E2760" s="138" t="s">
        <v>4079</v>
      </c>
      <c r="F2760" s="138" t="s">
        <v>4073</v>
      </c>
      <c r="G2760" s="138" t="s">
        <v>3986</v>
      </c>
      <c r="H2760" s="81" t="str">
        <f t="shared" si="173"/>
        <v>TCCN-PTE-PAF-TMA-ES2-PYV-VV1</v>
      </c>
      <c r="I2760" s="138" t="str">
        <f>MID(H2760,1,(LEN(H2760)-VLOOKUP(K2760,datos!$B$2:$C$12,2,0)))</f>
        <v>TCCN-PTE-PAF-TMA-ES2-PYV-VV1</v>
      </c>
      <c r="J2760" s="138" t="s">
        <v>7404</v>
      </c>
      <c r="K2760" s="140">
        <f>VLOOKUP(LEN(SUBSTITUTE(H2760,"-","")),datos!$A$1:$B$12,2,0)</f>
        <v>7</v>
      </c>
      <c r="L2760" s="138" t="s">
        <v>7403</v>
      </c>
      <c r="M2760" s="138" t="s">
        <v>0</v>
      </c>
    </row>
    <row r="2761" spans="1:13" x14ac:dyDescent="0.35">
      <c r="A2761" s="138" t="s">
        <v>487</v>
      </c>
      <c r="B2761" s="138" t="s">
        <v>3809</v>
      </c>
      <c r="C2761" s="138" t="s">
        <v>4124</v>
      </c>
      <c r="D2761" s="138" t="s">
        <v>4127</v>
      </c>
      <c r="E2761" s="138" t="s">
        <v>4079</v>
      </c>
      <c r="F2761" s="138" t="s">
        <v>4073</v>
      </c>
      <c r="G2761" s="138" t="s">
        <v>3987</v>
      </c>
      <c r="H2761" s="81" t="str">
        <f t="shared" ref="H2761" si="174">CONCATENATE(A2761,"-",B2761,"-",C2761,"-",D2761,"-",E2761,"-",F2761,"-",G2761)</f>
        <v>TCCN-PTE-PAF-TMA-ES2-PYV-VV2</v>
      </c>
      <c r="I2761" s="138" t="str">
        <f>MID(H2761,1,(LEN(H2761)-VLOOKUP(K2761,datos!$B$2:$C$12,2,0)))</f>
        <v>TCCN-PTE-PAF-TMA-ES2-PYV-VV2</v>
      </c>
      <c r="J2761" s="138" t="s">
        <v>7441</v>
      </c>
      <c r="K2761" s="140">
        <f>VLOOKUP(LEN(SUBSTITUTE(H2761,"-","")),datos!$A$1:$B$12,2,0)</f>
        <v>7</v>
      </c>
      <c r="L2761" s="138" t="s">
        <v>7440</v>
      </c>
      <c r="M2761" s="138" t="s">
        <v>0</v>
      </c>
    </row>
    <row r="2762" spans="1:13" x14ac:dyDescent="0.35">
      <c r="A2762" s="137" t="s">
        <v>487</v>
      </c>
      <c r="B2762" s="137" t="s">
        <v>3809</v>
      </c>
      <c r="C2762" s="137" t="s">
        <v>4124</v>
      </c>
      <c r="D2762" s="137" t="s">
        <v>4127</v>
      </c>
      <c r="E2762" s="137" t="s">
        <v>4079</v>
      </c>
      <c r="F2762" s="137" t="s">
        <v>3831</v>
      </c>
      <c r="G2762" s="137"/>
      <c r="H2762" s="82" t="str">
        <f t="shared" ref="H2762:H2763" si="175">CONCATENATE(A2762,"-",B2762,"-",C2762,"-",D2762,"-",E2762,"-",F2762,"-",G2762)</f>
        <v>TCCN-PTE-PAF-TMA-ES2-INS-</v>
      </c>
      <c r="I2762" s="137" t="str">
        <f>MID(H2762,1,(LEN(H2762)-VLOOKUP(K2762,datos!$B$2:$C$12,2,0)))</f>
        <v>TCCN-PTE-PAF-TMA-ES2-INS</v>
      </c>
      <c r="J2762" s="137" t="s">
        <v>7425</v>
      </c>
      <c r="K2762" s="139">
        <f>VLOOKUP(LEN(SUBSTITUTE(H2762,"-","")),datos!$A$1:$B$12,2,0)</f>
        <v>6</v>
      </c>
      <c r="L2762" s="137"/>
      <c r="M2762" s="137" t="s">
        <v>0</v>
      </c>
    </row>
    <row r="2763" spans="1:13" x14ac:dyDescent="0.35">
      <c r="A2763" s="138" t="s">
        <v>487</v>
      </c>
      <c r="B2763" s="138" t="s">
        <v>3809</v>
      </c>
      <c r="C2763" s="138" t="s">
        <v>4124</v>
      </c>
      <c r="D2763" s="138" t="s">
        <v>4127</v>
      </c>
      <c r="E2763" s="138" t="s">
        <v>4079</v>
      </c>
      <c r="F2763" s="138" t="s">
        <v>3831</v>
      </c>
      <c r="G2763" s="138" t="s">
        <v>5632</v>
      </c>
      <c r="H2763" s="81" t="str">
        <f t="shared" si="175"/>
        <v>TCCN-PTE-PAF-TMA-ES2-INS-FJ1</v>
      </c>
      <c r="I2763" s="138" t="str">
        <f>MID(H2763,1,(LEN(H2763)-VLOOKUP(K2763,datos!$B$2:$C$12,2,0)))</f>
        <v>TCCN-PTE-PAF-TMA-ES2-INS-FJ1</v>
      </c>
      <c r="J2763" s="138" t="s">
        <v>7427</v>
      </c>
      <c r="K2763" s="140">
        <f>VLOOKUP(LEN(SUBSTITUTE(H2763,"-","")),datos!$A$1:$B$12,2,0)</f>
        <v>7</v>
      </c>
      <c r="L2763" s="138" t="s">
        <v>7426</v>
      </c>
      <c r="M2763" s="138" t="s">
        <v>0</v>
      </c>
    </row>
    <row r="2764" spans="1:13" x14ac:dyDescent="0.35">
      <c r="A2764" s="138" t="s">
        <v>487</v>
      </c>
      <c r="B2764" s="138" t="s">
        <v>3809</v>
      </c>
      <c r="C2764" s="138" t="s">
        <v>4124</v>
      </c>
      <c r="D2764" s="138" t="s">
        <v>4127</v>
      </c>
      <c r="E2764" s="138" t="s">
        <v>4079</v>
      </c>
      <c r="F2764" s="138" t="s">
        <v>3831</v>
      </c>
      <c r="G2764" s="138" t="s">
        <v>5633</v>
      </c>
      <c r="H2764" s="81" t="str">
        <f t="shared" ref="H2764" si="176">CONCATENATE(A2764,"-",B2764,"-",C2764,"-",D2764,"-",E2764,"-",F2764,"-",G2764)</f>
        <v>TCCN-PTE-PAF-TMA-ES2-INS-FJ2</v>
      </c>
      <c r="I2764" s="138" t="str">
        <f>MID(H2764,1,(LEN(H2764)-VLOOKUP(K2764,datos!$B$2:$C$12,2,0)))</f>
        <v>TCCN-PTE-PAF-TMA-ES2-INS-FJ2</v>
      </c>
      <c r="J2764" s="138" t="s">
        <v>7434</v>
      </c>
      <c r="K2764" s="140">
        <f>VLOOKUP(LEN(SUBSTITUTE(H2764,"-","")),datos!$A$1:$B$12,2,0)</f>
        <v>7</v>
      </c>
      <c r="L2764" s="138" t="s">
        <v>7428</v>
      </c>
      <c r="M2764" s="138" t="s">
        <v>0</v>
      </c>
    </row>
    <row r="2765" spans="1:13" x14ac:dyDescent="0.35">
      <c r="A2765" s="138" t="s">
        <v>487</v>
      </c>
      <c r="B2765" s="138" t="s">
        <v>3809</v>
      </c>
      <c r="C2765" s="138" t="s">
        <v>4124</v>
      </c>
      <c r="D2765" s="138" t="s">
        <v>4127</v>
      </c>
      <c r="E2765" s="138" t="s">
        <v>4079</v>
      </c>
      <c r="F2765" s="138" t="s">
        <v>3831</v>
      </c>
      <c r="G2765" s="138" t="s">
        <v>7069</v>
      </c>
      <c r="H2765" s="81" t="str">
        <f t="shared" ref="H2765" si="177">CONCATENATE(A2765,"-",B2765,"-",C2765,"-",D2765,"-",E2765,"-",F2765,"-",G2765)</f>
        <v>TCCN-PTE-PAF-TMA-ES2-INS-MPN</v>
      </c>
      <c r="I2765" s="138" t="str">
        <f>MID(H2765,1,(LEN(H2765)-VLOOKUP(K2765,datos!$B$2:$C$12,2,0)))</f>
        <v>TCCN-PTE-PAF-TMA-ES2-INS-MPN</v>
      </c>
      <c r="J2765" s="138" t="s">
        <v>7435</v>
      </c>
      <c r="K2765" s="140">
        <f>VLOOKUP(LEN(SUBSTITUTE(H2765,"-","")),datos!$A$1:$B$12,2,0)</f>
        <v>7</v>
      </c>
      <c r="L2765" s="138" t="s">
        <v>7429</v>
      </c>
      <c r="M2765" s="138" t="s">
        <v>0</v>
      </c>
    </row>
    <row r="2766" spans="1:13" customFormat="1" ht="14.5" x14ac:dyDescent="0.35">
      <c r="A2766" s="129" t="s">
        <v>487</v>
      </c>
      <c r="B2766" s="129" t="s">
        <v>3809</v>
      </c>
      <c r="C2766" s="129" t="s">
        <v>4124</v>
      </c>
      <c r="D2766" s="129" t="s">
        <v>4127</v>
      </c>
      <c r="E2766" s="129" t="s">
        <v>4083</v>
      </c>
      <c r="F2766" s="129"/>
      <c r="G2766" s="129"/>
      <c r="H2766" s="83" t="str">
        <f t="shared" si="170"/>
        <v>TCCN-PTE-PAF-TMA-ES3--</v>
      </c>
      <c r="I2766" s="129" t="str">
        <f>MID(H2766,1,(LEN(H2766)-VLOOKUP(K2766,datos!$B$2:$C$12,2,0)))</f>
        <v>TCCN-PTE-PAF-TMA-ES3</v>
      </c>
      <c r="J2766" s="129" t="s">
        <v>4246</v>
      </c>
      <c r="K2766" s="130">
        <f>VLOOKUP(LEN(SUBSTITUTE(H2766,"-","")),datos!$A$1:$B$12,2,0)</f>
        <v>5</v>
      </c>
      <c r="L2766" s="129" t="s">
        <v>4234</v>
      </c>
      <c r="M2766" s="129" t="s">
        <v>0</v>
      </c>
    </row>
    <row r="2767" spans="1:13" x14ac:dyDescent="0.35">
      <c r="A2767" s="137" t="s">
        <v>487</v>
      </c>
      <c r="B2767" s="137" t="s">
        <v>3809</v>
      </c>
      <c r="C2767" s="137" t="s">
        <v>4124</v>
      </c>
      <c r="D2767" s="137" t="s">
        <v>4127</v>
      </c>
      <c r="E2767" s="137" t="s">
        <v>4083</v>
      </c>
      <c r="F2767" s="137" t="s">
        <v>4073</v>
      </c>
      <c r="G2767" s="137"/>
      <c r="H2767" s="82" t="str">
        <f t="shared" si="170"/>
        <v>TCCN-PTE-PAF-TMA-ES3-PYV-</v>
      </c>
      <c r="I2767" s="137" t="str">
        <f>MID(H2767,1,(LEN(H2767)-VLOOKUP(K2767,datos!$B$2:$C$12,2,0)))</f>
        <v>TCCN-PTE-PAF-TMA-ES3-PYV</v>
      </c>
      <c r="J2767" s="137" t="s">
        <v>7422</v>
      </c>
      <c r="K2767" s="139">
        <f>VLOOKUP(LEN(SUBSTITUTE(H2767,"-","")),datos!$A$1:$B$12,2,0)</f>
        <v>6</v>
      </c>
      <c r="L2767" s="137"/>
      <c r="M2767" s="137" t="s">
        <v>0</v>
      </c>
    </row>
    <row r="2768" spans="1:13" x14ac:dyDescent="0.35">
      <c r="A2768" s="138" t="s">
        <v>487</v>
      </c>
      <c r="B2768" s="138" t="s">
        <v>3809</v>
      </c>
      <c r="C2768" s="138" t="s">
        <v>4124</v>
      </c>
      <c r="D2768" s="138" t="s">
        <v>4127</v>
      </c>
      <c r="E2768" s="138" t="s">
        <v>4083</v>
      </c>
      <c r="F2768" s="138" t="s">
        <v>4073</v>
      </c>
      <c r="G2768" s="138" t="s">
        <v>3986</v>
      </c>
      <c r="H2768" s="81" t="str">
        <f t="shared" si="170"/>
        <v>TCCN-PTE-PAF-TMA-ES3-PYV-VV1</v>
      </c>
      <c r="I2768" s="138" t="str">
        <f>MID(H2768,1,(LEN(H2768)-VLOOKUP(K2768,datos!$B$2:$C$12,2,0)))</f>
        <v>TCCN-PTE-PAF-TMA-ES3-PYV-VV1</v>
      </c>
      <c r="J2768" s="138" t="s">
        <v>7396</v>
      </c>
      <c r="K2768" s="140">
        <f>VLOOKUP(LEN(SUBSTITUTE(H2768,"-","")),datos!$A$1:$B$12,2,0)</f>
        <v>7</v>
      </c>
      <c r="L2768" s="138" t="s">
        <v>7398</v>
      </c>
      <c r="M2768" s="138" t="s">
        <v>0</v>
      </c>
    </row>
    <row r="2769" spans="1:13" x14ac:dyDescent="0.35">
      <c r="A2769" s="138" t="s">
        <v>487</v>
      </c>
      <c r="B2769" s="138" t="s">
        <v>3809</v>
      </c>
      <c r="C2769" s="138" t="s">
        <v>4124</v>
      </c>
      <c r="D2769" s="138" t="s">
        <v>4127</v>
      </c>
      <c r="E2769" s="138" t="s">
        <v>4083</v>
      </c>
      <c r="F2769" s="138" t="s">
        <v>4073</v>
      </c>
      <c r="G2769" s="138" t="s">
        <v>3987</v>
      </c>
      <c r="H2769" s="81" t="str">
        <f t="shared" ref="H2769" si="178">CONCATENATE(A2769,"-",B2769,"-",C2769,"-",D2769,"-",E2769,"-",F2769,"-",G2769)</f>
        <v>TCCN-PTE-PAF-TMA-ES3-PYV-VV2</v>
      </c>
      <c r="I2769" s="138" t="str">
        <f>MID(H2769,1,(LEN(H2769)-VLOOKUP(K2769,datos!$B$2:$C$12,2,0)))</f>
        <v>TCCN-PTE-PAF-TMA-ES3-PYV-VV2</v>
      </c>
      <c r="J2769" s="138" t="s">
        <v>7421</v>
      </c>
      <c r="K2769" s="140">
        <f>VLOOKUP(LEN(SUBSTITUTE(H2769,"-","")),datos!$A$1:$B$12,2,0)</f>
        <v>7</v>
      </c>
      <c r="L2769" s="138" t="s">
        <v>7424</v>
      </c>
      <c r="M2769" s="138" t="s">
        <v>0</v>
      </c>
    </row>
    <row r="2770" spans="1:13" x14ac:dyDescent="0.35">
      <c r="A2770" s="137" t="s">
        <v>487</v>
      </c>
      <c r="B2770" s="137" t="s">
        <v>3809</v>
      </c>
      <c r="C2770" s="137" t="s">
        <v>4124</v>
      </c>
      <c r="D2770" s="137" t="s">
        <v>4127</v>
      </c>
      <c r="E2770" s="137" t="s">
        <v>4083</v>
      </c>
      <c r="F2770" s="137" t="s">
        <v>3831</v>
      </c>
      <c r="G2770" s="137"/>
      <c r="H2770" s="82" t="str">
        <f t="shared" si="170"/>
        <v>TCCN-PTE-PAF-TMA-ES3-INS-</v>
      </c>
      <c r="I2770" s="137" t="str">
        <f>MID(H2770,1,(LEN(H2770)-VLOOKUP(K2770,datos!$B$2:$C$12,2,0)))</f>
        <v>TCCN-PTE-PAF-TMA-ES3-INS</v>
      </c>
      <c r="J2770" s="137" t="s">
        <v>7397</v>
      </c>
      <c r="K2770" s="139">
        <f>VLOOKUP(LEN(SUBSTITUTE(H2770,"-","")),datos!$A$1:$B$12,2,0)</f>
        <v>6</v>
      </c>
      <c r="L2770" s="137"/>
      <c r="M2770" s="137" t="s">
        <v>0</v>
      </c>
    </row>
    <row r="2771" spans="1:13" x14ac:dyDescent="0.35">
      <c r="A2771" s="138" t="s">
        <v>487</v>
      </c>
      <c r="B2771" s="138" t="s">
        <v>3809</v>
      </c>
      <c r="C2771" s="138" t="s">
        <v>4124</v>
      </c>
      <c r="D2771" s="138" t="s">
        <v>4127</v>
      </c>
      <c r="E2771" s="138" t="s">
        <v>4083</v>
      </c>
      <c r="F2771" s="138" t="s">
        <v>3831</v>
      </c>
      <c r="G2771" s="138" t="s">
        <v>7070</v>
      </c>
      <c r="H2771" s="81" t="str">
        <f t="shared" ref="H2771:H2772" si="179">CONCATENATE(A2771,"-",B2771,"-",C2771,"-",D2771,"-",E2771,"-",F2771,"-",G2771)</f>
        <v>TCCN-PTE-PAF-TMA-ES3-INS-MP1</v>
      </c>
      <c r="I2771" s="138" t="str">
        <f>MID(H2771,1,(LEN(H2771)-VLOOKUP(K2771,datos!$B$2:$C$12,2,0)))</f>
        <v>TCCN-PTE-PAF-TMA-ES3-INS-MP1</v>
      </c>
      <c r="J2771" s="138" t="s">
        <v>7399</v>
      </c>
      <c r="K2771" s="140">
        <f>VLOOKUP(LEN(SUBSTITUTE(H2771,"-","")),datos!$A$1:$B$12,2,0)</f>
        <v>7</v>
      </c>
      <c r="L2771" s="138" t="s">
        <v>7400</v>
      </c>
      <c r="M2771" s="138" t="s">
        <v>0</v>
      </c>
    </row>
    <row r="2772" spans="1:13" x14ac:dyDescent="0.35">
      <c r="A2772" s="138" t="s">
        <v>487</v>
      </c>
      <c r="B2772" s="138" t="s">
        <v>3809</v>
      </c>
      <c r="C2772" s="138" t="s">
        <v>4124</v>
      </c>
      <c r="D2772" s="138" t="s">
        <v>4127</v>
      </c>
      <c r="E2772" s="138" t="s">
        <v>4083</v>
      </c>
      <c r="F2772" s="138" t="s">
        <v>3831</v>
      </c>
      <c r="G2772" s="138" t="s">
        <v>7071</v>
      </c>
      <c r="H2772" s="81" t="str">
        <f t="shared" si="179"/>
        <v>TCCN-PTE-PAF-TMA-ES3-INS-MP2</v>
      </c>
      <c r="I2772" s="138" t="str">
        <f>MID(H2772,1,(LEN(H2772)-VLOOKUP(K2772,datos!$B$2:$C$12,2,0)))</f>
        <v>TCCN-PTE-PAF-TMA-ES3-INS-MP2</v>
      </c>
      <c r="J2772" s="138" t="s">
        <v>7402</v>
      </c>
      <c r="K2772" s="140">
        <f>VLOOKUP(LEN(SUBSTITUTE(H2772,"-","")),datos!$A$1:$B$12,2,0)</f>
        <v>7</v>
      </c>
      <c r="L2772" s="138" t="s">
        <v>7401</v>
      </c>
      <c r="M2772" s="138" t="s">
        <v>0</v>
      </c>
    </row>
    <row r="2773" spans="1:13" customFormat="1" ht="14.5" x14ac:dyDescent="0.35">
      <c r="A2773" s="129" t="s">
        <v>487</v>
      </c>
      <c r="B2773" s="129" t="s">
        <v>3809</v>
      </c>
      <c r="C2773" s="129" t="s">
        <v>4124</v>
      </c>
      <c r="D2773" s="129" t="s">
        <v>4127</v>
      </c>
      <c r="E2773" s="129" t="s">
        <v>4235</v>
      </c>
      <c r="F2773" s="129"/>
      <c r="G2773" s="129"/>
      <c r="H2773" s="83" t="str">
        <f t="shared" si="170"/>
        <v>TCCN-PTE-PAF-TMA-ES4--</v>
      </c>
      <c r="I2773" s="129" t="str">
        <f>MID(H2773,1,(LEN(H2773)-VLOOKUP(K2773,datos!$B$2:$C$12,2,0)))</f>
        <v>TCCN-PTE-PAF-TMA-ES4</v>
      </c>
      <c r="J2773" s="129" t="s">
        <v>4248</v>
      </c>
      <c r="K2773" s="130">
        <f>VLOOKUP(LEN(SUBSTITUTE(H2773,"-","")),datos!$A$1:$B$12,2,0)</f>
        <v>5</v>
      </c>
      <c r="L2773" s="129" t="s">
        <v>4236</v>
      </c>
      <c r="M2773" s="129" t="s">
        <v>0</v>
      </c>
    </row>
    <row r="2774" spans="1:13" customFormat="1" ht="14.5" x14ac:dyDescent="0.35">
      <c r="A2774" s="129" t="s">
        <v>487</v>
      </c>
      <c r="B2774" s="129" t="s">
        <v>3809</v>
      </c>
      <c r="C2774" s="129" t="s">
        <v>4124</v>
      </c>
      <c r="D2774" s="129" t="s">
        <v>4127</v>
      </c>
      <c r="E2774" s="129" t="s">
        <v>4237</v>
      </c>
      <c r="F2774" s="129"/>
      <c r="G2774" s="129"/>
      <c r="H2774" s="83" t="str">
        <f t="shared" si="170"/>
        <v>TCCN-PTE-PAF-TMA-ES5--</v>
      </c>
      <c r="I2774" s="129" t="str">
        <f>MID(H2774,1,(LEN(H2774)-VLOOKUP(K2774,datos!$B$2:$C$12,2,0)))</f>
        <v>TCCN-PTE-PAF-TMA-ES5</v>
      </c>
      <c r="J2774" s="129" t="s">
        <v>4249</v>
      </c>
      <c r="K2774" s="130">
        <f>VLOOKUP(LEN(SUBSTITUTE(H2774,"-","")),datos!$A$1:$B$12,2,0)</f>
        <v>5</v>
      </c>
      <c r="L2774" s="129" t="s">
        <v>4238</v>
      </c>
      <c r="M2774" s="129" t="s">
        <v>0</v>
      </c>
    </row>
    <row r="2775" spans="1:13" customFormat="1" ht="14.5" x14ac:dyDescent="0.35">
      <c r="A2775" s="129" t="s">
        <v>487</v>
      </c>
      <c r="B2775" s="129" t="s">
        <v>3809</v>
      </c>
      <c r="C2775" s="129" t="s">
        <v>4124</v>
      </c>
      <c r="D2775" s="129" t="s">
        <v>4127</v>
      </c>
      <c r="E2775" s="129" t="s">
        <v>4239</v>
      </c>
      <c r="F2775" s="129"/>
      <c r="G2775" s="129"/>
      <c r="H2775" s="83" t="str">
        <f t="shared" si="170"/>
        <v>TCCN-PTE-PAF-TMA-ES6--</v>
      </c>
      <c r="I2775" s="129" t="str">
        <f>MID(H2775,1,(LEN(H2775)-VLOOKUP(K2775,datos!$B$2:$C$12,2,0)))</f>
        <v>TCCN-PTE-PAF-TMA-ES6</v>
      </c>
      <c r="J2775" s="129" t="s">
        <v>4250</v>
      </c>
      <c r="K2775" s="130">
        <f>VLOOKUP(LEN(SUBSTITUTE(H2775,"-","")),datos!$A$1:$B$12,2,0)</f>
        <v>5</v>
      </c>
      <c r="L2775" s="129" t="s">
        <v>4240</v>
      </c>
      <c r="M2775" s="129" t="s">
        <v>0</v>
      </c>
    </row>
    <row r="2776" spans="1:13" customFormat="1" ht="14.5" x14ac:dyDescent="0.35">
      <c r="A2776" s="129" t="s">
        <v>487</v>
      </c>
      <c r="B2776" s="129" t="s">
        <v>3809</v>
      </c>
      <c r="C2776" s="129" t="s">
        <v>4124</v>
      </c>
      <c r="D2776" s="129" t="s">
        <v>4127</v>
      </c>
      <c r="E2776" s="129" t="s">
        <v>4241</v>
      </c>
      <c r="F2776" s="129"/>
      <c r="G2776" s="129"/>
      <c r="H2776" s="83" t="str">
        <f t="shared" si="170"/>
        <v>TCCN-PTE-PAF-TMA-ES7--</v>
      </c>
      <c r="I2776" s="129" t="str">
        <f>MID(H2776,1,(LEN(H2776)-VLOOKUP(K2776,datos!$B$2:$C$12,2,0)))</f>
        <v>TCCN-PTE-PAF-TMA-ES7</v>
      </c>
      <c r="J2776" s="129" t="s">
        <v>4251</v>
      </c>
      <c r="K2776" s="130">
        <f>VLOOKUP(LEN(SUBSTITUTE(H2776,"-","")),datos!$A$1:$B$12,2,0)</f>
        <v>5</v>
      </c>
      <c r="L2776" s="129" t="s">
        <v>4242</v>
      </c>
      <c r="M2776" s="129" t="s">
        <v>0</v>
      </c>
    </row>
    <row r="2777" spans="1:13" customFormat="1" ht="14.5" x14ac:dyDescent="0.35">
      <c r="A2777" s="129" t="s">
        <v>487</v>
      </c>
      <c r="B2777" s="129" t="s">
        <v>3809</v>
      </c>
      <c r="C2777" s="129" t="s">
        <v>4124</v>
      </c>
      <c r="D2777" s="129" t="s">
        <v>4127</v>
      </c>
      <c r="E2777" s="129" t="s">
        <v>4243</v>
      </c>
      <c r="F2777" s="129"/>
      <c r="G2777" s="129"/>
      <c r="H2777" s="83" t="str">
        <f t="shared" si="170"/>
        <v>TCCN-PTE-PAF-TMA-ES8--</v>
      </c>
      <c r="I2777" s="129" t="str">
        <f>MID(H2777,1,(LEN(H2777)-VLOOKUP(K2777,datos!$B$2:$C$12,2,0)))</f>
        <v>TCCN-PTE-PAF-TMA-ES8</v>
      </c>
      <c r="J2777" s="129" t="s">
        <v>4252</v>
      </c>
      <c r="K2777" s="130">
        <f>VLOOKUP(LEN(SUBSTITUTE(H2777,"-","")),datos!$A$1:$B$12,2,0)</f>
        <v>5</v>
      </c>
      <c r="L2777" s="129" t="s">
        <v>4244</v>
      </c>
      <c r="M2777" s="129" t="s">
        <v>0</v>
      </c>
    </row>
    <row r="2778" spans="1:13" customFormat="1" ht="14.5" x14ac:dyDescent="0.35">
      <c r="A2778" s="129" t="s">
        <v>487</v>
      </c>
      <c r="B2778" s="129" t="s">
        <v>3809</v>
      </c>
      <c r="C2778" s="129" t="s">
        <v>4124</v>
      </c>
      <c r="D2778" s="129" t="s">
        <v>4127</v>
      </c>
      <c r="E2778" s="129" t="s">
        <v>5671</v>
      </c>
      <c r="F2778" s="129"/>
      <c r="G2778" s="129"/>
      <c r="H2778" s="83" t="str">
        <f t="shared" ref="H2778" si="180">CONCATENATE(A2778,"-",B2778,"-",C2778,"-",D2778,"-",E2778,"-",F2778,"-",G2778)</f>
        <v>TCCN-PTE-PAF-TMA-PTA--</v>
      </c>
      <c r="I2778" s="129" t="str">
        <f>MID(H2778,1,(LEN(H2778)-VLOOKUP(K2778,datos!$B$2:$C$12,2,0)))</f>
        <v>TCCN-PTE-PAF-TMA-PTA</v>
      </c>
      <c r="J2778" s="129" t="s">
        <v>7345</v>
      </c>
      <c r="K2778" s="130">
        <f>VLOOKUP(LEN(SUBSTITUTE(H2778,"-","")),datos!$A$1:$B$12,2,0)</f>
        <v>5</v>
      </c>
      <c r="L2778" s="129" t="s">
        <v>4302</v>
      </c>
      <c r="M2778" s="129" t="s">
        <v>0</v>
      </c>
    </row>
    <row r="2779" spans="1:13" customFormat="1" ht="14.5" x14ac:dyDescent="0.35">
      <c r="A2779" s="129" t="s">
        <v>487</v>
      </c>
      <c r="B2779" s="129" t="s">
        <v>3809</v>
      </c>
      <c r="C2779" s="129" t="s">
        <v>4124</v>
      </c>
      <c r="D2779" s="129" t="s">
        <v>4127</v>
      </c>
      <c r="E2779" s="129" t="s">
        <v>3947</v>
      </c>
      <c r="F2779" s="129"/>
      <c r="G2779" s="129"/>
      <c r="H2779" s="83" t="str">
        <f t="shared" si="170"/>
        <v>TCCN-PTE-PAF-TMA-B01--</v>
      </c>
      <c r="I2779" s="129" t="str">
        <f>MID(H2779,1,(LEN(H2779)-VLOOKUP(K2779,datos!$B$2:$C$12,2,0)))</f>
        <v>TCCN-PTE-PAF-TMA-B01</v>
      </c>
      <c r="J2779" s="129" t="s">
        <v>4340</v>
      </c>
      <c r="K2779" s="130">
        <f>VLOOKUP(LEN(SUBSTITUTE(H2779,"-","")),datos!$A$1:$B$12,2,0)</f>
        <v>5</v>
      </c>
      <c r="L2779" s="129" t="s">
        <v>4280</v>
      </c>
      <c r="M2779" s="129" t="s">
        <v>0</v>
      </c>
    </row>
    <row r="2780" spans="1:13" x14ac:dyDescent="0.35">
      <c r="A2780" s="137" t="s">
        <v>487</v>
      </c>
      <c r="B2780" s="137" t="s">
        <v>3809</v>
      </c>
      <c r="C2780" s="137" t="s">
        <v>4124</v>
      </c>
      <c r="D2780" s="137" t="s">
        <v>4127</v>
      </c>
      <c r="E2780" s="137" t="s">
        <v>3947</v>
      </c>
      <c r="F2780" s="137" t="s">
        <v>5106</v>
      </c>
      <c r="G2780" s="137"/>
      <c r="H2780" s="82" t="str">
        <f t="shared" si="170"/>
        <v>TCCN-PTE-PAF-TMA-B01-PHU-</v>
      </c>
      <c r="I2780" s="137" t="str">
        <f>MID(H2780,1,(LEN(H2780)-VLOOKUP(K2780,datos!$B$2:$C$12,2,0)))</f>
        <v>TCCN-PTE-PAF-TMA-B01-PHU</v>
      </c>
      <c r="J2780" s="137" t="s">
        <v>4509</v>
      </c>
      <c r="K2780" s="139">
        <f>VLOOKUP(LEN(SUBSTITUTE(H2780,"-","")),datos!$A$1:$B$12,2,0)</f>
        <v>6</v>
      </c>
      <c r="L2780" s="137"/>
      <c r="M2780" s="137" t="s">
        <v>0</v>
      </c>
    </row>
    <row r="2781" spans="1:13" x14ac:dyDescent="0.35">
      <c r="A2781" s="137" t="s">
        <v>487</v>
      </c>
      <c r="B2781" s="137" t="s">
        <v>3809</v>
      </c>
      <c r="C2781" s="137" t="s">
        <v>4124</v>
      </c>
      <c r="D2781" s="137" t="s">
        <v>4127</v>
      </c>
      <c r="E2781" s="137" t="s">
        <v>3947</v>
      </c>
      <c r="F2781" s="137" t="s">
        <v>4073</v>
      </c>
      <c r="G2781" s="137"/>
      <c r="H2781" s="82" t="str">
        <f t="shared" si="170"/>
        <v>TCCN-PTE-PAF-TMA-B01-PYV-</v>
      </c>
      <c r="I2781" s="137" t="str">
        <f>MID(H2781,1,(LEN(H2781)-VLOOKUP(K2781,datos!$B$2:$C$12,2,0)))</f>
        <v>TCCN-PTE-PAF-TMA-B01-PYV</v>
      </c>
      <c r="J2781" s="137" t="s">
        <v>4510</v>
      </c>
      <c r="K2781" s="139">
        <f>VLOOKUP(LEN(SUBSTITUTE(H2781,"-","")),datos!$A$1:$B$12,2,0)</f>
        <v>6</v>
      </c>
      <c r="L2781" s="137"/>
      <c r="M2781" s="137" t="s">
        <v>0</v>
      </c>
    </row>
    <row r="2782" spans="1:13" x14ac:dyDescent="0.35">
      <c r="A2782" s="138" t="s">
        <v>487</v>
      </c>
      <c r="B2782" s="138" t="s">
        <v>3809</v>
      </c>
      <c r="C2782" s="138" t="s">
        <v>4124</v>
      </c>
      <c r="D2782" s="138" t="s">
        <v>4127</v>
      </c>
      <c r="E2782" s="138" t="s">
        <v>3947</v>
      </c>
      <c r="F2782" s="138" t="s">
        <v>4073</v>
      </c>
      <c r="G2782" s="138" t="s">
        <v>3986</v>
      </c>
      <c r="H2782" s="81" t="str">
        <f t="shared" ref="H2782:H2783" si="181">CONCATENATE(A2782,"-",B2782,"-",C2782,"-",D2782,"-",E2782,"-",F2782,"-",G2782)</f>
        <v>TCCN-PTE-PAF-TMA-B01-PYV-VV1</v>
      </c>
      <c r="I2782" s="138" t="str">
        <f>MID(H2782,1,(LEN(H2782)-VLOOKUP(K2782,datos!$B$2:$C$12,2,0)))</f>
        <v>TCCN-PTE-PAF-TMA-B01-PYV-VV1</v>
      </c>
      <c r="J2782" s="138" t="s">
        <v>7405</v>
      </c>
      <c r="K2782" s="140">
        <f>VLOOKUP(LEN(SUBSTITUTE(H2782,"-","")),datos!$A$1:$B$12,2,0)</f>
        <v>7</v>
      </c>
      <c r="L2782" s="138" t="s">
        <v>7407</v>
      </c>
      <c r="M2782" s="138" t="s">
        <v>0</v>
      </c>
    </row>
    <row r="2783" spans="1:13" x14ac:dyDescent="0.35">
      <c r="A2783" s="138" t="s">
        <v>487</v>
      </c>
      <c r="B2783" s="138" t="s">
        <v>3809</v>
      </c>
      <c r="C2783" s="138" t="s">
        <v>4124</v>
      </c>
      <c r="D2783" s="138" t="s">
        <v>4127</v>
      </c>
      <c r="E2783" s="138" t="s">
        <v>3947</v>
      </c>
      <c r="F2783" s="138" t="s">
        <v>4073</v>
      </c>
      <c r="G2783" s="138" t="s">
        <v>3987</v>
      </c>
      <c r="H2783" s="81" t="str">
        <f t="shared" si="181"/>
        <v>TCCN-PTE-PAF-TMA-B01-PYV-VV2</v>
      </c>
      <c r="I2783" s="138" t="str">
        <f>MID(H2783,1,(LEN(H2783)-VLOOKUP(K2783,datos!$B$2:$C$12,2,0)))</f>
        <v>TCCN-PTE-PAF-TMA-B01-PYV-VV2</v>
      </c>
      <c r="J2783" s="138" t="s">
        <v>7406</v>
      </c>
      <c r="K2783" s="140">
        <f>VLOOKUP(LEN(SUBSTITUTE(H2783,"-","")),datos!$A$1:$B$12,2,0)</f>
        <v>7</v>
      </c>
      <c r="L2783" s="138" t="s">
        <v>7408</v>
      </c>
      <c r="M2783" s="138" t="s">
        <v>0</v>
      </c>
    </row>
    <row r="2784" spans="1:13" x14ac:dyDescent="0.35">
      <c r="A2784" s="137" t="s">
        <v>487</v>
      </c>
      <c r="B2784" s="137" t="s">
        <v>3809</v>
      </c>
      <c r="C2784" s="137" t="s">
        <v>4124</v>
      </c>
      <c r="D2784" s="137" t="s">
        <v>4127</v>
      </c>
      <c r="E2784" s="137" t="s">
        <v>3947</v>
      </c>
      <c r="F2784" s="137" t="s">
        <v>3847</v>
      </c>
      <c r="G2784" s="137"/>
      <c r="H2784" s="82" t="str">
        <f t="shared" si="170"/>
        <v>TCCN-PTE-PAF-TMA-B01-SMO-</v>
      </c>
      <c r="I2784" s="137" t="str">
        <f>MID(H2784,1,(LEN(H2784)-VLOOKUP(K2784,datos!$B$2:$C$12,2,0)))</f>
        <v>TCCN-PTE-PAF-TMA-B01-SMO</v>
      </c>
      <c r="J2784" s="137" t="s">
        <v>4511</v>
      </c>
      <c r="K2784" s="139">
        <f>VLOOKUP(LEN(SUBSTITUTE(H2784,"-","")),datos!$A$1:$B$12,2,0)</f>
        <v>6</v>
      </c>
      <c r="L2784" s="137"/>
      <c r="M2784" s="137" t="s">
        <v>0</v>
      </c>
    </row>
    <row r="2785" spans="1:13" x14ac:dyDescent="0.35">
      <c r="A2785" s="138" t="s">
        <v>487</v>
      </c>
      <c r="B2785" s="138" t="s">
        <v>3809</v>
      </c>
      <c r="C2785" s="138" t="s">
        <v>4124</v>
      </c>
      <c r="D2785" s="138" t="s">
        <v>4127</v>
      </c>
      <c r="E2785" s="138" t="s">
        <v>3947</v>
      </c>
      <c r="F2785" s="138" t="s">
        <v>3847</v>
      </c>
      <c r="G2785" s="138" t="s">
        <v>3819</v>
      </c>
      <c r="H2785" s="81" t="str">
        <f t="shared" si="170"/>
        <v>TCCN-PTE-PAF-TMA-B01-SMO-MOE</v>
      </c>
      <c r="I2785" s="138" t="str">
        <f>MID(H2785,1,(LEN(H2785)-VLOOKUP(K2785,datos!$B$2:$C$12,2,0)))</f>
        <v>TCCN-PTE-PAF-TMA-B01-SMO-MOE</v>
      </c>
      <c r="J2785" s="138" t="s">
        <v>5372</v>
      </c>
      <c r="K2785" s="140">
        <f>VLOOKUP(LEN(SUBSTITUTE(H2785,"-","")),datos!$A$1:$B$12,2,0)</f>
        <v>7</v>
      </c>
      <c r="L2785" s="138" t="s">
        <v>4281</v>
      </c>
      <c r="M2785" s="138" t="s">
        <v>0</v>
      </c>
    </row>
    <row r="2786" spans="1:13" x14ac:dyDescent="0.35">
      <c r="A2786" s="137" t="s">
        <v>487</v>
      </c>
      <c r="B2786" s="137" t="s">
        <v>3809</v>
      </c>
      <c r="C2786" s="137" t="s">
        <v>4124</v>
      </c>
      <c r="D2786" s="137" t="s">
        <v>4127</v>
      </c>
      <c r="E2786" s="137" t="s">
        <v>3947</v>
      </c>
      <c r="F2786" s="137" t="s">
        <v>3831</v>
      </c>
      <c r="G2786" s="137"/>
      <c r="H2786" s="82" t="str">
        <f>CONCATENATE(A2786,"-",B2786,"-",C2786,"-",D2786,"-",E2786,"-",F2786,"-",G2786)</f>
        <v>TCCN-PTE-PAF-TMA-B01-INS-</v>
      </c>
      <c r="I2786" s="137" t="str">
        <f>MID(H2786,1,(LEN(H2786)-VLOOKUP(K2786,datos!$B$2:$C$12,2,0)))</f>
        <v>TCCN-PTE-PAF-TMA-B01-INS</v>
      </c>
      <c r="J2786" s="137" t="s">
        <v>5603</v>
      </c>
      <c r="K2786" s="139">
        <f>VLOOKUP(LEN(SUBSTITUTE(H2786,"-","")),datos!$A$1:$B$12,2,0)</f>
        <v>6</v>
      </c>
      <c r="L2786" s="137"/>
      <c r="M2786" s="137" t="s">
        <v>0</v>
      </c>
    </row>
    <row r="2787" spans="1:13" x14ac:dyDescent="0.35">
      <c r="A2787" s="137" t="s">
        <v>487</v>
      </c>
      <c r="B2787" s="137" t="s">
        <v>3809</v>
      </c>
      <c r="C2787" s="137" t="s">
        <v>4124</v>
      </c>
      <c r="D2787" s="137" t="s">
        <v>4127</v>
      </c>
      <c r="E2787" s="137" t="s">
        <v>3947</v>
      </c>
      <c r="F2787" s="137" t="s">
        <v>3869</v>
      </c>
      <c r="G2787" s="137"/>
      <c r="H2787" s="82" t="str">
        <f t="shared" si="170"/>
        <v>TCCN-PTE-PAF-TMA-B01-SCE-</v>
      </c>
      <c r="I2787" s="137" t="str">
        <f>MID(H2787,1,(LEN(H2787)-VLOOKUP(K2787,datos!$B$2:$C$12,2,0)))</f>
        <v>TCCN-PTE-PAF-TMA-B01-SCE</v>
      </c>
      <c r="J2787" s="137" t="s">
        <v>4557</v>
      </c>
      <c r="K2787" s="139">
        <f>VLOOKUP(LEN(SUBSTITUTE(H2787,"-","")),datos!$A$1:$B$12,2,0)</f>
        <v>6</v>
      </c>
      <c r="L2787" s="137"/>
      <c r="M2787" s="137" t="s">
        <v>0</v>
      </c>
    </row>
    <row r="2788" spans="1:13" x14ac:dyDescent="0.35">
      <c r="A2788" s="138" t="s">
        <v>487</v>
      </c>
      <c r="B2788" s="138" t="s">
        <v>3809</v>
      </c>
      <c r="C2788" s="138" t="s">
        <v>4124</v>
      </c>
      <c r="D2788" s="138" t="s">
        <v>4127</v>
      </c>
      <c r="E2788" s="138" t="s">
        <v>3947</v>
      </c>
      <c r="F2788" s="138" t="s">
        <v>3869</v>
      </c>
      <c r="G2788" s="138" t="s">
        <v>3870</v>
      </c>
      <c r="H2788" s="81" t="str">
        <f t="shared" si="170"/>
        <v>TCCN-PTE-PAF-TMA-B01-SCE-BTN</v>
      </c>
      <c r="I2788" s="138" t="str">
        <f>MID(H2788,1,(LEN(H2788)-VLOOKUP(K2788,datos!$B$2:$C$12,2,0)))</f>
        <v>TCCN-PTE-PAF-TMA-B01-SCE-BTN</v>
      </c>
      <c r="J2788" s="138" t="s">
        <v>4558</v>
      </c>
      <c r="K2788" s="140">
        <f>VLOOKUP(LEN(SUBSTITUTE(H2788,"-","")),datos!$A$1:$B$12,2,0)</f>
        <v>7</v>
      </c>
      <c r="L2788" s="138"/>
      <c r="M2788" s="138" t="s">
        <v>0</v>
      </c>
    </row>
    <row r="2789" spans="1:13" customFormat="1" ht="14.5" x14ac:dyDescent="0.35">
      <c r="A2789" s="129" t="s">
        <v>487</v>
      </c>
      <c r="B2789" s="129" t="s">
        <v>3809</v>
      </c>
      <c r="C2789" s="129" t="s">
        <v>4124</v>
      </c>
      <c r="D2789" s="129" t="s">
        <v>4127</v>
      </c>
      <c r="E2789" s="129" t="s">
        <v>3949</v>
      </c>
      <c r="F2789" s="129"/>
      <c r="G2789" s="129"/>
      <c r="H2789" s="83" t="str">
        <f t="shared" si="170"/>
        <v>TCCN-PTE-PAF-TMA-B02--</v>
      </c>
      <c r="I2789" s="129" t="str">
        <f>MID(H2789,1,(LEN(H2789)-VLOOKUP(K2789,datos!$B$2:$C$12,2,0)))</f>
        <v>TCCN-PTE-PAF-TMA-B02</v>
      </c>
      <c r="J2789" s="129" t="s">
        <v>4340</v>
      </c>
      <c r="K2789" s="130">
        <f>VLOOKUP(LEN(SUBSTITUTE(H2789,"-","")),datos!$A$1:$B$12,2,0)</f>
        <v>5</v>
      </c>
      <c r="L2789" s="129" t="s">
        <v>4282</v>
      </c>
      <c r="M2789" s="129" t="s">
        <v>0</v>
      </c>
    </row>
    <row r="2790" spans="1:13" x14ac:dyDescent="0.35">
      <c r="A2790" s="137" t="s">
        <v>487</v>
      </c>
      <c r="B2790" s="137" t="s">
        <v>3809</v>
      </c>
      <c r="C2790" s="137" t="s">
        <v>4124</v>
      </c>
      <c r="D2790" s="137" t="s">
        <v>4127</v>
      </c>
      <c r="E2790" s="137" t="s">
        <v>3949</v>
      </c>
      <c r="F2790" s="137" t="s">
        <v>5106</v>
      </c>
      <c r="G2790" s="137"/>
      <c r="H2790" s="82" t="str">
        <f t="shared" si="170"/>
        <v>TCCN-PTE-PAF-TMA-B02-PHU-</v>
      </c>
      <c r="I2790" s="137" t="str">
        <f>MID(H2790,1,(LEN(H2790)-VLOOKUP(K2790,datos!$B$2:$C$12,2,0)))</f>
        <v>TCCN-PTE-PAF-TMA-B02-PHU</v>
      </c>
      <c r="J2790" s="137" t="s">
        <v>4497</v>
      </c>
      <c r="K2790" s="139">
        <f>VLOOKUP(LEN(SUBSTITUTE(H2790,"-","")),datos!$A$1:$B$12,2,0)</f>
        <v>6</v>
      </c>
      <c r="L2790" s="137"/>
      <c r="M2790" s="137" t="s">
        <v>0</v>
      </c>
    </row>
    <row r="2791" spans="1:13" x14ac:dyDescent="0.35">
      <c r="A2791" s="137" t="s">
        <v>487</v>
      </c>
      <c r="B2791" s="137" t="s">
        <v>3809</v>
      </c>
      <c r="C2791" s="137" t="s">
        <v>4124</v>
      </c>
      <c r="D2791" s="137" t="s">
        <v>4127</v>
      </c>
      <c r="E2791" s="137" t="s">
        <v>3949</v>
      </c>
      <c r="F2791" s="137" t="s">
        <v>4073</v>
      </c>
      <c r="G2791" s="137"/>
      <c r="H2791" s="82" t="str">
        <f t="shared" si="170"/>
        <v>TCCN-PTE-PAF-TMA-B02-PYV-</v>
      </c>
      <c r="I2791" s="137" t="str">
        <f>MID(H2791,1,(LEN(H2791)-VLOOKUP(K2791,datos!$B$2:$C$12,2,0)))</f>
        <v>TCCN-PTE-PAF-TMA-B02-PYV</v>
      </c>
      <c r="J2791" s="137" t="s">
        <v>4498</v>
      </c>
      <c r="K2791" s="139">
        <f>VLOOKUP(LEN(SUBSTITUTE(H2791,"-","")),datos!$A$1:$B$12,2,0)</f>
        <v>6</v>
      </c>
      <c r="L2791" s="137"/>
      <c r="M2791" s="137" t="s">
        <v>0</v>
      </c>
    </row>
    <row r="2792" spans="1:13" x14ac:dyDescent="0.35">
      <c r="A2792" s="138" t="s">
        <v>487</v>
      </c>
      <c r="B2792" s="138" t="s">
        <v>3809</v>
      </c>
      <c r="C2792" s="138" t="s">
        <v>4124</v>
      </c>
      <c r="D2792" s="138" t="s">
        <v>4127</v>
      </c>
      <c r="E2792" s="138" t="s">
        <v>3949</v>
      </c>
      <c r="F2792" s="138" t="s">
        <v>4073</v>
      </c>
      <c r="G2792" s="138" t="s">
        <v>3986</v>
      </c>
      <c r="H2792" s="81" t="str">
        <f t="shared" si="170"/>
        <v>TCCN-PTE-PAF-TMA-B02-PYV-VV1</v>
      </c>
      <c r="I2792" s="138" t="str">
        <f>MID(H2792,1,(LEN(H2792)-VLOOKUP(K2792,datos!$B$2:$C$12,2,0)))</f>
        <v>TCCN-PTE-PAF-TMA-B02-PYV-VV1</v>
      </c>
      <c r="J2792" s="138" t="s">
        <v>7411</v>
      </c>
      <c r="K2792" s="140">
        <f>VLOOKUP(LEN(SUBSTITUTE(H2792,"-","")),datos!$A$1:$B$12,2,0)</f>
        <v>7</v>
      </c>
      <c r="L2792" s="138" t="s">
        <v>7409</v>
      </c>
      <c r="M2792" s="138" t="s">
        <v>0</v>
      </c>
    </row>
    <row r="2793" spans="1:13" x14ac:dyDescent="0.35">
      <c r="A2793" s="138" t="s">
        <v>487</v>
      </c>
      <c r="B2793" s="138" t="s">
        <v>3809</v>
      </c>
      <c r="C2793" s="138" t="s">
        <v>4124</v>
      </c>
      <c r="D2793" s="138" t="s">
        <v>4127</v>
      </c>
      <c r="E2793" s="138" t="s">
        <v>3949</v>
      </c>
      <c r="F2793" s="138" t="s">
        <v>4073</v>
      </c>
      <c r="G2793" s="138" t="s">
        <v>3987</v>
      </c>
      <c r="H2793" s="81" t="str">
        <f t="shared" si="170"/>
        <v>TCCN-PTE-PAF-TMA-B02-PYV-VV2</v>
      </c>
      <c r="I2793" s="138" t="str">
        <f>MID(H2793,1,(LEN(H2793)-VLOOKUP(K2793,datos!$B$2:$C$12,2,0)))</f>
        <v>TCCN-PTE-PAF-TMA-B02-PYV-VV2</v>
      </c>
      <c r="J2793" s="138" t="s">
        <v>7412</v>
      </c>
      <c r="K2793" s="140">
        <f>VLOOKUP(LEN(SUBSTITUTE(H2793,"-","")),datos!$A$1:$B$12,2,0)</f>
        <v>7</v>
      </c>
      <c r="L2793" s="138" t="s">
        <v>7410</v>
      </c>
      <c r="M2793" s="138" t="s">
        <v>0</v>
      </c>
    </row>
    <row r="2794" spans="1:13" x14ac:dyDescent="0.35">
      <c r="A2794" s="137" t="s">
        <v>487</v>
      </c>
      <c r="B2794" s="137" t="s">
        <v>3809</v>
      </c>
      <c r="C2794" s="137" t="s">
        <v>4124</v>
      </c>
      <c r="D2794" s="137" t="s">
        <v>4127</v>
      </c>
      <c r="E2794" s="137" t="s">
        <v>3949</v>
      </c>
      <c r="F2794" s="137" t="s">
        <v>3847</v>
      </c>
      <c r="G2794" s="137"/>
      <c r="H2794" s="82" t="str">
        <f t="shared" si="170"/>
        <v>TCCN-PTE-PAF-TMA-B02-SMO-</v>
      </c>
      <c r="I2794" s="137" t="str">
        <f>MID(H2794,1,(LEN(H2794)-VLOOKUP(K2794,datos!$B$2:$C$12,2,0)))</f>
        <v>TCCN-PTE-PAF-TMA-B02-SMO</v>
      </c>
      <c r="J2794" s="137" t="s">
        <v>4499</v>
      </c>
      <c r="K2794" s="139">
        <f>VLOOKUP(LEN(SUBSTITUTE(H2794,"-","")),datos!$A$1:$B$12,2,0)</f>
        <v>6</v>
      </c>
      <c r="L2794" s="137"/>
      <c r="M2794" s="137" t="s">
        <v>0</v>
      </c>
    </row>
    <row r="2795" spans="1:13" x14ac:dyDescent="0.35">
      <c r="A2795" s="138" t="s">
        <v>487</v>
      </c>
      <c r="B2795" s="138" t="s">
        <v>3809</v>
      </c>
      <c r="C2795" s="138" t="s">
        <v>4124</v>
      </c>
      <c r="D2795" s="138" t="s">
        <v>4127</v>
      </c>
      <c r="E2795" s="138" t="s">
        <v>3949</v>
      </c>
      <c r="F2795" s="138" t="s">
        <v>3847</v>
      </c>
      <c r="G2795" s="138" t="s">
        <v>3819</v>
      </c>
      <c r="H2795" s="81" t="str">
        <f t="shared" si="170"/>
        <v>TCCN-PTE-PAF-TMA-B02-SMO-MOE</v>
      </c>
      <c r="I2795" s="138" t="str">
        <f>MID(H2795,1,(LEN(H2795)-VLOOKUP(K2795,datos!$B$2:$C$12,2,0)))</f>
        <v>TCCN-PTE-PAF-TMA-B02-SMO-MOE</v>
      </c>
      <c r="J2795" s="138" t="s">
        <v>5373</v>
      </c>
      <c r="K2795" s="140">
        <f>VLOOKUP(LEN(SUBSTITUTE(H2795,"-","")),datos!$A$1:$B$12,2,0)</f>
        <v>7</v>
      </c>
      <c r="L2795" s="138" t="s">
        <v>4283</v>
      </c>
      <c r="M2795" s="138" t="s">
        <v>0</v>
      </c>
    </row>
    <row r="2796" spans="1:13" x14ac:dyDescent="0.35">
      <c r="A2796" s="137" t="s">
        <v>487</v>
      </c>
      <c r="B2796" s="137" t="s">
        <v>3809</v>
      </c>
      <c r="C2796" s="137" t="s">
        <v>4124</v>
      </c>
      <c r="D2796" s="137" t="s">
        <v>4127</v>
      </c>
      <c r="E2796" s="137" t="s">
        <v>3949</v>
      </c>
      <c r="F2796" s="137" t="s">
        <v>3831</v>
      </c>
      <c r="G2796" s="137"/>
      <c r="H2796" s="82" t="str">
        <f>CONCATENATE(A2796,"-",B2796,"-",C2796,"-",D2796,"-",E2796,"-",F2796,"-",G2796)</f>
        <v>TCCN-PTE-PAF-TMA-B02-INS-</v>
      </c>
      <c r="I2796" s="137" t="str">
        <f>MID(H2796,1,(LEN(H2796)-VLOOKUP(K2796,datos!$B$2:$C$12,2,0)))</f>
        <v>TCCN-PTE-PAF-TMA-B02-INS</v>
      </c>
      <c r="J2796" s="137" t="s">
        <v>5604</v>
      </c>
      <c r="K2796" s="139">
        <f>VLOOKUP(LEN(SUBSTITUTE(H2796,"-","")),datos!$A$1:$B$12,2,0)</f>
        <v>6</v>
      </c>
      <c r="L2796" s="137"/>
      <c r="M2796" s="137" t="s">
        <v>0</v>
      </c>
    </row>
    <row r="2797" spans="1:13" x14ac:dyDescent="0.35">
      <c r="A2797" s="137" t="s">
        <v>487</v>
      </c>
      <c r="B2797" s="137" t="s">
        <v>3809</v>
      </c>
      <c r="C2797" s="137" t="s">
        <v>4124</v>
      </c>
      <c r="D2797" s="137" t="s">
        <v>4127</v>
      </c>
      <c r="E2797" s="137" t="s">
        <v>3949</v>
      </c>
      <c r="F2797" s="137" t="s">
        <v>3869</v>
      </c>
      <c r="G2797" s="137"/>
      <c r="H2797" s="82" t="str">
        <f t="shared" si="170"/>
        <v>TCCN-PTE-PAF-TMA-B02-SCE-</v>
      </c>
      <c r="I2797" s="137" t="str">
        <f>MID(H2797,1,(LEN(H2797)-VLOOKUP(K2797,datos!$B$2:$C$12,2,0)))</f>
        <v>TCCN-PTE-PAF-TMA-B02-SCE</v>
      </c>
      <c r="J2797" s="137" t="s">
        <v>4555</v>
      </c>
      <c r="K2797" s="139">
        <f>VLOOKUP(LEN(SUBSTITUTE(H2797,"-","")),datos!$A$1:$B$12,2,0)</f>
        <v>6</v>
      </c>
      <c r="L2797" s="137"/>
      <c r="M2797" s="137" t="s">
        <v>0</v>
      </c>
    </row>
    <row r="2798" spans="1:13" x14ac:dyDescent="0.35">
      <c r="A2798" s="138" t="s">
        <v>487</v>
      </c>
      <c r="B2798" s="138" t="s">
        <v>3809</v>
      </c>
      <c r="C2798" s="138" t="s">
        <v>4124</v>
      </c>
      <c r="D2798" s="138" t="s">
        <v>4127</v>
      </c>
      <c r="E2798" s="138" t="s">
        <v>3949</v>
      </c>
      <c r="F2798" s="138" t="s">
        <v>3869</v>
      </c>
      <c r="G2798" s="138" t="s">
        <v>3870</v>
      </c>
      <c r="H2798" s="81" t="str">
        <f t="shared" ref="H2798:H2899" si="182">CONCATENATE(A2798,"-",B2798,"-",C2798,"-",D2798,"-",E2798,"-",F2798,"-",G2798)</f>
        <v>TCCN-PTE-PAF-TMA-B02-SCE-BTN</v>
      </c>
      <c r="I2798" s="138" t="str">
        <f>MID(H2798,1,(LEN(H2798)-VLOOKUP(K2798,datos!$B$2:$C$12,2,0)))</f>
        <v>TCCN-PTE-PAF-TMA-B02-SCE-BTN</v>
      </c>
      <c r="J2798" s="138" t="s">
        <v>4556</v>
      </c>
      <c r="K2798" s="140">
        <f>VLOOKUP(LEN(SUBSTITUTE(H2798,"-","")),datos!$A$1:$B$12,2,0)</f>
        <v>7</v>
      </c>
      <c r="L2798" s="138"/>
      <c r="M2798" s="138" t="s">
        <v>0</v>
      </c>
    </row>
    <row r="2799" spans="1:13" customFormat="1" ht="14.5" x14ac:dyDescent="0.35">
      <c r="A2799" s="129" t="s">
        <v>487</v>
      </c>
      <c r="B2799" s="129" t="s">
        <v>3809</v>
      </c>
      <c r="C2799" s="129" t="s">
        <v>4124</v>
      </c>
      <c r="D2799" s="129" t="s">
        <v>4127</v>
      </c>
      <c r="E2799" s="129" t="s">
        <v>4017</v>
      </c>
      <c r="F2799" s="129"/>
      <c r="G2799" s="129"/>
      <c r="H2799" s="83" t="str">
        <f t="shared" si="182"/>
        <v>TCCN-PTE-PAF-TMA-B03--</v>
      </c>
      <c r="I2799" s="129" t="str">
        <f>MID(H2799,1,(LEN(H2799)-VLOOKUP(K2799,datos!$B$2:$C$12,2,0)))</f>
        <v>TCCN-PTE-PAF-TMA-B03</v>
      </c>
      <c r="J2799" s="129" t="s">
        <v>5607</v>
      </c>
      <c r="K2799" s="130">
        <f>VLOOKUP(LEN(SUBSTITUTE(H2799,"-","")),datos!$A$1:$B$12,2,0)</f>
        <v>5</v>
      </c>
      <c r="L2799" s="129" t="s">
        <v>4284</v>
      </c>
      <c r="M2799" s="129" t="s">
        <v>0</v>
      </c>
    </row>
    <row r="2800" spans="1:13" x14ac:dyDescent="0.35">
      <c r="A2800" s="137" t="s">
        <v>487</v>
      </c>
      <c r="B2800" s="137" t="s">
        <v>3809</v>
      </c>
      <c r="C2800" s="137" t="s">
        <v>4124</v>
      </c>
      <c r="D2800" s="137" t="s">
        <v>4127</v>
      </c>
      <c r="E2800" s="137" t="s">
        <v>4017</v>
      </c>
      <c r="F2800" s="137" t="s">
        <v>5106</v>
      </c>
      <c r="G2800" s="137"/>
      <c r="H2800" s="82" t="str">
        <f t="shared" si="182"/>
        <v>TCCN-PTE-PAF-TMA-B03-PHU-</v>
      </c>
      <c r="I2800" s="137" t="str">
        <f>MID(H2800,1,(LEN(H2800)-VLOOKUP(K2800,datos!$B$2:$C$12,2,0)))</f>
        <v>TCCN-PTE-PAF-TMA-B03-PHU</v>
      </c>
      <c r="J2800" s="137" t="s">
        <v>4500</v>
      </c>
      <c r="K2800" s="139">
        <f>VLOOKUP(LEN(SUBSTITUTE(H2800,"-","")),datos!$A$1:$B$12,2,0)</f>
        <v>6</v>
      </c>
      <c r="L2800" s="137"/>
      <c r="M2800" s="137" t="s">
        <v>0</v>
      </c>
    </row>
    <row r="2801" spans="1:13" x14ac:dyDescent="0.35">
      <c r="A2801" s="137" t="s">
        <v>487</v>
      </c>
      <c r="B2801" s="137" t="s">
        <v>3809</v>
      </c>
      <c r="C2801" s="137" t="s">
        <v>4124</v>
      </c>
      <c r="D2801" s="137" t="s">
        <v>4127</v>
      </c>
      <c r="E2801" s="137" t="s">
        <v>4017</v>
      </c>
      <c r="F2801" s="137" t="s">
        <v>4073</v>
      </c>
      <c r="G2801" s="137"/>
      <c r="H2801" s="82" t="str">
        <f t="shared" si="182"/>
        <v>TCCN-PTE-PAF-TMA-B03-PYV-</v>
      </c>
      <c r="I2801" s="137" t="str">
        <f>MID(H2801,1,(LEN(H2801)-VLOOKUP(K2801,datos!$B$2:$C$12,2,0)))</f>
        <v>TCCN-PTE-PAF-TMA-B03-PYV</v>
      </c>
      <c r="J2801" s="137" t="s">
        <v>4501</v>
      </c>
      <c r="K2801" s="139">
        <f>VLOOKUP(LEN(SUBSTITUTE(H2801,"-","")),datos!$A$1:$B$12,2,0)</f>
        <v>6</v>
      </c>
      <c r="L2801" s="137"/>
      <c r="M2801" s="137" t="s">
        <v>0</v>
      </c>
    </row>
    <row r="2802" spans="1:13" x14ac:dyDescent="0.35">
      <c r="A2802" s="138" t="s">
        <v>487</v>
      </c>
      <c r="B2802" s="138" t="s">
        <v>3809</v>
      </c>
      <c r="C2802" s="138" t="s">
        <v>4124</v>
      </c>
      <c r="D2802" s="138" t="s">
        <v>4127</v>
      </c>
      <c r="E2802" s="138" t="s">
        <v>4017</v>
      </c>
      <c r="F2802" s="138" t="s">
        <v>4073</v>
      </c>
      <c r="G2802" s="138" t="s">
        <v>3986</v>
      </c>
      <c r="H2802" s="81" t="str">
        <f t="shared" si="182"/>
        <v>TCCN-PTE-PAF-TMA-B03-PYV-VV1</v>
      </c>
      <c r="I2802" s="138" t="str">
        <f>MID(H2802,1,(LEN(H2802)-VLOOKUP(K2802,datos!$B$2:$C$12,2,0)))</f>
        <v>TCCN-PTE-PAF-TMA-B03-PYV-VV1</v>
      </c>
      <c r="J2802" s="138" t="s">
        <v>7415</v>
      </c>
      <c r="K2802" s="140">
        <f>VLOOKUP(LEN(SUBSTITUTE(H2802,"-","")),datos!$A$1:$B$12,2,0)</f>
        <v>7</v>
      </c>
      <c r="L2802" s="138" t="s">
        <v>7413</v>
      </c>
      <c r="M2802" s="138" t="s">
        <v>0</v>
      </c>
    </row>
    <row r="2803" spans="1:13" x14ac:dyDescent="0.35">
      <c r="A2803" s="138" t="s">
        <v>487</v>
      </c>
      <c r="B2803" s="138" t="s">
        <v>3809</v>
      </c>
      <c r="C2803" s="138" t="s">
        <v>4124</v>
      </c>
      <c r="D2803" s="138" t="s">
        <v>4127</v>
      </c>
      <c r="E2803" s="138" t="s">
        <v>4017</v>
      </c>
      <c r="F2803" s="138" t="s">
        <v>4073</v>
      </c>
      <c r="G2803" s="138" t="s">
        <v>3987</v>
      </c>
      <c r="H2803" s="81" t="str">
        <f t="shared" si="182"/>
        <v>TCCN-PTE-PAF-TMA-B03-PYV-VV2</v>
      </c>
      <c r="I2803" s="138" t="str">
        <f>MID(H2803,1,(LEN(H2803)-VLOOKUP(K2803,datos!$B$2:$C$12,2,0)))</f>
        <v>TCCN-PTE-PAF-TMA-B03-PYV-VV2</v>
      </c>
      <c r="J2803" s="138" t="s">
        <v>7416</v>
      </c>
      <c r="K2803" s="140">
        <f>VLOOKUP(LEN(SUBSTITUTE(H2803,"-","")),datos!$A$1:$B$12,2,0)</f>
        <v>7</v>
      </c>
      <c r="L2803" s="138" t="s">
        <v>7414</v>
      </c>
      <c r="M2803" s="138" t="s">
        <v>0</v>
      </c>
    </row>
    <row r="2804" spans="1:13" x14ac:dyDescent="0.35">
      <c r="A2804" s="137" t="s">
        <v>487</v>
      </c>
      <c r="B2804" s="137" t="s">
        <v>3809</v>
      </c>
      <c r="C2804" s="137" t="s">
        <v>4124</v>
      </c>
      <c r="D2804" s="137" t="s">
        <v>4127</v>
      </c>
      <c r="E2804" s="137" t="s">
        <v>4017</v>
      </c>
      <c r="F2804" s="137" t="s">
        <v>3847</v>
      </c>
      <c r="G2804" s="137"/>
      <c r="H2804" s="82" t="str">
        <f t="shared" si="182"/>
        <v>TCCN-PTE-PAF-TMA-B03-SMO-</v>
      </c>
      <c r="I2804" s="137" t="str">
        <f>MID(H2804,1,(LEN(H2804)-VLOOKUP(K2804,datos!$B$2:$C$12,2,0)))</f>
        <v>TCCN-PTE-PAF-TMA-B03-SMO</v>
      </c>
      <c r="J2804" s="137" t="s">
        <v>4502</v>
      </c>
      <c r="K2804" s="139">
        <f>VLOOKUP(LEN(SUBSTITUTE(H2804,"-","")),datos!$A$1:$B$12,2,0)</f>
        <v>6</v>
      </c>
      <c r="L2804" s="137"/>
      <c r="M2804" s="137" t="s">
        <v>0</v>
      </c>
    </row>
    <row r="2805" spans="1:13" x14ac:dyDescent="0.35">
      <c r="A2805" s="138" t="s">
        <v>487</v>
      </c>
      <c r="B2805" s="138" t="s">
        <v>3809</v>
      </c>
      <c r="C2805" s="138" t="s">
        <v>4124</v>
      </c>
      <c r="D2805" s="138" t="s">
        <v>4127</v>
      </c>
      <c r="E2805" s="138" t="s">
        <v>4017</v>
      </c>
      <c r="F2805" s="138" t="s">
        <v>3847</v>
      </c>
      <c r="G2805" s="138" t="s">
        <v>3819</v>
      </c>
      <c r="H2805" s="81" t="str">
        <f t="shared" si="182"/>
        <v>TCCN-PTE-PAF-TMA-B03-SMO-MOE</v>
      </c>
      <c r="I2805" s="138" t="str">
        <f>MID(H2805,1,(LEN(H2805)-VLOOKUP(K2805,datos!$B$2:$C$12,2,0)))</f>
        <v>TCCN-PTE-PAF-TMA-B03-SMO-MOE</v>
      </c>
      <c r="J2805" s="138" t="s">
        <v>5374</v>
      </c>
      <c r="K2805" s="140">
        <f>VLOOKUP(LEN(SUBSTITUTE(H2805,"-","")),datos!$A$1:$B$12,2,0)</f>
        <v>7</v>
      </c>
      <c r="L2805" s="138" t="s">
        <v>4285</v>
      </c>
      <c r="M2805" s="138" t="s">
        <v>0</v>
      </c>
    </row>
    <row r="2806" spans="1:13" x14ac:dyDescent="0.35">
      <c r="A2806" s="137" t="s">
        <v>487</v>
      </c>
      <c r="B2806" s="137" t="s">
        <v>3809</v>
      </c>
      <c r="C2806" s="137" t="s">
        <v>4124</v>
      </c>
      <c r="D2806" s="137" t="s">
        <v>4127</v>
      </c>
      <c r="E2806" s="137" t="s">
        <v>4017</v>
      </c>
      <c r="F2806" s="137" t="s">
        <v>3831</v>
      </c>
      <c r="G2806" s="137"/>
      <c r="H2806" s="82" t="str">
        <f>CONCATENATE(A2806,"-",B2806,"-",C2806,"-",D2806,"-",E2806,"-",F2806,"-",G2806)</f>
        <v>TCCN-PTE-PAF-TMA-B03-INS-</v>
      </c>
      <c r="I2806" s="137" t="str">
        <f>MID(H2806,1,(LEN(H2806)-VLOOKUP(K2806,datos!$B$2:$C$12,2,0)))</f>
        <v>TCCN-PTE-PAF-TMA-B03-INS</v>
      </c>
      <c r="J2806" s="137" t="s">
        <v>5605</v>
      </c>
      <c r="K2806" s="139">
        <f>VLOOKUP(LEN(SUBSTITUTE(H2806,"-","")),datos!$A$1:$B$12,2,0)</f>
        <v>6</v>
      </c>
      <c r="L2806" s="137"/>
      <c r="M2806" s="137" t="s">
        <v>0</v>
      </c>
    </row>
    <row r="2807" spans="1:13" x14ac:dyDescent="0.35">
      <c r="A2807" s="137" t="s">
        <v>487</v>
      </c>
      <c r="B2807" s="137" t="s">
        <v>3809</v>
      </c>
      <c r="C2807" s="137" t="s">
        <v>4124</v>
      </c>
      <c r="D2807" s="137" t="s">
        <v>4127</v>
      </c>
      <c r="E2807" s="137" t="s">
        <v>4017</v>
      </c>
      <c r="F2807" s="137" t="s">
        <v>3869</v>
      </c>
      <c r="G2807" s="137"/>
      <c r="H2807" s="82" t="str">
        <f t="shared" si="182"/>
        <v>TCCN-PTE-PAF-TMA-B03-SCE-</v>
      </c>
      <c r="I2807" s="137" t="str">
        <f>MID(H2807,1,(LEN(H2807)-VLOOKUP(K2807,datos!$B$2:$C$12,2,0)))</f>
        <v>TCCN-PTE-PAF-TMA-B03-SCE</v>
      </c>
      <c r="J2807" s="137" t="s">
        <v>4553</v>
      </c>
      <c r="K2807" s="139">
        <f>VLOOKUP(LEN(SUBSTITUTE(H2807,"-","")),datos!$A$1:$B$12,2,0)</f>
        <v>6</v>
      </c>
      <c r="L2807" s="137"/>
      <c r="M2807" s="137" t="s">
        <v>0</v>
      </c>
    </row>
    <row r="2808" spans="1:13" x14ac:dyDescent="0.35">
      <c r="A2808" s="138" t="s">
        <v>487</v>
      </c>
      <c r="B2808" s="138" t="s">
        <v>3809</v>
      </c>
      <c r="C2808" s="138" t="s">
        <v>4124</v>
      </c>
      <c r="D2808" s="138" t="s">
        <v>4127</v>
      </c>
      <c r="E2808" s="138" t="s">
        <v>4017</v>
      </c>
      <c r="F2808" s="138" t="s">
        <v>3869</v>
      </c>
      <c r="G2808" s="138" t="s">
        <v>3870</v>
      </c>
      <c r="H2808" s="81" t="str">
        <f t="shared" si="182"/>
        <v>TCCN-PTE-PAF-TMA-B03-SCE-BTN</v>
      </c>
      <c r="I2808" s="138" t="str">
        <f>MID(H2808,1,(LEN(H2808)-VLOOKUP(K2808,datos!$B$2:$C$12,2,0)))</f>
        <v>TCCN-PTE-PAF-TMA-B03-SCE-BTN</v>
      </c>
      <c r="J2808" s="138" t="s">
        <v>4554</v>
      </c>
      <c r="K2808" s="140">
        <f>VLOOKUP(LEN(SUBSTITUTE(H2808,"-","")),datos!$A$1:$B$12,2,0)</f>
        <v>7</v>
      </c>
      <c r="L2808" s="138"/>
      <c r="M2808" s="138" t="s">
        <v>0</v>
      </c>
    </row>
    <row r="2809" spans="1:13" customFormat="1" ht="14.5" x14ac:dyDescent="0.35">
      <c r="A2809" s="129" t="s">
        <v>487</v>
      </c>
      <c r="B2809" s="129" t="s">
        <v>3809</v>
      </c>
      <c r="C2809" s="129" t="s">
        <v>4124</v>
      </c>
      <c r="D2809" s="129" t="s">
        <v>4127</v>
      </c>
      <c r="E2809" s="129" t="s">
        <v>4049</v>
      </c>
      <c r="F2809" s="129"/>
      <c r="G2809" s="129"/>
      <c r="H2809" s="83" t="str">
        <f t="shared" si="182"/>
        <v>TCCN-PTE-PAF-TMA-B04--</v>
      </c>
      <c r="I2809" s="129" t="str">
        <f>MID(H2809,1,(LEN(H2809)-VLOOKUP(K2809,datos!$B$2:$C$12,2,0)))</f>
        <v>TCCN-PTE-PAF-TMA-B04</v>
      </c>
      <c r="J2809" s="129" t="s">
        <v>5608</v>
      </c>
      <c r="K2809" s="130">
        <f>VLOOKUP(LEN(SUBSTITUTE(H2809,"-","")),datos!$A$1:$B$12,2,0)</f>
        <v>5</v>
      </c>
      <c r="L2809" s="129" t="s">
        <v>4286</v>
      </c>
      <c r="M2809" s="129" t="s">
        <v>0</v>
      </c>
    </row>
    <row r="2810" spans="1:13" x14ac:dyDescent="0.35">
      <c r="A2810" s="137" t="s">
        <v>487</v>
      </c>
      <c r="B2810" s="137" t="s">
        <v>3809</v>
      </c>
      <c r="C2810" s="137" t="s">
        <v>4124</v>
      </c>
      <c r="D2810" s="137" t="s">
        <v>4127</v>
      </c>
      <c r="E2810" s="137" t="s">
        <v>4049</v>
      </c>
      <c r="F2810" s="137" t="s">
        <v>5106</v>
      </c>
      <c r="G2810" s="137"/>
      <c r="H2810" s="82" t="str">
        <f t="shared" si="182"/>
        <v>TCCN-PTE-PAF-TMA-B04-PHU-</v>
      </c>
      <c r="I2810" s="137" t="str">
        <f>MID(H2810,1,(LEN(H2810)-VLOOKUP(K2810,datos!$B$2:$C$12,2,0)))</f>
        <v>TCCN-PTE-PAF-TMA-B04-PHU</v>
      </c>
      <c r="J2810" s="137" t="s">
        <v>4503</v>
      </c>
      <c r="K2810" s="139">
        <f>VLOOKUP(LEN(SUBSTITUTE(H2810,"-","")),datos!$A$1:$B$12,2,0)</f>
        <v>6</v>
      </c>
      <c r="L2810" s="137"/>
      <c r="M2810" s="137" t="s">
        <v>0</v>
      </c>
    </row>
    <row r="2811" spans="1:13" x14ac:dyDescent="0.35">
      <c r="A2811" s="137" t="s">
        <v>487</v>
      </c>
      <c r="B2811" s="137" t="s">
        <v>3809</v>
      </c>
      <c r="C2811" s="137" t="s">
        <v>4124</v>
      </c>
      <c r="D2811" s="137" t="s">
        <v>4127</v>
      </c>
      <c r="E2811" s="137" t="s">
        <v>4049</v>
      </c>
      <c r="F2811" s="137" t="s">
        <v>4073</v>
      </c>
      <c r="G2811" s="137"/>
      <c r="H2811" s="82" t="str">
        <f t="shared" si="182"/>
        <v>TCCN-PTE-PAF-TMA-B04-PYV-</v>
      </c>
      <c r="I2811" s="137" t="str">
        <f>MID(H2811,1,(LEN(H2811)-VLOOKUP(K2811,datos!$B$2:$C$12,2,0)))</f>
        <v>TCCN-PTE-PAF-TMA-B04-PYV</v>
      </c>
      <c r="J2811" s="137" t="s">
        <v>4504</v>
      </c>
      <c r="K2811" s="139">
        <f>VLOOKUP(LEN(SUBSTITUTE(H2811,"-","")),datos!$A$1:$B$12,2,0)</f>
        <v>6</v>
      </c>
      <c r="L2811" s="137"/>
      <c r="M2811" s="137" t="s">
        <v>0</v>
      </c>
    </row>
    <row r="2812" spans="1:13" x14ac:dyDescent="0.35">
      <c r="A2812" s="138" t="s">
        <v>487</v>
      </c>
      <c r="B2812" s="138" t="s">
        <v>3809</v>
      </c>
      <c r="C2812" s="138" t="s">
        <v>4124</v>
      </c>
      <c r="D2812" s="138" t="s">
        <v>4127</v>
      </c>
      <c r="E2812" s="138" t="s">
        <v>4049</v>
      </c>
      <c r="F2812" s="138" t="s">
        <v>4073</v>
      </c>
      <c r="G2812" s="138" t="s">
        <v>3986</v>
      </c>
      <c r="H2812" s="81" t="str">
        <f t="shared" ref="H2812:H2813" si="183">CONCATENATE(A2812,"-",B2812,"-",C2812,"-",D2812,"-",E2812,"-",F2812,"-",G2812)</f>
        <v>TCCN-PTE-PAF-TMA-B04-PYV-VV1</v>
      </c>
      <c r="I2812" s="138" t="str">
        <f>MID(H2812,1,(LEN(H2812)-VLOOKUP(K2812,datos!$B$2:$C$12,2,0)))</f>
        <v>TCCN-PTE-PAF-TMA-B04-PYV-VV1</v>
      </c>
      <c r="J2812" s="138" t="s">
        <v>7419</v>
      </c>
      <c r="K2812" s="140">
        <f>VLOOKUP(LEN(SUBSTITUTE(H2812,"-","")),datos!$A$1:$B$12,2,0)</f>
        <v>7</v>
      </c>
      <c r="L2812" s="138" t="s">
        <v>7417</v>
      </c>
      <c r="M2812" s="138" t="s">
        <v>0</v>
      </c>
    </row>
    <row r="2813" spans="1:13" x14ac:dyDescent="0.35">
      <c r="A2813" s="138" t="s">
        <v>487</v>
      </c>
      <c r="B2813" s="138" t="s">
        <v>3809</v>
      </c>
      <c r="C2813" s="138" t="s">
        <v>4124</v>
      </c>
      <c r="D2813" s="138" t="s">
        <v>4127</v>
      </c>
      <c r="E2813" s="138" t="s">
        <v>4049</v>
      </c>
      <c r="F2813" s="138" t="s">
        <v>4073</v>
      </c>
      <c r="G2813" s="138" t="s">
        <v>3987</v>
      </c>
      <c r="H2813" s="81" t="str">
        <f t="shared" si="183"/>
        <v>TCCN-PTE-PAF-TMA-B04-PYV-VV2</v>
      </c>
      <c r="I2813" s="138" t="str">
        <f>MID(H2813,1,(LEN(H2813)-VLOOKUP(K2813,datos!$B$2:$C$12,2,0)))</f>
        <v>TCCN-PTE-PAF-TMA-B04-PYV-VV2</v>
      </c>
      <c r="J2813" s="138" t="s">
        <v>7420</v>
      </c>
      <c r="K2813" s="140">
        <f>VLOOKUP(LEN(SUBSTITUTE(H2813,"-","")),datos!$A$1:$B$12,2,0)</f>
        <v>7</v>
      </c>
      <c r="L2813" s="138" t="s">
        <v>7418</v>
      </c>
      <c r="M2813" s="138" t="s">
        <v>0</v>
      </c>
    </row>
    <row r="2814" spans="1:13" x14ac:dyDescent="0.35">
      <c r="A2814" s="137" t="s">
        <v>487</v>
      </c>
      <c r="B2814" s="137" t="s">
        <v>3809</v>
      </c>
      <c r="C2814" s="137" t="s">
        <v>4124</v>
      </c>
      <c r="D2814" s="137" t="s">
        <v>4127</v>
      </c>
      <c r="E2814" s="137" t="s">
        <v>4049</v>
      </c>
      <c r="F2814" s="137" t="s">
        <v>3847</v>
      </c>
      <c r="G2814" s="137"/>
      <c r="H2814" s="82" t="str">
        <f t="shared" si="182"/>
        <v>TCCN-PTE-PAF-TMA-B04-SMO-</v>
      </c>
      <c r="I2814" s="137" t="str">
        <f>MID(H2814,1,(LEN(H2814)-VLOOKUP(K2814,datos!$B$2:$C$12,2,0)))</f>
        <v>TCCN-PTE-PAF-TMA-B04-SMO</v>
      </c>
      <c r="J2814" s="137" t="s">
        <v>4505</v>
      </c>
      <c r="K2814" s="139">
        <f>VLOOKUP(LEN(SUBSTITUTE(H2814,"-","")),datos!$A$1:$B$12,2,0)</f>
        <v>6</v>
      </c>
      <c r="L2814" s="137"/>
      <c r="M2814" s="137" t="s">
        <v>0</v>
      </c>
    </row>
    <row r="2815" spans="1:13" x14ac:dyDescent="0.35">
      <c r="A2815" s="138" t="s">
        <v>487</v>
      </c>
      <c r="B2815" s="138" t="s">
        <v>3809</v>
      </c>
      <c r="C2815" s="138" t="s">
        <v>4124</v>
      </c>
      <c r="D2815" s="138" t="s">
        <v>4127</v>
      </c>
      <c r="E2815" s="138" t="s">
        <v>4049</v>
      </c>
      <c r="F2815" s="138" t="s">
        <v>3847</v>
      </c>
      <c r="G2815" s="138" t="s">
        <v>3819</v>
      </c>
      <c r="H2815" s="81" t="str">
        <f t="shared" si="182"/>
        <v>TCCN-PTE-PAF-TMA-B04-SMO-MOE</v>
      </c>
      <c r="I2815" s="138" t="str">
        <f>MID(H2815,1,(LEN(H2815)-VLOOKUP(K2815,datos!$B$2:$C$12,2,0)))</f>
        <v>TCCN-PTE-PAF-TMA-B04-SMO-MOE</v>
      </c>
      <c r="J2815" s="138" t="s">
        <v>5375</v>
      </c>
      <c r="K2815" s="140">
        <f>VLOOKUP(LEN(SUBSTITUTE(H2815,"-","")),datos!$A$1:$B$12,2,0)</f>
        <v>7</v>
      </c>
      <c r="L2815" s="138" t="s">
        <v>4287</v>
      </c>
      <c r="M2815" s="138" t="s">
        <v>0</v>
      </c>
    </row>
    <row r="2816" spans="1:13" x14ac:dyDescent="0.35">
      <c r="A2816" s="137" t="s">
        <v>487</v>
      </c>
      <c r="B2816" s="137" t="s">
        <v>3809</v>
      </c>
      <c r="C2816" s="137" t="s">
        <v>4124</v>
      </c>
      <c r="D2816" s="137" t="s">
        <v>4127</v>
      </c>
      <c r="E2816" s="137" t="s">
        <v>4049</v>
      </c>
      <c r="F2816" s="137" t="s">
        <v>3831</v>
      </c>
      <c r="G2816" s="137"/>
      <c r="H2816" s="82" t="str">
        <f>CONCATENATE(A2816,"-",B2816,"-",C2816,"-",D2816,"-",E2816,"-",F2816,"-",G2816)</f>
        <v>TCCN-PTE-PAF-TMA-B04-INS-</v>
      </c>
      <c r="I2816" s="137" t="str">
        <f>MID(H2816,1,(LEN(H2816)-VLOOKUP(K2816,datos!$B$2:$C$12,2,0)))</f>
        <v>TCCN-PTE-PAF-TMA-B04-INS</v>
      </c>
      <c r="J2816" s="137" t="s">
        <v>5606</v>
      </c>
      <c r="K2816" s="139">
        <f>VLOOKUP(LEN(SUBSTITUTE(H2816,"-","")),datos!$A$1:$B$12,2,0)</f>
        <v>6</v>
      </c>
      <c r="L2816" s="137"/>
      <c r="M2816" s="137" t="s">
        <v>0</v>
      </c>
    </row>
    <row r="2817" spans="1:13" x14ac:dyDescent="0.35">
      <c r="A2817" s="137" t="s">
        <v>487</v>
      </c>
      <c r="B2817" s="137" t="s">
        <v>3809</v>
      </c>
      <c r="C2817" s="137" t="s">
        <v>4124</v>
      </c>
      <c r="D2817" s="137" t="s">
        <v>4127</v>
      </c>
      <c r="E2817" s="137" t="s">
        <v>4049</v>
      </c>
      <c r="F2817" s="137" t="s">
        <v>3869</v>
      </c>
      <c r="G2817" s="137"/>
      <c r="H2817" s="82" t="str">
        <f t="shared" si="182"/>
        <v>TCCN-PTE-PAF-TMA-B04-SCE-</v>
      </c>
      <c r="I2817" s="137" t="str">
        <f>MID(H2817,1,(LEN(H2817)-VLOOKUP(K2817,datos!$B$2:$C$12,2,0)))</f>
        <v>TCCN-PTE-PAF-TMA-B04-SCE</v>
      </c>
      <c r="J2817" s="137" t="s">
        <v>4537</v>
      </c>
      <c r="K2817" s="139">
        <f>VLOOKUP(LEN(SUBSTITUTE(H2817,"-","")),datos!$A$1:$B$12,2,0)</f>
        <v>6</v>
      </c>
      <c r="L2817" s="137"/>
      <c r="M2817" s="137" t="s">
        <v>0</v>
      </c>
    </row>
    <row r="2818" spans="1:13" x14ac:dyDescent="0.35">
      <c r="A2818" s="138" t="s">
        <v>487</v>
      </c>
      <c r="B2818" s="138" t="s">
        <v>3809</v>
      </c>
      <c r="C2818" s="138" t="s">
        <v>4124</v>
      </c>
      <c r="D2818" s="138" t="s">
        <v>4127</v>
      </c>
      <c r="E2818" s="138" t="s">
        <v>4049</v>
      </c>
      <c r="F2818" s="138" t="s">
        <v>3869</v>
      </c>
      <c r="G2818" s="138" t="s">
        <v>3870</v>
      </c>
      <c r="H2818" s="81" t="str">
        <f t="shared" si="182"/>
        <v>TCCN-PTE-PAF-TMA-B04-SCE-BTN</v>
      </c>
      <c r="I2818" s="138" t="str">
        <f>MID(H2818,1,(LEN(H2818)-VLOOKUP(K2818,datos!$B$2:$C$12,2,0)))</f>
        <v>TCCN-PTE-PAF-TMA-B04-SCE-BTN</v>
      </c>
      <c r="J2818" s="138" t="s">
        <v>4538</v>
      </c>
      <c r="K2818" s="140">
        <f>VLOOKUP(LEN(SUBSTITUTE(H2818,"-","")),datos!$A$1:$B$12,2,0)</f>
        <v>7</v>
      </c>
      <c r="L2818" s="138"/>
      <c r="M2818" s="138" t="s">
        <v>0</v>
      </c>
    </row>
    <row r="2819" spans="1:13" customFormat="1" ht="14.5" x14ac:dyDescent="0.35">
      <c r="A2819" s="129" t="s">
        <v>487</v>
      </c>
      <c r="B2819" s="129" t="s">
        <v>3809</v>
      </c>
      <c r="C2819" s="129" t="s">
        <v>4124</v>
      </c>
      <c r="D2819" s="129" t="s">
        <v>4127</v>
      </c>
      <c r="E2819" s="129" t="s">
        <v>4114</v>
      </c>
      <c r="F2819" s="129"/>
      <c r="G2819" s="129"/>
      <c r="H2819" s="83" t="str">
        <f t="shared" si="182"/>
        <v>TCCN-PTE-PAF-TMA-B05--</v>
      </c>
      <c r="I2819" s="129" t="str">
        <f>MID(H2819,1,(LEN(H2819)-VLOOKUP(K2819,datos!$B$2:$C$12,2,0)))</f>
        <v>TCCN-PTE-PAF-TMA-B05</v>
      </c>
      <c r="J2819" s="129" t="s">
        <v>5609</v>
      </c>
      <c r="K2819" s="130">
        <f>VLOOKUP(LEN(SUBSTITUTE(H2819,"-","")),datos!$A$1:$B$12,2,0)</f>
        <v>5</v>
      </c>
      <c r="L2819" s="129" t="s">
        <v>4288</v>
      </c>
      <c r="M2819" s="129" t="s">
        <v>0</v>
      </c>
    </row>
    <row r="2820" spans="1:13" x14ac:dyDescent="0.35">
      <c r="A2820" s="137" t="s">
        <v>487</v>
      </c>
      <c r="B2820" s="137" t="s">
        <v>3809</v>
      </c>
      <c r="C2820" s="137" t="s">
        <v>4124</v>
      </c>
      <c r="D2820" s="137" t="s">
        <v>4127</v>
      </c>
      <c r="E2820" s="137" t="s">
        <v>4114</v>
      </c>
      <c r="F2820" s="137" t="s">
        <v>5106</v>
      </c>
      <c r="G2820" s="137"/>
      <c r="H2820" s="82" t="str">
        <f t="shared" si="182"/>
        <v>TCCN-PTE-PAF-TMA-B05-PHU-</v>
      </c>
      <c r="I2820" s="137" t="str">
        <f>MID(H2820,1,(LEN(H2820)-VLOOKUP(K2820,datos!$B$2:$C$12,2,0)))</f>
        <v>TCCN-PTE-PAF-TMA-B05-PHU</v>
      </c>
      <c r="J2820" s="137" t="s">
        <v>4506</v>
      </c>
      <c r="K2820" s="139">
        <f>VLOOKUP(LEN(SUBSTITUTE(H2820,"-","")),datos!$A$1:$B$12,2,0)</f>
        <v>6</v>
      </c>
      <c r="L2820" s="137"/>
      <c r="M2820" s="137" t="s">
        <v>0</v>
      </c>
    </row>
    <row r="2821" spans="1:13" x14ac:dyDescent="0.35">
      <c r="A2821" s="137" t="s">
        <v>487</v>
      </c>
      <c r="B2821" s="137" t="s">
        <v>3809</v>
      </c>
      <c r="C2821" s="137" t="s">
        <v>4124</v>
      </c>
      <c r="D2821" s="137" t="s">
        <v>4127</v>
      </c>
      <c r="E2821" s="137" t="s">
        <v>4114</v>
      </c>
      <c r="F2821" s="137" t="s">
        <v>4073</v>
      </c>
      <c r="G2821" s="137"/>
      <c r="H2821" s="82" t="str">
        <f t="shared" si="182"/>
        <v>TCCN-PTE-PAF-TMA-B05-PYV-</v>
      </c>
      <c r="I2821" s="137" t="str">
        <f>MID(H2821,1,(LEN(H2821)-VLOOKUP(K2821,datos!$B$2:$C$12,2,0)))</f>
        <v>TCCN-PTE-PAF-TMA-B05-PYV</v>
      </c>
      <c r="J2821" s="137" t="s">
        <v>4507</v>
      </c>
      <c r="K2821" s="139">
        <f>VLOOKUP(LEN(SUBSTITUTE(H2821,"-","")),datos!$A$1:$B$12,2,0)</f>
        <v>6</v>
      </c>
      <c r="L2821" s="137"/>
      <c r="M2821" s="137" t="s">
        <v>0</v>
      </c>
    </row>
    <row r="2822" spans="1:13" ht="16.5" customHeight="1" x14ac:dyDescent="0.35">
      <c r="A2822" s="138" t="s">
        <v>487</v>
      </c>
      <c r="B2822" s="138" t="s">
        <v>3809</v>
      </c>
      <c r="C2822" s="138" t="s">
        <v>4124</v>
      </c>
      <c r="D2822" s="138" t="s">
        <v>4127</v>
      </c>
      <c r="E2822" s="138" t="s">
        <v>4114</v>
      </c>
      <c r="F2822" s="138" t="s">
        <v>4073</v>
      </c>
      <c r="G2822" s="138" t="s">
        <v>3986</v>
      </c>
      <c r="H2822" s="81" t="str">
        <f t="shared" ref="H2822" si="184">CONCATENATE(A2822,"-",B2822,"-",C2822,"-",D2822,"-",E2822,"-",F2822,"-",G2822)</f>
        <v>TCCN-PTE-PAF-TMA-B05-PYV-VV1</v>
      </c>
      <c r="I2822" s="138" t="str">
        <f>MID(H2822,1,(LEN(H2822)-VLOOKUP(K2822,datos!$B$2:$C$12,2,0)))</f>
        <v>TCCN-PTE-PAF-TMA-B05-PYV-VV1</v>
      </c>
      <c r="J2822" s="138" t="s">
        <v>7432</v>
      </c>
      <c r="K2822" s="140">
        <f>VLOOKUP(LEN(SUBSTITUTE(H2822,"-","")),datos!$A$1:$B$12,2,0)</f>
        <v>7</v>
      </c>
      <c r="L2822" s="138" t="s">
        <v>7430</v>
      </c>
      <c r="M2822" s="138" t="s">
        <v>0</v>
      </c>
    </row>
    <row r="2823" spans="1:13" ht="16.5" customHeight="1" x14ac:dyDescent="0.35">
      <c r="A2823" s="138" t="s">
        <v>487</v>
      </c>
      <c r="B2823" s="138" t="s">
        <v>3809</v>
      </c>
      <c r="C2823" s="138" t="s">
        <v>4124</v>
      </c>
      <c r="D2823" s="138" t="s">
        <v>4127</v>
      </c>
      <c r="E2823" s="138" t="s">
        <v>4114</v>
      </c>
      <c r="F2823" s="138" t="s">
        <v>4073</v>
      </c>
      <c r="G2823" s="138" t="s">
        <v>3987</v>
      </c>
      <c r="H2823" s="81" t="str">
        <f t="shared" ref="H2823" si="185">CONCATENATE(A2823,"-",B2823,"-",C2823,"-",D2823,"-",E2823,"-",F2823,"-",G2823)</f>
        <v>TCCN-PTE-PAF-TMA-B05-PYV-VV2</v>
      </c>
      <c r="I2823" s="138" t="str">
        <f>MID(H2823,1,(LEN(H2823)-VLOOKUP(K2823,datos!$B$2:$C$12,2,0)))</f>
        <v>TCCN-PTE-PAF-TMA-B05-PYV-VV2</v>
      </c>
      <c r="J2823" s="138" t="s">
        <v>7433</v>
      </c>
      <c r="K2823" s="140">
        <f>VLOOKUP(LEN(SUBSTITUTE(H2823,"-","")),datos!$A$1:$B$12,2,0)</f>
        <v>7</v>
      </c>
      <c r="L2823" s="138" t="s">
        <v>7431</v>
      </c>
      <c r="M2823" s="138" t="s">
        <v>0</v>
      </c>
    </row>
    <row r="2824" spans="1:13" x14ac:dyDescent="0.35">
      <c r="A2824" s="137" t="s">
        <v>487</v>
      </c>
      <c r="B2824" s="137" t="s">
        <v>3809</v>
      </c>
      <c r="C2824" s="137" t="s">
        <v>4124</v>
      </c>
      <c r="D2824" s="137" t="s">
        <v>4127</v>
      </c>
      <c r="E2824" s="137" t="s">
        <v>4114</v>
      </c>
      <c r="F2824" s="137" t="s">
        <v>3847</v>
      </c>
      <c r="G2824" s="137"/>
      <c r="H2824" s="82" t="str">
        <f t="shared" si="182"/>
        <v>TCCN-PTE-PAF-TMA-B05-SMO-</v>
      </c>
      <c r="I2824" s="137" t="str">
        <f>MID(H2824,1,(LEN(H2824)-VLOOKUP(K2824,datos!$B$2:$C$12,2,0)))</f>
        <v>TCCN-PTE-PAF-TMA-B05-SMO</v>
      </c>
      <c r="J2824" s="137" t="s">
        <v>4508</v>
      </c>
      <c r="K2824" s="139">
        <f>VLOOKUP(LEN(SUBSTITUTE(H2824,"-","")),datos!$A$1:$B$12,2,0)</f>
        <v>6</v>
      </c>
      <c r="L2824" s="137"/>
      <c r="M2824" s="137" t="s">
        <v>0</v>
      </c>
    </row>
    <row r="2825" spans="1:13" x14ac:dyDescent="0.35">
      <c r="A2825" s="138" t="s">
        <v>487</v>
      </c>
      <c r="B2825" s="138" t="s">
        <v>3809</v>
      </c>
      <c r="C2825" s="138" t="s">
        <v>4124</v>
      </c>
      <c r="D2825" s="138" t="s">
        <v>4127</v>
      </c>
      <c r="E2825" s="138" t="s">
        <v>4114</v>
      </c>
      <c r="F2825" s="138" t="s">
        <v>3847</v>
      </c>
      <c r="G2825" s="138" t="s">
        <v>3819</v>
      </c>
      <c r="H2825" s="81" t="str">
        <f t="shared" si="182"/>
        <v>TCCN-PTE-PAF-TMA-B05-SMO-MOE</v>
      </c>
      <c r="I2825" s="138" t="str">
        <f>MID(H2825,1,(LEN(H2825)-VLOOKUP(K2825,datos!$B$2:$C$12,2,0)))</f>
        <v>TCCN-PTE-PAF-TMA-B05-SMO-MOE</v>
      </c>
      <c r="J2825" s="138" t="s">
        <v>5376</v>
      </c>
      <c r="K2825" s="140">
        <f>VLOOKUP(LEN(SUBSTITUTE(H2825,"-","")),datos!$A$1:$B$12,2,0)</f>
        <v>7</v>
      </c>
      <c r="L2825" s="138" t="s">
        <v>4289</v>
      </c>
      <c r="M2825" s="138" t="s">
        <v>0</v>
      </c>
    </row>
    <row r="2826" spans="1:13" x14ac:dyDescent="0.35">
      <c r="A2826" s="137" t="s">
        <v>487</v>
      </c>
      <c r="B2826" s="137" t="s">
        <v>3809</v>
      </c>
      <c r="C2826" s="137" t="s">
        <v>4124</v>
      </c>
      <c r="D2826" s="137" t="s">
        <v>4127</v>
      </c>
      <c r="E2826" s="137" t="s">
        <v>4114</v>
      </c>
      <c r="F2826" s="137" t="s">
        <v>3831</v>
      </c>
      <c r="G2826" s="137"/>
      <c r="H2826" s="82" t="str">
        <f>CONCATENATE(A2826,"-",B2826,"-",C2826,"-",D2826,"-",E2826,"-",F2826,"-",G2826)</f>
        <v>TCCN-PTE-PAF-TMA-B05-INS-</v>
      </c>
      <c r="I2826" s="137" t="str">
        <f>MID(H2826,1,(LEN(H2826)-VLOOKUP(K2826,datos!$B$2:$C$12,2,0)))</f>
        <v>TCCN-PTE-PAF-TMA-B05-INS</v>
      </c>
      <c r="J2826" s="137" t="s">
        <v>5611</v>
      </c>
      <c r="K2826" s="139">
        <f>VLOOKUP(LEN(SUBSTITUTE(H2826,"-","")),datos!$A$1:$B$12,2,0)</f>
        <v>6</v>
      </c>
      <c r="L2826" s="137"/>
      <c r="M2826" s="137" t="s">
        <v>0</v>
      </c>
    </row>
    <row r="2827" spans="1:13" x14ac:dyDescent="0.35">
      <c r="A2827" s="137" t="s">
        <v>487</v>
      </c>
      <c r="B2827" s="137" t="s">
        <v>3809</v>
      </c>
      <c r="C2827" s="137" t="s">
        <v>4124</v>
      </c>
      <c r="D2827" s="137" t="s">
        <v>4127</v>
      </c>
      <c r="E2827" s="137" t="s">
        <v>4114</v>
      </c>
      <c r="F2827" s="137" t="s">
        <v>3869</v>
      </c>
      <c r="G2827" s="137"/>
      <c r="H2827" s="82" t="str">
        <f t="shared" si="182"/>
        <v>TCCN-PTE-PAF-TMA-B05-SCE-</v>
      </c>
      <c r="I2827" s="137" t="str">
        <f>MID(H2827,1,(LEN(H2827)-VLOOKUP(K2827,datos!$B$2:$C$12,2,0)))</f>
        <v>TCCN-PTE-PAF-TMA-B05-SCE</v>
      </c>
      <c r="J2827" s="137" t="s">
        <v>4551</v>
      </c>
      <c r="K2827" s="139">
        <f>VLOOKUP(LEN(SUBSTITUTE(H2827,"-","")),datos!$A$1:$B$12,2,0)</f>
        <v>6</v>
      </c>
      <c r="L2827" s="137"/>
      <c r="M2827" s="137" t="s">
        <v>0</v>
      </c>
    </row>
    <row r="2828" spans="1:13" ht="16.5" customHeight="1" x14ac:dyDescent="0.35">
      <c r="A2828" s="138" t="s">
        <v>487</v>
      </c>
      <c r="B2828" s="138" t="s">
        <v>3809</v>
      </c>
      <c r="C2828" s="138" t="s">
        <v>4124</v>
      </c>
      <c r="D2828" s="138" t="s">
        <v>4127</v>
      </c>
      <c r="E2828" s="138" t="s">
        <v>4114</v>
      </c>
      <c r="F2828" s="138" t="s">
        <v>3869</v>
      </c>
      <c r="G2828" s="138" t="s">
        <v>3870</v>
      </c>
      <c r="H2828" s="81" t="str">
        <f t="shared" si="182"/>
        <v>TCCN-PTE-PAF-TMA-B05-SCE-BTN</v>
      </c>
      <c r="I2828" s="138" t="str">
        <f>MID(H2828,1,(LEN(H2828)-VLOOKUP(K2828,datos!$B$2:$C$12,2,0)))</f>
        <v>TCCN-PTE-PAF-TMA-B05-SCE-BTN</v>
      </c>
      <c r="J2828" s="138" t="s">
        <v>4552</v>
      </c>
      <c r="K2828" s="140">
        <f>VLOOKUP(LEN(SUBSTITUTE(H2828,"-","")),datos!$A$1:$B$12,2,0)</f>
        <v>7</v>
      </c>
      <c r="L2828" s="138"/>
      <c r="M2828" s="138" t="s">
        <v>0</v>
      </c>
    </row>
    <row r="2829" spans="1:13" customFormat="1" ht="14.5" x14ac:dyDescent="0.35">
      <c r="A2829" s="129" t="s">
        <v>487</v>
      </c>
      <c r="B2829" s="129" t="s">
        <v>3809</v>
      </c>
      <c r="C2829" s="129" t="s">
        <v>4124</v>
      </c>
      <c r="D2829" s="129" t="s">
        <v>4127</v>
      </c>
      <c r="E2829" s="129" t="s">
        <v>4116</v>
      </c>
      <c r="F2829" s="129"/>
      <c r="G2829" s="129"/>
      <c r="H2829" s="83" t="str">
        <f t="shared" si="182"/>
        <v>TCCN-PTE-PAF-TMA-B06--</v>
      </c>
      <c r="I2829" s="129" t="str">
        <f>MID(H2829,1,(LEN(H2829)-VLOOKUP(K2829,datos!$B$2:$C$12,2,0)))</f>
        <v>TCCN-PTE-PAF-TMA-B06</v>
      </c>
      <c r="J2829" s="129" t="s">
        <v>5610</v>
      </c>
      <c r="K2829" s="130">
        <f>VLOOKUP(LEN(SUBSTITUTE(H2829,"-","")),datos!$A$1:$B$12,2,0)</f>
        <v>5</v>
      </c>
      <c r="L2829" s="129" t="s">
        <v>4290</v>
      </c>
      <c r="M2829" s="129" t="s">
        <v>0</v>
      </c>
    </row>
    <row r="2830" spans="1:13" x14ac:dyDescent="0.35">
      <c r="A2830" s="137" t="s">
        <v>487</v>
      </c>
      <c r="B2830" s="137" t="s">
        <v>3809</v>
      </c>
      <c r="C2830" s="137" t="s">
        <v>4124</v>
      </c>
      <c r="D2830" s="137" t="s">
        <v>4127</v>
      </c>
      <c r="E2830" s="137" t="s">
        <v>4116</v>
      </c>
      <c r="F2830" s="137" t="s">
        <v>5106</v>
      </c>
      <c r="G2830" s="137"/>
      <c r="H2830" s="82" t="str">
        <f t="shared" si="182"/>
        <v>TCCN-PTE-PAF-TMA-B06-PHU-</v>
      </c>
      <c r="I2830" s="137" t="str">
        <f>MID(H2830,1,(LEN(H2830)-VLOOKUP(K2830,datos!$B$2:$C$12,2,0)))</f>
        <v>TCCN-PTE-PAF-TMA-B06-PHU</v>
      </c>
      <c r="J2830" s="137" t="s">
        <v>4512</v>
      </c>
      <c r="K2830" s="139">
        <f>VLOOKUP(LEN(SUBSTITUTE(H2830,"-","")),datos!$A$1:$B$12,2,0)</f>
        <v>6</v>
      </c>
      <c r="L2830" s="137"/>
      <c r="M2830" s="137" t="s">
        <v>0</v>
      </c>
    </row>
    <row r="2831" spans="1:13" x14ac:dyDescent="0.35">
      <c r="A2831" s="137" t="s">
        <v>487</v>
      </c>
      <c r="B2831" s="137" t="s">
        <v>3809</v>
      </c>
      <c r="C2831" s="137" t="s">
        <v>4124</v>
      </c>
      <c r="D2831" s="137" t="s">
        <v>4127</v>
      </c>
      <c r="E2831" s="137" t="s">
        <v>4116</v>
      </c>
      <c r="F2831" s="137" t="s">
        <v>4073</v>
      </c>
      <c r="G2831" s="137"/>
      <c r="H2831" s="82" t="str">
        <f t="shared" si="182"/>
        <v>TCCN-PTE-PAF-TMA-B06-PYV-</v>
      </c>
      <c r="I2831" s="137" t="str">
        <f>MID(H2831,1,(LEN(H2831)-VLOOKUP(K2831,datos!$B$2:$C$12,2,0)))</f>
        <v>TCCN-PTE-PAF-TMA-B06-PYV</v>
      </c>
      <c r="J2831" s="137" t="s">
        <v>4513</v>
      </c>
      <c r="K2831" s="139">
        <f>VLOOKUP(LEN(SUBSTITUTE(H2831,"-","")),datos!$A$1:$B$12,2,0)</f>
        <v>6</v>
      </c>
      <c r="L2831" s="137"/>
      <c r="M2831" s="137" t="s">
        <v>0</v>
      </c>
    </row>
    <row r="2832" spans="1:13" ht="16.5" customHeight="1" x14ac:dyDescent="0.35">
      <c r="A2832" s="138" t="s">
        <v>487</v>
      </c>
      <c r="B2832" s="138" t="s">
        <v>3809</v>
      </c>
      <c r="C2832" s="138" t="s">
        <v>4124</v>
      </c>
      <c r="D2832" s="138" t="s">
        <v>4127</v>
      </c>
      <c r="E2832" s="138" t="s">
        <v>4116</v>
      </c>
      <c r="F2832" s="138" t="s">
        <v>4073</v>
      </c>
      <c r="G2832" s="138" t="s">
        <v>3986</v>
      </c>
      <c r="H2832" s="81" t="str">
        <f t="shared" si="182"/>
        <v>TCCN-PTE-PAF-TMA-B06-PYV-VV1</v>
      </c>
      <c r="I2832" s="138" t="str">
        <f>MID(H2832,1,(LEN(H2832)-VLOOKUP(K2832,datos!$B$2:$C$12,2,0)))</f>
        <v>TCCN-PTE-PAF-TMA-B06-PYV-VV1</v>
      </c>
      <c r="J2832" s="138" t="s">
        <v>7436</v>
      </c>
      <c r="K2832" s="140">
        <f>VLOOKUP(LEN(SUBSTITUTE(H2832,"-","")),datos!$A$1:$B$12,2,0)</f>
        <v>7</v>
      </c>
      <c r="L2832" s="138" t="s">
        <v>7438</v>
      </c>
      <c r="M2832" s="138" t="s">
        <v>0</v>
      </c>
    </row>
    <row r="2833" spans="1:13" ht="16.5" customHeight="1" x14ac:dyDescent="0.35">
      <c r="A2833" s="138" t="s">
        <v>487</v>
      </c>
      <c r="B2833" s="138" t="s">
        <v>3809</v>
      </c>
      <c r="C2833" s="138" t="s">
        <v>4124</v>
      </c>
      <c r="D2833" s="138" t="s">
        <v>4127</v>
      </c>
      <c r="E2833" s="138" t="s">
        <v>4116</v>
      </c>
      <c r="F2833" s="138" t="s">
        <v>4073</v>
      </c>
      <c r="G2833" s="138" t="s">
        <v>3987</v>
      </c>
      <c r="H2833" s="81" t="str">
        <f t="shared" si="182"/>
        <v>TCCN-PTE-PAF-TMA-B06-PYV-VV2</v>
      </c>
      <c r="I2833" s="138" t="str">
        <f>MID(H2833,1,(LEN(H2833)-VLOOKUP(K2833,datos!$B$2:$C$12,2,0)))</f>
        <v>TCCN-PTE-PAF-TMA-B06-PYV-VV2</v>
      </c>
      <c r="J2833" s="138" t="s">
        <v>7437</v>
      </c>
      <c r="K2833" s="140">
        <f>VLOOKUP(LEN(SUBSTITUTE(H2833,"-","")),datos!$A$1:$B$12,2,0)</f>
        <v>7</v>
      </c>
      <c r="L2833" s="138" t="s">
        <v>7439</v>
      </c>
      <c r="M2833" s="138" t="s">
        <v>0</v>
      </c>
    </row>
    <row r="2834" spans="1:13" x14ac:dyDescent="0.35">
      <c r="A2834" s="137" t="s">
        <v>487</v>
      </c>
      <c r="B2834" s="137" t="s">
        <v>3809</v>
      </c>
      <c r="C2834" s="137" t="s">
        <v>4124</v>
      </c>
      <c r="D2834" s="137" t="s">
        <v>4127</v>
      </c>
      <c r="E2834" s="137" t="s">
        <v>4116</v>
      </c>
      <c r="F2834" s="137" t="s">
        <v>3847</v>
      </c>
      <c r="G2834" s="137"/>
      <c r="H2834" s="82" t="str">
        <f t="shared" si="182"/>
        <v>TCCN-PTE-PAF-TMA-B06-SMO-</v>
      </c>
      <c r="I2834" s="137" t="str">
        <f>MID(H2834,1,(LEN(H2834)-VLOOKUP(K2834,datos!$B$2:$C$12,2,0)))</f>
        <v>TCCN-PTE-PAF-TMA-B06-SMO</v>
      </c>
      <c r="J2834" s="137" t="s">
        <v>4514</v>
      </c>
      <c r="K2834" s="139">
        <f>VLOOKUP(LEN(SUBSTITUTE(H2834,"-","")),datos!$A$1:$B$12,2,0)</f>
        <v>6</v>
      </c>
      <c r="L2834" s="137"/>
      <c r="M2834" s="137" t="s">
        <v>0</v>
      </c>
    </row>
    <row r="2835" spans="1:13" x14ac:dyDescent="0.35">
      <c r="A2835" s="138" t="s">
        <v>487</v>
      </c>
      <c r="B2835" s="138" t="s">
        <v>3809</v>
      </c>
      <c r="C2835" s="138" t="s">
        <v>4124</v>
      </c>
      <c r="D2835" s="138" t="s">
        <v>4127</v>
      </c>
      <c r="E2835" s="138" t="s">
        <v>4116</v>
      </c>
      <c r="F2835" s="138" t="s">
        <v>3847</v>
      </c>
      <c r="G2835" s="138" t="s">
        <v>3819</v>
      </c>
      <c r="H2835" s="81" t="str">
        <f t="shared" si="182"/>
        <v>TCCN-PTE-PAF-TMA-B06-SMO-MOE</v>
      </c>
      <c r="I2835" s="138" t="str">
        <f>MID(H2835,1,(LEN(H2835)-VLOOKUP(K2835,datos!$B$2:$C$12,2,0)))</f>
        <v>TCCN-PTE-PAF-TMA-B06-SMO-MOE</v>
      </c>
      <c r="J2835" s="138" t="s">
        <v>5377</v>
      </c>
      <c r="K2835" s="140">
        <f>VLOOKUP(LEN(SUBSTITUTE(H2835,"-","")),datos!$A$1:$B$12,2,0)</f>
        <v>7</v>
      </c>
      <c r="L2835" s="138" t="s">
        <v>4291</v>
      </c>
      <c r="M2835" s="138" t="s">
        <v>0</v>
      </c>
    </row>
    <row r="2836" spans="1:13" x14ac:dyDescent="0.35">
      <c r="A2836" s="137" t="s">
        <v>487</v>
      </c>
      <c r="B2836" s="137" t="s">
        <v>3809</v>
      </c>
      <c r="C2836" s="137" t="s">
        <v>4124</v>
      </c>
      <c r="D2836" s="137" t="s">
        <v>4127</v>
      </c>
      <c r="E2836" s="137" t="s">
        <v>4116</v>
      </c>
      <c r="F2836" s="137" t="s">
        <v>3831</v>
      </c>
      <c r="G2836" s="137"/>
      <c r="H2836" s="82" t="str">
        <f>CONCATENATE(A2836,"-",B2836,"-",C2836,"-",D2836,"-",E2836,"-",F2836,"-",G2836)</f>
        <v>TCCN-PTE-PAF-TMA-B06-INS-</v>
      </c>
      <c r="I2836" s="137" t="str">
        <f>MID(H2836,1,(LEN(H2836)-VLOOKUP(K2836,datos!$B$2:$C$12,2,0)))</f>
        <v>TCCN-PTE-PAF-TMA-B06-INS</v>
      </c>
      <c r="J2836" s="137" t="s">
        <v>5612</v>
      </c>
      <c r="K2836" s="139">
        <f>VLOOKUP(LEN(SUBSTITUTE(H2836,"-","")),datos!$A$1:$B$12,2,0)</f>
        <v>6</v>
      </c>
      <c r="L2836" s="137"/>
      <c r="M2836" s="137" t="s">
        <v>0</v>
      </c>
    </row>
    <row r="2837" spans="1:13" x14ac:dyDescent="0.35">
      <c r="A2837" s="137" t="s">
        <v>487</v>
      </c>
      <c r="B2837" s="137" t="s">
        <v>3809</v>
      </c>
      <c r="C2837" s="137" t="s">
        <v>4124</v>
      </c>
      <c r="D2837" s="137" t="s">
        <v>4127</v>
      </c>
      <c r="E2837" s="137" t="s">
        <v>4116</v>
      </c>
      <c r="F2837" s="137" t="s">
        <v>3869</v>
      </c>
      <c r="G2837" s="137"/>
      <c r="H2837" s="82" t="str">
        <f t="shared" si="182"/>
        <v>TCCN-PTE-PAF-TMA-B06-SCE-</v>
      </c>
      <c r="I2837" s="137" t="str">
        <f>MID(H2837,1,(LEN(H2837)-VLOOKUP(K2837,datos!$B$2:$C$12,2,0)))</f>
        <v>TCCN-PTE-PAF-TMA-B06-SCE</v>
      </c>
      <c r="J2837" s="137" t="s">
        <v>4549</v>
      </c>
      <c r="K2837" s="139">
        <f>VLOOKUP(LEN(SUBSTITUTE(H2837,"-","")),datos!$A$1:$B$12,2,0)</f>
        <v>6</v>
      </c>
      <c r="L2837" s="137"/>
      <c r="M2837" s="137" t="s">
        <v>0</v>
      </c>
    </row>
    <row r="2838" spans="1:13" x14ac:dyDescent="0.35">
      <c r="A2838" s="138" t="s">
        <v>487</v>
      </c>
      <c r="B2838" s="138" t="s">
        <v>3809</v>
      </c>
      <c r="C2838" s="138" t="s">
        <v>4124</v>
      </c>
      <c r="D2838" s="138" t="s">
        <v>4127</v>
      </c>
      <c r="E2838" s="138" t="s">
        <v>4116</v>
      </c>
      <c r="F2838" s="138" t="s">
        <v>3869</v>
      </c>
      <c r="G2838" s="138" t="s">
        <v>3870</v>
      </c>
      <c r="H2838" s="81" t="str">
        <f t="shared" si="182"/>
        <v>TCCN-PTE-PAF-TMA-B06-SCE-BTN</v>
      </c>
      <c r="I2838" s="138" t="str">
        <f>MID(H2838,1,(LEN(H2838)-VLOOKUP(K2838,datos!$B$2:$C$12,2,0)))</f>
        <v>TCCN-PTE-PAF-TMA-B06-SCE-BTN</v>
      </c>
      <c r="J2838" s="138" t="s">
        <v>4550</v>
      </c>
      <c r="K2838" s="140">
        <f>VLOOKUP(LEN(SUBSTITUTE(H2838,"-","")),datos!$A$1:$B$12,2,0)</f>
        <v>7</v>
      </c>
      <c r="L2838" s="138"/>
      <c r="M2838" s="138" t="s">
        <v>0</v>
      </c>
    </row>
    <row r="2839" spans="1:13" customFormat="1" ht="14.5" x14ac:dyDescent="0.35">
      <c r="A2839" s="129" t="s">
        <v>487</v>
      </c>
      <c r="B2839" s="129" t="s">
        <v>3809</v>
      </c>
      <c r="C2839" s="129" t="s">
        <v>4124</v>
      </c>
      <c r="D2839" s="129" t="s">
        <v>4127</v>
      </c>
      <c r="E2839" s="129" t="s">
        <v>4117</v>
      </c>
      <c r="F2839" s="129"/>
      <c r="G2839" s="129"/>
      <c r="H2839" s="83" t="str">
        <f t="shared" si="182"/>
        <v>TCCN-PTE-PAF-TMA-B07--</v>
      </c>
      <c r="I2839" s="129" t="str">
        <f>MID(H2839,1,(LEN(H2839)-VLOOKUP(K2839,datos!$B$2:$C$12,2,0)))</f>
        <v>TCCN-PTE-PAF-TMA-B07</v>
      </c>
      <c r="J2839" s="129" t="s">
        <v>5613</v>
      </c>
      <c r="K2839" s="130">
        <f>VLOOKUP(LEN(SUBSTITUTE(H2839,"-","")),datos!$A$1:$B$12,2,0)</f>
        <v>5</v>
      </c>
      <c r="L2839" s="129" t="s">
        <v>4292</v>
      </c>
      <c r="M2839" s="129" t="s">
        <v>0</v>
      </c>
    </row>
    <row r="2840" spans="1:13" x14ac:dyDescent="0.35">
      <c r="A2840" s="137" t="s">
        <v>487</v>
      </c>
      <c r="B2840" s="137" t="s">
        <v>3809</v>
      </c>
      <c r="C2840" s="137" t="s">
        <v>4124</v>
      </c>
      <c r="D2840" s="137" t="s">
        <v>4127</v>
      </c>
      <c r="E2840" s="137" t="s">
        <v>4117</v>
      </c>
      <c r="F2840" s="137" t="s">
        <v>5106</v>
      </c>
      <c r="G2840" s="137"/>
      <c r="H2840" s="82" t="str">
        <f t="shared" si="182"/>
        <v>TCCN-PTE-PAF-TMA-B07-PHU-</v>
      </c>
      <c r="I2840" s="137" t="str">
        <f>MID(H2840,1,(LEN(H2840)-VLOOKUP(K2840,datos!$B$2:$C$12,2,0)))</f>
        <v>TCCN-PTE-PAF-TMA-B07-PHU</v>
      </c>
      <c r="J2840" s="137" t="s">
        <v>4515</v>
      </c>
      <c r="K2840" s="139">
        <f>VLOOKUP(LEN(SUBSTITUTE(H2840,"-","")),datos!$A$1:$B$12,2,0)</f>
        <v>6</v>
      </c>
      <c r="L2840" s="137"/>
      <c r="M2840" s="137" t="s">
        <v>0</v>
      </c>
    </row>
    <row r="2841" spans="1:13" x14ac:dyDescent="0.35">
      <c r="A2841" s="137" t="s">
        <v>487</v>
      </c>
      <c r="B2841" s="137" t="s">
        <v>3809</v>
      </c>
      <c r="C2841" s="137" t="s">
        <v>4124</v>
      </c>
      <c r="D2841" s="137" t="s">
        <v>4127</v>
      </c>
      <c r="E2841" s="137" t="s">
        <v>4117</v>
      </c>
      <c r="F2841" s="137" t="s">
        <v>4073</v>
      </c>
      <c r="G2841" s="137"/>
      <c r="H2841" s="82" t="str">
        <f t="shared" si="182"/>
        <v>TCCN-PTE-PAF-TMA-B07-PYV-</v>
      </c>
      <c r="I2841" s="137" t="str">
        <f>MID(H2841,1,(LEN(H2841)-VLOOKUP(K2841,datos!$B$2:$C$12,2,0)))</f>
        <v>TCCN-PTE-PAF-TMA-B07-PYV</v>
      </c>
      <c r="J2841" s="137" t="s">
        <v>4516</v>
      </c>
      <c r="K2841" s="139">
        <f>VLOOKUP(LEN(SUBSTITUTE(H2841,"-","")),datos!$A$1:$B$12,2,0)</f>
        <v>6</v>
      </c>
      <c r="L2841" s="137"/>
      <c r="M2841" s="137" t="s">
        <v>0</v>
      </c>
    </row>
    <row r="2842" spans="1:13" x14ac:dyDescent="0.35">
      <c r="A2842" s="137" t="s">
        <v>487</v>
      </c>
      <c r="B2842" s="137" t="s">
        <v>3809</v>
      </c>
      <c r="C2842" s="137" t="s">
        <v>4124</v>
      </c>
      <c r="D2842" s="137" t="s">
        <v>4127</v>
      </c>
      <c r="E2842" s="137" t="s">
        <v>4117</v>
      </c>
      <c r="F2842" s="137" t="s">
        <v>3847</v>
      </c>
      <c r="G2842" s="137"/>
      <c r="H2842" s="82" t="str">
        <f t="shared" si="182"/>
        <v>TCCN-PTE-PAF-TMA-B07-SMO-</v>
      </c>
      <c r="I2842" s="137" t="str">
        <f>MID(H2842,1,(LEN(H2842)-VLOOKUP(K2842,datos!$B$2:$C$12,2,0)))</f>
        <v>TCCN-PTE-PAF-TMA-B07-SMO</v>
      </c>
      <c r="J2842" s="137" t="s">
        <v>4517</v>
      </c>
      <c r="K2842" s="139">
        <f>VLOOKUP(LEN(SUBSTITUTE(H2842,"-","")),datos!$A$1:$B$12,2,0)</f>
        <v>6</v>
      </c>
      <c r="L2842" s="137"/>
      <c r="M2842" s="137" t="s">
        <v>0</v>
      </c>
    </row>
    <row r="2843" spans="1:13" x14ac:dyDescent="0.35">
      <c r="A2843" s="138" t="s">
        <v>487</v>
      </c>
      <c r="B2843" s="138" t="s">
        <v>3809</v>
      </c>
      <c r="C2843" s="138" t="s">
        <v>4124</v>
      </c>
      <c r="D2843" s="138" t="s">
        <v>4127</v>
      </c>
      <c r="E2843" s="138" t="s">
        <v>4117</v>
      </c>
      <c r="F2843" s="138" t="s">
        <v>3847</v>
      </c>
      <c r="G2843" s="138" t="s">
        <v>3819</v>
      </c>
      <c r="H2843" s="81" t="str">
        <f t="shared" si="182"/>
        <v>TCCN-PTE-PAF-TMA-B07-SMO-MOE</v>
      </c>
      <c r="I2843" s="138" t="str">
        <f>MID(H2843,1,(LEN(H2843)-VLOOKUP(K2843,datos!$B$2:$C$12,2,0)))</f>
        <v>TCCN-PTE-PAF-TMA-B07-SMO-MOE</v>
      </c>
      <c r="J2843" s="138" t="s">
        <v>5378</v>
      </c>
      <c r="K2843" s="140">
        <f>VLOOKUP(LEN(SUBSTITUTE(H2843,"-","")),datos!$A$1:$B$12,2,0)</f>
        <v>7</v>
      </c>
      <c r="L2843" s="138" t="s">
        <v>4293</v>
      </c>
      <c r="M2843" s="138" t="s">
        <v>0</v>
      </c>
    </row>
    <row r="2844" spans="1:13" x14ac:dyDescent="0.35">
      <c r="A2844" s="137" t="s">
        <v>487</v>
      </c>
      <c r="B2844" s="137" t="s">
        <v>3809</v>
      </c>
      <c r="C2844" s="137" t="s">
        <v>4124</v>
      </c>
      <c r="D2844" s="137" t="s">
        <v>4127</v>
      </c>
      <c r="E2844" s="137" t="s">
        <v>4117</v>
      </c>
      <c r="F2844" s="137" t="s">
        <v>3831</v>
      </c>
      <c r="G2844" s="137"/>
      <c r="H2844" s="82" t="str">
        <f>CONCATENATE(A2844,"-",B2844,"-",C2844,"-",D2844,"-",E2844,"-",F2844,"-",G2844)</f>
        <v>TCCN-PTE-PAF-TMA-B07-INS-</v>
      </c>
      <c r="I2844" s="137" t="str">
        <f>MID(H2844,1,(LEN(H2844)-VLOOKUP(K2844,datos!$B$2:$C$12,2,0)))</f>
        <v>TCCN-PTE-PAF-TMA-B07-INS</v>
      </c>
      <c r="J2844" s="137" t="s">
        <v>5615</v>
      </c>
      <c r="K2844" s="139">
        <f>VLOOKUP(LEN(SUBSTITUTE(H2844,"-","")),datos!$A$1:$B$12,2,0)</f>
        <v>6</v>
      </c>
      <c r="L2844" s="137"/>
      <c r="M2844" s="137" t="s">
        <v>0</v>
      </c>
    </row>
    <row r="2845" spans="1:13" x14ac:dyDescent="0.35">
      <c r="A2845" s="137" t="s">
        <v>487</v>
      </c>
      <c r="B2845" s="137" t="s">
        <v>3809</v>
      </c>
      <c r="C2845" s="137" t="s">
        <v>4124</v>
      </c>
      <c r="D2845" s="137" t="s">
        <v>4127</v>
      </c>
      <c r="E2845" s="137" t="s">
        <v>4117</v>
      </c>
      <c r="F2845" s="137" t="s">
        <v>3869</v>
      </c>
      <c r="G2845" s="137"/>
      <c r="H2845" s="82" t="str">
        <f t="shared" si="182"/>
        <v>TCCN-PTE-PAF-TMA-B07-SCE-</v>
      </c>
      <c r="I2845" s="137" t="str">
        <f>MID(H2845,1,(LEN(H2845)-VLOOKUP(K2845,datos!$B$2:$C$12,2,0)))</f>
        <v>TCCN-PTE-PAF-TMA-B07-SCE</v>
      </c>
      <c r="J2845" s="137" t="s">
        <v>4547</v>
      </c>
      <c r="K2845" s="139">
        <f>VLOOKUP(LEN(SUBSTITUTE(H2845,"-","")),datos!$A$1:$B$12,2,0)</f>
        <v>6</v>
      </c>
      <c r="L2845" s="137"/>
      <c r="M2845" s="137" t="s">
        <v>0</v>
      </c>
    </row>
    <row r="2846" spans="1:13" x14ac:dyDescent="0.35">
      <c r="A2846" s="138" t="s">
        <v>487</v>
      </c>
      <c r="B2846" s="138" t="s">
        <v>3809</v>
      </c>
      <c r="C2846" s="138" t="s">
        <v>4124</v>
      </c>
      <c r="D2846" s="138" t="s">
        <v>4127</v>
      </c>
      <c r="E2846" s="138" t="s">
        <v>4117</v>
      </c>
      <c r="F2846" s="138" t="s">
        <v>3869</v>
      </c>
      <c r="G2846" s="138" t="s">
        <v>3870</v>
      </c>
      <c r="H2846" s="81" t="str">
        <f t="shared" si="182"/>
        <v>TCCN-PTE-PAF-TMA-B07-SCE-BTN</v>
      </c>
      <c r="I2846" s="138" t="str">
        <f>MID(H2846,1,(LEN(H2846)-VLOOKUP(K2846,datos!$B$2:$C$12,2,0)))</f>
        <v>TCCN-PTE-PAF-TMA-B07-SCE-BTN</v>
      </c>
      <c r="J2846" s="138" t="s">
        <v>4548</v>
      </c>
      <c r="K2846" s="140">
        <f>VLOOKUP(LEN(SUBSTITUTE(H2846,"-","")),datos!$A$1:$B$12,2,0)</f>
        <v>7</v>
      </c>
      <c r="L2846" s="138"/>
      <c r="M2846" s="138" t="s">
        <v>0</v>
      </c>
    </row>
    <row r="2847" spans="1:13" customFormat="1" ht="14.5" x14ac:dyDescent="0.35">
      <c r="A2847" s="129" t="s">
        <v>487</v>
      </c>
      <c r="B2847" s="129" t="s">
        <v>3809</v>
      </c>
      <c r="C2847" s="129" t="s">
        <v>4124</v>
      </c>
      <c r="D2847" s="129" t="s">
        <v>4127</v>
      </c>
      <c r="E2847" s="129" t="s">
        <v>4118</v>
      </c>
      <c r="F2847" s="129"/>
      <c r="G2847" s="129"/>
      <c r="H2847" s="83" t="str">
        <f t="shared" si="182"/>
        <v>TCCN-PTE-PAF-TMA-B08--</v>
      </c>
      <c r="I2847" s="129" t="str">
        <f>MID(H2847,1,(LEN(H2847)-VLOOKUP(K2847,datos!$B$2:$C$12,2,0)))</f>
        <v>TCCN-PTE-PAF-TMA-B08</v>
      </c>
      <c r="J2847" s="129" t="s">
        <v>5614</v>
      </c>
      <c r="K2847" s="130">
        <f>VLOOKUP(LEN(SUBSTITUTE(H2847,"-","")),datos!$A$1:$B$12,2,0)</f>
        <v>5</v>
      </c>
      <c r="L2847" s="129" t="s">
        <v>4294</v>
      </c>
      <c r="M2847" s="129" t="s">
        <v>0</v>
      </c>
    </row>
    <row r="2848" spans="1:13" x14ac:dyDescent="0.35">
      <c r="A2848" s="137" t="s">
        <v>487</v>
      </c>
      <c r="B2848" s="137" t="s">
        <v>3809</v>
      </c>
      <c r="C2848" s="137" t="s">
        <v>4124</v>
      </c>
      <c r="D2848" s="137" t="s">
        <v>4127</v>
      </c>
      <c r="E2848" s="137" t="s">
        <v>4118</v>
      </c>
      <c r="F2848" s="137" t="s">
        <v>5106</v>
      </c>
      <c r="G2848" s="137"/>
      <c r="H2848" s="82" t="str">
        <f t="shared" si="182"/>
        <v>TCCN-PTE-PAF-TMA-B08-PHU-</v>
      </c>
      <c r="I2848" s="137" t="str">
        <f>MID(H2848,1,(LEN(H2848)-VLOOKUP(K2848,datos!$B$2:$C$12,2,0)))</f>
        <v>TCCN-PTE-PAF-TMA-B08-PHU</v>
      </c>
      <c r="J2848" s="137" t="s">
        <v>4518</v>
      </c>
      <c r="K2848" s="139">
        <f>VLOOKUP(LEN(SUBSTITUTE(H2848,"-","")),datos!$A$1:$B$12,2,0)</f>
        <v>6</v>
      </c>
      <c r="L2848" s="137"/>
      <c r="M2848" s="137" t="s">
        <v>0</v>
      </c>
    </row>
    <row r="2849" spans="1:13" x14ac:dyDescent="0.35">
      <c r="A2849" s="137" t="s">
        <v>487</v>
      </c>
      <c r="B2849" s="137" t="s">
        <v>3809</v>
      </c>
      <c r="C2849" s="137" t="s">
        <v>4124</v>
      </c>
      <c r="D2849" s="137" t="s">
        <v>4127</v>
      </c>
      <c r="E2849" s="137" t="s">
        <v>4118</v>
      </c>
      <c r="F2849" s="137" t="s">
        <v>4073</v>
      </c>
      <c r="G2849" s="137"/>
      <c r="H2849" s="82" t="str">
        <f t="shared" si="182"/>
        <v>TCCN-PTE-PAF-TMA-B08-PYV-</v>
      </c>
      <c r="I2849" s="137" t="str">
        <f>MID(H2849,1,(LEN(H2849)-VLOOKUP(K2849,datos!$B$2:$C$12,2,0)))</f>
        <v>TCCN-PTE-PAF-TMA-B08-PYV</v>
      </c>
      <c r="J2849" s="137" t="s">
        <v>4519</v>
      </c>
      <c r="K2849" s="139">
        <f>VLOOKUP(LEN(SUBSTITUTE(H2849,"-","")),datos!$A$1:$B$12,2,0)</f>
        <v>6</v>
      </c>
      <c r="L2849" s="137"/>
      <c r="M2849" s="137" t="s">
        <v>0</v>
      </c>
    </row>
    <row r="2850" spans="1:13" x14ac:dyDescent="0.35">
      <c r="A2850" s="137" t="s">
        <v>487</v>
      </c>
      <c r="B2850" s="137" t="s">
        <v>3809</v>
      </c>
      <c r="C2850" s="137" t="s">
        <v>4124</v>
      </c>
      <c r="D2850" s="137" t="s">
        <v>4127</v>
      </c>
      <c r="E2850" s="137" t="s">
        <v>4118</v>
      </c>
      <c r="F2850" s="137" t="s">
        <v>3847</v>
      </c>
      <c r="G2850" s="137"/>
      <c r="H2850" s="82" t="str">
        <f t="shared" si="182"/>
        <v>TCCN-PTE-PAF-TMA-B08-SMO-</v>
      </c>
      <c r="I2850" s="137" t="str">
        <f>MID(H2850,1,(LEN(H2850)-VLOOKUP(K2850,datos!$B$2:$C$12,2,0)))</f>
        <v>TCCN-PTE-PAF-TMA-B08-SMO</v>
      </c>
      <c r="J2850" s="137" t="s">
        <v>4520</v>
      </c>
      <c r="K2850" s="139">
        <f>VLOOKUP(LEN(SUBSTITUTE(H2850,"-","")),datos!$A$1:$B$12,2,0)</f>
        <v>6</v>
      </c>
      <c r="L2850" s="137"/>
      <c r="M2850" s="137" t="s">
        <v>0</v>
      </c>
    </row>
    <row r="2851" spans="1:13" x14ac:dyDescent="0.35">
      <c r="A2851" s="138" t="s">
        <v>487</v>
      </c>
      <c r="B2851" s="138" t="s">
        <v>3809</v>
      </c>
      <c r="C2851" s="138" t="s">
        <v>4124</v>
      </c>
      <c r="D2851" s="138" t="s">
        <v>4127</v>
      </c>
      <c r="E2851" s="138" t="s">
        <v>4118</v>
      </c>
      <c r="F2851" s="138" t="s">
        <v>3847</v>
      </c>
      <c r="G2851" s="138" t="s">
        <v>3819</v>
      </c>
      <c r="H2851" s="81" t="str">
        <f t="shared" si="182"/>
        <v>TCCN-PTE-PAF-TMA-B08-SMO-MOE</v>
      </c>
      <c r="I2851" s="138" t="str">
        <f>MID(H2851,1,(LEN(H2851)-VLOOKUP(K2851,datos!$B$2:$C$12,2,0)))</f>
        <v>TCCN-PTE-PAF-TMA-B08-SMO-MOE</v>
      </c>
      <c r="J2851" s="138" t="s">
        <v>5379</v>
      </c>
      <c r="K2851" s="140">
        <f>VLOOKUP(LEN(SUBSTITUTE(H2851,"-","")),datos!$A$1:$B$12,2,0)</f>
        <v>7</v>
      </c>
      <c r="L2851" s="138" t="s">
        <v>4295</v>
      </c>
      <c r="M2851" s="138" t="s">
        <v>0</v>
      </c>
    </row>
    <row r="2852" spans="1:13" x14ac:dyDescent="0.35">
      <c r="A2852" s="137" t="s">
        <v>487</v>
      </c>
      <c r="B2852" s="137" t="s">
        <v>3809</v>
      </c>
      <c r="C2852" s="137" t="s">
        <v>4124</v>
      </c>
      <c r="D2852" s="137" t="s">
        <v>4127</v>
      </c>
      <c r="E2852" s="137" t="s">
        <v>4118</v>
      </c>
      <c r="F2852" s="137" t="s">
        <v>3831</v>
      </c>
      <c r="G2852" s="137"/>
      <c r="H2852" s="82" t="str">
        <f>CONCATENATE(A2852,"-",B2852,"-",C2852,"-",D2852,"-",E2852,"-",F2852,"-",G2852)</f>
        <v>TCCN-PTE-PAF-TMA-B08-INS-</v>
      </c>
      <c r="I2852" s="137" t="str">
        <f>MID(H2852,1,(LEN(H2852)-VLOOKUP(K2852,datos!$B$2:$C$12,2,0)))</f>
        <v>TCCN-PTE-PAF-TMA-B08-INS</v>
      </c>
      <c r="J2852" s="137" t="s">
        <v>5616</v>
      </c>
      <c r="K2852" s="139">
        <f>VLOOKUP(LEN(SUBSTITUTE(H2852,"-","")),datos!$A$1:$B$12,2,0)</f>
        <v>6</v>
      </c>
      <c r="L2852" s="137"/>
      <c r="M2852" s="137" t="s">
        <v>0</v>
      </c>
    </row>
    <row r="2853" spans="1:13" x14ac:dyDescent="0.35">
      <c r="A2853" s="137" t="s">
        <v>487</v>
      </c>
      <c r="B2853" s="137" t="s">
        <v>3809</v>
      </c>
      <c r="C2853" s="137" t="s">
        <v>4124</v>
      </c>
      <c r="D2853" s="137" t="s">
        <v>4127</v>
      </c>
      <c r="E2853" s="137" t="s">
        <v>4118</v>
      </c>
      <c r="F2853" s="137" t="s">
        <v>3869</v>
      </c>
      <c r="G2853" s="137"/>
      <c r="H2853" s="82" t="str">
        <f t="shared" si="182"/>
        <v>TCCN-PTE-PAF-TMA-B08-SCE-</v>
      </c>
      <c r="I2853" s="137" t="str">
        <f>MID(H2853,1,(LEN(H2853)-VLOOKUP(K2853,datos!$B$2:$C$12,2,0)))</f>
        <v>TCCN-PTE-PAF-TMA-B08-SCE</v>
      </c>
      <c r="J2853" s="137" t="s">
        <v>4545</v>
      </c>
      <c r="K2853" s="139">
        <f>VLOOKUP(LEN(SUBSTITUTE(H2853,"-","")),datos!$A$1:$B$12,2,0)</f>
        <v>6</v>
      </c>
      <c r="L2853" s="137"/>
      <c r="M2853" s="137" t="s">
        <v>0</v>
      </c>
    </row>
    <row r="2854" spans="1:13" x14ac:dyDescent="0.35">
      <c r="A2854" s="138" t="s">
        <v>487</v>
      </c>
      <c r="B2854" s="138" t="s">
        <v>3809</v>
      </c>
      <c r="C2854" s="138" t="s">
        <v>4124</v>
      </c>
      <c r="D2854" s="138" t="s">
        <v>4127</v>
      </c>
      <c r="E2854" s="138" t="s">
        <v>4118</v>
      </c>
      <c r="F2854" s="138" t="s">
        <v>3869</v>
      </c>
      <c r="G2854" s="138" t="s">
        <v>3870</v>
      </c>
      <c r="H2854" s="81" t="str">
        <f t="shared" si="182"/>
        <v>TCCN-PTE-PAF-TMA-B08-SCE-BTN</v>
      </c>
      <c r="I2854" s="138" t="str">
        <f>MID(H2854,1,(LEN(H2854)-VLOOKUP(K2854,datos!$B$2:$C$12,2,0)))</f>
        <v>TCCN-PTE-PAF-TMA-B08-SCE-BTN</v>
      </c>
      <c r="J2854" s="138" t="s">
        <v>4546</v>
      </c>
      <c r="K2854" s="140">
        <f>VLOOKUP(LEN(SUBSTITUTE(H2854,"-","")),datos!$A$1:$B$12,2,0)</f>
        <v>7</v>
      </c>
      <c r="L2854" s="138"/>
      <c r="M2854" s="138" t="s">
        <v>0</v>
      </c>
    </row>
    <row r="2855" spans="1:13" customFormat="1" ht="14.5" x14ac:dyDescent="0.35">
      <c r="A2855" s="129" t="s">
        <v>487</v>
      </c>
      <c r="B2855" s="129" t="s">
        <v>3809</v>
      </c>
      <c r="C2855" s="129" t="s">
        <v>4124</v>
      </c>
      <c r="D2855" s="129" t="s">
        <v>4127</v>
      </c>
      <c r="E2855" s="129" t="s">
        <v>4053</v>
      </c>
      <c r="F2855" s="129"/>
      <c r="G2855" s="129"/>
      <c r="H2855" s="83" t="str">
        <f t="shared" si="182"/>
        <v>TCCN-PTE-PAF-TMA-FT1--</v>
      </c>
      <c r="I2855" s="129" t="str">
        <f>MID(H2855,1,(LEN(H2855)-VLOOKUP(K2855,datos!$B$2:$C$12,2,0)))</f>
        <v>TCCN-PTE-PAF-TMA-FT1</v>
      </c>
      <c r="J2855" s="129" t="s">
        <v>4296</v>
      </c>
      <c r="K2855" s="130">
        <f>VLOOKUP(LEN(SUBSTITUTE(H2855,"-","")),datos!$A$1:$B$12,2,0)</f>
        <v>5</v>
      </c>
      <c r="L2855" s="129" t="s">
        <v>4299</v>
      </c>
      <c r="M2855" s="129" t="s">
        <v>0</v>
      </c>
    </row>
    <row r="2856" spans="1:13" customFormat="1" ht="14.5" x14ac:dyDescent="0.35">
      <c r="A2856" s="129" t="s">
        <v>487</v>
      </c>
      <c r="B2856" s="129" t="s">
        <v>3809</v>
      </c>
      <c r="C2856" s="129" t="s">
        <v>4124</v>
      </c>
      <c r="D2856" s="129" t="s">
        <v>4127</v>
      </c>
      <c r="E2856" s="129" t="s">
        <v>4081</v>
      </c>
      <c r="F2856" s="129"/>
      <c r="G2856" s="129"/>
      <c r="H2856" s="83" t="str">
        <f t="shared" si="182"/>
        <v>TCCN-PTE-PAF-TMA-FT2--</v>
      </c>
      <c r="I2856" s="129" t="str">
        <f>MID(H2856,1,(LEN(H2856)-VLOOKUP(K2856,datos!$B$2:$C$12,2,0)))</f>
        <v>TCCN-PTE-PAF-TMA-FT2</v>
      </c>
      <c r="J2856" s="129" t="s">
        <v>4297</v>
      </c>
      <c r="K2856" s="130">
        <f>VLOOKUP(LEN(SUBSTITUTE(H2856,"-","")),datos!$A$1:$B$12,2,0)</f>
        <v>5</v>
      </c>
      <c r="L2856" s="129" t="s">
        <v>4300</v>
      </c>
      <c r="M2856" s="129" t="s">
        <v>0</v>
      </c>
    </row>
    <row r="2857" spans="1:13" customFormat="1" ht="14.5" x14ac:dyDescent="0.35">
      <c r="A2857" s="129" t="s">
        <v>487</v>
      </c>
      <c r="B2857" s="129" t="s">
        <v>3809</v>
      </c>
      <c r="C2857" s="129" t="s">
        <v>4124</v>
      </c>
      <c r="D2857" s="129" t="s">
        <v>4127</v>
      </c>
      <c r="E2857" s="129" t="s">
        <v>4096</v>
      </c>
      <c r="F2857" s="129"/>
      <c r="G2857" s="129"/>
      <c r="H2857" s="83" t="str">
        <f t="shared" si="182"/>
        <v>TCCN-PTE-PAF-TMA-FT3--</v>
      </c>
      <c r="I2857" s="129" t="str">
        <f>MID(H2857,1,(LEN(H2857)-VLOOKUP(K2857,datos!$B$2:$C$12,2,0)))</f>
        <v>TCCN-PTE-PAF-TMA-FT3</v>
      </c>
      <c r="J2857" s="129" t="s">
        <v>4298</v>
      </c>
      <c r="K2857" s="130">
        <f>VLOOKUP(LEN(SUBSTITUTE(H2857,"-","")),datos!$A$1:$B$12,2,0)</f>
        <v>5</v>
      </c>
      <c r="L2857" s="129" t="s">
        <v>4301</v>
      </c>
      <c r="M2857" s="129" t="s">
        <v>0</v>
      </c>
    </row>
    <row r="2858" spans="1:13" customFormat="1" ht="14.5" x14ac:dyDescent="0.35">
      <c r="A2858" s="129" t="s">
        <v>487</v>
      </c>
      <c r="B2858" s="129" t="s">
        <v>3809</v>
      </c>
      <c r="C2858" s="129" t="s">
        <v>4124</v>
      </c>
      <c r="D2858" s="129" t="s">
        <v>4127</v>
      </c>
      <c r="E2858" s="129" t="s">
        <v>4018</v>
      </c>
      <c r="F2858" s="129"/>
      <c r="G2858" s="129"/>
      <c r="H2858" s="83" t="str">
        <f t="shared" si="182"/>
        <v>TCCN-PTE-PAF-TMA-TCL--</v>
      </c>
      <c r="I2858" s="129" t="str">
        <f>MID(H2858,1,(LEN(H2858)-VLOOKUP(K2858,datos!$B$2:$C$12,2,0)))</f>
        <v>TCCN-PTE-PAF-TMA-TCL</v>
      </c>
      <c r="J2858" s="129" t="s">
        <v>4471</v>
      </c>
      <c r="K2858" s="130">
        <f>VLOOKUP(LEN(SUBSTITUTE(H2858,"-","")),datos!$A$1:$B$12,2,0)</f>
        <v>5</v>
      </c>
      <c r="L2858" s="129" t="s">
        <v>4303</v>
      </c>
      <c r="M2858" s="129" t="s">
        <v>0</v>
      </c>
    </row>
    <row r="2859" spans="1:13" customFormat="1" ht="14.5" x14ac:dyDescent="0.35">
      <c r="A2859" s="84" t="s">
        <v>487</v>
      </c>
      <c r="B2859" s="84" t="s">
        <v>3809</v>
      </c>
      <c r="C2859" s="84" t="s">
        <v>4124</v>
      </c>
      <c r="D2859" s="84" t="s">
        <v>4128</v>
      </c>
      <c r="E2859" s="84"/>
      <c r="F2859" s="84"/>
      <c r="G2859" s="84"/>
      <c r="H2859" s="84" t="str">
        <f t="shared" si="182"/>
        <v>TCCN-PTE-PAF-RLS---</v>
      </c>
      <c r="I2859" s="84" t="str">
        <f>MID(H2859,1,(LEN(H2859)-VLOOKUP(K2859,datos!$B$2:$C$12,2,0)))</f>
        <v>TCCN-PTE-PAF-RLS</v>
      </c>
      <c r="J2859" s="84" t="s">
        <v>4255</v>
      </c>
      <c r="K2859" s="119">
        <f>VLOOKUP(LEN(SUBSTITUTE(H2859,"-","")),datos!$A$1:$B$12,2,0)</f>
        <v>4</v>
      </c>
      <c r="L2859" s="84"/>
      <c r="M2859" s="84" t="s">
        <v>0</v>
      </c>
    </row>
    <row r="2860" spans="1:13" customFormat="1" ht="14.5" x14ac:dyDescent="0.35">
      <c r="A2860" s="129" t="s">
        <v>487</v>
      </c>
      <c r="B2860" s="129" t="s">
        <v>3809</v>
      </c>
      <c r="C2860" s="129" t="s">
        <v>4124</v>
      </c>
      <c r="D2860" s="129" t="s">
        <v>4128</v>
      </c>
      <c r="E2860" s="129" t="s">
        <v>4304</v>
      </c>
      <c r="F2860" s="129"/>
      <c r="G2860" s="129"/>
      <c r="H2860" s="83" t="str">
        <f t="shared" si="182"/>
        <v>TCCN-PTE-PAF-RLS-PTS--</v>
      </c>
      <c r="I2860" s="129" t="str">
        <f>MID(H2860,1,(LEN(H2860)-VLOOKUP(K2860,datos!$B$2:$C$12,2,0)))</f>
        <v>TCCN-PTE-PAF-RLS-PTS</v>
      </c>
      <c r="J2860" s="129" t="s">
        <v>4305</v>
      </c>
      <c r="K2860" s="130">
        <f>VLOOKUP(LEN(SUBSTITUTE(H2860,"-","")),datos!$A$1:$B$12,2,0)</f>
        <v>5</v>
      </c>
      <c r="L2860" s="129" t="s">
        <v>4306</v>
      </c>
      <c r="M2860" s="129" t="s">
        <v>0</v>
      </c>
    </row>
    <row r="2861" spans="1:13" customFormat="1" ht="14.5" x14ac:dyDescent="0.35">
      <c r="A2861" s="84" t="s">
        <v>487</v>
      </c>
      <c r="B2861" s="84" t="s">
        <v>3809</v>
      </c>
      <c r="C2861" s="84" t="s">
        <v>4124</v>
      </c>
      <c r="D2861" s="84" t="s">
        <v>4129</v>
      </c>
      <c r="E2861" s="84"/>
      <c r="F2861" s="84"/>
      <c r="G2861" s="84"/>
      <c r="H2861" s="84" t="str">
        <f t="shared" si="182"/>
        <v>TCCN-PTE-PAF-AL2---</v>
      </c>
      <c r="I2861" s="84" t="str">
        <f>MID(H2861,1,(LEN(H2861)-VLOOKUP(K2861,datos!$B$2:$C$12,2,0)))</f>
        <v>TCCN-PTE-PAF-AL2</v>
      </c>
      <c r="J2861" s="84" t="s">
        <v>4473</v>
      </c>
      <c r="K2861" s="119">
        <f>VLOOKUP(LEN(SUBSTITUTE(H2861,"-","")),datos!$A$1:$B$12,2,0)</f>
        <v>4</v>
      </c>
      <c r="L2861" s="84"/>
      <c r="M2861" s="84" t="s">
        <v>0</v>
      </c>
    </row>
    <row r="2862" spans="1:13" customFormat="1" ht="14.5" x14ac:dyDescent="0.35">
      <c r="A2862" s="129" t="s">
        <v>487</v>
      </c>
      <c r="B2862" s="129" t="s">
        <v>3809</v>
      </c>
      <c r="C2862" s="129" t="s">
        <v>4124</v>
      </c>
      <c r="D2862" s="129" t="s">
        <v>4129</v>
      </c>
      <c r="E2862" s="129" t="s">
        <v>4051</v>
      </c>
      <c r="F2862" s="129"/>
      <c r="G2862" s="129"/>
      <c r="H2862" s="83" t="str">
        <f t="shared" si="182"/>
        <v>TCCN-PTE-PAF-AL2-ES1--</v>
      </c>
      <c r="I2862" s="129" t="str">
        <f>MID(H2862,1,(LEN(H2862)-VLOOKUP(K2862,datos!$B$2:$C$12,2,0)))</f>
        <v>TCCN-PTE-PAF-AL2-ES1</v>
      </c>
      <c r="J2862" s="129" t="s">
        <v>4307</v>
      </c>
      <c r="K2862" s="130">
        <f>VLOOKUP(LEN(SUBSTITUTE(H2862,"-","")),datos!$A$1:$B$12,2,0)</f>
        <v>5</v>
      </c>
      <c r="L2862" s="129" t="s">
        <v>4317</v>
      </c>
      <c r="M2862" s="129" t="s">
        <v>0</v>
      </c>
    </row>
    <row r="2863" spans="1:13" x14ac:dyDescent="0.35">
      <c r="A2863" s="137" t="s">
        <v>487</v>
      </c>
      <c r="B2863" s="137" t="s">
        <v>3809</v>
      </c>
      <c r="C2863" s="137" t="s">
        <v>4124</v>
      </c>
      <c r="D2863" s="137" t="s">
        <v>4129</v>
      </c>
      <c r="E2863" s="137" t="s">
        <v>4051</v>
      </c>
      <c r="F2863" s="137" t="s">
        <v>3824</v>
      </c>
      <c r="G2863" s="137"/>
      <c r="H2863" s="82" t="str">
        <f t="shared" si="182"/>
        <v>TCCN-PTE-PAF-AL2-ES1-SES-</v>
      </c>
      <c r="I2863" s="137" t="str">
        <f>MID(H2863,1,(LEN(H2863)-VLOOKUP(K2863,datos!$B$2:$C$12,2,0)))</f>
        <v>TCCN-PTE-PAF-AL2-ES1-SES</v>
      </c>
      <c r="J2863" s="137" t="s">
        <v>6592</v>
      </c>
      <c r="K2863" s="139">
        <f>VLOOKUP(LEN(SUBSTITUTE(H2863,"-","")),datos!$A$1:$B$12,2,0)</f>
        <v>6</v>
      </c>
      <c r="L2863" s="137"/>
      <c r="M2863" s="144" t="s">
        <v>0</v>
      </c>
    </row>
    <row r="2864" spans="1:13" x14ac:dyDescent="0.35">
      <c r="A2864" s="137" t="s">
        <v>487</v>
      </c>
      <c r="B2864" s="137" t="s">
        <v>3809</v>
      </c>
      <c r="C2864" s="137" t="s">
        <v>4124</v>
      </c>
      <c r="D2864" s="137" t="s">
        <v>4129</v>
      </c>
      <c r="E2864" s="137" t="s">
        <v>4051</v>
      </c>
      <c r="F2864" s="137" t="s">
        <v>4073</v>
      </c>
      <c r="G2864" s="137"/>
      <c r="H2864" s="82" t="str">
        <f t="shared" si="182"/>
        <v>TCCN-PTE-PAF-AL2-ES1-PYV-</v>
      </c>
      <c r="I2864" s="137" t="str">
        <f>MID(H2864,1,(LEN(H2864)-VLOOKUP(K2864,datos!$B$2:$C$12,2,0)))</f>
        <v>TCCN-PTE-PAF-AL2-ES1-PYV</v>
      </c>
      <c r="J2864" s="137" t="s">
        <v>6593</v>
      </c>
      <c r="K2864" s="139">
        <f>VLOOKUP(LEN(SUBSTITUTE(H2864,"-","")),datos!$A$1:$B$12,2,0)</f>
        <v>6</v>
      </c>
      <c r="L2864" s="137"/>
      <c r="M2864" s="144" t="s">
        <v>0</v>
      </c>
    </row>
    <row r="2865" spans="1:13" x14ac:dyDescent="0.35">
      <c r="A2865" s="137" t="s">
        <v>487</v>
      </c>
      <c r="B2865" s="137" t="s">
        <v>3809</v>
      </c>
      <c r="C2865" s="137" t="s">
        <v>4124</v>
      </c>
      <c r="D2865" s="137" t="s">
        <v>4129</v>
      </c>
      <c r="E2865" s="137" t="s">
        <v>4051</v>
      </c>
      <c r="F2865" s="137" t="s">
        <v>3831</v>
      </c>
      <c r="G2865" s="137"/>
      <c r="H2865" s="82" t="str">
        <f t="shared" si="182"/>
        <v>TCCN-PTE-PAF-AL2-ES1-INS-</v>
      </c>
      <c r="I2865" s="137" t="str">
        <f>MID(H2865,1,(LEN(H2865)-VLOOKUP(K2865,datos!$B$2:$C$12,2,0)))</f>
        <v>TCCN-PTE-PAF-AL2-ES1-INS</v>
      </c>
      <c r="J2865" s="137" t="s">
        <v>6594</v>
      </c>
      <c r="K2865" s="139">
        <f>VLOOKUP(LEN(SUBSTITUTE(H2865,"-","")),datos!$A$1:$B$12,2,0)</f>
        <v>6</v>
      </c>
      <c r="L2865" s="137"/>
      <c r="M2865" s="144" t="s">
        <v>0</v>
      </c>
    </row>
    <row r="2866" spans="1:13" x14ac:dyDescent="0.35">
      <c r="A2866" s="138" t="s">
        <v>487</v>
      </c>
      <c r="B2866" s="138" t="s">
        <v>3809</v>
      </c>
      <c r="C2866" s="138" t="s">
        <v>4124</v>
      </c>
      <c r="D2866" s="138" t="s">
        <v>4129</v>
      </c>
      <c r="E2866" s="138" t="s">
        <v>4051</v>
      </c>
      <c r="F2866" s="138" t="s">
        <v>3831</v>
      </c>
      <c r="G2866" s="138" t="s">
        <v>7069</v>
      </c>
      <c r="H2866" s="81" t="str">
        <f t="shared" si="182"/>
        <v>TCCN-PTE-PAF-AL2-ES1-INS-MPN</v>
      </c>
      <c r="I2866" s="138" t="str">
        <f>MID(H2866,1,(LEN(H2866)-VLOOKUP(K2866,datos!$B$2:$C$12,2,0)))</f>
        <v>TCCN-PTE-PAF-AL2-ES1-INS-MPN</v>
      </c>
      <c r="J2866" s="138" t="s">
        <v>7494</v>
      </c>
      <c r="K2866" s="140">
        <f>VLOOKUP(LEN(SUBSTITUTE(H2866,"-","")),datos!$A$1:$B$12,2,0)</f>
        <v>7</v>
      </c>
      <c r="L2866" s="138" t="s">
        <v>7493</v>
      </c>
      <c r="M2866" s="138" t="s">
        <v>0</v>
      </c>
    </row>
    <row r="2867" spans="1:13" customFormat="1" ht="14.5" x14ac:dyDescent="0.35">
      <c r="A2867" s="129" t="s">
        <v>487</v>
      </c>
      <c r="B2867" s="129" t="s">
        <v>3809</v>
      </c>
      <c r="C2867" s="129" t="s">
        <v>4124</v>
      </c>
      <c r="D2867" s="129" t="s">
        <v>4129</v>
      </c>
      <c r="E2867" s="129" t="s">
        <v>7522</v>
      </c>
      <c r="F2867" s="129"/>
      <c r="G2867" s="129"/>
      <c r="H2867" s="83" t="str">
        <f t="shared" ref="H2867" si="186">CONCATENATE(A2867,"-",B2867,"-",C2867,"-",D2867,"-",E2867,"-",F2867,"-",G2867)</f>
        <v>TCCN-PTE-PAF-AL2-L01--</v>
      </c>
      <c r="I2867" s="129" t="str">
        <f>MID(H2867,1,(LEN(H2867)-VLOOKUP(K2867,datos!$B$2:$C$12,2,0)))</f>
        <v>TCCN-PTE-PAF-AL2-L01</v>
      </c>
      <c r="J2867" s="129" t="s">
        <v>7495</v>
      </c>
      <c r="K2867" s="130">
        <f>VLOOKUP(LEN(SUBSTITUTE(H2867,"-","")),datos!$A$1:$B$12,2,0)</f>
        <v>5</v>
      </c>
      <c r="L2867" s="129"/>
      <c r="M2867" s="129" t="s">
        <v>0</v>
      </c>
    </row>
    <row r="2868" spans="1:13" x14ac:dyDescent="0.35">
      <c r="A2868" s="137" t="s">
        <v>487</v>
      </c>
      <c r="B2868" s="137" t="s">
        <v>3809</v>
      </c>
      <c r="C2868" s="137" t="s">
        <v>4124</v>
      </c>
      <c r="D2868" s="137" t="s">
        <v>4129</v>
      </c>
      <c r="E2868" s="137" t="s">
        <v>5262</v>
      </c>
      <c r="F2868" s="137" t="s">
        <v>4073</v>
      </c>
      <c r="G2868" s="137"/>
      <c r="H2868" s="82" t="str">
        <f>CONCATENATE(A2868,"-",B2868,"-",C2868,"-",D2868,"-",E2868,"-",F2868,"-",G2868)</f>
        <v>TCCN-PTE-PAF-AL2-CFD-PYV-</v>
      </c>
      <c r="I2868" s="137" t="str">
        <f>MID(H2868,1,(LEN(H2868)-VLOOKUP(K2868,datos!$B$2:$C$12,2,0)))</f>
        <v>TCCN-PTE-PAF-AL2-CFD-PYV</v>
      </c>
      <c r="J2868" s="137" t="s">
        <v>7504</v>
      </c>
      <c r="K2868" s="139">
        <f>VLOOKUP(LEN(SUBSTITUTE(H2868,"-","")),datos!$A$1:$B$12,2,0)</f>
        <v>6</v>
      </c>
      <c r="L2868" s="137"/>
      <c r="M2868" s="137" t="s">
        <v>0</v>
      </c>
    </row>
    <row r="2869" spans="1:13" x14ac:dyDescent="0.35">
      <c r="A2869" s="138" t="s">
        <v>487</v>
      </c>
      <c r="B2869" s="138" t="s">
        <v>3809</v>
      </c>
      <c r="C2869" s="138" t="s">
        <v>4124</v>
      </c>
      <c r="D2869" s="138" t="s">
        <v>4129</v>
      </c>
      <c r="E2869" s="138" t="s">
        <v>5262</v>
      </c>
      <c r="F2869" s="138" t="s">
        <v>4073</v>
      </c>
      <c r="G2869" s="138" t="s">
        <v>3986</v>
      </c>
      <c r="H2869" s="81" t="str">
        <f t="shared" ref="H2869:H2870" si="187">CONCATENATE(A2869,"-",B2869,"-",C2869,"-",D2869,"-",E2869,"-",F2869,"-",G2869)</f>
        <v>TCCN-PTE-PAF-AL2-CFD-PYV-VV1</v>
      </c>
      <c r="I2869" s="138" t="str">
        <f>MID(H2869,1,(LEN(H2869)-VLOOKUP(K2869,datos!$B$2:$C$12,2,0)))</f>
        <v>TCCN-PTE-PAF-AL2-CFD-PYV-VV1</v>
      </c>
      <c r="J2869" s="138" t="s">
        <v>7496</v>
      </c>
      <c r="K2869" s="140">
        <f>VLOOKUP(LEN(SUBSTITUTE(H2869,"-","")),datos!$A$1:$B$12,2,0)</f>
        <v>7</v>
      </c>
      <c r="L2869" s="138" t="s">
        <v>7497</v>
      </c>
      <c r="M2869" s="138" t="s">
        <v>0</v>
      </c>
    </row>
    <row r="2870" spans="1:13" x14ac:dyDescent="0.35">
      <c r="A2870" s="138" t="s">
        <v>487</v>
      </c>
      <c r="B2870" s="138" t="s">
        <v>3809</v>
      </c>
      <c r="C2870" s="138" t="s">
        <v>4124</v>
      </c>
      <c r="D2870" s="138" t="s">
        <v>4129</v>
      </c>
      <c r="E2870" s="138" t="s">
        <v>5262</v>
      </c>
      <c r="F2870" s="138" t="s">
        <v>4073</v>
      </c>
      <c r="G2870" s="138" t="s">
        <v>3987</v>
      </c>
      <c r="H2870" s="81" t="str">
        <f t="shared" si="187"/>
        <v>TCCN-PTE-PAF-AL2-CFD-PYV-VV2</v>
      </c>
      <c r="I2870" s="138" t="str">
        <f>MID(H2870,1,(LEN(H2870)-VLOOKUP(K2870,datos!$B$2:$C$12,2,0)))</f>
        <v>TCCN-PTE-PAF-AL2-CFD-PYV-VV2</v>
      </c>
      <c r="J2870" s="138" t="s">
        <v>7498</v>
      </c>
      <c r="K2870" s="140">
        <f>VLOOKUP(LEN(SUBSTITUTE(H2870,"-","")),datos!$A$1:$B$12,2,0)</f>
        <v>7</v>
      </c>
      <c r="L2870" s="138" t="s">
        <v>7499</v>
      </c>
      <c r="M2870" s="138" t="s">
        <v>0</v>
      </c>
    </row>
    <row r="2871" spans="1:13" x14ac:dyDescent="0.35">
      <c r="A2871" s="137" t="s">
        <v>487</v>
      </c>
      <c r="B2871" s="137" t="s">
        <v>3809</v>
      </c>
      <c r="C2871" s="137" t="s">
        <v>4124</v>
      </c>
      <c r="D2871" s="137" t="s">
        <v>4129</v>
      </c>
      <c r="E2871" s="137" t="s">
        <v>5262</v>
      </c>
      <c r="F2871" s="137" t="s">
        <v>3831</v>
      </c>
      <c r="G2871" s="137"/>
      <c r="H2871" s="82" t="str">
        <f>CONCATENATE(A2871,"-",B2871,"-",C2871,"-",D2871,"-",E2871,"-",F2871,"-",G2871)</f>
        <v>TCCN-PTE-PAF-AL2-CFD-INS-</v>
      </c>
      <c r="I2871" s="137" t="str">
        <f>MID(H2871,1,(LEN(H2871)-VLOOKUP(K2871,datos!$B$2:$C$12,2,0)))</f>
        <v>TCCN-PTE-PAF-AL2-CFD-INS</v>
      </c>
      <c r="J2871" s="137" t="s">
        <v>7514</v>
      </c>
      <c r="K2871" s="139">
        <f>VLOOKUP(LEN(SUBSTITUTE(H2871,"-","")),datos!$A$1:$B$12,2,0)</f>
        <v>6</v>
      </c>
      <c r="L2871" s="137"/>
      <c r="M2871" s="137" t="s">
        <v>0</v>
      </c>
    </row>
    <row r="2872" spans="1:13" x14ac:dyDescent="0.35">
      <c r="A2872" s="138" t="s">
        <v>487</v>
      </c>
      <c r="B2872" s="138" t="s">
        <v>3809</v>
      </c>
      <c r="C2872" s="138" t="s">
        <v>4124</v>
      </c>
      <c r="D2872" s="138" t="s">
        <v>4129</v>
      </c>
      <c r="E2872" s="138" t="s">
        <v>5262</v>
      </c>
      <c r="F2872" s="138" t="s">
        <v>3831</v>
      </c>
      <c r="G2872" s="138" t="s">
        <v>5632</v>
      </c>
      <c r="H2872" s="81" t="str">
        <f t="shared" ref="H2872:H2874" si="188">CONCATENATE(A2872,"-",B2872,"-",C2872,"-",D2872,"-",E2872,"-",F2872,"-",G2872)</f>
        <v>TCCN-PTE-PAF-AL2-CFD-INS-FJ1</v>
      </c>
      <c r="I2872" s="138" t="str">
        <f>MID(H2872,1,(LEN(H2872)-VLOOKUP(K2872,datos!$B$2:$C$12,2,0)))</f>
        <v>TCCN-PTE-PAF-AL2-CFD-INS-FJ1</v>
      </c>
      <c r="J2872" s="138" t="s">
        <v>7500</v>
      </c>
      <c r="K2872" s="140">
        <f>VLOOKUP(LEN(SUBSTITUTE(H2872,"-","")),datos!$A$1:$B$12,2,0)</f>
        <v>7</v>
      </c>
      <c r="L2872" s="138" t="s">
        <v>7502</v>
      </c>
      <c r="M2872" s="138" t="s">
        <v>0</v>
      </c>
    </row>
    <row r="2873" spans="1:13" x14ac:dyDescent="0.35">
      <c r="A2873" s="138" t="s">
        <v>487</v>
      </c>
      <c r="B2873" s="138" t="s">
        <v>3809</v>
      </c>
      <c r="C2873" s="138" t="s">
        <v>4124</v>
      </c>
      <c r="D2873" s="138" t="s">
        <v>4129</v>
      </c>
      <c r="E2873" s="138" t="s">
        <v>5262</v>
      </c>
      <c r="F2873" s="138" t="s">
        <v>3831</v>
      </c>
      <c r="G2873" s="138" t="s">
        <v>5633</v>
      </c>
      <c r="H2873" s="81" t="str">
        <f t="shared" si="188"/>
        <v>TCCN-PTE-PAF-AL2-CFD-INS-FJ2</v>
      </c>
      <c r="I2873" s="138" t="str">
        <f>MID(H2873,1,(LEN(H2873)-VLOOKUP(K2873,datos!$B$2:$C$12,2,0)))</f>
        <v>TCCN-PTE-PAF-AL2-CFD-INS-FJ2</v>
      </c>
      <c r="J2873" s="138" t="s">
        <v>7501</v>
      </c>
      <c r="K2873" s="140">
        <f>VLOOKUP(LEN(SUBSTITUTE(H2873,"-","")),datos!$A$1:$B$12,2,0)</f>
        <v>7</v>
      </c>
      <c r="L2873" s="138" t="s">
        <v>7503</v>
      </c>
      <c r="M2873" s="138" t="s">
        <v>0</v>
      </c>
    </row>
    <row r="2874" spans="1:13" customFormat="1" ht="14.5" x14ac:dyDescent="0.35">
      <c r="A2874" s="129" t="s">
        <v>487</v>
      </c>
      <c r="B2874" s="129" t="s">
        <v>3809</v>
      </c>
      <c r="C2874" s="129" t="s">
        <v>4124</v>
      </c>
      <c r="D2874" s="129" t="s">
        <v>4129</v>
      </c>
      <c r="E2874" s="129" t="s">
        <v>7523</v>
      </c>
      <c r="F2874" s="129"/>
      <c r="G2874" s="129"/>
      <c r="H2874" s="83" t="str">
        <f t="shared" si="188"/>
        <v>TCCN-PTE-PAF-AL2-L02--</v>
      </c>
      <c r="I2874" s="129" t="str">
        <f>MID(H2874,1,(LEN(H2874)-VLOOKUP(K2874,datos!$B$2:$C$12,2,0)))</f>
        <v>TCCN-PTE-PAF-AL2-L02</v>
      </c>
      <c r="J2874" s="129" t="s">
        <v>7505</v>
      </c>
      <c r="K2874" s="130">
        <f>VLOOKUP(LEN(SUBSTITUTE(H2874,"-","")),datos!$A$1:$B$12,2,0)</f>
        <v>5</v>
      </c>
      <c r="L2874" s="129"/>
      <c r="M2874" s="129" t="s">
        <v>0</v>
      </c>
    </row>
    <row r="2875" spans="1:13" customFormat="1" ht="14.5" x14ac:dyDescent="0.35">
      <c r="A2875" s="129" t="s">
        <v>487</v>
      </c>
      <c r="B2875" s="129" t="s">
        <v>3809</v>
      </c>
      <c r="C2875" s="129" t="s">
        <v>4124</v>
      </c>
      <c r="D2875" s="129" t="s">
        <v>4129</v>
      </c>
      <c r="E2875" s="129" t="s">
        <v>7524</v>
      </c>
      <c r="F2875" s="129"/>
      <c r="G2875" s="129"/>
      <c r="H2875" s="83" t="str">
        <f t="shared" ref="H2875" si="189">CONCATENATE(A2875,"-",B2875,"-",C2875,"-",D2875,"-",E2875,"-",F2875,"-",G2875)</f>
        <v>TCCN-PTE-PAF-AL2-L03--</v>
      </c>
      <c r="I2875" s="129" t="str">
        <f>MID(H2875,1,(LEN(H2875)-VLOOKUP(K2875,datos!$B$2:$C$12,2,0)))</f>
        <v>TCCN-PTE-PAF-AL2-L03</v>
      </c>
      <c r="J2875" s="129" t="s">
        <v>7506</v>
      </c>
      <c r="K2875" s="130">
        <f>VLOOKUP(LEN(SUBSTITUTE(H2875,"-","")),datos!$A$1:$B$12,2,0)</f>
        <v>5</v>
      </c>
      <c r="L2875" s="129"/>
      <c r="M2875" s="129" t="s">
        <v>0</v>
      </c>
    </row>
    <row r="2876" spans="1:13" x14ac:dyDescent="0.35">
      <c r="A2876" s="137" t="s">
        <v>487</v>
      </c>
      <c r="B2876" s="137" t="s">
        <v>3809</v>
      </c>
      <c r="C2876" s="137" t="s">
        <v>4124</v>
      </c>
      <c r="D2876" s="137" t="s">
        <v>4129</v>
      </c>
      <c r="E2876" s="137" t="s">
        <v>4004</v>
      </c>
      <c r="F2876" s="137" t="s">
        <v>4073</v>
      </c>
      <c r="G2876" s="137"/>
      <c r="H2876" s="82" t="str">
        <f>CONCATENATE(A2876,"-",B2876,"-",C2876,"-",D2876,"-",E2876,"-",F2876,"-",G2876)</f>
        <v>TCCN-PTE-PAF-AL2-CF3-PYV-</v>
      </c>
      <c r="I2876" s="137" t="str">
        <f>MID(H2876,1,(LEN(H2876)-VLOOKUP(K2876,datos!$B$2:$C$12,2,0)))</f>
        <v>TCCN-PTE-PAF-AL2-CF3-PYV</v>
      </c>
      <c r="J2876" s="137" t="s">
        <v>7512</v>
      </c>
      <c r="K2876" s="139">
        <f>VLOOKUP(LEN(SUBSTITUTE(H2876,"-","")),datos!$A$1:$B$12,2,0)</f>
        <v>6</v>
      </c>
      <c r="L2876" s="137"/>
      <c r="M2876" s="137" t="s">
        <v>0</v>
      </c>
    </row>
    <row r="2877" spans="1:13" x14ac:dyDescent="0.35">
      <c r="A2877" s="138" t="s">
        <v>487</v>
      </c>
      <c r="B2877" s="138" t="s">
        <v>3809</v>
      </c>
      <c r="C2877" s="138" t="s">
        <v>4124</v>
      </c>
      <c r="D2877" s="138" t="s">
        <v>4129</v>
      </c>
      <c r="E2877" s="138" t="s">
        <v>4004</v>
      </c>
      <c r="F2877" s="138" t="s">
        <v>4073</v>
      </c>
      <c r="G2877" s="138" t="s">
        <v>4075</v>
      </c>
      <c r="H2877" s="81" t="str">
        <f t="shared" ref="H2877" si="190">CONCATENATE(A2877,"-",B2877,"-",C2877,"-",D2877,"-",E2877,"-",F2877,"-",G2877)</f>
        <v>TCCN-PTE-PAF-AL2-CF3-PYV-VVA</v>
      </c>
      <c r="I2877" s="138" t="str">
        <f>MID(H2877,1,(LEN(H2877)-VLOOKUP(K2877,datos!$B$2:$C$12,2,0)))</f>
        <v>TCCN-PTE-PAF-AL2-CF3-PYV-VVA</v>
      </c>
      <c r="J2877" s="138" t="s">
        <v>7509</v>
      </c>
      <c r="K2877" s="140">
        <f>VLOOKUP(LEN(SUBSTITUTE(H2877,"-","")),datos!$A$1:$B$12,2,0)</f>
        <v>7</v>
      </c>
      <c r="L2877" s="138" t="s">
        <v>7507</v>
      </c>
      <c r="M2877" s="138" t="s">
        <v>0</v>
      </c>
    </row>
    <row r="2878" spans="1:13" x14ac:dyDescent="0.35">
      <c r="A2878" s="137" t="s">
        <v>487</v>
      </c>
      <c r="B2878" s="137" t="s">
        <v>3809</v>
      </c>
      <c r="C2878" s="137" t="s">
        <v>4124</v>
      </c>
      <c r="D2878" s="137" t="s">
        <v>4129</v>
      </c>
      <c r="E2878" s="137" t="s">
        <v>4004</v>
      </c>
      <c r="F2878" s="137" t="s">
        <v>3831</v>
      </c>
      <c r="G2878" s="137"/>
      <c r="H2878" s="82" t="str">
        <f>CONCATENATE(A2878,"-",B2878,"-",C2878,"-",D2878,"-",E2878,"-",F2878,"-",G2878)</f>
        <v>TCCN-PTE-PAF-AL2-CF3-INS-</v>
      </c>
      <c r="I2878" s="137" t="str">
        <f>MID(H2878,1,(LEN(H2878)-VLOOKUP(K2878,datos!$B$2:$C$12,2,0)))</f>
        <v>TCCN-PTE-PAF-AL2-CF3-INS</v>
      </c>
      <c r="J2878" s="137" t="s">
        <v>7513</v>
      </c>
      <c r="K2878" s="139">
        <f>VLOOKUP(LEN(SUBSTITUTE(H2878,"-","")),datos!$A$1:$B$12,2,0)</f>
        <v>6</v>
      </c>
      <c r="L2878" s="137"/>
      <c r="M2878" s="137" t="s">
        <v>0</v>
      </c>
    </row>
    <row r="2879" spans="1:13" x14ac:dyDescent="0.35">
      <c r="A2879" s="138" t="s">
        <v>487</v>
      </c>
      <c r="B2879" s="138" t="s">
        <v>3809</v>
      </c>
      <c r="C2879" s="138" t="s">
        <v>4124</v>
      </c>
      <c r="D2879" s="138" t="s">
        <v>4129</v>
      </c>
      <c r="E2879" s="138" t="s">
        <v>4004</v>
      </c>
      <c r="F2879" s="138" t="s">
        <v>3831</v>
      </c>
      <c r="G2879" s="138" t="s">
        <v>4002</v>
      </c>
      <c r="H2879" s="81" t="str">
        <f t="shared" ref="H2879:H2880" si="191">CONCATENATE(A2879,"-",B2879,"-",C2879,"-",D2879,"-",E2879,"-",F2879,"-",G2879)</f>
        <v>TCCN-PTE-PAF-AL2-CF3-INS-FJM</v>
      </c>
      <c r="I2879" s="138" t="str">
        <f>MID(H2879,1,(LEN(H2879)-VLOOKUP(K2879,datos!$B$2:$C$12,2,0)))</f>
        <v>TCCN-PTE-PAF-AL2-CF3-INS-FJM</v>
      </c>
      <c r="J2879" s="138" t="s">
        <v>7510</v>
      </c>
      <c r="K2879" s="140">
        <f>VLOOKUP(LEN(SUBSTITUTE(H2879,"-","")),datos!$A$1:$B$12,2,0)</f>
        <v>7</v>
      </c>
      <c r="L2879" s="138" t="s">
        <v>7508</v>
      </c>
      <c r="M2879" s="138" t="s">
        <v>0</v>
      </c>
    </row>
    <row r="2880" spans="1:13" customFormat="1" ht="14.5" x14ac:dyDescent="0.35">
      <c r="A2880" s="129" t="s">
        <v>487</v>
      </c>
      <c r="B2880" s="129" t="s">
        <v>3809</v>
      </c>
      <c r="C2880" s="129" t="s">
        <v>4124</v>
      </c>
      <c r="D2880" s="129" t="s">
        <v>4129</v>
      </c>
      <c r="E2880" s="129" t="s">
        <v>7525</v>
      </c>
      <c r="F2880" s="129"/>
      <c r="G2880" s="129"/>
      <c r="H2880" s="83" t="str">
        <f t="shared" si="191"/>
        <v>TCCN-PTE-PAF-AL2-L04--</v>
      </c>
      <c r="I2880" s="129" t="str">
        <f>MID(H2880,1,(LEN(H2880)-VLOOKUP(K2880,datos!$B$2:$C$12,2,0)))</f>
        <v>TCCN-PTE-PAF-AL2-L04</v>
      </c>
      <c r="J2880" s="129" t="s">
        <v>7511</v>
      </c>
      <c r="K2880" s="130">
        <f>VLOOKUP(LEN(SUBSTITUTE(H2880,"-","")),datos!$A$1:$B$12,2,0)</f>
        <v>5</v>
      </c>
      <c r="L2880" s="129"/>
      <c r="M2880" s="129" t="s">
        <v>0</v>
      </c>
    </row>
    <row r="2881" spans="1:13" x14ac:dyDescent="0.35">
      <c r="A2881" s="137" t="s">
        <v>487</v>
      </c>
      <c r="B2881" s="137" t="s">
        <v>3809</v>
      </c>
      <c r="C2881" s="137" t="s">
        <v>4124</v>
      </c>
      <c r="D2881" s="137" t="s">
        <v>4129</v>
      </c>
      <c r="E2881" s="137" t="s">
        <v>4005</v>
      </c>
      <c r="F2881" s="137" t="s">
        <v>4073</v>
      </c>
      <c r="G2881" s="137"/>
      <c r="H2881" s="82" t="str">
        <f>CONCATENATE(A2881,"-",B2881,"-",C2881,"-",D2881,"-",E2881,"-",F2881,"-",G2881)</f>
        <v>TCCN-PTE-PAF-AL2-CF4-PYV-</v>
      </c>
      <c r="I2881" s="137" t="str">
        <f>MID(H2881,1,(LEN(H2881)-VLOOKUP(K2881,datos!$B$2:$C$12,2,0)))</f>
        <v>TCCN-PTE-PAF-AL2-CF4-PYV</v>
      </c>
      <c r="J2881" s="137" t="s">
        <v>7515</v>
      </c>
      <c r="K2881" s="139">
        <f>VLOOKUP(LEN(SUBSTITUTE(H2881,"-","")),datos!$A$1:$B$12,2,0)</f>
        <v>6</v>
      </c>
      <c r="L2881" s="137"/>
      <c r="M2881" s="137" t="s">
        <v>0</v>
      </c>
    </row>
    <row r="2882" spans="1:13" x14ac:dyDescent="0.35">
      <c r="A2882" s="138" t="s">
        <v>487</v>
      </c>
      <c r="B2882" s="138" t="s">
        <v>3809</v>
      </c>
      <c r="C2882" s="138" t="s">
        <v>4124</v>
      </c>
      <c r="D2882" s="138" t="s">
        <v>4129</v>
      </c>
      <c r="E2882" s="138" t="s">
        <v>4005</v>
      </c>
      <c r="F2882" s="138" t="s">
        <v>4073</v>
      </c>
      <c r="G2882" s="138" t="s">
        <v>4075</v>
      </c>
      <c r="H2882" s="81" t="str">
        <f t="shared" ref="H2882" si="192">CONCATENATE(A2882,"-",B2882,"-",C2882,"-",D2882,"-",E2882,"-",F2882,"-",G2882)</f>
        <v>TCCN-PTE-PAF-AL2-CF4-PYV-VVA</v>
      </c>
      <c r="I2882" s="138" t="str">
        <f>MID(H2882,1,(LEN(H2882)-VLOOKUP(K2882,datos!$B$2:$C$12,2,0)))</f>
        <v>TCCN-PTE-PAF-AL2-CF4-PYV-VVA</v>
      </c>
      <c r="J2882" s="138" t="s">
        <v>7516</v>
      </c>
      <c r="K2882" s="140">
        <f>VLOOKUP(LEN(SUBSTITUTE(H2882,"-","")),datos!$A$1:$B$12,2,0)</f>
        <v>7</v>
      </c>
      <c r="L2882" s="138" t="s">
        <v>7519</v>
      </c>
      <c r="M2882" s="138" t="s">
        <v>0</v>
      </c>
    </row>
    <row r="2883" spans="1:13" x14ac:dyDescent="0.35">
      <c r="A2883" s="137" t="s">
        <v>487</v>
      </c>
      <c r="B2883" s="137" t="s">
        <v>3809</v>
      </c>
      <c r="C2883" s="137" t="s">
        <v>4124</v>
      </c>
      <c r="D2883" s="137" t="s">
        <v>4129</v>
      </c>
      <c r="E2883" s="137" t="s">
        <v>4005</v>
      </c>
      <c r="F2883" s="137" t="s">
        <v>3831</v>
      </c>
      <c r="G2883" s="137"/>
      <c r="H2883" s="82" t="str">
        <f>CONCATENATE(A2883,"-",B2883,"-",C2883,"-",D2883,"-",E2883,"-",F2883,"-",G2883)</f>
        <v>TCCN-PTE-PAF-AL2-CF4-INS-</v>
      </c>
      <c r="I2883" s="137" t="str">
        <f>MID(H2883,1,(LEN(H2883)-VLOOKUP(K2883,datos!$B$2:$C$12,2,0)))</f>
        <v>TCCN-PTE-PAF-AL2-CF4-INS</v>
      </c>
      <c r="J2883" s="137" t="s">
        <v>7517</v>
      </c>
      <c r="K2883" s="139">
        <f>VLOOKUP(LEN(SUBSTITUTE(H2883,"-","")),datos!$A$1:$B$12,2,0)</f>
        <v>6</v>
      </c>
      <c r="L2883" s="137"/>
      <c r="M2883" s="137" t="s">
        <v>0</v>
      </c>
    </row>
    <row r="2884" spans="1:13" x14ac:dyDescent="0.35">
      <c r="A2884" s="138" t="s">
        <v>487</v>
      </c>
      <c r="B2884" s="138" t="s">
        <v>3809</v>
      </c>
      <c r="C2884" s="138" t="s">
        <v>4124</v>
      </c>
      <c r="D2884" s="138" t="s">
        <v>4129</v>
      </c>
      <c r="E2884" s="138" t="s">
        <v>4005</v>
      </c>
      <c r="F2884" s="138" t="s">
        <v>3831</v>
      </c>
      <c r="G2884" s="138" t="s">
        <v>4002</v>
      </c>
      <c r="H2884" s="81" t="str">
        <f t="shared" ref="H2884:H2885" si="193">CONCATENATE(A2884,"-",B2884,"-",C2884,"-",D2884,"-",E2884,"-",F2884,"-",G2884)</f>
        <v>TCCN-PTE-PAF-AL2-CF4-INS-FJM</v>
      </c>
      <c r="I2884" s="138" t="str">
        <f>MID(H2884,1,(LEN(H2884)-VLOOKUP(K2884,datos!$B$2:$C$12,2,0)))</f>
        <v>TCCN-PTE-PAF-AL2-CF4-INS-FJM</v>
      </c>
      <c r="J2884" s="138" t="s">
        <v>7518</v>
      </c>
      <c r="K2884" s="140">
        <f>VLOOKUP(LEN(SUBSTITUTE(H2884,"-","")),datos!$A$1:$B$12,2,0)</f>
        <v>7</v>
      </c>
      <c r="L2884" s="138" t="s">
        <v>7520</v>
      </c>
      <c r="M2884" s="138" t="s">
        <v>0</v>
      </c>
    </row>
    <row r="2885" spans="1:13" customFormat="1" ht="14.5" x14ac:dyDescent="0.35">
      <c r="A2885" s="129" t="s">
        <v>487</v>
      </c>
      <c r="B2885" s="129" t="s">
        <v>3809</v>
      </c>
      <c r="C2885" s="129" t="s">
        <v>4124</v>
      </c>
      <c r="D2885" s="129" t="s">
        <v>4129</v>
      </c>
      <c r="E2885" s="129" t="s">
        <v>7526</v>
      </c>
      <c r="F2885" s="129"/>
      <c r="G2885" s="129"/>
      <c r="H2885" s="83" t="str">
        <f t="shared" si="193"/>
        <v>TCCN-PTE-PAF-AL2-L05--</v>
      </c>
      <c r="I2885" s="129" t="str">
        <f>MID(H2885,1,(LEN(H2885)-VLOOKUP(K2885,datos!$B$2:$C$12,2,0)))</f>
        <v>TCCN-PTE-PAF-AL2-L05</v>
      </c>
      <c r="J2885" s="129" t="s">
        <v>7521</v>
      </c>
      <c r="K2885" s="130">
        <f>VLOOKUP(LEN(SUBSTITUTE(H2885,"-","")),datos!$A$1:$B$12,2,0)</f>
        <v>5</v>
      </c>
      <c r="L2885" s="129"/>
      <c r="M2885" s="129" t="s">
        <v>0</v>
      </c>
    </row>
    <row r="2886" spans="1:13" customFormat="1" ht="14.5" x14ac:dyDescent="0.35">
      <c r="A2886" s="129" t="s">
        <v>487</v>
      </c>
      <c r="B2886" s="129" t="s">
        <v>3809</v>
      </c>
      <c r="C2886" s="129" t="s">
        <v>4124</v>
      </c>
      <c r="D2886" s="129" t="s">
        <v>4129</v>
      </c>
      <c r="E2886" s="129" t="s">
        <v>7527</v>
      </c>
      <c r="F2886" s="129"/>
      <c r="G2886" s="129"/>
      <c r="H2886" s="83" t="str">
        <f t="shared" ref="H2886:H2898" si="194">CONCATENATE(A2886,"-",B2886,"-",C2886,"-",D2886,"-",E2886,"-",F2886,"-",G2886)</f>
        <v>TCCN-PTE-PAF-AL2-L06--</v>
      </c>
      <c r="I2886" s="129" t="str">
        <f>MID(H2886,1,(LEN(H2886)-VLOOKUP(K2886,datos!$B$2:$C$12,2,0)))</f>
        <v>TCCN-PTE-PAF-AL2-L06</v>
      </c>
      <c r="J2886" s="129" t="s">
        <v>7538</v>
      </c>
      <c r="K2886" s="130">
        <f>VLOOKUP(LEN(SUBSTITUTE(H2886,"-","")),datos!$A$1:$B$12,2,0)</f>
        <v>5</v>
      </c>
      <c r="L2886" s="129"/>
      <c r="M2886" s="129" t="s">
        <v>0</v>
      </c>
    </row>
    <row r="2887" spans="1:13" customFormat="1" ht="14.5" x14ac:dyDescent="0.35">
      <c r="A2887" s="129" t="s">
        <v>487</v>
      </c>
      <c r="B2887" s="129" t="s">
        <v>3809</v>
      </c>
      <c r="C2887" s="129" t="s">
        <v>4124</v>
      </c>
      <c r="D2887" s="129" t="s">
        <v>4129</v>
      </c>
      <c r="E2887" s="129" t="s">
        <v>7528</v>
      </c>
      <c r="F2887" s="129"/>
      <c r="G2887" s="129"/>
      <c r="H2887" s="83" t="str">
        <f t="shared" si="194"/>
        <v>TCCN-PTE-PAF-AL2-L07--</v>
      </c>
      <c r="I2887" s="129" t="str">
        <f>MID(H2887,1,(LEN(H2887)-VLOOKUP(K2887,datos!$B$2:$C$12,2,0)))</f>
        <v>TCCN-PTE-PAF-AL2-L07</v>
      </c>
      <c r="J2887" s="129" t="s">
        <v>7539</v>
      </c>
      <c r="K2887" s="130">
        <f>VLOOKUP(LEN(SUBSTITUTE(H2887,"-","")),datos!$A$1:$B$12,2,0)</f>
        <v>5</v>
      </c>
      <c r="L2887" s="129"/>
      <c r="M2887" s="129" t="s">
        <v>0</v>
      </c>
    </row>
    <row r="2888" spans="1:13" customFormat="1" ht="14.5" x14ac:dyDescent="0.35">
      <c r="A2888" s="129" t="s">
        <v>487</v>
      </c>
      <c r="B2888" s="129" t="s">
        <v>3809</v>
      </c>
      <c r="C2888" s="129" t="s">
        <v>4124</v>
      </c>
      <c r="D2888" s="129" t="s">
        <v>4129</v>
      </c>
      <c r="E2888" s="129" t="s">
        <v>7529</v>
      </c>
      <c r="F2888" s="129"/>
      <c r="G2888" s="129"/>
      <c r="H2888" s="83" t="str">
        <f t="shared" si="194"/>
        <v>TCCN-PTE-PAF-AL2-L08--</v>
      </c>
      <c r="I2888" s="129" t="str">
        <f>MID(H2888,1,(LEN(H2888)-VLOOKUP(K2888,datos!$B$2:$C$12,2,0)))</f>
        <v>TCCN-PTE-PAF-AL2-L08</v>
      </c>
      <c r="J2888" s="129" t="s">
        <v>7540</v>
      </c>
      <c r="K2888" s="130">
        <f>VLOOKUP(LEN(SUBSTITUTE(H2888,"-","")),datos!$A$1:$B$12,2,0)</f>
        <v>5</v>
      </c>
      <c r="L2888" s="129"/>
      <c r="M2888" s="129" t="s">
        <v>0</v>
      </c>
    </row>
    <row r="2889" spans="1:13" x14ac:dyDescent="0.35">
      <c r="A2889" s="137" t="s">
        <v>487</v>
      </c>
      <c r="B2889" s="137" t="s">
        <v>3809</v>
      </c>
      <c r="C2889" s="137" t="s">
        <v>4124</v>
      </c>
      <c r="D2889" s="137" t="s">
        <v>4129</v>
      </c>
      <c r="E2889" s="137" t="s">
        <v>7529</v>
      </c>
      <c r="F2889" s="137" t="s">
        <v>4073</v>
      </c>
      <c r="G2889" s="137"/>
      <c r="H2889" s="82" t="str">
        <f>CONCATENATE(A2889,"-",B2889,"-",C2889,"-",D2889,"-",E2889,"-",F2889,"-",G2889)</f>
        <v>TCCN-PTE-PAF-AL2-L08-PYV-</v>
      </c>
      <c r="I2889" s="137" t="str">
        <f>MID(H2889,1,(LEN(H2889)-VLOOKUP(K2889,datos!$B$2:$C$12,2,0)))</f>
        <v>TCCN-PTE-PAF-AL2-L08-PYV</v>
      </c>
      <c r="J2889" s="137" t="s">
        <v>7541</v>
      </c>
      <c r="K2889" s="139">
        <f>VLOOKUP(LEN(SUBSTITUTE(H2889,"-","")),datos!$A$1:$B$12,2,0)</f>
        <v>6</v>
      </c>
      <c r="L2889" s="137"/>
      <c r="M2889" s="137" t="s">
        <v>0</v>
      </c>
    </row>
    <row r="2890" spans="1:13" x14ac:dyDescent="0.35">
      <c r="A2890" s="138" t="s">
        <v>487</v>
      </c>
      <c r="B2890" s="138" t="s">
        <v>3809</v>
      </c>
      <c r="C2890" s="138" t="s">
        <v>4124</v>
      </c>
      <c r="D2890" s="138" t="s">
        <v>4129</v>
      </c>
      <c r="E2890" s="138" t="s">
        <v>7529</v>
      </c>
      <c r="F2890" s="138" t="s">
        <v>4073</v>
      </c>
      <c r="G2890" s="138" t="s">
        <v>4075</v>
      </c>
      <c r="H2890" s="81" t="str">
        <f t="shared" ref="H2890" si="195">CONCATENATE(A2890,"-",B2890,"-",C2890,"-",D2890,"-",E2890,"-",F2890,"-",G2890)</f>
        <v>TCCN-PTE-PAF-AL2-L08-PYV-VVA</v>
      </c>
      <c r="I2890" s="138" t="str">
        <f>MID(H2890,1,(LEN(H2890)-VLOOKUP(K2890,datos!$B$2:$C$12,2,0)))</f>
        <v>TCCN-PTE-PAF-AL2-L08-PYV-VVA</v>
      </c>
      <c r="J2890" s="138" t="s">
        <v>7543</v>
      </c>
      <c r="K2890" s="140">
        <f>VLOOKUP(LEN(SUBSTITUTE(H2890,"-","")),datos!$A$1:$B$12,2,0)</f>
        <v>7</v>
      </c>
      <c r="L2890" s="138" t="s">
        <v>7542</v>
      </c>
      <c r="M2890" s="138" t="s">
        <v>0</v>
      </c>
    </row>
    <row r="2891" spans="1:13" customFormat="1" ht="14.5" x14ac:dyDescent="0.35">
      <c r="A2891" s="129" t="s">
        <v>487</v>
      </c>
      <c r="B2891" s="129" t="s">
        <v>3809</v>
      </c>
      <c r="C2891" s="129" t="s">
        <v>4124</v>
      </c>
      <c r="D2891" s="129" t="s">
        <v>4129</v>
      </c>
      <c r="E2891" s="129" t="s">
        <v>7530</v>
      </c>
      <c r="F2891" s="129"/>
      <c r="G2891" s="129"/>
      <c r="H2891" s="83" t="str">
        <f t="shared" si="194"/>
        <v>TCCN-PTE-PAF-AL2-L09--</v>
      </c>
      <c r="I2891" s="129" t="str">
        <f>MID(H2891,1,(LEN(H2891)-VLOOKUP(K2891,datos!$B$2:$C$12,2,0)))</f>
        <v>TCCN-PTE-PAF-AL2-L09</v>
      </c>
      <c r="J2891" s="129" t="s">
        <v>7544</v>
      </c>
      <c r="K2891" s="130">
        <f>VLOOKUP(LEN(SUBSTITUTE(H2891,"-","")),datos!$A$1:$B$12,2,0)</f>
        <v>5</v>
      </c>
      <c r="L2891" s="129"/>
      <c r="M2891" s="129" t="s">
        <v>0</v>
      </c>
    </row>
    <row r="2892" spans="1:13" customFormat="1" ht="14.5" x14ac:dyDescent="0.35">
      <c r="A2892" s="129" t="s">
        <v>487</v>
      </c>
      <c r="B2892" s="129" t="s">
        <v>3809</v>
      </c>
      <c r="C2892" s="129" t="s">
        <v>4124</v>
      </c>
      <c r="D2892" s="129" t="s">
        <v>4129</v>
      </c>
      <c r="E2892" s="129" t="s">
        <v>7531</v>
      </c>
      <c r="F2892" s="129"/>
      <c r="G2892" s="129"/>
      <c r="H2892" s="83" t="str">
        <f t="shared" si="194"/>
        <v>TCCN-PTE-PAF-AL2-L10--</v>
      </c>
      <c r="I2892" s="129" t="str">
        <f>MID(H2892,1,(LEN(H2892)-VLOOKUP(K2892,datos!$B$2:$C$12,2,0)))</f>
        <v>TCCN-PTE-PAF-AL2-L10</v>
      </c>
      <c r="J2892" s="129" t="s">
        <v>7545</v>
      </c>
      <c r="K2892" s="130">
        <f>VLOOKUP(LEN(SUBSTITUTE(H2892,"-","")),datos!$A$1:$B$12,2,0)</f>
        <v>5</v>
      </c>
      <c r="L2892" s="129"/>
      <c r="M2892" s="129" t="s">
        <v>0</v>
      </c>
    </row>
    <row r="2893" spans="1:13" customFormat="1" ht="14.5" x14ac:dyDescent="0.35">
      <c r="A2893" s="129" t="s">
        <v>487</v>
      </c>
      <c r="B2893" s="129" t="s">
        <v>3809</v>
      </c>
      <c r="C2893" s="129" t="s">
        <v>4124</v>
      </c>
      <c r="D2893" s="129" t="s">
        <v>4129</v>
      </c>
      <c r="E2893" s="129" t="s">
        <v>7532</v>
      </c>
      <c r="F2893" s="129"/>
      <c r="G2893" s="129"/>
      <c r="H2893" s="83" t="str">
        <f t="shared" si="194"/>
        <v>TCCN-PTE-PAF-AL2-L11--</v>
      </c>
      <c r="I2893" s="129" t="str">
        <f>MID(H2893,1,(LEN(H2893)-VLOOKUP(K2893,datos!$B$2:$C$12,2,0)))</f>
        <v>TCCN-PTE-PAF-AL2-L11</v>
      </c>
      <c r="J2893" s="129" t="s">
        <v>7546</v>
      </c>
      <c r="K2893" s="130">
        <f>VLOOKUP(LEN(SUBSTITUTE(H2893,"-","")),datos!$A$1:$B$12,2,0)</f>
        <v>5</v>
      </c>
      <c r="L2893" s="129"/>
      <c r="M2893" s="129" t="s">
        <v>0</v>
      </c>
    </row>
    <row r="2894" spans="1:13" customFormat="1" ht="14.5" x14ac:dyDescent="0.35">
      <c r="A2894" s="129" t="s">
        <v>487</v>
      </c>
      <c r="B2894" s="129" t="s">
        <v>3809</v>
      </c>
      <c r="C2894" s="129" t="s">
        <v>4124</v>
      </c>
      <c r="D2894" s="129" t="s">
        <v>4129</v>
      </c>
      <c r="E2894" s="129" t="s">
        <v>7533</v>
      </c>
      <c r="F2894" s="129"/>
      <c r="G2894" s="129"/>
      <c r="H2894" s="83" t="str">
        <f t="shared" si="194"/>
        <v>TCCN-PTE-PAF-AL2-L12--</v>
      </c>
      <c r="I2894" s="129" t="str">
        <f>MID(H2894,1,(LEN(H2894)-VLOOKUP(K2894,datos!$B$2:$C$12,2,0)))</f>
        <v>TCCN-PTE-PAF-AL2-L12</v>
      </c>
      <c r="J2894" s="129" t="s">
        <v>7547</v>
      </c>
      <c r="K2894" s="130">
        <f>VLOOKUP(LEN(SUBSTITUTE(H2894,"-","")),datos!$A$1:$B$12,2,0)</f>
        <v>5</v>
      </c>
      <c r="L2894" s="129"/>
      <c r="M2894" s="129" t="s">
        <v>0</v>
      </c>
    </row>
    <row r="2895" spans="1:13" customFormat="1" ht="14.5" x14ac:dyDescent="0.35">
      <c r="A2895" s="129" t="s">
        <v>487</v>
      </c>
      <c r="B2895" s="129" t="s">
        <v>3809</v>
      </c>
      <c r="C2895" s="129" t="s">
        <v>4124</v>
      </c>
      <c r="D2895" s="129" t="s">
        <v>4129</v>
      </c>
      <c r="E2895" s="129" t="s">
        <v>7534</v>
      </c>
      <c r="F2895" s="129"/>
      <c r="G2895" s="129"/>
      <c r="H2895" s="83" t="str">
        <f t="shared" si="194"/>
        <v>TCCN-PTE-PAF-AL2-L13--</v>
      </c>
      <c r="I2895" s="129" t="str">
        <f>MID(H2895,1,(LEN(H2895)-VLOOKUP(K2895,datos!$B$2:$C$12,2,0)))</f>
        <v>TCCN-PTE-PAF-AL2-L13</v>
      </c>
      <c r="J2895" s="129" t="s">
        <v>7548</v>
      </c>
      <c r="K2895" s="130">
        <f>VLOOKUP(LEN(SUBSTITUTE(H2895,"-","")),datos!$A$1:$B$12,2,0)</f>
        <v>5</v>
      </c>
      <c r="L2895" s="129"/>
      <c r="M2895" s="129" t="s">
        <v>0</v>
      </c>
    </row>
    <row r="2896" spans="1:13" customFormat="1" ht="14.5" x14ac:dyDescent="0.35">
      <c r="A2896" s="129" t="s">
        <v>487</v>
      </c>
      <c r="B2896" s="129" t="s">
        <v>3809</v>
      </c>
      <c r="C2896" s="129" t="s">
        <v>4124</v>
      </c>
      <c r="D2896" s="129" t="s">
        <v>4129</v>
      </c>
      <c r="E2896" s="129" t="s">
        <v>7535</v>
      </c>
      <c r="F2896" s="129"/>
      <c r="G2896" s="129"/>
      <c r="H2896" s="83" t="str">
        <f t="shared" si="194"/>
        <v>TCCN-PTE-PAF-AL2-L14--</v>
      </c>
      <c r="I2896" s="129" t="str">
        <f>MID(H2896,1,(LEN(H2896)-VLOOKUP(K2896,datos!$B$2:$C$12,2,0)))</f>
        <v>TCCN-PTE-PAF-AL2-L14</v>
      </c>
      <c r="J2896" s="129" t="s">
        <v>7549</v>
      </c>
      <c r="K2896" s="130">
        <f>VLOOKUP(LEN(SUBSTITUTE(H2896,"-","")),datos!$A$1:$B$12,2,0)</f>
        <v>5</v>
      </c>
      <c r="L2896" s="129"/>
      <c r="M2896" s="129" t="s">
        <v>0</v>
      </c>
    </row>
    <row r="2897" spans="1:13" customFormat="1" ht="14.5" x14ac:dyDescent="0.35">
      <c r="A2897" s="129" t="s">
        <v>487</v>
      </c>
      <c r="B2897" s="129" t="s">
        <v>3809</v>
      </c>
      <c r="C2897" s="129" t="s">
        <v>4124</v>
      </c>
      <c r="D2897" s="129" t="s">
        <v>4129</v>
      </c>
      <c r="E2897" s="129" t="s">
        <v>7536</v>
      </c>
      <c r="F2897" s="129"/>
      <c r="G2897" s="129"/>
      <c r="H2897" s="83" t="str">
        <f t="shared" si="194"/>
        <v>TCCN-PTE-PAF-AL2-L15--</v>
      </c>
      <c r="I2897" s="129" t="str">
        <f>MID(H2897,1,(LEN(H2897)-VLOOKUP(K2897,datos!$B$2:$C$12,2,0)))</f>
        <v>TCCN-PTE-PAF-AL2-L15</v>
      </c>
      <c r="J2897" s="129" t="s">
        <v>7550</v>
      </c>
      <c r="K2897" s="130">
        <f>VLOOKUP(LEN(SUBSTITUTE(H2897,"-","")),datos!$A$1:$B$12,2,0)</f>
        <v>5</v>
      </c>
      <c r="L2897" s="129"/>
      <c r="M2897" s="129" t="s">
        <v>0</v>
      </c>
    </row>
    <row r="2898" spans="1:13" customFormat="1" ht="14.5" x14ac:dyDescent="0.35">
      <c r="A2898" s="129" t="s">
        <v>487</v>
      </c>
      <c r="B2898" s="129" t="s">
        <v>3809</v>
      </c>
      <c r="C2898" s="129" t="s">
        <v>4124</v>
      </c>
      <c r="D2898" s="129" t="s">
        <v>4129</v>
      </c>
      <c r="E2898" s="129" t="s">
        <v>7537</v>
      </c>
      <c r="F2898" s="129"/>
      <c r="G2898" s="129"/>
      <c r="H2898" s="83" t="str">
        <f t="shared" si="194"/>
        <v>TCCN-PTE-PAF-AL2-L16--</v>
      </c>
      <c r="I2898" s="129" t="str">
        <f>MID(H2898,1,(LEN(H2898)-VLOOKUP(K2898,datos!$B$2:$C$12,2,0)))</f>
        <v>TCCN-PTE-PAF-AL2-L16</v>
      </c>
      <c r="J2898" s="129" t="s">
        <v>7551</v>
      </c>
      <c r="K2898" s="130">
        <f>VLOOKUP(LEN(SUBSTITUTE(H2898,"-","")),datos!$A$1:$B$12,2,0)</f>
        <v>5</v>
      </c>
      <c r="L2898" s="129"/>
      <c r="M2898" s="129" t="s">
        <v>0</v>
      </c>
    </row>
    <row r="2899" spans="1:13" customFormat="1" ht="14.5" x14ac:dyDescent="0.35">
      <c r="A2899" s="129" t="s">
        <v>487</v>
      </c>
      <c r="B2899" s="129" t="s">
        <v>3809</v>
      </c>
      <c r="C2899" s="129" t="s">
        <v>4124</v>
      </c>
      <c r="D2899" s="129" t="s">
        <v>4129</v>
      </c>
      <c r="E2899" s="129" t="s">
        <v>4079</v>
      </c>
      <c r="F2899" s="129"/>
      <c r="G2899" s="129"/>
      <c r="H2899" s="83" t="str">
        <f t="shared" si="182"/>
        <v>TCCN-PTE-PAF-AL2-ES2--</v>
      </c>
      <c r="I2899" s="129" t="str">
        <f>MID(H2899,1,(LEN(H2899)-VLOOKUP(K2899,datos!$B$2:$C$12,2,0)))</f>
        <v>TCCN-PTE-PAF-AL2-ES2</v>
      </c>
      <c r="J2899" s="129" t="s">
        <v>4308</v>
      </c>
      <c r="K2899" s="130">
        <f>VLOOKUP(LEN(SUBSTITUTE(H2899,"-","")),datos!$A$1:$B$12,2,0)</f>
        <v>5</v>
      </c>
      <c r="L2899" s="129" t="s">
        <v>4318</v>
      </c>
      <c r="M2899" s="129" t="s">
        <v>0</v>
      </c>
    </row>
    <row r="2900" spans="1:13" customFormat="1" ht="14.5" x14ac:dyDescent="0.35">
      <c r="A2900" s="129" t="s">
        <v>487</v>
      </c>
      <c r="B2900" s="129" t="s">
        <v>3809</v>
      </c>
      <c r="C2900" s="129" t="s">
        <v>4124</v>
      </c>
      <c r="D2900" s="129" t="s">
        <v>4129</v>
      </c>
      <c r="E2900" s="129" t="s">
        <v>3947</v>
      </c>
      <c r="F2900" s="129"/>
      <c r="G2900" s="129"/>
      <c r="H2900" s="83" t="str">
        <f t="shared" ref="H2900:H2969" si="196">CONCATENATE(A2900,"-",B2900,"-",C2900,"-",D2900,"-",E2900,"-",F2900,"-",G2900)</f>
        <v>TCCN-PTE-PAF-AL2-B01--</v>
      </c>
      <c r="I2900" s="129" t="str">
        <f>MID(H2900,1,(LEN(H2900)-VLOOKUP(K2900,datos!$B$2:$C$12,2,0)))</f>
        <v>TCCN-PTE-PAF-AL2-B01</v>
      </c>
      <c r="J2900" s="129" t="s">
        <v>7489</v>
      </c>
      <c r="K2900" s="130">
        <f>VLOOKUP(LEN(SUBSTITUTE(H2900,"-","")),datos!$A$1:$B$12,2,0)</f>
        <v>5</v>
      </c>
      <c r="L2900" s="129" t="s">
        <v>4309</v>
      </c>
      <c r="M2900" s="129" t="s">
        <v>0</v>
      </c>
    </row>
    <row r="2901" spans="1:13" x14ac:dyDescent="0.35">
      <c r="A2901" s="137" t="s">
        <v>487</v>
      </c>
      <c r="B2901" s="137" t="s">
        <v>3809</v>
      </c>
      <c r="C2901" s="137" t="s">
        <v>4124</v>
      </c>
      <c r="D2901" s="137" t="s">
        <v>4129</v>
      </c>
      <c r="E2901" s="137" t="s">
        <v>3947</v>
      </c>
      <c r="F2901" s="137" t="s">
        <v>5106</v>
      </c>
      <c r="G2901" s="137"/>
      <c r="H2901" s="82" t="str">
        <f t="shared" si="196"/>
        <v>TCCN-PTE-PAF-AL2-B01-PHU-</v>
      </c>
      <c r="I2901" s="137" t="str">
        <f>MID(H2901,1,(LEN(H2901)-VLOOKUP(K2901,datos!$B$2:$C$12,2,0)))</f>
        <v>TCCN-PTE-PAF-AL2-B01-PHU</v>
      </c>
      <c r="J2901" s="137" t="s">
        <v>4521</v>
      </c>
      <c r="K2901" s="139">
        <f>VLOOKUP(LEN(SUBSTITUTE(H2901,"-","")),datos!$A$1:$B$12,2,0)</f>
        <v>6</v>
      </c>
      <c r="L2901" s="137"/>
      <c r="M2901" s="137" t="s">
        <v>0</v>
      </c>
    </row>
    <row r="2902" spans="1:13" x14ac:dyDescent="0.35">
      <c r="A2902" s="137" t="s">
        <v>487</v>
      </c>
      <c r="B2902" s="137" t="s">
        <v>3809</v>
      </c>
      <c r="C2902" s="137" t="s">
        <v>4124</v>
      </c>
      <c r="D2902" s="137" t="s">
        <v>4129</v>
      </c>
      <c r="E2902" s="137" t="s">
        <v>3947</v>
      </c>
      <c r="F2902" s="137" t="s">
        <v>4073</v>
      </c>
      <c r="G2902" s="137"/>
      <c r="H2902" s="82" t="str">
        <f t="shared" si="196"/>
        <v>TCCN-PTE-PAF-AL2-B01-PYV-</v>
      </c>
      <c r="I2902" s="137" t="str">
        <f>MID(H2902,1,(LEN(H2902)-VLOOKUP(K2902,datos!$B$2:$C$12,2,0)))</f>
        <v>TCCN-PTE-PAF-AL2-B01-PYV</v>
      </c>
      <c r="J2902" s="137" t="s">
        <v>4522</v>
      </c>
      <c r="K2902" s="139">
        <f>VLOOKUP(LEN(SUBSTITUTE(H2902,"-","")),datos!$A$1:$B$12,2,0)</f>
        <v>6</v>
      </c>
      <c r="L2902" s="137"/>
      <c r="M2902" s="137" t="s">
        <v>0</v>
      </c>
    </row>
    <row r="2903" spans="1:13" x14ac:dyDescent="0.35">
      <c r="A2903" s="138" t="s">
        <v>487</v>
      </c>
      <c r="B2903" s="138" t="s">
        <v>3809</v>
      </c>
      <c r="C2903" s="138" t="s">
        <v>4124</v>
      </c>
      <c r="D2903" s="138" t="s">
        <v>4129</v>
      </c>
      <c r="E2903" s="138" t="s">
        <v>3947</v>
      </c>
      <c r="F2903" s="138" t="s">
        <v>4073</v>
      </c>
      <c r="G2903" s="138" t="s">
        <v>3986</v>
      </c>
      <c r="H2903" s="81" t="str">
        <f t="shared" ref="H2903" si="197">CONCATENATE(A2903,"-",B2903,"-",C2903,"-",D2903,"-",E2903,"-",F2903,"-",G2903)</f>
        <v>TCCN-PTE-PAF-AL2-B01-PYV-VV1</v>
      </c>
      <c r="I2903" s="138" t="str">
        <f>MID(H2903,1,(LEN(H2903)-VLOOKUP(K2903,datos!$B$2:$C$12,2,0)))</f>
        <v>TCCN-PTE-PAF-AL2-B01-PYV-VV1</v>
      </c>
      <c r="J2903" s="138" t="s">
        <v>7483</v>
      </c>
      <c r="K2903" s="140">
        <f>VLOOKUP(LEN(SUBSTITUTE(H2903,"-","")),datos!$A$1:$B$12,2,0)</f>
        <v>7</v>
      </c>
      <c r="L2903" s="138" t="s">
        <v>7484</v>
      </c>
      <c r="M2903" s="138" t="s">
        <v>0</v>
      </c>
    </row>
    <row r="2904" spans="1:13" x14ac:dyDescent="0.35">
      <c r="A2904" s="138" t="s">
        <v>487</v>
      </c>
      <c r="B2904" s="138" t="s">
        <v>3809</v>
      </c>
      <c r="C2904" s="138" t="s">
        <v>4124</v>
      </c>
      <c r="D2904" s="138" t="s">
        <v>4129</v>
      </c>
      <c r="E2904" s="138" t="s">
        <v>3947</v>
      </c>
      <c r="F2904" s="138" t="s">
        <v>4073</v>
      </c>
      <c r="G2904" s="138" t="s">
        <v>3987</v>
      </c>
      <c r="H2904" s="81" t="str">
        <f t="shared" ref="H2904" si="198">CONCATENATE(A2904,"-",B2904,"-",C2904,"-",D2904,"-",E2904,"-",F2904,"-",G2904)</f>
        <v>TCCN-PTE-PAF-AL2-B01-PYV-VV2</v>
      </c>
      <c r="I2904" s="138" t="str">
        <f>MID(H2904,1,(LEN(H2904)-VLOOKUP(K2904,datos!$B$2:$C$12,2,0)))</f>
        <v>TCCN-PTE-PAF-AL2-B01-PYV-VV2</v>
      </c>
      <c r="J2904" s="138" t="s">
        <v>7485</v>
      </c>
      <c r="K2904" s="140">
        <f>VLOOKUP(LEN(SUBSTITUTE(H2904,"-","")),datos!$A$1:$B$12,2,0)</f>
        <v>7</v>
      </c>
      <c r="L2904" s="138" t="s">
        <v>7486</v>
      </c>
      <c r="M2904" s="138" t="s">
        <v>0</v>
      </c>
    </row>
    <row r="2905" spans="1:13" x14ac:dyDescent="0.35">
      <c r="A2905" s="137" t="s">
        <v>487</v>
      </c>
      <c r="B2905" s="137" t="s">
        <v>3809</v>
      </c>
      <c r="C2905" s="137" t="s">
        <v>4124</v>
      </c>
      <c r="D2905" s="137" t="s">
        <v>4129</v>
      </c>
      <c r="E2905" s="137" t="s">
        <v>3947</v>
      </c>
      <c r="F2905" s="137" t="s">
        <v>3847</v>
      </c>
      <c r="G2905" s="137"/>
      <c r="H2905" s="82" t="str">
        <f t="shared" si="196"/>
        <v>TCCN-PTE-PAF-AL2-B01-SMO-</v>
      </c>
      <c r="I2905" s="137" t="str">
        <f>MID(H2905,1,(LEN(H2905)-VLOOKUP(K2905,datos!$B$2:$C$12,2,0)))</f>
        <v>TCCN-PTE-PAF-AL2-B01-SMO</v>
      </c>
      <c r="J2905" s="137" t="s">
        <v>4523</v>
      </c>
      <c r="K2905" s="139">
        <f>VLOOKUP(LEN(SUBSTITUTE(H2905,"-","")),datos!$A$1:$B$12,2,0)</f>
        <v>6</v>
      </c>
      <c r="L2905" s="137"/>
      <c r="M2905" s="137" t="s">
        <v>0</v>
      </c>
    </row>
    <row r="2906" spans="1:13" x14ac:dyDescent="0.35">
      <c r="A2906" s="138" t="s">
        <v>487</v>
      </c>
      <c r="B2906" s="138" t="s">
        <v>3809</v>
      </c>
      <c r="C2906" s="138" t="s">
        <v>4124</v>
      </c>
      <c r="D2906" s="138" t="s">
        <v>4129</v>
      </c>
      <c r="E2906" s="138" t="s">
        <v>3947</v>
      </c>
      <c r="F2906" s="138" t="s">
        <v>3847</v>
      </c>
      <c r="G2906" s="138" t="s">
        <v>3819</v>
      </c>
      <c r="H2906" s="81" t="str">
        <f t="shared" si="196"/>
        <v>TCCN-PTE-PAF-AL2-B01-SMO-MOE</v>
      </c>
      <c r="I2906" s="138" t="str">
        <f>MID(H2906,1,(LEN(H2906)-VLOOKUP(K2906,datos!$B$2:$C$12,2,0)))</f>
        <v>TCCN-PTE-PAF-AL2-B01-SMO-MOE</v>
      </c>
      <c r="J2906" s="138" t="s">
        <v>5380</v>
      </c>
      <c r="K2906" s="140">
        <f>VLOOKUP(LEN(SUBSTITUTE(H2906,"-","")),datos!$A$1:$B$12,2,0)</f>
        <v>7</v>
      </c>
      <c r="L2906" s="138" t="s">
        <v>4310</v>
      </c>
      <c r="M2906" s="138" t="s">
        <v>0</v>
      </c>
    </row>
    <row r="2907" spans="1:13" x14ac:dyDescent="0.35">
      <c r="A2907" s="137" t="s">
        <v>487</v>
      </c>
      <c r="B2907" s="137" t="s">
        <v>3809</v>
      </c>
      <c r="C2907" s="137" t="s">
        <v>4124</v>
      </c>
      <c r="D2907" s="137" t="s">
        <v>4129</v>
      </c>
      <c r="E2907" s="137" t="s">
        <v>3947</v>
      </c>
      <c r="F2907" s="137" t="s">
        <v>3831</v>
      </c>
      <c r="G2907" s="137"/>
      <c r="H2907" s="82" t="str">
        <f>CONCATENATE(A2907,"-",B2907,"-",C2907,"-",D2907,"-",E2907,"-",F2907,"-",G2907)</f>
        <v>TCCN-PTE-PAF-AL2-B01-INS-</v>
      </c>
      <c r="I2907" s="137" t="str">
        <f>MID(H2907,1,(LEN(H2907)-VLOOKUP(K2907,datos!$B$2:$C$12,2,0)))</f>
        <v>TCCN-PTE-PAF-AL2-B01-INS</v>
      </c>
      <c r="J2907" s="137" t="s">
        <v>5617</v>
      </c>
      <c r="K2907" s="139">
        <f>VLOOKUP(LEN(SUBSTITUTE(H2907,"-","")),datos!$A$1:$B$12,2,0)</f>
        <v>6</v>
      </c>
      <c r="L2907" s="137"/>
      <c r="M2907" s="137" t="s">
        <v>0</v>
      </c>
    </row>
    <row r="2908" spans="1:13" x14ac:dyDescent="0.35">
      <c r="A2908" s="138" t="s">
        <v>487</v>
      </c>
      <c r="B2908" s="138" t="s">
        <v>3809</v>
      </c>
      <c r="C2908" s="138" t="s">
        <v>4124</v>
      </c>
      <c r="D2908" s="138" t="s">
        <v>4129</v>
      </c>
      <c r="E2908" s="138" t="s">
        <v>3947</v>
      </c>
      <c r="F2908" s="138" t="s">
        <v>3831</v>
      </c>
      <c r="G2908" s="138" t="s">
        <v>7069</v>
      </c>
      <c r="H2908" s="81" t="str">
        <f>CONCATENATE(A2908,"-",B2908,"-",C2908,"-",D2908,"-",E2908,"-",F2908,"-",G2908)</f>
        <v>TCCN-PTE-PAF-AL2-B01-INS-MPN</v>
      </c>
      <c r="I2908" s="138" t="str">
        <f>MID(H2908,1,(LEN(H2908)-VLOOKUP(K2908,datos!$B$2:$C$12,2,0)))</f>
        <v>TCCN-PTE-PAF-AL2-B01-INS-MPN</v>
      </c>
      <c r="J2908" s="138" t="s">
        <v>7584</v>
      </c>
      <c r="K2908" s="140">
        <f>VLOOKUP(LEN(SUBSTITUTE(H2908,"-","")),datos!$A$1:$B$12,2,0)</f>
        <v>7</v>
      </c>
      <c r="L2908" s="138"/>
      <c r="M2908" s="138" t="s">
        <v>0</v>
      </c>
    </row>
    <row r="2909" spans="1:13" x14ac:dyDescent="0.35">
      <c r="A2909" s="137" t="s">
        <v>487</v>
      </c>
      <c r="B2909" s="137" t="s">
        <v>3809</v>
      </c>
      <c r="C2909" s="137" t="s">
        <v>4124</v>
      </c>
      <c r="D2909" s="137" t="s">
        <v>4129</v>
      </c>
      <c r="E2909" s="137" t="s">
        <v>3947</v>
      </c>
      <c r="F2909" s="137" t="s">
        <v>3869</v>
      </c>
      <c r="G2909" s="137"/>
      <c r="H2909" s="82" t="str">
        <f t="shared" si="196"/>
        <v>TCCN-PTE-PAF-AL2-B01-SCE-</v>
      </c>
      <c r="I2909" s="137" t="str">
        <f>MID(H2909,1,(LEN(H2909)-VLOOKUP(K2909,datos!$B$2:$C$12,2,0)))</f>
        <v>TCCN-PTE-PAF-AL2-B01-SCE</v>
      </c>
      <c r="J2909" s="137" t="s">
        <v>4543</v>
      </c>
      <c r="K2909" s="139">
        <f>VLOOKUP(LEN(SUBSTITUTE(H2909,"-","")),datos!$A$1:$B$12,2,0)</f>
        <v>6</v>
      </c>
      <c r="L2909" s="137"/>
      <c r="M2909" s="137" t="s">
        <v>0</v>
      </c>
    </row>
    <row r="2910" spans="1:13" x14ac:dyDescent="0.35">
      <c r="A2910" s="138" t="s">
        <v>487</v>
      </c>
      <c r="B2910" s="138" t="s">
        <v>3809</v>
      </c>
      <c r="C2910" s="138" t="s">
        <v>4124</v>
      </c>
      <c r="D2910" s="138" t="s">
        <v>4129</v>
      </c>
      <c r="E2910" s="138" t="s">
        <v>3947</v>
      </c>
      <c r="F2910" s="138" t="s">
        <v>3869</v>
      </c>
      <c r="G2910" s="138" t="s">
        <v>3870</v>
      </c>
      <c r="H2910" s="81" t="str">
        <f t="shared" si="196"/>
        <v>TCCN-PTE-PAF-AL2-B01-SCE-BTN</v>
      </c>
      <c r="I2910" s="138" t="str">
        <f>MID(H2910,1,(LEN(H2910)-VLOOKUP(K2910,datos!$B$2:$C$12,2,0)))</f>
        <v>TCCN-PTE-PAF-AL2-B01-SCE-BTN</v>
      </c>
      <c r="J2910" s="138" t="s">
        <v>4544</v>
      </c>
      <c r="K2910" s="140">
        <f>VLOOKUP(LEN(SUBSTITUTE(H2910,"-","")),datos!$A$1:$B$12,2,0)</f>
        <v>7</v>
      </c>
      <c r="L2910" s="138"/>
      <c r="M2910" s="138" t="s">
        <v>0</v>
      </c>
    </row>
    <row r="2911" spans="1:13" customFormat="1" ht="14.5" x14ac:dyDescent="0.35">
      <c r="A2911" s="129" t="s">
        <v>487</v>
      </c>
      <c r="B2911" s="129" t="s">
        <v>3809</v>
      </c>
      <c r="C2911" s="129" t="s">
        <v>4124</v>
      </c>
      <c r="D2911" s="129" t="s">
        <v>4129</v>
      </c>
      <c r="E2911" s="129" t="s">
        <v>3949</v>
      </c>
      <c r="F2911" s="129"/>
      <c r="G2911" s="129"/>
      <c r="H2911" s="83" t="str">
        <f t="shared" si="196"/>
        <v>TCCN-PTE-PAF-AL2-B02--</v>
      </c>
      <c r="I2911" s="129" t="str">
        <f>MID(H2911,1,(LEN(H2911)-VLOOKUP(K2911,datos!$B$2:$C$12,2,0)))</f>
        <v>TCCN-PTE-PAF-AL2-B02</v>
      </c>
      <c r="J2911" s="129" t="s">
        <v>7490</v>
      </c>
      <c r="K2911" s="130">
        <f>VLOOKUP(LEN(SUBSTITUTE(H2911,"-","")),datos!$A$1:$B$12,2,0)</f>
        <v>5</v>
      </c>
      <c r="L2911" s="129" t="s">
        <v>4311</v>
      </c>
      <c r="M2911" s="129" t="s">
        <v>0</v>
      </c>
    </row>
    <row r="2912" spans="1:13" x14ac:dyDescent="0.35">
      <c r="A2912" s="137" t="s">
        <v>487</v>
      </c>
      <c r="B2912" s="137" t="s">
        <v>3809</v>
      </c>
      <c r="C2912" s="137" t="s">
        <v>4124</v>
      </c>
      <c r="D2912" s="137" t="s">
        <v>4129</v>
      </c>
      <c r="E2912" s="137" t="s">
        <v>3949</v>
      </c>
      <c r="F2912" s="137" t="s">
        <v>5106</v>
      </c>
      <c r="G2912" s="137"/>
      <c r="H2912" s="82" t="str">
        <f t="shared" si="196"/>
        <v>TCCN-PTE-PAF-AL2-B02-PHU-</v>
      </c>
      <c r="I2912" s="137" t="str">
        <f>MID(H2912,1,(LEN(H2912)-VLOOKUP(K2912,datos!$B$2:$C$12,2,0)))</f>
        <v>TCCN-PTE-PAF-AL2-B02-PHU</v>
      </c>
      <c r="J2912" s="137" t="s">
        <v>4524</v>
      </c>
      <c r="K2912" s="139">
        <f>VLOOKUP(LEN(SUBSTITUTE(H2912,"-","")),datos!$A$1:$B$12,2,0)</f>
        <v>6</v>
      </c>
      <c r="L2912" s="137"/>
      <c r="M2912" s="137" t="s">
        <v>0</v>
      </c>
    </row>
    <row r="2913" spans="1:13" x14ac:dyDescent="0.35">
      <c r="A2913" s="137" t="s">
        <v>487</v>
      </c>
      <c r="B2913" s="137" t="s">
        <v>3809</v>
      </c>
      <c r="C2913" s="137" t="s">
        <v>4124</v>
      </c>
      <c r="D2913" s="137" t="s">
        <v>4129</v>
      </c>
      <c r="E2913" s="137" t="s">
        <v>3949</v>
      </c>
      <c r="F2913" s="137" t="s">
        <v>4073</v>
      </c>
      <c r="G2913" s="137"/>
      <c r="H2913" s="82" t="str">
        <f t="shared" si="196"/>
        <v>TCCN-PTE-PAF-AL2-B02-PYV-</v>
      </c>
      <c r="I2913" s="137" t="str">
        <f>MID(H2913,1,(LEN(H2913)-VLOOKUP(K2913,datos!$B$2:$C$12,2,0)))</f>
        <v>TCCN-PTE-PAF-AL2-B02-PYV</v>
      </c>
      <c r="J2913" s="137" t="s">
        <v>4525</v>
      </c>
      <c r="K2913" s="139">
        <f>VLOOKUP(LEN(SUBSTITUTE(H2913,"-","")),datos!$A$1:$B$12,2,0)</f>
        <v>6</v>
      </c>
      <c r="L2913" s="137"/>
      <c r="M2913" s="137" t="s">
        <v>0</v>
      </c>
    </row>
    <row r="2914" spans="1:13" x14ac:dyDescent="0.35">
      <c r="A2914" s="138" t="s">
        <v>487</v>
      </c>
      <c r="B2914" s="138" t="s">
        <v>3809</v>
      </c>
      <c r="C2914" s="138" t="s">
        <v>4124</v>
      </c>
      <c r="D2914" s="138" t="s">
        <v>4129</v>
      </c>
      <c r="E2914" s="138" t="s">
        <v>3949</v>
      </c>
      <c r="F2914" s="138" t="s">
        <v>4073</v>
      </c>
      <c r="G2914" s="138" t="s">
        <v>3986</v>
      </c>
      <c r="H2914" s="81" t="str">
        <f t="shared" si="196"/>
        <v>TCCN-PTE-PAF-AL2-B02-PYV-VV1</v>
      </c>
      <c r="I2914" s="138" t="str">
        <f>MID(H2914,1,(LEN(H2914)-VLOOKUP(K2914,datos!$B$2:$C$12,2,0)))</f>
        <v>TCCN-PTE-PAF-AL2-B02-PYV-VV1</v>
      </c>
      <c r="J2914" s="138" t="s">
        <v>7491</v>
      </c>
      <c r="K2914" s="140">
        <f>VLOOKUP(LEN(SUBSTITUTE(H2914,"-","")),datos!$A$1:$B$12,2,0)</f>
        <v>7</v>
      </c>
      <c r="L2914" s="138" t="s">
        <v>7487</v>
      </c>
      <c r="M2914" s="138" t="s">
        <v>0</v>
      </c>
    </row>
    <row r="2915" spans="1:13" x14ac:dyDescent="0.35">
      <c r="A2915" s="138" t="s">
        <v>487</v>
      </c>
      <c r="B2915" s="138" t="s">
        <v>3809</v>
      </c>
      <c r="C2915" s="138" t="s">
        <v>4124</v>
      </c>
      <c r="D2915" s="138" t="s">
        <v>4129</v>
      </c>
      <c r="E2915" s="138" t="s">
        <v>3949</v>
      </c>
      <c r="F2915" s="138" t="s">
        <v>4073</v>
      </c>
      <c r="G2915" s="138" t="s">
        <v>3987</v>
      </c>
      <c r="H2915" s="81" t="str">
        <f t="shared" si="196"/>
        <v>TCCN-PTE-PAF-AL2-B02-PYV-VV2</v>
      </c>
      <c r="I2915" s="138" t="str">
        <f>MID(H2915,1,(LEN(H2915)-VLOOKUP(K2915,datos!$B$2:$C$12,2,0)))</f>
        <v>TCCN-PTE-PAF-AL2-B02-PYV-VV2</v>
      </c>
      <c r="J2915" s="138" t="s">
        <v>7492</v>
      </c>
      <c r="K2915" s="140">
        <f>VLOOKUP(LEN(SUBSTITUTE(H2915,"-","")),datos!$A$1:$B$12,2,0)</f>
        <v>7</v>
      </c>
      <c r="L2915" s="138" t="s">
        <v>7488</v>
      </c>
      <c r="M2915" s="138" t="s">
        <v>0</v>
      </c>
    </row>
    <row r="2916" spans="1:13" x14ac:dyDescent="0.35">
      <c r="A2916" s="137" t="s">
        <v>487</v>
      </c>
      <c r="B2916" s="137" t="s">
        <v>3809</v>
      </c>
      <c r="C2916" s="137" t="s">
        <v>4124</v>
      </c>
      <c r="D2916" s="137" t="s">
        <v>4129</v>
      </c>
      <c r="E2916" s="137" t="s">
        <v>3949</v>
      </c>
      <c r="F2916" s="137" t="s">
        <v>3847</v>
      </c>
      <c r="G2916" s="137"/>
      <c r="H2916" s="82" t="str">
        <f t="shared" si="196"/>
        <v>TCCN-PTE-PAF-AL2-B02-SMO-</v>
      </c>
      <c r="I2916" s="137" t="str">
        <f>MID(H2916,1,(LEN(H2916)-VLOOKUP(K2916,datos!$B$2:$C$12,2,0)))</f>
        <v>TCCN-PTE-PAF-AL2-B02-SMO</v>
      </c>
      <c r="J2916" s="137" t="s">
        <v>4526</v>
      </c>
      <c r="K2916" s="139">
        <f>VLOOKUP(LEN(SUBSTITUTE(H2916,"-","")),datos!$A$1:$B$12,2,0)</f>
        <v>6</v>
      </c>
      <c r="L2916" s="137"/>
      <c r="M2916" s="137" t="s">
        <v>0</v>
      </c>
    </row>
    <row r="2917" spans="1:13" x14ac:dyDescent="0.35">
      <c r="A2917" s="138" t="s">
        <v>487</v>
      </c>
      <c r="B2917" s="138" t="s">
        <v>3809</v>
      </c>
      <c r="C2917" s="138" t="s">
        <v>4124</v>
      </c>
      <c r="D2917" s="138" t="s">
        <v>4129</v>
      </c>
      <c r="E2917" s="138" t="s">
        <v>3949</v>
      </c>
      <c r="F2917" s="138" t="s">
        <v>3847</v>
      </c>
      <c r="G2917" s="138" t="s">
        <v>3819</v>
      </c>
      <c r="H2917" s="81" t="str">
        <f t="shared" si="196"/>
        <v>TCCN-PTE-PAF-AL2-B02-SMO-MOE</v>
      </c>
      <c r="I2917" s="138" t="str">
        <f>MID(H2917,1,(LEN(H2917)-VLOOKUP(K2917,datos!$B$2:$C$12,2,0)))</f>
        <v>TCCN-PTE-PAF-AL2-B02-SMO-MOE</v>
      </c>
      <c r="J2917" s="138" t="s">
        <v>5381</v>
      </c>
      <c r="K2917" s="140">
        <f>VLOOKUP(LEN(SUBSTITUTE(H2917,"-","")),datos!$A$1:$B$12,2,0)</f>
        <v>7</v>
      </c>
      <c r="L2917" s="138" t="s">
        <v>4312</v>
      </c>
      <c r="M2917" s="138" t="s">
        <v>0</v>
      </c>
    </row>
    <row r="2918" spans="1:13" x14ac:dyDescent="0.35">
      <c r="A2918" s="137" t="s">
        <v>487</v>
      </c>
      <c r="B2918" s="137" t="s">
        <v>3809</v>
      </c>
      <c r="C2918" s="137" t="s">
        <v>4124</v>
      </c>
      <c r="D2918" s="137" t="s">
        <v>4129</v>
      </c>
      <c r="E2918" s="137" t="s">
        <v>3949</v>
      </c>
      <c r="F2918" s="137" t="s">
        <v>3831</v>
      </c>
      <c r="G2918" s="137"/>
      <c r="H2918" s="82" t="str">
        <f>CONCATENATE(A2918,"-",B2918,"-",C2918,"-",D2918,"-",E2918,"-",F2918,"-",G2918)</f>
        <v>TCCN-PTE-PAF-AL2-B02-INS-</v>
      </c>
      <c r="I2918" s="137" t="str">
        <f>MID(H2918,1,(LEN(H2918)-VLOOKUP(K2918,datos!$B$2:$C$12,2,0)))</f>
        <v>TCCN-PTE-PAF-AL2-B02-INS</v>
      </c>
      <c r="J2918" s="137" t="s">
        <v>5618</v>
      </c>
      <c r="K2918" s="139">
        <f>VLOOKUP(LEN(SUBSTITUTE(H2918,"-","")),datos!$A$1:$B$12,2,0)</f>
        <v>6</v>
      </c>
      <c r="L2918" s="137"/>
      <c r="M2918" s="137" t="s">
        <v>0</v>
      </c>
    </row>
    <row r="2919" spans="1:13" x14ac:dyDescent="0.35">
      <c r="A2919" s="138" t="s">
        <v>487</v>
      </c>
      <c r="B2919" s="138" t="s">
        <v>3809</v>
      </c>
      <c r="C2919" s="138" t="s">
        <v>4124</v>
      </c>
      <c r="D2919" s="138" t="s">
        <v>4129</v>
      </c>
      <c r="E2919" s="138" t="s">
        <v>3949</v>
      </c>
      <c r="F2919" s="138" t="s">
        <v>3831</v>
      </c>
      <c r="G2919" s="138" t="s">
        <v>7069</v>
      </c>
      <c r="H2919" s="81" t="str">
        <f>CONCATENATE(A2919,"-",B2919,"-",C2919,"-",D2919,"-",E2919,"-",F2919,"-",G2919)</f>
        <v>TCCN-PTE-PAF-AL2-B02-INS-MPN</v>
      </c>
      <c r="I2919" s="138" t="str">
        <f>MID(H2919,1,(LEN(H2919)-VLOOKUP(K2919,datos!$B$2:$C$12,2,0)))</f>
        <v>TCCN-PTE-PAF-AL2-B02-INS-MPN</v>
      </c>
      <c r="J2919" s="138" t="s">
        <v>7585</v>
      </c>
      <c r="K2919" s="140">
        <f>VLOOKUP(LEN(SUBSTITUTE(H2919,"-","")),datos!$A$1:$B$12,2,0)</f>
        <v>7</v>
      </c>
      <c r="L2919" s="138"/>
      <c r="M2919" s="138" t="s">
        <v>0</v>
      </c>
    </row>
    <row r="2920" spans="1:13" x14ac:dyDescent="0.35">
      <c r="A2920" s="137" t="s">
        <v>487</v>
      </c>
      <c r="B2920" s="137" t="s">
        <v>3809</v>
      </c>
      <c r="C2920" s="137" t="s">
        <v>4124</v>
      </c>
      <c r="D2920" s="137" t="s">
        <v>4129</v>
      </c>
      <c r="E2920" s="137" t="s">
        <v>3949</v>
      </c>
      <c r="F2920" s="137" t="s">
        <v>3869</v>
      </c>
      <c r="G2920" s="137"/>
      <c r="H2920" s="82" t="str">
        <f t="shared" si="196"/>
        <v>TCCN-PTE-PAF-AL2-B02-SCE-</v>
      </c>
      <c r="I2920" s="137" t="str">
        <f>MID(H2920,1,(LEN(H2920)-VLOOKUP(K2920,datos!$B$2:$C$12,2,0)))</f>
        <v>TCCN-PTE-PAF-AL2-B02-SCE</v>
      </c>
      <c r="J2920" s="137" t="s">
        <v>4541</v>
      </c>
      <c r="K2920" s="139">
        <f>VLOOKUP(LEN(SUBSTITUTE(H2920,"-","")),datos!$A$1:$B$12,2,0)</f>
        <v>6</v>
      </c>
      <c r="L2920" s="137"/>
      <c r="M2920" s="137" t="s">
        <v>0</v>
      </c>
    </row>
    <row r="2921" spans="1:13" x14ac:dyDescent="0.35">
      <c r="A2921" s="138" t="s">
        <v>487</v>
      </c>
      <c r="B2921" s="138" t="s">
        <v>3809</v>
      </c>
      <c r="C2921" s="138" t="s">
        <v>4124</v>
      </c>
      <c r="D2921" s="138" t="s">
        <v>4129</v>
      </c>
      <c r="E2921" s="138" t="s">
        <v>3949</v>
      </c>
      <c r="F2921" s="138" t="s">
        <v>3869</v>
      </c>
      <c r="G2921" s="138" t="s">
        <v>3870</v>
      </c>
      <c r="H2921" s="81" t="str">
        <f t="shared" si="196"/>
        <v>TCCN-PTE-PAF-AL2-B02-SCE-BTN</v>
      </c>
      <c r="I2921" s="138" t="str">
        <f>MID(H2921,1,(LEN(H2921)-VLOOKUP(K2921,datos!$B$2:$C$12,2,0)))</f>
        <v>TCCN-PTE-PAF-AL2-B02-SCE-BTN</v>
      </c>
      <c r="J2921" s="138" t="s">
        <v>4542</v>
      </c>
      <c r="K2921" s="140">
        <f>VLOOKUP(LEN(SUBSTITUTE(H2921,"-","")),datos!$A$1:$B$12,2,0)</f>
        <v>7</v>
      </c>
      <c r="L2921" s="138"/>
      <c r="M2921" s="138" t="s">
        <v>0</v>
      </c>
    </row>
    <row r="2922" spans="1:13" customFormat="1" ht="14.5" x14ac:dyDescent="0.35">
      <c r="A2922" s="129" t="s">
        <v>487</v>
      </c>
      <c r="B2922" s="129" t="s">
        <v>3809</v>
      </c>
      <c r="C2922" s="129" t="s">
        <v>4124</v>
      </c>
      <c r="D2922" s="129" t="s">
        <v>4129</v>
      </c>
      <c r="E2922" s="129" t="s">
        <v>4017</v>
      </c>
      <c r="F2922" s="129"/>
      <c r="G2922" s="129"/>
      <c r="H2922" s="83" t="str">
        <f t="shared" si="196"/>
        <v>TCCN-PTE-PAF-AL2-B03--</v>
      </c>
      <c r="I2922" s="129" t="str">
        <f>MID(H2922,1,(LEN(H2922)-VLOOKUP(K2922,datos!$B$2:$C$12,2,0)))</f>
        <v>TCCN-PTE-PAF-AL2-B03</v>
      </c>
      <c r="J2922" s="129" t="s">
        <v>5619</v>
      </c>
      <c r="K2922" s="130">
        <f>VLOOKUP(LEN(SUBSTITUTE(H2922,"-","")),datos!$A$1:$B$12,2,0)</f>
        <v>5</v>
      </c>
      <c r="L2922" s="129" t="s">
        <v>4313</v>
      </c>
      <c r="M2922" s="129" t="s">
        <v>0</v>
      </c>
    </row>
    <row r="2923" spans="1:13" x14ac:dyDescent="0.35">
      <c r="A2923" s="137" t="s">
        <v>487</v>
      </c>
      <c r="B2923" s="137" t="s">
        <v>3809</v>
      </c>
      <c r="C2923" s="137" t="s">
        <v>4124</v>
      </c>
      <c r="D2923" s="137" t="s">
        <v>4129</v>
      </c>
      <c r="E2923" s="137" t="s">
        <v>4017</v>
      </c>
      <c r="F2923" s="137" t="s">
        <v>5106</v>
      </c>
      <c r="G2923" s="137"/>
      <c r="H2923" s="82" t="str">
        <f t="shared" si="196"/>
        <v>TCCN-PTE-PAF-AL2-B03-PHU-</v>
      </c>
      <c r="I2923" s="137" t="str">
        <f>MID(H2923,1,(LEN(H2923)-VLOOKUP(K2923,datos!$B$2:$C$12,2,0)))</f>
        <v>TCCN-PTE-PAF-AL2-B03-PHU</v>
      </c>
      <c r="J2923" s="137" t="s">
        <v>4527</v>
      </c>
      <c r="K2923" s="139">
        <f>VLOOKUP(LEN(SUBSTITUTE(H2923,"-","")),datos!$A$1:$B$12,2,0)</f>
        <v>6</v>
      </c>
      <c r="L2923" s="137"/>
      <c r="M2923" s="137" t="s">
        <v>0</v>
      </c>
    </row>
    <row r="2924" spans="1:13" x14ac:dyDescent="0.35">
      <c r="A2924" s="137" t="s">
        <v>487</v>
      </c>
      <c r="B2924" s="137" t="s">
        <v>3809</v>
      </c>
      <c r="C2924" s="137" t="s">
        <v>4124</v>
      </c>
      <c r="D2924" s="137" t="s">
        <v>4129</v>
      </c>
      <c r="E2924" s="137" t="s">
        <v>4017</v>
      </c>
      <c r="F2924" s="137" t="s">
        <v>4073</v>
      </c>
      <c r="G2924" s="137"/>
      <c r="H2924" s="82" t="str">
        <f t="shared" si="196"/>
        <v>TCCN-PTE-PAF-AL2-B03-PYV-</v>
      </c>
      <c r="I2924" s="137" t="str">
        <f>MID(H2924,1,(LEN(H2924)-VLOOKUP(K2924,datos!$B$2:$C$12,2,0)))</f>
        <v>TCCN-PTE-PAF-AL2-B03-PYV</v>
      </c>
      <c r="J2924" s="137" t="s">
        <v>4528</v>
      </c>
      <c r="K2924" s="139">
        <f>VLOOKUP(LEN(SUBSTITUTE(H2924,"-","")),datos!$A$1:$B$12,2,0)</f>
        <v>6</v>
      </c>
      <c r="L2924" s="137"/>
      <c r="M2924" s="137" t="s">
        <v>0</v>
      </c>
    </row>
    <row r="2925" spans="1:13" x14ac:dyDescent="0.35">
      <c r="A2925" s="137" t="s">
        <v>487</v>
      </c>
      <c r="B2925" s="137" t="s">
        <v>3809</v>
      </c>
      <c r="C2925" s="137" t="s">
        <v>4124</v>
      </c>
      <c r="D2925" s="137" t="s">
        <v>4129</v>
      </c>
      <c r="E2925" s="137" t="s">
        <v>4017</v>
      </c>
      <c r="F2925" s="137" t="s">
        <v>3847</v>
      </c>
      <c r="G2925" s="137"/>
      <c r="H2925" s="82" t="str">
        <f t="shared" si="196"/>
        <v>TCCN-PTE-PAF-AL2-B03-SMO-</v>
      </c>
      <c r="I2925" s="137" t="str">
        <f>MID(H2925,1,(LEN(H2925)-VLOOKUP(K2925,datos!$B$2:$C$12,2,0)))</f>
        <v>TCCN-PTE-PAF-AL2-B03-SMO</v>
      </c>
      <c r="J2925" s="137" t="s">
        <v>4529</v>
      </c>
      <c r="K2925" s="139">
        <f>VLOOKUP(LEN(SUBSTITUTE(H2925,"-","")),datos!$A$1:$B$12,2,0)</f>
        <v>6</v>
      </c>
      <c r="L2925" s="137"/>
      <c r="M2925" s="137" t="s">
        <v>0</v>
      </c>
    </row>
    <row r="2926" spans="1:13" x14ac:dyDescent="0.35">
      <c r="A2926" s="138" t="s">
        <v>487</v>
      </c>
      <c r="B2926" s="138" t="s">
        <v>3809</v>
      </c>
      <c r="C2926" s="138" t="s">
        <v>4124</v>
      </c>
      <c r="D2926" s="138" t="s">
        <v>4129</v>
      </c>
      <c r="E2926" s="138" t="s">
        <v>4017</v>
      </c>
      <c r="F2926" s="138" t="s">
        <v>3847</v>
      </c>
      <c r="G2926" s="138" t="s">
        <v>3819</v>
      </c>
      <c r="H2926" s="81" t="str">
        <f t="shared" si="196"/>
        <v>TCCN-PTE-PAF-AL2-B03-SMO-MOE</v>
      </c>
      <c r="I2926" s="138" t="str">
        <f>MID(H2926,1,(LEN(H2926)-VLOOKUP(K2926,datos!$B$2:$C$12,2,0)))</f>
        <v>TCCN-PTE-PAF-AL2-B03-SMO-MOE</v>
      </c>
      <c r="J2926" s="138" t="s">
        <v>5621</v>
      </c>
      <c r="K2926" s="140">
        <f>VLOOKUP(LEN(SUBSTITUTE(H2926,"-","")),datos!$A$1:$B$12,2,0)</f>
        <v>7</v>
      </c>
      <c r="L2926" s="138" t="s">
        <v>4314</v>
      </c>
      <c r="M2926" s="138" t="s">
        <v>0</v>
      </c>
    </row>
    <row r="2927" spans="1:13" x14ac:dyDescent="0.35">
      <c r="A2927" s="137" t="s">
        <v>487</v>
      </c>
      <c r="B2927" s="137" t="s">
        <v>3809</v>
      </c>
      <c r="C2927" s="137" t="s">
        <v>4124</v>
      </c>
      <c r="D2927" s="137" t="s">
        <v>4129</v>
      </c>
      <c r="E2927" s="137" t="s">
        <v>4017</v>
      </c>
      <c r="F2927" s="137" t="s">
        <v>3831</v>
      </c>
      <c r="G2927" s="137"/>
      <c r="H2927" s="82" t="str">
        <f>CONCATENATE(A2927,"-",B2927,"-",C2927,"-",D2927,"-",E2927,"-",F2927,"-",G2927)</f>
        <v>TCCN-PTE-PAF-AL2-B03-INS-</v>
      </c>
      <c r="I2927" s="137" t="str">
        <f>MID(H2927,1,(LEN(H2927)-VLOOKUP(K2927,datos!$B$2:$C$12,2,0)))</f>
        <v>TCCN-PTE-PAF-AL2-B03-INS</v>
      </c>
      <c r="J2927" s="137" t="s">
        <v>5622</v>
      </c>
      <c r="K2927" s="139">
        <f>VLOOKUP(LEN(SUBSTITUTE(H2927,"-","")),datos!$A$1:$B$12,2,0)</f>
        <v>6</v>
      </c>
      <c r="L2927" s="137"/>
      <c r="M2927" s="137" t="s">
        <v>0</v>
      </c>
    </row>
    <row r="2928" spans="1:13" x14ac:dyDescent="0.35">
      <c r="A2928" s="138" t="s">
        <v>487</v>
      </c>
      <c r="B2928" s="138" t="s">
        <v>3809</v>
      </c>
      <c r="C2928" s="138" t="s">
        <v>4124</v>
      </c>
      <c r="D2928" s="138" t="s">
        <v>4129</v>
      </c>
      <c r="E2928" s="138" t="s">
        <v>4017</v>
      </c>
      <c r="F2928" s="138" t="s">
        <v>3831</v>
      </c>
      <c r="G2928" s="138" t="s">
        <v>7069</v>
      </c>
      <c r="H2928" s="81" t="str">
        <f>CONCATENATE(A2928,"-",B2928,"-",C2928,"-",D2928,"-",E2928,"-",F2928,"-",G2928)</f>
        <v>TCCN-PTE-PAF-AL2-B03-INS-MPN</v>
      </c>
      <c r="I2928" s="138" t="str">
        <f>MID(H2928,1,(LEN(H2928)-VLOOKUP(K2928,datos!$B$2:$C$12,2,0)))</f>
        <v>TCCN-PTE-PAF-AL2-B03-INS-MPN</v>
      </c>
      <c r="J2928" s="138" t="s">
        <v>7586</v>
      </c>
      <c r="K2928" s="140">
        <f>VLOOKUP(LEN(SUBSTITUTE(H2928,"-","")),datos!$A$1:$B$12,2,0)</f>
        <v>7</v>
      </c>
      <c r="L2928" s="138"/>
      <c r="M2928" s="138" t="s">
        <v>0</v>
      </c>
    </row>
    <row r="2929" spans="1:13" x14ac:dyDescent="0.35">
      <c r="A2929" s="137" t="s">
        <v>487</v>
      </c>
      <c r="B2929" s="137" t="s">
        <v>3809</v>
      </c>
      <c r="C2929" s="137" t="s">
        <v>4124</v>
      </c>
      <c r="D2929" s="137" t="s">
        <v>4129</v>
      </c>
      <c r="E2929" s="137" t="s">
        <v>4017</v>
      </c>
      <c r="F2929" s="137" t="s">
        <v>3869</v>
      </c>
      <c r="G2929" s="137"/>
      <c r="H2929" s="82" t="str">
        <f t="shared" si="196"/>
        <v>TCCN-PTE-PAF-AL2-B03-SCE-</v>
      </c>
      <c r="I2929" s="137" t="str">
        <f>MID(H2929,1,(LEN(H2929)-VLOOKUP(K2929,datos!$B$2:$C$12,2,0)))</f>
        <v>TCCN-PTE-PAF-AL2-B03-SCE</v>
      </c>
      <c r="J2929" s="137" t="s">
        <v>4539</v>
      </c>
      <c r="K2929" s="139">
        <f>VLOOKUP(LEN(SUBSTITUTE(H2929,"-","")),datos!$A$1:$B$12,2,0)</f>
        <v>6</v>
      </c>
      <c r="L2929" s="137"/>
      <c r="M2929" s="137" t="s">
        <v>0</v>
      </c>
    </row>
    <row r="2930" spans="1:13" x14ac:dyDescent="0.35">
      <c r="A2930" s="138" t="s">
        <v>487</v>
      </c>
      <c r="B2930" s="138" t="s">
        <v>3809</v>
      </c>
      <c r="C2930" s="138" t="s">
        <v>4124</v>
      </c>
      <c r="D2930" s="138" t="s">
        <v>4129</v>
      </c>
      <c r="E2930" s="138" t="s">
        <v>4017</v>
      </c>
      <c r="F2930" s="138" t="s">
        <v>3869</v>
      </c>
      <c r="G2930" s="138" t="s">
        <v>3870</v>
      </c>
      <c r="H2930" s="81" t="str">
        <f t="shared" si="196"/>
        <v>TCCN-PTE-PAF-AL2-B03-SCE-BTN</v>
      </c>
      <c r="I2930" s="138" t="str">
        <f>MID(H2930,1,(LEN(H2930)-VLOOKUP(K2930,datos!$B$2:$C$12,2,0)))</f>
        <v>TCCN-PTE-PAF-AL2-B03-SCE-BTN</v>
      </c>
      <c r="J2930" s="138" t="s">
        <v>4540</v>
      </c>
      <c r="K2930" s="140">
        <f>VLOOKUP(LEN(SUBSTITUTE(H2930,"-","")),datos!$A$1:$B$12,2,0)</f>
        <v>7</v>
      </c>
      <c r="L2930" s="138"/>
      <c r="M2930" s="138" t="s">
        <v>0</v>
      </c>
    </row>
    <row r="2931" spans="1:13" customFormat="1" ht="14.5" x14ac:dyDescent="0.35">
      <c r="A2931" s="129" t="s">
        <v>487</v>
      </c>
      <c r="B2931" s="129" t="s">
        <v>3809</v>
      </c>
      <c r="C2931" s="129" t="s">
        <v>4124</v>
      </c>
      <c r="D2931" s="129" t="s">
        <v>4129</v>
      </c>
      <c r="E2931" s="129" t="s">
        <v>4049</v>
      </c>
      <c r="F2931" s="129"/>
      <c r="G2931" s="129"/>
      <c r="H2931" s="83" t="str">
        <f t="shared" si="196"/>
        <v>TCCN-PTE-PAF-AL2-B04--</v>
      </c>
      <c r="I2931" s="129" t="str">
        <f>MID(H2931,1,(LEN(H2931)-VLOOKUP(K2931,datos!$B$2:$C$12,2,0)))</f>
        <v>TCCN-PTE-PAF-AL2-B04</v>
      </c>
      <c r="J2931" s="129" t="s">
        <v>5620</v>
      </c>
      <c r="K2931" s="130">
        <f>VLOOKUP(LEN(SUBSTITUTE(H2931,"-","")),datos!$A$1:$B$12,2,0)</f>
        <v>5</v>
      </c>
      <c r="L2931" s="129" t="s">
        <v>4315</v>
      </c>
      <c r="M2931" s="129" t="s">
        <v>0</v>
      </c>
    </row>
    <row r="2932" spans="1:13" x14ac:dyDescent="0.35">
      <c r="A2932" s="137" t="s">
        <v>487</v>
      </c>
      <c r="B2932" s="137" t="s">
        <v>3809</v>
      </c>
      <c r="C2932" s="137" t="s">
        <v>4124</v>
      </c>
      <c r="D2932" s="137" t="s">
        <v>4129</v>
      </c>
      <c r="E2932" s="137" t="s">
        <v>4049</v>
      </c>
      <c r="F2932" s="137" t="s">
        <v>5106</v>
      </c>
      <c r="G2932" s="137"/>
      <c r="H2932" s="82" t="str">
        <f t="shared" si="196"/>
        <v>TCCN-PTE-PAF-AL2-B04-PHU-</v>
      </c>
      <c r="I2932" s="137" t="str">
        <f>MID(H2932,1,(LEN(H2932)-VLOOKUP(K2932,datos!$B$2:$C$12,2,0)))</f>
        <v>TCCN-PTE-PAF-AL2-B04-PHU</v>
      </c>
      <c r="J2932" s="137" t="s">
        <v>4530</v>
      </c>
      <c r="K2932" s="139">
        <f>VLOOKUP(LEN(SUBSTITUTE(H2932,"-","")),datos!$A$1:$B$12,2,0)</f>
        <v>6</v>
      </c>
      <c r="L2932" s="137"/>
      <c r="M2932" s="137" t="s">
        <v>0</v>
      </c>
    </row>
    <row r="2933" spans="1:13" x14ac:dyDescent="0.35">
      <c r="A2933" s="137" t="s">
        <v>487</v>
      </c>
      <c r="B2933" s="137" t="s">
        <v>3809</v>
      </c>
      <c r="C2933" s="137" t="s">
        <v>4124</v>
      </c>
      <c r="D2933" s="137" t="s">
        <v>4129</v>
      </c>
      <c r="E2933" s="137" t="s">
        <v>4049</v>
      </c>
      <c r="F2933" s="137" t="s">
        <v>4073</v>
      </c>
      <c r="G2933" s="137"/>
      <c r="H2933" s="82" t="str">
        <f t="shared" si="196"/>
        <v>TCCN-PTE-PAF-AL2-B04-PYV-</v>
      </c>
      <c r="I2933" s="137" t="str">
        <f>MID(H2933,1,(LEN(H2933)-VLOOKUP(K2933,datos!$B$2:$C$12,2,0)))</f>
        <v>TCCN-PTE-PAF-AL2-B04-PYV</v>
      </c>
      <c r="J2933" s="137" t="s">
        <v>4531</v>
      </c>
      <c r="K2933" s="139">
        <f>VLOOKUP(LEN(SUBSTITUTE(H2933,"-","")),datos!$A$1:$B$12,2,0)</f>
        <v>6</v>
      </c>
      <c r="L2933" s="137"/>
      <c r="M2933" s="137" t="s">
        <v>0</v>
      </c>
    </row>
    <row r="2934" spans="1:13" x14ac:dyDescent="0.35">
      <c r="A2934" s="137" t="s">
        <v>487</v>
      </c>
      <c r="B2934" s="137" t="s">
        <v>3809</v>
      </c>
      <c r="C2934" s="137" t="s">
        <v>4124</v>
      </c>
      <c r="D2934" s="137" t="s">
        <v>4129</v>
      </c>
      <c r="E2934" s="137" t="s">
        <v>4049</v>
      </c>
      <c r="F2934" s="137" t="s">
        <v>3847</v>
      </c>
      <c r="G2934" s="137"/>
      <c r="H2934" s="82" t="str">
        <f t="shared" si="196"/>
        <v>TCCN-PTE-PAF-AL2-B04-SMO-</v>
      </c>
      <c r="I2934" s="137" t="str">
        <f>MID(H2934,1,(LEN(H2934)-VLOOKUP(K2934,datos!$B$2:$C$12,2,0)))</f>
        <v>TCCN-PTE-PAF-AL2-B04-SMO</v>
      </c>
      <c r="J2934" s="137" t="s">
        <v>4532</v>
      </c>
      <c r="K2934" s="139">
        <f>VLOOKUP(LEN(SUBSTITUTE(H2934,"-","")),datos!$A$1:$B$12,2,0)</f>
        <v>6</v>
      </c>
      <c r="L2934" s="137"/>
      <c r="M2934" s="137" t="s">
        <v>0</v>
      </c>
    </row>
    <row r="2935" spans="1:13" x14ac:dyDescent="0.35">
      <c r="A2935" s="138" t="s">
        <v>487</v>
      </c>
      <c r="B2935" s="138" t="s">
        <v>3809</v>
      </c>
      <c r="C2935" s="138" t="s">
        <v>4124</v>
      </c>
      <c r="D2935" s="138" t="s">
        <v>4129</v>
      </c>
      <c r="E2935" s="138" t="s">
        <v>4049</v>
      </c>
      <c r="F2935" s="138" t="s">
        <v>3847</v>
      </c>
      <c r="G2935" s="138" t="s">
        <v>3819</v>
      </c>
      <c r="H2935" s="81" t="str">
        <f t="shared" si="196"/>
        <v>TCCN-PTE-PAF-AL2-B04-SMO-MOE</v>
      </c>
      <c r="I2935" s="138" t="str">
        <f>MID(H2935,1,(LEN(H2935)-VLOOKUP(K2935,datos!$B$2:$C$12,2,0)))</f>
        <v>TCCN-PTE-PAF-AL2-B04-SMO-MOE</v>
      </c>
      <c r="J2935" s="138" t="s">
        <v>5382</v>
      </c>
      <c r="K2935" s="140">
        <f>VLOOKUP(LEN(SUBSTITUTE(H2935,"-","")),datos!$A$1:$B$12,2,0)</f>
        <v>7</v>
      </c>
      <c r="L2935" s="138" t="s">
        <v>4316</v>
      </c>
      <c r="M2935" s="138" t="s">
        <v>0</v>
      </c>
    </row>
    <row r="2936" spans="1:13" x14ac:dyDescent="0.35">
      <c r="A2936" s="137" t="s">
        <v>487</v>
      </c>
      <c r="B2936" s="137" t="s">
        <v>3809</v>
      </c>
      <c r="C2936" s="137" t="s">
        <v>4124</v>
      </c>
      <c r="D2936" s="137" t="s">
        <v>4129</v>
      </c>
      <c r="E2936" s="137" t="s">
        <v>4049</v>
      </c>
      <c r="F2936" s="137" t="s">
        <v>3831</v>
      </c>
      <c r="G2936" s="137"/>
      <c r="H2936" s="82" t="str">
        <f>CONCATENATE(A2936,"-",B2936,"-",C2936,"-",D2936,"-",E2936,"-",F2936,"-",G2936)</f>
        <v>TCCN-PTE-PAF-AL2-B04-INS-</v>
      </c>
      <c r="I2936" s="137" t="str">
        <f>MID(H2936,1,(LEN(H2936)-VLOOKUP(K2936,datos!$B$2:$C$12,2,0)))</f>
        <v>TCCN-PTE-PAF-AL2-B04-INS</v>
      </c>
      <c r="J2936" s="137" t="s">
        <v>5623</v>
      </c>
      <c r="K2936" s="139">
        <f>VLOOKUP(LEN(SUBSTITUTE(H2936,"-","")),datos!$A$1:$B$12,2,0)</f>
        <v>6</v>
      </c>
      <c r="L2936" s="137"/>
      <c r="M2936" s="137" t="s">
        <v>0</v>
      </c>
    </row>
    <row r="2937" spans="1:13" x14ac:dyDescent="0.35">
      <c r="A2937" s="138" t="s">
        <v>487</v>
      </c>
      <c r="B2937" s="138" t="s">
        <v>3809</v>
      </c>
      <c r="C2937" s="138" t="s">
        <v>4124</v>
      </c>
      <c r="D2937" s="138" t="s">
        <v>4129</v>
      </c>
      <c r="E2937" s="138" t="s">
        <v>4049</v>
      </c>
      <c r="F2937" s="138" t="s">
        <v>3831</v>
      </c>
      <c r="G2937" s="138" t="s">
        <v>7069</v>
      </c>
      <c r="H2937" s="81" t="str">
        <f>CONCATENATE(A2937,"-",B2937,"-",C2937,"-",D2937,"-",E2937,"-",F2937,"-",G2937)</f>
        <v>TCCN-PTE-PAF-AL2-B04-INS-MPN</v>
      </c>
      <c r="I2937" s="138" t="str">
        <f>MID(H2937,1,(LEN(H2937)-VLOOKUP(K2937,datos!$B$2:$C$12,2,0)))</f>
        <v>TCCN-PTE-PAF-AL2-B04-INS-MPN</v>
      </c>
      <c r="J2937" s="138" t="s">
        <v>7587</v>
      </c>
      <c r="K2937" s="140">
        <f>VLOOKUP(LEN(SUBSTITUTE(H2937,"-","")),datos!$A$1:$B$12,2,0)</f>
        <v>7</v>
      </c>
      <c r="L2937" s="138"/>
      <c r="M2937" s="138" t="s">
        <v>0</v>
      </c>
    </row>
    <row r="2938" spans="1:13" x14ac:dyDescent="0.35">
      <c r="A2938" s="137" t="s">
        <v>487</v>
      </c>
      <c r="B2938" s="137" t="s">
        <v>3809</v>
      </c>
      <c r="C2938" s="137" t="s">
        <v>4124</v>
      </c>
      <c r="D2938" s="137" t="s">
        <v>4129</v>
      </c>
      <c r="E2938" s="137" t="s">
        <v>4049</v>
      </c>
      <c r="F2938" s="137" t="s">
        <v>3869</v>
      </c>
      <c r="G2938" s="137"/>
      <c r="H2938" s="82" t="str">
        <f t="shared" si="196"/>
        <v>TCCN-PTE-PAF-AL2-B04-SCE-</v>
      </c>
      <c r="I2938" s="137" t="str">
        <f>MID(H2938,1,(LEN(H2938)-VLOOKUP(K2938,datos!$B$2:$C$12,2,0)))</f>
        <v>TCCN-PTE-PAF-AL2-B04-SCE</v>
      </c>
      <c r="J2938" s="137" t="s">
        <v>4537</v>
      </c>
      <c r="K2938" s="139">
        <f>VLOOKUP(LEN(SUBSTITUTE(H2938,"-","")),datos!$A$1:$B$12,2,0)</f>
        <v>6</v>
      </c>
      <c r="L2938" s="137"/>
      <c r="M2938" s="137" t="s">
        <v>0</v>
      </c>
    </row>
    <row r="2939" spans="1:13" x14ac:dyDescent="0.35">
      <c r="A2939" s="138" t="s">
        <v>487</v>
      </c>
      <c r="B2939" s="138" t="s">
        <v>3809</v>
      </c>
      <c r="C2939" s="138" t="s">
        <v>4124</v>
      </c>
      <c r="D2939" s="138" t="s">
        <v>4129</v>
      </c>
      <c r="E2939" s="138" t="s">
        <v>4049</v>
      </c>
      <c r="F2939" s="138" t="s">
        <v>3869</v>
      </c>
      <c r="G2939" s="138" t="s">
        <v>3870</v>
      </c>
      <c r="H2939" s="81" t="str">
        <f t="shared" si="196"/>
        <v>TCCN-PTE-PAF-AL2-B04-SCE-BTN</v>
      </c>
      <c r="I2939" s="138" t="str">
        <f>MID(H2939,1,(LEN(H2939)-VLOOKUP(K2939,datos!$B$2:$C$12,2,0)))</f>
        <v>TCCN-PTE-PAF-AL2-B04-SCE-BTN</v>
      </c>
      <c r="J2939" s="138" t="s">
        <v>4538</v>
      </c>
      <c r="K2939" s="140">
        <f>VLOOKUP(LEN(SUBSTITUTE(H2939,"-","")),datos!$A$1:$B$12,2,0)</f>
        <v>7</v>
      </c>
      <c r="L2939" s="138"/>
      <c r="M2939" s="138" t="s">
        <v>0</v>
      </c>
    </row>
    <row r="2940" spans="1:13" customFormat="1" ht="14.5" x14ac:dyDescent="0.35">
      <c r="A2940" s="127" t="s">
        <v>487</v>
      </c>
      <c r="B2940" s="127" t="s">
        <v>3809</v>
      </c>
      <c r="C2940" s="127" t="s">
        <v>4136</v>
      </c>
      <c r="D2940" s="127"/>
      <c r="E2940" s="127"/>
      <c r="F2940" s="127"/>
      <c r="G2940" s="127"/>
      <c r="H2940" s="86" t="str">
        <f t="shared" si="196"/>
        <v>TCCN-PTE-SUE----</v>
      </c>
      <c r="I2940" s="127" t="str">
        <f>MID(H2940,1,(LEN(H2940)-VLOOKUP(K2940,datos!$B$2:$C$12,2,0)))</f>
        <v>TCCN-PTE-SUE</v>
      </c>
      <c r="J2940" s="127" t="s">
        <v>4319</v>
      </c>
      <c r="K2940" s="128">
        <f>VLOOKUP(LEN(SUBSTITUTE(H2940,"-","")),datos!$A$1:$B$12,2,0)</f>
        <v>3</v>
      </c>
      <c r="L2940" s="127"/>
      <c r="M2940" s="127" t="s">
        <v>0</v>
      </c>
    </row>
    <row r="2941" spans="1:13" customFormat="1" ht="14.5" x14ac:dyDescent="0.35">
      <c r="A2941" s="84" t="s">
        <v>487</v>
      </c>
      <c r="B2941" s="84" t="s">
        <v>3809</v>
      </c>
      <c r="C2941" s="84" t="s">
        <v>4136</v>
      </c>
      <c r="D2941" s="84" t="s">
        <v>5287</v>
      </c>
      <c r="E2941" s="84"/>
      <c r="F2941" s="84"/>
      <c r="G2941" s="84"/>
      <c r="H2941" s="84" t="str">
        <f t="shared" si="196"/>
        <v>TCCN-PTE-SUE-RYS---</v>
      </c>
      <c r="I2941" s="84" t="str">
        <f>MID(H2941,1,(LEN(H2941)-VLOOKUP(K2941,datos!$B$2:$C$12,2,0)))</f>
        <v>TCCN-PTE-SUE-RYS</v>
      </c>
      <c r="J2941" s="84" t="s">
        <v>4472</v>
      </c>
      <c r="K2941" s="119">
        <f>VLOOKUP(LEN(SUBSTITUTE(H2941,"-","")),datos!$A$1:$B$12,2,0)</f>
        <v>4</v>
      </c>
      <c r="L2941" s="84"/>
      <c r="M2941" s="84" t="s">
        <v>0</v>
      </c>
    </row>
    <row r="2942" spans="1:13" customFormat="1" ht="14.5" x14ac:dyDescent="0.35">
      <c r="A2942" s="129" t="s">
        <v>487</v>
      </c>
      <c r="B2942" s="129" t="s">
        <v>3809</v>
      </c>
      <c r="C2942" s="129" t="s">
        <v>4136</v>
      </c>
      <c r="D2942" s="129" t="s">
        <v>5287</v>
      </c>
      <c r="E2942" s="129" t="s">
        <v>5291</v>
      </c>
      <c r="F2942" s="129"/>
      <c r="G2942" s="129"/>
      <c r="H2942" s="83" t="str">
        <f t="shared" si="196"/>
        <v>TCCN-PTE-SUE-RYS-LIT--</v>
      </c>
      <c r="I2942" s="129" t="str">
        <f>MID(H2942,1,(LEN(H2942)-VLOOKUP(K2942,datos!$B$2:$C$12,2,0)))</f>
        <v>TCCN-PTE-SUE-RYS-LIT</v>
      </c>
      <c r="J2942" s="129" t="s">
        <v>4320</v>
      </c>
      <c r="K2942" s="130">
        <f>VLOOKUP(LEN(SUBSTITUTE(H2942,"-","")),datos!$A$1:$B$12,2,0)</f>
        <v>5</v>
      </c>
      <c r="L2942" s="129"/>
      <c r="M2942" s="129" t="s">
        <v>0</v>
      </c>
    </row>
    <row r="2943" spans="1:13" customFormat="1" ht="14.5" x14ac:dyDescent="0.35">
      <c r="A2943" s="84" t="s">
        <v>487</v>
      </c>
      <c r="B2943" s="84" t="s">
        <v>3809</v>
      </c>
      <c r="C2943" s="84" t="s">
        <v>4136</v>
      </c>
      <c r="D2943" s="84" t="s">
        <v>5288</v>
      </c>
      <c r="E2943" s="84"/>
      <c r="F2943" s="84"/>
      <c r="G2943" s="84"/>
      <c r="H2943" s="84" t="str">
        <f t="shared" si="196"/>
        <v>TCCN-PTE-SUE-SBE---</v>
      </c>
      <c r="I2943" s="84" t="str">
        <f>MID(H2943,1,(LEN(H2943)-VLOOKUP(K2943,datos!$B$2:$C$12,2,0)))</f>
        <v>TCCN-PTE-SUE-SBE</v>
      </c>
      <c r="J2943" s="84" t="s">
        <v>4345</v>
      </c>
      <c r="K2943" s="119">
        <f>VLOOKUP(LEN(SUBSTITUTE(H2943,"-","")),datos!$A$1:$B$12,2,0)</f>
        <v>4</v>
      </c>
      <c r="L2943" s="84"/>
      <c r="M2943" s="84" t="s">
        <v>0</v>
      </c>
    </row>
    <row r="2944" spans="1:13" customFormat="1" ht="14.5" x14ac:dyDescent="0.35">
      <c r="A2944" s="129" t="s">
        <v>487</v>
      </c>
      <c r="B2944" s="129" t="s">
        <v>3809</v>
      </c>
      <c r="C2944" s="129" t="s">
        <v>4136</v>
      </c>
      <c r="D2944" s="129" t="s">
        <v>3888</v>
      </c>
      <c r="E2944" s="129" t="s">
        <v>3955</v>
      </c>
      <c r="F2944" s="129"/>
      <c r="G2944" s="129"/>
      <c r="H2944" s="83" t="str">
        <f t="shared" ref="H2944:H2949" si="199">CONCATENATE(A2944,"-",B2944,"-",C2944,"-",D2944,"-",E2944,"-",F2944,"-",G2944)</f>
        <v>TCCN-PTE-SUE-SEL-SW1--</v>
      </c>
      <c r="I2944" s="129" t="str">
        <f>MID(H2944,1,(LEN(H2944)-VLOOKUP(K2944,datos!$B$2:$C$12,2,0)))</f>
        <v>TCCN-PTE-SUE-SEL-SW1</v>
      </c>
      <c r="J2944" s="129" t="s">
        <v>1799</v>
      </c>
      <c r="K2944" s="130">
        <f>VLOOKUP(LEN(SUBSTITUTE(H2944,"-","")),datos!$A$1:$B$12,2,0)</f>
        <v>5</v>
      </c>
      <c r="L2944" s="129" t="s">
        <v>1358</v>
      </c>
      <c r="M2944" s="129" t="s">
        <v>0</v>
      </c>
    </row>
    <row r="2945" spans="1:13" customFormat="1" ht="14.5" x14ac:dyDescent="0.35">
      <c r="A2945" s="129" t="s">
        <v>487</v>
      </c>
      <c r="B2945" s="129" t="s">
        <v>3809</v>
      </c>
      <c r="C2945" s="129" t="s">
        <v>4136</v>
      </c>
      <c r="D2945" s="129" t="s">
        <v>3888</v>
      </c>
      <c r="E2945" s="129" t="s">
        <v>3959</v>
      </c>
      <c r="F2945" s="129"/>
      <c r="G2945" s="129"/>
      <c r="H2945" s="83" t="str">
        <f t="shared" si="199"/>
        <v>TCCN-PTE-SUE-SEL-SW2--</v>
      </c>
      <c r="I2945" s="129" t="str">
        <f>MID(H2945,1,(LEN(H2945)-VLOOKUP(K2945,datos!$B$2:$C$12,2,0)))</f>
        <v>TCCN-PTE-SUE-SEL-SW2</v>
      </c>
      <c r="J2945" s="129" t="s">
        <v>8119</v>
      </c>
      <c r="K2945" s="130">
        <f>VLOOKUP(LEN(SUBSTITUTE(H2945,"-","")),datos!$A$1:$B$12,2,0)</f>
        <v>5</v>
      </c>
      <c r="L2945" s="129" t="s">
        <v>1372</v>
      </c>
      <c r="M2945" s="129" t="s">
        <v>0</v>
      </c>
    </row>
    <row r="2946" spans="1:13" customFormat="1" ht="14.5" x14ac:dyDescent="0.35">
      <c r="A2946" s="129" t="s">
        <v>487</v>
      </c>
      <c r="B2946" s="129" t="s">
        <v>3809</v>
      </c>
      <c r="C2946" s="129" t="s">
        <v>4136</v>
      </c>
      <c r="D2946" s="129" t="s">
        <v>3888</v>
      </c>
      <c r="E2946" s="129" t="s">
        <v>6909</v>
      </c>
      <c r="F2946" s="129"/>
      <c r="G2946" s="129"/>
      <c r="H2946" s="83" t="str">
        <f t="shared" si="199"/>
        <v>TCCN-PTE-SUE-SEL-TRF--</v>
      </c>
      <c r="I2946" s="129" t="str">
        <f>MID(H2946,1,(LEN(H2946)-VLOOKUP(K2946,datos!$B$2:$C$12,2,0)))</f>
        <v>TCCN-PTE-SUE-SEL-TRF</v>
      </c>
      <c r="J2946" s="129" t="s">
        <v>1489</v>
      </c>
      <c r="K2946" s="130">
        <f>VLOOKUP(LEN(SUBSTITUTE(H2946,"-","")),datos!$A$1:$B$12,2,0)</f>
        <v>5</v>
      </c>
      <c r="L2946" s="129" t="s">
        <v>1361</v>
      </c>
      <c r="M2946" s="129" t="s">
        <v>0</v>
      </c>
    </row>
    <row r="2947" spans="1:13" customFormat="1" ht="14.5" x14ac:dyDescent="0.35">
      <c r="A2947" s="129" t="s">
        <v>487</v>
      </c>
      <c r="B2947" s="129" t="s">
        <v>3809</v>
      </c>
      <c r="C2947" s="129" t="s">
        <v>4136</v>
      </c>
      <c r="D2947" s="129" t="s">
        <v>3888</v>
      </c>
      <c r="E2947" s="129" t="s">
        <v>4140</v>
      </c>
      <c r="F2947" s="129"/>
      <c r="G2947" s="129"/>
      <c r="H2947" s="83" t="str">
        <f t="shared" si="199"/>
        <v>TCCN-PTE-SUE-SEL-DB1--</v>
      </c>
      <c r="I2947" s="129" t="str">
        <f>MID(H2947,1,(LEN(H2947)-VLOOKUP(K2947,datos!$B$2:$C$12,2,0)))</f>
        <v>TCCN-PTE-SUE-SEL-DB1</v>
      </c>
      <c r="J2947" s="129" t="s">
        <v>1800</v>
      </c>
      <c r="K2947" s="130">
        <f>VLOOKUP(LEN(SUBSTITUTE(H2947,"-","")),datos!$A$1:$B$12,2,0)</f>
        <v>5</v>
      </c>
      <c r="L2947" s="129" t="s">
        <v>1364</v>
      </c>
      <c r="M2947" s="129" t="s">
        <v>0</v>
      </c>
    </row>
    <row r="2948" spans="1:13" customFormat="1" ht="14.5" x14ac:dyDescent="0.35">
      <c r="A2948" s="129" t="s">
        <v>487</v>
      </c>
      <c r="B2948" s="129" t="s">
        <v>3809</v>
      </c>
      <c r="C2948" s="129" t="s">
        <v>4136</v>
      </c>
      <c r="D2948" s="129" t="s">
        <v>3888</v>
      </c>
      <c r="E2948" s="129" t="s">
        <v>4141</v>
      </c>
      <c r="F2948" s="129"/>
      <c r="G2948" s="129"/>
      <c r="H2948" s="83" t="str">
        <f t="shared" si="199"/>
        <v>TCCN-PTE-SUE-SEL-DB2--</v>
      </c>
      <c r="I2948" s="129" t="str">
        <f>MID(H2948,1,(LEN(H2948)-VLOOKUP(K2948,datos!$B$2:$C$12,2,0)))</f>
        <v>TCCN-PTE-SUE-SEL-DB2</v>
      </c>
      <c r="J2948" s="129" t="s">
        <v>1491</v>
      </c>
      <c r="K2948" s="130">
        <f>VLOOKUP(LEN(SUBSTITUTE(H2948,"-","")),datos!$A$1:$B$12,2,0)</f>
        <v>5</v>
      </c>
      <c r="L2948" s="129" t="s">
        <v>1365</v>
      </c>
      <c r="M2948" s="129" t="s">
        <v>0</v>
      </c>
    </row>
    <row r="2949" spans="1:13" customFormat="1" ht="14.5" x14ac:dyDescent="0.35">
      <c r="A2949" s="129" t="s">
        <v>487</v>
      </c>
      <c r="B2949" s="129" t="s">
        <v>3809</v>
      </c>
      <c r="C2949" s="129" t="s">
        <v>4136</v>
      </c>
      <c r="D2949" s="129" t="s">
        <v>3888</v>
      </c>
      <c r="E2949" s="129" t="s">
        <v>4142</v>
      </c>
      <c r="F2949" s="129"/>
      <c r="G2949" s="129"/>
      <c r="H2949" s="83" t="str">
        <f t="shared" si="199"/>
        <v>TCCN-PTE-SUE-SEL-DB3--</v>
      </c>
      <c r="I2949" s="129" t="str">
        <f>MID(H2949,1,(LEN(H2949)-VLOOKUP(K2949,datos!$B$2:$C$12,2,0)))</f>
        <v>TCCN-PTE-SUE-SEL-DB3</v>
      </c>
      <c r="J2949" s="129" t="s">
        <v>1492</v>
      </c>
      <c r="K2949" s="130">
        <f>VLOOKUP(LEN(SUBSTITUTE(H2949,"-","")),datos!$A$1:$B$12,2,0)</f>
        <v>5</v>
      </c>
      <c r="L2949" s="129" t="s">
        <v>1366</v>
      </c>
      <c r="M2949" s="129" t="s">
        <v>0</v>
      </c>
    </row>
    <row r="2950" spans="1:13" customFormat="1" ht="14.5" x14ac:dyDescent="0.35">
      <c r="A2950" s="129" t="s">
        <v>487</v>
      </c>
      <c r="B2950" s="129" t="s">
        <v>3809</v>
      </c>
      <c r="C2950" s="129" t="s">
        <v>4136</v>
      </c>
      <c r="D2950" s="129" t="s">
        <v>5288</v>
      </c>
      <c r="E2950" s="129" t="s">
        <v>3889</v>
      </c>
      <c r="F2950" s="129"/>
      <c r="G2950" s="129"/>
      <c r="H2950" s="83" t="str">
        <f t="shared" si="196"/>
        <v>TCCN-PTE-SUE-SBE-SAE--</v>
      </c>
      <c r="I2950" s="129" t="str">
        <f>MID(H2950,1,(LEN(H2950)-VLOOKUP(K2950,datos!$B$2:$C$12,2,0)))</f>
        <v>TCCN-PTE-SUE-SBE-SAE</v>
      </c>
      <c r="J2950" s="129" t="s">
        <v>1357</v>
      </c>
      <c r="K2950" s="130">
        <f>VLOOKUP(LEN(SUBSTITUTE(H2950,"-","")),datos!$A$1:$B$12,2,0)</f>
        <v>5</v>
      </c>
      <c r="L2950" s="129" t="s">
        <v>1798</v>
      </c>
      <c r="M2950" s="129" t="s">
        <v>0</v>
      </c>
    </row>
    <row r="2951" spans="1:13" x14ac:dyDescent="0.35">
      <c r="A2951" s="137" t="s">
        <v>487</v>
      </c>
      <c r="B2951" s="137" t="s">
        <v>3809</v>
      </c>
      <c r="C2951" s="137" t="s">
        <v>4136</v>
      </c>
      <c r="D2951" s="137" t="s">
        <v>3888</v>
      </c>
      <c r="E2951" s="137" t="s">
        <v>3889</v>
      </c>
      <c r="F2951" s="137" t="s">
        <v>3869</v>
      </c>
      <c r="G2951" s="137"/>
      <c r="H2951" s="82" t="str">
        <f t="shared" si="196"/>
        <v>TCCN-PTE-SUE-SEL-SAE-SCE-</v>
      </c>
      <c r="I2951" s="137" t="str">
        <f>MID(H2951,1,(LEN(H2951)-VLOOKUP(K2951,datos!$B$2:$C$12,2,0)))</f>
        <v>TCCN-PTE-SUE-SEL-SAE-SCE</v>
      </c>
      <c r="J2951" s="137" t="s">
        <v>7845</v>
      </c>
      <c r="K2951" s="139">
        <f>VLOOKUP(LEN(SUBSTITUTE(H2951,"-","")),datos!$A$1:$B$12,2,0)</f>
        <v>6</v>
      </c>
      <c r="L2951" s="137"/>
      <c r="M2951" s="137" t="s">
        <v>0</v>
      </c>
    </row>
    <row r="2952" spans="1:13" x14ac:dyDescent="0.35">
      <c r="A2952" s="138" t="s">
        <v>487</v>
      </c>
      <c r="B2952" s="138" t="s">
        <v>3809</v>
      </c>
      <c r="C2952" s="138" t="s">
        <v>4136</v>
      </c>
      <c r="D2952" s="138" t="s">
        <v>3888</v>
      </c>
      <c r="E2952" s="138" t="s">
        <v>3889</v>
      </c>
      <c r="F2952" s="138" t="s">
        <v>3869</v>
      </c>
      <c r="G2952" s="138" t="s">
        <v>4137</v>
      </c>
      <c r="H2952" s="81" t="str">
        <f t="shared" si="196"/>
        <v>TCCN-PTE-SUE-SEL-SAE-SCE-PA1</v>
      </c>
      <c r="I2952" s="138" t="str">
        <f>MID(H2952,1,(LEN(H2952)-VLOOKUP(K2952,datos!$B$2:$C$12,2,0)))</f>
        <v>TCCN-PTE-SUE-SEL-SAE-SCE-PA1</v>
      </c>
      <c r="J2952" s="138" t="s">
        <v>1359</v>
      </c>
      <c r="K2952" s="140">
        <f>VLOOKUP(LEN(SUBSTITUTE(H2952,"-","")),datos!$A$1:$B$12,2,0)</f>
        <v>7</v>
      </c>
      <c r="L2952" s="138" t="s">
        <v>1360</v>
      </c>
      <c r="M2952" s="138" t="s">
        <v>0</v>
      </c>
    </row>
    <row r="2953" spans="1:13" x14ac:dyDescent="0.35">
      <c r="A2953" s="138" t="s">
        <v>487</v>
      </c>
      <c r="B2953" s="138" t="s">
        <v>3809</v>
      </c>
      <c r="C2953" s="138" t="s">
        <v>4136</v>
      </c>
      <c r="D2953" s="138" t="s">
        <v>3888</v>
      </c>
      <c r="E2953" s="138" t="s">
        <v>3889</v>
      </c>
      <c r="F2953" s="138" t="s">
        <v>3869</v>
      </c>
      <c r="G2953" s="138" t="s">
        <v>4138</v>
      </c>
      <c r="H2953" s="81" t="str">
        <f t="shared" si="196"/>
        <v>TCCN-PTE-SUE-SEL-SAE-SCE-RPT</v>
      </c>
      <c r="I2953" s="138" t="str">
        <f>MID(H2953,1,(LEN(H2953)-VLOOKUP(K2953,datos!$B$2:$C$12,2,0)))</f>
        <v>TCCN-PTE-SUE-SEL-SAE-SCE-RPT</v>
      </c>
      <c r="J2953" s="138" t="s">
        <v>1362</v>
      </c>
      <c r="K2953" s="140">
        <f>VLOOKUP(LEN(SUBSTITUTE(H2953,"-","")),datos!$A$1:$B$12,2,0)</f>
        <v>7</v>
      </c>
      <c r="L2953" s="138" t="s">
        <v>1363</v>
      </c>
      <c r="M2953" s="138" t="s">
        <v>0</v>
      </c>
    </row>
    <row r="2954" spans="1:13" x14ac:dyDescent="0.35">
      <c r="A2954" s="138" t="s">
        <v>487</v>
      </c>
      <c r="B2954" s="138" t="s">
        <v>3809</v>
      </c>
      <c r="C2954" s="138" t="s">
        <v>4136</v>
      </c>
      <c r="D2954" s="138" t="s">
        <v>3888</v>
      </c>
      <c r="E2954" s="138" t="s">
        <v>3889</v>
      </c>
      <c r="F2954" s="138" t="s">
        <v>3869</v>
      </c>
      <c r="G2954" s="138" t="s">
        <v>4139</v>
      </c>
      <c r="H2954" s="81" t="str">
        <f t="shared" si="196"/>
        <v>TCCN-PTE-SUE-SEL-SAE-SCE-CBZ</v>
      </c>
      <c r="I2954" s="138" t="str">
        <f>MID(H2954,1,(LEN(H2954)-VLOOKUP(K2954,datos!$B$2:$C$12,2,0)))</f>
        <v>TCCN-PTE-SUE-SEL-SAE-SCE-CBZ</v>
      </c>
      <c r="J2954" s="138" t="s">
        <v>1801</v>
      </c>
      <c r="K2954" s="140">
        <f>VLOOKUP(LEN(SUBSTITUTE(H2954,"-","")),datos!$A$1:$B$12,2,0)</f>
        <v>7</v>
      </c>
      <c r="L2954" s="138"/>
      <c r="M2954" s="138" t="s">
        <v>0</v>
      </c>
    </row>
    <row r="2955" spans="1:13" x14ac:dyDescent="0.35">
      <c r="A2955" s="138" t="s">
        <v>487</v>
      </c>
      <c r="B2955" s="138" t="s">
        <v>3809</v>
      </c>
      <c r="C2955" s="138" t="s">
        <v>4136</v>
      </c>
      <c r="D2955" s="138" t="s">
        <v>3888</v>
      </c>
      <c r="E2955" s="138" t="s">
        <v>3889</v>
      </c>
      <c r="F2955" s="138" t="s">
        <v>3869</v>
      </c>
      <c r="G2955" s="138" t="s">
        <v>3891</v>
      </c>
      <c r="H2955" s="81" t="str">
        <f t="shared" si="196"/>
        <v>TCCN-PTE-SUE-SEL-SAE-SCE-TF1</v>
      </c>
      <c r="I2955" s="138" t="str">
        <f>MID(H2955,1,(LEN(H2955)-VLOOKUP(K2955,datos!$B$2:$C$12,2,0)))</f>
        <v>TCCN-PTE-SUE-SEL-SAE-SCE-TF1</v>
      </c>
      <c r="J2955" s="138" t="s">
        <v>1367</v>
      </c>
      <c r="K2955" s="140">
        <f>VLOOKUP(LEN(SUBSTITUTE(H2955,"-","")),datos!$A$1:$B$12,2,0)</f>
        <v>7</v>
      </c>
      <c r="L2955" s="138" t="s">
        <v>1368</v>
      </c>
      <c r="M2955" s="138" t="s">
        <v>0</v>
      </c>
    </row>
    <row r="2956" spans="1:13" x14ac:dyDescent="0.35">
      <c r="A2956" s="138" t="s">
        <v>487</v>
      </c>
      <c r="B2956" s="138" t="s">
        <v>3809</v>
      </c>
      <c r="C2956" s="138" t="s">
        <v>4136</v>
      </c>
      <c r="D2956" s="138" t="s">
        <v>3888</v>
      </c>
      <c r="E2956" s="138" t="s">
        <v>3889</v>
      </c>
      <c r="F2956" s="138" t="s">
        <v>3869</v>
      </c>
      <c r="G2956" s="138" t="s">
        <v>4143</v>
      </c>
      <c r="H2956" s="81" t="str">
        <f t="shared" si="196"/>
        <v>TCCN-PTE-SUE-SEL-SAE-SCE-PA2</v>
      </c>
      <c r="I2956" s="138" t="str">
        <f>MID(H2956,1,(LEN(H2956)-VLOOKUP(K2956,datos!$B$2:$C$12,2,0)))</f>
        <v>TCCN-PTE-SUE-SEL-SAE-SCE-PA2</v>
      </c>
      <c r="J2956" s="138" t="s">
        <v>1493</v>
      </c>
      <c r="K2956" s="140">
        <f>VLOOKUP(LEN(SUBSTITUTE(H2956,"-","")),datos!$A$1:$B$12,2,0)</f>
        <v>7</v>
      </c>
      <c r="L2956" s="138" t="s">
        <v>1369</v>
      </c>
      <c r="M2956" s="138" t="s">
        <v>0</v>
      </c>
    </row>
    <row r="2957" spans="1:13" x14ac:dyDescent="0.35">
      <c r="A2957" s="138" t="s">
        <v>487</v>
      </c>
      <c r="B2957" s="138" t="s">
        <v>3809</v>
      </c>
      <c r="C2957" s="138" t="s">
        <v>4136</v>
      </c>
      <c r="D2957" s="138" t="s">
        <v>3888</v>
      </c>
      <c r="E2957" s="138" t="s">
        <v>3889</v>
      </c>
      <c r="F2957" s="138" t="s">
        <v>3869</v>
      </c>
      <c r="G2957" s="138" t="s">
        <v>3892</v>
      </c>
      <c r="H2957" s="81" t="str">
        <f t="shared" si="196"/>
        <v>TCCN-PTE-SUE-SEL-SAE-SCE-TF2</v>
      </c>
      <c r="I2957" s="138" t="str">
        <f>MID(H2957,1,(LEN(H2957)-VLOOKUP(K2957,datos!$B$2:$C$12,2,0)))</f>
        <v>TCCN-PTE-SUE-SEL-SAE-SCE-TF2</v>
      </c>
      <c r="J2957" s="138" t="s">
        <v>1495</v>
      </c>
      <c r="K2957" s="140">
        <f>VLOOKUP(LEN(SUBSTITUTE(H2957,"-","")),datos!$A$1:$B$12,2,0)</f>
        <v>7</v>
      </c>
      <c r="L2957" s="138" t="s">
        <v>1370</v>
      </c>
      <c r="M2957" s="138" t="s">
        <v>0</v>
      </c>
    </row>
    <row r="2958" spans="1:13" x14ac:dyDescent="0.35">
      <c r="A2958" s="138" t="s">
        <v>487</v>
      </c>
      <c r="B2958" s="138" t="s">
        <v>3809</v>
      </c>
      <c r="C2958" s="138" t="s">
        <v>4136</v>
      </c>
      <c r="D2958" s="138" t="s">
        <v>3888</v>
      </c>
      <c r="E2958" s="138" t="s">
        <v>3889</v>
      </c>
      <c r="F2958" s="138" t="s">
        <v>3869</v>
      </c>
      <c r="G2958" s="138" t="s">
        <v>4144</v>
      </c>
      <c r="H2958" s="81" t="str">
        <f t="shared" si="196"/>
        <v>TCCN-PTE-SUE-SEL-SAE-SCE-CDG</v>
      </c>
      <c r="I2958" s="138" t="str">
        <f>MID(H2958,1,(LEN(H2958)-VLOOKUP(K2958,datos!$B$2:$C$12,2,0)))</f>
        <v>TCCN-PTE-SUE-SEL-SAE-SCE-CDG</v>
      </c>
      <c r="J2958" s="138" t="s">
        <v>1371</v>
      </c>
      <c r="K2958" s="140">
        <f>VLOOKUP(LEN(SUBSTITUTE(H2958,"-","")),datos!$A$1:$B$12,2,0)</f>
        <v>7</v>
      </c>
      <c r="L2958" s="138"/>
      <c r="M2958" s="138" t="s">
        <v>0</v>
      </c>
    </row>
    <row r="2959" spans="1:13" x14ac:dyDescent="0.35">
      <c r="A2959" s="138" t="s">
        <v>487</v>
      </c>
      <c r="B2959" s="138" t="s">
        <v>3809</v>
      </c>
      <c r="C2959" s="138" t="s">
        <v>4136</v>
      </c>
      <c r="D2959" s="138" t="s">
        <v>3888</v>
      </c>
      <c r="E2959" s="138" t="s">
        <v>3889</v>
      </c>
      <c r="F2959" s="138" t="s">
        <v>3869</v>
      </c>
      <c r="G2959" s="138" t="s">
        <v>8056</v>
      </c>
      <c r="H2959" s="81" t="str">
        <f t="shared" si="196"/>
        <v>TCCN-PTE-SUE-SEL-SAE-SCE-CN1</v>
      </c>
      <c r="I2959" s="138" t="str">
        <f>MID(H2959,1,(LEN(H2959)-VLOOKUP(K2959,datos!$B$2:$C$12,2,0)))</f>
        <v>TCCN-PTE-SUE-SEL-SAE-SCE-CN1</v>
      </c>
      <c r="J2959" s="138" t="s">
        <v>6702</v>
      </c>
      <c r="K2959" s="140">
        <f>VLOOKUP(LEN(SUBSTITUTE(H2959,"-","")),datos!$A$1:$B$12,2,0)</f>
        <v>7</v>
      </c>
      <c r="L2959" s="138"/>
      <c r="M2959" s="138" t="s">
        <v>0</v>
      </c>
    </row>
    <row r="2960" spans="1:13" x14ac:dyDescent="0.35">
      <c r="A2960" s="138" t="s">
        <v>487</v>
      </c>
      <c r="B2960" s="138" t="s">
        <v>3809</v>
      </c>
      <c r="C2960" s="138" t="s">
        <v>4136</v>
      </c>
      <c r="D2960" s="138" t="s">
        <v>3888</v>
      </c>
      <c r="E2960" s="138" t="s">
        <v>3889</v>
      </c>
      <c r="F2960" s="138" t="s">
        <v>3869</v>
      </c>
      <c r="G2960" s="138" t="s">
        <v>4145</v>
      </c>
      <c r="H2960" s="81" t="str">
        <f t="shared" si="196"/>
        <v>TCCN-PTE-SUE-SEL-SAE-SCE-LIM</v>
      </c>
      <c r="I2960" s="138" t="str">
        <f>MID(H2960,1,(LEN(H2960)-VLOOKUP(K2960,datos!$B$2:$C$12,2,0)))</f>
        <v>TCCN-PTE-SUE-SEL-SAE-SCE-LIM</v>
      </c>
      <c r="J2960" s="138" t="s">
        <v>1497</v>
      </c>
      <c r="K2960" s="140">
        <f>VLOOKUP(LEN(SUBSTITUTE(H2960,"-","")),datos!$A$1:$B$12,2,0)</f>
        <v>7</v>
      </c>
      <c r="L2960" s="138" t="s">
        <v>1373</v>
      </c>
      <c r="M2960" s="138" t="s">
        <v>0</v>
      </c>
    </row>
    <row r="2961" spans="1:13" x14ac:dyDescent="0.35">
      <c r="A2961" s="138" t="s">
        <v>487</v>
      </c>
      <c r="B2961" s="138" t="s">
        <v>3809</v>
      </c>
      <c r="C2961" s="138" t="s">
        <v>4136</v>
      </c>
      <c r="D2961" s="138" t="s">
        <v>3888</v>
      </c>
      <c r="E2961" s="138" t="s">
        <v>3889</v>
      </c>
      <c r="F2961" s="138" t="s">
        <v>3869</v>
      </c>
      <c r="G2961" s="138" t="s">
        <v>3893</v>
      </c>
      <c r="H2961" s="81" t="str">
        <f t="shared" si="196"/>
        <v>TCCN-PTE-SUE-SEL-SAE-SCE-TF3</v>
      </c>
      <c r="I2961" s="138" t="str">
        <f>MID(H2961,1,(LEN(H2961)-VLOOKUP(K2961,datos!$B$2:$C$12,2,0)))</f>
        <v>TCCN-PTE-SUE-SEL-SAE-SCE-TF3</v>
      </c>
      <c r="J2961" s="138" t="s">
        <v>1374</v>
      </c>
      <c r="K2961" s="140">
        <f>VLOOKUP(LEN(SUBSTITUTE(H2961,"-","")),datos!$A$1:$B$12,2,0)</f>
        <v>7</v>
      </c>
      <c r="L2961" s="138" t="s">
        <v>1375</v>
      </c>
      <c r="M2961" s="138" t="s">
        <v>0</v>
      </c>
    </row>
    <row r="2962" spans="1:13" x14ac:dyDescent="0.35">
      <c r="A2962" s="138" t="s">
        <v>487</v>
      </c>
      <c r="B2962" s="138" t="s">
        <v>3809</v>
      </c>
      <c r="C2962" s="138" t="s">
        <v>4136</v>
      </c>
      <c r="D2962" s="138" t="s">
        <v>3888</v>
      </c>
      <c r="E2962" s="138" t="s">
        <v>3889</v>
      </c>
      <c r="F2962" s="138" t="s">
        <v>3869</v>
      </c>
      <c r="G2962" s="138" t="s">
        <v>3910</v>
      </c>
      <c r="H2962" s="81" t="str">
        <f t="shared" si="196"/>
        <v>TCCN-PTE-SUE-SEL-SAE-SCE-TF4</v>
      </c>
      <c r="I2962" s="138" t="str">
        <f>MID(H2962,1,(LEN(H2962)-VLOOKUP(K2962,datos!$B$2:$C$12,2,0)))</f>
        <v>TCCN-PTE-SUE-SEL-SAE-SCE-TF4</v>
      </c>
      <c r="J2962" s="138" t="s">
        <v>1376</v>
      </c>
      <c r="K2962" s="140">
        <f>VLOOKUP(LEN(SUBSTITUTE(H2962,"-","")),datos!$A$1:$B$12,2,0)</f>
        <v>7</v>
      </c>
      <c r="L2962" s="138" t="s">
        <v>1377</v>
      </c>
      <c r="M2962" s="138" t="s">
        <v>0</v>
      </c>
    </row>
    <row r="2963" spans="1:13" x14ac:dyDescent="0.35">
      <c r="A2963" s="138" t="s">
        <v>487</v>
      </c>
      <c r="B2963" s="138" t="s">
        <v>3809</v>
      </c>
      <c r="C2963" s="138" t="s">
        <v>4136</v>
      </c>
      <c r="D2963" s="138" t="s">
        <v>3888</v>
      </c>
      <c r="E2963" s="138" t="s">
        <v>3889</v>
      </c>
      <c r="F2963" s="138" t="s">
        <v>3869</v>
      </c>
      <c r="G2963" s="138" t="s">
        <v>4146</v>
      </c>
      <c r="H2963" s="81" t="str">
        <f t="shared" si="196"/>
        <v>TCCN-PTE-SUE-SEL-SAE-SCE-PCI</v>
      </c>
      <c r="I2963" s="138" t="str">
        <f>MID(H2963,1,(LEN(H2963)-VLOOKUP(K2963,datos!$B$2:$C$12,2,0)))</f>
        <v>TCCN-PTE-SUE-SEL-SAE-SCE-PCI</v>
      </c>
      <c r="J2963" s="138" t="s">
        <v>1378</v>
      </c>
      <c r="K2963" s="140">
        <f>VLOOKUP(LEN(SUBSTITUTE(H2963,"-","")),datos!$A$1:$B$12,2,0)</f>
        <v>7</v>
      </c>
      <c r="L2963" s="138" t="s">
        <v>1379</v>
      </c>
      <c r="M2963" s="138" t="s">
        <v>0</v>
      </c>
    </row>
    <row r="2964" spans="1:13" x14ac:dyDescent="0.35">
      <c r="A2964" s="138" t="s">
        <v>487</v>
      </c>
      <c r="B2964" s="138" t="s">
        <v>3809</v>
      </c>
      <c r="C2964" s="138" t="s">
        <v>4136</v>
      </c>
      <c r="D2964" s="138" t="s">
        <v>3888</v>
      </c>
      <c r="E2964" s="138" t="s">
        <v>3889</v>
      </c>
      <c r="F2964" s="138" t="s">
        <v>3869</v>
      </c>
      <c r="G2964" s="138" t="s">
        <v>3897</v>
      </c>
      <c r="H2964" s="81" t="str">
        <f t="shared" si="196"/>
        <v>TCCN-PTE-SUE-SEL-SAE-SCE-GA1</v>
      </c>
      <c r="I2964" s="138" t="str">
        <f>MID(H2964,1,(LEN(H2964)-VLOOKUP(K2964,datos!$B$2:$C$12,2,0)))</f>
        <v>TCCN-PTE-SUE-SEL-SAE-SCE-GA1</v>
      </c>
      <c r="J2964" s="138" t="s">
        <v>1382</v>
      </c>
      <c r="K2964" s="140">
        <f>VLOOKUP(LEN(SUBSTITUTE(H2964,"-","")),datos!$A$1:$B$12,2,0)</f>
        <v>7</v>
      </c>
      <c r="L2964" s="138" t="s">
        <v>1383</v>
      </c>
      <c r="M2964" s="138" t="s">
        <v>0</v>
      </c>
    </row>
    <row r="2965" spans="1:13" x14ac:dyDescent="0.35">
      <c r="A2965" s="138" t="s">
        <v>487</v>
      </c>
      <c r="B2965" s="138" t="s">
        <v>3809</v>
      </c>
      <c r="C2965" s="138" t="s">
        <v>4136</v>
      </c>
      <c r="D2965" s="138" t="s">
        <v>3888</v>
      </c>
      <c r="E2965" s="138" t="s">
        <v>3889</v>
      </c>
      <c r="F2965" s="138" t="s">
        <v>3869</v>
      </c>
      <c r="G2965" s="138" t="s">
        <v>4147</v>
      </c>
      <c r="H2965" s="81" t="str">
        <f t="shared" si="196"/>
        <v>TCCN-PTE-SUE-SEL-SAE-SCE-MUR</v>
      </c>
      <c r="I2965" s="138" t="str">
        <f>MID(H2965,1,(LEN(H2965)-VLOOKUP(K2965,datos!$B$2:$C$12,2,0)))</f>
        <v>TCCN-PTE-SUE-SEL-SAE-SCE-MUR</v>
      </c>
      <c r="J2965" s="138" t="s">
        <v>1384</v>
      </c>
      <c r="K2965" s="140">
        <f>VLOOKUP(LEN(SUBSTITUTE(H2965,"-","")),datos!$A$1:$B$12,2,0)</f>
        <v>7</v>
      </c>
      <c r="L2965" s="138" t="s">
        <v>1385</v>
      </c>
      <c r="M2965" s="138" t="s">
        <v>0</v>
      </c>
    </row>
    <row r="2966" spans="1:13" x14ac:dyDescent="0.35">
      <c r="A2966" s="138" t="s">
        <v>487</v>
      </c>
      <c r="B2966" s="138" t="s">
        <v>3809</v>
      </c>
      <c r="C2966" s="138" t="s">
        <v>4136</v>
      </c>
      <c r="D2966" s="138" t="s">
        <v>3888</v>
      </c>
      <c r="E2966" s="138" t="s">
        <v>3889</v>
      </c>
      <c r="F2966" s="138" t="s">
        <v>3869</v>
      </c>
      <c r="G2966" s="138" t="s">
        <v>8057</v>
      </c>
      <c r="H2966" s="81" t="str">
        <f t="shared" si="196"/>
        <v>TCCN-PTE-SUE-SEL-SAE-SCE-CN2</v>
      </c>
      <c r="I2966" s="138" t="str">
        <f>MID(H2966,1,(LEN(H2966)-VLOOKUP(K2966,datos!$B$2:$C$12,2,0)))</f>
        <v>TCCN-PTE-SUE-SEL-SAE-SCE-CN2</v>
      </c>
      <c r="J2966" s="138" t="s">
        <v>1389</v>
      </c>
      <c r="K2966" s="140">
        <f>VLOOKUP(LEN(SUBSTITUTE(H2966,"-","")),datos!$A$1:$B$12,2,0)</f>
        <v>7</v>
      </c>
      <c r="L2966" s="138" t="s">
        <v>1390</v>
      </c>
      <c r="M2966" s="138" t="s">
        <v>0</v>
      </c>
    </row>
    <row r="2967" spans="1:13" x14ac:dyDescent="0.35">
      <c r="A2967" s="138" t="s">
        <v>487</v>
      </c>
      <c r="B2967" s="138" t="s">
        <v>3809</v>
      </c>
      <c r="C2967" s="138" t="s">
        <v>4136</v>
      </c>
      <c r="D2967" s="138" t="s">
        <v>3888</v>
      </c>
      <c r="E2967" s="138" t="s">
        <v>3889</v>
      </c>
      <c r="F2967" s="138" t="s">
        <v>3869</v>
      </c>
      <c r="G2967" s="138" t="s">
        <v>8002</v>
      </c>
      <c r="H2967" s="81" t="str">
        <f t="shared" si="196"/>
        <v>TCCN-PTE-SUE-SEL-SAE-SCE-AD1</v>
      </c>
      <c r="I2967" s="138" t="str">
        <f>MID(H2967,1,(LEN(H2967)-VLOOKUP(K2967,datos!$B$2:$C$12,2,0)))</f>
        <v>TCCN-PTE-SUE-SEL-SAE-SCE-AD1</v>
      </c>
      <c r="J2967" s="138" t="s">
        <v>1391</v>
      </c>
      <c r="K2967" s="140">
        <f>VLOOKUP(LEN(SUBSTITUTE(H2967,"-","")),datos!$A$1:$B$12,2,0)</f>
        <v>7</v>
      </c>
      <c r="L2967" s="138" t="s">
        <v>1392</v>
      </c>
      <c r="M2967" s="138" t="s">
        <v>0</v>
      </c>
    </row>
    <row r="2968" spans="1:13" x14ac:dyDescent="0.35">
      <c r="A2968" s="138" t="s">
        <v>487</v>
      </c>
      <c r="B2968" s="138" t="s">
        <v>3809</v>
      </c>
      <c r="C2968" s="138" t="s">
        <v>4136</v>
      </c>
      <c r="D2968" s="138" t="s">
        <v>3888</v>
      </c>
      <c r="E2968" s="138" t="s">
        <v>3889</v>
      </c>
      <c r="F2968" s="138" t="s">
        <v>3869</v>
      </c>
      <c r="G2968" s="138" t="s">
        <v>8003</v>
      </c>
      <c r="H2968" s="81" t="str">
        <f t="shared" si="196"/>
        <v>TCCN-PTE-SUE-SEL-SAE-SCE-AD2</v>
      </c>
      <c r="I2968" s="138" t="str">
        <f>MID(H2968,1,(LEN(H2968)-VLOOKUP(K2968,datos!$B$2:$C$12,2,0)))</f>
        <v>TCCN-PTE-SUE-SEL-SAE-SCE-AD2</v>
      </c>
      <c r="J2968" s="138" t="s">
        <v>1391</v>
      </c>
      <c r="K2968" s="140">
        <f>VLOOKUP(LEN(SUBSTITUTE(H2968,"-","")),datos!$A$1:$B$12,2,0)</f>
        <v>7</v>
      </c>
      <c r="L2968" s="138" t="s">
        <v>1393</v>
      </c>
      <c r="M2968" s="138" t="s">
        <v>0</v>
      </c>
    </row>
    <row r="2969" spans="1:13" x14ac:dyDescent="0.35">
      <c r="A2969" s="138" t="s">
        <v>487</v>
      </c>
      <c r="B2969" s="138" t="s">
        <v>3809</v>
      </c>
      <c r="C2969" s="138" t="s">
        <v>4136</v>
      </c>
      <c r="D2969" s="138" t="s">
        <v>3888</v>
      </c>
      <c r="E2969" s="138" t="s">
        <v>3889</v>
      </c>
      <c r="F2969" s="138" t="s">
        <v>3869</v>
      </c>
      <c r="G2969" s="138" t="s">
        <v>4148</v>
      </c>
      <c r="H2969" s="81" t="str">
        <f t="shared" si="196"/>
        <v>TCCN-PTE-SUE-SEL-SAE-SCE-EPZ</v>
      </c>
      <c r="I2969" s="138" t="str">
        <f>MID(H2969,1,(LEN(H2969)-VLOOKUP(K2969,datos!$B$2:$C$12,2,0)))</f>
        <v>TCCN-PTE-SUE-SEL-SAE-SCE-EPZ</v>
      </c>
      <c r="J2969" s="138" t="s">
        <v>1394</v>
      </c>
      <c r="K2969" s="140">
        <f>VLOOKUP(LEN(SUBSTITUTE(H2969,"-","")),datos!$A$1:$B$12,2,0)</f>
        <v>7</v>
      </c>
      <c r="L2969" s="138" t="s">
        <v>1395</v>
      </c>
      <c r="M2969" s="138" t="s">
        <v>0</v>
      </c>
    </row>
    <row r="2970" spans="1:13" x14ac:dyDescent="0.35">
      <c r="A2970" s="138" t="s">
        <v>487</v>
      </c>
      <c r="B2970" s="138" t="s">
        <v>3809</v>
      </c>
      <c r="C2970" s="138" t="s">
        <v>4136</v>
      </c>
      <c r="D2970" s="138" t="s">
        <v>3888</v>
      </c>
      <c r="E2970" s="138" t="s">
        <v>3889</v>
      </c>
      <c r="F2970" s="138" t="s">
        <v>3869</v>
      </c>
      <c r="G2970" s="138" t="s">
        <v>4149</v>
      </c>
      <c r="H2970" s="81" t="str">
        <f t="shared" ref="H2970:H3024" si="200">CONCATENATE(A2970,"-",B2970,"-",C2970,"-",D2970,"-",E2970,"-",F2970,"-",G2970)</f>
        <v>TCCN-PTE-SUE-SEL-SAE-SCE-UP1</v>
      </c>
      <c r="I2970" s="138" t="str">
        <f>MID(H2970,1,(LEN(H2970)-VLOOKUP(K2970,datos!$B$2:$C$12,2,0)))</f>
        <v>TCCN-PTE-SUE-SEL-SAE-SCE-UP1</v>
      </c>
      <c r="J2970" s="138" t="s">
        <v>6895</v>
      </c>
      <c r="K2970" s="140">
        <f>VLOOKUP(LEN(SUBSTITUTE(H2970,"-","")),datos!$A$1:$B$12,2,0)</f>
        <v>7</v>
      </c>
      <c r="L2970" s="138" t="s">
        <v>6896</v>
      </c>
      <c r="M2970" s="138" t="s">
        <v>0</v>
      </c>
    </row>
    <row r="2971" spans="1:13" x14ac:dyDescent="0.35">
      <c r="A2971" s="138" t="s">
        <v>487</v>
      </c>
      <c r="B2971" s="138" t="s">
        <v>3809</v>
      </c>
      <c r="C2971" s="138" t="s">
        <v>4136</v>
      </c>
      <c r="D2971" s="138" t="s">
        <v>3888</v>
      </c>
      <c r="E2971" s="138" t="s">
        <v>3889</v>
      </c>
      <c r="F2971" s="138" t="s">
        <v>3869</v>
      </c>
      <c r="G2971" s="138" t="s">
        <v>4150</v>
      </c>
      <c r="H2971" s="81" t="str">
        <f t="shared" si="200"/>
        <v>TCCN-PTE-SUE-SEL-SAE-SCE-UP2</v>
      </c>
      <c r="I2971" s="138" t="str">
        <f>MID(H2971,1,(LEN(H2971)-VLOOKUP(K2971,datos!$B$2:$C$12,2,0)))</f>
        <v>TCCN-PTE-SUE-SEL-SAE-SCE-UP2</v>
      </c>
      <c r="J2971" s="138" t="s">
        <v>6895</v>
      </c>
      <c r="K2971" s="140">
        <f>VLOOKUP(LEN(SUBSTITUTE(H2971,"-","")),datos!$A$1:$B$12,2,0)</f>
        <v>7</v>
      </c>
      <c r="L2971" s="138" t="s">
        <v>1397</v>
      </c>
      <c r="M2971" s="138" t="s">
        <v>0</v>
      </c>
    </row>
    <row r="2972" spans="1:13" x14ac:dyDescent="0.35">
      <c r="A2972" s="138" t="s">
        <v>487</v>
      </c>
      <c r="B2972" s="138" t="s">
        <v>3809</v>
      </c>
      <c r="C2972" s="138" t="s">
        <v>4136</v>
      </c>
      <c r="D2972" s="138" t="s">
        <v>3888</v>
      </c>
      <c r="E2972" s="138" t="s">
        <v>3889</v>
      </c>
      <c r="F2972" s="138" t="s">
        <v>3869</v>
      </c>
      <c r="G2972" s="138" t="s">
        <v>6912</v>
      </c>
      <c r="H2972" s="81" t="str">
        <f t="shared" si="200"/>
        <v>TCCN-PTE-SUE-SEL-SAE-SCE-TIN</v>
      </c>
      <c r="I2972" s="138" t="str">
        <f>MID(H2972,1,(LEN(H2972)-VLOOKUP(K2972,datos!$B$2:$C$12,2,0)))</f>
        <v>TCCN-PTE-SUE-SEL-SAE-SCE-TIN</v>
      </c>
      <c r="J2972" s="138" t="s">
        <v>1498</v>
      </c>
      <c r="K2972" s="140">
        <f>VLOOKUP(LEN(SUBSTITUTE(H2972,"-","")),datos!$A$1:$B$12,2,0)</f>
        <v>7</v>
      </c>
      <c r="L2972" s="138" t="s">
        <v>1398</v>
      </c>
      <c r="M2972" s="138" t="s">
        <v>0</v>
      </c>
    </row>
    <row r="2973" spans="1:13" x14ac:dyDescent="0.35">
      <c r="A2973" s="138" t="s">
        <v>487</v>
      </c>
      <c r="B2973" s="138" t="s">
        <v>3809</v>
      </c>
      <c r="C2973" s="138" t="s">
        <v>4136</v>
      </c>
      <c r="D2973" s="138" t="s">
        <v>3888</v>
      </c>
      <c r="E2973" s="138" t="s">
        <v>3889</v>
      </c>
      <c r="F2973" s="138" t="s">
        <v>3869</v>
      </c>
      <c r="G2973" s="138" t="s">
        <v>3905</v>
      </c>
      <c r="H2973" s="81" t="str">
        <f t="shared" si="200"/>
        <v>TCCN-PTE-SUE-SEL-SAE-SCE-GA2</v>
      </c>
      <c r="I2973" s="138" t="str">
        <f>MID(H2973,1,(LEN(H2973)-VLOOKUP(K2973,datos!$B$2:$C$12,2,0)))</f>
        <v>TCCN-PTE-SUE-SEL-SAE-SCE-GA2</v>
      </c>
      <c r="J2973" s="138" t="s">
        <v>1399</v>
      </c>
      <c r="K2973" s="140">
        <f>VLOOKUP(LEN(SUBSTITUTE(H2973,"-","")),datos!$A$1:$B$12,2,0)</f>
        <v>7</v>
      </c>
      <c r="L2973" s="138" t="s">
        <v>1400</v>
      </c>
      <c r="M2973" s="138" t="s">
        <v>0</v>
      </c>
    </row>
    <row r="2974" spans="1:13" x14ac:dyDescent="0.35">
      <c r="A2974" s="138" t="s">
        <v>487</v>
      </c>
      <c r="B2974" s="138" t="s">
        <v>3809</v>
      </c>
      <c r="C2974" s="138" t="s">
        <v>4136</v>
      </c>
      <c r="D2974" s="138" t="s">
        <v>3888</v>
      </c>
      <c r="E2974" s="138" t="s">
        <v>3889</v>
      </c>
      <c r="F2974" s="138" t="s">
        <v>3869</v>
      </c>
      <c r="G2974" s="138" t="s">
        <v>6914</v>
      </c>
      <c r="H2974" s="81" t="str">
        <f t="shared" si="200"/>
        <v>TCCN-PTE-SUE-SEL-SAE-SCE-SWP</v>
      </c>
      <c r="I2974" s="138" t="str">
        <f>MID(H2974,1,(LEN(H2974)-VLOOKUP(K2974,datos!$B$2:$C$12,2,0)))</f>
        <v>TCCN-PTE-SUE-SEL-SAE-SCE-SWP</v>
      </c>
      <c r="J2974" s="138" t="s">
        <v>1401</v>
      </c>
      <c r="K2974" s="140">
        <f>VLOOKUP(LEN(SUBSTITUTE(H2974,"-","")),datos!$A$1:$B$12,2,0)</f>
        <v>7</v>
      </c>
      <c r="L2974" s="138" t="s">
        <v>1402</v>
      </c>
      <c r="M2974" s="138" t="s">
        <v>0</v>
      </c>
    </row>
    <row r="2975" spans="1:13" x14ac:dyDescent="0.35">
      <c r="A2975" s="138" t="s">
        <v>487</v>
      </c>
      <c r="B2975" s="138" t="s">
        <v>3809</v>
      </c>
      <c r="C2975" s="138" t="s">
        <v>4136</v>
      </c>
      <c r="D2975" s="138" t="s">
        <v>3888</v>
      </c>
      <c r="E2975" s="138" t="s">
        <v>3889</v>
      </c>
      <c r="F2975" s="138" t="s">
        <v>3869</v>
      </c>
      <c r="G2975" s="138" t="s">
        <v>4151</v>
      </c>
      <c r="H2975" s="81" t="str">
        <f t="shared" si="200"/>
        <v>TCCN-PTE-SUE-SEL-SAE-SCE-CMR</v>
      </c>
      <c r="I2975" s="138" t="str">
        <f>MID(H2975,1,(LEN(H2975)-VLOOKUP(K2975,datos!$B$2:$C$12,2,0)))</f>
        <v>TCCN-PTE-SUE-SEL-SAE-SCE-CMR</v>
      </c>
      <c r="J2975" s="138" t="s">
        <v>1403</v>
      </c>
      <c r="K2975" s="140">
        <f>VLOOKUP(LEN(SUBSTITUTE(H2975,"-","")),datos!$A$1:$B$12,2,0)</f>
        <v>7</v>
      </c>
      <c r="L2975" s="138" t="s">
        <v>1404</v>
      </c>
      <c r="M2975" s="138" t="s">
        <v>0</v>
      </c>
    </row>
    <row r="2976" spans="1:13" x14ac:dyDescent="0.35">
      <c r="A2976" s="138" t="s">
        <v>487</v>
      </c>
      <c r="B2976" s="138" t="s">
        <v>3809</v>
      </c>
      <c r="C2976" s="138" t="s">
        <v>4136</v>
      </c>
      <c r="D2976" s="138" t="s">
        <v>3888</v>
      </c>
      <c r="E2976" s="138" t="s">
        <v>3889</v>
      </c>
      <c r="F2976" s="138" t="s">
        <v>3869</v>
      </c>
      <c r="G2976" s="138" t="s">
        <v>3982</v>
      </c>
      <c r="H2976" s="81" t="str">
        <f t="shared" si="200"/>
        <v>TCCN-PTE-SUE-SEL-SAE-SCE-TF5</v>
      </c>
      <c r="I2976" s="138" t="str">
        <f>MID(H2976,1,(LEN(H2976)-VLOOKUP(K2976,datos!$B$2:$C$12,2,0)))</f>
        <v>TCCN-PTE-SUE-SEL-SAE-SCE-TF5</v>
      </c>
      <c r="J2976" s="138" t="s">
        <v>1499</v>
      </c>
      <c r="K2976" s="140">
        <f>VLOOKUP(LEN(SUBSTITUTE(H2976,"-","")),datos!$A$1:$B$12,2,0)</f>
        <v>7</v>
      </c>
      <c r="L2976" s="138" t="s">
        <v>1405</v>
      </c>
      <c r="M2976" s="138" t="s">
        <v>0</v>
      </c>
    </row>
    <row r="2977" spans="1:13" x14ac:dyDescent="0.35">
      <c r="A2977" s="138" t="s">
        <v>487</v>
      </c>
      <c r="B2977" s="138" t="s">
        <v>3809</v>
      </c>
      <c r="C2977" s="138" t="s">
        <v>4136</v>
      </c>
      <c r="D2977" s="138" t="s">
        <v>3888</v>
      </c>
      <c r="E2977" s="138" t="s">
        <v>3889</v>
      </c>
      <c r="F2977" s="138" t="s">
        <v>3869</v>
      </c>
      <c r="G2977" s="138" t="s">
        <v>3902</v>
      </c>
      <c r="H2977" s="81" t="str">
        <f t="shared" si="200"/>
        <v>TCCN-PTE-SUE-SEL-SAE-SCE-SEC</v>
      </c>
      <c r="I2977" s="138" t="str">
        <f>MID(H2977,1,(LEN(H2977)-VLOOKUP(K2977,datos!$B$2:$C$12,2,0)))</f>
        <v>TCCN-PTE-SUE-SEL-SAE-SCE-SEC</v>
      </c>
      <c r="J2977" s="138" t="s">
        <v>1500</v>
      </c>
      <c r="K2977" s="140">
        <f>VLOOKUP(LEN(SUBSTITUTE(H2977,"-","")),datos!$A$1:$B$12,2,0)</f>
        <v>7</v>
      </c>
      <c r="L2977" s="138" t="s">
        <v>1406</v>
      </c>
      <c r="M2977" s="138" t="s">
        <v>0</v>
      </c>
    </row>
    <row r="2978" spans="1:13" x14ac:dyDescent="0.35">
      <c r="A2978" s="138" t="s">
        <v>487</v>
      </c>
      <c r="B2978" s="138" t="s">
        <v>3809</v>
      </c>
      <c r="C2978" s="138" t="s">
        <v>4136</v>
      </c>
      <c r="D2978" s="138" t="s">
        <v>3888</v>
      </c>
      <c r="E2978" s="138" t="s">
        <v>3889</v>
      </c>
      <c r="F2978" s="138" t="s">
        <v>3869</v>
      </c>
      <c r="G2978" s="138" t="s">
        <v>3972</v>
      </c>
      <c r="H2978" s="81" t="str">
        <f t="shared" si="200"/>
        <v>TCCN-PTE-SUE-SEL-SAE-SCE-RTU</v>
      </c>
      <c r="I2978" s="138" t="str">
        <f>MID(H2978,1,(LEN(H2978)-VLOOKUP(K2978,datos!$B$2:$C$12,2,0)))</f>
        <v>TCCN-PTE-SUE-SEL-SAE-SCE-RTU</v>
      </c>
      <c r="J2978" s="138" t="s">
        <v>1407</v>
      </c>
      <c r="K2978" s="140">
        <f>VLOOKUP(LEN(SUBSTITUTE(H2978,"-","")),datos!$A$1:$B$12,2,0)</f>
        <v>7</v>
      </c>
      <c r="L2978" s="138" t="s">
        <v>1408</v>
      </c>
      <c r="M2978" s="138" t="s">
        <v>0</v>
      </c>
    </row>
    <row r="2979" spans="1:13" x14ac:dyDescent="0.35">
      <c r="A2979" s="138" t="s">
        <v>487</v>
      </c>
      <c r="B2979" s="138" t="s">
        <v>3809</v>
      </c>
      <c r="C2979" s="138" t="s">
        <v>4136</v>
      </c>
      <c r="D2979" s="138" t="s">
        <v>3888</v>
      </c>
      <c r="E2979" s="138" t="s">
        <v>3889</v>
      </c>
      <c r="F2979" s="138" t="s">
        <v>3869</v>
      </c>
      <c r="G2979" s="138" t="s">
        <v>4152</v>
      </c>
      <c r="H2979" s="81" t="str">
        <f t="shared" si="200"/>
        <v>TCCN-PTE-SUE-SEL-SAE-SCE-PT1</v>
      </c>
      <c r="I2979" s="138" t="str">
        <f>MID(H2979,1,(LEN(H2979)-VLOOKUP(K2979,datos!$B$2:$C$12,2,0)))</f>
        <v>TCCN-PTE-SUE-SEL-SAE-SCE-PT1</v>
      </c>
      <c r="J2979" s="138" t="s">
        <v>1501</v>
      </c>
      <c r="K2979" s="140">
        <f>VLOOKUP(LEN(SUBSTITUTE(H2979,"-","")),datos!$A$1:$B$12,2,0)</f>
        <v>7</v>
      </c>
      <c r="L2979" s="138" t="s">
        <v>1409</v>
      </c>
      <c r="M2979" s="138" t="s">
        <v>0</v>
      </c>
    </row>
    <row r="2980" spans="1:13" x14ac:dyDescent="0.35">
      <c r="A2980" s="138" t="s">
        <v>487</v>
      </c>
      <c r="B2980" s="138" t="s">
        <v>3809</v>
      </c>
      <c r="C2980" s="138" t="s">
        <v>4136</v>
      </c>
      <c r="D2980" s="138" t="s">
        <v>3888</v>
      </c>
      <c r="E2980" s="138" t="s">
        <v>3889</v>
      </c>
      <c r="F2980" s="138" t="s">
        <v>3869</v>
      </c>
      <c r="G2980" s="138" t="s">
        <v>4153</v>
      </c>
      <c r="H2980" s="81" t="str">
        <f t="shared" si="200"/>
        <v>TCCN-PTE-SUE-SEL-SAE-SCE-PT2</v>
      </c>
      <c r="I2980" s="138" t="str">
        <f>MID(H2980,1,(LEN(H2980)-VLOOKUP(K2980,datos!$B$2:$C$12,2,0)))</f>
        <v>TCCN-PTE-SUE-SEL-SAE-SCE-PT2</v>
      </c>
      <c r="J2980" s="138" t="s">
        <v>1502</v>
      </c>
      <c r="K2980" s="140">
        <f>VLOOKUP(LEN(SUBSTITUTE(H2980,"-","")),datos!$A$1:$B$12,2,0)</f>
        <v>7</v>
      </c>
      <c r="L2980" s="138" t="s">
        <v>1410</v>
      </c>
      <c r="M2980" s="138" t="s">
        <v>0</v>
      </c>
    </row>
    <row r="2981" spans="1:13" x14ac:dyDescent="0.35">
      <c r="A2981" s="137" t="s">
        <v>487</v>
      </c>
      <c r="B2981" s="137" t="s">
        <v>3809</v>
      </c>
      <c r="C2981" s="137" t="s">
        <v>4136</v>
      </c>
      <c r="D2981" s="137" t="s">
        <v>3888</v>
      </c>
      <c r="E2981" s="137" t="s">
        <v>3889</v>
      </c>
      <c r="F2981" s="137" t="s">
        <v>8122</v>
      </c>
      <c r="G2981" s="137"/>
      <c r="H2981" s="82" t="str">
        <f t="shared" si="200"/>
        <v>TCCN-PTE-SUE-SEL-SAE-SIN-</v>
      </c>
      <c r="I2981" s="137" t="str">
        <f>MID(H2981,1,(LEN(H2981)-VLOOKUP(K2981,datos!$B$2:$C$12,2,0)))</f>
        <v>TCCN-PTE-SUE-SEL-SAE-SIN</v>
      </c>
      <c r="J2981" s="137" t="s">
        <v>6727</v>
      </c>
      <c r="K2981" s="139">
        <f>VLOOKUP(LEN(SUBSTITUTE(H2981,"-","")),datos!$A$1:$B$12,2,0)</f>
        <v>6</v>
      </c>
      <c r="L2981" s="137"/>
      <c r="M2981" s="137" t="s">
        <v>0</v>
      </c>
    </row>
    <row r="2982" spans="1:13" x14ac:dyDescent="0.35">
      <c r="A2982" s="138" t="s">
        <v>487</v>
      </c>
      <c r="B2982" s="138" t="s">
        <v>3809</v>
      </c>
      <c r="C2982" s="138" t="s">
        <v>4136</v>
      </c>
      <c r="D2982" s="138" t="s">
        <v>3888</v>
      </c>
      <c r="E2982" s="138" t="s">
        <v>3889</v>
      </c>
      <c r="F2982" s="138" t="s">
        <v>8122</v>
      </c>
      <c r="G2982" s="138" t="s">
        <v>3898</v>
      </c>
      <c r="H2982" s="81" t="str">
        <f t="shared" si="200"/>
        <v>TCCN-PTE-SUE-SEL-SAE-SIN-EX1</v>
      </c>
      <c r="I2982" s="138" t="str">
        <f>MID(H2982,1,(LEN(H2982)-VLOOKUP(K2982,datos!$B$2:$C$12,2,0)))</f>
        <v>TCCN-PTE-SUE-SEL-SAE-SIN-EX1</v>
      </c>
      <c r="J2982" s="138" t="s">
        <v>6907</v>
      </c>
      <c r="K2982" s="140">
        <f>VLOOKUP(LEN(SUBSTITUTE(H2982,"-","")),datos!$A$1:$B$12,2,0)</f>
        <v>7</v>
      </c>
      <c r="L2982" s="138" t="s">
        <v>1387</v>
      </c>
      <c r="M2982" s="138" t="s">
        <v>0</v>
      </c>
    </row>
    <row r="2983" spans="1:13" x14ac:dyDescent="0.35">
      <c r="A2983" s="138" t="s">
        <v>487</v>
      </c>
      <c r="B2983" s="138" t="s">
        <v>3809</v>
      </c>
      <c r="C2983" s="138" t="s">
        <v>4136</v>
      </c>
      <c r="D2983" s="138" t="s">
        <v>3888</v>
      </c>
      <c r="E2983" s="138" t="s">
        <v>3889</v>
      </c>
      <c r="F2983" s="138" t="s">
        <v>8122</v>
      </c>
      <c r="G2983" s="138" t="s">
        <v>3899</v>
      </c>
      <c r="H2983" s="81" t="str">
        <f t="shared" si="200"/>
        <v>TCCN-PTE-SUE-SEL-SAE-SIN-EX2</v>
      </c>
      <c r="I2983" s="138" t="str">
        <f>MID(H2983,1,(LEN(H2983)-VLOOKUP(K2983,datos!$B$2:$C$12,2,0)))</f>
        <v>TCCN-PTE-SUE-SEL-SAE-SIN-EX2</v>
      </c>
      <c r="J2983" s="138" t="s">
        <v>6908</v>
      </c>
      <c r="K2983" s="140">
        <f>VLOOKUP(LEN(SUBSTITUTE(H2983,"-","")),datos!$A$1:$B$12,2,0)</f>
        <v>7</v>
      </c>
      <c r="L2983" s="138" t="s">
        <v>1388</v>
      </c>
      <c r="M2983" s="138" t="s">
        <v>0</v>
      </c>
    </row>
    <row r="2984" spans="1:13" customFormat="1" ht="14.5" x14ac:dyDescent="0.35">
      <c r="A2984" s="84" t="s">
        <v>487</v>
      </c>
      <c r="B2984" s="84" t="s">
        <v>3809</v>
      </c>
      <c r="C2984" s="84" t="s">
        <v>4136</v>
      </c>
      <c r="D2984" s="84" t="s">
        <v>5289</v>
      </c>
      <c r="E2984" s="84"/>
      <c r="F2984" s="84"/>
      <c r="G2984" s="84"/>
      <c r="H2984" s="84" t="str">
        <f t="shared" si="200"/>
        <v>TCCN-PTE-SUE-SUM---</v>
      </c>
      <c r="I2984" s="84" t="str">
        <f>MID(H2984,1,(LEN(H2984)-VLOOKUP(K2984,datos!$B$2:$C$12,2,0)))</f>
        <v>TCCN-PTE-SUE-SUM</v>
      </c>
      <c r="J2984" s="84" t="s">
        <v>4346</v>
      </c>
      <c r="K2984" s="119">
        <f>VLOOKUP(LEN(SUBSTITUTE(H2984,"-","")),datos!$A$1:$B$12,2,0)</f>
        <v>4</v>
      </c>
      <c r="L2984" s="84"/>
      <c r="M2984" s="84" t="s">
        <v>0</v>
      </c>
    </row>
    <row r="2985" spans="1:13" customFormat="1" ht="14.5" x14ac:dyDescent="0.35">
      <c r="A2985" s="127" t="s">
        <v>487</v>
      </c>
      <c r="B2985" s="127" t="s">
        <v>3809</v>
      </c>
      <c r="C2985" s="127" t="s">
        <v>5281</v>
      </c>
      <c r="D2985" s="127"/>
      <c r="E2985" s="127"/>
      <c r="F2985" s="127"/>
      <c r="G2985" s="127"/>
      <c r="H2985" s="86" t="str">
        <f t="shared" si="200"/>
        <v>TCCN-PTE-CGI----</v>
      </c>
      <c r="I2985" s="127" t="str">
        <f>MID(H2985,1,(LEN(H2985)-VLOOKUP(K2985,datos!$B$2:$C$12,2,0)))</f>
        <v>TCCN-PTE-CGI</v>
      </c>
      <c r="J2985" s="127" t="s">
        <v>4476</v>
      </c>
      <c r="K2985" s="128">
        <f>VLOOKUP(LEN(SUBSTITUTE(H2985,"-","")),datos!$A$1:$B$12,2,0)</f>
        <v>3</v>
      </c>
      <c r="L2985" s="127"/>
      <c r="M2985" s="127" t="s">
        <v>0</v>
      </c>
    </row>
    <row r="2986" spans="1:13" customFormat="1" ht="14.5" x14ac:dyDescent="0.35">
      <c r="A2986" s="84" t="s">
        <v>487</v>
      </c>
      <c r="B2986" s="84" t="s">
        <v>3809</v>
      </c>
      <c r="C2986" s="84" t="s">
        <v>5281</v>
      </c>
      <c r="D2986" s="84" t="s">
        <v>5286</v>
      </c>
      <c r="E2986" s="84"/>
      <c r="F2986" s="84"/>
      <c r="G2986" s="84"/>
      <c r="H2986" s="84" t="str">
        <f t="shared" si="200"/>
        <v>TCCN-PTE-CGI-CYC---</v>
      </c>
      <c r="I2986" s="84" t="str">
        <f>MID(H2986,1,(LEN(H2986)-VLOOKUP(K2986,datos!$B$2:$C$12,2,0)))</f>
        <v>TCCN-PTE-CGI-CYC</v>
      </c>
      <c r="J2986" s="84" t="s">
        <v>4334</v>
      </c>
      <c r="K2986" s="119">
        <f>VLOOKUP(LEN(SUBSTITUTE(H2986,"-","")),datos!$A$1:$B$12,2,0)</f>
        <v>4</v>
      </c>
      <c r="L2986" s="84"/>
      <c r="M2986" s="84" t="s">
        <v>0</v>
      </c>
    </row>
    <row r="2987" spans="1:13" customFormat="1" ht="14.5" x14ac:dyDescent="0.35">
      <c r="A2987" s="129" t="s">
        <v>487</v>
      </c>
      <c r="B2987" s="129" t="s">
        <v>3809</v>
      </c>
      <c r="C2987" s="129" t="s">
        <v>5281</v>
      </c>
      <c r="D2987" s="129" t="s">
        <v>5286</v>
      </c>
      <c r="E2987" s="129" t="s">
        <v>4333</v>
      </c>
      <c r="F2987" s="129"/>
      <c r="G2987" s="129"/>
      <c r="H2987" s="83" t="str">
        <f t="shared" ref="H2987:H2990" si="201">CONCATENATE(A2987,"-",B2987,"-",C2987,"-",D2987,"-",E2987,"-",F2987,"-",G2987)</f>
        <v>TCCN-PTE-CGI-CYC-SCO--</v>
      </c>
      <c r="I2987" s="129" t="str">
        <f>MID(H2987,1,(LEN(H2987)-VLOOKUP(K2987,datos!$B$2:$C$12,2,0)))</f>
        <v>TCCN-PTE-CGI-CYC-SCO</v>
      </c>
      <c r="J2987" s="129" t="s">
        <v>7846</v>
      </c>
      <c r="K2987" s="130">
        <f>VLOOKUP(LEN(SUBSTITUTE(H2987,"-","")),datos!$A$1:$B$12,2,0)</f>
        <v>5</v>
      </c>
      <c r="L2987" s="133" t="s">
        <v>7857</v>
      </c>
      <c r="M2987" s="129" t="s">
        <v>0</v>
      </c>
    </row>
    <row r="2988" spans="1:13" x14ac:dyDescent="0.35">
      <c r="A2988" s="137" t="s">
        <v>487</v>
      </c>
      <c r="B2988" s="137" t="s">
        <v>3809</v>
      </c>
      <c r="C2988" s="137" t="s">
        <v>5281</v>
      </c>
      <c r="D2988" s="137" t="s">
        <v>5286</v>
      </c>
      <c r="E2988" s="137" t="s">
        <v>4333</v>
      </c>
      <c r="F2988" s="137" t="s">
        <v>7849</v>
      </c>
      <c r="G2988" s="137"/>
      <c r="H2988" s="82" t="str">
        <f t="shared" si="201"/>
        <v>TCCN-PTE-CGI-CYC-SCO-RCO-</v>
      </c>
      <c r="I2988" s="137" t="str">
        <f>MID(H2988,1,(LEN(H2988)-VLOOKUP(K2988,datos!$B$2:$C$12,2,0)))</f>
        <v>TCCN-PTE-CGI-CYC-SCO-RCO</v>
      </c>
      <c r="J2988" s="137" t="s">
        <v>7852</v>
      </c>
      <c r="K2988" s="139">
        <f>VLOOKUP(LEN(SUBSTITUTE(H2988,"-","")),datos!$A$1:$B$12,2,0)</f>
        <v>6</v>
      </c>
      <c r="L2988" s="137"/>
      <c r="M2988" s="137" t="s">
        <v>0</v>
      </c>
    </row>
    <row r="2989" spans="1:13" x14ac:dyDescent="0.35">
      <c r="A2989" s="138" t="s">
        <v>487</v>
      </c>
      <c r="B2989" s="138" t="s">
        <v>3809</v>
      </c>
      <c r="C2989" s="138" t="s">
        <v>5281</v>
      </c>
      <c r="D2989" s="138" t="s">
        <v>5286</v>
      </c>
      <c r="E2989" s="138" t="s">
        <v>4333</v>
      </c>
      <c r="F2989" s="138" t="s">
        <v>7849</v>
      </c>
      <c r="G2989" s="138" t="s">
        <v>7847</v>
      </c>
      <c r="H2989" s="81" t="str">
        <f t="shared" si="201"/>
        <v>TCCN-PTE-CGI-CYC-SCO-RCO-EO1</v>
      </c>
      <c r="I2989" s="138" t="str">
        <f>MID(H2989,1,(LEN(H2989)-VLOOKUP(K2989,datos!$B$2:$C$12,2,0)))</f>
        <v>TCCN-PTE-CGI-CYC-SCO-RCO-EO1</v>
      </c>
      <c r="J2989" s="138" t="s">
        <v>7853</v>
      </c>
      <c r="K2989" s="140">
        <f>VLOOKUP(LEN(SUBSTITUTE(H2989,"-","")),datos!$A$1:$B$12,2,0)</f>
        <v>7</v>
      </c>
      <c r="L2989" s="138" t="s">
        <v>7858</v>
      </c>
      <c r="M2989" s="138" t="s">
        <v>0</v>
      </c>
    </row>
    <row r="2990" spans="1:13" x14ac:dyDescent="0.35">
      <c r="A2990" s="138" t="s">
        <v>487</v>
      </c>
      <c r="B2990" s="138" t="s">
        <v>3809</v>
      </c>
      <c r="C2990" s="138" t="s">
        <v>5281</v>
      </c>
      <c r="D2990" s="138" t="s">
        <v>5286</v>
      </c>
      <c r="E2990" s="138" t="s">
        <v>4333</v>
      </c>
      <c r="F2990" s="138" t="s">
        <v>7849</v>
      </c>
      <c r="G2990" s="138" t="s">
        <v>7848</v>
      </c>
      <c r="H2990" s="81" t="str">
        <f t="shared" si="201"/>
        <v>TCCN-PTE-CGI-CYC-SCO-RCO-EO2</v>
      </c>
      <c r="I2990" s="138" t="str">
        <f>MID(H2990,1,(LEN(H2990)-VLOOKUP(K2990,datos!$B$2:$C$12,2,0)))</f>
        <v>TCCN-PTE-CGI-CYC-SCO-RCO-EO2</v>
      </c>
      <c r="J2990" s="138" t="s">
        <v>7854</v>
      </c>
      <c r="K2990" s="140">
        <f>VLOOKUP(LEN(SUBSTITUTE(H2990,"-","")),datos!$A$1:$B$12,2,0)</f>
        <v>7</v>
      </c>
      <c r="L2990" s="138" t="s">
        <v>7859</v>
      </c>
      <c r="M2990" s="138" t="s">
        <v>0</v>
      </c>
    </row>
    <row r="2991" spans="1:13" x14ac:dyDescent="0.35">
      <c r="A2991" s="138" t="s">
        <v>487</v>
      </c>
      <c r="B2991" s="138" t="s">
        <v>3809</v>
      </c>
      <c r="C2991" s="138" t="s">
        <v>5281</v>
      </c>
      <c r="D2991" s="138" t="s">
        <v>5286</v>
      </c>
      <c r="E2991" s="138" t="s">
        <v>4333</v>
      </c>
      <c r="F2991" s="138" t="s">
        <v>7849</v>
      </c>
      <c r="G2991" s="138" t="s">
        <v>7850</v>
      </c>
      <c r="H2991" s="81" t="str">
        <f t="shared" ref="H2991:H2992" si="202">CONCATENATE(A2991,"-",B2991,"-",C2991,"-",D2991,"-",E2991,"-",F2991,"-",G2991)</f>
        <v>TCCN-PTE-CGI-CYC-SCO-RCO-EO3</v>
      </c>
      <c r="I2991" s="138" t="str">
        <f>MID(H2991,1,(LEN(H2991)-VLOOKUP(K2991,datos!$B$2:$C$12,2,0)))</f>
        <v>TCCN-PTE-CGI-CYC-SCO-RCO-EO3</v>
      </c>
      <c r="J2991" s="138" t="s">
        <v>7855</v>
      </c>
      <c r="K2991" s="140">
        <f>VLOOKUP(LEN(SUBSTITUTE(H2991,"-","")),datos!$A$1:$B$12,2,0)</f>
        <v>7</v>
      </c>
      <c r="L2991" s="138" t="s">
        <v>7860</v>
      </c>
      <c r="M2991" s="138" t="s">
        <v>0</v>
      </c>
    </row>
    <row r="2992" spans="1:13" x14ac:dyDescent="0.35">
      <c r="A2992" s="138" t="s">
        <v>487</v>
      </c>
      <c r="B2992" s="138" t="s">
        <v>3809</v>
      </c>
      <c r="C2992" s="138" t="s">
        <v>5281</v>
      </c>
      <c r="D2992" s="138" t="s">
        <v>5286</v>
      </c>
      <c r="E2992" s="138" t="s">
        <v>4333</v>
      </c>
      <c r="F2992" s="138" t="s">
        <v>7849</v>
      </c>
      <c r="G2992" s="138" t="s">
        <v>7851</v>
      </c>
      <c r="H2992" s="81" t="str">
        <f t="shared" si="202"/>
        <v>TCCN-PTE-CGI-CYC-SCO-RCO-EO4</v>
      </c>
      <c r="I2992" s="138" t="str">
        <f>MID(H2992,1,(LEN(H2992)-VLOOKUP(K2992,datos!$B$2:$C$12,2,0)))</f>
        <v>TCCN-PTE-CGI-CYC-SCO-RCO-EO4</v>
      </c>
      <c r="J2992" s="138" t="s">
        <v>7856</v>
      </c>
      <c r="K2992" s="140">
        <f>VLOOKUP(LEN(SUBSTITUTE(H2992,"-","")),datos!$A$1:$B$12,2,0)</f>
        <v>7</v>
      </c>
      <c r="L2992" s="138" t="s">
        <v>7861</v>
      </c>
      <c r="M2992" s="138" t="s">
        <v>0</v>
      </c>
    </row>
    <row r="2993" spans="1:13" customFormat="1" ht="14.5" x14ac:dyDescent="0.35">
      <c r="A2993" s="84" t="s">
        <v>487</v>
      </c>
      <c r="B2993" s="84" t="s">
        <v>3809</v>
      </c>
      <c r="C2993" s="84" t="s">
        <v>5281</v>
      </c>
      <c r="D2993" s="84" t="s">
        <v>5284</v>
      </c>
      <c r="E2993" s="84"/>
      <c r="F2993" s="84"/>
      <c r="G2993" s="84"/>
      <c r="H2993" s="84" t="str">
        <f t="shared" si="200"/>
        <v>TCCN-PTE-CGI-TEL---</v>
      </c>
      <c r="I2993" s="84" t="str">
        <f>MID(H2993,1,(LEN(H2993)-VLOOKUP(K2993,datos!$B$2:$C$12,2,0)))</f>
        <v>TCCN-PTE-CGI-TEL</v>
      </c>
      <c r="J2993" s="84" t="s">
        <v>4335</v>
      </c>
      <c r="K2993" s="119">
        <f>VLOOKUP(LEN(SUBSTITUTE(H2993,"-","")),datos!$A$1:$B$12,2,0)</f>
        <v>4</v>
      </c>
      <c r="L2993" s="84"/>
      <c r="M2993" s="84" t="s">
        <v>0</v>
      </c>
    </row>
    <row r="2994" spans="1:13" customFormat="1" ht="14.5" x14ac:dyDescent="0.35">
      <c r="A2994" s="129" t="s">
        <v>487</v>
      </c>
      <c r="B2994" s="129" t="s">
        <v>3809</v>
      </c>
      <c r="C2994" s="129" t="s">
        <v>5281</v>
      </c>
      <c r="D2994" s="129" t="s">
        <v>5284</v>
      </c>
      <c r="E2994" s="129" t="s">
        <v>4333</v>
      </c>
      <c r="F2994" s="129"/>
      <c r="G2994" s="129"/>
      <c r="H2994" s="83" t="str">
        <f t="shared" si="200"/>
        <v>TCCN-PTE-CGI-TEL-SCO--</v>
      </c>
      <c r="I2994" s="129" t="str">
        <f>MID(H2994,1,(LEN(H2994)-VLOOKUP(K2994,datos!$B$2:$C$12,2,0)))</f>
        <v>TCCN-PTE-CGI-TEL-SCO</v>
      </c>
      <c r="J2994" s="129" t="s">
        <v>7862</v>
      </c>
      <c r="K2994" s="130">
        <f>VLOOKUP(LEN(SUBSTITUTE(H2994,"-","")),datos!$A$1:$B$12,2,0)</f>
        <v>5</v>
      </c>
      <c r="L2994" s="133" t="s">
        <v>7863</v>
      </c>
      <c r="M2994" s="129" t="s">
        <v>0</v>
      </c>
    </row>
    <row r="2995" spans="1:13" x14ac:dyDescent="0.35">
      <c r="A2995" s="137" t="s">
        <v>487</v>
      </c>
      <c r="B2995" s="137" t="s">
        <v>3809</v>
      </c>
      <c r="C2995" s="137" t="s">
        <v>5281</v>
      </c>
      <c r="D2995" s="137" t="s">
        <v>5284</v>
      </c>
      <c r="E2995" s="137" t="s">
        <v>4333</v>
      </c>
      <c r="F2995" s="137" t="s">
        <v>7849</v>
      </c>
      <c r="G2995" s="137"/>
      <c r="H2995" s="82" t="str">
        <f t="shared" si="200"/>
        <v>TCCN-PTE-CGI-TEL-SCO-RCO-</v>
      </c>
      <c r="I2995" s="137" t="str">
        <f>MID(H2995,1,(LEN(H2995)-VLOOKUP(K2995,datos!$B$2:$C$12,2,0)))</f>
        <v>TCCN-PTE-CGI-TEL-SCO-RCO</v>
      </c>
      <c r="J2995" s="137" t="s">
        <v>7864</v>
      </c>
      <c r="K2995" s="139">
        <f>VLOOKUP(LEN(SUBSTITUTE(H2995,"-","")),datos!$A$1:$B$12,2,0)</f>
        <v>6</v>
      </c>
      <c r="L2995" s="137"/>
      <c r="M2995" s="137" t="s">
        <v>0</v>
      </c>
    </row>
    <row r="2996" spans="1:13" x14ac:dyDescent="0.35">
      <c r="A2996" s="138" t="s">
        <v>487</v>
      </c>
      <c r="B2996" s="138" t="s">
        <v>3809</v>
      </c>
      <c r="C2996" s="138" t="s">
        <v>5281</v>
      </c>
      <c r="D2996" s="138" t="s">
        <v>5284</v>
      </c>
      <c r="E2996" s="138" t="s">
        <v>4333</v>
      </c>
      <c r="F2996" s="138" t="s">
        <v>7849</v>
      </c>
      <c r="G2996" s="138" t="s">
        <v>7865</v>
      </c>
      <c r="H2996" s="81" t="str">
        <f t="shared" si="200"/>
        <v>TCCN-PTE-CGI-TEL-SCO-RCO-GS1</v>
      </c>
      <c r="I2996" s="138" t="str">
        <f>MID(H2996,1,(LEN(H2996)-VLOOKUP(K2996,datos!$B$2:$C$12,2,0)))</f>
        <v>TCCN-PTE-CGI-TEL-SCO-RCO-GS1</v>
      </c>
      <c r="J2996" s="138" t="s">
        <v>7867</v>
      </c>
      <c r="K2996" s="140">
        <f>VLOOKUP(LEN(SUBSTITUTE(H2996,"-","")),datos!$A$1:$B$12,2,0)</f>
        <v>7</v>
      </c>
      <c r="L2996" s="138" t="s">
        <v>7869</v>
      </c>
      <c r="M2996" s="138" t="s">
        <v>0</v>
      </c>
    </row>
    <row r="2997" spans="1:13" x14ac:dyDescent="0.35">
      <c r="A2997" s="138" t="s">
        <v>487</v>
      </c>
      <c r="B2997" s="138" t="s">
        <v>3809</v>
      </c>
      <c r="C2997" s="138" t="s">
        <v>5281</v>
      </c>
      <c r="D2997" s="138" t="s">
        <v>5284</v>
      </c>
      <c r="E2997" s="138" t="s">
        <v>4333</v>
      </c>
      <c r="F2997" s="138" t="s">
        <v>7849</v>
      </c>
      <c r="G2997" s="138" t="s">
        <v>7866</v>
      </c>
      <c r="H2997" s="81" t="str">
        <f t="shared" si="200"/>
        <v>TCCN-PTE-CGI-TEL-SCO-RCO-GS2</v>
      </c>
      <c r="I2997" s="138" t="str">
        <f>MID(H2997,1,(LEN(H2997)-VLOOKUP(K2997,datos!$B$2:$C$12,2,0)))</f>
        <v>TCCN-PTE-CGI-TEL-SCO-RCO-GS2</v>
      </c>
      <c r="J2997" s="138" t="s">
        <v>7868</v>
      </c>
      <c r="K2997" s="140">
        <f>VLOOKUP(LEN(SUBSTITUTE(H2997,"-","")),datos!$A$1:$B$12,2,0)</f>
        <v>7</v>
      </c>
      <c r="L2997" s="138" t="s">
        <v>7870</v>
      </c>
      <c r="M2997" s="138" t="s">
        <v>0</v>
      </c>
    </row>
    <row r="2998" spans="1:13" customFormat="1" ht="14.5" x14ac:dyDescent="0.35">
      <c r="A2998" s="129" t="s">
        <v>487</v>
      </c>
      <c r="B2998" s="129" t="s">
        <v>3809</v>
      </c>
      <c r="C2998" s="129" t="s">
        <v>5281</v>
      </c>
      <c r="D2998" s="129" t="s">
        <v>5284</v>
      </c>
      <c r="E2998" s="129" t="s">
        <v>5324</v>
      </c>
      <c r="F2998" s="129"/>
      <c r="G2998" s="129"/>
      <c r="H2998" s="83" t="str">
        <f t="shared" si="200"/>
        <v>TCCN-PTE-CGI-TEL-PF1--</v>
      </c>
      <c r="I2998" s="129" t="str">
        <f>MID(H2998,1,(LEN(H2998)-VLOOKUP(K2998,datos!$B$2:$C$12,2,0)))</f>
        <v>TCCN-PTE-CGI-TEL-PF1</v>
      </c>
      <c r="J2998" s="129" t="s">
        <v>4356</v>
      </c>
      <c r="K2998" s="130">
        <f>VLOOKUP(LEN(SUBSTITUTE(H2998,"-","")),datos!$A$1:$B$12,2,0)</f>
        <v>5</v>
      </c>
      <c r="L2998" s="133" t="s">
        <v>4353</v>
      </c>
      <c r="M2998" s="129" t="s">
        <v>0</v>
      </c>
    </row>
    <row r="2999" spans="1:13" customFormat="1" ht="14.5" x14ac:dyDescent="0.35">
      <c r="A2999" s="129" t="s">
        <v>487</v>
      </c>
      <c r="B2999" s="129" t="s">
        <v>3809</v>
      </c>
      <c r="C2999" s="129" t="s">
        <v>5281</v>
      </c>
      <c r="D2999" s="129" t="s">
        <v>5284</v>
      </c>
      <c r="E2999" s="129" t="s">
        <v>5325</v>
      </c>
      <c r="F2999" s="129"/>
      <c r="G2999" s="129"/>
      <c r="H2999" s="83" t="str">
        <f t="shared" si="200"/>
        <v>TCCN-PTE-CGI-TEL-PF2--</v>
      </c>
      <c r="I2999" s="129" t="str">
        <f>MID(H2999,1,(LEN(H2999)-VLOOKUP(K2999,datos!$B$2:$C$12,2,0)))</f>
        <v>TCCN-PTE-CGI-TEL-PF2</v>
      </c>
      <c r="J2999" s="129" t="s">
        <v>4357</v>
      </c>
      <c r="K2999" s="130">
        <f>VLOOKUP(LEN(SUBSTITUTE(H2999,"-","")),datos!$A$1:$B$12,2,0)</f>
        <v>5</v>
      </c>
      <c r="L2999" s="133" t="s">
        <v>4354</v>
      </c>
      <c r="M2999" s="129" t="s">
        <v>0</v>
      </c>
    </row>
    <row r="3000" spans="1:13" customFormat="1" ht="14.5" x14ac:dyDescent="0.35">
      <c r="A3000" s="129" t="s">
        <v>487</v>
      </c>
      <c r="B3000" s="129" t="s">
        <v>3809</v>
      </c>
      <c r="C3000" s="129" t="s">
        <v>5281</v>
      </c>
      <c r="D3000" s="129" t="s">
        <v>5284</v>
      </c>
      <c r="E3000" s="129" t="s">
        <v>5326</v>
      </c>
      <c r="F3000" s="129"/>
      <c r="G3000" s="129"/>
      <c r="H3000" s="83" t="str">
        <f t="shared" si="200"/>
        <v>TCCN-PTE-CGI-TEL-PF3--</v>
      </c>
      <c r="I3000" s="129" t="str">
        <f>MID(H3000,1,(LEN(H3000)-VLOOKUP(K3000,datos!$B$2:$C$12,2,0)))</f>
        <v>TCCN-PTE-CGI-TEL-PF3</v>
      </c>
      <c r="J3000" s="129" t="s">
        <v>4358</v>
      </c>
      <c r="K3000" s="130">
        <f>VLOOKUP(LEN(SUBSTITUTE(H3000,"-","")),datos!$A$1:$B$12,2,0)</f>
        <v>5</v>
      </c>
      <c r="L3000" s="133" t="s">
        <v>4355</v>
      </c>
      <c r="M3000" s="129" t="s">
        <v>0</v>
      </c>
    </row>
    <row r="3001" spans="1:13" customFormat="1" ht="14.5" x14ac:dyDescent="0.35">
      <c r="A3001" s="84" t="s">
        <v>487</v>
      </c>
      <c r="B3001" s="84" t="s">
        <v>3809</v>
      </c>
      <c r="C3001" s="84" t="s">
        <v>5281</v>
      </c>
      <c r="D3001" s="84" t="s">
        <v>5285</v>
      </c>
      <c r="E3001" s="84"/>
      <c r="F3001" s="84"/>
      <c r="G3001" s="84"/>
      <c r="H3001" s="84" t="str">
        <f t="shared" si="200"/>
        <v>TCCN-PTE-CGI-INF---</v>
      </c>
      <c r="I3001" s="84" t="str">
        <f>MID(H3001,1,(LEN(H3001)-VLOOKUP(K3001,datos!$B$2:$C$12,2,0)))</f>
        <v>TCCN-PTE-CGI-INF</v>
      </c>
      <c r="J3001" s="84" t="s">
        <v>4336</v>
      </c>
      <c r="K3001" s="119">
        <f>VLOOKUP(LEN(SUBSTITUTE(H3001,"-","")),datos!$A$1:$B$12,2,0)</f>
        <v>4</v>
      </c>
      <c r="L3001" s="84"/>
      <c r="M3001" s="84" t="s">
        <v>0</v>
      </c>
    </row>
    <row r="3002" spans="1:13" customFormat="1" ht="14.5" x14ac:dyDescent="0.35">
      <c r="A3002" s="127" t="s">
        <v>487</v>
      </c>
      <c r="B3002" s="127" t="s">
        <v>3809</v>
      </c>
      <c r="C3002" s="127" t="s">
        <v>4130</v>
      </c>
      <c r="D3002" s="127"/>
      <c r="E3002" s="127"/>
      <c r="F3002" s="127"/>
      <c r="G3002" s="127"/>
      <c r="H3002" s="86" t="str">
        <f t="shared" si="200"/>
        <v>TCCN-PTE-PRS----</v>
      </c>
      <c r="I3002" s="127" t="str">
        <f>MID(H3002,1,(LEN(H3002)-VLOOKUP(K3002,datos!$B$2:$C$12,2,0)))</f>
        <v>TCCN-PTE-PRS</v>
      </c>
      <c r="J3002" s="127" t="s">
        <v>4480</v>
      </c>
      <c r="K3002" s="128">
        <f>VLOOKUP(LEN(SUBSTITUTE(H3002,"-","")),datos!$A$1:$B$12,2,0)</f>
        <v>3</v>
      </c>
      <c r="L3002" s="127"/>
      <c r="M3002" s="127" t="s">
        <v>0</v>
      </c>
    </row>
    <row r="3003" spans="1:13" customFormat="1" ht="14.5" x14ac:dyDescent="0.35">
      <c r="A3003" s="84" t="s">
        <v>487</v>
      </c>
      <c r="B3003" s="84" t="s">
        <v>3809</v>
      </c>
      <c r="C3003" s="84" t="s">
        <v>4130</v>
      </c>
      <c r="D3003" s="84" t="s">
        <v>4131</v>
      </c>
      <c r="E3003" s="84"/>
      <c r="F3003" s="84"/>
      <c r="G3003" s="84"/>
      <c r="H3003" s="84" t="str">
        <f t="shared" si="200"/>
        <v>TCCN-PTE-PRS-SPF---</v>
      </c>
      <c r="I3003" s="84" t="str">
        <f>MID(H3003,1,(LEN(H3003)-VLOOKUP(K3003,datos!$B$2:$C$12,2,0)))</f>
        <v>TCCN-PTE-PRS-SPF</v>
      </c>
      <c r="J3003" s="84" t="s">
        <v>4337</v>
      </c>
      <c r="K3003" s="119">
        <f>VLOOKUP(LEN(SUBSTITUTE(H3003,"-","")),datos!$A$1:$B$12,2,0)</f>
        <v>4</v>
      </c>
      <c r="L3003" s="84"/>
      <c r="M3003" s="84" t="s">
        <v>0</v>
      </c>
    </row>
    <row r="3004" spans="1:13" customFormat="1" ht="14.5" x14ac:dyDescent="0.35">
      <c r="A3004" s="129" t="s">
        <v>487</v>
      </c>
      <c r="B3004" s="129" t="s">
        <v>3809</v>
      </c>
      <c r="C3004" s="129" t="s">
        <v>4130</v>
      </c>
      <c r="D3004" s="129" t="s">
        <v>4131</v>
      </c>
      <c r="E3004" s="129" t="s">
        <v>4051</v>
      </c>
      <c r="F3004" s="129"/>
      <c r="G3004" s="129"/>
      <c r="H3004" s="83" t="str">
        <f t="shared" si="200"/>
        <v>TCCN-PTE-PRS-SPF-ES1--</v>
      </c>
      <c r="I3004" s="129" t="str">
        <f>MID(H3004,1,(LEN(H3004)-VLOOKUP(K3004,datos!$B$2:$C$12,2,0)))</f>
        <v>TCCN-PTE-PRS-SPF-ES1</v>
      </c>
      <c r="J3004" s="129" t="s">
        <v>5097</v>
      </c>
      <c r="K3004" s="130">
        <f>VLOOKUP(LEN(SUBSTITUTE(H3004,"-","")),datos!$A$1:$B$12,2,0)</f>
        <v>5</v>
      </c>
      <c r="L3004" s="129" t="s">
        <v>5098</v>
      </c>
      <c r="M3004" s="129" t="s">
        <v>0</v>
      </c>
    </row>
    <row r="3005" spans="1:13" x14ac:dyDescent="0.35">
      <c r="A3005" s="137" t="s">
        <v>487</v>
      </c>
      <c r="B3005" s="137" t="s">
        <v>3809</v>
      </c>
      <c r="C3005" s="137" t="s">
        <v>4130</v>
      </c>
      <c r="D3005" s="137" t="s">
        <v>4131</v>
      </c>
      <c r="E3005" s="137" t="s">
        <v>4051</v>
      </c>
      <c r="F3005" s="137" t="s">
        <v>3847</v>
      </c>
      <c r="G3005" s="137"/>
      <c r="H3005" s="82" t="str">
        <f t="shared" si="200"/>
        <v>TCCN-PTE-PRS-SPF-ES1-SMO-</v>
      </c>
      <c r="I3005" s="137" t="str">
        <f>MID(H3005,1,(LEN(H3005)-VLOOKUP(K3005,datos!$B$2:$C$12,2,0)))</f>
        <v>TCCN-PTE-PRS-SPF-ES1-SMO</v>
      </c>
      <c r="J3005" s="137" t="s">
        <v>6582</v>
      </c>
      <c r="K3005" s="139">
        <f>VLOOKUP(LEN(SUBSTITUTE(H3005,"-","")),datos!$A$1:$B$12,2,0)</f>
        <v>6</v>
      </c>
      <c r="L3005" s="137"/>
      <c r="M3005" s="137" t="s">
        <v>0</v>
      </c>
    </row>
    <row r="3006" spans="1:13" x14ac:dyDescent="0.35">
      <c r="A3006" s="138" t="s">
        <v>487</v>
      </c>
      <c r="B3006" s="138" t="s">
        <v>3809</v>
      </c>
      <c r="C3006" s="138" t="s">
        <v>4130</v>
      </c>
      <c r="D3006" s="138" t="s">
        <v>4131</v>
      </c>
      <c r="E3006" s="138" t="s">
        <v>4051</v>
      </c>
      <c r="F3006" s="138" t="s">
        <v>3847</v>
      </c>
      <c r="G3006" s="138" t="s">
        <v>4052</v>
      </c>
      <c r="H3006" s="81" t="str">
        <f t="shared" si="200"/>
        <v>TCCN-PTE-PRS-SPF-ES1-SMO-AGT</v>
      </c>
      <c r="I3006" s="138" t="str">
        <f>MID(H3006,1,(LEN(H3006)-VLOOKUP(K3006,datos!$B$2:$C$12,2,0)))</f>
        <v>TCCN-PTE-PRS-SPF-ES1-SMO-AGT</v>
      </c>
      <c r="J3006" s="138" t="s">
        <v>6583</v>
      </c>
      <c r="K3006" s="140">
        <f>VLOOKUP(LEN(SUBSTITUTE(H3006,"-","")),datos!$A$1:$B$12,2,0)</f>
        <v>7</v>
      </c>
      <c r="L3006" s="138" t="s">
        <v>5099</v>
      </c>
      <c r="M3006" s="138" t="s">
        <v>0</v>
      </c>
    </row>
    <row r="3007" spans="1:13" x14ac:dyDescent="0.35">
      <c r="A3007" s="138" t="s">
        <v>487</v>
      </c>
      <c r="B3007" s="138" t="s">
        <v>3809</v>
      </c>
      <c r="C3007" s="138" t="s">
        <v>4130</v>
      </c>
      <c r="D3007" s="138" t="s">
        <v>4131</v>
      </c>
      <c r="E3007" s="138" t="s">
        <v>4051</v>
      </c>
      <c r="F3007" s="138" t="s">
        <v>3847</v>
      </c>
      <c r="G3007" s="138" t="s">
        <v>3819</v>
      </c>
      <c r="H3007" s="81" t="str">
        <f t="shared" si="200"/>
        <v>TCCN-PTE-PRS-SPF-ES1-SMO-MOE</v>
      </c>
      <c r="I3007" s="138" t="str">
        <f>MID(H3007,1,(LEN(H3007)-VLOOKUP(K3007,datos!$B$2:$C$12,2,0)))</f>
        <v>TCCN-PTE-PRS-SPF-ES1-SMO-MOE</v>
      </c>
      <c r="J3007" s="138" t="s">
        <v>6584</v>
      </c>
      <c r="K3007" s="140">
        <f>VLOOKUP(LEN(SUBSTITUTE(H3007,"-","")),datos!$A$1:$B$12,2,0)</f>
        <v>7</v>
      </c>
      <c r="L3007" s="138" t="s">
        <v>5100</v>
      </c>
      <c r="M3007" s="138" t="s">
        <v>0</v>
      </c>
    </row>
    <row r="3008" spans="1:13" x14ac:dyDescent="0.35">
      <c r="A3008" s="137" t="s">
        <v>487</v>
      </c>
      <c r="B3008" s="137" t="s">
        <v>3809</v>
      </c>
      <c r="C3008" s="137" t="s">
        <v>4130</v>
      </c>
      <c r="D3008" s="137" t="s">
        <v>4131</v>
      </c>
      <c r="E3008" s="137" t="s">
        <v>4051</v>
      </c>
      <c r="F3008" s="137" t="s">
        <v>3824</v>
      </c>
      <c r="G3008" s="137"/>
      <c r="H3008" s="82" t="str">
        <f t="shared" si="200"/>
        <v>TCCN-PTE-PRS-SPF-ES1-SES-</v>
      </c>
      <c r="I3008" s="137" t="str">
        <f>MID(H3008,1,(LEN(H3008)-VLOOKUP(K3008,datos!$B$2:$C$12,2,0)))</f>
        <v>TCCN-PTE-PRS-SPF-ES1-SES</v>
      </c>
      <c r="J3008" s="137" t="s">
        <v>6585</v>
      </c>
      <c r="K3008" s="139">
        <f>VLOOKUP(LEN(SUBSTITUTE(H3008,"-","")),datos!$A$1:$B$12,2,0)</f>
        <v>6</v>
      </c>
      <c r="L3008" s="137"/>
      <c r="M3008" s="137" t="s">
        <v>0</v>
      </c>
    </row>
    <row r="3009" spans="1:13" x14ac:dyDescent="0.35">
      <c r="A3009" s="138" t="s">
        <v>487</v>
      </c>
      <c r="B3009" s="138" t="s">
        <v>3809</v>
      </c>
      <c r="C3009" s="138" t="s">
        <v>4130</v>
      </c>
      <c r="D3009" s="138" t="s">
        <v>4131</v>
      </c>
      <c r="E3009" s="138" t="s">
        <v>4051</v>
      </c>
      <c r="F3009" s="138" t="s">
        <v>3824</v>
      </c>
      <c r="G3009" s="138" t="s">
        <v>3998</v>
      </c>
      <c r="H3009" s="81" t="str">
        <f t="shared" si="200"/>
        <v>TCCN-PTE-PRS-SPF-ES1-SES-BYG</v>
      </c>
      <c r="I3009" s="138" t="str">
        <f>MID(H3009,1,(LEN(H3009)-VLOOKUP(K3009,datos!$B$2:$C$12,2,0)))</f>
        <v>TCCN-PTE-PRS-SPF-ES1-SES-BYG</v>
      </c>
      <c r="J3009" s="138" t="s">
        <v>8038</v>
      </c>
      <c r="K3009" s="140">
        <f>VLOOKUP(LEN(SUBSTITUTE(H3009,"-","")),datos!$A$1:$B$12,2,0)</f>
        <v>7</v>
      </c>
      <c r="L3009" s="138"/>
      <c r="M3009" s="138" t="s">
        <v>0</v>
      </c>
    </row>
    <row r="3010" spans="1:13" x14ac:dyDescent="0.35">
      <c r="A3010" s="138" t="s">
        <v>487</v>
      </c>
      <c r="B3010" s="138" t="s">
        <v>3809</v>
      </c>
      <c r="C3010" s="138" t="s">
        <v>4130</v>
      </c>
      <c r="D3010" s="138" t="s">
        <v>4131</v>
      </c>
      <c r="E3010" s="138" t="s">
        <v>4051</v>
      </c>
      <c r="F3010" s="138" t="s">
        <v>3824</v>
      </c>
      <c r="G3010" s="138" t="s">
        <v>3999</v>
      </c>
      <c r="H3010" s="81" t="str">
        <f t="shared" si="200"/>
        <v>TCCN-PTE-PRS-SPF-ES1-SES-RDP</v>
      </c>
      <c r="I3010" s="138" t="str">
        <f>MID(H3010,1,(LEN(H3010)-VLOOKUP(K3010,datos!$B$2:$C$12,2,0)))</f>
        <v>TCCN-PTE-PRS-SPF-ES1-SES-RDP</v>
      </c>
      <c r="J3010" s="138" t="s">
        <v>6586</v>
      </c>
      <c r="K3010" s="140">
        <f>VLOOKUP(LEN(SUBSTITUTE(H3010,"-","")),datos!$A$1:$B$12,2,0)</f>
        <v>7</v>
      </c>
      <c r="L3010" s="138"/>
      <c r="M3010" s="138" t="s">
        <v>0</v>
      </c>
    </row>
    <row r="3011" spans="1:13" customFormat="1" ht="14.5" x14ac:dyDescent="0.35">
      <c r="A3011" s="129" t="s">
        <v>487</v>
      </c>
      <c r="B3011" s="129" t="s">
        <v>3809</v>
      </c>
      <c r="C3011" s="129" t="s">
        <v>4130</v>
      </c>
      <c r="D3011" s="129" t="s">
        <v>4131</v>
      </c>
      <c r="E3011" s="129" t="s">
        <v>4079</v>
      </c>
      <c r="F3011" s="129"/>
      <c r="G3011" s="129"/>
      <c r="H3011" s="83" t="str">
        <f t="shared" si="200"/>
        <v>TCCN-PTE-PRS-SPF-ES2--</v>
      </c>
      <c r="I3011" s="129" t="str">
        <f>MID(H3011,1,(LEN(H3011)-VLOOKUP(K3011,datos!$B$2:$C$12,2,0)))</f>
        <v>TCCN-PTE-PRS-SPF-ES2</v>
      </c>
      <c r="J3011" s="129" t="s">
        <v>5101</v>
      </c>
      <c r="K3011" s="130">
        <f>VLOOKUP(LEN(SUBSTITUTE(H3011,"-","")),datos!$A$1:$B$12,2,0)</f>
        <v>5</v>
      </c>
      <c r="L3011" s="129" t="s">
        <v>5102</v>
      </c>
      <c r="M3011" s="129" t="s">
        <v>0</v>
      </c>
    </row>
    <row r="3012" spans="1:13" x14ac:dyDescent="0.35">
      <c r="A3012" s="137" t="s">
        <v>487</v>
      </c>
      <c r="B3012" s="137" t="s">
        <v>3809</v>
      </c>
      <c r="C3012" s="137" t="s">
        <v>4130</v>
      </c>
      <c r="D3012" s="137" t="s">
        <v>4131</v>
      </c>
      <c r="E3012" s="137" t="s">
        <v>4079</v>
      </c>
      <c r="F3012" s="137" t="s">
        <v>3847</v>
      </c>
      <c r="G3012" s="137"/>
      <c r="H3012" s="82" t="str">
        <f t="shared" si="200"/>
        <v>TCCN-PTE-PRS-SPF-ES2-SMO-</v>
      </c>
      <c r="I3012" s="137" t="str">
        <f>MID(H3012,1,(LEN(H3012)-VLOOKUP(K3012,datos!$B$2:$C$12,2,0)))</f>
        <v>TCCN-PTE-PRS-SPF-ES2-SMO</v>
      </c>
      <c r="J3012" s="137" t="s">
        <v>6587</v>
      </c>
      <c r="K3012" s="139">
        <f>VLOOKUP(LEN(SUBSTITUTE(H3012,"-","")),datos!$A$1:$B$12,2,0)</f>
        <v>6</v>
      </c>
      <c r="L3012" s="137"/>
      <c r="M3012" s="137" t="s">
        <v>0</v>
      </c>
    </row>
    <row r="3013" spans="1:13" x14ac:dyDescent="0.35">
      <c r="A3013" s="138" t="s">
        <v>487</v>
      </c>
      <c r="B3013" s="138" t="s">
        <v>3809</v>
      </c>
      <c r="C3013" s="138" t="s">
        <v>4130</v>
      </c>
      <c r="D3013" s="138" t="s">
        <v>4131</v>
      </c>
      <c r="E3013" s="138" t="s">
        <v>4079</v>
      </c>
      <c r="F3013" s="138" t="s">
        <v>3847</v>
      </c>
      <c r="G3013" s="138" t="s">
        <v>4052</v>
      </c>
      <c r="H3013" s="81" t="str">
        <f t="shared" si="200"/>
        <v>TCCN-PTE-PRS-SPF-ES2-SMO-AGT</v>
      </c>
      <c r="I3013" s="138" t="str">
        <f>MID(H3013,1,(LEN(H3013)-VLOOKUP(K3013,datos!$B$2:$C$12,2,0)))</f>
        <v>TCCN-PTE-PRS-SPF-ES2-SMO-AGT</v>
      </c>
      <c r="J3013" s="138" t="s">
        <v>6588</v>
      </c>
      <c r="K3013" s="140">
        <f>VLOOKUP(LEN(SUBSTITUTE(H3013,"-","")),datos!$A$1:$B$12,2,0)</f>
        <v>7</v>
      </c>
      <c r="L3013" s="138" t="s">
        <v>5103</v>
      </c>
      <c r="M3013" s="138" t="s">
        <v>0</v>
      </c>
    </row>
    <row r="3014" spans="1:13" x14ac:dyDescent="0.35">
      <c r="A3014" s="138" t="s">
        <v>487</v>
      </c>
      <c r="B3014" s="138" t="s">
        <v>3809</v>
      </c>
      <c r="C3014" s="138" t="s">
        <v>4130</v>
      </c>
      <c r="D3014" s="138" t="s">
        <v>4131</v>
      </c>
      <c r="E3014" s="138" t="s">
        <v>4079</v>
      </c>
      <c r="F3014" s="138" t="s">
        <v>3847</v>
      </c>
      <c r="G3014" s="138" t="s">
        <v>3819</v>
      </c>
      <c r="H3014" s="81" t="str">
        <f t="shared" si="200"/>
        <v>TCCN-PTE-PRS-SPF-ES2-SMO-MOE</v>
      </c>
      <c r="I3014" s="138" t="str">
        <f>MID(H3014,1,(LEN(H3014)-VLOOKUP(K3014,datos!$B$2:$C$12,2,0)))</f>
        <v>TCCN-PTE-PRS-SPF-ES2-SMO-MOE</v>
      </c>
      <c r="J3014" s="138" t="s">
        <v>6589</v>
      </c>
      <c r="K3014" s="140">
        <f>VLOOKUP(LEN(SUBSTITUTE(H3014,"-","")),datos!$A$1:$B$12,2,0)</f>
        <v>7</v>
      </c>
      <c r="L3014" s="138" t="s">
        <v>5104</v>
      </c>
      <c r="M3014" s="138" t="s">
        <v>0</v>
      </c>
    </row>
    <row r="3015" spans="1:13" x14ac:dyDescent="0.35">
      <c r="A3015" s="137" t="s">
        <v>487</v>
      </c>
      <c r="B3015" s="137" t="s">
        <v>3809</v>
      </c>
      <c r="C3015" s="137" t="s">
        <v>4130</v>
      </c>
      <c r="D3015" s="137" t="s">
        <v>4131</v>
      </c>
      <c r="E3015" s="137" t="s">
        <v>4079</v>
      </c>
      <c r="F3015" s="137" t="s">
        <v>3824</v>
      </c>
      <c r="G3015" s="137"/>
      <c r="H3015" s="82" t="str">
        <f t="shared" si="200"/>
        <v>TCCN-PTE-PRS-SPF-ES2-SES-</v>
      </c>
      <c r="I3015" s="137" t="str">
        <f>MID(H3015,1,(LEN(H3015)-VLOOKUP(K3015,datos!$B$2:$C$12,2,0)))</f>
        <v>TCCN-PTE-PRS-SPF-ES2-SES</v>
      </c>
      <c r="J3015" s="137" t="s">
        <v>6590</v>
      </c>
      <c r="K3015" s="139">
        <f>VLOOKUP(LEN(SUBSTITUTE(H3015,"-","")),datos!$A$1:$B$12,2,0)</f>
        <v>6</v>
      </c>
      <c r="L3015" s="137"/>
      <c r="M3015" s="137" t="s">
        <v>0</v>
      </c>
    </row>
    <row r="3016" spans="1:13" x14ac:dyDescent="0.35">
      <c r="A3016" s="138" t="s">
        <v>487</v>
      </c>
      <c r="B3016" s="138" t="s">
        <v>3809</v>
      </c>
      <c r="C3016" s="138" t="s">
        <v>4130</v>
      </c>
      <c r="D3016" s="138" t="s">
        <v>4131</v>
      </c>
      <c r="E3016" s="138" t="s">
        <v>4079</v>
      </c>
      <c r="F3016" s="138" t="s">
        <v>3824</v>
      </c>
      <c r="G3016" s="138" t="s">
        <v>3998</v>
      </c>
      <c r="H3016" s="81" t="str">
        <f t="shared" si="200"/>
        <v>TCCN-PTE-PRS-SPF-ES2-SES-BYG</v>
      </c>
      <c r="I3016" s="138" t="str">
        <f>MID(H3016,1,(LEN(H3016)-VLOOKUP(K3016,datos!$B$2:$C$12,2,0)))</f>
        <v>TCCN-PTE-PRS-SPF-ES2-SES-BYG</v>
      </c>
      <c r="J3016" s="138" t="s">
        <v>8039</v>
      </c>
      <c r="K3016" s="140">
        <f>VLOOKUP(LEN(SUBSTITUTE(H3016,"-","")),datos!$A$1:$B$12,2,0)</f>
        <v>7</v>
      </c>
      <c r="L3016" s="138"/>
      <c r="M3016" s="138" t="s">
        <v>0</v>
      </c>
    </row>
    <row r="3017" spans="1:13" x14ac:dyDescent="0.35">
      <c r="A3017" s="138" t="s">
        <v>487</v>
      </c>
      <c r="B3017" s="138" t="s">
        <v>3809</v>
      </c>
      <c r="C3017" s="138" t="s">
        <v>4130</v>
      </c>
      <c r="D3017" s="138" t="s">
        <v>4131</v>
      </c>
      <c r="E3017" s="138" t="s">
        <v>4079</v>
      </c>
      <c r="F3017" s="138" t="s">
        <v>3824</v>
      </c>
      <c r="G3017" s="138" t="s">
        <v>3999</v>
      </c>
      <c r="H3017" s="81" t="str">
        <f t="shared" si="200"/>
        <v>TCCN-PTE-PRS-SPF-ES2-SES-RDP</v>
      </c>
      <c r="I3017" s="138" t="str">
        <f>MID(H3017,1,(LEN(H3017)-VLOOKUP(K3017,datos!$B$2:$C$12,2,0)))</f>
        <v>TCCN-PTE-PRS-SPF-ES2-SES-RDP</v>
      </c>
      <c r="J3017" s="138" t="s">
        <v>6591</v>
      </c>
      <c r="K3017" s="140">
        <f>VLOOKUP(LEN(SUBSTITUTE(H3017,"-","")),datos!$A$1:$B$12,2,0)</f>
        <v>7</v>
      </c>
      <c r="L3017" s="138"/>
      <c r="M3017" s="138" t="s">
        <v>0</v>
      </c>
    </row>
    <row r="3018" spans="1:13" customFormat="1" ht="14.5" x14ac:dyDescent="0.35">
      <c r="A3018" s="129" t="s">
        <v>487</v>
      </c>
      <c r="B3018" s="129" t="s">
        <v>3809</v>
      </c>
      <c r="C3018" s="129" t="s">
        <v>4130</v>
      </c>
      <c r="D3018" s="129" t="s">
        <v>4131</v>
      </c>
      <c r="E3018" s="129" t="s">
        <v>3947</v>
      </c>
      <c r="F3018" s="129"/>
      <c r="G3018" s="129"/>
      <c r="H3018" s="83" t="str">
        <f t="shared" si="200"/>
        <v>TCCN-PTE-PRS-SPF-B01--</v>
      </c>
      <c r="I3018" s="129" t="str">
        <f>MID(H3018,1,(LEN(H3018)-VLOOKUP(K3018,datos!$B$2:$C$12,2,0)))</f>
        <v>TCCN-PTE-PRS-SPF-B01</v>
      </c>
      <c r="J3018" s="129" t="s">
        <v>5318</v>
      </c>
      <c r="K3018" s="130">
        <f>VLOOKUP(LEN(SUBSTITUTE(H3018,"-","")),datos!$A$1:$B$12,2,0)</f>
        <v>5</v>
      </c>
      <c r="L3018" s="129" t="s">
        <v>5105</v>
      </c>
      <c r="M3018" s="129" t="s">
        <v>0</v>
      </c>
    </row>
    <row r="3019" spans="1:13" x14ac:dyDescent="0.35">
      <c r="A3019" s="137" t="s">
        <v>487</v>
      </c>
      <c r="B3019" s="137" t="s">
        <v>3809</v>
      </c>
      <c r="C3019" s="137" t="s">
        <v>4130</v>
      </c>
      <c r="D3019" s="137" t="s">
        <v>4131</v>
      </c>
      <c r="E3019" s="137" t="s">
        <v>3947</v>
      </c>
      <c r="F3019" s="137" t="s">
        <v>3847</v>
      </c>
      <c r="G3019" s="137"/>
      <c r="H3019" s="82" t="str">
        <f t="shared" si="200"/>
        <v>TCCN-PTE-PRS-SPF-B01-SMO-</v>
      </c>
      <c r="I3019" s="137" t="str">
        <f>MID(H3019,1,(LEN(H3019)-VLOOKUP(K3019,datos!$B$2:$C$12,2,0)))</f>
        <v>TCCN-PTE-PRS-SPF-B01-SMO</v>
      </c>
      <c r="J3019" s="137" t="s">
        <v>5624</v>
      </c>
      <c r="K3019" s="139">
        <f>VLOOKUP(LEN(SUBSTITUTE(H3019,"-","")),datos!$A$1:$B$12,2,0)</f>
        <v>6</v>
      </c>
      <c r="L3019" s="137"/>
      <c r="M3019" s="137" t="s">
        <v>0</v>
      </c>
    </row>
    <row r="3020" spans="1:13" x14ac:dyDescent="0.35">
      <c r="A3020" s="138" t="s">
        <v>487</v>
      </c>
      <c r="B3020" s="138" t="s">
        <v>3809</v>
      </c>
      <c r="C3020" s="138" t="s">
        <v>4130</v>
      </c>
      <c r="D3020" s="138" t="s">
        <v>4131</v>
      </c>
      <c r="E3020" s="138" t="s">
        <v>3947</v>
      </c>
      <c r="F3020" s="138" t="s">
        <v>3847</v>
      </c>
      <c r="G3020" s="138" t="s">
        <v>3819</v>
      </c>
      <c r="H3020" s="81" t="str">
        <f t="shared" si="200"/>
        <v>TCCN-PTE-PRS-SPF-B01-SMO-MOE</v>
      </c>
      <c r="I3020" s="138" t="str">
        <f>MID(H3020,1,(LEN(H3020)-VLOOKUP(K3020,datos!$B$2:$C$12,2,0)))</f>
        <v>TCCN-PTE-PRS-SPF-B01-SMO-MOE</v>
      </c>
      <c r="J3020" s="138" t="s">
        <v>5626</v>
      </c>
      <c r="K3020" s="140">
        <f>VLOOKUP(LEN(SUBSTITUTE(H3020,"-","")),datos!$A$1:$B$12,2,0)</f>
        <v>7</v>
      </c>
      <c r="L3020" s="138" t="s">
        <v>5108</v>
      </c>
      <c r="M3020" s="138" t="s">
        <v>0</v>
      </c>
    </row>
    <row r="3021" spans="1:13" customFormat="1" ht="14.5" x14ac:dyDescent="0.35">
      <c r="A3021" s="129" t="s">
        <v>487</v>
      </c>
      <c r="B3021" s="129" t="s">
        <v>3809</v>
      </c>
      <c r="C3021" s="129" t="s">
        <v>4130</v>
      </c>
      <c r="D3021" s="129" t="s">
        <v>4131</v>
      </c>
      <c r="E3021" s="129" t="s">
        <v>3949</v>
      </c>
      <c r="F3021" s="129"/>
      <c r="G3021" s="129"/>
      <c r="H3021" s="83" t="str">
        <f t="shared" si="200"/>
        <v>TCCN-PTE-PRS-SPF-B02--</v>
      </c>
      <c r="I3021" s="129" t="str">
        <f>MID(H3021,1,(LEN(H3021)-VLOOKUP(K3021,datos!$B$2:$C$12,2,0)))</f>
        <v>TCCN-PTE-PRS-SPF-B02</v>
      </c>
      <c r="J3021" s="129" t="s">
        <v>5319</v>
      </c>
      <c r="K3021" s="130">
        <f>VLOOKUP(LEN(SUBSTITUTE(H3021,"-","")),datos!$A$1:$B$12,2,0)</f>
        <v>5</v>
      </c>
      <c r="L3021" s="129" t="s">
        <v>5109</v>
      </c>
      <c r="M3021" s="129" t="s">
        <v>0</v>
      </c>
    </row>
    <row r="3022" spans="1:13" x14ac:dyDescent="0.35">
      <c r="A3022" s="137" t="s">
        <v>487</v>
      </c>
      <c r="B3022" s="137" t="s">
        <v>3809</v>
      </c>
      <c r="C3022" s="137" t="s">
        <v>4130</v>
      </c>
      <c r="D3022" s="137" t="s">
        <v>4131</v>
      </c>
      <c r="E3022" s="137" t="s">
        <v>3949</v>
      </c>
      <c r="F3022" s="137" t="s">
        <v>3847</v>
      </c>
      <c r="G3022" s="137"/>
      <c r="H3022" s="82" t="str">
        <f t="shared" si="200"/>
        <v>TCCN-PTE-PRS-SPF-B02-SMO-</v>
      </c>
      <c r="I3022" s="137" t="str">
        <f>MID(H3022,1,(LEN(H3022)-VLOOKUP(K3022,datos!$B$2:$C$12,2,0)))</f>
        <v>TCCN-PTE-PRS-SPF-B02-SMO</v>
      </c>
      <c r="J3022" s="137" t="s">
        <v>5625</v>
      </c>
      <c r="K3022" s="139">
        <f>VLOOKUP(LEN(SUBSTITUTE(H3022,"-","")),datos!$A$1:$B$12,2,0)</f>
        <v>6</v>
      </c>
      <c r="L3022" s="137"/>
      <c r="M3022" s="137" t="s">
        <v>0</v>
      </c>
    </row>
    <row r="3023" spans="1:13" x14ac:dyDescent="0.35">
      <c r="A3023" s="138" t="s">
        <v>487</v>
      </c>
      <c r="B3023" s="138" t="s">
        <v>3809</v>
      </c>
      <c r="C3023" s="138" t="s">
        <v>4130</v>
      </c>
      <c r="D3023" s="138" t="s">
        <v>4131</v>
      </c>
      <c r="E3023" s="138" t="s">
        <v>3949</v>
      </c>
      <c r="F3023" s="138" t="s">
        <v>3847</v>
      </c>
      <c r="G3023" s="138" t="s">
        <v>3819</v>
      </c>
      <c r="H3023" s="81" t="str">
        <f t="shared" si="200"/>
        <v>TCCN-PTE-PRS-SPF-B02-SMO-MOE</v>
      </c>
      <c r="I3023" s="138" t="str">
        <f>MID(H3023,1,(LEN(H3023)-VLOOKUP(K3023,datos!$B$2:$C$12,2,0)))</f>
        <v>TCCN-PTE-PRS-SPF-B02-SMO-MOE</v>
      </c>
      <c r="J3023" s="138" t="s">
        <v>5627</v>
      </c>
      <c r="K3023" s="140">
        <f>VLOOKUP(LEN(SUBSTITUTE(H3023,"-","")),datos!$A$1:$B$12,2,0)</f>
        <v>7</v>
      </c>
      <c r="L3023" s="138" t="s">
        <v>5110</v>
      </c>
      <c r="M3023" s="138" t="s">
        <v>0</v>
      </c>
    </row>
    <row r="3024" spans="1:13" customFormat="1" ht="14.5" x14ac:dyDescent="0.35">
      <c r="A3024" s="129" t="s">
        <v>487</v>
      </c>
      <c r="B3024" s="129" t="s">
        <v>3809</v>
      </c>
      <c r="C3024" s="129" t="s">
        <v>4130</v>
      </c>
      <c r="D3024" s="129" t="s">
        <v>4131</v>
      </c>
      <c r="E3024" s="129" t="s">
        <v>4017</v>
      </c>
      <c r="F3024" s="129"/>
      <c r="G3024" s="129"/>
      <c r="H3024" s="83" t="str">
        <f t="shared" si="200"/>
        <v>TCCN-PTE-PRS-SPF-B03--</v>
      </c>
      <c r="I3024" s="129" t="str">
        <f>MID(H3024,1,(LEN(H3024)-VLOOKUP(K3024,datos!$B$2:$C$12,2,0)))</f>
        <v>TCCN-PTE-PRS-SPF-B03</v>
      </c>
      <c r="J3024" s="129" t="s">
        <v>5320</v>
      </c>
      <c r="K3024" s="130">
        <f>VLOOKUP(LEN(SUBSTITUTE(H3024,"-","")),datos!$A$1:$B$12,2,0)</f>
        <v>5</v>
      </c>
      <c r="L3024" s="129" t="s">
        <v>5112</v>
      </c>
      <c r="M3024" s="129" t="s">
        <v>0</v>
      </c>
    </row>
    <row r="3025" spans="1:13" x14ac:dyDescent="0.35">
      <c r="A3025" s="137" t="s">
        <v>487</v>
      </c>
      <c r="B3025" s="137" t="s">
        <v>3809</v>
      </c>
      <c r="C3025" s="137" t="s">
        <v>4130</v>
      </c>
      <c r="D3025" s="137" t="s">
        <v>4131</v>
      </c>
      <c r="E3025" s="137" t="s">
        <v>4017</v>
      </c>
      <c r="F3025" s="137" t="s">
        <v>3847</v>
      </c>
      <c r="G3025" s="137"/>
      <c r="H3025" s="82" t="str">
        <f t="shared" ref="H3025:H3026" si="203">CONCATENATE(A3025,"-",B3025,"-",C3025,"-",D3025,"-",E3025,"-",F3025,"-",G3025)</f>
        <v>TCCN-PTE-PRS-SPF-B03-SMO-</v>
      </c>
      <c r="I3025" s="137" t="str">
        <f>MID(H3025,1,(LEN(H3025)-VLOOKUP(K3025,datos!$B$2:$C$12,2,0)))</f>
        <v>TCCN-PTE-PRS-SPF-B03-SMO</v>
      </c>
      <c r="J3025" s="137" t="s">
        <v>5628</v>
      </c>
      <c r="K3025" s="139">
        <f>VLOOKUP(LEN(SUBSTITUTE(H3025,"-","")),datos!$A$1:$B$12,2,0)</f>
        <v>6</v>
      </c>
      <c r="L3025" s="137"/>
      <c r="M3025" s="137" t="s">
        <v>0</v>
      </c>
    </row>
    <row r="3026" spans="1:13" x14ac:dyDescent="0.35">
      <c r="A3026" s="138" t="s">
        <v>487</v>
      </c>
      <c r="B3026" s="138" t="s">
        <v>3809</v>
      </c>
      <c r="C3026" s="138" t="s">
        <v>4130</v>
      </c>
      <c r="D3026" s="138" t="s">
        <v>4131</v>
      </c>
      <c r="E3026" s="138" t="s">
        <v>4017</v>
      </c>
      <c r="F3026" s="138" t="s">
        <v>3847</v>
      </c>
      <c r="G3026" s="138" t="s">
        <v>3819</v>
      </c>
      <c r="H3026" s="81" t="str">
        <f t="shared" si="203"/>
        <v>TCCN-PTE-PRS-SPF-B03-SMO-MOE</v>
      </c>
      <c r="I3026" s="138" t="str">
        <f>MID(H3026,1,(LEN(H3026)-VLOOKUP(K3026,datos!$B$2:$C$12,2,0)))</f>
        <v>TCCN-PTE-PRS-SPF-B03-SMO-MOE</v>
      </c>
      <c r="J3026" s="138" t="s">
        <v>5629</v>
      </c>
      <c r="K3026" s="140">
        <f>VLOOKUP(LEN(SUBSTITUTE(H3026,"-","")),datos!$A$1:$B$12,2,0)</f>
        <v>7</v>
      </c>
      <c r="L3026" s="138" t="s">
        <v>5113</v>
      </c>
      <c r="M3026" s="138" t="s">
        <v>0</v>
      </c>
    </row>
    <row r="3027" spans="1:13" customFormat="1" ht="14.5" x14ac:dyDescent="0.35">
      <c r="A3027" s="129" t="s">
        <v>487</v>
      </c>
      <c r="B3027" s="129" t="s">
        <v>3809</v>
      </c>
      <c r="C3027" s="129" t="s">
        <v>4130</v>
      </c>
      <c r="D3027" s="129" t="s">
        <v>4131</v>
      </c>
      <c r="E3027" s="129" t="s">
        <v>4049</v>
      </c>
      <c r="F3027" s="129"/>
      <c r="G3027" s="129"/>
      <c r="H3027" s="83" t="str">
        <f t="shared" ref="H3027:H3066" si="204">CONCATENATE(A3027,"-",B3027,"-",C3027,"-",D3027,"-",E3027,"-",F3027,"-",G3027)</f>
        <v>TCCN-PTE-PRS-SPF-B04--</v>
      </c>
      <c r="I3027" s="129" t="str">
        <f>MID(H3027,1,(LEN(H3027)-VLOOKUP(K3027,datos!$B$2:$C$12,2,0)))</f>
        <v>TCCN-PTE-PRS-SPF-B04</v>
      </c>
      <c r="J3027" s="129" t="s">
        <v>5321</v>
      </c>
      <c r="K3027" s="130">
        <f>VLOOKUP(LEN(SUBSTITUTE(H3027,"-","")),datos!$A$1:$B$12,2,0)</f>
        <v>5</v>
      </c>
      <c r="L3027" s="129" t="s">
        <v>5115</v>
      </c>
      <c r="M3027" s="129" t="s">
        <v>0</v>
      </c>
    </row>
    <row r="3028" spans="1:13" x14ac:dyDescent="0.35">
      <c r="A3028" s="137" t="s">
        <v>487</v>
      </c>
      <c r="B3028" s="137" t="s">
        <v>3809</v>
      </c>
      <c r="C3028" s="137" t="s">
        <v>4130</v>
      </c>
      <c r="D3028" s="137" t="s">
        <v>4131</v>
      </c>
      <c r="E3028" s="137" t="s">
        <v>4049</v>
      </c>
      <c r="F3028" s="137" t="s">
        <v>3847</v>
      </c>
      <c r="G3028" s="137"/>
      <c r="H3028" s="82" t="str">
        <f t="shared" si="204"/>
        <v>TCCN-PTE-PRS-SPF-B04-SMO-</v>
      </c>
      <c r="I3028" s="137" t="str">
        <f>MID(H3028,1,(LEN(H3028)-VLOOKUP(K3028,datos!$B$2:$C$12,2,0)))</f>
        <v>TCCN-PTE-PRS-SPF-B04-SMO</v>
      </c>
      <c r="J3028" s="137" t="s">
        <v>5630</v>
      </c>
      <c r="K3028" s="139">
        <f>VLOOKUP(LEN(SUBSTITUTE(H3028,"-","")),datos!$A$1:$B$12,2,0)</f>
        <v>6</v>
      </c>
      <c r="L3028" s="137"/>
      <c r="M3028" s="137" t="s">
        <v>0</v>
      </c>
    </row>
    <row r="3029" spans="1:13" x14ac:dyDescent="0.35">
      <c r="A3029" s="138" t="s">
        <v>487</v>
      </c>
      <c r="B3029" s="138" t="s">
        <v>3809</v>
      </c>
      <c r="C3029" s="138" t="s">
        <v>4130</v>
      </c>
      <c r="D3029" s="138" t="s">
        <v>4131</v>
      </c>
      <c r="E3029" s="138" t="s">
        <v>4049</v>
      </c>
      <c r="F3029" s="138" t="s">
        <v>3847</v>
      </c>
      <c r="G3029" s="138" t="s">
        <v>3819</v>
      </c>
      <c r="H3029" s="81" t="str">
        <f t="shared" si="204"/>
        <v>TCCN-PTE-PRS-SPF-B04-SMO-MOE</v>
      </c>
      <c r="I3029" s="138" t="str">
        <f>MID(H3029,1,(LEN(H3029)-VLOOKUP(K3029,datos!$B$2:$C$12,2,0)))</f>
        <v>TCCN-PTE-PRS-SPF-B04-SMO-MOE</v>
      </c>
      <c r="J3029" s="138" t="s">
        <v>5631</v>
      </c>
      <c r="K3029" s="140">
        <f>VLOOKUP(LEN(SUBSTITUTE(H3029,"-","")),datos!$A$1:$B$12,2,0)</f>
        <v>7</v>
      </c>
      <c r="L3029" s="138" t="s">
        <v>5116</v>
      </c>
      <c r="M3029" s="138" t="s">
        <v>0</v>
      </c>
    </row>
    <row r="3030" spans="1:13" customFormat="1" ht="14.5" x14ac:dyDescent="0.35">
      <c r="A3030" s="129" t="s">
        <v>487</v>
      </c>
      <c r="B3030" s="129" t="s">
        <v>3809</v>
      </c>
      <c r="C3030" s="129" t="s">
        <v>4130</v>
      </c>
      <c r="D3030" s="129" t="s">
        <v>4131</v>
      </c>
      <c r="E3030" s="129" t="s">
        <v>5632</v>
      </c>
      <c r="F3030" s="129"/>
      <c r="G3030" s="129"/>
      <c r="H3030" s="83" t="str">
        <f t="shared" si="204"/>
        <v>TCCN-PTE-PRS-SPF-FJ1--</v>
      </c>
      <c r="I3030" s="129" t="str">
        <f>MID(H3030,1,(LEN(H3030)-VLOOKUP(K3030,datos!$B$2:$C$12,2,0)))</f>
        <v>TCCN-PTE-PRS-SPF-FJ1</v>
      </c>
      <c r="J3030" s="129" t="s">
        <v>5117</v>
      </c>
      <c r="K3030" s="130">
        <f>VLOOKUP(LEN(SUBSTITUTE(H3030,"-","")),datos!$A$1:$B$12,2,0)</f>
        <v>5</v>
      </c>
      <c r="L3030" s="129" t="s">
        <v>5118</v>
      </c>
      <c r="M3030" s="129" t="s">
        <v>0</v>
      </c>
    </row>
    <row r="3031" spans="1:13" customFormat="1" ht="14.5" x14ac:dyDescent="0.35">
      <c r="A3031" s="129" t="s">
        <v>487</v>
      </c>
      <c r="B3031" s="129" t="s">
        <v>3809</v>
      </c>
      <c r="C3031" s="129" t="s">
        <v>4130</v>
      </c>
      <c r="D3031" s="129" t="s">
        <v>4131</v>
      </c>
      <c r="E3031" s="129" t="s">
        <v>5633</v>
      </c>
      <c r="F3031" s="129"/>
      <c r="G3031" s="129"/>
      <c r="H3031" s="83" t="str">
        <f t="shared" si="204"/>
        <v>TCCN-PTE-PRS-SPF-FJ2--</v>
      </c>
      <c r="I3031" s="129" t="str">
        <f>MID(H3031,1,(LEN(H3031)-VLOOKUP(K3031,datos!$B$2:$C$12,2,0)))</f>
        <v>TCCN-PTE-PRS-SPF-FJ2</v>
      </c>
      <c r="J3031" s="129" t="s">
        <v>5119</v>
      </c>
      <c r="K3031" s="130">
        <f>VLOOKUP(LEN(SUBSTITUTE(H3031,"-","")),datos!$A$1:$B$12,2,0)</f>
        <v>5</v>
      </c>
      <c r="L3031" s="129" t="s">
        <v>5120</v>
      </c>
      <c r="M3031" s="129" t="s">
        <v>0</v>
      </c>
    </row>
    <row r="3032" spans="1:13" customFormat="1" ht="14.5" x14ac:dyDescent="0.35">
      <c r="A3032" s="129" t="s">
        <v>487</v>
      </c>
      <c r="B3032" s="129" t="s">
        <v>3809</v>
      </c>
      <c r="C3032" s="129" t="s">
        <v>4130</v>
      </c>
      <c r="D3032" s="129" t="s">
        <v>4131</v>
      </c>
      <c r="E3032" s="129" t="s">
        <v>4114</v>
      </c>
      <c r="F3032" s="129"/>
      <c r="G3032" s="129"/>
      <c r="H3032" s="83" t="str">
        <f t="shared" si="204"/>
        <v>TCCN-PTE-PRS-SPF-B05--</v>
      </c>
      <c r="I3032" s="129" t="str">
        <f>MID(H3032,1,(LEN(H3032)-VLOOKUP(K3032,datos!$B$2:$C$12,2,0)))</f>
        <v>TCCN-PTE-PRS-SPF-B05</v>
      </c>
      <c r="J3032" s="129" t="s">
        <v>5322</v>
      </c>
      <c r="K3032" s="130">
        <f>VLOOKUP(LEN(SUBSTITUTE(H3032,"-","")),datos!$A$1:$B$12,2,0)</f>
        <v>5</v>
      </c>
      <c r="L3032" s="129" t="s">
        <v>5122</v>
      </c>
      <c r="M3032" s="129" t="s">
        <v>0</v>
      </c>
    </row>
    <row r="3033" spans="1:13" x14ac:dyDescent="0.35">
      <c r="A3033" s="137" t="s">
        <v>487</v>
      </c>
      <c r="B3033" s="137" t="s">
        <v>3809</v>
      </c>
      <c r="C3033" s="137" t="s">
        <v>4130</v>
      </c>
      <c r="D3033" s="137" t="s">
        <v>4131</v>
      </c>
      <c r="E3033" s="137" t="s">
        <v>4114</v>
      </c>
      <c r="F3033" s="137" t="s">
        <v>3847</v>
      </c>
      <c r="G3033" s="137"/>
      <c r="H3033" s="82" t="str">
        <f t="shared" ref="H3033:H3034" si="205">CONCATENATE(A3033,"-",B3033,"-",C3033,"-",D3033,"-",E3033,"-",F3033,"-",G3033)</f>
        <v>TCCN-PTE-PRS-SPF-B05-SMO-</v>
      </c>
      <c r="I3033" s="137" t="str">
        <f>MID(H3033,1,(LEN(H3033)-VLOOKUP(K3033,datos!$B$2:$C$12,2,0)))</f>
        <v>TCCN-PTE-PRS-SPF-B05-SMO</v>
      </c>
      <c r="J3033" s="137" t="s">
        <v>5634</v>
      </c>
      <c r="K3033" s="139">
        <f>VLOOKUP(LEN(SUBSTITUTE(H3033,"-","")),datos!$A$1:$B$12,2,0)</f>
        <v>6</v>
      </c>
      <c r="L3033" s="137"/>
      <c r="M3033" s="137" t="s">
        <v>0</v>
      </c>
    </row>
    <row r="3034" spans="1:13" x14ac:dyDescent="0.35">
      <c r="A3034" s="138" t="s">
        <v>487</v>
      </c>
      <c r="B3034" s="138" t="s">
        <v>3809</v>
      </c>
      <c r="C3034" s="138" t="s">
        <v>4130</v>
      </c>
      <c r="D3034" s="138" t="s">
        <v>4131</v>
      </c>
      <c r="E3034" s="138" t="s">
        <v>4114</v>
      </c>
      <c r="F3034" s="138" t="s">
        <v>3847</v>
      </c>
      <c r="G3034" s="138" t="s">
        <v>3819</v>
      </c>
      <c r="H3034" s="81" t="str">
        <f t="shared" si="205"/>
        <v>TCCN-PTE-PRS-SPF-B05-SMO-MOE</v>
      </c>
      <c r="I3034" s="138" t="str">
        <f>MID(H3034,1,(LEN(H3034)-VLOOKUP(K3034,datos!$B$2:$C$12,2,0)))</f>
        <v>TCCN-PTE-PRS-SPF-B05-SMO-MOE</v>
      </c>
      <c r="J3034" s="138" t="s">
        <v>5635</v>
      </c>
      <c r="K3034" s="140">
        <f>VLOOKUP(LEN(SUBSTITUTE(H3034,"-","")),datos!$A$1:$B$12,2,0)</f>
        <v>7</v>
      </c>
      <c r="L3034" s="138" t="s">
        <v>5123</v>
      </c>
      <c r="M3034" s="138" t="s">
        <v>0</v>
      </c>
    </row>
    <row r="3035" spans="1:13" customFormat="1" ht="14.5" x14ac:dyDescent="0.35">
      <c r="A3035" s="129" t="s">
        <v>487</v>
      </c>
      <c r="B3035" s="129" t="s">
        <v>3809</v>
      </c>
      <c r="C3035" s="129" t="s">
        <v>4130</v>
      </c>
      <c r="D3035" s="129" t="s">
        <v>4131</v>
      </c>
      <c r="E3035" s="129" t="s">
        <v>4116</v>
      </c>
      <c r="F3035" s="129"/>
      <c r="G3035" s="129"/>
      <c r="H3035" s="83" t="str">
        <f t="shared" si="204"/>
        <v>TCCN-PTE-PRS-SPF-B06--</v>
      </c>
      <c r="I3035" s="129" t="str">
        <f>MID(H3035,1,(LEN(H3035)-VLOOKUP(K3035,datos!$B$2:$C$12,2,0)))</f>
        <v>TCCN-PTE-PRS-SPF-B06</v>
      </c>
      <c r="J3035" s="129" t="s">
        <v>5323</v>
      </c>
      <c r="K3035" s="130">
        <f>VLOOKUP(LEN(SUBSTITUTE(H3035,"-","")),datos!$A$1:$B$12,2,0)</f>
        <v>5</v>
      </c>
      <c r="L3035" s="129" t="s">
        <v>5125</v>
      </c>
      <c r="M3035" s="129" t="s">
        <v>0</v>
      </c>
    </row>
    <row r="3036" spans="1:13" x14ac:dyDescent="0.35">
      <c r="A3036" s="137" t="s">
        <v>487</v>
      </c>
      <c r="B3036" s="137" t="s">
        <v>3809</v>
      </c>
      <c r="C3036" s="137" t="s">
        <v>4130</v>
      </c>
      <c r="D3036" s="137" t="s">
        <v>4131</v>
      </c>
      <c r="E3036" s="137" t="s">
        <v>4116</v>
      </c>
      <c r="F3036" s="137" t="s">
        <v>3847</v>
      </c>
      <c r="G3036" s="137"/>
      <c r="H3036" s="82" t="str">
        <f t="shared" si="204"/>
        <v>TCCN-PTE-PRS-SPF-B06-SMO-</v>
      </c>
      <c r="I3036" s="137" t="str">
        <f>MID(H3036,1,(LEN(H3036)-VLOOKUP(K3036,datos!$B$2:$C$12,2,0)))</f>
        <v>TCCN-PTE-PRS-SPF-B06-SMO</v>
      </c>
      <c r="J3036" s="137" t="s">
        <v>5636</v>
      </c>
      <c r="K3036" s="139">
        <f>VLOOKUP(LEN(SUBSTITUTE(H3036,"-","")),datos!$A$1:$B$12,2,0)</f>
        <v>6</v>
      </c>
      <c r="L3036" s="137"/>
      <c r="M3036" s="137" t="s">
        <v>0</v>
      </c>
    </row>
    <row r="3037" spans="1:13" x14ac:dyDescent="0.35">
      <c r="A3037" s="138" t="s">
        <v>487</v>
      </c>
      <c r="B3037" s="138" t="s">
        <v>3809</v>
      </c>
      <c r="C3037" s="138" t="s">
        <v>4130</v>
      </c>
      <c r="D3037" s="138" t="s">
        <v>4131</v>
      </c>
      <c r="E3037" s="138" t="s">
        <v>4116</v>
      </c>
      <c r="F3037" s="138" t="s">
        <v>3847</v>
      </c>
      <c r="G3037" s="138" t="s">
        <v>3819</v>
      </c>
      <c r="H3037" s="81" t="str">
        <f t="shared" si="204"/>
        <v>TCCN-PTE-PRS-SPF-B06-SMO-MOE</v>
      </c>
      <c r="I3037" s="138" t="str">
        <f>MID(H3037,1,(LEN(H3037)-VLOOKUP(K3037,datos!$B$2:$C$12,2,0)))</f>
        <v>TCCN-PTE-PRS-SPF-B06-SMO-MOE</v>
      </c>
      <c r="J3037" s="138" t="s">
        <v>5637</v>
      </c>
      <c r="K3037" s="140">
        <f>VLOOKUP(LEN(SUBSTITUTE(H3037,"-","")),datos!$A$1:$B$12,2,0)</f>
        <v>7</v>
      </c>
      <c r="L3037" s="138" t="s">
        <v>5126</v>
      </c>
      <c r="M3037" s="138" t="s">
        <v>0</v>
      </c>
    </row>
    <row r="3038" spans="1:13" customFormat="1" ht="14.5" x14ac:dyDescent="0.35">
      <c r="A3038" s="129" t="s">
        <v>487</v>
      </c>
      <c r="B3038" s="129" t="s">
        <v>3809</v>
      </c>
      <c r="C3038" s="129" t="s">
        <v>4130</v>
      </c>
      <c r="D3038" s="129" t="s">
        <v>4131</v>
      </c>
      <c r="E3038" s="129" t="s">
        <v>8123</v>
      </c>
      <c r="F3038" s="129"/>
      <c r="G3038" s="129"/>
      <c r="H3038" s="83" t="str">
        <f t="shared" si="204"/>
        <v>TCCN-PTE-PRS-SPF-FJ3--</v>
      </c>
      <c r="I3038" s="129" t="str">
        <f>MID(H3038,1,(LEN(H3038)-VLOOKUP(K3038,datos!$B$2:$C$12,2,0)))</f>
        <v>TCCN-PTE-PRS-SPF-FJ3</v>
      </c>
      <c r="J3038" s="129" t="s">
        <v>5127</v>
      </c>
      <c r="K3038" s="130">
        <f>VLOOKUP(LEN(SUBSTITUTE(H3038,"-","")),datos!$A$1:$B$12,2,0)</f>
        <v>5</v>
      </c>
      <c r="L3038" s="129" t="s">
        <v>5128</v>
      </c>
      <c r="M3038" s="129" t="s">
        <v>0</v>
      </c>
    </row>
    <row r="3039" spans="1:13" customFormat="1" ht="14.5" x14ac:dyDescent="0.35">
      <c r="A3039" s="129" t="s">
        <v>487</v>
      </c>
      <c r="B3039" s="129" t="s">
        <v>3809</v>
      </c>
      <c r="C3039" s="129" t="s">
        <v>4130</v>
      </c>
      <c r="D3039" s="129" t="s">
        <v>4131</v>
      </c>
      <c r="E3039" s="129" t="s">
        <v>8124</v>
      </c>
      <c r="F3039" s="129"/>
      <c r="G3039" s="129"/>
      <c r="H3039" s="83" t="str">
        <f t="shared" si="204"/>
        <v>TCCN-PTE-PRS-SPF-FJ4--</v>
      </c>
      <c r="I3039" s="129" t="str">
        <f>MID(H3039,1,(LEN(H3039)-VLOOKUP(K3039,datos!$B$2:$C$12,2,0)))</f>
        <v>TCCN-PTE-PRS-SPF-FJ4</v>
      </c>
      <c r="J3039" s="129" t="s">
        <v>5129</v>
      </c>
      <c r="K3039" s="130">
        <f>VLOOKUP(LEN(SUBSTITUTE(H3039,"-","")),datos!$A$1:$B$12,2,0)</f>
        <v>5</v>
      </c>
      <c r="L3039" s="129" t="s">
        <v>5130</v>
      </c>
      <c r="M3039" s="129" t="s">
        <v>0</v>
      </c>
    </row>
    <row r="3040" spans="1:13" customFormat="1" ht="14.5" x14ac:dyDescent="0.35">
      <c r="A3040" s="129" t="s">
        <v>487</v>
      </c>
      <c r="B3040" s="129" t="s">
        <v>3809</v>
      </c>
      <c r="C3040" s="129" t="s">
        <v>4130</v>
      </c>
      <c r="D3040" s="129" t="s">
        <v>4131</v>
      </c>
      <c r="E3040" s="129" t="s">
        <v>3812</v>
      </c>
      <c r="F3040" s="129"/>
      <c r="G3040" s="129"/>
      <c r="H3040" s="83" t="str">
        <f t="shared" si="204"/>
        <v>TCCN-PTE-PRS-SPF-TOL--</v>
      </c>
      <c r="I3040" s="129" t="str">
        <f>MID(H3040,1,(LEN(H3040)-VLOOKUP(K3040,datos!$B$2:$C$12,2,0)))</f>
        <v>TCCN-PTE-PRS-SPF-TOL</v>
      </c>
      <c r="J3040" s="129" t="s">
        <v>5131</v>
      </c>
      <c r="K3040" s="130">
        <f>VLOOKUP(LEN(SUBSTITUTE(H3040,"-","")),datos!$A$1:$B$12,2,0)</f>
        <v>5</v>
      </c>
      <c r="L3040" s="129" t="s">
        <v>5132</v>
      </c>
      <c r="M3040" s="129" t="s">
        <v>0</v>
      </c>
    </row>
    <row r="3041" spans="1:13" customFormat="1" ht="14.5" x14ac:dyDescent="0.35">
      <c r="A3041" s="129" t="s">
        <v>487</v>
      </c>
      <c r="B3041" s="129" t="s">
        <v>3809</v>
      </c>
      <c r="C3041" s="129" t="s">
        <v>4130</v>
      </c>
      <c r="D3041" s="129" t="s">
        <v>4131</v>
      </c>
      <c r="E3041" s="129" t="s">
        <v>5133</v>
      </c>
      <c r="F3041" s="129"/>
      <c r="G3041" s="129"/>
      <c r="H3041" s="83" t="str">
        <f t="shared" si="204"/>
        <v>TCCN-PTE-PRS-SPF-TND--</v>
      </c>
      <c r="I3041" s="129" t="str">
        <f>MID(H3041,1,(LEN(H3041)-VLOOKUP(K3041,datos!$B$2:$C$12,2,0)))</f>
        <v>TCCN-PTE-PRS-SPF-TND</v>
      </c>
      <c r="J3041" s="129" t="s">
        <v>5134</v>
      </c>
      <c r="K3041" s="130">
        <f>VLOOKUP(LEN(SUBSTITUTE(H3041,"-","")),datos!$A$1:$B$12,2,0)</f>
        <v>5</v>
      </c>
      <c r="L3041" s="129" t="s">
        <v>5135</v>
      </c>
      <c r="M3041" s="129" t="s">
        <v>0</v>
      </c>
    </row>
    <row r="3042" spans="1:13" x14ac:dyDescent="0.35">
      <c r="A3042" s="137" t="s">
        <v>487</v>
      </c>
      <c r="B3042" s="137" t="s">
        <v>3809</v>
      </c>
      <c r="C3042" s="137" t="s">
        <v>4130</v>
      </c>
      <c r="D3042" s="137" t="s">
        <v>4131</v>
      </c>
      <c r="E3042" s="137" t="s">
        <v>5133</v>
      </c>
      <c r="F3042" s="137" t="s">
        <v>3847</v>
      </c>
      <c r="G3042" s="137"/>
      <c r="H3042" s="82" t="str">
        <f t="shared" si="204"/>
        <v>TCCN-PTE-PRS-SPF-TND-SMO-</v>
      </c>
      <c r="I3042" s="137" t="str">
        <f>MID(H3042,1,(LEN(H3042)-VLOOKUP(K3042,datos!$B$2:$C$12,2,0)))</f>
        <v>TCCN-PTE-PRS-SPF-TND-SMO</v>
      </c>
      <c r="J3042" s="137" t="s">
        <v>6567</v>
      </c>
      <c r="K3042" s="139">
        <f>VLOOKUP(LEN(SUBSTITUTE(H3042,"-","")),datos!$A$1:$B$12,2,0)</f>
        <v>6</v>
      </c>
      <c r="L3042" s="137"/>
      <c r="M3042" s="137" t="s">
        <v>0</v>
      </c>
    </row>
    <row r="3043" spans="1:13" x14ac:dyDescent="0.35">
      <c r="A3043" s="138" t="s">
        <v>487</v>
      </c>
      <c r="B3043" s="138" t="s">
        <v>3809</v>
      </c>
      <c r="C3043" s="138" t="s">
        <v>4130</v>
      </c>
      <c r="D3043" s="138" t="s">
        <v>4131</v>
      </c>
      <c r="E3043" s="138" t="s">
        <v>5133</v>
      </c>
      <c r="F3043" s="138" t="s">
        <v>3847</v>
      </c>
      <c r="G3043" s="138" t="s">
        <v>3819</v>
      </c>
      <c r="H3043" s="81" t="str">
        <f t="shared" si="204"/>
        <v>TCCN-PTE-PRS-SPF-TND-SMO-MOE</v>
      </c>
      <c r="I3043" s="138" t="str">
        <f>MID(H3043,1,(LEN(H3043)-VLOOKUP(K3043,datos!$B$2:$C$12,2,0)))</f>
        <v>TCCN-PTE-PRS-SPF-TND-SMO-MOE</v>
      </c>
      <c r="J3043" s="138" t="s">
        <v>6568</v>
      </c>
      <c r="K3043" s="140">
        <f>VLOOKUP(LEN(SUBSTITUTE(H3043,"-","")),datos!$A$1:$B$12,2,0)</f>
        <v>7</v>
      </c>
      <c r="L3043" s="138" t="s">
        <v>5136</v>
      </c>
      <c r="M3043" s="138" t="s">
        <v>0</v>
      </c>
    </row>
    <row r="3044" spans="1:13" customFormat="1" ht="14.5" x14ac:dyDescent="0.35">
      <c r="A3044" s="129" t="s">
        <v>487</v>
      </c>
      <c r="B3044" s="129" t="s">
        <v>3809</v>
      </c>
      <c r="C3044" s="129" t="s">
        <v>4130</v>
      </c>
      <c r="D3044" s="129" t="s">
        <v>4131</v>
      </c>
      <c r="E3044" s="129" t="s">
        <v>3866</v>
      </c>
      <c r="F3044" s="129"/>
      <c r="G3044" s="129"/>
      <c r="H3044" s="83" t="str">
        <f t="shared" si="204"/>
        <v>TCCN-PTE-PRS-SPF-TC1--</v>
      </c>
      <c r="I3044" s="129" t="str">
        <f>MID(H3044,1,(LEN(H3044)-VLOOKUP(K3044,datos!$B$2:$C$12,2,0)))</f>
        <v>TCCN-PTE-PRS-SPF-TC1</v>
      </c>
      <c r="J3044" s="129" t="s">
        <v>5137</v>
      </c>
      <c r="K3044" s="130">
        <f>VLOOKUP(LEN(SUBSTITUTE(H3044,"-","")),datos!$A$1:$B$12,2,0)</f>
        <v>5</v>
      </c>
      <c r="L3044" s="129" t="s">
        <v>5138</v>
      </c>
      <c r="M3044" s="129" t="s">
        <v>0</v>
      </c>
    </row>
    <row r="3045" spans="1:13" customFormat="1" ht="14.5" x14ac:dyDescent="0.35">
      <c r="A3045" s="129" t="s">
        <v>487</v>
      </c>
      <c r="B3045" s="129" t="s">
        <v>3809</v>
      </c>
      <c r="C3045" s="129" t="s">
        <v>4130</v>
      </c>
      <c r="D3045" s="129" t="s">
        <v>4131</v>
      </c>
      <c r="E3045" s="129" t="s">
        <v>3871</v>
      </c>
      <c r="F3045" s="129"/>
      <c r="G3045" s="129"/>
      <c r="H3045" s="83" t="str">
        <f t="shared" si="204"/>
        <v>TCCN-PTE-PRS-SPF-TC2--</v>
      </c>
      <c r="I3045" s="129" t="str">
        <f>MID(H3045,1,(LEN(H3045)-VLOOKUP(K3045,datos!$B$2:$C$12,2,0)))</f>
        <v>TCCN-PTE-PRS-SPF-TC2</v>
      </c>
      <c r="J3045" s="129" t="s">
        <v>5139</v>
      </c>
      <c r="K3045" s="130">
        <f>VLOOKUP(LEN(SUBSTITUTE(H3045,"-","")),datos!$A$1:$B$12,2,0)</f>
        <v>5</v>
      </c>
      <c r="L3045" s="129" t="s">
        <v>5140</v>
      </c>
      <c r="M3045" s="129" t="s">
        <v>0</v>
      </c>
    </row>
    <row r="3046" spans="1:13" customFormat="1" ht="14.5" x14ac:dyDescent="0.35">
      <c r="A3046" s="129" t="s">
        <v>487</v>
      </c>
      <c r="B3046" s="129" t="s">
        <v>3809</v>
      </c>
      <c r="C3046" s="129" t="s">
        <v>4130</v>
      </c>
      <c r="D3046" s="129" t="s">
        <v>4131</v>
      </c>
      <c r="E3046" s="129" t="s">
        <v>5141</v>
      </c>
      <c r="F3046" s="129"/>
      <c r="G3046" s="129"/>
      <c r="H3046" s="83" t="str">
        <f t="shared" si="204"/>
        <v>TCCN-PTE-PRS-SPF-SOP--</v>
      </c>
      <c r="I3046" s="129" t="str">
        <f>MID(H3046,1,(LEN(H3046)-VLOOKUP(K3046,datos!$B$2:$C$12,2,0)))</f>
        <v>TCCN-PTE-PRS-SPF-SOP</v>
      </c>
      <c r="J3046" s="129" t="s">
        <v>5142</v>
      </c>
      <c r="K3046" s="130">
        <f>VLOOKUP(LEN(SUBSTITUTE(H3046,"-","")),datos!$A$1:$B$12,2,0)</f>
        <v>5</v>
      </c>
      <c r="L3046" s="129" t="s">
        <v>5143</v>
      </c>
      <c r="M3046" s="129" t="s">
        <v>0</v>
      </c>
    </row>
    <row r="3047" spans="1:13" x14ac:dyDescent="0.35">
      <c r="A3047" s="137" t="s">
        <v>487</v>
      </c>
      <c r="B3047" s="137" t="s">
        <v>3809</v>
      </c>
      <c r="C3047" s="137" t="s">
        <v>4130</v>
      </c>
      <c r="D3047" s="137" t="s">
        <v>4131</v>
      </c>
      <c r="E3047" s="137" t="s">
        <v>5141</v>
      </c>
      <c r="F3047" s="137" t="s">
        <v>3847</v>
      </c>
      <c r="G3047" s="137"/>
      <c r="H3047" s="82" t="str">
        <f t="shared" si="204"/>
        <v>TCCN-PTE-PRS-SPF-SOP-SMO-</v>
      </c>
      <c r="I3047" s="137" t="str">
        <f>MID(H3047,1,(LEN(H3047)-VLOOKUP(K3047,datos!$B$2:$C$12,2,0)))</f>
        <v>TCCN-PTE-PRS-SPF-SOP-SMO</v>
      </c>
      <c r="J3047" s="137" t="s">
        <v>6569</v>
      </c>
      <c r="K3047" s="139">
        <f>VLOOKUP(LEN(SUBSTITUTE(H3047,"-","")),datos!$A$1:$B$12,2,0)</f>
        <v>6</v>
      </c>
      <c r="L3047" s="137"/>
      <c r="M3047" s="137" t="s">
        <v>0</v>
      </c>
    </row>
    <row r="3048" spans="1:13" x14ac:dyDescent="0.35">
      <c r="A3048" s="138" t="s">
        <v>487</v>
      </c>
      <c r="B3048" s="138" t="s">
        <v>3809</v>
      </c>
      <c r="C3048" s="138" t="s">
        <v>4130</v>
      </c>
      <c r="D3048" s="138" t="s">
        <v>4131</v>
      </c>
      <c r="E3048" s="138" t="s">
        <v>5141</v>
      </c>
      <c r="F3048" s="138" t="s">
        <v>3847</v>
      </c>
      <c r="G3048" s="138" t="s">
        <v>3819</v>
      </c>
      <c r="H3048" s="81" t="str">
        <f t="shared" si="204"/>
        <v>TCCN-PTE-PRS-SPF-SOP-SMO-MOE</v>
      </c>
      <c r="I3048" s="138" t="str">
        <f>MID(H3048,1,(LEN(H3048)-VLOOKUP(K3048,datos!$B$2:$C$12,2,0)))</f>
        <v>TCCN-PTE-PRS-SPF-SOP-SMO-MOE</v>
      </c>
      <c r="J3048" s="138" t="s">
        <v>6570</v>
      </c>
      <c r="K3048" s="140">
        <f>VLOOKUP(LEN(SUBSTITUTE(H3048,"-","")),datos!$A$1:$B$12,2,0)</f>
        <v>7</v>
      </c>
      <c r="L3048" s="138" t="s">
        <v>5144</v>
      </c>
      <c r="M3048" s="138" t="s">
        <v>0</v>
      </c>
    </row>
    <row r="3049" spans="1:13" x14ac:dyDescent="0.35">
      <c r="A3049" s="137" t="s">
        <v>487</v>
      </c>
      <c r="B3049" s="137" t="s">
        <v>3809</v>
      </c>
      <c r="C3049" s="137" t="s">
        <v>4130</v>
      </c>
      <c r="D3049" s="137" t="s">
        <v>4131</v>
      </c>
      <c r="E3049" s="137" t="s">
        <v>5141</v>
      </c>
      <c r="F3049" s="137" t="s">
        <v>5145</v>
      </c>
      <c r="G3049" s="137"/>
      <c r="H3049" s="82" t="str">
        <f t="shared" si="204"/>
        <v>TCCN-PTE-PRS-SPF-SOP-INY-</v>
      </c>
      <c r="I3049" s="137" t="str">
        <f>MID(H3049,1,(LEN(H3049)-VLOOKUP(K3049,datos!$B$2:$C$12,2,0)))</f>
        <v>TCCN-PTE-PRS-SPF-SOP-INY</v>
      </c>
      <c r="J3049" s="137" t="s">
        <v>6571</v>
      </c>
      <c r="K3049" s="139">
        <f>VLOOKUP(LEN(SUBSTITUTE(H3049,"-","")),datos!$A$1:$B$12,2,0)</f>
        <v>6</v>
      </c>
      <c r="L3049" s="137"/>
      <c r="M3049" s="137" t="s">
        <v>0</v>
      </c>
    </row>
    <row r="3050" spans="1:13" x14ac:dyDescent="0.35">
      <c r="A3050" s="138" t="s">
        <v>487</v>
      </c>
      <c r="B3050" s="138" t="s">
        <v>3809</v>
      </c>
      <c r="C3050" s="138" t="s">
        <v>4130</v>
      </c>
      <c r="D3050" s="138" t="s">
        <v>4131</v>
      </c>
      <c r="E3050" s="138" t="s">
        <v>5141</v>
      </c>
      <c r="F3050" s="138" t="s">
        <v>5145</v>
      </c>
      <c r="G3050" s="138" t="s">
        <v>5146</v>
      </c>
      <c r="H3050" s="81" t="str">
        <f t="shared" si="204"/>
        <v>TCCN-PTE-PRS-SPF-SOP-INY-IY1</v>
      </c>
      <c r="I3050" s="138" t="str">
        <f>MID(H3050,1,(LEN(H3050)-VLOOKUP(K3050,datos!$B$2:$C$12,2,0)))</f>
        <v>TCCN-PTE-PRS-SPF-SOP-INY-IY1</v>
      </c>
      <c r="J3050" s="138" t="s">
        <v>6572</v>
      </c>
      <c r="K3050" s="140">
        <f>VLOOKUP(LEN(SUBSTITUTE(H3050,"-","")),datos!$A$1:$B$12,2,0)</f>
        <v>7</v>
      </c>
      <c r="L3050" s="138" t="s">
        <v>5147</v>
      </c>
      <c r="M3050" s="138" t="s">
        <v>0</v>
      </c>
    </row>
    <row r="3051" spans="1:13" x14ac:dyDescent="0.35">
      <c r="A3051" s="138" t="s">
        <v>487</v>
      </c>
      <c r="B3051" s="138" t="s">
        <v>3809</v>
      </c>
      <c r="C3051" s="138" t="s">
        <v>4130</v>
      </c>
      <c r="D3051" s="138" t="s">
        <v>4131</v>
      </c>
      <c r="E3051" s="138" t="s">
        <v>5141</v>
      </c>
      <c r="F3051" s="138" t="s">
        <v>5145</v>
      </c>
      <c r="G3051" s="138" t="s">
        <v>5148</v>
      </c>
      <c r="H3051" s="81" t="str">
        <f t="shared" si="204"/>
        <v>TCCN-PTE-PRS-SPF-SOP-INY-IY2</v>
      </c>
      <c r="I3051" s="138" t="str">
        <f>MID(H3051,1,(LEN(H3051)-VLOOKUP(K3051,datos!$B$2:$C$12,2,0)))</f>
        <v>TCCN-PTE-PRS-SPF-SOP-INY-IY2</v>
      </c>
      <c r="J3051" s="138" t="s">
        <v>6573</v>
      </c>
      <c r="K3051" s="140">
        <f>VLOOKUP(LEN(SUBSTITUTE(H3051,"-","")),datos!$A$1:$B$12,2,0)</f>
        <v>7</v>
      </c>
      <c r="L3051" s="138" t="s">
        <v>5149</v>
      </c>
      <c r="M3051" s="138" t="s">
        <v>0</v>
      </c>
    </row>
    <row r="3052" spans="1:13" x14ac:dyDescent="0.35">
      <c r="A3052" s="138" t="s">
        <v>487</v>
      </c>
      <c r="B3052" s="138" t="s">
        <v>3809</v>
      </c>
      <c r="C3052" s="138" t="s">
        <v>4130</v>
      </c>
      <c r="D3052" s="138" t="s">
        <v>4131</v>
      </c>
      <c r="E3052" s="138" t="s">
        <v>5141</v>
      </c>
      <c r="F3052" s="138" t="s">
        <v>5145</v>
      </c>
      <c r="G3052" s="138" t="s">
        <v>5150</v>
      </c>
      <c r="H3052" s="81" t="str">
        <f t="shared" si="204"/>
        <v>TCCN-PTE-PRS-SPF-SOP-INY-ME1</v>
      </c>
      <c r="I3052" s="138" t="str">
        <f>MID(H3052,1,(LEN(H3052)-VLOOKUP(K3052,datos!$B$2:$C$12,2,0)))</f>
        <v>TCCN-PTE-PRS-SPF-SOP-INY-ME1</v>
      </c>
      <c r="J3052" s="138" t="s">
        <v>6575</v>
      </c>
      <c r="K3052" s="140">
        <f>VLOOKUP(LEN(SUBSTITUTE(H3052,"-","")),datos!$A$1:$B$12,2,0)</f>
        <v>7</v>
      </c>
      <c r="L3052" s="138" t="s">
        <v>5151</v>
      </c>
      <c r="M3052" s="138" t="s">
        <v>0</v>
      </c>
    </row>
    <row r="3053" spans="1:13" x14ac:dyDescent="0.35">
      <c r="A3053" s="138" t="s">
        <v>487</v>
      </c>
      <c r="B3053" s="138" t="s">
        <v>3809</v>
      </c>
      <c r="C3053" s="138" t="s">
        <v>4130</v>
      </c>
      <c r="D3053" s="138" t="s">
        <v>4131</v>
      </c>
      <c r="E3053" s="138" t="s">
        <v>5141</v>
      </c>
      <c r="F3053" s="138" t="s">
        <v>5145</v>
      </c>
      <c r="G3053" s="138" t="s">
        <v>5152</v>
      </c>
      <c r="H3053" s="81" t="str">
        <f t="shared" si="204"/>
        <v>TCCN-PTE-PRS-SPF-SOP-INY-ME2</v>
      </c>
      <c r="I3053" s="138" t="str">
        <f>MID(H3053,1,(LEN(H3053)-VLOOKUP(K3053,datos!$B$2:$C$12,2,0)))</f>
        <v>TCCN-PTE-PRS-SPF-SOP-INY-ME2</v>
      </c>
      <c r="J3053" s="138" t="s">
        <v>6574</v>
      </c>
      <c r="K3053" s="140">
        <f>VLOOKUP(LEN(SUBSTITUTE(H3053,"-","")),datos!$A$1:$B$12,2,0)</f>
        <v>7</v>
      </c>
      <c r="L3053" s="138" t="s">
        <v>5153</v>
      </c>
      <c r="M3053" s="138" t="s">
        <v>0</v>
      </c>
    </row>
    <row r="3054" spans="1:13" customFormat="1" ht="14.5" x14ac:dyDescent="0.35">
      <c r="A3054" s="129" t="s">
        <v>487</v>
      </c>
      <c r="B3054" s="129" t="s">
        <v>3809</v>
      </c>
      <c r="C3054" s="129" t="s">
        <v>4130</v>
      </c>
      <c r="D3054" s="129" t="s">
        <v>4131</v>
      </c>
      <c r="E3054" s="129" t="s">
        <v>4091</v>
      </c>
      <c r="F3054" s="129"/>
      <c r="G3054" s="129"/>
      <c r="H3054" s="83" t="str">
        <f t="shared" si="204"/>
        <v>TCCN-PTE-PRS-SPF-GPC--</v>
      </c>
      <c r="I3054" s="129" t="str">
        <f>MID(H3054,1,(LEN(H3054)-VLOOKUP(K3054,datos!$B$2:$C$12,2,0)))</f>
        <v>TCCN-PTE-PRS-SPF-GPC</v>
      </c>
      <c r="J3054" s="129" t="s">
        <v>5154</v>
      </c>
      <c r="K3054" s="130">
        <f>VLOOKUP(LEN(SUBSTITUTE(H3054,"-","")),datos!$A$1:$B$12,2,0)</f>
        <v>5</v>
      </c>
      <c r="L3054" s="129" t="s">
        <v>5155</v>
      </c>
      <c r="M3054" s="129" t="s">
        <v>0</v>
      </c>
    </row>
    <row r="3055" spans="1:13" x14ac:dyDescent="0.35">
      <c r="A3055" s="137" t="s">
        <v>487</v>
      </c>
      <c r="B3055" s="137" t="s">
        <v>3809</v>
      </c>
      <c r="C3055" s="137" t="s">
        <v>4130</v>
      </c>
      <c r="D3055" s="137" t="s">
        <v>4131</v>
      </c>
      <c r="E3055" s="137" t="s">
        <v>4091</v>
      </c>
      <c r="F3055" s="137" t="s">
        <v>3847</v>
      </c>
      <c r="G3055" s="137"/>
      <c r="H3055" s="82" t="str">
        <f t="shared" si="204"/>
        <v>TCCN-PTE-PRS-SPF-GPC-SMO-</v>
      </c>
      <c r="I3055" s="137" t="str">
        <f>MID(H3055,1,(LEN(H3055)-VLOOKUP(K3055,datos!$B$2:$C$12,2,0)))</f>
        <v>TCCN-PTE-PRS-SPF-GPC-SMO</v>
      </c>
      <c r="J3055" s="137" t="s">
        <v>6576</v>
      </c>
      <c r="K3055" s="139">
        <f>VLOOKUP(LEN(SUBSTITUTE(H3055,"-","")),datos!$A$1:$B$12,2,0)</f>
        <v>6</v>
      </c>
      <c r="L3055" s="137"/>
      <c r="M3055" s="137" t="s">
        <v>0</v>
      </c>
    </row>
    <row r="3056" spans="1:13" x14ac:dyDescent="0.35">
      <c r="A3056" s="138" t="s">
        <v>487</v>
      </c>
      <c r="B3056" s="138" t="s">
        <v>3809</v>
      </c>
      <c r="C3056" s="138" t="s">
        <v>4130</v>
      </c>
      <c r="D3056" s="138" t="s">
        <v>4131</v>
      </c>
      <c r="E3056" s="138" t="s">
        <v>4091</v>
      </c>
      <c r="F3056" s="138" t="s">
        <v>3847</v>
      </c>
      <c r="G3056" s="138" t="s">
        <v>3819</v>
      </c>
      <c r="H3056" s="81" t="str">
        <f t="shared" si="204"/>
        <v>TCCN-PTE-PRS-SPF-GPC-SMO-MOE</v>
      </c>
      <c r="I3056" s="138" t="str">
        <f>MID(H3056,1,(LEN(H3056)-VLOOKUP(K3056,datos!$B$2:$C$12,2,0)))</f>
        <v>TCCN-PTE-PRS-SPF-GPC-SMO-MOE</v>
      </c>
      <c r="J3056" s="138" t="s">
        <v>6577</v>
      </c>
      <c r="K3056" s="140">
        <f>VLOOKUP(LEN(SUBSTITUTE(H3056,"-","")),datos!$A$1:$B$12,2,0)</f>
        <v>7</v>
      </c>
      <c r="L3056" s="138" t="s">
        <v>5156</v>
      </c>
      <c r="M3056" s="138" t="s">
        <v>0</v>
      </c>
    </row>
    <row r="3057" spans="1:13" customFormat="1" ht="14.5" x14ac:dyDescent="0.35">
      <c r="A3057" s="129" t="s">
        <v>487</v>
      </c>
      <c r="B3057" s="129" t="s">
        <v>3809</v>
      </c>
      <c r="C3057" s="129" t="s">
        <v>4130</v>
      </c>
      <c r="D3057" s="129" t="s">
        <v>4131</v>
      </c>
      <c r="E3057" s="129" t="s">
        <v>3880</v>
      </c>
      <c r="F3057" s="129"/>
      <c r="G3057" s="129"/>
      <c r="H3057" s="83" t="str">
        <f t="shared" si="204"/>
        <v>TCCN-PTE-PRS-SPF-DLO--</v>
      </c>
      <c r="I3057" s="129" t="str">
        <f>MID(H3057,1,(LEN(H3057)-VLOOKUP(K3057,datos!$B$2:$C$12,2,0)))</f>
        <v>TCCN-PTE-PRS-SPF-DLO</v>
      </c>
      <c r="J3057" s="129" t="s">
        <v>5157</v>
      </c>
      <c r="K3057" s="130">
        <f>VLOOKUP(LEN(SUBSTITUTE(H3057,"-","")),datos!$A$1:$B$12,2,0)</f>
        <v>5</v>
      </c>
      <c r="L3057" s="129" t="s">
        <v>5158</v>
      </c>
      <c r="M3057" s="129" t="s">
        <v>0</v>
      </c>
    </row>
    <row r="3058" spans="1:13" customFormat="1" ht="14.5" x14ac:dyDescent="0.35">
      <c r="A3058" s="129" t="s">
        <v>487</v>
      </c>
      <c r="B3058" s="129" t="s">
        <v>3809</v>
      </c>
      <c r="C3058" s="129" t="s">
        <v>4130</v>
      </c>
      <c r="D3058" s="129" t="s">
        <v>4131</v>
      </c>
      <c r="E3058" s="129" t="s">
        <v>4721</v>
      </c>
      <c r="F3058" s="129"/>
      <c r="G3058" s="129"/>
      <c r="H3058" s="83" t="str">
        <f t="shared" si="204"/>
        <v>TCCN-PTE-PRS-SPF-TDF--</v>
      </c>
      <c r="I3058" s="129" t="str">
        <f>MID(H3058,1,(LEN(H3058)-VLOOKUP(K3058,datos!$B$2:$C$12,2,0)))</f>
        <v>TCCN-PTE-PRS-SPF-TDF</v>
      </c>
      <c r="J3058" s="129" t="s">
        <v>5159</v>
      </c>
      <c r="K3058" s="130">
        <f>VLOOKUP(LEN(SUBSTITUTE(H3058,"-","")),datos!$A$1:$B$12,2,0)</f>
        <v>5</v>
      </c>
      <c r="L3058" s="129" t="s">
        <v>5160</v>
      </c>
      <c r="M3058" s="129" t="s">
        <v>0</v>
      </c>
    </row>
    <row r="3059" spans="1:13" customFormat="1" ht="14.5" x14ac:dyDescent="0.35">
      <c r="A3059" s="84" t="s">
        <v>487</v>
      </c>
      <c r="B3059" s="84" t="s">
        <v>3809</v>
      </c>
      <c r="C3059" s="84" t="s">
        <v>4130</v>
      </c>
      <c r="D3059" s="84" t="s">
        <v>4132</v>
      </c>
      <c r="E3059" s="84"/>
      <c r="F3059" s="84"/>
      <c r="G3059" s="84"/>
      <c r="H3059" s="84" t="str">
        <f t="shared" si="204"/>
        <v>TCCN-PTE-PRS-PDR---</v>
      </c>
      <c r="I3059" s="84" t="str">
        <f>MID(H3059,1,(LEN(H3059)-VLOOKUP(K3059,datos!$B$2:$C$12,2,0)))</f>
        <v>TCCN-PTE-PRS-PDR</v>
      </c>
      <c r="J3059" s="84" t="s">
        <v>4338</v>
      </c>
      <c r="K3059" s="119">
        <f>VLOOKUP(LEN(SUBSTITUTE(H3059,"-","")),datos!$A$1:$B$12,2,0)</f>
        <v>4</v>
      </c>
      <c r="L3059" s="84"/>
      <c r="M3059" s="84" t="s">
        <v>0</v>
      </c>
    </row>
    <row r="3060" spans="1:13" customFormat="1" ht="14.5" x14ac:dyDescent="0.35">
      <c r="A3060" s="129" t="s">
        <v>487</v>
      </c>
      <c r="B3060" s="129" t="s">
        <v>3809</v>
      </c>
      <c r="C3060" s="129" t="s">
        <v>4130</v>
      </c>
      <c r="D3060" s="129" t="s">
        <v>4132</v>
      </c>
      <c r="E3060" s="129" t="s">
        <v>4051</v>
      </c>
      <c r="F3060" s="129"/>
      <c r="G3060" s="129"/>
      <c r="H3060" s="83" t="str">
        <f t="shared" si="204"/>
        <v>TCCN-PTE-PRS-PDR-ES1--</v>
      </c>
      <c r="I3060" s="129" t="str">
        <f>MID(H3060,1,(LEN(H3060)-VLOOKUP(K3060,datos!$B$2:$C$12,2,0)))</f>
        <v>TCCN-PTE-PRS-PDR-ES1</v>
      </c>
      <c r="J3060" s="129" t="s">
        <v>5161</v>
      </c>
      <c r="K3060" s="130">
        <f>VLOOKUP(LEN(SUBSTITUTE(H3060,"-","")),datos!$A$1:$B$12,2,0)</f>
        <v>5</v>
      </c>
      <c r="L3060" s="129" t="s">
        <v>5162</v>
      </c>
      <c r="M3060" s="129" t="s">
        <v>0</v>
      </c>
    </row>
    <row r="3061" spans="1:13" x14ac:dyDescent="0.35">
      <c r="A3061" s="137" t="s">
        <v>487</v>
      </c>
      <c r="B3061" s="137" t="s">
        <v>3809</v>
      </c>
      <c r="C3061" s="137" t="s">
        <v>4124</v>
      </c>
      <c r="D3061" s="137" t="s">
        <v>4132</v>
      </c>
      <c r="E3061" s="137" t="s">
        <v>4051</v>
      </c>
      <c r="F3061" s="137" t="s">
        <v>5253</v>
      </c>
      <c r="G3061" s="137"/>
      <c r="H3061" s="82" t="str">
        <f t="shared" si="204"/>
        <v>TCCN-PTE-PAF-PDR-ES1-CYV-</v>
      </c>
      <c r="I3061" s="137" t="str">
        <f>MID(H3061,1,(LEN(H3061)-VLOOKUP(K3061,datos!$B$2:$C$12,2,0)))</f>
        <v>TCCN-PTE-PAF-PDR-ES1-CYV</v>
      </c>
      <c r="J3061" s="137" t="s">
        <v>6578</v>
      </c>
      <c r="K3061" s="139">
        <f>VLOOKUP(LEN(SUBSTITUTE(H3061,"-","")),datos!$A$1:$B$12,2,0)</f>
        <v>6</v>
      </c>
      <c r="L3061" s="137"/>
      <c r="M3061" s="137" t="s">
        <v>0</v>
      </c>
    </row>
    <row r="3062" spans="1:13" x14ac:dyDescent="0.35">
      <c r="A3062" s="138" t="s">
        <v>487</v>
      </c>
      <c r="B3062" s="138" t="s">
        <v>3809</v>
      </c>
      <c r="C3062" s="138" t="s">
        <v>4124</v>
      </c>
      <c r="D3062" s="138" t="s">
        <v>4132</v>
      </c>
      <c r="E3062" s="138" t="s">
        <v>4051</v>
      </c>
      <c r="F3062" s="138" t="s">
        <v>5253</v>
      </c>
      <c r="G3062" s="138" t="s">
        <v>5254</v>
      </c>
      <c r="H3062" s="118" t="str">
        <f t="shared" si="204"/>
        <v>TCCN-PTE-PAF-PDR-ES1-CYV-VM1</v>
      </c>
      <c r="I3062" s="138" t="str">
        <f>MID(H3062,1,(LEN(H3062)-VLOOKUP(K3062,datos!$B$2:$C$12,2,0)))</f>
        <v>TCCN-PTE-PAF-PDR-ES1-CYV-VM1</v>
      </c>
      <c r="J3062" s="138" t="s">
        <v>7916</v>
      </c>
      <c r="K3062" s="140">
        <f>VLOOKUP(LEN(SUBSTITUTE(H3062,"-","")),datos!$A$1:$B$12,2,0)</f>
        <v>7</v>
      </c>
      <c r="L3062" s="138"/>
      <c r="M3062" s="138" t="s">
        <v>0</v>
      </c>
    </row>
    <row r="3063" spans="1:13" x14ac:dyDescent="0.35">
      <c r="A3063" s="138" t="s">
        <v>487</v>
      </c>
      <c r="B3063" s="138" t="s">
        <v>3809</v>
      </c>
      <c r="C3063" s="138" t="s">
        <v>4124</v>
      </c>
      <c r="D3063" s="138" t="s">
        <v>4132</v>
      </c>
      <c r="E3063" s="138" t="s">
        <v>4051</v>
      </c>
      <c r="F3063" s="138" t="s">
        <v>5253</v>
      </c>
      <c r="G3063" s="138" t="s">
        <v>5255</v>
      </c>
      <c r="H3063" s="81" t="str">
        <f t="shared" si="204"/>
        <v>TCCN-PTE-PAF-PDR-ES1-CYV-VM2</v>
      </c>
      <c r="I3063" s="138" t="str">
        <f>MID(H3063,1,(LEN(H3063)-VLOOKUP(K3063,datos!$B$2:$C$12,2,0)))</f>
        <v>TCCN-PTE-PAF-PDR-ES1-CYV-VM2</v>
      </c>
      <c r="J3063" s="138" t="s">
        <v>7917</v>
      </c>
      <c r="K3063" s="140">
        <f>VLOOKUP(LEN(SUBSTITUTE(H3063,"-","")),datos!$A$1:$B$12,2,0)</f>
        <v>7</v>
      </c>
      <c r="L3063" s="138"/>
      <c r="M3063" s="138" t="s">
        <v>0</v>
      </c>
    </row>
    <row r="3064" spans="1:13" x14ac:dyDescent="0.35">
      <c r="A3064" s="138" t="s">
        <v>487</v>
      </c>
      <c r="B3064" s="138" t="s">
        <v>3809</v>
      </c>
      <c r="C3064" s="138" t="s">
        <v>4124</v>
      </c>
      <c r="D3064" s="138" t="s">
        <v>4132</v>
      </c>
      <c r="E3064" s="138" t="s">
        <v>4051</v>
      </c>
      <c r="F3064" s="138" t="s">
        <v>5253</v>
      </c>
      <c r="G3064" s="138" t="s">
        <v>5275</v>
      </c>
      <c r="H3064" s="81" t="str">
        <f t="shared" si="204"/>
        <v>TCCN-PTE-PAF-PDR-ES1-CYV-VM3</v>
      </c>
      <c r="I3064" s="138" t="str">
        <f>MID(H3064,1,(LEN(H3064)-VLOOKUP(K3064,datos!$B$2:$C$12,2,0)))</f>
        <v>TCCN-PTE-PAF-PDR-ES1-CYV-VM3</v>
      </c>
      <c r="J3064" s="138" t="s">
        <v>7918</v>
      </c>
      <c r="K3064" s="140">
        <f>VLOOKUP(LEN(SUBSTITUTE(H3064,"-","")),datos!$A$1:$B$12,2,0)</f>
        <v>7</v>
      </c>
      <c r="L3064" s="138"/>
      <c r="M3064" s="138" t="s">
        <v>0</v>
      </c>
    </row>
    <row r="3065" spans="1:13" x14ac:dyDescent="0.35">
      <c r="A3065" s="137" t="s">
        <v>487</v>
      </c>
      <c r="B3065" s="137" t="s">
        <v>3809</v>
      </c>
      <c r="C3065" s="137" t="s">
        <v>4124</v>
      </c>
      <c r="D3065" s="137" t="s">
        <v>4132</v>
      </c>
      <c r="E3065" s="137" t="s">
        <v>4051</v>
      </c>
      <c r="F3065" s="137" t="s">
        <v>3831</v>
      </c>
      <c r="G3065" s="137"/>
      <c r="H3065" s="82" t="str">
        <f t="shared" si="204"/>
        <v>TCCN-PTE-PAF-PDR-ES1-INS-</v>
      </c>
      <c r="I3065" s="137" t="str">
        <f>MID(H3065,1,(LEN(H3065)-VLOOKUP(K3065,datos!$B$2:$C$12,2,0)))</f>
        <v>TCCN-PTE-PAF-PDR-ES1-INS</v>
      </c>
      <c r="J3065" s="137" t="s">
        <v>6579</v>
      </c>
      <c r="K3065" s="139">
        <f>VLOOKUP(LEN(SUBSTITUTE(H3065,"-","")),datos!$A$1:$B$12,2,0)</f>
        <v>6</v>
      </c>
      <c r="L3065" s="137"/>
      <c r="M3065" s="137" t="s">
        <v>0</v>
      </c>
    </row>
    <row r="3066" spans="1:13" x14ac:dyDescent="0.35">
      <c r="A3066" s="138" t="s">
        <v>487</v>
      </c>
      <c r="B3066" s="138" t="s">
        <v>3809</v>
      </c>
      <c r="C3066" s="138" t="s">
        <v>4124</v>
      </c>
      <c r="D3066" s="138" t="s">
        <v>4132</v>
      </c>
      <c r="E3066" s="138" t="s">
        <v>4051</v>
      </c>
      <c r="F3066" s="138" t="s">
        <v>3831</v>
      </c>
      <c r="G3066" s="138" t="s">
        <v>5256</v>
      </c>
      <c r="H3066" s="81" t="str">
        <f t="shared" si="204"/>
        <v>TCCN-PTE-PAF-PDR-ES1-INS-MNV</v>
      </c>
      <c r="I3066" s="138" t="str">
        <f>MID(H3066,1,(LEN(H3066)-VLOOKUP(K3066,datos!$B$2:$C$12,2,0)))</f>
        <v>TCCN-PTE-PAF-PDR-ES1-INS-MNV</v>
      </c>
      <c r="J3066" s="138" t="s">
        <v>7616</v>
      </c>
      <c r="K3066" s="140">
        <f>VLOOKUP(LEN(SUBSTITUTE(H3066,"-","")),datos!$A$1:$B$12,2,0)</f>
        <v>7</v>
      </c>
      <c r="L3066" s="138" t="s">
        <v>5276</v>
      </c>
      <c r="M3066" s="138" t="s">
        <v>0</v>
      </c>
    </row>
    <row r="3067" spans="1:13" customFormat="1" ht="14.5" x14ac:dyDescent="0.35">
      <c r="A3067" s="129" t="s">
        <v>487</v>
      </c>
      <c r="B3067" s="129" t="s">
        <v>3809</v>
      </c>
      <c r="C3067" s="129" t="s">
        <v>4130</v>
      </c>
      <c r="D3067" s="129" t="s">
        <v>4132</v>
      </c>
      <c r="E3067" s="129" t="s">
        <v>4079</v>
      </c>
      <c r="F3067" s="129"/>
      <c r="G3067" s="129"/>
      <c r="H3067" s="83" t="str">
        <f t="shared" ref="H3067:H3112" si="206">CONCATENATE(A3067,"-",B3067,"-",C3067,"-",D3067,"-",E3067,"-",F3067,"-",G3067)</f>
        <v>TCCN-PTE-PRS-PDR-ES2--</v>
      </c>
      <c r="I3067" s="129" t="str">
        <f>MID(H3067,1,(LEN(H3067)-VLOOKUP(K3067,datos!$B$2:$C$12,2,0)))</f>
        <v>TCCN-PTE-PRS-PDR-ES2</v>
      </c>
      <c r="J3067" s="129" t="s">
        <v>5163</v>
      </c>
      <c r="K3067" s="130">
        <f>VLOOKUP(LEN(SUBSTITUTE(H3067,"-","")),datos!$A$1:$B$12,2,0)</f>
        <v>5</v>
      </c>
      <c r="L3067" s="129" t="s">
        <v>5164</v>
      </c>
      <c r="M3067" s="129" t="s">
        <v>0</v>
      </c>
    </row>
    <row r="3068" spans="1:13" x14ac:dyDescent="0.35">
      <c r="A3068" s="137" t="s">
        <v>487</v>
      </c>
      <c r="B3068" s="137" t="s">
        <v>3809</v>
      </c>
      <c r="C3068" s="137" t="s">
        <v>4124</v>
      </c>
      <c r="D3068" s="137" t="s">
        <v>4132</v>
      </c>
      <c r="E3068" s="137" t="s">
        <v>4079</v>
      </c>
      <c r="F3068" s="137" t="s">
        <v>5253</v>
      </c>
      <c r="G3068" s="137"/>
      <c r="H3068" s="82" t="str">
        <f t="shared" si="206"/>
        <v>TCCN-PTE-PAF-PDR-ES2-CYV-</v>
      </c>
      <c r="I3068" s="137" t="str">
        <f>MID(H3068,1,(LEN(H3068)-VLOOKUP(K3068,datos!$B$2:$C$12,2,0)))</f>
        <v>TCCN-PTE-PAF-PDR-ES2-CYV</v>
      </c>
      <c r="J3068" s="137" t="s">
        <v>6581</v>
      </c>
      <c r="K3068" s="139">
        <f>VLOOKUP(LEN(SUBSTITUTE(H3068,"-","")),datos!$A$1:$B$12,2,0)</f>
        <v>6</v>
      </c>
      <c r="L3068" s="137"/>
      <c r="M3068" s="137" t="s">
        <v>0</v>
      </c>
    </row>
    <row r="3069" spans="1:13" x14ac:dyDescent="0.35">
      <c r="A3069" s="138" t="s">
        <v>487</v>
      </c>
      <c r="B3069" s="138" t="s">
        <v>3809</v>
      </c>
      <c r="C3069" s="138" t="s">
        <v>4124</v>
      </c>
      <c r="D3069" s="138" t="s">
        <v>4132</v>
      </c>
      <c r="E3069" s="138" t="s">
        <v>4079</v>
      </c>
      <c r="F3069" s="138" t="s">
        <v>5253</v>
      </c>
      <c r="G3069" s="138" t="s">
        <v>3986</v>
      </c>
      <c r="H3069" s="118" t="str">
        <f t="shared" si="206"/>
        <v>TCCN-PTE-PAF-PDR-ES2-CYV-VV1</v>
      </c>
      <c r="I3069" s="138" t="str">
        <f>MID(H3069,1,(LEN(H3069)-VLOOKUP(K3069,datos!$B$2:$C$12,2,0)))</f>
        <v>TCCN-PTE-PAF-PDR-ES2-CYV-VV1</v>
      </c>
      <c r="J3069" s="138" t="s">
        <v>7919</v>
      </c>
      <c r="K3069" s="140">
        <f>VLOOKUP(LEN(SUBSTITUTE(H3069,"-","")),datos!$A$1:$B$12,2,0)</f>
        <v>7</v>
      </c>
      <c r="L3069" s="138"/>
      <c r="M3069" s="138" t="s">
        <v>0</v>
      </c>
    </row>
    <row r="3070" spans="1:13" x14ac:dyDescent="0.35">
      <c r="A3070" s="138" t="s">
        <v>487</v>
      </c>
      <c r="B3070" s="138" t="s">
        <v>3809</v>
      </c>
      <c r="C3070" s="138" t="s">
        <v>4124</v>
      </c>
      <c r="D3070" s="138" t="s">
        <v>4132</v>
      </c>
      <c r="E3070" s="138" t="s">
        <v>4079</v>
      </c>
      <c r="F3070" s="138" t="s">
        <v>5253</v>
      </c>
      <c r="G3070" s="138" t="s">
        <v>3987</v>
      </c>
      <c r="H3070" s="81" t="str">
        <f t="shared" si="206"/>
        <v>TCCN-PTE-PAF-PDR-ES2-CYV-VV2</v>
      </c>
      <c r="I3070" s="138" t="str">
        <f>MID(H3070,1,(LEN(H3070)-VLOOKUP(K3070,datos!$B$2:$C$12,2,0)))</f>
        <v>TCCN-PTE-PAF-PDR-ES2-CYV-VV2</v>
      </c>
      <c r="J3070" s="138" t="s">
        <v>7920</v>
      </c>
      <c r="K3070" s="140">
        <f>VLOOKUP(LEN(SUBSTITUTE(H3070,"-","")),datos!$A$1:$B$12,2,0)</f>
        <v>7</v>
      </c>
      <c r="L3070" s="138"/>
      <c r="M3070" s="138" t="s">
        <v>0</v>
      </c>
    </row>
    <row r="3071" spans="1:13" x14ac:dyDescent="0.35">
      <c r="A3071" s="137" t="s">
        <v>487</v>
      </c>
      <c r="B3071" s="137" t="s">
        <v>3809</v>
      </c>
      <c r="C3071" s="137" t="s">
        <v>4124</v>
      </c>
      <c r="D3071" s="137" t="s">
        <v>4132</v>
      </c>
      <c r="E3071" s="137" t="s">
        <v>4079</v>
      </c>
      <c r="F3071" s="137" t="s">
        <v>3831</v>
      </c>
      <c r="G3071" s="137"/>
      <c r="H3071" s="82" t="str">
        <f t="shared" si="206"/>
        <v>TCCN-PTE-PAF-PDR-ES2-INS-</v>
      </c>
      <c r="I3071" s="137" t="str">
        <f>MID(H3071,1,(LEN(H3071)-VLOOKUP(K3071,datos!$B$2:$C$12,2,0)))</f>
        <v>TCCN-PTE-PAF-PDR-ES2-INS</v>
      </c>
      <c r="J3071" s="137" t="s">
        <v>6580</v>
      </c>
      <c r="K3071" s="139">
        <f>VLOOKUP(LEN(SUBSTITUTE(H3071,"-","")),datos!$A$1:$B$12,2,0)</f>
        <v>6</v>
      </c>
      <c r="L3071" s="137"/>
      <c r="M3071" s="137" t="s">
        <v>0</v>
      </c>
    </row>
    <row r="3072" spans="1:13" x14ac:dyDescent="0.35">
      <c r="A3072" s="138" t="s">
        <v>487</v>
      </c>
      <c r="B3072" s="138" t="s">
        <v>3809</v>
      </c>
      <c r="C3072" s="138" t="s">
        <v>4124</v>
      </c>
      <c r="D3072" s="138" t="s">
        <v>4132</v>
      </c>
      <c r="E3072" s="138" t="s">
        <v>4079</v>
      </c>
      <c r="F3072" s="138" t="s">
        <v>3831</v>
      </c>
      <c r="G3072" s="138" t="s">
        <v>5256</v>
      </c>
      <c r="H3072" s="81" t="str">
        <f t="shared" si="206"/>
        <v>TCCN-PTE-PAF-PDR-ES2-INS-MNV</v>
      </c>
      <c r="I3072" s="138" t="str">
        <f>MID(H3072,1,(LEN(H3072)-VLOOKUP(K3072,datos!$B$2:$C$12,2,0)))</f>
        <v>TCCN-PTE-PAF-PDR-ES2-INS-MNV</v>
      </c>
      <c r="J3072" s="138" t="s">
        <v>7617</v>
      </c>
      <c r="K3072" s="140">
        <f>VLOOKUP(LEN(SUBSTITUTE(H3072,"-","")),datos!$A$1:$B$12,2,0)</f>
        <v>7</v>
      </c>
      <c r="L3072" s="138" t="s">
        <v>5277</v>
      </c>
      <c r="M3072" s="138" t="s">
        <v>0</v>
      </c>
    </row>
    <row r="3073" spans="1:13" customFormat="1" ht="14.5" x14ac:dyDescent="0.35">
      <c r="A3073" s="129" t="s">
        <v>487</v>
      </c>
      <c r="B3073" s="129" t="s">
        <v>3809</v>
      </c>
      <c r="C3073" s="129" t="s">
        <v>4130</v>
      </c>
      <c r="D3073" s="129" t="s">
        <v>4132</v>
      </c>
      <c r="E3073" s="129" t="s">
        <v>3947</v>
      </c>
      <c r="F3073" s="129"/>
      <c r="G3073" s="129"/>
      <c r="H3073" s="83" t="str">
        <f t="shared" si="206"/>
        <v>TCCN-PTE-PRS-PDR-B01--</v>
      </c>
      <c r="I3073" s="129" t="str">
        <f>MID(H3073,1,(LEN(H3073)-VLOOKUP(K3073,datos!$B$2:$C$12,2,0)))</f>
        <v>TCCN-PTE-PRS-PDR-B01</v>
      </c>
      <c r="J3073" s="129" t="s">
        <v>5638</v>
      </c>
      <c r="K3073" s="130">
        <f>VLOOKUP(LEN(SUBSTITUTE(H3073,"-","")),datos!$A$1:$B$12,2,0)</f>
        <v>5</v>
      </c>
      <c r="L3073" s="129" t="s">
        <v>5165</v>
      </c>
      <c r="M3073" s="129" t="s">
        <v>0</v>
      </c>
    </row>
    <row r="3074" spans="1:13" x14ac:dyDescent="0.35">
      <c r="A3074" s="137" t="s">
        <v>487</v>
      </c>
      <c r="B3074" s="137" t="s">
        <v>3809</v>
      </c>
      <c r="C3074" s="137" t="s">
        <v>4130</v>
      </c>
      <c r="D3074" s="137" t="s">
        <v>4132</v>
      </c>
      <c r="E3074" s="137" t="s">
        <v>3947</v>
      </c>
      <c r="F3074" s="137" t="s">
        <v>3847</v>
      </c>
      <c r="G3074" s="137"/>
      <c r="H3074" s="82" t="str">
        <f t="shared" si="206"/>
        <v>TCCN-PTE-PRS-PDR-B01-SMO-</v>
      </c>
      <c r="I3074" s="137" t="str">
        <f>MID(H3074,1,(LEN(H3074)-VLOOKUP(K3074,datos!$B$2:$C$12,2,0)))</f>
        <v>TCCN-PTE-PRS-PDR-B01-SMO</v>
      </c>
      <c r="J3074" s="137" t="s">
        <v>5639</v>
      </c>
      <c r="K3074" s="139">
        <f>VLOOKUP(LEN(SUBSTITUTE(H3074,"-","")),datos!$A$1:$B$12,2,0)</f>
        <v>6</v>
      </c>
      <c r="L3074" s="137"/>
      <c r="M3074" s="137" t="s">
        <v>0</v>
      </c>
    </row>
    <row r="3075" spans="1:13" x14ac:dyDescent="0.35">
      <c r="A3075" s="138" t="s">
        <v>487</v>
      </c>
      <c r="B3075" s="138" t="s">
        <v>3809</v>
      </c>
      <c r="C3075" s="138" t="s">
        <v>4130</v>
      </c>
      <c r="D3075" s="138" t="s">
        <v>4132</v>
      </c>
      <c r="E3075" s="138" t="s">
        <v>3947</v>
      </c>
      <c r="F3075" s="138" t="s">
        <v>3847</v>
      </c>
      <c r="G3075" s="138" t="s">
        <v>3819</v>
      </c>
      <c r="H3075" s="81" t="str">
        <f t="shared" si="206"/>
        <v>TCCN-PTE-PRS-PDR-B01-SMO-MOE</v>
      </c>
      <c r="I3075" s="138" t="str">
        <f>MID(H3075,1,(LEN(H3075)-VLOOKUP(K3075,datos!$B$2:$C$12,2,0)))</f>
        <v>TCCN-PTE-PRS-PDR-B01-SMO-MOE</v>
      </c>
      <c r="J3075" s="138" t="s">
        <v>5640</v>
      </c>
      <c r="K3075" s="140">
        <f>VLOOKUP(LEN(SUBSTITUTE(H3075,"-","")),datos!$A$1:$B$12,2,0)</f>
        <v>7</v>
      </c>
      <c r="L3075" s="138" t="s">
        <v>5641</v>
      </c>
      <c r="M3075" s="138" t="s">
        <v>0</v>
      </c>
    </row>
    <row r="3076" spans="1:13" customFormat="1" ht="14.5" x14ac:dyDescent="0.35">
      <c r="A3076" s="129" t="s">
        <v>487</v>
      </c>
      <c r="B3076" s="129" t="s">
        <v>3809</v>
      </c>
      <c r="C3076" s="129" t="s">
        <v>4130</v>
      </c>
      <c r="D3076" s="129" t="s">
        <v>4132</v>
      </c>
      <c r="E3076" s="129" t="s">
        <v>3949</v>
      </c>
      <c r="F3076" s="129"/>
      <c r="G3076" s="129"/>
      <c r="H3076" s="83" t="str">
        <f t="shared" si="206"/>
        <v>TCCN-PTE-PRS-PDR-B02--</v>
      </c>
      <c r="I3076" s="129" t="str">
        <f>MID(H3076,1,(LEN(H3076)-VLOOKUP(K3076,datos!$B$2:$C$12,2,0)))</f>
        <v>TCCN-PTE-PRS-PDR-B02</v>
      </c>
      <c r="J3076" s="129" t="s">
        <v>5643</v>
      </c>
      <c r="K3076" s="130">
        <f>VLOOKUP(LEN(SUBSTITUTE(H3076,"-","")),datos!$A$1:$B$12,2,0)</f>
        <v>5</v>
      </c>
      <c r="L3076" s="129" t="s">
        <v>5166</v>
      </c>
      <c r="M3076" s="129" t="s">
        <v>0</v>
      </c>
    </row>
    <row r="3077" spans="1:13" x14ac:dyDescent="0.35">
      <c r="A3077" s="137" t="s">
        <v>487</v>
      </c>
      <c r="B3077" s="137" t="s">
        <v>3809</v>
      </c>
      <c r="C3077" s="137" t="s">
        <v>4130</v>
      </c>
      <c r="D3077" s="137" t="s">
        <v>4132</v>
      </c>
      <c r="E3077" s="137" t="s">
        <v>3949</v>
      </c>
      <c r="F3077" s="137" t="s">
        <v>3847</v>
      </c>
      <c r="G3077" s="137"/>
      <c r="H3077" s="82" t="str">
        <f t="shared" ref="H3077:H3078" si="207">CONCATENATE(A3077,"-",B3077,"-",C3077,"-",D3077,"-",E3077,"-",F3077,"-",G3077)</f>
        <v>TCCN-PTE-PRS-PDR-B02-SMO-</v>
      </c>
      <c r="I3077" s="137" t="str">
        <f>MID(H3077,1,(LEN(H3077)-VLOOKUP(K3077,datos!$B$2:$C$12,2,0)))</f>
        <v>TCCN-PTE-PRS-PDR-B02-SMO</v>
      </c>
      <c r="J3077" s="137" t="s">
        <v>5645</v>
      </c>
      <c r="K3077" s="139">
        <f>VLOOKUP(LEN(SUBSTITUTE(H3077,"-","")),datos!$A$1:$B$12,2,0)</f>
        <v>6</v>
      </c>
      <c r="L3077" s="137"/>
      <c r="M3077" s="137" t="s">
        <v>0</v>
      </c>
    </row>
    <row r="3078" spans="1:13" x14ac:dyDescent="0.35">
      <c r="A3078" s="138" t="s">
        <v>487</v>
      </c>
      <c r="B3078" s="138" t="s">
        <v>3809</v>
      </c>
      <c r="C3078" s="138" t="s">
        <v>4130</v>
      </c>
      <c r="D3078" s="138" t="s">
        <v>4132</v>
      </c>
      <c r="E3078" s="138" t="s">
        <v>3949</v>
      </c>
      <c r="F3078" s="138" t="s">
        <v>3847</v>
      </c>
      <c r="G3078" s="138" t="s">
        <v>3819</v>
      </c>
      <c r="H3078" s="81" t="str">
        <f t="shared" si="207"/>
        <v>TCCN-PTE-PRS-PDR-B02-SMO-MOE</v>
      </c>
      <c r="I3078" s="138" t="str">
        <f>MID(H3078,1,(LEN(H3078)-VLOOKUP(K3078,datos!$B$2:$C$12,2,0)))</f>
        <v>TCCN-PTE-PRS-PDR-B02-SMO-MOE</v>
      </c>
      <c r="J3078" s="138" t="s">
        <v>5646</v>
      </c>
      <c r="K3078" s="140">
        <f>VLOOKUP(LEN(SUBSTITUTE(H3078,"-","")),datos!$A$1:$B$12,2,0)</f>
        <v>7</v>
      </c>
      <c r="L3078" s="138" t="s">
        <v>5644</v>
      </c>
      <c r="M3078" s="138" t="s">
        <v>0</v>
      </c>
    </row>
    <row r="3079" spans="1:13" customFormat="1" ht="14.5" x14ac:dyDescent="0.35">
      <c r="A3079" s="129" t="s">
        <v>487</v>
      </c>
      <c r="B3079" s="129" t="s">
        <v>3809</v>
      </c>
      <c r="C3079" s="129" t="s">
        <v>4130</v>
      </c>
      <c r="D3079" s="129" t="s">
        <v>4132</v>
      </c>
      <c r="E3079" s="129" t="s">
        <v>4017</v>
      </c>
      <c r="F3079" s="129"/>
      <c r="G3079" s="129"/>
      <c r="H3079" s="83" t="str">
        <f t="shared" si="206"/>
        <v>TCCN-PTE-PRS-PDR-B03--</v>
      </c>
      <c r="I3079" s="129" t="str">
        <f>MID(H3079,1,(LEN(H3079)-VLOOKUP(K3079,datos!$B$2:$C$12,2,0)))</f>
        <v>TCCN-PTE-PRS-PDR-B03</v>
      </c>
      <c r="J3079" s="129" t="s">
        <v>5167</v>
      </c>
      <c r="K3079" s="130">
        <f>VLOOKUP(LEN(SUBSTITUTE(H3079,"-","")),datos!$A$1:$B$12,2,0)</f>
        <v>5</v>
      </c>
      <c r="L3079" s="129" t="s">
        <v>5168</v>
      </c>
      <c r="M3079" s="129" t="s">
        <v>0</v>
      </c>
    </row>
    <row r="3080" spans="1:13" x14ac:dyDescent="0.35">
      <c r="A3080" s="137" t="s">
        <v>487</v>
      </c>
      <c r="B3080" s="137" t="s">
        <v>3809</v>
      </c>
      <c r="C3080" s="137" t="s">
        <v>4130</v>
      </c>
      <c r="D3080" s="137" t="s">
        <v>4132</v>
      </c>
      <c r="E3080" s="137" t="s">
        <v>4017</v>
      </c>
      <c r="F3080" s="137" t="s">
        <v>3847</v>
      </c>
      <c r="G3080" s="137"/>
      <c r="H3080" s="82" t="str">
        <f t="shared" si="206"/>
        <v>TCCN-PTE-PRS-PDR-B03-SMO-</v>
      </c>
      <c r="I3080" s="137" t="str">
        <f>MID(H3080,1,(LEN(H3080)-VLOOKUP(K3080,datos!$B$2:$C$12,2,0)))</f>
        <v>TCCN-PTE-PRS-PDR-B03-SMO</v>
      </c>
      <c r="J3080" s="137" t="s">
        <v>5647</v>
      </c>
      <c r="K3080" s="139">
        <f>VLOOKUP(LEN(SUBSTITUTE(H3080,"-","")),datos!$A$1:$B$12,2,0)</f>
        <v>6</v>
      </c>
      <c r="L3080" s="137"/>
      <c r="M3080" s="137" t="s">
        <v>0</v>
      </c>
    </row>
    <row r="3081" spans="1:13" x14ac:dyDescent="0.35">
      <c r="A3081" s="138" t="s">
        <v>487</v>
      </c>
      <c r="B3081" s="138" t="s">
        <v>3809</v>
      </c>
      <c r="C3081" s="138" t="s">
        <v>4130</v>
      </c>
      <c r="D3081" s="138" t="s">
        <v>4132</v>
      </c>
      <c r="E3081" s="138" t="s">
        <v>4017</v>
      </c>
      <c r="F3081" s="138" t="s">
        <v>3847</v>
      </c>
      <c r="G3081" s="138" t="s">
        <v>3819</v>
      </c>
      <c r="H3081" s="81" t="str">
        <f t="shared" si="206"/>
        <v>TCCN-PTE-PRS-PDR-B03-SMO-MOE</v>
      </c>
      <c r="I3081" s="138" t="str">
        <f>MID(H3081,1,(LEN(H3081)-VLOOKUP(K3081,datos!$B$2:$C$12,2,0)))</f>
        <v>TCCN-PTE-PRS-PDR-B03-SMO-MOE</v>
      </c>
      <c r="J3081" s="138" t="s">
        <v>5648</v>
      </c>
      <c r="K3081" s="140">
        <f>VLOOKUP(LEN(SUBSTITUTE(H3081,"-","")),datos!$A$1:$B$12,2,0)</f>
        <v>7</v>
      </c>
      <c r="L3081" s="138" t="s">
        <v>5642</v>
      </c>
      <c r="M3081" s="138" t="s">
        <v>0</v>
      </c>
    </row>
    <row r="3082" spans="1:13" customFormat="1" ht="14.5" x14ac:dyDescent="0.35">
      <c r="A3082" s="129" t="s">
        <v>487</v>
      </c>
      <c r="B3082" s="129" t="s">
        <v>3809</v>
      </c>
      <c r="C3082" s="129" t="s">
        <v>4130</v>
      </c>
      <c r="D3082" s="129" t="s">
        <v>4132</v>
      </c>
      <c r="E3082" s="129" t="s">
        <v>4133</v>
      </c>
      <c r="F3082" s="129"/>
      <c r="G3082" s="129"/>
      <c r="H3082" s="83" t="str">
        <f t="shared" si="206"/>
        <v>TCCN-PTE-PRS-PDR-DL1--</v>
      </c>
      <c r="I3082" s="129" t="str">
        <f>MID(H3082,1,(LEN(H3082)-VLOOKUP(K3082,datos!$B$2:$C$12,2,0)))</f>
        <v>TCCN-PTE-PRS-PDR-DL1</v>
      </c>
      <c r="J3082" s="129" t="s">
        <v>169</v>
      </c>
      <c r="K3082" s="130">
        <f>VLOOKUP(LEN(SUBSTITUTE(H3082,"-","")),datos!$A$1:$B$12,2,0)</f>
        <v>5</v>
      </c>
      <c r="L3082" s="129" t="s">
        <v>595</v>
      </c>
      <c r="M3082" s="129" t="s">
        <v>0</v>
      </c>
    </row>
    <row r="3083" spans="1:13" customFormat="1" ht="14.5" x14ac:dyDescent="0.35">
      <c r="A3083" s="129" t="s">
        <v>487</v>
      </c>
      <c r="B3083" s="129" t="s">
        <v>3809</v>
      </c>
      <c r="C3083" s="129" t="s">
        <v>4130</v>
      </c>
      <c r="D3083" s="129" t="s">
        <v>4132</v>
      </c>
      <c r="E3083" s="129" t="s">
        <v>4134</v>
      </c>
      <c r="F3083" s="129"/>
      <c r="G3083" s="129"/>
      <c r="H3083" s="83" t="str">
        <f t="shared" si="206"/>
        <v>TCCN-PTE-PRS-PDR-DL2--</v>
      </c>
      <c r="I3083" s="129" t="str">
        <f>MID(H3083,1,(LEN(H3083)-VLOOKUP(K3083,datos!$B$2:$C$12,2,0)))</f>
        <v>TCCN-PTE-PRS-PDR-DL2</v>
      </c>
      <c r="J3083" s="129" t="s">
        <v>169</v>
      </c>
      <c r="K3083" s="130">
        <f>VLOOKUP(LEN(SUBSTITUTE(H3083,"-","")),datos!$A$1:$B$12,2,0)</f>
        <v>5</v>
      </c>
      <c r="L3083" s="129" t="s">
        <v>597</v>
      </c>
      <c r="M3083" s="129" t="s">
        <v>0</v>
      </c>
    </row>
    <row r="3084" spans="1:13" customFormat="1" ht="14.5" x14ac:dyDescent="0.35">
      <c r="A3084" s="84" t="s">
        <v>487</v>
      </c>
      <c r="B3084" s="84" t="s">
        <v>3809</v>
      </c>
      <c r="C3084" s="84" t="s">
        <v>4130</v>
      </c>
      <c r="D3084" s="84" t="s">
        <v>4135</v>
      </c>
      <c r="E3084" s="84"/>
      <c r="F3084" s="84"/>
      <c r="G3084" s="84"/>
      <c r="H3084" s="84" t="str">
        <f t="shared" si="206"/>
        <v>TCCN-PTE-PRS-SAC---</v>
      </c>
      <c r="I3084" s="84" t="str">
        <f>MID(H3084,1,(LEN(H3084)-VLOOKUP(K3084,datos!$B$2:$C$12,2,0)))</f>
        <v>TCCN-PTE-PRS-SAC</v>
      </c>
      <c r="J3084" s="84" t="s">
        <v>4339</v>
      </c>
      <c r="K3084" s="119">
        <f>VLOOKUP(LEN(SUBSTITUTE(H3084,"-","")),datos!$A$1:$B$12,2,0)</f>
        <v>4</v>
      </c>
      <c r="L3084" s="84"/>
      <c r="M3084" s="84" t="s">
        <v>0</v>
      </c>
    </row>
    <row r="3085" spans="1:13" customFormat="1" ht="14.5" x14ac:dyDescent="0.35">
      <c r="A3085" s="129" t="s">
        <v>487</v>
      </c>
      <c r="B3085" s="129" t="s">
        <v>3809</v>
      </c>
      <c r="C3085" s="129" t="s">
        <v>4130</v>
      </c>
      <c r="D3085" s="129" t="s">
        <v>4135</v>
      </c>
      <c r="E3085" s="129" t="s">
        <v>4092</v>
      </c>
      <c r="F3085" s="129"/>
      <c r="G3085" s="129"/>
      <c r="H3085" s="83" t="str">
        <f t="shared" si="206"/>
        <v>TCCN-PTE-PRS-SAC-CO1--</v>
      </c>
      <c r="I3085" s="129" t="str">
        <f>MID(H3085,1,(LEN(H3085)-VLOOKUP(K3085,datos!$B$2:$C$12,2,0)))</f>
        <v>TCCN-PTE-PRS-SAC-CO1</v>
      </c>
      <c r="J3085" s="129" t="s">
        <v>5235</v>
      </c>
      <c r="K3085" s="130">
        <f>VLOOKUP(LEN(SUBSTITUTE(H3085,"-","")),datos!$A$1:$B$12,2,0)</f>
        <v>5</v>
      </c>
      <c r="L3085" s="129" t="s">
        <v>5169</v>
      </c>
      <c r="M3085" s="129" t="s">
        <v>0</v>
      </c>
    </row>
    <row r="3086" spans="1:13" x14ac:dyDescent="0.35">
      <c r="A3086" s="137" t="s">
        <v>487</v>
      </c>
      <c r="B3086" s="137" t="s">
        <v>3809</v>
      </c>
      <c r="C3086" s="137" t="s">
        <v>4130</v>
      </c>
      <c r="D3086" s="137" t="s">
        <v>4135</v>
      </c>
      <c r="E3086" s="137" t="s">
        <v>4092</v>
      </c>
      <c r="F3086" s="137" t="s">
        <v>3824</v>
      </c>
      <c r="G3086" s="137"/>
      <c r="H3086" s="82" t="str">
        <f t="shared" si="206"/>
        <v>TCCN-PTE-PRS-SAC-CO1-SES-</v>
      </c>
      <c r="I3086" s="137" t="str">
        <f>MID(H3086,1,(LEN(H3086)-VLOOKUP(K3086,datos!$B$2:$C$12,2,0)))</f>
        <v>TCCN-PTE-PRS-SAC-CO1-SES</v>
      </c>
      <c r="J3086" s="137" t="s">
        <v>5669</v>
      </c>
      <c r="K3086" s="139">
        <f>VLOOKUP(LEN(SUBSTITUTE(H3086,"-","")),datos!$A$1:$B$12,2,0)</f>
        <v>6</v>
      </c>
      <c r="L3086" s="137"/>
      <c r="M3086" s="137" t="s">
        <v>0</v>
      </c>
    </row>
    <row r="3087" spans="1:13" x14ac:dyDescent="0.35">
      <c r="A3087" s="138" t="s">
        <v>487</v>
      </c>
      <c r="B3087" s="138" t="s">
        <v>3809</v>
      </c>
      <c r="C3087" s="138" t="s">
        <v>4130</v>
      </c>
      <c r="D3087" s="138" t="s">
        <v>4135</v>
      </c>
      <c r="E3087" s="138" t="s">
        <v>4092</v>
      </c>
      <c r="F3087" s="138" t="s">
        <v>3824</v>
      </c>
      <c r="G3087" s="138" t="s">
        <v>4035</v>
      </c>
      <c r="H3087" s="81" t="str">
        <f t="shared" si="206"/>
        <v>TCCN-PTE-PRS-SAC-CO1-SES-CON</v>
      </c>
      <c r="I3087" s="138" t="str">
        <f>MID(H3087,1,(LEN(H3087)-VLOOKUP(K3087,datos!$B$2:$C$12,2,0)))</f>
        <v>TCCN-PTE-PRS-SAC-CO1-SES-CON</v>
      </c>
      <c r="J3087" s="138" t="s">
        <v>7259</v>
      </c>
      <c r="K3087" s="140">
        <f>VLOOKUP(LEN(SUBSTITUTE(H3087,"-","")),datos!$A$1:$B$12,2,0)</f>
        <v>7</v>
      </c>
      <c r="L3087" s="138"/>
      <c r="M3087" s="138" t="s">
        <v>0</v>
      </c>
    </row>
    <row r="3088" spans="1:13" x14ac:dyDescent="0.35">
      <c r="A3088" s="138" t="s">
        <v>487</v>
      </c>
      <c r="B3088" s="138" t="s">
        <v>3809</v>
      </c>
      <c r="C3088" s="138" t="s">
        <v>4130</v>
      </c>
      <c r="D3088" s="138" t="s">
        <v>4135</v>
      </c>
      <c r="E3088" s="138" t="s">
        <v>4092</v>
      </c>
      <c r="F3088" s="138" t="s">
        <v>3824</v>
      </c>
      <c r="G3088" s="138" t="s">
        <v>5141</v>
      </c>
      <c r="H3088" s="81" t="str">
        <f t="shared" si="206"/>
        <v>TCCN-PTE-PRS-SAC-CO1-SES-SOP</v>
      </c>
      <c r="I3088" s="138" t="str">
        <f>MID(H3088,1,(LEN(H3088)-VLOOKUP(K3088,datos!$B$2:$C$12,2,0)))</f>
        <v>TCCN-PTE-PRS-SAC-CO1-SES-SOP</v>
      </c>
      <c r="J3088" s="138" t="s">
        <v>7260</v>
      </c>
      <c r="K3088" s="140">
        <f>VLOOKUP(LEN(SUBSTITUTE(H3088,"-","")),datos!$A$1:$B$12,2,0)</f>
        <v>7</v>
      </c>
      <c r="L3088" s="138"/>
      <c r="M3088" s="138" t="s">
        <v>0</v>
      </c>
    </row>
    <row r="3089" spans="1:13" x14ac:dyDescent="0.35">
      <c r="A3089" s="138" t="s">
        <v>487</v>
      </c>
      <c r="B3089" s="138" t="s">
        <v>3809</v>
      </c>
      <c r="C3089" s="138" t="s">
        <v>4130</v>
      </c>
      <c r="D3089" s="138" t="s">
        <v>4135</v>
      </c>
      <c r="E3089" s="138" t="s">
        <v>4092</v>
      </c>
      <c r="F3089" s="138" t="s">
        <v>3824</v>
      </c>
      <c r="G3089" s="138" t="s">
        <v>5670</v>
      </c>
      <c r="H3089" s="81" t="str">
        <f t="shared" si="206"/>
        <v>TCCN-PTE-PRS-SAC-CO1-SES-BAS</v>
      </c>
      <c r="I3089" s="138" t="str">
        <f>MID(H3089,1,(LEN(H3089)-VLOOKUP(K3089,datos!$B$2:$C$12,2,0)))</f>
        <v>TCCN-PTE-PRS-SAC-CO1-SES-BAS</v>
      </c>
      <c r="J3089" s="138" t="s">
        <v>7261</v>
      </c>
      <c r="K3089" s="140">
        <f>VLOOKUP(LEN(SUBSTITUTE(H3089,"-","")),datos!$A$1:$B$12,2,0)</f>
        <v>7</v>
      </c>
      <c r="L3089" s="138"/>
      <c r="M3089" s="138" t="s">
        <v>0</v>
      </c>
    </row>
    <row r="3090" spans="1:13" x14ac:dyDescent="0.35">
      <c r="A3090" s="138" t="s">
        <v>487</v>
      </c>
      <c r="B3090" s="138" t="s">
        <v>3809</v>
      </c>
      <c r="C3090" s="138" t="s">
        <v>4130</v>
      </c>
      <c r="D3090" s="138" t="s">
        <v>4135</v>
      </c>
      <c r="E3090" s="138" t="s">
        <v>4092</v>
      </c>
      <c r="F3090" s="138" t="s">
        <v>3824</v>
      </c>
      <c r="G3090" s="138" t="s">
        <v>4016</v>
      </c>
      <c r="H3090" s="81" t="str">
        <f t="shared" si="206"/>
        <v>TCCN-PTE-PRS-SAC-CO1-SES-PAN</v>
      </c>
      <c r="I3090" s="138" t="str">
        <f>MID(H3090,1,(LEN(H3090)-VLOOKUP(K3090,datos!$B$2:$C$12,2,0)))</f>
        <v>TCCN-PTE-PRS-SAC-CO1-SES-PAN</v>
      </c>
      <c r="J3090" s="138" t="s">
        <v>7262</v>
      </c>
      <c r="K3090" s="140">
        <f>VLOOKUP(LEN(SUBSTITUTE(H3090,"-","")),datos!$A$1:$B$12,2,0)</f>
        <v>7</v>
      </c>
      <c r="L3090" s="138"/>
      <c r="M3090" s="138" t="s">
        <v>0</v>
      </c>
    </row>
    <row r="3091" spans="1:13" x14ac:dyDescent="0.35">
      <c r="A3091" s="138" t="s">
        <v>487</v>
      </c>
      <c r="B3091" s="138" t="s">
        <v>3809</v>
      </c>
      <c r="C3091" s="138" t="s">
        <v>4130</v>
      </c>
      <c r="D3091" s="138" t="s">
        <v>4135</v>
      </c>
      <c r="E3091" s="138" t="s">
        <v>4092</v>
      </c>
      <c r="F3091" s="138" t="s">
        <v>3824</v>
      </c>
      <c r="G3091" s="138" t="s">
        <v>5671</v>
      </c>
      <c r="H3091" s="81" t="str">
        <f t="shared" si="206"/>
        <v>TCCN-PTE-PRS-SAC-CO1-SES-PTA</v>
      </c>
      <c r="I3091" s="138" t="str">
        <f>MID(H3091,1,(LEN(H3091)-VLOOKUP(K3091,datos!$B$2:$C$12,2,0)))</f>
        <v>TCCN-PTE-PRS-SAC-CO1-SES-PTA</v>
      </c>
      <c r="J3091" s="138" t="s">
        <v>7263</v>
      </c>
      <c r="K3091" s="140">
        <f>VLOOKUP(LEN(SUBSTITUTE(H3091,"-","")),datos!$A$1:$B$12,2,0)</f>
        <v>7</v>
      </c>
      <c r="L3091" s="138"/>
      <c r="M3091" s="138" t="s">
        <v>0</v>
      </c>
    </row>
    <row r="3092" spans="1:13" x14ac:dyDescent="0.35">
      <c r="A3092" s="137" t="s">
        <v>487</v>
      </c>
      <c r="B3092" s="137" t="s">
        <v>3809</v>
      </c>
      <c r="C3092" s="137" t="s">
        <v>4130</v>
      </c>
      <c r="D3092" s="137" t="s">
        <v>4135</v>
      </c>
      <c r="E3092" s="137" t="s">
        <v>4092</v>
      </c>
      <c r="F3092" s="137" t="s">
        <v>5666</v>
      </c>
      <c r="G3092" s="137"/>
      <c r="H3092" s="82" t="str">
        <f t="shared" si="206"/>
        <v>TCCN-PTE-PRS-SAC-CO1-SIA-</v>
      </c>
      <c r="I3092" s="137" t="str">
        <f>MID(H3092,1,(LEN(H3092)-VLOOKUP(K3092,datos!$B$2:$C$12,2,0)))</f>
        <v>TCCN-PTE-PRS-SAC-CO1-SIA</v>
      </c>
      <c r="J3092" s="137" t="s">
        <v>7255</v>
      </c>
      <c r="K3092" s="139">
        <f>VLOOKUP(LEN(SUBSTITUTE(H3092,"-","")),datos!$A$1:$B$12,2,0)</f>
        <v>6</v>
      </c>
      <c r="L3092" s="137"/>
      <c r="M3092" s="137" t="s">
        <v>0</v>
      </c>
    </row>
    <row r="3093" spans="1:13" x14ac:dyDescent="0.35">
      <c r="A3093" s="138" t="s">
        <v>487</v>
      </c>
      <c r="B3093" s="138" t="s">
        <v>3809</v>
      </c>
      <c r="C3093" s="138" t="s">
        <v>4130</v>
      </c>
      <c r="D3093" s="138" t="s">
        <v>4135</v>
      </c>
      <c r="E3093" s="138" t="s">
        <v>4092</v>
      </c>
      <c r="F3093" s="138" t="s">
        <v>5666</v>
      </c>
      <c r="G3093" s="138" t="s">
        <v>5672</v>
      </c>
      <c r="H3093" s="81" t="str">
        <f t="shared" si="206"/>
        <v>TCCN-PTE-PRS-SAC-CO1-SIA-FDP</v>
      </c>
      <c r="I3093" s="138" t="str">
        <f>MID(H3093,1,(LEN(H3093)-VLOOKUP(K3093,datos!$B$2:$C$12,2,0)))</f>
        <v>TCCN-PTE-PRS-SAC-CO1-SIA-FDP</v>
      </c>
      <c r="J3093" s="138" t="s">
        <v>7264</v>
      </c>
      <c r="K3093" s="140">
        <f>VLOOKUP(LEN(SUBSTITUTE(H3093,"-","")),datos!$A$1:$B$12,2,0)</f>
        <v>7</v>
      </c>
      <c r="L3093" s="138"/>
      <c r="M3093" s="138" t="s">
        <v>0</v>
      </c>
    </row>
    <row r="3094" spans="1:13" x14ac:dyDescent="0.35">
      <c r="A3094" s="138" t="s">
        <v>487</v>
      </c>
      <c r="B3094" s="138" t="s">
        <v>3809</v>
      </c>
      <c r="C3094" s="138" t="s">
        <v>4130</v>
      </c>
      <c r="D3094" s="138" t="s">
        <v>4135</v>
      </c>
      <c r="E3094" s="138" t="s">
        <v>4092</v>
      </c>
      <c r="F3094" s="138" t="s">
        <v>5666</v>
      </c>
      <c r="G3094" s="138" t="s">
        <v>5673</v>
      </c>
      <c r="H3094" s="81" t="str">
        <f t="shared" si="206"/>
        <v>TCCN-PTE-PRS-SAC-CO1-SIA-EFI</v>
      </c>
      <c r="I3094" s="138" t="str">
        <f>MID(H3094,1,(LEN(H3094)-VLOOKUP(K3094,datos!$B$2:$C$12,2,0)))</f>
        <v>TCCN-PTE-PRS-SAC-CO1-SIA-EFI</v>
      </c>
      <c r="J3094" s="138" t="s">
        <v>7265</v>
      </c>
      <c r="K3094" s="140">
        <f>VLOOKUP(LEN(SUBSTITUTE(H3094,"-","")),datos!$A$1:$B$12,2,0)</f>
        <v>7</v>
      </c>
      <c r="L3094" s="138"/>
      <c r="M3094" s="138" t="s">
        <v>0</v>
      </c>
    </row>
    <row r="3095" spans="1:13" x14ac:dyDescent="0.35">
      <c r="A3095" s="138" t="s">
        <v>487</v>
      </c>
      <c r="B3095" s="138" t="s">
        <v>3809</v>
      </c>
      <c r="C3095" s="138" t="s">
        <v>4130</v>
      </c>
      <c r="D3095" s="138" t="s">
        <v>4135</v>
      </c>
      <c r="E3095" s="138" t="s">
        <v>4092</v>
      </c>
      <c r="F3095" s="138" t="s">
        <v>5666</v>
      </c>
      <c r="G3095" s="138" t="s">
        <v>4075</v>
      </c>
      <c r="H3095" s="81" t="str">
        <f t="shared" si="206"/>
        <v>TCCN-PTE-PRS-SAC-CO1-SIA-VVA</v>
      </c>
      <c r="I3095" s="138" t="str">
        <f>MID(H3095,1,(LEN(H3095)-VLOOKUP(K3095,datos!$B$2:$C$12,2,0)))</f>
        <v>TCCN-PTE-PRS-SAC-CO1-SIA-VVA</v>
      </c>
      <c r="J3095" s="138" t="s">
        <v>7922</v>
      </c>
      <c r="K3095" s="140">
        <f>VLOOKUP(LEN(SUBSTITUTE(H3095,"-","")),datos!$A$1:$B$12,2,0)</f>
        <v>7</v>
      </c>
      <c r="L3095" s="138"/>
      <c r="M3095" s="138" t="s">
        <v>0</v>
      </c>
    </row>
    <row r="3096" spans="1:13" x14ac:dyDescent="0.35">
      <c r="A3096" s="137" t="s">
        <v>487</v>
      </c>
      <c r="B3096" s="137" t="s">
        <v>3809</v>
      </c>
      <c r="C3096" s="137" t="s">
        <v>4130</v>
      </c>
      <c r="D3096" s="137" t="s">
        <v>4135</v>
      </c>
      <c r="E3096" s="137" t="s">
        <v>4092</v>
      </c>
      <c r="F3096" s="137" t="s">
        <v>5667</v>
      </c>
      <c r="G3096" s="137"/>
      <c r="H3096" s="82" t="str">
        <f t="shared" si="206"/>
        <v>TCCN-PTE-PRS-SAC-CO1-UCO-</v>
      </c>
      <c r="I3096" s="137" t="str">
        <f>MID(H3096,1,(LEN(H3096)-VLOOKUP(K3096,datos!$B$2:$C$12,2,0)))</f>
        <v>TCCN-PTE-PRS-SAC-CO1-UCO</v>
      </c>
      <c r="J3096" s="137" t="s">
        <v>5680</v>
      </c>
      <c r="K3096" s="139">
        <f>VLOOKUP(LEN(SUBSTITUTE(H3096,"-","")),datos!$A$1:$B$12,2,0)</f>
        <v>6</v>
      </c>
      <c r="L3096" s="137"/>
      <c r="M3096" s="137" t="s">
        <v>0</v>
      </c>
    </row>
    <row r="3097" spans="1:13" x14ac:dyDescent="0.35">
      <c r="A3097" s="138" t="s">
        <v>487</v>
      </c>
      <c r="B3097" s="138" t="s">
        <v>3809</v>
      </c>
      <c r="C3097" s="138" t="s">
        <v>4130</v>
      </c>
      <c r="D3097" s="138" t="s">
        <v>4135</v>
      </c>
      <c r="E3097" s="138" t="s">
        <v>4092</v>
      </c>
      <c r="F3097" s="138" t="s">
        <v>5667</v>
      </c>
      <c r="G3097" s="138" t="s">
        <v>5193</v>
      </c>
      <c r="H3097" s="81" t="str">
        <f t="shared" si="206"/>
        <v>TCCN-PTE-PRS-SAC-CO1-UCO-COM</v>
      </c>
      <c r="I3097" s="138" t="str">
        <f>MID(H3097,1,(LEN(H3097)-VLOOKUP(K3097,datos!$B$2:$C$12,2,0)))</f>
        <v>TCCN-PTE-PRS-SAC-CO1-UCO-COM</v>
      </c>
      <c r="J3097" s="138" t="s">
        <v>7266</v>
      </c>
      <c r="K3097" s="140">
        <f>VLOOKUP(LEN(SUBSTITUTE(H3097,"-","")),datos!$A$1:$B$12,2,0)</f>
        <v>7</v>
      </c>
      <c r="L3097" s="138"/>
      <c r="M3097" s="138" t="s">
        <v>0</v>
      </c>
    </row>
    <row r="3098" spans="1:13" x14ac:dyDescent="0.35">
      <c r="A3098" s="138" t="s">
        <v>487</v>
      </c>
      <c r="B3098" s="138" t="s">
        <v>3809</v>
      </c>
      <c r="C3098" s="138" t="s">
        <v>4130</v>
      </c>
      <c r="D3098" s="138" t="s">
        <v>4135</v>
      </c>
      <c r="E3098" s="138" t="s">
        <v>4092</v>
      </c>
      <c r="F3098" s="138" t="s">
        <v>5667</v>
      </c>
      <c r="G3098" s="138" t="s">
        <v>3819</v>
      </c>
      <c r="H3098" s="81" t="str">
        <f t="shared" si="206"/>
        <v>TCCN-PTE-PRS-SAC-CO1-UCO-MOE</v>
      </c>
      <c r="I3098" s="138" t="str">
        <f>MID(H3098,1,(LEN(H3098)-VLOOKUP(K3098,datos!$B$2:$C$12,2,0)))</f>
        <v>TCCN-PTE-PRS-SAC-CO1-UCO-MOE</v>
      </c>
      <c r="J3098" s="138" t="s">
        <v>7267</v>
      </c>
      <c r="K3098" s="140">
        <f>VLOOKUP(LEN(SUBSTITUTE(H3098,"-","")),datos!$A$1:$B$12,2,0)</f>
        <v>7</v>
      </c>
      <c r="L3098" s="138"/>
      <c r="M3098" s="138" t="s">
        <v>0</v>
      </c>
    </row>
    <row r="3099" spans="1:13" x14ac:dyDescent="0.35">
      <c r="A3099" s="138" t="s">
        <v>487</v>
      </c>
      <c r="B3099" s="138" t="s">
        <v>3809</v>
      </c>
      <c r="C3099" s="138" t="s">
        <v>4130</v>
      </c>
      <c r="D3099" s="138" t="s">
        <v>4135</v>
      </c>
      <c r="E3099" s="138" t="s">
        <v>4092</v>
      </c>
      <c r="F3099" s="138" t="s">
        <v>5667</v>
      </c>
      <c r="G3099" s="138" t="s">
        <v>4332</v>
      </c>
      <c r="H3099" s="81" t="str">
        <f t="shared" si="206"/>
        <v>TCCN-PTE-PRS-SAC-CO1-UCO-SDA</v>
      </c>
      <c r="I3099" s="138" t="str">
        <f>MID(H3099,1,(LEN(H3099)-VLOOKUP(K3099,datos!$B$2:$C$12,2,0)))</f>
        <v>TCCN-PTE-PRS-SAC-CO1-UCO-SDA</v>
      </c>
      <c r="J3099" s="138" t="s">
        <v>7268</v>
      </c>
      <c r="K3099" s="140">
        <f>VLOOKUP(LEN(SUBSTITUTE(H3099,"-","")),datos!$A$1:$B$12,2,0)</f>
        <v>7</v>
      </c>
      <c r="L3099" s="138"/>
      <c r="M3099" s="138" t="s">
        <v>0</v>
      </c>
    </row>
    <row r="3100" spans="1:13" x14ac:dyDescent="0.35">
      <c r="A3100" s="138" t="s">
        <v>487</v>
      </c>
      <c r="B3100" s="138" t="s">
        <v>3809</v>
      </c>
      <c r="C3100" s="138" t="s">
        <v>4130</v>
      </c>
      <c r="D3100" s="138" t="s">
        <v>4135</v>
      </c>
      <c r="E3100" s="138" t="s">
        <v>4092</v>
      </c>
      <c r="F3100" s="138" t="s">
        <v>5667</v>
      </c>
      <c r="G3100" s="138" t="s">
        <v>4073</v>
      </c>
      <c r="H3100" s="81" t="str">
        <f t="shared" si="206"/>
        <v>TCCN-PTE-PRS-SAC-CO1-UCO-PYV</v>
      </c>
      <c r="I3100" s="138" t="str">
        <f>MID(H3100,1,(LEN(H3100)-VLOOKUP(K3100,datos!$B$2:$C$12,2,0)))</f>
        <v>TCCN-PTE-PRS-SAC-CO1-UCO-PYV</v>
      </c>
      <c r="J3100" s="138" t="s">
        <v>7269</v>
      </c>
      <c r="K3100" s="140">
        <f>VLOOKUP(LEN(SUBSTITUTE(H3100,"-","")),datos!$A$1:$B$12,2,0)</f>
        <v>7</v>
      </c>
      <c r="L3100" s="138"/>
      <c r="M3100" s="138" t="s">
        <v>0</v>
      </c>
    </row>
    <row r="3101" spans="1:13" x14ac:dyDescent="0.35">
      <c r="A3101" s="138" t="s">
        <v>487</v>
      </c>
      <c r="B3101" s="138" t="s">
        <v>3809</v>
      </c>
      <c r="C3101" s="138" t="s">
        <v>4130</v>
      </c>
      <c r="D3101" s="138" t="s">
        <v>4135</v>
      </c>
      <c r="E3101" s="138" t="s">
        <v>4092</v>
      </c>
      <c r="F3101" s="138" t="s">
        <v>5667</v>
      </c>
      <c r="G3101" s="138" t="s">
        <v>5444</v>
      </c>
      <c r="H3101" s="81" t="str">
        <f t="shared" si="206"/>
        <v>TCCN-PTE-PRS-SAC-CO1-UCO-FDA</v>
      </c>
      <c r="I3101" s="138" t="str">
        <f>MID(H3101,1,(LEN(H3101)-VLOOKUP(K3101,datos!$B$2:$C$12,2,0)))</f>
        <v>TCCN-PTE-PRS-SAC-CO1-UCO-FDA</v>
      </c>
      <c r="J3101" s="138" t="s">
        <v>7270</v>
      </c>
      <c r="K3101" s="140">
        <f>VLOOKUP(LEN(SUBSTITUTE(H3101,"-","")),datos!$A$1:$B$12,2,0)</f>
        <v>7</v>
      </c>
      <c r="L3101" s="138"/>
      <c r="M3101" s="138" t="s">
        <v>0</v>
      </c>
    </row>
    <row r="3102" spans="1:13" x14ac:dyDescent="0.35">
      <c r="A3102" s="137" t="s">
        <v>487</v>
      </c>
      <c r="B3102" s="137" t="s">
        <v>3809</v>
      </c>
      <c r="C3102" s="137" t="s">
        <v>4130</v>
      </c>
      <c r="D3102" s="137" t="s">
        <v>4135</v>
      </c>
      <c r="E3102" s="137" t="s">
        <v>4092</v>
      </c>
      <c r="F3102" s="137" t="s">
        <v>5668</v>
      </c>
      <c r="G3102" s="137"/>
      <c r="H3102" s="82" t="str">
        <f t="shared" si="206"/>
        <v>TCCN-PTE-PRS-SAC-CO1-SEF-</v>
      </c>
      <c r="I3102" s="137" t="str">
        <f>MID(H3102,1,(LEN(H3102)-VLOOKUP(K3102,datos!$B$2:$C$12,2,0)))</f>
        <v>TCCN-PTE-PRS-SAC-CO1-SEF</v>
      </c>
      <c r="J3102" s="137" t="s">
        <v>6723</v>
      </c>
      <c r="K3102" s="139">
        <f>VLOOKUP(LEN(SUBSTITUTE(H3102,"-","")),datos!$A$1:$B$12,2,0)</f>
        <v>6</v>
      </c>
      <c r="L3102" s="137"/>
      <c r="M3102" s="137" t="s">
        <v>0</v>
      </c>
    </row>
    <row r="3103" spans="1:13" x14ac:dyDescent="0.35">
      <c r="A3103" s="138" t="s">
        <v>487</v>
      </c>
      <c r="B3103" s="138" t="s">
        <v>3809</v>
      </c>
      <c r="C3103" s="138" t="s">
        <v>4130</v>
      </c>
      <c r="D3103" s="138" t="s">
        <v>4135</v>
      </c>
      <c r="E3103" s="138" t="s">
        <v>4092</v>
      </c>
      <c r="F3103" s="138" t="s">
        <v>5668</v>
      </c>
      <c r="G3103" s="138" t="s">
        <v>4073</v>
      </c>
      <c r="H3103" s="81" t="str">
        <f t="shared" si="206"/>
        <v>TCCN-PTE-PRS-SAC-CO1-SEF-PYV</v>
      </c>
      <c r="I3103" s="138" t="str">
        <f>MID(H3103,1,(LEN(H3103)-VLOOKUP(K3103,datos!$B$2:$C$12,2,0)))</f>
        <v>TCCN-PTE-PRS-SAC-CO1-SEF-PYV</v>
      </c>
      <c r="J3103" s="138" t="s">
        <v>7271</v>
      </c>
      <c r="K3103" s="140">
        <f>VLOOKUP(LEN(SUBSTITUTE(H3103,"-","")),datos!$A$1:$B$12,2,0)</f>
        <v>7</v>
      </c>
      <c r="L3103" s="138"/>
      <c r="M3103" s="138" t="s">
        <v>0</v>
      </c>
    </row>
    <row r="3104" spans="1:13" x14ac:dyDescent="0.35">
      <c r="A3104" s="138" t="s">
        <v>487</v>
      </c>
      <c r="B3104" s="138" t="s">
        <v>3809</v>
      </c>
      <c r="C3104" s="138" t="s">
        <v>4130</v>
      </c>
      <c r="D3104" s="138" t="s">
        <v>4135</v>
      </c>
      <c r="E3104" s="138" t="s">
        <v>4092</v>
      </c>
      <c r="F3104" s="138" t="s">
        <v>5668</v>
      </c>
      <c r="G3104" s="138" t="s">
        <v>5674</v>
      </c>
      <c r="H3104" s="81" t="str">
        <f t="shared" si="206"/>
        <v>TCCN-PTE-PRS-SAC-CO1-SEF-IDC</v>
      </c>
      <c r="I3104" s="138" t="str">
        <f>MID(H3104,1,(LEN(H3104)-VLOOKUP(K3104,datos!$B$2:$C$12,2,0)))</f>
        <v>TCCN-PTE-PRS-SAC-CO1-SEF-IDC</v>
      </c>
      <c r="J3104" s="138" t="s">
        <v>7272</v>
      </c>
      <c r="K3104" s="140">
        <f>VLOOKUP(LEN(SUBSTITUTE(H3104,"-","")),datos!$A$1:$B$12,2,0)</f>
        <v>7</v>
      </c>
      <c r="L3104" s="138"/>
      <c r="M3104" s="138" t="s">
        <v>0</v>
      </c>
    </row>
    <row r="3105" spans="1:13" x14ac:dyDescent="0.35">
      <c r="A3105" s="138" t="s">
        <v>487</v>
      </c>
      <c r="B3105" s="138" t="s">
        <v>3809</v>
      </c>
      <c r="C3105" s="138" t="s">
        <v>4130</v>
      </c>
      <c r="D3105" s="138" t="s">
        <v>4135</v>
      </c>
      <c r="E3105" s="138" t="s">
        <v>4092</v>
      </c>
      <c r="F3105" s="138" t="s">
        <v>5668</v>
      </c>
      <c r="G3105" s="138" t="s">
        <v>5675</v>
      </c>
      <c r="H3105" s="81" t="str">
        <f t="shared" si="206"/>
        <v>TCCN-PTE-PRS-SAC-CO1-SEF-MTV</v>
      </c>
      <c r="I3105" s="138" t="str">
        <f>MID(H3105,1,(LEN(H3105)-VLOOKUP(K3105,datos!$B$2:$C$12,2,0)))</f>
        <v>TCCN-PTE-PRS-SAC-CO1-SEF-MTV</v>
      </c>
      <c r="J3105" s="138" t="s">
        <v>7273</v>
      </c>
      <c r="K3105" s="140">
        <f>VLOOKUP(LEN(SUBSTITUTE(H3105,"-","")),datos!$A$1:$B$12,2,0)</f>
        <v>7</v>
      </c>
      <c r="L3105" s="138"/>
      <c r="M3105" s="138" t="s">
        <v>0</v>
      </c>
    </row>
    <row r="3106" spans="1:13" x14ac:dyDescent="0.35">
      <c r="A3106" s="138" t="s">
        <v>487</v>
      </c>
      <c r="B3106" s="138" t="s">
        <v>3809</v>
      </c>
      <c r="C3106" s="138" t="s">
        <v>4130</v>
      </c>
      <c r="D3106" s="138" t="s">
        <v>4135</v>
      </c>
      <c r="E3106" s="138" t="s">
        <v>4092</v>
      </c>
      <c r="F3106" s="138" t="s">
        <v>5668</v>
      </c>
      <c r="G3106" s="138" t="s">
        <v>4075</v>
      </c>
      <c r="H3106" s="81" t="str">
        <f t="shared" si="206"/>
        <v>TCCN-PTE-PRS-SAC-CO1-SEF-VVA</v>
      </c>
      <c r="I3106" s="138" t="str">
        <f>MID(H3106,1,(LEN(H3106)-VLOOKUP(K3106,datos!$B$2:$C$12,2,0)))</f>
        <v>TCCN-PTE-PRS-SAC-CO1-SEF-VVA</v>
      </c>
      <c r="J3106" s="138" t="s">
        <v>7921</v>
      </c>
      <c r="K3106" s="140">
        <f>VLOOKUP(LEN(SUBSTITUTE(H3106,"-","")),datos!$A$1:$B$12,2,0)</f>
        <v>7</v>
      </c>
      <c r="L3106" s="138"/>
      <c r="M3106" s="138" t="s">
        <v>0</v>
      </c>
    </row>
    <row r="3107" spans="1:13" x14ac:dyDescent="0.35">
      <c r="A3107" s="138" t="s">
        <v>487</v>
      </c>
      <c r="B3107" s="138" t="s">
        <v>3809</v>
      </c>
      <c r="C3107" s="138" t="s">
        <v>4130</v>
      </c>
      <c r="D3107" s="138" t="s">
        <v>4135</v>
      </c>
      <c r="E3107" s="138" t="s">
        <v>4092</v>
      </c>
      <c r="F3107" s="138" t="s">
        <v>5668</v>
      </c>
      <c r="G3107" s="138" t="s">
        <v>5676</v>
      </c>
      <c r="H3107" s="81" t="str">
        <f t="shared" si="206"/>
        <v>TCCN-PTE-PRS-SAC-CO1-SEF-SDH</v>
      </c>
      <c r="I3107" s="138" t="str">
        <f>MID(H3107,1,(LEN(H3107)-VLOOKUP(K3107,datos!$B$2:$C$12,2,0)))</f>
        <v>TCCN-PTE-PRS-SAC-CO1-SEF-SDH</v>
      </c>
      <c r="J3107" s="138" t="s">
        <v>7274</v>
      </c>
      <c r="K3107" s="140">
        <f>VLOOKUP(LEN(SUBSTITUTE(H3107,"-","")),datos!$A$1:$B$12,2,0)</f>
        <v>7</v>
      </c>
      <c r="L3107" s="138"/>
      <c r="M3107" s="138" t="s">
        <v>0</v>
      </c>
    </row>
    <row r="3108" spans="1:13" x14ac:dyDescent="0.35">
      <c r="A3108" s="137" t="s">
        <v>487</v>
      </c>
      <c r="B3108" s="137" t="s">
        <v>3809</v>
      </c>
      <c r="C3108" s="137" t="s">
        <v>4130</v>
      </c>
      <c r="D3108" s="137" t="s">
        <v>4135</v>
      </c>
      <c r="E3108" s="137" t="s">
        <v>4092</v>
      </c>
      <c r="F3108" s="137" t="s">
        <v>3831</v>
      </c>
      <c r="G3108" s="137"/>
      <c r="H3108" s="82" t="str">
        <f t="shared" si="206"/>
        <v>TCCN-PTE-PRS-SAC-CO1-INS-</v>
      </c>
      <c r="I3108" s="137" t="str">
        <f>MID(H3108,1,(LEN(H3108)-VLOOKUP(K3108,datos!$B$2:$C$12,2,0)))</f>
        <v>TCCN-PTE-PRS-SAC-CO1-INS</v>
      </c>
      <c r="J3108" s="137" t="s">
        <v>7275</v>
      </c>
      <c r="K3108" s="139">
        <f>VLOOKUP(LEN(SUBSTITUTE(H3108,"-","")),datos!$A$1:$B$12,2,0)</f>
        <v>6</v>
      </c>
      <c r="L3108" s="137"/>
      <c r="M3108" s="137" t="s">
        <v>0</v>
      </c>
    </row>
    <row r="3109" spans="1:13" x14ac:dyDescent="0.35">
      <c r="A3109" s="138" t="s">
        <v>487</v>
      </c>
      <c r="B3109" s="138" t="s">
        <v>3809</v>
      </c>
      <c r="C3109" s="138" t="s">
        <v>4130</v>
      </c>
      <c r="D3109" s="138" t="s">
        <v>4135</v>
      </c>
      <c r="E3109" s="138" t="s">
        <v>4092</v>
      </c>
      <c r="F3109" s="138" t="s">
        <v>3831</v>
      </c>
      <c r="G3109" s="138" t="s">
        <v>5204</v>
      </c>
      <c r="H3109" s="81" t="str">
        <f t="shared" si="206"/>
        <v>TCCN-PTE-PRS-SAC-CO1-INS-PCL</v>
      </c>
      <c r="I3109" s="138" t="str">
        <f>MID(H3109,1,(LEN(H3109)-VLOOKUP(K3109,datos!$B$2:$C$12,2,0)))</f>
        <v>TCCN-PTE-PRS-SAC-CO1-INS-PCL</v>
      </c>
      <c r="J3109" s="138" t="s">
        <v>7276</v>
      </c>
      <c r="K3109" s="140">
        <f>VLOOKUP(LEN(SUBSTITUTE(H3109,"-","")),datos!$A$1:$B$12,2,0)</f>
        <v>7</v>
      </c>
      <c r="L3109" s="138"/>
      <c r="M3109" s="138" t="s">
        <v>0</v>
      </c>
    </row>
    <row r="3110" spans="1:13" x14ac:dyDescent="0.35">
      <c r="A3110" s="138" t="s">
        <v>487</v>
      </c>
      <c r="B3110" s="138" t="s">
        <v>3809</v>
      </c>
      <c r="C3110" s="138" t="s">
        <v>4130</v>
      </c>
      <c r="D3110" s="138" t="s">
        <v>4135</v>
      </c>
      <c r="E3110" s="138" t="s">
        <v>4092</v>
      </c>
      <c r="F3110" s="138" t="s">
        <v>3831</v>
      </c>
      <c r="G3110" s="138" t="s">
        <v>5677</v>
      </c>
      <c r="H3110" s="81" t="str">
        <f t="shared" si="206"/>
        <v>TCCN-PTE-PRS-SAC-CO1-INS-CTL</v>
      </c>
      <c r="I3110" s="138" t="str">
        <f>MID(H3110,1,(LEN(H3110)-VLOOKUP(K3110,datos!$B$2:$C$12,2,0)))</f>
        <v>TCCN-PTE-PRS-SAC-CO1-INS-CTL</v>
      </c>
      <c r="J3110" s="138" t="s">
        <v>7277</v>
      </c>
      <c r="K3110" s="140">
        <f>VLOOKUP(LEN(SUBSTITUTE(H3110,"-","")),datos!$A$1:$B$12,2,0)</f>
        <v>7</v>
      </c>
      <c r="L3110" s="138"/>
      <c r="M3110" s="138" t="s">
        <v>0</v>
      </c>
    </row>
    <row r="3111" spans="1:13" x14ac:dyDescent="0.35">
      <c r="A3111" s="138" t="s">
        <v>487</v>
      </c>
      <c r="B3111" s="138" t="s">
        <v>3809</v>
      </c>
      <c r="C3111" s="138" t="s">
        <v>4130</v>
      </c>
      <c r="D3111" s="138" t="s">
        <v>4135</v>
      </c>
      <c r="E3111" s="138" t="s">
        <v>4092</v>
      </c>
      <c r="F3111" s="138" t="s">
        <v>3831</v>
      </c>
      <c r="G3111" s="138" t="s">
        <v>5679</v>
      </c>
      <c r="H3111" s="81" t="str">
        <f t="shared" si="206"/>
        <v>TCCN-PTE-PRS-SAC-CO1-INS-CPR</v>
      </c>
      <c r="I3111" s="138" t="str">
        <f>MID(H3111,1,(LEN(H3111)-VLOOKUP(K3111,datos!$B$2:$C$12,2,0)))</f>
        <v>TCCN-PTE-PRS-SAC-CO1-INS-CPR</v>
      </c>
      <c r="J3111" s="138" t="s">
        <v>7278</v>
      </c>
      <c r="K3111" s="140">
        <f>VLOOKUP(LEN(SUBSTITUTE(H3111,"-","")),datos!$A$1:$B$12,2,0)</f>
        <v>7</v>
      </c>
      <c r="L3111" s="138"/>
      <c r="M3111" s="138" t="s">
        <v>0</v>
      </c>
    </row>
    <row r="3112" spans="1:13" x14ac:dyDescent="0.35">
      <c r="A3112" s="138" t="s">
        <v>487</v>
      </c>
      <c r="B3112" s="138" t="s">
        <v>3809</v>
      </c>
      <c r="C3112" s="138" t="s">
        <v>4130</v>
      </c>
      <c r="D3112" s="138" t="s">
        <v>4135</v>
      </c>
      <c r="E3112" s="138" t="s">
        <v>4092</v>
      </c>
      <c r="F3112" s="138" t="s">
        <v>3831</v>
      </c>
      <c r="G3112" s="138" t="s">
        <v>5678</v>
      </c>
      <c r="H3112" s="81" t="str">
        <f t="shared" si="206"/>
        <v>TCCN-PTE-PRS-SAC-CO1-INS-DIS</v>
      </c>
      <c r="I3112" s="138" t="str">
        <f>MID(H3112,1,(LEN(H3112)-VLOOKUP(K3112,datos!$B$2:$C$12,2,0)))</f>
        <v>TCCN-PTE-PRS-SAC-CO1-INS-DIS</v>
      </c>
      <c r="J3112" s="138" t="s">
        <v>7279</v>
      </c>
      <c r="K3112" s="140">
        <f>VLOOKUP(LEN(SUBSTITUTE(H3112,"-","")),datos!$A$1:$B$12,2,0)</f>
        <v>7</v>
      </c>
      <c r="L3112" s="138"/>
      <c r="M3112" s="138" t="s">
        <v>0</v>
      </c>
    </row>
    <row r="3113" spans="1:13" x14ac:dyDescent="0.35">
      <c r="A3113" s="138" t="s">
        <v>487</v>
      </c>
      <c r="B3113" s="138" t="s">
        <v>3809</v>
      </c>
      <c r="C3113" s="138" t="s">
        <v>4130</v>
      </c>
      <c r="D3113" s="138" t="s">
        <v>4135</v>
      </c>
      <c r="E3113" s="138" t="s">
        <v>4092</v>
      </c>
      <c r="F3113" s="138" t="s">
        <v>3831</v>
      </c>
      <c r="G3113" s="138" t="s">
        <v>7060</v>
      </c>
      <c r="H3113" s="81" t="str">
        <f t="shared" ref="H3113:H3143" si="208">CONCATENATE(A3113,"-",B3113,"-",C3113,"-",D3113,"-",E3113,"-",F3113,"-",G3113)</f>
        <v>TCCN-PTE-PRS-SAC-CO1-INS-MTP</v>
      </c>
      <c r="I3113" s="138" t="str">
        <f>MID(H3113,1,(LEN(H3113)-VLOOKUP(K3113,datos!$B$2:$C$12,2,0)))</f>
        <v>TCCN-PTE-PRS-SAC-CO1-INS-MTP</v>
      </c>
      <c r="J3113" s="138" t="s">
        <v>8092</v>
      </c>
      <c r="K3113" s="140">
        <f>VLOOKUP(LEN(SUBSTITUTE(H3113,"-","")),datos!$A$1:$B$12,2,0)</f>
        <v>7</v>
      </c>
      <c r="L3113" s="138"/>
      <c r="M3113" s="138" t="s">
        <v>0</v>
      </c>
    </row>
    <row r="3114" spans="1:13" customFormat="1" ht="14.5" x14ac:dyDescent="0.35">
      <c r="A3114" s="129" t="s">
        <v>487</v>
      </c>
      <c r="B3114" s="129" t="s">
        <v>3809</v>
      </c>
      <c r="C3114" s="129" t="s">
        <v>4130</v>
      </c>
      <c r="D3114" s="129" t="s">
        <v>4135</v>
      </c>
      <c r="E3114" s="129" t="s">
        <v>4093</v>
      </c>
      <c r="F3114" s="129"/>
      <c r="G3114" s="129"/>
      <c r="H3114" s="83" t="str">
        <f t="shared" si="208"/>
        <v>TCCN-PTE-PRS-SAC-CO2--</v>
      </c>
      <c r="I3114" s="129" t="str">
        <f>MID(H3114,1,(LEN(H3114)-VLOOKUP(K3114,datos!$B$2:$C$12,2,0)))</f>
        <v>TCCN-PTE-PRS-SAC-CO2</v>
      </c>
      <c r="J3114" s="129" t="s">
        <v>5236</v>
      </c>
      <c r="K3114" s="130">
        <f>VLOOKUP(LEN(SUBSTITUTE(H3114,"-","")),datos!$A$1:$B$12,2,0)</f>
        <v>5</v>
      </c>
      <c r="L3114" s="129" t="s">
        <v>5170</v>
      </c>
      <c r="M3114" s="129" t="s">
        <v>0</v>
      </c>
    </row>
    <row r="3115" spans="1:13" x14ac:dyDescent="0.35">
      <c r="A3115" s="137" t="s">
        <v>487</v>
      </c>
      <c r="B3115" s="137" t="s">
        <v>3809</v>
      </c>
      <c r="C3115" s="137" t="s">
        <v>4130</v>
      </c>
      <c r="D3115" s="137" t="s">
        <v>4135</v>
      </c>
      <c r="E3115" s="137" t="s">
        <v>4093</v>
      </c>
      <c r="F3115" s="137" t="s">
        <v>3824</v>
      </c>
      <c r="G3115" s="137"/>
      <c r="H3115" s="82" t="str">
        <f t="shared" si="208"/>
        <v>TCCN-PTE-PRS-SAC-CO2-SES-</v>
      </c>
      <c r="I3115" s="137" t="str">
        <f>MID(H3115,1,(LEN(H3115)-VLOOKUP(K3115,datos!$B$2:$C$12,2,0)))</f>
        <v>TCCN-PTE-PRS-SAC-CO2-SES</v>
      </c>
      <c r="J3115" s="137" t="s">
        <v>5669</v>
      </c>
      <c r="K3115" s="139">
        <f>VLOOKUP(LEN(SUBSTITUTE(H3115,"-","")),datos!$A$1:$B$12,2,0)</f>
        <v>6</v>
      </c>
      <c r="L3115" s="137"/>
      <c r="M3115" s="137" t="s">
        <v>0</v>
      </c>
    </row>
    <row r="3116" spans="1:13" x14ac:dyDescent="0.35">
      <c r="A3116" s="138" t="s">
        <v>487</v>
      </c>
      <c r="B3116" s="138" t="s">
        <v>3809</v>
      </c>
      <c r="C3116" s="138" t="s">
        <v>4130</v>
      </c>
      <c r="D3116" s="138" t="s">
        <v>4135</v>
      </c>
      <c r="E3116" s="138" t="s">
        <v>4093</v>
      </c>
      <c r="F3116" s="138" t="s">
        <v>3824</v>
      </c>
      <c r="G3116" s="138" t="s">
        <v>4035</v>
      </c>
      <c r="H3116" s="81" t="str">
        <f t="shared" si="208"/>
        <v>TCCN-PTE-PRS-SAC-CO2-SES-CON</v>
      </c>
      <c r="I3116" s="138" t="str">
        <f>MID(H3116,1,(LEN(H3116)-VLOOKUP(K3116,datos!$B$2:$C$12,2,0)))</f>
        <v>TCCN-PTE-PRS-SAC-CO2-SES-CON</v>
      </c>
      <c r="J3116" s="138" t="s">
        <v>7280</v>
      </c>
      <c r="K3116" s="140">
        <f>VLOOKUP(LEN(SUBSTITUTE(H3116,"-","")),datos!$A$1:$B$12,2,0)</f>
        <v>7</v>
      </c>
      <c r="L3116" s="138"/>
      <c r="M3116" s="138" t="s">
        <v>0</v>
      </c>
    </row>
    <row r="3117" spans="1:13" x14ac:dyDescent="0.35">
      <c r="A3117" s="138" t="s">
        <v>487</v>
      </c>
      <c r="B3117" s="138" t="s">
        <v>3809</v>
      </c>
      <c r="C3117" s="138" t="s">
        <v>4130</v>
      </c>
      <c r="D3117" s="138" t="s">
        <v>4135</v>
      </c>
      <c r="E3117" s="138" t="s">
        <v>4093</v>
      </c>
      <c r="F3117" s="138" t="s">
        <v>3824</v>
      </c>
      <c r="G3117" s="138" t="s">
        <v>5141</v>
      </c>
      <c r="H3117" s="81" t="str">
        <f t="shared" si="208"/>
        <v>TCCN-PTE-PRS-SAC-CO2-SES-SOP</v>
      </c>
      <c r="I3117" s="138" t="str">
        <f>MID(H3117,1,(LEN(H3117)-VLOOKUP(K3117,datos!$B$2:$C$12,2,0)))</f>
        <v>TCCN-PTE-PRS-SAC-CO2-SES-SOP</v>
      </c>
      <c r="J3117" s="138" t="s">
        <v>7281</v>
      </c>
      <c r="K3117" s="140">
        <f>VLOOKUP(LEN(SUBSTITUTE(H3117,"-","")),datos!$A$1:$B$12,2,0)</f>
        <v>7</v>
      </c>
      <c r="L3117" s="138"/>
      <c r="M3117" s="138" t="s">
        <v>0</v>
      </c>
    </row>
    <row r="3118" spans="1:13" x14ac:dyDescent="0.35">
      <c r="A3118" s="138" t="s">
        <v>487</v>
      </c>
      <c r="B3118" s="138" t="s">
        <v>3809</v>
      </c>
      <c r="C3118" s="138" t="s">
        <v>4130</v>
      </c>
      <c r="D3118" s="138" t="s">
        <v>4135</v>
      </c>
      <c r="E3118" s="138" t="s">
        <v>4093</v>
      </c>
      <c r="F3118" s="138" t="s">
        <v>3824</v>
      </c>
      <c r="G3118" s="138" t="s">
        <v>5670</v>
      </c>
      <c r="H3118" s="81" t="str">
        <f t="shared" si="208"/>
        <v>TCCN-PTE-PRS-SAC-CO2-SES-BAS</v>
      </c>
      <c r="I3118" s="138" t="str">
        <f>MID(H3118,1,(LEN(H3118)-VLOOKUP(K3118,datos!$B$2:$C$12,2,0)))</f>
        <v>TCCN-PTE-PRS-SAC-CO2-SES-BAS</v>
      </c>
      <c r="J3118" s="138" t="s">
        <v>7282</v>
      </c>
      <c r="K3118" s="140">
        <f>VLOOKUP(LEN(SUBSTITUTE(H3118,"-","")),datos!$A$1:$B$12,2,0)</f>
        <v>7</v>
      </c>
      <c r="L3118" s="138"/>
      <c r="M3118" s="138" t="s">
        <v>0</v>
      </c>
    </row>
    <row r="3119" spans="1:13" x14ac:dyDescent="0.35">
      <c r="A3119" s="138" t="s">
        <v>487</v>
      </c>
      <c r="B3119" s="138" t="s">
        <v>3809</v>
      </c>
      <c r="C3119" s="138" t="s">
        <v>4130</v>
      </c>
      <c r="D3119" s="138" t="s">
        <v>4135</v>
      </c>
      <c r="E3119" s="138" t="s">
        <v>4093</v>
      </c>
      <c r="F3119" s="138" t="s">
        <v>3824</v>
      </c>
      <c r="G3119" s="138" t="s">
        <v>4016</v>
      </c>
      <c r="H3119" s="81" t="str">
        <f t="shared" si="208"/>
        <v>TCCN-PTE-PRS-SAC-CO2-SES-PAN</v>
      </c>
      <c r="I3119" s="138" t="str">
        <f>MID(H3119,1,(LEN(H3119)-VLOOKUP(K3119,datos!$B$2:$C$12,2,0)))</f>
        <v>TCCN-PTE-PRS-SAC-CO2-SES-PAN</v>
      </c>
      <c r="J3119" s="138" t="s">
        <v>7283</v>
      </c>
      <c r="K3119" s="140">
        <f>VLOOKUP(LEN(SUBSTITUTE(H3119,"-","")),datos!$A$1:$B$12,2,0)</f>
        <v>7</v>
      </c>
      <c r="L3119" s="138"/>
      <c r="M3119" s="138" t="s">
        <v>0</v>
      </c>
    </row>
    <row r="3120" spans="1:13" x14ac:dyDescent="0.35">
      <c r="A3120" s="138" t="s">
        <v>487</v>
      </c>
      <c r="B3120" s="138" t="s">
        <v>3809</v>
      </c>
      <c r="C3120" s="138" t="s">
        <v>4130</v>
      </c>
      <c r="D3120" s="138" t="s">
        <v>4135</v>
      </c>
      <c r="E3120" s="138" t="s">
        <v>4093</v>
      </c>
      <c r="F3120" s="138" t="s">
        <v>3824</v>
      </c>
      <c r="G3120" s="138" t="s">
        <v>5671</v>
      </c>
      <c r="H3120" s="81" t="str">
        <f t="shared" si="208"/>
        <v>TCCN-PTE-PRS-SAC-CO2-SES-PTA</v>
      </c>
      <c r="I3120" s="138" t="str">
        <f>MID(H3120,1,(LEN(H3120)-VLOOKUP(K3120,datos!$B$2:$C$12,2,0)))</f>
        <v>TCCN-PTE-PRS-SAC-CO2-SES-PTA</v>
      </c>
      <c r="J3120" s="138" t="s">
        <v>7284</v>
      </c>
      <c r="K3120" s="140">
        <f>VLOOKUP(LEN(SUBSTITUTE(H3120,"-","")),datos!$A$1:$B$12,2,0)</f>
        <v>7</v>
      </c>
      <c r="L3120" s="138"/>
      <c r="M3120" s="138" t="s">
        <v>0</v>
      </c>
    </row>
    <row r="3121" spans="1:13" x14ac:dyDescent="0.35">
      <c r="A3121" s="137" t="s">
        <v>487</v>
      </c>
      <c r="B3121" s="137" t="s">
        <v>3809</v>
      </c>
      <c r="C3121" s="137" t="s">
        <v>4130</v>
      </c>
      <c r="D3121" s="137" t="s">
        <v>4135</v>
      </c>
      <c r="E3121" s="137" t="s">
        <v>4093</v>
      </c>
      <c r="F3121" s="137" t="s">
        <v>5666</v>
      </c>
      <c r="G3121" s="137"/>
      <c r="H3121" s="82" t="str">
        <f t="shared" si="208"/>
        <v>TCCN-PTE-PRS-SAC-CO2-SIA-</v>
      </c>
      <c r="I3121" s="137" t="str">
        <f>MID(H3121,1,(LEN(H3121)-VLOOKUP(K3121,datos!$B$2:$C$12,2,0)))</f>
        <v>TCCN-PTE-PRS-SAC-CO2-SIA</v>
      </c>
      <c r="J3121" s="137" t="s">
        <v>7326</v>
      </c>
      <c r="K3121" s="139">
        <f>VLOOKUP(LEN(SUBSTITUTE(H3121,"-","")),datos!$A$1:$B$12,2,0)</f>
        <v>6</v>
      </c>
      <c r="L3121" s="137"/>
      <c r="M3121" s="137" t="s">
        <v>0</v>
      </c>
    </row>
    <row r="3122" spans="1:13" x14ac:dyDescent="0.35">
      <c r="A3122" s="138" t="s">
        <v>487</v>
      </c>
      <c r="B3122" s="138" t="s">
        <v>3809</v>
      </c>
      <c r="C3122" s="138" t="s">
        <v>4130</v>
      </c>
      <c r="D3122" s="138" t="s">
        <v>4135</v>
      </c>
      <c r="E3122" s="138" t="s">
        <v>4093</v>
      </c>
      <c r="F3122" s="138" t="s">
        <v>5666</v>
      </c>
      <c r="G3122" s="138" t="s">
        <v>5672</v>
      </c>
      <c r="H3122" s="81" t="str">
        <f t="shared" si="208"/>
        <v>TCCN-PTE-PRS-SAC-CO2-SIA-FDP</v>
      </c>
      <c r="I3122" s="138" t="str">
        <f>MID(H3122,1,(LEN(H3122)-VLOOKUP(K3122,datos!$B$2:$C$12,2,0)))</f>
        <v>TCCN-PTE-PRS-SAC-CO2-SIA-FDP</v>
      </c>
      <c r="J3122" s="138" t="s">
        <v>7285</v>
      </c>
      <c r="K3122" s="140">
        <f>VLOOKUP(LEN(SUBSTITUTE(H3122,"-","")),datos!$A$1:$B$12,2,0)</f>
        <v>7</v>
      </c>
      <c r="L3122" s="138"/>
      <c r="M3122" s="138" t="s">
        <v>0</v>
      </c>
    </row>
    <row r="3123" spans="1:13" x14ac:dyDescent="0.35">
      <c r="A3123" s="138" t="s">
        <v>487</v>
      </c>
      <c r="B3123" s="138" t="s">
        <v>3809</v>
      </c>
      <c r="C3123" s="138" t="s">
        <v>4130</v>
      </c>
      <c r="D3123" s="138" t="s">
        <v>4135</v>
      </c>
      <c r="E3123" s="138" t="s">
        <v>4093</v>
      </c>
      <c r="F3123" s="138" t="s">
        <v>5666</v>
      </c>
      <c r="G3123" s="138" t="s">
        <v>5673</v>
      </c>
      <c r="H3123" s="81" t="str">
        <f t="shared" si="208"/>
        <v>TCCN-PTE-PRS-SAC-CO2-SIA-EFI</v>
      </c>
      <c r="I3123" s="138" t="str">
        <f>MID(H3123,1,(LEN(H3123)-VLOOKUP(K3123,datos!$B$2:$C$12,2,0)))</f>
        <v>TCCN-PTE-PRS-SAC-CO2-SIA-EFI</v>
      </c>
      <c r="J3123" s="138" t="s">
        <v>7286</v>
      </c>
      <c r="K3123" s="140">
        <f>VLOOKUP(LEN(SUBSTITUTE(H3123,"-","")),datos!$A$1:$B$12,2,0)</f>
        <v>7</v>
      </c>
      <c r="L3123" s="138"/>
      <c r="M3123" s="138" t="s">
        <v>0</v>
      </c>
    </row>
    <row r="3124" spans="1:13" x14ac:dyDescent="0.35">
      <c r="A3124" s="138" t="s">
        <v>487</v>
      </c>
      <c r="B3124" s="138" t="s">
        <v>3809</v>
      </c>
      <c r="C3124" s="138" t="s">
        <v>4130</v>
      </c>
      <c r="D3124" s="138" t="s">
        <v>4135</v>
      </c>
      <c r="E3124" s="138" t="s">
        <v>4093</v>
      </c>
      <c r="F3124" s="138" t="s">
        <v>5666</v>
      </c>
      <c r="G3124" s="138" t="s">
        <v>4075</v>
      </c>
      <c r="H3124" s="81" t="str">
        <f t="shared" si="208"/>
        <v>TCCN-PTE-PRS-SAC-CO2-SIA-VVA</v>
      </c>
      <c r="I3124" s="138" t="str">
        <f>MID(H3124,1,(LEN(H3124)-VLOOKUP(K3124,datos!$B$2:$C$12,2,0)))</f>
        <v>TCCN-PTE-PRS-SAC-CO2-SIA-VVA</v>
      </c>
      <c r="J3124" s="138" t="s">
        <v>7915</v>
      </c>
      <c r="K3124" s="140">
        <f>VLOOKUP(LEN(SUBSTITUTE(H3124,"-","")),datos!$A$1:$B$12,2,0)</f>
        <v>7</v>
      </c>
      <c r="L3124" s="138"/>
      <c r="M3124" s="138" t="s">
        <v>0</v>
      </c>
    </row>
    <row r="3125" spans="1:13" x14ac:dyDescent="0.35">
      <c r="A3125" s="137" t="s">
        <v>487</v>
      </c>
      <c r="B3125" s="137" t="s">
        <v>3809</v>
      </c>
      <c r="C3125" s="137" t="s">
        <v>4130</v>
      </c>
      <c r="D3125" s="137" t="s">
        <v>4135</v>
      </c>
      <c r="E3125" s="137" t="s">
        <v>4093</v>
      </c>
      <c r="F3125" s="137" t="s">
        <v>5667</v>
      </c>
      <c r="G3125" s="137"/>
      <c r="H3125" s="82" t="str">
        <f t="shared" si="208"/>
        <v>TCCN-PTE-PRS-SAC-CO2-UCO-</v>
      </c>
      <c r="I3125" s="137" t="str">
        <f>MID(H3125,1,(LEN(H3125)-VLOOKUP(K3125,datos!$B$2:$C$12,2,0)))</f>
        <v>TCCN-PTE-PRS-SAC-CO2-UCO</v>
      </c>
      <c r="J3125" s="137" t="s">
        <v>7287</v>
      </c>
      <c r="K3125" s="139">
        <f>VLOOKUP(LEN(SUBSTITUTE(H3125,"-","")),datos!$A$1:$B$12,2,0)</f>
        <v>6</v>
      </c>
      <c r="L3125" s="137"/>
      <c r="M3125" s="137" t="s">
        <v>0</v>
      </c>
    </row>
    <row r="3126" spans="1:13" x14ac:dyDescent="0.35">
      <c r="A3126" s="138" t="s">
        <v>487</v>
      </c>
      <c r="B3126" s="138" t="s">
        <v>3809</v>
      </c>
      <c r="C3126" s="138" t="s">
        <v>4130</v>
      </c>
      <c r="D3126" s="138" t="s">
        <v>4135</v>
      </c>
      <c r="E3126" s="138" t="s">
        <v>4093</v>
      </c>
      <c r="F3126" s="138" t="s">
        <v>5667</v>
      </c>
      <c r="G3126" s="138" t="s">
        <v>5193</v>
      </c>
      <c r="H3126" s="81" t="str">
        <f t="shared" si="208"/>
        <v>TCCN-PTE-PRS-SAC-CO2-UCO-COM</v>
      </c>
      <c r="I3126" s="138" t="str">
        <f>MID(H3126,1,(LEN(H3126)-VLOOKUP(K3126,datos!$B$2:$C$12,2,0)))</f>
        <v>TCCN-PTE-PRS-SAC-CO2-UCO-COM</v>
      </c>
      <c r="J3126" s="138" t="s">
        <v>7288</v>
      </c>
      <c r="K3126" s="140">
        <f>VLOOKUP(LEN(SUBSTITUTE(H3126,"-","")),datos!$A$1:$B$12,2,0)</f>
        <v>7</v>
      </c>
      <c r="L3126" s="138"/>
      <c r="M3126" s="138" t="s">
        <v>0</v>
      </c>
    </row>
    <row r="3127" spans="1:13" x14ac:dyDescent="0.35">
      <c r="A3127" s="138" t="s">
        <v>487</v>
      </c>
      <c r="B3127" s="138" t="s">
        <v>3809</v>
      </c>
      <c r="C3127" s="138" t="s">
        <v>4130</v>
      </c>
      <c r="D3127" s="138" t="s">
        <v>4135</v>
      </c>
      <c r="E3127" s="138" t="s">
        <v>4093</v>
      </c>
      <c r="F3127" s="138" t="s">
        <v>5667</v>
      </c>
      <c r="G3127" s="138" t="s">
        <v>3819</v>
      </c>
      <c r="H3127" s="81" t="str">
        <f t="shared" si="208"/>
        <v>TCCN-PTE-PRS-SAC-CO2-UCO-MOE</v>
      </c>
      <c r="I3127" s="138" t="str">
        <f>MID(H3127,1,(LEN(H3127)-VLOOKUP(K3127,datos!$B$2:$C$12,2,0)))</f>
        <v>TCCN-PTE-PRS-SAC-CO2-UCO-MOE</v>
      </c>
      <c r="J3127" s="138" t="s">
        <v>7289</v>
      </c>
      <c r="K3127" s="140">
        <f>VLOOKUP(LEN(SUBSTITUTE(H3127,"-","")),datos!$A$1:$B$12,2,0)</f>
        <v>7</v>
      </c>
      <c r="L3127" s="138"/>
      <c r="M3127" s="138" t="s">
        <v>0</v>
      </c>
    </row>
    <row r="3128" spans="1:13" x14ac:dyDescent="0.35">
      <c r="A3128" s="138" t="s">
        <v>487</v>
      </c>
      <c r="B3128" s="138" t="s">
        <v>3809</v>
      </c>
      <c r="C3128" s="138" t="s">
        <v>4130</v>
      </c>
      <c r="D3128" s="138" t="s">
        <v>4135</v>
      </c>
      <c r="E3128" s="138" t="s">
        <v>4093</v>
      </c>
      <c r="F3128" s="138" t="s">
        <v>5667</v>
      </c>
      <c r="G3128" s="138" t="s">
        <v>4332</v>
      </c>
      <c r="H3128" s="81" t="str">
        <f t="shared" si="208"/>
        <v>TCCN-PTE-PRS-SAC-CO2-UCO-SDA</v>
      </c>
      <c r="I3128" s="138" t="str">
        <f>MID(H3128,1,(LEN(H3128)-VLOOKUP(K3128,datos!$B$2:$C$12,2,0)))</f>
        <v>TCCN-PTE-PRS-SAC-CO2-UCO-SDA</v>
      </c>
      <c r="J3128" s="138" t="s">
        <v>7290</v>
      </c>
      <c r="K3128" s="140">
        <f>VLOOKUP(LEN(SUBSTITUTE(H3128,"-","")),datos!$A$1:$B$12,2,0)</f>
        <v>7</v>
      </c>
      <c r="L3128" s="138"/>
      <c r="M3128" s="138" t="s">
        <v>0</v>
      </c>
    </row>
    <row r="3129" spans="1:13" x14ac:dyDescent="0.35">
      <c r="A3129" s="138" t="s">
        <v>487</v>
      </c>
      <c r="B3129" s="138" t="s">
        <v>3809</v>
      </c>
      <c r="C3129" s="138" t="s">
        <v>4130</v>
      </c>
      <c r="D3129" s="138" t="s">
        <v>4135</v>
      </c>
      <c r="E3129" s="138" t="s">
        <v>4093</v>
      </c>
      <c r="F3129" s="138" t="s">
        <v>5667</v>
      </c>
      <c r="G3129" s="138" t="s">
        <v>4073</v>
      </c>
      <c r="H3129" s="81" t="str">
        <f t="shared" si="208"/>
        <v>TCCN-PTE-PRS-SAC-CO2-UCO-PYV</v>
      </c>
      <c r="I3129" s="138" t="str">
        <f>MID(H3129,1,(LEN(H3129)-VLOOKUP(K3129,datos!$B$2:$C$12,2,0)))</f>
        <v>TCCN-PTE-PRS-SAC-CO2-UCO-PYV</v>
      </c>
      <c r="J3129" s="138" t="s">
        <v>7291</v>
      </c>
      <c r="K3129" s="140">
        <f>VLOOKUP(LEN(SUBSTITUTE(H3129,"-","")),datos!$A$1:$B$12,2,0)</f>
        <v>7</v>
      </c>
      <c r="L3129" s="138"/>
      <c r="M3129" s="138" t="s">
        <v>0</v>
      </c>
    </row>
    <row r="3130" spans="1:13" x14ac:dyDescent="0.35">
      <c r="A3130" s="138" t="s">
        <v>487</v>
      </c>
      <c r="B3130" s="138" t="s">
        <v>3809</v>
      </c>
      <c r="C3130" s="138" t="s">
        <v>4130</v>
      </c>
      <c r="D3130" s="138" t="s">
        <v>4135</v>
      </c>
      <c r="E3130" s="138" t="s">
        <v>4093</v>
      </c>
      <c r="F3130" s="138" t="s">
        <v>5667</v>
      </c>
      <c r="G3130" s="138" t="s">
        <v>5444</v>
      </c>
      <c r="H3130" s="81" t="str">
        <f t="shared" si="208"/>
        <v>TCCN-PTE-PRS-SAC-CO2-UCO-FDA</v>
      </c>
      <c r="I3130" s="138" t="str">
        <f>MID(H3130,1,(LEN(H3130)-VLOOKUP(K3130,datos!$B$2:$C$12,2,0)))</f>
        <v>TCCN-PTE-PRS-SAC-CO2-UCO-FDA</v>
      </c>
      <c r="J3130" s="138" t="s">
        <v>7292</v>
      </c>
      <c r="K3130" s="140">
        <f>VLOOKUP(LEN(SUBSTITUTE(H3130,"-","")),datos!$A$1:$B$12,2,0)</f>
        <v>7</v>
      </c>
      <c r="L3130" s="138"/>
      <c r="M3130" s="138" t="s">
        <v>0</v>
      </c>
    </row>
    <row r="3131" spans="1:13" x14ac:dyDescent="0.35">
      <c r="A3131" s="137" t="s">
        <v>487</v>
      </c>
      <c r="B3131" s="137" t="s">
        <v>3809</v>
      </c>
      <c r="C3131" s="137" t="s">
        <v>4130</v>
      </c>
      <c r="D3131" s="137" t="s">
        <v>4135</v>
      </c>
      <c r="E3131" s="137" t="s">
        <v>4093</v>
      </c>
      <c r="F3131" s="137" t="s">
        <v>5668</v>
      </c>
      <c r="G3131" s="137"/>
      <c r="H3131" s="82" t="str">
        <f t="shared" si="208"/>
        <v>TCCN-PTE-PRS-SAC-CO2-SEF-</v>
      </c>
      <c r="I3131" s="137" t="str">
        <f>MID(H3131,1,(LEN(H3131)-VLOOKUP(K3131,datos!$B$2:$C$12,2,0)))</f>
        <v>TCCN-PTE-PRS-SAC-CO2-SEF</v>
      </c>
      <c r="J3131" s="137" t="s">
        <v>6724</v>
      </c>
      <c r="K3131" s="139">
        <f>VLOOKUP(LEN(SUBSTITUTE(H3131,"-","")),datos!$A$1:$B$12,2,0)</f>
        <v>6</v>
      </c>
      <c r="L3131" s="137"/>
      <c r="M3131" s="137" t="s">
        <v>0</v>
      </c>
    </row>
    <row r="3132" spans="1:13" x14ac:dyDescent="0.35">
      <c r="A3132" s="138" t="s">
        <v>487</v>
      </c>
      <c r="B3132" s="138" t="s">
        <v>3809</v>
      </c>
      <c r="C3132" s="138" t="s">
        <v>4130</v>
      </c>
      <c r="D3132" s="138" t="s">
        <v>4135</v>
      </c>
      <c r="E3132" s="138" t="s">
        <v>4093</v>
      </c>
      <c r="F3132" s="138" t="s">
        <v>5668</v>
      </c>
      <c r="G3132" s="138" t="s">
        <v>4073</v>
      </c>
      <c r="H3132" s="81" t="str">
        <f t="shared" si="208"/>
        <v>TCCN-PTE-PRS-SAC-CO2-SEF-PYV</v>
      </c>
      <c r="I3132" s="138" t="str">
        <f>MID(H3132,1,(LEN(H3132)-VLOOKUP(K3132,datos!$B$2:$C$12,2,0)))</f>
        <v>TCCN-PTE-PRS-SAC-CO2-SEF-PYV</v>
      </c>
      <c r="J3132" s="138" t="s">
        <v>7293</v>
      </c>
      <c r="K3132" s="140">
        <f>VLOOKUP(LEN(SUBSTITUTE(H3132,"-","")),datos!$A$1:$B$12,2,0)</f>
        <v>7</v>
      </c>
      <c r="L3132" s="138"/>
      <c r="M3132" s="138" t="s">
        <v>0</v>
      </c>
    </row>
    <row r="3133" spans="1:13" x14ac:dyDescent="0.35">
      <c r="A3133" s="138" t="s">
        <v>487</v>
      </c>
      <c r="B3133" s="138" t="s">
        <v>3809</v>
      </c>
      <c r="C3133" s="138" t="s">
        <v>4130</v>
      </c>
      <c r="D3133" s="138" t="s">
        <v>4135</v>
      </c>
      <c r="E3133" s="138" t="s">
        <v>4093</v>
      </c>
      <c r="F3133" s="138" t="s">
        <v>5668</v>
      </c>
      <c r="G3133" s="138" t="s">
        <v>5674</v>
      </c>
      <c r="H3133" s="81" t="str">
        <f t="shared" si="208"/>
        <v>TCCN-PTE-PRS-SAC-CO2-SEF-IDC</v>
      </c>
      <c r="I3133" s="138" t="str">
        <f>MID(H3133,1,(LEN(H3133)-VLOOKUP(K3133,datos!$B$2:$C$12,2,0)))</f>
        <v>TCCN-PTE-PRS-SAC-CO2-SEF-IDC</v>
      </c>
      <c r="J3133" s="138" t="s">
        <v>7294</v>
      </c>
      <c r="K3133" s="140">
        <f>VLOOKUP(LEN(SUBSTITUTE(H3133,"-","")),datos!$A$1:$B$12,2,0)</f>
        <v>7</v>
      </c>
      <c r="L3133" s="138"/>
      <c r="M3133" s="138" t="s">
        <v>0</v>
      </c>
    </row>
    <row r="3134" spans="1:13" x14ac:dyDescent="0.35">
      <c r="A3134" s="138" t="s">
        <v>487</v>
      </c>
      <c r="B3134" s="138" t="s">
        <v>3809</v>
      </c>
      <c r="C3134" s="138" t="s">
        <v>4130</v>
      </c>
      <c r="D3134" s="138" t="s">
        <v>4135</v>
      </c>
      <c r="E3134" s="138" t="s">
        <v>4093</v>
      </c>
      <c r="F3134" s="138" t="s">
        <v>5668</v>
      </c>
      <c r="G3134" s="138" t="s">
        <v>5675</v>
      </c>
      <c r="H3134" s="81" t="str">
        <f t="shared" si="208"/>
        <v>TCCN-PTE-PRS-SAC-CO2-SEF-MTV</v>
      </c>
      <c r="I3134" s="138" t="str">
        <f>MID(H3134,1,(LEN(H3134)-VLOOKUP(K3134,datos!$B$2:$C$12,2,0)))</f>
        <v>TCCN-PTE-PRS-SAC-CO2-SEF-MTV</v>
      </c>
      <c r="J3134" s="138" t="s">
        <v>7295</v>
      </c>
      <c r="K3134" s="140">
        <f>VLOOKUP(LEN(SUBSTITUTE(H3134,"-","")),datos!$A$1:$B$12,2,0)</f>
        <v>7</v>
      </c>
      <c r="L3134" s="138"/>
      <c r="M3134" s="138" t="s">
        <v>0</v>
      </c>
    </row>
    <row r="3135" spans="1:13" x14ac:dyDescent="0.35">
      <c r="A3135" s="138" t="s">
        <v>487</v>
      </c>
      <c r="B3135" s="138" t="s">
        <v>3809</v>
      </c>
      <c r="C3135" s="138" t="s">
        <v>4130</v>
      </c>
      <c r="D3135" s="138" t="s">
        <v>4135</v>
      </c>
      <c r="E3135" s="138" t="s">
        <v>4093</v>
      </c>
      <c r="F3135" s="138" t="s">
        <v>5668</v>
      </c>
      <c r="G3135" s="138" t="s">
        <v>4075</v>
      </c>
      <c r="H3135" s="81" t="str">
        <f t="shared" si="208"/>
        <v>TCCN-PTE-PRS-SAC-CO2-SEF-VVA</v>
      </c>
      <c r="I3135" s="138" t="str">
        <f>MID(H3135,1,(LEN(H3135)-VLOOKUP(K3135,datos!$B$2:$C$12,2,0)))</f>
        <v>TCCN-PTE-PRS-SAC-CO2-SEF-VVA</v>
      </c>
      <c r="J3135" s="138" t="s">
        <v>7914</v>
      </c>
      <c r="K3135" s="140">
        <f>VLOOKUP(LEN(SUBSTITUTE(H3135,"-","")),datos!$A$1:$B$12,2,0)</f>
        <v>7</v>
      </c>
      <c r="L3135" s="138"/>
      <c r="M3135" s="138" t="s">
        <v>0</v>
      </c>
    </row>
    <row r="3136" spans="1:13" x14ac:dyDescent="0.35">
      <c r="A3136" s="138" t="s">
        <v>487</v>
      </c>
      <c r="B3136" s="138" t="s">
        <v>3809</v>
      </c>
      <c r="C3136" s="138" t="s">
        <v>4130</v>
      </c>
      <c r="D3136" s="138" t="s">
        <v>4135</v>
      </c>
      <c r="E3136" s="138" t="s">
        <v>4093</v>
      </c>
      <c r="F3136" s="138" t="s">
        <v>5668</v>
      </c>
      <c r="G3136" s="138" t="s">
        <v>5676</v>
      </c>
      <c r="H3136" s="81" t="str">
        <f t="shared" si="208"/>
        <v>TCCN-PTE-PRS-SAC-CO2-SEF-SDH</v>
      </c>
      <c r="I3136" s="138" t="str">
        <f>MID(H3136,1,(LEN(H3136)-VLOOKUP(K3136,datos!$B$2:$C$12,2,0)))</f>
        <v>TCCN-PTE-PRS-SAC-CO2-SEF-SDH</v>
      </c>
      <c r="J3136" s="138" t="s">
        <v>7296</v>
      </c>
      <c r="K3136" s="140">
        <f>VLOOKUP(LEN(SUBSTITUTE(H3136,"-","")),datos!$A$1:$B$12,2,0)</f>
        <v>7</v>
      </c>
      <c r="L3136" s="138"/>
      <c r="M3136" s="138" t="s">
        <v>0</v>
      </c>
    </row>
    <row r="3137" spans="1:13" x14ac:dyDescent="0.35">
      <c r="A3137" s="137" t="s">
        <v>487</v>
      </c>
      <c r="B3137" s="137" t="s">
        <v>3809</v>
      </c>
      <c r="C3137" s="137" t="s">
        <v>4130</v>
      </c>
      <c r="D3137" s="137" t="s">
        <v>4135</v>
      </c>
      <c r="E3137" s="137" t="s">
        <v>4093</v>
      </c>
      <c r="F3137" s="137" t="s">
        <v>3831</v>
      </c>
      <c r="G3137" s="137"/>
      <c r="H3137" s="82" t="str">
        <f t="shared" si="208"/>
        <v>TCCN-PTE-PRS-SAC-CO2-INS-</v>
      </c>
      <c r="I3137" s="137" t="str">
        <f>MID(H3137,1,(LEN(H3137)-VLOOKUP(K3137,datos!$B$2:$C$12,2,0)))</f>
        <v>TCCN-PTE-PRS-SAC-CO2-INS</v>
      </c>
      <c r="J3137" s="137" t="s">
        <v>7297</v>
      </c>
      <c r="K3137" s="139">
        <f>VLOOKUP(LEN(SUBSTITUTE(H3137,"-","")),datos!$A$1:$B$12,2,0)</f>
        <v>6</v>
      </c>
      <c r="L3137" s="137"/>
      <c r="M3137" s="137" t="s">
        <v>0</v>
      </c>
    </row>
    <row r="3138" spans="1:13" x14ac:dyDescent="0.35">
      <c r="A3138" s="138" t="s">
        <v>487</v>
      </c>
      <c r="B3138" s="138" t="s">
        <v>3809</v>
      </c>
      <c r="C3138" s="138" t="s">
        <v>4130</v>
      </c>
      <c r="D3138" s="138" t="s">
        <v>4135</v>
      </c>
      <c r="E3138" s="138" t="s">
        <v>4093</v>
      </c>
      <c r="F3138" s="138" t="s">
        <v>3831</v>
      </c>
      <c r="G3138" s="138" t="s">
        <v>5204</v>
      </c>
      <c r="H3138" s="81" t="str">
        <f t="shared" si="208"/>
        <v>TCCN-PTE-PRS-SAC-CO2-INS-PCL</v>
      </c>
      <c r="I3138" s="138" t="str">
        <f>MID(H3138,1,(LEN(H3138)-VLOOKUP(K3138,datos!$B$2:$C$12,2,0)))</f>
        <v>TCCN-PTE-PRS-SAC-CO2-INS-PCL</v>
      </c>
      <c r="J3138" s="138" t="s">
        <v>7298</v>
      </c>
      <c r="K3138" s="140">
        <f>VLOOKUP(LEN(SUBSTITUTE(H3138,"-","")),datos!$A$1:$B$12,2,0)</f>
        <v>7</v>
      </c>
      <c r="L3138" s="138"/>
      <c r="M3138" s="138" t="s">
        <v>0</v>
      </c>
    </row>
    <row r="3139" spans="1:13" x14ac:dyDescent="0.35">
      <c r="A3139" s="138" t="s">
        <v>487</v>
      </c>
      <c r="B3139" s="138" t="s">
        <v>3809</v>
      </c>
      <c r="C3139" s="138" t="s">
        <v>4130</v>
      </c>
      <c r="D3139" s="138" t="s">
        <v>4135</v>
      </c>
      <c r="E3139" s="138" t="s">
        <v>4093</v>
      </c>
      <c r="F3139" s="138" t="s">
        <v>3831</v>
      </c>
      <c r="G3139" s="138" t="s">
        <v>5677</v>
      </c>
      <c r="H3139" s="81" t="str">
        <f t="shared" si="208"/>
        <v>TCCN-PTE-PRS-SAC-CO2-INS-CTL</v>
      </c>
      <c r="I3139" s="138" t="str">
        <f>MID(H3139,1,(LEN(H3139)-VLOOKUP(K3139,datos!$B$2:$C$12,2,0)))</f>
        <v>TCCN-PTE-PRS-SAC-CO2-INS-CTL</v>
      </c>
      <c r="J3139" s="138" t="s">
        <v>7299</v>
      </c>
      <c r="K3139" s="140">
        <f>VLOOKUP(LEN(SUBSTITUTE(H3139,"-","")),datos!$A$1:$B$12,2,0)</f>
        <v>7</v>
      </c>
      <c r="L3139" s="138"/>
      <c r="M3139" s="138" t="s">
        <v>0</v>
      </c>
    </row>
    <row r="3140" spans="1:13" x14ac:dyDescent="0.35">
      <c r="A3140" s="138" t="s">
        <v>487</v>
      </c>
      <c r="B3140" s="138" t="s">
        <v>3809</v>
      </c>
      <c r="C3140" s="138" t="s">
        <v>4130</v>
      </c>
      <c r="D3140" s="138" t="s">
        <v>4135</v>
      </c>
      <c r="E3140" s="138" t="s">
        <v>4093</v>
      </c>
      <c r="F3140" s="138" t="s">
        <v>3831</v>
      </c>
      <c r="G3140" s="138" t="s">
        <v>5679</v>
      </c>
      <c r="H3140" s="81" t="str">
        <f t="shared" si="208"/>
        <v>TCCN-PTE-PRS-SAC-CO2-INS-CPR</v>
      </c>
      <c r="I3140" s="138" t="str">
        <f>MID(H3140,1,(LEN(H3140)-VLOOKUP(K3140,datos!$B$2:$C$12,2,0)))</f>
        <v>TCCN-PTE-PRS-SAC-CO2-INS-CPR</v>
      </c>
      <c r="J3140" s="138" t="s">
        <v>7300</v>
      </c>
      <c r="K3140" s="140">
        <f>VLOOKUP(LEN(SUBSTITUTE(H3140,"-","")),datos!$A$1:$B$12,2,0)</f>
        <v>7</v>
      </c>
      <c r="L3140" s="138"/>
      <c r="M3140" s="138" t="s">
        <v>0</v>
      </c>
    </row>
    <row r="3141" spans="1:13" x14ac:dyDescent="0.35">
      <c r="A3141" s="138" t="s">
        <v>487</v>
      </c>
      <c r="B3141" s="138" t="s">
        <v>3809</v>
      </c>
      <c r="C3141" s="138" t="s">
        <v>4130</v>
      </c>
      <c r="D3141" s="138" t="s">
        <v>4135</v>
      </c>
      <c r="E3141" s="138" t="s">
        <v>4093</v>
      </c>
      <c r="F3141" s="138" t="s">
        <v>3831</v>
      </c>
      <c r="G3141" s="138" t="s">
        <v>5678</v>
      </c>
      <c r="H3141" s="81" t="str">
        <f t="shared" si="208"/>
        <v>TCCN-PTE-PRS-SAC-CO2-INS-DIS</v>
      </c>
      <c r="I3141" s="138" t="str">
        <f>MID(H3141,1,(LEN(H3141)-VLOOKUP(K3141,datos!$B$2:$C$12,2,0)))</f>
        <v>TCCN-PTE-PRS-SAC-CO2-INS-DIS</v>
      </c>
      <c r="J3141" s="138" t="s">
        <v>7301</v>
      </c>
      <c r="K3141" s="140">
        <f>VLOOKUP(LEN(SUBSTITUTE(H3141,"-","")),datos!$A$1:$B$12,2,0)</f>
        <v>7</v>
      </c>
      <c r="L3141" s="138"/>
      <c r="M3141" s="138" t="s">
        <v>0</v>
      </c>
    </row>
    <row r="3142" spans="1:13" x14ac:dyDescent="0.35">
      <c r="A3142" s="138" t="s">
        <v>487</v>
      </c>
      <c r="B3142" s="138" t="s">
        <v>3809</v>
      </c>
      <c r="C3142" s="138" t="s">
        <v>4130</v>
      </c>
      <c r="D3142" s="138" t="s">
        <v>4135</v>
      </c>
      <c r="E3142" s="138" t="s">
        <v>4093</v>
      </c>
      <c r="F3142" s="138" t="s">
        <v>3831</v>
      </c>
      <c r="G3142" s="138" t="s">
        <v>7060</v>
      </c>
      <c r="H3142" s="81" t="str">
        <f t="shared" ref="H3142" si="209">CONCATENATE(A3142,"-",B3142,"-",C3142,"-",D3142,"-",E3142,"-",F3142,"-",G3142)</f>
        <v>TCCN-PTE-PRS-SAC-CO2-INS-MTP</v>
      </c>
      <c r="I3142" s="138" t="str">
        <f>MID(H3142,1,(LEN(H3142)-VLOOKUP(K3142,datos!$B$2:$C$12,2,0)))</f>
        <v>TCCN-PTE-PRS-SAC-CO2-INS-MTP</v>
      </c>
      <c r="J3142" s="138" t="s">
        <v>8093</v>
      </c>
      <c r="K3142" s="140">
        <f>VLOOKUP(LEN(SUBSTITUTE(H3142,"-","")),datos!$A$1:$B$12,2,0)</f>
        <v>7</v>
      </c>
      <c r="L3142" s="138"/>
      <c r="M3142" s="138" t="s">
        <v>0</v>
      </c>
    </row>
    <row r="3143" spans="1:13" customFormat="1" ht="14.5" x14ac:dyDescent="0.35">
      <c r="A3143" s="129" t="s">
        <v>487</v>
      </c>
      <c r="B3143" s="129" t="s">
        <v>3809</v>
      </c>
      <c r="C3143" s="129" t="s">
        <v>4130</v>
      </c>
      <c r="D3143" s="129" t="s">
        <v>4135</v>
      </c>
      <c r="E3143" s="129" t="s">
        <v>4094</v>
      </c>
      <c r="F3143" s="129"/>
      <c r="G3143" s="129"/>
      <c r="H3143" s="83" t="str">
        <f t="shared" si="208"/>
        <v>TCCN-PTE-PRS-SAC-CO3--</v>
      </c>
      <c r="I3143" s="129" t="str">
        <f>MID(H3143,1,(LEN(H3143)-VLOOKUP(K3143,datos!$B$2:$C$12,2,0)))</f>
        <v>TCCN-PTE-PRS-SAC-CO3</v>
      </c>
      <c r="J3143" s="129" t="s">
        <v>5237</v>
      </c>
      <c r="K3143" s="130">
        <f>VLOOKUP(LEN(SUBSTITUTE(H3143,"-","")),datos!$A$1:$B$12,2,0)</f>
        <v>5</v>
      </c>
      <c r="L3143" s="129" t="s">
        <v>5171</v>
      </c>
      <c r="M3143" s="129" t="s">
        <v>0</v>
      </c>
    </row>
    <row r="3144" spans="1:13" x14ac:dyDescent="0.35">
      <c r="A3144" s="137" t="s">
        <v>487</v>
      </c>
      <c r="B3144" s="137" t="s">
        <v>3809</v>
      </c>
      <c r="C3144" s="137" t="s">
        <v>4130</v>
      </c>
      <c r="D3144" s="137" t="s">
        <v>4135</v>
      </c>
      <c r="E3144" s="137" t="s">
        <v>4094</v>
      </c>
      <c r="F3144" s="137" t="s">
        <v>3824</v>
      </c>
      <c r="G3144" s="137"/>
      <c r="H3144" s="82" t="str">
        <f t="shared" ref="H3144:H3171" si="210">CONCATENATE(A3144,"-",B3144,"-",C3144,"-",D3144,"-",E3144,"-",F3144,"-",G3144)</f>
        <v>TCCN-PTE-PRS-SAC-CO3-SES-</v>
      </c>
      <c r="I3144" s="137" t="str">
        <f>MID(H3144,1,(LEN(H3144)-VLOOKUP(K3144,datos!$B$2:$C$12,2,0)))</f>
        <v>TCCN-PTE-PRS-SAC-CO3-SES</v>
      </c>
      <c r="J3144" s="137" t="s">
        <v>7302</v>
      </c>
      <c r="K3144" s="139">
        <f>VLOOKUP(LEN(SUBSTITUTE(H3144,"-","")),datos!$A$1:$B$12,2,0)</f>
        <v>6</v>
      </c>
      <c r="L3144" s="137"/>
      <c r="M3144" s="137" t="s">
        <v>0</v>
      </c>
    </row>
    <row r="3145" spans="1:13" x14ac:dyDescent="0.35">
      <c r="A3145" s="138" t="s">
        <v>487</v>
      </c>
      <c r="B3145" s="138" t="s">
        <v>3809</v>
      </c>
      <c r="C3145" s="138" t="s">
        <v>4130</v>
      </c>
      <c r="D3145" s="138" t="s">
        <v>4135</v>
      </c>
      <c r="E3145" s="138" t="s">
        <v>4094</v>
      </c>
      <c r="F3145" s="138" t="s">
        <v>3824</v>
      </c>
      <c r="G3145" s="138" t="s">
        <v>4035</v>
      </c>
      <c r="H3145" s="81" t="str">
        <f t="shared" si="210"/>
        <v>TCCN-PTE-PRS-SAC-CO3-SES-CON</v>
      </c>
      <c r="I3145" s="138" t="str">
        <f>MID(H3145,1,(LEN(H3145)-VLOOKUP(K3145,datos!$B$2:$C$12,2,0)))</f>
        <v>TCCN-PTE-PRS-SAC-CO3-SES-CON</v>
      </c>
      <c r="J3145" s="138" t="s">
        <v>7303</v>
      </c>
      <c r="K3145" s="140">
        <f>VLOOKUP(LEN(SUBSTITUTE(H3145,"-","")),datos!$A$1:$B$12,2,0)</f>
        <v>7</v>
      </c>
      <c r="L3145" s="138"/>
      <c r="M3145" s="138" t="s">
        <v>0</v>
      </c>
    </row>
    <row r="3146" spans="1:13" x14ac:dyDescent="0.35">
      <c r="A3146" s="138" t="s">
        <v>487</v>
      </c>
      <c r="B3146" s="138" t="s">
        <v>3809</v>
      </c>
      <c r="C3146" s="138" t="s">
        <v>4130</v>
      </c>
      <c r="D3146" s="138" t="s">
        <v>4135</v>
      </c>
      <c r="E3146" s="138" t="s">
        <v>4094</v>
      </c>
      <c r="F3146" s="138" t="s">
        <v>3824</v>
      </c>
      <c r="G3146" s="138" t="s">
        <v>5141</v>
      </c>
      <c r="H3146" s="81" t="str">
        <f t="shared" si="210"/>
        <v>TCCN-PTE-PRS-SAC-CO3-SES-SOP</v>
      </c>
      <c r="I3146" s="138" t="str">
        <f>MID(H3146,1,(LEN(H3146)-VLOOKUP(K3146,datos!$B$2:$C$12,2,0)))</f>
        <v>TCCN-PTE-PRS-SAC-CO3-SES-SOP</v>
      </c>
      <c r="J3146" s="138" t="s">
        <v>7304</v>
      </c>
      <c r="K3146" s="140">
        <f>VLOOKUP(LEN(SUBSTITUTE(H3146,"-","")),datos!$A$1:$B$12,2,0)</f>
        <v>7</v>
      </c>
      <c r="L3146" s="138"/>
      <c r="M3146" s="138" t="s">
        <v>0</v>
      </c>
    </row>
    <row r="3147" spans="1:13" x14ac:dyDescent="0.35">
      <c r="A3147" s="138" t="s">
        <v>487</v>
      </c>
      <c r="B3147" s="138" t="s">
        <v>3809</v>
      </c>
      <c r="C3147" s="138" t="s">
        <v>4130</v>
      </c>
      <c r="D3147" s="138" t="s">
        <v>4135</v>
      </c>
      <c r="E3147" s="138" t="s">
        <v>4094</v>
      </c>
      <c r="F3147" s="138" t="s">
        <v>3824</v>
      </c>
      <c r="G3147" s="138" t="s">
        <v>5670</v>
      </c>
      <c r="H3147" s="81" t="str">
        <f t="shared" si="210"/>
        <v>TCCN-PTE-PRS-SAC-CO3-SES-BAS</v>
      </c>
      <c r="I3147" s="138" t="str">
        <f>MID(H3147,1,(LEN(H3147)-VLOOKUP(K3147,datos!$B$2:$C$12,2,0)))</f>
        <v>TCCN-PTE-PRS-SAC-CO3-SES-BAS</v>
      </c>
      <c r="J3147" s="138" t="s">
        <v>7305</v>
      </c>
      <c r="K3147" s="140">
        <f>VLOOKUP(LEN(SUBSTITUTE(H3147,"-","")),datos!$A$1:$B$12,2,0)</f>
        <v>7</v>
      </c>
      <c r="L3147" s="138"/>
      <c r="M3147" s="138" t="s">
        <v>0</v>
      </c>
    </row>
    <row r="3148" spans="1:13" x14ac:dyDescent="0.35">
      <c r="A3148" s="138" t="s">
        <v>487</v>
      </c>
      <c r="B3148" s="138" t="s">
        <v>3809</v>
      </c>
      <c r="C3148" s="138" t="s">
        <v>4130</v>
      </c>
      <c r="D3148" s="138" t="s">
        <v>4135</v>
      </c>
      <c r="E3148" s="138" t="s">
        <v>4094</v>
      </c>
      <c r="F3148" s="138" t="s">
        <v>3824</v>
      </c>
      <c r="G3148" s="138" t="s">
        <v>4016</v>
      </c>
      <c r="H3148" s="81" t="str">
        <f t="shared" si="210"/>
        <v>TCCN-PTE-PRS-SAC-CO3-SES-PAN</v>
      </c>
      <c r="I3148" s="138" t="str">
        <f>MID(H3148,1,(LEN(H3148)-VLOOKUP(K3148,datos!$B$2:$C$12,2,0)))</f>
        <v>TCCN-PTE-PRS-SAC-CO3-SES-PAN</v>
      </c>
      <c r="J3148" s="138" t="s">
        <v>7306</v>
      </c>
      <c r="K3148" s="140">
        <f>VLOOKUP(LEN(SUBSTITUTE(H3148,"-","")),datos!$A$1:$B$12,2,0)</f>
        <v>7</v>
      </c>
      <c r="L3148" s="138"/>
      <c r="M3148" s="138" t="s">
        <v>0</v>
      </c>
    </row>
    <row r="3149" spans="1:13" x14ac:dyDescent="0.35">
      <c r="A3149" s="138" t="s">
        <v>487</v>
      </c>
      <c r="B3149" s="138" t="s">
        <v>3809</v>
      </c>
      <c r="C3149" s="138" t="s">
        <v>4130</v>
      </c>
      <c r="D3149" s="138" t="s">
        <v>4135</v>
      </c>
      <c r="E3149" s="138" t="s">
        <v>4094</v>
      </c>
      <c r="F3149" s="138" t="s">
        <v>3824</v>
      </c>
      <c r="G3149" s="138" t="s">
        <v>5671</v>
      </c>
      <c r="H3149" s="81" t="str">
        <f t="shared" si="210"/>
        <v>TCCN-PTE-PRS-SAC-CO3-SES-PTA</v>
      </c>
      <c r="I3149" s="138" t="str">
        <f>MID(H3149,1,(LEN(H3149)-VLOOKUP(K3149,datos!$B$2:$C$12,2,0)))</f>
        <v>TCCN-PTE-PRS-SAC-CO3-SES-PTA</v>
      </c>
      <c r="J3149" s="138" t="s">
        <v>7307</v>
      </c>
      <c r="K3149" s="140">
        <f>VLOOKUP(LEN(SUBSTITUTE(H3149,"-","")),datos!$A$1:$B$12,2,0)</f>
        <v>7</v>
      </c>
      <c r="L3149" s="138"/>
      <c r="M3149" s="138" t="s">
        <v>0</v>
      </c>
    </row>
    <row r="3150" spans="1:13" x14ac:dyDescent="0.35">
      <c r="A3150" s="137" t="s">
        <v>487</v>
      </c>
      <c r="B3150" s="137" t="s">
        <v>3809</v>
      </c>
      <c r="C3150" s="137" t="s">
        <v>4130</v>
      </c>
      <c r="D3150" s="137" t="s">
        <v>4135</v>
      </c>
      <c r="E3150" s="137" t="s">
        <v>4094</v>
      </c>
      <c r="F3150" s="137" t="s">
        <v>5666</v>
      </c>
      <c r="G3150" s="137"/>
      <c r="H3150" s="82" t="str">
        <f t="shared" si="210"/>
        <v>TCCN-PTE-PRS-SAC-CO3-SIA-</v>
      </c>
      <c r="I3150" s="137" t="str">
        <f>MID(H3150,1,(LEN(H3150)-VLOOKUP(K3150,datos!$B$2:$C$12,2,0)))</f>
        <v>TCCN-PTE-PRS-SAC-CO3-SIA</v>
      </c>
      <c r="J3150" s="137" t="s">
        <v>7325</v>
      </c>
      <c r="K3150" s="139">
        <f>VLOOKUP(LEN(SUBSTITUTE(H3150,"-","")),datos!$A$1:$B$12,2,0)</f>
        <v>6</v>
      </c>
      <c r="L3150" s="137"/>
      <c r="M3150" s="137" t="s">
        <v>0</v>
      </c>
    </row>
    <row r="3151" spans="1:13" x14ac:dyDescent="0.35">
      <c r="A3151" s="138" t="s">
        <v>487</v>
      </c>
      <c r="B3151" s="138" t="s">
        <v>3809</v>
      </c>
      <c r="C3151" s="138" t="s">
        <v>4130</v>
      </c>
      <c r="D3151" s="138" t="s">
        <v>4135</v>
      </c>
      <c r="E3151" s="138" t="s">
        <v>4094</v>
      </c>
      <c r="F3151" s="138" t="s">
        <v>5666</v>
      </c>
      <c r="G3151" s="138" t="s">
        <v>5672</v>
      </c>
      <c r="H3151" s="81" t="str">
        <f t="shared" si="210"/>
        <v>TCCN-PTE-PRS-SAC-CO3-SIA-FDP</v>
      </c>
      <c r="I3151" s="138" t="str">
        <f>MID(H3151,1,(LEN(H3151)-VLOOKUP(K3151,datos!$B$2:$C$12,2,0)))</f>
        <v>TCCN-PTE-PRS-SAC-CO3-SIA-FDP</v>
      </c>
      <c r="J3151" s="138" t="s">
        <v>7308</v>
      </c>
      <c r="K3151" s="140">
        <f>VLOOKUP(LEN(SUBSTITUTE(H3151,"-","")),datos!$A$1:$B$12,2,0)</f>
        <v>7</v>
      </c>
      <c r="L3151" s="138"/>
      <c r="M3151" s="138" t="s">
        <v>0</v>
      </c>
    </row>
    <row r="3152" spans="1:13" x14ac:dyDescent="0.35">
      <c r="A3152" s="138" t="s">
        <v>487</v>
      </c>
      <c r="B3152" s="138" t="s">
        <v>3809</v>
      </c>
      <c r="C3152" s="138" t="s">
        <v>4130</v>
      </c>
      <c r="D3152" s="138" t="s">
        <v>4135</v>
      </c>
      <c r="E3152" s="138" t="s">
        <v>4094</v>
      </c>
      <c r="F3152" s="138" t="s">
        <v>5666</v>
      </c>
      <c r="G3152" s="138" t="s">
        <v>5673</v>
      </c>
      <c r="H3152" s="81" t="str">
        <f t="shared" si="210"/>
        <v>TCCN-PTE-PRS-SAC-CO3-SIA-EFI</v>
      </c>
      <c r="I3152" s="138" t="str">
        <f>MID(H3152,1,(LEN(H3152)-VLOOKUP(K3152,datos!$B$2:$C$12,2,0)))</f>
        <v>TCCN-PTE-PRS-SAC-CO3-SIA-EFI</v>
      </c>
      <c r="J3152" s="138" t="s">
        <v>7309</v>
      </c>
      <c r="K3152" s="140">
        <f>VLOOKUP(LEN(SUBSTITUTE(H3152,"-","")),datos!$A$1:$B$12,2,0)</f>
        <v>7</v>
      </c>
      <c r="L3152" s="138"/>
      <c r="M3152" s="138" t="s">
        <v>0</v>
      </c>
    </row>
    <row r="3153" spans="1:13" x14ac:dyDescent="0.35">
      <c r="A3153" s="138" t="s">
        <v>487</v>
      </c>
      <c r="B3153" s="138" t="s">
        <v>3809</v>
      </c>
      <c r="C3153" s="138" t="s">
        <v>4130</v>
      </c>
      <c r="D3153" s="138" t="s">
        <v>4135</v>
      </c>
      <c r="E3153" s="138" t="s">
        <v>4094</v>
      </c>
      <c r="F3153" s="138" t="s">
        <v>5666</v>
      </c>
      <c r="G3153" s="138" t="s">
        <v>4075</v>
      </c>
      <c r="H3153" s="81" t="str">
        <f t="shared" si="210"/>
        <v>TCCN-PTE-PRS-SAC-CO3-SIA-VVA</v>
      </c>
      <c r="I3153" s="138" t="str">
        <f>MID(H3153,1,(LEN(H3153)-VLOOKUP(K3153,datos!$B$2:$C$12,2,0)))</f>
        <v>TCCN-PTE-PRS-SAC-CO3-SIA-VVA</v>
      </c>
      <c r="J3153" s="138" t="s">
        <v>7913</v>
      </c>
      <c r="K3153" s="140">
        <f>VLOOKUP(LEN(SUBSTITUTE(H3153,"-","")),datos!$A$1:$B$12,2,0)</f>
        <v>7</v>
      </c>
      <c r="L3153" s="138"/>
      <c r="M3153" s="138" t="s">
        <v>0</v>
      </c>
    </row>
    <row r="3154" spans="1:13" x14ac:dyDescent="0.35">
      <c r="A3154" s="137" t="s">
        <v>487</v>
      </c>
      <c r="B3154" s="137" t="s">
        <v>3809</v>
      </c>
      <c r="C3154" s="137" t="s">
        <v>4130</v>
      </c>
      <c r="D3154" s="137" t="s">
        <v>4135</v>
      </c>
      <c r="E3154" s="137" t="s">
        <v>4094</v>
      </c>
      <c r="F3154" s="137" t="s">
        <v>5667</v>
      </c>
      <c r="G3154" s="137"/>
      <c r="H3154" s="82" t="str">
        <f t="shared" si="210"/>
        <v>TCCN-PTE-PRS-SAC-CO3-UCO-</v>
      </c>
      <c r="I3154" s="137" t="str">
        <f>MID(H3154,1,(LEN(H3154)-VLOOKUP(K3154,datos!$B$2:$C$12,2,0)))</f>
        <v>TCCN-PTE-PRS-SAC-CO3-UCO</v>
      </c>
      <c r="J3154" s="137" t="s">
        <v>7310</v>
      </c>
      <c r="K3154" s="139">
        <f>VLOOKUP(LEN(SUBSTITUTE(H3154,"-","")),datos!$A$1:$B$12,2,0)</f>
        <v>6</v>
      </c>
      <c r="L3154" s="137"/>
      <c r="M3154" s="137" t="s">
        <v>0</v>
      </c>
    </row>
    <row r="3155" spans="1:13" x14ac:dyDescent="0.35">
      <c r="A3155" s="138" t="s">
        <v>487</v>
      </c>
      <c r="B3155" s="138" t="s">
        <v>3809</v>
      </c>
      <c r="C3155" s="138" t="s">
        <v>4130</v>
      </c>
      <c r="D3155" s="138" t="s">
        <v>4135</v>
      </c>
      <c r="E3155" s="138" t="s">
        <v>4094</v>
      </c>
      <c r="F3155" s="138" t="s">
        <v>5667</v>
      </c>
      <c r="G3155" s="138" t="s">
        <v>5193</v>
      </c>
      <c r="H3155" s="81" t="str">
        <f t="shared" si="210"/>
        <v>TCCN-PTE-PRS-SAC-CO3-UCO-COM</v>
      </c>
      <c r="I3155" s="138" t="str">
        <f>MID(H3155,1,(LEN(H3155)-VLOOKUP(K3155,datos!$B$2:$C$12,2,0)))</f>
        <v>TCCN-PTE-PRS-SAC-CO3-UCO-COM</v>
      </c>
      <c r="J3155" s="138" t="s">
        <v>7311</v>
      </c>
      <c r="K3155" s="140">
        <f>VLOOKUP(LEN(SUBSTITUTE(H3155,"-","")),datos!$A$1:$B$12,2,0)</f>
        <v>7</v>
      </c>
      <c r="L3155" s="138"/>
      <c r="M3155" s="138" t="s">
        <v>0</v>
      </c>
    </row>
    <row r="3156" spans="1:13" x14ac:dyDescent="0.35">
      <c r="A3156" s="138" t="s">
        <v>487</v>
      </c>
      <c r="B3156" s="138" t="s">
        <v>3809</v>
      </c>
      <c r="C3156" s="138" t="s">
        <v>4130</v>
      </c>
      <c r="D3156" s="138" t="s">
        <v>4135</v>
      </c>
      <c r="E3156" s="138" t="s">
        <v>4094</v>
      </c>
      <c r="F3156" s="138" t="s">
        <v>5667</v>
      </c>
      <c r="G3156" s="138" t="s">
        <v>3819</v>
      </c>
      <c r="H3156" s="81" t="str">
        <f t="shared" si="210"/>
        <v>TCCN-PTE-PRS-SAC-CO3-UCO-MOE</v>
      </c>
      <c r="I3156" s="138" t="str">
        <f>MID(H3156,1,(LEN(H3156)-VLOOKUP(K3156,datos!$B$2:$C$12,2,0)))</f>
        <v>TCCN-PTE-PRS-SAC-CO3-UCO-MOE</v>
      </c>
      <c r="J3156" s="138" t="s">
        <v>7312</v>
      </c>
      <c r="K3156" s="140">
        <f>VLOOKUP(LEN(SUBSTITUTE(H3156,"-","")),datos!$A$1:$B$12,2,0)</f>
        <v>7</v>
      </c>
      <c r="L3156" s="138"/>
      <c r="M3156" s="138" t="s">
        <v>0</v>
      </c>
    </row>
    <row r="3157" spans="1:13" x14ac:dyDescent="0.35">
      <c r="A3157" s="138" t="s">
        <v>487</v>
      </c>
      <c r="B3157" s="138" t="s">
        <v>3809</v>
      </c>
      <c r="C3157" s="138" t="s">
        <v>4130</v>
      </c>
      <c r="D3157" s="138" t="s">
        <v>4135</v>
      </c>
      <c r="E3157" s="138" t="s">
        <v>4094</v>
      </c>
      <c r="F3157" s="138" t="s">
        <v>5667</v>
      </c>
      <c r="G3157" s="138" t="s">
        <v>4332</v>
      </c>
      <c r="H3157" s="81" t="str">
        <f t="shared" si="210"/>
        <v>TCCN-PTE-PRS-SAC-CO3-UCO-SDA</v>
      </c>
      <c r="I3157" s="138" t="str">
        <f>MID(H3157,1,(LEN(H3157)-VLOOKUP(K3157,datos!$B$2:$C$12,2,0)))</f>
        <v>TCCN-PTE-PRS-SAC-CO3-UCO-SDA</v>
      </c>
      <c r="J3157" s="138" t="s">
        <v>7313</v>
      </c>
      <c r="K3157" s="140">
        <f>VLOOKUP(LEN(SUBSTITUTE(H3157,"-","")),datos!$A$1:$B$12,2,0)</f>
        <v>7</v>
      </c>
      <c r="L3157" s="138"/>
      <c r="M3157" s="138" t="s">
        <v>0</v>
      </c>
    </row>
    <row r="3158" spans="1:13" x14ac:dyDescent="0.35">
      <c r="A3158" s="138" t="s">
        <v>487</v>
      </c>
      <c r="B3158" s="138" t="s">
        <v>3809</v>
      </c>
      <c r="C3158" s="138" t="s">
        <v>4130</v>
      </c>
      <c r="D3158" s="138" t="s">
        <v>4135</v>
      </c>
      <c r="E3158" s="138" t="s">
        <v>4094</v>
      </c>
      <c r="F3158" s="138" t="s">
        <v>5667</v>
      </c>
      <c r="G3158" s="138" t="s">
        <v>4073</v>
      </c>
      <c r="H3158" s="81" t="str">
        <f t="shared" si="210"/>
        <v>TCCN-PTE-PRS-SAC-CO3-UCO-PYV</v>
      </c>
      <c r="I3158" s="138" t="str">
        <f>MID(H3158,1,(LEN(H3158)-VLOOKUP(K3158,datos!$B$2:$C$12,2,0)))</f>
        <v>TCCN-PTE-PRS-SAC-CO3-UCO-PYV</v>
      </c>
      <c r="J3158" s="138" t="s">
        <v>7314</v>
      </c>
      <c r="K3158" s="140">
        <f>VLOOKUP(LEN(SUBSTITUTE(H3158,"-","")),datos!$A$1:$B$12,2,0)</f>
        <v>7</v>
      </c>
      <c r="L3158" s="138"/>
      <c r="M3158" s="138" t="s">
        <v>0</v>
      </c>
    </row>
    <row r="3159" spans="1:13" x14ac:dyDescent="0.35">
      <c r="A3159" s="138" t="s">
        <v>487</v>
      </c>
      <c r="B3159" s="138" t="s">
        <v>3809</v>
      </c>
      <c r="C3159" s="138" t="s">
        <v>4130</v>
      </c>
      <c r="D3159" s="138" t="s">
        <v>4135</v>
      </c>
      <c r="E3159" s="138" t="s">
        <v>4094</v>
      </c>
      <c r="F3159" s="138" t="s">
        <v>5667</v>
      </c>
      <c r="G3159" s="138" t="s">
        <v>5444</v>
      </c>
      <c r="H3159" s="81" t="str">
        <f t="shared" si="210"/>
        <v>TCCN-PTE-PRS-SAC-CO3-UCO-FDA</v>
      </c>
      <c r="I3159" s="138" t="str">
        <f>MID(H3159,1,(LEN(H3159)-VLOOKUP(K3159,datos!$B$2:$C$12,2,0)))</f>
        <v>TCCN-PTE-PRS-SAC-CO3-UCO-FDA</v>
      </c>
      <c r="J3159" s="138" t="s">
        <v>7315</v>
      </c>
      <c r="K3159" s="140">
        <f>VLOOKUP(LEN(SUBSTITUTE(H3159,"-","")),datos!$A$1:$B$12,2,0)</f>
        <v>7</v>
      </c>
      <c r="L3159" s="138"/>
      <c r="M3159" s="138" t="s">
        <v>0</v>
      </c>
    </row>
    <row r="3160" spans="1:13" x14ac:dyDescent="0.35">
      <c r="A3160" s="137" t="s">
        <v>487</v>
      </c>
      <c r="B3160" s="137" t="s">
        <v>3809</v>
      </c>
      <c r="C3160" s="137" t="s">
        <v>4130</v>
      </c>
      <c r="D3160" s="137" t="s">
        <v>4135</v>
      </c>
      <c r="E3160" s="137" t="s">
        <v>4094</v>
      </c>
      <c r="F3160" s="137" t="s">
        <v>5668</v>
      </c>
      <c r="G3160" s="137"/>
      <c r="H3160" s="82" t="str">
        <f t="shared" si="210"/>
        <v>TCCN-PTE-PRS-SAC-CO3-SEF-</v>
      </c>
      <c r="I3160" s="137" t="str">
        <f>MID(H3160,1,(LEN(H3160)-VLOOKUP(K3160,datos!$B$2:$C$12,2,0)))</f>
        <v>TCCN-PTE-PRS-SAC-CO3-SEF</v>
      </c>
      <c r="J3160" s="137" t="s">
        <v>6725</v>
      </c>
      <c r="K3160" s="139">
        <f>VLOOKUP(LEN(SUBSTITUTE(H3160,"-","")),datos!$A$1:$B$12,2,0)</f>
        <v>6</v>
      </c>
      <c r="L3160" s="137"/>
      <c r="M3160" s="137" t="s">
        <v>0</v>
      </c>
    </row>
    <row r="3161" spans="1:13" x14ac:dyDescent="0.35">
      <c r="A3161" s="138" t="s">
        <v>487</v>
      </c>
      <c r="B3161" s="138" t="s">
        <v>3809</v>
      </c>
      <c r="C3161" s="138" t="s">
        <v>4130</v>
      </c>
      <c r="D3161" s="138" t="s">
        <v>4135</v>
      </c>
      <c r="E3161" s="138" t="s">
        <v>4094</v>
      </c>
      <c r="F3161" s="138" t="s">
        <v>5668</v>
      </c>
      <c r="G3161" s="138" t="s">
        <v>4073</v>
      </c>
      <c r="H3161" s="81" t="str">
        <f t="shared" si="210"/>
        <v>TCCN-PTE-PRS-SAC-CO3-SEF-PYV</v>
      </c>
      <c r="I3161" s="138" t="str">
        <f>MID(H3161,1,(LEN(H3161)-VLOOKUP(K3161,datos!$B$2:$C$12,2,0)))</f>
        <v>TCCN-PTE-PRS-SAC-CO3-SEF-PYV</v>
      </c>
      <c r="J3161" s="138" t="s">
        <v>7316</v>
      </c>
      <c r="K3161" s="140">
        <f>VLOOKUP(LEN(SUBSTITUTE(H3161,"-","")),datos!$A$1:$B$12,2,0)</f>
        <v>7</v>
      </c>
      <c r="L3161" s="138"/>
      <c r="M3161" s="138" t="s">
        <v>0</v>
      </c>
    </row>
    <row r="3162" spans="1:13" x14ac:dyDescent="0.35">
      <c r="A3162" s="138" t="s">
        <v>487</v>
      </c>
      <c r="B3162" s="138" t="s">
        <v>3809</v>
      </c>
      <c r="C3162" s="138" t="s">
        <v>4130</v>
      </c>
      <c r="D3162" s="138" t="s">
        <v>4135</v>
      </c>
      <c r="E3162" s="138" t="s">
        <v>4094</v>
      </c>
      <c r="F3162" s="138" t="s">
        <v>5668</v>
      </c>
      <c r="G3162" s="138" t="s">
        <v>5674</v>
      </c>
      <c r="H3162" s="81" t="str">
        <f t="shared" si="210"/>
        <v>TCCN-PTE-PRS-SAC-CO3-SEF-IDC</v>
      </c>
      <c r="I3162" s="138" t="str">
        <f>MID(H3162,1,(LEN(H3162)-VLOOKUP(K3162,datos!$B$2:$C$12,2,0)))</f>
        <v>TCCN-PTE-PRS-SAC-CO3-SEF-IDC</v>
      </c>
      <c r="J3162" s="138" t="s">
        <v>7317</v>
      </c>
      <c r="K3162" s="140">
        <f>VLOOKUP(LEN(SUBSTITUTE(H3162,"-","")),datos!$A$1:$B$12,2,0)</f>
        <v>7</v>
      </c>
      <c r="L3162" s="138"/>
      <c r="M3162" s="138" t="s">
        <v>0</v>
      </c>
    </row>
    <row r="3163" spans="1:13" x14ac:dyDescent="0.35">
      <c r="A3163" s="138" t="s">
        <v>487</v>
      </c>
      <c r="B3163" s="138" t="s">
        <v>3809</v>
      </c>
      <c r="C3163" s="138" t="s">
        <v>4130</v>
      </c>
      <c r="D3163" s="138" t="s">
        <v>4135</v>
      </c>
      <c r="E3163" s="138" t="s">
        <v>4094</v>
      </c>
      <c r="F3163" s="138" t="s">
        <v>5668</v>
      </c>
      <c r="G3163" s="138" t="s">
        <v>5675</v>
      </c>
      <c r="H3163" s="81" t="str">
        <f t="shared" si="210"/>
        <v>TCCN-PTE-PRS-SAC-CO3-SEF-MTV</v>
      </c>
      <c r="I3163" s="138" t="str">
        <f>MID(H3163,1,(LEN(H3163)-VLOOKUP(K3163,datos!$B$2:$C$12,2,0)))</f>
        <v>TCCN-PTE-PRS-SAC-CO3-SEF-MTV</v>
      </c>
      <c r="J3163" s="138" t="s">
        <v>7318</v>
      </c>
      <c r="K3163" s="140">
        <f>VLOOKUP(LEN(SUBSTITUTE(H3163,"-","")),datos!$A$1:$B$12,2,0)</f>
        <v>7</v>
      </c>
      <c r="L3163" s="138"/>
      <c r="M3163" s="138" t="s">
        <v>0</v>
      </c>
    </row>
    <row r="3164" spans="1:13" x14ac:dyDescent="0.35">
      <c r="A3164" s="138" t="s">
        <v>487</v>
      </c>
      <c r="B3164" s="138" t="s">
        <v>3809</v>
      </c>
      <c r="C3164" s="138" t="s">
        <v>4130</v>
      </c>
      <c r="D3164" s="138" t="s">
        <v>4135</v>
      </c>
      <c r="E3164" s="138" t="s">
        <v>4094</v>
      </c>
      <c r="F3164" s="138" t="s">
        <v>5668</v>
      </c>
      <c r="G3164" s="138" t="s">
        <v>4075</v>
      </c>
      <c r="H3164" s="81" t="str">
        <f t="shared" si="210"/>
        <v>TCCN-PTE-PRS-SAC-CO3-SEF-VVA</v>
      </c>
      <c r="I3164" s="138" t="str">
        <f>MID(H3164,1,(LEN(H3164)-VLOOKUP(K3164,datos!$B$2:$C$12,2,0)))</f>
        <v>TCCN-PTE-PRS-SAC-CO3-SEF-VVA</v>
      </c>
      <c r="J3164" s="138" t="s">
        <v>7912</v>
      </c>
      <c r="K3164" s="140">
        <f>VLOOKUP(LEN(SUBSTITUTE(H3164,"-","")),datos!$A$1:$B$12,2,0)</f>
        <v>7</v>
      </c>
      <c r="L3164" s="138"/>
      <c r="M3164" s="138" t="s">
        <v>0</v>
      </c>
    </row>
    <row r="3165" spans="1:13" x14ac:dyDescent="0.35">
      <c r="A3165" s="138" t="s">
        <v>487</v>
      </c>
      <c r="B3165" s="138" t="s">
        <v>3809</v>
      </c>
      <c r="C3165" s="138" t="s">
        <v>4130</v>
      </c>
      <c r="D3165" s="138" t="s">
        <v>4135</v>
      </c>
      <c r="E3165" s="138" t="s">
        <v>4094</v>
      </c>
      <c r="F3165" s="138" t="s">
        <v>5668</v>
      </c>
      <c r="G3165" s="138" t="s">
        <v>5676</v>
      </c>
      <c r="H3165" s="81" t="str">
        <f t="shared" si="210"/>
        <v>TCCN-PTE-PRS-SAC-CO3-SEF-SDH</v>
      </c>
      <c r="I3165" s="138" t="str">
        <f>MID(H3165,1,(LEN(H3165)-VLOOKUP(K3165,datos!$B$2:$C$12,2,0)))</f>
        <v>TCCN-PTE-PRS-SAC-CO3-SEF-SDH</v>
      </c>
      <c r="J3165" s="138" t="s">
        <v>7319</v>
      </c>
      <c r="K3165" s="140">
        <f>VLOOKUP(LEN(SUBSTITUTE(H3165,"-","")),datos!$A$1:$B$12,2,0)</f>
        <v>7</v>
      </c>
      <c r="L3165" s="138"/>
      <c r="M3165" s="138" t="s">
        <v>0</v>
      </c>
    </row>
    <row r="3166" spans="1:13" x14ac:dyDescent="0.35">
      <c r="A3166" s="137" t="s">
        <v>487</v>
      </c>
      <c r="B3166" s="137" t="s">
        <v>3809</v>
      </c>
      <c r="C3166" s="137" t="s">
        <v>4130</v>
      </c>
      <c r="D3166" s="137" t="s">
        <v>4135</v>
      </c>
      <c r="E3166" s="137" t="s">
        <v>4094</v>
      </c>
      <c r="F3166" s="137" t="s">
        <v>3831</v>
      </c>
      <c r="G3166" s="137"/>
      <c r="H3166" s="82" t="str">
        <f t="shared" si="210"/>
        <v>TCCN-PTE-PRS-SAC-CO3-INS-</v>
      </c>
      <c r="I3166" s="137" t="str">
        <f>MID(H3166,1,(LEN(H3166)-VLOOKUP(K3166,datos!$B$2:$C$12,2,0)))</f>
        <v>TCCN-PTE-PRS-SAC-CO3-INS</v>
      </c>
      <c r="J3166" s="137" t="s">
        <v>7320</v>
      </c>
      <c r="K3166" s="139">
        <f>VLOOKUP(LEN(SUBSTITUTE(H3166,"-","")),datos!$A$1:$B$12,2,0)</f>
        <v>6</v>
      </c>
      <c r="L3166" s="137"/>
      <c r="M3166" s="137" t="s">
        <v>0</v>
      </c>
    </row>
    <row r="3167" spans="1:13" x14ac:dyDescent="0.35">
      <c r="A3167" s="138" t="s">
        <v>487</v>
      </c>
      <c r="B3167" s="138" t="s">
        <v>3809</v>
      </c>
      <c r="C3167" s="138" t="s">
        <v>4130</v>
      </c>
      <c r="D3167" s="138" t="s">
        <v>4135</v>
      </c>
      <c r="E3167" s="138" t="s">
        <v>4094</v>
      </c>
      <c r="F3167" s="138" t="s">
        <v>3831</v>
      </c>
      <c r="G3167" s="138" t="s">
        <v>5204</v>
      </c>
      <c r="H3167" s="81" t="str">
        <f t="shared" si="210"/>
        <v>TCCN-PTE-PRS-SAC-CO3-INS-PCL</v>
      </c>
      <c r="I3167" s="138" t="str">
        <f>MID(H3167,1,(LEN(H3167)-VLOOKUP(K3167,datos!$B$2:$C$12,2,0)))</f>
        <v>TCCN-PTE-PRS-SAC-CO3-INS-PCL</v>
      </c>
      <c r="J3167" s="138" t="s">
        <v>7321</v>
      </c>
      <c r="K3167" s="140">
        <f>VLOOKUP(LEN(SUBSTITUTE(H3167,"-","")),datos!$A$1:$B$12,2,0)</f>
        <v>7</v>
      </c>
      <c r="L3167" s="138"/>
      <c r="M3167" s="138" t="s">
        <v>0</v>
      </c>
    </row>
    <row r="3168" spans="1:13" x14ac:dyDescent="0.35">
      <c r="A3168" s="138" t="s">
        <v>487</v>
      </c>
      <c r="B3168" s="138" t="s">
        <v>3809</v>
      </c>
      <c r="C3168" s="138" t="s">
        <v>4130</v>
      </c>
      <c r="D3168" s="138" t="s">
        <v>4135</v>
      </c>
      <c r="E3168" s="138" t="s">
        <v>4094</v>
      </c>
      <c r="F3168" s="138" t="s">
        <v>3831</v>
      </c>
      <c r="G3168" s="138" t="s">
        <v>5677</v>
      </c>
      <c r="H3168" s="81" t="str">
        <f t="shared" si="210"/>
        <v>TCCN-PTE-PRS-SAC-CO3-INS-CTL</v>
      </c>
      <c r="I3168" s="138" t="str">
        <f>MID(H3168,1,(LEN(H3168)-VLOOKUP(K3168,datos!$B$2:$C$12,2,0)))</f>
        <v>TCCN-PTE-PRS-SAC-CO3-INS-CTL</v>
      </c>
      <c r="J3168" s="138" t="s">
        <v>7322</v>
      </c>
      <c r="K3168" s="140">
        <f>VLOOKUP(LEN(SUBSTITUTE(H3168,"-","")),datos!$A$1:$B$12,2,0)</f>
        <v>7</v>
      </c>
      <c r="L3168" s="138"/>
      <c r="M3168" s="138" t="s">
        <v>0</v>
      </c>
    </row>
    <row r="3169" spans="1:13" x14ac:dyDescent="0.35">
      <c r="A3169" s="138" t="s">
        <v>487</v>
      </c>
      <c r="B3169" s="138" t="s">
        <v>3809</v>
      </c>
      <c r="C3169" s="138" t="s">
        <v>4130</v>
      </c>
      <c r="D3169" s="138" t="s">
        <v>4135</v>
      </c>
      <c r="E3169" s="138" t="s">
        <v>4094</v>
      </c>
      <c r="F3169" s="138" t="s">
        <v>3831</v>
      </c>
      <c r="G3169" s="138" t="s">
        <v>5679</v>
      </c>
      <c r="H3169" s="81" t="str">
        <f t="shared" si="210"/>
        <v>TCCN-PTE-PRS-SAC-CO3-INS-CPR</v>
      </c>
      <c r="I3169" s="138" t="str">
        <f>MID(H3169,1,(LEN(H3169)-VLOOKUP(K3169,datos!$B$2:$C$12,2,0)))</f>
        <v>TCCN-PTE-PRS-SAC-CO3-INS-CPR</v>
      </c>
      <c r="J3169" s="138" t="s">
        <v>7323</v>
      </c>
      <c r="K3169" s="140">
        <f>VLOOKUP(LEN(SUBSTITUTE(H3169,"-","")),datos!$A$1:$B$12,2,0)</f>
        <v>7</v>
      </c>
      <c r="L3169" s="138"/>
      <c r="M3169" s="138" t="s">
        <v>0</v>
      </c>
    </row>
    <row r="3170" spans="1:13" x14ac:dyDescent="0.35">
      <c r="A3170" s="138" t="s">
        <v>487</v>
      </c>
      <c r="B3170" s="138" t="s">
        <v>3809</v>
      </c>
      <c r="C3170" s="138" t="s">
        <v>4130</v>
      </c>
      <c r="D3170" s="138" t="s">
        <v>4135</v>
      </c>
      <c r="E3170" s="138" t="s">
        <v>4094</v>
      </c>
      <c r="F3170" s="138" t="s">
        <v>3831</v>
      </c>
      <c r="G3170" s="138" t="s">
        <v>5678</v>
      </c>
      <c r="H3170" s="81" t="str">
        <f t="shared" si="210"/>
        <v>TCCN-PTE-PRS-SAC-CO3-INS-DIS</v>
      </c>
      <c r="I3170" s="138" t="str">
        <f>MID(H3170,1,(LEN(H3170)-VLOOKUP(K3170,datos!$B$2:$C$12,2,0)))</f>
        <v>TCCN-PTE-PRS-SAC-CO3-INS-DIS</v>
      </c>
      <c r="J3170" s="138" t="s">
        <v>7324</v>
      </c>
      <c r="K3170" s="140">
        <f>VLOOKUP(LEN(SUBSTITUTE(H3170,"-","")),datos!$A$1:$B$12,2,0)</f>
        <v>7</v>
      </c>
      <c r="L3170" s="138"/>
      <c r="M3170" s="138" t="s">
        <v>0</v>
      </c>
    </row>
    <row r="3171" spans="1:13" x14ac:dyDescent="0.35">
      <c r="A3171" s="138" t="s">
        <v>487</v>
      </c>
      <c r="B3171" s="138" t="s">
        <v>3809</v>
      </c>
      <c r="C3171" s="138" t="s">
        <v>4130</v>
      </c>
      <c r="D3171" s="138" t="s">
        <v>4135</v>
      </c>
      <c r="E3171" s="138" t="s">
        <v>4094</v>
      </c>
      <c r="F3171" s="138" t="s">
        <v>3831</v>
      </c>
      <c r="G3171" s="138" t="s">
        <v>7060</v>
      </c>
      <c r="H3171" s="81" t="str">
        <f t="shared" si="210"/>
        <v>TCCN-PTE-PRS-SAC-CO3-INS-MTP</v>
      </c>
      <c r="I3171" s="138" t="str">
        <f>MID(H3171,1,(LEN(H3171)-VLOOKUP(K3171,datos!$B$2:$C$12,2,0)))</f>
        <v>TCCN-PTE-PRS-SAC-CO3-INS-MTP</v>
      </c>
      <c r="J3171" s="138" t="s">
        <v>8094</v>
      </c>
      <c r="K3171" s="140">
        <f>VLOOKUP(LEN(SUBSTITUTE(H3171,"-","")),datos!$A$1:$B$12,2,0)</f>
        <v>7</v>
      </c>
      <c r="L3171" s="138"/>
      <c r="M3171" s="138" t="s">
        <v>0</v>
      </c>
    </row>
    <row r="3172" spans="1:13" customFormat="1" ht="14.5" x14ac:dyDescent="0.35">
      <c r="A3172" s="129" t="s">
        <v>487</v>
      </c>
      <c r="B3172" s="129" t="s">
        <v>3809</v>
      </c>
      <c r="C3172" s="129" t="s">
        <v>4130</v>
      </c>
      <c r="D3172" s="129" t="s">
        <v>4135</v>
      </c>
      <c r="E3172" s="129" t="s">
        <v>4090</v>
      </c>
      <c r="F3172" s="129"/>
      <c r="G3172" s="129"/>
      <c r="H3172" s="83" t="str">
        <f t="shared" ref="H3172:H3238" si="211">CONCATENATE(A3172,"-",B3172,"-",C3172,"-",D3172,"-",E3172,"-",F3172,"-",G3172)</f>
        <v>TCCN-PTE-PRS-SAC-GPT--</v>
      </c>
      <c r="I3172" s="129" t="str">
        <f>MID(H3172,1,(LEN(H3172)-VLOOKUP(K3172,datos!$B$2:$C$12,2,0)))</f>
        <v>TCCN-PTE-PRS-SAC-GPT</v>
      </c>
      <c r="J3172" s="129" t="s">
        <v>5181</v>
      </c>
      <c r="K3172" s="130">
        <f>VLOOKUP(LEN(SUBSTITUTE(H3172,"-","")),datos!$A$1:$B$12,2,0)</f>
        <v>5</v>
      </c>
      <c r="L3172" s="129" t="s">
        <v>5182</v>
      </c>
      <c r="M3172" s="129" t="s">
        <v>0</v>
      </c>
    </row>
    <row r="3173" spans="1:13" x14ac:dyDescent="0.35">
      <c r="A3173" s="137" t="s">
        <v>487</v>
      </c>
      <c r="B3173" s="137" t="s">
        <v>3809</v>
      </c>
      <c r="C3173" s="137" t="s">
        <v>4130</v>
      </c>
      <c r="D3173" s="137" t="s">
        <v>4135</v>
      </c>
      <c r="E3173" s="137" t="s">
        <v>4090</v>
      </c>
      <c r="F3173" s="137" t="s">
        <v>3847</v>
      </c>
      <c r="G3173" s="137"/>
      <c r="H3173" s="82" t="str">
        <f t="shared" si="211"/>
        <v>TCCN-PTE-PRS-SAC-GPT-SMO-</v>
      </c>
      <c r="I3173" s="137" t="str">
        <f>MID(H3173,1,(LEN(H3173)-VLOOKUP(K3173,datos!$B$2:$C$12,2,0)))</f>
        <v>TCCN-PTE-PRS-SAC-GPT-SMO</v>
      </c>
      <c r="J3173" s="137" t="s">
        <v>6565</v>
      </c>
      <c r="K3173" s="139">
        <f>VLOOKUP(LEN(SUBSTITUTE(H3173,"-","")),datos!$A$1:$B$12,2,0)</f>
        <v>6</v>
      </c>
      <c r="L3173" s="137"/>
      <c r="M3173" s="137" t="s">
        <v>0</v>
      </c>
    </row>
    <row r="3174" spans="1:13" x14ac:dyDescent="0.35">
      <c r="A3174" s="138" t="s">
        <v>487</v>
      </c>
      <c r="B3174" s="138" t="s">
        <v>3809</v>
      </c>
      <c r="C3174" s="138" t="s">
        <v>4130</v>
      </c>
      <c r="D3174" s="138" t="s">
        <v>4135</v>
      </c>
      <c r="E3174" s="138" t="s">
        <v>4090</v>
      </c>
      <c r="F3174" s="138" t="s">
        <v>3847</v>
      </c>
      <c r="G3174" s="138" t="s">
        <v>3819</v>
      </c>
      <c r="H3174" s="81" t="str">
        <f t="shared" si="211"/>
        <v>TCCN-PTE-PRS-SAC-GPT-SMO-MOE</v>
      </c>
      <c r="I3174" s="138" t="str">
        <f>MID(H3174,1,(LEN(H3174)-VLOOKUP(K3174,datos!$B$2:$C$12,2,0)))</f>
        <v>TCCN-PTE-PRS-SAC-GPT-SMO-MOE</v>
      </c>
      <c r="J3174" s="138" t="s">
        <v>6566</v>
      </c>
      <c r="K3174" s="140">
        <f>VLOOKUP(LEN(SUBSTITUTE(H3174,"-","")),datos!$A$1:$B$12,2,0)</f>
        <v>7</v>
      </c>
      <c r="L3174" s="138" t="s">
        <v>5183</v>
      </c>
      <c r="M3174" s="138" t="s">
        <v>0</v>
      </c>
    </row>
    <row r="3175" spans="1:13" customFormat="1" ht="14.5" x14ac:dyDescent="0.35">
      <c r="A3175" s="129" t="s">
        <v>487</v>
      </c>
      <c r="B3175" s="129" t="s">
        <v>3809</v>
      </c>
      <c r="C3175" s="129" t="s">
        <v>4130</v>
      </c>
      <c r="D3175" s="129" t="s">
        <v>4135</v>
      </c>
      <c r="E3175" s="129" t="s">
        <v>4018</v>
      </c>
      <c r="F3175" s="129"/>
      <c r="G3175" s="129"/>
      <c r="H3175" s="83" t="str">
        <f t="shared" si="211"/>
        <v>TCCN-PTE-PRS-SAC-TCL--</v>
      </c>
      <c r="I3175" s="129" t="str">
        <f>MID(H3175,1,(LEN(H3175)-VLOOKUP(K3175,datos!$B$2:$C$12,2,0)))</f>
        <v>TCCN-PTE-PRS-SAC-TCL</v>
      </c>
      <c r="J3175" s="129" t="s">
        <v>5184</v>
      </c>
      <c r="K3175" s="130">
        <f>VLOOKUP(LEN(SUBSTITUTE(H3175,"-","")),datos!$A$1:$B$12,2,0)</f>
        <v>5</v>
      </c>
      <c r="L3175" s="129" t="s">
        <v>5185</v>
      </c>
      <c r="M3175" s="129" t="s">
        <v>0</v>
      </c>
    </row>
    <row r="3176" spans="1:13" customFormat="1" ht="14.5" x14ac:dyDescent="0.35">
      <c r="A3176" s="129" t="s">
        <v>487</v>
      </c>
      <c r="B3176" s="129" t="s">
        <v>3809</v>
      </c>
      <c r="C3176" s="129" t="s">
        <v>4130</v>
      </c>
      <c r="D3176" s="129" t="s">
        <v>4135</v>
      </c>
      <c r="E3176" s="129" t="s">
        <v>3900</v>
      </c>
      <c r="F3176" s="129"/>
      <c r="G3176" s="129"/>
      <c r="H3176" s="83" t="str">
        <f t="shared" si="211"/>
        <v>TCCN-PTE-PRS-SAC-AC1--</v>
      </c>
      <c r="I3176" s="129" t="str">
        <f>MID(H3176,1,(LEN(H3176)-VLOOKUP(K3176,datos!$B$2:$C$12,2,0)))</f>
        <v>TCCN-PTE-PRS-SAC-AC1</v>
      </c>
      <c r="J3176" s="129" t="s">
        <v>5241</v>
      </c>
      <c r="K3176" s="130">
        <f>VLOOKUP(LEN(SUBSTITUTE(H3176,"-","")),datos!$A$1:$B$12,2,0)</f>
        <v>5</v>
      </c>
      <c r="L3176" s="129" t="s">
        <v>5186</v>
      </c>
      <c r="M3176" s="129" t="s">
        <v>0</v>
      </c>
    </row>
    <row r="3177" spans="1:13" x14ac:dyDescent="0.35">
      <c r="A3177" s="137" t="s">
        <v>487</v>
      </c>
      <c r="B3177" s="137" t="s">
        <v>3809</v>
      </c>
      <c r="C3177" s="137" t="s">
        <v>4130</v>
      </c>
      <c r="D3177" s="137" t="s">
        <v>4135</v>
      </c>
      <c r="E3177" s="137" t="s">
        <v>3900</v>
      </c>
      <c r="F3177" s="137" t="s">
        <v>3824</v>
      </c>
      <c r="G3177" s="137"/>
      <c r="H3177" s="82" t="str">
        <f t="shared" si="211"/>
        <v>TCCN-PTE-PRS-SAC-AC1-SES-</v>
      </c>
      <c r="I3177" s="137" t="str">
        <f>MID(H3177,1,(LEN(H3177)-VLOOKUP(K3177,datos!$B$2:$C$12,2,0)))</f>
        <v>TCCN-PTE-PRS-SAC-AC1-SES</v>
      </c>
      <c r="J3177" s="137" t="s">
        <v>5649</v>
      </c>
      <c r="K3177" s="139">
        <f>VLOOKUP(LEN(SUBSTITUTE(H3177,"-","")),datos!$A$1:$B$12,2,0)</f>
        <v>6</v>
      </c>
      <c r="L3177" s="137"/>
      <c r="M3177" s="137" t="s">
        <v>0</v>
      </c>
    </row>
    <row r="3178" spans="1:13" x14ac:dyDescent="0.35">
      <c r="A3178" s="138" t="s">
        <v>487</v>
      </c>
      <c r="B3178" s="138" t="s">
        <v>3809</v>
      </c>
      <c r="C3178" s="138" t="s">
        <v>4130</v>
      </c>
      <c r="D3178" s="138" t="s">
        <v>4135</v>
      </c>
      <c r="E3178" s="138" t="s">
        <v>3900</v>
      </c>
      <c r="F3178" s="138" t="s">
        <v>3824</v>
      </c>
      <c r="G3178" s="138" t="s">
        <v>3853</v>
      </c>
      <c r="H3178" s="81" t="str">
        <f t="shared" si="211"/>
        <v>TCCN-PTE-PRS-SAC-AC1-SES-EST</v>
      </c>
      <c r="I3178" s="138" t="str">
        <f>MID(H3178,1,(LEN(H3178)-VLOOKUP(K3178,datos!$B$2:$C$12,2,0)))</f>
        <v>TCCN-PTE-PRS-SAC-AC1-SES-EST</v>
      </c>
      <c r="J3178" s="138" t="s">
        <v>5651</v>
      </c>
      <c r="K3178" s="140">
        <f>VLOOKUP(LEN(SUBSTITUTE(H3178,"-","")),datos!$A$1:$B$12,2,0)</f>
        <v>7</v>
      </c>
      <c r="L3178" s="138"/>
      <c r="M3178" s="138" t="s">
        <v>0</v>
      </c>
    </row>
    <row r="3179" spans="1:13" x14ac:dyDescent="0.35">
      <c r="A3179" s="137" t="s">
        <v>487</v>
      </c>
      <c r="B3179" s="137" t="s">
        <v>3809</v>
      </c>
      <c r="C3179" s="137" t="s">
        <v>4130</v>
      </c>
      <c r="D3179" s="137" t="s">
        <v>4135</v>
      </c>
      <c r="E3179" s="137" t="s">
        <v>3900</v>
      </c>
      <c r="F3179" s="137" t="s">
        <v>3831</v>
      </c>
      <c r="G3179" s="137"/>
      <c r="H3179" s="82" t="str">
        <f t="shared" si="211"/>
        <v>TCCN-PTE-PRS-SAC-AC1-INS-</v>
      </c>
      <c r="I3179" s="137" t="str">
        <f>MID(H3179,1,(LEN(H3179)-VLOOKUP(K3179,datos!$B$2:$C$12,2,0)))</f>
        <v>TCCN-PTE-PRS-SAC-AC1-INS</v>
      </c>
      <c r="J3179" s="137" t="s">
        <v>5652</v>
      </c>
      <c r="K3179" s="139">
        <f>VLOOKUP(LEN(SUBSTITUTE(H3179,"-","")),datos!$A$1:$B$12,2,0)</f>
        <v>6</v>
      </c>
      <c r="L3179" s="137"/>
      <c r="M3179" s="137" t="s">
        <v>0</v>
      </c>
    </row>
    <row r="3180" spans="1:13" x14ac:dyDescent="0.35">
      <c r="A3180" s="138" t="s">
        <v>487</v>
      </c>
      <c r="B3180" s="138" t="s">
        <v>3809</v>
      </c>
      <c r="C3180" s="138" t="s">
        <v>4130</v>
      </c>
      <c r="D3180" s="138" t="s">
        <v>4135</v>
      </c>
      <c r="E3180" s="138" t="s">
        <v>3900</v>
      </c>
      <c r="F3180" s="138" t="s">
        <v>3831</v>
      </c>
      <c r="G3180" s="138" t="s">
        <v>3986</v>
      </c>
      <c r="H3180" s="81" t="str">
        <f t="shared" si="211"/>
        <v>TCCN-PTE-PRS-SAC-AC1-INS-VV1</v>
      </c>
      <c r="I3180" s="138" t="str">
        <f>MID(H3180,1,(LEN(H3180)-VLOOKUP(K3180,datos!$B$2:$C$12,2,0)))</f>
        <v>TCCN-PTE-PRS-SAC-AC1-INS-VV1</v>
      </c>
      <c r="J3180" s="138" t="s">
        <v>7911</v>
      </c>
      <c r="K3180" s="140">
        <f>VLOOKUP(LEN(SUBSTITUTE(H3180,"-","")),datos!$A$1:$B$12,2,0)</f>
        <v>7</v>
      </c>
      <c r="L3180" s="138"/>
      <c r="M3180" s="138" t="s">
        <v>0</v>
      </c>
    </row>
    <row r="3181" spans="1:13" x14ac:dyDescent="0.35">
      <c r="A3181" s="138" t="s">
        <v>487</v>
      </c>
      <c r="B3181" s="138" t="s">
        <v>3809</v>
      </c>
      <c r="C3181" s="138" t="s">
        <v>4130</v>
      </c>
      <c r="D3181" s="138" t="s">
        <v>4135</v>
      </c>
      <c r="E3181" s="138" t="s">
        <v>3900</v>
      </c>
      <c r="F3181" s="138" t="s">
        <v>3831</v>
      </c>
      <c r="G3181" s="138" t="s">
        <v>3987</v>
      </c>
      <c r="H3181" s="81" t="str">
        <f t="shared" si="211"/>
        <v>TCCN-PTE-PRS-SAC-AC1-INS-VV2</v>
      </c>
      <c r="I3181" s="138" t="str">
        <f>MID(H3181,1,(LEN(H3181)-VLOOKUP(K3181,datos!$B$2:$C$12,2,0)))</f>
        <v>TCCN-PTE-PRS-SAC-AC1-INS-VV2</v>
      </c>
      <c r="J3181" s="138" t="s">
        <v>7910</v>
      </c>
      <c r="K3181" s="140">
        <f>VLOOKUP(LEN(SUBSTITUTE(H3181,"-","")),datos!$A$1:$B$12,2,0)</f>
        <v>7</v>
      </c>
      <c r="L3181" s="138"/>
      <c r="M3181" s="138" t="s">
        <v>0</v>
      </c>
    </row>
    <row r="3182" spans="1:13" x14ac:dyDescent="0.35">
      <c r="A3182" s="137" t="s">
        <v>487</v>
      </c>
      <c r="B3182" s="137" t="s">
        <v>3809</v>
      </c>
      <c r="C3182" s="137" t="s">
        <v>4130</v>
      </c>
      <c r="D3182" s="137" t="s">
        <v>4135</v>
      </c>
      <c r="E3182" s="137" t="s">
        <v>3900</v>
      </c>
      <c r="F3182" s="137" t="s">
        <v>4073</v>
      </c>
      <c r="G3182" s="137"/>
      <c r="H3182" s="82" t="str">
        <f t="shared" si="211"/>
        <v>TCCN-PTE-PRS-SAC-AC1-PYV-</v>
      </c>
      <c r="I3182" s="137" t="str">
        <f>MID(H3182,1,(LEN(H3182)-VLOOKUP(K3182,datos!$B$2:$C$12,2,0)))</f>
        <v>TCCN-PTE-PRS-SAC-AC1-PYV</v>
      </c>
      <c r="J3182" s="137" t="s">
        <v>5653</v>
      </c>
      <c r="K3182" s="139">
        <f>VLOOKUP(LEN(SUBSTITUTE(H3182,"-","")),datos!$A$1:$B$12,2,0)</f>
        <v>6</v>
      </c>
      <c r="L3182" s="137"/>
      <c r="M3182" s="137" t="s">
        <v>0</v>
      </c>
    </row>
    <row r="3183" spans="1:13" x14ac:dyDescent="0.35">
      <c r="A3183" s="138" t="s">
        <v>487</v>
      </c>
      <c r="B3183" s="138" t="s">
        <v>3809</v>
      </c>
      <c r="C3183" s="138" t="s">
        <v>4130</v>
      </c>
      <c r="D3183" s="138" t="s">
        <v>4135</v>
      </c>
      <c r="E3183" s="138" t="s">
        <v>3900</v>
      </c>
      <c r="F3183" s="138" t="s">
        <v>4073</v>
      </c>
      <c r="G3183" s="138" t="s">
        <v>3986</v>
      </c>
      <c r="H3183" s="81" t="str">
        <f t="shared" si="211"/>
        <v>TCCN-PTE-PRS-SAC-AC1-PYV-VV1</v>
      </c>
      <c r="I3183" s="138" t="str">
        <f>MID(H3183,1,(LEN(H3183)-VLOOKUP(K3183,datos!$B$2:$C$12,2,0)))</f>
        <v>TCCN-PTE-PRS-SAC-AC1-PYV-VV1</v>
      </c>
      <c r="J3183" s="138" t="s">
        <v>7909</v>
      </c>
      <c r="K3183" s="140">
        <f>VLOOKUP(LEN(SUBSTITUTE(H3183,"-","")),datos!$A$1:$B$12,2,0)</f>
        <v>7</v>
      </c>
      <c r="L3183" s="138"/>
      <c r="M3183" s="138" t="s">
        <v>0</v>
      </c>
    </row>
    <row r="3184" spans="1:13" x14ac:dyDescent="0.35">
      <c r="A3184" s="138" t="s">
        <v>487</v>
      </c>
      <c r="B3184" s="138" t="s">
        <v>3809</v>
      </c>
      <c r="C3184" s="138" t="s">
        <v>4130</v>
      </c>
      <c r="D3184" s="138" t="s">
        <v>4135</v>
      </c>
      <c r="E3184" s="138" t="s">
        <v>3900</v>
      </c>
      <c r="F3184" s="138" t="s">
        <v>4073</v>
      </c>
      <c r="G3184" s="138" t="s">
        <v>3987</v>
      </c>
      <c r="H3184" s="81" t="str">
        <f t="shared" si="211"/>
        <v>TCCN-PTE-PRS-SAC-AC1-PYV-VV2</v>
      </c>
      <c r="I3184" s="138" t="str">
        <f>MID(H3184,1,(LEN(H3184)-VLOOKUP(K3184,datos!$B$2:$C$12,2,0)))</f>
        <v>TCCN-PTE-PRS-SAC-AC1-PYV-VV2</v>
      </c>
      <c r="J3184" s="138" t="s">
        <v>7908</v>
      </c>
      <c r="K3184" s="140">
        <f>VLOOKUP(LEN(SUBSTITUTE(H3184,"-","")),datos!$A$1:$B$12,2,0)</f>
        <v>7</v>
      </c>
      <c r="L3184" s="138"/>
      <c r="M3184" s="138" t="s">
        <v>0</v>
      </c>
    </row>
    <row r="3185" spans="1:13" x14ac:dyDescent="0.35">
      <c r="A3185" s="138" t="s">
        <v>487</v>
      </c>
      <c r="B3185" s="138" t="s">
        <v>3809</v>
      </c>
      <c r="C3185" s="138" t="s">
        <v>4130</v>
      </c>
      <c r="D3185" s="138" t="s">
        <v>4135</v>
      </c>
      <c r="E3185" s="138" t="s">
        <v>3900</v>
      </c>
      <c r="F3185" s="138" t="s">
        <v>4073</v>
      </c>
      <c r="G3185" s="138" t="s">
        <v>5650</v>
      </c>
      <c r="H3185" s="81" t="str">
        <f t="shared" si="211"/>
        <v>TCCN-PTE-PRS-SAC-AC1-PYV-PIP</v>
      </c>
      <c r="I3185" s="138" t="str">
        <f>MID(H3185,1,(LEN(H3185)-VLOOKUP(K3185,datos!$B$2:$C$12,2,0)))</f>
        <v>TCCN-PTE-PRS-SAC-AC1-PYV-PIP</v>
      </c>
      <c r="J3185" s="138" t="s">
        <v>5654</v>
      </c>
      <c r="K3185" s="140">
        <f>VLOOKUP(LEN(SUBSTITUTE(H3185,"-","")),datos!$A$1:$B$12,2,0)</f>
        <v>7</v>
      </c>
      <c r="L3185" s="138"/>
      <c r="M3185" s="138" t="s">
        <v>0</v>
      </c>
    </row>
    <row r="3186" spans="1:13" customFormat="1" ht="14.5" x14ac:dyDescent="0.35">
      <c r="A3186" s="129" t="s">
        <v>487</v>
      </c>
      <c r="B3186" s="129" t="s">
        <v>3809</v>
      </c>
      <c r="C3186" s="129" t="s">
        <v>4130</v>
      </c>
      <c r="D3186" s="129" t="s">
        <v>4135</v>
      </c>
      <c r="E3186" s="129" t="s">
        <v>3901</v>
      </c>
      <c r="F3186" s="129"/>
      <c r="G3186" s="129"/>
      <c r="H3186" s="83" t="str">
        <f t="shared" si="211"/>
        <v>TCCN-PTE-PRS-SAC-AC2--</v>
      </c>
      <c r="I3186" s="129" t="str">
        <f>MID(H3186,1,(LEN(H3186)-VLOOKUP(K3186,datos!$B$2:$C$12,2,0)))</f>
        <v>TCCN-PTE-PRS-SAC-AC2</v>
      </c>
      <c r="J3186" s="129" t="s">
        <v>5240</v>
      </c>
      <c r="K3186" s="130">
        <f>VLOOKUP(LEN(SUBSTITUTE(H3186,"-","")),datos!$A$1:$B$12,2,0)</f>
        <v>5</v>
      </c>
      <c r="L3186" s="129" t="s">
        <v>5187</v>
      </c>
      <c r="M3186" s="129" t="s">
        <v>0</v>
      </c>
    </row>
    <row r="3187" spans="1:13" x14ac:dyDescent="0.35">
      <c r="A3187" s="137" t="s">
        <v>487</v>
      </c>
      <c r="B3187" s="137" t="s">
        <v>3809</v>
      </c>
      <c r="C3187" s="137" t="s">
        <v>4130</v>
      </c>
      <c r="D3187" s="137" t="s">
        <v>4135</v>
      </c>
      <c r="E3187" s="137" t="s">
        <v>3901</v>
      </c>
      <c r="F3187" s="137" t="s">
        <v>3824</v>
      </c>
      <c r="G3187" s="137"/>
      <c r="H3187" s="82" t="str">
        <f t="shared" ref="H3187:H3196" si="212">CONCATENATE(A3187,"-",B3187,"-",C3187,"-",D3187,"-",E3187,"-",F3187,"-",G3187)</f>
        <v>TCCN-PTE-PRS-SAC-AC2-SES-</v>
      </c>
      <c r="I3187" s="137" t="str">
        <f>MID(H3187,1,(LEN(H3187)-VLOOKUP(K3187,datos!$B$2:$C$12,2,0)))</f>
        <v>TCCN-PTE-PRS-SAC-AC2-SES</v>
      </c>
      <c r="J3187" s="137" t="s">
        <v>5655</v>
      </c>
      <c r="K3187" s="139">
        <f>VLOOKUP(LEN(SUBSTITUTE(H3187,"-","")),datos!$A$1:$B$12,2,0)</f>
        <v>6</v>
      </c>
      <c r="L3187" s="137"/>
      <c r="M3187" s="137" t="s">
        <v>0</v>
      </c>
    </row>
    <row r="3188" spans="1:13" x14ac:dyDescent="0.35">
      <c r="A3188" s="138" t="s">
        <v>487</v>
      </c>
      <c r="B3188" s="138" t="s">
        <v>3809</v>
      </c>
      <c r="C3188" s="138" t="s">
        <v>4130</v>
      </c>
      <c r="D3188" s="138" t="s">
        <v>4135</v>
      </c>
      <c r="E3188" s="138" t="s">
        <v>3901</v>
      </c>
      <c r="F3188" s="138" t="s">
        <v>3824</v>
      </c>
      <c r="G3188" s="138" t="s">
        <v>3853</v>
      </c>
      <c r="H3188" s="81" t="str">
        <f t="shared" si="212"/>
        <v>TCCN-PTE-PRS-SAC-AC2-SES-EST</v>
      </c>
      <c r="I3188" s="138" t="str">
        <f>MID(H3188,1,(LEN(H3188)-VLOOKUP(K3188,datos!$B$2:$C$12,2,0)))</f>
        <v>TCCN-PTE-PRS-SAC-AC2-SES-EST</v>
      </c>
      <c r="J3188" s="138" t="s">
        <v>5656</v>
      </c>
      <c r="K3188" s="140">
        <f>VLOOKUP(LEN(SUBSTITUTE(H3188,"-","")),datos!$A$1:$B$12,2,0)</f>
        <v>7</v>
      </c>
      <c r="L3188" s="138"/>
      <c r="M3188" s="138" t="s">
        <v>0</v>
      </c>
    </row>
    <row r="3189" spans="1:13" x14ac:dyDescent="0.35">
      <c r="A3189" s="137" t="s">
        <v>487</v>
      </c>
      <c r="B3189" s="137" t="s">
        <v>3809</v>
      </c>
      <c r="C3189" s="137" t="s">
        <v>4130</v>
      </c>
      <c r="D3189" s="137" t="s">
        <v>4135</v>
      </c>
      <c r="E3189" s="137" t="s">
        <v>3901</v>
      </c>
      <c r="F3189" s="137" t="s">
        <v>3831</v>
      </c>
      <c r="G3189" s="137"/>
      <c r="H3189" s="82" t="str">
        <f t="shared" si="212"/>
        <v>TCCN-PTE-PRS-SAC-AC2-INS-</v>
      </c>
      <c r="I3189" s="137" t="str">
        <f>MID(H3189,1,(LEN(H3189)-VLOOKUP(K3189,datos!$B$2:$C$12,2,0)))</f>
        <v>TCCN-PTE-PRS-SAC-AC2-INS</v>
      </c>
      <c r="J3189" s="137" t="s">
        <v>5657</v>
      </c>
      <c r="K3189" s="139">
        <f>VLOOKUP(LEN(SUBSTITUTE(H3189,"-","")),datos!$A$1:$B$12,2,0)</f>
        <v>6</v>
      </c>
      <c r="L3189" s="137"/>
      <c r="M3189" s="137" t="s">
        <v>0</v>
      </c>
    </row>
    <row r="3190" spans="1:13" x14ac:dyDescent="0.35">
      <c r="A3190" s="138" t="s">
        <v>487</v>
      </c>
      <c r="B3190" s="138" t="s">
        <v>3809</v>
      </c>
      <c r="C3190" s="138" t="s">
        <v>4130</v>
      </c>
      <c r="D3190" s="138" t="s">
        <v>4135</v>
      </c>
      <c r="E3190" s="138" t="s">
        <v>3901</v>
      </c>
      <c r="F3190" s="138" t="s">
        <v>3831</v>
      </c>
      <c r="G3190" s="138" t="s">
        <v>3986</v>
      </c>
      <c r="H3190" s="81" t="str">
        <f t="shared" si="212"/>
        <v>TCCN-PTE-PRS-SAC-AC2-INS-VV1</v>
      </c>
      <c r="I3190" s="138" t="str">
        <f>MID(H3190,1,(LEN(H3190)-VLOOKUP(K3190,datos!$B$2:$C$12,2,0)))</f>
        <v>TCCN-PTE-PRS-SAC-AC2-INS-VV1</v>
      </c>
      <c r="J3190" s="138" t="s">
        <v>7907</v>
      </c>
      <c r="K3190" s="140">
        <f>VLOOKUP(LEN(SUBSTITUTE(H3190,"-","")),datos!$A$1:$B$12,2,0)</f>
        <v>7</v>
      </c>
      <c r="L3190" s="138"/>
      <c r="M3190" s="138" t="s">
        <v>0</v>
      </c>
    </row>
    <row r="3191" spans="1:13" x14ac:dyDescent="0.35">
      <c r="A3191" s="138" t="s">
        <v>487</v>
      </c>
      <c r="B3191" s="138" t="s">
        <v>3809</v>
      </c>
      <c r="C3191" s="138" t="s">
        <v>4130</v>
      </c>
      <c r="D3191" s="138" t="s">
        <v>4135</v>
      </c>
      <c r="E3191" s="138" t="s">
        <v>3901</v>
      </c>
      <c r="F3191" s="138" t="s">
        <v>3831</v>
      </c>
      <c r="G3191" s="138" t="s">
        <v>3987</v>
      </c>
      <c r="H3191" s="81" t="str">
        <f t="shared" si="212"/>
        <v>TCCN-PTE-PRS-SAC-AC2-INS-VV2</v>
      </c>
      <c r="I3191" s="138" t="str">
        <f>MID(H3191,1,(LEN(H3191)-VLOOKUP(K3191,datos!$B$2:$C$12,2,0)))</f>
        <v>TCCN-PTE-PRS-SAC-AC2-INS-VV2</v>
      </c>
      <c r="J3191" s="138" t="s">
        <v>7906</v>
      </c>
      <c r="K3191" s="140">
        <f>VLOOKUP(LEN(SUBSTITUTE(H3191,"-","")),datos!$A$1:$B$12,2,0)</f>
        <v>7</v>
      </c>
      <c r="L3191" s="138"/>
      <c r="M3191" s="138" t="s">
        <v>0</v>
      </c>
    </row>
    <row r="3192" spans="1:13" x14ac:dyDescent="0.35">
      <c r="A3192" s="138" t="s">
        <v>487</v>
      </c>
      <c r="B3192" s="138" t="s">
        <v>3809</v>
      </c>
      <c r="C3192" s="138" t="s">
        <v>4130</v>
      </c>
      <c r="D3192" s="138" t="s">
        <v>4135</v>
      </c>
      <c r="E3192" s="138" t="s">
        <v>3901</v>
      </c>
      <c r="F3192" s="138" t="s">
        <v>3831</v>
      </c>
      <c r="G3192" s="138" t="s">
        <v>7646</v>
      </c>
      <c r="H3192" s="81" t="str">
        <f t="shared" ref="H3192" si="213">CONCATENATE(A3192,"-",B3192,"-",C3192,"-",D3192,"-",E3192,"-",F3192,"-",G3192)</f>
        <v>TCCN-PTE-PRS-SAC-AC2-INS-MNP</v>
      </c>
      <c r="I3192" s="138" t="str">
        <f>MID(H3192,1,(LEN(H3192)-VLOOKUP(K3192,datos!$B$2:$C$12,2,0)))</f>
        <v>TCCN-PTE-PRS-SAC-AC2-INS-MNP</v>
      </c>
      <c r="J3192" s="138" t="s">
        <v>7664</v>
      </c>
      <c r="K3192" s="140">
        <f>VLOOKUP(LEN(SUBSTITUTE(H3192,"-","")),datos!$A$1:$B$12,2,0)</f>
        <v>7</v>
      </c>
      <c r="L3192" s="138" t="s">
        <v>7663</v>
      </c>
      <c r="M3192" s="138" t="s">
        <v>0</v>
      </c>
    </row>
    <row r="3193" spans="1:13" x14ac:dyDescent="0.35">
      <c r="A3193" s="137" t="s">
        <v>487</v>
      </c>
      <c r="B3193" s="137" t="s">
        <v>3809</v>
      </c>
      <c r="C3193" s="137" t="s">
        <v>4130</v>
      </c>
      <c r="D3193" s="137" t="s">
        <v>4135</v>
      </c>
      <c r="E3193" s="137" t="s">
        <v>3901</v>
      </c>
      <c r="F3193" s="137" t="s">
        <v>4073</v>
      </c>
      <c r="G3193" s="137"/>
      <c r="H3193" s="82" t="str">
        <f t="shared" si="212"/>
        <v>TCCN-PTE-PRS-SAC-AC2-PYV-</v>
      </c>
      <c r="I3193" s="137" t="str">
        <f>MID(H3193,1,(LEN(H3193)-VLOOKUP(K3193,datos!$B$2:$C$12,2,0)))</f>
        <v>TCCN-PTE-PRS-SAC-AC2-PYV</v>
      </c>
      <c r="J3193" s="137" t="s">
        <v>5658</v>
      </c>
      <c r="K3193" s="139">
        <f>VLOOKUP(LEN(SUBSTITUTE(H3193,"-","")),datos!$A$1:$B$12,2,0)</f>
        <v>6</v>
      </c>
      <c r="L3193" s="137"/>
      <c r="M3193" s="137" t="s">
        <v>0</v>
      </c>
    </row>
    <row r="3194" spans="1:13" x14ac:dyDescent="0.35">
      <c r="A3194" s="138" t="s">
        <v>487</v>
      </c>
      <c r="B3194" s="138" t="s">
        <v>3809</v>
      </c>
      <c r="C3194" s="138" t="s">
        <v>4130</v>
      </c>
      <c r="D3194" s="138" t="s">
        <v>4135</v>
      </c>
      <c r="E3194" s="138" t="s">
        <v>3901</v>
      </c>
      <c r="F3194" s="138" t="s">
        <v>4073</v>
      </c>
      <c r="G3194" s="138" t="s">
        <v>3986</v>
      </c>
      <c r="H3194" s="81" t="str">
        <f t="shared" si="212"/>
        <v>TCCN-PTE-PRS-SAC-AC2-PYV-VV1</v>
      </c>
      <c r="I3194" s="138" t="str">
        <f>MID(H3194,1,(LEN(H3194)-VLOOKUP(K3194,datos!$B$2:$C$12,2,0)))</f>
        <v>TCCN-PTE-PRS-SAC-AC2-PYV-VV1</v>
      </c>
      <c r="J3194" s="138" t="s">
        <v>7905</v>
      </c>
      <c r="K3194" s="140">
        <f>VLOOKUP(LEN(SUBSTITUTE(H3194,"-","")),datos!$A$1:$B$12,2,0)</f>
        <v>7</v>
      </c>
      <c r="L3194" s="138"/>
      <c r="M3194" s="138" t="s">
        <v>0</v>
      </c>
    </row>
    <row r="3195" spans="1:13" x14ac:dyDescent="0.35">
      <c r="A3195" s="138" t="s">
        <v>487</v>
      </c>
      <c r="B3195" s="138" t="s">
        <v>3809</v>
      </c>
      <c r="C3195" s="138" t="s">
        <v>4130</v>
      </c>
      <c r="D3195" s="138" t="s">
        <v>4135</v>
      </c>
      <c r="E3195" s="138" t="s">
        <v>3901</v>
      </c>
      <c r="F3195" s="138" t="s">
        <v>4073</v>
      </c>
      <c r="G3195" s="138" t="s">
        <v>3987</v>
      </c>
      <c r="H3195" s="81" t="str">
        <f t="shared" si="212"/>
        <v>TCCN-PTE-PRS-SAC-AC2-PYV-VV2</v>
      </c>
      <c r="I3195" s="138" t="str">
        <f>MID(H3195,1,(LEN(H3195)-VLOOKUP(K3195,datos!$B$2:$C$12,2,0)))</f>
        <v>TCCN-PTE-PRS-SAC-AC2-PYV-VV2</v>
      </c>
      <c r="J3195" s="138" t="s">
        <v>7904</v>
      </c>
      <c r="K3195" s="140">
        <f>VLOOKUP(LEN(SUBSTITUTE(H3195,"-","")),datos!$A$1:$B$12,2,0)</f>
        <v>7</v>
      </c>
      <c r="L3195" s="138"/>
      <c r="M3195" s="138" t="s">
        <v>0</v>
      </c>
    </row>
    <row r="3196" spans="1:13" x14ac:dyDescent="0.35">
      <c r="A3196" s="138" t="s">
        <v>487</v>
      </c>
      <c r="B3196" s="138" t="s">
        <v>3809</v>
      </c>
      <c r="C3196" s="138" t="s">
        <v>4130</v>
      </c>
      <c r="D3196" s="138" t="s">
        <v>4135</v>
      </c>
      <c r="E3196" s="138" t="s">
        <v>3901</v>
      </c>
      <c r="F3196" s="138" t="s">
        <v>4073</v>
      </c>
      <c r="G3196" s="138" t="s">
        <v>5650</v>
      </c>
      <c r="H3196" s="81" t="str">
        <f t="shared" si="212"/>
        <v>TCCN-PTE-PRS-SAC-AC2-PYV-PIP</v>
      </c>
      <c r="I3196" s="138" t="str">
        <f>MID(H3196,1,(LEN(H3196)-VLOOKUP(K3196,datos!$B$2:$C$12,2,0)))</f>
        <v>TCCN-PTE-PRS-SAC-AC2-PYV-PIP</v>
      </c>
      <c r="J3196" s="138" t="s">
        <v>5659</v>
      </c>
      <c r="K3196" s="140">
        <f>VLOOKUP(LEN(SUBSTITUTE(H3196,"-","")),datos!$A$1:$B$12,2,0)</f>
        <v>7</v>
      </c>
      <c r="L3196" s="138"/>
      <c r="M3196" s="138" t="s">
        <v>0</v>
      </c>
    </row>
    <row r="3197" spans="1:13" customFormat="1" ht="14.5" x14ac:dyDescent="0.35">
      <c r="A3197" s="129" t="s">
        <v>487</v>
      </c>
      <c r="B3197" s="129" t="s">
        <v>3809</v>
      </c>
      <c r="C3197" s="129" t="s">
        <v>4130</v>
      </c>
      <c r="D3197" s="129" t="s">
        <v>4135</v>
      </c>
      <c r="E3197" s="129" t="s">
        <v>3968</v>
      </c>
      <c r="F3197" s="129"/>
      <c r="G3197" s="129"/>
      <c r="H3197" s="83" t="str">
        <f t="shared" si="211"/>
        <v>TCCN-PTE-PRS-SAC-AC3--</v>
      </c>
      <c r="I3197" s="129" t="str">
        <f>MID(H3197,1,(LEN(H3197)-VLOOKUP(K3197,datos!$B$2:$C$12,2,0)))</f>
        <v>TCCN-PTE-PRS-SAC-AC3</v>
      </c>
      <c r="J3197" s="129" t="s">
        <v>5238</v>
      </c>
      <c r="K3197" s="130">
        <f>VLOOKUP(LEN(SUBSTITUTE(H3197,"-","")),datos!$A$1:$B$12,2,0)</f>
        <v>5</v>
      </c>
      <c r="L3197" s="129" t="s">
        <v>5239</v>
      </c>
      <c r="M3197" s="129" t="s">
        <v>0</v>
      </c>
    </row>
    <row r="3198" spans="1:13" x14ac:dyDescent="0.35">
      <c r="A3198" s="137" t="s">
        <v>487</v>
      </c>
      <c r="B3198" s="137" t="s">
        <v>3809</v>
      </c>
      <c r="C3198" s="137" t="s">
        <v>4130</v>
      </c>
      <c r="D3198" s="137" t="s">
        <v>4135</v>
      </c>
      <c r="E3198" s="137" t="s">
        <v>3968</v>
      </c>
      <c r="F3198" s="137" t="s">
        <v>3824</v>
      </c>
      <c r="G3198" s="137"/>
      <c r="H3198" s="82" t="str">
        <f t="shared" si="211"/>
        <v>TCCN-PTE-PRS-SAC-AC3-SES-</v>
      </c>
      <c r="I3198" s="137" t="str">
        <f>MID(H3198,1,(LEN(H3198)-VLOOKUP(K3198,datos!$B$2:$C$12,2,0)))</f>
        <v>TCCN-PTE-PRS-SAC-AC3-SES</v>
      </c>
      <c r="J3198" s="137" t="s">
        <v>5660</v>
      </c>
      <c r="K3198" s="139">
        <f>VLOOKUP(LEN(SUBSTITUTE(H3198,"-","")),datos!$A$1:$B$12,2,0)</f>
        <v>6</v>
      </c>
      <c r="L3198" s="137"/>
      <c r="M3198" s="137" t="s">
        <v>0</v>
      </c>
    </row>
    <row r="3199" spans="1:13" x14ac:dyDescent="0.35">
      <c r="A3199" s="138" t="s">
        <v>487</v>
      </c>
      <c r="B3199" s="138" t="s">
        <v>3809</v>
      </c>
      <c r="C3199" s="138" t="s">
        <v>4130</v>
      </c>
      <c r="D3199" s="138" t="s">
        <v>4135</v>
      </c>
      <c r="E3199" s="138" t="s">
        <v>3968</v>
      </c>
      <c r="F3199" s="138" t="s">
        <v>3824</v>
      </c>
      <c r="G3199" s="138" t="s">
        <v>3853</v>
      </c>
      <c r="H3199" s="81" t="str">
        <f t="shared" si="211"/>
        <v>TCCN-PTE-PRS-SAC-AC3-SES-EST</v>
      </c>
      <c r="I3199" s="138" t="str">
        <f>MID(H3199,1,(LEN(H3199)-VLOOKUP(K3199,datos!$B$2:$C$12,2,0)))</f>
        <v>TCCN-PTE-PRS-SAC-AC3-SES-EST</v>
      </c>
      <c r="J3199" s="138" t="s">
        <v>5661</v>
      </c>
      <c r="K3199" s="140">
        <f>VLOOKUP(LEN(SUBSTITUTE(H3199,"-","")),datos!$A$1:$B$12,2,0)</f>
        <v>7</v>
      </c>
      <c r="L3199" s="138"/>
      <c r="M3199" s="138" t="s">
        <v>0</v>
      </c>
    </row>
    <row r="3200" spans="1:13" x14ac:dyDescent="0.35">
      <c r="A3200" s="137" t="s">
        <v>487</v>
      </c>
      <c r="B3200" s="137" t="s">
        <v>3809</v>
      </c>
      <c r="C3200" s="137" t="s">
        <v>4130</v>
      </c>
      <c r="D3200" s="137" t="s">
        <v>4135</v>
      </c>
      <c r="E3200" s="137" t="s">
        <v>3968</v>
      </c>
      <c r="F3200" s="137" t="s">
        <v>3831</v>
      </c>
      <c r="G3200" s="137"/>
      <c r="H3200" s="82" t="str">
        <f t="shared" si="211"/>
        <v>TCCN-PTE-PRS-SAC-AC3-INS-</v>
      </c>
      <c r="I3200" s="137" t="str">
        <f>MID(H3200,1,(LEN(H3200)-VLOOKUP(K3200,datos!$B$2:$C$12,2,0)))</f>
        <v>TCCN-PTE-PRS-SAC-AC3-INS</v>
      </c>
      <c r="J3200" s="137" t="s">
        <v>5662</v>
      </c>
      <c r="K3200" s="139">
        <f>VLOOKUP(LEN(SUBSTITUTE(H3200,"-","")),datos!$A$1:$B$12,2,0)</f>
        <v>6</v>
      </c>
      <c r="L3200" s="137"/>
      <c r="M3200" s="137" t="s">
        <v>0</v>
      </c>
    </row>
    <row r="3201" spans="1:13" x14ac:dyDescent="0.35">
      <c r="A3201" s="138" t="s">
        <v>487</v>
      </c>
      <c r="B3201" s="138" t="s">
        <v>3809</v>
      </c>
      <c r="C3201" s="138" t="s">
        <v>4130</v>
      </c>
      <c r="D3201" s="138" t="s">
        <v>4135</v>
      </c>
      <c r="E3201" s="138" t="s">
        <v>3968</v>
      </c>
      <c r="F3201" s="138" t="s">
        <v>3831</v>
      </c>
      <c r="G3201" s="138" t="s">
        <v>3986</v>
      </c>
      <c r="H3201" s="81" t="str">
        <f t="shared" si="211"/>
        <v>TCCN-PTE-PRS-SAC-AC3-INS-VV1</v>
      </c>
      <c r="I3201" s="138" t="str">
        <f>MID(H3201,1,(LEN(H3201)-VLOOKUP(K3201,datos!$B$2:$C$12,2,0)))</f>
        <v>TCCN-PTE-PRS-SAC-AC3-INS-VV1</v>
      </c>
      <c r="J3201" s="138" t="s">
        <v>7903</v>
      </c>
      <c r="K3201" s="140">
        <f>VLOOKUP(LEN(SUBSTITUTE(H3201,"-","")),datos!$A$1:$B$12,2,0)</f>
        <v>7</v>
      </c>
      <c r="L3201" s="138"/>
      <c r="M3201" s="138" t="s">
        <v>0</v>
      </c>
    </row>
    <row r="3202" spans="1:13" x14ac:dyDescent="0.35">
      <c r="A3202" s="138" t="s">
        <v>487</v>
      </c>
      <c r="B3202" s="138" t="s">
        <v>3809</v>
      </c>
      <c r="C3202" s="138" t="s">
        <v>4130</v>
      </c>
      <c r="D3202" s="138" t="s">
        <v>4135</v>
      </c>
      <c r="E3202" s="138" t="s">
        <v>3968</v>
      </c>
      <c r="F3202" s="138" t="s">
        <v>3831</v>
      </c>
      <c r="G3202" s="138" t="s">
        <v>3987</v>
      </c>
      <c r="H3202" s="81" t="str">
        <f t="shared" si="211"/>
        <v>TCCN-PTE-PRS-SAC-AC3-INS-VV2</v>
      </c>
      <c r="I3202" s="138" t="str">
        <f>MID(H3202,1,(LEN(H3202)-VLOOKUP(K3202,datos!$B$2:$C$12,2,0)))</f>
        <v>TCCN-PTE-PRS-SAC-AC3-INS-VV2</v>
      </c>
      <c r="J3202" s="138" t="s">
        <v>7902</v>
      </c>
      <c r="K3202" s="140">
        <f>VLOOKUP(LEN(SUBSTITUTE(H3202,"-","")),datos!$A$1:$B$12,2,0)</f>
        <v>7</v>
      </c>
      <c r="L3202" s="138"/>
      <c r="M3202" s="138" t="s">
        <v>0</v>
      </c>
    </row>
    <row r="3203" spans="1:13" x14ac:dyDescent="0.35">
      <c r="A3203" s="137" t="s">
        <v>487</v>
      </c>
      <c r="B3203" s="137" t="s">
        <v>3809</v>
      </c>
      <c r="C3203" s="137" t="s">
        <v>4130</v>
      </c>
      <c r="D3203" s="137" t="s">
        <v>4135</v>
      </c>
      <c r="E3203" s="137" t="s">
        <v>3968</v>
      </c>
      <c r="F3203" s="137" t="s">
        <v>4073</v>
      </c>
      <c r="G3203" s="137"/>
      <c r="H3203" s="82" t="str">
        <f t="shared" si="211"/>
        <v>TCCN-PTE-PRS-SAC-AC3-PYV-</v>
      </c>
      <c r="I3203" s="137" t="str">
        <f>MID(H3203,1,(LEN(H3203)-VLOOKUP(K3203,datos!$B$2:$C$12,2,0)))</f>
        <v>TCCN-PTE-PRS-SAC-AC3-PYV</v>
      </c>
      <c r="J3203" s="137" t="s">
        <v>5663</v>
      </c>
      <c r="K3203" s="139">
        <f>VLOOKUP(LEN(SUBSTITUTE(H3203,"-","")),datos!$A$1:$B$12,2,0)</f>
        <v>6</v>
      </c>
      <c r="L3203" s="137"/>
      <c r="M3203" s="137" t="s">
        <v>0</v>
      </c>
    </row>
    <row r="3204" spans="1:13" x14ac:dyDescent="0.35">
      <c r="A3204" s="138" t="s">
        <v>487</v>
      </c>
      <c r="B3204" s="138" t="s">
        <v>3809</v>
      </c>
      <c r="C3204" s="138" t="s">
        <v>4130</v>
      </c>
      <c r="D3204" s="138" t="s">
        <v>4135</v>
      </c>
      <c r="E3204" s="138" t="s">
        <v>3968</v>
      </c>
      <c r="F3204" s="138" t="s">
        <v>4073</v>
      </c>
      <c r="G3204" s="138" t="s">
        <v>3986</v>
      </c>
      <c r="H3204" s="81" t="str">
        <f t="shared" si="211"/>
        <v>TCCN-PTE-PRS-SAC-AC3-PYV-VV1</v>
      </c>
      <c r="I3204" s="138" t="str">
        <f>MID(H3204,1,(LEN(H3204)-VLOOKUP(K3204,datos!$B$2:$C$12,2,0)))</f>
        <v>TCCN-PTE-PRS-SAC-AC3-PYV-VV1</v>
      </c>
      <c r="J3204" s="138" t="s">
        <v>7900</v>
      </c>
      <c r="K3204" s="140">
        <f>VLOOKUP(LEN(SUBSTITUTE(H3204,"-","")),datos!$A$1:$B$12,2,0)</f>
        <v>7</v>
      </c>
      <c r="L3204" s="138"/>
      <c r="M3204" s="138" t="s">
        <v>0</v>
      </c>
    </row>
    <row r="3205" spans="1:13" x14ac:dyDescent="0.35">
      <c r="A3205" s="138" t="s">
        <v>487</v>
      </c>
      <c r="B3205" s="138" t="s">
        <v>3809</v>
      </c>
      <c r="C3205" s="138" t="s">
        <v>4130</v>
      </c>
      <c r="D3205" s="138" t="s">
        <v>4135</v>
      </c>
      <c r="E3205" s="138" t="s">
        <v>3968</v>
      </c>
      <c r="F3205" s="138" t="s">
        <v>4073</v>
      </c>
      <c r="G3205" s="138" t="s">
        <v>3987</v>
      </c>
      <c r="H3205" s="81" t="str">
        <f t="shared" si="211"/>
        <v>TCCN-PTE-PRS-SAC-AC3-PYV-VV2</v>
      </c>
      <c r="I3205" s="138" t="str">
        <f>MID(H3205,1,(LEN(H3205)-VLOOKUP(K3205,datos!$B$2:$C$12,2,0)))</f>
        <v>TCCN-PTE-PRS-SAC-AC3-PYV-VV2</v>
      </c>
      <c r="J3205" s="138" t="s">
        <v>7901</v>
      </c>
      <c r="K3205" s="140">
        <f>VLOOKUP(LEN(SUBSTITUTE(H3205,"-","")),datos!$A$1:$B$12,2,0)</f>
        <v>7</v>
      </c>
      <c r="L3205" s="138"/>
      <c r="M3205" s="138" t="s">
        <v>0</v>
      </c>
    </row>
    <row r="3206" spans="1:13" x14ac:dyDescent="0.35">
      <c r="A3206" s="138" t="s">
        <v>487</v>
      </c>
      <c r="B3206" s="138" t="s">
        <v>3809</v>
      </c>
      <c r="C3206" s="138" t="s">
        <v>4130</v>
      </c>
      <c r="D3206" s="138" t="s">
        <v>4135</v>
      </c>
      <c r="E3206" s="138" t="s">
        <v>3968</v>
      </c>
      <c r="F3206" s="138" t="s">
        <v>4073</v>
      </c>
      <c r="G3206" s="138" t="s">
        <v>5650</v>
      </c>
      <c r="H3206" s="81" t="str">
        <f t="shared" si="211"/>
        <v>TCCN-PTE-PRS-SAC-AC3-PYV-PIP</v>
      </c>
      <c r="I3206" s="138" t="str">
        <f>MID(H3206,1,(LEN(H3206)-VLOOKUP(K3206,datos!$B$2:$C$12,2,0)))</f>
        <v>TCCN-PTE-PRS-SAC-AC3-PYV-PIP</v>
      </c>
      <c r="J3206" s="138" t="s">
        <v>5664</v>
      </c>
      <c r="K3206" s="140">
        <f>VLOOKUP(LEN(SUBSTITUTE(H3206,"-","")),datos!$A$1:$B$12,2,0)</f>
        <v>7</v>
      </c>
      <c r="L3206" s="138"/>
      <c r="M3206" s="138" t="s">
        <v>0</v>
      </c>
    </row>
    <row r="3207" spans="1:13" customFormat="1" ht="14.5" x14ac:dyDescent="0.35">
      <c r="A3207" s="129" t="s">
        <v>487</v>
      </c>
      <c r="B3207" s="129" t="s">
        <v>3809</v>
      </c>
      <c r="C3207" s="129" t="s">
        <v>4130</v>
      </c>
      <c r="D3207" s="129" t="s">
        <v>4135</v>
      </c>
      <c r="E3207" s="129" t="s">
        <v>3969</v>
      </c>
      <c r="F3207" s="129"/>
      <c r="G3207" s="129"/>
      <c r="H3207" s="83" t="str">
        <f t="shared" si="211"/>
        <v>TCCN-PTE-PRS-SAC-SE1--</v>
      </c>
      <c r="I3207" s="129" t="str">
        <f>MID(H3207,1,(LEN(H3207)-VLOOKUP(K3207,datos!$B$2:$C$12,2,0)))</f>
        <v>TCCN-PTE-PRS-SAC-SE1</v>
      </c>
      <c r="J3207" s="129" t="s">
        <v>5188</v>
      </c>
      <c r="K3207" s="130">
        <f>VLOOKUP(LEN(SUBSTITUTE(H3207,"-","")),datos!$A$1:$B$12,2,0)</f>
        <v>5</v>
      </c>
      <c r="L3207" s="129" t="s">
        <v>5189</v>
      </c>
      <c r="M3207" s="129" t="s">
        <v>0</v>
      </c>
    </row>
    <row r="3208" spans="1:13" customFormat="1" ht="14.5" x14ac:dyDescent="0.35">
      <c r="A3208" s="129" t="s">
        <v>487</v>
      </c>
      <c r="B3208" s="129" t="s">
        <v>3809</v>
      </c>
      <c r="C3208" s="129" t="s">
        <v>4130</v>
      </c>
      <c r="D3208" s="129" t="s">
        <v>4135</v>
      </c>
      <c r="E3208" s="129" t="s">
        <v>3970</v>
      </c>
      <c r="F3208" s="129"/>
      <c r="G3208" s="129"/>
      <c r="H3208" s="83" t="str">
        <f t="shared" ref="H3208:H3222" si="214">CONCATENATE(A3208,"-",B3208,"-",C3208,"-",D3208,"-",E3208,"-",F3208,"-",G3208)</f>
        <v>TCCN-PTE-PRS-SAC-SE2--</v>
      </c>
      <c r="I3208" s="129" t="str">
        <f>MID(H3208,1,(LEN(H3208)-VLOOKUP(K3208,datos!$B$2:$C$12,2,0)))</f>
        <v>TCCN-PTE-PRS-SAC-SE2</v>
      </c>
      <c r="J3208" s="129" t="s">
        <v>7253</v>
      </c>
      <c r="K3208" s="130">
        <f>VLOOKUP(LEN(SUBSTITUTE(H3208,"-","")),datos!$A$1:$B$12,2,0)</f>
        <v>5</v>
      </c>
      <c r="L3208" s="129" t="s">
        <v>317</v>
      </c>
      <c r="M3208" s="129" t="s">
        <v>0</v>
      </c>
    </row>
    <row r="3209" spans="1:13" customFormat="1" ht="14.5" x14ac:dyDescent="0.35">
      <c r="A3209" s="129" t="s">
        <v>487</v>
      </c>
      <c r="B3209" s="129" t="s">
        <v>3809</v>
      </c>
      <c r="C3209" s="129" t="s">
        <v>4130</v>
      </c>
      <c r="D3209" s="129" t="s">
        <v>4135</v>
      </c>
      <c r="E3209" s="129" t="s">
        <v>3971</v>
      </c>
      <c r="F3209" s="129"/>
      <c r="G3209" s="129"/>
      <c r="H3209" s="83" t="str">
        <f t="shared" si="214"/>
        <v>TCCN-PTE-PRS-SAC-SE3--</v>
      </c>
      <c r="I3209" s="129" t="str">
        <f>MID(H3209,1,(LEN(H3209)-VLOOKUP(K3209,datos!$B$2:$C$12,2,0)))</f>
        <v>TCCN-PTE-PRS-SAC-SE3</v>
      </c>
      <c r="J3209" s="129" t="s">
        <v>7252</v>
      </c>
      <c r="K3209" s="130">
        <f>VLOOKUP(LEN(SUBSTITUTE(H3209,"-","")),datos!$A$1:$B$12,2,0)</f>
        <v>5</v>
      </c>
      <c r="L3209" s="129" t="s">
        <v>7251</v>
      </c>
      <c r="M3209" s="129" t="s">
        <v>0</v>
      </c>
    </row>
    <row r="3210" spans="1:13" customFormat="1" ht="14.5" x14ac:dyDescent="0.35">
      <c r="A3210" s="129" t="s">
        <v>487</v>
      </c>
      <c r="B3210" s="129" t="s">
        <v>3809</v>
      </c>
      <c r="C3210" s="129" t="s">
        <v>4130</v>
      </c>
      <c r="D3210" s="129" t="s">
        <v>4135</v>
      </c>
      <c r="E3210" s="129" t="s">
        <v>7522</v>
      </c>
      <c r="F3210" s="129"/>
      <c r="G3210" s="129"/>
      <c r="H3210" s="83" t="str">
        <f t="shared" si="214"/>
        <v>TCCN-PTE-PRS-SAC-L01--</v>
      </c>
      <c r="I3210" s="129" t="str">
        <f>MID(H3210,1,(LEN(H3210)-VLOOKUP(K3210,datos!$B$2:$C$12,2,0)))</f>
        <v>TCCN-PTE-PRS-SAC-L01</v>
      </c>
      <c r="J3210" s="129" t="s">
        <v>7647</v>
      </c>
      <c r="K3210" s="130">
        <f>VLOOKUP(LEN(SUBSTITUTE(H3210,"-","")),datos!$A$1:$B$12,2,0)</f>
        <v>5</v>
      </c>
      <c r="L3210" s="129"/>
      <c r="M3210" s="129" t="s">
        <v>0</v>
      </c>
    </row>
    <row r="3211" spans="1:13" x14ac:dyDescent="0.35">
      <c r="A3211" s="137" t="s">
        <v>487</v>
      </c>
      <c r="B3211" s="137" t="s">
        <v>3809</v>
      </c>
      <c r="C3211" s="137" t="s">
        <v>4130</v>
      </c>
      <c r="D3211" s="137" t="s">
        <v>4135</v>
      </c>
      <c r="E3211" s="137" t="s">
        <v>7522</v>
      </c>
      <c r="F3211" s="137" t="s">
        <v>3831</v>
      </c>
      <c r="G3211" s="137"/>
      <c r="H3211" s="82" t="str">
        <f t="shared" si="214"/>
        <v>TCCN-PTE-PRS-SAC-L01-INS-</v>
      </c>
      <c r="I3211" s="137" t="str">
        <f>MID(H3211,1,(LEN(H3211)-VLOOKUP(K3211,datos!$B$2:$C$12,2,0)))</f>
        <v>TCCN-PTE-PRS-SAC-L01-INS</v>
      </c>
      <c r="J3211" s="137" t="s">
        <v>7648</v>
      </c>
      <c r="K3211" s="139">
        <f>VLOOKUP(LEN(SUBSTITUTE(H3211,"-","")),datos!$A$1:$B$12,2,0)</f>
        <v>6</v>
      </c>
      <c r="L3211" s="137"/>
      <c r="M3211" s="137" t="s">
        <v>0</v>
      </c>
    </row>
    <row r="3212" spans="1:13" x14ac:dyDescent="0.35">
      <c r="A3212" s="138" t="s">
        <v>487</v>
      </c>
      <c r="B3212" s="138" t="s">
        <v>3809</v>
      </c>
      <c r="C3212" s="138" t="s">
        <v>4130</v>
      </c>
      <c r="D3212" s="138" t="s">
        <v>4135</v>
      </c>
      <c r="E3212" s="138" t="s">
        <v>7522</v>
      </c>
      <c r="F3212" s="138" t="s">
        <v>3831</v>
      </c>
      <c r="G3212" s="138" t="s">
        <v>7646</v>
      </c>
      <c r="H3212" s="81" t="str">
        <f t="shared" si="214"/>
        <v>TCCN-PTE-PRS-SAC-L01-INS-MNP</v>
      </c>
      <c r="I3212" s="138" t="str">
        <f>MID(H3212,1,(LEN(H3212)-VLOOKUP(K3212,datos!$B$2:$C$12,2,0)))</f>
        <v>TCCN-PTE-PRS-SAC-L01-INS-MNP</v>
      </c>
      <c r="J3212" s="138" t="s">
        <v>7649</v>
      </c>
      <c r="K3212" s="140">
        <f>VLOOKUP(LEN(SUBSTITUTE(H3212,"-","")),datos!$A$1:$B$12,2,0)</f>
        <v>7</v>
      </c>
      <c r="L3212" s="138" t="s">
        <v>7653</v>
      </c>
      <c r="M3212" s="138" t="s">
        <v>0</v>
      </c>
    </row>
    <row r="3213" spans="1:13" customFormat="1" ht="14.5" x14ac:dyDescent="0.35">
      <c r="A3213" s="129" t="s">
        <v>487</v>
      </c>
      <c r="B3213" s="129" t="s">
        <v>3809</v>
      </c>
      <c r="C3213" s="129" t="s">
        <v>4130</v>
      </c>
      <c r="D3213" s="129" t="s">
        <v>4135</v>
      </c>
      <c r="E3213" s="129" t="s">
        <v>7523</v>
      </c>
      <c r="F3213" s="129"/>
      <c r="G3213" s="129"/>
      <c r="H3213" s="83" t="str">
        <f t="shared" si="214"/>
        <v>TCCN-PTE-PRS-SAC-L02--</v>
      </c>
      <c r="I3213" s="129" t="str">
        <f>MID(H3213,1,(LEN(H3213)-VLOOKUP(K3213,datos!$B$2:$C$12,2,0)))</f>
        <v>TCCN-PTE-PRS-SAC-L02</v>
      </c>
      <c r="J3213" s="129" t="s">
        <v>7650</v>
      </c>
      <c r="K3213" s="130">
        <f>VLOOKUP(LEN(SUBSTITUTE(H3213,"-","")),datos!$A$1:$B$12,2,0)</f>
        <v>5</v>
      </c>
      <c r="L3213" s="129"/>
      <c r="M3213" s="129" t="s">
        <v>0</v>
      </c>
    </row>
    <row r="3214" spans="1:13" x14ac:dyDescent="0.35">
      <c r="A3214" s="137" t="s">
        <v>487</v>
      </c>
      <c r="B3214" s="137" t="s">
        <v>3809</v>
      </c>
      <c r="C3214" s="137" t="s">
        <v>4130</v>
      </c>
      <c r="D3214" s="137" t="s">
        <v>4135</v>
      </c>
      <c r="E3214" s="137" t="s">
        <v>7523</v>
      </c>
      <c r="F3214" s="137" t="s">
        <v>3831</v>
      </c>
      <c r="G3214" s="137"/>
      <c r="H3214" s="82" t="str">
        <f t="shared" ref="H3214:H3215" si="215">CONCATENATE(A3214,"-",B3214,"-",C3214,"-",D3214,"-",E3214,"-",F3214,"-",G3214)</f>
        <v>TCCN-PTE-PRS-SAC-L02-INS-</v>
      </c>
      <c r="I3214" s="137" t="str">
        <f>MID(H3214,1,(LEN(H3214)-VLOOKUP(K3214,datos!$B$2:$C$12,2,0)))</f>
        <v>TCCN-PTE-PRS-SAC-L02-INS</v>
      </c>
      <c r="J3214" s="137" t="s">
        <v>7648</v>
      </c>
      <c r="K3214" s="139">
        <f>VLOOKUP(LEN(SUBSTITUTE(H3214,"-","")),datos!$A$1:$B$12,2,0)</f>
        <v>6</v>
      </c>
      <c r="L3214" s="137"/>
      <c r="M3214" s="137" t="s">
        <v>0</v>
      </c>
    </row>
    <row r="3215" spans="1:13" x14ac:dyDescent="0.35">
      <c r="A3215" s="138" t="s">
        <v>487</v>
      </c>
      <c r="B3215" s="138" t="s">
        <v>3809</v>
      </c>
      <c r="C3215" s="138" t="s">
        <v>4130</v>
      </c>
      <c r="D3215" s="138" t="s">
        <v>4135</v>
      </c>
      <c r="E3215" s="138" t="s">
        <v>7523</v>
      </c>
      <c r="F3215" s="138" t="s">
        <v>3831</v>
      </c>
      <c r="G3215" s="138" t="s">
        <v>7646</v>
      </c>
      <c r="H3215" s="81" t="str">
        <f t="shared" si="215"/>
        <v>TCCN-PTE-PRS-SAC-L02-INS-MNP</v>
      </c>
      <c r="I3215" s="138" t="str">
        <f>MID(H3215,1,(LEN(H3215)-VLOOKUP(K3215,datos!$B$2:$C$12,2,0)))</f>
        <v>TCCN-PTE-PRS-SAC-L02-INS-MNP</v>
      </c>
      <c r="J3215" s="138" t="s">
        <v>7649</v>
      </c>
      <c r="K3215" s="140">
        <f>VLOOKUP(LEN(SUBSTITUTE(H3215,"-","")),datos!$A$1:$B$12,2,0)</f>
        <v>7</v>
      </c>
      <c r="L3215" s="138" t="s">
        <v>7654</v>
      </c>
      <c r="M3215" s="138" t="s">
        <v>0</v>
      </c>
    </row>
    <row r="3216" spans="1:13" customFormat="1" ht="14.5" x14ac:dyDescent="0.35">
      <c r="A3216" s="129" t="s">
        <v>487</v>
      </c>
      <c r="B3216" s="129" t="s">
        <v>3809</v>
      </c>
      <c r="C3216" s="129" t="s">
        <v>4130</v>
      </c>
      <c r="D3216" s="129" t="s">
        <v>4135</v>
      </c>
      <c r="E3216" s="129" t="s">
        <v>7524</v>
      </c>
      <c r="F3216" s="129"/>
      <c r="G3216" s="129"/>
      <c r="H3216" s="83" t="str">
        <f t="shared" si="214"/>
        <v>TCCN-PTE-PRS-SAC-L03--</v>
      </c>
      <c r="I3216" s="129" t="str">
        <f>MID(H3216,1,(LEN(H3216)-VLOOKUP(K3216,datos!$B$2:$C$12,2,0)))</f>
        <v>TCCN-PTE-PRS-SAC-L03</v>
      </c>
      <c r="J3216" s="129" t="s">
        <v>7651</v>
      </c>
      <c r="K3216" s="130">
        <f>VLOOKUP(LEN(SUBSTITUTE(H3216,"-","")),datos!$A$1:$B$12,2,0)</f>
        <v>5</v>
      </c>
      <c r="L3216" s="129"/>
      <c r="M3216" s="129" t="s">
        <v>0</v>
      </c>
    </row>
    <row r="3217" spans="1:13" x14ac:dyDescent="0.35">
      <c r="A3217" s="137" t="s">
        <v>487</v>
      </c>
      <c r="B3217" s="137" t="s">
        <v>3809</v>
      </c>
      <c r="C3217" s="137" t="s">
        <v>4130</v>
      </c>
      <c r="D3217" s="137" t="s">
        <v>4135</v>
      </c>
      <c r="E3217" s="137" t="s">
        <v>7524</v>
      </c>
      <c r="F3217" s="137" t="s">
        <v>3831</v>
      </c>
      <c r="G3217" s="137"/>
      <c r="H3217" s="82" t="str">
        <f t="shared" ref="H3217:H3218" si="216">CONCATENATE(A3217,"-",B3217,"-",C3217,"-",D3217,"-",E3217,"-",F3217,"-",G3217)</f>
        <v>TCCN-PTE-PRS-SAC-L03-INS-</v>
      </c>
      <c r="I3217" s="137" t="str">
        <f>MID(H3217,1,(LEN(H3217)-VLOOKUP(K3217,datos!$B$2:$C$12,2,0)))</f>
        <v>TCCN-PTE-PRS-SAC-L03-INS</v>
      </c>
      <c r="J3217" s="137" t="s">
        <v>7648</v>
      </c>
      <c r="K3217" s="139">
        <f>VLOOKUP(LEN(SUBSTITUTE(H3217,"-","")),datos!$A$1:$B$12,2,0)</f>
        <v>6</v>
      </c>
      <c r="L3217" s="137"/>
      <c r="M3217" s="137" t="s">
        <v>0</v>
      </c>
    </row>
    <row r="3218" spans="1:13" x14ac:dyDescent="0.35">
      <c r="A3218" s="138" t="s">
        <v>487</v>
      </c>
      <c r="B3218" s="138" t="s">
        <v>3809</v>
      </c>
      <c r="C3218" s="138" t="s">
        <v>4130</v>
      </c>
      <c r="D3218" s="138" t="s">
        <v>4135</v>
      </c>
      <c r="E3218" s="138" t="s">
        <v>7524</v>
      </c>
      <c r="F3218" s="138" t="s">
        <v>3831</v>
      </c>
      <c r="G3218" s="138" t="s">
        <v>7646</v>
      </c>
      <c r="H3218" s="81" t="str">
        <f t="shared" si="216"/>
        <v>TCCN-PTE-PRS-SAC-L03-INS-MNP</v>
      </c>
      <c r="I3218" s="138" t="str">
        <f>MID(H3218,1,(LEN(H3218)-VLOOKUP(K3218,datos!$B$2:$C$12,2,0)))</f>
        <v>TCCN-PTE-PRS-SAC-L03-INS-MNP</v>
      </c>
      <c r="J3218" s="138" t="s">
        <v>7649</v>
      </c>
      <c r="K3218" s="140">
        <f>VLOOKUP(LEN(SUBSTITUTE(H3218,"-","")),datos!$A$1:$B$12,2,0)</f>
        <v>7</v>
      </c>
      <c r="L3218" s="138" t="s">
        <v>7655</v>
      </c>
      <c r="M3218" s="138" t="s">
        <v>0</v>
      </c>
    </row>
    <row r="3219" spans="1:13" customFormat="1" ht="14.5" x14ac:dyDescent="0.35">
      <c r="A3219" s="129" t="s">
        <v>487</v>
      </c>
      <c r="B3219" s="129" t="s">
        <v>3809</v>
      </c>
      <c r="C3219" s="129" t="s">
        <v>4130</v>
      </c>
      <c r="D3219" s="129" t="s">
        <v>4135</v>
      </c>
      <c r="E3219" s="129" t="s">
        <v>7525</v>
      </c>
      <c r="F3219" s="129"/>
      <c r="G3219" s="129"/>
      <c r="H3219" s="83" t="str">
        <f t="shared" si="214"/>
        <v>TCCN-PTE-PRS-SAC-L04--</v>
      </c>
      <c r="I3219" s="129" t="str">
        <f>MID(H3219,1,(LEN(H3219)-VLOOKUP(K3219,datos!$B$2:$C$12,2,0)))</f>
        <v>TCCN-PTE-PRS-SAC-L04</v>
      </c>
      <c r="J3219" s="129" t="s">
        <v>7652</v>
      </c>
      <c r="K3219" s="130">
        <f>VLOOKUP(LEN(SUBSTITUTE(H3219,"-","")),datos!$A$1:$B$12,2,0)</f>
        <v>5</v>
      </c>
      <c r="L3219" s="129"/>
      <c r="M3219" s="129" t="s">
        <v>0</v>
      </c>
    </row>
    <row r="3220" spans="1:13" x14ac:dyDescent="0.35">
      <c r="A3220" s="137" t="s">
        <v>487</v>
      </c>
      <c r="B3220" s="137" t="s">
        <v>3809</v>
      </c>
      <c r="C3220" s="137" t="s">
        <v>4130</v>
      </c>
      <c r="D3220" s="137" t="s">
        <v>4135</v>
      </c>
      <c r="E3220" s="137" t="s">
        <v>7525</v>
      </c>
      <c r="F3220" s="137" t="s">
        <v>3831</v>
      </c>
      <c r="G3220" s="137"/>
      <c r="H3220" s="82" t="str">
        <f t="shared" si="214"/>
        <v>TCCN-PTE-PRS-SAC-L04-INS-</v>
      </c>
      <c r="I3220" s="137" t="str">
        <f>MID(H3220,1,(LEN(H3220)-VLOOKUP(K3220,datos!$B$2:$C$12,2,0)))</f>
        <v>TCCN-PTE-PRS-SAC-L04-INS</v>
      </c>
      <c r="J3220" s="137" t="s">
        <v>7648</v>
      </c>
      <c r="K3220" s="139">
        <f>VLOOKUP(LEN(SUBSTITUTE(H3220,"-","")),datos!$A$1:$B$12,2,0)</f>
        <v>6</v>
      </c>
      <c r="L3220" s="137"/>
      <c r="M3220" s="137" t="s">
        <v>0</v>
      </c>
    </row>
    <row r="3221" spans="1:13" x14ac:dyDescent="0.35">
      <c r="A3221" s="138" t="s">
        <v>487</v>
      </c>
      <c r="B3221" s="138" t="s">
        <v>3809</v>
      </c>
      <c r="C3221" s="138" t="s">
        <v>4130</v>
      </c>
      <c r="D3221" s="138" t="s">
        <v>4135</v>
      </c>
      <c r="E3221" s="138" t="s">
        <v>7525</v>
      </c>
      <c r="F3221" s="138" t="s">
        <v>3831</v>
      </c>
      <c r="G3221" s="138" t="s">
        <v>7646</v>
      </c>
      <c r="H3221" s="81" t="str">
        <f t="shared" si="214"/>
        <v>TCCN-PTE-PRS-SAC-L04-INS-MNP</v>
      </c>
      <c r="I3221" s="138" t="str">
        <f>MID(H3221,1,(LEN(H3221)-VLOOKUP(K3221,datos!$B$2:$C$12,2,0)))</f>
        <v>TCCN-PTE-PRS-SAC-L04-INS-MNP</v>
      </c>
      <c r="J3221" s="138" t="s">
        <v>7649</v>
      </c>
      <c r="K3221" s="140">
        <f>VLOOKUP(LEN(SUBSTITUTE(H3221,"-","")),datos!$A$1:$B$12,2,0)</f>
        <v>7</v>
      </c>
      <c r="L3221" s="138" t="s">
        <v>7656</v>
      </c>
      <c r="M3221" s="138" t="s">
        <v>0</v>
      </c>
    </row>
    <row r="3222" spans="1:13" customFormat="1" ht="14.5" x14ac:dyDescent="0.35">
      <c r="A3222" s="129" t="s">
        <v>487</v>
      </c>
      <c r="B3222" s="129" t="s">
        <v>3809</v>
      </c>
      <c r="C3222" s="129" t="s">
        <v>4130</v>
      </c>
      <c r="D3222" s="129" t="s">
        <v>4135</v>
      </c>
      <c r="E3222" s="129" t="s">
        <v>7526</v>
      </c>
      <c r="F3222" s="129"/>
      <c r="G3222" s="129"/>
      <c r="H3222" s="83" t="str">
        <f t="shared" si="214"/>
        <v>TCCN-PTE-PRS-SAC-L05--</v>
      </c>
      <c r="I3222" s="129" t="str">
        <f>MID(H3222,1,(LEN(H3222)-VLOOKUP(K3222,datos!$B$2:$C$12,2,0)))</f>
        <v>TCCN-PTE-PRS-SAC-L05</v>
      </c>
      <c r="J3222" s="129" t="s">
        <v>7657</v>
      </c>
      <c r="K3222" s="130">
        <f>VLOOKUP(LEN(SUBSTITUTE(H3222,"-","")),datos!$A$1:$B$12,2,0)</f>
        <v>5</v>
      </c>
      <c r="L3222" s="129"/>
      <c r="M3222" s="129" t="s">
        <v>0</v>
      </c>
    </row>
    <row r="3223" spans="1:13" customFormat="1" ht="14.5" x14ac:dyDescent="0.35">
      <c r="A3223" s="129" t="s">
        <v>487</v>
      </c>
      <c r="B3223" s="129" t="s">
        <v>3809</v>
      </c>
      <c r="C3223" s="129" t="s">
        <v>4130</v>
      </c>
      <c r="D3223" s="129" t="s">
        <v>4135</v>
      </c>
      <c r="E3223" s="129" t="s">
        <v>7527</v>
      </c>
      <c r="F3223" s="129"/>
      <c r="G3223" s="129"/>
      <c r="H3223" s="83" t="str">
        <f t="shared" ref="H3223:H3226" si="217">CONCATENATE(A3223,"-",B3223,"-",C3223,"-",D3223,"-",E3223,"-",F3223,"-",G3223)</f>
        <v>TCCN-PTE-PRS-SAC-L06--</v>
      </c>
      <c r="I3223" s="129" t="str">
        <f>MID(H3223,1,(LEN(H3223)-VLOOKUP(K3223,datos!$B$2:$C$12,2,0)))</f>
        <v>TCCN-PTE-PRS-SAC-L06</v>
      </c>
      <c r="J3223" s="129" t="s">
        <v>7658</v>
      </c>
      <c r="K3223" s="130">
        <f>VLOOKUP(LEN(SUBSTITUTE(H3223,"-","")),datos!$A$1:$B$12,2,0)</f>
        <v>5</v>
      </c>
      <c r="L3223" s="129"/>
      <c r="M3223" s="129" t="s">
        <v>0</v>
      </c>
    </row>
    <row r="3224" spans="1:13" customFormat="1" ht="14.5" x14ac:dyDescent="0.35">
      <c r="A3224" s="129" t="s">
        <v>487</v>
      </c>
      <c r="B3224" s="129" t="s">
        <v>3809</v>
      </c>
      <c r="C3224" s="129" t="s">
        <v>4130</v>
      </c>
      <c r="D3224" s="129" t="s">
        <v>4135</v>
      </c>
      <c r="E3224" s="129" t="s">
        <v>7528</v>
      </c>
      <c r="F3224" s="129"/>
      <c r="G3224" s="129"/>
      <c r="H3224" s="83" t="str">
        <f t="shared" si="217"/>
        <v>TCCN-PTE-PRS-SAC-L07--</v>
      </c>
      <c r="I3224" s="129" t="str">
        <f>MID(H3224,1,(LEN(H3224)-VLOOKUP(K3224,datos!$B$2:$C$12,2,0)))</f>
        <v>TCCN-PTE-PRS-SAC-L07</v>
      </c>
      <c r="J3224" s="129" t="s">
        <v>7659</v>
      </c>
      <c r="K3224" s="130">
        <f>VLOOKUP(LEN(SUBSTITUTE(H3224,"-","")),datos!$A$1:$B$12,2,0)</f>
        <v>5</v>
      </c>
      <c r="L3224" s="129"/>
      <c r="M3224" s="129" t="s">
        <v>0</v>
      </c>
    </row>
    <row r="3225" spans="1:13" customFormat="1" ht="14.5" x14ac:dyDescent="0.35">
      <c r="A3225" s="129" t="s">
        <v>487</v>
      </c>
      <c r="B3225" s="129" t="s">
        <v>3809</v>
      </c>
      <c r="C3225" s="129" t="s">
        <v>4130</v>
      </c>
      <c r="D3225" s="129" t="s">
        <v>4135</v>
      </c>
      <c r="E3225" s="129" t="s">
        <v>7529</v>
      </c>
      <c r="F3225" s="129"/>
      <c r="G3225" s="129"/>
      <c r="H3225" s="83" t="str">
        <f t="shared" si="217"/>
        <v>TCCN-PTE-PRS-SAC-L08--</v>
      </c>
      <c r="I3225" s="129" t="str">
        <f>MID(H3225,1,(LEN(H3225)-VLOOKUP(K3225,datos!$B$2:$C$12,2,0)))</f>
        <v>TCCN-PTE-PRS-SAC-L08</v>
      </c>
      <c r="J3225" s="129" t="s">
        <v>7660</v>
      </c>
      <c r="K3225" s="130">
        <f>VLOOKUP(LEN(SUBSTITUTE(H3225,"-","")),datos!$A$1:$B$12,2,0)</f>
        <v>5</v>
      </c>
      <c r="L3225" s="129"/>
      <c r="M3225" s="129" t="s">
        <v>0</v>
      </c>
    </row>
    <row r="3226" spans="1:13" customFormat="1" ht="14.5" x14ac:dyDescent="0.35">
      <c r="A3226" s="129" t="s">
        <v>487</v>
      </c>
      <c r="B3226" s="129" t="s">
        <v>3809</v>
      </c>
      <c r="C3226" s="129" t="s">
        <v>4130</v>
      </c>
      <c r="D3226" s="129" t="s">
        <v>4135</v>
      </c>
      <c r="E3226" s="129" t="s">
        <v>7530</v>
      </c>
      <c r="F3226" s="129"/>
      <c r="G3226" s="129"/>
      <c r="H3226" s="83" t="str">
        <f t="shared" si="217"/>
        <v>TCCN-PTE-PRS-SAC-L09--</v>
      </c>
      <c r="I3226" s="129" t="str">
        <f>MID(H3226,1,(LEN(H3226)-VLOOKUP(K3226,datos!$B$2:$C$12,2,0)))</f>
        <v>TCCN-PTE-PRS-SAC-L09</v>
      </c>
      <c r="J3226" s="129" t="s">
        <v>7661</v>
      </c>
      <c r="K3226" s="130">
        <f>VLOOKUP(LEN(SUBSTITUTE(H3226,"-","")),datos!$A$1:$B$12,2,0)</f>
        <v>5</v>
      </c>
      <c r="L3226" s="129"/>
      <c r="M3226" s="129" t="s">
        <v>0</v>
      </c>
    </row>
    <row r="3227" spans="1:13" customFormat="1" ht="14.5" x14ac:dyDescent="0.35">
      <c r="A3227" s="129" t="s">
        <v>487</v>
      </c>
      <c r="B3227" s="129" t="s">
        <v>3809</v>
      </c>
      <c r="C3227" s="129" t="s">
        <v>4130</v>
      </c>
      <c r="D3227" s="129" t="s">
        <v>4135</v>
      </c>
      <c r="E3227" s="129" t="s">
        <v>7531</v>
      </c>
      <c r="F3227" s="129"/>
      <c r="G3227" s="129"/>
      <c r="H3227" s="83" t="str">
        <f t="shared" ref="H3227" si="218">CONCATENATE(A3227,"-",B3227,"-",C3227,"-",D3227,"-",E3227,"-",F3227,"-",G3227)</f>
        <v>TCCN-PTE-PRS-SAC-L10--</v>
      </c>
      <c r="I3227" s="129" t="str">
        <f>MID(H3227,1,(LEN(H3227)-VLOOKUP(K3227,datos!$B$2:$C$12,2,0)))</f>
        <v>TCCN-PTE-PRS-SAC-L10</v>
      </c>
      <c r="J3227" s="129" t="s">
        <v>7662</v>
      </c>
      <c r="K3227" s="130">
        <f>VLOOKUP(LEN(SUBSTITUTE(H3227,"-","")),datos!$A$1:$B$12,2,0)</f>
        <v>5</v>
      </c>
      <c r="L3227" s="129"/>
      <c r="M3227" s="129" t="s">
        <v>0</v>
      </c>
    </row>
    <row r="3228" spans="1:13" customFormat="1" ht="14.5" x14ac:dyDescent="0.35">
      <c r="A3228" s="129" t="s">
        <v>487</v>
      </c>
      <c r="B3228" s="129" t="s">
        <v>3809</v>
      </c>
      <c r="C3228" s="129" t="s">
        <v>4130</v>
      </c>
      <c r="D3228" s="129" t="s">
        <v>4135</v>
      </c>
      <c r="E3228" s="129" t="s">
        <v>5190</v>
      </c>
      <c r="F3228" s="129"/>
      <c r="G3228" s="129"/>
      <c r="H3228" s="83" t="str">
        <f t="shared" si="211"/>
        <v>TCCN-PTE-PRS-SAC-TCN--</v>
      </c>
      <c r="I3228" s="129" t="str">
        <f>MID(H3228,1,(LEN(H3228)-VLOOKUP(K3228,datos!$B$2:$C$12,2,0)))</f>
        <v>TCCN-PTE-PRS-SAC-TCN</v>
      </c>
      <c r="J3228" s="129" t="s">
        <v>5191</v>
      </c>
      <c r="K3228" s="130">
        <f>VLOOKUP(LEN(SUBSTITUTE(H3228,"-","")),datos!$A$1:$B$12,2,0)</f>
        <v>5</v>
      </c>
      <c r="L3228" s="129" t="s">
        <v>5192</v>
      </c>
      <c r="M3228" s="129" t="s">
        <v>0</v>
      </c>
    </row>
    <row r="3229" spans="1:13" customFormat="1" ht="14.5" x14ac:dyDescent="0.35">
      <c r="A3229" s="129" t="s">
        <v>487</v>
      </c>
      <c r="B3229" s="129" t="s">
        <v>3809</v>
      </c>
      <c r="C3229" s="129" t="s">
        <v>4130</v>
      </c>
      <c r="D3229" s="129" t="s">
        <v>4135</v>
      </c>
      <c r="E3229" s="129" t="s">
        <v>5172</v>
      </c>
      <c r="F3229" s="129"/>
      <c r="G3229" s="129"/>
      <c r="H3229" s="83" t="str">
        <f t="shared" si="211"/>
        <v>TCCN-PTE-PRS-SAC-SO1--</v>
      </c>
      <c r="I3229" s="129" t="str">
        <f>MID(H3229,1,(LEN(H3229)-VLOOKUP(K3229,datos!$B$2:$C$12,2,0)))</f>
        <v>TCCN-PTE-PRS-SAC-SO1</v>
      </c>
      <c r="J3229" s="129" t="s">
        <v>5387</v>
      </c>
      <c r="K3229" s="130">
        <f>VLOOKUP(LEN(SUBSTITUTE(H3229,"-","")),datos!$A$1:$B$12,2,0)</f>
        <v>5</v>
      </c>
      <c r="L3229" s="129" t="s">
        <v>5173</v>
      </c>
      <c r="M3229" s="129" t="s">
        <v>0</v>
      </c>
    </row>
    <row r="3230" spans="1:13" x14ac:dyDescent="0.35">
      <c r="A3230" s="137" t="s">
        <v>487</v>
      </c>
      <c r="B3230" s="137" t="s">
        <v>3809</v>
      </c>
      <c r="C3230" s="137" t="s">
        <v>4130</v>
      </c>
      <c r="D3230" s="137" t="s">
        <v>4135</v>
      </c>
      <c r="E3230" s="137" t="s">
        <v>5172</v>
      </c>
      <c r="F3230" s="137" t="s">
        <v>3831</v>
      </c>
      <c r="G3230" s="137"/>
      <c r="H3230" s="82" t="str">
        <f t="shared" si="211"/>
        <v>TCCN-PTE-PRS-SAC-SO1-INS-</v>
      </c>
      <c r="I3230" s="137" t="str">
        <f>MID(H3230,1,(LEN(H3230)-VLOOKUP(K3230,datos!$B$2:$C$12,2,0)))</f>
        <v>TCCN-PTE-PRS-SAC-SO1-INS</v>
      </c>
      <c r="J3230" s="137" t="s">
        <v>5412</v>
      </c>
      <c r="K3230" s="139">
        <f>VLOOKUP(LEN(SUBSTITUTE(H3230,"-","")),datos!$A$1:$B$12,2,0)</f>
        <v>6</v>
      </c>
      <c r="L3230" s="137"/>
      <c r="M3230" s="137" t="s">
        <v>0</v>
      </c>
    </row>
    <row r="3231" spans="1:13" x14ac:dyDescent="0.35">
      <c r="A3231" s="138" t="s">
        <v>487</v>
      </c>
      <c r="B3231" s="138" t="s">
        <v>3809</v>
      </c>
      <c r="C3231" s="138" t="s">
        <v>4130</v>
      </c>
      <c r="D3231" s="138" t="s">
        <v>4135</v>
      </c>
      <c r="E3231" s="138" t="s">
        <v>5172</v>
      </c>
      <c r="F3231" s="138" t="s">
        <v>3831</v>
      </c>
      <c r="G3231" s="138" t="s">
        <v>7060</v>
      </c>
      <c r="H3231" s="81" t="str">
        <f t="shared" ref="H3231:H3232" si="219">CONCATENATE(A3231,"-",B3231,"-",C3231,"-",D3231,"-",E3231,"-",F3231,"-",G3231)</f>
        <v>TCCN-PTE-PRS-SAC-SO1-INS-MTP</v>
      </c>
      <c r="I3231" s="138" t="str">
        <f>MID(H3231,1,(LEN(H3231)-VLOOKUP(K3231,datos!$B$2:$C$12,2,0)))</f>
        <v>TCCN-PTE-PRS-SAC-SO1-INS-MTP</v>
      </c>
      <c r="J3231" s="138" t="s">
        <v>7665</v>
      </c>
      <c r="K3231" s="140">
        <f>VLOOKUP(LEN(SUBSTITUTE(H3231,"-","")),datos!$A$1:$B$12,2,0)</f>
        <v>7</v>
      </c>
      <c r="L3231" s="138" t="s">
        <v>7668</v>
      </c>
      <c r="M3231" s="138" t="s">
        <v>0</v>
      </c>
    </row>
    <row r="3232" spans="1:13" x14ac:dyDescent="0.35">
      <c r="A3232" s="138" t="s">
        <v>487</v>
      </c>
      <c r="B3232" s="138" t="s">
        <v>3809</v>
      </c>
      <c r="C3232" s="138" t="s">
        <v>4130</v>
      </c>
      <c r="D3232" s="138" t="s">
        <v>4135</v>
      </c>
      <c r="E3232" s="138" t="s">
        <v>5172</v>
      </c>
      <c r="F3232" s="138" t="s">
        <v>3831</v>
      </c>
      <c r="G3232" s="138" t="s">
        <v>7667</v>
      </c>
      <c r="H3232" s="81" t="str">
        <f t="shared" si="219"/>
        <v>TCCN-PTE-PRS-SAC-SO1-INS-VBR</v>
      </c>
      <c r="I3232" s="138" t="str">
        <f>MID(H3232,1,(LEN(H3232)-VLOOKUP(K3232,datos!$B$2:$C$12,2,0)))</f>
        <v>TCCN-PTE-PRS-SAC-SO1-INS-VBR</v>
      </c>
      <c r="J3232" s="138" t="s">
        <v>7666</v>
      </c>
      <c r="K3232" s="140">
        <f>VLOOKUP(LEN(SUBSTITUTE(H3232,"-","")),datos!$A$1:$B$12,2,0)</f>
        <v>7</v>
      </c>
      <c r="L3232" s="138" t="s">
        <v>7669</v>
      </c>
      <c r="M3232" s="138" t="s">
        <v>0</v>
      </c>
    </row>
    <row r="3233" spans="1:13" x14ac:dyDescent="0.35">
      <c r="A3233" s="137" t="s">
        <v>487</v>
      </c>
      <c r="B3233" s="137" t="s">
        <v>3809</v>
      </c>
      <c r="C3233" s="137" t="s">
        <v>4130</v>
      </c>
      <c r="D3233" s="137" t="s">
        <v>4135</v>
      </c>
      <c r="E3233" s="137" t="s">
        <v>5172</v>
      </c>
      <c r="F3233" s="137" t="s">
        <v>5193</v>
      </c>
      <c r="G3233" s="137"/>
      <c r="H3233" s="82" t="str">
        <f t="shared" si="211"/>
        <v>TCCN-PTE-PRS-SAC-SO1-COM-</v>
      </c>
      <c r="I3233" s="137" t="str">
        <f>MID(H3233,1,(LEN(H3233)-VLOOKUP(K3233,datos!$B$2:$C$12,2,0)))</f>
        <v>TCCN-PTE-PRS-SAC-SO1-COM</v>
      </c>
      <c r="J3233" s="137" t="s">
        <v>8058</v>
      </c>
      <c r="K3233" s="139">
        <f>VLOOKUP(LEN(SUBSTITUTE(H3233,"-","")),datos!$A$1:$B$12,2,0)</f>
        <v>6</v>
      </c>
      <c r="L3233" s="137"/>
      <c r="M3233" s="137" t="s">
        <v>0</v>
      </c>
    </row>
    <row r="3234" spans="1:13" x14ac:dyDescent="0.35">
      <c r="A3234" s="138" t="s">
        <v>487</v>
      </c>
      <c r="B3234" s="138" t="s">
        <v>3809</v>
      </c>
      <c r="C3234" s="138" t="s">
        <v>4130</v>
      </c>
      <c r="D3234" s="138" t="s">
        <v>4135</v>
      </c>
      <c r="E3234" s="138" t="s">
        <v>5172</v>
      </c>
      <c r="F3234" s="138" t="s">
        <v>5193</v>
      </c>
      <c r="G3234" s="138" t="s">
        <v>5194</v>
      </c>
      <c r="H3234" s="81" t="str">
        <f t="shared" si="211"/>
        <v>TCCN-PTE-PRS-SAC-SO1-COM-DRO</v>
      </c>
      <c r="I3234" s="138" t="str">
        <f>MID(H3234,1,(LEN(H3234)-VLOOKUP(K3234,datos!$B$2:$C$12,2,0)))</f>
        <v>TCCN-PTE-PRS-SAC-SO1-COM-DRO</v>
      </c>
      <c r="J3234" s="138" t="s">
        <v>5413</v>
      </c>
      <c r="K3234" s="140">
        <f>VLOOKUP(LEN(SUBSTITUTE(H3234,"-","")),datos!$A$1:$B$12,2,0)</f>
        <v>7</v>
      </c>
      <c r="L3234" s="138"/>
      <c r="M3234" s="138" t="s">
        <v>0</v>
      </c>
    </row>
    <row r="3235" spans="1:13" x14ac:dyDescent="0.35">
      <c r="A3235" s="138" t="s">
        <v>487</v>
      </c>
      <c r="B3235" s="138" t="s">
        <v>3809</v>
      </c>
      <c r="C3235" s="138" t="s">
        <v>4130</v>
      </c>
      <c r="D3235" s="138" t="s">
        <v>4135</v>
      </c>
      <c r="E3235" s="138" t="s">
        <v>5172</v>
      </c>
      <c r="F3235" s="138" t="s">
        <v>5193</v>
      </c>
      <c r="G3235" s="138" t="s">
        <v>3997</v>
      </c>
      <c r="H3235" s="81" t="str">
        <f t="shared" si="211"/>
        <v>TCCN-PTE-PRS-SAC-SO1-COM-EJE</v>
      </c>
      <c r="I3235" s="138" t="str">
        <f>MID(H3235,1,(LEN(H3235)-VLOOKUP(K3235,datos!$B$2:$C$12,2,0)))</f>
        <v>TCCN-PTE-PRS-SAC-SO1-COM-EJE</v>
      </c>
      <c r="J3235" s="138" t="s">
        <v>5414</v>
      </c>
      <c r="K3235" s="140">
        <f>VLOOKUP(LEN(SUBSTITUTE(H3235,"-","")),datos!$A$1:$B$12,2,0)</f>
        <v>7</v>
      </c>
      <c r="L3235" s="138"/>
      <c r="M3235" s="138" t="s">
        <v>0</v>
      </c>
    </row>
    <row r="3236" spans="1:13" x14ac:dyDescent="0.35">
      <c r="A3236" s="138" t="s">
        <v>487</v>
      </c>
      <c r="B3236" s="138" t="s">
        <v>3809</v>
      </c>
      <c r="C3236" s="138" t="s">
        <v>4130</v>
      </c>
      <c r="D3236" s="138" t="s">
        <v>4135</v>
      </c>
      <c r="E3236" s="138" t="s">
        <v>5172</v>
      </c>
      <c r="F3236" s="138" t="s">
        <v>5193</v>
      </c>
      <c r="G3236" s="138" t="s">
        <v>5195</v>
      </c>
      <c r="H3236" s="81" t="str">
        <f t="shared" si="211"/>
        <v>TCCN-PTE-PRS-SAC-SO1-COM-IPD</v>
      </c>
      <c r="I3236" s="138" t="str">
        <f>MID(H3236,1,(LEN(H3236)-VLOOKUP(K3236,datos!$B$2:$C$12,2,0)))</f>
        <v>TCCN-PTE-PRS-SAC-SO1-COM-IPD</v>
      </c>
      <c r="J3236" s="138" t="s">
        <v>5415</v>
      </c>
      <c r="K3236" s="140">
        <f>VLOOKUP(LEN(SUBSTITUTE(H3236,"-","")),datos!$A$1:$B$12,2,0)</f>
        <v>7</v>
      </c>
      <c r="L3236" s="138"/>
      <c r="M3236" s="138" t="s">
        <v>0</v>
      </c>
    </row>
    <row r="3237" spans="1:13" x14ac:dyDescent="0.35">
      <c r="A3237" s="137" t="s">
        <v>487</v>
      </c>
      <c r="B3237" s="137" t="s">
        <v>3809</v>
      </c>
      <c r="C3237" s="137" t="s">
        <v>4130</v>
      </c>
      <c r="D3237" s="137" t="s">
        <v>4135</v>
      </c>
      <c r="E3237" s="137" t="s">
        <v>5172</v>
      </c>
      <c r="F3237" s="137" t="s">
        <v>4073</v>
      </c>
      <c r="G3237" s="137"/>
      <c r="H3237" s="82" t="str">
        <f t="shared" si="211"/>
        <v>TCCN-PTE-PRS-SAC-SO1-PYV-</v>
      </c>
      <c r="I3237" s="137" t="str">
        <f>MID(H3237,1,(LEN(H3237)-VLOOKUP(K3237,datos!$B$2:$C$12,2,0)))</f>
        <v>TCCN-PTE-PRS-SAC-SO1-PYV</v>
      </c>
      <c r="J3237" s="137" t="s">
        <v>5416</v>
      </c>
      <c r="K3237" s="139">
        <f>VLOOKUP(LEN(SUBSTITUTE(H3237,"-","")),datos!$A$1:$B$12,2,0)</f>
        <v>6</v>
      </c>
      <c r="L3237" s="137"/>
      <c r="M3237" s="137" t="s">
        <v>0</v>
      </c>
    </row>
    <row r="3238" spans="1:13" x14ac:dyDescent="0.35">
      <c r="A3238" s="138" t="s">
        <v>487</v>
      </c>
      <c r="B3238" s="138" t="s">
        <v>3809</v>
      </c>
      <c r="C3238" s="138" t="s">
        <v>4130</v>
      </c>
      <c r="D3238" s="138" t="s">
        <v>4135</v>
      </c>
      <c r="E3238" s="138" t="s">
        <v>5172</v>
      </c>
      <c r="F3238" s="138" t="s">
        <v>4073</v>
      </c>
      <c r="G3238" s="138" t="s">
        <v>3986</v>
      </c>
      <c r="H3238" s="81" t="str">
        <f t="shared" si="211"/>
        <v>TCCN-PTE-PRS-SAC-SO1-PYV-VV1</v>
      </c>
      <c r="I3238" s="138" t="str">
        <f>MID(H3238,1,(LEN(H3238)-VLOOKUP(K3238,datos!$B$2:$C$12,2,0)))</f>
        <v>TCCN-PTE-PRS-SAC-SO1-PYV-VV1</v>
      </c>
      <c r="J3238" s="138" t="s">
        <v>7672</v>
      </c>
      <c r="K3238" s="140">
        <f>VLOOKUP(LEN(SUBSTITUTE(H3238,"-","")),datos!$A$1:$B$12,2,0)</f>
        <v>7</v>
      </c>
      <c r="L3238" s="138" t="s">
        <v>7671</v>
      </c>
      <c r="M3238" s="138" t="s">
        <v>0</v>
      </c>
    </row>
    <row r="3239" spans="1:13" x14ac:dyDescent="0.35">
      <c r="A3239" s="138" t="s">
        <v>487</v>
      </c>
      <c r="B3239" s="138" t="s">
        <v>3809</v>
      </c>
      <c r="C3239" s="138" t="s">
        <v>4130</v>
      </c>
      <c r="D3239" s="138" t="s">
        <v>4135</v>
      </c>
      <c r="E3239" s="138" t="s">
        <v>5172</v>
      </c>
      <c r="F3239" s="138" t="s">
        <v>4073</v>
      </c>
      <c r="G3239" s="138" t="s">
        <v>3987</v>
      </c>
      <c r="H3239" s="81" t="str">
        <f t="shared" ref="H3239:H3297" si="220">CONCATENATE(A3239,"-",B3239,"-",C3239,"-",D3239,"-",E3239,"-",F3239,"-",G3239)</f>
        <v>TCCN-PTE-PRS-SAC-SO1-PYV-VV2</v>
      </c>
      <c r="I3239" s="138" t="str">
        <f>MID(H3239,1,(LEN(H3239)-VLOOKUP(K3239,datos!$B$2:$C$12,2,0)))</f>
        <v>TCCN-PTE-PRS-SAC-SO1-PYV-VV2</v>
      </c>
      <c r="J3239" s="138" t="s">
        <v>7675</v>
      </c>
      <c r="K3239" s="140">
        <f>VLOOKUP(LEN(SUBSTITUTE(H3239,"-","")),datos!$A$1:$B$12,2,0)</f>
        <v>7</v>
      </c>
      <c r="L3239" s="138" t="s">
        <v>7673</v>
      </c>
      <c r="M3239" s="138" t="s">
        <v>0</v>
      </c>
    </row>
    <row r="3240" spans="1:13" x14ac:dyDescent="0.35">
      <c r="A3240" s="138" t="s">
        <v>487</v>
      </c>
      <c r="B3240" s="138" t="s">
        <v>3809</v>
      </c>
      <c r="C3240" s="138" t="s">
        <v>4130</v>
      </c>
      <c r="D3240" s="138" t="s">
        <v>4135</v>
      </c>
      <c r="E3240" s="138" t="s">
        <v>5172</v>
      </c>
      <c r="F3240" s="138" t="s">
        <v>4073</v>
      </c>
      <c r="G3240" s="138" t="s">
        <v>4065</v>
      </c>
      <c r="H3240" s="81" t="str">
        <f t="shared" ref="H3240" si="221">CONCATENATE(A3240,"-",B3240,"-",C3240,"-",D3240,"-",E3240,"-",F3240,"-",G3240)</f>
        <v>TCCN-PTE-PRS-SAC-SO1-PYV-VV3</v>
      </c>
      <c r="I3240" s="138" t="str">
        <f>MID(H3240,1,(LEN(H3240)-VLOOKUP(K3240,datos!$B$2:$C$12,2,0)))</f>
        <v>TCCN-PTE-PRS-SAC-SO1-PYV-VV3</v>
      </c>
      <c r="J3240" s="138" t="s">
        <v>7676</v>
      </c>
      <c r="K3240" s="140">
        <f>VLOOKUP(LEN(SUBSTITUTE(H3240,"-","")),datos!$A$1:$B$12,2,0)</f>
        <v>7</v>
      </c>
      <c r="L3240" s="138" t="s">
        <v>7674</v>
      </c>
      <c r="M3240" s="138" t="s">
        <v>0</v>
      </c>
    </row>
    <row r="3241" spans="1:13" x14ac:dyDescent="0.35">
      <c r="A3241" s="138" t="s">
        <v>487</v>
      </c>
      <c r="B3241" s="138" t="s">
        <v>3809</v>
      </c>
      <c r="C3241" s="138" t="s">
        <v>4130</v>
      </c>
      <c r="D3241" s="138" t="s">
        <v>4135</v>
      </c>
      <c r="E3241" s="138" t="s">
        <v>5172</v>
      </c>
      <c r="F3241" s="138" t="s">
        <v>4073</v>
      </c>
      <c r="G3241" s="138" t="s">
        <v>5196</v>
      </c>
      <c r="H3241" s="81" t="str">
        <f t="shared" si="220"/>
        <v>TCCN-PTE-PRS-SAC-SO1-PYV-SLC</v>
      </c>
      <c r="I3241" s="138" t="str">
        <f>MID(H3241,1,(LEN(H3241)-VLOOKUP(K3241,datos!$B$2:$C$12,2,0)))</f>
        <v>TCCN-PTE-PRS-SAC-SO1-PYV-SLC</v>
      </c>
      <c r="J3241" s="138" t="s">
        <v>5417</v>
      </c>
      <c r="K3241" s="140">
        <f>VLOOKUP(LEN(SUBSTITUTE(H3241,"-","")),datos!$A$1:$B$12,2,0)</f>
        <v>7</v>
      </c>
      <c r="L3241" s="138"/>
      <c r="M3241" s="138" t="s">
        <v>0</v>
      </c>
    </row>
    <row r="3242" spans="1:13" x14ac:dyDescent="0.35">
      <c r="A3242" s="138" t="s">
        <v>487</v>
      </c>
      <c r="B3242" s="138" t="s">
        <v>3809</v>
      </c>
      <c r="C3242" s="138" t="s">
        <v>4130</v>
      </c>
      <c r="D3242" s="138" t="s">
        <v>4135</v>
      </c>
      <c r="E3242" s="138" t="s">
        <v>5172</v>
      </c>
      <c r="F3242" s="138" t="s">
        <v>4073</v>
      </c>
      <c r="G3242" s="138" t="s">
        <v>5197</v>
      </c>
      <c r="H3242" s="81" t="str">
        <f t="shared" si="220"/>
        <v>TCCN-PTE-PRS-SAC-SO1-PYV-FTR</v>
      </c>
      <c r="I3242" s="138" t="str">
        <f>MID(H3242,1,(LEN(H3242)-VLOOKUP(K3242,datos!$B$2:$C$12,2,0)))</f>
        <v>TCCN-PTE-PRS-SAC-SO1-PYV-FTR</v>
      </c>
      <c r="J3242" s="138" t="s">
        <v>5418</v>
      </c>
      <c r="K3242" s="140">
        <f>VLOOKUP(LEN(SUBSTITUTE(H3242,"-","")),datos!$A$1:$B$12,2,0)</f>
        <v>7</v>
      </c>
      <c r="L3242" s="138"/>
      <c r="M3242" s="138" t="s">
        <v>0</v>
      </c>
    </row>
    <row r="3243" spans="1:13" x14ac:dyDescent="0.35">
      <c r="A3243" s="137" t="s">
        <v>487</v>
      </c>
      <c r="B3243" s="137" t="s">
        <v>3809</v>
      </c>
      <c r="C3243" s="137" t="s">
        <v>4130</v>
      </c>
      <c r="D3243" s="137" t="s">
        <v>4135</v>
      </c>
      <c r="E3243" s="137" t="s">
        <v>5172</v>
      </c>
      <c r="F3243" s="137" t="s">
        <v>3847</v>
      </c>
      <c r="G3243" s="137"/>
      <c r="H3243" s="82" t="str">
        <f t="shared" si="220"/>
        <v>TCCN-PTE-PRS-SAC-SO1-SMO-</v>
      </c>
      <c r="I3243" s="137" t="str">
        <f>MID(H3243,1,(LEN(H3243)-VLOOKUP(K3243,datos!$B$2:$C$12,2,0)))</f>
        <v>TCCN-PTE-PRS-SAC-SO1-SMO</v>
      </c>
      <c r="J3243" s="137" t="s">
        <v>5419</v>
      </c>
      <c r="K3243" s="139">
        <f>VLOOKUP(LEN(SUBSTITUTE(H3243,"-","")),datos!$A$1:$B$12,2,0)</f>
        <v>6</v>
      </c>
      <c r="L3243" s="137"/>
      <c r="M3243" s="137" t="s">
        <v>0</v>
      </c>
    </row>
    <row r="3244" spans="1:13" x14ac:dyDescent="0.35">
      <c r="A3244" s="138" t="s">
        <v>487</v>
      </c>
      <c r="B3244" s="138" t="s">
        <v>3809</v>
      </c>
      <c r="C3244" s="138" t="s">
        <v>4130</v>
      </c>
      <c r="D3244" s="138" t="s">
        <v>4135</v>
      </c>
      <c r="E3244" s="138" t="s">
        <v>5172</v>
      </c>
      <c r="F3244" s="138" t="s">
        <v>3847</v>
      </c>
      <c r="G3244" s="138" t="s">
        <v>3819</v>
      </c>
      <c r="H3244" s="81" t="str">
        <f t="shared" si="220"/>
        <v>TCCN-PTE-PRS-SAC-SO1-SMO-MOE</v>
      </c>
      <c r="I3244" s="138" t="str">
        <f>MID(H3244,1,(LEN(H3244)-VLOOKUP(K3244,datos!$B$2:$C$12,2,0)))</f>
        <v>TCCN-PTE-PRS-SAC-SO1-SMO-MOE</v>
      </c>
      <c r="J3244" s="138" t="s">
        <v>5420</v>
      </c>
      <c r="K3244" s="140">
        <f>VLOOKUP(LEN(SUBSTITUTE(H3244,"-","")),datos!$A$1:$B$12,2,0)</f>
        <v>7</v>
      </c>
      <c r="L3244" s="138" t="s">
        <v>5174</v>
      </c>
      <c r="M3244" s="138" t="s">
        <v>0</v>
      </c>
    </row>
    <row r="3245" spans="1:13" x14ac:dyDescent="0.35">
      <c r="A3245" s="138" t="s">
        <v>487</v>
      </c>
      <c r="B3245" s="138" t="s">
        <v>3809</v>
      </c>
      <c r="C3245" s="138" t="s">
        <v>4130</v>
      </c>
      <c r="D3245" s="138" t="s">
        <v>4135</v>
      </c>
      <c r="E3245" s="138" t="s">
        <v>5172</v>
      </c>
      <c r="F3245" s="138" t="s">
        <v>3847</v>
      </c>
      <c r="G3245" s="138" t="s">
        <v>8060</v>
      </c>
      <c r="H3245" s="81" t="str">
        <f t="shared" si="220"/>
        <v>TCCN-PTE-PRS-SAC-SO1-SMO-CTN</v>
      </c>
      <c r="I3245" s="138" t="str">
        <f>MID(H3245,1,(LEN(H3245)-VLOOKUP(K3245,datos!$B$2:$C$12,2,0)))</f>
        <v>TCCN-PTE-PRS-SAC-SO1-SMO-CTN</v>
      </c>
      <c r="J3245" s="138" t="s">
        <v>5421</v>
      </c>
      <c r="K3245" s="140">
        <f>VLOOKUP(LEN(SUBSTITUTE(H3245,"-","")),datos!$A$1:$B$12,2,0)</f>
        <v>7</v>
      </c>
      <c r="L3245" s="138"/>
      <c r="M3245" s="138" t="s">
        <v>0</v>
      </c>
    </row>
    <row r="3246" spans="1:13" x14ac:dyDescent="0.35">
      <c r="A3246" s="138" t="s">
        <v>487</v>
      </c>
      <c r="B3246" s="138" t="s">
        <v>3809</v>
      </c>
      <c r="C3246" s="138" t="s">
        <v>4130</v>
      </c>
      <c r="D3246" s="138" t="s">
        <v>4135</v>
      </c>
      <c r="E3246" s="138" t="s">
        <v>5172</v>
      </c>
      <c r="F3246" s="138" t="s">
        <v>3847</v>
      </c>
      <c r="G3246" s="138" t="s">
        <v>8116</v>
      </c>
      <c r="H3246" s="81" t="str">
        <f t="shared" si="220"/>
        <v>TCCN-PTE-PRS-SAC-SO1-SMO-PLE</v>
      </c>
      <c r="I3246" s="138" t="str">
        <f>MID(H3246,1,(LEN(H3246)-VLOOKUP(K3246,datos!$B$2:$C$12,2,0)))</f>
        <v>TCCN-PTE-PRS-SAC-SO1-SMO-PLE</v>
      </c>
      <c r="J3246" s="138" t="s">
        <v>5422</v>
      </c>
      <c r="K3246" s="140">
        <f>VLOOKUP(LEN(SUBSTITUTE(H3246,"-","")),datos!$A$1:$B$12,2,0)</f>
        <v>7</v>
      </c>
      <c r="L3246" s="138"/>
      <c r="M3246" s="138" t="s">
        <v>0</v>
      </c>
    </row>
    <row r="3247" spans="1:13" customFormat="1" ht="14.5" x14ac:dyDescent="0.35">
      <c r="A3247" s="129" t="s">
        <v>487</v>
      </c>
      <c r="B3247" s="129" t="s">
        <v>3809</v>
      </c>
      <c r="C3247" s="129" t="s">
        <v>4130</v>
      </c>
      <c r="D3247" s="129" t="s">
        <v>4135</v>
      </c>
      <c r="E3247" s="129" t="s">
        <v>5175</v>
      </c>
      <c r="F3247" s="129"/>
      <c r="G3247" s="129"/>
      <c r="H3247" s="83" t="str">
        <f t="shared" si="220"/>
        <v>TCCN-PTE-PRS-SAC-SO2--</v>
      </c>
      <c r="I3247" s="129" t="str">
        <f>MID(H3247,1,(LEN(H3247)-VLOOKUP(K3247,datos!$B$2:$C$12,2,0)))</f>
        <v>TCCN-PTE-PRS-SAC-SO2</v>
      </c>
      <c r="J3247" s="129" t="s">
        <v>5386</v>
      </c>
      <c r="K3247" s="130">
        <f>VLOOKUP(LEN(SUBSTITUTE(H3247,"-","")),datos!$A$1:$B$12,2,0)</f>
        <v>5</v>
      </c>
      <c r="L3247" s="129" t="s">
        <v>5176</v>
      </c>
      <c r="M3247" s="129" t="s">
        <v>0</v>
      </c>
    </row>
    <row r="3248" spans="1:13" x14ac:dyDescent="0.35">
      <c r="A3248" s="137" t="s">
        <v>487</v>
      </c>
      <c r="B3248" s="137" t="s">
        <v>3809</v>
      </c>
      <c r="C3248" s="137" t="s">
        <v>4130</v>
      </c>
      <c r="D3248" s="137" t="s">
        <v>4135</v>
      </c>
      <c r="E3248" s="137" t="s">
        <v>5175</v>
      </c>
      <c r="F3248" s="137" t="s">
        <v>3831</v>
      </c>
      <c r="G3248" s="137"/>
      <c r="H3248" s="82" t="str">
        <f t="shared" si="220"/>
        <v>TCCN-PTE-PRS-SAC-SO2-INS-</v>
      </c>
      <c r="I3248" s="137" t="str">
        <f>MID(H3248,1,(LEN(H3248)-VLOOKUP(K3248,datos!$B$2:$C$12,2,0)))</f>
        <v>TCCN-PTE-PRS-SAC-SO2-INS</v>
      </c>
      <c r="J3248" s="137" t="s">
        <v>5401</v>
      </c>
      <c r="K3248" s="139">
        <f>VLOOKUP(LEN(SUBSTITUTE(H3248,"-","")),datos!$A$1:$B$12,2,0)</f>
        <v>6</v>
      </c>
      <c r="L3248" s="137"/>
      <c r="M3248" s="137" t="s">
        <v>0</v>
      </c>
    </row>
    <row r="3249" spans="1:13" x14ac:dyDescent="0.35">
      <c r="A3249" s="138" t="s">
        <v>487</v>
      </c>
      <c r="B3249" s="138" t="s">
        <v>3809</v>
      </c>
      <c r="C3249" s="138" t="s">
        <v>4130</v>
      </c>
      <c r="D3249" s="138" t="s">
        <v>4135</v>
      </c>
      <c r="E3249" s="138" t="s">
        <v>5175</v>
      </c>
      <c r="F3249" s="138" t="s">
        <v>3831</v>
      </c>
      <c r="G3249" s="138" t="s">
        <v>7060</v>
      </c>
      <c r="H3249" s="81" t="str">
        <f t="shared" si="220"/>
        <v>TCCN-PTE-PRS-SAC-SO2-INS-MTP</v>
      </c>
      <c r="I3249" s="138" t="str">
        <f>MID(H3249,1,(LEN(H3249)-VLOOKUP(K3249,datos!$B$2:$C$12,2,0)))</f>
        <v>TCCN-PTE-PRS-SAC-SO2-INS-MTP</v>
      </c>
      <c r="J3249" s="138" t="s">
        <v>7684</v>
      </c>
      <c r="K3249" s="140">
        <f>VLOOKUP(LEN(SUBSTITUTE(H3249,"-","")),datos!$A$1:$B$12,2,0)</f>
        <v>7</v>
      </c>
      <c r="L3249" s="138" t="s">
        <v>7677</v>
      </c>
      <c r="M3249" s="138" t="s">
        <v>0</v>
      </c>
    </row>
    <row r="3250" spans="1:13" x14ac:dyDescent="0.35">
      <c r="A3250" s="138" t="s">
        <v>487</v>
      </c>
      <c r="B3250" s="138" t="s">
        <v>3809</v>
      </c>
      <c r="C3250" s="138" t="s">
        <v>4130</v>
      </c>
      <c r="D3250" s="138" t="s">
        <v>4135</v>
      </c>
      <c r="E3250" s="138" t="s">
        <v>5175</v>
      </c>
      <c r="F3250" s="138" t="s">
        <v>3831</v>
      </c>
      <c r="G3250" s="138" t="s">
        <v>7667</v>
      </c>
      <c r="H3250" s="81" t="str">
        <f t="shared" si="220"/>
        <v>TCCN-PTE-PRS-SAC-SO2-INS-VBR</v>
      </c>
      <c r="I3250" s="138" t="str">
        <f>MID(H3250,1,(LEN(H3250)-VLOOKUP(K3250,datos!$B$2:$C$12,2,0)))</f>
        <v>TCCN-PTE-PRS-SAC-SO2-INS-VBR</v>
      </c>
      <c r="J3250" s="138" t="s">
        <v>7685</v>
      </c>
      <c r="K3250" s="140">
        <f>VLOOKUP(LEN(SUBSTITUTE(H3250,"-","")),datos!$A$1:$B$12,2,0)</f>
        <v>7</v>
      </c>
      <c r="L3250" s="138" t="s">
        <v>7678</v>
      </c>
      <c r="M3250" s="138" t="s">
        <v>0</v>
      </c>
    </row>
    <row r="3251" spans="1:13" x14ac:dyDescent="0.35">
      <c r="A3251" s="137" t="s">
        <v>487</v>
      </c>
      <c r="B3251" s="137" t="s">
        <v>3809</v>
      </c>
      <c r="C3251" s="137" t="s">
        <v>4130</v>
      </c>
      <c r="D3251" s="137" t="s">
        <v>4135</v>
      </c>
      <c r="E3251" s="137" t="s">
        <v>5175</v>
      </c>
      <c r="F3251" s="137" t="s">
        <v>5193</v>
      </c>
      <c r="G3251" s="137"/>
      <c r="H3251" s="82" t="str">
        <f t="shared" si="220"/>
        <v>TCCN-PTE-PRS-SAC-SO2-COM-</v>
      </c>
      <c r="I3251" s="137" t="str">
        <f>MID(H3251,1,(LEN(H3251)-VLOOKUP(K3251,datos!$B$2:$C$12,2,0)))</f>
        <v>TCCN-PTE-PRS-SAC-SO2-COM</v>
      </c>
      <c r="J3251" s="137" t="s">
        <v>8059</v>
      </c>
      <c r="K3251" s="139">
        <f>VLOOKUP(LEN(SUBSTITUTE(H3251,"-","")),datos!$A$1:$B$12,2,0)</f>
        <v>6</v>
      </c>
      <c r="L3251" s="137"/>
      <c r="M3251" s="137" t="s">
        <v>0</v>
      </c>
    </row>
    <row r="3252" spans="1:13" x14ac:dyDescent="0.35">
      <c r="A3252" s="138" t="s">
        <v>487</v>
      </c>
      <c r="B3252" s="138" t="s">
        <v>3809</v>
      </c>
      <c r="C3252" s="138" t="s">
        <v>4130</v>
      </c>
      <c r="D3252" s="138" t="s">
        <v>4135</v>
      </c>
      <c r="E3252" s="138" t="s">
        <v>5175</v>
      </c>
      <c r="F3252" s="138" t="s">
        <v>5193</v>
      </c>
      <c r="G3252" s="138" t="s">
        <v>5194</v>
      </c>
      <c r="H3252" s="81" t="str">
        <f t="shared" si="220"/>
        <v>TCCN-PTE-PRS-SAC-SO2-COM-DRO</v>
      </c>
      <c r="I3252" s="138" t="str">
        <f>MID(H3252,1,(LEN(H3252)-VLOOKUP(K3252,datos!$B$2:$C$12,2,0)))</f>
        <v>TCCN-PTE-PRS-SAC-SO2-COM-DRO</v>
      </c>
      <c r="J3252" s="138" t="s">
        <v>5402</v>
      </c>
      <c r="K3252" s="140">
        <f>VLOOKUP(LEN(SUBSTITUTE(H3252,"-","")),datos!$A$1:$B$12,2,0)</f>
        <v>7</v>
      </c>
      <c r="L3252" s="138"/>
      <c r="M3252" s="138" t="s">
        <v>0</v>
      </c>
    </row>
    <row r="3253" spans="1:13" x14ac:dyDescent="0.35">
      <c r="A3253" s="138" t="s">
        <v>487</v>
      </c>
      <c r="B3253" s="138" t="s">
        <v>3809</v>
      </c>
      <c r="C3253" s="138" t="s">
        <v>4130</v>
      </c>
      <c r="D3253" s="138" t="s">
        <v>4135</v>
      </c>
      <c r="E3253" s="138" t="s">
        <v>5175</v>
      </c>
      <c r="F3253" s="138" t="s">
        <v>5193</v>
      </c>
      <c r="G3253" s="138" t="s">
        <v>3997</v>
      </c>
      <c r="H3253" s="81" t="str">
        <f t="shared" si="220"/>
        <v>TCCN-PTE-PRS-SAC-SO2-COM-EJE</v>
      </c>
      <c r="I3253" s="138" t="str">
        <f>MID(H3253,1,(LEN(H3253)-VLOOKUP(K3253,datos!$B$2:$C$12,2,0)))</f>
        <v>TCCN-PTE-PRS-SAC-SO2-COM-EJE</v>
      </c>
      <c r="J3253" s="138" t="s">
        <v>5403</v>
      </c>
      <c r="K3253" s="140">
        <f>VLOOKUP(LEN(SUBSTITUTE(H3253,"-","")),datos!$A$1:$B$12,2,0)</f>
        <v>7</v>
      </c>
      <c r="L3253" s="138"/>
      <c r="M3253" s="138" t="s">
        <v>0</v>
      </c>
    </row>
    <row r="3254" spans="1:13" x14ac:dyDescent="0.35">
      <c r="A3254" s="138" t="s">
        <v>487</v>
      </c>
      <c r="B3254" s="138" t="s">
        <v>3809</v>
      </c>
      <c r="C3254" s="138" t="s">
        <v>4130</v>
      </c>
      <c r="D3254" s="138" t="s">
        <v>4135</v>
      </c>
      <c r="E3254" s="138" t="s">
        <v>5175</v>
      </c>
      <c r="F3254" s="138" t="s">
        <v>5193</v>
      </c>
      <c r="G3254" s="138" t="s">
        <v>5195</v>
      </c>
      <c r="H3254" s="81" t="str">
        <f t="shared" si="220"/>
        <v>TCCN-PTE-PRS-SAC-SO2-COM-IPD</v>
      </c>
      <c r="I3254" s="138" t="str">
        <f>MID(H3254,1,(LEN(H3254)-VLOOKUP(K3254,datos!$B$2:$C$12,2,0)))</f>
        <v>TCCN-PTE-PRS-SAC-SO2-COM-IPD</v>
      </c>
      <c r="J3254" s="138" t="s">
        <v>5404</v>
      </c>
      <c r="K3254" s="140">
        <f>VLOOKUP(LEN(SUBSTITUTE(H3254,"-","")),datos!$A$1:$B$12,2,0)</f>
        <v>7</v>
      </c>
      <c r="L3254" s="138"/>
      <c r="M3254" s="138" t="s">
        <v>0</v>
      </c>
    </row>
    <row r="3255" spans="1:13" x14ac:dyDescent="0.35">
      <c r="A3255" s="137" t="s">
        <v>487</v>
      </c>
      <c r="B3255" s="137" t="s">
        <v>3809</v>
      </c>
      <c r="C3255" s="137" t="s">
        <v>4130</v>
      </c>
      <c r="D3255" s="137" t="s">
        <v>4135</v>
      </c>
      <c r="E3255" s="137" t="s">
        <v>5175</v>
      </c>
      <c r="F3255" s="137" t="s">
        <v>4073</v>
      </c>
      <c r="G3255" s="137"/>
      <c r="H3255" s="82" t="str">
        <f t="shared" si="220"/>
        <v>TCCN-PTE-PRS-SAC-SO2-PYV-</v>
      </c>
      <c r="I3255" s="137" t="str">
        <f>MID(H3255,1,(LEN(H3255)-VLOOKUP(K3255,datos!$B$2:$C$12,2,0)))</f>
        <v>TCCN-PTE-PRS-SAC-SO2-PYV</v>
      </c>
      <c r="J3255" s="137" t="s">
        <v>5405</v>
      </c>
      <c r="K3255" s="139">
        <f>VLOOKUP(LEN(SUBSTITUTE(H3255,"-","")),datos!$A$1:$B$12,2,0)</f>
        <v>6</v>
      </c>
      <c r="L3255" s="137"/>
      <c r="M3255" s="137" t="s">
        <v>0</v>
      </c>
    </row>
    <row r="3256" spans="1:13" x14ac:dyDescent="0.35">
      <c r="A3256" s="138" t="s">
        <v>487</v>
      </c>
      <c r="B3256" s="138" t="s">
        <v>3809</v>
      </c>
      <c r="C3256" s="138" t="s">
        <v>4130</v>
      </c>
      <c r="D3256" s="138" t="s">
        <v>4135</v>
      </c>
      <c r="E3256" s="138" t="s">
        <v>5175</v>
      </c>
      <c r="F3256" s="138" t="s">
        <v>4073</v>
      </c>
      <c r="G3256" s="138" t="s">
        <v>3986</v>
      </c>
      <c r="H3256" s="81" t="str">
        <f t="shared" si="220"/>
        <v>TCCN-PTE-PRS-SAC-SO2-PYV-VV1</v>
      </c>
      <c r="I3256" s="138" t="str">
        <f>MID(H3256,1,(LEN(H3256)-VLOOKUP(K3256,datos!$B$2:$C$12,2,0)))</f>
        <v>TCCN-PTE-PRS-SAC-SO2-PYV-VV1</v>
      </c>
      <c r="J3256" s="138" t="s">
        <v>7679</v>
      </c>
      <c r="K3256" s="140">
        <f>VLOOKUP(LEN(SUBSTITUTE(H3256,"-","")),datos!$A$1:$B$12,2,0)</f>
        <v>7</v>
      </c>
      <c r="L3256" s="138" t="s">
        <v>7670</v>
      </c>
      <c r="M3256" s="138" t="s">
        <v>0</v>
      </c>
    </row>
    <row r="3257" spans="1:13" x14ac:dyDescent="0.35">
      <c r="A3257" s="138" t="s">
        <v>487</v>
      </c>
      <c r="B3257" s="138" t="s">
        <v>3809</v>
      </c>
      <c r="C3257" s="138" t="s">
        <v>4130</v>
      </c>
      <c r="D3257" s="138" t="s">
        <v>4135</v>
      </c>
      <c r="E3257" s="138" t="s">
        <v>5175</v>
      </c>
      <c r="F3257" s="138" t="s">
        <v>4073</v>
      </c>
      <c r="G3257" s="138" t="s">
        <v>3987</v>
      </c>
      <c r="H3257" s="81" t="str">
        <f t="shared" ref="H3257:H3260" si="222">CONCATENATE(A3257,"-",B3257,"-",C3257,"-",D3257,"-",E3257,"-",F3257,"-",G3257)</f>
        <v>TCCN-PTE-PRS-SAC-SO2-PYV-VV2</v>
      </c>
      <c r="I3257" s="138" t="str">
        <f>MID(H3257,1,(LEN(H3257)-VLOOKUP(K3257,datos!$B$2:$C$12,2,0)))</f>
        <v>TCCN-PTE-PRS-SAC-SO2-PYV-VV2</v>
      </c>
      <c r="J3257" s="138" t="s">
        <v>7680</v>
      </c>
      <c r="K3257" s="140">
        <f>VLOOKUP(LEN(SUBSTITUTE(H3257,"-","")),datos!$A$1:$B$12,2,0)</f>
        <v>7</v>
      </c>
      <c r="L3257" s="138" t="s">
        <v>7682</v>
      </c>
      <c r="M3257" s="138" t="s">
        <v>0</v>
      </c>
    </row>
    <row r="3258" spans="1:13" x14ac:dyDescent="0.35">
      <c r="A3258" s="138" t="s">
        <v>487</v>
      </c>
      <c r="B3258" s="138" t="s">
        <v>3809</v>
      </c>
      <c r="C3258" s="138" t="s">
        <v>4130</v>
      </c>
      <c r="D3258" s="138" t="s">
        <v>4135</v>
      </c>
      <c r="E3258" s="138" t="s">
        <v>5175</v>
      </c>
      <c r="F3258" s="138" t="s">
        <v>4073</v>
      </c>
      <c r="G3258" s="138" t="s">
        <v>4065</v>
      </c>
      <c r="H3258" s="81" t="str">
        <f t="shared" si="222"/>
        <v>TCCN-PTE-PRS-SAC-SO2-PYV-VV3</v>
      </c>
      <c r="I3258" s="138" t="str">
        <f>MID(H3258,1,(LEN(H3258)-VLOOKUP(K3258,datos!$B$2:$C$12,2,0)))</f>
        <v>TCCN-PTE-PRS-SAC-SO2-PYV-VV3</v>
      </c>
      <c r="J3258" s="138" t="s">
        <v>7681</v>
      </c>
      <c r="K3258" s="140">
        <f>VLOOKUP(LEN(SUBSTITUTE(H3258,"-","")),datos!$A$1:$B$12,2,0)</f>
        <v>7</v>
      </c>
      <c r="L3258" s="138" t="s">
        <v>7683</v>
      </c>
      <c r="M3258" s="138" t="s">
        <v>0</v>
      </c>
    </row>
    <row r="3259" spans="1:13" x14ac:dyDescent="0.35">
      <c r="A3259" s="138" t="s">
        <v>487</v>
      </c>
      <c r="B3259" s="138" t="s">
        <v>3809</v>
      </c>
      <c r="C3259" s="138" t="s">
        <v>4130</v>
      </c>
      <c r="D3259" s="138" t="s">
        <v>4135</v>
      </c>
      <c r="E3259" s="138" t="s">
        <v>5175</v>
      </c>
      <c r="F3259" s="138" t="s">
        <v>4073</v>
      </c>
      <c r="G3259" s="138" t="s">
        <v>5196</v>
      </c>
      <c r="H3259" s="81" t="str">
        <f t="shared" si="222"/>
        <v>TCCN-PTE-PRS-SAC-SO2-PYV-SLC</v>
      </c>
      <c r="I3259" s="138" t="str">
        <f>MID(H3259,1,(LEN(H3259)-VLOOKUP(K3259,datos!$B$2:$C$12,2,0)))</f>
        <v>TCCN-PTE-PRS-SAC-SO2-PYV-SLC</v>
      </c>
      <c r="J3259" s="138" t="s">
        <v>5406</v>
      </c>
      <c r="K3259" s="140">
        <f>VLOOKUP(LEN(SUBSTITUTE(H3259,"-","")),datos!$A$1:$B$12,2,0)</f>
        <v>7</v>
      </c>
      <c r="L3259" s="138"/>
      <c r="M3259" s="138" t="s">
        <v>0</v>
      </c>
    </row>
    <row r="3260" spans="1:13" x14ac:dyDescent="0.35">
      <c r="A3260" s="138" t="s">
        <v>487</v>
      </c>
      <c r="B3260" s="138" t="s">
        <v>3809</v>
      </c>
      <c r="C3260" s="138" t="s">
        <v>4130</v>
      </c>
      <c r="D3260" s="138" t="s">
        <v>4135</v>
      </c>
      <c r="E3260" s="138" t="s">
        <v>5175</v>
      </c>
      <c r="F3260" s="138" t="s">
        <v>4073</v>
      </c>
      <c r="G3260" s="138" t="s">
        <v>5197</v>
      </c>
      <c r="H3260" s="81" t="str">
        <f t="shared" si="222"/>
        <v>TCCN-PTE-PRS-SAC-SO2-PYV-FTR</v>
      </c>
      <c r="I3260" s="138" t="str">
        <f>MID(H3260,1,(LEN(H3260)-VLOOKUP(K3260,datos!$B$2:$C$12,2,0)))</f>
        <v>TCCN-PTE-PRS-SAC-SO2-PYV-FTR</v>
      </c>
      <c r="J3260" s="138" t="s">
        <v>5407</v>
      </c>
      <c r="K3260" s="140">
        <f>VLOOKUP(LEN(SUBSTITUTE(H3260,"-","")),datos!$A$1:$B$12,2,0)</f>
        <v>7</v>
      </c>
      <c r="L3260" s="138"/>
      <c r="M3260" s="138" t="s">
        <v>0</v>
      </c>
    </row>
    <row r="3261" spans="1:13" x14ac:dyDescent="0.35">
      <c r="A3261" s="137" t="s">
        <v>487</v>
      </c>
      <c r="B3261" s="137" t="s">
        <v>3809</v>
      </c>
      <c r="C3261" s="137" t="s">
        <v>4130</v>
      </c>
      <c r="D3261" s="137" t="s">
        <v>4135</v>
      </c>
      <c r="E3261" s="137" t="s">
        <v>5175</v>
      </c>
      <c r="F3261" s="137" t="s">
        <v>3847</v>
      </c>
      <c r="G3261" s="137"/>
      <c r="H3261" s="82" t="str">
        <f t="shared" si="220"/>
        <v>TCCN-PTE-PRS-SAC-SO2-SMO-</v>
      </c>
      <c r="I3261" s="137" t="str">
        <f>MID(H3261,1,(LEN(H3261)-VLOOKUP(K3261,datos!$B$2:$C$12,2,0)))</f>
        <v>TCCN-PTE-PRS-SAC-SO2-SMO</v>
      </c>
      <c r="J3261" s="137" t="s">
        <v>5408</v>
      </c>
      <c r="K3261" s="139">
        <f>VLOOKUP(LEN(SUBSTITUTE(H3261,"-","")),datos!$A$1:$B$12,2,0)</f>
        <v>6</v>
      </c>
      <c r="L3261" s="137"/>
      <c r="M3261" s="137" t="s">
        <v>0</v>
      </c>
    </row>
    <row r="3262" spans="1:13" x14ac:dyDescent="0.35">
      <c r="A3262" s="138" t="s">
        <v>487</v>
      </c>
      <c r="B3262" s="138" t="s">
        <v>3809</v>
      </c>
      <c r="C3262" s="138" t="s">
        <v>4130</v>
      </c>
      <c r="D3262" s="138" t="s">
        <v>4135</v>
      </c>
      <c r="E3262" s="138" t="s">
        <v>5175</v>
      </c>
      <c r="F3262" s="138" t="s">
        <v>3847</v>
      </c>
      <c r="G3262" s="138" t="s">
        <v>3819</v>
      </c>
      <c r="H3262" s="81" t="str">
        <f t="shared" si="220"/>
        <v>TCCN-PTE-PRS-SAC-SO2-SMO-MOE</v>
      </c>
      <c r="I3262" s="138" t="str">
        <f>MID(H3262,1,(LEN(H3262)-VLOOKUP(K3262,datos!$B$2:$C$12,2,0)))</f>
        <v>TCCN-PTE-PRS-SAC-SO2-SMO-MOE</v>
      </c>
      <c r="J3262" s="138" t="s">
        <v>5409</v>
      </c>
      <c r="K3262" s="140">
        <f>VLOOKUP(LEN(SUBSTITUTE(H3262,"-","")),datos!$A$1:$B$12,2,0)</f>
        <v>7</v>
      </c>
      <c r="L3262" s="138" t="s">
        <v>5177</v>
      </c>
      <c r="M3262" s="138" t="s">
        <v>0</v>
      </c>
    </row>
    <row r="3263" spans="1:13" x14ac:dyDescent="0.35">
      <c r="A3263" s="138" t="s">
        <v>487</v>
      </c>
      <c r="B3263" s="138" t="s">
        <v>3809</v>
      </c>
      <c r="C3263" s="138" t="s">
        <v>4130</v>
      </c>
      <c r="D3263" s="138" t="s">
        <v>4135</v>
      </c>
      <c r="E3263" s="138" t="s">
        <v>5175</v>
      </c>
      <c r="F3263" s="138" t="s">
        <v>3847</v>
      </c>
      <c r="G3263" s="138" t="s">
        <v>8060</v>
      </c>
      <c r="H3263" s="81" t="str">
        <f t="shared" si="220"/>
        <v>TCCN-PTE-PRS-SAC-SO2-SMO-CTN</v>
      </c>
      <c r="I3263" s="138" t="str">
        <f>MID(H3263,1,(LEN(H3263)-VLOOKUP(K3263,datos!$B$2:$C$12,2,0)))</f>
        <v>TCCN-PTE-PRS-SAC-SO2-SMO-CTN</v>
      </c>
      <c r="J3263" s="138" t="s">
        <v>5410</v>
      </c>
      <c r="K3263" s="140">
        <f>VLOOKUP(LEN(SUBSTITUTE(H3263,"-","")),datos!$A$1:$B$12,2,0)</f>
        <v>7</v>
      </c>
      <c r="L3263" s="138"/>
      <c r="M3263" s="138" t="s">
        <v>0</v>
      </c>
    </row>
    <row r="3264" spans="1:13" x14ac:dyDescent="0.35">
      <c r="A3264" s="138" t="s">
        <v>487</v>
      </c>
      <c r="B3264" s="138" t="s">
        <v>3809</v>
      </c>
      <c r="C3264" s="138" t="s">
        <v>4130</v>
      </c>
      <c r="D3264" s="138" t="s">
        <v>4135</v>
      </c>
      <c r="E3264" s="138" t="s">
        <v>5175</v>
      </c>
      <c r="F3264" s="138" t="s">
        <v>3847</v>
      </c>
      <c r="G3264" s="138" t="s">
        <v>8116</v>
      </c>
      <c r="H3264" s="81" t="str">
        <f t="shared" si="220"/>
        <v>TCCN-PTE-PRS-SAC-SO2-SMO-PLE</v>
      </c>
      <c r="I3264" s="138" t="str">
        <f>MID(H3264,1,(LEN(H3264)-VLOOKUP(K3264,datos!$B$2:$C$12,2,0)))</f>
        <v>TCCN-PTE-PRS-SAC-SO2-SMO-PLE</v>
      </c>
      <c r="J3264" s="138" t="s">
        <v>5411</v>
      </c>
      <c r="K3264" s="140">
        <f>VLOOKUP(LEN(SUBSTITUTE(H3264,"-","")),datos!$A$1:$B$12,2,0)</f>
        <v>7</v>
      </c>
      <c r="L3264" s="138"/>
      <c r="M3264" s="138" t="s">
        <v>0</v>
      </c>
    </row>
    <row r="3265" spans="1:13" customFormat="1" ht="14.5" x14ac:dyDescent="0.35">
      <c r="A3265" s="129" t="s">
        <v>487</v>
      </c>
      <c r="B3265" s="129" t="s">
        <v>3809</v>
      </c>
      <c r="C3265" s="129" t="s">
        <v>4130</v>
      </c>
      <c r="D3265" s="129" t="s">
        <v>4135</v>
      </c>
      <c r="E3265" s="129" t="s">
        <v>5178</v>
      </c>
      <c r="F3265" s="129"/>
      <c r="G3265" s="129"/>
      <c r="H3265" s="83" t="str">
        <f t="shared" si="220"/>
        <v>TCCN-PTE-PRS-SAC-SO3--</v>
      </c>
      <c r="I3265" s="129" t="str">
        <f>MID(H3265,1,(LEN(H3265)-VLOOKUP(K3265,datos!$B$2:$C$12,2,0)))</f>
        <v>TCCN-PTE-PRS-SAC-SO3</v>
      </c>
      <c r="J3265" s="129" t="s">
        <v>5385</v>
      </c>
      <c r="K3265" s="130">
        <f>VLOOKUP(LEN(SUBSTITUTE(H3265,"-","")),datos!$A$1:$B$12,2,0)</f>
        <v>5</v>
      </c>
      <c r="L3265" s="129" t="s">
        <v>5179</v>
      </c>
      <c r="M3265" s="129" t="s">
        <v>0</v>
      </c>
    </row>
    <row r="3266" spans="1:13" x14ac:dyDescent="0.35">
      <c r="A3266" s="137" t="s">
        <v>487</v>
      </c>
      <c r="B3266" s="137" t="s">
        <v>3809</v>
      </c>
      <c r="C3266" s="137" t="s">
        <v>4130</v>
      </c>
      <c r="D3266" s="137" t="s">
        <v>4135</v>
      </c>
      <c r="E3266" s="137" t="s">
        <v>5178</v>
      </c>
      <c r="F3266" s="137" t="s">
        <v>3831</v>
      </c>
      <c r="G3266" s="137"/>
      <c r="H3266" s="82" t="str">
        <f t="shared" si="220"/>
        <v>TCCN-PTE-PRS-SAC-SO3-INS-</v>
      </c>
      <c r="I3266" s="137" t="str">
        <f>MID(H3266,1,(LEN(H3266)-VLOOKUP(K3266,datos!$B$2:$C$12,2,0)))</f>
        <v>TCCN-PTE-PRS-SAC-SO3-INS</v>
      </c>
      <c r="J3266" s="137" t="s">
        <v>5388</v>
      </c>
      <c r="K3266" s="139">
        <f>VLOOKUP(LEN(SUBSTITUTE(H3266,"-","")),datos!$A$1:$B$12,2,0)</f>
        <v>6</v>
      </c>
      <c r="L3266" s="137"/>
      <c r="M3266" s="137" t="s">
        <v>0</v>
      </c>
    </row>
    <row r="3267" spans="1:13" x14ac:dyDescent="0.35">
      <c r="A3267" s="138" t="s">
        <v>487</v>
      </c>
      <c r="B3267" s="138" t="s">
        <v>3809</v>
      </c>
      <c r="C3267" s="138" t="s">
        <v>4130</v>
      </c>
      <c r="D3267" s="138" t="s">
        <v>4135</v>
      </c>
      <c r="E3267" s="138" t="s">
        <v>5178</v>
      </c>
      <c r="F3267" s="138" t="s">
        <v>3831</v>
      </c>
      <c r="G3267" s="138" t="s">
        <v>7060</v>
      </c>
      <c r="H3267" s="81" t="str">
        <f t="shared" ref="H3267:H3268" si="223">CONCATENATE(A3267,"-",B3267,"-",C3267,"-",D3267,"-",E3267,"-",F3267,"-",G3267)</f>
        <v>TCCN-PTE-PRS-SAC-SO3-INS-MTP</v>
      </c>
      <c r="I3267" s="138" t="str">
        <f>MID(H3267,1,(LEN(H3267)-VLOOKUP(K3267,datos!$B$2:$C$12,2,0)))</f>
        <v>TCCN-PTE-PRS-SAC-SO3-INS-MTP</v>
      </c>
      <c r="J3267" s="138" t="s">
        <v>7686</v>
      </c>
      <c r="K3267" s="140">
        <f>VLOOKUP(LEN(SUBSTITUTE(H3267,"-","")),datos!$A$1:$B$12,2,0)</f>
        <v>7</v>
      </c>
      <c r="L3267" s="138" t="s">
        <v>7688</v>
      </c>
      <c r="M3267" s="138" t="s">
        <v>0</v>
      </c>
    </row>
    <row r="3268" spans="1:13" x14ac:dyDescent="0.35">
      <c r="A3268" s="138" t="s">
        <v>487</v>
      </c>
      <c r="B3268" s="138" t="s">
        <v>3809</v>
      </c>
      <c r="C3268" s="138" t="s">
        <v>4130</v>
      </c>
      <c r="D3268" s="138" t="s">
        <v>4135</v>
      </c>
      <c r="E3268" s="138" t="s">
        <v>5178</v>
      </c>
      <c r="F3268" s="138" t="s">
        <v>3831</v>
      </c>
      <c r="G3268" s="138" t="s">
        <v>7667</v>
      </c>
      <c r="H3268" s="81" t="str">
        <f t="shared" si="223"/>
        <v>TCCN-PTE-PRS-SAC-SO3-INS-VBR</v>
      </c>
      <c r="I3268" s="138" t="str">
        <f>MID(H3268,1,(LEN(H3268)-VLOOKUP(K3268,datos!$B$2:$C$12,2,0)))</f>
        <v>TCCN-PTE-PRS-SAC-SO3-INS-VBR</v>
      </c>
      <c r="J3268" s="138" t="s">
        <v>7687</v>
      </c>
      <c r="K3268" s="140">
        <f>VLOOKUP(LEN(SUBSTITUTE(H3268,"-","")),datos!$A$1:$B$12,2,0)</f>
        <v>7</v>
      </c>
      <c r="L3268" s="138" t="s">
        <v>7689</v>
      </c>
      <c r="M3268" s="138" t="s">
        <v>0</v>
      </c>
    </row>
    <row r="3269" spans="1:13" x14ac:dyDescent="0.35">
      <c r="A3269" s="137" t="s">
        <v>487</v>
      </c>
      <c r="B3269" s="137" t="s">
        <v>3809</v>
      </c>
      <c r="C3269" s="137" t="s">
        <v>4130</v>
      </c>
      <c r="D3269" s="137" t="s">
        <v>4135</v>
      </c>
      <c r="E3269" s="137" t="s">
        <v>5178</v>
      </c>
      <c r="F3269" s="137" t="s">
        <v>5193</v>
      </c>
      <c r="G3269" s="137"/>
      <c r="H3269" s="82" t="str">
        <f t="shared" si="220"/>
        <v>TCCN-PTE-PRS-SAC-SO3-COM-</v>
      </c>
      <c r="I3269" s="137" t="str">
        <f>MID(H3269,1,(LEN(H3269)-VLOOKUP(K3269,datos!$B$2:$C$12,2,0)))</f>
        <v>TCCN-PTE-PRS-SAC-SO3-COM</v>
      </c>
      <c r="J3269" s="137" t="s">
        <v>5389</v>
      </c>
      <c r="K3269" s="139">
        <f>VLOOKUP(LEN(SUBSTITUTE(H3269,"-","")),datos!$A$1:$B$12,2,0)</f>
        <v>6</v>
      </c>
      <c r="L3269" s="137"/>
      <c r="M3269" s="137" t="s">
        <v>0</v>
      </c>
    </row>
    <row r="3270" spans="1:13" x14ac:dyDescent="0.35">
      <c r="A3270" s="138" t="s">
        <v>487</v>
      </c>
      <c r="B3270" s="138" t="s">
        <v>3809</v>
      </c>
      <c r="C3270" s="138" t="s">
        <v>4130</v>
      </c>
      <c r="D3270" s="138" t="s">
        <v>4135</v>
      </c>
      <c r="E3270" s="138" t="s">
        <v>5178</v>
      </c>
      <c r="F3270" s="138" t="s">
        <v>5193</v>
      </c>
      <c r="G3270" s="138" t="s">
        <v>5194</v>
      </c>
      <c r="H3270" s="81" t="str">
        <f t="shared" si="220"/>
        <v>TCCN-PTE-PRS-SAC-SO3-COM-DRO</v>
      </c>
      <c r="I3270" s="138" t="str">
        <f>MID(H3270,1,(LEN(H3270)-VLOOKUP(K3270,datos!$B$2:$C$12,2,0)))</f>
        <v>TCCN-PTE-PRS-SAC-SO3-COM-DRO</v>
      </c>
      <c r="J3270" s="138" t="s">
        <v>5392</v>
      </c>
      <c r="K3270" s="140">
        <f>VLOOKUP(LEN(SUBSTITUTE(H3270,"-","")),datos!$A$1:$B$12,2,0)</f>
        <v>7</v>
      </c>
      <c r="L3270" s="138"/>
      <c r="M3270" s="138" t="s">
        <v>0</v>
      </c>
    </row>
    <row r="3271" spans="1:13" x14ac:dyDescent="0.35">
      <c r="A3271" s="138" t="s">
        <v>487</v>
      </c>
      <c r="B3271" s="138" t="s">
        <v>3809</v>
      </c>
      <c r="C3271" s="138" t="s">
        <v>4130</v>
      </c>
      <c r="D3271" s="138" t="s">
        <v>4135</v>
      </c>
      <c r="E3271" s="138" t="s">
        <v>5178</v>
      </c>
      <c r="F3271" s="138" t="s">
        <v>5193</v>
      </c>
      <c r="G3271" s="138" t="s">
        <v>3997</v>
      </c>
      <c r="H3271" s="81" t="str">
        <f t="shared" si="220"/>
        <v>TCCN-PTE-PRS-SAC-SO3-COM-EJE</v>
      </c>
      <c r="I3271" s="138" t="str">
        <f>MID(H3271,1,(LEN(H3271)-VLOOKUP(K3271,datos!$B$2:$C$12,2,0)))</f>
        <v>TCCN-PTE-PRS-SAC-SO3-COM-EJE</v>
      </c>
      <c r="J3271" s="138" t="s">
        <v>5393</v>
      </c>
      <c r="K3271" s="140">
        <f>VLOOKUP(LEN(SUBSTITUTE(H3271,"-","")),datos!$A$1:$B$12,2,0)</f>
        <v>7</v>
      </c>
      <c r="L3271" s="138"/>
      <c r="M3271" s="138" t="s">
        <v>0</v>
      </c>
    </row>
    <row r="3272" spans="1:13" x14ac:dyDescent="0.35">
      <c r="A3272" s="138" t="s">
        <v>487</v>
      </c>
      <c r="B3272" s="138" t="s">
        <v>3809</v>
      </c>
      <c r="C3272" s="138" t="s">
        <v>4130</v>
      </c>
      <c r="D3272" s="138" t="s">
        <v>4135</v>
      </c>
      <c r="E3272" s="138" t="s">
        <v>5178</v>
      </c>
      <c r="F3272" s="138" t="s">
        <v>5193</v>
      </c>
      <c r="G3272" s="138" t="s">
        <v>5195</v>
      </c>
      <c r="H3272" s="81" t="str">
        <f t="shared" si="220"/>
        <v>TCCN-PTE-PRS-SAC-SO3-COM-IPD</v>
      </c>
      <c r="I3272" s="138" t="str">
        <f>MID(H3272,1,(LEN(H3272)-VLOOKUP(K3272,datos!$B$2:$C$12,2,0)))</f>
        <v>TCCN-PTE-PRS-SAC-SO3-COM-IPD</v>
      </c>
      <c r="J3272" s="138" t="s">
        <v>5394</v>
      </c>
      <c r="K3272" s="140">
        <f>VLOOKUP(LEN(SUBSTITUTE(H3272,"-","")),datos!$A$1:$B$12,2,0)</f>
        <v>7</v>
      </c>
      <c r="L3272" s="138"/>
      <c r="M3272" s="138" t="s">
        <v>0</v>
      </c>
    </row>
    <row r="3273" spans="1:13" x14ac:dyDescent="0.35">
      <c r="A3273" s="137" t="s">
        <v>487</v>
      </c>
      <c r="B3273" s="137" t="s">
        <v>3809</v>
      </c>
      <c r="C3273" s="137" t="s">
        <v>4130</v>
      </c>
      <c r="D3273" s="137" t="s">
        <v>4135</v>
      </c>
      <c r="E3273" s="137" t="s">
        <v>5178</v>
      </c>
      <c r="F3273" s="137" t="s">
        <v>4073</v>
      </c>
      <c r="G3273" s="137"/>
      <c r="H3273" s="82" t="str">
        <f t="shared" si="220"/>
        <v>TCCN-PTE-PRS-SAC-SO3-PYV-</v>
      </c>
      <c r="I3273" s="137" t="str">
        <f>MID(H3273,1,(LEN(H3273)-VLOOKUP(K3273,datos!$B$2:$C$12,2,0)))</f>
        <v>TCCN-PTE-PRS-SAC-SO3-PYV</v>
      </c>
      <c r="J3273" s="137" t="s">
        <v>5390</v>
      </c>
      <c r="K3273" s="139">
        <f>VLOOKUP(LEN(SUBSTITUTE(H3273,"-","")),datos!$A$1:$B$12,2,0)</f>
        <v>6</v>
      </c>
      <c r="L3273" s="137"/>
      <c r="M3273" s="137" t="s">
        <v>0</v>
      </c>
    </row>
    <row r="3274" spans="1:13" x14ac:dyDescent="0.35">
      <c r="A3274" s="138" t="s">
        <v>487</v>
      </c>
      <c r="B3274" s="138" t="s">
        <v>3809</v>
      </c>
      <c r="C3274" s="138" t="s">
        <v>4130</v>
      </c>
      <c r="D3274" s="138" t="s">
        <v>4135</v>
      </c>
      <c r="E3274" s="138" t="s">
        <v>5178</v>
      </c>
      <c r="F3274" s="138" t="s">
        <v>4073</v>
      </c>
      <c r="G3274" s="138" t="s">
        <v>3986</v>
      </c>
      <c r="H3274" s="81" t="str">
        <f t="shared" ref="H3274:H3278" si="224">CONCATENATE(A3274,"-",B3274,"-",C3274,"-",D3274,"-",E3274,"-",F3274,"-",G3274)</f>
        <v>TCCN-PTE-PRS-SAC-SO3-PYV-VV1</v>
      </c>
      <c r="I3274" s="138" t="str">
        <f>MID(H3274,1,(LEN(H3274)-VLOOKUP(K3274,datos!$B$2:$C$12,2,0)))</f>
        <v>TCCN-PTE-PRS-SAC-SO3-PYV-VV1</v>
      </c>
      <c r="J3274" s="138" t="s">
        <v>7690</v>
      </c>
      <c r="K3274" s="140">
        <f>VLOOKUP(LEN(SUBSTITUTE(H3274,"-","")),datos!$A$1:$B$12,2,0)</f>
        <v>7</v>
      </c>
      <c r="L3274" s="138" t="s">
        <v>7693</v>
      </c>
      <c r="M3274" s="138" t="s">
        <v>0</v>
      </c>
    </row>
    <row r="3275" spans="1:13" x14ac:dyDescent="0.35">
      <c r="A3275" s="138" t="s">
        <v>487</v>
      </c>
      <c r="B3275" s="138" t="s">
        <v>3809</v>
      </c>
      <c r="C3275" s="138" t="s">
        <v>4130</v>
      </c>
      <c r="D3275" s="138" t="s">
        <v>4135</v>
      </c>
      <c r="E3275" s="138" t="s">
        <v>5178</v>
      </c>
      <c r="F3275" s="138" t="s">
        <v>4073</v>
      </c>
      <c r="G3275" s="138" t="s">
        <v>3987</v>
      </c>
      <c r="H3275" s="81" t="str">
        <f t="shared" si="224"/>
        <v>TCCN-PTE-PRS-SAC-SO3-PYV-VV2</v>
      </c>
      <c r="I3275" s="138" t="str">
        <f>MID(H3275,1,(LEN(H3275)-VLOOKUP(K3275,datos!$B$2:$C$12,2,0)))</f>
        <v>TCCN-PTE-PRS-SAC-SO3-PYV-VV2</v>
      </c>
      <c r="J3275" s="138" t="s">
        <v>7691</v>
      </c>
      <c r="K3275" s="140">
        <f>VLOOKUP(LEN(SUBSTITUTE(H3275,"-","")),datos!$A$1:$B$12,2,0)</f>
        <v>7</v>
      </c>
      <c r="L3275" s="138" t="s">
        <v>7694</v>
      </c>
      <c r="M3275" s="138" t="s">
        <v>0</v>
      </c>
    </row>
    <row r="3276" spans="1:13" x14ac:dyDescent="0.35">
      <c r="A3276" s="138" t="s">
        <v>487</v>
      </c>
      <c r="B3276" s="138" t="s">
        <v>3809</v>
      </c>
      <c r="C3276" s="138" t="s">
        <v>4130</v>
      </c>
      <c r="D3276" s="138" t="s">
        <v>4135</v>
      </c>
      <c r="E3276" s="138" t="s">
        <v>5178</v>
      </c>
      <c r="F3276" s="138" t="s">
        <v>4073</v>
      </c>
      <c r="G3276" s="138" t="s">
        <v>4065</v>
      </c>
      <c r="H3276" s="81" t="str">
        <f t="shared" si="224"/>
        <v>TCCN-PTE-PRS-SAC-SO3-PYV-VV3</v>
      </c>
      <c r="I3276" s="138" t="str">
        <f>MID(H3276,1,(LEN(H3276)-VLOOKUP(K3276,datos!$B$2:$C$12,2,0)))</f>
        <v>TCCN-PTE-PRS-SAC-SO3-PYV-VV3</v>
      </c>
      <c r="J3276" s="138" t="s">
        <v>7692</v>
      </c>
      <c r="K3276" s="140">
        <f>VLOOKUP(LEN(SUBSTITUTE(H3276,"-","")),datos!$A$1:$B$12,2,0)</f>
        <v>7</v>
      </c>
      <c r="L3276" s="138" t="s">
        <v>7695</v>
      </c>
      <c r="M3276" s="138" t="s">
        <v>0</v>
      </c>
    </row>
    <row r="3277" spans="1:13" x14ac:dyDescent="0.35">
      <c r="A3277" s="138" t="s">
        <v>487</v>
      </c>
      <c r="B3277" s="138" t="s">
        <v>3809</v>
      </c>
      <c r="C3277" s="138" t="s">
        <v>4130</v>
      </c>
      <c r="D3277" s="138" t="s">
        <v>4135</v>
      </c>
      <c r="E3277" s="138" t="s">
        <v>5178</v>
      </c>
      <c r="F3277" s="138" t="s">
        <v>4073</v>
      </c>
      <c r="G3277" s="138" t="s">
        <v>5196</v>
      </c>
      <c r="H3277" s="81" t="str">
        <f t="shared" si="224"/>
        <v>TCCN-PTE-PRS-SAC-SO3-PYV-SLC</v>
      </c>
      <c r="I3277" s="138" t="str">
        <f>MID(H3277,1,(LEN(H3277)-VLOOKUP(K3277,datos!$B$2:$C$12,2,0)))</f>
        <v>TCCN-PTE-PRS-SAC-SO3-PYV-SLC</v>
      </c>
      <c r="J3277" s="138" t="s">
        <v>5395</v>
      </c>
      <c r="K3277" s="140">
        <f>VLOOKUP(LEN(SUBSTITUTE(H3277,"-","")),datos!$A$1:$B$12,2,0)</f>
        <v>7</v>
      </c>
      <c r="L3277" s="138"/>
      <c r="M3277" s="138" t="s">
        <v>0</v>
      </c>
    </row>
    <row r="3278" spans="1:13" x14ac:dyDescent="0.35">
      <c r="A3278" s="138" t="s">
        <v>487</v>
      </c>
      <c r="B3278" s="138" t="s">
        <v>3809</v>
      </c>
      <c r="C3278" s="138" t="s">
        <v>4130</v>
      </c>
      <c r="D3278" s="138" t="s">
        <v>4135</v>
      </c>
      <c r="E3278" s="138" t="s">
        <v>5178</v>
      </c>
      <c r="F3278" s="138" t="s">
        <v>4073</v>
      </c>
      <c r="G3278" s="138" t="s">
        <v>5197</v>
      </c>
      <c r="H3278" s="81" t="str">
        <f t="shared" si="224"/>
        <v>TCCN-PTE-PRS-SAC-SO3-PYV-FTR</v>
      </c>
      <c r="I3278" s="138" t="str">
        <f>MID(H3278,1,(LEN(H3278)-VLOOKUP(K3278,datos!$B$2:$C$12,2,0)))</f>
        <v>TCCN-PTE-PRS-SAC-SO3-PYV-FTR</v>
      </c>
      <c r="J3278" s="138" t="s">
        <v>5396</v>
      </c>
      <c r="K3278" s="140">
        <f>VLOOKUP(LEN(SUBSTITUTE(H3278,"-","")),datos!$A$1:$B$12,2,0)</f>
        <v>7</v>
      </c>
      <c r="L3278" s="138"/>
      <c r="M3278" s="138" t="s">
        <v>0</v>
      </c>
    </row>
    <row r="3279" spans="1:13" x14ac:dyDescent="0.35">
      <c r="A3279" s="137" t="s">
        <v>487</v>
      </c>
      <c r="B3279" s="137" t="s">
        <v>3809</v>
      </c>
      <c r="C3279" s="137" t="s">
        <v>4130</v>
      </c>
      <c r="D3279" s="137" t="s">
        <v>4135</v>
      </c>
      <c r="E3279" s="137" t="s">
        <v>5178</v>
      </c>
      <c r="F3279" s="137" t="s">
        <v>3847</v>
      </c>
      <c r="G3279" s="137"/>
      <c r="H3279" s="82" t="str">
        <f t="shared" si="220"/>
        <v>TCCN-PTE-PRS-SAC-SO3-SMO-</v>
      </c>
      <c r="I3279" s="137" t="str">
        <f>MID(H3279,1,(LEN(H3279)-VLOOKUP(K3279,datos!$B$2:$C$12,2,0)))</f>
        <v>TCCN-PTE-PRS-SAC-SO3-SMO</v>
      </c>
      <c r="J3279" s="137" t="s">
        <v>5391</v>
      </c>
      <c r="K3279" s="139">
        <f>VLOOKUP(LEN(SUBSTITUTE(H3279,"-","")),datos!$A$1:$B$12,2,0)</f>
        <v>6</v>
      </c>
      <c r="L3279" s="137"/>
      <c r="M3279" s="137" t="s">
        <v>0</v>
      </c>
    </row>
    <row r="3280" spans="1:13" x14ac:dyDescent="0.35">
      <c r="A3280" s="138" t="s">
        <v>487</v>
      </c>
      <c r="B3280" s="138" t="s">
        <v>3809</v>
      </c>
      <c r="C3280" s="138" t="s">
        <v>4130</v>
      </c>
      <c r="D3280" s="138" t="s">
        <v>4135</v>
      </c>
      <c r="E3280" s="138" t="s">
        <v>5178</v>
      </c>
      <c r="F3280" s="138" t="s">
        <v>3847</v>
      </c>
      <c r="G3280" s="138" t="s">
        <v>3819</v>
      </c>
      <c r="H3280" s="81" t="str">
        <f t="shared" si="220"/>
        <v>TCCN-PTE-PRS-SAC-SO3-SMO-MOE</v>
      </c>
      <c r="I3280" s="138" t="str">
        <f>MID(H3280,1,(LEN(H3280)-VLOOKUP(K3280,datos!$B$2:$C$12,2,0)))</f>
        <v>TCCN-PTE-PRS-SAC-SO3-SMO-MOE</v>
      </c>
      <c r="J3280" s="138" t="s">
        <v>5397</v>
      </c>
      <c r="K3280" s="140">
        <f>VLOOKUP(LEN(SUBSTITUTE(H3280,"-","")),datos!$A$1:$B$12,2,0)</f>
        <v>7</v>
      </c>
      <c r="L3280" s="138" t="s">
        <v>5180</v>
      </c>
      <c r="M3280" s="138" t="s">
        <v>0</v>
      </c>
    </row>
    <row r="3281" spans="1:13" x14ac:dyDescent="0.35">
      <c r="A3281" s="138" t="s">
        <v>487</v>
      </c>
      <c r="B3281" s="138" t="s">
        <v>3809</v>
      </c>
      <c r="C3281" s="138" t="s">
        <v>4130</v>
      </c>
      <c r="D3281" s="138" t="s">
        <v>4135</v>
      </c>
      <c r="E3281" s="138" t="s">
        <v>5178</v>
      </c>
      <c r="F3281" s="138" t="s">
        <v>3847</v>
      </c>
      <c r="G3281" s="138" t="s">
        <v>8060</v>
      </c>
      <c r="H3281" s="81" t="str">
        <f t="shared" si="220"/>
        <v>TCCN-PTE-PRS-SAC-SO3-SMO-CTN</v>
      </c>
      <c r="I3281" s="138" t="str">
        <f>MID(H3281,1,(LEN(H3281)-VLOOKUP(K3281,datos!$B$2:$C$12,2,0)))</f>
        <v>TCCN-PTE-PRS-SAC-SO3-SMO-CTN</v>
      </c>
      <c r="J3281" s="138" t="s">
        <v>5398</v>
      </c>
      <c r="K3281" s="140">
        <f>VLOOKUP(LEN(SUBSTITUTE(H3281,"-","")),datos!$A$1:$B$12,2,0)</f>
        <v>7</v>
      </c>
      <c r="L3281" s="138"/>
      <c r="M3281" s="138" t="s">
        <v>0</v>
      </c>
    </row>
    <row r="3282" spans="1:13" x14ac:dyDescent="0.35">
      <c r="A3282" s="138" t="s">
        <v>487</v>
      </c>
      <c r="B3282" s="138" t="s">
        <v>3809</v>
      </c>
      <c r="C3282" s="138" t="s">
        <v>4130</v>
      </c>
      <c r="D3282" s="138" t="s">
        <v>4135</v>
      </c>
      <c r="E3282" s="138" t="s">
        <v>5178</v>
      </c>
      <c r="F3282" s="138" t="s">
        <v>3847</v>
      </c>
      <c r="G3282" s="138" t="s">
        <v>8116</v>
      </c>
      <c r="H3282" s="81" t="str">
        <f t="shared" si="220"/>
        <v>TCCN-PTE-PRS-SAC-SO3-SMO-PLE</v>
      </c>
      <c r="I3282" s="138" t="str">
        <f>MID(H3282,1,(LEN(H3282)-VLOOKUP(K3282,datos!$B$2:$C$12,2,0)))</f>
        <v>TCCN-PTE-PRS-SAC-SO3-SMO-PLE</v>
      </c>
      <c r="J3282" s="138" t="s">
        <v>5399</v>
      </c>
      <c r="K3282" s="140">
        <f>VLOOKUP(LEN(SUBSTITUTE(H3282,"-","")),datos!$A$1:$B$12,2,0)</f>
        <v>7</v>
      </c>
      <c r="L3282" s="138"/>
      <c r="M3282" s="138" t="s">
        <v>0</v>
      </c>
    </row>
    <row r="3283" spans="1:13" customFormat="1" ht="14.5" x14ac:dyDescent="0.35">
      <c r="A3283" s="127" t="s">
        <v>487</v>
      </c>
      <c r="B3283" s="127" t="s">
        <v>3809</v>
      </c>
      <c r="C3283" s="127" t="s">
        <v>4341</v>
      </c>
      <c r="D3283" s="127"/>
      <c r="E3283" s="127"/>
      <c r="F3283" s="127"/>
      <c r="G3283" s="127"/>
      <c r="H3283" s="86" t="str">
        <f t="shared" si="220"/>
        <v>TCCN-PTE-DRR----</v>
      </c>
      <c r="I3283" s="127" t="str">
        <f>MID(H3283,1,(LEN(H3283)-VLOOKUP(K3283,datos!$B$2:$C$12,2,0)))</f>
        <v>TCCN-PTE-DRR</v>
      </c>
      <c r="J3283" s="127" t="s">
        <v>5400</v>
      </c>
      <c r="K3283" s="128">
        <f>VLOOKUP(LEN(SUBSTITUTE(H3283,"-","")),datos!$A$1:$B$12,2,0)</f>
        <v>3</v>
      </c>
      <c r="L3283" s="127"/>
      <c r="M3283" s="127" t="s">
        <v>0</v>
      </c>
    </row>
    <row r="3284" spans="1:13" customFormat="1" ht="14.5" x14ac:dyDescent="0.35">
      <c r="A3284" s="84" t="s">
        <v>487</v>
      </c>
      <c r="B3284" s="84" t="s">
        <v>3809</v>
      </c>
      <c r="C3284" s="84" t="s">
        <v>4341</v>
      </c>
      <c r="D3284" s="84" t="s">
        <v>4342</v>
      </c>
      <c r="E3284" s="84"/>
      <c r="F3284" s="84"/>
      <c r="G3284" s="84"/>
      <c r="H3284" s="84" t="str">
        <f t="shared" si="220"/>
        <v>TCCN-PTE-DRR-PEM---</v>
      </c>
      <c r="I3284" s="84" t="str">
        <f>MID(H3284,1,(LEN(H3284)-VLOOKUP(K3284,datos!$B$2:$C$12,2,0)))</f>
        <v>TCCN-PTE-DRR-PEM</v>
      </c>
      <c r="J3284" s="84" t="s">
        <v>4343</v>
      </c>
      <c r="K3284" s="119">
        <f>VLOOKUP(LEN(SUBSTITUTE(H3284,"-","")),datos!$A$1:$B$12,2,0)</f>
        <v>4</v>
      </c>
      <c r="L3284" s="84"/>
      <c r="M3284" s="84" t="s">
        <v>0</v>
      </c>
    </row>
    <row r="3285" spans="1:13" customFormat="1" ht="14.5" x14ac:dyDescent="0.35">
      <c r="A3285" s="129" t="s">
        <v>487</v>
      </c>
      <c r="B3285" s="129" t="s">
        <v>3809</v>
      </c>
      <c r="C3285" s="129" t="s">
        <v>4341</v>
      </c>
      <c r="D3285" s="129" t="s">
        <v>4342</v>
      </c>
      <c r="E3285" s="129" t="s">
        <v>4013</v>
      </c>
      <c r="F3285" s="129"/>
      <c r="G3285" s="129"/>
      <c r="H3285" s="83" t="str">
        <f t="shared" si="220"/>
        <v>TCCN-PTE-DRR-PEM-PSC--</v>
      </c>
      <c r="I3285" s="129" t="str">
        <f>MID(H3285,1,(LEN(H3285)-VLOOKUP(K3285,datos!$B$2:$C$12,2,0)))</f>
        <v>TCCN-PTE-DRR-PEM-PSC</v>
      </c>
      <c r="J3285" s="129" t="s">
        <v>360</v>
      </c>
      <c r="K3285" s="130">
        <f>VLOOKUP(LEN(SUBSTITUTE(H3285,"-","")),datos!$A$1:$B$12,2,0)</f>
        <v>5</v>
      </c>
      <c r="L3285" s="129" t="s">
        <v>361</v>
      </c>
      <c r="M3285" s="129" t="s">
        <v>0</v>
      </c>
    </row>
    <row r="3286" spans="1:13" customFormat="1" ht="14.5" x14ac:dyDescent="0.35">
      <c r="A3286" s="129" t="s">
        <v>487</v>
      </c>
      <c r="B3286" s="129" t="s">
        <v>3809</v>
      </c>
      <c r="C3286" s="129" t="s">
        <v>4341</v>
      </c>
      <c r="D3286" s="129" t="s">
        <v>4342</v>
      </c>
      <c r="E3286" s="129" t="s">
        <v>5282</v>
      </c>
      <c r="F3286" s="129"/>
      <c r="G3286" s="129"/>
      <c r="H3286" s="83" t="str">
        <f t="shared" si="220"/>
        <v>TCCN-PTE-DRR-PEM-CTV--</v>
      </c>
      <c r="I3286" s="129" t="str">
        <f>MID(H3286,1,(LEN(H3286)-VLOOKUP(K3286,datos!$B$2:$C$12,2,0)))</f>
        <v>TCCN-PTE-DRR-PEM-CTV</v>
      </c>
      <c r="J3286" s="129" t="s">
        <v>4955</v>
      </c>
      <c r="K3286" s="130">
        <f>VLOOKUP(LEN(SUBSTITUTE(H3286,"-","")),datos!$A$1:$B$12,2,0)</f>
        <v>5</v>
      </c>
      <c r="L3286" s="129" t="s">
        <v>4956</v>
      </c>
      <c r="M3286" s="129" t="s">
        <v>0</v>
      </c>
    </row>
    <row r="3287" spans="1:13" customFormat="1" ht="14.5" x14ac:dyDescent="0.35">
      <c r="A3287" s="129" t="s">
        <v>487</v>
      </c>
      <c r="B3287" s="129" t="s">
        <v>3809</v>
      </c>
      <c r="C3287" s="129" t="s">
        <v>4341</v>
      </c>
      <c r="D3287" s="129" t="s">
        <v>4342</v>
      </c>
      <c r="E3287" s="129" t="s">
        <v>5290</v>
      </c>
      <c r="F3287" s="129"/>
      <c r="G3287" s="129"/>
      <c r="H3287" s="83" t="str">
        <f t="shared" si="220"/>
        <v>TCCN-PTE-DRR-PEM-GBT--</v>
      </c>
      <c r="I3287" s="129" t="str">
        <f>MID(H3287,1,(LEN(H3287)-VLOOKUP(K3287,datos!$B$2:$C$12,2,0)))</f>
        <v>TCCN-PTE-DRR-PEM-GBT</v>
      </c>
      <c r="J3287" s="129" t="s">
        <v>6708</v>
      </c>
      <c r="K3287" s="130">
        <f>VLOOKUP(LEN(SUBSTITUTE(H3287,"-","")),datos!$A$1:$B$12,2,0)</f>
        <v>5</v>
      </c>
      <c r="L3287" s="129" t="s">
        <v>4957</v>
      </c>
      <c r="M3287" s="129" t="s">
        <v>0</v>
      </c>
    </row>
    <row r="3288" spans="1:13" customFormat="1" ht="14.5" x14ac:dyDescent="0.35">
      <c r="A3288" s="129" t="s">
        <v>487</v>
      </c>
      <c r="B3288" s="129" t="s">
        <v>3809</v>
      </c>
      <c r="C3288" s="129" t="s">
        <v>4341</v>
      </c>
      <c r="D3288" s="129" t="s">
        <v>4342</v>
      </c>
      <c r="E3288" s="129" t="s">
        <v>3818</v>
      </c>
      <c r="F3288" s="129"/>
      <c r="G3288" s="129"/>
      <c r="H3288" s="83" t="str">
        <f t="shared" si="220"/>
        <v>TCCN-PTE-DRR-PEM-BBA--</v>
      </c>
      <c r="I3288" s="129" t="str">
        <f>MID(H3288,1,(LEN(H3288)-VLOOKUP(K3288,datos!$B$2:$C$12,2,0)))</f>
        <v>TCCN-PTE-DRR-PEM-BBA</v>
      </c>
      <c r="J3288" s="129" t="s">
        <v>362</v>
      </c>
      <c r="K3288" s="130">
        <f>VLOOKUP(LEN(SUBSTITUTE(H3288,"-","")),datos!$A$1:$B$12,2,0)</f>
        <v>5</v>
      </c>
      <c r="L3288" s="129" t="s">
        <v>363</v>
      </c>
      <c r="M3288" s="129" t="s">
        <v>0</v>
      </c>
    </row>
    <row r="3289" spans="1:13" x14ac:dyDescent="0.35">
      <c r="A3289" s="137" t="s">
        <v>487</v>
      </c>
      <c r="B3289" s="137" t="s">
        <v>3809</v>
      </c>
      <c r="C3289" s="137" t="s">
        <v>4341</v>
      </c>
      <c r="D3289" s="137" t="s">
        <v>4342</v>
      </c>
      <c r="E3289" s="137" t="s">
        <v>3818</v>
      </c>
      <c r="F3289" s="137" t="s">
        <v>5106</v>
      </c>
      <c r="G3289" s="137"/>
      <c r="H3289" s="82" t="str">
        <f t="shared" si="220"/>
        <v>TCCN-PTE-DRR-PEM-BBA-PHU-</v>
      </c>
      <c r="I3289" s="137" t="str">
        <f>MID(H3289,1,(LEN(H3289)-VLOOKUP(K3289,datos!$B$2:$C$12,2,0)))</f>
        <v>TCCN-PTE-DRR-PEM-BBA-PHU</v>
      </c>
      <c r="J3289" s="137" t="s">
        <v>4533</v>
      </c>
      <c r="K3289" s="139">
        <f>VLOOKUP(LEN(SUBSTITUTE(H3289,"-","")),datos!$A$1:$B$12,2,0)</f>
        <v>6</v>
      </c>
      <c r="L3289" s="137"/>
      <c r="M3289" s="137" t="s">
        <v>0</v>
      </c>
    </row>
    <row r="3290" spans="1:13" x14ac:dyDescent="0.35">
      <c r="A3290" s="137" t="s">
        <v>487</v>
      </c>
      <c r="B3290" s="137" t="s">
        <v>3809</v>
      </c>
      <c r="C3290" s="137" t="s">
        <v>4341</v>
      </c>
      <c r="D3290" s="137" t="s">
        <v>4342</v>
      </c>
      <c r="E3290" s="137" t="s">
        <v>3818</v>
      </c>
      <c r="F3290" s="137" t="s">
        <v>4073</v>
      </c>
      <c r="G3290" s="137"/>
      <c r="H3290" s="82" t="str">
        <f t="shared" si="220"/>
        <v>TCCN-PTE-DRR-PEM-BBA-PYV-</v>
      </c>
      <c r="I3290" s="137" t="str">
        <f>MID(H3290,1,(LEN(H3290)-VLOOKUP(K3290,datos!$B$2:$C$12,2,0)))</f>
        <v>TCCN-PTE-DRR-PEM-BBA-PYV</v>
      </c>
      <c r="J3290" s="137" t="s">
        <v>6735</v>
      </c>
      <c r="K3290" s="139">
        <f>VLOOKUP(LEN(SUBSTITUTE(H3290,"-","")),datos!$A$1:$B$12,2,0)</f>
        <v>6</v>
      </c>
      <c r="L3290" s="137"/>
      <c r="M3290" s="137" t="s">
        <v>0</v>
      </c>
    </row>
    <row r="3291" spans="1:13" x14ac:dyDescent="0.35">
      <c r="A3291" s="137" t="s">
        <v>487</v>
      </c>
      <c r="B3291" s="137" t="s">
        <v>3809</v>
      </c>
      <c r="C3291" s="137" t="s">
        <v>4341</v>
      </c>
      <c r="D3291" s="137" t="s">
        <v>4342</v>
      </c>
      <c r="E3291" s="137" t="s">
        <v>3818</v>
      </c>
      <c r="F3291" s="137" t="s">
        <v>3847</v>
      </c>
      <c r="G3291" s="137"/>
      <c r="H3291" s="82" t="str">
        <f t="shared" si="220"/>
        <v>TCCN-PTE-DRR-PEM-BBA-SMO-</v>
      </c>
      <c r="I3291" s="137" t="str">
        <f>MID(H3291,1,(LEN(H3291)-VLOOKUP(K3291,datos!$B$2:$C$12,2,0)))</f>
        <v>TCCN-PTE-DRR-PEM-BBA-SMO</v>
      </c>
      <c r="J3291" s="137" t="s">
        <v>4534</v>
      </c>
      <c r="K3291" s="139">
        <f>VLOOKUP(LEN(SUBSTITUTE(H3291,"-","")),datos!$A$1:$B$12,2,0)</f>
        <v>6</v>
      </c>
      <c r="L3291" s="137"/>
      <c r="M3291" s="137" t="s">
        <v>0</v>
      </c>
    </row>
    <row r="3292" spans="1:13" x14ac:dyDescent="0.35">
      <c r="A3292" s="138" t="s">
        <v>487</v>
      </c>
      <c r="B3292" s="138" t="s">
        <v>3809</v>
      </c>
      <c r="C3292" s="138" t="s">
        <v>4341</v>
      </c>
      <c r="D3292" s="138" t="s">
        <v>4342</v>
      </c>
      <c r="E3292" s="138" t="s">
        <v>3818</v>
      </c>
      <c r="F3292" s="138" t="s">
        <v>3847</v>
      </c>
      <c r="G3292" s="138" t="s">
        <v>3819</v>
      </c>
      <c r="H3292" s="81" t="str">
        <f t="shared" si="220"/>
        <v>TCCN-PTE-DRR-PEM-BBA-SMO-MOE</v>
      </c>
      <c r="I3292" s="138" t="str">
        <f>MID(H3292,1,(LEN(H3292)-VLOOKUP(K3292,datos!$B$2:$C$12,2,0)))</f>
        <v>TCCN-PTE-DRR-PEM-BBA-SMO-MOE</v>
      </c>
      <c r="J3292" s="138" t="s">
        <v>5383</v>
      </c>
      <c r="K3292" s="140">
        <f>VLOOKUP(LEN(SUBSTITUTE(H3292,"-","")),datos!$A$1:$B$12,2,0)</f>
        <v>7</v>
      </c>
      <c r="L3292" s="138" t="s">
        <v>8144</v>
      </c>
      <c r="M3292" s="138" t="s">
        <v>0</v>
      </c>
    </row>
    <row r="3293" spans="1:13" x14ac:dyDescent="0.35">
      <c r="A3293" s="137" t="s">
        <v>487</v>
      </c>
      <c r="B3293" s="137" t="s">
        <v>3809</v>
      </c>
      <c r="C3293" s="137" t="s">
        <v>4341</v>
      </c>
      <c r="D3293" s="137" t="s">
        <v>4342</v>
      </c>
      <c r="E3293" s="137" t="s">
        <v>3818</v>
      </c>
      <c r="F3293" s="137" t="s">
        <v>3831</v>
      </c>
      <c r="G3293" s="137"/>
      <c r="H3293" s="82" t="str">
        <f>CONCATENATE(A3293,"-",B3293,"-",C3293,"-",D3293,"-",E3293,"-",F3293,"-",G3293)</f>
        <v>TCCN-PTE-DRR-PEM-BBA-INS-</v>
      </c>
      <c r="I3293" s="137" t="str">
        <f>MID(H3293,1,(LEN(H3293)-VLOOKUP(K3293,datos!$B$2:$C$12,2,0)))</f>
        <v>TCCN-PTE-DRR-PEM-BBA-INS</v>
      </c>
      <c r="J3293" s="137" t="s">
        <v>5665</v>
      </c>
      <c r="K3293" s="139">
        <f>VLOOKUP(LEN(SUBSTITUTE(H3293,"-","")),datos!$A$1:$B$12,2,0)</f>
        <v>6</v>
      </c>
      <c r="L3293" s="137"/>
      <c r="M3293" s="137" t="s">
        <v>0</v>
      </c>
    </row>
    <row r="3294" spans="1:13" x14ac:dyDescent="0.35">
      <c r="A3294" s="138" t="s">
        <v>487</v>
      </c>
      <c r="B3294" s="138" t="s">
        <v>3809</v>
      </c>
      <c r="C3294" s="138" t="s">
        <v>4341</v>
      </c>
      <c r="D3294" s="138" t="s">
        <v>4342</v>
      </c>
      <c r="E3294" s="138" t="s">
        <v>3818</v>
      </c>
      <c r="F3294" s="138" t="s">
        <v>3831</v>
      </c>
      <c r="G3294" s="138" t="s">
        <v>7069</v>
      </c>
      <c r="H3294" s="81" t="str">
        <f>CONCATENATE(A3294,"-",B3294,"-",C3294,"-",D3294,"-",E3294,"-",F3294,"-",G3294)</f>
        <v>TCCN-PTE-DRR-PEM-BBA-INS-MPN</v>
      </c>
      <c r="I3294" s="138" t="str">
        <f>MID(H3294,1,(LEN(H3294)-VLOOKUP(K3294,datos!$B$2:$C$12,2,0)))</f>
        <v>TCCN-PTE-DRR-PEM-BBA-INS-MPN</v>
      </c>
      <c r="J3294" s="138" t="s">
        <v>7588</v>
      </c>
      <c r="K3294" s="140">
        <f>VLOOKUP(LEN(SUBSTITUTE(H3294,"-","")),datos!$A$1:$B$12,2,0)</f>
        <v>7</v>
      </c>
      <c r="L3294" s="138"/>
      <c r="M3294" s="138" t="s">
        <v>0</v>
      </c>
    </row>
    <row r="3295" spans="1:13" x14ac:dyDescent="0.35">
      <c r="A3295" s="137" t="s">
        <v>487</v>
      </c>
      <c r="B3295" s="137" t="s">
        <v>3809</v>
      </c>
      <c r="C3295" s="137" t="s">
        <v>4341</v>
      </c>
      <c r="D3295" s="137" t="s">
        <v>4342</v>
      </c>
      <c r="E3295" s="137" t="s">
        <v>3818</v>
      </c>
      <c r="F3295" s="137" t="s">
        <v>3869</v>
      </c>
      <c r="G3295" s="137"/>
      <c r="H3295" s="82" t="str">
        <f t="shared" ref="H3295:H3296" si="225">CONCATENATE(A3295,"-",B3295,"-",C3295,"-",D3295,"-",E3295,"-",F3295,"-",G3295)</f>
        <v>TCCN-PTE-DRR-PEM-BBA-SCE-</v>
      </c>
      <c r="I3295" s="137" t="str">
        <f>MID(H3295,1,(LEN(H3295)-VLOOKUP(K3295,datos!$B$2:$C$12,2,0)))</f>
        <v>TCCN-PTE-DRR-PEM-BBA-SCE</v>
      </c>
      <c r="J3295" s="137" t="s">
        <v>4536</v>
      </c>
      <c r="K3295" s="139">
        <f>VLOOKUP(LEN(SUBSTITUTE(H3295,"-","")),datos!$A$1:$B$12,2,0)</f>
        <v>6</v>
      </c>
      <c r="L3295" s="137"/>
      <c r="M3295" s="137" t="s">
        <v>0</v>
      </c>
    </row>
    <row r="3296" spans="1:13" x14ac:dyDescent="0.35">
      <c r="A3296" s="138" t="s">
        <v>487</v>
      </c>
      <c r="B3296" s="138" t="s">
        <v>3809</v>
      </c>
      <c r="C3296" s="138" t="s">
        <v>4341</v>
      </c>
      <c r="D3296" s="138" t="s">
        <v>4342</v>
      </c>
      <c r="E3296" s="138" t="s">
        <v>3818</v>
      </c>
      <c r="F3296" s="138" t="s">
        <v>3869</v>
      </c>
      <c r="G3296" s="138" t="s">
        <v>3870</v>
      </c>
      <c r="H3296" s="81" t="str">
        <f t="shared" si="225"/>
        <v>TCCN-PTE-DRR-PEM-BBA-SCE-BTN</v>
      </c>
      <c r="I3296" s="138" t="str">
        <f>MID(H3296,1,(LEN(H3296)-VLOOKUP(K3296,datos!$B$2:$C$12,2,0)))</f>
        <v>TCCN-PTE-DRR-PEM-BBA-SCE-BTN</v>
      </c>
      <c r="J3296" s="138" t="s">
        <v>4535</v>
      </c>
      <c r="K3296" s="140">
        <f>VLOOKUP(LEN(SUBSTITUTE(H3296,"-","")),datos!$A$1:$B$12,2,0)</f>
        <v>7</v>
      </c>
      <c r="L3296" s="138"/>
      <c r="M3296" s="138" t="s">
        <v>0</v>
      </c>
    </row>
    <row r="3297" spans="1:13" customFormat="1" ht="14.5" x14ac:dyDescent="0.35">
      <c r="A3297" s="129" t="s">
        <v>487</v>
      </c>
      <c r="B3297" s="129" t="s">
        <v>3809</v>
      </c>
      <c r="C3297" s="129" t="s">
        <v>4341</v>
      </c>
      <c r="D3297" s="129" t="s">
        <v>4342</v>
      </c>
      <c r="E3297" s="129" t="s">
        <v>4091</v>
      </c>
      <c r="F3297" s="129"/>
      <c r="G3297" s="129"/>
      <c r="H3297" s="83" t="str">
        <f t="shared" si="220"/>
        <v>TCCN-PTE-DRR-PEM-GPC--</v>
      </c>
      <c r="I3297" s="129" t="str">
        <f>MID(H3297,1,(LEN(H3297)-VLOOKUP(K3297,datos!$B$2:$C$12,2,0)))</f>
        <v>TCCN-PTE-DRR-PEM-GPC</v>
      </c>
      <c r="J3297" s="129" t="s">
        <v>613</v>
      </c>
      <c r="K3297" s="130">
        <f>VLOOKUP(LEN(SUBSTITUTE(H3297,"-","")),datos!$A$1:$B$12,2,0)</f>
        <v>5</v>
      </c>
      <c r="L3297" s="129" t="s">
        <v>365</v>
      </c>
      <c r="M3297" s="129" t="s">
        <v>0</v>
      </c>
    </row>
  </sheetData>
  <autoFilter ref="A3:M3297" xr:uid="{D5578127-3551-4E64-8DEE-D05F16FDC87F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3E7D-E4AE-4161-BFC6-64B3320D695C}">
  <sheetPr>
    <tabColor rgb="FFFFFF00"/>
  </sheetPr>
  <dimension ref="A1:S1401"/>
  <sheetViews>
    <sheetView topLeftCell="A19" zoomScale="40" zoomScaleNormal="40" workbookViewId="0">
      <selection activeCell="C13" sqref="C13"/>
    </sheetView>
  </sheetViews>
  <sheetFormatPr baseColWidth="10" defaultColWidth="11.453125" defaultRowHeight="16.5" customHeight="1" x14ac:dyDescent="0.3"/>
  <cols>
    <col min="1" max="1" width="19.453125" style="12" bestFit="1" customWidth="1"/>
    <col min="2" max="2" width="40.81640625" style="12" bestFit="1" customWidth="1"/>
    <col min="3" max="3" width="17" style="12" bestFit="1" customWidth="1"/>
    <col min="4" max="4" width="39.453125" style="12" bestFit="1" customWidth="1"/>
    <col min="5" max="5" width="19.453125" style="12" bestFit="1" customWidth="1"/>
    <col min="6" max="6" width="41.1796875" style="12" bestFit="1" customWidth="1"/>
    <col min="7" max="7" width="26.453125" style="12" customWidth="1"/>
    <col min="8" max="8" width="52" style="12" customWidth="1"/>
    <col min="9" max="9" width="28.7265625" style="12" bestFit="1" customWidth="1"/>
    <col min="10" max="10" width="49.54296875" style="12" customWidth="1"/>
    <col min="11" max="11" width="28.7265625" style="12" bestFit="1" customWidth="1"/>
    <col min="12" max="12" width="33.7265625" style="12" bestFit="1" customWidth="1"/>
    <col min="13" max="13" width="40.7265625" style="12" bestFit="1" customWidth="1"/>
    <col min="14" max="14" width="39.453125" style="12" bestFit="1" customWidth="1"/>
    <col min="15" max="15" width="53.1796875" style="12" customWidth="1"/>
    <col min="16" max="16384" width="11.453125" style="12"/>
  </cols>
  <sheetData>
    <row r="1" spans="1:19" s="4" customFormat="1" ht="22.5" customHeight="1" x14ac:dyDescent="0.35">
      <c r="A1" s="149" t="s">
        <v>3762</v>
      </c>
      <c r="B1" s="150"/>
      <c r="C1" s="151" t="s">
        <v>3761</v>
      </c>
      <c r="D1" s="152"/>
      <c r="E1" s="153" t="s">
        <v>3760</v>
      </c>
      <c r="F1" s="154"/>
      <c r="G1" s="155" t="s">
        <v>3759</v>
      </c>
      <c r="H1" s="156"/>
      <c r="I1" s="157" t="s">
        <v>3757</v>
      </c>
      <c r="J1" s="158"/>
      <c r="K1" s="159"/>
      <c r="L1" s="160" t="s">
        <v>3758</v>
      </c>
      <c r="M1" s="161"/>
      <c r="N1" s="145" t="s">
        <v>3753</v>
      </c>
      <c r="O1" s="146"/>
      <c r="P1" s="147" t="s">
        <v>3756</v>
      </c>
      <c r="Q1" s="1"/>
      <c r="R1" s="2"/>
      <c r="S1" s="3"/>
    </row>
    <row r="2" spans="1:19" s="4" customFormat="1" ht="22.5" customHeight="1" thickBot="1" x14ac:dyDescent="0.4">
      <c r="A2" s="5" t="s">
        <v>3740</v>
      </c>
      <c r="B2" s="6" t="s">
        <v>3741</v>
      </c>
      <c r="C2" s="23" t="s">
        <v>3742</v>
      </c>
      <c r="D2" s="21" t="s">
        <v>3743</v>
      </c>
      <c r="E2" s="7" t="s">
        <v>3744</v>
      </c>
      <c r="F2" s="8" t="s">
        <v>3745</v>
      </c>
      <c r="G2" s="22" t="s">
        <v>3746</v>
      </c>
      <c r="H2" s="19" t="s">
        <v>3747</v>
      </c>
      <c r="I2" s="15" t="s">
        <v>3748</v>
      </c>
      <c r="J2" s="16" t="s">
        <v>3749</v>
      </c>
      <c r="K2" s="17" t="s">
        <v>3750</v>
      </c>
      <c r="L2" s="20" t="s">
        <v>3751</v>
      </c>
      <c r="M2" s="18" t="s">
        <v>3752</v>
      </c>
      <c r="N2" s="13" t="s">
        <v>3754</v>
      </c>
      <c r="O2" s="14" t="s">
        <v>3755</v>
      </c>
      <c r="P2" s="148"/>
      <c r="Q2" s="9"/>
      <c r="R2" s="10"/>
      <c r="S2" s="11"/>
    </row>
    <row r="3" spans="1:19" ht="16.5" customHeight="1" x14ac:dyDescent="0.3">
      <c r="A3" s="62" t="s">
        <v>487</v>
      </c>
      <c r="B3" s="63" t="s">
        <v>488</v>
      </c>
      <c r="C3" s="64" t="s">
        <v>1808</v>
      </c>
      <c r="D3" s="65" t="s">
        <v>152</v>
      </c>
      <c r="E3" s="66" t="s">
        <v>1809</v>
      </c>
      <c r="F3" s="67" t="s">
        <v>559</v>
      </c>
      <c r="G3" s="68" t="s">
        <v>1810</v>
      </c>
      <c r="H3" s="69" t="s">
        <v>1791</v>
      </c>
      <c r="I3" s="70" t="s">
        <v>1811</v>
      </c>
      <c r="J3" s="71" t="s">
        <v>601</v>
      </c>
      <c r="K3" s="72"/>
      <c r="L3" s="73"/>
      <c r="M3" s="74"/>
      <c r="N3" s="75"/>
      <c r="O3" s="76"/>
      <c r="P3" s="77"/>
      <c r="Q3" s="78"/>
      <c r="R3" s="79"/>
      <c r="S3" s="80"/>
    </row>
    <row r="4" spans="1:19" ht="16.5" customHeight="1" x14ac:dyDescent="0.3">
      <c r="A4" s="27" t="s">
        <v>487</v>
      </c>
      <c r="B4" s="28" t="s">
        <v>488</v>
      </c>
      <c r="C4" s="26" t="s">
        <v>1808</v>
      </c>
      <c r="D4" s="31" t="s">
        <v>152</v>
      </c>
      <c r="E4" s="33" t="s">
        <v>1809</v>
      </c>
      <c r="F4" s="34" t="s">
        <v>559</v>
      </c>
      <c r="G4" s="32" t="s">
        <v>1810</v>
      </c>
      <c r="H4" s="37" t="s">
        <v>1791</v>
      </c>
      <c r="I4" s="39" t="s">
        <v>1812</v>
      </c>
      <c r="J4" s="24" t="s">
        <v>545</v>
      </c>
      <c r="K4" s="40"/>
      <c r="L4" s="38" t="s">
        <v>1813</v>
      </c>
      <c r="M4" s="44" t="s">
        <v>9</v>
      </c>
      <c r="N4" s="46" t="s">
        <v>1814</v>
      </c>
      <c r="O4" s="47" t="s">
        <v>631</v>
      </c>
      <c r="P4" s="50"/>
      <c r="Q4" s="45"/>
      <c r="R4" s="25"/>
      <c r="S4" s="52"/>
    </row>
    <row r="5" spans="1:19" ht="16.5" customHeight="1" x14ac:dyDescent="0.3">
      <c r="A5" s="27" t="s">
        <v>487</v>
      </c>
      <c r="B5" s="28" t="s">
        <v>488</v>
      </c>
      <c r="C5" s="26" t="s">
        <v>1808</v>
      </c>
      <c r="D5" s="31" t="s">
        <v>152</v>
      </c>
      <c r="E5" s="33" t="s">
        <v>1809</v>
      </c>
      <c r="F5" s="34" t="s">
        <v>559</v>
      </c>
      <c r="G5" s="32" t="s">
        <v>1810</v>
      </c>
      <c r="H5" s="37" t="s">
        <v>1791</v>
      </c>
      <c r="I5" s="39" t="s">
        <v>1812</v>
      </c>
      <c r="J5" s="24" t="s">
        <v>545</v>
      </c>
      <c r="K5" s="40"/>
      <c r="L5" s="38" t="s">
        <v>1813</v>
      </c>
      <c r="M5" s="44" t="s">
        <v>9</v>
      </c>
      <c r="N5" s="46" t="s">
        <v>1815</v>
      </c>
      <c r="O5" s="47" t="s">
        <v>714</v>
      </c>
      <c r="P5" s="50"/>
      <c r="Q5" s="45"/>
      <c r="R5" s="25"/>
      <c r="S5" s="52"/>
    </row>
    <row r="6" spans="1:19" ht="16.5" customHeight="1" x14ac:dyDescent="0.3">
      <c r="A6" s="27" t="s">
        <v>487</v>
      </c>
      <c r="B6" s="28" t="s">
        <v>488</v>
      </c>
      <c r="C6" s="26" t="s">
        <v>1808</v>
      </c>
      <c r="D6" s="31" t="s">
        <v>152</v>
      </c>
      <c r="E6" s="33" t="s">
        <v>1809</v>
      </c>
      <c r="F6" s="34" t="s">
        <v>559</v>
      </c>
      <c r="G6" s="32" t="s">
        <v>1810</v>
      </c>
      <c r="H6" s="37" t="s">
        <v>1791</v>
      </c>
      <c r="I6" s="39" t="s">
        <v>1812</v>
      </c>
      <c r="J6" s="24" t="s">
        <v>545</v>
      </c>
      <c r="K6" s="40"/>
      <c r="L6" s="38" t="s">
        <v>1813</v>
      </c>
      <c r="M6" s="44" t="s">
        <v>9</v>
      </c>
      <c r="N6" s="46" t="s">
        <v>1816</v>
      </c>
      <c r="O6" s="47" t="s">
        <v>632</v>
      </c>
      <c r="P6" s="50"/>
      <c r="Q6" s="45"/>
      <c r="R6" s="25"/>
      <c r="S6" s="52"/>
    </row>
    <row r="7" spans="1:19" ht="16.5" customHeight="1" x14ac:dyDescent="0.3">
      <c r="A7" s="27" t="s">
        <v>487</v>
      </c>
      <c r="B7" s="28" t="s">
        <v>488</v>
      </c>
      <c r="C7" s="26" t="s">
        <v>1808</v>
      </c>
      <c r="D7" s="31" t="s">
        <v>152</v>
      </c>
      <c r="E7" s="33" t="s">
        <v>1809</v>
      </c>
      <c r="F7" s="34" t="s">
        <v>559</v>
      </c>
      <c r="G7" s="32" t="s">
        <v>1810</v>
      </c>
      <c r="H7" s="37" t="s">
        <v>1791</v>
      </c>
      <c r="I7" s="39" t="s">
        <v>1812</v>
      </c>
      <c r="J7" s="24" t="s">
        <v>545</v>
      </c>
      <c r="K7" s="40"/>
      <c r="L7" s="38" t="s">
        <v>1813</v>
      </c>
      <c r="M7" s="44" t="s">
        <v>9</v>
      </c>
      <c r="N7" s="46" t="s">
        <v>1817</v>
      </c>
      <c r="O7" s="47" t="s">
        <v>708</v>
      </c>
      <c r="P7" s="50"/>
      <c r="Q7" s="45"/>
      <c r="R7" s="25"/>
      <c r="S7" s="52"/>
    </row>
    <row r="8" spans="1:19" ht="16.5" customHeight="1" x14ac:dyDescent="0.3">
      <c r="A8" s="27" t="s">
        <v>487</v>
      </c>
      <c r="B8" s="28" t="s">
        <v>488</v>
      </c>
      <c r="C8" s="26" t="s">
        <v>1808</v>
      </c>
      <c r="D8" s="31" t="s">
        <v>152</v>
      </c>
      <c r="E8" s="33" t="s">
        <v>1809</v>
      </c>
      <c r="F8" s="34" t="s">
        <v>559</v>
      </c>
      <c r="G8" s="32" t="s">
        <v>1810</v>
      </c>
      <c r="H8" s="37" t="s">
        <v>1791</v>
      </c>
      <c r="I8" s="39" t="s">
        <v>1812</v>
      </c>
      <c r="J8" s="24" t="s">
        <v>545</v>
      </c>
      <c r="K8" s="40"/>
      <c r="L8" s="38" t="s">
        <v>1813</v>
      </c>
      <c r="M8" s="44" t="s">
        <v>9</v>
      </c>
      <c r="N8" s="46" t="s">
        <v>1818</v>
      </c>
      <c r="O8" s="47" t="s">
        <v>1518</v>
      </c>
      <c r="P8" s="50"/>
      <c r="Q8" s="45"/>
      <c r="R8" s="25"/>
      <c r="S8" s="52"/>
    </row>
    <row r="9" spans="1:19" ht="16.5" customHeight="1" x14ac:dyDescent="0.3">
      <c r="A9" s="27" t="s">
        <v>487</v>
      </c>
      <c r="B9" s="28" t="s">
        <v>488</v>
      </c>
      <c r="C9" s="26" t="s">
        <v>1808</v>
      </c>
      <c r="D9" s="31" t="s">
        <v>152</v>
      </c>
      <c r="E9" s="33" t="s">
        <v>1809</v>
      </c>
      <c r="F9" s="34" t="s">
        <v>559</v>
      </c>
      <c r="G9" s="32" t="s">
        <v>1810</v>
      </c>
      <c r="H9" s="37" t="s">
        <v>1791</v>
      </c>
      <c r="I9" s="39" t="s">
        <v>1812</v>
      </c>
      <c r="J9" s="24" t="s">
        <v>545</v>
      </c>
      <c r="K9" s="40"/>
      <c r="L9" s="38" t="s">
        <v>1819</v>
      </c>
      <c r="M9" s="44" t="s">
        <v>8</v>
      </c>
      <c r="N9" s="46" t="s">
        <v>1820</v>
      </c>
      <c r="O9" s="47" t="s">
        <v>1462</v>
      </c>
      <c r="P9" s="50"/>
      <c r="Q9" s="45"/>
      <c r="R9" s="25"/>
      <c r="S9" s="52"/>
    </row>
    <row r="10" spans="1:19" ht="16.5" customHeight="1" x14ac:dyDescent="0.3">
      <c r="A10" s="27" t="s">
        <v>487</v>
      </c>
      <c r="B10" s="28" t="s">
        <v>488</v>
      </c>
      <c r="C10" s="26" t="s">
        <v>1808</v>
      </c>
      <c r="D10" s="31" t="s">
        <v>152</v>
      </c>
      <c r="E10" s="33" t="s">
        <v>1809</v>
      </c>
      <c r="F10" s="34" t="s">
        <v>559</v>
      </c>
      <c r="G10" s="32" t="s">
        <v>1810</v>
      </c>
      <c r="H10" s="37" t="s">
        <v>1791</v>
      </c>
      <c r="I10" s="39" t="s">
        <v>1812</v>
      </c>
      <c r="J10" s="24" t="s">
        <v>545</v>
      </c>
      <c r="K10" s="40"/>
      <c r="L10" s="38" t="s">
        <v>1819</v>
      </c>
      <c r="M10" s="44" t="s">
        <v>8</v>
      </c>
      <c r="N10" s="46" t="s">
        <v>1821</v>
      </c>
      <c r="O10" s="47" t="s">
        <v>1567</v>
      </c>
      <c r="P10" s="50"/>
      <c r="Q10" s="45"/>
      <c r="R10" s="25"/>
      <c r="S10" s="52"/>
    </row>
    <row r="11" spans="1:19" ht="16.5" customHeight="1" x14ac:dyDescent="0.3">
      <c r="A11" s="27" t="s">
        <v>487</v>
      </c>
      <c r="B11" s="28" t="s">
        <v>488</v>
      </c>
      <c r="C11" s="26" t="s">
        <v>1808</v>
      </c>
      <c r="D11" s="31" t="s">
        <v>152</v>
      </c>
      <c r="E11" s="33" t="s">
        <v>1809</v>
      </c>
      <c r="F11" s="34" t="s">
        <v>559</v>
      </c>
      <c r="G11" s="32" t="s">
        <v>1810</v>
      </c>
      <c r="H11" s="37" t="s">
        <v>1791</v>
      </c>
      <c r="I11" s="39" t="s">
        <v>1812</v>
      </c>
      <c r="J11" s="24" t="s">
        <v>545</v>
      </c>
      <c r="K11" s="40"/>
      <c r="L11" s="38" t="s">
        <v>1822</v>
      </c>
      <c r="M11" s="44" t="s">
        <v>26</v>
      </c>
      <c r="N11" s="46" t="s">
        <v>1823</v>
      </c>
      <c r="O11" s="47" t="s">
        <v>3</v>
      </c>
      <c r="P11" s="50"/>
      <c r="Q11" s="45"/>
      <c r="R11" s="25"/>
      <c r="S11" s="52"/>
    </row>
    <row r="12" spans="1:19" ht="16.5" customHeight="1" x14ac:dyDescent="0.3">
      <c r="A12" s="27" t="s">
        <v>487</v>
      </c>
      <c r="B12" s="28" t="s">
        <v>488</v>
      </c>
      <c r="C12" s="26" t="s">
        <v>1808</v>
      </c>
      <c r="D12" s="31" t="s">
        <v>152</v>
      </c>
      <c r="E12" s="33" t="s">
        <v>1809</v>
      </c>
      <c r="F12" s="34" t="s">
        <v>559</v>
      </c>
      <c r="G12" s="32" t="s">
        <v>1810</v>
      </c>
      <c r="H12" s="37" t="s">
        <v>1791</v>
      </c>
      <c r="I12" s="39" t="s">
        <v>1824</v>
      </c>
      <c r="J12" s="24" t="s">
        <v>5</v>
      </c>
      <c r="K12" s="40"/>
      <c r="L12" s="38" t="s">
        <v>1825</v>
      </c>
      <c r="M12" s="44" t="s">
        <v>8</v>
      </c>
      <c r="N12" s="46" t="s">
        <v>1826</v>
      </c>
      <c r="O12" s="47" t="s">
        <v>635</v>
      </c>
      <c r="P12" s="50"/>
      <c r="Q12" s="45"/>
      <c r="R12" s="25"/>
      <c r="S12" s="52"/>
    </row>
    <row r="13" spans="1:19" ht="16.5" customHeight="1" x14ac:dyDescent="0.3">
      <c r="A13" s="27" t="s">
        <v>487</v>
      </c>
      <c r="B13" s="28" t="s">
        <v>488</v>
      </c>
      <c r="C13" s="26" t="s">
        <v>1808</v>
      </c>
      <c r="D13" s="31" t="s">
        <v>152</v>
      </c>
      <c r="E13" s="33" t="s">
        <v>1809</v>
      </c>
      <c r="F13" s="34" t="s">
        <v>559</v>
      </c>
      <c r="G13" s="32" t="s">
        <v>1810</v>
      </c>
      <c r="H13" s="37" t="s">
        <v>1791</v>
      </c>
      <c r="I13" s="39" t="s">
        <v>1824</v>
      </c>
      <c r="J13" s="24" t="s">
        <v>5</v>
      </c>
      <c r="K13" s="40"/>
      <c r="L13" s="38" t="s">
        <v>1825</v>
      </c>
      <c r="M13" s="44" t="s">
        <v>8</v>
      </c>
      <c r="N13" s="46" t="s">
        <v>1827</v>
      </c>
      <c r="O13" s="47" t="s">
        <v>1503</v>
      </c>
      <c r="P13" s="50"/>
      <c r="Q13" s="45"/>
      <c r="R13" s="25"/>
      <c r="S13" s="52"/>
    </row>
    <row r="14" spans="1:19" ht="16.5" customHeight="1" x14ac:dyDescent="0.3">
      <c r="A14" s="27" t="s">
        <v>487</v>
      </c>
      <c r="B14" s="28" t="s">
        <v>488</v>
      </c>
      <c r="C14" s="26" t="s">
        <v>1808</v>
      </c>
      <c r="D14" s="31" t="s">
        <v>152</v>
      </c>
      <c r="E14" s="33" t="s">
        <v>1809</v>
      </c>
      <c r="F14" s="34" t="s">
        <v>559</v>
      </c>
      <c r="G14" s="32" t="s">
        <v>1810</v>
      </c>
      <c r="H14" s="37" t="s">
        <v>1791</v>
      </c>
      <c r="I14" s="39" t="s">
        <v>1824</v>
      </c>
      <c r="J14" s="24" t="s">
        <v>5</v>
      </c>
      <c r="K14" s="40"/>
      <c r="L14" s="38" t="s">
        <v>1825</v>
      </c>
      <c r="M14" s="44" t="s">
        <v>8</v>
      </c>
      <c r="N14" s="46" t="s">
        <v>1828</v>
      </c>
      <c r="O14" s="47" t="s">
        <v>649</v>
      </c>
      <c r="P14" s="50"/>
      <c r="Q14" s="45"/>
      <c r="R14" s="25"/>
      <c r="S14" s="52"/>
    </row>
    <row r="15" spans="1:19" ht="16.5" customHeight="1" x14ac:dyDescent="0.3">
      <c r="A15" s="27" t="s">
        <v>487</v>
      </c>
      <c r="B15" s="28" t="s">
        <v>488</v>
      </c>
      <c r="C15" s="26" t="s">
        <v>1808</v>
      </c>
      <c r="D15" s="31" t="s">
        <v>152</v>
      </c>
      <c r="E15" s="33" t="s">
        <v>1809</v>
      </c>
      <c r="F15" s="34" t="s">
        <v>559</v>
      </c>
      <c r="G15" s="32" t="s">
        <v>1810</v>
      </c>
      <c r="H15" s="37" t="s">
        <v>1791</v>
      </c>
      <c r="I15" s="39" t="s">
        <v>1824</v>
      </c>
      <c r="J15" s="24" t="s">
        <v>5</v>
      </c>
      <c r="K15" s="40"/>
      <c r="L15" s="38" t="s">
        <v>1825</v>
      </c>
      <c r="M15" s="44" t="s">
        <v>8</v>
      </c>
      <c r="N15" s="46" t="s">
        <v>1829</v>
      </c>
      <c r="O15" s="47" t="s">
        <v>1589</v>
      </c>
      <c r="P15" s="50"/>
      <c r="Q15" s="45"/>
      <c r="R15" s="25"/>
      <c r="S15" s="52"/>
    </row>
    <row r="16" spans="1:19" ht="16.5" customHeight="1" x14ac:dyDescent="0.3">
      <c r="A16" s="27" t="s">
        <v>487</v>
      </c>
      <c r="B16" s="28" t="s">
        <v>488</v>
      </c>
      <c r="C16" s="26" t="s">
        <v>1808</v>
      </c>
      <c r="D16" s="31" t="s">
        <v>152</v>
      </c>
      <c r="E16" s="33" t="s">
        <v>1809</v>
      </c>
      <c r="F16" s="34" t="s">
        <v>559</v>
      </c>
      <c r="G16" s="32" t="s">
        <v>1810</v>
      </c>
      <c r="H16" s="37" t="s">
        <v>1791</v>
      </c>
      <c r="I16" s="39" t="s">
        <v>1824</v>
      </c>
      <c r="J16" s="24" t="s">
        <v>5</v>
      </c>
      <c r="K16" s="40"/>
      <c r="L16" s="38" t="s">
        <v>1830</v>
      </c>
      <c r="M16" s="44" t="s">
        <v>30</v>
      </c>
      <c r="N16" s="46" t="s">
        <v>1831</v>
      </c>
      <c r="O16" s="47" t="s">
        <v>1530</v>
      </c>
      <c r="P16" s="50"/>
      <c r="Q16" s="45"/>
      <c r="R16" s="25"/>
      <c r="S16" s="52"/>
    </row>
    <row r="17" spans="1:19" ht="16.5" customHeight="1" x14ac:dyDescent="0.3">
      <c r="A17" s="27" t="s">
        <v>487</v>
      </c>
      <c r="B17" s="28" t="s">
        <v>488</v>
      </c>
      <c r="C17" s="26" t="s">
        <v>1808</v>
      </c>
      <c r="D17" s="31" t="s">
        <v>152</v>
      </c>
      <c r="E17" s="33" t="s">
        <v>1809</v>
      </c>
      <c r="F17" s="34" t="s">
        <v>559</v>
      </c>
      <c r="G17" s="32" t="s">
        <v>1810</v>
      </c>
      <c r="H17" s="37" t="s">
        <v>1791</v>
      </c>
      <c r="I17" s="39" t="s">
        <v>1824</v>
      </c>
      <c r="J17" s="24" t="s">
        <v>5</v>
      </c>
      <c r="K17" s="40"/>
      <c r="L17" s="38" t="s">
        <v>1830</v>
      </c>
      <c r="M17" s="44" t="s">
        <v>30</v>
      </c>
      <c r="N17" s="46" t="s">
        <v>1832</v>
      </c>
      <c r="O17" s="47" t="s">
        <v>1530</v>
      </c>
      <c r="P17" s="50"/>
      <c r="Q17" s="45"/>
      <c r="R17" s="25"/>
      <c r="S17" s="52"/>
    </row>
    <row r="18" spans="1:19" ht="16.5" customHeight="1" x14ac:dyDescent="0.3">
      <c r="A18" s="27" t="s">
        <v>487</v>
      </c>
      <c r="B18" s="28" t="s">
        <v>488</v>
      </c>
      <c r="C18" s="26" t="s">
        <v>1808</v>
      </c>
      <c r="D18" s="31" t="s">
        <v>152</v>
      </c>
      <c r="E18" s="33" t="s">
        <v>1809</v>
      </c>
      <c r="F18" s="34" t="s">
        <v>559</v>
      </c>
      <c r="G18" s="32" t="s">
        <v>1810</v>
      </c>
      <c r="H18" s="37" t="s">
        <v>1791</v>
      </c>
      <c r="I18" s="39" t="s">
        <v>1824</v>
      </c>
      <c r="J18" s="24" t="s">
        <v>5</v>
      </c>
      <c r="K18" s="40"/>
      <c r="L18" s="38" t="s">
        <v>1830</v>
      </c>
      <c r="M18" s="44" t="s">
        <v>30</v>
      </c>
      <c r="N18" s="46" t="s">
        <v>1833</v>
      </c>
      <c r="O18" s="47" t="s">
        <v>1583</v>
      </c>
      <c r="P18" s="50"/>
      <c r="Q18" s="45"/>
      <c r="R18" s="25"/>
      <c r="S18" s="52"/>
    </row>
    <row r="19" spans="1:19" ht="16.5" customHeight="1" x14ac:dyDescent="0.3">
      <c r="A19" s="27" t="s">
        <v>487</v>
      </c>
      <c r="B19" s="28" t="s">
        <v>488</v>
      </c>
      <c r="C19" s="26" t="s">
        <v>1808</v>
      </c>
      <c r="D19" s="31" t="s">
        <v>152</v>
      </c>
      <c r="E19" s="33" t="s">
        <v>1809</v>
      </c>
      <c r="F19" s="34" t="s">
        <v>559</v>
      </c>
      <c r="G19" s="32" t="s">
        <v>1810</v>
      </c>
      <c r="H19" s="37" t="s">
        <v>1791</v>
      </c>
      <c r="I19" s="39" t="s">
        <v>1824</v>
      </c>
      <c r="J19" s="24" t="s">
        <v>5</v>
      </c>
      <c r="K19" s="40"/>
      <c r="L19" s="38" t="s">
        <v>1830</v>
      </c>
      <c r="M19" s="44" t="s">
        <v>30</v>
      </c>
      <c r="N19" s="46" t="s">
        <v>1834</v>
      </c>
      <c r="O19" s="47" t="s">
        <v>1584</v>
      </c>
      <c r="P19" s="50"/>
      <c r="Q19" s="45"/>
      <c r="R19" s="25"/>
      <c r="S19" s="52"/>
    </row>
    <row r="20" spans="1:19" ht="16.5" customHeight="1" x14ac:dyDescent="0.3">
      <c r="A20" s="27" t="s">
        <v>487</v>
      </c>
      <c r="B20" s="28" t="s">
        <v>488</v>
      </c>
      <c r="C20" s="26" t="s">
        <v>1808</v>
      </c>
      <c r="D20" s="31" t="s">
        <v>152</v>
      </c>
      <c r="E20" s="33" t="s">
        <v>1809</v>
      </c>
      <c r="F20" s="34" t="s">
        <v>559</v>
      </c>
      <c r="G20" s="32" t="s">
        <v>1810</v>
      </c>
      <c r="H20" s="37" t="s">
        <v>1791</v>
      </c>
      <c r="I20" s="39" t="s">
        <v>1824</v>
      </c>
      <c r="J20" s="24" t="s">
        <v>5</v>
      </c>
      <c r="K20" s="40"/>
      <c r="L20" s="38" t="s">
        <v>1830</v>
      </c>
      <c r="M20" s="44" t="s">
        <v>30</v>
      </c>
      <c r="N20" s="46" t="s">
        <v>1835</v>
      </c>
      <c r="O20" s="47" t="s">
        <v>1586</v>
      </c>
      <c r="P20" s="50"/>
      <c r="Q20" s="45"/>
      <c r="R20" s="25"/>
      <c r="S20" s="52"/>
    </row>
    <row r="21" spans="1:19" ht="16.5" customHeight="1" x14ac:dyDescent="0.3">
      <c r="A21" s="27" t="s">
        <v>487</v>
      </c>
      <c r="B21" s="28" t="s">
        <v>488</v>
      </c>
      <c r="C21" s="26" t="s">
        <v>1808</v>
      </c>
      <c r="D21" s="31" t="s">
        <v>152</v>
      </c>
      <c r="E21" s="33" t="s">
        <v>1809</v>
      </c>
      <c r="F21" s="34" t="s">
        <v>559</v>
      </c>
      <c r="G21" s="32" t="s">
        <v>1810</v>
      </c>
      <c r="H21" s="37" t="s">
        <v>1791</v>
      </c>
      <c r="I21" s="39" t="s">
        <v>1824</v>
      </c>
      <c r="J21" s="24" t="s">
        <v>5</v>
      </c>
      <c r="K21" s="40"/>
      <c r="L21" s="38" t="s">
        <v>1830</v>
      </c>
      <c r="M21" s="44" t="s">
        <v>30</v>
      </c>
      <c r="N21" s="46" t="s">
        <v>1836</v>
      </c>
      <c r="O21" s="47" t="s">
        <v>1585</v>
      </c>
      <c r="P21" s="50"/>
      <c r="Q21" s="45"/>
      <c r="R21" s="25"/>
      <c r="S21" s="52"/>
    </row>
    <row r="22" spans="1:19" ht="16.5" customHeight="1" x14ac:dyDescent="0.3">
      <c r="A22" s="27" t="s">
        <v>487</v>
      </c>
      <c r="B22" s="28" t="s">
        <v>488</v>
      </c>
      <c r="C22" s="26" t="s">
        <v>1808</v>
      </c>
      <c r="D22" s="31" t="s">
        <v>152</v>
      </c>
      <c r="E22" s="33" t="s">
        <v>1809</v>
      </c>
      <c r="F22" s="34" t="s">
        <v>559</v>
      </c>
      <c r="G22" s="32" t="s">
        <v>1810</v>
      </c>
      <c r="H22" s="37" t="s">
        <v>1791</v>
      </c>
      <c r="I22" s="39" t="s">
        <v>1824</v>
      </c>
      <c r="J22" s="24" t="s">
        <v>5</v>
      </c>
      <c r="K22" s="40"/>
      <c r="L22" s="38" t="s">
        <v>1830</v>
      </c>
      <c r="M22" s="44" t="s">
        <v>30</v>
      </c>
      <c r="N22" s="46" t="s">
        <v>1837</v>
      </c>
      <c r="O22" s="47" t="s">
        <v>1509</v>
      </c>
      <c r="P22" s="50"/>
      <c r="Q22" s="45"/>
      <c r="R22" s="25"/>
      <c r="S22" s="52"/>
    </row>
    <row r="23" spans="1:19" ht="16.5" customHeight="1" x14ac:dyDescent="0.3">
      <c r="A23" s="27" t="s">
        <v>487</v>
      </c>
      <c r="B23" s="28" t="s">
        <v>488</v>
      </c>
      <c r="C23" s="26" t="s">
        <v>1808</v>
      </c>
      <c r="D23" s="31" t="s">
        <v>152</v>
      </c>
      <c r="E23" s="33" t="s">
        <v>1809</v>
      </c>
      <c r="F23" s="34" t="s">
        <v>559</v>
      </c>
      <c r="G23" s="32" t="s">
        <v>1810</v>
      </c>
      <c r="H23" s="37" t="s">
        <v>1791</v>
      </c>
      <c r="I23" s="39" t="s">
        <v>1824</v>
      </c>
      <c r="J23" s="24" t="s">
        <v>5</v>
      </c>
      <c r="K23" s="40"/>
      <c r="L23" s="38" t="s">
        <v>1830</v>
      </c>
      <c r="M23" s="44" t="s">
        <v>30</v>
      </c>
      <c r="N23" s="46" t="s">
        <v>1838</v>
      </c>
      <c r="O23" s="47" t="s">
        <v>1538</v>
      </c>
      <c r="P23" s="50"/>
      <c r="Q23" s="45"/>
      <c r="R23" s="25"/>
      <c r="S23" s="52"/>
    </row>
    <row r="24" spans="1:19" ht="16.5" customHeight="1" x14ac:dyDescent="0.3">
      <c r="A24" s="27" t="s">
        <v>487</v>
      </c>
      <c r="B24" s="28" t="s">
        <v>488</v>
      </c>
      <c r="C24" s="26" t="s">
        <v>1808</v>
      </c>
      <c r="D24" s="31" t="s">
        <v>152</v>
      </c>
      <c r="E24" s="33" t="s">
        <v>1809</v>
      </c>
      <c r="F24" s="34" t="s">
        <v>559</v>
      </c>
      <c r="G24" s="32" t="s">
        <v>1810</v>
      </c>
      <c r="H24" s="37" t="s">
        <v>1791</v>
      </c>
      <c r="I24" s="39" t="s">
        <v>1824</v>
      </c>
      <c r="J24" s="24" t="s">
        <v>5</v>
      </c>
      <c r="K24" s="40"/>
      <c r="L24" s="38" t="s">
        <v>1830</v>
      </c>
      <c r="M24" s="44" t="s">
        <v>30</v>
      </c>
      <c r="N24" s="46" t="s">
        <v>1839</v>
      </c>
      <c r="O24" s="47" t="s">
        <v>1587</v>
      </c>
      <c r="P24" s="50"/>
      <c r="Q24" s="45"/>
      <c r="R24" s="25"/>
      <c r="S24" s="52"/>
    </row>
    <row r="25" spans="1:19" ht="16.5" customHeight="1" x14ac:dyDescent="0.3">
      <c r="A25" s="27" t="s">
        <v>487</v>
      </c>
      <c r="B25" s="28" t="s">
        <v>488</v>
      </c>
      <c r="C25" s="26" t="s">
        <v>1808</v>
      </c>
      <c r="D25" s="31" t="s">
        <v>152</v>
      </c>
      <c r="E25" s="33" t="s">
        <v>1809</v>
      </c>
      <c r="F25" s="34" t="s">
        <v>559</v>
      </c>
      <c r="G25" s="32" t="s">
        <v>1810</v>
      </c>
      <c r="H25" s="37" t="s">
        <v>1791</v>
      </c>
      <c r="I25" s="39" t="s">
        <v>1824</v>
      </c>
      <c r="J25" s="24" t="s">
        <v>5</v>
      </c>
      <c r="K25" s="40"/>
      <c r="L25" s="38" t="s">
        <v>1830</v>
      </c>
      <c r="M25" s="44" t="s">
        <v>30</v>
      </c>
      <c r="N25" s="46" t="s">
        <v>1840</v>
      </c>
      <c r="O25" s="47" t="s">
        <v>1588</v>
      </c>
      <c r="P25" s="50"/>
      <c r="Q25" s="45"/>
      <c r="R25" s="25"/>
      <c r="S25" s="52"/>
    </row>
    <row r="26" spans="1:19" ht="16.5" customHeight="1" x14ac:dyDescent="0.3">
      <c r="A26" s="27" t="s">
        <v>487</v>
      </c>
      <c r="B26" s="28" t="s">
        <v>488</v>
      </c>
      <c r="C26" s="26" t="s">
        <v>1808</v>
      </c>
      <c r="D26" s="31" t="s">
        <v>152</v>
      </c>
      <c r="E26" s="33" t="s">
        <v>1809</v>
      </c>
      <c r="F26" s="34" t="s">
        <v>559</v>
      </c>
      <c r="G26" s="32" t="s">
        <v>1810</v>
      </c>
      <c r="H26" s="37" t="s">
        <v>1791</v>
      </c>
      <c r="I26" s="39" t="s">
        <v>1824</v>
      </c>
      <c r="J26" s="24" t="s">
        <v>5</v>
      </c>
      <c r="K26" s="40"/>
      <c r="L26" s="38" t="s">
        <v>1841</v>
      </c>
      <c r="M26" s="44" t="s">
        <v>11</v>
      </c>
      <c r="N26" s="46" t="s">
        <v>1842</v>
      </c>
      <c r="O26" s="47" t="s">
        <v>633</v>
      </c>
      <c r="P26" s="50"/>
      <c r="Q26" s="45"/>
      <c r="R26" s="25"/>
      <c r="S26" s="52"/>
    </row>
    <row r="27" spans="1:19" ht="16.5" customHeight="1" x14ac:dyDescent="0.3">
      <c r="A27" s="27" t="s">
        <v>487</v>
      </c>
      <c r="B27" s="28" t="s">
        <v>488</v>
      </c>
      <c r="C27" s="26" t="s">
        <v>1808</v>
      </c>
      <c r="D27" s="31" t="s">
        <v>152</v>
      </c>
      <c r="E27" s="33" t="s">
        <v>1809</v>
      </c>
      <c r="F27" s="34" t="s">
        <v>559</v>
      </c>
      <c r="G27" s="32" t="s">
        <v>1810</v>
      </c>
      <c r="H27" s="37" t="s">
        <v>1791</v>
      </c>
      <c r="I27" s="39" t="s">
        <v>1824</v>
      </c>
      <c r="J27" s="24" t="s">
        <v>5</v>
      </c>
      <c r="K27" s="40"/>
      <c r="L27" s="38" t="s">
        <v>1841</v>
      </c>
      <c r="M27" s="44" t="s">
        <v>11</v>
      </c>
      <c r="N27" s="46" t="s">
        <v>1843</v>
      </c>
      <c r="O27" s="47" t="s">
        <v>1513</v>
      </c>
      <c r="P27" s="50"/>
      <c r="Q27" s="45"/>
      <c r="R27" s="25"/>
      <c r="S27" s="52"/>
    </row>
    <row r="28" spans="1:19" ht="16.5" customHeight="1" x14ac:dyDescent="0.3">
      <c r="A28" s="27" t="s">
        <v>487</v>
      </c>
      <c r="B28" s="28" t="s">
        <v>488</v>
      </c>
      <c r="C28" s="26" t="s">
        <v>1808</v>
      </c>
      <c r="D28" s="31" t="s">
        <v>152</v>
      </c>
      <c r="E28" s="33" t="s">
        <v>1809</v>
      </c>
      <c r="F28" s="34" t="s">
        <v>559</v>
      </c>
      <c r="G28" s="32" t="s">
        <v>1810</v>
      </c>
      <c r="H28" s="37" t="s">
        <v>1791</v>
      </c>
      <c r="I28" s="39" t="s">
        <v>1824</v>
      </c>
      <c r="J28" s="24" t="s">
        <v>5</v>
      </c>
      <c r="K28" s="40"/>
      <c r="L28" s="38" t="s">
        <v>1841</v>
      </c>
      <c r="M28" s="44" t="s">
        <v>11</v>
      </c>
      <c r="N28" s="46" t="s">
        <v>1844</v>
      </c>
      <c r="O28" s="47" t="s">
        <v>634</v>
      </c>
      <c r="P28" s="50"/>
      <c r="Q28" s="45"/>
      <c r="R28" s="25"/>
      <c r="S28" s="52"/>
    </row>
    <row r="29" spans="1:19" ht="16.5" customHeight="1" x14ac:dyDescent="0.3">
      <c r="A29" s="27" t="s">
        <v>487</v>
      </c>
      <c r="B29" s="28" t="s">
        <v>488</v>
      </c>
      <c r="C29" s="26" t="s">
        <v>1808</v>
      </c>
      <c r="D29" s="31" t="s">
        <v>152</v>
      </c>
      <c r="E29" s="33" t="s">
        <v>1809</v>
      </c>
      <c r="F29" s="34" t="s">
        <v>559</v>
      </c>
      <c r="G29" s="32" t="s">
        <v>1810</v>
      </c>
      <c r="H29" s="37" t="s">
        <v>1791</v>
      </c>
      <c r="I29" s="39" t="s">
        <v>1824</v>
      </c>
      <c r="J29" s="24" t="s">
        <v>5</v>
      </c>
      <c r="K29" s="40"/>
      <c r="L29" s="38" t="s">
        <v>1841</v>
      </c>
      <c r="M29" s="44" t="s">
        <v>11</v>
      </c>
      <c r="N29" s="46" t="s">
        <v>1845</v>
      </c>
      <c r="O29" s="47" t="s">
        <v>1511</v>
      </c>
      <c r="P29" s="50"/>
      <c r="Q29" s="45"/>
      <c r="R29" s="25"/>
      <c r="S29" s="52"/>
    </row>
    <row r="30" spans="1:19" ht="16.5" customHeight="1" x14ac:dyDescent="0.3">
      <c r="A30" s="27" t="s">
        <v>487</v>
      </c>
      <c r="B30" s="28" t="s">
        <v>488</v>
      </c>
      <c r="C30" s="26" t="s">
        <v>1808</v>
      </c>
      <c r="D30" s="31" t="s">
        <v>152</v>
      </c>
      <c r="E30" s="33" t="s">
        <v>1809</v>
      </c>
      <c r="F30" s="34" t="s">
        <v>559</v>
      </c>
      <c r="G30" s="32" t="s">
        <v>1810</v>
      </c>
      <c r="H30" s="37" t="s">
        <v>1791</v>
      </c>
      <c r="I30" s="39" t="s">
        <v>1824</v>
      </c>
      <c r="J30" s="24" t="s">
        <v>5</v>
      </c>
      <c r="K30" s="40"/>
      <c r="L30" s="38" t="s">
        <v>1841</v>
      </c>
      <c r="M30" s="44" t="s">
        <v>11</v>
      </c>
      <c r="N30" s="46" t="s">
        <v>1846</v>
      </c>
      <c r="O30" s="47" t="s">
        <v>1512</v>
      </c>
      <c r="P30" s="50"/>
      <c r="Q30" s="45"/>
      <c r="R30" s="25"/>
      <c r="S30" s="52"/>
    </row>
    <row r="31" spans="1:19" ht="16.5" customHeight="1" x14ac:dyDescent="0.3">
      <c r="A31" s="27" t="s">
        <v>487</v>
      </c>
      <c r="B31" s="28" t="s">
        <v>488</v>
      </c>
      <c r="C31" s="26" t="s">
        <v>1808</v>
      </c>
      <c r="D31" s="31" t="s">
        <v>152</v>
      </c>
      <c r="E31" s="33" t="s">
        <v>1809</v>
      </c>
      <c r="F31" s="34" t="s">
        <v>559</v>
      </c>
      <c r="G31" s="32" t="s">
        <v>1810</v>
      </c>
      <c r="H31" s="37" t="s">
        <v>1791</v>
      </c>
      <c r="I31" s="39" t="s">
        <v>1824</v>
      </c>
      <c r="J31" s="24" t="s">
        <v>5</v>
      </c>
      <c r="K31" s="40"/>
      <c r="L31" s="38" t="s">
        <v>1847</v>
      </c>
      <c r="M31" s="44" t="s">
        <v>1628</v>
      </c>
      <c r="N31" s="46" t="s">
        <v>1848</v>
      </c>
      <c r="O31" s="47" t="s">
        <v>715</v>
      </c>
      <c r="P31" s="50"/>
      <c r="Q31" s="45"/>
      <c r="R31" s="25"/>
      <c r="S31" s="52"/>
    </row>
    <row r="32" spans="1:19" ht="16.5" customHeight="1" x14ac:dyDescent="0.3">
      <c r="A32" s="27" t="s">
        <v>487</v>
      </c>
      <c r="B32" s="28" t="s">
        <v>488</v>
      </c>
      <c r="C32" s="26" t="s">
        <v>1808</v>
      </c>
      <c r="D32" s="31" t="s">
        <v>152</v>
      </c>
      <c r="E32" s="33" t="s">
        <v>1809</v>
      </c>
      <c r="F32" s="34" t="s">
        <v>559</v>
      </c>
      <c r="G32" s="32" t="s">
        <v>1810</v>
      </c>
      <c r="H32" s="37" t="s">
        <v>1791</v>
      </c>
      <c r="I32" s="39" t="s">
        <v>1824</v>
      </c>
      <c r="J32" s="24" t="s">
        <v>5</v>
      </c>
      <c r="K32" s="40"/>
      <c r="L32" s="38" t="s">
        <v>1847</v>
      </c>
      <c r="M32" s="44" t="s">
        <v>1628</v>
      </c>
      <c r="N32" s="46" t="s">
        <v>1849</v>
      </c>
      <c r="O32" s="47" t="s">
        <v>701</v>
      </c>
      <c r="P32" s="50"/>
      <c r="Q32" s="45"/>
      <c r="R32" s="25"/>
      <c r="S32" s="52"/>
    </row>
    <row r="33" spans="1:19" ht="16.5" customHeight="1" x14ac:dyDescent="0.3">
      <c r="A33" s="27" t="s">
        <v>487</v>
      </c>
      <c r="B33" s="28" t="s">
        <v>488</v>
      </c>
      <c r="C33" s="26" t="s">
        <v>1808</v>
      </c>
      <c r="D33" s="31" t="s">
        <v>152</v>
      </c>
      <c r="E33" s="33" t="s">
        <v>1809</v>
      </c>
      <c r="F33" s="34" t="s">
        <v>559</v>
      </c>
      <c r="G33" s="32" t="s">
        <v>1810</v>
      </c>
      <c r="H33" s="37" t="s">
        <v>1791</v>
      </c>
      <c r="I33" s="39" t="s">
        <v>1824</v>
      </c>
      <c r="J33" s="24" t="s">
        <v>5</v>
      </c>
      <c r="K33" s="40"/>
      <c r="L33" s="38" t="s">
        <v>1847</v>
      </c>
      <c r="M33" s="44" t="s">
        <v>1628</v>
      </c>
      <c r="N33" s="46" t="s">
        <v>1850</v>
      </c>
      <c r="O33" s="47" t="s">
        <v>636</v>
      </c>
      <c r="P33" s="50"/>
      <c r="Q33" s="45"/>
      <c r="R33" s="25"/>
      <c r="S33" s="52"/>
    </row>
    <row r="34" spans="1:19" ht="16.5" customHeight="1" x14ac:dyDescent="0.3">
      <c r="A34" s="27" t="s">
        <v>487</v>
      </c>
      <c r="B34" s="28" t="s">
        <v>488</v>
      </c>
      <c r="C34" s="26" t="s">
        <v>1808</v>
      </c>
      <c r="D34" s="31" t="s">
        <v>152</v>
      </c>
      <c r="E34" s="33" t="s">
        <v>1809</v>
      </c>
      <c r="F34" s="34" t="s">
        <v>559</v>
      </c>
      <c r="G34" s="32" t="s">
        <v>1810</v>
      </c>
      <c r="H34" s="37" t="s">
        <v>1791</v>
      </c>
      <c r="I34" s="39" t="s">
        <v>1824</v>
      </c>
      <c r="J34" s="24" t="s">
        <v>5</v>
      </c>
      <c r="K34" s="40"/>
      <c r="L34" s="38" t="s">
        <v>1847</v>
      </c>
      <c r="M34" s="44" t="s">
        <v>1628</v>
      </c>
      <c r="N34" s="46" t="s">
        <v>1851</v>
      </c>
      <c r="O34" s="47" t="s">
        <v>709</v>
      </c>
      <c r="P34" s="50"/>
      <c r="Q34" s="45"/>
      <c r="R34" s="25"/>
      <c r="S34" s="52"/>
    </row>
    <row r="35" spans="1:19" ht="16.5" customHeight="1" x14ac:dyDescent="0.3">
      <c r="A35" s="27" t="s">
        <v>487</v>
      </c>
      <c r="B35" s="28" t="s">
        <v>488</v>
      </c>
      <c r="C35" s="26" t="s">
        <v>1808</v>
      </c>
      <c r="D35" s="31" t="s">
        <v>152</v>
      </c>
      <c r="E35" s="33" t="s">
        <v>1809</v>
      </c>
      <c r="F35" s="34" t="s">
        <v>559</v>
      </c>
      <c r="G35" s="32" t="s">
        <v>1810</v>
      </c>
      <c r="H35" s="37" t="s">
        <v>1791</v>
      </c>
      <c r="I35" s="39" t="s">
        <v>1824</v>
      </c>
      <c r="J35" s="24" t="s">
        <v>5</v>
      </c>
      <c r="K35" s="40"/>
      <c r="L35" s="38" t="s">
        <v>1847</v>
      </c>
      <c r="M35" s="44" t="s">
        <v>1628</v>
      </c>
      <c r="N35" s="46" t="s">
        <v>1852</v>
      </c>
      <c r="O35" s="47" t="s">
        <v>1608</v>
      </c>
      <c r="P35" s="50"/>
      <c r="Q35" s="45"/>
      <c r="R35" s="25"/>
      <c r="S35" s="52"/>
    </row>
    <row r="36" spans="1:19" ht="16.5" customHeight="1" x14ac:dyDescent="0.3">
      <c r="A36" s="27" t="s">
        <v>487</v>
      </c>
      <c r="B36" s="28" t="s">
        <v>488</v>
      </c>
      <c r="C36" s="26" t="s">
        <v>1808</v>
      </c>
      <c r="D36" s="31" t="s">
        <v>152</v>
      </c>
      <c r="E36" s="33" t="s">
        <v>1809</v>
      </c>
      <c r="F36" s="34" t="s">
        <v>559</v>
      </c>
      <c r="G36" s="32" t="s">
        <v>1810</v>
      </c>
      <c r="H36" s="37" t="s">
        <v>1791</v>
      </c>
      <c r="I36" s="39" t="s">
        <v>1824</v>
      </c>
      <c r="J36" s="24" t="s">
        <v>5</v>
      </c>
      <c r="K36" s="40"/>
      <c r="L36" s="38" t="s">
        <v>1847</v>
      </c>
      <c r="M36" s="44" t="s">
        <v>1628</v>
      </c>
      <c r="N36" s="46" t="s">
        <v>1853</v>
      </c>
      <c r="O36" s="47" t="s">
        <v>1609</v>
      </c>
      <c r="P36" s="50"/>
      <c r="Q36" s="45"/>
      <c r="R36" s="25"/>
      <c r="S36" s="52"/>
    </row>
    <row r="37" spans="1:19" ht="16.5" customHeight="1" x14ac:dyDescent="0.3">
      <c r="A37" s="27" t="s">
        <v>487</v>
      </c>
      <c r="B37" s="28" t="s">
        <v>488</v>
      </c>
      <c r="C37" s="26" t="s">
        <v>1808</v>
      </c>
      <c r="D37" s="31" t="s">
        <v>152</v>
      </c>
      <c r="E37" s="33" t="s">
        <v>1809</v>
      </c>
      <c r="F37" s="34" t="s">
        <v>559</v>
      </c>
      <c r="G37" s="32" t="s">
        <v>1810</v>
      </c>
      <c r="H37" s="37" t="s">
        <v>1791</v>
      </c>
      <c r="I37" s="39" t="s">
        <v>1824</v>
      </c>
      <c r="J37" s="24" t="s">
        <v>5</v>
      </c>
      <c r="K37" s="40"/>
      <c r="L37" s="38" t="s">
        <v>1847</v>
      </c>
      <c r="M37" s="44" t="s">
        <v>1628</v>
      </c>
      <c r="N37" s="46" t="s">
        <v>1854</v>
      </c>
      <c r="O37" s="47" t="s">
        <v>1518</v>
      </c>
      <c r="P37" s="50"/>
      <c r="Q37" s="45"/>
      <c r="R37" s="25"/>
      <c r="S37" s="52"/>
    </row>
    <row r="38" spans="1:19" ht="16.5" customHeight="1" x14ac:dyDescent="0.3">
      <c r="A38" s="27" t="s">
        <v>487</v>
      </c>
      <c r="B38" s="28" t="s">
        <v>488</v>
      </c>
      <c r="C38" s="26" t="s">
        <v>1808</v>
      </c>
      <c r="D38" s="31" t="s">
        <v>152</v>
      </c>
      <c r="E38" s="33" t="s">
        <v>1809</v>
      </c>
      <c r="F38" s="34" t="s">
        <v>559</v>
      </c>
      <c r="G38" s="32" t="s">
        <v>1810</v>
      </c>
      <c r="H38" s="37" t="s">
        <v>1791</v>
      </c>
      <c r="I38" s="39" t="s">
        <v>1824</v>
      </c>
      <c r="J38" s="24" t="s">
        <v>5</v>
      </c>
      <c r="K38" s="40"/>
      <c r="L38" s="38" t="s">
        <v>1847</v>
      </c>
      <c r="M38" s="44" t="s">
        <v>1628</v>
      </c>
      <c r="N38" s="46" t="s">
        <v>1855</v>
      </c>
      <c r="O38" s="47" t="s">
        <v>1540</v>
      </c>
      <c r="P38" s="50"/>
      <c r="Q38" s="45"/>
      <c r="R38" s="25"/>
      <c r="S38" s="52"/>
    </row>
    <row r="39" spans="1:19" ht="16.5" customHeight="1" x14ac:dyDescent="0.3">
      <c r="A39" s="27" t="s">
        <v>487</v>
      </c>
      <c r="B39" s="28" t="s">
        <v>488</v>
      </c>
      <c r="C39" s="26" t="s">
        <v>1808</v>
      </c>
      <c r="D39" s="31" t="s">
        <v>152</v>
      </c>
      <c r="E39" s="33" t="s">
        <v>1809</v>
      </c>
      <c r="F39" s="34" t="s">
        <v>559</v>
      </c>
      <c r="G39" s="32" t="s">
        <v>1810</v>
      </c>
      <c r="H39" s="37" t="s">
        <v>1791</v>
      </c>
      <c r="I39" s="39" t="s">
        <v>1824</v>
      </c>
      <c r="J39" s="24" t="s">
        <v>5</v>
      </c>
      <c r="K39" s="40"/>
      <c r="L39" s="38" t="s">
        <v>1847</v>
      </c>
      <c r="M39" s="44" t="s">
        <v>1628</v>
      </c>
      <c r="N39" s="46" t="s">
        <v>1856</v>
      </c>
      <c r="O39" s="47" t="s">
        <v>1542</v>
      </c>
      <c r="P39" s="50"/>
      <c r="Q39" s="45"/>
      <c r="R39" s="25"/>
      <c r="S39" s="52"/>
    </row>
    <row r="40" spans="1:19" ht="16.5" customHeight="1" x14ac:dyDescent="0.3">
      <c r="A40" s="27" t="s">
        <v>487</v>
      </c>
      <c r="B40" s="28" t="s">
        <v>488</v>
      </c>
      <c r="C40" s="26" t="s">
        <v>1808</v>
      </c>
      <c r="D40" s="31" t="s">
        <v>152</v>
      </c>
      <c r="E40" s="33" t="s">
        <v>1809</v>
      </c>
      <c r="F40" s="34" t="s">
        <v>559</v>
      </c>
      <c r="G40" s="32" t="s">
        <v>1810</v>
      </c>
      <c r="H40" s="37" t="s">
        <v>1791</v>
      </c>
      <c r="I40" s="39" t="s">
        <v>1824</v>
      </c>
      <c r="J40" s="24" t="s">
        <v>5</v>
      </c>
      <c r="K40" s="40"/>
      <c r="L40" s="38" t="s">
        <v>1857</v>
      </c>
      <c r="M40" s="44" t="s">
        <v>26</v>
      </c>
      <c r="N40" s="46" t="s">
        <v>1858</v>
      </c>
      <c r="O40" s="47" t="s">
        <v>7</v>
      </c>
      <c r="P40" s="50"/>
      <c r="Q40" s="45"/>
      <c r="R40" s="25"/>
      <c r="S40" s="52"/>
    </row>
    <row r="41" spans="1:19" ht="16.5" customHeight="1" x14ac:dyDescent="0.3">
      <c r="A41" s="27" t="s">
        <v>487</v>
      </c>
      <c r="B41" s="28" t="s">
        <v>488</v>
      </c>
      <c r="C41" s="26" t="s">
        <v>1808</v>
      </c>
      <c r="D41" s="31" t="s">
        <v>152</v>
      </c>
      <c r="E41" s="33" t="s">
        <v>1809</v>
      </c>
      <c r="F41" s="34" t="s">
        <v>559</v>
      </c>
      <c r="G41" s="32" t="s">
        <v>1810</v>
      </c>
      <c r="H41" s="37" t="s">
        <v>1791</v>
      </c>
      <c r="I41" s="39" t="s">
        <v>1824</v>
      </c>
      <c r="J41" s="24" t="s">
        <v>5</v>
      </c>
      <c r="K41" s="40"/>
      <c r="L41" s="38" t="s">
        <v>1857</v>
      </c>
      <c r="M41" s="44" t="s">
        <v>26</v>
      </c>
      <c r="N41" s="46" t="s">
        <v>1859</v>
      </c>
      <c r="O41" s="47" t="s">
        <v>22</v>
      </c>
      <c r="P41" s="50"/>
      <c r="Q41" s="45"/>
      <c r="R41" s="25"/>
      <c r="S41" s="52"/>
    </row>
    <row r="42" spans="1:19" ht="16.5" customHeight="1" x14ac:dyDescent="0.3">
      <c r="A42" s="27" t="s">
        <v>487</v>
      </c>
      <c r="B42" s="28" t="s">
        <v>488</v>
      </c>
      <c r="C42" s="26" t="s">
        <v>1808</v>
      </c>
      <c r="D42" s="31" t="s">
        <v>152</v>
      </c>
      <c r="E42" s="33" t="s">
        <v>1809</v>
      </c>
      <c r="F42" s="34" t="s">
        <v>559</v>
      </c>
      <c r="G42" s="32" t="s">
        <v>1810</v>
      </c>
      <c r="H42" s="37" t="s">
        <v>1791</v>
      </c>
      <c r="I42" s="39" t="s">
        <v>3763</v>
      </c>
      <c r="J42" s="24" t="s">
        <v>436</v>
      </c>
      <c r="K42" s="40"/>
      <c r="L42" s="38" t="s">
        <v>1860</v>
      </c>
      <c r="M42" s="44" t="s">
        <v>26</v>
      </c>
      <c r="N42" s="46" t="s">
        <v>1861</v>
      </c>
      <c r="O42" s="47" t="s">
        <v>637</v>
      </c>
      <c r="P42" s="50"/>
      <c r="Q42" s="45"/>
      <c r="R42" s="25"/>
      <c r="S42" s="52"/>
    </row>
    <row r="43" spans="1:19" ht="16.5" customHeight="1" x14ac:dyDescent="0.3">
      <c r="A43" s="27" t="s">
        <v>487</v>
      </c>
      <c r="B43" s="28" t="s">
        <v>488</v>
      </c>
      <c r="C43" s="26" t="s">
        <v>1808</v>
      </c>
      <c r="D43" s="31" t="s">
        <v>152</v>
      </c>
      <c r="E43" s="33" t="s">
        <v>1809</v>
      </c>
      <c r="F43" s="34" t="s">
        <v>559</v>
      </c>
      <c r="G43" s="32" t="s">
        <v>1810</v>
      </c>
      <c r="H43" s="37" t="s">
        <v>1791</v>
      </c>
      <c r="I43" s="39" t="s">
        <v>3763</v>
      </c>
      <c r="J43" s="24" t="s">
        <v>436</v>
      </c>
      <c r="K43" s="40"/>
      <c r="L43" s="38" t="s">
        <v>1860</v>
      </c>
      <c r="M43" s="44" t="s">
        <v>26</v>
      </c>
      <c r="N43" s="46" t="s">
        <v>1862</v>
      </c>
      <c r="O43" s="47" t="s">
        <v>638</v>
      </c>
      <c r="P43" s="50"/>
      <c r="Q43" s="45"/>
      <c r="R43" s="25"/>
      <c r="S43" s="52"/>
    </row>
    <row r="44" spans="1:19" ht="16.5" customHeight="1" x14ac:dyDescent="0.3">
      <c r="A44" s="27" t="s">
        <v>487</v>
      </c>
      <c r="B44" s="28" t="s">
        <v>488</v>
      </c>
      <c r="C44" s="26" t="s">
        <v>1808</v>
      </c>
      <c r="D44" s="31" t="s">
        <v>152</v>
      </c>
      <c r="E44" s="33" t="s">
        <v>1809</v>
      </c>
      <c r="F44" s="34" t="s">
        <v>559</v>
      </c>
      <c r="G44" s="32" t="s">
        <v>1810</v>
      </c>
      <c r="H44" s="37" t="s">
        <v>1791</v>
      </c>
      <c r="I44" s="39" t="s">
        <v>3763</v>
      </c>
      <c r="J44" s="24" t="s">
        <v>436</v>
      </c>
      <c r="K44" s="40"/>
      <c r="L44" s="38" t="s">
        <v>1863</v>
      </c>
      <c r="M44" s="44" t="s">
        <v>16</v>
      </c>
      <c r="N44" s="46" t="s">
        <v>1864</v>
      </c>
      <c r="O44" s="47" t="s">
        <v>710</v>
      </c>
      <c r="P44" s="50"/>
      <c r="Q44" s="45"/>
      <c r="R44" s="25"/>
      <c r="S44" s="52"/>
    </row>
    <row r="45" spans="1:19" ht="16.5" customHeight="1" x14ac:dyDescent="0.3">
      <c r="A45" s="27" t="s">
        <v>487</v>
      </c>
      <c r="B45" s="28" t="s">
        <v>488</v>
      </c>
      <c r="C45" s="26" t="s">
        <v>1808</v>
      </c>
      <c r="D45" s="31" t="s">
        <v>152</v>
      </c>
      <c r="E45" s="33" t="s">
        <v>1809</v>
      </c>
      <c r="F45" s="34" t="s">
        <v>559</v>
      </c>
      <c r="G45" s="32" t="s">
        <v>1810</v>
      </c>
      <c r="H45" s="37" t="s">
        <v>1791</v>
      </c>
      <c r="I45" s="39" t="s">
        <v>3763</v>
      </c>
      <c r="J45" s="24" t="s">
        <v>436</v>
      </c>
      <c r="K45" s="40"/>
      <c r="L45" s="38" t="s">
        <v>1863</v>
      </c>
      <c r="M45" s="44" t="s">
        <v>16</v>
      </c>
      <c r="N45" s="46" t="s">
        <v>1865</v>
      </c>
      <c r="O45" s="47" t="s">
        <v>639</v>
      </c>
      <c r="P45" s="50"/>
      <c r="Q45" s="45"/>
      <c r="R45" s="25"/>
      <c r="S45" s="52"/>
    </row>
    <row r="46" spans="1:19" ht="16.5" customHeight="1" x14ac:dyDescent="0.3">
      <c r="A46" s="27" t="s">
        <v>487</v>
      </c>
      <c r="B46" s="28" t="s">
        <v>488</v>
      </c>
      <c r="C46" s="26" t="s">
        <v>1808</v>
      </c>
      <c r="D46" s="31" t="s">
        <v>152</v>
      </c>
      <c r="E46" s="33" t="s">
        <v>1809</v>
      </c>
      <c r="F46" s="34" t="s">
        <v>559</v>
      </c>
      <c r="G46" s="32" t="s">
        <v>1810</v>
      </c>
      <c r="H46" s="37" t="s">
        <v>1791</v>
      </c>
      <c r="I46" s="39" t="s">
        <v>3763</v>
      </c>
      <c r="J46" s="24" t="s">
        <v>436</v>
      </c>
      <c r="K46" s="40"/>
      <c r="L46" s="38" t="s">
        <v>1863</v>
      </c>
      <c r="M46" s="44" t="s">
        <v>16</v>
      </c>
      <c r="N46" s="46" t="s">
        <v>1866</v>
      </c>
      <c r="O46" s="47" t="s">
        <v>640</v>
      </c>
      <c r="P46" s="50"/>
      <c r="Q46" s="45"/>
      <c r="R46" s="25"/>
      <c r="S46" s="52"/>
    </row>
    <row r="47" spans="1:19" ht="16.5" customHeight="1" x14ac:dyDescent="0.3">
      <c r="A47" s="27" t="s">
        <v>487</v>
      </c>
      <c r="B47" s="28" t="s">
        <v>488</v>
      </c>
      <c r="C47" s="26" t="s">
        <v>1808</v>
      </c>
      <c r="D47" s="31" t="s">
        <v>152</v>
      </c>
      <c r="E47" s="33" t="s">
        <v>1809</v>
      </c>
      <c r="F47" s="34" t="s">
        <v>559</v>
      </c>
      <c r="G47" s="32" t="s">
        <v>1810</v>
      </c>
      <c r="H47" s="37" t="s">
        <v>1791</v>
      </c>
      <c r="I47" s="39" t="s">
        <v>3763</v>
      </c>
      <c r="J47" s="24" t="s">
        <v>436</v>
      </c>
      <c r="K47" s="40"/>
      <c r="L47" s="38" t="s">
        <v>1867</v>
      </c>
      <c r="M47" s="44" t="s">
        <v>30</v>
      </c>
      <c r="N47" s="46" t="s">
        <v>1868</v>
      </c>
      <c r="O47" s="47" t="s">
        <v>641</v>
      </c>
      <c r="P47" s="50"/>
      <c r="Q47" s="45"/>
      <c r="R47" s="25"/>
      <c r="S47" s="52"/>
    </row>
    <row r="48" spans="1:19" ht="16.5" customHeight="1" x14ac:dyDescent="0.3">
      <c r="A48" s="27" t="s">
        <v>487</v>
      </c>
      <c r="B48" s="28" t="s">
        <v>488</v>
      </c>
      <c r="C48" s="26" t="s">
        <v>1808</v>
      </c>
      <c r="D48" s="31" t="s">
        <v>152</v>
      </c>
      <c r="E48" s="33" t="s">
        <v>1809</v>
      </c>
      <c r="F48" s="34" t="s">
        <v>559</v>
      </c>
      <c r="G48" s="32" t="s">
        <v>1810</v>
      </c>
      <c r="H48" s="37" t="s">
        <v>1791</v>
      </c>
      <c r="I48" s="39" t="s">
        <v>3763</v>
      </c>
      <c r="J48" s="24" t="s">
        <v>436</v>
      </c>
      <c r="K48" s="40"/>
      <c r="L48" s="38" t="s">
        <v>1869</v>
      </c>
      <c r="M48" s="44" t="s">
        <v>565</v>
      </c>
      <c r="N48" s="46" t="s">
        <v>1870</v>
      </c>
      <c r="O48" s="47" t="s">
        <v>716</v>
      </c>
      <c r="P48" s="50"/>
      <c r="Q48" s="45"/>
      <c r="R48" s="25"/>
      <c r="S48" s="52"/>
    </row>
    <row r="49" spans="1:19" ht="16.5" customHeight="1" x14ac:dyDescent="0.3">
      <c r="A49" s="27" t="s">
        <v>487</v>
      </c>
      <c r="B49" s="28" t="s">
        <v>488</v>
      </c>
      <c r="C49" s="26" t="s">
        <v>1808</v>
      </c>
      <c r="D49" s="31" t="s">
        <v>152</v>
      </c>
      <c r="E49" s="33" t="s">
        <v>1809</v>
      </c>
      <c r="F49" s="34" t="s">
        <v>559</v>
      </c>
      <c r="G49" s="32" t="s">
        <v>1810</v>
      </c>
      <c r="H49" s="37" t="s">
        <v>1791</v>
      </c>
      <c r="I49" s="39" t="s">
        <v>3763</v>
      </c>
      <c r="J49" s="24" t="s">
        <v>436</v>
      </c>
      <c r="K49" s="40"/>
      <c r="L49" s="38" t="s">
        <v>1869</v>
      </c>
      <c r="M49" s="44" t="s">
        <v>565</v>
      </c>
      <c r="N49" s="46" t="s">
        <v>1871</v>
      </c>
      <c r="O49" s="47" t="s">
        <v>642</v>
      </c>
      <c r="P49" s="50"/>
      <c r="Q49" s="45"/>
      <c r="R49" s="25"/>
      <c r="S49" s="52"/>
    </row>
    <row r="50" spans="1:19" ht="16.5" customHeight="1" x14ac:dyDescent="0.3">
      <c r="A50" s="27" t="s">
        <v>487</v>
      </c>
      <c r="B50" s="28" t="s">
        <v>488</v>
      </c>
      <c r="C50" s="26" t="s">
        <v>1808</v>
      </c>
      <c r="D50" s="31" t="s">
        <v>152</v>
      </c>
      <c r="E50" s="33" t="s">
        <v>1809</v>
      </c>
      <c r="F50" s="34" t="s">
        <v>559</v>
      </c>
      <c r="G50" s="32" t="s">
        <v>1810</v>
      </c>
      <c r="H50" s="37" t="s">
        <v>1791</v>
      </c>
      <c r="I50" s="39" t="s">
        <v>3763</v>
      </c>
      <c r="J50" s="24" t="s">
        <v>436</v>
      </c>
      <c r="K50" s="40"/>
      <c r="L50" s="38" t="s">
        <v>1869</v>
      </c>
      <c r="M50" s="44" t="s">
        <v>565</v>
      </c>
      <c r="N50" s="46" t="s">
        <v>1872</v>
      </c>
      <c r="O50" s="47" t="s">
        <v>643</v>
      </c>
      <c r="P50" s="50"/>
      <c r="Q50" s="45"/>
      <c r="R50" s="25"/>
      <c r="S50" s="52"/>
    </row>
    <row r="51" spans="1:19" ht="16.5" customHeight="1" x14ac:dyDescent="0.3">
      <c r="A51" s="27" t="s">
        <v>487</v>
      </c>
      <c r="B51" s="28" t="s">
        <v>488</v>
      </c>
      <c r="C51" s="26" t="s">
        <v>1808</v>
      </c>
      <c r="D51" s="31" t="s">
        <v>152</v>
      </c>
      <c r="E51" s="33" t="s">
        <v>1809</v>
      </c>
      <c r="F51" s="34" t="s">
        <v>559</v>
      </c>
      <c r="G51" s="32" t="s">
        <v>1810</v>
      </c>
      <c r="H51" s="37" t="s">
        <v>1791</v>
      </c>
      <c r="I51" s="39" t="s">
        <v>3763</v>
      </c>
      <c r="J51" s="24" t="s">
        <v>436</v>
      </c>
      <c r="K51" s="40"/>
      <c r="L51" s="38" t="s">
        <v>1869</v>
      </c>
      <c r="M51" s="44" t="s">
        <v>565</v>
      </c>
      <c r="N51" s="46" t="s">
        <v>1873</v>
      </c>
      <c r="O51" s="47" t="s">
        <v>710</v>
      </c>
      <c r="P51" s="50"/>
      <c r="Q51" s="45"/>
      <c r="R51" s="25"/>
      <c r="S51" s="52"/>
    </row>
    <row r="52" spans="1:19" ht="16.5" customHeight="1" x14ac:dyDescent="0.3">
      <c r="A52" s="27" t="s">
        <v>487</v>
      </c>
      <c r="B52" s="28" t="s">
        <v>488</v>
      </c>
      <c r="C52" s="26" t="s">
        <v>1808</v>
      </c>
      <c r="D52" s="31" t="s">
        <v>152</v>
      </c>
      <c r="E52" s="33" t="s">
        <v>1809</v>
      </c>
      <c r="F52" s="34" t="s">
        <v>559</v>
      </c>
      <c r="G52" s="32" t="s">
        <v>1810</v>
      </c>
      <c r="H52" s="37" t="s">
        <v>1791</v>
      </c>
      <c r="I52" s="39" t="s">
        <v>3763</v>
      </c>
      <c r="J52" s="24" t="s">
        <v>436</v>
      </c>
      <c r="K52" s="40"/>
      <c r="L52" s="38" t="s">
        <v>1869</v>
      </c>
      <c r="M52" s="44" t="s">
        <v>565</v>
      </c>
      <c r="N52" s="46" t="s">
        <v>1874</v>
      </c>
      <c r="O52" s="47" t="s">
        <v>1524</v>
      </c>
      <c r="P52" s="50"/>
      <c r="Q52" s="45"/>
      <c r="R52" s="25"/>
      <c r="S52" s="52"/>
    </row>
    <row r="53" spans="1:19" ht="16.5" customHeight="1" x14ac:dyDescent="0.3">
      <c r="A53" s="27" t="s">
        <v>487</v>
      </c>
      <c r="B53" s="28" t="s">
        <v>488</v>
      </c>
      <c r="C53" s="26" t="s">
        <v>1808</v>
      </c>
      <c r="D53" s="31" t="s">
        <v>152</v>
      </c>
      <c r="E53" s="33" t="s">
        <v>1809</v>
      </c>
      <c r="F53" s="34" t="s">
        <v>559</v>
      </c>
      <c r="G53" s="32" t="s">
        <v>1810</v>
      </c>
      <c r="H53" s="37" t="s">
        <v>1791</v>
      </c>
      <c r="I53" s="39" t="s">
        <v>3763</v>
      </c>
      <c r="J53" s="24" t="s">
        <v>436</v>
      </c>
      <c r="K53" s="40"/>
      <c r="L53" s="38" t="s">
        <v>1875</v>
      </c>
      <c r="M53" s="44" t="s">
        <v>13</v>
      </c>
      <c r="N53" s="46" t="s">
        <v>1876</v>
      </c>
      <c r="O53" s="47" t="s">
        <v>711</v>
      </c>
      <c r="P53" s="50"/>
      <c r="Q53" s="45"/>
      <c r="R53" s="25"/>
      <c r="S53" s="52"/>
    </row>
    <row r="54" spans="1:19" ht="16.5" customHeight="1" x14ac:dyDescent="0.3">
      <c r="A54" s="27" t="s">
        <v>487</v>
      </c>
      <c r="B54" s="28" t="s">
        <v>488</v>
      </c>
      <c r="C54" s="26" t="s">
        <v>1808</v>
      </c>
      <c r="D54" s="31" t="s">
        <v>152</v>
      </c>
      <c r="E54" s="33" t="s">
        <v>1809</v>
      </c>
      <c r="F54" s="34" t="s">
        <v>559</v>
      </c>
      <c r="G54" s="32" t="s">
        <v>1810</v>
      </c>
      <c r="H54" s="37" t="s">
        <v>1791</v>
      </c>
      <c r="I54" s="39" t="s">
        <v>3763</v>
      </c>
      <c r="J54" s="24" t="s">
        <v>436</v>
      </c>
      <c r="K54" s="40"/>
      <c r="L54" s="38" t="s">
        <v>1875</v>
      </c>
      <c r="M54" s="44" t="s">
        <v>13</v>
      </c>
      <c r="N54" s="46" t="s">
        <v>1877</v>
      </c>
      <c r="O54" s="47" t="s">
        <v>644</v>
      </c>
      <c r="P54" s="50"/>
      <c r="Q54" s="45"/>
      <c r="R54" s="25"/>
      <c r="S54" s="52"/>
    </row>
    <row r="55" spans="1:19" ht="16.5" customHeight="1" x14ac:dyDescent="0.3">
      <c r="A55" s="27" t="s">
        <v>487</v>
      </c>
      <c r="B55" s="28" t="s">
        <v>488</v>
      </c>
      <c r="C55" s="26" t="s">
        <v>1808</v>
      </c>
      <c r="D55" s="31" t="s">
        <v>152</v>
      </c>
      <c r="E55" s="33" t="s">
        <v>1809</v>
      </c>
      <c r="F55" s="34" t="s">
        <v>559</v>
      </c>
      <c r="G55" s="32" t="s">
        <v>1810</v>
      </c>
      <c r="H55" s="37" t="s">
        <v>1791</v>
      </c>
      <c r="I55" s="39" t="s">
        <v>3763</v>
      </c>
      <c r="J55" s="24" t="s">
        <v>436</v>
      </c>
      <c r="K55" s="40"/>
      <c r="L55" s="38" t="s">
        <v>1860</v>
      </c>
      <c r="M55" s="44" t="s">
        <v>26</v>
      </c>
      <c r="N55" s="46" t="s">
        <v>1878</v>
      </c>
      <c r="O55" s="47" t="s">
        <v>20</v>
      </c>
      <c r="P55" s="50"/>
      <c r="Q55" s="45"/>
      <c r="R55" s="25"/>
      <c r="S55" s="52"/>
    </row>
    <row r="56" spans="1:19" ht="16.5" customHeight="1" x14ac:dyDescent="0.3">
      <c r="A56" s="27" t="s">
        <v>487</v>
      </c>
      <c r="B56" s="28" t="s">
        <v>488</v>
      </c>
      <c r="C56" s="26" t="s">
        <v>1808</v>
      </c>
      <c r="D56" s="31" t="s">
        <v>152</v>
      </c>
      <c r="E56" s="33" t="s">
        <v>1809</v>
      </c>
      <c r="F56" s="34" t="s">
        <v>559</v>
      </c>
      <c r="G56" s="32" t="s">
        <v>1810</v>
      </c>
      <c r="H56" s="37" t="s">
        <v>1791</v>
      </c>
      <c r="I56" s="39" t="s">
        <v>3763</v>
      </c>
      <c r="J56" s="24" t="s">
        <v>436</v>
      </c>
      <c r="K56" s="40"/>
      <c r="L56" s="38" t="s">
        <v>1860</v>
      </c>
      <c r="M56" s="44" t="s">
        <v>26</v>
      </c>
      <c r="N56" s="46" t="s">
        <v>1879</v>
      </c>
      <c r="O56" s="47" t="s">
        <v>24</v>
      </c>
      <c r="P56" s="50"/>
      <c r="Q56" s="45"/>
      <c r="R56" s="25"/>
      <c r="S56" s="52"/>
    </row>
    <row r="57" spans="1:19" ht="16.5" customHeight="1" x14ac:dyDescent="0.3">
      <c r="A57" s="27" t="s">
        <v>487</v>
      </c>
      <c r="B57" s="28" t="s">
        <v>488</v>
      </c>
      <c r="C57" s="26" t="s">
        <v>1808</v>
      </c>
      <c r="D57" s="31" t="s">
        <v>152</v>
      </c>
      <c r="E57" s="33" t="s">
        <v>1809</v>
      </c>
      <c r="F57" s="34" t="s">
        <v>559</v>
      </c>
      <c r="G57" s="32" t="s">
        <v>1810</v>
      </c>
      <c r="H57" s="37" t="s">
        <v>1791</v>
      </c>
      <c r="I57" s="39" t="s">
        <v>1880</v>
      </c>
      <c r="J57" s="24" t="s">
        <v>645</v>
      </c>
      <c r="K57" s="40"/>
      <c r="L57" s="38" t="s">
        <v>1881</v>
      </c>
      <c r="M57" s="44" t="s">
        <v>26</v>
      </c>
      <c r="N57" s="46" t="s">
        <v>1882</v>
      </c>
      <c r="O57" s="47" t="s">
        <v>730</v>
      </c>
      <c r="P57" s="50"/>
      <c r="Q57" s="45"/>
      <c r="R57" s="25"/>
      <c r="S57" s="52"/>
    </row>
    <row r="58" spans="1:19" ht="16.5" customHeight="1" x14ac:dyDescent="0.3">
      <c r="A58" s="27" t="s">
        <v>487</v>
      </c>
      <c r="B58" s="28" t="s">
        <v>488</v>
      </c>
      <c r="C58" s="26" t="s">
        <v>1808</v>
      </c>
      <c r="D58" s="31" t="s">
        <v>152</v>
      </c>
      <c r="E58" s="33" t="s">
        <v>1809</v>
      </c>
      <c r="F58" s="34" t="s">
        <v>559</v>
      </c>
      <c r="G58" s="32" t="s">
        <v>1810</v>
      </c>
      <c r="H58" s="37" t="s">
        <v>1791</v>
      </c>
      <c r="I58" s="39" t="s">
        <v>1880</v>
      </c>
      <c r="J58" s="24" t="s">
        <v>645</v>
      </c>
      <c r="K58" s="40"/>
      <c r="L58" s="38" t="s">
        <v>1881</v>
      </c>
      <c r="M58" s="44" t="s">
        <v>26</v>
      </c>
      <c r="N58" s="46" t="s">
        <v>1883</v>
      </c>
      <c r="O58" s="47" t="s">
        <v>28</v>
      </c>
      <c r="P58" s="50"/>
      <c r="Q58" s="45"/>
      <c r="R58" s="25"/>
      <c r="S58" s="52"/>
    </row>
    <row r="59" spans="1:19" ht="16.5" customHeight="1" x14ac:dyDescent="0.3">
      <c r="A59" s="27" t="s">
        <v>487</v>
      </c>
      <c r="B59" s="28" t="s">
        <v>488</v>
      </c>
      <c r="C59" s="26" t="s">
        <v>1808</v>
      </c>
      <c r="D59" s="31" t="s">
        <v>152</v>
      </c>
      <c r="E59" s="33" t="s">
        <v>1809</v>
      </c>
      <c r="F59" s="34" t="s">
        <v>559</v>
      </c>
      <c r="G59" s="32" t="s">
        <v>1810</v>
      </c>
      <c r="H59" s="37" t="s">
        <v>1791</v>
      </c>
      <c r="I59" s="39" t="s">
        <v>1880</v>
      </c>
      <c r="J59" s="24" t="s">
        <v>645</v>
      </c>
      <c r="K59" s="40"/>
      <c r="L59" s="38" t="s">
        <v>1884</v>
      </c>
      <c r="M59" s="44" t="s">
        <v>29</v>
      </c>
      <c r="N59" s="46" t="s">
        <v>1885</v>
      </c>
      <c r="O59" s="47" t="s">
        <v>646</v>
      </c>
      <c r="P59" s="50"/>
      <c r="Q59" s="45"/>
      <c r="R59" s="25"/>
      <c r="S59" s="52"/>
    </row>
    <row r="60" spans="1:19" ht="16.5" customHeight="1" x14ac:dyDescent="0.3">
      <c r="A60" s="27" t="s">
        <v>487</v>
      </c>
      <c r="B60" s="28" t="s">
        <v>488</v>
      </c>
      <c r="C60" s="26" t="s">
        <v>1808</v>
      </c>
      <c r="D60" s="31" t="s">
        <v>152</v>
      </c>
      <c r="E60" s="33" t="s">
        <v>1809</v>
      </c>
      <c r="F60" s="34" t="s">
        <v>559</v>
      </c>
      <c r="G60" s="32" t="s">
        <v>1810</v>
      </c>
      <c r="H60" s="37" t="s">
        <v>1791</v>
      </c>
      <c r="I60" s="39" t="s">
        <v>1880</v>
      </c>
      <c r="J60" s="24" t="s">
        <v>645</v>
      </c>
      <c r="K60" s="40"/>
      <c r="L60" s="38" t="s">
        <v>1884</v>
      </c>
      <c r="M60" s="44" t="s">
        <v>29</v>
      </c>
      <c r="N60" s="46" t="s">
        <v>1886</v>
      </c>
      <c r="O60" s="47" t="s">
        <v>1597</v>
      </c>
      <c r="P60" s="50"/>
      <c r="Q60" s="45"/>
      <c r="R60" s="25"/>
      <c r="S60" s="52"/>
    </row>
    <row r="61" spans="1:19" ht="16.5" customHeight="1" x14ac:dyDescent="0.3">
      <c r="A61" s="27" t="s">
        <v>487</v>
      </c>
      <c r="B61" s="28" t="s">
        <v>488</v>
      </c>
      <c r="C61" s="26" t="s">
        <v>1808</v>
      </c>
      <c r="D61" s="31" t="s">
        <v>152</v>
      </c>
      <c r="E61" s="33" t="s">
        <v>1809</v>
      </c>
      <c r="F61" s="34" t="s">
        <v>559</v>
      </c>
      <c r="G61" s="32" t="s">
        <v>1810</v>
      </c>
      <c r="H61" s="37" t="s">
        <v>1791</v>
      </c>
      <c r="I61" s="39" t="s">
        <v>1880</v>
      </c>
      <c r="J61" s="24" t="s">
        <v>645</v>
      </c>
      <c r="K61" s="40"/>
      <c r="L61" s="38" t="s">
        <v>1884</v>
      </c>
      <c r="M61" s="44" t="s">
        <v>29</v>
      </c>
      <c r="N61" s="46" t="s">
        <v>1887</v>
      </c>
      <c r="O61" s="47" t="s">
        <v>1598</v>
      </c>
      <c r="P61" s="50"/>
      <c r="Q61" s="45"/>
      <c r="R61" s="25"/>
      <c r="S61" s="52"/>
    </row>
    <row r="62" spans="1:19" ht="16.5" customHeight="1" x14ac:dyDescent="0.3">
      <c r="A62" s="27" t="s">
        <v>487</v>
      </c>
      <c r="B62" s="28" t="s">
        <v>488</v>
      </c>
      <c r="C62" s="26" t="s">
        <v>1808</v>
      </c>
      <c r="D62" s="31" t="s">
        <v>152</v>
      </c>
      <c r="E62" s="33" t="s">
        <v>1809</v>
      </c>
      <c r="F62" s="34" t="s">
        <v>559</v>
      </c>
      <c r="G62" s="32" t="s">
        <v>1810</v>
      </c>
      <c r="H62" s="37" t="s">
        <v>1791</v>
      </c>
      <c r="I62" s="39" t="s">
        <v>1880</v>
      </c>
      <c r="J62" s="24" t="s">
        <v>645</v>
      </c>
      <c r="K62" s="40"/>
      <c r="L62" s="38" t="s">
        <v>1884</v>
      </c>
      <c r="M62" s="44" t="s">
        <v>29</v>
      </c>
      <c r="N62" s="46" t="s">
        <v>1888</v>
      </c>
      <c r="O62" s="47" t="s">
        <v>1599</v>
      </c>
      <c r="P62" s="50"/>
      <c r="Q62" s="45"/>
      <c r="R62" s="25"/>
      <c r="S62" s="52"/>
    </row>
    <row r="63" spans="1:19" ht="16.5" customHeight="1" x14ac:dyDescent="0.3">
      <c r="A63" s="27" t="s">
        <v>487</v>
      </c>
      <c r="B63" s="28" t="s">
        <v>488</v>
      </c>
      <c r="C63" s="26" t="s">
        <v>1808</v>
      </c>
      <c r="D63" s="31" t="s">
        <v>152</v>
      </c>
      <c r="E63" s="33" t="s">
        <v>1809</v>
      </c>
      <c r="F63" s="34" t="s">
        <v>559</v>
      </c>
      <c r="G63" s="32" t="s">
        <v>1810</v>
      </c>
      <c r="H63" s="37" t="s">
        <v>1791</v>
      </c>
      <c r="I63" s="39" t="s">
        <v>1880</v>
      </c>
      <c r="J63" s="24" t="s">
        <v>645</v>
      </c>
      <c r="K63" s="40"/>
      <c r="L63" s="38" t="s">
        <v>1889</v>
      </c>
      <c r="M63" s="44" t="s">
        <v>31</v>
      </c>
      <c r="N63" s="46" t="s">
        <v>1890</v>
      </c>
      <c r="O63" s="47" t="s">
        <v>647</v>
      </c>
      <c r="P63" s="50"/>
      <c r="Q63" s="45"/>
      <c r="R63" s="25"/>
      <c r="S63" s="52"/>
    </row>
    <row r="64" spans="1:19" ht="16.5" customHeight="1" x14ac:dyDescent="0.3">
      <c r="A64" s="27" t="s">
        <v>487</v>
      </c>
      <c r="B64" s="28" t="s">
        <v>488</v>
      </c>
      <c r="C64" s="26" t="s">
        <v>1808</v>
      </c>
      <c r="D64" s="31" t="s">
        <v>152</v>
      </c>
      <c r="E64" s="33" t="s">
        <v>1809</v>
      </c>
      <c r="F64" s="34" t="s">
        <v>559</v>
      </c>
      <c r="G64" s="32" t="s">
        <v>1810</v>
      </c>
      <c r="H64" s="37" t="s">
        <v>1791</v>
      </c>
      <c r="I64" s="39" t="s">
        <v>1880</v>
      </c>
      <c r="J64" s="24" t="s">
        <v>645</v>
      </c>
      <c r="K64" s="40"/>
      <c r="L64" s="38" t="s">
        <v>1891</v>
      </c>
      <c r="M64" s="44" t="s">
        <v>16</v>
      </c>
      <c r="N64" s="46" t="s">
        <v>1892</v>
      </c>
      <c r="O64" s="47" t="s">
        <v>712</v>
      </c>
      <c r="P64" s="50"/>
      <c r="Q64" s="45"/>
      <c r="R64" s="25"/>
      <c r="S64" s="52"/>
    </row>
    <row r="65" spans="1:19" ht="16.5" customHeight="1" x14ac:dyDescent="0.3">
      <c r="A65" s="27" t="s">
        <v>487</v>
      </c>
      <c r="B65" s="28" t="s">
        <v>488</v>
      </c>
      <c r="C65" s="26" t="s">
        <v>1808</v>
      </c>
      <c r="D65" s="31" t="s">
        <v>152</v>
      </c>
      <c r="E65" s="33" t="s">
        <v>1809</v>
      </c>
      <c r="F65" s="34" t="s">
        <v>559</v>
      </c>
      <c r="G65" s="32" t="s">
        <v>1810</v>
      </c>
      <c r="H65" s="37" t="s">
        <v>1791</v>
      </c>
      <c r="I65" s="39" t="s">
        <v>1880</v>
      </c>
      <c r="J65" s="24" t="s">
        <v>645</v>
      </c>
      <c r="K65" s="40"/>
      <c r="L65" s="38" t="s">
        <v>1891</v>
      </c>
      <c r="M65" s="44" t="s">
        <v>16</v>
      </c>
      <c r="N65" s="46" t="s">
        <v>1893</v>
      </c>
      <c r="O65" s="47" t="s">
        <v>648</v>
      </c>
      <c r="P65" s="50"/>
      <c r="Q65" s="45"/>
      <c r="R65" s="25"/>
      <c r="S65" s="52"/>
    </row>
    <row r="66" spans="1:19" ht="16.5" customHeight="1" x14ac:dyDescent="0.3">
      <c r="A66" s="27" t="s">
        <v>487</v>
      </c>
      <c r="B66" s="28" t="s">
        <v>488</v>
      </c>
      <c r="C66" s="26" t="s">
        <v>1808</v>
      </c>
      <c r="D66" s="31" t="s">
        <v>152</v>
      </c>
      <c r="E66" s="33" t="s">
        <v>1809</v>
      </c>
      <c r="F66" s="34" t="s">
        <v>559</v>
      </c>
      <c r="G66" s="32" t="s">
        <v>1810</v>
      </c>
      <c r="H66" s="37" t="s">
        <v>1791</v>
      </c>
      <c r="I66" s="39" t="s">
        <v>1880</v>
      </c>
      <c r="J66" s="24" t="s">
        <v>645</v>
      </c>
      <c r="K66" s="40"/>
      <c r="L66" s="38" t="s">
        <v>1891</v>
      </c>
      <c r="M66" s="44" t="s">
        <v>16</v>
      </c>
      <c r="N66" s="46" t="s">
        <v>1894</v>
      </c>
      <c r="O66" s="47" t="s">
        <v>650</v>
      </c>
      <c r="P66" s="50"/>
      <c r="Q66" s="45"/>
      <c r="R66" s="25"/>
      <c r="S66" s="52"/>
    </row>
    <row r="67" spans="1:19" ht="16.5" customHeight="1" x14ac:dyDescent="0.3">
      <c r="A67" s="27" t="s">
        <v>487</v>
      </c>
      <c r="B67" s="28" t="s">
        <v>488</v>
      </c>
      <c r="C67" s="26" t="s">
        <v>1808</v>
      </c>
      <c r="D67" s="31" t="s">
        <v>152</v>
      </c>
      <c r="E67" s="33" t="s">
        <v>1809</v>
      </c>
      <c r="F67" s="34" t="s">
        <v>559</v>
      </c>
      <c r="G67" s="32" t="s">
        <v>1810</v>
      </c>
      <c r="H67" s="37" t="s">
        <v>1791</v>
      </c>
      <c r="I67" s="39" t="s">
        <v>1880</v>
      </c>
      <c r="J67" s="24" t="s">
        <v>645</v>
      </c>
      <c r="K67" s="40"/>
      <c r="L67" s="38" t="s">
        <v>1891</v>
      </c>
      <c r="M67" s="44" t="s">
        <v>16</v>
      </c>
      <c r="N67" s="46" t="s">
        <v>1895</v>
      </c>
      <c r="O67" s="47" t="s">
        <v>651</v>
      </c>
      <c r="P67" s="50"/>
      <c r="Q67" s="45"/>
      <c r="R67" s="25"/>
      <c r="S67" s="52"/>
    </row>
    <row r="68" spans="1:19" ht="16.5" customHeight="1" x14ac:dyDescent="0.3">
      <c r="A68" s="27" t="s">
        <v>487</v>
      </c>
      <c r="B68" s="28" t="s">
        <v>488</v>
      </c>
      <c r="C68" s="26" t="s">
        <v>1808</v>
      </c>
      <c r="D68" s="31" t="s">
        <v>152</v>
      </c>
      <c r="E68" s="33" t="s">
        <v>1809</v>
      </c>
      <c r="F68" s="34" t="s">
        <v>559</v>
      </c>
      <c r="G68" s="32" t="s">
        <v>1810</v>
      </c>
      <c r="H68" s="37" t="s">
        <v>1791</v>
      </c>
      <c r="I68" s="39" t="s">
        <v>1880</v>
      </c>
      <c r="J68" s="24" t="s">
        <v>645</v>
      </c>
      <c r="K68" s="40"/>
      <c r="L68" s="38" t="s">
        <v>1891</v>
      </c>
      <c r="M68" s="44" t="s">
        <v>16</v>
      </c>
      <c r="N68" s="46" t="s">
        <v>1896</v>
      </c>
      <c r="O68" s="47" t="s">
        <v>652</v>
      </c>
      <c r="P68" s="50"/>
      <c r="Q68" s="45"/>
      <c r="R68" s="25"/>
      <c r="S68" s="52"/>
    </row>
    <row r="69" spans="1:19" ht="16.5" customHeight="1" x14ac:dyDescent="0.3">
      <c r="A69" s="27" t="s">
        <v>487</v>
      </c>
      <c r="B69" s="28" t="s">
        <v>488</v>
      </c>
      <c r="C69" s="26" t="s">
        <v>1808</v>
      </c>
      <c r="D69" s="31" t="s">
        <v>152</v>
      </c>
      <c r="E69" s="33" t="s">
        <v>1809</v>
      </c>
      <c r="F69" s="34" t="s">
        <v>559</v>
      </c>
      <c r="G69" s="32" t="s">
        <v>1810</v>
      </c>
      <c r="H69" s="37" t="s">
        <v>1791</v>
      </c>
      <c r="I69" s="39" t="s">
        <v>1880</v>
      </c>
      <c r="J69" s="24" t="s">
        <v>645</v>
      </c>
      <c r="K69" s="40"/>
      <c r="L69" s="38" t="s">
        <v>1897</v>
      </c>
      <c r="M69" s="44" t="s">
        <v>33</v>
      </c>
      <c r="N69" s="46" t="s">
        <v>1898</v>
      </c>
      <c r="O69" s="47" t="s">
        <v>1355</v>
      </c>
      <c r="P69" s="50"/>
      <c r="Q69" s="45"/>
      <c r="R69" s="25"/>
      <c r="S69" s="52"/>
    </row>
    <row r="70" spans="1:19" ht="16.5" customHeight="1" x14ac:dyDescent="0.3">
      <c r="A70" s="27" t="s">
        <v>487</v>
      </c>
      <c r="B70" s="28" t="s">
        <v>488</v>
      </c>
      <c r="C70" s="26" t="s">
        <v>1808</v>
      </c>
      <c r="D70" s="31" t="s">
        <v>152</v>
      </c>
      <c r="E70" s="33" t="s">
        <v>1809</v>
      </c>
      <c r="F70" s="34" t="s">
        <v>559</v>
      </c>
      <c r="G70" s="32" t="s">
        <v>1810</v>
      </c>
      <c r="H70" s="37" t="s">
        <v>1791</v>
      </c>
      <c r="I70" s="39" t="s">
        <v>1899</v>
      </c>
      <c r="J70" s="24" t="s">
        <v>36</v>
      </c>
      <c r="K70" s="40"/>
      <c r="L70" s="38" t="s">
        <v>1900</v>
      </c>
      <c r="M70" s="44" t="s">
        <v>37</v>
      </c>
      <c r="N70" s="46" t="s">
        <v>1901</v>
      </c>
      <c r="O70" s="47" t="s">
        <v>1466</v>
      </c>
      <c r="P70" s="50"/>
      <c r="Q70" s="45"/>
      <c r="R70" s="25"/>
      <c r="S70" s="52"/>
    </row>
    <row r="71" spans="1:19" ht="16.5" customHeight="1" x14ac:dyDescent="0.3">
      <c r="A71" s="27" t="s">
        <v>487</v>
      </c>
      <c r="B71" s="28" t="s">
        <v>488</v>
      </c>
      <c r="C71" s="26" t="s">
        <v>1808</v>
      </c>
      <c r="D71" s="31" t="s">
        <v>152</v>
      </c>
      <c r="E71" s="33" t="s">
        <v>1809</v>
      </c>
      <c r="F71" s="34" t="s">
        <v>559</v>
      </c>
      <c r="G71" s="32" t="s">
        <v>1810</v>
      </c>
      <c r="H71" s="37" t="s">
        <v>1791</v>
      </c>
      <c r="I71" s="39" t="s">
        <v>1899</v>
      </c>
      <c r="J71" s="24" t="s">
        <v>36</v>
      </c>
      <c r="K71" s="40"/>
      <c r="L71" s="38" t="s">
        <v>1900</v>
      </c>
      <c r="M71" s="44" t="s">
        <v>37</v>
      </c>
      <c r="N71" s="46" t="s">
        <v>1902</v>
      </c>
      <c r="O71" s="47" t="s">
        <v>654</v>
      </c>
      <c r="P71" s="50"/>
      <c r="Q71" s="45"/>
      <c r="R71" s="25"/>
      <c r="S71" s="52"/>
    </row>
    <row r="72" spans="1:19" ht="16.5" customHeight="1" x14ac:dyDescent="0.3">
      <c r="A72" s="27" t="s">
        <v>487</v>
      </c>
      <c r="B72" s="28" t="s">
        <v>488</v>
      </c>
      <c r="C72" s="26" t="s">
        <v>1808</v>
      </c>
      <c r="D72" s="31" t="s">
        <v>152</v>
      </c>
      <c r="E72" s="33" t="s">
        <v>1809</v>
      </c>
      <c r="F72" s="34" t="s">
        <v>559</v>
      </c>
      <c r="G72" s="32" t="s">
        <v>1810</v>
      </c>
      <c r="H72" s="37" t="s">
        <v>1791</v>
      </c>
      <c r="I72" s="39" t="s">
        <v>1899</v>
      </c>
      <c r="J72" s="24" t="s">
        <v>36</v>
      </c>
      <c r="K72" s="40"/>
      <c r="L72" s="38" t="s">
        <v>1900</v>
      </c>
      <c r="M72" s="44" t="s">
        <v>37</v>
      </c>
      <c r="N72" s="46" t="s">
        <v>1903</v>
      </c>
      <c r="O72" s="47" t="s">
        <v>655</v>
      </c>
      <c r="P72" s="50"/>
      <c r="Q72" s="45"/>
      <c r="R72" s="25"/>
      <c r="S72" s="52"/>
    </row>
    <row r="73" spans="1:19" ht="16.5" customHeight="1" x14ac:dyDescent="0.3">
      <c r="A73" s="27" t="s">
        <v>487</v>
      </c>
      <c r="B73" s="28" t="s">
        <v>488</v>
      </c>
      <c r="C73" s="26" t="s">
        <v>1808</v>
      </c>
      <c r="D73" s="31" t="s">
        <v>152</v>
      </c>
      <c r="E73" s="33" t="s">
        <v>1809</v>
      </c>
      <c r="F73" s="34" t="s">
        <v>559</v>
      </c>
      <c r="G73" s="32" t="s">
        <v>1810</v>
      </c>
      <c r="H73" s="37" t="s">
        <v>1791</v>
      </c>
      <c r="I73" s="39" t="s">
        <v>1899</v>
      </c>
      <c r="J73" s="24" t="s">
        <v>36</v>
      </c>
      <c r="K73" s="40"/>
      <c r="L73" s="38" t="s">
        <v>1904</v>
      </c>
      <c r="M73" s="44" t="s">
        <v>1625</v>
      </c>
      <c r="N73" s="46" t="s">
        <v>1905</v>
      </c>
      <c r="O73" s="47" t="s">
        <v>656</v>
      </c>
      <c r="P73" s="50"/>
      <c r="Q73" s="45"/>
      <c r="R73" s="25"/>
      <c r="S73" s="52"/>
    </row>
    <row r="74" spans="1:19" ht="16.5" customHeight="1" x14ac:dyDescent="0.3">
      <c r="A74" s="27" t="s">
        <v>487</v>
      </c>
      <c r="B74" s="28" t="s">
        <v>488</v>
      </c>
      <c r="C74" s="26" t="s">
        <v>1808</v>
      </c>
      <c r="D74" s="31" t="s">
        <v>152</v>
      </c>
      <c r="E74" s="33" t="s">
        <v>1809</v>
      </c>
      <c r="F74" s="34" t="s">
        <v>559</v>
      </c>
      <c r="G74" s="32" t="s">
        <v>1810</v>
      </c>
      <c r="H74" s="37" t="s">
        <v>1791</v>
      </c>
      <c r="I74" s="39" t="s">
        <v>1899</v>
      </c>
      <c r="J74" s="24" t="s">
        <v>36</v>
      </c>
      <c r="K74" s="40"/>
      <c r="L74" s="38" t="s">
        <v>1906</v>
      </c>
      <c r="M74" s="44" t="s">
        <v>1623</v>
      </c>
      <c r="N74" s="46" t="s">
        <v>1907</v>
      </c>
      <c r="O74" s="47" t="s">
        <v>653</v>
      </c>
      <c r="P74" s="50"/>
      <c r="Q74" s="45"/>
      <c r="R74" s="25"/>
      <c r="S74" s="52"/>
    </row>
    <row r="75" spans="1:19" ht="16.5" customHeight="1" x14ac:dyDescent="0.3">
      <c r="A75" s="27" t="s">
        <v>487</v>
      </c>
      <c r="B75" s="28" t="s">
        <v>488</v>
      </c>
      <c r="C75" s="26" t="s">
        <v>1808</v>
      </c>
      <c r="D75" s="31" t="s">
        <v>152</v>
      </c>
      <c r="E75" s="33" t="s">
        <v>1809</v>
      </c>
      <c r="F75" s="34" t="s">
        <v>559</v>
      </c>
      <c r="G75" s="32" t="s">
        <v>1810</v>
      </c>
      <c r="H75" s="37" t="s">
        <v>1791</v>
      </c>
      <c r="I75" s="39" t="s">
        <v>1908</v>
      </c>
      <c r="J75" s="24" t="s">
        <v>40</v>
      </c>
      <c r="K75" s="40"/>
      <c r="L75" s="38" t="s">
        <v>1909</v>
      </c>
      <c r="M75" s="44" t="s">
        <v>37</v>
      </c>
      <c r="N75" s="46" t="s">
        <v>1910</v>
      </c>
      <c r="O75" s="47" t="s">
        <v>657</v>
      </c>
      <c r="P75" s="50"/>
      <c r="Q75" s="45"/>
      <c r="R75" s="25"/>
      <c r="S75" s="52"/>
    </row>
    <row r="76" spans="1:19" ht="16.5" customHeight="1" x14ac:dyDescent="0.3">
      <c r="A76" s="27" t="s">
        <v>487</v>
      </c>
      <c r="B76" s="28" t="s">
        <v>488</v>
      </c>
      <c r="C76" s="26" t="s">
        <v>1808</v>
      </c>
      <c r="D76" s="31" t="s">
        <v>152</v>
      </c>
      <c r="E76" s="33" t="s">
        <v>1809</v>
      </c>
      <c r="F76" s="34" t="s">
        <v>559</v>
      </c>
      <c r="G76" s="32" t="s">
        <v>1810</v>
      </c>
      <c r="H76" s="37" t="s">
        <v>1791</v>
      </c>
      <c r="I76" s="39" t="s">
        <v>1908</v>
      </c>
      <c r="J76" s="24" t="s">
        <v>40</v>
      </c>
      <c r="K76" s="40"/>
      <c r="L76" s="38" t="s">
        <v>1909</v>
      </c>
      <c r="M76" s="44" t="s">
        <v>37</v>
      </c>
      <c r="N76" s="46" t="s">
        <v>1911</v>
      </c>
      <c r="O76" s="47" t="s">
        <v>658</v>
      </c>
      <c r="P76" s="50"/>
      <c r="Q76" s="45"/>
      <c r="R76" s="25"/>
      <c r="S76" s="52"/>
    </row>
    <row r="77" spans="1:19" ht="16.5" customHeight="1" x14ac:dyDescent="0.3">
      <c r="A77" s="27" t="s">
        <v>487</v>
      </c>
      <c r="B77" s="28" t="s">
        <v>488</v>
      </c>
      <c r="C77" s="26" t="s">
        <v>1808</v>
      </c>
      <c r="D77" s="31" t="s">
        <v>152</v>
      </c>
      <c r="E77" s="33" t="s">
        <v>1809</v>
      </c>
      <c r="F77" s="34" t="s">
        <v>559</v>
      </c>
      <c r="G77" s="32" t="s">
        <v>1810</v>
      </c>
      <c r="H77" s="37" t="s">
        <v>1791</v>
      </c>
      <c r="I77" s="39" t="s">
        <v>1908</v>
      </c>
      <c r="J77" s="24" t="s">
        <v>40</v>
      </c>
      <c r="K77" s="40"/>
      <c r="L77" s="38" t="s">
        <v>1909</v>
      </c>
      <c r="M77" s="44" t="s">
        <v>37</v>
      </c>
      <c r="N77" s="46" t="s">
        <v>1912</v>
      </c>
      <c r="O77" s="47" t="s">
        <v>659</v>
      </c>
      <c r="P77" s="50"/>
      <c r="Q77" s="45"/>
      <c r="R77" s="25"/>
      <c r="S77" s="52"/>
    </row>
    <row r="78" spans="1:19" ht="16.5" customHeight="1" x14ac:dyDescent="0.3">
      <c r="A78" s="27" t="s">
        <v>487</v>
      </c>
      <c r="B78" s="28" t="s">
        <v>488</v>
      </c>
      <c r="C78" s="26" t="s">
        <v>1808</v>
      </c>
      <c r="D78" s="31" t="s">
        <v>152</v>
      </c>
      <c r="E78" s="33" t="s">
        <v>1809</v>
      </c>
      <c r="F78" s="34" t="s">
        <v>559</v>
      </c>
      <c r="G78" s="32" t="s">
        <v>1810</v>
      </c>
      <c r="H78" s="37" t="s">
        <v>1791</v>
      </c>
      <c r="I78" s="39" t="s">
        <v>1908</v>
      </c>
      <c r="J78" s="24" t="s">
        <v>40</v>
      </c>
      <c r="K78" s="40"/>
      <c r="L78" s="38" t="s">
        <v>1913</v>
      </c>
      <c r="M78" s="44" t="s">
        <v>1625</v>
      </c>
      <c r="N78" s="46" t="s">
        <v>1914</v>
      </c>
      <c r="O78" s="47" t="s">
        <v>660</v>
      </c>
      <c r="P78" s="50"/>
      <c r="Q78" s="45"/>
      <c r="R78" s="25"/>
      <c r="S78" s="52"/>
    </row>
    <row r="79" spans="1:19" ht="16.5" customHeight="1" x14ac:dyDescent="0.3">
      <c r="A79" s="27" t="s">
        <v>487</v>
      </c>
      <c r="B79" s="28" t="s">
        <v>488</v>
      </c>
      <c r="C79" s="26" t="s">
        <v>1808</v>
      </c>
      <c r="D79" s="31" t="s">
        <v>152</v>
      </c>
      <c r="E79" s="33" t="s">
        <v>1809</v>
      </c>
      <c r="F79" s="34" t="s">
        <v>559</v>
      </c>
      <c r="G79" s="32" t="s">
        <v>1810</v>
      </c>
      <c r="H79" s="37" t="s">
        <v>1791</v>
      </c>
      <c r="I79" s="39" t="s">
        <v>1908</v>
      </c>
      <c r="J79" s="24" t="s">
        <v>40</v>
      </c>
      <c r="K79" s="40"/>
      <c r="L79" s="38" t="s">
        <v>1915</v>
      </c>
      <c r="M79" s="44" t="s">
        <v>123</v>
      </c>
      <c r="N79" s="46" t="s">
        <v>1916</v>
      </c>
      <c r="O79" s="47" t="s">
        <v>661</v>
      </c>
      <c r="P79" s="50"/>
      <c r="Q79" s="45"/>
      <c r="R79" s="25"/>
      <c r="S79" s="52"/>
    </row>
    <row r="80" spans="1:19" ht="16.5" customHeight="1" x14ac:dyDescent="0.3">
      <c r="A80" s="27" t="s">
        <v>487</v>
      </c>
      <c r="B80" s="28" t="s">
        <v>488</v>
      </c>
      <c r="C80" s="26" t="s">
        <v>1808</v>
      </c>
      <c r="D80" s="31" t="s">
        <v>152</v>
      </c>
      <c r="E80" s="33" t="s">
        <v>1809</v>
      </c>
      <c r="F80" s="34" t="s">
        <v>559</v>
      </c>
      <c r="G80" s="32" t="s">
        <v>1810</v>
      </c>
      <c r="H80" s="37" t="s">
        <v>1791</v>
      </c>
      <c r="I80" s="39" t="s">
        <v>1917</v>
      </c>
      <c r="J80" s="24" t="s">
        <v>43</v>
      </c>
      <c r="K80" s="40"/>
      <c r="L80" s="38" t="s">
        <v>1918</v>
      </c>
      <c r="M80" s="44" t="s">
        <v>37</v>
      </c>
      <c r="N80" s="46" t="s">
        <v>1919</v>
      </c>
      <c r="O80" s="47" t="s">
        <v>662</v>
      </c>
      <c r="P80" s="50"/>
      <c r="Q80" s="45"/>
      <c r="R80" s="25"/>
      <c r="S80" s="52"/>
    </row>
    <row r="81" spans="1:19" ht="16.5" customHeight="1" x14ac:dyDescent="0.3">
      <c r="A81" s="27" t="s">
        <v>487</v>
      </c>
      <c r="B81" s="28" t="s">
        <v>488</v>
      </c>
      <c r="C81" s="26" t="s">
        <v>1808</v>
      </c>
      <c r="D81" s="31" t="s">
        <v>152</v>
      </c>
      <c r="E81" s="33" t="s">
        <v>1809</v>
      </c>
      <c r="F81" s="34" t="s">
        <v>559</v>
      </c>
      <c r="G81" s="32" t="s">
        <v>1810</v>
      </c>
      <c r="H81" s="37" t="s">
        <v>1791</v>
      </c>
      <c r="I81" s="39" t="s">
        <v>1917</v>
      </c>
      <c r="J81" s="24" t="s">
        <v>43</v>
      </c>
      <c r="K81" s="40"/>
      <c r="L81" s="38" t="s">
        <v>1918</v>
      </c>
      <c r="M81" s="44" t="s">
        <v>37</v>
      </c>
      <c r="N81" s="46" t="s">
        <v>1920</v>
      </c>
      <c r="O81" s="47" t="s">
        <v>663</v>
      </c>
      <c r="P81" s="50"/>
      <c r="Q81" s="45"/>
      <c r="R81" s="25"/>
      <c r="S81" s="52"/>
    </row>
    <row r="82" spans="1:19" ht="16.5" customHeight="1" x14ac:dyDescent="0.3">
      <c r="A82" s="27" t="s">
        <v>487</v>
      </c>
      <c r="B82" s="28" t="s">
        <v>488</v>
      </c>
      <c r="C82" s="26" t="s">
        <v>1808</v>
      </c>
      <c r="D82" s="31" t="s">
        <v>152</v>
      </c>
      <c r="E82" s="33" t="s">
        <v>1809</v>
      </c>
      <c r="F82" s="34" t="s">
        <v>559</v>
      </c>
      <c r="G82" s="32" t="s">
        <v>1810</v>
      </c>
      <c r="H82" s="37" t="s">
        <v>1791</v>
      </c>
      <c r="I82" s="39" t="s">
        <v>1917</v>
      </c>
      <c r="J82" s="24" t="s">
        <v>43</v>
      </c>
      <c r="K82" s="40"/>
      <c r="L82" s="38" t="s">
        <v>1918</v>
      </c>
      <c r="M82" s="44" t="s">
        <v>37</v>
      </c>
      <c r="N82" s="46" t="s">
        <v>1921</v>
      </c>
      <c r="O82" s="47" t="s">
        <v>664</v>
      </c>
      <c r="P82" s="50"/>
      <c r="Q82" s="45"/>
      <c r="R82" s="25"/>
      <c r="S82" s="52"/>
    </row>
    <row r="83" spans="1:19" ht="16.5" customHeight="1" x14ac:dyDescent="0.3">
      <c r="A83" s="27" t="s">
        <v>487</v>
      </c>
      <c r="B83" s="28" t="s">
        <v>488</v>
      </c>
      <c r="C83" s="26" t="s">
        <v>1808</v>
      </c>
      <c r="D83" s="31" t="s">
        <v>152</v>
      </c>
      <c r="E83" s="33" t="s">
        <v>1809</v>
      </c>
      <c r="F83" s="34" t="s">
        <v>559</v>
      </c>
      <c r="G83" s="32" t="s">
        <v>1810</v>
      </c>
      <c r="H83" s="37" t="s">
        <v>1791</v>
      </c>
      <c r="I83" s="39" t="s">
        <v>1917</v>
      </c>
      <c r="J83" s="24" t="s">
        <v>43</v>
      </c>
      <c r="K83" s="40"/>
      <c r="L83" s="38" t="s">
        <v>1922</v>
      </c>
      <c r="M83" s="44" t="s">
        <v>1625</v>
      </c>
      <c r="N83" s="46" t="s">
        <v>1923</v>
      </c>
      <c r="O83" s="47" t="s">
        <v>665</v>
      </c>
      <c r="P83" s="50"/>
      <c r="Q83" s="45"/>
      <c r="R83" s="25"/>
      <c r="S83" s="52"/>
    </row>
    <row r="84" spans="1:19" ht="16.5" customHeight="1" x14ac:dyDescent="0.3">
      <c r="A84" s="27" t="s">
        <v>487</v>
      </c>
      <c r="B84" s="28" t="s">
        <v>488</v>
      </c>
      <c r="C84" s="26" t="s">
        <v>1808</v>
      </c>
      <c r="D84" s="31" t="s">
        <v>152</v>
      </c>
      <c r="E84" s="33" t="s">
        <v>1809</v>
      </c>
      <c r="F84" s="34" t="s">
        <v>559</v>
      </c>
      <c r="G84" s="32" t="s">
        <v>1810</v>
      </c>
      <c r="H84" s="37" t="s">
        <v>1791</v>
      </c>
      <c r="I84" s="39" t="s">
        <v>1917</v>
      </c>
      <c r="J84" s="24" t="s">
        <v>43</v>
      </c>
      <c r="K84" s="40"/>
      <c r="L84" s="38" t="s">
        <v>1924</v>
      </c>
      <c r="M84" s="44" t="s">
        <v>123</v>
      </c>
      <c r="N84" s="46" t="s">
        <v>1925</v>
      </c>
      <c r="O84" s="47" t="s">
        <v>666</v>
      </c>
      <c r="P84" s="50"/>
      <c r="Q84" s="45"/>
      <c r="R84" s="25"/>
      <c r="S84" s="52"/>
    </row>
    <row r="85" spans="1:19" ht="16.5" customHeight="1" x14ac:dyDescent="0.3">
      <c r="A85" s="27" t="s">
        <v>487</v>
      </c>
      <c r="B85" s="28" t="s">
        <v>488</v>
      </c>
      <c r="C85" s="26" t="s">
        <v>1808</v>
      </c>
      <c r="D85" s="31" t="s">
        <v>152</v>
      </c>
      <c r="E85" s="33" t="s">
        <v>1809</v>
      </c>
      <c r="F85" s="34" t="s">
        <v>559</v>
      </c>
      <c r="G85" s="32" t="s">
        <v>1810</v>
      </c>
      <c r="H85" s="37" t="s">
        <v>1791</v>
      </c>
      <c r="I85" s="39" t="s">
        <v>1926</v>
      </c>
      <c r="J85" s="24" t="s">
        <v>45</v>
      </c>
      <c r="K85" s="40"/>
      <c r="L85" s="38" t="s">
        <v>1927</v>
      </c>
      <c r="M85" s="44" t="s">
        <v>37</v>
      </c>
      <c r="N85" s="46" t="s">
        <v>1928</v>
      </c>
      <c r="O85" s="47" t="s">
        <v>668</v>
      </c>
      <c r="P85" s="50"/>
      <c r="Q85" s="45"/>
      <c r="R85" s="25"/>
      <c r="S85" s="52"/>
    </row>
    <row r="86" spans="1:19" ht="16.5" customHeight="1" x14ac:dyDescent="0.3">
      <c r="A86" s="27" t="s">
        <v>487</v>
      </c>
      <c r="B86" s="28" t="s">
        <v>488</v>
      </c>
      <c r="C86" s="26" t="s">
        <v>1808</v>
      </c>
      <c r="D86" s="31" t="s">
        <v>152</v>
      </c>
      <c r="E86" s="33" t="s">
        <v>1809</v>
      </c>
      <c r="F86" s="34" t="s">
        <v>559</v>
      </c>
      <c r="G86" s="32" t="s">
        <v>1810</v>
      </c>
      <c r="H86" s="37" t="s">
        <v>1791</v>
      </c>
      <c r="I86" s="39" t="s">
        <v>1926</v>
      </c>
      <c r="J86" s="24" t="s">
        <v>45</v>
      </c>
      <c r="K86" s="40"/>
      <c r="L86" s="38" t="s">
        <v>1927</v>
      </c>
      <c r="M86" s="44" t="s">
        <v>37</v>
      </c>
      <c r="N86" s="46" t="s">
        <v>1929</v>
      </c>
      <c r="O86" s="47" t="s">
        <v>667</v>
      </c>
      <c r="P86" s="50"/>
      <c r="Q86" s="45"/>
      <c r="R86" s="25"/>
      <c r="S86" s="52"/>
    </row>
    <row r="87" spans="1:19" ht="16.5" customHeight="1" x14ac:dyDescent="0.3">
      <c r="A87" s="27" t="s">
        <v>487</v>
      </c>
      <c r="B87" s="28" t="s">
        <v>488</v>
      </c>
      <c r="C87" s="26" t="s">
        <v>1808</v>
      </c>
      <c r="D87" s="31" t="s">
        <v>152</v>
      </c>
      <c r="E87" s="33" t="s">
        <v>1809</v>
      </c>
      <c r="F87" s="34" t="s">
        <v>559</v>
      </c>
      <c r="G87" s="32" t="s">
        <v>1810</v>
      </c>
      <c r="H87" s="37" t="s">
        <v>1791</v>
      </c>
      <c r="I87" s="39" t="s">
        <v>1930</v>
      </c>
      <c r="J87" s="24" t="s">
        <v>49</v>
      </c>
      <c r="K87" s="40"/>
      <c r="L87" s="38" t="s">
        <v>1931</v>
      </c>
      <c r="M87" s="44" t="s">
        <v>50</v>
      </c>
      <c r="N87" s="46" t="s">
        <v>1932</v>
      </c>
      <c r="O87" s="47" t="s">
        <v>669</v>
      </c>
      <c r="P87" s="50"/>
      <c r="Q87" s="45"/>
      <c r="R87" s="25"/>
      <c r="S87" s="52"/>
    </row>
    <row r="88" spans="1:19" ht="16.5" customHeight="1" x14ac:dyDescent="0.3">
      <c r="A88" s="27" t="s">
        <v>487</v>
      </c>
      <c r="B88" s="28" t="s">
        <v>488</v>
      </c>
      <c r="C88" s="26" t="s">
        <v>1808</v>
      </c>
      <c r="D88" s="31" t="s">
        <v>152</v>
      </c>
      <c r="E88" s="33" t="s">
        <v>1809</v>
      </c>
      <c r="F88" s="34" t="s">
        <v>559</v>
      </c>
      <c r="G88" s="32" t="s">
        <v>1810</v>
      </c>
      <c r="H88" s="37" t="s">
        <v>1791</v>
      </c>
      <c r="I88" s="39" t="s">
        <v>1930</v>
      </c>
      <c r="J88" s="24" t="s">
        <v>49</v>
      </c>
      <c r="K88" s="40"/>
      <c r="L88" s="38" t="s">
        <v>1933</v>
      </c>
      <c r="M88" s="44" t="s">
        <v>30</v>
      </c>
      <c r="N88" s="46" t="s">
        <v>1934</v>
      </c>
      <c r="O88" s="47" t="s">
        <v>670</v>
      </c>
      <c r="P88" s="50"/>
      <c r="Q88" s="45"/>
      <c r="R88" s="25"/>
      <c r="S88" s="52"/>
    </row>
    <row r="89" spans="1:19" ht="16.5" customHeight="1" x14ac:dyDescent="0.3">
      <c r="A89" s="27" t="s">
        <v>487</v>
      </c>
      <c r="B89" s="28" t="s">
        <v>488</v>
      </c>
      <c r="C89" s="26" t="s">
        <v>1808</v>
      </c>
      <c r="D89" s="31" t="s">
        <v>152</v>
      </c>
      <c r="E89" s="33" t="s">
        <v>1809</v>
      </c>
      <c r="F89" s="34" t="s">
        <v>559</v>
      </c>
      <c r="G89" s="32" t="s">
        <v>1810</v>
      </c>
      <c r="H89" s="37" t="s">
        <v>1791</v>
      </c>
      <c r="I89" s="39" t="s">
        <v>1935</v>
      </c>
      <c r="J89" s="24" t="s">
        <v>52</v>
      </c>
      <c r="K89" s="40"/>
      <c r="L89" s="38" t="s">
        <v>1936</v>
      </c>
      <c r="M89" s="44" t="s">
        <v>50</v>
      </c>
      <c r="N89" s="46" t="s">
        <v>1937</v>
      </c>
      <c r="O89" s="47" t="s">
        <v>671</v>
      </c>
      <c r="P89" s="50"/>
      <c r="Q89" s="45"/>
      <c r="R89" s="25"/>
      <c r="S89" s="52"/>
    </row>
    <row r="90" spans="1:19" ht="16.5" customHeight="1" x14ac:dyDescent="0.3">
      <c r="A90" s="27" t="s">
        <v>487</v>
      </c>
      <c r="B90" s="28" t="s">
        <v>488</v>
      </c>
      <c r="C90" s="26" t="s">
        <v>1808</v>
      </c>
      <c r="D90" s="31" t="s">
        <v>152</v>
      </c>
      <c r="E90" s="33" t="s">
        <v>1809</v>
      </c>
      <c r="F90" s="34" t="s">
        <v>559</v>
      </c>
      <c r="G90" s="32" t="s">
        <v>1810</v>
      </c>
      <c r="H90" s="37" t="s">
        <v>1791</v>
      </c>
      <c r="I90" s="39" t="s">
        <v>1935</v>
      </c>
      <c r="J90" s="24" t="s">
        <v>52</v>
      </c>
      <c r="K90" s="40"/>
      <c r="L90" s="38" t="s">
        <v>1938</v>
      </c>
      <c r="M90" s="44" t="s">
        <v>30</v>
      </c>
      <c r="N90" s="46" t="s">
        <v>1939</v>
      </c>
      <c r="O90" s="47" t="s">
        <v>672</v>
      </c>
      <c r="P90" s="50"/>
      <c r="Q90" s="45"/>
      <c r="R90" s="25"/>
      <c r="S90" s="52"/>
    </row>
    <row r="91" spans="1:19" ht="16.5" customHeight="1" x14ac:dyDescent="0.3">
      <c r="A91" s="27" t="s">
        <v>487</v>
      </c>
      <c r="B91" s="28" t="s">
        <v>488</v>
      </c>
      <c r="C91" s="26" t="s">
        <v>1808</v>
      </c>
      <c r="D91" s="31" t="s">
        <v>152</v>
      </c>
      <c r="E91" s="33" t="s">
        <v>1809</v>
      </c>
      <c r="F91" s="34" t="s">
        <v>559</v>
      </c>
      <c r="G91" s="32" t="s">
        <v>1810</v>
      </c>
      <c r="H91" s="37" t="s">
        <v>1791</v>
      </c>
      <c r="I91" s="39" t="s">
        <v>1940</v>
      </c>
      <c r="J91" s="24" t="s">
        <v>54</v>
      </c>
      <c r="K91" s="40"/>
      <c r="L91" s="38" t="s">
        <v>1941</v>
      </c>
      <c r="M91" s="44" t="s">
        <v>50</v>
      </c>
      <c r="N91" s="46" t="s">
        <v>1942</v>
      </c>
      <c r="O91" s="47" t="s">
        <v>673</v>
      </c>
      <c r="P91" s="50"/>
      <c r="Q91" s="45"/>
      <c r="R91" s="25"/>
      <c r="S91" s="52"/>
    </row>
    <row r="92" spans="1:19" ht="16.5" customHeight="1" x14ac:dyDescent="0.3">
      <c r="A92" s="27" t="s">
        <v>487</v>
      </c>
      <c r="B92" s="28" t="s">
        <v>488</v>
      </c>
      <c r="C92" s="26" t="s">
        <v>1808</v>
      </c>
      <c r="D92" s="31" t="s">
        <v>152</v>
      </c>
      <c r="E92" s="33" t="s">
        <v>1809</v>
      </c>
      <c r="F92" s="34" t="s">
        <v>559</v>
      </c>
      <c r="G92" s="32" t="s">
        <v>1810</v>
      </c>
      <c r="H92" s="37" t="s">
        <v>1791</v>
      </c>
      <c r="I92" s="39" t="s">
        <v>1940</v>
      </c>
      <c r="J92" s="24" t="s">
        <v>54</v>
      </c>
      <c r="K92" s="40"/>
      <c r="L92" s="38" t="s">
        <v>1943</v>
      </c>
      <c r="M92" s="44" t="s">
        <v>30</v>
      </c>
      <c r="N92" s="46" t="s">
        <v>1944</v>
      </c>
      <c r="O92" s="47" t="s">
        <v>674</v>
      </c>
      <c r="P92" s="50"/>
      <c r="Q92" s="45"/>
      <c r="R92" s="25"/>
      <c r="S92" s="52"/>
    </row>
    <row r="93" spans="1:19" ht="16.5" customHeight="1" x14ac:dyDescent="0.3">
      <c r="A93" s="27" t="s">
        <v>487</v>
      </c>
      <c r="B93" s="28" t="s">
        <v>488</v>
      </c>
      <c r="C93" s="26" t="s">
        <v>1808</v>
      </c>
      <c r="D93" s="31" t="s">
        <v>152</v>
      </c>
      <c r="E93" s="33" t="s">
        <v>1809</v>
      </c>
      <c r="F93" s="34" t="s">
        <v>559</v>
      </c>
      <c r="G93" s="32" t="s">
        <v>1810</v>
      </c>
      <c r="H93" s="37" t="s">
        <v>1791</v>
      </c>
      <c r="I93" s="39" t="s">
        <v>1945</v>
      </c>
      <c r="J93" s="24" t="s">
        <v>56</v>
      </c>
      <c r="K93" s="40"/>
      <c r="L93" s="38" t="s">
        <v>1946</v>
      </c>
      <c r="M93" s="44" t="s">
        <v>50</v>
      </c>
      <c r="N93" s="46" t="s">
        <v>1947</v>
      </c>
      <c r="O93" s="47" t="s">
        <v>675</v>
      </c>
      <c r="P93" s="50"/>
      <c r="Q93" s="45"/>
      <c r="R93" s="25"/>
      <c r="S93" s="52"/>
    </row>
    <row r="94" spans="1:19" ht="16.5" customHeight="1" x14ac:dyDescent="0.3">
      <c r="A94" s="27" t="s">
        <v>487</v>
      </c>
      <c r="B94" s="28" t="s">
        <v>488</v>
      </c>
      <c r="C94" s="26" t="s">
        <v>1808</v>
      </c>
      <c r="D94" s="31" t="s">
        <v>152</v>
      </c>
      <c r="E94" s="33" t="s">
        <v>1809</v>
      </c>
      <c r="F94" s="34" t="s">
        <v>559</v>
      </c>
      <c r="G94" s="32" t="s">
        <v>1810</v>
      </c>
      <c r="H94" s="37" t="s">
        <v>1791</v>
      </c>
      <c r="I94" s="39" t="s">
        <v>1945</v>
      </c>
      <c r="J94" s="24" t="s">
        <v>56</v>
      </c>
      <c r="K94" s="40"/>
      <c r="L94" s="38" t="s">
        <v>1948</v>
      </c>
      <c r="M94" s="44" t="s">
        <v>30</v>
      </c>
      <c r="N94" s="46" t="s">
        <v>1949</v>
      </c>
      <c r="O94" s="47" t="s">
        <v>676</v>
      </c>
      <c r="P94" s="50"/>
      <c r="Q94" s="45"/>
      <c r="R94" s="25"/>
      <c r="S94" s="52"/>
    </row>
    <row r="95" spans="1:19" ht="16.5" customHeight="1" x14ac:dyDescent="0.3">
      <c r="A95" s="27" t="s">
        <v>487</v>
      </c>
      <c r="B95" s="28" t="s">
        <v>488</v>
      </c>
      <c r="C95" s="26" t="s">
        <v>1808</v>
      </c>
      <c r="D95" s="31" t="s">
        <v>152</v>
      </c>
      <c r="E95" s="33" t="s">
        <v>1809</v>
      </c>
      <c r="F95" s="34" t="s">
        <v>559</v>
      </c>
      <c r="G95" s="32" t="s">
        <v>1810</v>
      </c>
      <c r="H95" s="37" t="s">
        <v>1791</v>
      </c>
      <c r="I95" s="39" t="s">
        <v>1950</v>
      </c>
      <c r="J95" s="24" t="s">
        <v>169</v>
      </c>
      <c r="K95" s="40"/>
      <c r="L95" s="38"/>
      <c r="M95" s="44"/>
      <c r="N95" s="46"/>
      <c r="O95" s="47"/>
      <c r="P95" s="50"/>
      <c r="Q95" s="45"/>
      <c r="R95" s="25"/>
      <c r="S95" s="52"/>
    </row>
    <row r="96" spans="1:19" ht="16.5" customHeight="1" x14ac:dyDescent="0.3">
      <c r="A96" s="27" t="s">
        <v>487</v>
      </c>
      <c r="B96" s="28" t="s">
        <v>488</v>
      </c>
      <c r="C96" s="26" t="s">
        <v>1808</v>
      </c>
      <c r="D96" s="31" t="s">
        <v>152</v>
      </c>
      <c r="E96" s="33" t="s">
        <v>1809</v>
      </c>
      <c r="F96" s="34" t="s">
        <v>559</v>
      </c>
      <c r="G96" s="32" t="s">
        <v>1810</v>
      </c>
      <c r="H96" s="37" t="s">
        <v>1791</v>
      </c>
      <c r="I96" s="39" t="s">
        <v>1951</v>
      </c>
      <c r="J96" s="24" t="s">
        <v>59</v>
      </c>
      <c r="K96" s="40"/>
      <c r="L96" s="38" t="s">
        <v>1952</v>
      </c>
      <c r="M96" s="44" t="s">
        <v>59</v>
      </c>
      <c r="N96" s="46" t="s">
        <v>1953</v>
      </c>
      <c r="O96" s="47" t="s">
        <v>677</v>
      </c>
      <c r="P96" s="50"/>
      <c r="Q96" s="45"/>
      <c r="R96" s="25"/>
      <c r="S96" s="52"/>
    </row>
    <row r="97" spans="1:19" ht="16.5" customHeight="1" x14ac:dyDescent="0.3">
      <c r="A97" s="27" t="s">
        <v>487</v>
      </c>
      <c r="B97" s="28" t="s">
        <v>488</v>
      </c>
      <c r="C97" s="26" t="s">
        <v>1808</v>
      </c>
      <c r="D97" s="31" t="s">
        <v>152</v>
      </c>
      <c r="E97" s="33" t="s">
        <v>1809</v>
      </c>
      <c r="F97" s="34" t="s">
        <v>559</v>
      </c>
      <c r="G97" s="32" t="s">
        <v>1810</v>
      </c>
      <c r="H97" s="37" t="s">
        <v>1791</v>
      </c>
      <c r="I97" s="39" t="s">
        <v>1951</v>
      </c>
      <c r="J97" s="24" t="s">
        <v>59</v>
      </c>
      <c r="K97" s="40"/>
      <c r="L97" s="38" t="s">
        <v>1952</v>
      </c>
      <c r="M97" s="44" t="s">
        <v>59</v>
      </c>
      <c r="N97" s="46" t="s">
        <v>1954</v>
      </c>
      <c r="O97" s="47" t="s">
        <v>678</v>
      </c>
      <c r="P97" s="50"/>
      <c r="Q97" s="45"/>
      <c r="R97" s="25"/>
      <c r="S97" s="52"/>
    </row>
    <row r="98" spans="1:19" ht="16.5" customHeight="1" x14ac:dyDescent="0.3">
      <c r="A98" s="27" t="s">
        <v>487</v>
      </c>
      <c r="B98" s="28" t="s">
        <v>488</v>
      </c>
      <c r="C98" s="26" t="s">
        <v>1808</v>
      </c>
      <c r="D98" s="31" t="s">
        <v>152</v>
      </c>
      <c r="E98" s="33" t="s">
        <v>1809</v>
      </c>
      <c r="F98" s="34" t="s">
        <v>559</v>
      </c>
      <c r="G98" s="32" t="s">
        <v>1810</v>
      </c>
      <c r="H98" s="37" t="s">
        <v>1791</v>
      </c>
      <c r="I98" s="39" t="s">
        <v>1951</v>
      </c>
      <c r="J98" s="24" t="s">
        <v>59</v>
      </c>
      <c r="K98" s="40"/>
      <c r="L98" s="38" t="s">
        <v>1952</v>
      </c>
      <c r="M98" s="44" t="s">
        <v>59</v>
      </c>
      <c r="N98" s="46" t="s">
        <v>1955</v>
      </c>
      <c r="O98" s="47" t="s">
        <v>679</v>
      </c>
      <c r="P98" s="50"/>
      <c r="Q98" s="45"/>
      <c r="R98" s="25"/>
      <c r="S98" s="52"/>
    </row>
    <row r="99" spans="1:19" ht="16.5" customHeight="1" x14ac:dyDescent="0.3">
      <c r="A99" s="27" t="s">
        <v>487</v>
      </c>
      <c r="B99" s="28" t="s">
        <v>488</v>
      </c>
      <c r="C99" s="26" t="s">
        <v>1808</v>
      </c>
      <c r="D99" s="31" t="s">
        <v>152</v>
      </c>
      <c r="E99" s="33" t="s">
        <v>1809</v>
      </c>
      <c r="F99" s="34" t="s">
        <v>559</v>
      </c>
      <c r="G99" s="32" t="s">
        <v>1810</v>
      </c>
      <c r="H99" s="37" t="s">
        <v>1791</v>
      </c>
      <c r="I99" s="39" t="s">
        <v>1951</v>
      </c>
      <c r="J99" s="24" t="s">
        <v>59</v>
      </c>
      <c r="K99" s="40"/>
      <c r="L99" s="38" t="s">
        <v>1956</v>
      </c>
      <c r="M99" s="44" t="s">
        <v>1625</v>
      </c>
      <c r="N99" s="46" t="s">
        <v>1957</v>
      </c>
      <c r="O99" s="47" t="s">
        <v>680</v>
      </c>
      <c r="P99" s="50"/>
      <c r="Q99" s="45"/>
      <c r="R99" s="25"/>
      <c r="S99" s="52"/>
    </row>
    <row r="100" spans="1:19" ht="16.5" customHeight="1" x14ac:dyDescent="0.3">
      <c r="A100" s="27" t="s">
        <v>487</v>
      </c>
      <c r="B100" s="28" t="s">
        <v>488</v>
      </c>
      <c r="C100" s="26" t="s">
        <v>1808</v>
      </c>
      <c r="D100" s="31" t="s">
        <v>152</v>
      </c>
      <c r="E100" s="33" t="s">
        <v>1809</v>
      </c>
      <c r="F100" s="34" t="s">
        <v>559</v>
      </c>
      <c r="G100" s="32" t="s">
        <v>1810</v>
      </c>
      <c r="H100" s="37" t="s">
        <v>1791</v>
      </c>
      <c r="I100" s="39" t="s">
        <v>1951</v>
      </c>
      <c r="J100" s="24" t="s">
        <v>59</v>
      </c>
      <c r="K100" s="40"/>
      <c r="L100" s="38" t="s">
        <v>1958</v>
      </c>
      <c r="M100" s="44" t="s">
        <v>123</v>
      </c>
      <c r="N100" s="46" t="s">
        <v>1959</v>
      </c>
      <c r="O100" s="47" t="s">
        <v>681</v>
      </c>
      <c r="P100" s="50"/>
      <c r="Q100" s="45"/>
      <c r="R100" s="25"/>
      <c r="S100" s="52"/>
    </row>
    <row r="101" spans="1:19" ht="16.5" customHeight="1" x14ac:dyDescent="0.3">
      <c r="A101" s="27" t="s">
        <v>487</v>
      </c>
      <c r="B101" s="28" t="s">
        <v>488</v>
      </c>
      <c r="C101" s="26" t="s">
        <v>1808</v>
      </c>
      <c r="D101" s="31" t="s">
        <v>152</v>
      </c>
      <c r="E101" s="33" t="s">
        <v>1809</v>
      </c>
      <c r="F101" s="34" t="s">
        <v>559</v>
      </c>
      <c r="G101" s="32" t="s">
        <v>1810</v>
      </c>
      <c r="H101" s="37" t="s">
        <v>1791</v>
      </c>
      <c r="I101" s="39" t="s">
        <v>1960</v>
      </c>
      <c r="J101" s="24" t="s">
        <v>62</v>
      </c>
      <c r="K101" s="40"/>
      <c r="L101" s="38" t="s">
        <v>1961</v>
      </c>
      <c r="M101" s="44" t="s">
        <v>37</v>
      </c>
      <c r="N101" s="46" t="s">
        <v>1962</v>
      </c>
      <c r="O101" s="47" t="s">
        <v>682</v>
      </c>
      <c r="P101" s="50"/>
      <c r="Q101" s="45"/>
      <c r="R101" s="25"/>
      <c r="S101" s="52"/>
    </row>
    <row r="102" spans="1:19" ht="16.5" customHeight="1" x14ac:dyDescent="0.3">
      <c r="A102" s="27" t="s">
        <v>487</v>
      </c>
      <c r="B102" s="28" t="s">
        <v>488</v>
      </c>
      <c r="C102" s="26" t="s">
        <v>1808</v>
      </c>
      <c r="D102" s="31" t="s">
        <v>152</v>
      </c>
      <c r="E102" s="33" t="s">
        <v>1809</v>
      </c>
      <c r="F102" s="34" t="s">
        <v>559</v>
      </c>
      <c r="G102" s="32" t="s">
        <v>1810</v>
      </c>
      <c r="H102" s="37" t="s">
        <v>1791</v>
      </c>
      <c r="I102" s="39" t="s">
        <v>1960</v>
      </c>
      <c r="J102" s="24" t="s">
        <v>62</v>
      </c>
      <c r="K102" s="40"/>
      <c r="L102" s="38" t="s">
        <v>1961</v>
      </c>
      <c r="M102" s="44" t="s">
        <v>37</v>
      </c>
      <c r="N102" s="46" t="s">
        <v>1963</v>
      </c>
      <c r="O102" s="47" t="s">
        <v>685</v>
      </c>
      <c r="P102" s="50"/>
      <c r="Q102" s="45"/>
      <c r="R102" s="25"/>
      <c r="S102" s="52"/>
    </row>
    <row r="103" spans="1:19" ht="16.5" customHeight="1" x14ac:dyDescent="0.3">
      <c r="A103" s="27" t="s">
        <v>487</v>
      </c>
      <c r="B103" s="28" t="s">
        <v>488</v>
      </c>
      <c r="C103" s="26" t="s">
        <v>1808</v>
      </c>
      <c r="D103" s="31" t="s">
        <v>152</v>
      </c>
      <c r="E103" s="33" t="s">
        <v>1809</v>
      </c>
      <c r="F103" s="34" t="s">
        <v>559</v>
      </c>
      <c r="G103" s="32" t="s">
        <v>1810</v>
      </c>
      <c r="H103" s="37" t="s">
        <v>1791</v>
      </c>
      <c r="I103" s="39" t="s">
        <v>1960</v>
      </c>
      <c r="J103" s="24" t="s">
        <v>62</v>
      </c>
      <c r="K103" s="40"/>
      <c r="L103" s="38" t="s">
        <v>1961</v>
      </c>
      <c r="M103" s="44" t="s">
        <v>37</v>
      </c>
      <c r="N103" s="46" t="s">
        <v>1964</v>
      </c>
      <c r="O103" s="47" t="s">
        <v>683</v>
      </c>
      <c r="P103" s="50"/>
      <c r="Q103" s="45"/>
      <c r="R103" s="25"/>
      <c r="S103" s="52"/>
    </row>
    <row r="104" spans="1:19" ht="16.5" customHeight="1" x14ac:dyDescent="0.3">
      <c r="A104" s="27" t="s">
        <v>487</v>
      </c>
      <c r="B104" s="28" t="s">
        <v>488</v>
      </c>
      <c r="C104" s="26" t="s">
        <v>1808</v>
      </c>
      <c r="D104" s="31" t="s">
        <v>152</v>
      </c>
      <c r="E104" s="33" t="s">
        <v>1809</v>
      </c>
      <c r="F104" s="34" t="s">
        <v>559</v>
      </c>
      <c r="G104" s="32" t="s">
        <v>1810</v>
      </c>
      <c r="H104" s="37" t="s">
        <v>1791</v>
      </c>
      <c r="I104" s="39" t="s">
        <v>1960</v>
      </c>
      <c r="J104" s="24" t="s">
        <v>62</v>
      </c>
      <c r="K104" s="40"/>
      <c r="L104" s="38" t="s">
        <v>1965</v>
      </c>
      <c r="M104" s="44" t="s">
        <v>1625</v>
      </c>
      <c r="N104" s="46" t="s">
        <v>1966</v>
      </c>
      <c r="O104" s="47" t="s">
        <v>686</v>
      </c>
      <c r="P104" s="50"/>
      <c r="Q104" s="45"/>
      <c r="R104" s="25"/>
      <c r="S104" s="52"/>
    </row>
    <row r="105" spans="1:19" ht="16.5" customHeight="1" x14ac:dyDescent="0.3">
      <c r="A105" s="27" t="s">
        <v>487</v>
      </c>
      <c r="B105" s="28" t="s">
        <v>488</v>
      </c>
      <c r="C105" s="26" t="s">
        <v>1808</v>
      </c>
      <c r="D105" s="31" t="s">
        <v>152</v>
      </c>
      <c r="E105" s="33" t="s">
        <v>1809</v>
      </c>
      <c r="F105" s="34" t="s">
        <v>559</v>
      </c>
      <c r="G105" s="32" t="s">
        <v>1810</v>
      </c>
      <c r="H105" s="37" t="s">
        <v>1791</v>
      </c>
      <c r="I105" s="39" t="s">
        <v>1960</v>
      </c>
      <c r="J105" s="24" t="s">
        <v>62</v>
      </c>
      <c r="K105" s="40"/>
      <c r="L105" s="38" t="s">
        <v>1967</v>
      </c>
      <c r="M105" s="44" t="s">
        <v>123</v>
      </c>
      <c r="N105" s="46" t="s">
        <v>1968</v>
      </c>
      <c r="O105" s="47" t="s">
        <v>684</v>
      </c>
      <c r="P105" s="50"/>
      <c r="Q105" s="45"/>
      <c r="R105" s="25"/>
      <c r="S105" s="52"/>
    </row>
    <row r="106" spans="1:19" ht="16.5" customHeight="1" x14ac:dyDescent="0.3">
      <c r="A106" s="27" t="s">
        <v>487</v>
      </c>
      <c r="B106" s="28" t="s">
        <v>488</v>
      </c>
      <c r="C106" s="26" t="s">
        <v>1808</v>
      </c>
      <c r="D106" s="31" t="s">
        <v>152</v>
      </c>
      <c r="E106" s="33" t="s">
        <v>1809</v>
      </c>
      <c r="F106" s="34" t="s">
        <v>559</v>
      </c>
      <c r="G106" s="32" t="s">
        <v>1810</v>
      </c>
      <c r="H106" s="37" t="s">
        <v>1791</v>
      </c>
      <c r="I106" s="39" t="s">
        <v>1969</v>
      </c>
      <c r="J106" s="24" t="s">
        <v>65</v>
      </c>
      <c r="K106" s="40"/>
      <c r="L106" s="38" t="s">
        <v>1970</v>
      </c>
      <c r="M106" s="44" t="s">
        <v>37</v>
      </c>
      <c r="N106" s="46" t="s">
        <v>1971</v>
      </c>
      <c r="O106" s="47" t="s">
        <v>688</v>
      </c>
      <c r="P106" s="50"/>
      <c r="Q106" s="45"/>
      <c r="R106" s="25"/>
      <c r="S106" s="52"/>
    </row>
    <row r="107" spans="1:19" ht="16.5" customHeight="1" x14ac:dyDescent="0.3">
      <c r="A107" s="27" t="s">
        <v>487</v>
      </c>
      <c r="B107" s="28" t="s">
        <v>488</v>
      </c>
      <c r="C107" s="26" t="s">
        <v>1808</v>
      </c>
      <c r="D107" s="31" t="s">
        <v>152</v>
      </c>
      <c r="E107" s="33" t="s">
        <v>1809</v>
      </c>
      <c r="F107" s="34" t="s">
        <v>559</v>
      </c>
      <c r="G107" s="32" t="s">
        <v>1810</v>
      </c>
      <c r="H107" s="37" t="s">
        <v>1791</v>
      </c>
      <c r="I107" s="39" t="s">
        <v>1969</v>
      </c>
      <c r="J107" s="24" t="s">
        <v>65</v>
      </c>
      <c r="K107" s="40"/>
      <c r="L107" s="38" t="s">
        <v>1970</v>
      </c>
      <c r="M107" s="44" t="s">
        <v>37</v>
      </c>
      <c r="N107" s="46" t="s">
        <v>1972</v>
      </c>
      <c r="O107" s="47" t="s">
        <v>687</v>
      </c>
      <c r="P107" s="50"/>
      <c r="Q107" s="45"/>
      <c r="R107" s="25"/>
      <c r="S107" s="52"/>
    </row>
    <row r="108" spans="1:19" ht="16.5" customHeight="1" x14ac:dyDescent="0.3">
      <c r="A108" s="27" t="s">
        <v>487</v>
      </c>
      <c r="B108" s="28" t="s">
        <v>488</v>
      </c>
      <c r="C108" s="26" t="s">
        <v>1808</v>
      </c>
      <c r="D108" s="31" t="s">
        <v>152</v>
      </c>
      <c r="E108" s="33" t="s">
        <v>1809</v>
      </c>
      <c r="F108" s="34" t="s">
        <v>559</v>
      </c>
      <c r="G108" s="32" t="s">
        <v>1810</v>
      </c>
      <c r="H108" s="37" t="s">
        <v>1791</v>
      </c>
      <c r="I108" s="39" t="s">
        <v>1969</v>
      </c>
      <c r="J108" s="24" t="s">
        <v>65</v>
      </c>
      <c r="K108" s="40"/>
      <c r="L108" s="38" t="s">
        <v>1970</v>
      </c>
      <c r="M108" s="44" t="s">
        <v>37</v>
      </c>
      <c r="N108" s="46" t="s">
        <v>1973</v>
      </c>
      <c r="O108" s="47" t="s">
        <v>689</v>
      </c>
      <c r="P108" s="50"/>
      <c r="Q108" s="45"/>
      <c r="R108" s="25"/>
      <c r="S108" s="52"/>
    </row>
    <row r="109" spans="1:19" ht="16.5" customHeight="1" x14ac:dyDescent="0.3">
      <c r="A109" s="27" t="s">
        <v>487</v>
      </c>
      <c r="B109" s="28" t="s">
        <v>488</v>
      </c>
      <c r="C109" s="26" t="s">
        <v>1808</v>
      </c>
      <c r="D109" s="31" t="s">
        <v>152</v>
      </c>
      <c r="E109" s="33" t="s">
        <v>1809</v>
      </c>
      <c r="F109" s="34" t="s">
        <v>559</v>
      </c>
      <c r="G109" s="32" t="s">
        <v>1810</v>
      </c>
      <c r="H109" s="37" t="s">
        <v>1791</v>
      </c>
      <c r="I109" s="39" t="s">
        <v>1969</v>
      </c>
      <c r="J109" s="24" t="s">
        <v>65</v>
      </c>
      <c r="K109" s="40"/>
      <c r="L109" s="38" t="s">
        <v>1974</v>
      </c>
      <c r="M109" s="44" t="s">
        <v>1625</v>
      </c>
      <c r="N109" s="46" t="s">
        <v>1975</v>
      </c>
      <c r="O109" s="47" t="s">
        <v>1467</v>
      </c>
      <c r="P109" s="50"/>
      <c r="Q109" s="45"/>
      <c r="R109" s="25"/>
      <c r="S109" s="52"/>
    </row>
    <row r="110" spans="1:19" ht="16.5" customHeight="1" x14ac:dyDescent="0.3">
      <c r="A110" s="27" t="s">
        <v>487</v>
      </c>
      <c r="B110" s="28" t="s">
        <v>488</v>
      </c>
      <c r="C110" s="26" t="s">
        <v>1808</v>
      </c>
      <c r="D110" s="31" t="s">
        <v>152</v>
      </c>
      <c r="E110" s="33" t="s">
        <v>1809</v>
      </c>
      <c r="F110" s="34" t="s">
        <v>559</v>
      </c>
      <c r="G110" s="32" t="s">
        <v>1810</v>
      </c>
      <c r="H110" s="37" t="s">
        <v>1791</v>
      </c>
      <c r="I110" s="39" t="s">
        <v>1969</v>
      </c>
      <c r="J110" s="24" t="s">
        <v>65</v>
      </c>
      <c r="K110" s="40"/>
      <c r="L110" s="38" t="s">
        <v>1976</v>
      </c>
      <c r="M110" s="44" t="s">
        <v>123</v>
      </c>
      <c r="N110" s="46" t="s">
        <v>1977</v>
      </c>
      <c r="O110" s="47" t="s">
        <v>690</v>
      </c>
      <c r="P110" s="50"/>
      <c r="Q110" s="45"/>
      <c r="R110" s="25"/>
      <c r="S110" s="52"/>
    </row>
    <row r="111" spans="1:19" ht="16.5" customHeight="1" x14ac:dyDescent="0.3">
      <c r="A111" s="27" t="s">
        <v>487</v>
      </c>
      <c r="B111" s="28" t="s">
        <v>488</v>
      </c>
      <c r="C111" s="26" t="s">
        <v>1808</v>
      </c>
      <c r="D111" s="31" t="s">
        <v>152</v>
      </c>
      <c r="E111" s="33" t="s">
        <v>1809</v>
      </c>
      <c r="F111" s="34" t="s">
        <v>559</v>
      </c>
      <c r="G111" s="32" t="s">
        <v>1810</v>
      </c>
      <c r="H111" s="37" t="s">
        <v>1791</v>
      </c>
      <c r="I111" s="39" t="s">
        <v>1978</v>
      </c>
      <c r="J111" s="24" t="s">
        <v>68</v>
      </c>
      <c r="K111" s="40"/>
      <c r="L111" s="38" t="s">
        <v>1979</v>
      </c>
      <c r="M111" s="44" t="s">
        <v>37</v>
      </c>
      <c r="N111" s="46" t="s">
        <v>1980</v>
      </c>
      <c r="O111" s="47" t="s">
        <v>691</v>
      </c>
      <c r="P111" s="50"/>
      <c r="Q111" s="45"/>
      <c r="R111" s="25"/>
      <c r="S111" s="52"/>
    </row>
    <row r="112" spans="1:19" ht="16.5" customHeight="1" x14ac:dyDescent="0.3">
      <c r="A112" s="27" t="s">
        <v>487</v>
      </c>
      <c r="B112" s="28" t="s">
        <v>488</v>
      </c>
      <c r="C112" s="26" t="s">
        <v>1808</v>
      </c>
      <c r="D112" s="31" t="s">
        <v>152</v>
      </c>
      <c r="E112" s="33" t="s">
        <v>1809</v>
      </c>
      <c r="F112" s="34" t="s">
        <v>559</v>
      </c>
      <c r="G112" s="32" t="s">
        <v>1810</v>
      </c>
      <c r="H112" s="37" t="s">
        <v>1791</v>
      </c>
      <c r="I112" s="39" t="s">
        <v>1978</v>
      </c>
      <c r="J112" s="24" t="s">
        <v>68</v>
      </c>
      <c r="K112" s="40"/>
      <c r="L112" s="38" t="s">
        <v>1979</v>
      </c>
      <c r="M112" s="44" t="s">
        <v>37</v>
      </c>
      <c r="N112" s="46" t="s">
        <v>1981</v>
      </c>
      <c r="O112" s="47" t="s">
        <v>692</v>
      </c>
      <c r="P112" s="50"/>
      <c r="Q112" s="45"/>
      <c r="R112" s="25"/>
      <c r="S112" s="52"/>
    </row>
    <row r="113" spans="1:19" ht="16.5" customHeight="1" x14ac:dyDescent="0.3">
      <c r="A113" s="27" t="s">
        <v>487</v>
      </c>
      <c r="B113" s="28" t="s">
        <v>488</v>
      </c>
      <c r="C113" s="26" t="s">
        <v>1808</v>
      </c>
      <c r="D113" s="31" t="s">
        <v>152</v>
      </c>
      <c r="E113" s="33" t="s">
        <v>1809</v>
      </c>
      <c r="F113" s="34" t="s">
        <v>559</v>
      </c>
      <c r="G113" s="32" t="s">
        <v>1810</v>
      </c>
      <c r="H113" s="37" t="s">
        <v>1791</v>
      </c>
      <c r="I113" s="39" t="s">
        <v>1978</v>
      </c>
      <c r="J113" s="24" t="s">
        <v>68</v>
      </c>
      <c r="K113" s="40"/>
      <c r="L113" s="38" t="s">
        <v>1979</v>
      </c>
      <c r="M113" s="44" t="s">
        <v>37</v>
      </c>
      <c r="N113" s="46" t="s">
        <v>1982</v>
      </c>
      <c r="O113" s="47" t="s">
        <v>693</v>
      </c>
      <c r="P113" s="50"/>
      <c r="Q113" s="45"/>
      <c r="R113" s="25"/>
      <c r="S113" s="52"/>
    </row>
    <row r="114" spans="1:19" ht="16.5" customHeight="1" x14ac:dyDescent="0.3">
      <c r="A114" s="27" t="s">
        <v>487</v>
      </c>
      <c r="B114" s="28" t="s">
        <v>488</v>
      </c>
      <c r="C114" s="26" t="s">
        <v>1808</v>
      </c>
      <c r="D114" s="31" t="s">
        <v>152</v>
      </c>
      <c r="E114" s="33" t="s">
        <v>1809</v>
      </c>
      <c r="F114" s="34" t="s">
        <v>559</v>
      </c>
      <c r="G114" s="32" t="s">
        <v>1810</v>
      </c>
      <c r="H114" s="37" t="s">
        <v>1791</v>
      </c>
      <c r="I114" s="39" t="s">
        <v>1978</v>
      </c>
      <c r="J114" s="24" t="s">
        <v>68</v>
      </c>
      <c r="K114" s="40"/>
      <c r="L114" s="38" t="s">
        <v>1983</v>
      </c>
      <c r="M114" s="44" t="s">
        <v>1625</v>
      </c>
      <c r="N114" s="46" t="s">
        <v>1984</v>
      </c>
      <c r="O114" s="47" t="s">
        <v>694</v>
      </c>
      <c r="P114" s="50"/>
      <c r="Q114" s="45"/>
      <c r="R114" s="25"/>
      <c r="S114" s="52"/>
    </row>
    <row r="115" spans="1:19" ht="16.5" customHeight="1" x14ac:dyDescent="0.3">
      <c r="A115" s="27" t="s">
        <v>487</v>
      </c>
      <c r="B115" s="28" t="s">
        <v>488</v>
      </c>
      <c r="C115" s="26" t="s">
        <v>1808</v>
      </c>
      <c r="D115" s="31" t="s">
        <v>152</v>
      </c>
      <c r="E115" s="33" t="s">
        <v>1809</v>
      </c>
      <c r="F115" s="34" t="s">
        <v>559</v>
      </c>
      <c r="G115" s="32" t="s">
        <v>1810</v>
      </c>
      <c r="H115" s="37" t="s">
        <v>1791</v>
      </c>
      <c r="I115" s="39" t="s">
        <v>1978</v>
      </c>
      <c r="J115" s="24" t="s">
        <v>68</v>
      </c>
      <c r="K115" s="40"/>
      <c r="L115" s="38" t="s">
        <v>1985</v>
      </c>
      <c r="M115" s="44" t="s">
        <v>123</v>
      </c>
      <c r="N115" s="46" t="s">
        <v>1986</v>
      </c>
      <c r="O115" s="47" t="s">
        <v>695</v>
      </c>
      <c r="P115" s="50"/>
      <c r="Q115" s="45"/>
      <c r="R115" s="25"/>
      <c r="S115" s="52"/>
    </row>
    <row r="116" spans="1:19" ht="16.5" customHeight="1" x14ac:dyDescent="0.3">
      <c r="A116" s="27" t="s">
        <v>487</v>
      </c>
      <c r="B116" s="28" t="s">
        <v>488</v>
      </c>
      <c r="C116" s="26" t="s">
        <v>1808</v>
      </c>
      <c r="D116" s="31" t="s">
        <v>152</v>
      </c>
      <c r="E116" s="33" t="s">
        <v>1809</v>
      </c>
      <c r="F116" s="34" t="s">
        <v>559</v>
      </c>
      <c r="G116" s="32" t="s">
        <v>1810</v>
      </c>
      <c r="H116" s="37" t="s">
        <v>1791</v>
      </c>
      <c r="I116" s="39" t="s">
        <v>1987</v>
      </c>
      <c r="J116" s="24" t="s">
        <v>70</v>
      </c>
      <c r="K116" s="40"/>
      <c r="L116" s="38" t="s">
        <v>1988</v>
      </c>
      <c r="M116" s="44" t="s">
        <v>26</v>
      </c>
      <c r="N116" s="46" t="s">
        <v>1989</v>
      </c>
      <c r="O116" s="47" t="s">
        <v>72</v>
      </c>
      <c r="P116" s="50"/>
      <c r="Q116" s="45"/>
      <c r="R116" s="25"/>
      <c r="S116" s="52"/>
    </row>
    <row r="117" spans="1:19" ht="16.5" customHeight="1" x14ac:dyDescent="0.3">
      <c r="A117" s="27" t="s">
        <v>487</v>
      </c>
      <c r="B117" s="28" t="s">
        <v>488</v>
      </c>
      <c r="C117" s="26" t="s">
        <v>1808</v>
      </c>
      <c r="D117" s="31" t="s">
        <v>152</v>
      </c>
      <c r="E117" s="33" t="s">
        <v>1809</v>
      </c>
      <c r="F117" s="34" t="s">
        <v>559</v>
      </c>
      <c r="G117" s="32" t="s">
        <v>1810</v>
      </c>
      <c r="H117" s="37" t="s">
        <v>1791</v>
      </c>
      <c r="I117" s="39" t="s">
        <v>1987</v>
      </c>
      <c r="J117" s="24" t="s">
        <v>70</v>
      </c>
      <c r="K117" s="40"/>
      <c r="L117" s="38" t="s">
        <v>1988</v>
      </c>
      <c r="M117" s="44" t="s">
        <v>26</v>
      </c>
      <c r="N117" s="46" t="s">
        <v>1990</v>
      </c>
      <c r="O117" s="47" t="s">
        <v>696</v>
      </c>
      <c r="P117" s="50"/>
      <c r="Q117" s="45"/>
      <c r="R117" s="25"/>
      <c r="S117" s="52"/>
    </row>
    <row r="118" spans="1:19" ht="16.5" customHeight="1" x14ac:dyDescent="0.3">
      <c r="A118" s="27" t="s">
        <v>487</v>
      </c>
      <c r="B118" s="28" t="s">
        <v>488</v>
      </c>
      <c r="C118" s="26" t="s">
        <v>1808</v>
      </c>
      <c r="D118" s="31" t="s">
        <v>152</v>
      </c>
      <c r="E118" s="33" t="s">
        <v>1809</v>
      </c>
      <c r="F118" s="34" t="s">
        <v>559</v>
      </c>
      <c r="G118" s="32" t="s">
        <v>1991</v>
      </c>
      <c r="H118" s="37" t="s">
        <v>1356</v>
      </c>
      <c r="I118" s="39" t="s">
        <v>1992</v>
      </c>
      <c r="J118" s="24" t="s">
        <v>883</v>
      </c>
      <c r="K118" s="40"/>
      <c r="L118" s="38" t="s">
        <v>1993</v>
      </c>
      <c r="M118" s="44" t="s">
        <v>123</v>
      </c>
      <c r="N118" s="46" t="s">
        <v>1994</v>
      </c>
      <c r="O118" s="47" t="s">
        <v>884</v>
      </c>
      <c r="P118" s="50"/>
      <c r="Q118" s="45"/>
      <c r="R118" s="25"/>
      <c r="S118" s="52"/>
    </row>
    <row r="119" spans="1:19" ht="16.5" customHeight="1" x14ac:dyDescent="0.3">
      <c r="A119" s="27" t="s">
        <v>487</v>
      </c>
      <c r="B119" s="28" t="s">
        <v>488</v>
      </c>
      <c r="C119" s="26" t="s">
        <v>1808</v>
      </c>
      <c r="D119" s="31" t="s">
        <v>152</v>
      </c>
      <c r="E119" s="33" t="s">
        <v>1809</v>
      </c>
      <c r="F119" s="34" t="s">
        <v>559</v>
      </c>
      <c r="G119" s="32" t="s">
        <v>1991</v>
      </c>
      <c r="H119" s="37" t="s">
        <v>1356</v>
      </c>
      <c r="I119" s="39" t="s">
        <v>1992</v>
      </c>
      <c r="J119" s="24" t="s">
        <v>883</v>
      </c>
      <c r="K119" s="40"/>
      <c r="L119" s="38" t="s">
        <v>1993</v>
      </c>
      <c r="M119" s="44" t="s">
        <v>123</v>
      </c>
      <c r="N119" s="46" t="s">
        <v>1995</v>
      </c>
      <c r="O119" s="47" t="s">
        <v>885</v>
      </c>
      <c r="P119" s="50"/>
      <c r="Q119" s="45"/>
      <c r="R119" s="25"/>
      <c r="S119" s="52"/>
    </row>
    <row r="120" spans="1:19" ht="16.5" customHeight="1" x14ac:dyDescent="0.3">
      <c r="A120" s="27" t="s">
        <v>487</v>
      </c>
      <c r="B120" s="28" t="s">
        <v>488</v>
      </c>
      <c r="C120" s="26" t="s">
        <v>1808</v>
      </c>
      <c r="D120" s="31" t="s">
        <v>152</v>
      </c>
      <c r="E120" s="33" t="s">
        <v>1809</v>
      </c>
      <c r="F120" s="34" t="s">
        <v>559</v>
      </c>
      <c r="G120" s="32" t="s">
        <v>1991</v>
      </c>
      <c r="H120" s="37" t="s">
        <v>1356</v>
      </c>
      <c r="I120" s="39" t="s">
        <v>1992</v>
      </c>
      <c r="J120" s="24" t="s">
        <v>883</v>
      </c>
      <c r="K120" s="40"/>
      <c r="L120" s="38" t="s">
        <v>1993</v>
      </c>
      <c r="M120" s="44" t="s">
        <v>123</v>
      </c>
      <c r="N120" s="46" t="s">
        <v>1996</v>
      </c>
      <c r="O120" s="47" t="s">
        <v>886</v>
      </c>
      <c r="P120" s="50"/>
      <c r="Q120" s="45"/>
      <c r="R120" s="25"/>
      <c r="S120" s="52"/>
    </row>
    <row r="121" spans="1:19" ht="16.5" customHeight="1" x14ac:dyDescent="0.3">
      <c r="A121" s="27" t="s">
        <v>487</v>
      </c>
      <c r="B121" s="28" t="s">
        <v>488</v>
      </c>
      <c r="C121" s="26" t="s">
        <v>1808</v>
      </c>
      <c r="D121" s="31" t="s">
        <v>152</v>
      </c>
      <c r="E121" s="33" t="s">
        <v>1809</v>
      </c>
      <c r="F121" s="34" t="s">
        <v>559</v>
      </c>
      <c r="G121" s="32" t="s">
        <v>1991</v>
      </c>
      <c r="H121" s="37" t="s">
        <v>1356</v>
      </c>
      <c r="I121" s="39" t="s">
        <v>1992</v>
      </c>
      <c r="J121" s="24" t="s">
        <v>883</v>
      </c>
      <c r="K121" s="40"/>
      <c r="L121" s="38" t="s">
        <v>1993</v>
      </c>
      <c r="M121" s="44" t="s">
        <v>123</v>
      </c>
      <c r="N121" s="46" t="s">
        <v>1997</v>
      </c>
      <c r="O121" s="47" t="s">
        <v>887</v>
      </c>
      <c r="P121" s="50"/>
      <c r="Q121" s="45"/>
      <c r="R121" s="25"/>
      <c r="S121" s="52"/>
    </row>
    <row r="122" spans="1:19" ht="16.5" customHeight="1" x14ac:dyDescent="0.3">
      <c r="A122" s="27" t="s">
        <v>487</v>
      </c>
      <c r="B122" s="28" t="s">
        <v>488</v>
      </c>
      <c r="C122" s="26" t="s">
        <v>1808</v>
      </c>
      <c r="D122" s="31" t="s">
        <v>152</v>
      </c>
      <c r="E122" s="33" t="s">
        <v>1809</v>
      </c>
      <c r="F122" s="34" t="s">
        <v>559</v>
      </c>
      <c r="G122" s="32" t="s">
        <v>1991</v>
      </c>
      <c r="H122" s="37" t="s">
        <v>1356</v>
      </c>
      <c r="I122" s="39" t="s">
        <v>1992</v>
      </c>
      <c r="J122" s="24" t="s">
        <v>883</v>
      </c>
      <c r="K122" s="40"/>
      <c r="L122" s="38" t="s">
        <v>1993</v>
      </c>
      <c r="M122" s="44" t="s">
        <v>123</v>
      </c>
      <c r="N122" s="46" t="s">
        <v>1998</v>
      </c>
      <c r="O122" s="47" t="s">
        <v>1333</v>
      </c>
      <c r="P122" s="50"/>
      <c r="Q122" s="45"/>
      <c r="R122" s="25"/>
      <c r="S122" s="52"/>
    </row>
    <row r="123" spans="1:19" ht="16.5" customHeight="1" x14ac:dyDescent="0.3">
      <c r="A123" s="27" t="s">
        <v>487</v>
      </c>
      <c r="B123" s="28" t="s">
        <v>488</v>
      </c>
      <c r="C123" s="26" t="s">
        <v>1808</v>
      </c>
      <c r="D123" s="31" t="s">
        <v>152</v>
      </c>
      <c r="E123" s="33" t="s">
        <v>1809</v>
      </c>
      <c r="F123" s="34" t="s">
        <v>559</v>
      </c>
      <c r="G123" s="32" t="s">
        <v>1991</v>
      </c>
      <c r="H123" s="37" t="s">
        <v>1356</v>
      </c>
      <c r="I123" s="39" t="s">
        <v>1992</v>
      </c>
      <c r="J123" s="24" t="s">
        <v>883</v>
      </c>
      <c r="K123" s="40"/>
      <c r="L123" s="38" t="s">
        <v>1993</v>
      </c>
      <c r="M123" s="44" t="s">
        <v>123</v>
      </c>
      <c r="N123" s="46" t="s">
        <v>1999</v>
      </c>
      <c r="O123" s="47" t="s">
        <v>1334</v>
      </c>
      <c r="P123" s="50"/>
      <c r="Q123" s="45"/>
      <c r="R123" s="25"/>
      <c r="S123" s="52"/>
    </row>
    <row r="124" spans="1:19" ht="16.5" customHeight="1" x14ac:dyDescent="0.3">
      <c r="A124" s="27" t="s">
        <v>487</v>
      </c>
      <c r="B124" s="28" t="s">
        <v>488</v>
      </c>
      <c r="C124" s="26" t="s">
        <v>1808</v>
      </c>
      <c r="D124" s="31" t="s">
        <v>152</v>
      </c>
      <c r="E124" s="33" t="s">
        <v>1809</v>
      </c>
      <c r="F124" s="34" t="s">
        <v>559</v>
      </c>
      <c r="G124" s="32" t="s">
        <v>1991</v>
      </c>
      <c r="H124" s="37" t="s">
        <v>1356</v>
      </c>
      <c r="I124" s="39" t="s">
        <v>1992</v>
      </c>
      <c r="J124" s="24" t="s">
        <v>883</v>
      </c>
      <c r="K124" s="40"/>
      <c r="L124" s="38" t="s">
        <v>1993</v>
      </c>
      <c r="M124" s="44" t="s">
        <v>123</v>
      </c>
      <c r="N124" s="46" t="s">
        <v>2000</v>
      </c>
      <c r="O124" s="47" t="s">
        <v>888</v>
      </c>
      <c r="P124" s="50"/>
      <c r="Q124" s="45"/>
      <c r="R124" s="25"/>
      <c r="S124" s="52"/>
    </row>
    <row r="125" spans="1:19" ht="16.5" customHeight="1" x14ac:dyDescent="0.3">
      <c r="A125" s="27" t="s">
        <v>487</v>
      </c>
      <c r="B125" s="28" t="s">
        <v>488</v>
      </c>
      <c r="C125" s="26" t="s">
        <v>1808</v>
      </c>
      <c r="D125" s="31" t="s">
        <v>152</v>
      </c>
      <c r="E125" s="33" t="s">
        <v>1809</v>
      </c>
      <c r="F125" s="34" t="s">
        <v>559</v>
      </c>
      <c r="G125" s="32" t="s">
        <v>1991</v>
      </c>
      <c r="H125" s="37" t="s">
        <v>1356</v>
      </c>
      <c r="I125" s="39" t="s">
        <v>1992</v>
      </c>
      <c r="J125" s="24" t="s">
        <v>883</v>
      </c>
      <c r="K125" s="40"/>
      <c r="L125" s="38" t="s">
        <v>1993</v>
      </c>
      <c r="M125" s="44" t="s">
        <v>123</v>
      </c>
      <c r="N125" s="46" t="s">
        <v>2001</v>
      </c>
      <c r="O125" s="47" t="s">
        <v>889</v>
      </c>
      <c r="P125" s="50"/>
      <c r="Q125" s="45"/>
      <c r="R125" s="25"/>
      <c r="S125" s="52"/>
    </row>
    <row r="126" spans="1:19" ht="16.5" customHeight="1" x14ac:dyDescent="0.3">
      <c r="A126" s="27" t="s">
        <v>487</v>
      </c>
      <c r="B126" s="28" t="s">
        <v>488</v>
      </c>
      <c r="C126" s="26" t="s">
        <v>1808</v>
      </c>
      <c r="D126" s="31" t="s">
        <v>152</v>
      </c>
      <c r="E126" s="33" t="s">
        <v>1809</v>
      </c>
      <c r="F126" s="34" t="s">
        <v>559</v>
      </c>
      <c r="G126" s="32" t="s">
        <v>1991</v>
      </c>
      <c r="H126" s="37" t="s">
        <v>1356</v>
      </c>
      <c r="I126" s="39" t="s">
        <v>1992</v>
      </c>
      <c r="J126" s="24" t="s">
        <v>883</v>
      </c>
      <c r="K126" s="40"/>
      <c r="L126" s="38" t="s">
        <v>1993</v>
      </c>
      <c r="M126" s="44" t="s">
        <v>123</v>
      </c>
      <c r="N126" s="46" t="s">
        <v>2002</v>
      </c>
      <c r="O126" s="47" t="s">
        <v>890</v>
      </c>
      <c r="P126" s="50"/>
      <c r="Q126" s="45"/>
      <c r="R126" s="25"/>
      <c r="S126" s="52"/>
    </row>
    <row r="127" spans="1:19" ht="16.5" customHeight="1" x14ac:dyDescent="0.3">
      <c r="A127" s="27" t="s">
        <v>487</v>
      </c>
      <c r="B127" s="28" t="s">
        <v>488</v>
      </c>
      <c r="C127" s="26" t="s">
        <v>1808</v>
      </c>
      <c r="D127" s="31" t="s">
        <v>152</v>
      </c>
      <c r="E127" s="33" t="s">
        <v>1809</v>
      </c>
      <c r="F127" s="34" t="s">
        <v>559</v>
      </c>
      <c r="G127" s="32" t="s">
        <v>1991</v>
      </c>
      <c r="H127" s="37" t="s">
        <v>1356</v>
      </c>
      <c r="I127" s="39" t="s">
        <v>1992</v>
      </c>
      <c r="J127" s="24" t="s">
        <v>883</v>
      </c>
      <c r="K127" s="40"/>
      <c r="L127" s="38" t="s">
        <v>1993</v>
      </c>
      <c r="M127" s="44" t="s">
        <v>123</v>
      </c>
      <c r="N127" s="46" t="s">
        <v>2003</v>
      </c>
      <c r="O127" s="47" t="s">
        <v>892</v>
      </c>
      <c r="P127" s="50"/>
      <c r="Q127" s="45"/>
      <c r="R127" s="25"/>
      <c r="S127" s="52"/>
    </row>
    <row r="128" spans="1:19" ht="16.5" customHeight="1" x14ac:dyDescent="0.3">
      <c r="A128" s="27" t="s">
        <v>487</v>
      </c>
      <c r="B128" s="28" t="s">
        <v>488</v>
      </c>
      <c r="C128" s="26" t="s">
        <v>1808</v>
      </c>
      <c r="D128" s="31" t="s">
        <v>152</v>
      </c>
      <c r="E128" s="33" t="s">
        <v>1809</v>
      </c>
      <c r="F128" s="34" t="s">
        <v>559</v>
      </c>
      <c r="G128" s="32" t="s">
        <v>1991</v>
      </c>
      <c r="H128" s="37" t="s">
        <v>1356</v>
      </c>
      <c r="I128" s="39" t="s">
        <v>1992</v>
      </c>
      <c r="J128" s="24" t="s">
        <v>883</v>
      </c>
      <c r="K128" s="40"/>
      <c r="L128" s="38" t="s">
        <v>1993</v>
      </c>
      <c r="M128" s="44" t="s">
        <v>123</v>
      </c>
      <c r="N128" s="46" t="s">
        <v>2004</v>
      </c>
      <c r="O128" s="47" t="s">
        <v>893</v>
      </c>
      <c r="P128" s="50"/>
      <c r="Q128" s="45"/>
      <c r="R128" s="25"/>
      <c r="S128" s="52"/>
    </row>
    <row r="129" spans="1:19" ht="16.5" customHeight="1" x14ac:dyDescent="0.3">
      <c r="A129" s="27" t="s">
        <v>487</v>
      </c>
      <c r="B129" s="28" t="s">
        <v>488</v>
      </c>
      <c r="C129" s="26" t="s">
        <v>1808</v>
      </c>
      <c r="D129" s="31" t="s">
        <v>152</v>
      </c>
      <c r="E129" s="33" t="s">
        <v>1809</v>
      </c>
      <c r="F129" s="34" t="s">
        <v>559</v>
      </c>
      <c r="G129" s="32" t="s">
        <v>1991</v>
      </c>
      <c r="H129" s="37" t="s">
        <v>1356</v>
      </c>
      <c r="I129" s="39" t="s">
        <v>1992</v>
      </c>
      <c r="J129" s="24" t="s">
        <v>883</v>
      </c>
      <c r="K129" s="40"/>
      <c r="L129" s="38" t="s">
        <v>1993</v>
      </c>
      <c r="M129" s="44" t="s">
        <v>123</v>
      </c>
      <c r="N129" s="46" t="s">
        <v>2005</v>
      </c>
      <c r="O129" s="47" t="s">
        <v>894</v>
      </c>
      <c r="P129" s="50"/>
      <c r="Q129" s="45"/>
      <c r="R129" s="25"/>
      <c r="S129" s="52"/>
    </row>
    <row r="130" spans="1:19" ht="16.5" customHeight="1" x14ac:dyDescent="0.3">
      <c r="A130" s="27" t="s">
        <v>487</v>
      </c>
      <c r="B130" s="28" t="s">
        <v>488</v>
      </c>
      <c r="C130" s="26" t="s">
        <v>1808</v>
      </c>
      <c r="D130" s="31" t="s">
        <v>152</v>
      </c>
      <c r="E130" s="33" t="s">
        <v>1809</v>
      </c>
      <c r="F130" s="34" t="s">
        <v>559</v>
      </c>
      <c r="G130" s="32" t="s">
        <v>1991</v>
      </c>
      <c r="H130" s="37" t="s">
        <v>1356</v>
      </c>
      <c r="I130" s="39" t="s">
        <v>1992</v>
      </c>
      <c r="J130" s="24" t="s">
        <v>883</v>
      </c>
      <c r="K130" s="40"/>
      <c r="L130" s="38" t="s">
        <v>1993</v>
      </c>
      <c r="M130" s="44" t="s">
        <v>123</v>
      </c>
      <c r="N130" s="46" t="s">
        <v>2006</v>
      </c>
      <c r="O130" s="47" t="s">
        <v>1331</v>
      </c>
      <c r="P130" s="50"/>
      <c r="Q130" s="45"/>
      <c r="R130" s="25"/>
      <c r="S130" s="52"/>
    </row>
    <row r="131" spans="1:19" ht="16.5" customHeight="1" x14ac:dyDescent="0.3">
      <c r="A131" s="27" t="s">
        <v>487</v>
      </c>
      <c r="B131" s="28" t="s">
        <v>488</v>
      </c>
      <c r="C131" s="26" t="s">
        <v>1808</v>
      </c>
      <c r="D131" s="31" t="s">
        <v>152</v>
      </c>
      <c r="E131" s="33" t="s">
        <v>1809</v>
      </c>
      <c r="F131" s="34" t="s">
        <v>559</v>
      </c>
      <c r="G131" s="32" t="s">
        <v>1991</v>
      </c>
      <c r="H131" s="37" t="s">
        <v>1356</v>
      </c>
      <c r="I131" s="39" t="s">
        <v>1992</v>
      </c>
      <c r="J131" s="24" t="s">
        <v>883</v>
      </c>
      <c r="K131" s="40"/>
      <c r="L131" s="38" t="s">
        <v>1993</v>
      </c>
      <c r="M131" s="44" t="s">
        <v>123</v>
      </c>
      <c r="N131" s="46" t="s">
        <v>2007</v>
      </c>
      <c r="O131" s="47" t="s">
        <v>1332</v>
      </c>
      <c r="P131" s="50"/>
      <c r="Q131" s="45"/>
      <c r="R131" s="25"/>
      <c r="S131" s="52"/>
    </row>
    <row r="132" spans="1:19" ht="16.5" customHeight="1" x14ac:dyDescent="0.3">
      <c r="A132" s="27" t="s">
        <v>487</v>
      </c>
      <c r="B132" s="28" t="s">
        <v>488</v>
      </c>
      <c r="C132" s="26" t="s">
        <v>1808</v>
      </c>
      <c r="D132" s="31" t="s">
        <v>152</v>
      </c>
      <c r="E132" s="33" t="s">
        <v>1809</v>
      </c>
      <c r="F132" s="34" t="s">
        <v>559</v>
      </c>
      <c r="G132" s="32" t="s">
        <v>1991</v>
      </c>
      <c r="H132" s="37" t="s">
        <v>1356</v>
      </c>
      <c r="I132" s="39" t="s">
        <v>1992</v>
      </c>
      <c r="J132" s="24" t="s">
        <v>883</v>
      </c>
      <c r="K132" s="40"/>
      <c r="L132" s="38" t="s">
        <v>1993</v>
      </c>
      <c r="M132" s="44" t="s">
        <v>123</v>
      </c>
      <c r="N132" s="46" t="s">
        <v>2008</v>
      </c>
      <c r="O132" s="47" t="s">
        <v>895</v>
      </c>
      <c r="P132" s="50"/>
      <c r="Q132" s="45"/>
      <c r="R132" s="25"/>
      <c r="S132" s="52"/>
    </row>
    <row r="133" spans="1:19" ht="16.5" customHeight="1" x14ac:dyDescent="0.3">
      <c r="A133" s="27" t="s">
        <v>487</v>
      </c>
      <c r="B133" s="28" t="s">
        <v>488</v>
      </c>
      <c r="C133" s="26" t="s">
        <v>1808</v>
      </c>
      <c r="D133" s="31" t="s">
        <v>152</v>
      </c>
      <c r="E133" s="33" t="s">
        <v>1809</v>
      </c>
      <c r="F133" s="34" t="s">
        <v>559</v>
      </c>
      <c r="G133" s="32" t="s">
        <v>1991</v>
      </c>
      <c r="H133" s="37" t="s">
        <v>1356</v>
      </c>
      <c r="I133" s="39" t="s">
        <v>1992</v>
      </c>
      <c r="J133" s="24" t="s">
        <v>883</v>
      </c>
      <c r="K133" s="40"/>
      <c r="L133" s="38" t="s">
        <v>1993</v>
      </c>
      <c r="M133" s="44" t="s">
        <v>123</v>
      </c>
      <c r="N133" s="46" t="s">
        <v>2009</v>
      </c>
      <c r="O133" s="47" t="s">
        <v>896</v>
      </c>
      <c r="P133" s="50"/>
      <c r="Q133" s="45"/>
      <c r="R133" s="25"/>
      <c r="S133" s="52"/>
    </row>
    <row r="134" spans="1:19" ht="16.5" customHeight="1" x14ac:dyDescent="0.3">
      <c r="A134" s="27" t="s">
        <v>487</v>
      </c>
      <c r="B134" s="28" t="s">
        <v>488</v>
      </c>
      <c r="C134" s="26" t="s">
        <v>1808</v>
      </c>
      <c r="D134" s="31" t="s">
        <v>152</v>
      </c>
      <c r="E134" s="33" t="s">
        <v>1809</v>
      </c>
      <c r="F134" s="34" t="s">
        <v>559</v>
      </c>
      <c r="G134" s="32" t="s">
        <v>1991</v>
      </c>
      <c r="H134" s="37" t="s">
        <v>1356</v>
      </c>
      <c r="I134" s="39" t="s">
        <v>1992</v>
      </c>
      <c r="J134" s="24" t="s">
        <v>883</v>
      </c>
      <c r="K134" s="40"/>
      <c r="L134" s="38" t="s">
        <v>1993</v>
      </c>
      <c r="M134" s="44" t="s">
        <v>123</v>
      </c>
      <c r="N134" s="46" t="s">
        <v>2010</v>
      </c>
      <c r="O134" s="47" t="s">
        <v>891</v>
      </c>
      <c r="P134" s="50"/>
      <c r="Q134" s="45"/>
      <c r="R134" s="25"/>
      <c r="S134" s="52"/>
    </row>
    <row r="135" spans="1:19" ht="16.5" customHeight="1" x14ac:dyDescent="0.3">
      <c r="A135" s="27" t="s">
        <v>487</v>
      </c>
      <c r="B135" s="28" t="s">
        <v>488</v>
      </c>
      <c r="C135" s="26" t="s">
        <v>1808</v>
      </c>
      <c r="D135" s="31" t="s">
        <v>152</v>
      </c>
      <c r="E135" s="33" t="s">
        <v>1809</v>
      </c>
      <c r="F135" s="34" t="s">
        <v>559</v>
      </c>
      <c r="G135" s="32" t="s">
        <v>1991</v>
      </c>
      <c r="H135" s="37" t="s">
        <v>1356</v>
      </c>
      <c r="I135" s="39" t="s">
        <v>1992</v>
      </c>
      <c r="J135" s="24" t="s">
        <v>883</v>
      </c>
      <c r="K135" s="40"/>
      <c r="L135" s="38" t="s">
        <v>1993</v>
      </c>
      <c r="M135" s="44" t="s">
        <v>123</v>
      </c>
      <c r="N135" s="46" t="s">
        <v>2011</v>
      </c>
      <c r="O135" s="47" t="s">
        <v>898</v>
      </c>
      <c r="P135" s="50"/>
      <c r="Q135" s="45"/>
      <c r="R135" s="25"/>
      <c r="S135" s="52"/>
    </row>
    <row r="136" spans="1:19" ht="16.5" customHeight="1" x14ac:dyDescent="0.3">
      <c r="A136" s="27" t="s">
        <v>487</v>
      </c>
      <c r="B136" s="28" t="s">
        <v>488</v>
      </c>
      <c r="C136" s="26" t="s">
        <v>1808</v>
      </c>
      <c r="D136" s="31" t="s">
        <v>152</v>
      </c>
      <c r="E136" s="33" t="s">
        <v>1809</v>
      </c>
      <c r="F136" s="34" t="s">
        <v>559</v>
      </c>
      <c r="G136" s="32" t="s">
        <v>1991</v>
      </c>
      <c r="H136" s="37" t="s">
        <v>1356</v>
      </c>
      <c r="I136" s="39" t="s">
        <v>1992</v>
      </c>
      <c r="J136" s="24" t="s">
        <v>883</v>
      </c>
      <c r="K136" s="40"/>
      <c r="L136" s="38" t="s">
        <v>1993</v>
      </c>
      <c r="M136" s="44" t="s">
        <v>123</v>
      </c>
      <c r="N136" s="46" t="s">
        <v>2012</v>
      </c>
      <c r="O136" s="47" t="s">
        <v>899</v>
      </c>
      <c r="P136" s="50"/>
      <c r="Q136" s="45"/>
      <c r="R136" s="25"/>
      <c r="S136" s="52"/>
    </row>
    <row r="137" spans="1:19" ht="16.5" customHeight="1" x14ac:dyDescent="0.3">
      <c r="A137" s="27" t="s">
        <v>487</v>
      </c>
      <c r="B137" s="28" t="s">
        <v>488</v>
      </c>
      <c r="C137" s="26" t="s">
        <v>1808</v>
      </c>
      <c r="D137" s="31" t="s">
        <v>152</v>
      </c>
      <c r="E137" s="33" t="s">
        <v>1809</v>
      </c>
      <c r="F137" s="34" t="s">
        <v>559</v>
      </c>
      <c r="G137" s="32" t="s">
        <v>1991</v>
      </c>
      <c r="H137" s="37" t="s">
        <v>1356</v>
      </c>
      <c r="I137" s="39" t="s">
        <v>1992</v>
      </c>
      <c r="J137" s="24" t="s">
        <v>883</v>
      </c>
      <c r="K137" s="40"/>
      <c r="L137" s="38" t="s">
        <v>1993</v>
      </c>
      <c r="M137" s="44" t="s">
        <v>123</v>
      </c>
      <c r="N137" s="46" t="s">
        <v>2013</v>
      </c>
      <c r="O137" s="47" t="s">
        <v>897</v>
      </c>
      <c r="P137" s="50"/>
      <c r="Q137" s="45"/>
      <c r="R137" s="25"/>
      <c r="S137" s="52"/>
    </row>
    <row r="138" spans="1:19" ht="16.5" customHeight="1" x14ac:dyDescent="0.3">
      <c r="A138" s="27" t="s">
        <v>487</v>
      </c>
      <c r="B138" s="28" t="s">
        <v>488</v>
      </c>
      <c r="C138" s="26" t="s">
        <v>1808</v>
      </c>
      <c r="D138" s="31" t="s">
        <v>152</v>
      </c>
      <c r="E138" s="33" t="s">
        <v>1809</v>
      </c>
      <c r="F138" s="34" t="s">
        <v>559</v>
      </c>
      <c r="G138" s="32" t="s">
        <v>1991</v>
      </c>
      <c r="H138" s="37" t="s">
        <v>1356</v>
      </c>
      <c r="I138" s="39" t="s">
        <v>1992</v>
      </c>
      <c r="J138" s="24" t="s">
        <v>883</v>
      </c>
      <c r="K138" s="40"/>
      <c r="L138" s="38" t="s">
        <v>1993</v>
      </c>
      <c r="M138" s="44" t="s">
        <v>123</v>
      </c>
      <c r="N138" s="46" t="s">
        <v>2014</v>
      </c>
      <c r="O138" s="47" t="s">
        <v>1329</v>
      </c>
      <c r="P138" s="50"/>
      <c r="Q138" s="45"/>
      <c r="R138" s="25"/>
      <c r="S138" s="52"/>
    </row>
    <row r="139" spans="1:19" ht="16.5" customHeight="1" x14ac:dyDescent="0.3">
      <c r="A139" s="27" t="s">
        <v>487</v>
      </c>
      <c r="B139" s="28" t="s">
        <v>488</v>
      </c>
      <c r="C139" s="26" t="s">
        <v>1808</v>
      </c>
      <c r="D139" s="31" t="s">
        <v>152</v>
      </c>
      <c r="E139" s="33" t="s">
        <v>1809</v>
      </c>
      <c r="F139" s="34" t="s">
        <v>559</v>
      </c>
      <c r="G139" s="32" t="s">
        <v>1991</v>
      </c>
      <c r="H139" s="37" t="s">
        <v>1356</v>
      </c>
      <c r="I139" s="39" t="s">
        <v>1992</v>
      </c>
      <c r="J139" s="24" t="s">
        <v>883</v>
      </c>
      <c r="K139" s="40"/>
      <c r="L139" s="38" t="s">
        <v>1993</v>
      </c>
      <c r="M139" s="44" t="s">
        <v>123</v>
      </c>
      <c r="N139" s="46" t="s">
        <v>2015</v>
      </c>
      <c r="O139" s="47" t="s">
        <v>1330</v>
      </c>
      <c r="P139" s="50"/>
      <c r="Q139" s="45"/>
      <c r="R139" s="25"/>
      <c r="S139" s="52"/>
    </row>
    <row r="140" spans="1:19" ht="16.5" customHeight="1" x14ac:dyDescent="0.3">
      <c r="A140" s="27" t="s">
        <v>487</v>
      </c>
      <c r="B140" s="28" t="s">
        <v>488</v>
      </c>
      <c r="C140" s="26" t="s">
        <v>1808</v>
      </c>
      <c r="D140" s="31" t="s">
        <v>152</v>
      </c>
      <c r="E140" s="33" t="s">
        <v>1809</v>
      </c>
      <c r="F140" s="34" t="s">
        <v>559</v>
      </c>
      <c r="G140" s="32" t="s">
        <v>1991</v>
      </c>
      <c r="H140" s="37" t="s">
        <v>1356</v>
      </c>
      <c r="I140" s="39" t="s">
        <v>1992</v>
      </c>
      <c r="J140" s="24" t="s">
        <v>883</v>
      </c>
      <c r="K140" s="40"/>
      <c r="L140" s="38" t="s">
        <v>1993</v>
      </c>
      <c r="M140" s="44" t="s">
        <v>123</v>
      </c>
      <c r="N140" s="46" t="s">
        <v>2016</v>
      </c>
      <c r="O140" s="47" t="s">
        <v>900</v>
      </c>
      <c r="P140" s="50"/>
      <c r="Q140" s="45"/>
      <c r="R140" s="25"/>
      <c r="S140" s="52"/>
    </row>
    <row r="141" spans="1:19" ht="16.5" customHeight="1" x14ac:dyDescent="0.3">
      <c r="A141" s="27" t="s">
        <v>487</v>
      </c>
      <c r="B141" s="28" t="s">
        <v>488</v>
      </c>
      <c r="C141" s="26" t="s">
        <v>1808</v>
      </c>
      <c r="D141" s="31" t="s">
        <v>152</v>
      </c>
      <c r="E141" s="33" t="s">
        <v>1809</v>
      </c>
      <c r="F141" s="34" t="s">
        <v>559</v>
      </c>
      <c r="G141" s="32" t="s">
        <v>1991</v>
      </c>
      <c r="H141" s="37" t="s">
        <v>1356</v>
      </c>
      <c r="I141" s="39" t="s">
        <v>1992</v>
      </c>
      <c r="J141" s="24" t="s">
        <v>883</v>
      </c>
      <c r="K141" s="40"/>
      <c r="L141" s="38" t="s">
        <v>1993</v>
      </c>
      <c r="M141" s="44" t="s">
        <v>123</v>
      </c>
      <c r="N141" s="46" t="s">
        <v>2017</v>
      </c>
      <c r="O141" s="47" t="s">
        <v>901</v>
      </c>
      <c r="P141" s="50"/>
      <c r="Q141" s="45"/>
      <c r="R141" s="25"/>
      <c r="S141" s="52"/>
    </row>
    <row r="142" spans="1:19" ht="16.5" customHeight="1" x14ac:dyDescent="0.3">
      <c r="A142" s="27" t="s">
        <v>487</v>
      </c>
      <c r="B142" s="28" t="s">
        <v>488</v>
      </c>
      <c r="C142" s="26" t="s">
        <v>1808</v>
      </c>
      <c r="D142" s="31" t="s">
        <v>152</v>
      </c>
      <c r="E142" s="33" t="s">
        <v>1809</v>
      </c>
      <c r="F142" s="34" t="s">
        <v>559</v>
      </c>
      <c r="G142" s="32" t="s">
        <v>1991</v>
      </c>
      <c r="H142" s="37" t="s">
        <v>1356</v>
      </c>
      <c r="I142" s="39" t="s">
        <v>1992</v>
      </c>
      <c r="J142" s="24" t="s">
        <v>883</v>
      </c>
      <c r="K142" s="40"/>
      <c r="L142" s="38" t="s">
        <v>1993</v>
      </c>
      <c r="M142" s="44" t="s">
        <v>123</v>
      </c>
      <c r="N142" s="46" t="s">
        <v>2018</v>
      </c>
      <c r="O142" s="47" t="s">
        <v>902</v>
      </c>
      <c r="P142" s="50"/>
      <c r="Q142" s="45"/>
      <c r="R142" s="25"/>
      <c r="S142" s="52"/>
    </row>
    <row r="143" spans="1:19" ht="16.5" customHeight="1" x14ac:dyDescent="0.3">
      <c r="A143" s="27" t="s">
        <v>487</v>
      </c>
      <c r="B143" s="28" t="s">
        <v>488</v>
      </c>
      <c r="C143" s="26" t="s">
        <v>1808</v>
      </c>
      <c r="D143" s="31" t="s">
        <v>152</v>
      </c>
      <c r="E143" s="33" t="s">
        <v>1809</v>
      </c>
      <c r="F143" s="34" t="s">
        <v>559</v>
      </c>
      <c r="G143" s="32" t="s">
        <v>1991</v>
      </c>
      <c r="H143" s="37" t="s">
        <v>1356</v>
      </c>
      <c r="I143" s="39" t="s">
        <v>1992</v>
      </c>
      <c r="J143" s="24" t="s">
        <v>883</v>
      </c>
      <c r="K143" s="40"/>
      <c r="L143" s="38" t="s">
        <v>1993</v>
      </c>
      <c r="M143" s="44" t="s">
        <v>123</v>
      </c>
      <c r="N143" s="46" t="s">
        <v>2019</v>
      </c>
      <c r="O143" s="47" t="s">
        <v>903</v>
      </c>
      <c r="P143" s="50"/>
      <c r="Q143" s="45"/>
      <c r="R143" s="25"/>
      <c r="S143" s="52"/>
    </row>
    <row r="144" spans="1:19" ht="16.5" customHeight="1" x14ac:dyDescent="0.3">
      <c r="A144" s="27" t="s">
        <v>487</v>
      </c>
      <c r="B144" s="28" t="s">
        <v>488</v>
      </c>
      <c r="C144" s="26" t="s">
        <v>1808</v>
      </c>
      <c r="D144" s="31" t="s">
        <v>152</v>
      </c>
      <c r="E144" s="33" t="s">
        <v>1809</v>
      </c>
      <c r="F144" s="34" t="s">
        <v>559</v>
      </c>
      <c r="G144" s="32" t="s">
        <v>1991</v>
      </c>
      <c r="H144" s="37" t="s">
        <v>1356</v>
      </c>
      <c r="I144" s="39" t="s">
        <v>1992</v>
      </c>
      <c r="J144" s="24" t="s">
        <v>883</v>
      </c>
      <c r="K144" s="40"/>
      <c r="L144" s="38" t="s">
        <v>1993</v>
      </c>
      <c r="M144" s="44" t="s">
        <v>123</v>
      </c>
      <c r="N144" s="46" t="s">
        <v>2020</v>
      </c>
      <c r="O144" s="47" t="s">
        <v>1504</v>
      </c>
      <c r="P144" s="50"/>
      <c r="Q144" s="45"/>
      <c r="R144" s="25"/>
      <c r="S144" s="52"/>
    </row>
    <row r="145" spans="1:19" ht="16.5" customHeight="1" x14ac:dyDescent="0.3">
      <c r="A145" s="27" t="s">
        <v>487</v>
      </c>
      <c r="B145" s="28" t="s">
        <v>488</v>
      </c>
      <c r="C145" s="26" t="s">
        <v>1808</v>
      </c>
      <c r="D145" s="31" t="s">
        <v>152</v>
      </c>
      <c r="E145" s="33" t="s">
        <v>1809</v>
      </c>
      <c r="F145" s="34" t="s">
        <v>559</v>
      </c>
      <c r="G145" s="32" t="s">
        <v>1991</v>
      </c>
      <c r="H145" s="37" t="s">
        <v>1356</v>
      </c>
      <c r="I145" s="39" t="s">
        <v>1992</v>
      </c>
      <c r="J145" s="24" t="s">
        <v>883</v>
      </c>
      <c r="K145" s="40"/>
      <c r="L145" s="38" t="s">
        <v>1993</v>
      </c>
      <c r="M145" s="44" t="s">
        <v>123</v>
      </c>
      <c r="N145" s="46" t="s">
        <v>2021</v>
      </c>
      <c r="O145" s="47" t="s">
        <v>1424</v>
      </c>
      <c r="P145" s="50"/>
      <c r="Q145" s="45"/>
      <c r="R145" s="25"/>
      <c r="S145" s="52"/>
    </row>
    <row r="146" spans="1:19" ht="16.5" customHeight="1" x14ac:dyDescent="0.3">
      <c r="A146" s="27" t="s">
        <v>487</v>
      </c>
      <c r="B146" s="28" t="s">
        <v>488</v>
      </c>
      <c r="C146" s="26" t="s">
        <v>1808</v>
      </c>
      <c r="D146" s="31" t="s">
        <v>152</v>
      </c>
      <c r="E146" s="33" t="s">
        <v>1809</v>
      </c>
      <c r="F146" s="34" t="s">
        <v>559</v>
      </c>
      <c r="G146" s="32" t="s">
        <v>1991</v>
      </c>
      <c r="H146" s="37" t="s">
        <v>1356</v>
      </c>
      <c r="I146" s="39" t="s">
        <v>1992</v>
      </c>
      <c r="J146" s="24" t="s">
        <v>883</v>
      </c>
      <c r="K146" s="40"/>
      <c r="L146" s="38" t="s">
        <v>1993</v>
      </c>
      <c r="M146" s="44" t="s">
        <v>123</v>
      </c>
      <c r="N146" s="46" t="s">
        <v>2022</v>
      </c>
      <c r="O146" s="47" t="s">
        <v>1424</v>
      </c>
      <c r="P146" s="50"/>
      <c r="Q146" s="45"/>
      <c r="R146" s="25"/>
      <c r="S146" s="52"/>
    </row>
    <row r="147" spans="1:19" ht="16.5" customHeight="1" x14ac:dyDescent="0.3">
      <c r="A147" s="27" t="s">
        <v>487</v>
      </c>
      <c r="B147" s="28" t="s">
        <v>488</v>
      </c>
      <c r="C147" s="26" t="s">
        <v>1808</v>
      </c>
      <c r="D147" s="31" t="s">
        <v>152</v>
      </c>
      <c r="E147" s="33" t="s">
        <v>2023</v>
      </c>
      <c r="F147" s="34" t="s">
        <v>560</v>
      </c>
      <c r="G147" s="32" t="s">
        <v>2024</v>
      </c>
      <c r="H147" s="37" t="s">
        <v>1792</v>
      </c>
      <c r="I147" s="39" t="s">
        <v>2025</v>
      </c>
      <c r="J147" s="24" t="s">
        <v>1571</v>
      </c>
      <c r="K147" s="40"/>
      <c r="L147" s="38" t="s">
        <v>2026</v>
      </c>
      <c r="M147" s="44" t="s">
        <v>9</v>
      </c>
      <c r="N147" s="46" t="s">
        <v>2027</v>
      </c>
      <c r="O147" s="47" t="s">
        <v>631</v>
      </c>
      <c r="P147" s="50"/>
      <c r="Q147" s="45"/>
      <c r="R147" s="25"/>
      <c r="S147" s="52"/>
    </row>
    <row r="148" spans="1:19" ht="16.5" customHeight="1" x14ac:dyDescent="0.3">
      <c r="A148" s="27" t="s">
        <v>487</v>
      </c>
      <c r="B148" s="28" t="s">
        <v>488</v>
      </c>
      <c r="C148" s="26" t="s">
        <v>1808</v>
      </c>
      <c r="D148" s="31" t="s">
        <v>152</v>
      </c>
      <c r="E148" s="33" t="s">
        <v>2023</v>
      </c>
      <c r="F148" s="34" t="s">
        <v>560</v>
      </c>
      <c r="G148" s="32" t="s">
        <v>2024</v>
      </c>
      <c r="H148" s="37" t="s">
        <v>1792</v>
      </c>
      <c r="I148" s="39" t="s">
        <v>2025</v>
      </c>
      <c r="J148" s="24" t="s">
        <v>1571</v>
      </c>
      <c r="K148" s="40"/>
      <c r="L148" s="38" t="s">
        <v>2026</v>
      </c>
      <c r="M148" s="44" t="s">
        <v>9</v>
      </c>
      <c r="N148" s="46" t="s">
        <v>2028</v>
      </c>
      <c r="O148" s="47" t="s">
        <v>714</v>
      </c>
      <c r="P148" s="50"/>
      <c r="Q148" s="45"/>
      <c r="R148" s="25"/>
      <c r="S148" s="52"/>
    </row>
    <row r="149" spans="1:19" ht="16.5" customHeight="1" x14ac:dyDescent="0.3">
      <c r="A149" s="27" t="s">
        <v>487</v>
      </c>
      <c r="B149" s="28" t="s">
        <v>488</v>
      </c>
      <c r="C149" s="26" t="s">
        <v>1808</v>
      </c>
      <c r="D149" s="31" t="s">
        <v>152</v>
      </c>
      <c r="E149" s="33" t="s">
        <v>2023</v>
      </c>
      <c r="F149" s="34" t="s">
        <v>560</v>
      </c>
      <c r="G149" s="32" t="s">
        <v>2024</v>
      </c>
      <c r="H149" s="37" t="s">
        <v>1792</v>
      </c>
      <c r="I149" s="39" t="s">
        <v>2025</v>
      </c>
      <c r="J149" s="24" t="s">
        <v>1571</v>
      </c>
      <c r="K149" s="40"/>
      <c r="L149" s="38" t="s">
        <v>2026</v>
      </c>
      <c r="M149" s="44" t="s">
        <v>9</v>
      </c>
      <c r="N149" s="46" t="s">
        <v>2029</v>
      </c>
      <c r="O149" s="47" t="s">
        <v>632</v>
      </c>
      <c r="P149" s="50"/>
      <c r="Q149" s="45"/>
      <c r="R149" s="25"/>
      <c r="S149" s="52"/>
    </row>
    <row r="150" spans="1:19" ht="16.5" customHeight="1" x14ac:dyDescent="0.3">
      <c r="A150" s="27" t="s">
        <v>487</v>
      </c>
      <c r="B150" s="28" t="s">
        <v>488</v>
      </c>
      <c r="C150" s="26" t="s">
        <v>1808</v>
      </c>
      <c r="D150" s="31" t="s">
        <v>152</v>
      </c>
      <c r="E150" s="33" t="s">
        <v>2023</v>
      </c>
      <c r="F150" s="34" t="s">
        <v>560</v>
      </c>
      <c r="G150" s="32" t="s">
        <v>2024</v>
      </c>
      <c r="H150" s="37" t="s">
        <v>1792</v>
      </c>
      <c r="I150" s="39" t="s">
        <v>2025</v>
      </c>
      <c r="J150" s="24" t="s">
        <v>1571</v>
      </c>
      <c r="K150" s="40"/>
      <c r="L150" s="38" t="s">
        <v>2026</v>
      </c>
      <c r="M150" s="44" t="s">
        <v>9</v>
      </c>
      <c r="N150" s="46" t="s">
        <v>2030</v>
      </c>
      <c r="O150" s="47" t="s">
        <v>708</v>
      </c>
      <c r="P150" s="50"/>
      <c r="Q150" s="45"/>
      <c r="R150" s="25"/>
      <c r="S150" s="52"/>
    </row>
    <row r="151" spans="1:19" ht="16.5" customHeight="1" x14ac:dyDescent="0.3">
      <c r="A151" s="27" t="s">
        <v>487</v>
      </c>
      <c r="B151" s="28" t="s">
        <v>488</v>
      </c>
      <c r="C151" s="26" t="s">
        <v>1808</v>
      </c>
      <c r="D151" s="31" t="s">
        <v>152</v>
      </c>
      <c r="E151" s="33" t="s">
        <v>2023</v>
      </c>
      <c r="F151" s="34" t="s">
        <v>560</v>
      </c>
      <c r="G151" s="32" t="s">
        <v>2024</v>
      </c>
      <c r="H151" s="37" t="s">
        <v>1792</v>
      </c>
      <c r="I151" s="39" t="s">
        <v>2025</v>
      </c>
      <c r="J151" s="24" t="s">
        <v>1571</v>
      </c>
      <c r="K151" s="40"/>
      <c r="L151" s="38" t="s">
        <v>2026</v>
      </c>
      <c r="M151" s="44" t="s">
        <v>9</v>
      </c>
      <c r="N151" s="46" t="s">
        <v>2031</v>
      </c>
      <c r="O151" s="47" t="s">
        <v>1518</v>
      </c>
      <c r="P151" s="50"/>
      <c r="Q151" s="45"/>
      <c r="R151" s="25"/>
      <c r="S151" s="52"/>
    </row>
    <row r="152" spans="1:19" ht="16.5" customHeight="1" x14ac:dyDescent="0.3">
      <c r="A152" s="27" t="s">
        <v>487</v>
      </c>
      <c r="B152" s="28" t="s">
        <v>488</v>
      </c>
      <c r="C152" s="26" t="s">
        <v>1808</v>
      </c>
      <c r="D152" s="31" t="s">
        <v>152</v>
      </c>
      <c r="E152" s="33" t="s">
        <v>2023</v>
      </c>
      <c r="F152" s="34" t="s">
        <v>560</v>
      </c>
      <c r="G152" s="32" t="s">
        <v>2024</v>
      </c>
      <c r="H152" s="37" t="s">
        <v>1792</v>
      </c>
      <c r="I152" s="39" t="s">
        <v>2025</v>
      </c>
      <c r="J152" s="24" t="s">
        <v>1571</v>
      </c>
      <c r="K152" s="40"/>
      <c r="L152" s="38" t="s">
        <v>2032</v>
      </c>
      <c r="M152" s="44" t="s">
        <v>8</v>
      </c>
      <c r="N152" s="46" t="s">
        <v>2033</v>
      </c>
      <c r="O152" s="47" t="s">
        <v>1462</v>
      </c>
      <c r="P152" s="50"/>
      <c r="Q152" s="45"/>
      <c r="R152" s="25"/>
      <c r="S152" s="52"/>
    </row>
    <row r="153" spans="1:19" ht="16.5" customHeight="1" x14ac:dyDescent="0.3">
      <c r="A153" s="27" t="s">
        <v>487</v>
      </c>
      <c r="B153" s="28" t="s">
        <v>488</v>
      </c>
      <c r="C153" s="26" t="s">
        <v>1808</v>
      </c>
      <c r="D153" s="31" t="s">
        <v>152</v>
      </c>
      <c r="E153" s="33" t="s">
        <v>2023</v>
      </c>
      <c r="F153" s="34" t="s">
        <v>560</v>
      </c>
      <c r="G153" s="32" t="s">
        <v>2024</v>
      </c>
      <c r="H153" s="37" t="s">
        <v>1792</v>
      </c>
      <c r="I153" s="39" t="s">
        <v>2025</v>
      </c>
      <c r="J153" s="24" t="s">
        <v>1571</v>
      </c>
      <c r="K153" s="40"/>
      <c r="L153" s="38" t="s">
        <v>2032</v>
      </c>
      <c r="M153" s="44" t="s">
        <v>8</v>
      </c>
      <c r="N153" s="46" t="s">
        <v>2034</v>
      </c>
      <c r="O153" s="47" t="s">
        <v>1567</v>
      </c>
      <c r="P153" s="50"/>
      <c r="Q153" s="45"/>
      <c r="R153" s="25"/>
      <c r="S153" s="52"/>
    </row>
    <row r="154" spans="1:19" ht="16.5" customHeight="1" x14ac:dyDescent="0.3">
      <c r="A154" s="27" t="s">
        <v>487</v>
      </c>
      <c r="B154" s="28" t="s">
        <v>488</v>
      </c>
      <c r="C154" s="26" t="s">
        <v>1808</v>
      </c>
      <c r="D154" s="31" t="s">
        <v>152</v>
      </c>
      <c r="E154" s="33" t="s">
        <v>2023</v>
      </c>
      <c r="F154" s="34" t="s">
        <v>560</v>
      </c>
      <c r="G154" s="32" t="s">
        <v>2024</v>
      </c>
      <c r="H154" s="37" t="s">
        <v>1792</v>
      </c>
      <c r="I154" s="39" t="s">
        <v>2025</v>
      </c>
      <c r="J154" s="24" t="s">
        <v>1571</v>
      </c>
      <c r="K154" s="40"/>
      <c r="L154" s="38" t="s">
        <v>2035</v>
      </c>
      <c r="M154" s="44" t="s">
        <v>26</v>
      </c>
      <c r="N154" s="46" t="s">
        <v>2036</v>
      </c>
      <c r="O154" s="47" t="s">
        <v>3</v>
      </c>
      <c r="P154" s="50"/>
      <c r="Q154" s="45"/>
      <c r="R154" s="25"/>
      <c r="S154" s="52"/>
    </row>
    <row r="155" spans="1:19" ht="16.5" customHeight="1" x14ac:dyDescent="0.3">
      <c r="A155" s="27" t="s">
        <v>487</v>
      </c>
      <c r="B155" s="28" t="s">
        <v>488</v>
      </c>
      <c r="C155" s="26" t="s">
        <v>1808</v>
      </c>
      <c r="D155" s="31" t="s">
        <v>152</v>
      </c>
      <c r="E155" s="33" t="s">
        <v>2023</v>
      </c>
      <c r="F155" s="34" t="s">
        <v>560</v>
      </c>
      <c r="G155" s="32" t="s">
        <v>2024</v>
      </c>
      <c r="H155" s="37" t="s">
        <v>1792</v>
      </c>
      <c r="I155" s="39" t="s">
        <v>2037</v>
      </c>
      <c r="J155" s="24" t="s">
        <v>79</v>
      </c>
      <c r="K155" s="40"/>
      <c r="L155" s="38" t="s">
        <v>2038</v>
      </c>
      <c r="M155" s="44" t="s">
        <v>8</v>
      </c>
      <c r="N155" s="46" t="s">
        <v>2039</v>
      </c>
      <c r="O155" s="47" t="s">
        <v>698</v>
      </c>
      <c r="P155" s="50"/>
      <c r="Q155" s="45"/>
      <c r="R155" s="25"/>
      <c r="S155" s="52"/>
    </row>
    <row r="156" spans="1:19" ht="16.5" customHeight="1" x14ac:dyDescent="0.3">
      <c r="A156" s="27" t="s">
        <v>487</v>
      </c>
      <c r="B156" s="28" t="s">
        <v>488</v>
      </c>
      <c r="C156" s="26" t="s">
        <v>1808</v>
      </c>
      <c r="D156" s="31" t="s">
        <v>152</v>
      </c>
      <c r="E156" s="33" t="s">
        <v>2023</v>
      </c>
      <c r="F156" s="34" t="s">
        <v>560</v>
      </c>
      <c r="G156" s="32" t="s">
        <v>2024</v>
      </c>
      <c r="H156" s="37" t="s">
        <v>1792</v>
      </c>
      <c r="I156" s="39" t="s">
        <v>2037</v>
      </c>
      <c r="J156" s="24" t="s">
        <v>79</v>
      </c>
      <c r="K156" s="40"/>
      <c r="L156" s="38" t="s">
        <v>2038</v>
      </c>
      <c r="M156" s="44" t="s">
        <v>8</v>
      </c>
      <c r="N156" s="46" t="s">
        <v>2040</v>
      </c>
      <c r="O156" s="47" t="s">
        <v>697</v>
      </c>
      <c r="P156" s="50"/>
      <c r="Q156" s="45"/>
      <c r="R156" s="25"/>
      <c r="S156" s="52"/>
    </row>
    <row r="157" spans="1:19" ht="16.5" customHeight="1" x14ac:dyDescent="0.3">
      <c r="A157" s="27" t="s">
        <v>487</v>
      </c>
      <c r="B157" s="28" t="s">
        <v>488</v>
      </c>
      <c r="C157" s="26" t="s">
        <v>1808</v>
      </c>
      <c r="D157" s="31" t="s">
        <v>152</v>
      </c>
      <c r="E157" s="33" t="s">
        <v>2023</v>
      </c>
      <c r="F157" s="34" t="s">
        <v>560</v>
      </c>
      <c r="G157" s="32" t="s">
        <v>2024</v>
      </c>
      <c r="H157" s="37" t="s">
        <v>1792</v>
      </c>
      <c r="I157" s="39" t="s">
        <v>2037</v>
      </c>
      <c r="J157" s="24" t="s">
        <v>79</v>
      </c>
      <c r="K157" s="40"/>
      <c r="L157" s="38" t="s">
        <v>2038</v>
      </c>
      <c r="M157" s="44" t="s">
        <v>8</v>
      </c>
      <c r="N157" s="46" t="s">
        <v>2041</v>
      </c>
      <c r="O157" s="47" t="s">
        <v>699</v>
      </c>
      <c r="P157" s="50"/>
      <c r="Q157" s="45"/>
      <c r="R157" s="25"/>
      <c r="S157" s="52"/>
    </row>
    <row r="158" spans="1:19" ht="16.5" customHeight="1" x14ac:dyDescent="0.3">
      <c r="A158" s="27" t="s">
        <v>487</v>
      </c>
      <c r="B158" s="28" t="s">
        <v>488</v>
      </c>
      <c r="C158" s="26" t="s">
        <v>1808</v>
      </c>
      <c r="D158" s="31" t="s">
        <v>152</v>
      </c>
      <c r="E158" s="33" t="s">
        <v>2023</v>
      </c>
      <c r="F158" s="34" t="s">
        <v>560</v>
      </c>
      <c r="G158" s="32" t="s">
        <v>2024</v>
      </c>
      <c r="H158" s="37" t="s">
        <v>1792</v>
      </c>
      <c r="I158" s="39" t="s">
        <v>2037</v>
      </c>
      <c r="J158" s="24" t="s">
        <v>79</v>
      </c>
      <c r="K158" s="40"/>
      <c r="L158" s="38" t="s">
        <v>2038</v>
      </c>
      <c r="M158" s="44" t="s">
        <v>8</v>
      </c>
      <c r="N158" s="46" t="s">
        <v>2042</v>
      </c>
      <c r="O158" s="47" t="s">
        <v>700</v>
      </c>
      <c r="P158" s="50"/>
      <c r="Q158" s="45"/>
      <c r="R158" s="25"/>
      <c r="S158" s="52"/>
    </row>
    <row r="159" spans="1:19" ht="16.5" customHeight="1" x14ac:dyDescent="0.3">
      <c r="A159" s="27" t="s">
        <v>487</v>
      </c>
      <c r="B159" s="28" t="s">
        <v>488</v>
      </c>
      <c r="C159" s="26" t="s">
        <v>1808</v>
      </c>
      <c r="D159" s="31" t="s">
        <v>152</v>
      </c>
      <c r="E159" s="33" t="s">
        <v>2023</v>
      </c>
      <c r="F159" s="34" t="s">
        <v>560</v>
      </c>
      <c r="G159" s="32" t="s">
        <v>2024</v>
      </c>
      <c r="H159" s="37" t="s">
        <v>1792</v>
      </c>
      <c r="I159" s="39" t="s">
        <v>2037</v>
      </c>
      <c r="J159" s="24" t="s">
        <v>79</v>
      </c>
      <c r="K159" s="40"/>
      <c r="L159" s="38" t="s">
        <v>2043</v>
      </c>
      <c r="M159" s="44" t="s">
        <v>30</v>
      </c>
      <c r="N159" s="46" t="s">
        <v>2044</v>
      </c>
      <c r="O159" s="47" t="s">
        <v>1530</v>
      </c>
      <c r="P159" s="50"/>
      <c r="Q159" s="45"/>
      <c r="R159" s="25"/>
      <c r="S159" s="52"/>
    </row>
    <row r="160" spans="1:19" ht="16.5" customHeight="1" x14ac:dyDescent="0.3">
      <c r="A160" s="27" t="s">
        <v>487</v>
      </c>
      <c r="B160" s="28" t="s">
        <v>488</v>
      </c>
      <c r="C160" s="26" t="s">
        <v>1808</v>
      </c>
      <c r="D160" s="31" t="s">
        <v>152</v>
      </c>
      <c r="E160" s="33" t="s">
        <v>2023</v>
      </c>
      <c r="F160" s="34" t="s">
        <v>560</v>
      </c>
      <c r="G160" s="32" t="s">
        <v>2024</v>
      </c>
      <c r="H160" s="37" t="s">
        <v>1792</v>
      </c>
      <c r="I160" s="39" t="s">
        <v>2037</v>
      </c>
      <c r="J160" s="24" t="s">
        <v>79</v>
      </c>
      <c r="K160" s="40"/>
      <c r="L160" s="38" t="s">
        <v>2043</v>
      </c>
      <c r="M160" s="44" t="s">
        <v>30</v>
      </c>
      <c r="N160" s="46" t="s">
        <v>2045</v>
      </c>
      <c r="O160" s="47" t="s">
        <v>1530</v>
      </c>
      <c r="P160" s="50"/>
      <c r="Q160" s="45"/>
      <c r="R160" s="25"/>
      <c r="S160" s="52"/>
    </row>
    <row r="161" spans="1:19" ht="16.5" customHeight="1" x14ac:dyDescent="0.3">
      <c r="A161" s="27" t="s">
        <v>487</v>
      </c>
      <c r="B161" s="28" t="s">
        <v>488</v>
      </c>
      <c r="C161" s="26" t="s">
        <v>1808</v>
      </c>
      <c r="D161" s="31" t="s">
        <v>152</v>
      </c>
      <c r="E161" s="33" t="s">
        <v>2023</v>
      </c>
      <c r="F161" s="34" t="s">
        <v>560</v>
      </c>
      <c r="G161" s="32" t="s">
        <v>2024</v>
      </c>
      <c r="H161" s="37" t="s">
        <v>1792</v>
      </c>
      <c r="I161" s="39" t="s">
        <v>2037</v>
      </c>
      <c r="J161" s="24" t="s">
        <v>79</v>
      </c>
      <c r="K161" s="40"/>
      <c r="L161" s="38" t="s">
        <v>2043</v>
      </c>
      <c r="M161" s="44" t="s">
        <v>30</v>
      </c>
      <c r="N161" s="46" t="s">
        <v>2046</v>
      </c>
      <c r="O161" s="47" t="s">
        <v>1583</v>
      </c>
      <c r="P161" s="50"/>
      <c r="Q161" s="45"/>
      <c r="R161" s="25"/>
      <c r="S161" s="52"/>
    </row>
    <row r="162" spans="1:19" ht="16.5" customHeight="1" x14ac:dyDescent="0.3">
      <c r="A162" s="27" t="s">
        <v>487</v>
      </c>
      <c r="B162" s="28" t="s">
        <v>488</v>
      </c>
      <c r="C162" s="26" t="s">
        <v>1808</v>
      </c>
      <c r="D162" s="31" t="s">
        <v>152</v>
      </c>
      <c r="E162" s="33" t="s">
        <v>2023</v>
      </c>
      <c r="F162" s="34" t="s">
        <v>560</v>
      </c>
      <c r="G162" s="32" t="s">
        <v>2024</v>
      </c>
      <c r="H162" s="37" t="s">
        <v>1792</v>
      </c>
      <c r="I162" s="39" t="s">
        <v>2037</v>
      </c>
      <c r="J162" s="24" t="s">
        <v>79</v>
      </c>
      <c r="K162" s="40"/>
      <c r="L162" s="38" t="s">
        <v>2043</v>
      </c>
      <c r="M162" s="44" t="s">
        <v>30</v>
      </c>
      <c r="N162" s="46" t="s">
        <v>2047</v>
      </c>
      <c r="O162" s="47" t="s">
        <v>1584</v>
      </c>
      <c r="P162" s="50"/>
      <c r="Q162" s="45"/>
      <c r="R162" s="25"/>
      <c r="S162" s="52"/>
    </row>
    <row r="163" spans="1:19" ht="16.5" customHeight="1" x14ac:dyDescent="0.3">
      <c r="A163" s="27" t="s">
        <v>487</v>
      </c>
      <c r="B163" s="28" t="s">
        <v>488</v>
      </c>
      <c r="C163" s="26" t="s">
        <v>1808</v>
      </c>
      <c r="D163" s="31" t="s">
        <v>152</v>
      </c>
      <c r="E163" s="33" t="s">
        <v>2023</v>
      </c>
      <c r="F163" s="34" t="s">
        <v>560</v>
      </c>
      <c r="G163" s="32" t="s">
        <v>2024</v>
      </c>
      <c r="H163" s="37" t="s">
        <v>1792</v>
      </c>
      <c r="I163" s="39" t="s">
        <v>2037</v>
      </c>
      <c r="J163" s="24" t="s">
        <v>79</v>
      </c>
      <c r="K163" s="40"/>
      <c r="L163" s="38" t="s">
        <v>2043</v>
      </c>
      <c r="M163" s="44" t="s">
        <v>30</v>
      </c>
      <c r="N163" s="46" t="s">
        <v>2048</v>
      </c>
      <c r="O163" s="47" t="s">
        <v>1596</v>
      </c>
      <c r="P163" s="50"/>
      <c r="Q163" s="45"/>
      <c r="R163" s="25"/>
      <c r="S163" s="52"/>
    </row>
    <row r="164" spans="1:19" ht="16.5" customHeight="1" x14ac:dyDescent="0.3">
      <c r="A164" s="27" t="s">
        <v>487</v>
      </c>
      <c r="B164" s="28" t="s">
        <v>488</v>
      </c>
      <c r="C164" s="26" t="s">
        <v>1808</v>
      </c>
      <c r="D164" s="31" t="s">
        <v>152</v>
      </c>
      <c r="E164" s="33" t="s">
        <v>2023</v>
      </c>
      <c r="F164" s="34" t="s">
        <v>560</v>
      </c>
      <c r="G164" s="32" t="s">
        <v>2024</v>
      </c>
      <c r="H164" s="37" t="s">
        <v>1792</v>
      </c>
      <c r="I164" s="39" t="s">
        <v>2037</v>
      </c>
      <c r="J164" s="24" t="s">
        <v>79</v>
      </c>
      <c r="K164" s="40"/>
      <c r="L164" s="38" t="s">
        <v>2043</v>
      </c>
      <c r="M164" s="44" t="s">
        <v>30</v>
      </c>
      <c r="N164" s="46" t="s">
        <v>2049</v>
      </c>
      <c r="O164" s="47" t="s">
        <v>1595</v>
      </c>
      <c r="P164" s="50"/>
      <c r="Q164" s="45"/>
      <c r="R164" s="25"/>
      <c r="S164" s="52"/>
    </row>
    <row r="165" spans="1:19" ht="16.5" customHeight="1" x14ac:dyDescent="0.3">
      <c r="A165" s="27" t="s">
        <v>487</v>
      </c>
      <c r="B165" s="28" t="s">
        <v>488</v>
      </c>
      <c r="C165" s="26" t="s">
        <v>1808</v>
      </c>
      <c r="D165" s="31" t="s">
        <v>152</v>
      </c>
      <c r="E165" s="33" t="s">
        <v>2023</v>
      </c>
      <c r="F165" s="34" t="s">
        <v>560</v>
      </c>
      <c r="G165" s="32" t="s">
        <v>2024</v>
      </c>
      <c r="H165" s="37" t="s">
        <v>1792</v>
      </c>
      <c r="I165" s="39" t="s">
        <v>2037</v>
      </c>
      <c r="J165" s="24" t="s">
        <v>79</v>
      </c>
      <c r="K165" s="40"/>
      <c r="L165" s="38" t="s">
        <v>2043</v>
      </c>
      <c r="M165" s="44" t="s">
        <v>30</v>
      </c>
      <c r="N165" s="46" t="s">
        <v>2050</v>
      </c>
      <c r="O165" s="47" t="s">
        <v>1509</v>
      </c>
      <c r="P165" s="50"/>
      <c r="Q165" s="45"/>
      <c r="R165" s="25"/>
      <c r="S165" s="52"/>
    </row>
    <row r="166" spans="1:19" ht="16.5" customHeight="1" x14ac:dyDescent="0.3">
      <c r="A166" s="27" t="s">
        <v>487</v>
      </c>
      <c r="B166" s="28" t="s">
        <v>488</v>
      </c>
      <c r="C166" s="26" t="s">
        <v>1808</v>
      </c>
      <c r="D166" s="31" t="s">
        <v>152</v>
      </c>
      <c r="E166" s="33" t="s">
        <v>2023</v>
      </c>
      <c r="F166" s="34" t="s">
        <v>560</v>
      </c>
      <c r="G166" s="32" t="s">
        <v>2024</v>
      </c>
      <c r="H166" s="37" t="s">
        <v>1792</v>
      </c>
      <c r="I166" s="39" t="s">
        <v>2037</v>
      </c>
      <c r="J166" s="24" t="s">
        <v>79</v>
      </c>
      <c r="K166" s="40"/>
      <c r="L166" s="38" t="s">
        <v>2043</v>
      </c>
      <c r="M166" s="44" t="s">
        <v>30</v>
      </c>
      <c r="N166" s="46" t="s">
        <v>2051</v>
      </c>
      <c r="O166" s="47" t="s">
        <v>1538</v>
      </c>
      <c r="P166" s="50"/>
      <c r="Q166" s="45"/>
      <c r="R166" s="25"/>
      <c r="S166" s="52"/>
    </row>
    <row r="167" spans="1:19" ht="16.5" customHeight="1" x14ac:dyDescent="0.3">
      <c r="A167" s="27" t="s">
        <v>487</v>
      </c>
      <c r="B167" s="28" t="s">
        <v>488</v>
      </c>
      <c r="C167" s="26" t="s">
        <v>1808</v>
      </c>
      <c r="D167" s="31" t="s">
        <v>152</v>
      </c>
      <c r="E167" s="33" t="s">
        <v>2023</v>
      </c>
      <c r="F167" s="34" t="s">
        <v>560</v>
      </c>
      <c r="G167" s="32" t="s">
        <v>2024</v>
      </c>
      <c r="H167" s="37" t="s">
        <v>1792</v>
      </c>
      <c r="I167" s="39" t="s">
        <v>2037</v>
      </c>
      <c r="J167" s="24" t="s">
        <v>79</v>
      </c>
      <c r="K167" s="40"/>
      <c r="L167" s="38" t="s">
        <v>2043</v>
      </c>
      <c r="M167" s="44" t="s">
        <v>30</v>
      </c>
      <c r="N167" s="46" t="s">
        <v>2052</v>
      </c>
      <c r="O167" s="47" t="s">
        <v>1534</v>
      </c>
      <c r="P167" s="50"/>
      <c r="Q167" s="45"/>
      <c r="R167" s="25"/>
      <c r="S167" s="52"/>
    </row>
    <row r="168" spans="1:19" ht="16.5" customHeight="1" x14ac:dyDescent="0.3">
      <c r="A168" s="27" t="s">
        <v>487</v>
      </c>
      <c r="B168" s="28" t="s">
        <v>488</v>
      </c>
      <c r="C168" s="26" t="s">
        <v>1808</v>
      </c>
      <c r="D168" s="31" t="s">
        <v>152</v>
      </c>
      <c r="E168" s="33" t="s">
        <v>2023</v>
      </c>
      <c r="F168" s="34" t="s">
        <v>560</v>
      </c>
      <c r="G168" s="32" t="s">
        <v>2024</v>
      </c>
      <c r="H168" s="37" t="s">
        <v>1792</v>
      </c>
      <c r="I168" s="39" t="s">
        <v>2037</v>
      </c>
      <c r="J168" s="24" t="s">
        <v>79</v>
      </c>
      <c r="K168" s="40"/>
      <c r="L168" s="38" t="s">
        <v>2043</v>
      </c>
      <c r="M168" s="44" t="s">
        <v>30</v>
      </c>
      <c r="N168" s="46" t="s">
        <v>2053</v>
      </c>
      <c r="O168" s="47" t="s">
        <v>1510</v>
      </c>
      <c r="P168" s="50"/>
      <c r="Q168" s="45"/>
      <c r="R168" s="25"/>
      <c r="S168" s="52"/>
    </row>
    <row r="169" spans="1:19" ht="16.5" customHeight="1" x14ac:dyDescent="0.3">
      <c r="A169" s="27" t="s">
        <v>487</v>
      </c>
      <c r="B169" s="28" t="s">
        <v>488</v>
      </c>
      <c r="C169" s="26" t="s">
        <v>1808</v>
      </c>
      <c r="D169" s="31" t="s">
        <v>152</v>
      </c>
      <c r="E169" s="33" t="s">
        <v>2023</v>
      </c>
      <c r="F169" s="34" t="s">
        <v>560</v>
      </c>
      <c r="G169" s="32" t="s">
        <v>2024</v>
      </c>
      <c r="H169" s="37" t="s">
        <v>1792</v>
      </c>
      <c r="I169" s="39" t="s">
        <v>2037</v>
      </c>
      <c r="J169" s="24" t="s">
        <v>79</v>
      </c>
      <c r="K169" s="40"/>
      <c r="L169" s="38" t="s">
        <v>2054</v>
      </c>
      <c r="M169" s="44" t="s">
        <v>1627</v>
      </c>
      <c r="N169" s="46" t="s">
        <v>2055</v>
      </c>
      <c r="O169" s="47" t="s">
        <v>1590</v>
      </c>
      <c r="P169" s="50"/>
      <c r="Q169" s="45"/>
      <c r="R169" s="25"/>
      <c r="S169" s="52"/>
    </row>
    <row r="170" spans="1:19" ht="16.5" customHeight="1" x14ac:dyDescent="0.3">
      <c r="A170" s="27" t="s">
        <v>487</v>
      </c>
      <c r="B170" s="28" t="s">
        <v>488</v>
      </c>
      <c r="C170" s="26" t="s">
        <v>1808</v>
      </c>
      <c r="D170" s="31" t="s">
        <v>152</v>
      </c>
      <c r="E170" s="33" t="s">
        <v>2023</v>
      </c>
      <c r="F170" s="34" t="s">
        <v>560</v>
      </c>
      <c r="G170" s="32" t="s">
        <v>2024</v>
      </c>
      <c r="H170" s="37" t="s">
        <v>1792</v>
      </c>
      <c r="I170" s="39" t="s">
        <v>2037</v>
      </c>
      <c r="J170" s="24" t="s">
        <v>79</v>
      </c>
      <c r="K170" s="40"/>
      <c r="L170" s="38" t="s">
        <v>2054</v>
      </c>
      <c r="M170" s="44" t="s">
        <v>1627</v>
      </c>
      <c r="N170" s="46" t="s">
        <v>2056</v>
      </c>
      <c r="O170" s="47" t="s">
        <v>1354</v>
      </c>
      <c r="P170" s="50"/>
      <c r="Q170" s="45"/>
      <c r="R170" s="25"/>
      <c r="S170" s="52"/>
    </row>
    <row r="171" spans="1:19" ht="16.5" customHeight="1" x14ac:dyDescent="0.3">
      <c r="A171" s="27" t="s">
        <v>487</v>
      </c>
      <c r="B171" s="28" t="s">
        <v>488</v>
      </c>
      <c r="C171" s="26" t="s">
        <v>1808</v>
      </c>
      <c r="D171" s="31" t="s">
        <v>152</v>
      </c>
      <c r="E171" s="33" t="s">
        <v>2023</v>
      </c>
      <c r="F171" s="34" t="s">
        <v>560</v>
      </c>
      <c r="G171" s="32" t="s">
        <v>2024</v>
      </c>
      <c r="H171" s="37" t="s">
        <v>1792</v>
      </c>
      <c r="I171" s="39" t="s">
        <v>2037</v>
      </c>
      <c r="J171" s="24" t="s">
        <v>79</v>
      </c>
      <c r="K171" s="40"/>
      <c r="L171" s="38" t="s">
        <v>2054</v>
      </c>
      <c r="M171" s="44" t="s">
        <v>1627</v>
      </c>
      <c r="N171" s="46" t="s">
        <v>2057</v>
      </c>
      <c r="O171" s="47" t="s">
        <v>703</v>
      </c>
      <c r="P171" s="50"/>
      <c r="Q171" s="45"/>
      <c r="R171" s="25"/>
      <c r="S171" s="52"/>
    </row>
    <row r="172" spans="1:19" ht="16.5" customHeight="1" x14ac:dyDescent="0.3">
      <c r="A172" s="27" t="s">
        <v>487</v>
      </c>
      <c r="B172" s="28" t="s">
        <v>488</v>
      </c>
      <c r="C172" s="26" t="s">
        <v>1808</v>
      </c>
      <c r="D172" s="31" t="s">
        <v>152</v>
      </c>
      <c r="E172" s="33" t="s">
        <v>2023</v>
      </c>
      <c r="F172" s="34" t="s">
        <v>560</v>
      </c>
      <c r="G172" s="32" t="s">
        <v>2024</v>
      </c>
      <c r="H172" s="37" t="s">
        <v>1792</v>
      </c>
      <c r="I172" s="39" t="s">
        <v>2037</v>
      </c>
      <c r="J172" s="24" t="s">
        <v>79</v>
      </c>
      <c r="K172" s="40"/>
      <c r="L172" s="38" t="s">
        <v>2054</v>
      </c>
      <c r="M172" s="44" t="s">
        <v>1627</v>
      </c>
      <c r="N172" s="46" t="s">
        <v>2058</v>
      </c>
      <c r="O172" s="47" t="s">
        <v>1511</v>
      </c>
      <c r="P172" s="50"/>
      <c r="Q172" s="45"/>
      <c r="R172" s="25"/>
      <c r="S172" s="52"/>
    </row>
    <row r="173" spans="1:19" ht="16.5" customHeight="1" x14ac:dyDescent="0.3">
      <c r="A173" s="27" t="s">
        <v>487</v>
      </c>
      <c r="B173" s="28" t="s">
        <v>488</v>
      </c>
      <c r="C173" s="26" t="s">
        <v>1808</v>
      </c>
      <c r="D173" s="31" t="s">
        <v>152</v>
      </c>
      <c r="E173" s="33" t="s">
        <v>2023</v>
      </c>
      <c r="F173" s="34" t="s">
        <v>560</v>
      </c>
      <c r="G173" s="32" t="s">
        <v>2024</v>
      </c>
      <c r="H173" s="37" t="s">
        <v>1792</v>
      </c>
      <c r="I173" s="39" t="s">
        <v>2037</v>
      </c>
      <c r="J173" s="24" t="s">
        <v>79</v>
      </c>
      <c r="K173" s="40"/>
      <c r="L173" s="38" t="s">
        <v>2054</v>
      </c>
      <c r="M173" s="44" t="s">
        <v>1627</v>
      </c>
      <c r="N173" s="46" t="s">
        <v>2059</v>
      </c>
      <c r="O173" s="47" t="s">
        <v>1512</v>
      </c>
      <c r="P173" s="50"/>
      <c r="Q173" s="45"/>
      <c r="R173" s="25"/>
      <c r="S173" s="52"/>
    </row>
    <row r="174" spans="1:19" ht="16.5" customHeight="1" x14ac:dyDescent="0.3">
      <c r="A174" s="27" t="s">
        <v>487</v>
      </c>
      <c r="B174" s="28" t="s">
        <v>488</v>
      </c>
      <c r="C174" s="26" t="s">
        <v>1808</v>
      </c>
      <c r="D174" s="31" t="s">
        <v>152</v>
      </c>
      <c r="E174" s="33" t="s">
        <v>2023</v>
      </c>
      <c r="F174" s="34" t="s">
        <v>560</v>
      </c>
      <c r="G174" s="32" t="s">
        <v>2024</v>
      </c>
      <c r="H174" s="37" t="s">
        <v>1792</v>
      </c>
      <c r="I174" s="39" t="s">
        <v>2037</v>
      </c>
      <c r="J174" s="24" t="s">
        <v>79</v>
      </c>
      <c r="K174" s="40"/>
      <c r="L174" s="38" t="s">
        <v>2060</v>
      </c>
      <c r="M174" s="44" t="s">
        <v>9</v>
      </c>
      <c r="N174" s="46" t="s">
        <v>2061</v>
      </c>
      <c r="O174" s="47" t="s">
        <v>717</v>
      </c>
      <c r="P174" s="50"/>
      <c r="Q174" s="45"/>
      <c r="R174" s="25"/>
      <c r="S174" s="52"/>
    </row>
    <row r="175" spans="1:19" ht="16.5" customHeight="1" x14ac:dyDescent="0.3">
      <c r="A175" s="27" t="s">
        <v>487</v>
      </c>
      <c r="B175" s="28" t="s">
        <v>488</v>
      </c>
      <c r="C175" s="26" t="s">
        <v>1808</v>
      </c>
      <c r="D175" s="31" t="s">
        <v>152</v>
      </c>
      <c r="E175" s="33" t="s">
        <v>2023</v>
      </c>
      <c r="F175" s="34" t="s">
        <v>560</v>
      </c>
      <c r="G175" s="32" t="s">
        <v>2024</v>
      </c>
      <c r="H175" s="37" t="s">
        <v>1792</v>
      </c>
      <c r="I175" s="39" t="s">
        <v>2037</v>
      </c>
      <c r="J175" s="24" t="s">
        <v>79</v>
      </c>
      <c r="K175" s="40"/>
      <c r="L175" s="38" t="s">
        <v>2060</v>
      </c>
      <c r="M175" s="44" t="s">
        <v>9</v>
      </c>
      <c r="N175" s="46" t="s">
        <v>2062</v>
      </c>
      <c r="O175" s="47" t="s">
        <v>701</v>
      </c>
      <c r="P175" s="50"/>
      <c r="Q175" s="45"/>
      <c r="R175" s="25"/>
      <c r="S175" s="52"/>
    </row>
    <row r="176" spans="1:19" ht="16.5" customHeight="1" x14ac:dyDescent="0.3">
      <c r="A176" s="27" t="s">
        <v>487</v>
      </c>
      <c r="B176" s="28" t="s">
        <v>488</v>
      </c>
      <c r="C176" s="26" t="s">
        <v>1808</v>
      </c>
      <c r="D176" s="31" t="s">
        <v>152</v>
      </c>
      <c r="E176" s="33" t="s">
        <v>2023</v>
      </c>
      <c r="F176" s="34" t="s">
        <v>560</v>
      </c>
      <c r="G176" s="32" t="s">
        <v>2024</v>
      </c>
      <c r="H176" s="37" t="s">
        <v>1792</v>
      </c>
      <c r="I176" s="39" t="s">
        <v>2037</v>
      </c>
      <c r="J176" s="24" t="s">
        <v>79</v>
      </c>
      <c r="K176" s="40"/>
      <c r="L176" s="38" t="s">
        <v>2060</v>
      </c>
      <c r="M176" s="44" t="s">
        <v>9</v>
      </c>
      <c r="N176" s="46" t="s">
        <v>2063</v>
      </c>
      <c r="O176" s="47" t="s">
        <v>636</v>
      </c>
      <c r="P176" s="50"/>
      <c r="Q176" s="45"/>
      <c r="R176" s="25"/>
      <c r="S176" s="52"/>
    </row>
    <row r="177" spans="1:19" ht="16.5" customHeight="1" x14ac:dyDescent="0.3">
      <c r="A177" s="27" t="s">
        <v>487</v>
      </c>
      <c r="B177" s="28" t="s">
        <v>488</v>
      </c>
      <c r="C177" s="26" t="s">
        <v>1808</v>
      </c>
      <c r="D177" s="31" t="s">
        <v>152</v>
      </c>
      <c r="E177" s="33" t="s">
        <v>2023</v>
      </c>
      <c r="F177" s="34" t="s">
        <v>560</v>
      </c>
      <c r="G177" s="32" t="s">
        <v>2024</v>
      </c>
      <c r="H177" s="37" t="s">
        <v>1792</v>
      </c>
      <c r="I177" s="39" t="s">
        <v>2037</v>
      </c>
      <c r="J177" s="24" t="s">
        <v>79</v>
      </c>
      <c r="K177" s="40"/>
      <c r="L177" s="38" t="s">
        <v>2060</v>
      </c>
      <c r="M177" s="44" t="s">
        <v>9</v>
      </c>
      <c r="N177" s="46" t="s">
        <v>2064</v>
      </c>
      <c r="O177" s="47" t="s">
        <v>702</v>
      </c>
      <c r="P177" s="50"/>
      <c r="Q177" s="45"/>
      <c r="R177" s="25"/>
      <c r="S177" s="52"/>
    </row>
    <row r="178" spans="1:19" ht="16.5" customHeight="1" x14ac:dyDescent="0.3">
      <c r="A178" s="27" t="s">
        <v>487</v>
      </c>
      <c r="B178" s="28" t="s">
        <v>488</v>
      </c>
      <c r="C178" s="26" t="s">
        <v>1808</v>
      </c>
      <c r="D178" s="31" t="s">
        <v>152</v>
      </c>
      <c r="E178" s="33" t="s">
        <v>2023</v>
      </c>
      <c r="F178" s="34" t="s">
        <v>560</v>
      </c>
      <c r="G178" s="32" t="s">
        <v>2024</v>
      </c>
      <c r="H178" s="37" t="s">
        <v>1792</v>
      </c>
      <c r="I178" s="39" t="s">
        <v>2037</v>
      </c>
      <c r="J178" s="24" t="s">
        <v>79</v>
      </c>
      <c r="K178" s="40"/>
      <c r="L178" s="38" t="s">
        <v>2060</v>
      </c>
      <c r="M178" s="44" t="s">
        <v>9</v>
      </c>
      <c r="N178" s="46" t="s">
        <v>2065</v>
      </c>
      <c r="O178" s="47" t="s">
        <v>1608</v>
      </c>
      <c r="P178" s="50"/>
      <c r="Q178" s="45"/>
      <c r="R178" s="25"/>
      <c r="S178" s="52"/>
    </row>
    <row r="179" spans="1:19" ht="16.5" customHeight="1" x14ac:dyDescent="0.3">
      <c r="A179" s="27" t="s">
        <v>487</v>
      </c>
      <c r="B179" s="28" t="s">
        <v>488</v>
      </c>
      <c r="C179" s="26" t="s">
        <v>1808</v>
      </c>
      <c r="D179" s="31" t="s">
        <v>152</v>
      </c>
      <c r="E179" s="33" t="s">
        <v>2023</v>
      </c>
      <c r="F179" s="34" t="s">
        <v>560</v>
      </c>
      <c r="G179" s="32" t="s">
        <v>2024</v>
      </c>
      <c r="H179" s="37" t="s">
        <v>1792</v>
      </c>
      <c r="I179" s="39" t="s">
        <v>2037</v>
      </c>
      <c r="J179" s="24" t="s">
        <v>79</v>
      </c>
      <c r="K179" s="40"/>
      <c r="L179" s="38" t="s">
        <v>2060</v>
      </c>
      <c r="M179" s="44" t="s">
        <v>9</v>
      </c>
      <c r="N179" s="46" t="s">
        <v>2066</v>
      </c>
      <c r="O179" s="47" t="s">
        <v>1609</v>
      </c>
      <c r="P179" s="50"/>
      <c r="Q179" s="45"/>
      <c r="R179" s="25"/>
      <c r="S179" s="52"/>
    </row>
    <row r="180" spans="1:19" ht="16.5" customHeight="1" x14ac:dyDescent="0.3">
      <c r="A180" s="27" t="s">
        <v>487</v>
      </c>
      <c r="B180" s="28" t="s">
        <v>488</v>
      </c>
      <c r="C180" s="26" t="s">
        <v>1808</v>
      </c>
      <c r="D180" s="31" t="s">
        <v>152</v>
      </c>
      <c r="E180" s="33" t="s">
        <v>2023</v>
      </c>
      <c r="F180" s="34" t="s">
        <v>560</v>
      </c>
      <c r="G180" s="32" t="s">
        <v>2024</v>
      </c>
      <c r="H180" s="37" t="s">
        <v>1792</v>
      </c>
      <c r="I180" s="39" t="s">
        <v>2037</v>
      </c>
      <c r="J180" s="24" t="s">
        <v>79</v>
      </c>
      <c r="K180" s="40"/>
      <c r="L180" s="38" t="s">
        <v>2060</v>
      </c>
      <c r="M180" s="44" t="s">
        <v>9</v>
      </c>
      <c r="N180" s="46" t="s">
        <v>2067</v>
      </c>
      <c r="O180" s="47" t="s">
        <v>1518</v>
      </c>
      <c r="P180" s="50"/>
      <c r="Q180" s="45"/>
      <c r="R180" s="25"/>
      <c r="S180" s="52"/>
    </row>
    <row r="181" spans="1:19" ht="16.5" customHeight="1" x14ac:dyDescent="0.3">
      <c r="A181" s="27" t="s">
        <v>487</v>
      </c>
      <c r="B181" s="28" t="s">
        <v>488</v>
      </c>
      <c r="C181" s="26" t="s">
        <v>1808</v>
      </c>
      <c r="D181" s="31" t="s">
        <v>152</v>
      </c>
      <c r="E181" s="33" t="s">
        <v>2023</v>
      </c>
      <c r="F181" s="34" t="s">
        <v>560</v>
      </c>
      <c r="G181" s="32" t="s">
        <v>2024</v>
      </c>
      <c r="H181" s="37" t="s">
        <v>1792</v>
      </c>
      <c r="I181" s="39" t="s">
        <v>2037</v>
      </c>
      <c r="J181" s="24" t="s">
        <v>79</v>
      </c>
      <c r="K181" s="40"/>
      <c r="L181" s="38" t="s">
        <v>2060</v>
      </c>
      <c r="M181" s="44" t="s">
        <v>9</v>
      </c>
      <c r="N181" s="46" t="s">
        <v>2068</v>
      </c>
      <c r="O181" s="47" t="s">
        <v>1540</v>
      </c>
      <c r="P181" s="50"/>
      <c r="Q181" s="45"/>
      <c r="R181" s="25"/>
      <c r="S181" s="52"/>
    </row>
    <row r="182" spans="1:19" ht="16.5" customHeight="1" x14ac:dyDescent="0.3">
      <c r="A182" s="27" t="s">
        <v>487</v>
      </c>
      <c r="B182" s="28" t="s">
        <v>488</v>
      </c>
      <c r="C182" s="26" t="s">
        <v>1808</v>
      </c>
      <c r="D182" s="31" t="s">
        <v>152</v>
      </c>
      <c r="E182" s="33" t="s">
        <v>2023</v>
      </c>
      <c r="F182" s="34" t="s">
        <v>560</v>
      </c>
      <c r="G182" s="32" t="s">
        <v>2024</v>
      </c>
      <c r="H182" s="37" t="s">
        <v>1792</v>
      </c>
      <c r="I182" s="39" t="s">
        <v>2037</v>
      </c>
      <c r="J182" s="24" t="s">
        <v>79</v>
      </c>
      <c r="K182" s="40"/>
      <c r="L182" s="38" t="s">
        <v>2060</v>
      </c>
      <c r="M182" s="44" t="s">
        <v>9</v>
      </c>
      <c r="N182" s="46" t="s">
        <v>2069</v>
      </c>
      <c r="O182" s="47" t="s">
        <v>1542</v>
      </c>
      <c r="P182" s="50"/>
      <c r="Q182" s="45"/>
      <c r="R182" s="25"/>
      <c r="S182" s="52"/>
    </row>
    <row r="183" spans="1:19" ht="16.5" customHeight="1" x14ac:dyDescent="0.3">
      <c r="A183" s="27" t="s">
        <v>487</v>
      </c>
      <c r="B183" s="28" t="s">
        <v>488</v>
      </c>
      <c r="C183" s="26" t="s">
        <v>1808</v>
      </c>
      <c r="D183" s="31" t="s">
        <v>152</v>
      </c>
      <c r="E183" s="33" t="s">
        <v>2023</v>
      </c>
      <c r="F183" s="34" t="s">
        <v>560</v>
      </c>
      <c r="G183" s="32" t="s">
        <v>2024</v>
      </c>
      <c r="H183" s="37" t="s">
        <v>1792</v>
      </c>
      <c r="I183" s="39" t="s">
        <v>2037</v>
      </c>
      <c r="J183" s="24" t="s">
        <v>79</v>
      </c>
      <c r="K183" s="40"/>
      <c r="L183" s="38" t="s">
        <v>2070</v>
      </c>
      <c r="M183" s="44" t="s">
        <v>26</v>
      </c>
      <c r="N183" s="46" t="s">
        <v>2071</v>
      </c>
      <c r="O183" s="47" t="s">
        <v>81</v>
      </c>
      <c r="P183" s="50"/>
      <c r="Q183" s="45"/>
      <c r="R183" s="25"/>
      <c r="S183" s="52"/>
    </row>
    <row r="184" spans="1:19" ht="16.5" customHeight="1" x14ac:dyDescent="0.3">
      <c r="A184" s="27" t="s">
        <v>487</v>
      </c>
      <c r="B184" s="28" t="s">
        <v>488</v>
      </c>
      <c r="C184" s="26" t="s">
        <v>1808</v>
      </c>
      <c r="D184" s="31" t="s">
        <v>152</v>
      </c>
      <c r="E184" s="33" t="s">
        <v>2023</v>
      </c>
      <c r="F184" s="34" t="s">
        <v>560</v>
      </c>
      <c r="G184" s="32" t="s">
        <v>2024</v>
      </c>
      <c r="H184" s="37" t="s">
        <v>1792</v>
      </c>
      <c r="I184" s="39" t="s">
        <v>2037</v>
      </c>
      <c r="J184" s="24" t="s">
        <v>79</v>
      </c>
      <c r="K184" s="40"/>
      <c r="L184" s="38" t="s">
        <v>2070</v>
      </c>
      <c r="M184" s="44" t="s">
        <v>26</v>
      </c>
      <c r="N184" s="46" t="s">
        <v>2072</v>
      </c>
      <c r="O184" s="47" t="s">
        <v>94</v>
      </c>
      <c r="P184" s="50"/>
      <c r="Q184" s="45"/>
      <c r="R184" s="25"/>
      <c r="S184" s="52"/>
    </row>
    <row r="185" spans="1:19" ht="16.5" customHeight="1" x14ac:dyDescent="0.3">
      <c r="A185" s="27" t="s">
        <v>487</v>
      </c>
      <c r="B185" s="28" t="s">
        <v>488</v>
      </c>
      <c r="C185" s="26" t="s">
        <v>1808</v>
      </c>
      <c r="D185" s="31" t="s">
        <v>152</v>
      </c>
      <c r="E185" s="33" t="s">
        <v>2023</v>
      </c>
      <c r="F185" s="34" t="s">
        <v>560</v>
      </c>
      <c r="G185" s="32" t="s">
        <v>2024</v>
      </c>
      <c r="H185" s="37" t="s">
        <v>1792</v>
      </c>
      <c r="I185" s="39" t="s">
        <v>2037</v>
      </c>
      <c r="J185" s="24" t="s">
        <v>79</v>
      </c>
      <c r="K185" s="40"/>
      <c r="L185" s="38" t="s">
        <v>2070</v>
      </c>
      <c r="M185" s="44" t="s">
        <v>26</v>
      </c>
      <c r="N185" s="46" t="s">
        <v>2073</v>
      </c>
      <c r="O185" s="47" t="s">
        <v>98</v>
      </c>
      <c r="P185" s="50"/>
      <c r="Q185" s="45"/>
      <c r="R185" s="25"/>
      <c r="S185" s="52"/>
    </row>
    <row r="186" spans="1:19" ht="16.5" customHeight="1" x14ac:dyDescent="0.3">
      <c r="A186" s="27" t="s">
        <v>487</v>
      </c>
      <c r="B186" s="28" t="s">
        <v>488</v>
      </c>
      <c r="C186" s="26" t="s">
        <v>1808</v>
      </c>
      <c r="D186" s="31" t="s">
        <v>152</v>
      </c>
      <c r="E186" s="33" t="s">
        <v>2023</v>
      </c>
      <c r="F186" s="34" t="s">
        <v>560</v>
      </c>
      <c r="G186" s="32" t="s">
        <v>2024</v>
      </c>
      <c r="H186" s="37" t="s">
        <v>1792</v>
      </c>
      <c r="I186" s="39" t="s">
        <v>2074</v>
      </c>
      <c r="J186" s="24" t="s">
        <v>1570</v>
      </c>
      <c r="K186" s="40"/>
      <c r="L186" s="38" t="s">
        <v>2075</v>
      </c>
      <c r="M186" s="44" t="s">
        <v>9</v>
      </c>
      <c r="N186" s="46" t="s">
        <v>2076</v>
      </c>
      <c r="O186" s="47" t="s">
        <v>631</v>
      </c>
      <c r="P186" s="50"/>
      <c r="Q186" s="45"/>
      <c r="R186" s="25"/>
      <c r="S186" s="52"/>
    </row>
    <row r="187" spans="1:19" ht="16.5" customHeight="1" x14ac:dyDescent="0.3">
      <c r="A187" s="27" t="s">
        <v>487</v>
      </c>
      <c r="B187" s="28" t="s">
        <v>488</v>
      </c>
      <c r="C187" s="26" t="s">
        <v>1808</v>
      </c>
      <c r="D187" s="31" t="s">
        <v>152</v>
      </c>
      <c r="E187" s="33" t="s">
        <v>2023</v>
      </c>
      <c r="F187" s="34" t="s">
        <v>560</v>
      </c>
      <c r="G187" s="32" t="s">
        <v>2024</v>
      </c>
      <c r="H187" s="37" t="s">
        <v>1792</v>
      </c>
      <c r="I187" s="39" t="s">
        <v>2074</v>
      </c>
      <c r="J187" s="24" t="s">
        <v>1570</v>
      </c>
      <c r="K187" s="40"/>
      <c r="L187" s="38" t="s">
        <v>2075</v>
      </c>
      <c r="M187" s="44" t="s">
        <v>9</v>
      </c>
      <c r="N187" s="46" t="s">
        <v>2077</v>
      </c>
      <c r="O187" s="47" t="s">
        <v>714</v>
      </c>
      <c r="P187" s="50"/>
      <c r="Q187" s="45"/>
      <c r="R187" s="25"/>
      <c r="S187" s="52"/>
    </row>
    <row r="188" spans="1:19" ht="19.5" customHeight="1" x14ac:dyDescent="0.3">
      <c r="A188" s="27" t="s">
        <v>487</v>
      </c>
      <c r="B188" s="28" t="s">
        <v>488</v>
      </c>
      <c r="C188" s="26" t="s">
        <v>1808</v>
      </c>
      <c r="D188" s="31" t="s">
        <v>152</v>
      </c>
      <c r="E188" s="33" t="s">
        <v>2023</v>
      </c>
      <c r="F188" s="34" t="s">
        <v>560</v>
      </c>
      <c r="G188" s="32" t="s">
        <v>2024</v>
      </c>
      <c r="H188" s="37" t="s">
        <v>1792</v>
      </c>
      <c r="I188" s="39" t="s">
        <v>2074</v>
      </c>
      <c r="J188" s="24" t="s">
        <v>1570</v>
      </c>
      <c r="K188" s="40"/>
      <c r="L188" s="38" t="s">
        <v>2075</v>
      </c>
      <c r="M188" s="44" t="s">
        <v>9</v>
      </c>
      <c r="N188" s="46" t="s">
        <v>2078</v>
      </c>
      <c r="O188" s="47" t="s">
        <v>632</v>
      </c>
      <c r="P188" s="50"/>
      <c r="Q188" s="45"/>
      <c r="R188" s="25"/>
      <c r="S188" s="52"/>
    </row>
    <row r="189" spans="1:19" ht="16.5" customHeight="1" x14ac:dyDescent="0.3">
      <c r="A189" s="27" t="s">
        <v>487</v>
      </c>
      <c r="B189" s="28" t="s">
        <v>488</v>
      </c>
      <c r="C189" s="26" t="s">
        <v>1808</v>
      </c>
      <c r="D189" s="31" t="s">
        <v>152</v>
      </c>
      <c r="E189" s="33" t="s">
        <v>2023</v>
      </c>
      <c r="F189" s="34" t="s">
        <v>560</v>
      </c>
      <c r="G189" s="32" t="s">
        <v>2024</v>
      </c>
      <c r="H189" s="37" t="s">
        <v>1792</v>
      </c>
      <c r="I189" s="39" t="s">
        <v>2074</v>
      </c>
      <c r="J189" s="24" t="s">
        <v>1570</v>
      </c>
      <c r="K189" s="40"/>
      <c r="L189" s="38" t="s">
        <v>2075</v>
      </c>
      <c r="M189" s="44" t="s">
        <v>9</v>
      </c>
      <c r="N189" s="46" t="s">
        <v>2079</v>
      </c>
      <c r="O189" s="47" t="s">
        <v>708</v>
      </c>
      <c r="P189" s="50"/>
      <c r="Q189" s="45"/>
      <c r="R189" s="25"/>
      <c r="S189" s="52"/>
    </row>
    <row r="190" spans="1:19" ht="16.5" customHeight="1" x14ac:dyDescent="0.3">
      <c r="A190" s="27" t="s">
        <v>487</v>
      </c>
      <c r="B190" s="28" t="s">
        <v>488</v>
      </c>
      <c r="C190" s="26" t="s">
        <v>1808</v>
      </c>
      <c r="D190" s="31" t="s">
        <v>152</v>
      </c>
      <c r="E190" s="33" t="s">
        <v>2023</v>
      </c>
      <c r="F190" s="34" t="s">
        <v>560</v>
      </c>
      <c r="G190" s="32" t="s">
        <v>2024</v>
      </c>
      <c r="H190" s="37" t="s">
        <v>1792</v>
      </c>
      <c r="I190" s="39" t="s">
        <v>2074</v>
      </c>
      <c r="J190" s="24" t="s">
        <v>1570</v>
      </c>
      <c r="K190" s="40"/>
      <c r="L190" s="38" t="s">
        <v>2075</v>
      </c>
      <c r="M190" s="44" t="s">
        <v>9</v>
      </c>
      <c r="N190" s="46" t="s">
        <v>2080</v>
      </c>
      <c r="O190" s="47" t="s">
        <v>1518</v>
      </c>
      <c r="P190" s="50"/>
      <c r="Q190" s="45"/>
      <c r="R190" s="25"/>
      <c r="S190" s="52"/>
    </row>
    <row r="191" spans="1:19" ht="16.5" customHeight="1" x14ac:dyDescent="0.3">
      <c r="A191" s="27" t="s">
        <v>487</v>
      </c>
      <c r="B191" s="28" t="s">
        <v>488</v>
      </c>
      <c r="C191" s="26" t="s">
        <v>1808</v>
      </c>
      <c r="D191" s="31" t="s">
        <v>152</v>
      </c>
      <c r="E191" s="33" t="s">
        <v>2023</v>
      </c>
      <c r="F191" s="34" t="s">
        <v>560</v>
      </c>
      <c r="G191" s="32" t="s">
        <v>2024</v>
      </c>
      <c r="H191" s="37" t="s">
        <v>1792</v>
      </c>
      <c r="I191" s="39" t="s">
        <v>2074</v>
      </c>
      <c r="J191" s="24" t="s">
        <v>1570</v>
      </c>
      <c r="K191" s="40"/>
      <c r="L191" s="38" t="s">
        <v>2081</v>
      </c>
      <c r="M191" s="44" t="s">
        <v>8</v>
      </c>
      <c r="N191" s="46" t="s">
        <v>2082</v>
      </c>
      <c r="O191" s="47" t="s">
        <v>1462</v>
      </c>
      <c r="P191" s="50"/>
      <c r="Q191" s="45"/>
      <c r="R191" s="25"/>
      <c r="S191" s="52"/>
    </row>
    <row r="192" spans="1:19" ht="16.5" customHeight="1" x14ac:dyDescent="0.3">
      <c r="A192" s="27" t="s">
        <v>487</v>
      </c>
      <c r="B192" s="28" t="s">
        <v>488</v>
      </c>
      <c r="C192" s="26" t="s">
        <v>1808</v>
      </c>
      <c r="D192" s="31" t="s">
        <v>152</v>
      </c>
      <c r="E192" s="33" t="s">
        <v>2023</v>
      </c>
      <c r="F192" s="34" t="s">
        <v>560</v>
      </c>
      <c r="G192" s="32" t="s">
        <v>2024</v>
      </c>
      <c r="H192" s="37" t="s">
        <v>1792</v>
      </c>
      <c r="I192" s="39" t="s">
        <v>2074</v>
      </c>
      <c r="J192" s="24" t="s">
        <v>1570</v>
      </c>
      <c r="K192" s="40"/>
      <c r="L192" s="38" t="s">
        <v>2081</v>
      </c>
      <c r="M192" s="44" t="s">
        <v>8</v>
      </c>
      <c r="N192" s="46" t="s">
        <v>2083</v>
      </c>
      <c r="O192" s="47" t="s">
        <v>1567</v>
      </c>
      <c r="P192" s="50"/>
      <c r="Q192" s="45"/>
      <c r="R192" s="25"/>
      <c r="S192" s="52"/>
    </row>
    <row r="193" spans="1:19" ht="16.5" customHeight="1" x14ac:dyDescent="0.3">
      <c r="A193" s="27" t="s">
        <v>487</v>
      </c>
      <c r="B193" s="28" t="s">
        <v>488</v>
      </c>
      <c r="C193" s="26" t="s">
        <v>1808</v>
      </c>
      <c r="D193" s="31" t="s">
        <v>152</v>
      </c>
      <c r="E193" s="33" t="s">
        <v>2023</v>
      </c>
      <c r="F193" s="34" t="s">
        <v>560</v>
      </c>
      <c r="G193" s="32" t="s">
        <v>2024</v>
      </c>
      <c r="H193" s="37" t="s">
        <v>1792</v>
      </c>
      <c r="I193" s="39" t="s">
        <v>2074</v>
      </c>
      <c r="J193" s="24" t="s">
        <v>1570</v>
      </c>
      <c r="K193" s="40"/>
      <c r="L193" s="38" t="s">
        <v>2084</v>
      </c>
      <c r="M193" s="44" t="s">
        <v>26</v>
      </c>
      <c r="N193" s="46" t="s">
        <v>2085</v>
      </c>
      <c r="O193" s="47" t="s">
        <v>3</v>
      </c>
      <c r="P193" s="50"/>
      <c r="Q193" s="45"/>
      <c r="R193" s="25"/>
      <c r="S193" s="52"/>
    </row>
    <row r="194" spans="1:19" ht="16.5" customHeight="1" x14ac:dyDescent="0.3">
      <c r="A194" s="27" t="s">
        <v>487</v>
      </c>
      <c r="B194" s="28" t="s">
        <v>488</v>
      </c>
      <c r="C194" s="26" t="s">
        <v>1808</v>
      </c>
      <c r="D194" s="31" t="s">
        <v>152</v>
      </c>
      <c r="E194" s="33" t="s">
        <v>2023</v>
      </c>
      <c r="F194" s="34" t="s">
        <v>560</v>
      </c>
      <c r="G194" s="32" t="s">
        <v>2024</v>
      </c>
      <c r="H194" s="37" t="s">
        <v>1792</v>
      </c>
      <c r="I194" s="39" t="s">
        <v>2086</v>
      </c>
      <c r="J194" s="24" t="s">
        <v>87</v>
      </c>
      <c r="K194" s="40"/>
      <c r="L194" s="38" t="s">
        <v>2087</v>
      </c>
      <c r="M194" s="44" t="s">
        <v>8</v>
      </c>
      <c r="N194" s="46" t="s">
        <v>2088</v>
      </c>
      <c r="O194" s="47" t="s">
        <v>705</v>
      </c>
      <c r="P194" s="50"/>
      <c r="Q194" s="45"/>
      <c r="R194" s="25"/>
      <c r="S194" s="52"/>
    </row>
    <row r="195" spans="1:19" ht="16.5" customHeight="1" x14ac:dyDescent="0.3">
      <c r="A195" s="27" t="s">
        <v>487</v>
      </c>
      <c r="B195" s="28" t="s">
        <v>488</v>
      </c>
      <c r="C195" s="26" t="s">
        <v>1808</v>
      </c>
      <c r="D195" s="31" t="s">
        <v>152</v>
      </c>
      <c r="E195" s="33" t="s">
        <v>2023</v>
      </c>
      <c r="F195" s="34" t="s">
        <v>560</v>
      </c>
      <c r="G195" s="32" t="s">
        <v>2024</v>
      </c>
      <c r="H195" s="37" t="s">
        <v>1792</v>
      </c>
      <c r="I195" s="39" t="s">
        <v>2086</v>
      </c>
      <c r="J195" s="24" t="s">
        <v>87</v>
      </c>
      <c r="K195" s="40"/>
      <c r="L195" s="38" t="s">
        <v>2087</v>
      </c>
      <c r="M195" s="44" t="s">
        <v>8</v>
      </c>
      <c r="N195" s="46" t="s">
        <v>2089</v>
      </c>
      <c r="O195" s="47" t="s">
        <v>704</v>
      </c>
      <c r="P195" s="50"/>
      <c r="Q195" s="45"/>
      <c r="R195" s="25"/>
      <c r="S195" s="52"/>
    </row>
    <row r="196" spans="1:19" ht="16.5" customHeight="1" x14ac:dyDescent="0.3">
      <c r="A196" s="27" t="s">
        <v>487</v>
      </c>
      <c r="B196" s="28" t="s">
        <v>488</v>
      </c>
      <c r="C196" s="26" t="s">
        <v>1808</v>
      </c>
      <c r="D196" s="31" t="s">
        <v>152</v>
      </c>
      <c r="E196" s="33" t="s">
        <v>2023</v>
      </c>
      <c r="F196" s="34" t="s">
        <v>560</v>
      </c>
      <c r="G196" s="32" t="s">
        <v>2024</v>
      </c>
      <c r="H196" s="37" t="s">
        <v>1792</v>
      </c>
      <c r="I196" s="39" t="s">
        <v>2086</v>
      </c>
      <c r="J196" s="24" t="s">
        <v>87</v>
      </c>
      <c r="K196" s="40"/>
      <c r="L196" s="38" t="s">
        <v>2087</v>
      </c>
      <c r="M196" s="44" t="s">
        <v>8</v>
      </c>
      <c r="N196" s="46" t="s">
        <v>2090</v>
      </c>
      <c r="O196" s="47" t="s">
        <v>1465</v>
      </c>
      <c r="P196" s="50"/>
      <c r="Q196" s="45"/>
      <c r="R196" s="25"/>
      <c r="S196" s="52"/>
    </row>
    <row r="197" spans="1:19" ht="16.5" customHeight="1" x14ac:dyDescent="0.3">
      <c r="A197" s="27" t="s">
        <v>487</v>
      </c>
      <c r="B197" s="28" t="s">
        <v>488</v>
      </c>
      <c r="C197" s="26" t="s">
        <v>1808</v>
      </c>
      <c r="D197" s="31" t="s">
        <v>152</v>
      </c>
      <c r="E197" s="33" t="s">
        <v>2023</v>
      </c>
      <c r="F197" s="34" t="s">
        <v>560</v>
      </c>
      <c r="G197" s="32" t="s">
        <v>2024</v>
      </c>
      <c r="H197" s="37" t="s">
        <v>1792</v>
      </c>
      <c r="I197" s="39" t="s">
        <v>2086</v>
      </c>
      <c r="J197" s="24" t="s">
        <v>87</v>
      </c>
      <c r="K197" s="40"/>
      <c r="L197" s="38" t="s">
        <v>2087</v>
      </c>
      <c r="M197" s="44" t="s">
        <v>8</v>
      </c>
      <c r="N197" s="46" t="s">
        <v>2091</v>
      </c>
      <c r="O197" s="47" t="s">
        <v>706</v>
      </c>
      <c r="P197" s="50"/>
      <c r="Q197" s="45"/>
      <c r="R197" s="25"/>
      <c r="S197" s="52"/>
    </row>
    <row r="198" spans="1:19" ht="16.5" customHeight="1" x14ac:dyDescent="0.3">
      <c r="A198" s="27" t="s">
        <v>487</v>
      </c>
      <c r="B198" s="28" t="s">
        <v>488</v>
      </c>
      <c r="C198" s="26" t="s">
        <v>1808</v>
      </c>
      <c r="D198" s="31" t="s">
        <v>152</v>
      </c>
      <c r="E198" s="33" t="s">
        <v>2023</v>
      </c>
      <c r="F198" s="34" t="s">
        <v>560</v>
      </c>
      <c r="G198" s="32" t="s">
        <v>2024</v>
      </c>
      <c r="H198" s="37" t="s">
        <v>1792</v>
      </c>
      <c r="I198" s="39" t="s">
        <v>2086</v>
      </c>
      <c r="J198" s="24" t="s">
        <v>87</v>
      </c>
      <c r="K198" s="40"/>
      <c r="L198" s="38" t="s">
        <v>2092</v>
      </c>
      <c r="M198" s="44" t="s">
        <v>30</v>
      </c>
      <c r="N198" s="46" t="s">
        <v>2093</v>
      </c>
      <c r="O198" s="47" t="s">
        <v>1530</v>
      </c>
      <c r="P198" s="50"/>
      <c r="Q198" s="45"/>
      <c r="R198" s="25"/>
      <c r="S198" s="52"/>
    </row>
    <row r="199" spans="1:19" ht="16.5" customHeight="1" x14ac:dyDescent="0.3">
      <c r="A199" s="27" t="s">
        <v>487</v>
      </c>
      <c r="B199" s="28" t="s">
        <v>488</v>
      </c>
      <c r="C199" s="26" t="s">
        <v>1808</v>
      </c>
      <c r="D199" s="31" t="s">
        <v>152</v>
      </c>
      <c r="E199" s="33" t="s">
        <v>2023</v>
      </c>
      <c r="F199" s="34" t="s">
        <v>560</v>
      </c>
      <c r="G199" s="32" t="s">
        <v>2024</v>
      </c>
      <c r="H199" s="37" t="s">
        <v>1792</v>
      </c>
      <c r="I199" s="39" t="s">
        <v>2086</v>
      </c>
      <c r="J199" s="24" t="s">
        <v>87</v>
      </c>
      <c r="K199" s="40"/>
      <c r="L199" s="38" t="s">
        <v>2092</v>
      </c>
      <c r="M199" s="44" t="s">
        <v>30</v>
      </c>
      <c r="N199" s="46" t="s">
        <v>2094</v>
      </c>
      <c r="O199" s="47" t="s">
        <v>1530</v>
      </c>
      <c r="P199" s="50"/>
      <c r="Q199" s="45"/>
      <c r="R199" s="25"/>
      <c r="S199" s="52"/>
    </row>
    <row r="200" spans="1:19" ht="16.5" customHeight="1" x14ac:dyDescent="0.3">
      <c r="A200" s="27" t="s">
        <v>487</v>
      </c>
      <c r="B200" s="28" t="s">
        <v>488</v>
      </c>
      <c r="C200" s="26" t="s">
        <v>1808</v>
      </c>
      <c r="D200" s="31" t="s">
        <v>152</v>
      </c>
      <c r="E200" s="33" t="s">
        <v>2023</v>
      </c>
      <c r="F200" s="34" t="s">
        <v>560</v>
      </c>
      <c r="G200" s="32" t="s">
        <v>2024</v>
      </c>
      <c r="H200" s="37" t="s">
        <v>1792</v>
      </c>
      <c r="I200" s="39" t="s">
        <v>2086</v>
      </c>
      <c r="J200" s="24" t="s">
        <v>87</v>
      </c>
      <c r="K200" s="40"/>
      <c r="L200" s="38" t="s">
        <v>2092</v>
      </c>
      <c r="M200" s="44" t="s">
        <v>30</v>
      </c>
      <c r="N200" s="46" t="s">
        <v>2095</v>
      </c>
      <c r="O200" s="47" t="s">
        <v>1583</v>
      </c>
      <c r="P200" s="50"/>
      <c r="Q200" s="45"/>
      <c r="R200" s="25"/>
      <c r="S200" s="52"/>
    </row>
    <row r="201" spans="1:19" ht="16.5" customHeight="1" x14ac:dyDescent="0.3">
      <c r="A201" s="27" t="s">
        <v>487</v>
      </c>
      <c r="B201" s="28" t="s">
        <v>488</v>
      </c>
      <c r="C201" s="26" t="s">
        <v>1808</v>
      </c>
      <c r="D201" s="31" t="s">
        <v>152</v>
      </c>
      <c r="E201" s="33" t="s">
        <v>2023</v>
      </c>
      <c r="F201" s="34" t="s">
        <v>560</v>
      </c>
      <c r="G201" s="32" t="s">
        <v>2024</v>
      </c>
      <c r="H201" s="37" t="s">
        <v>1792</v>
      </c>
      <c r="I201" s="39" t="s">
        <v>2086</v>
      </c>
      <c r="J201" s="24" t="s">
        <v>87</v>
      </c>
      <c r="K201" s="40"/>
      <c r="L201" s="38" t="s">
        <v>2092</v>
      </c>
      <c r="M201" s="44" t="s">
        <v>30</v>
      </c>
      <c r="N201" s="46" t="s">
        <v>2096</v>
      </c>
      <c r="O201" s="47" t="s">
        <v>1607</v>
      </c>
      <c r="P201" s="50"/>
      <c r="Q201" s="45"/>
      <c r="R201" s="25"/>
      <c r="S201" s="52"/>
    </row>
    <row r="202" spans="1:19" ht="16.5" customHeight="1" x14ac:dyDescent="0.3">
      <c r="A202" s="27" t="s">
        <v>487</v>
      </c>
      <c r="B202" s="28" t="s">
        <v>488</v>
      </c>
      <c r="C202" s="26" t="s">
        <v>1808</v>
      </c>
      <c r="D202" s="31" t="s">
        <v>152</v>
      </c>
      <c r="E202" s="33" t="s">
        <v>2023</v>
      </c>
      <c r="F202" s="34" t="s">
        <v>560</v>
      </c>
      <c r="G202" s="32" t="s">
        <v>2024</v>
      </c>
      <c r="H202" s="37" t="s">
        <v>1792</v>
      </c>
      <c r="I202" s="39" t="s">
        <v>2086</v>
      </c>
      <c r="J202" s="24" t="s">
        <v>87</v>
      </c>
      <c r="K202" s="40"/>
      <c r="L202" s="38" t="s">
        <v>2092</v>
      </c>
      <c r="M202" s="44" t="s">
        <v>30</v>
      </c>
      <c r="N202" s="46" t="s">
        <v>2097</v>
      </c>
      <c r="O202" s="47" t="s">
        <v>1594</v>
      </c>
      <c r="P202" s="50"/>
      <c r="Q202" s="45"/>
      <c r="R202" s="25"/>
      <c r="S202" s="52"/>
    </row>
    <row r="203" spans="1:19" ht="16.5" customHeight="1" x14ac:dyDescent="0.3">
      <c r="A203" s="27" t="s">
        <v>487</v>
      </c>
      <c r="B203" s="28" t="s">
        <v>488</v>
      </c>
      <c r="C203" s="26" t="s">
        <v>1808</v>
      </c>
      <c r="D203" s="31" t="s">
        <v>152</v>
      </c>
      <c r="E203" s="33" t="s">
        <v>2023</v>
      </c>
      <c r="F203" s="34" t="s">
        <v>560</v>
      </c>
      <c r="G203" s="32" t="s">
        <v>2024</v>
      </c>
      <c r="H203" s="37" t="s">
        <v>1792</v>
      </c>
      <c r="I203" s="39" t="s">
        <v>2086</v>
      </c>
      <c r="J203" s="24" t="s">
        <v>87</v>
      </c>
      <c r="K203" s="40"/>
      <c r="L203" s="38" t="s">
        <v>2092</v>
      </c>
      <c r="M203" s="44" t="s">
        <v>30</v>
      </c>
      <c r="N203" s="46" t="s">
        <v>2098</v>
      </c>
      <c r="O203" s="47" t="s">
        <v>1595</v>
      </c>
      <c r="P203" s="50"/>
      <c r="Q203" s="45"/>
      <c r="R203" s="25"/>
      <c r="S203" s="52"/>
    </row>
    <row r="204" spans="1:19" ht="16.5" customHeight="1" x14ac:dyDescent="0.3">
      <c r="A204" s="27" t="s">
        <v>487</v>
      </c>
      <c r="B204" s="28" t="s">
        <v>488</v>
      </c>
      <c r="C204" s="26" t="s">
        <v>1808</v>
      </c>
      <c r="D204" s="31" t="s">
        <v>152</v>
      </c>
      <c r="E204" s="33" t="s">
        <v>2023</v>
      </c>
      <c r="F204" s="34" t="s">
        <v>560</v>
      </c>
      <c r="G204" s="32" t="s">
        <v>2024</v>
      </c>
      <c r="H204" s="37" t="s">
        <v>1792</v>
      </c>
      <c r="I204" s="39" t="s">
        <v>2086</v>
      </c>
      <c r="J204" s="24" t="s">
        <v>87</v>
      </c>
      <c r="K204" s="40"/>
      <c r="L204" s="38" t="s">
        <v>2092</v>
      </c>
      <c r="M204" s="44" t="s">
        <v>30</v>
      </c>
      <c r="N204" s="46" t="s">
        <v>2099</v>
      </c>
      <c r="O204" s="47" t="s">
        <v>1509</v>
      </c>
      <c r="P204" s="50"/>
      <c r="Q204" s="45"/>
      <c r="R204" s="25"/>
      <c r="S204" s="52"/>
    </row>
    <row r="205" spans="1:19" ht="16.5" customHeight="1" x14ac:dyDescent="0.3">
      <c r="A205" s="27" t="s">
        <v>487</v>
      </c>
      <c r="B205" s="28" t="s">
        <v>488</v>
      </c>
      <c r="C205" s="26" t="s">
        <v>1808</v>
      </c>
      <c r="D205" s="31" t="s">
        <v>152</v>
      </c>
      <c r="E205" s="33" t="s">
        <v>2023</v>
      </c>
      <c r="F205" s="34" t="s">
        <v>560</v>
      </c>
      <c r="G205" s="32" t="s">
        <v>2024</v>
      </c>
      <c r="H205" s="37" t="s">
        <v>1792</v>
      </c>
      <c r="I205" s="39" t="s">
        <v>2086</v>
      </c>
      <c r="J205" s="24" t="s">
        <v>87</v>
      </c>
      <c r="K205" s="40"/>
      <c r="L205" s="38" t="s">
        <v>2092</v>
      </c>
      <c r="M205" s="44" t="s">
        <v>30</v>
      </c>
      <c r="N205" s="46" t="s">
        <v>2100</v>
      </c>
      <c r="O205" s="47" t="s">
        <v>1538</v>
      </c>
      <c r="P205" s="50"/>
      <c r="Q205" s="45"/>
      <c r="R205" s="25"/>
      <c r="S205" s="52"/>
    </row>
    <row r="206" spans="1:19" ht="16.5" customHeight="1" x14ac:dyDescent="0.3">
      <c r="A206" s="27" t="s">
        <v>487</v>
      </c>
      <c r="B206" s="28" t="s">
        <v>488</v>
      </c>
      <c r="C206" s="26" t="s">
        <v>1808</v>
      </c>
      <c r="D206" s="31" t="s">
        <v>152</v>
      </c>
      <c r="E206" s="33" t="s">
        <v>2023</v>
      </c>
      <c r="F206" s="34" t="s">
        <v>560</v>
      </c>
      <c r="G206" s="32" t="s">
        <v>2024</v>
      </c>
      <c r="H206" s="37" t="s">
        <v>1792</v>
      </c>
      <c r="I206" s="39" t="s">
        <v>2086</v>
      </c>
      <c r="J206" s="24" t="s">
        <v>87</v>
      </c>
      <c r="K206" s="40"/>
      <c r="L206" s="38" t="s">
        <v>2092</v>
      </c>
      <c r="M206" s="44" t="s">
        <v>30</v>
      </c>
      <c r="N206" s="46" t="s">
        <v>2101</v>
      </c>
      <c r="O206" s="47" t="s">
        <v>1534</v>
      </c>
      <c r="P206" s="50"/>
      <c r="Q206" s="45"/>
      <c r="R206" s="25"/>
      <c r="S206" s="52"/>
    </row>
    <row r="207" spans="1:19" ht="16.5" customHeight="1" x14ac:dyDescent="0.3">
      <c r="A207" s="27" t="s">
        <v>487</v>
      </c>
      <c r="B207" s="28" t="s">
        <v>488</v>
      </c>
      <c r="C207" s="26" t="s">
        <v>1808</v>
      </c>
      <c r="D207" s="31" t="s">
        <v>152</v>
      </c>
      <c r="E207" s="33" t="s">
        <v>2023</v>
      </c>
      <c r="F207" s="34" t="s">
        <v>560</v>
      </c>
      <c r="G207" s="32" t="s">
        <v>2024</v>
      </c>
      <c r="H207" s="37" t="s">
        <v>1792</v>
      </c>
      <c r="I207" s="39" t="s">
        <v>2086</v>
      </c>
      <c r="J207" s="24" t="s">
        <v>87</v>
      </c>
      <c r="K207" s="40"/>
      <c r="L207" s="38" t="s">
        <v>2092</v>
      </c>
      <c r="M207" s="44" t="s">
        <v>30</v>
      </c>
      <c r="N207" s="46" t="s">
        <v>2102</v>
      </c>
      <c r="O207" s="47" t="s">
        <v>1510</v>
      </c>
      <c r="P207" s="50"/>
      <c r="Q207" s="45"/>
      <c r="R207" s="25"/>
      <c r="S207" s="52"/>
    </row>
    <row r="208" spans="1:19" ht="16.5" customHeight="1" x14ac:dyDescent="0.3">
      <c r="A208" s="27" t="s">
        <v>487</v>
      </c>
      <c r="B208" s="28" t="s">
        <v>488</v>
      </c>
      <c r="C208" s="26" t="s">
        <v>1808</v>
      </c>
      <c r="D208" s="31" t="s">
        <v>152</v>
      </c>
      <c r="E208" s="33" t="s">
        <v>2023</v>
      </c>
      <c r="F208" s="34" t="s">
        <v>560</v>
      </c>
      <c r="G208" s="32" t="s">
        <v>2024</v>
      </c>
      <c r="H208" s="37" t="s">
        <v>1792</v>
      </c>
      <c r="I208" s="39" t="s">
        <v>2086</v>
      </c>
      <c r="J208" s="24" t="s">
        <v>87</v>
      </c>
      <c r="K208" s="40"/>
      <c r="L208" s="38" t="s">
        <v>2103</v>
      </c>
      <c r="M208" s="44" t="s">
        <v>13</v>
      </c>
      <c r="N208" s="46" t="s">
        <v>2104</v>
      </c>
      <c r="O208" s="47" t="s">
        <v>1591</v>
      </c>
      <c r="P208" s="50"/>
      <c r="Q208" s="45"/>
      <c r="R208" s="25"/>
      <c r="S208" s="52"/>
    </row>
    <row r="209" spans="1:19" ht="16.5" customHeight="1" x14ac:dyDescent="0.3">
      <c r="A209" s="27" t="s">
        <v>487</v>
      </c>
      <c r="B209" s="28" t="s">
        <v>488</v>
      </c>
      <c r="C209" s="26" t="s">
        <v>1808</v>
      </c>
      <c r="D209" s="31" t="s">
        <v>152</v>
      </c>
      <c r="E209" s="33" t="s">
        <v>2023</v>
      </c>
      <c r="F209" s="34" t="s">
        <v>560</v>
      </c>
      <c r="G209" s="32" t="s">
        <v>2024</v>
      </c>
      <c r="H209" s="37" t="s">
        <v>1792</v>
      </c>
      <c r="I209" s="39" t="s">
        <v>2086</v>
      </c>
      <c r="J209" s="24" t="s">
        <v>87</v>
      </c>
      <c r="K209" s="40"/>
      <c r="L209" s="38" t="s">
        <v>2103</v>
      </c>
      <c r="M209" s="44" t="s">
        <v>13</v>
      </c>
      <c r="N209" s="46" t="s">
        <v>2105</v>
      </c>
      <c r="O209" s="47" t="s">
        <v>726</v>
      </c>
      <c r="P209" s="50"/>
      <c r="Q209" s="45"/>
      <c r="R209" s="25"/>
      <c r="S209" s="52"/>
    </row>
    <row r="210" spans="1:19" ht="16.5" customHeight="1" x14ac:dyDescent="0.3">
      <c r="A210" s="27" t="s">
        <v>487</v>
      </c>
      <c r="B210" s="28" t="s">
        <v>488</v>
      </c>
      <c r="C210" s="26" t="s">
        <v>1808</v>
      </c>
      <c r="D210" s="31" t="s">
        <v>152</v>
      </c>
      <c r="E210" s="33" t="s">
        <v>2023</v>
      </c>
      <c r="F210" s="34" t="s">
        <v>560</v>
      </c>
      <c r="G210" s="32" t="s">
        <v>2024</v>
      </c>
      <c r="H210" s="37" t="s">
        <v>1792</v>
      </c>
      <c r="I210" s="39" t="s">
        <v>2086</v>
      </c>
      <c r="J210" s="24" t="s">
        <v>87</v>
      </c>
      <c r="K210" s="40"/>
      <c r="L210" s="38" t="s">
        <v>2103</v>
      </c>
      <c r="M210" s="44" t="s">
        <v>13</v>
      </c>
      <c r="N210" s="46" t="s">
        <v>2106</v>
      </c>
      <c r="O210" s="47" t="s">
        <v>719</v>
      </c>
      <c r="P210" s="50"/>
      <c r="Q210" s="45"/>
      <c r="R210" s="25"/>
      <c r="S210" s="52"/>
    </row>
    <row r="211" spans="1:19" ht="16.5" customHeight="1" x14ac:dyDescent="0.3">
      <c r="A211" s="27" t="s">
        <v>487</v>
      </c>
      <c r="B211" s="28" t="s">
        <v>488</v>
      </c>
      <c r="C211" s="26" t="s">
        <v>1808</v>
      </c>
      <c r="D211" s="31" t="s">
        <v>152</v>
      </c>
      <c r="E211" s="33" t="s">
        <v>2023</v>
      </c>
      <c r="F211" s="34" t="s">
        <v>560</v>
      </c>
      <c r="G211" s="32" t="s">
        <v>2024</v>
      </c>
      <c r="H211" s="37" t="s">
        <v>1792</v>
      </c>
      <c r="I211" s="39" t="s">
        <v>2086</v>
      </c>
      <c r="J211" s="24" t="s">
        <v>87</v>
      </c>
      <c r="K211" s="40"/>
      <c r="L211" s="38" t="s">
        <v>2103</v>
      </c>
      <c r="M211" s="44" t="s">
        <v>13</v>
      </c>
      <c r="N211" s="46" t="s">
        <v>2107</v>
      </c>
      <c r="O211" s="47" t="s">
        <v>1511</v>
      </c>
      <c r="P211" s="50"/>
      <c r="Q211" s="45"/>
      <c r="R211" s="25"/>
      <c r="S211" s="52"/>
    </row>
    <row r="212" spans="1:19" ht="16.5" customHeight="1" x14ac:dyDescent="0.3">
      <c r="A212" s="27" t="s">
        <v>487</v>
      </c>
      <c r="B212" s="28" t="s">
        <v>488</v>
      </c>
      <c r="C212" s="26" t="s">
        <v>1808</v>
      </c>
      <c r="D212" s="31" t="s">
        <v>152</v>
      </c>
      <c r="E212" s="33" t="s">
        <v>2023</v>
      </c>
      <c r="F212" s="34" t="s">
        <v>560</v>
      </c>
      <c r="G212" s="32" t="s">
        <v>2024</v>
      </c>
      <c r="H212" s="37" t="s">
        <v>1792</v>
      </c>
      <c r="I212" s="39" t="s">
        <v>2086</v>
      </c>
      <c r="J212" s="24" t="s">
        <v>87</v>
      </c>
      <c r="K212" s="40"/>
      <c r="L212" s="38" t="s">
        <v>2103</v>
      </c>
      <c r="M212" s="44" t="s">
        <v>13</v>
      </c>
      <c r="N212" s="46" t="s">
        <v>2108</v>
      </c>
      <c r="O212" s="47" t="s">
        <v>1512</v>
      </c>
      <c r="P212" s="50"/>
      <c r="Q212" s="45"/>
      <c r="R212" s="25"/>
      <c r="S212" s="52"/>
    </row>
    <row r="213" spans="1:19" ht="16.5" customHeight="1" x14ac:dyDescent="0.3">
      <c r="A213" s="27" t="s">
        <v>487</v>
      </c>
      <c r="B213" s="28" t="s">
        <v>488</v>
      </c>
      <c r="C213" s="26" t="s">
        <v>1808</v>
      </c>
      <c r="D213" s="31" t="s">
        <v>152</v>
      </c>
      <c r="E213" s="33" t="s">
        <v>2023</v>
      </c>
      <c r="F213" s="34" t="s">
        <v>560</v>
      </c>
      <c r="G213" s="32" t="s">
        <v>2024</v>
      </c>
      <c r="H213" s="37" t="s">
        <v>1792</v>
      </c>
      <c r="I213" s="39" t="s">
        <v>2086</v>
      </c>
      <c r="J213" s="24" t="s">
        <v>87</v>
      </c>
      <c r="K213" s="40"/>
      <c r="L213" s="38" t="s">
        <v>2109</v>
      </c>
      <c r="M213" s="44" t="s">
        <v>9</v>
      </c>
      <c r="N213" s="46" t="s">
        <v>2110</v>
      </c>
      <c r="O213" s="47" t="s">
        <v>1592</v>
      </c>
      <c r="P213" s="50"/>
      <c r="Q213" s="45"/>
      <c r="R213" s="25"/>
      <c r="S213" s="52"/>
    </row>
    <row r="214" spans="1:19" ht="16.5" customHeight="1" x14ac:dyDescent="0.3">
      <c r="A214" s="27" t="s">
        <v>487</v>
      </c>
      <c r="B214" s="28" t="s">
        <v>488</v>
      </c>
      <c r="C214" s="26" t="s">
        <v>1808</v>
      </c>
      <c r="D214" s="31" t="s">
        <v>152</v>
      </c>
      <c r="E214" s="33" t="s">
        <v>2023</v>
      </c>
      <c r="F214" s="34" t="s">
        <v>560</v>
      </c>
      <c r="G214" s="32" t="s">
        <v>2024</v>
      </c>
      <c r="H214" s="37" t="s">
        <v>1792</v>
      </c>
      <c r="I214" s="39" t="s">
        <v>2086</v>
      </c>
      <c r="J214" s="24" t="s">
        <v>87</v>
      </c>
      <c r="K214" s="40"/>
      <c r="L214" s="38" t="s">
        <v>2109</v>
      </c>
      <c r="M214" s="44" t="s">
        <v>9</v>
      </c>
      <c r="N214" s="46" t="s">
        <v>2111</v>
      </c>
      <c r="O214" s="47" t="s">
        <v>1593</v>
      </c>
      <c r="P214" s="50"/>
      <c r="Q214" s="45"/>
      <c r="R214" s="25"/>
      <c r="S214" s="52"/>
    </row>
    <row r="215" spans="1:19" ht="16.5" customHeight="1" x14ac:dyDescent="0.3">
      <c r="A215" s="27" t="s">
        <v>487</v>
      </c>
      <c r="B215" s="28" t="s">
        <v>488</v>
      </c>
      <c r="C215" s="26" t="s">
        <v>1808</v>
      </c>
      <c r="D215" s="31" t="s">
        <v>152</v>
      </c>
      <c r="E215" s="33" t="s">
        <v>2023</v>
      </c>
      <c r="F215" s="34" t="s">
        <v>560</v>
      </c>
      <c r="G215" s="32" t="s">
        <v>2024</v>
      </c>
      <c r="H215" s="37" t="s">
        <v>1792</v>
      </c>
      <c r="I215" s="39" t="s">
        <v>2086</v>
      </c>
      <c r="J215" s="24" t="s">
        <v>87</v>
      </c>
      <c r="K215" s="40"/>
      <c r="L215" s="38" t="s">
        <v>2109</v>
      </c>
      <c r="M215" s="44" t="s">
        <v>9</v>
      </c>
      <c r="N215" s="46" t="s">
        <v>2112</v>
      </c>
      <c r="O215" s="47" t="s">
        <v>707</v>
      </c>
      <c r="P215" s="50"/>
      <c r="Q215" s="45"/>
      <c r="R215" s="25"/>
      <c r="S215" s="52"/>
    </row>
    <row r="216" spans="1:19" ht="16.5" customHeight="1" x14ac:dyDescent="0.3">
      <c r="A216" s="27" t="s">
        <v>487</v>
      </c>
      <c r="B216" s="28" t="s">
        <v>488</v>
      </c>
      <c r="C216" s="26" t="s">
        <v>1808</v>
      </c>
      <c r="D216" s="31" t="s">
        <v>152</v>
      </c>
      <c r="E216" s="33" t="s">
        <v>2023</v>
      </c>
      <c r="F216" s="34" t="s">
        <v>560</v>
      </c>
      <c r="G216" s="32" t="s">
        <v>2024</v>
      </c>
      <c r="H216" s="37" t="s">
        <v>1792</v>
      </c>
      <c r="I216" s="39" t="s">
        <v>2086</v>
      </c>
      <c r="J216" s="24" t="s">
        <v>87</v>
      </c>
      <c r="K216" s="40"/>
      <c r="L216" s="38" t="s">
        <v>2109</v>
      </c>
      <c r="M216" s="44" t="s">
        <v>9</v>
      </c>
      <c r="N216" s="46" t="s">
        <v>2113</v>
      </c>
      <c r="O216" s="47" t="s">
        <v>1554</v>
      </c>
      <c r="P216" s="50"/>
      <c r="Q216" s="45"/>
      <c r="R216" s="25"/>
      <c r="S216" s="52"/>
    </row>
    <row r="217" spans="1:19" ht="16.5" customHeight="1" x14ac:dyDescent="0.3">
      <c r="A217" s="27" t="s">
        <v>487</v>
      </c>
      <c r="B217" s="28" t="s">
        <v>488</v>
      </c>
      <c r="C217" s="26" t="s">
        <v>1808</v>
      </c>
      <c r="D217" s="31" t="s">
        <v>152</v>
      </c>
      <c r="E217" s="33" t="s">
        <v>2023</v>
      </c>
      <c r="F217" s="34" t="s">
        <v>560</v>
      </c>
      <c r="G217" s="32" t="s">
        <v>2024</v>
      </c>
      <c r="H217" s="37" t="s">
        <v>1792</v>
      </c>
      <c r="I217" s="39" t="s">
        <v>2086</v>
      </c>
      <c r="J217" s="24" t="s">
        <v>87</v>
      </c>
      <c r="K217" s="40"/>
      <c r="L217" s="38" t="s">
        <v>2109</v>
      </c>
      <c r="M217" s="44" t="s">
        <v>9</v>
      </c>
      <c r="N217" s="46" t="s">
        <v>2114</v>
      </c>
      <c r="O217" s="47" t="s">
        <v>1608</v>
      </c>
      <c r="P217" s="50"/>
      <c r="Q217" s="45"/>
      <c r="R217" s="25"/>
      <c r="S217" s="52"/>
    </row>
    <row r="218" spans="1:19" ht="16.5" customHeight="1" x14ac:dyDescent="0.3">
      <c r="A218" s="27" t="s">
        <v>487</v>
      </c>
      <c r="B218" s="28" t="s">
        <v>488</v>
      </c>
      <c r="C218" s="26" t="s">
        <v>1808</v>
      </c>
      <c r="D218" s="31" t="s">
        <v>152</v>
      </c>
      <c r="E218" s="33" t="s">
        <v>2023</v>
      </c>
      <c r="F218" s="34" t="s">
        <v>560</v>
      </c>
      <c r="G218" s="32" t="s">
        <v>2024</v>
      </c>
      <c r="H218" s="37" t="s">
        <v>1792</v>
      </c>
      <c r="I218" s="39" t="s">
        <v>2086</v>
      </c>
      <c r="J218" s="24" t="s">
        <v>87</v>
      </c>
      <c r="K218" s="40"/>
      <c r="L218" s="38" t="s">
        <v>2109</v>
      </c>
      <c r="M218" s="44" t="s">
        <v>9</v>
      </c>
      <c r="N218" s="46" t="s">
        <v>2115</v>
      </c>
      <c r="O218" s="47" t="s">
        <v>1609</v>
      </c>
      <c r="P218" s="50"/>
      <c r="Q218" s="45"/>
      <c r="R218" s="25"/>
      <c r="S218" s="52"/>
    </row>
    <row r="219" spans="1:19" ht="16.5" customHeight="1" x14ac:dyDescent="0.3">
      <c r="A219" s="27" t="s">
        <v>487</v>
      </c>
      <c r="B219" s="28" t="s">
        <v>488</v>
      </c>
      <c r="C219" s="26" t="s">
        <v>1808</v>
      </c>
      <c r="D219" s="31" t="s">
        <v>152</v>
      </c>
      <c r="E219" s="33" t="s">
        <v>2023</v>
      </c>
      <c r="F219" s="34" t="s">
        <v>560</v>
      </c>
      <c r="G219" s="32" t="s">
        <v>2024</v>
      </c>
      <c r="H219" s="37" t="s">
        <v>1792</v>
      </c>
      <c r="I219" s="39" t="s">
        <v>2086</v>
      </c>
      <c r="J219" s="24" t="s">
        <v>87</v>
      </c>
      <c r="K219" s="40"/>
      <c r="L219" s="38" t="s">
        <v>2109</v>
      </c>
      <c r="M219" s="44" t="s">
        <v>9</v>
      </c>
      <c r="N219" s="46" t="s">
        <v>2116</v>
      </c>
      <c r="O219" s="47" t="s">
        <v>1518</v>
      </c>
      <c r="P219" s="50"/>
      <c r="Q219" s="45"/>
      <c r="R219" s="25"/>
      <c r="S219" s="52"/>
    </row>
    <row r="220" spans="1:19" ht="16.5" customHeight="1" x14ac:dyDescent="0.3">
      <c r="A220" s="27" t="s">
        <v>487</v>
      </c>
      <c r="B220" s="28" t="s">
        <v>488</v>
      </c>
      <c r="C220" s="26" t="s">
        <v>1808</v>
      </c>
      <c r="D220" s="31" t="s">
        <v>152</v>
      </c>
      <c r="E220" s="33" t="s">
        <v>2023</v>
      </c>
      <c r="F220" s="34" t="s">
        <v>560</v>
      </c>
      <c r="G220" s="32" t="s">
        <v>2024</v>
      </c>
      <c r="H220" s="37" t="s">
        <v>1792</v>
      </c>
      <c r="I220" s="39" t="s">
        <v>2086</v>
      </c>
      <c r="J220" s="24" t="s">
        <v>87</v>
      </c>
      <c r="K220" s="40"/>
      <c r="L220" s="38" t="s">
        <v>2109</v>
      </c>
      <c r="M220" s="44" t="s">
        <v>9</v>
      </c>
      <c r="N220" s="46" t="s">
        <v>2117</v>
      </c>
      <c r="O220" s="47" t="s">
        <v>1540</v>
      </c>
      <c r="P220" s="50"/>
      <c r="Q220" s="45"/>
      <c r="R220" s="25"/>
      <c r="S220" s="52"/>
    </row>
    <row r="221" spans="1:19" ht="16.5" customHeight="1" x14ac:dyDescent="0.3">
      <c r="A221" s="27" t="s">
        <v>487</v>
      </c>
      <c r="B221" s="28" t="s">
        <v>488</v>
      </c>
      <c r="C221" s="26" t="s">
        <v>1808</v>
      </c>
      <c r="D221" s="31" t="s">
        <v>152</v>
      </c>
      <c r="E221" s="33" t="s">
        <v>2023</v>
      </c>
      <c r="F221" s="34" t="s">
        <v>560</v>
      </c>
      <c r="G221" s="32" t="s">
        <v>2024</v>
      </c>
      <c r="H221" s="37" t="s">
        <v>1792</v>
      </c>
      <c r="I221" s="39" t="s">
        <v>2086</v>
      </c>
      <c r="J221" s="24" t="s">
        <v>87</v>
      </c>
      <c r="K221" s="40"/>
      <c r="L221" s="38" t="s">
        <v>2109</v>
      </c>
      <c r="M221" s="44" t="s">
        <v>9</v>
      </c>
      <c r="N221" s="46" t="s">
        <v>2118</v>
      </c>
      <c r="O221" s="47" t="s">
        <v>1542</v>
      </c>
      <c r="P221" s="50"/>
      <c r="Q221" s="45"/>
      <c r="R221" s="25"/>
      <c r="S221" s="52"/>
    </row>
    <row r="222" spans="1:19" ht="16.5" customHeight="1" x14ac:dyDescent="0.3">
      <c r="A222" s="27" t="s">
        <v>487</v>
      </c>
      <c r="B222" s="28" t="s">
        <v>488</v>
      </c>
      <c r="C222" s="26" t="s">
        <v>1808</v>
      </c>
      <c r="D222" s="31" t="s">
        <v>152</v>
      </c>
      <c r="E222" s="33" t="s">
        <v>2023</v>
      </c>
      <c r="F222" s="34" t="s">
        <v>560</v>
      </c>
      <c r="G222" s="32" t="s">
        <v>2024</v>
      </c>
      <c r="H222" s="37" t="s">
        <v>1792</v>
      </c>
      <c r="I222" s="39" t="s">
        <v>2086</v>
      </c>
      <c r="J222" s="24" t="s">
        <v>87</v>
      </c>
      <c r="K222" s="40"/>
      <c r="L222" s="38" t="s">
        <v>2119</v>
      </c>
      <c r="M222" s="44" t="s">
        <v>26</v>
      </c>
      <c r="N222" s="46" t="s">
        <v>2120</v>
      </c>
      <c r="O222" s="47" t="s">
        <v>89</v>
      </c>
      <c r="P222" s="50"/>
      <c r="Q222" s="45"/>
      <c r="R222" s="25"/>
      <c r="S222" s="52"/>
    </row>
    <row r="223" spans="1:19" ht="16.5" customHeight="1" x14ac:dyDescent="0.3">
      <c r="A223" s="27" t="s">
        <v>487</v>
      </c>
      <c r="B223" s="28" t="s">
        <v>488</v>
      </c>
      <c r="C223" s="26" t="s">
        <v>1808</v>
      </c>
      <c r="D223" s="31" t="s">
        <v>152</v>
      </c>
      <c r="E223" s="33" t="s">
        <v>2023</v>
      </c>
      <c r="F223" s="34" t="s">
        <v>560</v>
      </c>
      <c r="G223" s="32" t="s">
        <v>2024</v>
      </c>
      <c r="H223" s="37" t="s">
        <v>1792</v>
      </c>
      <c r="I223" s="39" t="s">
        <v>2086</v>
      </c>
      <c r="J223" s="24" t="s">
        <v>87</v>
      </c>
      <c r="K223" s="40"/>
      <c r="L223" s="38" t="s">
        <v>2119</v>
      </c>
      <c r="M223" s="44" t="s">
        <v>26</v>
      </c>
      <c r="N223" s="46" t="s">
        <v>2121</v>
      </c>
      <c r="O223" s="47" t="s">
        <v>96</v>
      </c>
      <c r="P223" s="50"/>
      <c r="Q223" s="45"/>
      <c r="R223" s="25"/>
      <c r="S223" s="52"/>
    </row>
    <row r="224" spans="1:19" ht="16.5" customHeight="1" x14ac:dyDescent="0.3">
      <c r="A224" s="27" t="s">
        <v>487</v>
      </c>
      <c r="B224" s="28" t="s">
        <v>488</v>
      </c>
      <c r="C224" s="26" t="s">
        <v>1808</v>
      </c>
      <c r="D224" s="31" t="s">
        <v>152</v>
      </c>
      <c r="E224" s="33" t="s">
        <v>2023</v>
      </c>
      <c r="F224" s="34" t="s">
        <v>560</v>
      </c>
      <c r="G224" s="32" t="s">
        <v>2024</v>
      </c>
      <c r="H224" s="37" t="s">
        <v>1792</v>
      </c>
      <c r="I224" s="39" t="s">
        <v>2086</v>
      </c>
      <c r="J224" s="24" t="s">
        <v>87</v>
      </c>
      <c r="K224" s="40"/>
      <c r="L224" s="38" t="s">
        <v>2119</v>
      </c>
      <c r="M224" s="44" t="s">
        <v>26</v>
      </c>
      <c r="N224" s="46" t="s">
        <v>2122</v>
      </c>
      <c r="O224" s="47" t="s">
        <v>100</v>
      </c>
      <c r="P224" s="50"/>
      <c r="Q224" s="45"/>
      <c r="R224" s="25"/>
      <c r="S224" s="52"/>
    </row>
    <row r="225" spans="1:19" ht="16.5" customHeight="1" x14ac:dyDescent="0.3">
      <c r="A225" s="27" t="s">
        <v>487</v>
      </c>
      <c r="B225" s="28" t="s">
        <v>488</v>
      </c>
      <c r="C225" s="26" t="s">
        <v>1808</v>
      </c>
      <c r="D225" s="31" t="s">
        <v>152</v>
      </c>
      <c r="E225" s="33" t="s">
        <v>2023</v>
      </c>
      <c r="F225" s="34" t="s">
        <v>560</v>
      </c>
      <c r="G225" s="32" t="s">
        <v>2024</v>
      </c>
      <c r="H225" s="37" t="s">
        <v>1792</v>
      </c>
      <c r="I225" s="39" t="s">
        <v>2123</v>
      </c>
      <c r="J225" s="24" t="s">
        <v>102</v>
      </c>
      <c r="K225" s="40"/>
      <c r="L225" s="38"/>
      <c r="M225" s="44"/>
      <c r="N225" s="46"/>
      <c r="O225" s="47"/>
      <c r="P225" s="50"/>
      <c r="Q225" s="45"/>
      <c r="R225" s="25"/>
      <c r="S225" s="52"/>
    </row>
    <row r="226" spans="1:19" ht="16.5" customHeight="1" x14ac:dyDescent="0.3">
      <c r="A226" s="27" t="s">
        <v>487</v>
      </c>
      <c r="B226" s="28" t="s">
        <v>488</v>
      </c>
      <c r="C226" s="26" t="s">
        <v>1808</v>
      </c>
      <c r="D226" s="31" t="s">
        <v>152</v>
      </c>
      <c r="E226" s="33" t="s">
        <v>2023</v>
      </c>
      <c r="F226" s="34" t="s">
        <v>560</v>
      </c>
      <c r="G226" s="32" t="s">
        <v>2024</v>
      </c>
      <c r="H226" s="37" t="s">
        <v>1792</v>
      </c>
      <c r="I226" s="39" t="s">
        <v>2124</v>
      </c>
      <c r="J226" s="24" t="s">
        <v>104</v>
      </c>
      <c r="K226" s="40"/>
      <c r="L226" s="38"/>
      <c r="M226" s="44"/>
      <c r="N226" s="46"/>
      <c r="O226" s="47"/>
      <c r="P226" s="50"/>
      <c r="Q226" s="45"/>
      <c r="R226" s="25"/>
      <c r="S226" s="52"/>
    </row>
    <row r="227" spans="1:19" ht="16.5" customHeight="1" x14ac:dyDescent="0.3">
      <c r="A227" s="27" t="s">
        <v>487</v>
      </c>
      <c r="B227" s="28" t="s">
        <v>488</v>
      </c>
      <c r="C227" s="26" t="s">
        <v>1808</v>
      </c>
      <c r="D227" s="31" t="s">
        <v>152</v>
      </c>
      <c r="E227" s="33" t="s">
        <v>2023</v>
      </c>
      <c r="F227" s="34" t="s">
        <v>560</v>
      </c>
      <c r="G227" s="32" t="s">
        <v>2024</v>
      </c>
      <c r="H227" s="37" t="s">
        <v>1792</v>
      </c>
      <c r="I227" s="39" t="s">
        <v>2125</v>
      </c>
      <c r="J227" s="24" t="s">
        <v>110</v>
      </c>
      <c r="K227" s="40"/>
      <c r="L227" s="38" t="s">
        <v>2126</v>
      </c>
      <c r="M227" s="44" t="s">
        <v>50</v>
      </c>
      <c r="N227" s="46" t="s">
        <v>2127</v>
      </c>
      <c r="O227" s="47" t="s">
        <v>727</v>
      </c>
      <c r="P227" s="50"/>
      <c r="Q227" s="45"/>
      <c r="R227" s="25"/>
      <c r="S227" s="52"/>
    </row>
    <row r="228" spans="1:19" ht="16.5" customHeight="1" x14ac:dyDescent="0.3">
      <c r="A228" s="27" t="s">
        <v>487</v>
      </c>
      <c r="B228" s="28" t="s">
        <v>488</v>
      </c>
      <c r="C228" s="26" t="s">
        <v>1808</v>
      </c>
      <c r="D228" s="31" t="s">
        <v>152</v>
      </c>
      <c r="E228" s="33" t="s">
        <v>2023</v>
      </c>
      <c r="F228" s="34" t="s">
        <v>560</v>
      </c>
      <c r="G228" s="32" t="s">
        <v>2024</v>
      </c>
      <c r="H228" s="37" t="s">
        <v>1792</v>
      </c>
      <c r="I228" s="39" t="s">
        <v>2125</v>
      </c>
      <c r="J228" s="24" t="s">
        <v>110</v>
      </c>
      <c r="K228" s="40"/>
      <c r="L228" s="38" t="s">
        <v>2128</v>
      </c>
      <c r="M228" s="44" t="s">
        <v>30</v>
      </c>
      <c r="N228" s="46" t="s">
        <v>2129</v>
      </c>
      <c r="O228" s="47" t="s">
        <v>728</v>
      </c>
      <c r="P228" s="50"/>
      <c r="Q228" s="45"/>
      <c r="R228" s="25"/>
      <c r="S228" s="52"/>
    </row>
    <row r="229" spans="1:19" ht="16.5" customHeight="1" x14ac:dyDescent="0.3">
      <c r="A229" s="27" t="s">
        <v>487</v>
      </c>
      <c r="B229" s="28" t="s">
        <v>488</v>
      </c>
      <c r="C229" s="26" t="s">
        <v>1808</v>
      </c>
      <c r="D229" s="31" t="s">
        <v>152</v>
      </c>
      <c r="E229" s="33" t="s">
        <v>2023</v>
      </c>
      <c r="F229" s="34" t="s">
        <v>560</v>
      </c>
      <c r="G229" s="32" t="s">
        <v>2024</v>
      </c>
      <c r="H229" s="37" t="s">
        <v>1792</v>
      </c>
      <c r="I229" s="39" t="s">
        <v>2130</v>
      </c>
      <c r="J229" s="24" t="s">
        <v>112</v>
      </c>
      <c r="K229" s="40"/>
      <c r="L229" s="38" t="s">
        <v>2131</v>
      </c>
      <c r="M229" s="44" t="s">
        <v>26</v>
      </c>
      <c r="N229" s="46" t="s">
        <v>2132</v>
      </c>
      <c r="O229" s="47" t="s">
        <v>729</v>
      </c>
      <c r="P229" s="50"/>
      <c r="Q229" s="45"/>
      <c r="R229" s="25"/>
      <c r="S229" s="52"/>
    </row>
    <row r="230" spans="1:19" ht="16.5" customHeight="1" x14ac:dyDescent="0.3">
      <c r="A230" s="27" t="s">
        <v>487</v>
      </c>
      <c r="B230" s="28" t="s">
        <v>488</v>
      </c>
      <c r="C230" s="26" t="s">
        <v>1808</v>
      </c>
      <c r="D230" s="31" t="s">
        <v>152</v>
      </c>
      <c r="E230" s="33" t="s">
        <v>2023</v>
      </c>
      <c r="F230" s="34" t="s">
        <v>560</v>
      </c>
      <c r="G230" s="32" t="s">
        <v>2024</v>
      </c>
      <c r="H230" s="37" t="s">
        <v>1792</v>
      </c>
      <c r="I230" s="39" t="s">
        <v>2130</v>
      </c>
      <c r="J230" s="24" t="s">
        <v>112</v>
      </c>
      <c r="K230" s="40"/>
      <c r="L230" s="38" t="s">
        <v>2131</v>
      </c>
      <c r="M230" s="44" t="s">
        <v>26</v>
      </c>
      <c r="N230" s="46" t="s">
        <v>2133</v>
      </c>
      <c r="O230" s="47" t="s">
        <v>731</v>
      </c>
      <c r="P230" s="50"/>
      <c r="Q230" s="45"/>
      <c r="R230" s="25"/>
      <c r="S230" s="52"/>
    </row>
    <row r="231" spans="1:19" ht="16.5" customHeight="1" x14ac:dyDescent="0.3">
      <c r="A231" s="27" t="s">
        <v>487</v>
      </c>
      <c r="B231" s="28" t="s">
        <v>488</v>
      </c>
      <c r="C231" s="26" t="s">
        <v>1808</v>
      </c>
      <c r="D231" s="31" t="s">
        <v>152</v>
      </c>
      <c r="E231" s="33" t="s">
        <v>2023</v>
      </c>
      <c r="F231" s="34" t="s">
        <v>560</v>
      </c>
      <c r="G231" s="32" t="s">
        <v>2024</v>
      </c>
      <c r="H231" s="37" t="s">
        <v>1792</v>
      </c>
      <c r="I231" s="39" t="s">
        <v>2130</v>
      </c>
      <c r="J231" s="24" t="s">
        <v>112</v>
      </c>
      <c r="K231" s="40"/>
      <c r="L231" s="38" t="s">
        <v>2131</v>
      </c>
      <c r="M231" s="44" t="s">
        <v>26</v>
      </c>
      <c r="N231" s="46" t="s">
        <v>2134</v>
      </c>
      <c r="O231" s="47" t="s">
        <v>732</v>
      </c>
      <c r="P231" s="50"/>
      <c r="Q231" s="45"/>
      <c r="R231" s="25"/>
      <c r="S231" s="52"/>
    </row>
    <row r="232" spans="1:19" ht="16.5" customHeight="1" x14ac:dyDescent="0.3">
      <c r="A232" s="27" t="s">
        <v>487</v>
      </c>
      <c r="B232" s="28" t="s">
        <v>488</v>
      </c>
      <c r="C232" s="26" t="s">
        <v>1808</v>
      </c>
      <c r="D232" s="31" t="s">
        <v>152</v>
      </c>
      <c r="E232" s="33" t="s">
        <v>2023</v>
      </c>
      <c r="F232" s="34" t="s">
        <v>560</v>
      </c>
      <c r="G232" s="32" t="s">
        <v>2024</v>
      </c>
      <c r="H232" s="37" t="s">
        <v>1792</v>
      </c>
      <c r="I232" s="39" t="s">
        <v>2130</v>
      </c>
      <c r="J232" s="24" t="s">
        <v>112</v>
      </c>
      <c r="K232" s="40"/>
      <c r="L232" s="38" t="s">
        <v>2131</v>
      </c>
      <c r="M232" s="44" t="s">
        <v>26</v>
      </c>
      <c r="N232" s="46" t="s">
        <v>2135</v>
      </c>
      <c r="O232" s="47" t="s">
        <v>733</v>
      </c>
      <c r="P232" s="50"/>
      <c r="Q232" s="45"/>
      <c r="R232" s="25"/>
      <c r="S232" s="52"/>
    </row>
    <row r="233" spans="1:19" ht="16.5" customHeight="1" x14ac:dyDescent="0.3">
      <c r="A233" s="27" t="s">
        <v>487</v>
      </c>
      <c r="B233" s="28" t="s">
        <v>488</v>
      </c>
      <c r="C233" s="26" t="s">
        <v>1808</v>
      </c>
      <c r="D233" s="31" t="s">
        <v>152</v>
      </c>
      <c r="E233" s="33" t="s">
        <v>2023</v>
      </c>
      <c r="F233" s="34" t="s">
        <v>560</v>
      </c>
      <c r="G233" s="32" t="s">
        <v>2024</v>
      </c>
      <c r="H233" s="37" t="s">
        <v>1792</v>
      </c>
      <c r="I233" s="39" t="s">
        <v>2130</v>
      </c>
      <c r="J233" s="24" t="s">
        <v>112</v>
      </c>
      <c r="K233" s="40"/>
      <c r="L233" s="38" t="s">
        <v>2131</v>
      </c>
      <c r="M233" s="44" t="s">
        <v>26</v>
      </c>
      <c r="N233" s="46" t="s">
        <v>2136</v>
      </c>
      <c r="O233" s="47" t="s">
        <v>114</v>
      </c>
      <c r="P233" s="50"/>
      <c r="Q233" s="45"/>
      <c r="R233" s="25"/>
      <c r="S233" s="52"/>
    </row>
    <row r="234" spans="1:19" ht="16.5" customHeight="1" x14ac:dyDescent="0.3">
      <c r="A234" s="27" t="s">
        <v>487</v>
      </c>
      <c r="B234" s="28" t="s">
        <v>488</v>
      </c>
      <c r="C234" s="26" t="s">
        <v>1808</v>
      </c>
      <c r="D234" s="31" t="s">
        <v>152</v>
      </c>
      <c r="E234" s="33" t="s">
        <v>2023</v>
      </c>
      <c r="F234" s="34" t="s">
        <v>560</v>
      </c>
      <c r="G234" s="32" t="s">
        <v>2024</v>
      </c>
      <c r="H234" s="37" t="s">
        <v>1792</v>
      </c>
      <c r="I234" s="39" t="s">
        <v>2130</v>
      </c>
      <c r="J234" s="24" t="s">
        <v>112</v>
      </c>
      <c r="K234" s="40"/>
      <c r="L234" s="38" t="s">
        <v>2137</v>
      </c>
      <c r="M234" s="44" t="s">
        <v>29</v>
      </c>
      <c r="N234" s="46" t="s">
        <v>2138</v>
      </c>
      <c r="O234" s="47" t="s">
        <v>734</v>
      </c>
      <c r="P234" s="50"/>
      <c r="Q234" s="45"/>
      <c r="R234" s="25"/>
      <c r="S234" s="52"/>
    </row>
    <row r="235" spans="1:19" ht="16.5" customHeight="1" x14ac:dyDescent="0.3">
      <c r="A235" s="27" t="s">
        <v>487</v>
      </c>
      <c r="B235" s="28" t="s">
        <v>488</v>
      </c>
      <c r="C235" s="26" t="s">
        <v>1808</v>
      </c>
      <c r="D235" s="31" t="s">
        <v>152</v>
      </c>
      <c r="E235" s="33" t="s">
        <v>2023</v>
      </c>
      <c r="F235" s="34" t="s">
        <v>560</v>
      </c>
      <c r="G235" s="32" t="s">
        <v>2024</v>
      </c>
      <c r="H235" s="37" t="s">
        <v>1792</v>
      </c>
      <c r="I235" s="39" t="s">
        <v>2130</v>
      </c>
      <c r="J235" s="24" t="s">
        <v>112</v>
      </c>
      <c r="K235" s="40"/>
      <c r="L235" s="38" t="s">
        <v>2137</v>
      </c>
      <c r="M235" s="44" t="s">
        <v>29</v>
      </c>
      <c r="N235" s="46" t="s">
        <v>2139</v>
      </c>
      <c r="O235" s="47" t="s">
        <v>738</v>
      </c>
      <c r="P235" s="50"/>
      <c r="Q235" s="45"/>
      <c r="R235" s="25"/>
      <c r="S235" s="52"/>
    </row>
    <row r="236" spans="1:19" ht="16.5" customHeight="1" x14ac:dyDescent="0.3">
      <c r="A236" s="27" t="s">
        <v>487</v>
      </c>
      <c r="B236" s="28" t="s">
        <v>488</v>
      </c>
      <c r="C236" s="26" t="s">
        <v>1808</v>
      </c>
      <c r="D236" s="31" t="s">
        <v>152</v>
      </c>
      <c r="E236" s="33" t="s">
        <v>2023</v>
      </c>
      <c r="F236" s="34" t="s">
        <v>560</v>
      </c>
      <c r="G236" s="32" t="s">
        <v>2024</v>
      </c>
      <c r="H236" s="37" t="s">
        <v>1792</v>
      </c>
      <c r="I236" s="39" t="s">
        <v>2130</v>
      </c>
      <c r="J236" s="24" t="s">
        <v>112</v>
      </c>
      <c r="K236" s="40"/>
      <c r="L236" s="38" t="s">
        <v>2137</v>
      </c>
      <c r="M236" s="44" t="s">
        <v>29</v>
      </c>
      <c r="N236" s="46" t="s">
        <v>2140</v>
      </c>
      <c r="O236" s="47" t="s">
        <v>736</v>
      </c>
      <c r="P236" s="50"/>
      <c r="Q236" s="45"/>
      <c r="R236" s="25"/>
      <c r="S236" s="52"/>
    </row>
    <row r="237" spans="1:19" ht="16.5" customHeight="1" x14ac:dyDescent="0.3">
      <c r="A237" s="27" t="s">
        <v>487</v>
      </c>
      <c r="B237" s="28" t="s">
        <v>488</v>
      </c>
      <c r="C237" s="26" t="s">
        <v>1808</v>
      </c>
      <c r="D237" s="31" t="s">
        <v>152</v>
      </c>
      <c r="E237" s="33" t="s">
        <v>2023</v>
      </c>
      <c r="F237" s="34" t="s">
        <v>560</v>
      </c>
      <c r="G237" s="32" t="s">
        <v>2024</v>
      </c>
      <c r="H237" s="37" t="s">
        <v>1792</v>
      </c>
      <c r="I237" s="39" t="s">
        <v>2130</v>
      </c>
      <c r="J237" s="24" t="s">
        <v>112</v>
      </c>
      <c r="K237" s="40"/>
      <c r="L237" s="38" t="s">
        <v>2137</v>
      </c>
      <c r="M237" s="44" t="s">
        <v>29</v>
      </c>
      <c r="N237" s="46" t="s">
        <v>2141</v>
      </c>
      <c r="O237" s="47" t="s">
        <v>735</v>
      </c>
      <c r="P237" s="50"/>
      <c r="Q237" s="45"/>
      <c r="R237" s="25"/>
      <c r="S237" s="52"/>
    </row>
    <row r="238" spans="1:19" ht="16.5" customHeight="1" x14ac:dyDescent="0.3">
      <c r="A238" s="27" t="s">
        <v>487</v>
      </c>
      <c r="B238" s="28" t="s">
        <v>488</v>
      </c>
      <c r="C238" s="26" t="s">
        <v>1808</v>
      </c>
      <c r="D238" s="31" t="s">
        <v>152</v>
      </c>
      <c r="E238" s="33" t="s">
        <v>2023</v>
      </c>
      <c r="F238" s="34" t="s">
        <v>560</v>
      </c>
      <c r="G238" s="32" t="s">
        <v>2024</v>
      </c>
      <c r="H238" s="37" t="s">
        <v>1792</v>
      </c>
      <c r="I238" s="39" t="s">
        <v>2130</v>
      </c>
      <c r="J238" s="24" t="s">
        <v>112</v>
      </c>
      <c r="K238" s="40"/>
      <c r="L238" s="38" t="s">
        <v>2137</v>
      </c>
      <c r="M238" s="44" t="s">
        <v>29</v>
      </c>
      <c r="N238" s="46" t="s">
        <v>2142</v>
      </c>
      <c r="O238" s="47" t="s">
        <v>737</v>
      </c>
      <c r="P238" s="50"/>
      <c r="Q238" s="45"/>
      <c r="R238" s="25"/>
      <c r="S238" s="52"/>
    </row>
    <row r="239" spans="1:19" ht="16.5" customHeight="1" x14ac:dyDescent="0.3">
      <c r="A239" s="27" t="s">
        <v>487</v>
      </c>
      <c r="B239" s="28" t="s">
        <v>488</v>
      </c>
      <c r="C239" s="26" t="s">
        <v>1808</v>
      </c>
      <c r="D239" s="31" t="s">
        <v>152</v>
      </c>
      <c r="E239" s="33" t="s">
        <v>2023</v>
      </c>
      <c r="F239" s="34" t="s">
        <v>560</v>
      </c>
      <c r="G239" s="32" t="s">
        <v>2024</v>
      </c>
      <c r="H239" s="37" t="s">
        <v>1792</v>
      </c>
      <c r="I239" s="39" t="s">
        <v>2130</v>
      </c>
      <c r="J239" s="24" t="s">
        <v>112</v>
      </c>
      <c r="K239" s="40"/>
      <c r="L239" s="38" t="s">
        <v>2137</v>
      </c>
      <c r="M239" s="44" t="s">
        <v>29</v>
      </c>
      <c r="N239" s="46" t="s">
        <v>2143</v>
      </c>
      <c r="O239" s="47" t="s">
        <v>739</v>
      </c>
      <c r="P239" s="50"/>
      <c r="Q239" s="45"/>
      <c r="R239" s="25"/>
      <c r="S239" s="52"/>
    </row>
    <row r="240" spans="1:19" ht="16.5" customHeight="1" x14ac:dyDescent="0.3">
      <c r="A240" s="27" t="s">
        <v>487</v>
      </c>
      <c r="B240" s="28" t="s">
        <v>488</v>
      </c>
      <c r="C240" s="26" t="s">
        <v>1808</v>
      </c>
      <c r="D240" s="31" t="s">
        <v>152</v>
      </c>
      <c r="E240" s="33" t="s">
        <v>2023</v>
      </c>
      <c r="F240" s="34" t="s">
        <v>560</v>
      </c>
      <c r="G240" s="32" t="s">
        <v>2024</v>
      </c>
      <c r="H240" s="37" t="s">
        <v>1792</v>
      </c>
      <c r="I240" s="39" t="s">
        <v>2130</v>
      </c>
      <c r="J240" s="24" t="s">
        <v>112</v>
      </c>
      <c r="K240" s="40"/>
      <c r="L240" s="38" t="s">
        <v>2137</v>
      </c>
      <c r="M240" s="44" t="s">
        <v>29</v>
      </c>
      <c r="N240" s="46" t="s">
        <v>2144</v>
      </c>
      <c r="O240" s="47" t="s">
        <v>740</v>
      </c>
      <c r="P240" s="50"/>
      <c r="Q240" s="45"/>
      <c r="R240" s="25"/>
      <c r="S240" s="52"/>
    </row>
    <row r="241" spans="1:19" ht="16.5" customHeight="1" x14ac:dyDescent="0.3">
      <c r="A241" s="27" t="s">
        <v>487</v>
      </c>
      <c r="B241" s="28" t="s">
        <v>488</v>
      </c>
      <c r="C241" s="26" t="s">
        <v>1808</v>
      </c>
      <c r="D241" s="31" t="s">
        <v>152</v>
      </c>
      <c r="E241" s="33" t="s">
        <v>2023</v>
      </c>
      <c r="F241" s="34" t="s">
        <v>560</v>
      </c>
      <c r="G241" s="32" t="s">
        <v>2024</v>
      </c>
      <c r="H241" s="37" t="s">
        <v>1792</v>
      </c>
      <c r="I241" s="39" t="s">
        <v>2130</v>
      </c>
      <c r="J241" s="24" t="s">
        <v>112</v>
      </c>
      <c r="K241" s="40"/>
      <c r="L241" s="38" t="s">
        <v>2137</v>
      </c>
      <c r="M241" s="44" t="s">
        <v>29</v>
      </c>
      <c r="N241" s="46" t="s">
        <v>2145</v>
      </c>
      <c r="O241" s="47" t="s">
        <v>741</v>
      </c>
      <c r="P241" s="50"/>
      <c r="Q241" s="45"/>
      <c r="R241" s="25"/>
      <c r="S241" s="52"/>
    </row>
    <row r="242" spans="1:19" ht="16.5" customHeight="1" x14ac:dyDescent="0.3">
      <c r="A242" s="27" t="s">
        <v>487</v>
      </c>
      <c r="B242" s="28" t="s">
        <v>488</v>
      </c>
      <c r="C242" s="26" t="s">
        <v>1808</v>
      </c>
      <c r="D242" s="31" t="s">
        <v>152</v>
      </c>
      <c r="E242" s="33" t="s">
        <v>2023</v>
      </c>
      <c r="F242" s="34" t="s">
        <v>560</v>
      </c>
      <c r="G242" s="32" t="s">
        <v>2024</v>
      </c>
      <c r="H242" s="37" t="s">
        <v>1792</v>
      </c>
      <c r="I242" s="39" t="s">
        <v>2130</v>
      </c>
      <c r="J242" s="24" t="s">
        <v>112</v>
      </c>
      <c r="K242" s="40"/>
      <c r="L242" s="38" t="s">
        <v>2137</v>
      </c>
      <c r="M242" s="44" t="s">
        <v>29</v>
      </c>
      <c r="N242" s="46" t="s">
        <v>2146</v>
      </c>
      <c r="O242" s="47" t="s">
        <v>742</v>
      </c>
      <c r="P242" s="50"/>
      <c r="Q242" s="45"/>
      <c r="R242" s="25"/>
      <c r="S242" s="52"/>
    </row>
    <row r="243" spans="1:19" ht="16.5" customHeight="1" x14ac:dyDescent="0.3">
      <c r="A243" s="27" t="s">
        <v>487</v>
      </c>
      <c r="B243" s="28" t="s">
        <v>488</v>
      </c>
      <c r="C243" s="26" t="s">
        <v>1808</v>
      </c>
      <c r="D243" s="31" t="s">
        <v>152</v>
      </c>
      <c r="E243" s="33" t="s">
        <v>2023</v>
      </c>
      <c r="F243" s="34" t="s">
        <v>560</v>
      </c>
      <c r="G243" s="32" t="s">
        <v>2024</v>
      </c>
      <c r="H243" s="37" t="s">
        <v>1792</v>
      </c>
      <c r="I243" s="39" t="s">
        <v>2130</v>
      </c>
      <c r="J243" s="24" t="s">
        <v>112</v>
      </c>
      <c r="K243" s="40"/>
      <c r="L243" s="38" t="s">
        <v>2147</v>
      </c>
      <c r="M243" s="44" t="s">
        <v>31</v>
      </c>
      <c r="N243" s="46" t="s">
        <v>2148</v>
      </c>
      <c r="O243" s="47" t="s">
        <v>1468</v>
      </c>
      <c r="P243" s="50"/>
      <c r="Q243" s="45"/>
      <c r="R243" s="25"/>
      <c r="S243" s="52"/>
    </row>
    <row r="244" spans="1:19" ht="16.5" customHeight="1" x14ac:dyDescent="0.3">
      <c r="A244" s="27" t="s">
        <v>487</v>
      </c>
      <c r="B244" s="28" t="s">
        <v>488</v>
      </c>
      <c r="C244" s="26" t="s">
        <v>1808</v>
      </c>
      <c r="D244" s="31" t="s">
        <v>152</v>
      </c>
      <c r="E244" s="33" t="s">
        <v>2023</v>
      </c>
      <c r="F244" s="34" t="s">
        <v>560</v>
      </c>
      <c r="G244" s="32" t="s">
        <v>2024</v>
      </c>
      <c r="H244" s="37" t="s">
        <v>1792</v>
      </c>
      <c r="I244" s="39" t="s">
        <v>2130</v>
      </c>
      <c r="J244" s="24" t="s">
        <v>112</v>
      </c>
      <c r="K244" s="40"/>
      <c r="L244" s="38" t="s">
        <v>2149</v>
      </c>
      <c r="M244" s="44" t="s">
        <v>16</v>
      </c>
      <c r="N244" s="46" t="s">
        <v>2150</v>
      </c>
      <c r="O244" s="47" t="s">
        <v>744</v>
      </c>
      <c r="P244" s="50"/>
      <c r="Q244" s="45"/>
      <c r="R244" s="25"/>
      <c r="S244" s="52"/>
    </row>
    <row r="245" spans="1:19" ht="16.5" customHeight="1" x14ac:dyDescent="0.3">
      <c r="A245" s="27" t="s">
        <v>487</v>
      </c>
      <c r="B245" s="28" t="s">
        <v>488</v>
      </c>
      <c r="C245" s="26" t="s">
        <v>1808</v>
      </c>
      <c r="D245" s="31" t="s">
        <v>152</v>
      </c>
      <c r="E245" s="33" t="s">
        <v>2023</v>
      </c>
      <c r="F245" s="34" t="s">
        <v>560</v>
      </c>
      <c r="G245" s="32" t="s">
        <v>2024</v>
      </c>
      <c r="H245" s="37" t="s">
        <v>1792</v>
      </c>
      <c r="I245" s="39" t="s">
        <v>2130</v>
      </c>
      <c r="J245" s="24" t="s">
        <v>112</v>
      </c>
      <c r="K245" s="40"/>
      <c r="L245" s="38" t="s">
        <v>2149</v>
      </c>
      <c r="M245" s="44" t="s">
        <v>16</v>
      </c>
      <c r="N245" s="46" t="s">
        <v>2151</v>
      </c>
      <c r="O245" s="47" t="s">
        <v>745</v>
      </c>
      <c r="P245" s="50"/>
      <c r="Q245" s="45"/>
      <c r="R245" s="25"/>
      <c r="S245" s="52"/>
    </row>
    <row r="246" spans="1:19" ht="16.5" customHeight="1" x14ac:dyDescent="0.3">
      <c r="A246" s="27" t="s">
        <v>487</v>
      </c>
      <c r="B246" s="28" t="s">
        <v>488</v>
      </c>
      <c r="C246" s="26" t="s">
        <v>1808</v>
      </c>
      <c r="D246" s="31" t="s">
        <v>152</v>
      </c>
      <c r="E246" s="33" t="s">
        <v>2023</v>
      </c>
      <c r="F246" s="34" t="s">
        <v>560</v>
      </c>
      <c r="G246" s="32" t="s">
        <v>2024</v>
      </c>
      <c r="H246" s="37" t="s">
        <v>1792</v>
      </c>
      <c r="I246" s="39" t="s">
        <v>2130</v>
      </c>
      <c r="J246" s="24" t="s">
        <v>112</v>
      </c>
      <c r="K246" s="40"/>
      <c r="L246" s="38" t="s">
        <v>2149</v>
      </c>
      <c r="M246" s="44" t="s">
        <v>16</v>
      </c>
      <c r="N246" s="46" t="s">
        <v>2152</v>
      </c>
      <c r="O246" s="47" t="s">
        <v>746</v>
      </c>
      <c r="P246" s="50"/>
      <c r="Q246" s="45"/>
      <c r="R246" s="25"/>
      <c r="S246" s="52"/>
    </row>
    <row r="247" spans="1:19" ht="16.5" customHeight="1" x14ac:dyDescent="0.3">
      <c r="A247" s="27" t="s">
        <v>487</v>
      </c>
      <c r="B247" s="28" t="s">
        <v>488</v>
      </c>
      <c r="C247" s="26" t="s">
        <v>1808</v>
      </c>
      <c r="D247" s="31" t="s">
        <v>152</v>
      </c>
      <c r="E247" s="33" t="s">
        <v>2023</v>
      </c>
      <c r="F247" s="34" t="s">
        <v>560</v>
      </c>
      <c r="G247" s="32" t="s">
        <v>2024</v>
      </c>
      <c r="H247" s="37" t="s">
        <v>1792</v>
      </c>
      <c r="I247" s="39" t="s">
        <v>2130</v>
      </c>
      <c r="J247" s="24" t="s">
        <v>112</v>
      </c>
      <c r="K247" s="40"/>
      <c r="L247" s="38" t="s">
        <v>2149</v>
      </c>
      <c r="M247" s="44" t="s">
        <v>16</v>
      </c>
      <c r="N247" s="46" t="s">
        <v>2153</v>
      </c>
      <c r="O247" s="47" t="s">
        <v>747</v>
      </c>
      <c r="P247" s="50"/>
      <c r="Q247" s="45"/>
      <c r="R247" s="25"/>
      <c r="S247" s="52"/>
    </row>
    <row r="248" spans="1:19" ht="16.5" customHeight="1" x14ac:dyDescent="0.3">
      <c r="A248" s="27" t="s">
        <v>487</v>
      </c>
      <c r="B248" s="28" t="s">
        <v>488</v>
      </c>
      <c r="C248" s="26" t="s">
        <v>1808</v>
      </c>
      <c r="D248" s="31" t="s">
        <v>152</v>
      </c>
      <c r="E248" s="33" t="s">
        <v>2023</v>
      </c>
      <c r="F248" s="34" t="s">
        <v>560</v>
      </c>
      <c r="G248" s="32" t="s">
        <v>2024</v>
      </c>
      <c r="H248" s="37" t="s">
        <v>1792</v>
      </c>
      <c r="I248" s="39" t="s">
        <v>2130</v>
      </c>
      <c r="J248" s="24" t="s">
        <v>112</v>
      </c>
      <c r="K248" s="40"/>
      <c r="L248" s="38" t="s">
        <v>2149</v>
      </c>
      <c r="M248" s="44" t="s">
        <v>16</v>
      </c>
      <c r="N248" s="46" t="s">
        <v>2154</v>
      </c>
      <c r="O248" s="47" t="s">
        <v>743</v>
      </c>
      <c r="P248" s="50"/>
      <c r="Q248" s="45"/>
      <c r="R248" s="25"/>
      <c r="S248" s="52"/>
    </row>
    <row r="249" spans="1:19" ht="16.5" customHeight="1" x14ac:dyDescent="0.3">
      <c r="A249" s="27" t="s">
        <v>487</v>
      </c>
      <c r="B249" s="28" t="s">
        <v>488</v>
      </c>
      <c r="C249" s="26" t="s">
        <v>1808</v>
      </c>
      <c r="D249" s="31" t="s">
        <v>152</v>
      </c>
      <c r="E249" s="33" t="s">
        <v>2023</v>
      </c>
      <c r="F249" s="34" t="s">
        <v>560</v>
      </c>
      <c r="G249" s="32" t="s">
        <v>2024</v>
      </c>
      <c r="H249" s="37" t="s">
        <v>1792</v>
      </c>
      <c r="I249" s="39" t="s">
        <v>2130</v>
      </c>
      <c r="J249" s="24" t="s">
        <v>112</v>
      </c>
      <c r="K249" s="40"/>
      <c r="L249" s="38" t="s">
        <v>2155</v>
      </c>
      <c r="M249" s="44" t="s">
        <v>30</v>
      </c>
      <c r="N249" s="46"/>
      <c r="O249" s="47"/>
      <c r="P249" s="50"/>
      <c r="Q249" s="45"/>
      <c r="R249" s="25"/>
      <c r="S249" s="52"/>
    </row>
    <row r="250" spans="1:19" ht="16.5" customHeight="1" x14ac:dyDescent="0.3">
      <c r="A250" s="27" t="s">
        <v>487</v>
      </c>
      <c r="B250" s="28" t="s">
        <v>488</v>
      </c>
      <c r="C250" s="26" t="s">
        <v>1808</v>
      </c>
      <c r="D250" s="31" t="s">
        <v>152</v>
      </c>
      <c r="E250" s="33" t="s">
        <v>2023</v>
      </c>
      <c r="F250" s="34" t="s">
        <v>560</v>
      </c>
      <c r="G250" s="32" t="s">
        <v>2024</v>
      </c>
      <c r="H250" s="37" t="s">
        <v>1792</v>
      </c>
      <c r="I250" s="39" t="s">
        <v>2130</v>
      </c>
      <c r="J250" s="24" t="s">
        <v>112</v>
      </c>
      <c r="K250" s="40"/>
      <c r="L250" s="38" t="s">
        <v>2156</v>
      </c>
      <c r="M250" s="44" t="s">
        <v>33</v>
      </c>
      <c r="N250" s="46" t="s">
        <v>2157</v>
      </c>
      <c r="O250" s="47" t="s">
        <v>748</v>
      </c>
      <c r="P250" s="50"/>
      <c r="Q250" s="45"/>
      <c r="R250" s="25"/>
      <c r="S250" s="52"/>
    </row>
    <row r="251" spans="1:19" ht="16.5" customHeight="1" x14ac:dyDescent="0.3">
      <c r="A251" s="27" t="s">
        <v>487</v>
      </c>
      <c r="B251" s="28" t="s">
        <v>488</v>
      </c>
      <c r="C251" s="26" t="s">
        <v>1808</v>
      </c>
      <c r="D251" s="31" t="s">
        <v>152</v>
      </c>
      <c r="E251" s="33" t="s">
        <v>2023</v>
      </c>
      <c r="F251" s="34" t="s">
        <v>560</v>
      </c>
      <c r="G251" s="32" t="s">
        <v>2024</v>
      </c>
      <c r="H251" s="37" t="s">
        <v>1792</v>
      </c>
      <c r="I251" s="39" t="s">
        <v>2158</v>
      </c>
      <c r="J251" s="24" t="s">
        <v>118</v>
      </c>
      <c r="K251" s="40"/>
      <c r="L251" s="38" t="s">
        <v>2159</v>
      </c>
      <c r="M251" s="44" t="s">
        <v>16</v>
      </c>
      <c r="N251" s="46" t="s">
        <v>2160</v>
      </c>
      <c r="O251" s="47" t="s">
        <v>749</v>
      </c>
      <c r="P251" s="50"/>
      <c r="Q251" s="45"/>
      <c r="R251" s="25"/>
      <c r="S251" s="52"/>
    </row>
    <row r="252" spans="1:19" ht="16.5" customHeight="1" x14ac:dyDescent="0.3">
      <c r="A252" s="27" t="s">
        <v>487</v>
      </c>
      <c r="B252" s="28" t="s">
        <v>488</v>
      </c>
      <c r="C252" s="26" t="s">
        <v>1808</v>
      </c>
      <c r="D252" s="31" t="s">
        <v>152</v>
      </c>
      <c r="E252" s="33" t="s">
        <v>2023</v>
      </c>
      <c r="F252" s="34" t="s">
        <v>560</v>
      </c>
      <c r="G252" s="32" t="s">
        <v>2024</v>
      </c>
      <c r="H252" s="37" t="s">
        <v>1792</v>
      </c>
      <c r="I252" s="39" t="s">
        <v>2158</v>
      </c>
      <c r="J252" s="24" t="s">
        <v>118</v>
      </c>
      <c r="K252" s="40"/>
      <c r="L252" s="38" t="s">
        <v>2159</v>
      </c>
      <c r="M252" s="44" t="s">
        <v>16</v>
      </c>
      <c r="N252" s="46" t="s">
        <v>2161</v>
      </c>
      <c r="O252" s="47" t="s">
        <v>750</v>
      </c>
      <c r="P252" s="50"/>
      <c r="Q252" s="45"/>
      <c r="R252" s="25"/>
      <c r="S252" s="52"/>
    </row>
    <row r="253" spans="1:19" ht="16.5" customHeight="1" x14ac:dyDescent="0.3">
      <c r="A253" s="27" t="s">
        <v>487</v>
      </c>
      <c r="B253" s="28" t="s">
        <v>488</v>
      </c>
      <c r="C253" s="26" t="s">
        <v>1808</v>
      </c>
      <c r="D253" s="31" t="s">
        <v>152</v>
      </c>
      <c r="E253" s="33" t="s">
        <v>2023</v>
      </c>
      <c r="F253" s="34" t="s">
        <v>560</v>
      </c>
      <c r="G253" s="32" t="s">
        <v>2024</v>
      </c>
      <c r="H253" s="37" t="s">
        <v>1792</v>
      </c>
      <c r="I253" s="39" t="s">
        <v>2158</v>
      </c>
      <c r="J253" s="24" t="s">
        <v>118</v>
      </c>
      <c r="K253" s="40"/>
      <c r="L253" s="38" t="s">
        <v>2159</v>
      </c>
      <c r="M253" s="44" t="s">
        <v>16</v>
      </c>
      <c r="N253" s="46" t="s">
        <v>2162</v>
      </c>
      <c r="O253" s="47" t="s">
        <v>751</v>
      </c>
      <c r="P253" s="50"/>
      <c r="Q253" s="45"/>
      <c r="R253" s="25"/>
      <c r="S253" s="52"/>
    </row>
    <row r="254" spans="1:19" ht="16.5" customHeight="1" x14ac:dyDescent="0.3">
      <c r="A254" s="27" t="s">
        <v>487</v>
      </c>
      <c r="B254" s="28" t="s">
        <v>488</v>
      </c>
      <c r="C254" s="26" t="s">
        <v>1808</v>
      </c>
      <c r="D254" s="31" t="s">
        <v>152</v>
      </c>
      <c r="E254" s="33" t="s">
        <v>2023</v>
      </c>
      <c r="F254" s="34" t="s">
        <v>560</v>
      </c>
      <c r="G254" s="32" t="s">
        <v>2024</v>
      </c>
      <c r="H254" s="37" t="s">
        <v>1792</v>
      </c>
      <c r="I254" s="39" t="s">
        <v>2158</v>
      </c>
      <c r="J254" s="24" t="s">
        <v>118</v>
      </c>
      <c r="K254" s="40"/>
      <c r="L254" s="38" t="s">
        <v>2159</v>
      </c>
      <c r="M254" s="44" t="s">
        <v>16</v>
      </c>
      <c r="N254" s="46" t="s">
        <v>2163</v>
      </c>
      <c r="O254" s="47" t="s">
        <v>752</v>
      </c>
      <c r="P254" s="50"/>
      <c r="Q254" s="45"/>
      <c r="R254" s="25"/>
      <c r="S254" s="52"/>
    </row>
    <row r="255" spans="1:19" ht="16.5" customHeight="1" x14ac:dyDescent="0.3">
      <c r="A255" s="27" t="s">
        <v>487</v>
      </c>
      <c r="B255" s="28" t="s">
        <v>488</v>
      </c>
      <c r="C255" s="26" t="s">
        <v>1808</v>
      </c>
      <c r="D255" s="31" t="s">
        <v>152</v>
      </c>
      <c r="E255" s="33" t="s">
        <v>2023</v>
      </c>
      <c r="F255" s="34" t="s">
        <v>560</v>
      </c>
      <c r="G255" s="32" t="s">
        <v>2024</v>
      </c>
      <c r="H255" s="37" t="s">
        <v>1792</v>
      </c>
      <c r="I255" s="39" t="s">
        <v>2158</v>
      </c>
      <c r="J255" s="24" t="s">
        <v>118</v>
      </c>
      <c r="K255" s="40"/>
      <c r="L255" s="38" t="s">
        <v>2164</v>
      </c>
      <c r="M255" s="44" t="s">
        <v>120</v>
      </c>
      <c r="N255" s="46" t="s">
        <v>2165</v>
      </c>
      <c r="O255" s="47" t="s">
        <v>749</v>
      </c>
      <c r="P255" s="50"/>
      <c r="Q255" s="45"/>
      <c r="R255" s="25"/>
      <c r="S255" s="52"/>
    </row>
    <row r="256" spans="1:19" ht="16.5" customHeight="1" x14ac:dyDescent="0.3">
      <c r="A256" s="27" t="s">
        <v>487</v>
      </c>
      <c r="B256" s="28" t="s">
        <v>488</v>
      </c>
      <c r="C256" s="26" t="s">
        <v>1808</v>
      </c>
      <c r="D256" s="31" t="s">
        <v>152</v>
      </c>
      <c r="E256" s="33" t="s">
        <v>2023</v>
      </c>
      <c r="F256" s="34" t="s">
        <v>560</v>
      </c>
      <c r="G256" s="32" t="s">
        <v>2024</v>
      </c>
      <c r="H256" s="37" t="s">
        <v>1792</v>
      </c>
      <c r="I256" s="39" t="s">
        <v>2158</v>
      </c>
      <c r="J256" s="24" t="s">
        <v>118</v>
      </c>
      <c r="K256" s="40"/>
      <c r="L256" s="38" t="s">
        <v>2164</v>
      </c>
      <c r="M256" s="44" t="s">
        <v>120</v>
      </c>
      <c r="N256" s="46" t="s">
        <v>2166</v>
      </c>
      <c r="O256" s="47" t="s">
        <v>753</v>
      </c>
      <c r="P256" s="50"/>
      <c r="Q256" s="45"/>
      <c r="R256" s="25"/>
      <c r="S256" s="52"/>
    </row>
    <row r="257" spans="1:19" ht="16.5" customHeight="1" x14ac:dyDescent="0.3">
      <c r="A257" s="27" t="s">
        <v>487</v>
      </c>
      <c r="B257" s="28" t="s">
        <v>488</v>
      </c>
      <c r="C257" s="26" t="s">
        <v>1808</v>
      </c>
      <c r="D257" s="31" t="s">
        <v>152</v>
      </c>
      <c r="E257" s="33" t="s">
        <v>2023</v>
      </c>
      <c r="F257" s="34" t="s">
        <v>560</v>
      </c>
      <c r="G257" s="32" t="s">
        <v>2024</v>
      </c>
      <c r="H257" s="37" t="s">
        <v>1792</v>
      </c>
      <c r="I257" s="39" t="s">
        <v>2158</v>
      </c>
      <c r="J257" s="24" t="s">
        <v>118</v>
      </c>
      <c r="K257" s="40"/>
      <c r="L257" s="38" t="s">
        <v>2164</v>
      </c>
      <c r="M257" s="44" t="s">
        <v>120</v>
      </c>
      <c r="N257" s="46" t="s">
        <v>2167</v>
      </c>
      <c r="O257" s="47" t="s">
        <v>754</v>
      </c>
      <c r="P257" s="50"/>
      <c r="Q257" s="45"/>
      <c r="R257" s="25"/>
      <c r="S257" s="52"/>
    </row>
    <row r="258" spans="1:19" ht="16.5" customHeight="1" x14ac:dyDescent="0.3">
      <c r="A258" s="27" t="s">
        <v>487</v>
      </c>
      <c r="B258" s="28" t="s">
        <v>488</v>
      </c>
      <c r="C258" s="26" t="s">
        <v>1808</v>
      </c>
      <c r="D258" s="31" t="s">
        <v>152</v>
      </c>
      <c r="E258" s="33" t="s">
        <v>2023</v>
      </c>
      <c r="F258" s="34" t="s">
        <v>560</v>
      </c>
      <c r="G258" s="32" t="s">
        <v>2024</v>
      </c>
      <c r="H258" s="37" t="s">
        <v>1792</v>
      </c>
      <c r="I258" s="39" t="s">
        <v>2158</v>
      </c>
      <c r="J258" s="24" t="s">
        <v>118</v>
      </c>
      <c r="K258" s="40"/>
      <c r="L258" s="38" t="s">
        <v>2164</v>
      </c>
      <c r="M258" s="44" t="s">
        <v>120</v>
      </c>
      <c r="N258" s="46" t="s">
        <v>2168</v>
      </c>
      <c r="O258" s="47" t="s">
        <v>1640</v>
      </c>
      <c r="P258" s="50"/>
      <c r="Q258" s="45"/>
      <c r="R258" s="25"/>
      <c r="S258" s="52"/>
    </row>
    <row r="259" spans="1:19" ht="16.5" customHeight="1" x14ac:dyDescent="0.3">
      <c r="A259" s="27" t="s">
        <v>487</v>
      </c>
      <c r="B259" s="28" t="s">
        <v>488</v>
      </c>
      <c r="C259" s="26" t="s">
        <v>1808</v>
      </c>
      <c r="D259" s="31" t="s">
        <v>152</v>
      </c>
      <c r="E259" s="33" t="s">
        <v>2023</v>
      </c>
      <c r="F259" s="34" t="s">
        <v>560</v>
      </c>
      <c r="G259" s="32" t="s">
        <v>2024</v>
      </c>
      <c r="H259" s="37" t="s">
        <v>1792</v>
      </c>
      <c r="I259" s="39" t="s">
        <v>2158</v>
      </c>
      <c r="J259" s="24" t="s">
        <v>118</v>
      </c>
      <c r="K259" s="40"/>
      <c r="L259" s="38" t="s">
        <v>2169</v>
      </c>
      <c r="M259" s="44" t="s">
        <v>121</v>
      </c>
      <c r="N259" s="46" t="s">
        <v>2170</v>
      </c>
      <c r="O259" s="47" t="s">
        <v>755</v>
      </c>
      <c r="P259" s="50"/>
      <c r="Q259" s="45"/>
      <c r="R259" s="25"/>
      <c r="S259" s="52"/>
    </row>
    <row r="260" spans="1:19" ht="16.5" customHeight="1" x14ac:dyDescent="0.3">
      <c r="A260" s="27" t="s">
        <v>487</v>
      </c>
      <c r="B260" s="28" t="s">
        <v>488</v>
      </c>
      <c r="C260" s="26" t="s">
        <v>1808</v>
      </c>
      <c r="D260" s="31" t="s">
        <v>152</v>
      </c>
      <c r="E260" s="33" t="s">
        <v>2023</v>
      </c>
      <c r="F260" s="34" t="s">
        <v>560</v>
      </c>
      <c r="G260" s="32" t="s">
        <v>2024</v>
      </c>
      <c r="H260" s="37" t="s">
        <v>1792</v>
      </c>
      <c r="I260" s="39" t="s">
        <v>2158</v>
      </c>
      <c r="J260" s="24" t="s">
        <v>118</v>
      </c>
      <c r="K260" s="40"/>
      <c r="L260" s="38" t="s">
        <v>2171</v>
      </c>
      <c r="M260" s="44" t="s">
        <v>1624</v>
      </c>
      <c r="N260" s="46" t="s">
        <v>2172</v>
      </c>
      <c r="O260" s="47" t="s">
        <v>756</v>
      </c>
      <c r="P260" s="50"/>
      <c r="Q260" s="45"/>
      <c r="R260" s="25"/>
      <c r="S260" s="52"/>
    </row>
    <row r="261" spans="1:19" ht="16.5" customHeight="1" x14ac:dyDescent="0.3">
      <c r="A261" s="27" t="s">
        <v>487</v>
      </c>
      <c r="B261" s="28" t="s">
        <v>488</v>
      </c>
      <c r="C261" s="26" t="s">
        <v>1808</v>
      </c>
      <c r="D261" s="31" t="s">
        <v>152</v>
      </c>
      <c r="E261" s="33" t="s">
        <v>2023</v>
      </c>
      <c r="F261" s="34" t="s">
        <v>560</v>
      </c>
      <c r="G261" s="32" t="s">
        <v>2024</v>
      </c>
      <c r="H261" s="37" t="s">
        <v>1792</v>
      </c>
      <c r="I261" s="39" t="s">
        <v>2158</v>
      </c>
      <c r="J261" s="24" t="s">
        <v>118</v>
      </c>
      <c r="K261" s="40"/>
      <c r="L261" s="38" t="s">
        <v>2171</v>
      </c>
      <c r="M261" s="44" t="s">
        <v>1624</v>
      </c>
      <c r="N261" s="46" t="s">
        <v>2173</v>
      </c>
      <c r="O261" s="47" t="s">
        <v>757</v>
      </c>
      <c r="P261" s="50"/>
      <c r="Q261" s="45"/>
      <c r="R261" s="25"/>
      <c r="S261" s="52"/>
    </row>
    <row r="262" spans="1:19" ht="16.5" customHeight="1" x14ac:dyDescent="0.3">
      <c r="A262" s="27" t="s">
        <v>487</v>
      </c>
      <c r="B262" s="28" t="s">
        <v>488</v>
      </c>
      <c r="C262" s="26" t="s">
        <v>1808</v>
      </c>
      <c r="D262" s="31" t="s">
        <v>152</v>
      </c>
      <c r="E262" s="33" t="s">
        <v>2023</v>
      </c>
      <c r="F262" s="34" t="s">
        <v>560</v>
      </c>
      <c r="G262" s="32" t="s">
        <v>2024</v>
      </c>
      <c r="H262" s="37" t="s">
        <v>1792</v>
      </c>
      <c r="I262" s="39" t="s">
        <v>2158</v>
      </c>
      <c r="J262" s="24" t="s">
        <v>118</v>
      </c>
      <c r="K262" s="40"/>
      <c r="L262" s="38" t="s">
        <v>2171</v>
      </c>
      <c r="M262" s="44" t="s">
        <v>1624</v>
      </c>
      <c r="N262" s="46" t="s">
        <v>2174</v>
      </c>
      <c r="O262" s="47" t="s">
        <v>749</v>
      </c>
      <c r="P262" s="50"/>
      <c r="Q262" s="45"/>
      <c r="R262" s="25"/>
      <c r="S262" s="52"/>
    </row>
    <row r="263" spans="1:19" ht="16.5" customHeight="1" x14ac:dyDescent="0.3">
      <c r="A263" s="27" t="s">
        <v>487</v>
      </c>
      <c r="B263" s="28" t="s">
        <v>488</v>
      </c>
      <c r="C263" s="26" t="s">
        <v>1808</v>
      </c>
      <c r="D263" s="31" t="s">
        <v>152</v>
      </c>
      <c r="E263" s="33" t="s">
        <v>2023</v>
      </c>
      <c r="F263" s="34" t="s">
        <v>560</v>
      </c>
      <c r="G263" s="32" t="s">
        <v>2024</v>
      </c>
      <c r="H263" s="37" t="s">
        <v>1792</v>
      </c>
      <c r="I263" s="39" t="s">
        <v>2158</v>
      </c>
      <c r="J263" s="24" t="s">
        <v>118</v>
      </c>
      <c r="K263" s="40"/>
      <c r="L263" s="38" t="s">
        <v>2175</v>
      </c>
      <c r="M263" s="44" t="s">
        <v>26</v>
      </c>
      <c r="N263" s="46" t="s">
        <v>2176</v>
      </c>
      <c r="O263" s="47" t="s">
        <v>758</v>
      </c>
      <c r="P263" s="50"/>
      <c r="Q263" s="45"/>
      <c r="R263" s="25"/>
      <c r="S263" s="52"/>
    </row>
    <row r="264" spans="1:19" ht="16.5" customHeight="1" x14ac:dyDescent="0.3">
      <c r="A264" s="27" t="s">
        <v>487</v>
      </c>
      <c r="B264" s="28" t="s">
        <v>488</v>
      </c>
      <c r="C264" s="26" t="s">
        <v>1808</v>
      </c>
      <c r="D264" s="31" t="s">
        <v>152</v>
      </c>
      <c r="E264" s="33" t="s">
        <v>2023</v>
      </c>
      <c r="F264" s="34" t="s">
        <v>560</v>
      </c>
      <c r="G264" s="32" t="s">
        <v>2024</v>
      </c>
      <c r="H264" s="37" t="s">
        <v>1792</v>
      </c>
      <c r="I264" s="39" t="s">
        <v>2158</v>
      </c>
      <c r="J264" s="24" t="s">
        <v>118</v>
      </c>
      <c r="K264" s="40"/>
      <c r="L264" s="38" t="s">
        <v>2175</v>
      </c>
      <c r="M264" s="44" t="s">
        <v>26</v>
      </c>
      <c r="N264" s="46" t="s">
        <v>2177</v>
      </c>
      <c r="O264" s="47" t="s">
        <v>759</v>
      </c>
      <c r="P264" s="50"/>
      <c r="Q264" s="45"/>
      <c r="R264" s="25"/>
      <c r="S264" s="52"/>
    </row>
    <row r="265" spans="1:19" ht="16.5" customHeight="1" x14ac:dyDescent="0.3">
      <c r="A265" s="27" t="s">
        <v>487</v>
      </c>
      <c r="B265" s="28" t="s">
        <v>488</v>
      </c>
      <c r="C265" s="26" t="s">
        <v>1808</v>
      </c>
      <c r="D265" s="31" t="s">
        <v>152</v>
      </c>
      <c r="E265" s="33" t="s">
        <v>2023</v>
      </c>
      <c r="F265" s="34" t="s">
        <v>560</v>
      </c>
      <c r="G265" s="32" t="s">
        <v>2024</v>
      </c>
      <c r="H265" s="37" t="s">
        <v>1792</v>
      </c>
      <c r="I265" s="39" t="s">
        <v>2158</v>
      </c>
      <c r="J265" s="24" t="s">
        <v>118</v>
      </c>
      <c r="K265" s="40"/>
      <c r="L265" s="38" t="s">
        <v>2175</v>
      </c>
      <c r="M265" s="44" t="s">
        <v>26</v>
      </c>
      <c r="N265" s="46" t="s">
        <v>2178</v>
      </c>
      <c r="O265" s="47" t="s">
        <v>760</v>
      </c>
      <c r="P265" s="50"/>
      <c r="Q265" s="45"/>
      <c r="R265" s="25"/>
      <c r="S265" s="52"/>
    </row>
    <row r="266" spans="1:19" ht="16.5" customHeight="1" x14ac:dyDescent="0.3">
      <c r="A266" s="27" t="s">
        <v>487</v>
      </c>
      <c r="B266" s="28" t="s">
        <v>488</v>
      </c>
      <c r="C266" s="26" t="s">
        <v>1808</v>
      </c>
      <c r="D266" s="31" t="s">
        <v>152</v>
      </c>
      <c r="E266" s="33" t="s">
        <v>2023</v>
      </c>
      <c r="F266" s="34" t="s">
        <v>560</v>
      </c>
      <c r="G266" s="32" t="s">
        <v>2024</v>
      </c>
      <c r="H266" s="37" t="s">
        <v>1792</v>
      </c>
      <c r="I266" s="39" t="s">
        <v>2158</v>
      </c>
      <c r="J266" s="24" t="s">
        <v>118</v>
      </c>
      <c r="K266" s="40"/>
      <c r="L266" s="38" t="s">
        <v>2175</v>
      </c>
      <c r="M266" s="44" t="s">
        <v>26</v>
      </c>
      <c r="N266" s="46" t="s">
        <v>2179</v>
      </c>
      <c r="O266" s="47" t="s">
        <v>761</v>
      </c>
      <c r="P266" s="50"/>
      <c r="Q266" s="45"/>
      <c r="R266" s="25"/>
      <c r="S266" s="52"/>
    </row>
    <row r="267" spans="1:19" ht="16.5" customHeight="1" x14ac:dyDescent="0.3">
      <c r="A267" s="27" t="s">
        <v>487</v>
      </c>
      <c r="B267" s="28" t="s">
        <v>488</v>
      </c>
      <c r="C267" s="26" t="s">
        <v>1808</v>
      </c>
      <c r="D267" s="31" t="s">
        <v>152</v>
      </c>
      <c r="E267" s="33" t="s">
        <v>2023</v>
      </c>
      <c r="F267" s="34" t="s">
        <v>560</v>
      </c>
      <c r="G267" s="32" t="s">
        <v>2024</v>
      </c>
      <c r="H267" s="37" t="s">
        <v>1792</v>
      </c>
      <c r="I267" s="39" t="s">
        <v>2158</v>
      </c>
      <c r="J267" s="24" t="s">
        <v>118</v>
      </c>
      <c r="K267" s="40"/>
      <c r="L267" s="38" t="s">
        <v>2175</v>
      </c>
      <c r="M267" s="44" t="s">
        <v>26</v>
      </c>
      <c r="N267" s="46" t="s">
        <v>2180</v>
      </c>
      <c r="O267" s="47" t="s">
        <v>1469</v>
      </c>
      <c r="P267" s="50"/>
      <c r="Q267" s="45"/>
      <c r="R267" s="25"/>
      <c r="S267" s="52"/>
    </row>
    <row r="268" spans="1:19" ht="16.5" customHeight="1" x14ac:dyDescent="0.3">
      <c r="A268" s="27" t="s">
        <v>487</v>
      </c>
      <c r="B268" s="28" t="s">
        <v>488</v>
      </c>
      <c r="C268" s="26" t="s">
        <v>1808</v>
      </c>
      <c r="D268" s="31" t="s">
        <v>152</v>
      </c>
      <c r="E268" s="33" t="s">
        <v>2023</v>
      </c>
      <c r="F268" s="34" t="s">
        <v>560</v>
      </c>
      <c r="G268" s="32" t="s">
        <v>2024</v>
      </c>
      <c r="H268" s="37" t="s">
        <v>1792</v>
      </c>
      <c r="I268" s="39" t="s">
        <v>2158</v>
      </c>
      <c r="J268" s="24" t="s">
        <v>118</v>
      </c>
      <c r="K268" s="40"/>
      <c r="L268" s="38" t="s">
        <v>2175</v>
      </c>
      <c r="M268" s="44" t="s">
        <v>26</v>
      </c>
      <c r="N268" s="46" t="s">
        <v>2181</v>
      </c>
      <c r="O268" s="47" t="s">
        <v>762</v>
      </c>
      <c r="P268" s="50"/>
      <c r="Q268" s="45"/>
      <c r="R268" s="25"/>
      <c r="S268" s="52"/>
    </row>
    <row r="269" spans="1:19" ht="16.5" customHeight="1" x14ac:dyDescent="0.3">
      <c r="A269" s="27" t="s">
        <v>487</v>
      </c>
      <c r="B269" s="28" t="s">
        <v>488</v>
      </c>
      <c r="C269" s="26" t="s">
        <v>1808</v>
      </c>
      <c r="D269" s="31" t="s">
        <v>152</v>
      </c>
      <c r="E269" s="33" t="s">
        <v>2023</v>
      </c>
      <c r="F269" s="34" t="s">
        <v>560</v>
      </c>
      <c r="G269" s="32" t="s">
        <v>2024</v>
      </c>
      <c r="H269" s="37" t="s">
        <v>1792</v>
      </c>
      <c r="I269" s="39" t="s">
        <v>2158</v>
      </c>
      <c r="J269" s="24" t="s">
        <v>118</v>
      </c>
      <c r="K269" s="40"/>
      <c r="L269" s="38" t="s">
        <v>2175</v>
      </c>
      <c r="M269" s="44" t="s">
        <v>26</v>
      </c>
      <c r="N269" s="46" t="s">
        <v>2182</v>
      </c>
      <c r="O269" s="47" t="s">
        <v>763</v>
      </c>
      <c r="P269" s="50"/>
      <c r="Q269" s="45"/>
      <c r="R269" s="25"/>
      <c r="S269" s="52"/>
    </row>
    <row r="270" spans="1:19" ht="16.5" customHeight="1" x14ac:dyDescent="0.3">
      <c r="A270" s="27" t="s">
        <v>487</v>
      </c>
      <c r="B270" s="28" t="s">
        <v>488</v>
      </c>
      <c r="C270" s="26" t="s">
        <v>1808</v>
      </c>
      <c r="D270" s="31" t="s">
        <v>152</v>
      </c>
      <c r="E270" s="33" t="s">
        <v>2023</v>
      </c>
      <c r="F270" s="34" t="s">
        <v>560</v>
      </c>
      <c r="G270" s="32" t="s">
        <v>2024</v>
      </c>
      <c r="H270" s="37" t="s">
        <v>1792</v>
      </c>
      <c r="I270" s="39" t="s">
        <v>2158</v>
      </c>
      <c r="J270" s="24" t="s">
        <v>118</v>
      </c>
      <c r="K270" s="40"/>
      <c r="L270" s="38" t="s">
        <v>2175</v>
      </c>
      <c r="M270" s="44" t="s">
        <v>26</v>
      </c>
      <c r="N270" s="46" t="s">
        <v>2183</v>
      </c>
      <c r="O270" s="47" t="s">
        <v>764</v>
      </c>
      <c r="P270" s="50"/>
      <c r="Q270" s="45"/>
      <c r="R270" s="25"/>
      <c r="S270" s="52"/>
    </row>
    <row r="271" spans="1:19" ht="16.5" customHeight="1" x14ac:dyDescent="0.3">
      <c r="A271" s="27" t="s">
        <v>487</v>
      </c>
      <c r="B271" s="28" t="s">
        <v>488</v>
      </c>
      <c r="C271" s="26" t="s">
        <v>1808</v>
      </c>
      <c r="D271" s="31" t="s">
        <v>152</v>
      </c>
      <c r="E271" s="33" t="s">
        <v>2023</v>
      </c>
      <c r="F271" s="34" t="s">
        <v>560</v>
      </c>
      <c r="G271" s="32" t="s">
        <v>2024</v>
      </c>
      <c r="H271" s="37" t="s">
        <v>1792</v>
      </c>
      <c r="I271" s="39" t="s">
        <v>2158</v>
      </c>
      <c r="J271" s="24" t="s">
        <v>118</v>
      </c>
      <c r="K271" s="40"/>
      <c r="L271" s="38" t="s">
        <v>2175</v>
      </c>
      <c r="M271" s="44" t="s">
        <v>26</v>
      </c>
      <c r="N271" s="46" t="s">
        <v>2184</v>
      </c>
      <c r="O271" s="47" t="s">
        <v>106</v>
      </c>
      <c r="P271" s="50"/>
      <c r="Q271" s="45"/>
      <c r="R271" s="25"/>
      <c r="S271" s="52"/>
    </row>
    <row r="272" spans="1:19" ht="16.5" customHeight="1" x14ac:dyDescent="0.3">
      <c r="A272" s="27" t="s">
        <v>487</v>
      </c>
      <c r="B272" s="28" t="s">
        <v>488</v>
      </c>
      <c r="C272" s="26" t="s">
        <v>1808</v>
      </c>
      <c r="D272" s="31" t="s">
        <v>152</v>
      </c>
      <c r="E272" s="33" t="s">
        <v>2023</v>
      </c>
      <c r="F272" s="34" t="s">
        <v>560</v>
      </c>
      <c r="G272" s="32" t="s">
        <v>2024</v>
      </c>
      <c r="H272" s="37" t="s">
        <v>1792</v>
      </c>
      <c r="I272" s="39" t="s">
        <v>2158</v>
      </c>
      <c r="J272" s="24" t="s">
        <v>118</v>
      </c>
      <c r="K272" s="40"/>
      <c r="L272" s="38" t="s">
        <v>2175</v>
      </c>
      <c r="M272" s="44" t="s">
        <v>26</v>
      </c>
      <c r="N272" s="46" t="s">
        <v>2185</v>
      </c>
      <c r="O272" s="47" t="s">
        <v>108</v>
      </c>
      <c r="P272" s="50"/>
      <c r="Q272" s="45"/>
      <c r="R272" s="25"/>
      <c r="S272" s="52"/>
    </row>
    <row r="273" spans="1:19" ht="16.5" customHeight="1" x14ac:dyDescent="0.3">
      <c r="A273" s="27" t="s">
        <v>487</v>
      </c>
      <c r="B273" s="28" t="s">
        <v>488</v>
      </c>
      <c r="C273" s="26" t="s">
        <v>1808</v>
      </c>
      <c r="D273" s="31" t="s">
        <v>152</v>
      </c>
      <c r="E273" s="33" t="s">
        <v>2023</v>
      </c>
      <c r="F273" s="34" t="s">
        <v>560</v>
      </c>
      <c r="G273" s="32" t="s">
        <v>2024</v>
      </c>
      <c r="H273" s="37" t="s">
        <v>1792</v>
      </c>
      <c r="I273" s="39" t="s">
        <v>2158</v>
      </c>
      <c r="J273" s="24" t="s">
        <v>118</v>
      </c>
      <c r="K273" s="40"/>
      <c r="L273" s="38" t="s">
        <v>2175</v>
      </c>
      <c r="M273" s="44" t="s">
        <v>26</v>
      </c>
      <c r="N273" s="46" t="s">
        <v>2186</v>
      </c>
      <c r="O273" s="47" t="s">
        <v>1635</v>
      </c>
      <c r="P273" s="50"/>
      <c r="Q273" s="45"/>
      <c r="R273" s="25"/>
      <c r="S273" s="52"/>
    </row>
    <row r="274" spans="1:19" ht="16.5" customHeight="1" x14ac:dyDescent="0.3">
      <c r="A274" s="27" t="s">
        <v>487</v>
      </c>
      <c r="B274" s="28" t="s">
        <v>488</v>
      </c>
      <c r="C274" s="26" t="s">
        <v>1808</v>
      </c>
      <c r="D274" s="31" t="s">
        <v>152</v>
      </c>
      <c r="E274" s="33" t="s">
        <v>2023</v>
      </c>
      <c r="F274" s="34" t="s">
        <v>560</v>
      </c>
      <c r="G274" s="32" t="s">
        <v>2024</v>
      </c>
      <c r="H274" s="37" t="s">
        <v>1792</v>
      </c>
      <c r="I274" s="39" t="s">
        <v>2158</v>
      </c>
      <c r="J274" s="24" t="s">
        <v>118</v>
      </c>
      <c r="K274" s="40"/>
      <c r="L274" s="38" t="s">
        <v>2175</v>
      </c>
      <c r="M274" s="44" t="s">
        <v>26</v>
      </c>
      <c r="N274" s="46" t="s">
        <v>2187</v>
      </c>
      <c r="O274" s="47" t="s">
        <v>1637</v>
      </c>
      <c r="P274" s="50"/>
      <c r="Q274" s="45"/>
      <c r="R274" s="25"/>
      <c r="S274" s="52"/>
    </row>
    <row r="275" spans="1:19" ht="16.5" customHeight="1" x14ac:dyDescent="0.3">
      <c r="A275" s="27" t="s">
        <v>487</v>
      </c>
      <c r="B275" s="28" t="s">
        <v>488</v>
      </c>
      <c r="C275" s="26" t="s">
        <v>1808</v>
      </c>
      <c r="D275" s="31" t="s">
        <v>152</v>
      </c>
      <c r="E275" s="33" t="s">
        <v>2023</v>
      </c>
      <c r="F275" s="34" t="s">
        <v>560</v>
      </c>
      <c r="G275" s="32" t="s">
        <v>2024</v>
      </c>
      <c r="H275" s="37" t="s">
        <v>1792</v>
      </c>
      <c r="I275" s="39" t="s">
        <v>2158</v>
      </c>
      <c r="J275" s="24" t="s">
        <v>118</v>
      </c>
      <c r="K275" s="40"/>
      <c r="L275" s="38" t="s">
        <v>2188</v>
      </c>
      <c r="M275" s="44" t="s">
        <v>9</v>
      </c>
      <c r="N275" s="46" t="s">
        <v>2189</v>
      </c>
      <c r="O275" s="47" t="s">
        <v>770</v>
      </c>
      <c r="P275" s="50"/>
      <c r="Q275" s="45"/>
      <c r="R275" s="25"/>
      <c r="S275" s="52"/>
    </row>
    <row r="276" spans="1:19" ht="16.5" customHeight="1" x14ac:dyDescent="0.3">
      <c r="A276" s="27" t="s">
        <v>487</v>
      </c>
      <c r="B276" s="28" t="s">
        <v>488</v>
      </c>
      <c r="C276" s="26" t="s">
        <v>1808</v>
      </c>
      <c r="D276" s="31" t="s">
        <v>152</v>
      </c>
      <c r="E276" s="33" t="s">
        <v>2023</v>
      </c>
      <c r="F276" s="34" t="s">
        <v>560</v>
      </c>
      <c r="G276" s="32" t="s">
        <v>2024</v>
      </c>
      <c r="H276" s="37" t="s">
        <v>1792</v>
      </c>
      <c r="I276" s="39" t="s">
        <v>2158</v>
      </c>
      <c r="J276" s="24" t="s">
        <v>118</v>
      </c>
      <c r="K276" s="40"/>
      <c r="L276" s="38" t="s">
        <v>2188</v>
      </c>
      <c r="M276" s="44" t="s">
        <v>9</v>
      </c>
      <c r="N276" s="46" t="s">
        <v>2190</v>
      </c>
      <c r="O276" s="47" t="s">
        <v>768</v>
      </c>
      <c r="P276" s="50"/>
      <c r="Q276" s="45"/>
      <c r="R276" s="25"/>
      <c r="S276" s="52"/>
    </row>
    <row r="277" spans="1:19" ht="16.5" customHeight="1" x14ac:dyDescent="0.3">
      <c r="A277" s="27" t="s">
        <v>487</v>
      </c>
      <c r="B277" s="28" t="s">
        <v>488</v>
      </c>
      <c r="C277" s="26" t="s">
        <v>1808</v>
      </c>
      <c r="D277" s="31" t="s">
        <v>152</v>
      </c>
      <c r="E277" s="33" t="s">
        <v>2023</v>
      </c>
      <c r="F277" s="34" t="s">
        <v>560</v>
      </c>
      <c r="G277" s="32" t="s">
        <v>2024</v>
      </c>
      <c r="H277" s="37" t="s">
        <v>1792</v>
      </c>
      <c r="I277" s="39" t="s">
        <v>2158</v>
      </c>
      <c r="J277" s="24" t="s">
        <v>118</v>
      </c>
      <c r="K277" s="40"/>
      <c r="L277" s="38" t="s">
        <v>2188</v>
      </c>
      <c r="M277" s="44" t="s">
        <v>9</v>
      </c>
      <c r="N277" s="46" t="s">
        <v>2191</v>
      </c>
      <c r="O277" s="47" t="s">
        <v>771</v>
      </c>
      <c r="P277" s="50"/>
      <c r="Q277" s="45"/>
      <c r="R277" s="25"/>
      <c r="S277" s="52"/>
    </row>
    <row r="278" spans="1:19" ht="16.5" customHeight="1" x14ac:dyDescent="0.3">
      <c r="A278" s="27" t="s">
        <v>487</v>
      </c>
      <c r="B278" s="28" t="s">
        <v>488</v>
      </c>
      <c r="C278" s="26" t="s">
        <v>1808</v>
      </c>
      <c r="D278" s="31" t="s">
        <v>152</v>
      </c>
      <c r="E278" s="33" t="s">
        <v>2023</v>
      </c>
      <c r="F278" s="34" t="s">
        <v>560</v>
      </c>
      <c r="G278" s="32" t="s">
        <v>2024</v>
      </c>
      <c r="H278" s="37" t="s">
        <v>1792</v>
      </c>
      <c r="I278" s="39" t="s">
        <v>2158</v>
      </c>
      <c r="J278" s="24" t="s">
        <v>118</v>
      </c>
      <c r="K278" s="40"/>
      <c r="L278" s="38" t="s">
        <v>2188</v>
      </c>
      <c r="M278" s="44" t="s">
        <v>9</v>
      </c>
      <c r="N278" s="46" t="s">
        <v>2192</v>
      </c>
      <c r="O278" s="47" t="s">
        <v>769</v>
      </c>
      <c r="P278" s="50"/>
      <c r="Q278" s="45"/>
      <c r="R278" s="25"/>
      <c r="S278" s="52"/>
    </row>
    <row r="279" spans="1:19" ht="16.5" customHeight="1" x14ac:dyDescent="0.3">
      <c r="A279" s="27" t="s">
        <v>487</v>
      </c>
      <c r="B279" s="28" t="s">
        <v>488</v>
      </c>
      <c r="C279" s="26" t="s">
        <v>1808</v>
      </c>
      <c r="D279" s="31" t="s">
        <v>152</v>
      </c>
      <c r="E279" s="33" t="s">
        <v>2023</v>
      </c>
      <c r="F279" s="34" t="s">
        <v>560</v>
      </c>
      <c r="G279" s="32" t="s">
        <v>2024</v>
      </c>
      <c r="H279" s="37" t="s">
        <v>1792</v>
      </c>
      <c r="I279" s="39" t="s">
        <v>2158</v>
      </c>
      <c r="J279" s="24" t="s">
        <v>118</v>
      </c>
      <c r="K279" s="40"/>
      <c r="L279" s="38" t="s">
        <v>2193</v>
      </c>
      <c r="M279" s="44" t="s">
        <v>123</v>
      </c>
      <c r="N279" s="46"/>
      <c r="O279" s="47"/>
      <c r="P279" s="50"/>
      <c r="Q279" s="45"/>
      <c r="R279" s="25"/>
      <c r="S279" s="52"/>
    </row>
    <row r="280" spans="1:19" ht="16.5" customHeight="1" x14ac:dyDescent="0.3">
      <c r="A280" s="27" t="s">
        <v>487</v>
      </c>
      <c r="B280" s="28" t="s">
        <v>488</v>
      </c>
      <c r="C280" s="26" t="s">
        <v>1808</v>
      </c>
      <c r="D280" s="31" t="s">
        <v>152</v>
      </c>
      <c r="E280" s="33" t="s">
        <v>2023</v>
      </c>
      <c r="F280" s="34" t="s">
        <v>560</v>
      </c>
      <c r="G280" s="32" t="s">
        <v>2024</v>
      </c>
      <c r="H280" s="37" t="s">
        <v>1792</v>
      </c>
      <c r="I280" s="39" t="s">
        <v>2158</v>
      </c>
      <c r="J280" s="24" t="s">
        <v>118</v>
      </c>
      <c r="K280" s="40"/>
      <c r="L280" s="38" t="s">
        <v>2194</v>
      </c>
      <c r="M280" s="44" t="s">
        <v>11</v>
      </c>
      <c r="N280" s="46" t="s">
        <v>2195</v>
      </c>
      <c r="O280" s="47" t="s">
        <v>765</v>
      </c>
      <c r="P280" s="50"/>
      <c r="Q280" s="45"/>
      <c r="R280" s="25"/>
      <c r="S280" s="52"/>
    </row>
    <row r="281" spans="1:19" ht="16.5" customHeight="1" x14ac:dyDescent="0.3">
      <c r="A281" s="27" t="s">
        <v>487</v>
      </c>
      <c r="B281" s="28" t="s">
        <v>488</v>
      </c>
      <c r="C281" s="26" t="s">
        <v>1808</v>
      </c>
      <c r="D281" s="31" t="s">
        <v>152</v>
      </c>
      <c r="E281" s="33" t="s">
        <v>2023</v>
      </c>
      <c r="F281" s="34" t="s">
        <v>560</v>
      </c>
      <c r="G281" s="32" t="s">
        <v>2024</v>
      </c>
      <c r="H281" s="37" t="s">
        <v>1792</v>
      </c>
      <c r="I281" s="39" t="s">
        <v>2158</v>
      </c>
      <c r="J281" s="24" t="s">
        <v>118</v>
      </c>
      <c r="K281" s="40"/>
      <c r="L281" s="38" t="s">
        <v>2194</v>
      </c>
      <c r="M281" s="44" t="s">
        <v>11</v>
      </c>
      <c r="N281" s="46" t="s">
        <v>2196</v>
      </c>
      <c r="O281" s="47" t="s">
        <v>766</v>
      </c>
      <c r="P281" s="50"/>
      <c r="Q281" s="45"/>
      <c r="R281" s="25"/>
      <c r="S281" s="52"/>
    </row>
    <row r="282" spans="1:19" ht="16.5" customHeight="1" x14ac:dyDescent="0.3">
      <c r="A282" s="27" t="s">
        <v>487</v>
      </c>
      <c r="B282" s="28" t="s">
        <v>488</v>
      </c>
      <c r="C282" s="26" t="s">
        <v>1808</v>
      </c>
      <c r="D282" s="31" t="s">
        <v>152</v>
      </c>
      <c r="E282" s="33" t="s">
        <v>2023</v>
      </c>
      <c r="F282" s="34" t="s">
        <v>560</v>
      </c>
      <c r="G282" s="32" t="s">
        <v>2024</v>
      </c>
      <c r="H282" s="37" t="s">
        <v>1792</v>
      </c>
      <c r="I282" s="39" t="s">
        <v>2158</v>
      </c>
      <c r="J282" s="24" t="s">
        <v>118</v>
      </c>
      <c r="K282" s="40"/>
      <c r="L282" s="38" t="s">
        <v>2194</v>
      </c>
      <c r="M282" s="44" t="s">
        <v>11</v>
      </c>
      <c r="N282" s="46" t="s">
        <v>2197</v>
      </c>
      <c r="O282" s="47" t="s">
        <v>767</v>
      </c>
      <c r="P282" s="50"/>
      <c r="Q282" s="45"/>
      <c r="R282" s="25"/>
      <c r="S282" s="52"/>
    </row>
    <row r="283" spans="1:19" ht="16.5" customHeight="1" x14ac:dyDescent="0.3">
      <c r="A283" s="27" t="s">
        <v>487</v>
      </c>
      <c r="B283" s="28" t="s">
        <v>488</v>
      </c>
      <c r="C283" s="26" t="s">
        <v>1808</v>
      </c>
      <c r="D283" s="31" t="s">
        <v>152</v>
      </c>
      <c r="E283" s="33" t="s">
        <v>2023</v>
      </c>
      <c r="F283" s="34" t="s">
        <v>560</v>
      </c>
      <c r="G283" s="32" t="s">
        <v>2024</v>
      </c>
      <c r="H283" s="37" t="s">
        <v>1792</v>
      </c>
      <c r="I283" s="39" t="s">
        <v>2198</v>
      </c>
      <c r="J283" s="24" t="s">
        <v>125</v>
      </c>
      <c r="K283" s="40"/>
      <c r="L283" s="38" t="s">
        <v>2199</v>
      </c>
      <c r="M283" s="44" t="s">
        <v>26</v>
      </c>
      <c r="N283" s="46" t="s">
        <v>2200</v>
      </c>
      <c r="O283" s="47" t="s">
        <v>772</v>
      </c>
      <c r="P283" s="50"/>
      <c r="Q283" s="45"/>
      <c r="R283" s="25"/>
      <c r="S283" s="52"/>
    </row>
    <row r="284" spans="1:19" ht="16.5" customHeight="1" x14ac:dyDescent="0.3">
      <c r="A284" s="27" t="s">
        <v>487</v>
      </c>
      <c r="B284" s="28" t="s">
        <v>488</v>
      </c>
      <c r="C284" s="26" t="s">
        <v>1808</v>
      </c>
      <c r="D284" s="31" t="s">
        <v>152</v>
      </c>
      <c r="E284" s="33" t="s">
        <v>2023</v>
      </c>
      <c r="F284" s="34" t="s">
        <v>560</v>
      </c>
      <c r="G284" s="32" t="s">
        <v>2024</v>
      </c>
      <c r="H284" s="37" t="s">
        <v>1792</v>
      </c>
      <c r="I284" s="39" t="s">
        <v>2198</v>
      </c>
      <c r="J284" s="24" t="s">
        <v>125</v>
      </c>
      <c r="K284" s="40"/>
      <c r="L284" s="38" t="s">
        <v>2199</v>
      </c>
      <c r="M284" s="44" t="s">
        <v>26</v>
      </c>
      <c r="N284" s="46" t="s">
        <v>2201</v>
      </c>
      <c r="O284" s="47" t="s">
        <v>773</v>
      </c>
      <c r="P284" s="50"/>
      <c r="Q284" s="45"/>
      <c r="R284" s="25"/>
      <c r="S284" s="52"/>
    </row>
    <row r="285" spans="1:19" ht="16.5" customHeight="1" x14ac:dyDescent="0.3">
      <c r="A285" s="27" t="s">
        <v>487</v>
      </c>
      <c r="B285" s="28" t="s">
        <v>488</v>
      </c>
      <c r="C285" s="26" t="s">
        <v>1808</v>
      </c>
      <c r="D285" s="31" t="s">
        <v>152</v>
      </c>
      <c r="E285" s="33" t="s">
        <v>2023</v>
      </c>
      <c r="F285" s="34" t="s">
        <v>560</v>
      </c>
      <c r="G285" s="32" t="s">
        <v>2024</v>
      </c>
      <c r="H285" s="37" t="s">
        <v>1792</v>
      </c>
      <c r="I285" s="39" t="s">
        <v>2198</v>
      </c>
      <c r="J285" s="24" t="s">
        <v>125</v>
      </c>
      <c r="K285" s="40"/>
      <c r="L285" s="38" t="s">
        <v>2199</v>
      </c>
      <c r="M285" s="44" t="s">
        <v>26</v>
      </c>
      <c r="N285" s="46" t="s">
        <v>2202</v>
      </c>
      <c r="O285" s="47" t="s">
        <v>774</v>
      </c>
      <c r="P285" s="50"/>
      <c r="Q285" s="45"/>
      <c r="R285" s="25"/>
      <c r="S285" s="52"/>
    </row>
    <row r="286" spans="1:19" ht="16.5" customHeight="1" x14ac:dyDescent="0.3">
      <c r="A286" s="27" t="s">
        <v>487</v>
      </c>
      <c r="B286" s="28" t="s">
        <v>488</v>
      </c>
      <c r="C286" s="26" t="s">
        <v>1808</v>
      </c>
      <c r="D286" s="31" t="s">
        <v>152</v>
      </c>
      <c r="E286" s="33" t="s">
        <v>2023</v>
      </c>
      <c r="F286" s="34" t="s">
        <v>560</v>
      </c>
      <c r="G286" s="32" t="s">
        <v>2024</v>
      </c>
      <c r="H286" s="37" t="s">
        <v>1792</v>
      </c>
      <c r="I286" s="39" t="s">
        <v>2198</v>
      </c>
      <c r="J286" s="24" t="s">
        <v>125</v>
      </c>
      <c r="K286" s="40"/>
      <c r="L286" s="38" t="s">
        <v>2199</v>
      </c>
      <c r="M286" s="44" t="s">
        <v>26</v>
      </c>
      <c r="N286" s="46" t="s">
        <v>2203</v>
      </c>
      <c r="O286" s="47" t="s">
        <v>775</v>
      </c>
      <c r="P286" s="50"/>
      <c r="Q286" s="45"/>
      <c r="R286" s="25"/>
      <c r="S286" s="52"/>
    </row>
    <row r="287" spans="1:19" ht="16.5" customHeight="1" x14ac:dyDescent="0.3">
      <c r="A287" s="27" t="s">
        <v>487</v>
      </c>
      <c r="B287" s="28" t="s">
        <v>488</v>
      </c>
      <c r="C287" s="26" t="s">
        <v>1808</v>
      </c>
      <c r="D287" s="31" t="s">
        <v>152</v>
      </c>
      <c r="E287" s="33" t="s">
        <v>2023</v>
      </c>
      <c r="F287" s="34" t="s">
        <v>560</v>
      </c>
      <c r="G287" s="32" t="s">
        <v>2024</v>
      </c>
      <c r="H287" s="37" t="s">
        <v>1792</v>
      </c>
      <c r="I287" s="39" t="s">
        <v>2198</v>
      </c>
      <c r="J287" s="24" t="s">
        <v>125</v>
      </c>
      <c r="K287" s="40"/>
      <c r="L287" s="38" t="s">
        <v>2199</v>
      </c>
      <c r="M287" s="44" t="s">
        <v>26</v>
      </c>
      <c r="N287" s="46" t="s">
        <v>2204</v>
      </c>
      <c r="O287" s="47" t="s">
        <v>127</v>
      </c>
      <c r="P287" s="50"/>
      <c r="Q287" s="45"/>
      <c r="R287" s="25"/>
      <c r="S287" s="52"/>
    </row>
    <row r="288" spans="1:19" ht="16.5" customHeight="1" x14ac:dyDescent="0.3">
      <c r="A288" s="27" t="s">
        <v>487</v>
      </c>
      <c r="B288" s="28" t="s">
        <v>488</v>
      </c>
      <c r="C288" s="26" t="s">
        <v>1808</v>
      </c>
      <c r="D288" s="31" t="s">
        <v>152</v>
      </c>
      <c r="E288" s="33" t="s">
        <v>2023</v>
      </c>
      <c r="F288" s="34" t="s">
        <v>560</v>
      </c>
      <c r="G288" s="32" t="s">
        <v>2024</v>
      </c>
      <c r="H288" s="37" t="s">
        <v>1792</v>
      </c>
      <c r="I288" s="39" t="s">
        <v>2198</v>
      </c>
      <c r="J288" s="24" t="s">
        <v>125</v>
      </c>
      <c r="K288" s="40"/>
      <c r="L288" s="38" t="s">
        <v>2205</v>
      </c>
      <c r="M288" s="44" t="s">
        <v>29</v>
      </c>
      <c r="N288" s="46" t="s">
        <v>2206</v>
      </c>
      <c r="O288" s="47" t="s">
        <v>776</v>
      </c>
      <c r="P288" s="50"/>
      <c r="Q288" s="45"/>
      <c r="R288" s="25"/>
      <c r="S288" s="52"/>
    </row>
    <row r="289" spans="1:19" ht="16.5" customHeight="1" x14ac:dyDescent="0.3">
      <c r="A289" s="27" t="s">
        <v>487</v>
      </c>
      <c r="B289" s="28" t="s">
        <v>488</v>
      </c>
      <c r="C289" s="26" t="s">
        <v>1808</v>
      </c>
      <c r="D289" s="31" t="s">
        <v>152</v>
      </c>
      <c r="E289" s="33" t="s">
        <v>2023</v>
      </c>
      <c r="F289" s="34" t="s">
        <v>560</v>
      </c>
      <c r="G289" s="32" t="s">
        <v>2024</v>
      </c>
      <c r="H289" s="37" t="s">
        <v>1792</v>
      </c>
      <c r="I289" s="39" t="s">
        <v>2198</v>
      </c>
      <c r="J289" s="24" t="s">
        <v>125</v>
      </c>
      <c r="K289" s="40"/>
      <c r="L289" s="38" t="s">
        <v>2205</v>
      </c>
      <c r="M289" s="44" t="s">
        <v>29</v>
      </c>
      <c r="N289" s="46" t="s">
        <v>2207</v>
      </c>
      <c r="O289" s="47" t="s">
        <v>777</v>
      </c>
      <c r="P289" s="50"/>
      <c r="Q289" s="45"/>
      <c r="R289" s="25"/>
      <c r="S289" s="52"/>
    </row>
    <row r="290" spans="1:19" ht="16.5" customHeight="1" x14ac:dyDescent="0.3">
      <c r="A290" s="27" t="s">
        <v>487</v>
      </c>
      <c r="B290" s="28" t="s">
        <v>488</v>
      </c>
      <c r="C290" s="26" t="s">
        <v>1808</v>
      </c>
      <c r="D290" s="31" t="s">
        <v>152</v>
      </c>
      <c r="E290" s="33" t="s">
        <v>2023</v>
      </c>
      <c r="F290" s="34" t="s">
        <v>560</v>
      </c>
      <c r="G290" s="32" t="s">
        <v>2024</v>
      </c>
      <c r="H290" s="37" t="s">
        <v>1792</v>
      </c>
      <c r="I290" s="39" t="s">
        <v>2198</v>
      </c>
      <c r="J290" s="24" t="s">
        <v>125</v>
      </c>
      <c r="K290" s="40"/>
      <c r="L290" s="38" t="s">
        <v>2205</v>
      </c>
      <c r="M290" s="44" t="s">
        <v>29</v>
      </c>
      <c r="N290" s="46" t="s">
        <v>2208</v>
      </c>
      <c r="O290" s="47" t="s">
        <v>778</v>
      </c>
      <c r="P290" s="50"/>
      <c r="Q290" s="45"/>
      <c r="R290" s="25"/>
      <c r="S290" s="52"/>
    </row>
    <row r="291" spans="1:19" ht="16.5" customHeight="1" x14ac:dyDescent="0.3">
      <c r="A291" s="27" t="s">
        <v>487</v>
      </c>
      <c r="B291" s="28" t="s">
        <v>488</v>
      </c>
      <c r="C291" s="26" t="s">
        <v>1808</v>
      </c>
      <c r="D291" s="31" t="s">
        <v>152</v>
      </c>
      <c r="E291" s="33" t="s">
        <v>2023</v>
      </c>
      <c r="F291" s="34" t="s">
        <v>560</v>
      </c>
      <c r="G291" s="32" t="s">
        <v>2024</v>
      </c>
      <c r="H291" s="37" t="s">
        <v>1792</v>
      </c>
      <c r="I291" s="39" t="s">
        <v>2198</v>
      </c>
      <c r="J291" s="24" t="s">
        <v>125</v>
      </c>
      <c r="K291" s="40"/>
      <c r="L291" s="38" t="s">
        <v>2205</v>
      </c>
      <c r="M291" s="44" t="s">
        <v>29</v>
      </c>
      <c r="N291" s="46" t="s">
        <v>2209</v>
      </c>
      <c r="O291" s="47" t="s">
        <v>779</v>
      </c>
      <c r="P291" s="50"/>
      <c r="Q291" s="45"/>
      <c r="R291" s="25"/>
      <c r="S291" s="52"/>
    </row>
    <row r="292" spans="1:19" ht="16.5" customHeight="1" x14ac:dyDescent="0.3">
      <c r="A292" s="27" t="s">
        <v>487</v>
      </c>
      <c r="B292" s="28" t="s">
        <v>488</v>
      </c>
      <c r="C292" s="26" t="s">
        <v>1808</v>
      </c>
      <c r="D292" s="31" t="s">
        <v>152</v>
      </c>
      <c r="E292" s="33" t="s">
        <v>2023</v>
      </c>
      <c r="F292" s="34" t="s">
        <v>560</v>
      </c>
      <c r="G292" s="32" t="s">
        <v>2024</v>
      </c>
      <c r="H292" s="37" t="s">
        <v>1792</v>
      </c>
      <c r="I292" s="39" t="s">
        <v>2198</v>
      </c>
      <c r="J292" s="24" t="s">
        <v>125</v>
      </c>
      <c r="K292" s="40"/>
      <c r="L292" s="38" t="s">
        <v>2205</v>
      </c>
      <c r="M292" s="44" t="s">
        <v>29</v>
      </c>
      <c r="N292" s="46" t="s">
        <v>2210</v>
      </c>
      <c r="O292" s="47" t="s">
        <v>780</v>
      </c>
      <c r="P292" s="50"/>
      <c r="Q292" s="45"/>
      <c r="R292" s="25"/>
      <c r="S292" s="52"/>
    </row>
    <row r="293" spans="1:19" ht="16.5" customHeight="1" x14ac:dyDescent="0.3">
      <c r="A293" s="27" t="s">
        <v>487</v>
      </c>
      <c r="B293" s="28" t="s">
        <v>488</v>
      </c>
      <c r="C293" s="26" t="s">
        <v>1808</v>
      </c>
      <c r="D293" s="31" t="s">
        <v>152</v>
      </c>
      <c r="E293" s="33" t="s">
        <v>2023</v>
      </c>
      <c r="F293" s="34" t="s">
        <v>560</v>
      </c>
      <c r="G293" s="32" t="s">
        <v>2024</v>
      </c>
      <c r="H293" s="37" t="s">
        <v>1792</v>
      </c>
      <c r="I293" s="39" t="s">
        <v>2198</v>
      </c>
      <c r="J293" s="24" t="s">
        <v>125</v>
      </c>
      <c r="K293" s="40"/>
      <c r="L293" s="38" t="s">
        <v>2205</v>
      </c>
      <c r="M293" s="44" t="s">
        <v>29</v>
      </c>
      <c r="N293" s="46" t="s">
        <v>2211</v>
      </c>
      <c r="O293" s="47" t="s">
        <v>781</v>
      </c>
      <c r="P293" s="50"/>
      <c r="Q293" s="45"/>
      <c r="R293" s="25"/>
      <c r="S293" s="52"/>
    </row>
    <row r="294" spans="1:19" ht="16.5" customHeight="1" x14ac:dyDescent="0.3">
      <c r="A294" s="27" t="s">
        <v>487</v>
      </c>
      <c r="B294" s="28" t="s">
        <v>488</v>
      </c>
      <c r="C294" s="26" t="s">
        <v>1808</v>
      </c>
      <c r="D294" s="31" t="s">
        <v>152</v>
      </c>
      <c r="E294" s="33" t="s">
        <v>2023</v>
      </c>
      <c r="F294" s="34" t="s">
        <v>560</v>
      </c>
      <c r="G294" s="32" t="s">
        <v>2024</v>
      </c>
      <c r="H294" s="37" t="s">
        <v>1792</v>
      </c>
      <c r="I294" s="39" t="s">
        <v>2198</v>
      </c>
      <c r="J294" s="24" t="s">
        <v>125</v>
      </c>
      <c r="K294" s="40"/>
      <c r="L294" s="38" t="s">
        <v>2205</v>
      </c>
      <c r="M294" s="44" t="s">
        <v>29</v>
      </c>
      <c r="N294" s="46" t="s">
        <v>2212</v>
      </c>
      <c r="O294" s="47" t="s">
        <v>782</v>
      </c>
      <c r="P294" s="50"/>
      <c r="Q294" s="45"/>
      <c r="R294" s="25"/>
      <c r="S294" s="52"/>
    </row>
    <row r="295" spans="1:19" ht="16.5" customHeight="1" x14ac:dyDescent="0.3">
      <c r="A295" s="27" t="s">
        <v>487</v>
      </c>
      <c r="B295" s="28" t="s">
        <v>488</v>
      </c>
      <c r="C295" s="26" t="s">
        <v>1808</v>
      </c>
      <c r="D295" s="31" t="s">
        <v>152</v>
      </c>
      <c r="E295" s="33" t="s">
        <v>2023</v>
      </c>
      <c r="F295" s="34" t="s">
        <v>560</v>
      </c>
      <c r="G295" s="32" t="s">
        <v>2024</v>
      </c>
      <c r="H295" s="37" t="s">
        <v>1792</v>
      </c>
      <c r="I295" s="39" t="s">
        <v>2198</v>
      </c>
      <c r="J295" s="24" t="s">
        <v>125</v>
      </c>
      <c r="K295" s="40"/>
      <c r="L295" s="38" t="s">
        <v>2205</v>
      </c>
      <c r="M295" s="44" t="s">
        <v>29</v>
      </c>
      <c r="N295" s="46" t="s">
        <v>2213</v>
      </c>
      <c r="O295" s="47" t="s">
        <v>783</v>
      </c>
      <c r="P295" s="50"/>
      <c r="Q295" s="45"/>
      <c r="R295" s="25"/>
      <c r="S295" s="52"/>
    </row>
    <row r="296" spans="1:19" ht="16.5" customHeight="1" x14ac:dyDescent="0.3">
      <c r="A296" s="27" t="s">
        <v>487</v>
      </c>
      <c r="B296" s="28" t="s">
        <v>488</v>
      </c>
      <c r="C296" s="26" t="s">
        <v>1808</v>
      </c>
      <c r="D296" s="31" t="s">
        <v>152</v>
      </c>
      <c r="E296" s="33" t="s">
        <v>2023</v>
      </c>
      <c r="F296" s="34" t="s">
        <v>560</v>
      </c>
      <c r="G296" s="32" t="s">
        <v>2024</v>
      </c>
      <c r="H296" s="37" t="s">
        <v>1792</v>
      </c>
      <c r="I296" s="39" t="s">
        <v>2198</v>
      </c>
      <c r="J296" s="24" t="s">
        <v>125</v>
      </c>
      <c r="K296" s="40"/>
      <c r="L296" s="38" t="s">
        <v>2205</v>
      </c>
      <c r="M296" s="44" t="s">
        <v>29</v>
      </c>
      <c r="N296" s="46" t="s">
        <v>2214</v>
      </c>
      <c r="O296" s="47" t="s">
        <v>784</v>
      </c>
      <c r="P296" s="50"/>
      <c r="Q296" s="45"/>
      <c r="R296" s="25"/>
      <c r="S296" s="52"/>
    </row>
    <row r="297" spans="1:19" ht="16.5" customHeight="1" x14ac:dyDescent="0.3">
      <c r="A297" s="27" t="s">
        <v>487</v>
      </c>
      <c r="B297" s="28" t="s">
        <v>488</v>
      </c>
      <c r="C297" s="26" t="s">
        <v>1808</v>
      </c>
      <c r="D297" s="31" t="s">
        <v>152</v>
      </c>
      <c r="E297" s="33" t="s">
        <v>2023</v>
      </c>
      <c r="F297" s="34" t="s">
        <v>560</v>
      </c>
      <c r="G297" s="32" t="s">
        <v>2024</v>
      </c>
      <c r="H297" s="37" t="s">
        <v>1792</v>
      </c>
      <c r="I297" s="39" t="s">
        <v>2198</v>
      </c>
      <c r="J297" s="24" t="s">
        <v>125</v>
      </c>
      <c r="K297" s="40"/>
      <c r="L297" s="38" t="s">
        <v>2215</v>
      </c>
      <c r="M297" s="44" t="s">
        <v>31</v>
      </c>
      <c r="N297" s="46" t="s">
        <v>2216</v>
      </c>
      <c r="O297" s="47" t="s">
        <v>785</v>
      </c>
      <c r="P297" s="50"/>
      <c r="Q297" s="45"/>
      <c r="R297" s="25"/>
      <c r="S297" s="52"/>
    </row>
    <row r="298" spans="1:19" ht="16.5" customHeight="1" x14ac:dyDescent="0.3">
      <c r="A298" s="27" t="s">
        <v>487</v>
      </c>
      <c r="B298" s="28" t="s">
        <v>488</v>
      </c>
      <c r="C298" s="26" t="s">
        <v>1808</v>
      </c>
      <c r="D298" s="31" t="s">
        <v>152</v>
      </c>
      <c r="E298" s="33" t="s">
        <v>2023</v>
      </c>
      <c r="F298" s="34" t="s">
        <v>560</v>
      </c>
      <c r="G298" s="32" t="s">
        <v>2024</v>
      </c>
      <c r="H298" s="37" t="s">
        <v>1792</v>
      </c>
      <c r="I298" s="39" t="s">
        <v>2198</v>
      </c>
      <c r="J298" s="24" t="s">
        <v>125</v>
      </c>
      <c r="K298" s="40"/>
      <c r="L298" s="38" t="s">
        <v>2217</v>
      </c>
      <c r="M298" s="44" t="s">
        <v>16</v>
      </c>
      <c r="N298" s="46" t="s">
        <v>2218</v>
      </c>
      <c r="O298" s="47" t="s">
        <v>786</v>
      </c>
      <c r="P298" s="50"/>
      <c r="Q298" s="45"/>
      <c r="R298" s="25"/>
      <c r="S298" s="52"/>
    </row>
    <row r="299" spans="1:19" ht="16.5" customHeight="1" x14ac:dyDescent="0.3">
      <c r="A299" s="27" t="s">
        <v>487</v>
      </c>
      <c r="B299" s="28" t="s">
        <v>488</v>
      </c>
      <c r="C299" s="26" t="s">
        <v>1808</v>
      </c>
      <c r="D299" s="31" t="s">
        <v>152</v>
      </c>
      <c r="E299" s="33" t="s">
        <v>2023</v>
      </c>
      <c r="F299" s="34" t="s">
        <v>560</v>
      </c>
      <c r="G299" s="32" t="s">
        <v>2024</v>
      </c>
      <c r="H299" s="37" t="s">
        <v>1792</v>
      </c>
      <c r="I299" s="39" t="s">
        <v>2198</v>
      </c>
      <c r="J299" s="24" t="s">
        <v>125</v>
      </c>
      <c r="K299" s="40"/>
      <c r="L299" s="38" t="s">
        <v>2217</v>
      </c>
      <c r="M299" s="44" t="s">
        <v>16</v>
      </c>
      <c r="N299" s="46" t="s">
        <v>2219</v>
      </c>
      <c r="O299" s="47" t="s">
        <v>787</v>
      </c>
      <c r="P299" s="50"/>
      <c r="Q299" s="45"/>
      <c r="R299" s="25"/>
      <c r="S299" s="52"/>
    </row>
    <row r="300" spans="1:19" ht="16.5" customHeight="1" x14ac:dyDescent="0.3">
      <c r="A300" s="27" t="s">
        <v>487</v>
      </c>
      <c r="B300" s="28" t="s">
        <v>488</v>
      </c>
      <c r="C300" s="26" t="s">
        <v>1808</v>
      </c>
      <c r="D300" s="31" t="s">
        <v>152</v>
      </c>
      <c r="E300" s="33" t="s">
        <v>2023</v>
      </c>
      <c r="F300" s="34" t="s">
        <v>560</v>
      </c>
      <c r="G300" s="32" t="s">
        <v>2024</v>
      </c>
      <c r="H300" s="37" t="s">
        <v>1792</v>
      </c>
      <c r="I300" s="39" t="s">
        <v>2198</v>
      </c>
      <c r="J300" s="24" t="s">
        <v>125</v>
      </c>
      <c r="K300" s="40"/>
      <c r="L300" s="38" t="s">
        <v>2217</v>
      </c>
      <c r="M300" s="44" t="s">
        <v>16</v>
      </c>
      <c r="N300" s="46" t="s">
        <v>2220</v>
      </c>
      <c r="O300" s="47" t="s">
        <v>788</v>
      </c>
      <c r="P300" s="50"/>
      <c r="Q300" s="45"/>
      <c r="R300" s="25"/>
      <c r="S300" s="52"/>
    </row>
    <row r="301" spans="1:19" ht="16.5" customHeight="1" x14ac:dyDescent="0.3">
      <c r="A301" s="27" t="s">
        <v>487</v>
      </c>
      <c r="B301" s="28" t="s">
        <v>488</v>
      </c>
      <c r="C301" s="26" t="s">
        <v>1808</v>
      </c>
      <c r="D301" s="31" t="s">
        <v>152</v>
      </c>
      <c r="E301" s="33" t="s">
        <v>2023</v>
      </c>
      <c r="F301" s="34" t="s">
        <v>560</v>
      </c>
      <c r="G301" s="32" t="s">
        <v>2024</v>
      </c>
      <c r="H301" s="37" t="s">
        <v>1792</v>
      </c>
      <c r="I301" s="39" t="s">
        <v>2198</v>
      </c>
      <c r="J301" s="24" t="s">
        <v>125</v>
      </c>
      <c r="K301" s="40"/>
      <c r="L301" s="38" t="s">
        <v>2217</v>
      </c>
      <c r="M301" s="44" t="s">
        <v>16</v>
      </c>
      <c r="N301" s="46" t="s">
        <v>2221</v>
      </c>
      <c r="O301" s="47" t="s">
        <v>789</v>
      </c>
      <c r="P301" s="50"/>
      <c r="Q301" s="45"/>
      <c r="R301" s="25"/>
      <c r="S301" s="52"/>
    </row>
    <row r="302" spans="1:19" ht="16.5" customHeight="1" x14ac:dyDescent="0.3">
      <c r="A302" s="27" t="s">
        <v>487</v>
      </c>
      <c r="B302" s="28" t="s">
        <v>488</v>
      </c>
      <c r="C302" s="26" t="s">
        <v>1808</v>
      </c>
      <c r="D302" s="31" t="s">
        <v>152</v>
      </c>
      <c r="E302" s="33" t="s">
        <v>2023</v>
      </c>
      <c r="F302" s="34" t="s">
        <v>560</v>
      </c>
      <c r="G302" s="32" t="s">
        <v>2024</v>
      </c>
      <c r="H302" s="37" t="s">
        <v>1792</v>
      </c>
      <c r="I302" s="39" t="s">
        <v>2198</v>
      </c>
      <c r="J302" s="24" t="s">
        <v>125</v>
      </c>
      <c r="K302" s="40"/>
      <c r="L302" s="38" t="s">
        <v>2217</v>
      </c>
      <c r="M302" s="44" t="s">
        <v>16</v>
      </c>
      <c r="N302" s="46" t="s">
        <v>2222</v>
      </c>
      <c r="O302" s="47" t="s">
        <v>790</v>
      </c>
      <c r="P302" s="50"/>
      <c r="Q302" s="45"/>
      <c r="R302" s="25"/>
      <c r="S302" s="52"/>
    </row>
    <row r="303" spans="1:19" ht="16.5" customHeight="1" x14ac:dyDescent="0.3">
      <c r="A303" s="27" t="s">
        <v>487</v>
      </c>
      <c r="B303" s="28" t="s">
        <v>488</v>
      </c>
      <c r="C303" s="26" t="s">
        <v>1808</v>
      </c>
      <c r="D303" s="31" t="s">
        <v>152</v>
      </c>
      <c r="E303" s="33" t="s">
        <v>2023</v>
      </c>
      <c r="F303" s="34" t="s">
        <v>560</v>
      </c>
      <c r="G303" s="32" t="s">
        <v>2024</v>
      </c>
      <c r="H303" s="37" t="s">
        <v>1792</v>
      </c>
      <c r="I303" s="39" t="s">
        <v>2223</v>
      </c>
      <c r="J303" s="24" t="s">
        <v>130</v>
      </c>
      <c r="K303" s="40"/>
      <c r="L303" s="38" t="s">
        <v>2224</v>
      </c>
      <c r="M303" s="44" t="s">
        <v>26</v>
      </c>
      <c r="N303" s="46" t="s">
        <v>2225</v>
      </c>
      <c r="O303" s="47" t="s">
        <v>791</v>
      </c>
      <c r="P303" s="50"/>
      <c r="Q303" s="45"/>
      <c r="R303" s="25"/>
      <c r="S303" s="52"/>
    </row>
    <row r="304" spans="1:19" ht="16.5" customHeight="1" x14ac:dyDescent="0.3">
      <c r="A304" s="27" t="s">
        <v>487</v>
      </c>
      <c r="B304" s="28" t="s">
        <v>488</v>
      </c>
      <c r="C304" s="26" t="s">
        <v>1808</v>
      </c>
      <c r="D304" s="31" t="s">
        <v>152</v>
      </c>
      <c r="E304" s="33" t="s">
        <v>2023</v>
      </c>
      <c r="F304" s="34" t="s">
        <v>560</v>
      </c>
      <c r="G304" s="32" t="s">
        <v>2024</v>
      </c>
      <c r="H304" s="37" t="s">
        <v>1792</v>
      </c>
      <c r="I304" s="39" t="s">
        <v>2223</v>
      </c>
      <c r="J304" s="24" t="s">
        <v>130</v>
      </c>
      <c r="K304" s="40"/>
      <c r="L304" s="38" t="s">
        <v>2224</v>
      </c>
      <c r="M304" s="44" t="s">
        <v>26</v>
      </c>
      <c r="N304" s="46" t="s">
        <v>2226</v>
      </c>
      <c r="O304" s="47" t="s">
        <v>792</v>
      </c>
      <c r="P304" s="50"/>
      <c r="Q304" s="45"/>
      <c r="R304" s="25"/>
      <c r="S304" s="52"/>
    </row>
    <row r="305" spans="1:19" ht="16.5" customHeight="1" x14ac:dyDescent="0.3">
      <c r="A305" s="27" t="s">
        <v>487</v>
      </c>
      <c r="B305" s="28" t="s">
        <v>488</v>
      </c>
      <c r="C305" s="26" t="s">
        <v>1808</v>
      </c>
      <c r="D305" s="31" t="s">
        <v>152</v>
      </c>
      <c r="E305" s="33" t="s">
        <v>2023</v>
      </c>
      <c r="F305" s="34" t="s">
        <v>560</v>
      </c>
      <c r="G305" s="32" t="s">
        <v>2024</v>
      </c>
      <c r="H305" s="37" t="s">
        <v>1792</v>
      </c>
      <c r="I305" s="39" t="s">
        <v>2223</v>
      </c>
      <c r="J305" s="24" t="s">
        <v>130</v>
      </c>
      <c r="K305" s="40"/>
      <c r="L305" s="38" t="s">
        <v>2224</v>
      </c>
      <c r="M305" s="44" t="s">
        <v>26</v>
      </c>
      <c r="N305" s="46" t="s">
        <v>2227</v>
      </c>
      <c r="O305" s="47" t="s">
        <v>793</v>
      </c>
      <c r="P305" s="50"/>
      <c r="Q305" s="45"/>
      <c r="R305" s="25"/>
      <c r="S305" s="52"/>
    </row>
    <row r="306" spans="1:19" ht="16.5" customHeight="1" x14ac:dyDescent="0.3">
      <c r="A306" s="27" t="s">
        <v>487</v>
      </c>
      <c r="B306" s="28" t="s">
        <v>488</v>
      </c>
      <c r="C306" s="26" t="s">
        <v>1808</v>
      </c>
      <c r="D306" s="31" t="s">
        <v>152</v>
      </c>
      <c r="E306" s="33" t="s">
        <v>2023</v>
      </c>
      <c r="F306" s="34" t="s">
        <v>560</v>
      </c>
      <c r="G306" s="32" t="s">
        <v>2024</v>
      </c>
      <c r="H306" s="37" t="s">
        <v>1792</v>
      </c>
      <c r="I306" s="39" t="s">
        <v>2223</v>
      </c>
      <c r="J306" s="24" t="s">
        <v>130</v>
      </c>
      <c r="K306" s="40"/>
      <c r="L306" s="38" t="s">
        <v>2224</v>
      </c>
      <c r="M306" s="44" t="s">
        <v>26</v>
      </c>
      <c r="N306" s="46" t="s">
        <v>2228</v>
      </c>
      <c r="O306" s="47" t="s">
        <v>132</v>
      </c>
      <c r="P306" s="50"/>
      <c r="Q306" s="45"/>
      <c r="R306" s="25"/>
      <c r="S306" s="52"/>
    </row>
    <row r="307" spans="1:19" ht="16.5" customHeight="1" x14ac:dyDescent="0.3">
      <c r="A307" s="27" t="s">
        <v>487</v>
      </c>
      <c r="B307" s="28" t="s">
        <v>488</v>
      </c>
      <c r="C307" s="26" t="s">
        <v>1808</v>
      </c>
      <c r="D307" s="31" t="s">
        <v>152</v>
      </c>
      <c r="E307" s="33" t="s">
        <v>2023</v>
      </c>
      <c r="F307" s="34" t="s">
        <v>560</v>
      </c>
      <c r="G307" s="32" t="s">
        <v>2024</v>
      </c>
      <c r="H307" s="37" t="s">
        <v>1792</v>
      </c>
      <c r="I307" s="39" t="s">
        <v>2223</v>
      </c>
      <c r="J307" s="24" t="s">
        <v>130</v>
      </c>
      <c r="K307" s="40"/>
      <c r="L307" s="38" t="s">
        <v>2229</v>
      </c>
      <c r="M307" s="44" t="s">
        <v>29</v>
      </c>
      <c r="N307" s="46" t="s">
        <v>2230</v>
      </c>
      <c r="O307" s="47" t="s">
        <v>794</v>
      </c>
      <c r="P307" s="50"/>
      <c r="Q307" s="45"/>
      <c r="R307" s="25"/>
      <c r="S307" s="52"/>
    </row>
    <row r="308" spans="1:19" ht="16.5" customHeight="1" x14ac:dyDescent="0.3">
      <c r="A308" s="27" t="s">
        <v>487</v>
      </c>
      <c r="B308" s="28" t="s">
        <v>488</v>
      </c>
      <c r="C308" s="26" t="s">
        <v>1808</v>
      </c>
      <c r="D308" s="31" t="s">
        <v>152</v>
      </c>
      <c r="E308" s="33" t="s">
        <v>2023</v>
      </c>
      <c r="F308" s="34" t="s">
        <v>560</v>
      </c>
      <c r="G308" s="32" t="s">
        <v>2024</v>
      </c>
      <c r="H308" s="37" t="s">
        <v>1792</v>
      </c>
      <c r="I308" s="39" t="s">
        <v>2223</v>
      </c>
      <c r="J308" s="24" t="s">
        <v>130</v>
      </c>
      <c r="K308" s="40"/>
      <c r="L308" s="38" t="s">
        <v>2229</v>
      </c>
      <c r="M308" s="44" t="s">
        <v>29</v>
      </c>
      <c r="N308" s="46" t="s">
        <v>2231</v>
      </c>
      <c r="O308" s="47" t="s">
        <v>795</v>
      </c>
      <c r="P308" s="50"/>
      <c r="Q308" s="45"/>
      <c r="R308" s="25"/>
      <c r="S308" s="52"/>
    </row>
    <row r="309" spans="1:19" ht="16.5" customHeight="1" x14ac:dyDescent="0.3">
      <c r="A309" s="27" t="s">
        <v>487</v>
      </c>
      <c r="B309" s="28" t="s">
        <v>488</v>
      </c>
      <c r="C309" s="26" t="s">
        <v>1808</v>
      </c>
      <c r="D309" s="31" t="s">
        <v>152</v>
      </c>
      <c r="E309" s="33" t="s">
        <v>2023</v>
      </c>
      <c r="F309" s="34" t="s">
        <v>560</v>
      </c>
      <c r="G309" s="32" t="s">
        <v>2024</v>
      </c>
      <c r="H309" s="37" t="s">
        <v>1792</v>
      </c>
      <c r="I309" s="39" t="s">
        <v>2223</v>
      </c>
      <c r="J309" s="24" t="s">
        <v>130</v>
      </c>
      <c r="K309" s="40"/>
      <c r="L309" s="38" t="s">
        <v>2229</v>
      </c>
      <c r="M309" s="44" t="s">
        <v>29</v>
      </c>
      <c r="N309" s="46" t="s">
        <v>2232</v>
      </c>
      <c r="O309" s="47" t="s">
        <v>796</v>
      </c>
      <c r="P309" s="50"/>
      <c r="Q309" s="45"/>
      <c r="R309" s="25"/>
      <c r="S309" s="52"/>
    </row>
    <row r="310" spans="1:19" ht="16.5" customHeight="1" x14ac:dyDescent="0.3">
      <c r="A310" s="27" t="s">
        <v>487</v>
      </c>
      <c r="B310" s="28" t="s">
        <v>488</v>
      </c>
      <c r="C310" s="26" t="s">
        <v>1808</v>
      </c>
      <c r="D310" s="31" t="s">
        <v>152</v>
      </c>
      <c r="E310" s="33" t="s">
        <v>2023</v>
      </c>
      <c r="F310" s="34" t="s">
        <v>560</v>
      </c>
      <c r="G310" s="32" t="s">
        <v>2024</v>
      </c>
      <c r="H310" s="37" t="s">
        <v>1792</v>
      </c>
      <c r="I310" s="39" t="s">
        <v>2223</v>
      </c>
      <c r="J310" s="24" t="s">
        <v>130</v>
      </c>
      <c r="K310" s="40"/>
      <c r="L310" s="38" t="s">
        <v>2229</v>
      </c>
      <c r="M310" s="44" t="s">
        <v>29</v>
      </c>
      <c r="N310" s="46" t="s">
        <v>2233</v>
      </c>
      <c r="O310" s="47" t="s">
        <v>797</v>
      </c>
      <c r="P310" s="50"/>
      <c r="Q310" s="45"/>
      <c r="R310" s="25"/>
      <c r="S310" s="52"/>
    </row>
    <row r="311" spans="1:19" ht="16.5" customHeight="1" x14ac:dyDescent="0.3">
      <c r="A311" s="27" t="s">
        <v>487</v>
      </c>
      <c r="B311" s="28" t="s">
        <v>488</v>
      </c>
      <c r="C311" s="26" t="s">
        <v>1808</v>
      </c>
      <c r="D311" s="31" t="s">
        <v>152</v>
      </c>
      <c r="E311" s="33" t="s">
        <v>2023</v>
      </c>
      <c r="F311" s="34" t="s">
        <v>560</v>
      </c>
      <c r="G311" s="32" t="s">
        <v>2024</v>
      </c>
      <c r="H311" s="37" t="s">
        <v>1792</v>
      </c>
      <c r="I311" s="39" t="s">
        <v>2223</v>
      </c>
      <c r="J311" s="24" t="s">
        <v>130</v>
      </c>
      <c r="K311" s="40"/>
      <c r="L311" s="38" t="s">
        <v>2229</v>
      </c>
      <c r="M311" s="44" t="s">
        <v>29</v>
      </c>
      <c r="N311" s="46" t="s">
        <v>2234</v>
      </c>
      <c r="O311" s="47" t="s">
        <v>798</v>
      </c>
      <c r="P311" s="50"/>
      <c r="Q311" s="45"/>
      <c r="R311" s="25"/>
      <c r="S311" s="52"/>
    </row>
    <row r="312" spans="1:19" ht="16.5" customHeight="1" x14ac:dyDescent="0.3">
      <c r="A312" s="27" t="s">
        <v>487</v>
      </c>
      <c r="B312" s="28" t="s">
        <v>488</v>
      </c>
      <c r="C312" s="26" t="s">
        <v>1808</v>
      </c>
      <c r="D312" s="31" t="s">
        <v>152</v>
      </c>
      <c r="E312" s="33" t="s">
        <v>2023</v>
      </c>
      <c r="F312" s="34" t="s">
        <v>560</v>
      </c>
      <c r="G312" s="32" t="s">
        <v>2024</v>
      </c>
      <c r="H312" s="37" t="s">
        <v>1792</v>
      </c>
      <c r="I312" s="39" t="s">
        <v>2223</v>
      </c>
      <c r="J312" s="24" t="s">
        <v>130</v>
      </c>
      <c r="K312" s="40"/>
      <c r="L312" s="38" t="s">
        <v>2229</v>
      </c>
      <c r="M312" s="44" t="s">
        <v>29</v>
      </c>
      <c r="N312" s="46" t="s">
        <v>2235</v>
      </c>
      <c r="O312" s="47" t="s">
        <v>799</v>
      </c>
      <c r="P312" s="50"/>
      <c r="Q312" s="45"/>
      <c r="R312" s="25"/>
      <c r="S312" s="52"/>
    </row>
    <row r="313" spans="1:19" ht="16.5" customHeight="1" x14ac:dyDescent="0.3">
      <c r="A313" s="27" t="s">
        <v>487</v>
      </c>
      <c r="B313" s="28" t="s">
        <v>488</v>
      </c>
      <c r="C313" s="26" t="s">
        <v>1808</v>
      </c>
      <c r="D313" s="31" t="s">
        <v>152</v>
      </c>
      <c r="E313" s="33" t="s">
        <v>2023</v>
      </c>
      <c r="F313" s="34" t="s">
        <v>560</v>
      </c>
      <c r="G313" s="32" t="s">
        <v>2024</v>
      </c>
      <c r="H313" s="37" t="s">
        <v>1792</v>
      </c>
      <c r="I313" s="39" t="s">
        <v>2223</v>
      </c>
      <c r="J313" s="24" t="s">
        <v>130</v>
      </c>
      <c r="K313" s="40"/>
      <c r="L313" s="38" t="s">
        <v>2229</v>
      </c>
      <c r="M313" s="44" t="s">
        <v>29</v>
      </c>
      <c r="N313" s="46" t="s">
        <v>2236</v>
      </c>
      <c r="O313" s="47" t="s">
        <v>806</v>
      </c>
      <c r="P313" s="50"/>
      <c r="Q313" s="45"/>
      <c r="R313" s="25"/>
      <c r="S313" s="52"/>
    </row>
    <row r="314" spans="1:19" ht="16.5" customHeight="1" x14ac:dyDescent="0.3">
      <c r="A314" s="27" t="s">
        <v>487</v>
      </c>
      <c r="B314" s="28" t="s">
        <v>488</v>
      </c>
      <c r="C314" s="26" t="s">
        <v>1808</v>
      </c>
      <c r="D314" s="31" t="s">
        <v>152</v>
      </c>
      <c r="E314" s="33" t="s">
        <v>2023</v>
      </c>
      <c r="F314" s="34" t="s">
        <v>560</v>
      </c>
      <c r="G314" s="32" t="s">
        <v>2024</v>
      </c>
      <c r="H314" s="37" t="s">
        <v>1792</v>
      </c>
      <c r="I314" s="39" t="s">
        <v>2223</v>
      </c>
      <c r="J314" s="24" t="s">
        <v>130</v>
      </c>
      <c r="K314" s="40"/>
      <c r="L314" s="38" t="s">
        <v>2229</v>
      </c>
      <c r="M314" s="44" t="s">
        <v>29</v>
      </c>
      <c r="N314" s="46" t="s">
        <v>2237</v>
      </c>
      <c r="O314" s="47" t="s">
        <v>807</v>
      </c>
      <c r="P314" s="50"/>
      <c r="Q314" s="45"/>
      <c r="R314" s="25"/>
      <c r="S314" s="52"/>
    </row>
    <row r="315" spans="1:19" ht="16.5" customHeight="1" x14ac:dyDescent="0.3">
      <c r="A315" s="27" t="s">
        <v>487</v>
      </c>
      <c r="B315" s="28" t="s">
        <v>488</v>
      </c>
      <c r="C315" s="26" t="s">
        <v>1808</v>
      </c>
      <c r="D315" s="31" t="s">
        <v>152</v>
      </c>
      <c r="E315" s="33" t="s">
        <v>2023</v>
      </c>
      <c r="F315" s="34" t="s">
        <v>560</v>
      </c>
      <c r="G315" s="32" t="s">
        <v>2024</v>
      </c>
      <c r="H315" s="37" t="s">
        <v>1792</v>
      </c>
      <c r="I315" s="39" t="s">
        <v>2223</v>
      </c>
      <c r="J315" s="24" t="s">
        <v>130</v>
      </c>
      <c r="K315" s="40"/>
      <c r="L315" s="38" t="s">
        <v>2229</v>
      </c>
      <c r="M315" s="44" t="s">
        <v>29</v>
      </c>
      <c r="N315" s="46" t="s">
        <v>2238</v>
      </c>
      <c r="O315" s="47" t="s">
        <v>808</v>
      </c>
      <c r="P315" s="50"/>
      <c r="Q315" s="45"/>
      <c r="R315" s="25"/>
      <c r="S315" s="52"/>
    </row>
    <row r="316" spans="1:19" ht="16.5" customHeight="1" x14ac:dyDescent="0.3">
      <c r="A316" s="27" t="s">
        <v>487</v>
      </c>
      <c r="B316" s="28" t="s">
        <v>488</v>
      </c>
      <c r="C316" s="26" t="s">
        <v>1808</v>
      </c>
      <c r="D316" s="31" t="s">
        <v>152</v>
      </c>
      <c r="E316" s="33" t="s">
        <v>2023</v>
      </c>
      <c r="F316" s="34" t="s">
        <v>560</v>
      </c>
      <c r="G316" s="32" t="s">
        <v>2024</v>
      </c>
      <c r="H316" s="37" t="s">
        <v>1792</v>
      </c>
      <c r="I316" s="39" t="s">
        <v>2223</v>
      </c>
      <c r="J316" s="24" t="s">
        <v>130</v>
      </c>
      <c r="K316" s="40"/>
      <c r="L316" s="38" t="s">
        <v>2229</v>
      </c>
      <c r="M316" s="44" t="s">
        <v>29</v>
      </c>
      <c r="N316" s="46" t="s">
        <v>2239</v>
      </c>
      <c r="O316" s="47" t="s">
        <v>809</v>
      </c>
      <c r="P316" s="50"/>
      <c r="Q316" s="45"/>
      <c r="R316" s="25"/>
      <c r="S316" s="52"/>
    </row>
    <row r="317" spans="1:19" ht="16.5" customHeight="1" x14ac:dyDescent="0.3">
      <c r="A317" s="27" t="s">
        <v>487</v>
      </c>
      <c r="B317" s="28" t="s">
        <v>488</v>
      </c>
      <c r="C317" s="26" t="s">
        <v>1808</v>
      </c>
      <c r="D317" s="31" t="s">
        <v>152</v>
      </c>
      <c r="E317" s="33" t="s">
        <v>2023</v>
      </c>
      <c r="F317" s="34" t="s">
        <v>560</v>
      </c>
      <c r="G317" s="32" t="s">
        <v>2024</v>
      </c>
      <c r="H317" s="37" t="s">
        <v>1792</v>
      </c>
      <c r="I317" s="39" t="s">
        <v>2223</v>
      </c>
      <c r="J317" s="24" t="s">
        <v>130</v>
      </c>
      <c r="K317" s="40"/>
      <c r="L317" s="38" t="s">
        <v>2240</v>
      </c>
      <c r="M317" s="44" t="s">
        <v>31</v>
      </c>
      <c r="N317" s="46" t="s">
        <v>2241</v>
      </c>
      <c r="O317" s="47" t="s">
        <v>810</v>
      </c>
      <c r="P317" s="50"/>
      <c r="Q317" s="45"/>
      <c r="R317" s="25"/>
      <c r="S317" s="52"/>
    </row>
    <row r="318" spans="1:19" ht="16.5" customHeight="1" x14ac:dyDescent="0.3">
      <c r="A318" s="27" t="s">
        <v>487</v>
      </c>
      <c r="B318" s="28" t="s">
        <v>488</v>
      </c>
      <c r="C318" s="26" t="s">
        <v>1808</v>
      </c>
      <c r="D318" s="31" t="s">
        <v>152</v>
      </c>
      <c r="E318" s="33" t="s">
        <v>2023</v>
      </c>
      <c r="F318" s="34" t="s">
        <v>560</v>
      </c>
      <c r="G318" s="32" t="s">
        <v>2024</v>
      </c>
      <c r="H318" s="37" t="s">
        <v>1792</v>
      </c>
      <c r="I318" s="39" t="s">
        <v>2223</v>
      </c>
      <c r="J318" s="24" t="s">
        <v>130</v>
      </c>
      <c r="K318" s="40"/>
      <c r="L318" s="38" t="s">
        <v>2242</v>
      </c>
      <c r="M318" s="44" t="s">
        <v>16</v>
      </c>
      <c r="N318" s="46" t="s">
        <v>2243</v>
      </c>
      <c r="O318" s="47" t="s">
        <v>800</v>
      </c>
      <c r="P318" s="50"/>
      <c r="Q318" s="45"/>
      <c r="R318" s="25"/>
      <c r="S318" s="52"/>
    </row>
    <row r="319" spans="1:19" ht="16.5" customHeight="1" x14ac:dyDescent="0.3">
      <c r="A319" s="27" t="s">
        <v>487</v>
      </c>
      <c r="B319" s="28" t="s">
        <v>488</v>
      </c>
      <c r="C319" s="26" t="s">
        <v>1808</v>
      </c>
      <c r="D319" s="31" t="s">
        <v>152</v>
      </c>
      <c r="E319" s="33" t="s">
        <v>2023</v>
      </c>
      <c r="F319" s="34" t="s">
        <v>560</v>
      </c>
      <c r="G319" s="32" t="s">
        <v>2024</v>
      </c>
      <c r="H319" s="37" t="s">
        <v>1792</v>
      </c>
      <c r="I319" s="39" t="s">
        <v>2223</v>
      </c>
      <c r="J319" s="24" t="s">
        <v>130</v>
      </c>
      <c r="K319" s="40"/>
      <c r="L319" s="38" t="s">
        <v>2242</v>
      </c>
      <c r="M319" s="44" t="s">
        <v>16</v>
      </c>
      <c r="N319" s="46" t="s">
        <v>2244</v>
      </c>
      <c r="O319" s="47" t="s">
        <v>801</v>
      </c>
      <c r="P319" s="50"/>
      <c r="Q319" s="45"/>
      <c r="R319" s="25"/>
      <c r="S319" s="52"/>
    </row>
    <row r="320" spans="1:19" ht="16.5" customHeight="1" x14ac:dyDescent="0.3">
      <c r="A320" s="27" t="s">
        <v>487</v>
      </c>
      <c r="B320" s="28" t="s">
        <v>488</v>
      </c>
      <c r="C320" s="26" t="s">
        <v>1808</v>
      </c>
      <c r="D320" s="31" t="s">
        <v>152</v>
      </c>
      <c r="E320" s="33" t="s">
        <v>2023</v>
      </c>
      <c r="F320" s="34" t="s">
        <v>560</v>
      </c>
      <c r="G320" s="32" t="s">
        <v>2024</v>
      </c>
      <c r="H320" s="37" t="s">
        <v>1792</v>
      </c>
      <c r="I320" s="39" t="s">
        <v>2223</v>
      </c>
      <c r="J320" s="24" t="s">
        <v>130</v>
      </c>
      <c r="K320" s="40"/>
      <c r="L320" s="38" t="s">
        <v>2242</v>
      </c>
      <c r="M320" s="44" t="s">
        <v>16</v>
      </c>
      <c r="N320" s="46" t="s">
        <v>2245</v>
      </c>
      <c r="O320" s="47" t="s">
        <v>802</v>
      </c>
      <c r="P320" s="50"/>
      <c r="Q320" s="45"/>
      <c r="R320" s="25"/>
      <c r="S320" s="52"/>
    </row>
    <row r="321" spans="1:19" ht="16.5" customHeight="1" x14ac:dyDescent="0.3">
      <c r="A321" s="27" t="s">
        <v>487</v>
      </c>
      <c r="B321" s="28" t="s">
        <v>488</v>
      </c>
      <c r="C321" s="26" t="s">
        <v>1808</v>
      </c>
      <c r="D321" s="31" t="s">
        <v>152</v>
      </c>
      <c r="E321" s="33" t="s">
        <v>2023</v>
      </c>
      <c r="F321" s="34" t="s">
        <v>560</v>
      </c>
      <c r="G321" s="32" t="s">
        <v>2024</v>
      </c>
      <c r="H321" s="37" t="s">
        <v>1792</v>
      </c>
      <c r="I321" s="39" t="s">
        <v>2223</v>
      </c>
      <c r="J321" s="24" t="s">
        <v>130</v>
      </c>
      <c r="K321" s="40"/>
      <c r="L321" s="38" t="s">
        <v>2242</v>
      </c>
      <c r="M321" s="44" t="s">
        <v>16</v>
      </c>
      <c r="N321" s="46" t="s">
        <v>2246</v>
      </c>
      <c r="O321" s="47" t="s">
        <v>803</v>
      </c>
      <c r="P321" s="50"/>
      <c r="Q321" s="45"/>
      <c r="R321" s="25"/>
      <c r="S321" s="52"/>
    </row>
    <row r="322" spans="1:19" ht="16.5" customHeight="1" x14ac:dyDescent="0.3">
      <c r="A322" s="27" t="s">
        <v>487</v>
      </c>
      <c r="B322" s="28" t="s">
        <v>488</v>
      </c>
      <c r="C322" s="26" t="s">
        <v>1808</v>
      </c>
      <c r="D322" s="31" t="s">
        <v>152</v>
      </c>
      <c r="E322" s="33" t="s">
        <v>2023</v>
      </c>
      <c r="F322" s="34" t="s">
        <v>560</v>
      </c>
      <c r="G322" s="32" t="s">
        <v>2024</v>
      </c>
      <c r="H322" s="37" t="s">
        <v>1792</v>
      </c>
      <c r="I322" s="39" t="s">
        <v>2223</v>
      </c>
      <c r="J322" s="24" t="s">
        <v>130</v>
      </c>
      <c r="K322" s="40"/>
      <c r="L322" s="38" t="s">
        <v>2242</v>
      </c>
      <c r="M322" s="44" t="s">
        <v>16</v>
      </c>
      <c r="N322" s="46" t="s">
        <v>2247</v>
      </c>
      <c r="O322" s="47" t="s">
        <v>804</v>
      </c>
      <c r="P322" s="50"/>
      <c r="Q322" s="45"/>
      <c r="R322" s="25"/>
      <c r="S322" s="52"/>
    </row>
    <row r="323" spans="1:19" ht="16.5" customHeight="1" x14ac:dyDescent="0.3">
      <c r="A323" s="27" t="s">
        <v>487</v>
      </c>
      <c r="B323" s="28" t="s">
        <v>488</v>
      </c>
      <c r="C323" s="26" t="s">
        <v>1808</v>
      </c>
      <c r="D323" s="31" t="s">
        <v>152</v>
      </c>
      <c r="E323" s="33" t="s">
        <v>2023</v>
      </c>
      <c r="F323" s="34" t="s">
        <v>560</v>
      </c>
      <c r="G323" s="32" t="s">
        <v>2024</v>
      </c>
      <c r="H323" s="37" t="s">
        <v>1792</v>
      </c>
      <c r="I323" s="39" t="s">
        <v>2223</v>
      </c>
      <c r="J323" s="24" t="s">
        <v>130</v>
      </c>
      <c r="K323" s="40"/>
      <c r="L323" s="38" t="s">
        <v>2248</v>
      </c>
      <c r="M323" s="44" t="s">
        <v>30</v>
      </c>
      <c r="N323" s="46"/>
      <c r="O323" s="47"/>
      <c r="P323" s="50"/>
      <c r="Q323" s="45"/>
      <c r="R323" s="25"/>
      <c r="S323" s="52"/>
    </row>
    <row r="324" spans="1:19" ht="16.5" customHeight="1" x14ac:dyDescent="0.3">
      <c r="A324" s="27" t="s">
        <v>487</v>
      </c>
      <c r="B324" s="28" t="s">
        <v>488</v>
      </c>
      <c r="C324" s="26" t="s">
        <v>1808</v>
      </c>
      <c r="D324" s="31" t="s">
        <v>152</v>
      </c>
      <c r="E324" s="33" t="s">
        <v>2023</v>
      </c>
      <c r="F324" s="34" t="s">
        <v>560</v>
      </c>
      <c r="G324" s="32" t="s">
        <v>2024</v>
      </c>
      <c r="H324" s="37" t="s">
        <v>1792</v>
      </c>
      <c r="I324" s="39" t="s">
        <v>2249</v>
      </c>
      <c r="J324" s="24" t="s">
        <v>134</v>
      </c>
      <c r="K324" s="40"/>
      <c r="L324" s="38" t="s">
        <v>2250</v>
      </c>
      <c r="M324" s="44" t="s">
        <v>26</v>
      </c>
      <c r="N324" s="46" t="s">
        <v>2251</v>
      </c>
      <c r="O324" s="47" t="s">
        <v>805</v>
      </c>
      <c r="P324" s="50"/>
      <c r="Q324" s="45"/>
      <c r="R324" s="25"/>
      <c r="S324" s="52"/>
    </row>
    <row r="325" spans="1:19" ht="16.5" customHeight="1" x14ac:dyDescent="0.3">
      <c r="A325" s="27" t="s">
        <v>487</v>
      </c>
      <c r="B325" s="28" t="s">
        <v>488</v>
      </c>
      <c r="C325" s="26" t="s">
        <v>1808</v>
      </c>
      <c r="D325" s="31" t="s">
        <v>152</v>
      </c>
      <c r="E325" s="33" t="s">
        <v>2023</v>
      </c>
      <c r="F325" s="34" t="s">
        <v>560</v>
      </c>
      <c r="G325" s="32" t="s">
        <v>2024</v>
      </c>
      <c r="H325" s="37" t="s">
        <v>1792</v>
      </c>
      <c r="I325" s="39" t="s">
        <v>2249</v>
      </c>
      <c r="J325" s="24" t="s">
        <v>134</v>
      </c>
      <c r="K325" s="40"/>
      <c r="L325" s="38" t="s">
        <v>2250</v>
      </c>
      <c r="M325" s="44" t="s">
        <v>26</v>
      </c>
      <c r="N325" s="46" t="s">
        <v>2252</v>
      </c>
      <c r="O325" s="47" t="s">
        <v>822</v>
      </c>
      <c r="P325" s="50"/>
      <c r="Q325" s="45"/>
      <c r="R325" s="25"/>
      <c r="S325" s="52"/>
    </row>
    <row r="326" spans="1:19" ht="16.5" customHeight="1" x14ac:dyDescent="0.3">
      <c r="A326" s="27" t="s">
        <v>487</v>
      </c>
      <c r="B326" s="28" t="s">
        <v>488</v>
      </c>
      <c r="C326" s="26" t="s">
        <v>1808</v>
      </c>
      <c r="D326" s="31" t="s">
        <v>152</v>
      </c>
      <c r="E326" s="33" t="s">
        <v>2023</v>
      </c>
      <c r="F326" s="34" t="s">
        <v>560</v>
      </c>
      <c r="G326" s="32" t="s">
        <v>2024</v>
      </c>
      <c r="H326" s="37" t="s">
        <v>1792</v>
      </c>
      <c r="I326" s="39" t="s">
        <v>2249</v>
      </c>
      <c r="J326" s="24" t="s">
        <v>134</v>
      </c>
      <c r="K326" s="40"/>
      <c r="L326" s="38" t="s">
        <v>2250</v>
      </c>
      <c r="M326" s="44" t="s">
        <v>26</v>
      </c>
      <c r="N326" s="46" t="s">
        <v>2253</v>
      </c>
      <c r="O326" s="47" t="s">
        <v>811</v>
      </c>
      <c r="P326" s="50"/>
      <c r="Q326" s="45"/>
      <c r="R326" s="25"/>
      <c r="S326" s="52"/>
    </row>
    <row r="327" spans="1:19" ht="16.5" customHeight="1" x14ac:dyDescent="0.3">
      <c r="A327" s="27" t="s">
        <v>487</v>
      </c>
      <c r="B327" s="28" t="s">
        <v>488</v>
      </c>
      <c r="C327" s="26" t="s">
        <v>1808</v>
      </c>
      <c r="D327" s="31" t="s">
        <v>152</v>
      </c>
      <c r="E327" s="33" t="s">
        <v>2023</v>
      </c>
      <c r="F327" s="34" t="s">
        <v>560</v>
      </c>
      <c r="G327" s="32" t="s">
        <v>2024</v>
      </c>
      <c r="H327" s="37" t="s">
        <v>1792</v>
      </c>
      <c r="I327" s="39" t="s">
        <v>2249</v>
      </c>
      <c r="J327" s="24" t="s">
        <v>134</v>
      </c>
      <c r="K327" s="40"/>
      <c r="L327" s="38" t="s">
        <v>2250</v>
      </c>
      <c r="M327" s="44" t="s">
        <v>26</v>
      </c>
      <c r="N327" s="46" t="s">
        <v>2254</v>
      </c>
      <c r="O327" s="47" t="s">
        <v>812</v>
      </c>
      <c r="P327" s="50"/>
      <c r="Q327" s="45"/>
      <c r="R327" s="25"/>
      <c r="S327" s="52"/>
    </row>
    <row r="328" spans="1:19" ht="16.5" customHeight="1" x14ac:dyDescent="0.3">
      <c r="A328" s="27" t="s">
        <v>487</v>
      </c>
      <c r="B328" s="28" t="s">
        <v>488</v>
      </c>
      <c r="C328" s="26" t="s">
        <v>1808</v>
      </c>
      <c r="D328" s="31" t="s">
        <v>152</v>
      </c>
      <c r="E328" s="33" t="s">
        <v>2023</v>
      </c>
      <c r="F328" s="34" t="s">
        <v>560</v>
      </c>
      <c r="G328" s="32" t="s">
        <v>2024</v>
      </c>
      <c r="H328" s="37" t="s">
        <v>1792</v>
      </c>
      <c r="I328" s="39" t="s">
        <v>2249</v>
      </c>
      <c r="J328" s="24" t="s">
        <v>134</v>
      </c>
      <c r="K328" s="40"/>
      <c r="L328" s="38" t="s">
        <v>2250</v>
      </c>
      <c r="M328" s="44" t="s">
        <v>26</v>
      </c>
      <c r="N328" s="46" t="s">
        <v>2255</v>
      </c>
      <c r="O328" s="47" t="s">
        <v>136</v>
      </c>
      <c r="P328" s="50"/>
      <c r="Q328" s="45"/>
      <c r="R328" s="25"/>
      <c r="S328" s="52"/>
    </row>
    <row r="329" spans="1:19" ht="16.5" customHeight="1" x14ac:dyDescent="0.3">
      <c r="A329" s="27" t="s">
        <v>487</v>
      </c>
      <c r="B329" s="28" t="s">
        <v>488</v>
      </c>
      <c r="C329" s="26" t="s">
        <v>1808</v>
      </c>
      <c r="D329" s="31" t="s">
        <v>152</v>
      </c>
      <c r="E329" s="33" t="s">
        <v>2023</v>
      </c>
      <c r="F329" s="34" t="s">
        <v>560</v>
      </c>
      <c r="G329" s="32" t="s">
        <v>2024</v>
      </c>
      <c r="H329" s="37" t="s">
        <v>1792</v>
      </c>
      <c r="I329" s="39" t="s">
        <v>2249</v>
      </c>
      <c r="J329" s="24" t="s">
        <v>134</v>
      </c>
      <c r="K329" s="40"/>
      <c r="L329" s="38" t="s">
        <v>2256</v>
      </c>
      <c r="M329" s="44" t="s">
        <v>29</v>
      </c>
      <c r="N329" s="46" t="s">
        <v>2257</v>
      </c>
      <c r="O329" s="47" t="s">
        <v>813</v>
      </c>
      <c r="P329" s="50"/>
      <c r="Q329" s="45"/>
      <c r="R329" s="25"/>
      <c r="S329" s="52"/>
    </row>
    <row r="330" spans="1:19" ht="16.5" customHeight="1" x14ac:dyDescent="0.3">
      <c r="A330" s="27" t="s">
        <v>487</v>
      </c>
      <c r="B330" s="28" t="s">
        <v>488</v>
      </c>
      <c r="C330" s="26" t="s">
        <v>1808</v>
      </c>
      <c r="D330" s="31" t="s">
        <v>152</v>
      </c>
      <c r="E330" s="33" t="s">
        <v>2023</v>
      </c>
      <c r="F330" s="34" t="s">
        <v>560</v>
      </c>
      <c r="G330" s="32" t="s">
        <v>2024</v>
      </c>
      <c r="H330" s="37" t="s">
        <v>1792</v>
      </c>
      <c r="I330" s="39" t="s">
        <v>2249</v>
      </c>
      <c r="J330" s="24" t="s">
        <v>134</v>
      </c>
      <c r="K330" s="40"/>
      <c r="L330" s="38" t="s">
        <v>2256</v>
      </c>
      <c r="M330" s="44" t="s">
        <v>29</v>
      </c>
      <c r="N330" s="46" t="s">
        <v>2258</v>
      </c>
      <c r="O330" s="47" t="s">
        <v>814</v>
      </c>
      <c r="P330" s="50"/>
      <c r="Q330" s="45"/>
      <c r="R330" s="25"/>
      <c r="S330" s="52"/>
    </row>
    <row r="331" spans="1:19" ht="16.5" customHeight="1" x14ac:dyDescent="0.3">
      <c r="A331" s="27" t="s">
        <v>487</v>
      </c>
      <c r="B331" s="28" t="s">
        <v>488</v>
      </c>
      <c r="C331" s="26" t="s">
        <v>1808</v>
      </c>
      <c r="D331" s="31" t="s">
        <v>152</v>
      </c>
      <c r="E331" s="33" t="s">
        <v>2023</v>
      </c>
      <c r="F331" s="34" t="s">
        <v>560</v>
      </c>
      <c r="G331" s="32" t="s">
        <v>2024</v>
      </c>
      <c r="H331" s="37" t="s">
        <v>1792</v>
      </c>
      <c r="I331" s="39" t="s">
        <v>2249</v>
      </c>
      <c r="J331" s="24" t="s">
        <v>134</v>
      </c>
      <c r="K331" s="40"/>
      <c r="L331" s="38" t="s">
        <v>2256</v>
      </c>
      <c r="M331" s="44" t="s">
        <v>29</v>
      </c>
      <c r="N331" s="46" t="s">
        <v>2259</v>
      </c>
      <c r="O331" s="47" t="s">
        <v>821</v>
      </c>
      <c r="P331" s="50"/>
      <c r="Q331" s="45"/>
      <c r="R331" s="25"/>
      <c r="S331" s="52"/>
    </row>
    <row r="332" spans="1:19" ht="16.5" customHeight="1" x14ac:dyDescent="0.3">
      <c r="A332" s="27" t="s">
        <v>487</v>
      </c>
      <c r="B332" s="28" t="s">
        <v>488</v>
      </c>
      <c r="C332" s="26" t="s">
        <v>1808</v>
      </c>
      <c r="D332" s="31" t="s">
        <v>152</v>
      </c>
      <c r="E332" s="33" t="s">
        <v>2023</v>
      </c>
      <c r="F332" s="34" t="s">
        <v>560</v>
      </c>
      <c r="G332" s="32" t="s">
        <v>2024</v>
      </c>
      <c r="H332" s="37" t="s">
        <v>1792</v>
      </c>
      <c r="I332" s="39" t="s">
        <v>2249</v>
      </c>
      <c r="J332" s="24" t="s">
        <v>134</v>
      </c>
      <c r="K332" s="40"/>
      <c r="L332" s="38" t="s">
        <v>2256</v>
      </c>
      <c r="M332" s="44" t="s">
        <v>29</v>
      </c>
      <c r="N332" s="46" t="s">
        <v>2260</v>
      </c>
      <c r="O332" s="47" t="s">
        <v>815</v>
      </c>
      <c r="P332" s="50"/>
      <c r="Q332" s="45"/>
      <c r="R332" s="25"/>
      <c r="S332" s="52"/>
    </row>
    <row r="333" spans="1:19" ht="16.5" customHeight="1" x14ac:dyDescent="0.3">
      <c r="A333" s="27" t="s">
        <v>487</v>
      </c>
      <c r="B333" s="28" t="s">
        <v>488</v>
      </c>
      <c r="C333" s="26" t="s">
        <v>1808</v>
      </c>
      <c r="D333" s="31" t="s">
        <v>152</v>
      </c>
      <c r="E333" s="33" t="s">
        <v>2023</v>
      </c>
      <c r="F333" s="34" t="s">
        <v>560</v>
      </c>
      <c r="G333" s="32" t="s">
        <v>2024</v>
      </c>
      <c r="H333" s="37" t="s">
        <v>1792</v>
      </c>
      <c r="I333" s="39" t="s">
        <v>2249</v>
      </c>
      <c r="J333" s="24" t="s">
        <v>134</v>
      </c>
      <c r="K333" s="40"/>
      <c r="L333" s="38" t="s">
        <v>2256</v>
      </c>
      <c r="M333" s="44" t="s">
        <v>29</v>
      </c>
      <c r="N333" s="46" t="s">
        <v>2261</v>
      </c>
      <c r="O333" s="47" t="s">
        <v>816</v>
      </c>
      <c r="P333" s="50"/>
      <c r="Q333" s="45"/>
      <c r="R333" s="25"/>
      <c r="S333" s="52"/>
    </row>
    <row r="334" spans="1:19" ht="16.5" customHeight="1" x14ac:dyDescent="0.3">
      <c r="A334" s="27" t="s">
        <v>487</v>
      </c>
      <c r="B334" s="28" t="s">
        <v>488</v>
      </c>
      <c r="C334" s="26" t="s">
        <v>1808</v>
      </c>
      <c r="D334" s="31" t="s">
        <v>152</v>
      </c>
      <c r="E334" s="33" t="s">
        <v>2023</v>
      </c>
      <c r="F334" s="34" t="s">
        <v>560</v>
      </c>
      <c r="G334" s="32" t="s">
        <v>2024</v>
      </c>
      <c r="H334" s="37" t="s">
        <v>1792</v>
      </c>
      <c r="I334" s="39" t="s">
        <v>2249</v>
      </c>
      <c r="J334" s="24" t="s">
        <v>134</v>
      </c>
      <c r="K334" s="40"/>
      <c r="L334" s="38" t="s">
        <v>2256</v>
      </c>
      <c r="M334" s="44" t="s">
        <v>29</v>
      </c>
      <c r="N334" s="46" t="s">
        <v>2262</v>
      </c>
      <c r="O334" s="47" t="s">
        <v>817</v>
      </c>
      <c r="P334" s="50"/>
      <c r="Q334" s="45"/>
      <c r="R334" s="25"/>
      <c r="S334" s="52"/>
    </row>
    <row r="335" spans="1:19" ht="16.5" customHeight="1" x14ac:dyDescent="0.3">
      <c r="A335" s="27" t="s">
        <v>487</v>
      </c>
      <c r="B335" s="28" t="s">
        <v>488</v>
      </c>
      <c r="C335" s="26" t="s">
        <v>1808</v>
      </c>
      <c r="D335" s="31" t="s">
        <v>152</v>
      </c>
      <c r="E335" s="33" t="s">
        <v>2023</v>
      </c>
      <c r="F335" s="34" t="s">
        <v>560</v>
      </c>
      <c r="G335" s="32" t="s">
        <v>2024</v>
      </c>
      <c r="H335" s="37" t="s">
        <v>1792</v>
      </c>
      <c r="I335" s="39" t="s">
        <v>2249</v>
      </c>
      <c r="J335" s="24" t="s">
        <v>134</v>
      </c>
      <c r="K335" s="40"/>
      <c r="L335" s="38" t="s">
        <v>2256</v>
      </c>
      <c r="M335" s="44" t="s">
        <v>29</v>
      </c>
      <c r="N335" s="46" t="s">
        <v>2263</v>
      </c>
      <c r="O335" s="47" t="s">
        <v>818</v>
      </c>
      <c r="P335" s="50"/>
      <c r="Q335" s="45"/>
      <c r="R335" s="25"/>
      <c r="S335" s="52"/>
    </row>
    <row r="336" spans="1:19" ht="16.5" customHeight="1" x14ac:dyDescent="0.3">
      <c r="A336" s="27" t="s">
        <v>487</v>
      </c>
      <c r="B336" s="28" t="s">
        <v>488</v>
      </c>
      <c r="C336" s="26" t="s">
        <v>1808</v>
      </c>
      <c r="D336" s="31" t="s">
        <v>152</v>
      </c>
      <c r="E336" s="33" t="s">
        <v>2023</v>
      </c>
      <c r="F336" s="34" t="s">
        <v>560</v>
      </c>
      <c r="G336" s="32" t="s">
        <v>2024</v>
      </c>
      <c r="H336" s="37" t="s">
        <v>1792</v>
      </c>
      <c r="I336" s="39" t="s">
        <v>2249</v>
      </c>
      <c r="J336" s="24" t="s">
        <v>134</v>
      </c>
      <c r="K336" s="40"/>
      <c r="L336" s="38" t="s">
        <v>2256</v>
      </c>
      <c r="M336" s="44" t="s">
        <v>29</v>
      </c>
      <c r="N336" s="46" t="s">
        <v>2264</v>
      </c>
      <c r="O336" s="47" t="s">
        <v>819</v>
      </c>
      <c r="P336" s="50"/>
      <c r="Q336" s="45"/>
      <c r="R336" s="25"/>
      <c r="S336" s="52"/>
    </row>
    <row r="337" spans="1:19" ht="16.5" customHeight="1" x14ac:dyDescent="0.3">
      <c r="A337" s="27" t="s">
        <v>487</v>
      </c>
      <c r="B337" s="28" t="s">
        <v>488</v>
      </c>
      <c r="C337" s="26" t="s">
        <v>1808</v>
      </c>
      <c r="D337" s="31" t="s">
        <v>152</v>
      </c>
      <c r="E337" s="33" t="s">
        <v>2023</v>
      </c>
      <c r="F337" s="34" t="s">
        <v>560</v>
      </c>
      <c r="G337" s="32" t="s">
        <v>2024</v>
      </c>
      <c r="H337" s="37" t="s">
        <v>1792</v>
      </c>
      <c r="I337" s="39" t="s">
        <v>2249</v>
      </c>
      <c r="J337" s="24" t="s">
        <v>134</v>
      </c>
      <c r="K337" s="40"/>
      <c r="L337" s="38" t="s">
        <v>2256</v>
      </c>
      <c r="M337" s="44" t="s">
        <v>29</v>
      </c>
      <c r="N337" s="46" t="s">
        <v>2265</v>
      </c>
      <c r="O337" s="47" t="s">
        <v>820</v>
      </c>
      <c r="P337" s="50"/>
      <c r="Q337" s="45"/>
      <c r="R337" s="25"/>
      <c r="S337" s="52"/>
    </row>
    <row r="338" spans="1:19" ht="16.5" customHeight="1" x14ac:dyDescent="0.3">
      <c r="A338" s="27" t="s">
        <v>487</v>
      </c>
      <c r="B338" s="28" t="s">
        <v>488</v>
      </c>
      <c r="C338" s="26" t="s">
        <v>1808</v>
      </c>
      <c r="D338" s="31" t="s">
        <v>152</v>
      </c>
      <c r="E338" s="33" t="s">
        <v>2023</v>
      </c>
      <c r="F338" s="34" t="s">
        <v>560</v>
      </c>
      <c r="G338" s="32" t="s">
        <v>2024</v>
      </c>
      <c r="H338" s="37" t="s">
        <v>1792</v>
      </c>
      <c r="I338" s="39" t="s">
        <v>2249</v>
      </c>
      <c r="J338" s="24" t="s">
        <v>134</v>
      </c>
      <c r="K338" s="40"/>
      <c r="L338" s="38" t="s">
        <v>2266</v>
      </c>
      <c r="M338" s="44" t="s">
        <v>16</v>
      </c>
      <c r="N338" s="46" t="s">
        <v>2267</v>
      </c>
      <c r="O338" s="47" t="s">
        <v>823</v>
      </c>
      <c r="P338" s="50"/>
      <c r="Q338" s="45"/>
      <c r="R338" s="25"/>
      <c r="S338" s="52"/>
    </row>
    <row r="339" spans="1:19" ht="16.5" customHeight="1" x14ac:dyDescent="0.3">
      <c r="A339" s="27" t="s">
        <v>487</v>
      </c>
      <c r="B339" s="28" t="s">
        <v>488</v>
      </c>
      <c r="C339" s="26" t="s">
        <v>1808</v>
      </c>
      <c r="D339" s="31" t="s">
        <v>152</v>
      </c>
      <c r="E339" s="33" t="s">
        <v>2023</v>
      </c>
      <c r="F339" s="34" t="s">
        <v>560</v>
      </c>
      <c r="G339" s="32" t="s">
        <v>2024</v>
      </c>
      <c r="H339" s="37" t="s">
        <v>1792</v>
      </c>
      <c r="I339" s="39" t="s">
        <v>2249</v>
      </c>
      <c r="J339" s="24" t="s">
        <v>134</v>
      </c>
      <c r="K339" s="40"/>
      <c r="L339" s="38" t="s">
        <v>2266</v>
      </c>
      <c r="M339" s="44" t="s">
        <v>16</v>
      </c>
      <c r="N339" s="46" t="s">
        <v>2268</v>
      </c>
      <c r="O339" s="47" t="s">
        <v>824</v>
      </c>
      <c r="P339" s="50"/>
      <c r="Q339" s="45"/>
      <c r="R339" s="25"/>
      <c r="S339" s="52"/>
    </row>
    <row r="340" spans="1:19" ht="16.5" customHeight="1" x14ac:dyDescent="0.3">
      <c r="A340" s="27" t="s">
        <v>487</v>
      </c>
      <c r="B340" s="28" t="s">
        <v>488</v>
      </c>
      <c r="C340" s="26" t="s">
        <v>1808</v>
      </c>
      <c r="D340" s="31" t="s">
        <v>152</v>
      </c>
      <c r="E340" s="33" t="s">
        <v>2023</v>
      </c>
      <c r="F340" s="34" t="s">
        <v>560</v>
      </c>
      <c r="G340" s="32" t="s">
        <v>2024</v>
      </c>
      <c r="H340" s="37" t="s">
        <v>1792</v>
      </c>
      <c r="I340" s="39" t="s">
        <v>2249</v>
      </c>
      <c r="J340" s="24" t="s">
        <v>134</v>
      </c>
      <c r="K340" s="40"/>
      <c r="L340" s="38" t="s">
        <v>2266</v>
      </c>
      <c r="M340" s="44" t="s">
        <v>16</v>
      </c>
      <c r="N340" s="46" t="s">
        <v>2269</v>
      </c>
      <c r="O340" s="47" t="s">
        <v>825</v>
      </c>
      <c r="P340" s="50"/>
      <c r="Q340" s="45"/>
      <c r="R340" s="25"/>
      <c r="S340" s="52"/>
    </row>
    <row r="341" spans="1:19" ht="16.5" customHeight="1" x14ac:dyDescent="0.3">
      <c r="A341" s="27" t="s">
        <v>487</v>
      </c>
      <c r="B341" s="28" t="s">
        <v>488</v>
      </c>
      <c r="C341" s="26" t="s">
        <v>1808</v>
      </c>
      <c r="D341" s="31" t="s">
        <v>152</v>
      </c>
      <c r="E341" s="33" t="s">
        <v>2023</v>
      </c>
      <c r="F341" s="34" t="s">
        <v>560</v>
      </c>
      <c r="G341" s="32" t="s">
        <v>2024</v>
      </c>
      <c r="H341" s="37" t="s">
        <v>1792</v>
      </c>
      <c r="I341" s="39" t="s">
        <v>2249</v>
      </c>
      <c r="J341" s="24" t="s">
        <v>134</v>
      </c>
      <c r="K341" s="40"/>
      <c r="L341" s="38" t="s">
        <v>2266</v>
      </c>
      <c r="M341" s="44" t="s">
        <v>16</v>
      </c>
      <c r="N341" s="46" t="s">
        <v>2270</v>
      </c>
      <c r="O341" s="47" t="s">
        <v>826</v>
      </c>
      <c r="P341" s="50"/>
      <c r="Q341" s="45"/>
      <c r="R341" s="25"/>
      <c r="S341" s="52"/>
    </row>
    <row r="342" spans="1:19" ht="16.5" customHeight="1" x14ac:dyDescent="0.3">
      <c r="A342" s="27" t="s">
        <v>487</v>
      </c>
      <c r="B342" s="28" t="s">
        <v>488</v>
      </c>
      <c r="C342" s="26" t="s">
        <v>1808</v>
      </c>
      <c r="D342" s="31" t="s">
        <v>152</v>
      </c>
      <c r="E342" s="33" t="s">
        <v>2023</v>
      </c>
      <c r="F342" s="34" t="s">
        <v>560</v>
      </c>
      <c r="G342" s="32" t="s">
        <v>2024</v>
      </c>
      <c r="H342" s="37" t="s">
        <v>1792</v>
      </c>
      <c r="I342" s="39" t="s">
        <v>2249</v>
      </c>
      <c r="J342" s="24" t="s">
        <v>134</v>
      </c>
      <c r="K342" s="40"/>
      <c r="L342" s="38" t="s">
        <v>2266</v>
      </c>
      <c r="M342" s="44" t="s">
        <v>16</v>
      </c>
      <c r="N342" s="46" t="s">
        <v>2271</v>
      </c>
      <c r="O342" s="47" t="s">
        <v>827</v>
      </c>
      <c r="P342" s="50"/>
      <c r="Q342" s="45"/>
      <c r="R342" s="25"/>
      <c r="S342" s="52"/>
    </row>
    <row r="343" spans="1:19" ht="16.5" customHeight="1" x14ac:dyDescent="0.3">
      <c r="A343" s="27" t="s">
        <v>487</v>
      </c>
      <c r="B343" s="28" t="s">
        <v>488</v>
      </c>
      <c r="C343" s="26" t="s">
        <v>1808</v>
      </c>
      <c r="D343" s="31" t="s">
        <v>152</v>
      </c>
      <c r="E343" s="33" t="s">
        <v>2023</v>
      </c>
      <c r="F343" s="34" t="s">
        <v>560</v>
      </c>
      <c r="G343" s="32" t="s">
        <v>2024</v>
      </c>
      <c r="H343" s="37" t="s">
        <v>1792</v>
      </c>
      <c r="I343" s="39" t="s">
        <v>2249</v>
      </c>
      <c r="J343" s="24" t="s">
        <v>134</v>
      </c>
      <c r="K343" s="40"/>
      <c r="L343" s="38" t="s">
        <v>2272</v>
      </c>
      <c r="M343" s="44" t="s">
        <v>30</v>
      </c>
      <c r="N343" s="46"/>
      <c r="O343" s="47"/>
      <c r="P343" s="50"/>
      <c r="Q343" s="45"/>
      <c r="R343" s="25"/>
      <c r="S343" s="52"/>
    </row>
    <row r="344" spans="1:19" ht="16.5" customHeight="1" x14ac:dyDescent="0.3">
      <c r="A344" s="27" t="s">
        <v>487</v>
      </c>
      <c r="B344" s="28" t="s">
        <v>488</v>
      </c>
      <c r="C344" s="26" t="s">
        <v>1808</v>
      </c>
      <c r="D344" s="31" t="s">
        <v>152</v>
      </c>
      <c r="E344" s="33" t="s">
        <v>2023</v>
      </c>
      <c r="F344" s="34" t="s">
        <v>560</v>
      </c>
      <c r="G344" s="32" t="s">
        <v>2024</v>
      </c>
      <c r="H344" s="37" t="s">
        <v>1792</v>
      </c>
      <c r="I344" s="39" t="s">
        <v>2249</v>
      </c>
      <c r="J344" s="24" t="s">
        <v>134</v>
      </c>
      <c r="K344" s="40"/>
      <c r="L344" s="38" t="s">
        <v>2273</v>
      </c>
      <c r="M344" s="44" t="s">
        <v>31</v>
      </c>
      <c r="N344" s="46" t="s">
        <v>2274</v>
      </c>
      <c r="O344" s="47" t="s">
        <v>828</v>
      </c>
      <c r="P344" s="50"/>
      <c r="Q344" s="45"/>
      <c r="R344" s="25"/>
      <c r="S344" s="52"/>
    </row>
    <row r="345" spans="1:19" ht="16.5" customHeight="1" x14ac:dyDescent="0.3">
      <c r="A345" s="27" t="s">
        <v>487</v>
      </c>
      <c r="B345" s="28" t="s">
        <v>488</v>
      </c>
      <c r="C345" s="26" t="s">
        <v>1808</v>
      </c>
      <c r="D345" s="31" t="s">
        <v>152</v>
      </c>
      <c r="E345" s="33" t="s">
        <v>2023</v>
      </c>
      <c r="F345" s="34" t="s">
        <v>560</v>
      </c>
      <c r="G345" s="32" t="s">
        <v>2024</v>
      </c>
      <c r="H345" s="37" t="s">
        <v>1792</v>
      </c>
      <c r="I345" s="39" t="s">
        <v>2275</v>
      </c>
      <c r="J345" s="24" t="s">
        <v>1643</v>
      </c>
      <c r="K345" s="40"/>
      <c r="L345" s="38"/>
      <c r="M345" s="44"/>
      <c r="N345" s="46"/>
      <c r="O345" s="47"/>
      <c r="P345" s="50"/>
      <c r="Q345" s="45"/>
      <c r="R345" s="25"/>
      <c r="S345" s="52"/>
    </row>
    <row r="346" spans="1:19" ht="16.5" customHeight="1" x14ac:dyDescent="0.3">
      <c r="A346" s="27" t="s">
        <v>487</v>
      </c>
      <c r="B346" s="28" t="s">
        <v>488</v>
      </c>
      <c r="C346" s="26" t="s">
        <v>1808</v>
      </c>
      <c r="D346" s="31" t="s">
        <v>152</v>
      </c>
      <c r="E346" s="33" t="s">
        <v>2023</v>
      </c>
      <c r="F346" s="34" t="s">
        <v>560</v>
      </c>
      <c r="G346" s="32" t="s">
        <v>2276</v>
      </c>
      <c r="H346" s="37" t="s">
        <v>1463</v>
      </c>
      <c r="I346" s="39" t="s">
        <v>2277</v>
      </c>
      <c r="J346" s="24" t="s">
        <v>144</v>
      </c>
      <c r="K346" s="40"/>
      <c r="L346" s="38" t="s">
        <v>2278</v>
      </c>
      <c r="M346" s="44" t="s">
        <v>16</v>
      </c>
      <c r="N346" s="46" t="s">
        <v>2279</v>
      </c>
      <c r="O346" s="47" t="s">
        <v>829</v>
      </c>
      <c r="P346" s="50"/>
      <c r="Q346" s="45"/>
      <c r="R346" s="25"/>
      <c r="S346" s="52"/>
    </row>
    <row r="347" spans="1:19" ht="16.5" customHeight="1" x14ac:dyDescent="0.3">
      <c r="A347" s="27" t="s">
        <v>487</v>
      </c>
      <c r="B347" s="28" t="s">
        <v>488</v>
      </c>
      <c r="C347" s="26" t="s">
        <v>1808</v>
      </c>
      <c r="D347" s="31" t="s">
        <v>152</v>
      </c>
      <c r="E347" s="33" t="s">
        <v>2023</v>
      </c>
      <c r="F347" s="34" t="s">
        <v>560</v>
      </c>
      <c r="G347" s="32" t="s">
        <v>2276</v>
      </c>
      <c r="H347" s="37" t="s">
        <v>1463</v>
      </c>
      <c r="I347" s="39" t="s">
        <v>2277</v>
      </c>
      <c r="J347" s="24" t="s">
        <v>144</v>
      </c>
      <c r="K347" s="40"/>
      <c r="L347" s="38" t="s">
        <v>2278</v>
      </c>
      <c r="M347" s="44" t="s">
        <v>16</v>
      </c>
      <c r="N347" s="46" t="s">
        <v>2280</v>
      </c>
      <c r="O347" s="47" t="s">
        <v>830</v>
      </c>
      <c r="P347" s="50"/>
      <c r="Q347" s="45"/>
      <c r="R347" s="25"/>
      <c r="S347" s="52"/>
    </row>
    <row r="348" spans="1:19" ht="16.5" customHeight="1" x14ac:dyDescent="0.3">
      <c r="A348" s="27" t="s">
        <v>487</v>
      </c>
      <c r="B348" s="28" t="s">
        <v>488</v>
      </c>
      <c r="C348" s="26" t="s">
        <v>1808</v>
      </c>
      <c r="D348" s="31" t="s">
        <v>152</v>
      </c>
      <c r="E348" s="33" t="s">
        <v>2023</v>
      </c>
      <c r="F348" s="34" t="s">
        <v>560</v>
      </c>
      <c r="G348" s="32" t="s">
        <v>2276</v>
      </c>
      <c r="H348" s="37" t="s">
        <v>1463</v>
      </c>
      <c r="I348" s="39" t="s">
        <v>2281</v>
      </c>
      <c r="J348" s="24" t="s">
        <v>146</v>
      </c>
      <c r="K348" s="40"/>
      <c r="L348" s="38" t="s">
        <v>2282</v>
      </c>
      <c r="M348" s="44" t="s">
        <v>16</v>
      </c>
      <c r="N348" s="46" t="s">
        <v>2283</v>
      </c>
      <c r="O348" s="47" t="s">
        <v>831</v>
      </c>
      <c r="P348" s="50"/>
      <c r="Q348" s="45"/>
      <c r="R348" s="25"/>
      <c r="S348" s="52"/>
    </row>
    <row r="349" spans="1:19" ht="16.5" customHeight="1" x14ac:dyDescent="0.3">
      <c r="A349" s="27" t="s">
        <v>487</v>
      </c>
      <c r="B349" s="28" t="s">
        <v>488</v>
      </c>
      <c r="C349" s="26" t="s">
        <v>1808</v>
      </c>
      <c r="D349" s="31" t="s">
        <v>152</v>
      </c>
      <c r="E349" s="33" t="s">
        <v>2023</v>
      </c>
      <c r="F349" s="34" t="s">
        <v>560</v>
      </c>
      <c r="G349" s="32" t="s">
        <v>2276</v>
      </c>
      <c r="H349" s="37" t="s">
        <v>1463</v>
      </c>
      <c r="I349" s="39" t="s">
        <v>2281</v>
      </c>
      <c r="J349" s="24" t="s">
        <v>146</v>
      </c>
      <c r="K349" s="40"/>
      <c r="L349" s="38" t="s">
        <v>2282</v>
      </c>
      <c r="M349" s="44" t="s">
        <v>16</v>
      </c>
      <c r="N349" s="46" t="s">
        <v>2284</v>
      </c>
      <c r="O349" s="47" t="s">
        <v>832</v>
      </c>
      <c r="P349" s="50"/>
      <c r="Q349" s="45"/>
      <c r="R349" s="25"/>
      <c r="S349" s="52"/>
    </row>
    <row r="350" spans="1:19" ht="16.5" customHeight="1" x14ac:dyDescent="0.3">
      <c r="A350" s="27" t="s">
        <v>487</v>
      </c>
      <c r="B350" s="28" t="s">
        <v>488</v>
      </c>
      <c r="C350" s="26" t="s">
        <v>1808</v>
      </c>
      <c r="D350" s="31" t="s">
        <v>152</v>
      </c>
      <c r="E350" s="33" t="s">
        <v>2023</v>
      </c>
      <c r="F350" s="34" t="s">
        <v>560</v>
      </c>
      <c r="G350" s="32" t="s">
        <v>2276</v>
      </c>
      <c r="H350" s="37" t="s">
        <v>1463</v>
      </c>
      <c r="I350" s="39" t="s">
        <v>2285</v>
      </c>
      <c r="J350" s="24" t="s">
        <v>148</v>
      </c>
      <c r="K350" s="40"/>
      <c r="L350" s="38" t="s">
        <v>2286</v>
      </c>
      <c r="M350" s="44" t="s">
        <v>26</v>
      </c>
      <c r="N350" s="46" t="s">
        <v>2287</v>
      </c>
      <c r="O350" s="47" t="s">
        <v>833</v>
      </c>
      <c r="P350" s="50"/>
      <c r="Q350" s="45"/>
      <c r="R350" s="25"/>
      <c r="S350" s="52"/>
    </row>
    <row r="351" spans="1:19" ht="16.5" customHeight="1" x14ac:dyDescent="0.3">
      <c r="A351" s="27" t="s">
        <v>487</v>
      </c>
      <c r="B351" s="28" t="s">
        <v>488</v>
      </c>
      <c r="C351" s="26" t="s">
        <v>1808</v>
      </c>
      <c r="D351" s="31" t="s">
        <v>152</v>
      </c>
      <c r="E351" s="33" t="s">
        <v>2023</v>
      </c>
      <c r="F351" s="34" t="s">
        <v>560</v>
      </c>
      <c r="G351" s="32" t="s">
        <v>2276</v>
      </c>
      <c r="H351" s="37" t="s">
        <v>1463</v>
      </c>
      <c r="I351" s="39" t="s">
        <v>2285</v>
      </c>
      <c r="J351" s="24" t="s">
        <v>148</v>
      </c>
      <c r="K351" s="40"/>
      <c r="L351" s="38" t="s">
        <v>2286</v>
      </c>
      <c r="M351" s="44" t="s">
        <v>26</v>
      </c>
      <c r="N351" s="46" t="s">
        <v>2288</v>
      </c>
      <c r="O351" s="47" t="s">
        <v>834</v>
      </c>
      <c r="P351" s="50"/>
      <c r="Q351" s="45"/>
      <c r="R351" s="25"/>
      <c r="S351" s="52"/>
    </row>
    <row r="352" spans="1:19" ht="16.5" customHeight="1" x14ac:dyDescent="0.3">
      <c r="A352" s="27" t="s">
        <v>487</v>
      </c>
      <c r="B352" s="28" t="s">
        <v>488</v>
      </c>
      <c r="C352" s="26" t="s">
        <v>1808</v>
      </c>
      <c r="D352" s="31" t="s">
        <v>152</v>
      </c>
      <c r="E352" s="33" t="s">
        <v>2023</v>
      </c>
      <c r="F352" s="34" t="s">
        <v>560</v>
      </c>
      <c r="G352" s="32" t="s">
        <v>2276</v>
      </c>
      <c r="H352" s="37" t="s">
        <v>1463</v>
      </c>
      <c r="I352" s="39" t="s">
        <v>2285</v>
      </c>
      <c r="J352" s="24" t="s">
        <v>148</v>
      </c>
      <c r="K352" s="40"/>
      <c r="L352" s="38" t="s">
        <v>2289</v>
      </c>
      <c r="M352" s="44" t="s">
        <v>30</v>
      </c>
      <c r="N352" s="46" t="s">
        <v>2290</v>
      </c>
      <c r="O352" s="47" t="s">
        <v>835</v>
      </c>
      <c r="P352" s="50"/>
      <c r="Q352" s="45"/>
      <c r="R352" s="25"/>
      <c r="S352" s="52"/>
    </row>
    <row r="353" spans="1:19" ht="16.5" customHeight="1" x14ac:dyDescent="0.3">
      <c r="A353" s="27" t="s">
        <v>487</v>
      </c>
      <c r="B353" s="28" t="s">
        <v>488</v>
      </c>
      <c r="C353" s="26" t="s">
        <v>1808</v>
      </c>
      <c r="D353" s="31" t="s">
        <v>152</v>
      </c>
      <c r="E353" s="33" t="s">
        <v>2023</v>
      </c>
      <c r="F353" s="34" t="s">
        <v>560</v>
      </c>
      <c r="G353" s="32" t="s">
        <v>2276</v>
      </c>
      <c r="H353" s="37" t="s">
        <v>1463</v>
      </c>
      <c r="I353" s="39" t="s">
        <v>2291</v>
      </c>
      <c r="J353" s="24" t="s">
        <v>150</v>
      </c>
      <c r="K353" s="40"/>
      <c r="L353" s="38" t="s">
        <v>2292</v>
      </c>
      <c r="M353" s="44" t="s">
        <v>26</v>
      </c>
      <c r="N353" s="46" t="s">
        <v>2293</v>
      </c>
      <c r="O353" s="47" t="s">
        <v>836</v>
      </c>
      <c r="P353" s="50"/>
      <c r="Q353" s="45"/>
      <c r="R353" s="25"/>
      <c r="S353" s="52"/>
    </row>
    <row r="354" spans="1:19" ht="16.5" customHeight="1" x14ac:dyDescent="0.3">
      <c r="A354" s="27" t="s">
        <v>487</v>
      </c>
      <c r="B354" s="28" t="s">
        <v>488</v>
      </c>
      <c r="C354" s="26" t="s">
        <v>1808</v>
      </c>
      <c r="D354" s="31" t="s">
        <v>152</v>
      </c>
      <c r="E354" s="33" t="s">
        <v>2023</v>
      </c>
      <c r="F354" s="34" t="s">
        <v>560</v>
      </c>
      <c r="G354" s="32" t="s">
        <v>2276</v>
      </c>
      <c r="H354" s="37" t="s">
        <v>1463</v>
      </c>
      <c r="I354" s="39" t="s">
        <v>2291</v>
      </c>
      <c r="J354" s="24" t="s">
        <v>150</v>
      </c>
      <c r="K354" s="40"/>
      <c r="L354" s="38" t="s">
        <v>2292</v>
      </c>
      <c r="M354" s="44" t="s">
        <v>26</v>
      </c>
      <c r="N354" s="46" t="s">
        <v>2294</v>
      </c>
      <c r="O354" s="47" t="s">
        <v>837</v>
      </c>
      <c r="P354" s="50"/>
      <c r="Q354" s="45"/>
      <c r="R354" s="25"/>
      <c r="S354" s="52"/>
    </row>
    <row r="355" spans="1:19" ht="16.5" customHeight="1" x14ac:dyDescent="0.3">
      <c r="A355" s="27" t="s">
        <v>487</v>
      </c>
      <c r="B355" s="28" t="s">
        <v>488</v>
      </c>
      <c r="C355" s="26" t="s">
        <v>1808</v>
      </c>
      <c r="D355" s="31" t="s">
        <v>152</v>
      </c>
      <c r="E355" s="33" t="s">
        <v>2023</v>
      </c>
      <c r="F355" s="34" t="s">
        <v>560</v>
      </c>
      <c r="G355" s="32" t="s">
        <v>2276</v>
      </c>
      <c r="H355" s="37" t="s">
        <v>1463</v>
      </c>
      <c r="I355" s="39" t="s">
        <v>2291</v>
      </c>
      <c r="J355" s="24" t="s">
        <v>150</v>
      </c>
      <c r="K355" s="40"/>
      <c r="L355" s="38" t="s">
        <v>2292</v>
      </c>
      <c r="M355" s="44" t="s">
        <v>26</v>
      </c>
      <c r="N355" s="46" t="s">
        <v>2295</v>
      </c>
      <c r="O355" s="47" t="s">
        <v>838</v>
      </c>
      <c r="P355" s="50"/>
      <c r="Q355" s="45"/>
      <c r="R355" s="25"/>
      <c r="S355" s="52"/>
    </row>
    <row r="356" spans="1:19" ht="16.5" customHeight="1" x14ac:dyDescent="0.3">
      <c r="A356" s="27" t="s">
        <v>487</v>
      </c>
      <c r="B356" s="28" t="s">
        <v>488</v>
      </c>
      <c r="C356" s="26" t="s">
        <v>1808</v>
      </c>
      <c r="D356" s="31" t="s">
        <v>152</v>
      </c>
      <c r="E356" s="33" t="s">
        <v>2023</v>
      </c>
      <c r="F356" s="34" t="s">
        <v>560</v>
      </c>
      <c r="G356" s="32" t="s">
        <v>2276</v>
      </c>
      <c r="H356" s="37" t="s">
        <v>1463</v>
      </c>
      <c r="I356" s="39" t="s">
        <v>2291</v>
      </c>
      <c r="J356" s="24" t="s">
        <v>150</v>
      </c>
      <c r="K356" s="40"/>
      <c r="L356" s="38" t="s">
        <v>2292</v>
      </c>
      <c r="M356" s="44" t="s">
        <v>26</v>
      </c>
      <c r="N356" s="46" t="s">
        <v>2296</v>
      </c>
      <c r="O356" s="47" t="s">
        <v>1644</v>
      </c>
      <c r="P356" s="50"/>
      <c r="Q356" s="45"/>
      <c r="R356" s="25"/>
      <c r="S356" s="52"/>
    </row>
    <row r="357" spans="1:19" ht="16.5" customHeight="1" x14ac:dyDescent="0.3">
      <c r="A357" s="27" t="s">
        <v>487</v>
      </c>
      <c r="B357" s="28" t="s">
        <v>488</v>
      </c>
      <c r="C357" s="26" t="s">
        <v>1808</v>
      </c>
      <c r="D357" s="31" t="s">
        <v>152</v>
      </c>
      <c r="E357" s="33" t="s">
        <v>2023</v>
      </c>
      <c r="F357" s="34" t="s">
        <v>560</v>
      </c>
      <c r="G357" s="32" t="s">
        <v>2276</v>
      </c>
      <c r="H357" s="37" t="s">
        <v>1463</v>
      </c>
      <c r="I357" s="39" t="s">
        <v>2291</v>
      </c>
      <c r="J357" s="24" t="s">
        <v>150</v>
      </c>
      <c r="K357" s="40"/>
      <c r="L357" s="38" t="s">
        <v>2292</v>
      </c>
      <c r="M357" s="44" t="s">
        <v>26</v>
      </c>
      <c r="N357" s="46" t="s">
        <v>2297</v>
      </c>
      <c r="O357" s="47" t="s">
        <v>1646</v>
      </c>
      <c r="P357" s="50"/>
      <c r="Q357" s="45"/>
      <c r="R357" s="25"/>
      <c r="S357" s="52"/>
    </row>
    <row r="358" spans="1:19" ht="16.5" customHeight="1" x14ac:dyDescent="0.3">
      <c r="A358" s="27" t="s">
        <v>487</v>
      </c>
      <c r="B358" s="28" t="s">
        <v>488</v>
      </c>
      <c r="C358" s="26" t="s">
        <v>1808</v>
      </c>
      <c r="D358" s="31" t="s">
        <v>152</v>
      </c>
      <c r="E358" s="33" t="s">
        <v>2023</v>
      </c>
      <c r="F358" s="34" t="s">
        <v>560</v>
      </c>
      <c r="G358" s="32" t="s">
        <v>2276</v>
      </c>
      <c r="H358" s="37" t="s">
        <v>1463</v>
      </c>
      <c r="I358" s="39" t="s">
        <v>2291</v>
      </c>
      <c r="J358" s="24" t="s">
        <v>150</v>
      </c>
      <c r="K358" s="40"/>
      <c r="L358" s="38" t="s">
        <v>2298</v>
      </c>
      <c r="M358" s="44" t="s">
        <v>16</v>
      </c>
      <c r="N358" s="46" t="s">
        <v>2299</v>
      </c>
      <c r="O358" s="47" t="s">
        <v>839</v>
      </c>
      <c r="P358" s="50"/>
      <c r="Q358" s="45"/>
      <c r="R358" s="25"/>
      <c r="S358" s="52"/>
    </row>
    <row r="359" spans="1:19" ht="16.5" customHeight="1" x14ac:dyDescent="0.3">
      <c r="A359" s="27" t="s">
        <v>487</v>
      </c>
      <c r="B359" s="28" t="s">
        <v>488</v>
      </c>
      <c r="C359" s="26" t="s">
        <v>1808</v>
      </c>
      <c r="D359" s="31" t="s">
        <v>152</v>
      </c>
      <c r="E359" s="33" t="s">
        <v>2023</v>
      </c>
      <c r="F359" s="34" t="s">
        <v>560</v>
      </c>
      <c r="G359" s="32" t="s">
        <v>2276</v>
      </c>
      <c r="H359" s="37" t="s">
        <v>1463</v>
      </c>
      <c r="I359" s="39" t="s">
        <v>2291</v>
      </c>
      <c r="J359" s="24" t="s">
        <v>150</v>
      </c>
      <c r="K359" s="40"/>
      <c r="L359" s="38" t="s">
        <v>2298</v>
      </c>
      <c r="M359" s="44" t="s">
        <v>16</v>
      </c>
      <c r="N359" s="46" t="s">
        <v>2300</v>
      </c>
      <c r="O359" s="47" t="s">
        <v>840</v>
      </c>
      <c r="P359" s="50"/>
      <c r="Q359" s="45"/>
      <c r="R359" s="25"/>
      <c r="S359" s="52"/>
    </row>
    <row r="360" spans="1:19" ht="16.5" customHeight="1" x14ac:dyDescent="0.3">
      <c r="A360" s="27" t="s">
        <v>487</v>
      </c>
      <c r="B360" s="28" t="s">
        <v>488</v>
      </c>
      <c r="C360" s="26" t="s">
        <v>1808</v>
      </c>
      <c r="D360" s="31" t="s">
        <v>152</v>
      </c>
      <c r="E360" s="33" t="s">
        <v>2023</v>
      </c>
      <c r="F360" s="34" t="s">
        <v>560</v>
      </c>
      <c r="G360" s="32" t="s">
        <v>2276</v>
      </c>
      <c r="H360" s="37" t="s">
        <v>1463</v>
      </c>
      <c r="I360" s="39" t="s">
        <v>2291</v>
      </c>
      <c r="J360" s="24" t="s">
        <v>150</v>
      </c>
      <c r="K360" s="40"/>
      <c r="L360" s="38" t="s">
        <v>2298</v>
      </c>
      <c r="M360" s="44" t="s">
        <v>16</v>
      </c>
      <c r="N360" s="46" t="s">
        <v>2301</v>
      </c>
      <c r="O360" s="47" t="s">
        <v>841</v>
      </c>
      <c r="P360" s="50"/>
      <c r="Q360" s="45"/>
      <c r="R360" s="25"/>
      <c r="S360" s="52"/>
    </row>
    <row r="361" spans="1:19" ht="16.5" customHeight="1" x14ac:dyDescent="0.3">
      <c r="A361" s="27" t="s">
        <v>487</v>
      </c>
      <c r="B361" s="28" t="s">
        <v>488</v>
      </c>
      <c r="C361" s="26" t="s">
        <v>1808</v>
      </c>
      <c r="D361" s="31" t="s">
        <v>152</v>
      </c>
      <c r="E361" s="33" t="s">
        <v>2023</v>
      </c>
      <c r="F361" s="34" t="s">
        <v>560</v>
      </c>
      <c r="G361" s="32" t="s">
        <v>2276</v>
      </c>
      <c r="H361" s="37" t="s">
        <v>1463</v>
      </c>
      <c r="I361" s="39" t="s">
        <v>2291</v>
      </c>
      <c r="J361" s="24" t="s">
        <v>150</v>
      </c>
      <c r="K361" s="40"/>
      <c r="L361" s="38" t="s">
        <v>2298</v>
      </c>
      <c r="M361" s="44" t="s">
        <v>16</v>
      </c>
      <c r="N361" s="46" t="s">
        <v>2302</v>
      </c>
      <c r="O361" s="47" t="s">
        <v>842</v>
      </c>
      <c r="P361" s="50"/>
      <c r="Q361" s="45"/>
      <c r="R361" s="25"/>
      <c r="S361" s="52"/>
    </row>
    <row r="362" spans="1:19" ht="16.5" customHeight="1" x14ac:dyDescent="0.3">
      <c r="A362" s="27" t="s">
        <v>487</v>
      </c>
      <c r="B362" s="28" t="s">
        <v>488</v>
      </c>
      <c r="C362" s="26" t="s">
        <v>1808</v>
      </c>
      <c r="D362" s="31" t="s">
        <v>152</v>
      </c>
      <c r="E362" s="33" t="s">
        <v>2023</v>
      </c>
      <c r="F362" s="34" t="s">
        <v>560</v>
      </c>
      <c r="G362" s="32" t="s">
        <v>2276</v>
      </c>
      <c r="H362" s="37" t="s">
        <v>1463</v>
      </c>
      <c r="I362" s="39" t="s">
        <v>2291</v>
      </c>
      <c r="J362" s="24" t="s">
        <v>150</v>
      </c>
      <c r="K362" s="40"/>
      <c r="L362" s="38" t="s">
        <v>2298</v>
      </c>
      <c r="M362" s="44" t="s">
        <v>16</v>
      </c>
      <c r="N362" s="46" t="s">
        <v>2303</v>
      </c>
      <c r="O362" s="47" t="s">
        <v>843</v>
      </c>
      <c r="P362" s="50"/>
      <c r="Q362" s="45"/>
      <c r="R362" s="25"/>
      <c r="S362" s="52"/>
    </row>
    <row r="363" spans="1:19" ht="16.5" customHeight="1" x14ac:dyDescent="0.3">
      <c r="A363" s="27" t="s">
        <v>487</v>
      </c>
      <c r="B363" s="28" t="s">
        <v>488</v>
      </c>
      <c r="C363" s="26" t="s">
        <v>1808</v>
      </c>
      <c r="D363" s="31" t="s">
        <v>152</v>
      </c>
      <c r="E363" s="33" t="s">
        <v>2023</v>
      </c>
      <c r="F363" s="34" t="s">
        <v>560</v>
      </c>
      <c r="G363" s="32" t="s">
        <v>2276</v>
      </c>
      <c r="H363" s="37" t="s">
        <v>1463</v>
      </c>
      <c r="I363" s="39" t="s">
        <v>2291</v>
      </c>
      <c r="J363" s="24" t="s">
        <v>150</v>
      </c>
      <c r="K363" s="40"/>
      <c r="L363" s="38" t="s">
        <v>2304</v>
      </c>
      <c r="M363" s="44" t="s">
        <v>120</v>
      </c>
      <c r="N363" s="46" t="s">
        <v>2305</v>
      </c>
      <c r="O363" s="47" t="s">
        <v>839</v>
      </c>
      <c r="P363" s="50"/>
      <c r="Q363" s="45"/>
      <c r="R363" s="25"/>
      <c r="S363" s="52"/>
    </row>
    <row r="364" spans="1:19" ht="16.5" customHeight="1" x14ac:dyDescent="0.3">
      <c r="A364" s="27" t="s">
        <v>487</v>
      </c>
      <c r="B364" s="28" t="s">
        <v>488</v>
      </c>
      <c r="C364" s="26" t="s">
        <v>1808</v>
      </c>
      <c r="D364" s="31" t="s">
        <v>152</v>
      </c>
      <c r="E364" s="33" t="s">
        <v>2023</v>
      </c>
      <c r="F364" s="34" t="s">
        <v>560</v>
      </c>
      <c r="G364" s="32" t="s">
        <v>2276</v>
      </c>
      <c r="H364" s="37" t="s">
        <v>1463</v>
      </c>
      <c r="I364" s="39" t="s">
        <v>2291</v>
      </c>
      <c r="J364" s="24" t="s">
        <v>150</v>
      </c>
      <c r="K364" s="40"/>
      <c r="L364" s="38" t="s">
        <v>2304</v>
      </c>
      <c r="M364" s="44" t="s">
        <v>120</v>
      </c>
      <c r="N364" s="46" t="s">
        <v>2306</v>
      </c>
      <c r="O364" s="47" t="s">
        <v>844</v>
      </c>
      <c r="P364" s="50"/>
      <c r="Q364" s="45"/>
      <c r="R364" s="25"/>
      <c r="S364" s="52"/>
    </row>
    <row r="365" spans="1:19" ht="16.5" customHeight="1" x14ac:dyDescent="0.3">
      <c r="A365" s="27" t="s">
        <v>487</v>
      </c>
      <c r="B365" s="28" t="s">
        <v>488</v>
      </c>
      <c r="C365" s="26" t="s">
        <v>1808</v>
      </c>
      <c r="D365" s="31" t="s">
        <v>152</v>
      </c>
      <c r="E365" s="33" t="s">
        <v>2023</v>
      </c>
      <c r="F365" s="34" t="s">
        <v>560</v>
      </c>
      <c r="G365" s="32" t="s">
        <v>2276</v>
      </c>
      <c r="H365" s="37" t="s">
        <v>1463</v>
      </c>
      <c r="I365" s="39" t="s">
        <v>2291</v>
      </c>
      <c r="J365" s="24" t="s">
        <v>150</v>
      </c>
      <c r="K365" s="40"/>
      <c r="L365" s="38" t="s">
        <v>2304</v>
      </c>
      <c r="M365" s="44" t="s">
        <v>120</v>
      </c>
      <c r="N365" s="46" t="s">
        <v>2307</v>
      </c>
      <c r="O365" s="47" t="s">
        <v>845</v>
      </c>
      <c r="P365" s="50"/>
      <c r="Q365" s="45"/>
      <c r="R365" s="25"/>
      <c r="S365" s="52"/>
    </row>
    <row r="366" spans="1:19" ht="16.5" customHeight="1" x14ac:dyDescent="0.3">
      <c r="A366" s="27" t="s">
        <v>487</v>
      </c>
      <c r="B366" s="28" t="s">
        <v>488</v>
      </c>
      <c r="C366" s="26" t="s">
        <v>1808</v>
      </c>
      <c r="D366" s="31" t="s">
        <v>152</v>
      </c>
      <c r="E366" s="33" t="s">
        <v>2023</v>
      </c>
      <c r="F366" s="34" t="s">
        <v>560</v>
      </c>
      <c r="G366" s="32" t="s">
        <v>2276</v>
      </c>
      <c r="H366" s="37" t="s">
        <v>1463</v>
      </c>
      <c r="I366" s="39" t="s">
        <v>2291</v>
      </c>
      <c r="J366" s="24" t="s">
        <v>150</v>
      </c>
      <c r="K366" s="40"/>
      <c r="L366" s="38" t="s">
        <v>2304</v>
      </c>
      <c r="M366" s="44" t="s">
        <v>120</v>
      </c>
      <c r="N366" s="46" t="s">
        <v>2308</v>
      </c>
      <c r="O366" s="47" t="s">
        <v>1640</v>
      </c>
      <c r="P366" s="50"/>
      <c r="Q366" s="45"/>
      <c r="R366" s="25"/>
      <c r="S366" s="52"/>
    </row>
    <row r="367" spans="1:19" ht="16.5" customHeight="1" x14ac:dyDescent="0.3">
      <c r="A367" s="27" t="s">
        <v>487</v>
      </c>
      <c r="B367" s="28" t="s">
        <v>488</v>
      </c>
      <c r="C367" s="26" t="s">
        <v>1808</v>
      </c>
      <c r="D367" s="31" t="s">
        <v>152</v>
      </c>
      <c r="E367" s="33" t="s">
        <v>2023</v>
      </c>
      <c r="F367" s="34" t="s">
        <v>560</v>
      </c>
      <c r="G367" s="32" t="s">
        <v>2276</v>
      </c>
      <c r="H367" s="37" t="s">
        <v>1463</v>
      </c>
      <c r="I367" s="39" t="s">
        <v>2291</v>
      </c>
      <c r="J367" s="24" t="s">
        <v>150</v>
      </c>
      <c r="K367" s="40"/>
      <c r="L367" s="38" t="s">
        <v>2309</v>
      </c>
      <c r="M367" s="44" t="s">
        <v>13</v>
      </c>
      <c r="N367" s="46" t="s">
        <v>2310</v>
      </c>
      <c r="O367" s="47" t="s">
        <v>846</v>
      </c>
      <c r="P367" s="50"/>
      <c r="Q367" s="45"/>
      <c r="R367" s="25"/>
      <c r="S367" s="52"/>
    </row>
    <row r="368" spans="1:19" ht="16.5" customHeight="1" x14ac:dyDescent="0.3">
      <c r="A368" s="27" t="s">
        <v>487</v>
      </c>
      <c r="B368" s="28" t="s">
        <v>488</v>
      </c>
      <c r="C368" s="26" t="s">
        <v>1808</v>
      </c>
      <c r="D368" s="31" t="s">
        <v>152</v>
      </c>
      <c r="E368" s="33" t="s">
        <v>2023</v>
      </c>
      <c r="F368" s="34" t="s">
        <v>560</v>
      </c>
      <c r="G368" s="32" t="s">
        <v>2276</v>
      </c>
      <c r="H368" s="37" t="s">
        <v>1463</v>
      </c>
      <c r="I368" s="39" t="s">
        <v>2291</v>
      </c>
      <c r="J368" s="24" t="s">
        <v>150</v>
      </c>
      <c r="K368" s="40"/>
      <c r="L368" s="38" t="s">
        <v>2311</v>
      </c>
      <c r="M368" s="44" t="s">
        <v>121</v>
      </c>
      <c r="N368" s="46" t="s">
        <v>2312</v>
      </c>
      <c r="O368" s="47" t="s">
        <v>847</v>
      </c>
      <c r="P368" s="50"/>
      <c r="Q368" s="45"/>
      <c r="R368" s="25"/>
      <c r="S368" s="52"/>
    </row>
    <row r="369" spans="1:19" ht="16.5" customHeight="1" x14ac:dyDescent="0.3">
      <c r="A369" s="27" t="s">
        <v>487</v>
      </c>
      <c r="B369" s="28" t="s">
        <v>488</v>
      </c>
      <c r="C369" s="26" t="s">
        <v>1808</v>
      </c>
      <c r="D369" s="31" t="s">
        <v>152</v>
      </c>
      <c r="E369" s="33" t="s">
        <v>2023</v>
      </c>
      <c r="F369" s="34" t="s">
        <v>560</v>
      </c>
      <c r="G369" s="32" t="s">
        <v>2276</v>
      </c>
      <c r="H369" s="37" t="s">
        <v>1463</v>
      </c>
      <c r="I369" s="39" t="s">
        <v>2291</v>
      </c>
      <c r="J369" s="24" t="s">
        <v>150</v>
      </c>
      <c r="K369" s="40"/>
      <c r="L369" s="38" t="s">
        <v>2313</v>
      </c>
      <c r="M369" s="44" t="s">
        <v>122</v>
      </c>
      <c r="N369" s="46" t="s">
        <v>2314</v>
      </c>
      <c r="O369" s="47" t="s">
        <v>848</v>
      </c>
      <c r="P369" s="50"/>
      <c r="Q369" s="45"/>
      <c r="R369" s="25"/>
      <c r="S369" s="52"/>
    </row>
    <row r="370" spans="1:19" ht="16.5" customHeight="1" x14ac:dyDescent="0.3">
      <c r="A370" s="27" t="s">
        <v>487</v>
      </c>
      <c r="B370" s="28" t="s">
        <v>488</v>
      </c>
      <c r="C370" s="26" t="s">
        <v>1808</v>
      </c>
      <c r="D370" s="31" t="s">
        <v>152</v>
      </c>
      <c r="E370" s="33" t="s">
        <v>2023</v>
      </c>
      <c r="F370" s="34" t="s">
        <v>560</v>
      </c>
      <c r="G370" s="32" t="s">
        <v>2276</v>
      </c>
      <c r="H370" s="37" t="s">
        <v>1463</v>
      </c>
      <c r="I370" s="39" t="s">
        <v>2291</v>
      </c>
      <c r="J370" s="24" t="s">
        <v>150</v>
      </c>
      <c r="K370" s="40"/>
      <c r="L370" s="38" t="s">
        <v>2315</v>
      </c>
      <c r="M370" s="44" t="s">
        <v>1624</v>
      </c>
      <c r="N370" s="46" t="s">
        <v>2316</v>
      </c>
      <c r="O370" s="47" t="s">
        <v>849</v>
      </c>
      <c r="P370" s="50"/>
      <c r="Q370" s="45"/>
      <c r="R370" s="25"/>
      <c r="S370" s="52"/>
    </row>
    <row r="371" spans="1:19" ht="16.5" customHeight="1" x14ac:dyDescent="0.3">
      <c r="A371" s="27" t="s">
        <v>487</v>
      </c>
      <c r="B371" s="28" t="s">
        <v>488</v>
      </c>
      <c r="C371" s="26" t="s">
        <v>1808</v>
      </c>
      <c r="D371" s="31" t="s">
        <v>152</v>
      </c>
      <c r="E371" s="33" t="s">
        <v>2023</v>
      </c>
      <c r="F371" s="34" t="s">
        <v>560</v>
      </c>
      <c r="G371" s="32" t="s">
        <v>2276</v>
      </c>
      <c r="H371" s="37" t="s">
        <v>1463</v>
      </c>
      <c r="I371" s="39" t="s">
        <v>2291</v>
      </c>
      <c r="J371" s="24" t="s">
        <v>150</v>
      </c>
      <c r="K371" s="40"/>
      <c r="L371" s="38" t="s">
        <v>2315</v>
      </c>
      <c r="M371" s="44" t="s">
        <v>1624</v>
      </c>
      <c r="N371" s="46" t="s">
        <v>2317</v>
      </c>
      <c r="O371" s="47" t="s">
        <v>850</v>
      </c>
      <c r="P371" s="50"/>
      <c r="Q371" s="45"/>
      <c r="R371" s="25"/>
      <c r="S371" s="52"/>
    </row>
    <row r="372" spans="1:19" ht="16.5" customHeight="1" x14ac:dyDescent="0.3">
      <c r="A372" s="27" t="s">
        <v>487</v>
      </c>
      <c r="B372" s="28" t="s">
        <v>488</v>
      </c>
      <c r="C372" s="26" t="s">
        <v>1808</v>
      </c>
      <c r="D372" s="31" t="s">
        <v>152</v>
      </c>
      <c r="E372" s="33" t="s">
        <v>2023</v>
      </c>
      <c r="F372" s="34" t="s">
        <v>560</v>
      </c>
      <c r="G372" s="32" t="s">
        <v>2276</v>
      </c>
      <c r="H372" s="37" t="s">
        <v>1463</v>
      </c>
      <c r="I372" s="39" t="s">
        <v>2291</v>
      </c>
      <c r="J372" s="24" t="s">
        <v>150</v>
      </c>
      <c r="K372" s="40"/>
      <c r="L372" s="38" t="s">
        <v>2315</v>
      </c>
      <c r="M372" s="44" t="s">
        <v>1624</v>
      </c>
      <c r="N372" s="46" t="s">
        <v>2318</v>
      </c>
      <c r="O372" s="47" t="s">
        <v>839</v>
      </c>
      <c r="P372" s="50"/>
      <c r="Q372" s="45"/>
      <c r="R372" s="25"/>
      <c r="S372" s="52"/>
    </row>
    <row r="373" spans="1:19" ht="16.5" customHeight="1" x14ac:dyDescent="0.3">
      <c r="A373" s="27" t="s">
        <v>487</v>
      </c>
      <c r="B373" s="28" t="s">
        <v>488</v>
      </c>
      <c r="C373" s="26" t="s">
        <v>1808</v>
      </c>
      <c r="D373" s="31" t="s">
        <v>152</v>
      </c>
      <c r="E373" s="33" t="s">
        <v>2023</v>
      </c>
      <c r="F373" s="34" t="s">
        <v>560</v>
      </c>
      <c r="G373" s="32" t="s">
        <v>2276</v>
      </c>
      <c r="H373" s="37" t="s">
        <v>1463</v>
      </c>
      <c r="I373" s="39" t="s">
        <v>2291</v>
      </c>
      <c r="J373" s="24" t="s">
        <v>150</v>
      </c>
      <c r="K373" s="40"/>
      <c r="L373" s="38" t="s">
        <v>2319</v>
      </c>
      <c r="M373" s="44" t="s">
        <v>151</v>
      </c>
      <c r="N373" s="46" t="s">
        <v>2320</v>
      </c>
      <c r="O373" s="47" t="s">
        <v>851</v>
      </c>
      <c r="P373" s="50"/>
      <c r="Q373" s="45"/>
      <c r="R373" s="25"/>
      <c r="S373" s="52"/>
    </row>
    <row r="374" spans="1:19" ht="16.5" customHeight="1" x14ac:dyDescent="0.3">
      <c r="A374" s="27" t="s">
        <v>487</v>
      </c>
      <c r="B374" s="28" t="s">
        <v>488</v>
      </c>
      <c r="C374" s="26" t="s">
        <v>1808</v>
      </c>
      <c r="D374" s="31" t="s">
        <v>152</v>
      </c>
      <c r="E374" s="33" t="s">
        <v>2023</v>
      </c>
      <c r="F374" s="34" t="s">
        <v>560</v>
      </c>
      <c r="G374" s="32" t="s">
        <v>2276</v>
      </c>
      <c r="H374" s="37" t="s">
        <v>1463</v>
      </c>
      <c r="I374" s="39" t="s">
        <v>2291</v>
      </c>
      <c r="J374" s="24" t="s">
        <v>150</v>
      </c>
      <c r="K374" s="40"/>
      <c r="L374" s="38" t="s">
        <v>2319</v>
      </c>
      <c r="M374" s="44" t="s">
        <v>151</v>
      </c>
      <c r="N374" s="46" t="s">
        <v>2321</v>
      </c>
      <c r="O374" s="47" t="s">
        <v>853</v>
      </c>
      <c r="P374" s="50"/>
      <c r="Q374" s="45"/>
      <c r="R374" s="25"/>
      <c r="S374" s="52"/>
    </row>
    <row r="375" spans="1:19" ht="16.5" customHeight="1" x14ac:dyDescent="0.3">
      <c r="A375" s="27" t="s">
        <v>487</v>
      </c>
      <c r="B375" s="28" t="s">
        <v>488</v>
      </c>
      <c r="C375" s="26" t="s">
        <v>1808</v>
      </c>
      <c r="D375" s="31" t="s">
        <v>152</v>
      </c>
      <c r="E375" s="33" t="s">
        <v>2023</v>
      </c>
      <c r="F375" s="34" t="s">
        <v>560</v>
      </c>
      <c r="G375" s="32" t="s">
        <v>2276</v>
      </c>
      <c r="H375" s="37" t="s">
        <v>1463</v>
      </c>
      <c r="I375" s="39" t="s">
        <v>2291</v>
      </c>
      <c r="J375" s="24" t="s">
        <v>150</v>
      </c>
      <c r="K375" s="40"/>
      <c r="L375" s="38" t="s">
        <v>2319</v>
      </c>
      <c r="M375" s="44" t="s">
        <v>151</v>
      </c>
      <c r="N375" s="46" t="s">
        <v>2322</v>
      </c>
      <c r="O375" s="47" t="s">
        <v>852</v>
      </c>
      <c r="P375" s="50"/>
      <c r="Q375" s="45"/>
      <c r="R375" s="25"/>
      <c r="S375" s="52"/>
    </row>
    <row r="376" spans="1:19" ht="16.5" customHeight="1" x14ac:dyDescent="0.3">
      <c r="A376" s="27" t="s">
        <v>487</v>
      </c>
      <c r="B376" s="28" t="s">
        <v>488</v>
      </c>
      <c r="C376" s="26" t="s">
        <v>1808</v>
      </c>
      <c r="D376" s="31" t="s">
        <v>152</v>
      </c>
      <c r="E376" s="33" t="s">
        <v>2023</v>
      </c>
      <c r="F376" s="34" t="s">
        <v>560</v>
      </c>
      <c r="G376" s="32" t="s">
        <v>2276</v>
      </c>
      <c r="H376" s="37" t="s">
        <v>1463</v>
      </c>
      <c r="I376" s="39" t="s">
        <v>2291</v>
      </c>
      <c r="J376" s="24" t="s">
        <v>150</v>
      </c>
      <c r="K376" s="40"/>
      <c r="L376" s="38" t="s">
        <v>2323</v>
      </c>
      <c r="M376" s="44" t="s">
        <v>9</v>
      </c>
      <c r="N376" s="46" t="s">
        <v>2324</v>
      </c>
      <c r="O376" s="47" t="s">
        <v>854</v>
      </c>
      <c r="P376" s="50"/>
      <c r="Q376" s="45"/>
      <c r="R376" s="25"/>
      <c r="S376" s="52"/>
    </row>
    <row r="377" spans="1:19" ht="16.5" customHeight="1" x14ac:dyDescent="0.3">
      <c r="A377" s="27" t="s">
        <v>487</v>
      </c>
      <c r="B377" s="28" t="s">
        <v>488</v>
      </c>
      <c r="C377" s="26" t="s">
        <v>1808</v>
      </c>
      <c r="D377" s="31" t="s">
        <v>152</v>
      </c>
      <c r="E377" s="33" t="s">
        <v>2023</v>
      </c>
      <c r="F377" s="34" t="s">
        <v>560</v>
      </c>
      <c r="G377" s="32" t="s">
        <v>2276</v>
      </c>
      <c r="H377" s="37" t="s">
        <v>1463</v>
      </c>
      <c r="I377" s="39" t="s">
        <v>2291</v>
      </c>
      <c r="J377" s="24" t="s">
        <v>150</v>
      </c>
      <c r="K377" s="40"/>
      <c r="L377" s="38" t="s">
        <v>2323</v>
      </c>
      <c r="M377" s="44" t="s">
        <v>9</v>
      </c>
      <c r="N377" s="46" t="s">
        <v>2325</v>
      </c>
      <c r="O377" s="47" t="s">
        <v>771</v>
      </c>
      <c r="P377" s="50"/>
      <c r="Q377" s="45"/>
      <c r="R377" s="25"/>
      <c r="S377" s="52"/>
    </row>
    <row r="378" spans="1:19" ht="16.5" customHeight="1" x14ac:dyDescent="0.3">
      <c r="A378" s="27" t="s">
        <v>487</v>
      </c>
      <c r="B378" s="28" t="s">
        <v>488</v>
      </c>
      <c r="C378" s="26" t="s">
        <v>1808</v>
      </c>
      <c r="D378" s="31" t="s">
        <v>152</v>
      </c>
      <c r="E378" s="33" t="s">
        <v>2023</v>
      </c>
      <c r="F378" s="34" t="s">
        <v>560</v>
      </c>
      <c r="G378" s="32" t="s">
        <v>2276</v>
      </c>
      <c r="H378" s="37" t="s">
        <v>1463</v>
      </c>
      <c r="I378" s="39" t="s">
        <v>2291</v>
      </c>
      <c r="J378" s="24" t="s">
        <v>150</v>
      </c>
      <c r="K378" s="40"/>
      <c r="L378" s="38" t="s">
        <v>2323</v>
      </c>
      <c r="M378" s="44" t="s">
        <v>9</v>
      </c>
      <c r="N378" s="46" t="s">
        <v>2326</v>
      </c>
      <c r="O378" s="47" t="s">
        <v>769</v>
      </c>
      <c r="P378" s="50"/>
      <c r="Q378" s="45"/>
      <c r="R378" s="25"/>
      <c r="S378" s="52"/>
    </row>
    <row r="379" spans="1:19" ht="16.5" customHeight="1" x14ac:dyDescent="0.3">
      <c r="A379" s="27" t="s">
        <v>487</v>
      </c>
      <c r="B379" s="28" t="s">
        <v>488</v>
      </c>
      <c r="C379" s="26" t="s">
        <v>1808</v>
      </c>
      <c r="D379" s="31" t="s">
        <v>152</v>
      </c>
      <c r="E379" s="33" t="s">
        <v>2023</v>
      </c>
      <c r="F379" s="34" t="s">
        <v>560</v>
      </c>
      <c r="G379" s="32" t="s">
        <v>2276</v>
      </c>
      <c r="H379" s="37" t="s">
        <v>1463</v>
      </c>
      <c r="I379" s="39" t="s">
        <v>2291</v>
      </c>
      <c r="J379" s="24" t="s">
        <v>150</v>
      </c>
      <c r="K379" s="40"/>
      <c r="L379" s="38" t="s">
        <v>2323</v>
      </c>
      <c r="M379" s="44" t="s">
        <v>9</v>
      </c>
      <c r="N379" s="46" t="s">
        <v>2327</v>
      </c>
      <c r="O379" s="47" t="s">
        <v>770</v>
      </c>
      <c r="P379" s="50"/>
      <c r="Q379" s="45"/>
      <c r="R379" s="25"/>
      <c r="S379" s="52"/>
    </row>
    <row r="380" spans="1:19" ht="16.5" customHeight="1" x14ac:dyDescent="0.3">
      <c r="A380" s="27" t="s">
        <v>487</v>
      </c>
      <c r="B380" s="28" t="s">
        <v>488</v>
      </c>
      <c r="C380" s="26" t="s">
        <v>1808</v>
      </c>
      <c r="D380" s="31" t="s">
        <v>152</v>
      </c>
      <c r="E380" s="33" t="s">
        <v>2023</v>
      </c>
      <c r="F380" s="34" t="s">
        <v>560</v>
      </c>
      <c r="G380" s="32" t="s">
        <v>2276</v>
      </c>
      <c r="H380" s="37" t="s">
        <v>1463</v>
      </c>
      <c r="I380" s="39" t="s">
        <v>2291</v>
      </c>
      <c r="J380" s="24" t="s">
        <v>150</v>
      </c>
      <c r="K380" s="40"/>
      <c r="L380" s="38" t="s">
        <v>2309</v>
      </c>
      <c r="M380" s="44" t="s">
        <v>11</v>
      </c>
      <c r="N380" s="46" t="s">
        <v>2328</v>
      </c>
      <c r="O380" s="47" t="s">
        <v>765</v>
      </c>
      <c r="P380" s="50"/>
      <c r="Q380" s="45"/>
      <c r="R380" s="25"/>
      <c r="S380" s="52"/>
    </row>
    <row r="381" spans="1:19" ht="16.5" customHeight="1" x14ac:dyDescent="0.3">
      <c r="A381" s="27" t="s">
        <v>487</v>
      </c>
      <c r="B381" s="28" t="s">
        <v>488</v>
      </c>
      <c r="C381" s="26" t="s">
        <v>1808</v>
      </c>
      <c r="D381" s="31" t="s">
        <v>152</v>
      </c>
      <c r="E381" s="33" t="s">
        <v>2023</v>
      </c>
      <c r="F381" s="34" t="s">
        <v>560</v>
      </c>
      <c r="G381" s="32" t="s">
        <v>2276</v>
      </c>
      <c r="H381" s="37" t="s">
        <v>1463</v>
      </c>
      <c r="I381" s="39" t="s">
        <v>2291</v>
      </c>
      <c r="J381" s="24" t="s">
        <v>150</v>
      </c>
      <c r="K381" s="40"/>
      <c r="L381" s="38" t="s">
        <v>2309</v>
      </c>
      <c r="M381" s="44" t="s">
        <v>11</v>
      </c>
      <c r="N381" s="46" t="s">
        <v>2329</v>
      </c>
      <c r="O381" s="47" t="s">
        <v>855</v>
      </c>
      <c r="P381" s="50"/>
      <c r="Q381" s="45"/>
      <c r="R381" s="25"/>
      <c r="S381" s="52"/>
    </row>
    <row r="382" spans="1:19" ht="16.5" customHeight="1" x14ac:dyDescent="0.3">
      <c r="A382" s="27" t="s">
        <v>487</v>
      </c>
      <c r="B382" s="28" t="s">
        <v>488</v>
      </c>
      <c r="C382" s="26" t="s">
        <v>1808</v>
      </c>
      <c r="D382" s="31" t="s">
        <v>152</v>
      </c>
      <c r="E382" s="33" t="s">
        <v>2023</v>
      </c>
      <c r="F382" s="34" t="s">
        <v>560</v>
      </c>
      <c r="G382" s="32" t="s">
        <v>2276</v>
      </c>
      <c r="H382" s="37" t="s">
        <v>1463</v>
      </c>
      <c r="I382" s="39" t="s">
        <v>2291</v>
      </c>
      <c r="J382" s="24" t="s">
        <v>150</v>
      </c>
      <c r="K382" s="40"/>
      <c r="L382" s="38" t="s">
        <v>2309</v>
      </c>
      <c r="M382" s="44" t="s">
        <v>11</v>
      </c>
      <c r="N382" s="46" t="s">
        <v>2330</v>
      </c>
      <c r="O382" s="47" t="s">
        <v>767</v>
      </c>
      <c r="P382" s="50"/>
      <c r="Q382" s="45"/>
      <c r="R382" s="25"/>
      <c r="S382" s="52"/>
    </row>
    <row r="383" spans="1:19" ht="16.5" customHeight="1" x14ac:dyDescent="0.3">
      <c r="A383" s="27" t="s">
        <v>487</v>
      </c>
      <c r="B383" s="28" t="s">
        <v>488</v>
      </c>
      <c r="C383" s="26" t="s">
        <v>1808</v>
      </c>
      <c r="D383" s="31" t="s">
        <v>152</v>
      </c>
      <c r="E383" s="33" t="s">
        <v>2023</v>
      </c>
      <c r="F383" s="34" t="s">
        <v>560</v>
      </c>
      <c r="G383" s="32" t="s">
        <v>2276</v>
      </c>
      <c r="H383" s="37" t="s">
        <v>1463</v>
      </c>
      <c r="I383" s="39" t="s">
        <v>2291</v>
      </c>
      <c r="J383" s="24" t="s">
        <v>150</v>
      </c>
      <c r="K383" s="40"/>
      <c r="L383" s="38" t="s">
        <v>2309</v>
      </c>
      <c r="M383" s="44" t="s">
        <v>11</v>
      </c>
      <c r="N383" s="46" t="s">
        <v>2331</v>
      </c>
      <c r="O383" s="47" t="s">
        <v>30</v>
      </c>
      <c r="P383" s="50"/>
      <c r="Q383" s="45"/>
      <c r="R383" s="25"/>
      <c r="S383" s="52"/>
    </row>
    <row r="384" spans="1:19" ht="16.5" customHeight="1" x14ac:dyDescent="0.3">
      <c r="A384" s="27" t="s">
        <v>487</v>
      </c>
      <c r="B384" s="28" t="s">
        <v>488</v>
      </c>
      <c r="C384" s="26" t="s">
        <v>1808</v>
      </c>
      <c r="D384" s="31" t="s">
        <v>152</v>
      </c>
      <c r="E384" s="33" t="s">
        <v>2023</v>
      </c>
      <c r="F384" s="34" t="s">
        <v>560</v>
      </c>
      <c r="G384" s="32" t="s">
        <v>2276</v>
      </c>
      <c r="H384" s="37" t="s">
        <v>1463</v>
      </c>
      <c r="I384" s="39" t="s">
        <v>2291</v>
      </c>
      <c r="J384" s="24" t="s">
        <v>150</v>
      </c>
      <c r="K384" s="40"/>
      <c r="L384" s="38" t="s">
        <v>2331</v>
      </c>
      <c r="M384" s="44" t="s">
        <v>30</v>
      </c>
      <c r="N384" s="46"/>
      <c r="O384" s="47"/>
      <c r="P384" s="50"/>
      <c r="Q384" s="45"/>
      <c r="R384" s="25"/>
      <c r="S384" s="52"/>
    </row>
    <row r="385" spans="1:19" ht="16.5" customHeight="1" x14ac:dyDescent="0.3">
      <c r="A385" s="27" t="s">
        <v>487</v>
      </c>
      <c r="B385" s="28" t="s">
        <v>488</v>
      </c>
      <c r="C385" s="26" t="s">
        <v>1808</v>
      </c>
      <c r="D385" s="31" t="s">
        <v>152</v>
      </c>
      <c r="E385" s="33" t="s">
        <v>2023</v>
      </c>
      <c r="F385" s="34" t="s">
        <v>560</v>
      </c>
      <c r="G385" s="32" t="s">
        <v>2276</v>
      </c>
      <c r="H385" s="37" t="s">
        <v>1463</v>
      </c>
      <c r="I385" s="39" t="s">
        <v>2332</v>
      </c>
      <c r="J385" s="24" t="s">
        <v>169</v>
      </c>
      <c r="K385" s="40"/>
      <c r="L385" s="38"/>
      <c r="M385" s="44"/>
      <c r="N385" s="46"/>
      <c r="O385" s="47"/>
      <c r="P385" s="50"/>
      <c r="Q385" s="45"/>
      <c r="R385" s="25"/>
      <c r="S385" s="52"/>
    </row>
    <row r="386" spans="1:19" ht="16.5" customHeight="1" x14ac:dyDescent="0.3">
      <c r="A386" s="27" t="s">
        <v>487</v>
      </c>
      <c r="B386" s="28" t="s">
        <v>488</v>
      </c>
      <c r="C386" s="26" t="s">
        <v>1808</v>
      </c>
      <c r="D386" s="31" t="s">
        <v>152</v>
      </c>
      <c r="E386" s="33" t="s">
        <v>2023</v>
      </c>
      <c r="F386" s="34" t="s">
        <v>560</v>
      </c>
      <c r="G386" s="32" t="s">
        <v>2333</v>
      </c>
      <c r="H386" s="37" t="s">
        <v>1795</v>
      </c>
      <c r="I386" s="39" t="s">
        <v>2334</v>
      </c>
      <c r="J386" s="24" t="s">
        <v>546</v>
      </c>
      <c r="K386" s="40"/>
      <c r="L386" s="38" t="s">
        <v>2335</v>
      </c>
      <c r="M386" s="44" t="s">
        <v>123</v>
      </c>
      <c r="N386" s="46" t="s">
        <v>2336</v>
      </c>
      <c r="O386" s="47" t="s">
        <v>1471</v>
      </c>
      <c r="P386" s="50"/>
      <c r="Q386" s="45"/>
      <c r="R386" s="25"/>
      <c r="S386" s="52"/>
    </row>
    <row r="387" spans="1:19" ht="16.5" customHeight="1" x14ac:dyDescent="0.3">
      <c r="A387" s="27" t="s">
        <v>487</v>
      </c>
      <c r="B387" s="28" t="s">
        <v>488</v>
      </c>
      <c r="C387" s="26" t="s">
        <v>1808</v>
      </c>
      <c r="D387" s="31" t="s">
        <v>152</v>
      </c>
      <c r="E387" s="33" t="s">
        <v>2023</v>
      </c>
      <c r="F387" s="34" t="s">
        <v>560</v>
      </c>
      <c r="G387" s="32" t="s">
        <v>2333</v>
      </c>
      <c r="H387" s="37" t="s">
        <v>1795</v>
      </c>
      <c r="I387" s="39" t="s">
        <v>2334</v>
      </c>
      <c r="J387" s="24" t="s">
        <v>546</v>
      </c>
      <c r="K387" s="40"/>
      <c r="L387" s="38" t="s">
        <v>2335</v>
      </c>
      <c r="M387" s="44" t="s">
        <v>123</v>
      </c>
      <c r="N387" s="46" t="s">
        <v>2337</v>
      </c>
      <c r="O387" s="47" t="s">
        <v>1412</v>
      </c>
      <c r="P387" s="50"/>
      <c r="Q387" s="45"/>
      <c r="R387" s="25"/>
      <c r="S387" s="52"/>
    </row>
    <row r="388" spans="1:19" ht="16.5" customHeight="1" x14ac:dyDescent="0.3">
      <c r="A388" s="27" t="s">
        <v>487</v>
      </c>
      <c r="B388" s="28" t="s">
        <v>488</v>
      </c>
      <c r="C388" s="26" t="s">
        <v>1808</v>
      </c>
      <c r="D388" s="31" t="s">
        <v>152</v>
      </c>
      <c r="E388" s="33" t="s">
        <v>2023</v>
      </c>
      <c r="F388" s="34" t="s">
        <v>560</v>
      </c>
      <c r="G388" s="32" t="s">
        <v>2333</v>
      </c>
      <c r="H388" s="37" t="s">
        <v>1795</v>
      </c>
      <c r="I388" s="39" t="s">
        <v>2334</v>
      </c>
      <c r="J388" s="24" t="s">
        <v>546</v>
      </c>
      <c r="K388" s="40"/>
      <c r="L388" s="38" t="s">
        <v>2335</v>
      </c>
      <c r="M388" s="44" t="s">
        <v>123</v>
      </c>
      <c r="N388" s="46" t="s">
        <v>2338</v>
      </c>
      <c r="O388" s="47" t="s">
        <v>1414</v>
      </c>
      <c r="P388" s="50"/>
      <c r="Q388" s="45"/>
      <c r="R388" s="25"/>
      <c r="S388" s="52"/>
    </row>
    <row r="389" spans="1:19" ht="16.5" customHeight="1" x14ac:dyDescent="0.3">
      <c r="A389" s="27" t="s">
        <v>487</v>
      </c>
      <c r="B389" s="28" t="s">
        <v>488</v>
      </c>
      <c r="C389" s="26" t="s">
        <v>1808</v>
      </c>
      <c r="D389" s="31" t="s">
        <v>152</v>
      </c>
      <c r="E389" s="33" t="s">
        <v>2023</v>
      </c>
      <c r="F389" s="34" t="s">
        <v>560</v>
      </c>
      <c r="G389" s="32" t="s">
        <v>2333</v>
      </c>
      <c r="H389" s="37" t="s">
        <v>1795</v>
      </c>
      <c r="I389" s="39" t="s">
        <v>2334</v>
      </c>
      <c r="J389" s="24" t="s">
        <v>546</v>
      </c>
      <c r="K389" s="40"/>
      <c r="L389" s="38" t="s">
        <v>2335</v>
      </c>
      <c r="M389" s="44" t="s">
        <v>123</v>
      </c>
      <c r="N389" s="46" t="s">
        <v>2339</v>
      </c>
      <c r="O389" s="47" t="s">
        <v>856</v>
      </c>
      <c r="P389" s="50"/>
      <c r="Q389" s="45"/>
      <c r="R389" s="25"/>
      <c r="S389" s="52"/>
    </row>
    <row r="390" spans="1:19" ht="16.5" customHeight="1" x14ac:dyDescent="0.3">
      <c r="A390" s="27" t="s">
        <v>487</v>
      </c>
      <c r="B390" s="28" t="s">
        <v>488</v>
      </c>
      <c r="C390" s="26" t="s">
        <v>1808</v>
      </c>
      <c r="D390" s="31" t="s">
        <v>152</v>
      </c>
      <c r="E390" s="33" t="s">
        <v>2023</v>
      </c>
      <c r="F390" s="34" t="s">
        <v>560</v>
      </c>
      <c r="G390" s="32" t="s">
        <v>2333</v>
      </c>
      <c r="H390" s="37" t="s">
        <v>1795</v>
      </c>
      <c r="I390" s="39" t="s">
        <v>2334</v>
      </c>
      <c r="J390" s="24" t="s">
        <v>546</v>
      </c>
      <c r="K390" s="40"/>
      <c r="L390" s="38" t="s">
        <v>2335</v>
      </c>
      <c r="M390" s="44" t="s">
        <v>123</v>
      </c>
      <c r="N390" s="46" t="s">
        <v>2340</v>
      </c>
      <c r="O390" s="47" t="s">
        <v>857</v>
      </c>
      <c r="P390" s="50"/>
      <c r="Q390" s="45"/>
      <c r="R390" s="25"/>
      <c r="S390" s="52"/>
    </row>
    <row r="391" spans="1:19" ht="16.5" customHeight="1" x14ac:dyDescent="0.3">
      <c r="A391" s="27" t="s">
        <v>487</v>
      </c>
      <c r="B391" s="28" t="s">
        <v>488</v>
      </c>
      <c r="C391" s="26" t="s">
        <v>1808</v>
      </c>
      <c r="D391" s="31" t="s">
        <v>152</v>
      </c>
      <c r="E391" s="33" t="s">
        <v>2023</v>
      </c>
      <c r="F391" s="34" t="s">
        <v>560</v>
      </c>
      <c r="G391" s="32" t="s">
        <v>2333</v>
      </c>
      <c r="H391" s="37" t="s">
        <v>1795</v>
      </c>
      <c r="I391" s="39" t="s">
        <v>2334</v>
      </c>
      <c r="J391" s="24" t="s">
        <v>546</v>
      </c>
      <c r="K391" s="40"/>
      <c r="L391" s="38" t="s">
        <v>2335</v>
      </c>
      <c r="M391" s="44" t="s">
        <v>123</v>
      </c>
      <c r="N391" s="46" t="s">
        <v>2341</v>
      </c>
      <c r="O391" s="47" t="s">
        <v>1352</v>
      </c>
      <c r="P391" s="50"/>
      <c r="Q391" s="45"/>
      <c r="R391" s="25"/>
      <c r="S391" s="52"/>
    </row>
    <row r="392" spans="1:19" ht="16.5" customHeight="1" x14ac:dyDescent="0.3">
      <c r="A392" s="27" t="s">
        <v>487</v>
      </c>
      <c r="B392" s="28" t="s">
        <v>488</v>
      </c>
      <c r="C392" s="26" t="s">
        <v>1808</v>
      </c>
      <c r="D392" s="31" t="s">
        <v>152</v>
      </c>
      <c r="E392" s="33" t="s">
        <v>2023</v>
      </c>
      <c r="F392" s="34" t="s">
        <v>560</v>
      </c>
      <c r="G392" s="32" t="s">
        <v>2333</v>
      </c>
      <c r="H392" s="37" t="s">
        <v>1795</v>
      </c>
      <c r="I392" s="39" t="s">
        <v>2334</v>
      </c>
      <c r="J392" s="24" t="s">
        <v>546</v>
      </c>
      <c r="K392" s="40"/>
      <c r="L392" s="38" t="s">
        <v>2335</v>
      </c>
      <c r="M392" s="44" t="s">
        <v>123</v>
      </c>
      <c r="N392" s="46" t="s">
        <v>2342</v>
      </c>
      <c r="O392" s="47" t="s">
        <v>1353</v>
      </c>
      <c r="P392" s="50"/>
      <c r="Q392" s="45"/>
      <c r="R392" s="25"/>
      <c r="S392" s="52"/>
    </row>
    <row r="393" spans="1:19" ht="16.5" customHeight="1" x14ac:dyDescent="0.3">
      <c r="A393" s="27" t="s">
        <v>487</v>
      </c>
      <c r="B393" s="28" t="s">
        <v>488</v>
      </c>
      <c r="C393" s="26" t="s">
        <v>1808</v>
      </c>
      <c r="D393" s="31" t="s">
        <v>152</v>
      </c>
      <c r="E393" s="33" t="s">
        <v>2023</v>
      </c>
      <c r="F393" s="34" t="s">
        <v>560</v>
      </c>
      <c r="G393" s="32" t="s">
        <v>2333</v>
      </c>
      <c r="H393" s="37" t="s">
        <v>1795</v>
      </c>
      <c r="I393" s="39" t="s">
        <v>2334</v>
      </c>
      <c r="J393" s="24" t="s">
        <v>546</v>
      </c>
      <c r="K393" s="40"/>
      <c r="L393" s="38" t="s">
        <v>2335</v>
      </c>
      <c r="M393" s="44" t="s">
        <v>123</v>
      </c>
      <c r="N393" s="46" t="s">
        <v>2343</v>
      </c>
      <c r="O393" s="47" t="s">
        <v>858</v>
      </c>
      <c r="P393" s="50"/>
      <c r="Q393" s="45"/>
      <c r="R393" s="25"/>
      <c r="S393" s="52"/>
    </row>
    <row r="394" spans="1:19" ht="16.5" customHeight="1" x14ac:dyDescent="0.3">
      <c r="A394" s="27" t="s">
        <v>487</v>
      </c>
      <c r="B394" s="28" t="s">
        <v>488</v>
      </c>
      <c r="C394" s="26" t="s">
        <v>1808</v>
      </c>
      <c r="D394" s="31" t="s">
        <v>152</v>
      </c>
      <c r="E394" s="33" t="s">
        <v>2023</v>
      </c>
      <c r="F394" s="34" t="s">
        <v>560</v>
      </c>
      <c r="G394" s="32" t="s">
        <v>2333</v>
      </c>
      <c r="H394" s="37" t="s">
        <v>1795</v>
      </c>
      <c r="I394" s="39" t="s">
        <v>2334</v>
      </c>
      <c r="J394" s="24" t="s">
        <v>546</v>
      </c>
      <c r="K394" s="40"/>
      <c r="L394" s="38" t="s">
        <v>2335</v>
      </c>
      <c r="M394" s="44" t="s">
        <v>123</v>
      </c>
      <c r="N394" s="46" t="s">
        <v>2344</v>
      </c>
      <c r="O394" s="47" t="s">
        <v>859</v>
      </c>
      <c r="P394" s="50"/>
      <c r="Q394" s="45"/>
      <c r="R394" s="25"/>
      <c r="S394" s="52"/>
    </row>
    <row r="395" spans="1:19" ht="16.5" customHeight="1" x14ac:dyDescent="0.3">
      <c r="A395" s="27" t="s">
        <v>487</v>
      </c>
      <c r="B395" s="28" t="s">
        <v>488</v>
      </c>
      <c r="C395" s="26" t="s">
        <v>1808</v>
      </c>
      <c r="D395" s="31" t="s">
        <v>152</v>
      </c>
      <c r="E395" s="33" t="s">
        <v>2023</v>
      </c>
      <c r="F395" s="34" t="s">
        <v>560</v>
      </c>
      <c r="G395" s="32" t="s">
        <v>2333</v>
      </c>
      <c r="H395" s="37" t="s">
        <v>1795</v>
      </c>
      <c r="I395" s="39" t="s">
        <v>2334</v>
      </c>
      <c r="J395" s="24" t="s">
        <v>546</v>
      </c>
      <c r="K395" s="40"/>
      <c r="L395" s="38" t="s">
        <v>2335</v>
      </c>
      <c r="M395" s="44" t="s">
        <v>123</v>
      </c>
      <c r="N395" s="46" t="s">
        <v>2345</v>
      </c>
      <c r="O395" s="47" t="s">
        <v>860</v>
      </c>
      <c r="P395" s="50"/>
      <c r="Q395" s="45"/>
      <c r="R395" s="25"/>
      <c r="S395" s="52"/>
    </row>
    <row r="396" spans="1:19" ht="16.5" customHeight="1" x14ac:dyDescent="0.3">
      <c r="A396" s="27" t="s">
        <v>487</v>
      </c>
      <c r="B396" s="28" t="s">
        <v>488</v>
      </c>
      <c r="C396" s="26" t="s">
        <v>1808</v>
      </c>
      <c r="D396" s="31" t="s">
        <v>152</v>
      </c>
      <c r="E396" s="33" t="s">
        <v>2023</v>
      </c>
      <c r="F396" s="34" t="s">
        <v>560</v>
      </c>
      <c r="G396" s="32" t="s">
        <v>2333</v>
      </c>
      <c r="H396" s="37" t="s">
        <v>1795</v>
      </c>
      <c r="I396" s="39" t="s">
        <v>2334</v>
      </c>
      <c r="J396" s="24" t="s">
        <v>546</v>
      </c>
      <c r="K396" s="40"/>
      <c r="L396" s="38" t="s">
        <v>2335</v>
      </c>
      <c r="M396" s="44" t="s">
        <v>123</v>
      </c>
      <c r="N396" s="46" t="s">
        <v>2346</v>
      </c>
      <c r="O396" s="47" t="s">
        <v>861</v>
      </c>
      <c r="P396" s="50"/>
      <c r="Q396" s="45"/>
      <c r="R396" s="25"/>
      <c r="S396" s="52"/>
    </row>
    <row r="397" spans="1:19" ht="16.5" customHeight="1" x14ac:dyDescent="0.3">
      <c r="A397" s="27" t="s">
        <v>487</v>
      </c>
      <c r="B397" s="28" t="s">
        <v>488</v>
      </c>
      <c r="C397" s="26" t="s">
        <v>1808</v>
      </c>
      <c r="D397" s="31" t="s">
        <v>152</v>
      </c>
      <c r="E397" s="33" t="s">
        <v>2023</v>
      </c>
      <c r="F397" s="34" t="s">
        <v>560</v>
      </c>
      <c r="G397" s="32" t="s">
        <v>2333</v>
      </c>
      <c r="H397" s="37" t="s">
        <v>1795</v>
      </c>
      <c r="I397" s="39" t="s">
        <v>2334</v>
      </c>
      <c r="J397" s="24" t="s">
        <v>546</v>
      </c>
      <c r="K397" s="40"/>
      <c r="L397" s="38" t="s">
        <v>2335</v>
      </c>
      <c r="M397" s="44" t="s">
        <v>123</v>
      </c>
      <c r="N397" s="46" t="s">
        <v>2347</v>
      </c>
      <c r="O397" s="47" t="s">
        <v>624</v>
      </c>
      <c r="P397" s="50"/>
      <c r="Q397" s="45"/>
      <c r="R397" s="25"/>
      <c r="S397" s="52"/>
    </row>
    <row r="398" spans="1:19" ht="16.5" customHeight="1" x14ac:dyDescent="0.3">
      <c r="A398" s="27" t="s">
        <v>487</v>
      </c>
      <c r="B398" s="28" t="s">
        <v>488</v>
      </c>
      <c r="C398" s="26" t="s">
        <v>1808</v>
      </c>
      <c r="D398" s="31" t="s">
        <v>152</v>
      </c>
      <c r="E398" s="33" t="s">
        <v>2023</v>
      </c>
      <c r="F398" s="34" t="s">
        <v>560</v>
      </c>
      <c r="G398" s="32" t="s">
        <v>2333</v>
      </c>
      <c r="H398" s="37" t="s">
        <v>1795</v>
      </c>
      <c r="I398" s="39" t="s">
        <v>2334</v>
      </c>
      <c r="J398" s="24" t="s">
        <v>546</v>
      </c>
      <c r="K398" s="40"/>
      <c r="L398" s="38" t="s">
        <v>2335</v>
      </c>
      <c r="M398" s="44" t="s">
        <v>123</v>
      </c>
      <c r="N398" s="46" t="s">
        <v>2348</v>
      </c>
      <c r="O398" s="47" t="s">
        <v>1350</v>
      </c>
      <c r="P398" s="50"/>
      <c r="Q398" s="45"/>
      <c r="R398" s="25"/>
      <c r="S398" s="52"/>
    </row>
    <row r="399" spans="1:19" ht="16.5" customHeight="1" x14ac:dyDescent="0.3">
      <c r="A399" s="27" t="s">
        <v>487</v>
      </c>
      <c r="B399" s="28" t="s">
        <v>488</v>
      </c>
      <c r="C399" s="26" t="s">
        <v>1808</v>
      </c>
      <c r="D399" s="31" t="s">
        <v>152</v>
      </c>
      <c r="E399" s="33" t="s">
        <v>2023</v>
      </c>
      <c r="F399" s="34" t="s">
        <v>560</v>
      </c>
      <c r="G399" s="32" t="s">
        <v>2333</v>
      </c>
      <c r="H399" s="37" t="s">
        <v>1795</v>
      </c>
      <c r="I399" s="39" t="s">
        <v>2334</v>
      </c>
      <c r="J399" s="24" t="s">
        <v>546</v>
      </c>
      <c r="K399" s="40"/>
      <c r="L399" s="38" t="s">
        <v>2335</v>
      </c>
      <c r="M399" s="44" t="s">
        <v>123</v>
      </c>
      <c r="N399" s="46" t="s">
        <v>2349</v>
      </c>
      <c r="O399" s="47" t="s">
        <v>1351</v>
      </c>
      <c r="P399" s="50"/>
      <c r="Q399" s="45"/>
      <c r="R399" s="25"/>
      <c r="S399" s="52"/>
    </row>
    <row r="400" spans="1:19" ht="16.5" customHeight="1" x14ac:dyDescent="0.3">
      <c r="A400" s="27" t="s">
        <v>487</v>
      </c>
      <c r="B400" s="28" t="s">
        <v>488</v>
      </c>
      <c r="C400" s="26" t="s">
        <v>1808</v>
      </c>
      <c r="D400" s="31" t="s">
        <v>152</v>
      </c>
      <c r="E400" s="33" t="s">
        <v>2023</v>
      </c>
      <c r="F400" s="34" t="s">
        <v>560</v>
      </c>
      <c r="G400" s="32" t="s">
        <v>2333</v>
      </c>
      <c r="H400" s="37" t="s">
        <v>1795</v>
      </c>
      <c r="I400" s="39" t="s">
        <v>2334</v>
      </c>
      <c r="J400" s="24" t="s">
        <v>546</v>
      </c>
      <c r="K400" s="40"/>
      <c r="L400" s="38" t="s">
        <v>2335</v>
      </c>
      <c r="M400" s="44" t="s">
        <v>123</v>
      </c>
      <c r="N400" s="46" t="s">
        <v>2350</v>
      </c>
      <c r="O400" s="47" t="s">
        <v>862</v>
      </c>
      <c r="P400" s="50"/>
      <c r="Q400" s="45"/>
      <c r="R400" s="25"/>
      <c r="S400" s="52"/>
    </row>
    <row r="401" spans="1:19" ht="16.5" customHeight="1" x14ac:dyDescent="0.3">
      <c r="A401" s="27" t="s">
        <v>487</v>
      </c>
      <c r="B401" s="28" t="s">
        <v>488</v>
      </c>
      <c r="C401" s="26" t="s">
        <v>1808</v>
      </c>
      <c r="D401" s="31" t="s">
        <v>152</v>
      </c>
      <c r="E401" s="33" t="s">
        <v>2023</v>
      </c>
      <c r="F401" s="34" t="s">
        <v>560</v>
      </c>
      <c r="G401" s="32" t="s">
        <v>2333</v>
      </c>
      <c r="H401" s="37" t="s">
        <v>1795</v>
      </c>
      <c r="I401" s="39" t="s">
        <v>2334</v>
      </c>
      <c r="J401" s="24" t="s">
        <v>546</v>
      </c>
      <c r="K401" s="40"/>
      <c r="L401" s="38" t="s">
        <v>2335</v>
      </c>
      <c r="M401" s="44" t="s">
        <v>123</v>
      </c>
      <c r="N401" s="46" t="s">
        <v>2351</v>
      </c>
      <c r="O401" s="47" t="s">
        <v>863</v>
      </c>
      <c r="P401" s="50"/>
      <c r="Q401" s="45"/>
      <c r="R401" s="25"/>
      <c r="S401" s="52"/>
    </row>
    <row r="402" spans="1:19" ht="16.5" customHeight="1" x14ac:dyDescent="0.3">
      <c r="A402" s="27" t="s">
        <v>487</v>
      </c>
      <c r="B402" s="28" t="s">
        <v>488</v>
      </c>
      <c r="C402" s="26" t="s">
        <v>1808</v>
      </c>
      <c r="D402" s="31" t="s">
        <v>152</v>
      </c>
      <c r="E402" s="33" t="s">
        <v>2023</v>
      </c>
      <c r="F402" s="34" t="s">
        <v>560</v>
      </c>
      <c r="G402" s="32" t="s">
        <v>2333</v>
      </c>
      <c r="H402" s="37" t="s">
        <v>1795</v>
      </c>
      <c r="I402" s="39" t="s">
        <v>2334</v>
      </c>
      <c r="J402" s="24" t="s">
        <v>546</v>
      </c>
      <c r="K402" s="40"/>
      <c r="L402" s="38" t="s">
        <v>2335</v>
      </c>
      <c r="M402" s="44" t="s">
        <v>123</v>
      </c>
      <c r="N402" s="46" t="s">
        <v>2352</v>
      </c>
      <c r="O402" s="47" t="s">
        <v>860</v>
      </c>
      <c r="P402" s="50"/>
      <c r="Q402" s="45"/>
      <c r="R402" s="25"/>
      <c r="S402" s="52"/>
    </row>
    <row r="403" spans="1:19" ht="16.5" customHeight="1" x14ac:dyDescent="0.3">
      <c r="A403" s="27" t="s">
        <v>487</v>
      </c>
      <c r="B403" s="28" t="s">
        <v>488</v>
      </c>
      <c r="C403" s="26" t="s">
        <v>1808</v>
      </c>
      <c r="D403" s="31" t="s">
        <v>152</v>
      </c>
      <c r="E403" s="33" t="s">
        <v>2023</v>
      </c>
      <c r="F403" s="34" t="s">
        <v>560</v>
      </c>
      <c r="G403" s="32" t="s">
        <v>2333</v>
      </c>
      <c r="H403" s="37" t="s">
        <v>1795</v>
      </c>
      <c r="I403" s="39" t="s">
        <v>2334</v>
      </c>
      <c r="J403" s="24" t="s">
        <v>546</v>
      </c>
      <c r="K403" s="40"/>
      <c r="L403" s="38" t="s">
        <v>2335</v>
      </c>
      <c r="M403" s="44" t="s">
        <v>123</v>
      </c>
      <c r="N403" s="46" t="s">
        <v>2353</v>
      </c>
      <c r="O403" s="47" t="s">
        <v>864</v>
      </c>
      <c r="P403" s="50"/>
      <c r="Q403" s="45"/>
      <c r="R403" s="25"/>
      <c r="S403" s="52"/>
    </row>
    <row r="404" spans="1:19" ht="16.5" customHeight="1" x14ac:dyDescent="0.3">
      <c r="A404" s="27" t="s">
        <v>487</v>
      </c>
      <c r="B404" s="28" t="s">
        <v>488</v>
      </c>
      <c r="C404" s="26" t="s">
        <v>1808</v>
      </c>
      <c r="D404" s="31" t="s">
        <v>152</v>
      </c>
      <c r="E404" s="33" t="s">
        <v>2023</v>
      </c>
      <c r="F404" s="34" t="s">
        <v>560</v>
      </c>
      <c r="G404" s="32" t="s">
        <v>2333</v>
      </c>
      <c r="H404" s="37" t="s">
        <v>1795</v>
      </c>
      <c r="I404" s="39" t="s">
        <v>2334</v>
      </c>
      <c r="J404" s="24" t="s">
        <v>546</v>
      </c>
      <c r="K404" s="40"/>
      <c r="L404" s="38" t="s">
        <v>2335</v>
      </c>
      <c r="M404" s="44" t="s">
        <v>123</v>
      </c>
      <c r="N404" s="46" t="s">
        <v>2354</v>
      </c>
      <c r="O404" s="47" t="s">
        <v>865</v>
      </c>
      <c r="P404" s="50"/>
      <c r="Q404" s="45"/>
      <c r="R404" s="25"/>
      <c r="S404" s="52"/>
    </row>
    <row r="405" spans="1:19" ht="16.5" customHeight="1" x14ac:dyDescent="0.3">
      <c r="A405" s="27" t="s">
        <v>487</v>
      </c>
      <c r="B405" s="28" t="s">
        <v>488</v>
      </c>
      <c r="C405" s="26" t="s">
        <v>1808</v>
      </c>
      <c r="D405" s="31" t="s">
        <v>152</v>
      </c>
      <c r="E405" s="33" t="s">
        <v>2023</v>
      </c>
      <c r="F405" s="34" t="s">
        <v>560</v>
      </c>
      <c r="G405" s="32" t="s">
        <v>2333</v>
      </c>
      <c r="H405" s="37" t="s">
        <v>1795</v>
      </c>
      <c r="I405" s="39" t="s">
        <v>2334</v>
      </c>
      <c r="J405" s="24" t="s">
        <v>546</v>
      </c>
      <c r="K405" s="40"/>
      <c r="L405" s="38" t="s">
        <v>2335</v>
      </c>
      <c r="M405" s="44" t="s">
        <v>123</v>
      </c>
      <c r="N405" s="46" t="s">
        <v>2355</v>
      </c>
      <c r="O405" s="47" t="s">
        <v>1348</v>
      </c>
      <c r="P405" s="50"/>
      <c r="Q405" s="45"/>
      <c r="R405" s="25"/>
      <c r="S405" s="52"/>
    </row>
    <row r="406" spans="1:19" ht="16.5" customHeight="1" x14ac:dyDescent="0.3">
      <c r="A406" s="27" t="s">
        <v>487</v>
      </c>
      <c r="B406" s="28" t="s">
        <v>488</v>
      </c>
      <c r="C406" s="26" t="s">
        <v>1808</v>
      </c>
      <c r="D406" s="31" t="s">
        <v>152</v>
      </c>
      <c r="E406" s="33" t="s">
        <v>2023</v>
      </c>
      <c r="F406" s="34" t="s">
        <v>560</v>
      </c>
      <c r="G406" s="32" t="s">
        <v>2333</v>
      </c>
      <c r="H406" s="37" t="s">
        <v>1795</v>
      </c>
      <c r="I406" s="39" t="s">
        <v>2334</v>
      </c>
      <c r="J406" s="24" t="s">
        <v>546</v>
      </c>
      <c r="K406" s="40"/>
      <c r="L406" s="38" t="s">
        <v>2335</v>
      </c>
      <c r="M406" s="44" t="s">
        <v>123</v>
      </c>
      <c r="N406" s="46" t="s">
        <v>2356</v>
      </c>
      <c r="O406" s="47" t="s">
        <v>1349</v>
      </c>
      <c r="P406" s="50"/>
      <c r="Q406" s="45"/>
      <c r="R406" s="25"/>
      <c r="S406" s="52"/>
    </row>
    <row r="407" spans="1:19" ht="16.5" customHeight="1" x14ac:dyDescent="0.3">
      <c r="A407" s="27" t="s">
        <v>487</v>
      </c>
      <c r="B407" s="28" t="s">
        <v>488</v>
      </c>
      <c r="C407" s="26" t="s">
        <v>1808</v>
      </c>
      <c r="D407" s="31" t="s">
        <v>152</v>
      </c>
      <c r="E407" s="33" t="s">
        <v>2023</v>
      </c>
      <c r="F407" s="34" t="s">
        <v>560</v>
      </c>
      <c r="G407" s="32" t="s">
        <v>2333</v>
      </c>
      <c r="H407" s="37" t="s">
        <v>1795</v>
      </c>
      <c r="I407" s="39" t="s">
        <v>2334</v>
      </c>
      <c r="J407" s="24" t="s">
        <v>546</v>
      </c>
      <c r="K407" s="40"/>
      <c r="L407" s="38" t="s">
        <v>2335</v>
      </c>
      <c r="M407" s="44" t="s">
        <v>123</v>
      </c>
      <c r="N407" s="46" t="s">
        <v>2357</v>
      </c>
      <c r="O407" s="47" t="s">
        <v>866</v>
      </c>
      <c r="P407" s="50"/>
      <c r="Q407" s="45"/>
      <c r="R407" s="25"/>
      <c r="S407" s="52"/>
    </row>
    <row r="408" spans="1:19" ht="16.5" customHeight="1" x14ac:dyDescent="0.3">
      <c r="A408" s="27" t="s">
        <v>487</v>
      </c>
      <c r="B408" s="28" t="s">
        <v>488</v>
      </c>
      <c r="C408" s="26" t="s">
        <v>1808</v>
      </c>
      <c r="D408" s="31" t="s">
        <v>152</v>
      </c>
      <c r="E408" s="33" t="s">
        <v>2023</v>
      </c>
      <c r="F408" s="34" t="s">
        <v>560</v>
      </c>
      <c r="G408" s="32" t="s">
        <v>2333</v>
      </c>
      <c r="H408" s="37" t="s">
        <v>1795</v>
      </c>
      <c r="I408" s="39" t="s">
        <v>2334</v>
      </c>
      <c r="J408" s="24" t="s">
        <v>546</v>
      </c>
      <c r="K408" s="40"/>
      <c r="L408" s="38" t="s">
        <v>2335</v>
      </c>
      <c r="M408" s="44" t="s">
        <v>123</v>
      </c>
      <c r="N408" s="46" t="s">
        <v>2358</v>
      </c>
      <c r="O408" s="47" t="s">
        <v>1346</v>
      </c>
      <c r="P408" s="50"/>
      <c r="Q408" s="45"/>
      <c r="R408" s="25"/>
      <c r="S408" s="52"/>
    </row>
    <row r="409" spans="1:19" ht="16.5" customHeight="1" x14ac:dyDescent="0.3">
      <c r="A409" s="27" t="s">
        <v>487</v>
      </c>
      <c r="B409" s="28" t="s">
        <v>488</v>
      </c>
      <c r="C409" s="26" t="s">
        <v>1808</v>
      </c>
      <c r="D409" s="31" t="s">
        <v>152</v>
      </c>
      <c r="E409" s="33" t="s">
        <v>2023</v>
      </c>
      <c r="F409" s="34" t="s">
        <v>560</v>
      </c>
      <c r="G409" s="32" t="s">
        <v>2333</v>
      </c>
      <c r="H409" s="37" t="s">
        <v>1795</v>
      </c>
      <c r="I409" s="39" t="s">
        <v>2334</v>
      </c>
      <c r="J409" s="24" t="s">
        <v>546</v>
      </c>
      <c r="K409" s="40"/>
      <c r="L409" s="38" t="s">
        <v>2335</v>
      </c>
      <c r="M409" s="44" t="s">
        <v>123</v>
      </c>
      <c r="N409" s="46" t="s">
        <v>2359</v>
      </c>
      <c r="O409" s="47" t="s">
        <v>1347</v>
      </c>
      <c r="P409" s="50"/>
      <c r="Q409" s="45"/>
      <c r="R409" s="25"/>
      <c r="S409" s="52"/>
    </row>
    <row r="410" spans="1:19" ht="16.5" customHeight="1" x14ac:dyDescent="0.3">
      <c r="A410" s="27" t="s">
        <v>487</v>
      </c>
      <c r="B410" s="28" t="s">
        <v>488</v>
      </c>
      <c r="C410" s="26" t="s">
        <v>1808</v>
      </c>
      <c r="D410" s="31" t="s">
        <v>152</v>
      </c>
      <c r="E410" s="33" t="s">
        <v>2023</v>
      </c>
      <c r="F410" s="34" t="s">
        <v>560</v>
      </c>
      <c r="G410" s="32" t="s">
        <v>2333</v>
      </c>
      <c r="H410" s="37" t="s">
        <v>1795</v>
      </c>
      <c r="I410" s="39" t="s">
        <v>2334</v>
      </c>
      <c r="J410" s="24" t="s">
        <v>546</v>
      </c>
      <c r="K410" s="40"/>
      <c r="L410" s="38" t="s">
        <v>2335</v>
      </c>
      <c r="M410" s="44" t="s">
        <v>123</v>
      </c>
      <c r="N410" s="46" t="s">
        <v>2360</v>
      </c>
      <c r="O410" s="47" t="s">
        <v>867</v>
      </c>
      <c r="P410" s="50"/>
      <c r="Q410" s="45"/>
      <c r="R410" s="25"/>
      <c r="S410" s="52"/>
    </row>
    <row r="411" spans="1:19" ht="16.5" customHeight="1" x14ac:dyDescent="0.3">
      <c r="A411" s="27" t="s">
        <v>487</v>
      </c>
      <c r="B411" s="28" t="s">
        <v>488</v>
      </c>
      <c r="C411" s="26" t="s">
        <v>1808</v>
      </c>
      <c r="D411" s="31" t="s">
        <v>152</v>
      </c>
      <c r="E411" s="33" t="s">
        <v>2023</v>
      </c>
      <c r="F411" s="34" t="s">
        <v>560</v>
      </c>
      <c r="G411" s="32" t="s">
        <v>2333</v>
      </c>
      <c r="H411" s="37" t="s">
        <v>1795</v>
      </c>
      <c r="I411" s="39" t="s">
        <v>2334</v>
      </c>
      <c r="J411" s="24" t="s">
        <v>546</v>
      </c>
      <c r="K411" s="40"/>
      <c r="L411" s="38" t="s">
        <v>2335</v>
      </c>
      <c r="M411" s="44" t="s">
        <v>123</v>
      </c>
      <c r="N411" s="46" t="s">
        <v>2361</v>
      </c>
      <c r="O411" s="47" t="s">
        <v>868</v>
      </c>
      <c r="P411" s="50"/>
      <c r="Q411" s="45"/>
      <c r="R411" s="25"/>
      <c r="S411" s="52"/>
    </row>
    <row r="412" spans="1:19" ht="16.5" customHeight="1" x14ac:dyDescent="0.3">
      <c r="A412" s="27" t="s">
        <v>487</v>
      </c>
      <c r="B412" s="28" t="s">
        <v>488</v>
      </c>
      <c r="C412" s="26" t="s">
        <v>1808</v>
      </c>
      <c r="D412" s="31" t="s">
        <v>152</v>
      </c>
      <c r="E412" s="33" t="s">
        <v>2023</v>
      </c>
      <c r="F412" s="34" t="s">
        <v>560</v>
      </c>
      <c r="G412" s="32" t="s">
        <v>2333</v>
      </c>
      <c r="H412" s="37" t="s">
        <v>1795</v>
      </c>
      <c r="I412" s="39" t="s">
        <v>2334</v>
      </c>
      <c r="J412" s="24" t="s">
        <v>546</v>
      </c>
      <c r="K412" s="40"/>
      <c r="L412" s="38" t="s">
        <v>2335</v>
      </c>
      <c r="M412" s="44" t="s">
        <v>123</v>
      </c>
      <c r="N412" s="46" t="s">
        <v>2362</v>
      </c>
      <c r="O412" s="47" t="s">
        <v>1340</v>
      </c>
      <c r="P412" s="50"/>
      <c r="Q412" s="45"/>
      <c r="R412" s="25"/>
      <c r="S412" s="52"/>
    </row>
    <row r="413" spans="1:19" ht="16.5" customHeight="1" x14ac:dyDescent="0.3">
      <c r="A413" s="27" t="s">
        <v>487</v>
      </c>
      <c r="B413" s="28" t="s">
        <v>488</v>
      </c>
      <c r="C413" s="26" t="s">
        <v>1808</v>
      </c>
      <c r="D413" s="31" t="s">
        <v>152</v>
      </c>
      <c r="E413" s="33" t="s">
        <v>2023</v>
      </c>
      <c r="F413" s="34" t="s">
        <v>560</v>
      </c>
      <c r="G413" s="32" t="s">
        <v>2333</v>
      </c>
      <c r="H413" s="37" t="s">
        <v>1795</v>
      </c>
      <c r="I413" s="39" t="s">
        <v>2334</v>
      </c>
      <c r="J413" s="24" t="s">
        <v>546</v>
      </c>
      <c r="K413" s="40"/>
      <c r="L413" s="38" t="s">
        <v>2335</v>
      </c>
      <c r="M413" s="44" t="s">
        <v>123</v>
      </c>
      <c r="N413" s="46" t="s">
        <v>2363</v>
      </c>
      <c r="O413" s="47" t="s">
        <v>1341</v>
      </c>
      <c r="P413" s="50"/>
      <c r="Q413" s="45"/>
      <c r="R413" s="25"/>
      <c r="S413" s="52"/>
    </row>
    <row r="414" spans="1:19" ht="16.5" customHeight="1" x14ac:dyDescent="0.3">
      <c r="A414" s="27" t="s">
        <v>487</v>
      </c>
      <c r="B414" s="28" t="s">
        <v>488</v>
      </c>
      <c r="C414" s="26" t="s">
        <v>1808</v>
      </c>
      <c r="D414" s="31" t="s">
        <v>152</v>
      </c>
      <c r="E414" s="33" t="s">
        <v>2023</v>
      </c>
      <c r="F414" s="34" t="s">
        <v>560</v>
      </c>
      <c r="G414" s="32" t="s">
        <v>2333</v>
      </c>
      <c r="H414" s="37" t="s">
        <v>1795</v>
      </c>
      <c r="I414" s="39" t="s">
        <v>2334</v>
      </c>
      <c r="J414" s="24" t="s">
        <v>546</v>
      </c>
      <c r="K414" s="40"/>
      <c r="L414" s="38" t="s">
        <v>2335</v>
      </c>
      <c r="M414" s="44" t="s">
        <v>123</v>
      </c>
      <c r="N414" s="46" t="s">
        <v>2364</v>
      </c>
      <c r="O414" s="47" t="s">
        <v>1342</v>
      </c>
      <c r="P414" s="50"/>
      <c r="Q414" s="45"/>
      <c r="R414" s="25"/>
      <c r="S414" s="52"/>
    </row>
    <row r="415" spans="1:19" ht="16.5" customHeight="1" x14ac:dyDescent="0.3">
      <c r="A415" s="27" t="s">
        <v>487</v>
      </c>
      <c r="B415" s="28" t="s">
        <v>488</v>
      </c>
      <c r="C415" s="26" t="s">
        <v>1808</v>
      </c>
      <c r="D415" s="31" t="s">
        <v>152</v>
      </c>
      <c r="E415" s="33" t="s">
        <v>2023</v>
      </c>
      <c r="F415" s="34" t="s">
        <v>560</v>
      </c>
      <c r="G415" s="32" t="s">
        <v>2333</v>
      </c>
      <c r="H415" s="37" t="s">
        <v>1795</v>
      </c>
      <c r="I415" s="39" t="s">
        <v>2334</v>
      </c>
      <c r="J415" s="24" t="s">
        <v>546</v>
      </c>
      <c r="K415" s="40"/>
      <c r="L415" s="38" t="s">
        <v>2335</v>
      </c>
      <c r="M415" s="44" t="s">
        <v>123</v>
      </c>
      <c r="N415" s="46" t="s">
        <v>2365</v>
      </c>
      <c r="O415" s="47" t="s">
        <v>1343</v>
      </c>
      <c r="P415" s="50"/>
      <c r="Q415" s="45"/>
      <c r="R415" s="25"/>
      <c r="S415" s="52"/>
    </row>
    <row r="416" spans="1:19" ht="16.5" customHeight="1" x14ac:dyDescent="0.3">
      <c r="A416" s="27" t="s">
        <v>487</v>
      </c>
      <c r="B416" s="28" t="s">
        <v>488</v>
      </c>
      <c r="C416" s="26" t="s">
        <v>1808</v>
      </c>
      <c r="D416" s="31" t="s">
        <v>152</v>
      </c>
      <c r="E416" s="33" t="s">
        <v>2023</v>
      </c>
      <c r="F416" s="34" t="s">
        <v>560</v>
      </c>
      <c r="G416" s="32" t="s">
        <v>2333</v>
      </c>
      <c r="H416" s="37" t="s">
        <v>1795</v>
      </c>
      <c r="I416" s="39" t="s">
        <v>2334</v>
      </c>
      <c r="J416" s="24" t="s">
        <v>546</v>
      </c>
      <c r="K416" s="40"/>
      <c r="L416" s="38" t="s">
        <v>2335</v>
      </c>
      <c r="M416" s="44" t="s">
        <v>123</v>
      </c>
      <c r="N416" s="46" t="s">
        <v>2366</v>
      </c>
      <c r="O416" s="47" t="s">
        <v>1344</v>
      </c>
      <c r="P416" s="50"/>
      <c r="Q416" s="45"/>
      <c r="R416" s="25"/>
      <c r="S416" s="52"/>
    </row>
    <row r="417" spans="1:19" ht="16.5" customHeight="1" x14ac:dyDescent="0.3">
      <c r="A417" s="27" t="s">
        <v>487</v>
      </c>
      <c r="B417" s="28" t="s">
        <v>488</v>
      </c>
      <c r="C417" s="26" t="s">
        <v>1808</v>
      </c>
      <c r="D417" s="31" t="s">
        <v>152</v>
      </c>
      <c r="E417" s="33" t="s">
        <v>2023</v>
      </c>
      <c r="F417" s="34" t="s">
        <v>560</v>
      </c>
      <c r="G417" s="32" t="s">
        <v>2333</v>
      </c>
      <c r="H417" s="37" t="s">
        <v>1795</v>
      </c>
      <c r="I417" s="39" t="s">
        <v>2334</v>
      </c>
      <c r="J417" s="24" t="s">
        <v>546</v>
      </c>
      <c r="K417" s="40"/>
      <c r="L417" s="38" t="s">
        <v>2335</v>
      </c>
      <c r="M417" s="44" t="s">
        <v>123</v>
      </c>
      <c r="N417" s="46" t="s">
        <v>2367</v>
      </c>
      <c r="O417" s="47" t="s">
        <v>1345</v>
      </c>
      <c r="P417" s="50"/>
      <c r="Q417" s="45"/>
      <c r="R417" s="25"/>
      <c r="S417" s="52"/>
    </row>
    <row r="418" spans="1:19" ht="16.5" customHeight="1" x14ac:dyDescent="0.3">
      <c r="A418" s="27" t="s">
        <v>487</v>
      </c>
      <c r="B418" s="28" t="s">
        <v>488</v>
      </c>
      <c r="C418" s="26" t="s">
        <v>1808</v>
      </c>
      <c r="D418" s="31" t="s">
        <v>152</v>
      </c>
      <c r="E418" s="33" t="s">
        <v>2023</v>
      </c>
      <c r="F418" s="34" t="s">
        <v>560</v>
      </c>
      <c r="G418" s="32" t="s">
        <v>2333</v>
      </c>
      <c r="H418" s="37" t="s">
        <v>1795</v>
      </c>
      <c r="I418" s="39" t="s">
        <v>2334</v>
      </c>
      <c r="J418" s="24" t="s">
        <v>546</v>
      </c>
      <c r="K418" s="40"/>
      <c r="L418" s="38" t="s">
        <v>2335</v>
      </c>
      <c r="M418" s="44" t="s">
        <v>123</v>
      </c>
      <c r="N418" s="46" t="s">
        <v>2368</v>
      </c>
      <c r="O418" s="47" t="s">
        <v>1337</v>
      </c>
      <c r="P418" s="50"/>
      <c r="Q418" s="45"/>
      <c r="R418" s="25"/>
      <c r="S418" s="52"/>
    </row>
    <row r="419" spans="1:19" ht="16.5" customHeight="1" x14ac:dyDescent="0.3">
      <c r="A419" s="27" t="s">
        <v>487</v>
      </c>
      <c r="B419" s="28" t="s">
        <v>488</v>
      </c>
      <c r="C419" s="26" t="s">
        <v>1808</v>
      </c>
      <c r="D419" s="31" t="s">
        <v>152</v>
      </c>
      <c r="E419" s="33" t="s">
        <v>2023</v>
      </c>
      <c r="F419" s="34" t="s">
        <v>560</v>
      </c>
      <c r="G419" s="32" t="s">
        <v>2333</v>
      </c>
      <c r="H419" s="37" t="s">
        <v>1795</v>
      </c>
      <c r="I419" s="39" t="s">
        <v>2334</v>
      </c>
      <c r="J419" s="24" t="s">
        <v>546</v>
      </c>
      <c r="K419" s="40"/>
      <c r="L419" s="38" t="s">
        <v>2335</v>
      </c>
      <c r="M419" s="44" t="s">
        <v>123</v>
      </c>
      <c r="N419" s="46" t="s">
        <v>2369</v>
      </c>
      <c r="O419" s="47" t="s">
        <v>1338</v>
      </c>
      <c r="P419" s="50"/>
      <c r="Q419" s="45"/>
      <c r="R419" s="25"/>
      <c r="S419" s="52"/>
    </row>
    <row r="420" spans="1:19" ht="16.5" customHeight="1" x14ac:dyDescent="0.3">
      <c r="A420" s="27" t="s">
        <v>487</v>
      </c>
      <c r="B420" s="28" t="s">
        <v>488</v>
      </c>
      <c r="C420" s="26" t="s">
        <v>1808</v>
      </c>
      <c r="D420" s="31" t="s">
        <v>152</v>
      </c>
      <c r="E420" s="33" t="s">
        <v>2023</v>
      </c>
      <c r="F420" s="34" t="s">
        <v>560</v>
      </c>
      <c r="G420" s="32" t="s">
        <v>2333</v>
      </c>
      <c r="H420" s="37" t="s">
        <v>1795</v>
      </c>
      <c r="I420" s="39" t="s">
        <v>2334</v>
      </c>
      <c r="J420" s="24" t="s">
        <v>546</v>
      </c>
      <c r="K420" s="40"/>
      <c r="L420" s="38" t="s">
        <v>2335</v>
      </c>
      <c r="M420" s="44" t="s">
        <v>123</v>
      </c>
      <c r="N420" s="46" t="s">
        <v>2370</v>
      </c>
      <c r="O420" s="47" t="s">
        <v>1339</v>
      </c>
      <c r="P420" s="50"/>
      <c r="Q420" s="45"/>
      <c r="R420" s="25"/>
      <c r="S420" s="52"/>
    </row>
    <row r="421" spans="1:19" ht="16.5" customHeight="1" x14ac:dyDescent="0.3">
      <c r="A421" s="27" t="s">
        <v>487</v>
      </c>
      <c r="B421" s="28" t="s">
        <v>488</v>
      </c>
      <c r="C421" s="26" t="s">
        <v>1808</v>
      </c>
      <c r="D421" s="31" t="s">
        <v>152</v>
      </c>
      <c r="E421" s="33" t="s">
        <v>2023</v>
      </c>
      <c r="F421" s="34" t="s">
        <v>560</v>
      </c>
      <c r="G421" s="32" t="s">
        <v>2333</v>
      </c>
      <c r="H421" s="37" t="s">
        <v>1795</v>
      </c>
      <c r="I421" s="39" t="s">
        <v>2334</v>
      </c>
      <c r="J421" s="24" t="s">
        <v>546</v>
      </c>
      <c r="K421" s="40"/>
      <c r="L421" s="38" t="s">
        <v>2335</v>
      </c>
      <c r="M421" s="44" t="s">
        <v>123</v>
      </c>
      <c r="N421" s="46" t="s">
        <v>2371</v>
      </c>
      <c r="O421" s="47" t="s">
        <v>869</v>
      </c>
      <c r="P421" s="50"/>
      <c r="Q421" s="45"/>
      <c r="R421" s="25"/>
      <c r="S421" s="52"/>
    </row>
    <row r="422" spans="1:19" ht="16.5" customHeight="1" x14ac:dyDescent="0.3">
      <c r="A422" s="27" t="s">
        <v>487</v>
      </c>
      <c r="B422" s="28" t="s">
        <v>488</v>
      </c>
      <c r="C422" s="26" t="s">
        <v>1808</v>
      </c>
      <c r="D422" s="31" t="s">
        <v>152</v>
      </c>
      <c r="E422" s="33" t="s">
        <v>2023</v>
      </c>
      <c r="F422" s="34" t="s">
        <v>560</v>
      </c>
      <c r="G422" s="32" t="s">
        <v>2333</v>
      </c>
      <c r="H422" s="37" t="s">
        <v>1795</v>
      </c>
      <c r="I422" s="39" t="s">
        <v>2334</v>
      </c>
      <c r="J422" s="24" t="s">
        <v>546</v>
      </c>
      <c r="K422" s="40"/>
      <c r="L422" s="38" t="s">
        <v>2335</v>
      </c>
      <c r="M422" s="44" t="s">
        <v>123</v>
      </c>
      <c r="N422" s="46" t="s">
        <v>2372</v>
      </c>
      <c r="O422" s="47" t="s">
        <v>870</v>
      </c>
      <c r="P422" s="50"/>
      <c r="Q422" s="45"/>
      <c r="R422" s="25"/>
      <c r="S422" s="52"/>
    </row>
    <row r="423" spans="1:19" ht="16.5" customHeight="1" x14ac:dyDescent="0.3">
      <c r="A423" s="27" t="s">
        <v>487</v>
      </c>
      <c r="B423" s="28" t="s">
        <v>488</v>
      </c>
      <c r="C423" s="26" t="s">
        <v>1808</v>
      </c>
      <c r="D423" s="31" t="s">
        <v>152</v>
      </c>
      <c r="E423" s="33" t="s">
        <v>2023</v>
      </c>
      <c r="F423" s="34" t="s">
        <v>560</v>
      </c>
      <c r="G423" s="32" t="s">
        <v>2333</v>
      </c>
      <c r="H423" s="37" t="s">
        <v>1795</v>
      </c>
      <c r="I423" s="39" t="s">
        <v>2334</v>
      </c>
      <c r="J423" s="24" t="s">
        <v>546</v>
      </c>
      <c r="K423" s="40"/>
      <c r="L423" s="38" t="s">
        <v>2335</v>
      </c>
      <c r="M423" s="44" t="s">
        <v>123</v>
      </c>
      <c r="N423" s="46" t="s">
        <v>2373</v>
      </c>
      <c r="O423" s="47" t="s">
        <v>871</v>
      </c>
      <c r="P423" s="50"/>
      <c r="Q423" s="45"/>
      <c r="R423" s="25"/>
      <c r="S423" s="52"/>
    </row>
    <row r="424" spans="1:19" ht="16.5" customHeight="1" x14ac:dyDescent="0.3">
      <c r="A424" s="27" t="s">
        <v>487</v>
      </c>
      <c r="B424" s="28" t="s">
        <v>488</v>
      </c>
      <c r="C424" s="26" t="s">
        <v>1808</v>
      </c>
      <c r="D424" s="31" t="s">
        <v>152</v>
      </c>
      <c r="E424" s="33" t="s">
        <v>2023</v>
      </c>
      <c r="F424" s="34" t="s">
        <v>560</v>
      </c>
      <c r="G424" s="32" t="s">
        <v>2333</v>
      </c>
      <c r="H424" s="37" t="s">
        <v>1795</v>
      </c>
      <c r="I424" s="39" t="s">
        <v>2334</v>
      </c>
      <c r="J424" s="24" t="s">
        <v>546</v>
      </c>
      <c r="K424" s="40"/>
      <c r="L424" s="38" t="s">
        <v>2335</v>
      </c>
      <c r="M424" s="44" t="s">
        <v>123</v>
      </c>
      <c r="N424" s="46" t="s">
        <v>2374</v>
      </c>
      <c r="O424" s="47" t="s">
        <v>871</v>
      </c>
      <c r="P424" s="50"/>
      <c r="Q424" s="45"/>
      <c r="R424" s="25"/>
      <c r="S424" s="52"/>
    </row>
    <row r="425" spans="1:19" ht="16.5" customHeight="1" x14ac:dyDescent="0.3">
      <c r="A425" s="27" t="s">
        <v>487</v>
      </c>
      <c r="B425" s="28" t="s">
        <v>488</v>
      </c>
      <c r="C425" s="26" t="s">
        <v>1808</v>
      </c>
      <c r="D425" s="31" t="s">
        <v>152</v>
      </c>
      <c r="E425" s="33" t="s">
        <v>2023</v>
      </c>
      <c r="F425" s="34" t="s">
        <v>560</v>
      </c>
      <c r="G425" s="32" t="s">
        <v>2333</v>
      </c>
      <c r="H425" s="37" t="s">
        <v>1795</v>
      </c>
      <c r="I425" s="39" t="s">
        <v>2334</v>
      </c>
      <c r="J425" s="24" t="s">
        <v>546</v>
      </c>
      <c r="K425" s="40"/>
      <c r="L425" s="38" t="s">
        <v>2335</v>
      </c>
      <c r="M425" s="44" t="s">
        <v>123</v>
      </c>
      <c r="N425" s="46" t="s">
        <v>2375</v>
      </c>
      <c r="O425" s="47" t="s">
        <v>872</v>
      </c>
      <c r="P425" s="50"/>
      <c r="Q425" s="45"/>
      <c r="R425" s="25"/>
      <c r="S425" s="52"/>
    </row>
    <row r="426" spans="1:19" ht="16.5" customHeight="1" x14ac:dyDescent="0.3">
      <c r="A426" s="27" t="s">
        <v>487</v>
      </c>
      <c r="B426" s="28" t="s">
        <v>488</v>
      </c>
      <c r="C426" s="26" t="s">
        <v>1808</v>
      </c>
      <c r="D426" s="31" t="s">
        <v>152</v>
      </c>
      <c r="E426" s="33" t="s">
        <v>2023</v>
      </c>
      <c r="F426" s="34" t="s">
        <v>560</v>
      </c>
      <c r="G426" s="32" t="s">
        <v>2333</v>
      </c>
      <c r="H426" s="37" t="s">
        <v>1795</v>
      </c>
      <c r="I426" s="39" t="s">
        <v>2334</v>
      </c>
      <c r="J426" s="24" t="s">
        <v>546</v>
      </c>
      <c r="K426" s="40"/>
      <c r="L426" s="38" t="s">
        <v>2335</v>
      </c>
      <c r="M426" s="44" t="s">
        <v>123</v>
      </c>
      <c r="N426" s="46" t="s">
        <v>2376</v>
      </c>
      <c r="O426" s="47" t="s">
        <v>873</v>
      </c>
      <c r="P426" s="50"/>
      <c r="Q426" s="45"/>
      <c r="R426" s="25"/>
      <c r="S426" s="52"/>
    </row>
    <row r="427" spans="1:19" ht="16.5" customHeight="1" x14ac:dyDescent="0.3">
      <c r="A427" s="27" t="s">
        <v>487</v>
      </c>
      <c r="B427" s="28" t="s">
        <v>488</v>
      </c>
      <c r="C427" s="26" t="s">
        <v>1808</v>
      </c>
      <c r="D427" s="31" t="s">
        <v>152</v>
      </c>
      <c r="E427" s="33" t="s">
        <v>2023</v>
      </c>
      <c r="F427" s="34" t="s">
        <v>560</v>
      </c>
      <c r="G427" s="32" t="s">
        <v>2333</v>
      </c>
      <c r="H427" s="37" t="s">
        <v>1795</v>
      </c>
      <c r="I427" s="39" t="s">
        <v>2334</v>
      </c>
      <c r="J427" s="24" t="s">
        <v>546</v>
      </c>
      <c r="K427" s="40"/>
      <c r="L427" s="38" t="s">
        <v>2335</v>
      </c>
      <c r="M427" s="44" t="s">
        <v>123</v>
      </c>
      <c r="N427" s="46" t="s">
        <v>2377</v>
      </c>
      <c r="O427" s="47" t="s">
        <v>874</v>
      </c>
      <c r="P427" s="50"/>
      <c r="Q427" s="45"/>
      <c r="R427" s="25"/>
      <c r="S427" s="52"/>
    </row>
    <row r="428" spans="1:19" ht="16.5" customHeight="1" x14ac:dyDescent="0.3">
      <c r="A428" s="27" t="s">
        <v>487</v>
      </c>
      <c r="B428" s="28" t="s">
        <v>488</v>
      </c>
      <c r="C428" s="26" t="s">
        <v>1808</v>
      </c>
      <c r="D428" s="31" t="s">
        <v>152</v>
      </c>
      <c r="E428" s="33" t="s">
        <v>2023</v>
      </c>
      <c r="F428" s="34" t="s">
        <v>560</v>
      </c>
      <c r="G428" s="32" t="s">
        <v>2333</v>
      </c>
      <c r="H428" s="37" t="s">
        <v>1795</v>
      </c>
      <c r="I428" s="39" t="s">
        <v>2334</v>
      </c>
      <c r="J428" s="24" t="s">
        <v>546</v>
      </c>
      <c r="K428" s="40"/>
      <c r="L428" s="38" t="s">
        <v>2335</v>
      </c>
      <c r="M428" s="44" t="s">
        <v>123</v>
      </c>
      <c r="N428" s="46" t="s">
        <v>2378</v>
      </c>
      <c r="O428" s="47" t="s">
        <v>1614</v>
      </c>
      <c r="P428" s="50"/>
      <c r="Q428" s="45"/>
      <c r="R428" s="25"/>
      <c r="S428" s="52"/>
    </row>
    <row r="429" spans="1:19" ht="16.5" customHeight="1" x14ac:dyDescent="0.3">
      <c r="A429" s="27" t="s">
        <v>487</v>
      </c>
      <c r="B429" s="28" t="s">
        <v>488</v>
      </c>
      <c r="C429" s="26" t="s">
        <v>1808</v>
      </c>
      <c r="D429" s="31" t="s">
        <v>152</v>
      </c>
      <c r="E429" s="33" t="s">
        <v>2023</v>
      </c>
      <c r="F429" s="34" t="s">
        <v>560</v>
      </c>
      <c r="G429" s="32" t="s">
        <v>2333</v>
      </c>
      <c r="H429" s="37" t="s">
        <v>1795</v>
      </c>
      <c r="I429" s="39" t="s">
        <v>2334</v>
      </c>
      <c r="J429" s="24" t="s">
        <v>546</v>
      </c>
      <c r="K429" s="40"/>
      <c r="L429" s="38" t="s">
        <v>2335</v>
      </c>
      <c r="M429" s="44" t="s">
        <v>123</v>
      </c>
      <c r="N429" s="46" t="s">
        <v>2379</v>
      </c>
      <c r="O429" s="47" t="s">
        <v>1614</v>
      </c>
      <c r="P429" s="50"/>
      <c r="Q429" s="45"/>
      <c r="R429" s="25"/>
      <c r="S429" s="52"/>
    </row>
    <row r="430" spans="1:19" ht="16.5" customHeight="1" x14ac:dyDescent="0.3">
      <c r="A430" s="27" t="s">
        <v>487</v>
      </c>
      <c r="B430" s="28" t="s">
        <v>488</v>
      </c>
      <c r="C430" s="26" t="s">
        <v>1808</v>
      </c>
      <c r="D430" s="31" t="s">
        <v>152</v>
      </c>
      <c r="E430" s="33" t="s">
        <v>2023</v>
      </c>
      <c r="F430" s="34" t="s">
        <v>560</v>
      </c>
      <c r="G430" s="32" t="s">
        <v>2333</v>
      </c>
      <c r="H430" s="37" t="s">
        <v>1795</v>
      </c>
      <c r="I430" s="39" t="s">
        <v>2334</v>
      </c>
      <c r="J430" s="24" t="s">
        <v>546</v>
      </c>
      <c r="K430" s="40"/>
      <c r="L430" s="38" t="s">
        <v>2335</v>
      </c>
      <c r="M430" s="44" t="s">
        <v>123</v>
      </c>
      <c r="N430" s="46" t="s">
        <v>2380</v>
      </c>
      <c r="O430" s="47" t="s">
        <v>875</v>
      </c>
      <c r="P430" s="50"/>
      <c r="Q430" s="45"/>
      <c r="R430" s="25"/>
      <c r="S430" s="52"/>
    </row>
    <row r="431" spans="1:19" ht="16.5" customHeight="1" x14ac:dyDescent="0.3">
      <c r="A431" s="27" t="s">
        <v>487</v>
      </c>
      <c r="B431" s="28" t="s">
        <v>488</v>
      </c>
      <c r="C431" s="26" t="s">
        <v>1808</v>
      </c>
      <c r="D431" s="31" t="s">
        <v>152</v>
      </c>
      <c r="E431" s="33" t="s">
        <v>2023</v>
      </c>
      <c r="F431" s="34" t="s">
        <v>560</v>
      </c>
      <c r="G431" s="32" t="s">
        <v>2333</v>
      </c>
      <c r="H431" s="37" t="s">
        <v>1795</v>
      </c>
      <c r="I431" s="39" t="s">
        <v>2334</v>
      </c>
      <c r="J431" s="24" t="s">
        <v>546</v>
      </c>
      <c r="K431" s="40"/>
      <c r="L431" s="38" t="s">
        <v>2335</v>
      </c>
      <c r="M431" s="44" t="s">
        <v>123</v>
      </c>
      <c r="N431" s="46" t="s">
        <v>2381</v>
      </c>
      <c r="O431" s="47" t="s">
        <v>1472</v>
      </c>
      <c r="P431" s="50"/>
      <c r="Q431" s="45"/>
      <c r="R431" s="25"/>
      <c r="S431" s="52"/>
    </row>
    <row r="432" spans="1:19" ht="16.5" customHeight="1" x14ac:dyDescent="0.3">
      <c r="A432" s="27" t="s">
        <v>487</v>
      </c>
      <c r="B432" s="28" t="s">
        <v>488</v>
      </c>
      <c r="C432" s="26" t="s">
        <v>1808</v>
      </c>
      <c r="D432" s="31" t="s">
        <v>152</v>
      </c>
      <c r="E432" s="33" t="s">
        <v>2023</v>
      </c>
      <c r="F432" s="34" t="s">
        <v>560</v>
      </c>
      <c r="G432" s="32" t="s">
        <v>2333</v>
      </c>
      <c r="H432" s="37" t="s">
        <v>1795</v>
      </c>
      <c r="I432" s="39" t="s">
        <v>2334</v>
      </c>
      <c r="J432" s="24" t="s">
        <v>546</v>
      </c>
      <c r="K432" s="40"/>
      <c r="L432" s="38" t="s">
        <v>2335</v>
      </c>
      <c r="M432" s="44" t="s">
        <v>123</v>
      </c>
      <c r="N432" s="46" t="s">
        <v>2382</v>
      </c>
      <c r="O432" s="47" t="s">
        <v>1473</v>
      </c>
      <c r="P432" s="50"/>
      <c r="Q432" s="45"/>
      <c r="R432" s="25"/>
      <c r="S432" s="52"/>
    </row>
    <row r="433" spans="1:19" ht="16.5" customHeight="1" x14ac:dyDescent="0.3">
      <c r="A433" s="27" t="s">
        <v>487</v>
      </c>
      <c r="B433" s="28" t="s">
        <v>488</v>
      </c>
      <c r="C433" s="26" t="s">
        <v>1808</v>
      </c>
      <c r="D433" s="31" t="s">
        <v>152</v>
      </c>
      <c r="E433" s="33" t="s">
        <v>2023</v>
      </c>
      <c r="F433" s="34" t="s">
        <v>560</v>
      </c>
      <c r="G433" s="32" t="s">
        <v>2333</v>
      </c>
      <c r="H433" s="37" t="s">
        <v>1795</v>
      </c>
      <c r="I433" s="39" t="s">
        <v>2334</v>
      </c>
      <c r="J433" s="24" t="s">
        <v>546</v>
      </c>
      <c r="K433" s="40"/>
      <c r="L433" s="38" t="s">
        <v>2335</v>
      </c>
      <c r="M433" s="44" t="s">
        <v>123</v>
      </c>
      <c r="N433" s="46" t="s">
        <v>2383</v>
      </c>
      <c r="O433" s="47" t="s">
        <v>1474</v>
      </c>
      <c r="P433" s="50"/>
      <c r="Q433" s="45"/>
      <c r="R433" s="25"/>
      <c r="S433" s="52"/>
    </row>
    <row r="434" spans="1:19" ht="16.5" customHeight="1" x14ac:dyDescent="0.3">
      <c r="A434" s="27" t="s">
        <v>487</v>
      </c>
      <c r="B434" s="28" t="s">
        <v>488</v>
      </c>
      <c r="C434" s="26" t="s">
        <v>1808</v>
      </c>
      <c r="D434" s="31" t="s">
        <v>152</v>
      </c>
      <c r="E434" s="33" t="s">
        <v>2023</v>
      </c>
      <c r="F434" s="34" t="s">
        <v>560</v>
      </c>
      <c r="G434" s="32" t="s">
        <v>2333</v>
      </c>
      <c r="H434" s="37" t="s">
        <v>1795</v>
      </c>
      <c r="I434" s="39" t="s">
        <v>2334</v>
      </c>
      <c r="J434" s="24" t="s">
        <v>546</v>
      </c>
      <c r="K434" s="40"/>
      <c r="L434" s="38" t="s">
        <v>2335</v>
      </c>
      <c r="M434" s="44" t="s">
        <v>123</v>
      </c>
      <c r="N434" s="46" t="s">
        <v>2384</v>
      </c>
      <c r="O434" s="47" t="s">
        <v>1475</v>
      </c>
      <c r="P434" s="50"/>
      <c r="Q434" s="45"/>
      <c r="R434" s="25"/>
      <c r="S434" s="52"/>
    </row>
    <row r="435" spans="1:19" ht="16.5" customHeight="1" x14ac:dyDescent="0.3">
      <c r="A435" s="27" t="s">
        <v>487</v>
      </c>
      <c r="B435" s="28" t="s">
        <v>488</v>
      </c>
      <c r="C435" s="26" t="s">
        <v>1808</v>
      </c>
      <c r="D435" s="31" t="s">
        <v>152</v>
      </c>
      <c r="E435" s="33" t="s">
        <v>2023</v>
      </c>
      <c r="F435" s="34" t="s">
        <v>560</v>
      </c>
      <c r="G435" s="32" t="s">
        <v>2333</v>
      </c>
      <c r="H435" s="37" t="s">
        <v>1795</v>
      </c>
      <c r="I435" s="39" t="s">
        <v>2334</v>
      </c>
      <c r="J435" s="24" t="s">
        <v>546</v>
      </c>
      <c r="K435" s="40"/>
      <c r="L435" s="38" t="s">
        <v>2335</v>
      </c>
      <c r="M435" s="44" t="s">
        <v>123</v>
      </c>
      <c r="N435" s="46" t="s">
        <v>2385</v>
      </c>
      <c r="O435" s="47" t="s">
        <v>1476</v>
      </c>
      <c r="P435" s="50"/>
      <c r="Q435" s="45"/>
      <c r="R435" s="25"/>
      <c r="S435" s="52"/>
    </row>
    <row r="436" spans="1:19" ht="16.5" customHeight="1" x14ac:dyDescent="0.3">
      <c r="A436" s="27" t="s">
        <v>487</v>
      </c>
      <c r="B436" s="28" t="s">
        <v>488</v>
      </c>
      <c r="C436" s="26" t="s">
        <v>1808</v>
      </c>
      <c r="D436" s="31" t="s">
        <v>152</v>
      </c>
      <c r="E436" s="33" t="s">
        <v>2023</v>
      </c>
      <c r="F436" s="34" t="s">
        <v>560</v>
      </c>
      <c r="G436" s="32" t="s">
        <v>2333</v>
      </c>
      <c r="H436" s="37" t="s">
        <v>1795</v>
      </c>
      <c r="I436" s="39" t="s">
        <v>2334</v>
      </c>
      <c r="J436" s="24" t="s">
        <v>546</v>
      </c>
      <c r="K436" s="40"/>
      <c r="L436" s="38" t="s">
        <v>2335</v>
      </c>
      <c r="M436" s="44" t="s">
        <v>123</v>
      </c>
      <c r="N436" s="46" t="s">
        <v>2386</v>
      </c>
      <c r="O436" s="47" t="s">
        <v>1477</v>
      </c>
      <c r="P436" s="50"/>
      <c r="Q436" s="45"/>
      <c r="R436" s="25"/>
      <c r="S436" s="52"/>
    </row>
    <row r="437" spans="1:19" ht="16.5" customHeight="1" x14ac:dyDescent="0.3">
      <c r="A437" s="27" t="s">
        <v>487</v>
      </c>
      <c r="B437" s="28" t="s">
        <v>488</v>
      </c>
      <c r="C437" s="26" t="s">
        <v>1808</v>
      </c>
      <c r="D437" s="31" t="s">
        <v>152</v>
      </c>
      <c r="E437" s="33" t="s">
        <v>2023</v>
      </c>
      <c r="F437" s="34" t="s">
        <v>560</v>
      </c>
      <c r="G437" s="32" t="s">
        <v>2333</v>
      </c>
      <c r="H437" s="37" t="s">
        <v>1795</v>
      </c>
      <c r="I437" s="39" t="s">
        <v>2387</v>
      </c>
      <c r="J437" s="24" t="s">
        <v>558</v>
      </c>
      <c r="K437" s="40"/>
      <c r="L437" s="38" t="s">
        <v>2388</v>
      </c>
      <c r="M437" s="44" t="s">
        <v>123</v>
      </c>
      <c r="N437" s="46" t="s">
        <v>2389</v>
      </c>
      <c r="O437" s="47" t="s">
        <v>1335</v>
      </c>
      <c r="P437" s="50"/>
      <c r="Q437" s="45"/>
      <c r="R437" s="25"/>
      <c r="S437" s="52"/>
    </row>
    <row r="438" spans="1:19" ht="16.5" customHeight="1" x14ac:dyDescent="0.3">
      <c r="A438" s="27" t="s">
        <v>487</v>
      </c>
      <c r="B438" s="28" t="s">
        <v>488</v>
      </c>
      <c r="C438" s="26" t="s">
        <v>1808</v>
      </c>
      <c r="D438" s="31" t="s">
        <v>152</v>
      </c>
      <c r="E438" s="33" t="s">
        <v>2023</v>
      </c>
      <c r="F438" s="34" t="s">
        <v>560</v>
      </c>
      <c r="G438" s="32" t="s">
        <v>2333</v>
      </c>
      <c r="H438" s="37" t="s">
        <v>1795</v>
      </c>
      <c r="I438" s="39" t="s">
        <v>2387</v>
      </c>
      <c r="J438" s="24" t="s">
        <v>558</v>
      </c>
      <c r="K438" s="40"/>
      <c r="L438" s="38" t="s">
        <v>2388</v>
      </c>
      <c r="M438" s="44" t="s">
        <v>123</v>
      </c>
      <c r="N438" s="46" t="s">
        <v>2390</v>
      </c>
      <c r="O438" s="47" t="s">
        <v>876</v>
      </c>
      <c r="P438" s="50"/>
      <c r="Q438" s="45"/>
      <c r="R438" s="25"/>
      <c r="S438" s="52"/>
    </row>
    <row r="439" spans="1:19" ht="16.5" customHeight="1" x14ac:dyDescent="0.3">
      <c r="A439" s="27" t="s">
        <v>487</v>
      </c>
      <c r="B439" s="28" t="s">
        <v>488</v>
      </c>
      <c r="C439" s="26" t="s">
        <v>1808</v>
      </c>
      <c r="D439" s="31" t="s">
        <v>152</v>
      </c>
      <c r="E439" s="33" t="s">
        <v>2023</v>
      </c>
      <c r="F439" s="34" t="s">
        <v>560</v>
      </c>
      <c r="G439" s="32" t="s">
        <v>2333</v>
      </c>
      <c r="H439" s="37" t="s">
        <v>1795</v>
      </c>
      <c r="I439" s="39" t="s">
        <v>2387</v>
      </c>
      <c r="J439" s="24" t="s">
        <v>558</v>
      </c>
      <c r="K439" s="40"/>
      <c r="L439" s="38" t="s">
        <v>2388</v>
      </c>
      <c r="M439" s="44" t="s">
        <v>123</v>
      </c>
      <c r="N439" s="46" t="s">
        <v>2391</v>
      </c>
      <c r="O439" s="47" t="s">
        <v>877</v>
      </c>
      <c r="P439" s="50"/>
      <c r="Q439" s="45"/>
      <c r="R439" s="25"/>
      <c r="S439" s="52"/>
    </row>
    <row r="440" spans="1:19" ht="16.5" customHeight="1" x14ac:dyDescent="0.3">
      <c r="A440" s="27" t="s">
        <v>487</v>
      </c>
      <c r="B440" s="28" t="s">
        <v>488</v>
      </c>
      <c r="C440" s="26" t="s">
        <v>1808</v>
      </c>
      <c r="D440" s="31" t="s">
        <v>152</v>
      </c>
      <c r="E440" s="33" t="s">
        <v>2023</v>
      </c>
      <c r="F440" s="34" t="s">
        <v>560</v>
      </c>
      <c r="G440" s="32" t="s">
        <v>2333</v>
      </c>
      <c r="H440" s="37" t="s">
        <v>1795</v>
      </c>
      <c r="I440" s="39" t="s">
        <v>2387</v>
      </c>
      <c r="J440" s="24" t="s">
        <v>558</v>
      </c>
      <c r="K440" s="40"/>
      <c r="L440" s="38" t="s">
        <v>2388</v>
      </c>
      <c r="M440" s="44" t="s">
        <v>123</v>
      </c>
      <c r="N440" s="46" t="s">
        <v>2392</v>
      </c>
      <c r="O440" s="47" t="s">
        <v>1336</v>
      </c>
      <c r="P440" s="50"/>
      <c r="Q440" s="45"/>
      <c r="R440" s="25"/>
      <c r="S440" s="52"/>
    </row>
    <row r="441" spans="1:19" ht="16.5" customHeight="1" x14ac:dyDescent="0.3">
      <c r="A441" s="27" t="s">
        <v>487</v>
      </c>
      <c r="B441" s="28" t="s">
        <v>488</v>
      </c>
      <c r="C441" s="26" t="s">
        <v>1808</v>
      </c>
      <c r="D441" s="31" t="s">
        <v>152</v>
      </c>
      <c r="E441" s="33" t="s">
        <v>2023</v>
      </c>
      <c r="F441" s="34" t="s">
        <v>560</v>
      </c>
      <c r="G441" s="32" t="s">
        <v>2333</v>
      </c>
      <c r="H441" s="37" t="s">
        <v>1795</v>
      </c>
      <c r="I441" s="39" t="s">
        <v>2387</v>
      </c>
      <c r="J441" s="24" t="s">
        <v>558</v>
      </c>
      <c r="K441" s="40"/>
      <c r="L441" s="38" t="s">
        <v>2388</v>
      </c>
      <c r="M441" s="44" t="s">
        <v>123</v>
      </c>
      <c r="N441" s="46" t="s">
        <v>2393</v>
      </c>
      <c r="O441" s="47" t="s">
        <v>878</v>
      </c>
      <c r="P441" s="50"/>
      <c r="Q441" s="45"/>
      <c r="R441" s="25"/>
      <c r="S441" s="52"/>
    </row>
    <row r="442" spans="1:19" ht="16.5" customHeight="1" x14ac:dyDescent="0.3">
      <c r="A442" s="27" t="s">
        <v>487</v>
      </c>
      <c r="B442" s="28" t="s">
        <v>488</v>
      </c>
      <c r="C442" s="26" t="s">
        <v>1808</v>
      </c>
      <c r="D442" s="31" t="s">
        <v>152</v>
      </c>
      <c r="E442" s="33" t="s">
        <v>2023</v>
      </c>
      <c r="F442" s="34" t="s">
        <v>560</v>
      </c>
      <c r="G442" s="32" t="s">
        <v>2333</v>
      </c>
      <c r="H442" s="37" t="s">
        <v>1795</v>
      </c>
      <c r="I442" s="39" t="s">
        <v>2387</v>
      </c>
      <c r="J442" s="24" t="s">
        <v>558</v>
      </c>
      <c r="K442" s="40"/>
      <c r="L442" s="38" t="s">
        <v>2388</v>
      </c>
      <c r="M442" s="44" t="s">
        <v>123</v>
      </c>
      <c r="N442" s="46" t="s">
        <v>2394</v>
      </c>
      <c r="O442" s="47" t="s">
        <v>877</v>
      </c>
      <c r="P442" s="50"/>
      <c r="Q442" s="45"/>
      <c r="R442" s="25"/>
      <c r="S442" s="52"/>
    </row>
    <row r="443" spans="1:19" ht="16.5" customHeight="1" x14ac:dyDescent="0.3">
      <c r="A443" s="27" t="s">
        <v>487</v>
      </c>
      <c r="B443" s="28" t="s">
        <v>488</v>
      </c>
      <c r="C443" s="26" t="s">
        <v>1808</v>
      </c>
      <c r="D443" s="31" t="s">
        <v>152</v>
      </c>
      <c r="E443" s="33" t="s">
        <v>2023</v>
      </c>
      <c r="F443" s="34" t="s">
        <v>560</v>
      </c>
      <c r="G443" s="32" t="s">
        <v>2333</v>
      </c>
      <c r="H443" s="37" t="s">
        <v>1795</v>
      </c>
      <c r="I443" s="39" t="s">
        <v>2387</v>
      </c>
      <c r="J443" s="24" t="s">
        <v>558</v>
      </c>
      <c r="K443" s="40"/>
      <c r="L443" s="38" t="s">
        <v>2388</v>
      </c>
      <c r="M443" s="44" t="s">
        <v>123</v>
      </c>
      <c r="N443" s="46" t="s">
        <v>2395</v>
      </c>
      <c r="O443" s="47" t="s">
        <v>879</v>
      </c>
      <c r="P443" s="50"/>
      <c r="Q443" s="45"/>
      <c r="R443" s="25"/>
      <c r="S443" s="52"/>
    </row>
    <row r="444" spans="1:19" ht="16.5" customHeight="1" x14ac:dyDescent="0.3">
      <c r="A444" s="27" t="s">
        <v>487</v>
      </c>
      <c r="B444" s="28" t="s">
        <v>488</v>
      </c>
      <c r="C444" s="26" t="s">
        <v>1808</v>
      </c>
      <c r="D444" s="31" t="s">
        <v>152</v>
      </c>
      <c r="E444" s="33" t="s">
        <v>2023</v>
      </c>
      <c r="F444" s="34" t="s">
        <v>560</v>
      </c>
      <c r="G444" s="32" t="s">
        <v>2333</v>
      </c>
      <c r="H444" s="37" t="s">
        <v>1795</v>
      </c>
      <c r="I444" s="39" t="s">
        <v>2387</v>
      </c>
      <c r="J444" s="24" t="s">
        <v>558</v>
      </c>
      <c r="K444" s="40"/>
      <c r="L444" s="38" t="s">
        <v>2388</v>
      </c>
      <c r="M444" s="44" t="s">
        <v>123</v>
      </c>
      <c r="N444" s="46" t="s">
        <v>2396</v>
      </c>
      <c r="O444" s="47" t="s">
        <v>880</v>
      </c>
      <c r="P444" s="50"/>
      <c r="Q444" s="45"/>
      <c r="R444" s="25"/>
      <c r="S444" s="52"/>
    </row>
    <row r="445" spans="1:19" ht="16.5" customHeight="1" x14ac:dyDescent="0.3">
      <c r="A445" s="27" t="s">
        <v>487</v>
      </c>
      <c r="B445" s="28" t="s">
        <v>488</v>
      </c>
      <c r="C445" s="26" t="s">
        <v>1808</v>
      </c>
      <c r="D445" s="31" t="s">
        <v>152</v>
      </c>
      <c r="E445" s="33" t="s">
        <v>2023</v>
      </c>
      <c r="F445" s="34" t="s">
        <v>560</v>
      </c>
      <c r="G445" s="32" t="s">
        <v>2333</v>
      </c>
      <c r="H445" s="37" t="s">
        <v>1795</v>
      </c>
      <c r="I445" s="39" t="s">
        <v>2387</v>
      </c>
      <c r="J445" s="24" t="s">
        <v>558</v>
      </c>
      <c r="K445" s="40"/>
      <c r="L445" s="38" t="s">
        <v>2388</v>
      </c>
      <c r="M445" s="44" t="s">
        <v>123</v>
      </c>
      <c r="N445" s="46" t="s">
        <v>2397</v>
      </c>
      <c r="O445" s="47" t="s">
        <v>881</v>
      </c>
      <c r="P445" s="50"/>
      <c r="Q445" s="45"/>
      <c r="R445" s="25"/>
      <c r="S445" s="52"/>
    </row>
    <row r="446" spans="1:19" ht="16.5" customHeight="1" x14ac:dyDescent="0.3">
      <c r="A446" s="27" t="s">
        <v>487</v>
      </c>
      <c r="B446" s="28" t="s">
        <v>488</v>
      </c>
      <c r="C446" s="26" t="s">
        <v>1808</v>
      </c>
      <c r="D446" s="31" t="s">
        <v>152</v>
      </c>
      <c r="E446" s="33" t="s">
        <v>2023</v>
      </c>
      <c r="F446" s="34" t="s">
        <v>560</v>
      </c>
      <c r="G446" s="32" t="s">
        <v>2333</v>
      </c>
      <c r="H446" s="37" t="s">
        <v>1795</v>
      </c>
      <c r="I446" s="39" t="s">
        <v>2387</v>
      </c>
      <c r="J446" s="24" t="s">
        <v>558</v>
      </c>
      <c r="K446" s="40"/>
      <c r="L446" s="38" t="s">
        <v>2388</v>
      </c>
      <c r="M446" s="44" t="s">
        <v>123</v>
      </c>
      <c r="N446" s="46" t="s">
        <v>2398</v>
      </c>
      <c r="O446" s="47" t="s">
        <v>882</v>
      </c>
      <c r="P446" s="50"/>
      <c r="Q446" s="45"/>
      <c r="R446" s="25"/>
      <c r="S446" s="52"/>
    </row>
    <row r="447" spans="1:19" ht="16.5" customHeight="1" x14ac:dyDescent="0.3">
      <c r="A447" s="27" t="s">
        <v>487</v>
      </c>
      <c r="B447" s="28" t="s">
        <v>488</v>
      </c>
      <c r="C447" s="26" t="s">
        <v>1808</v>
      </c>
      <c r="D447" s="31" t="s">
        <v>152</v>
      </c>
      <c r="E447" s="33" t="s">
        <v>2399</v>
      </c>
      <c r="F447" s="34" t="s">
        <v>563</v>
      </c>
      <c r="G447" s="32" t="s">
        <v>2400</v>
      </c>
      <c r="H447" s="37" t="s">
        <v>1630</v>
      </c>
      <c r="I447" s="39" t="s">
        <v>2401</v>
      </c>
      <c r="J447" s="24" t="s">
        <v>904</v>
      </c>
      <c r="K447" s="40"/>
      <c r="L447" s="38" t="s">
        <v>2402</v>
      </c>
      <c r="M447" s="44" t="s">
        <v>8</v>
      </c>
      <c r="N447" s="46" t="s">
        <v>2403</v>
      </c>
      <c r="O447" s="47" t="s">
        <v>1605</v>
      </c>
      <c r="P447" s="50"/>
      <c r="Q447" s="45"/>
      <c r="R447" s="25"/>
      <c r="S447" s="52"/>
    </row>
    <row r="448" spans="1:19" ht="16.5" customHeight="1" x14ac:dyDescent="0.3">
      <c r="A448" s="27" t="s">
        <v>487</v>
      </c>
      <c r="B448" s="28" t="s">
        <v>488</v>
      </c>
      <c r="C448" s="26" t="s">
        <v>1808</v>
      </c>
      <c r="D448" s="31" t="s">
        <v>152</v>
      </c>
      <c r="E448" s="33" t="s">
        <v>2399</v>
      </c>
      <c r="F448" s="34" t="s">
        <v>563</v>
      </c>
      <c r="G448" s="32" t="s">
        <v>2400</v>
      </c>
      <c r="H448" s="37" t="s">
        <v>1630</v>
      </c>
      <c r="I448" s="39" t="s">
        <v>2401</v>
      </c>
      <c r="J448" s="24" t="s">
        <v>904</v>
      </c>
      <c r="K448" s="40"/>
      <c r="L448" s="38" t="s">
        <v>2402</v>
      </c>
      <c r="M448" s="44" t="s">
        <v>8</v>
      </c>
      <c r="N448" s="46" t="s">
        <v>2404</v>
      </c>
      <c r="O448" s="47" t="s">
        <v>1606</v>
      </c>
      <c r="P448" s="50"/>
      <c r="Q448" s="45"/>
      <c r="R448" s="25"/>
      <c r="S448" s="52"/>
    </row>
    <row r="449" spans="1:19" ht="16.5" customHeight="1" x14ac:dyDescent="0.3">
      <c r="A449" s="27" t="s">
        <v>487</v>
      </c>
      <c r="B449" s="28" t="s">
        <v>488</v>
      </c>
      <c r="C449" s="26" t="s">
        <v>1808</v>
      </c>
      <c r="D449" s="31" t="s">
        <v>152</v>
      </c>
      <c r="E449" s="33" t="s">
        <v>2399</v>
      </c>
      <c r="F449" s="34" t="s">
        <v>563</v>
      </c>
      <c r="G449" s="32" t="s">
        <v>2400</v>
      </c>
      <c r="H449" s="37" t="s">
        <v>1630</v>
      </c>
      <c r="I449" s="39" t="s">
        <v>2401</v>
      </c>
      <c r="J449" s="24" t="s">
        <v>904</v>
      </c>
      <c r="K449" s="40"/>
      <c r="L449" s="38" t="s">
        <v>2405</v>
      </c>
      <c r="M449" s="44" t="s">
        <v>30</v>
      </c>
      <c r="N449" s="46" t="s">
        <v>2406</v>
      </c>
      <c r="O449" s="47" t="s">
        <v>1651</v>
      </c>
      <c r="P449" s="50"/>
      <c r="Q449" s="45"/>
      <c r="R449" s="25"/>
      <c r="S449" s="52"/>
    </row>
    <row r="450" spans="1:19" ht="16.5" customHeight="1" x14ac:dyDescent="0.3">
      <c r="A450" s="27" t="s">
        <v>487</v>
      </c>
      <c r="B450" s="28" t="s">
        <v>488</v>
      </c>
      <c r="C450" s="26" t="s">
        <v>1808</v>
      </c>
      <c r="D450" s="31" t="s">
        <v>152</v>
      </c>
      <c r="E450" s="33" t="s">
        <v>2399</v>
      </c>
      <c r="F450" s="34" t="s">
        <v>563</v>
      </c>
      <c r="G450" s="32" t="s">
        <v>2400</v>
      </c>
      <c r="H450" s="37" t="s">
        <v>1630</v>
      </c>
      <c r="I450" s="39" t="s">
        <v>2407</v>
      </c>
      <c r="J450" s="24" t="s">
        <v>905</v>
      </c>
      <c r="K450" s="40"/>
      <c r="L450" s="38" t="s">
        <v>2408</v>
      </c>
      <c r="M450" s="44" t="s">
        <v>565</v>
      </c>
      <c r="N450" s="46" t="s">
        <v>2409</v>
      </c>
      <c r="O450" s="47" t="s">
        <v>906</v>
      </c>
      <c r="P450" s="50"/>
      <c r="Q450" s="45"/>
      <c r="R450" s="25"/>
      <c r="S450" s="52"/>
    </row>
    <row r="451" spans="1:19" ht="16.5" customHeight="1" x14ac:dyDescent="0.3">
      <c r="A451" s="27" t="s">
        <v>487</v>
      </c>
      <c r="B451" s="28" t="s">
        <v>488</v>
      </c>
      <c r="C451" s="26" t="s">
        <v>1808</v>
      </c>
      <c r="D451" s="31" t="s">
        <v>152</v>
      </c>
      <c r="E451" s="33" t="s">
        <v>2399</v>
      </c>
      <c r="F451" s="34" t="s">
        <v>563</v>
      </c>
      <c r="G451" s="32" t="s">
        <v>2400</v>
      </c>
      <c r="H451" s="37" t="s">
        <v>1630</v>
      </c>
      <c r="I451" s="39" t="s">
        <v>2407</v>
      </c>
      <c r="J451" s="24" t="s">
        <v>905</v>
      </c>
      <c r="K451" s="40"/>
      <c r="L451" s="38" t="s">
        <v>2408</v>
      </c>
      <c r="M451" s="44" t="s">
        <v>565</v>
      </c>
      <c r="N451" s="46" t="s">
        <v>2410</v>
      </c>
      <c r="O451" s="47" t="s">
        <v>907</v>
      </c>
      <c r="P451" s="50"/>
      <c r="Q451" s="45"/>
      <c r="R451" s="25"/>
      <c r="S451" s="52"/>
    </row>
    <row r="452" spans="1:19" ht="16.5" customHeight="1" x14ac:dyDescent="0.3">
      <c r="A452" s="27" t="s">
        <v>487</v>
      </c>
      <c r="B452" s="28" t="s">
        <v>488</v>
      </c>
      <c r="C452" s="26" t="s">
        <v>1808</v>
      </c>
      <c r="D452" s="31" t="s">
        <v>152</v>
      </c>
      <c r="E452" s="33" t="s">
        <v>2399</v>
      </c>
      <c r="F452" s="34" t="s">
        <v>563</v>
      </c>
      <c r="G452" s="32" t="s">
        <v>2400</v>
      </c>
      <c r="H452" s="37" t="s">
        <v>1630</v>
      </c>
      <c r="I452" s="39" t="s">
        <v>2407</v>
      </c>
      <c r="J452" s="24" t="s">
        <v>905</v>
      </c>
      <c r="K452" s="40"/>
      <c r="L452" s="38" t="s">
        <v>2408</v>
      </c>
      <c r="M452" s="44" t="s">
        <v>565</v>
      </c>
      <c r="N452" s="46" t="s">
        <v>2411</v>
      </c>
      <c r="O452" s="47" t="s">
        <v>908</v>
      </c>
      <c r="P452" s="50"/>
      <c r="Q452" s="45"/>
      <c r="R452" s="25"/>
      <c r="S452" s="52"/>
    </row>
    <row r="453" spans="1:19" ht="16.5" customHeight="1" x14ac:dyDescent="0.3">
      <c r="A453" s="27" t="s">
        <v>487</v>
      </c>
      <c r="B453" s="28" t="s">
        <v>488</v>
      </c>
      <c r="C453" s="26" t="s">
        <v>1808</v>
      </c>
      <c r="D453" s="31" t="s">
        <v>152</v>
      </c>
      <c r="E453" s="33" t="s">
        <v>2399</v>
      </c>
      <c r="F453" s="34" t="s">
        <v>563</v>
      </c>
      <c r="G453" s="32" t="s">
        <v>2400</v>
      </c>
      <c r="H453" s="37" t="s">
        <v>1630</v>
      </c>
      <c r="I453" s="39" t="s">
        <v>2407</v>
      </c>
      <c r="J453" s="24" t="s">
        <v>905</v>
      </c>
      <c r="K453" s="40"/>
      <c r="L453" s="38" t="s">
        <v>2412</v>
      </c>
      <c r="M453" s="44" t="s">
        <v>16</v>
      </c>
      <c r="N453" s="46" t="s">
        <v>2413</v>
      </c>
      <c r="O453" s="47" t="s">
        <v>909</v>
      </c>
      <c r="P453" s="50"/>
      <c r="Q453" s="45"/>
      <c r="R453" s="25"/>
      <c r="S453" s="52"/>
    </row>
    <row r="454" spans="1:19" ht="16.5" customHeight="1" x14ac:dyDescent="0.3">
      <c r="A454" s="27" t="s">
        <v>487</v>
      </c>
      <c r="B454" s="28" t="s">
        <v>488</v>
      </c>
      <c r="C454" s="26" t="s">
        <v>1808</v>
      </c>
      <c r="D454" s="31" t="s">
        <v>152</v>
      </c>
      <c r="E454" s="33" t="s">
        <v>2399</v>
      </c>
      <c r="F454" s="34" t="s">
        <v>563</v>
      </c>
      <c r="G454" s="32" t="s">
        <v>2400</v>
      </c>
      <c r="H454" s="37" t="s">
        <v>1630</v>
      </c>
      <c r="I454" s="39" t="s">
        <v>2407</v>
      </c>
      <c r="J454" s="24" t="s">
        <v>905</v>
      </c>
      <c r="K454" s="40"/>
      <c r="L454" s="38" t="s">
        <v>2414</v>
      </c>
      <c r="M454" s="44" t="s">
        <v>123</v>
      </c>
      <c r="N454" s="46"/>
      <c r="O454" s="47"/>
      <c r="P454" s="50"/>
      <c r="Q454" s="45"/>
      <c r="R454" s="25"/>
      <c r="S454" s="52"/>
    </row>
    <row r="455" spans="1:19" ht="17.25" customHeight="1" x14ac:dyDescent="0.3">
      <c r="A455" s="27" t="s">
        <v>487</v>
      </c>
      <c r="B455" s="28" t="s">
        <v>488</v>
      </c>
      <c r="C455" s="26" t="s">
        <v>1808</v>
      </c>
      <c r="D455" s="31" t="s">
        <v>152</v>
      </c>
      <c r="E455" s="33" t="s">
        <v>2399</v>
      </c>
      <c r="F455" s="34" t="s">
        <v>563</v>
      </c>
      <c r="G455" s="32" t="s">
        <v>2400</v>
      </c>
      <c r="H455" s="37" t="s">
        <v>1630</v>
      </c>
      <c r="I455" s="39" t="s">
        <v>2415</v>
      </c>
      <c r="J455" s="24" t="s">
        <v>438</v>
      </c>
      <c r="K455" s="40"/>
      <c r="L455" s="38" t="s">
        <v>2416</v>
      </c>
      <c r="M455" s="44" t="s">
        <v>16</v>
      </c>
      <c r="N455" s="46" t="s">
        <v>2417</v>
      </c>
      <c r="O455" s="47" t="s">
        <v>713</v>
      </c>
      <c r="P455" s="50"/>
      <c r="Q455" s="45"/>
      <c r="R455" s="25"/>
      <c r="S455" s="52"/>
    </row>
    <row r="456" spans="1:19" ht="16.5" customHeight="1" x14ac:dyDescent="0.3">
      <c r="A456" s="27" t="s">
        <v>487</v>
      </c>
      <c r="B456" s="28" t="s">
        <v>488</v>
      </c>
      <c r="C456" s="26" t="s">
        <v>1808</v>
      </c>
      <c r="D456" s="31" t="s">
        <v>152</v>
      </c>
      <c r="E456" s="33" t="s">
        <v>2399</v>
      </c>
      <c r="F456" s="34" t="s">
        <v>563</v>
      </c>
      <c r="G456" s="32" t="s">
        <v>2400</v>
      </c>
      <c r="H456" s="37" t="s">
        <v>1630</v>
      </c>
      <c r="I456" s="39" t="s">
        <v>2415</v>
      </c>
      <c r="J456" s="24" t="s">
        <v>438</v>
      </c>
      <c r="K456" s="40"/>
      <c r="L456" s="38" t="s">
        <v>2418</v>
      </c>
      <c r="M456" s="44" t="s">
        <v>123</v>
      </c>
      <c r="N456" s="46" t="s">
        <v>2419</v>
      </c>
      <c r="O456" s="47" t="s">
        <v>1654</v>
      </c>
      <c r="P456" s="50"/>
      <c r="Q456" s="45"/>
      <c r="R456" s="25"/>
      <c r="S456" s="52"/>
    </row>
    <row r="457" spans="1:19" ht="16.5" customHeight="1" x14ac:dyDescent="0.3">
      <c r="A457" s="27" t="s">
        <v>487</v>
      </c>
      <c r="B457" s="28" t="s">
        <v>488</v>
      </c>
      <c r="C457" s="26" t="s">
        <v>1808</v>
      </c>
      <c r="D457" s="31" t="s">
        <v>152</v>
      </c>
      <c r="E457" s="33" t="s">
        <v>2399</v>
      </c>
      <c r="F457" s="34" t="s">
        <v>563</v>
      </c>
      <c r="G457" s="32" t="s">
        <v>2400</v>
      </c>
      <c r="H457" s="37" t="s">
        <v>1630</v>
      </c>
      <c r="I457" s="39" t="s">
        <v>2420</v>
      </c>
      <c r="J457" s="24" t="s">
        <v>439</v>
      </c>
      <c r="K457" s="40"/>
      <c r="L457" s="38" t="s">
        <v>2421</v>
      </c>
      <c r="M457" s="44" t="s">
        <v>123</v>
      </c>
      <c r="N457" s="46" t="s">
        <v>2422</v>
      </c>
      <c r="O457" s="47" t="s">
        <v>1654</v>
      </c>
      <c r="P457" s="50"/>
      <c r="Q457" s="45"/>
      <c r="R457" s="25"/>
      <c r="S457" s="52"/>
    </row>
    <row r="458" spans="1:19" ht="16.5" customHeight="1" x14ac:dyDescent="0.3">
      <c r="A458" s="27" t="s">
        <v>487</v>
      </c>
      <c r="B458" s="28" t="s">
        <v>488</v>
      </c>
      <c r="C458" s="26" t="s">
        <v>1808</v>
      </c>
      <c r="D458" s="31" t="s">
        <v>152</v>
      </c>
      <c r="E458" s="33" t="s">
        <v>2399</v>
      </c>
      <c r="F458" s="34" t="s">
        <v>563</v>
      </c>
      <c r="G458" s="32" t="s">
        <v>2400</v>
      </c>
      <c r="H458" s="37" t="s">
        <v>1630</v>
      </c>
      <c r="I458" s="39" t="s">
        <v>2423</v>
      </c>
      <c r="J458" s="24" t="s">
        <v>910</v>
      </c>
      <c r="K458" s="40"/>
      <c r="L458" s="38" t="s">
        <v>2424</v>
      </c>
      <c r="M458" s="44" t="s">
        <v>8</v>
      </c>
      <c r="N458" s="46" t="s">
        <v>2425</v>
      </c>
      <c r="O458" s="47" t="s">
        <v>1505</v>
      </c>
      <c r="P458" s="50"/>
      <c r="Q458" s="45"/>
      <c r="R458" s="25"/>
      <c r="S458" s="52"/>
    </row>
    <row r="459" spans="1:19" ht="16.5" customHeight="1" x14ac:dyDescent="0.3">
      <c r="A459" s="27" t="s">
        <v>487</v>
      </c>
      <c r="B459" s="28" t="s">
        <v>488</v>
      </c>
      <c r="C459" s="26" t="s">
        <v>1808</v>
      </c>
      <c r="D459" s="31" t="s">
        <v>152</v>
      </c>
      <c r="E459" s="33" t="s">
        <v>2399</v>
      </c>
      <c r="F459" s="34" t="s">
        <v>563</v>
      </c>
      <c r="G459" s="32" t="s">
        <v>2400</v>
      </c>
      <c r="H459" s="37" t="s">
        <v>1630</v>
      </c>
      <c r="I459" s="39" t="s">
        <v>2423</v>
      </c>
      <c r="J459" s="24" t="s">
        <v>910</v>
      </c>
      <c r="K459" s="40"/>
      <c r="L459" s="38" t="s">
        <v>2424</v>
      </c>
      <c r="M459" s="44" t="s">
        <v>8</v>
      </c>
      <c r="N459" s="46" t="s">
        <v>2426</v>
      </c>
      <c r="O459" s="47" t="s">
        <v>911</v>
      </c>
      <c r="P459" s="50"/>
      <c r="Q459" s="45"/>
      <c r="R459" s="25"/>
      <c r="S459" s="52"/>
    </row>
    <row r="460" spans="1:19" ht="16.5" customHeight="1" x14ac:dyDescent="0.3">
      <c r="A460" s="27" t="s">
        <v>487</v>
      </c>
      <c r="B460" s="28" t="s">
        <v>488</v>
      </c>
      <c r="C460" s="26" t="s">
        <v>1808</v>
      </c>
      <c r="D460" s="31" t="s">
        <v>152</v>
      </c>
      <c r="E460" s="33" t="s">
        <v>2399</v>
      </c>
      <c r="F460" s="34" t="s">
        <v>563</v>
      </c>
      <c r="G460" s="32" t="s">
        <v>2400</v>
      </c>
      <c r="H460" s="37" t="s">
        <v>1630</v>
      </c>
      <c r="I460" s="39" t="s">
        <v>2423</v>
      </c>
      <c r="J460" s="24" t="s">
        <v>910</v>
      </c>
      <c r="K460" s="40"/>
      <c r="L460" s="38" t="s">
        <v>2427</v>
      </c>
      <c r="M460" s="44" t="s">
        <v>16</v>
      </c>
      <c r="N460" s="46" t="s">
        <v>2428</v>
      </c>
      <c r="O460" s="47" t="s">
        <v>912</v>
      </c>
      <c r="P460" s="50"/>
      <c r="Q460" s="45"/>
      <c r="R460" s="25"/>
      <c r="S460" s="52"/>
    </row>
    <row r="461" spans="1:19" ht="16.5" customHeight="1" x14ac:dyDescent="0.3">
      <c r="A461" s="27" t="s">
        <v>487</v>
      </c>
      <c r="B461" s="28" t="s">
        <v>488</v>
      </c>
      <c r="C461" s="26" t="s">
        <v>1808</v>
      </c>
      <c r="D461" s="31" t="s">
        <v>152</v>
      </c>
      <c r="E461" s="33" t="s">
        <v>2399</v>
      </c>
      <c r="F461" s="34" t="s">
        <v>563</v>
      </c>
      <c r="G461" s="32" t="s">
        <v>2400</v>
      </c>
      <c r="H461" s="37" t="s">
        <v>1630</v>
      </c>
      <c r="I461" s="39" t="s">
        <v>2423</v>
      </c>
      <c r="J461" s="24" t="s">
        <v>910</v>
      </c>
      <c r="K461" s="40"/>
      <c r="L461" s="38" t="s">
        <v>2427</v>
      </c>
      <c r="M461" s="44" t="s">
        <v>16</v>
      </c>
      <c r="N461" s="46" t="s">
        <v>2429</v>
      </c>
      <c r="O461" s="47" t="s">
        <v>913</v>
      </c>
      <c r="P461" s="50"/>
      <c r="Q461" s="45"/>
      <c r="R461" s="25"/>
      <c r="S461" s="52"/>
    </row>
    <row r="462" spans="1:19" ht="16.5" customHeight="1" x14ac:dyDescent="0.3">
      <c r="A462" s="27" t="s">
        <v>487</v>
      </c>
      <c r="B462" s="28" t="s">
        <v>488</v>
      </c>
      <c r="C462" s="26" t="s">
        <v>1808</v>
      </c>
      <c r="D462" s="31" t="s">
        <v>152</v>
      </c>
      <c r="E462" s="33" t="s">
        <v>2399</v>
      </c>
      <c r="F462" s="34" t="s">
        <v>563</v>
      </c>
      <c r="G462" s="32" t="s">
        <v>2400</v>
      </c>
      <c r="H462" s="37" t="s">
        <v>1630</v>
      </c>
      <c r="I462" s="39" t="s">
        <v>2423</v>
      </c>
      <c r="J462" s="24" t="s">
        <v>910</v>
      </c>
      <c r="K462" s="40"/>
      <c r="L462" s="38" t="s">
        <v>2427</v>
      </c>
      <c r="M462" s="44" t="s">
        <v>16</v>
      </c>
      <c r="N462" s="46" t="s">
        <v>2430</v>
      </c>
      <c r="O462" s="47" t="s">
        <v>914</v>
      </c>
      <c r="P462" s="50"/>
      <c r="Q462" s="45"/>
      <c r="R462" s="25"/>
      <c r="S462" s="52"/>
    </row>
    <row r="463" spans="1:19" ht="16.5" customHeight="1" x14ac:dyDescent="0.3">
      <c r="A463" s="27" t="s">
        <v>487</v>
      </c>
      <c r="B463" s="28" t="s">
        <v>488</v>
      </c>
      <c r="C463" s="26" t="s">
        <v>1808</v>
      </c>
      <c r="D463" s="31" t="s">
        <v>152</v>
      </c>
      <c r="E463" s="33" t="s">
        <v>2399</v>
      </c>
      <c r="F463" s="34" t="s">
        <v>563</v>
      </c>
      <c r="G463" s="32" t="s">
        <v>2400</v>
      </c>
      <c r="H463" s="37" t="s">
        <v>1630</v>
      </c>
      <c r="I463" s="39" t="s">
        <v>2423</v>
      </c>
      <c r="J463" s="24" t="s">
        <v>910</v>
      </c>
      <c r="K463" s="40"/>
      <c r="L463" s="38" t="s">
        <v>2431</v>
      </c>
      <c r="M463" s="44" t="s">
        <v>123</v>
      </c>
      <c r="N463" s="46"/>
      <c r="O463" s="47"/>
      <c r="P463" s="50"/>
      <c r="Q463" s="45"/>
      <c r="R463" s="25"/>
      <c r="S463" s="52"/>
    </row>
    <row r="464" spans="1:19" ht="16.5" customHeight="1" x14ac:dyDescent="0.3">
      <c r="A464" s="27" t="s">
        <v>487</v>
      </c>
      <c r="B464" s="28" t="s">
        <v>488</v>
      </c>
      <c r="C464" s="26" t="s">
        <v>1808</v>
      </c>
      <c r="D464" s="31" t="s">
        <v>152</v>
      </c>
      <c r="E464" s="33" t="s">
        <v>2399</v>
      </c>
      <c r="F464" s="34" t="s">
        <v>563</v>
      </c>
      <c r="G464" s="32" t="s">
        <v>2400</v>
      </c>
      <c r="H464" s="37" t="s">
        <v>1630</v>
      </c>
      <c r="I464" s="39" t="s">
        <v>2432</v>
      </c>
      <c r="J464" s="24" t="s">
        <v>169</v>
      </c>
      <c r="K464" s="40"/>
      <c r="L464" s="38"/>
      <c r="M464" s="44"/>
      <c r="N464" s="46"/>
      <c r="O464" s="47"/>
      <c r="P464" s="50"/>
      <c r="Q464" s="45"/>
      <c r="R464" s="25"/>
      <c r="S464" s="52"/>
    </row>
    <row r="465" spans="1:19" ht="16.5" customHeight="1" x14ac:dyDescent="0.3">
      <c r="A465" s="27" t="s">
        <v>487</v>
      </c>
      <c r="B465" s="28" t="s">
        <v>488</v>
      </c>
      <c r="C465" s="26" t="s">
        <v>1808</v>
      </c>
      <c r="D465" s="31" t="s">
        <v>152</v>
      </c>
      <c r="E465" s="33" t="s">
        <v>2399</v>
      </c>
      <c r="F465" s="34" t="s">
        <v>563</v>
      </c>
      <c r="G465" s="32" t="s">
        <v>2433</v>
      </c>
      <c r="H465" s="37" t="s">
        <v>1610</v>
      </c>
      <c r="I465" s="39" t="s">
        <v>2434</v>
      </c>
      <c r="J465" s="24" t="s">
        <v>440</v>
      </c>
      <c r="K465" s="40"/>
      <c r="L465" s="38" t="s">
        <v>2435</v>
      </c>
      <c r="M465" s="44" t="s">
        <v>564</v>
      </c>
      <c r="N465" s="46" t="s">
        <v>2436</v>
      </c>
      <c r="O465" s="47" t="s">
        <v>917</v>
      </c>
      <c r="P465" s="50"/>
      <c r="Q465" s="45"/>
      <c r="R465" s="25"/>
      <c r="S465" s="52"/>
    </row>
    <row r="466" spans="1:19" ht="16.5" customHeight="1" x14ac:dyDescent="0.3">
      <c r="A466" s="27" t="s">
        <v>487</v>
      </c>
      <c r="B466" s="28" t="s">
        <v>488</v>
      </c>
      <c r="C466" s="26" t="s">
        <v>1808</v>
      </c>
      <c r="D466" s="31" t="s">
        <v>152</v>
      </c>
      <c r="E466" s="33" t="s">
        <v>2399</v>
      </c>
      <c r="F466" s="34" t="s">
        <v>563</v>
      </c>
      <c r="G466" s="32" t="s">
        <v>2433</v>
      </c>
      <c r="H466" s="37" t="s">
        <v>1610</v>
      </c>
      <c r="I466" s="39" t="s">
        <v>2434</v>
      </c>
      <c r="J466" s="24" t="s">
        <v>440</v>
      </c>
      <c r="K466" s="40"/>
      <c r="L466" s="38" t="s">
        <v>2435</v>
      </c>
      <c r="M466" s="44" t="s">
        <v>564</v>
      </c>
      <c r="N466" s="46" t="s">
        <v>2437</v>
      </c>
      <c r="O466" s="47" t="s">
        <v>918</v>
      </c>
      <c r="P466" s="50"/>
      <c r="Q466" s="45"/>
      <c r="R466" s="25"/>
      <c r="S466" s="52"/>
    </row>
    <row r="467" spans="1:19" ht="16.5" customHeight="1" x14ac:dyDescent="0.3">
      <c r="A467" s="27" t="s">
        <v>487</v>
      </c>
      <c r="B467" s="28" t="s">
        <v>488</v>
      </c>
      <c r="C467" s="26" t="s">
        <v>1808</v>
      </c>
      <c r="D467" s="31" t="s">
        <v>152</v>
      </c>
      <c r="E467" s="33" t="s">
        <v>2399</v>
      </c>
      <c r="F467" s="34" t="s">
        <v>563</v>
      </c>
      <c r="G467" s="32" t="s">
        <v>2433</v>
      </c>
      <c r="H467" s="37" t="s">
        <v>1610</v>
      </c>
      <c r="I467" s="39" t="s">
        <v>2434</v>
      </c>
      <c r="J467" s="24" t="s">
        <v>440</v>
      </c>
      <c r="K467" s="40"/>
      <c r="L467" s="38" t="s">
        <v>2435</v>
      </c>
      <c r="M467" s="44" t="s">
        <v>564</v>
      </c>
      <c r="N467" s="46" t="s">
        <v>2438</v>
      </c>
      <c r="O467" s="47" t="s">
        <v>915</v>
      </c>
      <c r="P467" s="50"/>
      <c r="Q467" s="45"/>
      <c r="R467" s="25"/>
      <c r="S467" s="52"/>
    </row>
    <row r="468" spans="1:19" ht="16.5" customHeight="1" x14ac:dyDescent="0.3">
      <c r="A468" s="27" t="s">
        <v>487</v>
      </c>
      <c r="B468" s="28" t="s">
        <v>488</v>
      </c>
      <c r="C468" s="26" t="s">
        <v>1808</v>
      </c>
      <c r="D468" s="31" t="s">
        <v>152</v>
      </c>
      <c r="E468" s="33" t="s">
        <v>2399</v>
      </c>
      <c r="F468" s="34" t="s">
        <v>563</v>
      </c>
      <c r="G468" s="32" t="s">
        <v>2433</v>
      </c>
      <c r="H468" s="37" t="s">
        <v>1610</v>
      </c>
      <c r="I468" s="39" t="s">
        <v>2434</v>
      </c>
      <c r="J468" s="24" t="s">
        <v>440</v>
      </c>
      <c r="K468" s="40"/>
      <c r="L468" s="38" t="s">
        <v>2435</v>
      </c>
      <c r="M468" s="44" t="s">
        <v>564</v>
      </c>
      <c r="N468" s="46" t="s">
        <v>2439</v>
      </c>
      <c r="O468" s="47" t="s">
        <v>916</v>
      </c>
      <c r="P468" s="50"/>
      <c r="Q468" s="45"/>
      <c r="R468" s="25"/>
      <c r="S468" s="52"/>
    </row>
    <row r="469" spans="1:19" ht="16.5" customHeight="1" x14ac:dyDescent="0.3">
      <c r="A469" s="27" t="s">
        <v>487</v>
      </c>
      <c r="B469" s="28" t="s">
        <v>488</v>
      </c>
      <c r="C469" s="26" t="s">
        <v>1808</v>
      </c>
      <c r="D469" s="31" t="s">
        <v>152</v>
      </c>
      <c r="E469" s="33" t="s">
        <v>2399</v>
      </c>
      <c r="F469" s="34" t="s">
        <v>563</v>
      </c>
      <c r="G469" s="32" t="s">
        <v>2433</v>
      </c>
      <c r="H469" s="37" t="s">
        <v>1610</v>
      </c>
      <c r="I469" s="39" t="s">
        <v>2434</v>
      </c>
      <c r="J469" s="24" t="s">
        <v>440</v>
      </c>
      <c r="K469" s="40"/>
      <c r="L469" s="38" t="s">
        <v>2435</v>
      </c>
      <c r="M469" s="44" t="s">
        <v>564</v>
      </c>
      <c r="N469" s="46" t="s">
        <v>2440</v>
      </c>
      <c r="O469" s="47" t="s">
        <v>919</v>
      </c>
      <c r="P469" s="50"/>
      <c r="Q469" s="45"/>
      <c r="R469" s="25"/>
      <c r="S469" s="52"/>
    </row>
    <row r="470" spans="1:19" ht="16.5" customHeight="1" x14ac:dyDescent="0.3">
      <c r="A470" s="27" t="s">
        <v>487</v>
      </c>
      <c r="B470" s="28" t="s">
        <v>488</v>
      </c>
      <c r="C470" s="26" t="s">
        <v>1808</v>
      </c>
      <c r="D470" s="31" t="s">
        <v>152</v>
      </c>
      <c r="E470" s="33" t="s">
        <v>2399</v>
      </c>
      <c r="F470" s="34" t="s">
        <v>563</v>
      </c>
      <c r="G470" s="32" t="s">
        <v>2433</v>
      </c>
      <c r="H470" s="37" t="s">
        <v>1610</v>
      </c>
      <c r="I470" s="39" t="s">
        <v>2434</v>
      </c>
      <c r="J470" s="24" t="s">
        <v>440</v>
      </c>
      <c r="K470" s="40"/>
      <c r="L470" s="38" t="s">
        <v>2435</v>
      </c>
      <c r="M470" s="44" t="s">
        <v>564</v>
      </c>
      <c r="N470" s="46" t="s">
        <v>2441</v>
      </c>
      <c r="O470" s="47" t="s">
        <v>1655</v>
      </c>
      <c r="P470" s="50"/>
      <c r="Q470" s="45"/>
      <c r="R470" s="25"/>
      <c r="S470" s="52"/>
    </row>
    <row r="471" spans="1:19" ht="16.5" customHeight="1" x14ac:dyDescent="0.3">
      <c r="A471" s="27" t="s">
        <v>487</v>
      </c>
      <c r="B471" s="28" t="s">
        <v>488</v>
      </c>
      <c r="C471" s="26" t="s">
        <v>1808</v>
      </c>
      <c r="D471" s="31" t="s">
        <v>152</v>
      </c>
      <c r="E471" s="33" t="s">
        <v>2399</v>
      </c>
      <c r="F471" s="34" t="s">
        <v>563</v>
      </c>
      <c r="G471" s="32" t="s">
        <v>2433</v>
      </c>
      <c r="H471" s="37" t="s">
        <v>1610</v>
      </c>
      <c r="I471" s="39" t="s">
        <v>2434</v>
      </c>
      <c r="J471" s="24" t="s">
        <v>440</v>
      </c>
      <c r="K471" s="40"/>
      <c r="L471" s="38" t="s">
        <v>2442</v>
      </c>
      <c r="M471" s="44" t="s">
        <v>26</v>
      </c>
      <c r="N471" s="46" t="s">
        <v>2443</v>
      </c>
      <c r="O471" s="47" t="s">
        <v>923</v>
      </c>
      <c r="P471" s="50"/>
      <c r="Q471" s="45"/>
      <c r="R471" s="25"/>
      <c r="S471" s="52"/>
    </row>
    <row r="472" spans="1:19" ht="16.5" customHeight="1" x14ac:dyDescent="0.3">
      <c r="A472" s="27" t="s">
        <v>487</v>
      </c>
      <c r="B472" s="28" t="s">
        <v>488</v>
      </c>
      <c r="C472" s="26" t="s">
        <v>1808</v>
      </c>
      <c r="D472" s="31" t="s">
        <v>152</v>
      </c>
      <c r="E472" s="33" t="s">
        <v>2399</v>
      </c>
      <c r="F472" s="34" t="s">
        <v>563</v>
      </c>
      <c r="G472" s="32" t="s">
        <v>2433</v>
      </c>
      <c r="H472" s="37" t="s">
        <v>1610</v>
      </c>
      <c r="I472" s="39" t="s">
        <v>2434</v>
      </c>
      <c r="J472" s="24" t="s">
        <v>440</v>
      </c>
      <c r="K472" s="40"/>
      <c r="L472" s="38" t="s">
        <v>2442</v>
      </c>
      <c r="M472" s="44" t="s">
        <v>26</v>
      </c>
      <c r="N472" s="46" t="s">
        <v>2444</v>
      </c>
      <c r="O472" s="47" t="s">
        <v>920</v>
      </c>
      <c r="P472" s="50"/>
      <c r="Q472" s="45"/>
      <c r="R472" s="25"/>
      <c r="S472" s="52"/>
    </row>
    <row r="473" spans="1:19" ht="16.5" customHeight="1" x14ac:dyDescent="0.3">
      <c r="A473" s="27" t="s">
        <v>487</v>
      </c>
      <c r="B473" s="28" t="s">
        <v>488</v>
      </c>
      <c r="C473" s="26" t="s">
        <v>1808</v>
      </c>
      <c r="D473" s="31" t="s">
        <v>152</v>
      </c>
      <c r="E473" s="33" t="s">
        <v>2399</v>
      </c>
      <c r="F473" s="34" t="s">
        <v>563</v>
      </c>
      <c r="G473" s="32" t="s">
        <v>2433</v>
      </c>
      <c r="H473" s="37" t="s">
        <v>1610</v>
      </c>
      <c r="I473" s="39" t="s">
        <v>2434</v>
      </c>
      <c r="J473" s="24" t="s">
        <v>440</v>
      </c>
      <c r="K473" s="40"/>
      <c r="L473" s="38" t="s">
        <v>2442</v>
      </c>
      <c r="M473" s="44" t="s">
        <v>26</v>
      </c>
      <c r="N473" s="46" t="s">
        <v>2445</v>
      </c>
      <c r="O473" s="47" t="s">
        <v>921</v>
      </c>
      <c r="P473" s="50"/>
      <c r="Q473" s="45"/>
      <c r="R473" s="25"/>
      <c r="S473" s="52"/>
    </row>
    <row r="474" spans="1:19" ht="16.5" customHeight="1" x14ac:dyDescent="0.3">
      <c r="A474" s="27" t="s">
        <v>487</v>
      </c>
      <c r="B474" s="28" t="s">
        <v>488</v>
      </c>
      <c r="C474" s="26" t="s">
        <v>1808</v>
      </c>
      <c r="D474" s="31" t="s">
        <v>152</v>
      </c>
      <c r="E474" s="33" t="s">
        <v>2399</v>
      </c>
      <c r="F474" s="34" t="s">
        <v>563</v>
      </c>
      <c r="G474" s="32" t="s">
        <v>2433</v>
      </c>
      <c r="H474" s="37" t="s">
        <v>1610</v>
      </c>
      <c r="I474" s="39" t="s">
        <v>2434</v>
      </c>
      <c r="J474" s="24" t="s">
        <v>440</v>
      </c>
      <c r="K474" s="40"/>
      <c r="L474" s="38" t="s">
        <v>2442</v>
      </c>
      <c r="M474" s="44" t="s">
        <v>26</v>
      </c>
      <c r="N474" s="46" t="s">
        <v>2446</v>
      </c>
      <c r="O474" s="47" t="s">
        <v>922</v>
      </c>
      <c r="P474" s="50"/>
      <c r="Q474" s="45"/>
      <c r="R474" s="25"/>
      <c r="S474" s="52"/>
    </row>
    <row r="475" spans="1:19" ht="16.5" customHeight="1" x14ac:dyDescent="0.3">
      <c r="A475" s="27" t="s">
        <v>487</v>
      </c>
      <c r="B475" s="28" t="s">
        <v>488</v>
      </c>
      <c r="C475" s="26" t="s">
        <v>1808</v>
      </c>
      <c r="D475" s="31" t="s">
        <v>152</v>
      </c>
      <c r="E475" s="33" t="s">
        <v>2399</v>
      </c>
      <c r="F475" s="34" t="s">
        <v>563</v>
      </c>
      <c r="G475" s="32" t="s">
        <v>2433</v>
      </c>
      <c r="H475" s="37" t="s">
        <v>1610</v>
      </c>
      <c r="I475" s="39" t="s">
        <v>2434</v>
      </c>
      <c r="J475" s="24" t="s">
        <v>440</v>
      </c>
      <c r="K475" s="40"/>
      <c r="L475" s="38" t="s">
        <v>2447</v>
      </c>
      <c r="M475" s="44" t="s">
        <v>16</v>
      </c>
      <c r="N475" s="46" t="s">
        <v>2448</v>
      </c>
      <c r="O475" s="47" t="s">
        <v>924</v>
      </c>
      <c r="P475" s="50"/>
      <c r="Q475" s="45"/>
      <c r="R475" s="25"/>
      <c r="S475" s="52"/>
    </row>
    <row r="476" spans="1:19" ht="16.5" customHeight="1" x14ac:dyDescent="0.3">
      <c r="A476" s="27" t="s">
        <v>487</v>
      </c>
      <c r="B476" s="28" t="s">
        <v>488</v>
      </c>
      <c r="C476" s="26" t="s">
        <v>1808</v>
      </c>
      <c r="D476" s="31" t="s">
        <v>152</v>
      </c>
      <c r="E476" s="33" t="s">
        <v>2399</v>
      </c>
      <c r="F476" s="34" t="s">
        <v>563</v>
      </c>
      <c r="G476" s="32" t="s">
        <v>2433</v>
      </c>
      <c r="H476" s="37" t="s">
        <v>1610</v>
      </c>
      <c r="I476" s="39" t="s">
        <v>2434</v>
      </c>
      <c r="J476" s="24" t="s">
        <v>440</v>
      </c>
      <c r="K476" s="40"/>
      <c r="L476" s="38" t="s">
        <v>2449</v>
      </c>
      <c r="M476" s="44" t="s">
        <v>30</v>
      </c>
      <c r="N476" s="46" t="s">
        <v>2450</v>
      </c>
      <c r="O476" s="47" t="s">
        <v>1656</v>
      </c>
      <c r="P476" s="50"/>
      <c r="Q476" s="45"/>
      <c r="R476" s="25"/>
      <c r="S476" s="52"/>
    </row>
    <row r="477" spans="1:19" ht="16.5" customHeight="1" x14ac:dyDescent="0.3">
      <c r="A477" s="27" t="s">
        <v>487</v>
      </c>
      <c r="B477" s="28" t="s">
        <v>488</v>
      </c>
      <c r="C477" s="26" t="s">
        <v>1808</v>
      </c>
      <c r="D477" s="31" t="s">
        <v>152</v>
      </c>
      <c r="E477" s="33" t="s">
        <v>2399</v>
      </c>
      <c r="F477" s="34" t="s">
        <v>563</v>
      </c>
      <c r="G477" s="32" t="s">
        <v>2433</v>
      </c>
      <c r="H477" s="37" t="s">
        <v>1610</v>
      </c>
      <c r="I477" s="39" t="s">
        <v>2434</v>
      </c>
      <c r="J477" s="24" t="s">
        <v>440</v>
      </c>
      <c r="K477" s="40"/>
      <c r="L477" s="38" t="s">
        <v>2449</v>
      </c>
      <c r="M477" s="44" t="s">
        <v>30</v>
      </c>
      <c r="N477" s="46" t="s">
        <v>2451</v>
      </c>
      <c r="O477" s="47" t="s">
        <v>1659</v>
      </c>
      <c r="P477" s="50"/>
      <c r="Q477" s="45"/>
      <c r="R477" s="25"/>
      <c r="S477" s="52"/>
    </row>
    <row r="478" spans="1:19" ht="16.5" customHeight="1" x14ac:dyDescent="0.3">
      <c r="A478" s="27" t="s">
        <v>487</v>
      </c>
      <c r="B478" s="28" t="s">
        <v>488</v>
      </c>
      <c r="C478" s="26" t="s">
        <v>1808</v>
      </c>
      <c r="D478" s="31" t="s">
        <v>152</v>
      </c>
      <c r="E478" s="33" t="s">
        <v>2399</v>
      </c>
      <c r="F478" s="34" t="s">
        <v>563</v>
      </c>
      <c r="G478" s="32" t="s">
        <v>2433</v>
      </c>
      <c r="H478" s="37" t="s">
        <v>1610</v>
      </c>
      <c r="I478" s="39" t="s">
        <v>2434</v>
      </c>
      <c r="J478" s="24" t="s">
        <v>440</v>
      </c>
      <c r="K478" s="40"/>
      <c r="L478" s="38" t="s">
        <v>2449</v>
      </c>
      <c r="M478" s="44" t="s">
        <v>30</v>
      </c>
      <c r="N478" s="46" t="s">
        <v>2452</v>
      </c>
      <c r="O478" s="47" t="s">
        <v>1657</v>
      </c>
      <c r="P478" s="50"/>
      <c r="Q478" s="45"/>
      <c r="R478" s="25"/>
      <c r="S478" s="52"/>
    </row>
    <row r="479" spans="1:19" ht="16.5" customHeight="1" x14ac:dyDescent="0.3">
      <c r="A479" s="27" t="s">
        <v>487</v>
      </c>
      <c r="B479" s="28" t="s">
        <v>488</v>
      </c>
      <c r="C479" s="26" t="s">
        <v>1808</v>
      </c>
      <c r="D479" s="31" t="s">
        <v>152</v>
      </c>
      <c r="E479" s="33" t="s">
        <v>2399</v>
      </c>
      <c r="F479" s="34" t="s">
        <v>563</v>
      </c>
      <c r="G479" s="32" t="s">
        <v>2433</v>
      </c>
      <c r="H479" s="37" t="s">
        <v>1610</v>
      </c>
      <c r="I479" s="39" t="s">
        <v>2434</v>
      </c>
      <c r="J479" s="24" t="s">
        <v>440</v>
      </c>
      <c r="K479" s="40"/>
      <c r="L479" s="38" t="s">
        <v>2449</v>
      </c>
      <c r="M479" s="44" t="s">
        <v>30</v>
      </c>
      <c r="N479" s="46" t="s">
        <v>2453</v>
      </c>
      <c r="O479" s="47" t="s">
        <v>1658</v>
      </c>
      <c r="P479" s="50"/>
      <c r="Q479" s="45"/>
      <c r="R479" s="25"/>
      <c r="S479" s="52"/>
    </row>
    <row r="480" spans="1:19" ht="16.5" customHeight="1" x14ac:dyDescent="0.3">
      <c r="A480" s="27" t="s">
        <v>487</v>
      </c>
      <c r="B480" s="28" t="s">
        <v>488</v>
      </c>
      <c r="C480" s="26" t="s">
        <v>1808</v>
      </c>
      <c r="D480" s="31" t="s">
        <v>152</v>
      </c>
      <c r="E480" s="33" t="s">
        <v>2399</v>
      </c>
      <c r="F480" s="34" t="s">
        <v>563</v>
      </c>
      <c r="G480" s="32" t="s">
        <v>2433</v>
      </c>
      <c r="H480" s="37" t="s">
        <v>1610</v>
      </c>
      <c r="I480" s="39" t="s">
        <v>2434</v>
      </c>
      <c r="J480" s="24" t="s">
        <v>440</v>
      </c>
      <c r="K480" s="40"/>
      <c r="L480" s="38" t="s">
        <v>2454</v>
      </c>
      <c r="M480" s="44" t="s">
        <v>123</v>
      </c>
      <c r="N480" s="46" t="s">
        <v>2455</v>
      </c>
      <c r="O480" s="47" t="s">
        <v>1654</v>
      </c>
      <c r="P480" s="50"/>
      <c r="Q480" s="45"/>
      <c r="R480" s="25"/>
      <c r="S480" s="52"/>
    </row>
    <row r="481" spans="1:19" ht="16.5" customHeight="1" x14ac:dyDescent="0.3">
      <c r="A481" s="27" t="s">
        <v>487</v>
      </c>
      <c r="B481" s="28" t="s">
        <v>488</v>
      </c>
      <c r="C481" s="26" t="s">
        <v>1808</v>
      </c>
      <c r="D481" s="31" t="s">
        <v>152</v>
      </c>
      <c r="E481" s="33" t="s">
        <v>2399</v>
      </c>
      <c r="F481" s="34" t="s">
        <v>563</v>
      </c>
      <c r="G481" s="32" t="s">
        <v>2433</v>
      </c>
      <c r="H481" s="37" t="s">
        <v>1610</v>
      </c>
      <c r="I481" s="39" t="s">
        <v>2456</v>
      </c>
      <c r="J481" s="24" t="s">
        <v>441</v>
      </c>
      <c r="K481" s="40"/>
      <c r="L481" s="38" t="s">
        <v>2457</v>
      </c>
      <c r="M481" s="44" t="s">
        <v>564</v>
      </c>
      <c r="N481" s="46" t="s">
        <v>2458</v>
      </c>
      <c r="O481" s="47" t="s">
        <v>927</v>
      </c>
      <c r="P481" s="50"/>
      <c r="Q481" s="45"/>
      <c r="R481" s="25"/>
      <c r="S481" s="52"/>
    </row>
    <row r="482" spans="1:19" ht="16.5" customHeight="1" x14ac:dyDescent="0.3">
      <c r="A482" s="27" t="s">
        <v>487</v>
      </c>
      <c r="B482" s="28" t="s">
        <v>488</v>
      </c>
      <c r="C482" s="26" t="s">
        <v>1808</v>
      </c>
      <c r="D482" s="31" t="s">
        <v>152</v>
      </c>
      <c r="E482" s="33" t="s">
        <v>2399</v>
      </c>
      <c r="F482" s="34" t="s">
        <v>563</v>
      </c>
      <c r="G482" s="32" t="s">
        <v>2433</v>
      </c>
      <c r="H482" s="37" t="s">
        <v>1610</v>
      </c>
      <c r="I482" s="39" t="s">
        <v>2456</v>
      </c>
      <c r="J482" s="24" t="s">
        <v>441</v>
      </c>
      <c r="K482" s="40"/>
      <c r="L482" s="38" t="s">
        <v>2457</v>
      </c>
      <c r="M482" s="44" t="s">
        <v>564</v>
      </c>
      <c r="N482" s="46" t="s">
        <v>2459</v>
      </c>
      <c r="O482" s="47" t="s">
        <v>928</v>
      </c>
      <c r="P482" s="50"/>
      <c r="Q482" s="45"/>
      <c r="R482" s="25"/>
      <c r="S482" s="52"/>
    </row>
    <row r="483" spans="1:19" ht="16.5" customHeight="1" x14ac:dyDescent="0.3">
      <c r="A483" s="27" t="s">
        <v>487</v>
      </c>
      <c r="B483" s="28" t="s">
        <v>488</v>
      </c>
      <c r="C483" s="26" t="s">
        <v>1808</v>
      </c>
      <c r="D483" s="31" t="s">
        <v>152</v>
      </c>
      <c r="E483" s="33" t="s">
        <v>2399</v>
      </c>
      <c r="F483" s="34" t="s">
        <v>563</v>
      </c>
      <c r="G483" s="32" t="s">
        <v>2433</v>
      </c>
      <c r="H483" s="37" t="s">
        <v>1610</v>
      </c>
      <c r="I483" s="39" t="s">
        <v>2456</v>
      </c>
      <c r="J483" s="24" t="s">
        <v>441</v>
      </c>
      <c r="K483" s="40"/>
      <c r="L483" s="38" t="s">
        <v>2457</v>
      </c>
      <c r="M483" s="44" t="s">
        <v>564</v>
      </c>
      <c r="N483" s="46" t="s">
        <v>2460</v>
      </c>
      <c r="O483" s="47" t="s">
        <v>925</v>
      </c>
      <c r="P483" s="50"/>
      <c r="Q483" s="45"/>
      <c r="R483" s="25"/>
      <c r="S483" s="52"/>
    </row>
    <row r="484" spans="1:19" ht="16.5" customHeight="1" x14ac:dyDescent="0.3">
      <c r="A484" s="27" t="s">
        <v>487</v>
      </c>
      <c r="B484" s="28" t="s">
        <v>488</v>
      </c>
      <c r="C484" s="26" t="s">
        <v>1808</v>
      </c>
      <c r="D484" s="31" t="s">
        <v>152</v>
      </c>
      <c r="E484" s="33" t="s">
        <v>2399</v>
      </c>
      <c r="F484" s="34" t="s">
        <v>563</v>
      </c>
      <c r="G484" s="32" t="s">
        <v>2433</v>
      </c>
      <c r="H484" s="37" t="s">
        <v>1610</v>
      </c>
      <c r="I484" s="39" t="s">
        <v>2456</v>
      </c>
      <c r="J484" s="24" t="s">
        <v>441</v>
      </c>
      <c r="K484" s="40"/>
      <c r="L484" s="38" t="s">
        <v>2457</v>
      </c>
      <c r="M484" s="44" t="s">
        <v>564</v>
      </c>
      <c r="N484" s="46" t="s">
        <v>2461</v>
      </c>
      <c r="O484" s="47" t="s">
        <v>926</v>
      </c>
      <c r="P484" s="50"/>
      <c r="Q484" s="45"/>
      <c r="R484" s="25"/>
      <c r="S484" s="52"/>
    </row>
    <row r="485" spans="1:19" ht="16.5" customHeight="1" x14ac:dyDescent="0.3">
      <c r="A485" s="27" t="s">
        <v>487</v>
      </c>
      <c r="B485" s="28" t="s">
        <v>488</v>
      </c>
      <c r="C485" s="26" t="s">
        <v>1808</v>
      </c>
      <c r="D485" s="31" t="s">
        <v>152</v>
      </c>
      <c r="E485" s="33" t="s">
        <v>2399</v>
      </c>
      <c r="F485" s="34" t="s">
        <v>563</v>
      </c>
      <c r="G485" s="32" t="s">
        <v>2433</v>
      </c>
      <c r="H485" s="37" t="s">
        <v>1610</v>
      </c>
      <c r="I485" s="39" t="s">
        <v>2456</v>
      </c>
      <c r="J485" s="24" t="s">
        <v>441</v>
      </c>
      <c r="K485" s="40"/>
      <c r="L485" s="38" t="s">
        <v>2457</v>
      </c>
      <c r="M485" s="44" t="s">
        <v>564</v>
      </c>
      <c r="N485" s="46" t="s">
        <v>2462</v>
      </c>
      <c r="O485" s="47" t="s">
        <v>929</v>
      </c>
      <c r="P485" s="50"/>
      <c r="Q485" s="45"/>
      <c r="R485" s="25"/>
      <c r="S485" s="52"/>
    </row>
    <row r="486" spans="1:19" ht="16.5" customHeight="1" x14ac:dyDescent="0.3">
      <c r="A486" s="27" t="s">
        <v>487</v>
      </c>
      <c r="B486" s="28" t="s">
        <v>488</v>
      </c>
      <c r="C486" s="26" t="s">
        <v>1808</v>
      </c>
      <c r="D486" s="31" t="s">
        <v>152</v>
      </c>
      <c r="E486" s="33" t="s">
        <v>2399</v>
      </c>
      <c r="F486" s="34" t="s">
        <v>563</v>
      </c>
      <c r="G486" s="32" t="s">
        <v>2433</v>
      </c>
      <c r="H486" s="37" t="s">
        <v>1610</v>
      </c>
      <c r="I486" s="39" t="s">
        <v>2456</v>
      </c>
      <c r="J486" s="24" t="s">
        <v>441</v>
      </c>
      <c r="K486" s="40"/>
      <c r="L486" s="38" t="s">
        <v>2457</v>
      </c>
      <c r="M486" s="44" t="s">
        <v>564</v>
      </c>
      <c r="N486" s="46" t="s">
        <v>2463</v>
      </c>
      <c r="O486" s="47" t="s">
        <v>1655</v>
      </c>
      <c r="P486" s="50"/>
      <c r="Q486" s="45"/>
      <c r="R486" s="25"/>
      <c r="S486" s="52"/>
    </row>
    <row r="487" spans="1:19" ht="16.5" customHeight="1" x14ac:dyDescent="0.3">
      <c r="A487" s="27" t="s">
        <v>487</v>
      </c>
      <c r="B487" s="28" t="s">
        <v>488</v>
      </c>
      <c r="C487" s="26" t="s">
        <v>1808</v>
      </c>
      <c r="D487" s="31" t="s">
        <v>152</v>
      </c>
      <c r="E487" s="33" t="s">
        <v>2399</v>
      </c>
      <c r="F487" s="34" t="s">
        <v>563</v>
      </c>
      <c r="G487" s="32" t="s">
        <v>2433</v>
      </c>
      <c r="H487" s="37" t="s">
        <v>1610</v>
      </c>
      <c r="I487" s="39" t="s">
        <v>2456</v>
      </c>
      <c r="J487" s="24" t="s">
        <v>441</v>
      </c>
      <c r="K487" s="40"/>
      <c r="L487" s="38" t="s">
        <v>2464</v>
      </c>
      <c r="M487" s="44" t="s">
        <v>26</v>
      </c>
      <c r="N487" s="46" t="s">
        <v>2465</v>
      </c>
      <c r="O487" s="47" t="s">
        <v>933</v>
      </c>
      <c r="P487" s="50"/>
      <c r="Q487" s="45"/>
      <c r="R487" s="25"/>
      <c r="S487" s="52"/>
    </row>
    <row r="488" spans="1:19" ht="16.5" customHeight="1" x14ac:dyDescent="0.3">
      <c r="A488" s="27" t="s">
        <v>487</v>
      </c>
      <c r="B488" s="28" t="s">
        <v>488</v>
      </c>
      <c r="C488" s="26" t="s">
        <v>1808</v>
      </c>
      <c r="D488" s="31" t="s">
        <v>152</v>
      </c>
      <c r="E488" s="33" t="s">
        <v>2399</v>
      </c>
      <c r="F488" s="34" t="s">
        <v>563</v>
      </c>
      <c r="G488" s="32" t="s">
        <v>2433</v>
      </c>
      <c r="H488" s="37" t="s">
        <v>1610</v>
      </c>
      <c r="I488" s="39" t="s">
        <v>2456</v>
      </c>
      <c r="J488" s="24" t="s">
        <v>441</v>
      </c>
      <c r="K488" s="40"/>
      <c r="L488" s="38" t="s">
        <v>2464</v>
      </c>
      <c r="M488" s="44" t="s">
        <v>26</v>
      </c>
      <c r="N488" s="46" t="s">
        <v>2466</v>
      </c>
      <c r="O488" s="47" t="s">
        <v>930</v>
      </c>
      <c r="P488" s="50"/>
      <c r="Q488" s="45"/>
      <c r="R488" s="25"/>
      <c r="S488" s="52"/>
    </row>
    <row r="489" spans="1:19" ht="16.5" customHeight="1" x14ac:dyDescent="0.3">
      <c r="A489" s="27" t="s">
        <v>487</v>
      </c>
      <c r="B489" s="28" t="s">
        <v>488</v>
      </c>
      <c r="C489" s="26" t="s">
        <v>1808</v>
      </c>
      <c r="D489" s="31" t="s">
        <v>152</v>
      </c>
      <c r="E489" s="33" t="s">
        <v>2399</v>
      </c>
      <c r="F489" s="34" t="s">
        <v>563</v>
      </c>
      <c r="G489" s="32" t="s">
        <v>2433</v>
      </c>
      <c r="H489" s="37" t="s">
        <v>1610</v>
      </c>
      <c r="I489" s="39" t="s">
        <v>2456</v>
      </c>
      <c r="J489" s="24" t="s">
        <v>441</v>
      </c>
      <c r="K489" s="40"/>
      <c r="L489" s="38" t="s">
        <v>2464</v>
      </c>
      <c r="M489" s="44" t="s">
        <v>26</v>
      </c>
      <c r="N489" s="46" t="s">
        <v>2467</v>
      </c>
      <c r="O489" s="47" t="s">
        <v>931</v>
      </c>
      <c r="P489" s="50"/>
      <c r="Q489" s="45"/>
      <c r="R489" s="25"/>
      <c r="S489" s="52"/>
    </row>
    <row r="490" spans="1:19" ht="16.5" customHeight="1" x14ac:dyDescent="0.3">
      <c r="A490" s="27" t="s">
        <v>487</v>
      </c>
      <c r="B490" s="28" t="s">
        <v>488</v>
      </c>
      <c r="C490" s="26" t="s">
        <v>1808</v>
      </c>
      <c r="D490" s="31" t="s">
        <v>152</v>
      </c>
      <c r="E490" s="33" t="s">
        <v>2399</v>
      </c>
      <c r="F490" s="34" t="s">
        <v>563</v>
      </c>
      <c r="G490" s="32" t="s">
        <v>2433</v>
      </c>
      <c r="H490" s="37" t="s">
        <v>1610</v>
      </c>
      <c r="I490" s="39" t="s">
        <v>2456</v>
      </c>
      <c r="J490" s="24" t="s">
        <v>441</v>
      </c>
      <c r="K490" s="40"/>
      <c r="L490" s="38" t="s">
        <v>2464</v>
      </c>
      <c r="M490" s="44" t="s">
        <v>26</v>
      </c>
      <c r="N490" s="46" t="s">
        <v>2468</v>
      </c>
      <c r="O490" s="47" t="s">
        <v>932</v>
      </c>
      <c r="P490" s="50"/>
      <c r="Q490" s="45"/>
      <c r="R490" s="25"/>
      <c r="S490" s="52"/>
    </row>
    <row r="491" spans="1:19" ht="16.5" customHeight="1" x14ac:dyDescent="0.3">
      <c r="A491" s="27" t="s">
        <v>487</v>
      </c>
      <c r="B491" s="28" t="s">
        <v>488</v>
      </c>
      <c r="C491" s="26" t="s">
        <v>1808</v>
      </c>
      <c r="D491" s="31" t="s">
        <v>152</v>
      </c>
      <c r="E491" s="33" t="s">
        <v>2399</v>
      </c>
      <c r="F491" s="34" t="s">
        <v>563</v>
      </c>
      <c r="G491" s="32" t="s">
        <v>2433</v>
      </c>
      <c r="H491" s="37" t="s">
        <v>1610</v>
      </c>
      <c r="I491" s="39" t="s">
        <v>2456</v>
      </c>
      <c r="J491" s="24" t="s">
        <v>441</v>
      </c>
      <c r="K491" s="40"/>
      <c r="L491" s="38" t="s">
        <v>2469</v>
      </c>
      <c r="M491" s="44" t="s">
        <v>16</v>
      </c>
      <c r="N491" s="46" t="s">
        <v>2470</v>
      </c>
      <c r="O491" s="47" t="s">
        <v>934</v>
      </c>
      <c r="P491" s="50"/>
      <c r="Q491" s="45"/>
      <c r="R491" s="25"/>
      <c r="S491" s="52"/>
    </row>
    <row r="492" spans="1:19" ht="16.5" customHeight="1" x14ac:dyDescent="0.3">
      <c r="A492" s="27" t="s">
        <v>487</v>
      </c>
      <c r="B492" s="28" t="s">
        <v>488</v>
      </c>
      <c r="C492" s="26" t="s">
        <v>1808</v>
      </c>
      <c r="D492" s="31" t="s">
        <v>152</v>
      </c>
      <c r="E492" s="33" t="s">
        <v>2399</v>
      </c>
      <c r="F492" s="34" t="s">
        <v>563</v>
      </c>
      <c r="G492" s="32" t="s">
        <v>2433</v>
      </c>
      <c r="H492" s="37" t="s">
        <v>1610</v>
      </c>
      <c r="I492" s="39" t="s">
        <v>2456</v>
      </c>
      <c r="J492" s="24" t="s">
        <v>441</v>
      </c>
      <c r="K492" s="40"/>
      <c r="L492" s="38" t="s">
        <v>2471</v>
      </c>
      <c r="M492" s="44" t="s">
        <v>30</v>
      </c>
      <c r="N492" s="46" t="s">
        <v>2472</v>
      </c>
      <c r="O492" s="47" t="s">
        <v>1656</v>
      </c>
      <c r="P492" s="50"/>
      <c r="Q492" s="45"/>
      <c r="R492" s="25"/>
      <c r="S492" s="52"/>
    </row>
    <row r="493" spans="1:19" ht="16.5" customHeight="1" x14ac:dyDescent="0.3">
      <c r="A493" s="27" t="s">
        <v>487</v>
      </c>
      <c r="B493" s="28" t="s">
        <v>488</v>
      </c>
      <c r="C493" s="26" t="s">
        <v>1808</v>
      </c>
      <c r="D493" s="31" t="s">
        <v>152</v>
      </c>
      <c r="E493" s="33" t="s">
        <v>2399</v>
      </c>
      <c r="F493" s="34" t="s">
        <v>563</v>
      </c>
      <c r="G493" s="32" t="s">
        <v>2433</v>
      </c>
      <c r="H493" s="37" t="s">
        <v>1610</v>
      </c>
      <c r="I493" s="39" t="s">
        <v>2456</v>
      </c>
      <c r="J493" s="24" t="s">
        <v>441</v>
      </c>
      <c r="K493" s="40"/>
      <c r="L493" s="38" t="s">
        <v>2471</v>
      </c>
      <c r="M493" s="44" t="s">
        <v>30</v>
      </c>
      <c r="N493" s="46" t="s">
        <v>2473</v>
      </c>
      <c r="O493" s="47" t="s">
        <v>1659</v>
      </c>
      <c r="P493" s="50"/>
      <c r="Q493" s="45"/>
      <c r="R493" s="25"/>
      <c r="S493" s="52"/>
    </row>
    <row r="494" spans="1:19" ht="16.5" customHeight="1" x14ac:dyDescent="0.3">
      <c r="A494" s="27" t="s">
        <v>487</v>
      </c>
      <c r="B494" s="28" t="s">
        <v>488</v>
      </c>
      <c r="C494" s="26" t="s">
        <v>1808</v>
      </c>
      <c r="D494" s="31" t="s">
        <v>152</v>
      </c>
      <c r="E494" s="33" t="s">
        <v>2399</v>
      </c>
      <c r="F494" s="34" t="s">
        <v>563</v>
      </c>
      <c r="G494" s="32" t="s">
        <v>2433</v>
      </c>
      <c r="H494" s="37" t="s">
        <v>1610</v>
      </c>
      <c r="I494" s="39" t="s">
        <v>2456</v>
      </c>
      <c r="J494" s="24" t="s">
        <v>441</v>
      </c>
      <c r="K494" s="40"/>
      <c r="L494" s="38" t="s">
        <v>2471</v>
      </c>
      <c r="M494" s="44" t="s">
        <v>30</v>
      </c>
      <c r="N494" s="46" t="s">
        <v>2474</v>
      </c>
      <c r="O494" s="47" t="s">
        <v>1657</v>
      </c>
      <c r="P494" s="50"/>
      <c r="Q494" s="45"/>
      <c r="R494" s="25"/>
      <c r="S494" s="52"/>
    </row>
    <row r="495" spans="1:19" ht="16.5" customHeight="1" x14ac:dyDescent="0.3">
      <c r="A495" s="27" t="s">
        <v>487</v>
      </c>
      <c r="B495" s="28" t="s">
        <v>488</v>
      </c>
      <c r="C495" s="26" t="s">
        <v>1808</v>
      </c>
      <c r="D495" s="31" t="s">
        <v>152</v>
      </c>
      <c r="E495" s="33" t="s">
        <v>2399</v>
      </c>
      <c r="F495" s="34" t="s">
        <v>563</v>
      </c>
      <c r="G495" s="32" t="s">
        <v>2433</v>
      </c>
      <c r="H495" s="37" t="s">
        <v>1610</v>
      </c>
      <c r="I495" s="39" t="s">
        <v>2456</v>
      </c>
      <c r="J495" s="24" t="s">
        <v>441</v>
      </c>
      <c r="K495" s="40"/>
      <c r="L495" s="38" t="s">
        <v>2471</v>
      </c>
      <c r="M495" s="44" t="s">
        <v>30</v>
      </c>
      <c r="N495" s="46" t="s">
        <v>2475</v>
      </c>
      <c r="O495" s="47" t="s">
        <v>1658</v>
      </c>
      <c r="P495" s="50"/>
      <c r="Q495" s="45"/>
      <c r="R495" s="25"/>
      <c r="S495" s="52"/>
    </row>
    <row r="496" spans="1:19" ht="16.5" customHeight="1" x14ac:dyDescent="0.3">
      <c r="A496" s="27" t="s">
        <v>487</v>
      </c>
      <c r="B496" s="28" t="s">
        <v>488</v>
      </c>
      <c r="C496" s="26" t="s">
        <v>1808</v>
      </c>
      <c r="D496" s="31" t="s">
        <v>152</v>
      </c>
      <c r="E496" s="33" t="s">
        <v>2399</v>
      </c>
      <c r="F496" s="34" t="s">
        <v>563</v>
      </c>
      <c r="G496" s="32" t="s">
        <v>2433</v>
      </c>
      <c r="H496" s="37" t="s">
        <v>1610</v>
      </c>
      <c r="I496" s="39" t="s">
        <v>2456</v>
      </c>
      <c r="J496" s="24" t="s">
        <v>441</v>
      </c>
      <c r="K496" s="40"/>
      <c r="L496" s="38" t="s">
        <v>2476</v>
      </c>
      <c r="M496" s="44" t="s">
        <v>123</v>
      </c>
      <c r="N496" s="46" t="s">
        <v>2477</v>
      </c>
      <c r="O496" s="47" t="s">
        <v>1654</v>
      </c>
      <c r="P496" s="50"/>
      <c r="Q496" s="45"/>
      <c r="R496" s="25"/>
      <c r="S496" s="52"/>
    </row>
    <row r="497" spans="1:19" ht="16.5" customHeight="1" x14ac:dyDescent="0.3">
      <c r="A497" s="27" t="s">
        <v>487</v>
      </c>
      <c r="B497" s="28" t="s">
        <v>488</v>
      </c>
      <c r="C497" s="26" t="s">
        <v>1808</v>
      </c>
      <c r="D497" s="31" t="s">
        <v>152</v>
      </c>
      <c r="E497" s="33" t="s">
        <v>2399</v>
      </c>
      <c r="F497" s="34" t="s">
        <v>563</v>
      </c>
      <c r="G497" s="32" t="s">
        <v>2433</v>
      </c>
      <c r="H497" s="37" t="s">
        <v>1610</v>
      </c>
      <c r="I497" s="39" t="s">
        <v>2478</v>
      </c>
      <c r="J497" s="24" t="s">
        <v>442</v>
      </c>
      <c r="K497" s="40"/>
      <c r="L497" s="38" t="s">
        <v>2479</v>
      </c>
      <c r="M497" s="44" t="s">
        <v>564</v>
      </c>
      <c r="N497" s="46" t="s">
        <v>2480</v>
      </c>
      <c r="O497" s="47" t="s">
        <v>940</v>
      </c>
      <c r="P497" s="50"/>
      <c r="Q497" s="45"/>
      <c r="R497" s="25"/>
      <c r="S497" s="52"/>
    </row>
    <row r="498" spans="1:19" ht="16.5" customHeight="1" x14ac:dyDescent="0.3">
      <c r="A498" s="27" t="s">
        <v>487</v>
      </c>
      <c r="B498" s="28" t="s">
        <v>488</v>
      </c>
      <c r="C498" s="26" t="s">
        <v>1808</v>
      </c>
      <c r="D498" s="31" t="s">
        <v>152</v>
      </c>
      <c r="E498" s="33" t="s">
        <v>2399</v>
      </c>
      <c r="F498" s="34" t="s">
        <v>563</v>
      </c>
      <c r="G498" s="32" t="s">
        <v>2433</v>
      </c>
      <c r="H498" s="37" t="s">
        <v>1610</v>
      </c>
      <c r="I498" s="39" t="s">
        <v>2478</v>
      </c>
      <c r="J498" s="24" t="s">
        <v>442</v>
      </c>
      <c r="K498" s="40"/>
      <c r="L498" s="38" t="s">
        <v>2479</v>
      </c>
      <c r="M498" s="44" t="s">
        <v>564</v>
      </c>
      <c r="N498" s="46" t="s">
        <v>2481</v>
      </c>
      <c r="O498" s="47" t="s">
        <v>941</v>
      </c>
      <c r="P498" s="50"/>
      <c r="Q498" s="45"/>
      <c r="R498" s="25"/>
      <c r="S498" s="52"/>
    </row>
    <row r="499" spans="1:19" ht="16.5" customHeight="1" x14ac:dyDescent="0.3">
      <c r="A499" s="27" t="s">
        <v>487</v>
      </c>
      <c r="B499" s="28" t="s">
        <v>488</v>
      </c>
      <c r="C499" s="26" t="s">
        <v>1808</v>
      </c>
      <c r="D499" s="31" t="s">
        <v>152</v>
      </c>
      <c r="E499" s="33" t="s">
        <v>2399</v>
      </c>
      <c r="F499" s="34" t="s">
        <v>563</v>
      </c>
      <c r="G499" s="32" t="s">
        <v>2433</v>
      </c>
      <c r="H499" s="37" t="s">
        <v>1610</v>
      </c>
      <c r="I499" s="39" t="s">
        <v>2478</v>
      </c>
      <c r="J499" s="24" t="s">
        <v>442</v>
      </c>
      <c r="K499" s="40"/>
      <c r="L499" s="38" t="s">
        <v>2479</v>
      </c>
      <c r="M499" s="44" t="s">
        <v>564</v>
      </c>
      <c r="N499" s="46" t="s">
        <v>2482</v>
      </c>
      <c r="O499" s="47" t="s">
        <v>935</v>
      </c>
      <c r="P499" s="50"/>
      <c r="Q499" s="45"/>
      <c r="R499" s="25"/>
      <c r="S499" s="52"/>
    </row>
    <row r="500" spans="1:19" ht="16.5" customHeight="1" x14ac:dyDescent="0.3">
      <c r="A500" s="27" t="s">
        <v>487</v>
      </c>
      <c r="B500" s="28" t="s">
        <v>488</v>
      </c>
      <c r="C500" s="26" t="s">
        <v>1808</v>
      </c>
      <c r="D500" s="31" t="s">
        <v>152</v>
      </c>
      <c r="E500" s="33" t="s">
        <v>2399</v>
      </c>
      <c r="F500" s="34" t="s">
        <v>563</v>
      </c>
      <c r="G500" s="32" t="s">
        <v>2433</v>
      </c>
      <c r="H500" s="37" t="s">
        <v>1610</v>
      </c>
      <c r="I500" s="39" t="s">
        <v>2478</v>
      </c>
      <c r="J500" s="24" t="s">
        <v>442</v>
      </c>
      <c r="K500" s="40"/>
      <c r="L500" s="38" t="s">
        <v>2479</v>
      </c>
      <c r="M500" s="44" t="s">
        <v>564</v>
      </c>
      <c r="N500" s="46" t="s">
        <v>2483</v>
      </c>
      <c r="O500" s="47" t="s">
        <v>936</v>
      </c>
      <c r="P500" s="50"/>
      <c r="Q500" s="45"/>
      <c r="R500" s="25"/>
      <c r="S500" s="52"/>
    </row>
    <row r="501" spans="1:19" ht="16.5" customHeight="1" x14ac:dyDescent="0.3">
      <c r="A501" s="27" t="s">
        <v>487</v>
      </c>
      <c r="B501" s="28" t="s">
        <v>488</v>
      </c>
      <c r="C501" s="26" t="s">
        <v>1808</v>
      </c>
      <c r="D501" s="31" t="s">
        <v>152</v>
      </c>
      <c r="E501" s="33" t="s">
        <v>2399</v>
      </c>
      <c r="F501" s="34" t="s">
        <v>563</v>
      </c>
      <c r="G501" s="32" t="s">
        <v>2433</v>
      </c>
      <c r="H501" s="37" t="s">
        <v>1610</v>
      </c>
      <c r="I501" s="39" t="s">
        <v>2478</v>
      </c>
      <c r="J501" s="24" t="s">
        <v>442</v>
      </c>
      <c r="K501" s="40"/>
      <c r="L501" s="38" t="s">
        <v>2479</v>
      </c>
      <c r="M501" s="44" t="s">
        <v>564</v>
      </c>
      <c r="N501" s="46" t="s">
        <v>2484</v>
      </c>
      <c r="O501" s="47" t="s">
        <v>942</v>
      </c>
      <c r="P501" s="50"/>
      <c r="Q501" s="45"/>
      <c r="R501" s="25"/>
      <c r="S501" s="52"/>
    </row>
    <row r="502" spans="1:19" ht="16.5" customHeight="1" x14ac:dyDescent="0.3">
      <c r="A502" s="27" t="s">
        <v>487</v>
      </c>
      <c r="B502" s="28" t="s">
        <v>488</v>
      </c>
      <c r="C502" s="26" t="s">
        <v>1808</v>
      </c>
      <c r="D502" s="31" t="s">
        <v>152</v>
      </c>
      <c r="E502" s="33" t="s">
        <v>2399</v>
      </c>
      <c r="F502" s="34" t="s">
        <v>563</v>
      </c>
      <c r="G502" s="32" t="s">
        <v>2433</v>
      </c>
      <c r="H502" s="37" t="s">
        <v>1610</v>
      </c>
      <c r="I502" s="39" t="s">
        <v>2478</v>
      </c>
      <c r="J502" s="24" t="s">
        <v>442</v>
      </c>
      <c r="K502" s="40"/>
      <c r="L502" s="38" t="s">
        <v>2479</v>
      </c>
      <c r="M502" s="44" t="s">
        <v>564</v>
      </c>
      <c r="N502" s="46" t="s">
        <v>2485</v>
      </c>
      <c r="O502" s="47" t="s">
        <v>1655</v>
      </c>
      <c r="P502" s="50"/>
      <c r="Q502" s="45"/>
      <c r="R502" s="25"/>
      <c r="S502" s="52"/>
    </row>
    <row r="503" spans="1:19" ht="16.5" customHeight="1" x14ac:dyDescent="0.3">
      <c r="A503" s="27" t="s">
        <v>487</v>
      </c>
      <c r="B503" s="28" t="s">
        <v>488</v>
      </c>
      <c r="C503" s="26" t="s">
        <v>1808</v>
      </c>
      <c r="D503" s="31" t="s">
        <v>152</v>
      </c>
      <c r="E503" s="33" t="s">
        <v>2399</v>
      </c>
      <c r="F503" s="34" t="s">
        <v>563</v>
      </c>
      <c r="G503" s="32" t="s">
        <v>2433</v>
      </c>
      <c r="H503" s="37" t="s">
        <v>1610</v>
      </c>
      <c r="I503" s="39" t="s">
        <v>2478</v>
      </c>
      <c r="J503" s="24" t="s">
        <v>442</v>
      </c>
      <c r="K503" s="40"/>
      <c r="L503" s="38" t="s">
        <v>2486</v>
      </c>
      <c r="M503" s="44" t="s">
        <v>26</v>
      </c>
      <c r="N503" s="46" t="s">
        <v>2487</v>
      </c>
      <c r="O503" s="47" t="s">
        <v>943</v>
      </c>
      <c r="P503" s="50"/>
      <c r="Q503" s="45"/>
      <c r="R503" s="25"/>
      <c r="S503" s="52"/>
    </row>
    <row r="504" spans="1:19" ht="16.5" customHeight="1" x14ac:dyDescent="0.3">
      <c r="A504" s="27" t="s">
        <v>487</v>
      </c>
      <c r="B504" s="28" t="s">
        <v>488</v>
      </c>
      <c r="C504" s="26" t="s">
        <v>1808</v>
      </c>
      <c r="D504" s="31" t="s">
        <v>152</v>
      </c>
      <c r="E504" s="33" t="s">
        <v>2399</v>
      </c>
      <c r="F504" s="34" t="s">
        <v>563</v>
      </c>
      <c r="G504" s="32" t="s">
        <v>2433</v>
      </c>
      <c r="H504" s="37" t="s">
        <v>1610</v>
      </c>
      <c r="I504" s="39" t="s">
        <v>2478</v>
      </c>
      <c r="J504" s="24" t="s">
        <v>442</v>
      </c>
      <c r="K504" s="40"/>
      <c r="L504" s="38" t="s">
        <v>2486</v>
      </c>
      <c r="M504" s="44" t="s">
        <v>26</v>
      </c>
      <c r="N504" s="46" t="s">
        <v>2488</v>
      </c>
      <c r="O504" s="47" t="s">
        <v>937</v>
      </c>
      <c r="P504" s="50"/>
      <c r="Q504" s="45"/>
      <c r="R504" s="25"/>
      <c r="S504" s="52"/>
    </row>
    <row r="505" spans="1:19" ht="16.5" customHeight="1" x14ac:dyDescent="0.3">
      <c r="A505" s="27" t="s">
        <v>487</v>
      </c>
      <c r="B505" s="28" t="s">
        <v>488</v>
      </c>
      <c r="C505" s="26" t="s">
        <v>1808</v>
      </c>
      <c r="D505" s="31" t="s">
        <v>152</v>
      </c>
      <c r="E505" s="33" t="s">
        <v>2399</v>
      </c>
      <c r="F505" s="34" t="s">
        <v>563</v>
      </c>
      <c r="G505" s="32" t="s">
        <v>2433</v>
      </c>
      <c r="H505" s="37" t="s">
        <v>1610</v>
      </c>
      <c r="I505" s="39" t="s">
        <v>2478</v>
      </c>
      <c r="J505" s="24" t="s">
        <v>442</v>
      </c>
      <c r="K505" s="40"/>
      <c r="L505" s="38" t="s">
        <v>2486</v>
      </c>
      <c r="M505" s="44" t="s">
        <v>26</v>
      </c>
      <c r="N505" s="46" t="s">
        <v>2489</v>
      </c>
      <c r="O505" s="47" t="s">
        <v>938</v>
      </c>
      <c r="P505" s="50"/>
      <c r="Q505" s="45"/>
      <c r="R505" s="25"/>
      <c r="S505" s="52"/>
    </row>
    <row r="506" spans="1:19" ht="16.5" customHeight="1" x14ac:dyDescent="0.3">
      <c r="A506" s="27" t="s">
        <v>487</v>
      </c>
      <c r="B506" s="28" t="s">
        <v>488</v>
      </c>
      <c r="C506" s="26" t="s">
        <v>1808</v>
      </c>
      <c r="D506" s="31" t="s">
        <v>152</v>
      </c>
      <c r="E506" s="33" t="s">
        <v>2399</v>
      </c>
      <c r="F506" s="34" t="s">
        <v>563</v>
      </c>
      <c r="G506" s="32" t="s">
        <v>2433</v>
      </c>
      <c r="H506" s="37" t="s">
        <v>1610</v>
      </c>
      <c r="I506" s="39" t="s">
        <v>2478</v>
      </c>
      <c r="J506" s="24" t="s">
        <v>442</v>
      </c>
      <c r="K506" s="40"/>
      <c r="L506" s="38" t="s">
        <v>2486</v>
      </c>
      <c r="M506" s="44" t="s">
        <v>26</v>
      </c>
      <c r="N506" s="46" t="s">
        <v>2490</v>
      </c>
      <c r="O506" s="47" t="s">
        <v>939</v>
      </c>
      <c r="P506" s="50"/>
      <c r="Q506" s="45"/>
      <c r="R506" s="25"/>
      <c r="S506" s="52"/>
    </row>
    <row r="507" spans="1:19" ht="16.5" customHeight="1" x14ac:dyDescent="0.3">
      <c r="A507" s="27" t="s">
        <v>487</v>
      </c>
      <c r="B507" s="28" t="s">
        <v>488</v>
      </c>
      <c r="C507" s="26" t="s">
        <v>1808</v>
      </c>
      <c r="D507" s="31" t="s">
        <v>152</v>
      </c>
      <c r="E507" s="33" t="s">
        <v>2399</v>
      </c>
      <c r="F507" s="34" t="s">
        <v>563</v>
      </c>
      <c r="G507" s="32" t="s">
        <v>2433</v>
      </c>
      <c r="H507" s="37" t="s">
        <v>1610</v>
      </c>
      <c r="I507" s="39" t="s">
        <v>2478</v>
      </c>
      <c r="J507" s="24" t="s">
        <v>442</v>
      </c>
      <c r="K507" s="40"/>
      <c r="L507" s="38" t="s">
        <v>2491</v>
      </c>
      <c r="M507" s="44" t="s">
        <v>16</v>
      </c>
      <c r="N507" s="46" t="s">
        <v>2492</v>
      </c>
      <c r="O507" s="47" t="s">
        <v>944</v>
      </c>
      <c r="P507" s="50"/>
      <c r="Q507" s="45"/>
      <c r="R507" s="25"/>
      <c r="S507" s="52"/>
    </row>
    <row r="508" spans="1:19" ht="16.5" customHeight="1" x14ac:dyDescent="0.3">
      <c r="A508" s="27" t="s">
        <v>487</v>
      </c>
      <c r="B508" s="28" t="s">
        <v>488</v>
      </c>
      <c r="C508" s="26" t="s">
        <v>1808</v>
      </c>
      <c r="D508" s="31" t="s">
        <v>152</v>
      </c>
      <c r="E508" s="33" t="s">
        <v>2399</v>
      </c>
      <c r="F508" s="34" t="s">
        <v>563</v>
      </c>
      <c r="G508" s="32" t="s">
        <v>2433</v>
      </c>
      <c r="H508" s="37" t="s">
        <v>1610</v>
      </c>
      <c r="I508" s="39" t="s">
        <v>2478</v>
      </c>
      <c r="J508" s="24" t="s">
        <v>442</v>
      </c>
      <c r="K508" s="40"/>
      <c r="L508" s="38" t="s">
        <v>2493</v>
      </c>
      <c r="M508" s="44" t="s">
        <v>30</v>
      </c>
      <c r="N508" s="46" t="s">
        <v>2494</v>
      </c>
      <c r="O508" s="47" t="s">
        <v>1656</v>
      </c>
      <c r="P508" s="50"/>
      <c r="Q508" s="45"/>
      <c r="R508" s="25"/>
      <c r="S508" s="52"/>
    </row>
    <row r="509" spans="1:19" ht="16.5" customHeight="1" x14ac:dyDescent="0.3">
      <c r="A509" s="27" t="s">
        <v>487</v>
      </c>
      <c r="B509" s="28" t="s">
        <v>488</v>
      </c>
      <c r="C509" s="26" t="s">
        <v>1808</v>
      </c>
      <c r="D509" s="31" t="s">
        <v>152</v>
      </c>
      <c r="E509" s="33" t="s">
        <v>2399</v>
      </c>
      <c r="F509" s="34" t="s">
        <v>563</v>
      </c>
      <c r="G509" s="32" t="s">
        <v>2433</v>
      </c>
      <c r="H509" s="37" t="s">
        <v>1610</v>
      </c>
      <c r="I509" s="39" t="s">
        <v>2478</v>
      </c>
      <c r="J509" s="24" t="s">
        <v>442</v>
      </c>
      <c r="K509" s="40"/>
      <c r="L509" s="38" t="s">
        <v>2493</v>
      </c>
      <c r="M509" s="44" t="s">
        <v>30</v>
      </c>
      <c r="N509" s="46" t="s">
        <v>2495</v>
      </c>
      <c r="O509" s="47" t="s">
        <v>1659</v>
      </c>
      <c r="P509" s="50"/>
      <c r="Q509" s="45"/>
      <c r="R509" s="25"/>
      <c r="S509" s="52"/>
    </row>
    <row r="510" spans="1:19" ht="16.5" customHeight="1" x14ac:dyDescent="0.3">
      <c r="A510" s="27" t="s">
        <v>487</v>
      </c>
      <c r="B510" s="28" t="s">
        <v>488</v>
      </c>
      <c r="C510" s="26" t="s">
        <v>1808</v>
      </c>
      <c r="D510" s="31" t="s">
        <v>152</v>
      </c>
      <c r="E510" s="33" t="s">
        <v>2399</v>
      </c>
      <c r="F510" s="34" t="s">
        <v>563</v>
      </c>
      <c r="G510" s="32" t="s">
        <v>2433</v>
      </c>
      <c r="H510" s="37" t="s">
        <v>1610</v>
      </c>
      <c r="I510" s="39" t="s">
        <v>2478</v>
      </c>
      <c r="J510" s="24" t="s">
        <v>442</v>
      </c>
      <c r="K510" s="40"/>
      <c r="L510" s="38" t="s">
        <v>2493</v>
      </c>
      <c r="M510" s="44" t="s">
        <v>30</v>
      </c>
      <c r="N510" s="46" t="s">
        <v>2496</v>
      </c>
      <c r="O510" s="47" t="s">
        <v>1657</v>
      </c>
      <c r="P510" s="50"/>
      <c r="Q510" s="45"/>
      <c r="R510" s="25"/>
      <c r="S510" s="52"/>
    </row>
    <row r="511" spans="1:19" ht="16.5" customHeight="1" x14ac:dyDescent="0.3">
      <c r="A511" s="27" t="s">
        <v>487</v>
      </c>
      <c r="B511" s="28" t="s">
        <v>488</v>
      </c>
      <c r="C511" s="26" t="s">
        <v>1808</v>
      </c>
      <c r="D511" s="31" t="s">
        <v>152</v>
      </c>
      <c r="E511" s="33" t="s">
        <v>2399</v>
      </c>
      <c r="F511" s="34" t="s">
        <v>563</v>
      </c>
      <c r="G511" s="32" t="s">
        <v>2433</v>
      </c>
      <c r="H511" s="37" t="s">
        <v>1610</v>
      </c>
      <c r="I511" s="39" t="s">
        <v>2478</v>
      </c>
      <c r="J511" s="24" t="s">
        <v>442</v>
      </c>
      <c r="K511" s="40"/>
      <c r="L511" s="38" t="s">
        <v>2493</v>
      </c>
      <c r="M511" s="44" t="s">
        <v>30</v>
      </c>
      <c r="N511" s="46" t="s">
        <v>2497</v>
      </c>
      <c r="O511" s="47" t="s">
        <v>1658</v>
      </c>
      <c r="P511" s="50"/>
      <c r="Q511" s="45"/>
      <c r="R511" s="25"/>
      <c r="S511" s="52"/>
    </row>
    <row r="512" spans="1:19" ht="16.5" customHeight="1" x14ac:dyDescent="0.3">
      <c r="A512" s="27" t="s">
        <v>487</v>
      </c>
      <c r="B512" s="28" t="s">
        <v>488</v>
      </c>
      <c r="C512" s="26" t="s">
        <v>1808</v>
      </c>
      <c r="D512" s="31" t="s">
        <v>152</v>
      </c>
      <c r="E512" s="33" t="s">
        <v>2399</v>
      </c>
      <c r="F512" s="34" t="s">
        <v>563</v>
      </c>
      <c r="G512" s="32" t="s">
        <v>2433</v>
      </c>
      <c r="H512" s="37" t="s">
        <v>1610</v>
      </c>
      <c r="I512" s="39" t="s">
        <v>2478</v>
      </c>
      <c r="J512" s="24" t="s">
        <v>442</v>
      </c>
      <c r="K512" s="40"/>
      <c r="L512" s="38" t="s">
        <v>2498</v>
      </c>
      <c r="M512" s="44" t="s">
        <v>123</v>
      </c>
      <c r="N512" s="46" t="s">
        <v>2499</v>
      </c>
      <c r="O512" s="47" t="s">
        <v>1654</v>
      </c>
      <c r="P512" s="50"/>
      <c r="Q512" s="45"/>
      <c r="R512" s="25"/>
      <c r="S512" s="52"/>
    </row>
    <row r="513" spans="1:19" ht="16.5" customHeight="1" x14ac:dyDescent="0.3">
      <c r="A513" s="27" t="s">
        <v>487</v>
      </c>
      <c r="B513" s="28" t="s">
        <v>488</v>
      </c>
      <c r="C513" s="26" t="s">
        <v>1808</v>
      </c>
      <c r="D513" s="31" t="s">
        <v>152</v>
      </c>
      <c r="E513" s="33" t="s">
        <v>2399</v>
      </c>
      <c r="F513" s="34" t="s">
        <v>563</v>
      </c>
      <c r="G513" s="32" t="s">
        <v>2433</v>
      </c>
      <c r="H513" s="37" t="s">
        <v>1610</v>
      </c>
      <c r="I513" s="39" t="s">
        <v>2500</v>
      </c>
      <c r="J513" s="24" t="s">
        <v>443</v>
      </c>
      <c r="K513" s="40"/>
      <c r="L513" s="38" t="s">
        <v>2501</v>
      </c>
      <c r="M513" s="44" t="s">
        <v>564</v>
      </c>
      <c r="N513" s="46" t="s">
        <v>2502</v>
      </c>
      <c r="O513" s="47" t="s">
        <v>950</v>
      </c>
      <c r="P513" s="50"/>
      <c r="Q513" s="45"/>
      <c r="R513" s="25"/>
      <c r="S513" s="52"/>
    </row>
    <row r="514" spans="1:19" ht="16.5" customHeight="1" x14ac:dyDescent="0.3">
      <c r="A514" s="27" t="s">
        <v>487</v>
      </c>
      <c r="B514" s="28" t="s">
        <v>488</v>
      </c>
      <c r="C514" s="26" t="s">
        <v>1808</v>
      </c>
      <c r="D514" s="31" t="s">
        <v>152</v>
      </c>
      <c r="E514" s="33" t="s">
        <v>2399</v>
      </c>
      <c r="F514" s="34" t="s">
        <v>563</v>
      </c>
      <c r="G514" s="32" t="s">
        <v>2433</v>
      </c>
      <c r="H514" s="37" t="s">
        <v>1610</v>
      </c>
      <c r="I514" s="39" t="s">
        <v>2500</v>
      </c>
      <c r="J514" s="24" t="s">
        <v>443</v>
      </c>
      <c r="K514" s="40"/>
      <c r="L514" s="38" t="s">
        <v>2501</v>
      </c>
      <c r="M514" s="44" t="s">
        <v>564</v>
      </c>
      <c r="N514" s="46" t="s">
        <v>2503</v>
      </c>
      <c r="O514" s="47" t="s">
        <v>951</v>
      </c>
      <c r="P514" s="50"/>
      <c r="Q514" s="45"/>
      <c r="R514" s="25"/>
      <c r="S514" s="52"/>
    </row>
    <row r="515" spans="1:19" ht="16.5" customHeight="1" x14ac:dyDescent="0.3">
      <c r="A515" s="27" t="s">
        <v>487</v>
      </c>
      <c r="B515" s="28" t="s">
        <v>488</v>
      </c>
      <c r="C515" s="26" t="s">
        <v>1808</v>
      </c>
      <c r="D515" s="31" t="s">
        <v>152</v>
      </c>
      <c r="E515" s="33" t="s">
        <v>2399</v>
      </c>
      <c r="F515" s="34" t="s">
        <v>563</v>
      </c>
      <c r="G515" s="32" t="s">
        <v>2433</v>
      </c>
      <c r="H515" s="37" t="s">
        <v>1610</v>
      </c>
      <c r="I515" s="39" t="s">
        <v>2500</v>
      </c>
      <c r="J515" s="24" t="s">
        <v>443</v>
      </c>
      <c r="K515" s="40"/>
      <c r="L515" s="38" t="s">
        <v>2501</v>
      </c>
      <c r="M515" s="44" t="s">
        <v>564</v>
      </c>
      <c r="N515" s="46" t="s">
        <v>2504</v>
      </c>
      <c r="O515" s="47" t="s">
        <v>945</v>
      </c>
      <c r="P515" s="50"/>
      <c r="Q515" s="45"/>
      <c r="R515" s="25"/>
      <c r="S515" s="52"/>
    </row>
    <row r="516" spans="1:19" ht="16.5" customHeight="1" x14ac:dyDescent="0.3">
      <c r="A516" s="27" t="s">
        <v>487</v>
      </c>
      <c r="B516" s="28" t="s">
        <v>488</v>
      </c>
      <c r="C516" s="26" t="s">
        <v>1808</v>
      </c>
      <c r="D516" s="31" t="s">
        <v>152</v>
      </c>
      <c r="E516" s="33" t="s">
        <v>2399</v>
      </c>
      <c r="F516" s="34" t="s">
        <v>563</v>
      </c>
      <c r="G516" s="32" t="s">
        <v>2433</v>
      </c>
      <c r="H516" s="37" t="s">
        <v>1610</v>
      </c>
      <c r="I516" s="39" t="s">
        <v>2500</v>
      </c>
      <c r="J516" s="24" t="s">
        <v>443</v>
      </c>
      <c r="K516" s="40"/>
      <c r="L516" s="38" t="s">
        <v>2501</v>
      </c>
      <c r="M516" s="44" t="s">
        <v>564</v>
      </c>
      <c r="N516" s="46" t="s">
        <v>2505</v>
      </c>
      <c r="O516" s="47" t="s">
        <v>946</v>
      </c>
      <c r="P516" s="50"/>
      <c r="Q516" s="45"/>
      <c r="R516" s="25"/>
      <c r="S516" s="52"/>
    </row>
    <row r="517" spans="1:19" ht="16.5" customHeight="1" x14ac:dyDescent="0.3">
      <c r="A517" s="27" t="s">
        <v>487</v>
      </c>
      <c r="B517" s="28" t="s">
        <v>488</v>
      </c>
      <c r="C517" s="26" t="s">
        <v>1808</v>
      </c>
      <c r="D517" s="31" t="s">
        <v>152</v>
      </c>
      <c r="E517" s="33" t="s">
        <v>2399</v>
      </c>
      <c r="F517" s="34" t="s">
        <v>563</v>
      </c>
      <c r="G517" s="32" t="s">
        <v>2433</v>
      </c>
      <c r="H517" s="37" t="s">
        <v>1610</v>
      </c>
      <c r="I517" s="39" t="s">
        <v>2500</v>
      </c>
      <c r="J517" s="24" t="s">
        <v>443</v>
      </c>
      <c r="K517" s="40"/>
      <c r="L517" s="38" t="s">
        <v>2501</v>
      </c>
      <c r="M517" s="44" t="s">
        <v>564</v>
      </c>
      <c r="N517" s="46" t="s">
        <v>2506</v>
      </c>
      <c r="O517" s="47" t="s">
        <v>952</v>
      </c>
      <c r="P517" s="50"/>
      <c r="Q517" s="45"/>
      <c r="R517" s="25"/>
      <c r="S517" s="52"/>
    </row>
    <row r="518" spans="1:19" ht="16.5" customHeight="1" x14ac:dyDescent="0.3">
      <c r="A518" s="27" t="s">
        <v>487</v>
      </c>
      <c r="B518" s="28" t="s">
        <v>488</v>
      </c>
      <c r="C518" s="26" t="s">
        <v>1808</v>
      </c>
      <c r="D518" s="31" t="s">
        <v>152</v>
      </c>
      <c r="E518" s="33" t="s">
        <v>2399</v>
      </c>
      <c r="F518" s="34" t="s">
        <v>563</v>
      </c>
      <c r="G518" s="32" t="s">
        <v>2433</v>
      </c>
      <c r="H518" s="37" t="s">
        <v>1610</v>
      </c>
      <c r="I518" s="39" t="s">
        <v>2500</v>
      </c>
      <c r="J518" s="24" t="s">
        <v>443</v>
      </c>
      <c r="K518" s="40"/>
      <c r="L518" s="38" t="s">
        <v>2501</v>
      </c>
      <c r="M518" s="44" t="s">
        <v>564</v>
      </c>
      <c r="N518" s="46" t="s">
        <v>2507</v>
      </c>
      <c r="O518" s="47" t="s">
        <v>1655</v>
      </c>
      <c r="P518" s="50"/>
      <c r="Q518" s="45"/>
      <c r="R518" s="25"/>
      <c r="S518" s="52"/>
    </row>
    <row r="519" spans="1:19" ht="16.5" customHeight="1" x14ac:dyDescent="0.3">
      <c r="A519" s="27" t="s">
        <v>487</v>
      </c>
      <c r="B519" s="28" t="s">
        <v>488</v>
      </c>
      <c r="C519" s="26" t="s">
        <v>1808</v>
      </c>
      <c r="D519" s="31" t="s">
        <v>152</v>
      </c>
      <c r="E519" s="33" t="s">
        <v>2399</v>
      </c>
      <c r="F519" s="34" t="s">
        <v>563</v>
      </c>
      <c r="G519" s="32" t="s">
        <v>2433</v>
      </c>
      <c r="H519" s="37" t="s">
        <v>1610</v>
      </c>
      <c r="I519" s="39" t="s">
        <v>2500</v>
      </c>
      <c r="J519" s="24" t="s">
        <v>443</v>
      </c>
      <c r="K519" s="40"/>
      <c r="L519" s="38" t="s">
        <v>2508</v>
      </c>
      <c r="M519" s="44" t="s">
        <v>26</v>
      </c>
      <c r="N519" s="46" t="s">
        <v>2509</v>
      </c>
      <c r="O519" s="47" t="s">
        <v>953</v>
      </c>
      <c r="P519" s="50"/>
      <c r="Q519" s="45"/>
      <c r="R519" s="25"/>
      <c r="S519" s="52"/>
    </row>
    <row r="520" spans="1:19" ht="16.5" customHeight="1" x14ac:dyDescent="0.3">
      <c r="A520" s="27" t="s">
        <v>487</v>
      </c>
      <c r="B520" s="28" t="s">
        <v>488</v>
      </c>
      <c r="C520" s="26" t="s">
        <v>1808</v>
      </c>
      <c r="D520" s="31" t="s">
        <v>152</v>
      </c>
      <c r="E520" s="33" t="s">
        <v>2399</v>
      </c>
      <c r="F520" s="34" t="s">
        <v>563</v>
      </c>
      <c r="G520" s="32" t="s">
        <v>2433</v>
      </c>
      <c r="H520" s="37" t="s">
        <v>1610</v>
      </c>
      <c r="I520" s="39" t="s">
        <v>2500</v>
      </c>
      <c r="J520" s="24" t="s">
        <v>443</v>
      </c>
      <c r="K520" s="40"/>
      <c r="L520" s="38" t="s">
        <v>2508</v>
      </c>
      <c r="M520" s="44" t="s">
        <v>26</v>
      </c>
      <c r="N520" s="46" t="s">
        <v>2510</v>
      </c>
      <c r="O520" s="47" t="s">
        <v>947</v>
      </c>
      <c r="P520" s="50"/>
      <c r="Q520" s="45"/>
      <c r="R520" s="25"/>
      <c r="S520" s="52"/>
    </row>
    <row r="521" spans="1:19" ht="16.5" customHeight="1" x14ac:dyDescent="0.3">
      <c r="A521" s="27" t="s">
        <v>487</v>
      </c>
      <c r="B521" s="28" t="s">
        <v>488</v>
      </c>
      <c r="C521" s="26" t="s">
        <v>1808</v>
      </c>
      <c r="D521" s="31" t="s">
        <v>152</v>
      </c>
      <c r="E521" s="33" t="s">
        <v>2399</v>
      </c>
      <c r="F521" s="34" t="s">
        <v>563</v>
      </c>
      <c r="G521" s="32" t="s">
        <v>2433</v>
      </c>
      <c r="H521" s="37" t="s">
        <v>1610</v>
      </c>
      <c r="I521" s="39" t="s">
        <v>2500</v>
      </c>
      <c r="J521" s="24" t="s">
        <v>443</v>
      </c>
      <c r="K521" s="40"/>
      <c r="L521" s="38" t="s">
        <v>2508</v>
      </c>
      <c r="M521" s="44" t="s">
        <v>26</v>
      </c>
      <c r="N521" s="46" t="s">
        <v>2511</v>
      </c>
      <c r="O521" s="47" t="s">
        <v>948</v>
      </c>
      <c r="P521" s="50"/>
      <c r="Q521" s="45"/>
      <c r="R521" s="25"/>
      <c r="S521" s="52"/>
    </row>
    <row r="522" spans="1:19" ht="16.5" customHeight="1" x14ac:dyDescent="0.3">
      <c r="A522" s="27" t="s">
        <v>487</v>
      </c>
      <c r="B522" s="28" t="s">
        <v>488</v>
      </c>
      <c r="C522" s="26" t="s">
        <v>1808</v>
      </c>
      <c r="D522" s="31" t="s">
        <v>152</v>
      </c>
      <c r="E522" s="33" t="s">
        <v>2399</v>
      </c>
      <c r="F522" s="34" t="s">
        <v>563</v>
      </c>
      <c r="G522" s="32" t="s">
        <v>2433</v>
      </c>
      <c r="H522" s="37" t="s">
        <v>1610</v>
      </c>
      <c r="I522" s="39" t="s">
        <v>2500</v>
      </c>
      <c r="J522" s="24" t="s">
        <v>443</v>
      </c>
      <c r="K522" s="40"/>
      <c r="L522" s="38" t="s">
        <v>2508</v>
      </c>
      <c r="M522" s="44" t="s">
        <v>26</v>
      </c>
      <c r="N522" s="46" t="s">
        <v>2512</v>
      </c>
      <c r="O522" s="47" t="s">
        <v>949</v>
      </c>
      <c r="P522" s="50"/>
      <c r="Q522" s="45"/>
      <c r="R522" s="25"/>
      <c r="S522" s="52"/>
    </row>
    <row r="523" spans="1:19" ht="16.5" customHeight="1" x14ac:dyDescent="0.3">
      <c r="A523" s="27" t="s">
        <v>487</v>
      </c>
      <c r="B523" s="28" t="s">
        <v>488</v>
      </c>
      <c r="C523" s="26" t="s">
        <v>1808</v>
      </c>
      <c r="D523" s="31" t="s">
        <v>152</v>
      </c>
      <c r="E523" s="33" t="s">
        <v>2399</v>
      </c>
      <c r="F523" s="34" t="s">
        <v>563</v>
      </c>
      <c r="G523" s="32" t="s">
        <v>2433</v>
      </c>
      <c r="H523" s="37" t="s">
        <v>1610</v>
      </c>
      <c r="I523" s="39" t="s">
        <v>2500</v>
      </c>
      <c r="J523" s="24" t="s">
        <v>443</v>
      </c>
      <c r="K523" s="40"/>
      <c r="L523" s="38" t="s">
        <v>2513</v>
      </c>
      <c r="M523" s="44" t="s">
        <v>16</v>
      </c>
      <c r="N523" s="46" t="s">
        <v>2514</v>
      </c>
      <c r="O523" s="47" t="s">
        <v>954</v>
      </c>
      <c r="P523" s="50"/>
      <c r="Q523" s="45"/>
      <c r="R523" s="25"/>
      <c r="S523" s="52"/>
    </row>
    <row r="524" spans="1:19" ht="16.5" customHeight="1" x14ac:dyDescent="0.3">
      <c r="A524" s="27" t="s">
        <v>487</v>
      </c>
      <c r="B524" s="28" t="s">
        <v>488</v>
      </c>
      <c r="C524" s="26" t="s">
        <v>1808</v>
      </c>
      <c r="D524" s="31" t="s">
        <v>152</v>
      </c>
      <c r="E524" s="33" t="s">
        <v>2399</v>
      </c>
      <c r="F524" s="34" t="s">
        <v>563</v>
      </c>
      <c r="G524" s="32" t="s">
        <v>2433</v>
      </c>
      <c r="H524" s="37" t="s">
        <v>1610</v>
      </c>
      <c r="I524" s="39" t="s">
        <v>2500</v>
      </c>
      <c r="J524" s="24" t="s">
        <v>443</v>
      </c>
      <c r="K524" s="40"/>
      <c r="L524" s="38" t="s">
        <v>2515</v>
      </c>
      <c r="M524" s="44" t="s">
        <v>30</v>
      </c>
      <c r="N524" s="46" t="s">
        <v>2516</v>
      </c>
      <c r="O524" s="47" t="s">
        <v>1656</v>
      </c>
      <c r="P524" s="50"/>
      <c r="Q524" s="45"/>
      <c r="R524" s="25"/>
      <c r="S524" s="52"/>
    </row>
    <row r="525" spans="1:19" ht="16.5" customHeight="1" x14ac:dyDescent="0.3">
      <c r="A525" s="27" t="s">
        <v>487</v>
      </c>
      <c r="B525" s="28" t="s">
        <v>488</v>
      </c>
      <c r="C525" s="26" t="s">
        <v>1808</v>
      </c>
      <c r="D525" s="31" t="s">
        <v>152</v>
      </c>
      <c r="E525" s="33" t="s">
        <v>2399</v>
      </c>
      <c r="F525" s="34" t="s">
        <v>563</v>
      </c>
      <c r="G525" s="32" t="s">
        <v>2433</v>
      </c>
      <c r="H525" s="37" t="s">
        <v>1610</v>
      </c>
      <c r="I525" s="39" t="s">
        <v>2500</v>
      </c>
      <c r="J525" s="24" t="s">
        <v>443</v>
      </c>
      <c r="K525" s="40"/>
      <c r="L525" s="38" t="s">
        <v>2515</v>
      </c>
      <c r="M525" s="44" t="s">
        <v>30</v>
      </c>
      <c r="N525" s="46" t="s">
        <v>2517</v>
      </c>
      <c r="O525" s="47" t="s">
        <v>1659</v>
      </c>
      <c r="P525" s="50"/>
      <c r="Q525" s="45"/>
      <c r="R525" s="25"/>
      <c r="S525" s="52"/>
    </row>
    <row r="526" spans="1:19" ht="16.5" customHeight="1" x14ac:dyDescent="0.3">
      <c r="A526" s="27" t="s">
        <v>487</v>
      </c>
      <c r="B526" s="28" t="s">
        <v>488</v>
      </c>
      <c r="C526" s="26" t="s">
        <v>1808</v>
      </c>
      <c r="D526" s="31" t="s">
        <v>152</v>
      </c>
      <c r="E526" s="33" t="s">
        <v>2399</v>
      </c>
      <c r="F526" s="34" t="s">
        <v>563</v>
      </c>
      <c r="G526" s="32" t="s">
        <v>2433</v>
      </c>
      <c r="H526" s="37" t="s">
        <v>1610</v>
      </c>
      <c r="I526" s="39" t="s">
        <v>2500</v>
      </c>
      <c r="J526" s="24" t="s">
        <v>443</v>
      </c>
      <c r="K526" s="40"/>
      <c r="L526" s="38" t="s">
        <v>2515</v>
      </c>
      <c r="M526" s="44" t="s">
        <v>30</v>
      </c>
      <c r="N526" s="46" t="s">
        <v>2518</v>
      </c>
      <c r="O526" s="47" t="s">
        <v>1657</v>
      </c>
      <c r="P526" s="50"/>
      <c r="Q526" s="45"/>
      <c r="R526" s="25"/>
      <c r="S526" s="52"/>
    </row>
    <row r="527" spans="1:19" ht="16.5" customHeight="1" x14ac:dyDescent="0.3">
      <c r="A527" s="27" t="s">
        <v>487</v>
      </c>
      <c r="B527" s="28" t="s">
        <v>488</v>
      </c>
      <c r="C527" s="26" t="s">
        <v>1808</v>
      </c>
      <c r="D527" s="31" t="s">
        <v>152</v>
      </c>
      <c r="E527" s="33" t="s">
        <v>2399</v>
      </c>
      <c r="F527" s="34" t="s">
        <v>563</v>
      </c>
      <c r="G527" s="32" t="s">
        <v>2433</v>
      </c>
      <c r="H527" s="37" t="s">
        <v>1610</v>
      </c>
      <c r="I527" s="39" t="s">
        <v>2500</v>
      </c>
      <c r="J527" s="24" t="s">
        <v>443</v>
      </c>
      <c r="K527" s="40"/>
      <c r="L527" s="38" t="s">
        <v>2515</v>
      </c>
      <c r="M527" s="44" t="s">
        <v>30</v>
      </c>
      <c r="N527" s="46" t="s">
        <v>2519</v>
      </c>
      <c r="O527" s="47" t="s">
        <v>1658</v>
      </c>
      <c r="P527" s="50"/>
      <c r="Q527" s="45"/>
      <c r="R527" s="25"/>
      <c r="S527" s="52"/>
    </row>
    <row r="528" spans="1:19" ht="16.5" customHeight="1" x14ac:dyDescent="0.3">
      <c r="A528" s="27" t="s">
        <v>487</v>
      </c>
      <c r="B528" s="28" t="s">
        <v>488</v>
      </c>
      <c r="C528" s="26" t="s">
        <v>1808</v>
      </c>
      <c r="D528" s="31" t="s">
        <v>152</v>
      </c>
      <c r="E528" s="33" t="s">
        <v>2399</v>
      </c>
      <c r="F528" s="34" t="s">
        <v>563</v>
      </c>
      <c r="G528" s="32" t="s">
        <v>2433</v>
      </c>
      <c r="H528" s="37" t="s">
        <v>1610</v>
      </c>
      <c r="I528" s="39" t="s">
        <v>2500</v>
      </c>
      <c r="J528" s="24" t="s">
        <v>443</v>
      </c>
      <c r="K528" s="40"/>
      <c r="L528" s="38" t="s">
        <v>2520</v>
      </c>
      <c r="M528" s="44" t="s">
        <v>123</v>
      </c>
      <c r="N528" s="46" t="s">
        <v>2521</v>
      </c>
      <c r="O528" s="47" t="s">
        <v>1654</v>
      </c>
      <c r="P528" s="50"/>
      <c r="Q528" s="45"/>
      <c r="R528" s="25"/>
      <c r="S528" s="52"/>
    </row>
    <row r="529" spans="1:19" ht="16.5" customHeight="1" x14ac:dyDescent="0.3">
      <c r="A529" s="27" t="s">
        <v>487</v>
      </c>
      <c r="B529" s="28" t="s">
        <v>488</v>
      </c>
      <c r="C529" s="26" t="s">
        <v>1808</v>
      </c>
      <c r="D529" s="31" t="s">
        <v>152</v>
      </c>
      <c r="E529" s="33" t="s">
        <v>2399</v>
      </c>
      <c r="F529" s="34" t="s">
        <v>563</v>
      </c>
      <c r="G529" s="32" t="s">
        <v>2433</v>
      </c>
      <c r="H529" s="37" t="s">
        <v>1610</v>
      </c>
      <c r="I529" s="39" t="s">
        <v>2522</v>
      </c>
      <c r="J529" s="24" t="s">
        <v>444</v>
      </c>
      <c r="K529" s="40"/>
      <c r="L529" s="38" t="s">
        <v>2523</v>
      </c>
      <c r="M529" s="44" t="s">
        <v>564</v>
      </c>
      <c r="N529" s="46" t="s">
        <v>2524</v>
      </c>
      <c r="O529" s="47" t="s">
        <v>960</v>
      </c>
      <c r="P529" s="50"/>
      <c r="Q529" s="45"/>
      <c r="R529" s="25"/>
      <c r="S529" s="52"/>
    </row>
    <row r="530" spans="1:19" ht="16.5" customHeight="1" x14ac:dyDescent="0.3">
      <c r="A530" s="27" t="s">
        <v>487</v>
      </c>
      <c r="B530" s="28" t="s">
        <v>488</v>
      </c>
      <c r="C530" s="26" t="s">
        <v>1808</v>
      </c>
      <c r="D530" s="31" t="s">
        <v>152</v>
      </c>
      <c r="E530" s="33" t="s">
        <v>2399</v>
      </c>
      <c r="F530" s="34" t="s">
        <v>563</v>
      </c>
      <c r="G530" s="32" t="s">
        <v>2433</v>
      </c>
      <c r="H530" s="37" t="s">
        <v>1610</v>
      </c>
      <c r="I530" s="39" t="s">
        <v>2522</v>
      </c>
      <c r="J530" s="24" t="s">
        <v>444</v>
      </c>
      <c r="K530" s="40"/>
      <c r="L530" s="38" t="s">
        <v>2523</v>
      </c>
      <c r="M530" s="44" t="s">
        <v>564</v>
      </c>
      <c r="N530" s="46" t="s">
        <v>2525</v>
      </c>
      <c r="O530" s="47" t="s">
        <v>961</v>
      </c>
      <c r="P530" s="50"/>
      <c r="Q530" s="45"/>
      <c r="R530" s="25"/>
      <c r="S530" s="52"/>
    </row>
    <row r="531" spans="1:19" ht="16.5" customHeight="1" x14ac:dyDescent="0.3">
      <c r="A531" s="27" t="s">
        <v>487</v>
      </c>
      <c r="B531" s="28" t="s">
        <v>488</v>
      </c>
      <c r="C531" s="26" t="s">
        <v>1808</v>
      </c>
      <c r="D531" s="31" t="s">
        <v>152</v>
      </c>
      <c r="E531" s="33" t="s">
        <v>2399</v>
      </c>
      <c r="F531" s="34" t="s">
        <v>563</v>
      </c>
      <c r="G531" s="32" t="s">
        <v>2433</v>
      </c>
      <c r="H531" s="37" t="s">
        <v>1610</v>
      </c>
      <c r="I531" s="39" t="s">
        <v>2522</v>
      </c>
      <c r="J531" s="24" t="s">
        <v>444</v>
      </c>
      <c r="K531" s="40"/>
      <c r="L531" s="38" t="s">
        <v>2523</v>
      </c>
      <c r="M531" s="44" t="s">
        <v>564</v>
      </c>
      <c r="N531" s="46" t="s">
        <v>2526</v>
      </c>
      <c r="O531" s="47" t="s">
        <v>955</v>
      </c>
      <c r="P531" s="50"/>
      <c r="Q531" s="45"/>
      <c r="R531" s="25"/>
      <c r="S531" s="52"/>
    </row>
    <row r="532" spans="1:19" ht="16.5" customHeight="1" x14ac:dyDescent="0.3">
      <c r="A532" s="27" t="s">
        <v>487</v>
      </c>
      <c r="B532" s="28" t="s">
        <v>488</v>
      </c>
      <c r="C532" s="26" t="s">
        <v>1808</v>
      </c>
      <c r="D532" s="31" t="s">
        <v>152</v>
      </c>
      <c r="E532" s="33" t="s">
        <v>2399</v>
      </c>
      <c r="F532" s="34" t="s">
        <v>563</v>
      </c>
      <c r="G532" s="32" t="s">
        <v>2433</v>
      </c>
      <c r="H532" s="37" t="s">
        <v>1610</v>
      </c>
      <c r="I532" s="39" t="s">
        <v>2522</v>
      </c>
      <c r="J532" s="24" t="s">
        <v>444</v>
      </c>
      <c r="K532" s="40"/>
      <c r="L532" s="38" t="s">
        <v>2523</v>
      </c>
      <c r="M532" s="44" t="s">
        <v>564</v>
      </c>
      <c r="N532" s="46" t="s">
        <v>2527</v>
      </c>
      <c r="O532" s="47" t="s">
        <v>956</v>
      </c>
      <c r="P532" s="50"/>
      <c r="Q532" s="45"/>
      <c r="R532" s="25"/>
      <c r="S532" s="52"/>
    </row>
    <row r="533" spans="1:19" ht="16.5" customHeight="1" x14ac:dyDescent="0.3">
      <c r="A533" s="27" t="s">
        <v>487</v>
      </c>
      <c r="B533" s="28" t="s">
        <v>488</v>
      </c>
      <c r="C533" s="26" t="s">
        <v>1808</v>
      </c>
      <c r="D533" s="31" t="s">
        <v>152</v>
      </c>
      <c r="E533" s="33" t="s">
        <v>2399</v>
      </c>
      <c r="F533" s="34" t="s">
        <v>563</v>
      </c>
      <c r="G533" s="32" t="s">
        <v>2433</v>
      </c>
      <c r="H533" s="37" t="s">
        <v>1610</v>
      </c>
      <c r="I533" s="39" t="s">
        <v>2522</v>
      </c>
      <c r="J533" s="24" t="s">
        <v>444</v>
      </c>
      <c r="K533" s="40"/>
      <c r="L533" s="38" t="s">
        <v>2523</v>
      </c>
      <c r="M533" s="44" t="s">
        <v>564</v>
      </c>
      <c r="N533" s="46" t="s">
        <v>2528</v>
      </c>
      <c r="O533" s="47" t="s">
        <v>962</v>
      </c>
      <c r="P533" s="50"/>
      <c r="Q533" s="45"/>
      <c r="R533" s="25"/>
      <c r="S533" s="52"/>
    </row>
    <row r="534" spans="1:19" ht="16.5" customHeight="1" x14ac:dyDescent="0.3">
      <c r="A534" s="27" t="s">
        <v>487</v>
      </c>
      <c r="B534" s="28" t="s">
        <v>488</v>
      </c>
      <c r="C534" s="26" t="s">
        <v>1808</v>
      </c>
      <c r="D534" s="31" t="s">
        <v>152</v>
      </c>
      <c r="E534" s="33" t="s">
        <v>2399</v>
      </c>
      <c r="F534" s="34" t="s">
        <v>563</v>
      </c>
      <c r="G534" s="32" t="s">
        <v>2433</v>
      </c>
      <c r="H534" s="37" t="s">
        <v>1610</v>
      </c>
      <c r="I534" s="39" t="s">
        <v>2522</v>
      </c>
      <c r="J534" s="24" t="s">
        <v>444</v>
      </c>
      <c r="K534" s="40"/>
      <c r="L534" s="38" t="s">
        <v>2523</v>
      </c>
      <c r="M534" s="44" t="s">
        <v>564</v>
      </c>
      <c r="N534" s="46" t="s">
        <v>2529</v>
      </c>
      <c r="O534" s="47" t="s">
        <v>1655</v>
      </c>
      <c r="P534" s="50"/>
      <c r="Q534" s="45"/>
      <c r="R534" s="25"/>
      <c r="S534" s="52"/>
    </row>
    <row r="535" spans="1:19" ht="16.5" customHeight="1" x14ac:dyDescent="0.3">
      <c r="A535" s="27" t="s">
        <v>487</v>
      </c>
      <c r="B535" s="28" t="s">
        <v>488</v>
      </c>
      <c r="C535" s="26" t="s">
        <v>1808</v>
      </c>
      <c r="D535" s="31" t="s">
        <v>152</v>
      </c>
      <c r="E535" s="33" t="s">
        <v>2399</v>
      </c>
      <c r="F535" s="34" t="s">
        <v>563</v>
      </c>
      <c r="G535" s="32" t="s">
        <v>2433</v>
      </c>
      <c r="H535" s="37" t="s">
        <v>1610</v>
      </c>
      <c r="I535" s="39" t="s">
        <v>2522</v>
      </c>
      <c r="J535" s="24" t="s">
        <v>444</v>
      </c>
      <c r="K535" s="40"/>
      <c r="L535" s="38" t="s">
        <v>2530</v>
      </c>
      <c r="M535" s="44" t="s">
        <v>26</v>
      </c>
      <c r="N535" s="46" t="s">
        <v>2531</v>
      </c>
      <c r="O535" s="47" t="s">
        <v>963</v>
      </c>
      <c r="P535" s="50"/>
      <c r="Q535" s="45"/>
      <c r="R535" s="25"/>
      <c r="S535" s="52"/>
    </row>
    <row r="536" spans="1:19" ht="16.5" customHeight="1" x14ac:dyDescent="0.3">
      <c r="A536" s="27" t="s">
        <v>487</v>
      </c>
      <c r="B536" s="28" t="s">
        <v>488</v>
      </c>
      <c r="C536" s="26" t="s">
        <v>1808</v>
      </c>
      <c r="D536" s="31" t="s">
        <v>152</v>
      </c>
      <c r="E536" s="33" t="s">
        <v>2399</v>
      </c>
      <c r="F536" s="34" t="s">
        <v>563</v>
      </c>
      <c r="G536" s="32" t="s">
        <v>2433</v>
      </c>
      <c r="H536" s="37" t="s">
        <v>1610</v>
      </c>
      <c r="I536" s="39" t="s">
        <v>2522</v>
      </c>
      <c r="J536" s="24" t="s">
        <v>444</v>
      </c>
      <c r="K536" s="40"/>
      <c r="L536" s="38" t="s">
        <v>2530</v>
      </c>
      <c r="M536" s="44" t="s">
        <v>26</v>
      </c>
      <c r="N536" s="46" t="s">
        <v>2532</v>
      </c>
      <c r="O536" s="47" t="s">
        <v>957</v>
      </c>
      <c r="P536" s="50"/>
      <c r="Q536" s="45"/>
      <c r="R536" s="25"/>
      <c r="S536" s="52"/>
    </row>
    <row r="537" spans="1:19" ht="16.5" customHeight="1" x14ac:dyDescent="0.3">
      <c r="A537" s="27" t="s">
        <v>487</v>
      </c>
      <c r="B537" s="28" t="s">
        <v>488</v>
      </c>
      <c r="C537" s="26" t="s">
        <v>1808</v>
      </c>
      <c r="D537" s="31" t="s">
        <v>152</v>
      </c>
      <c r="E537" s="33" t="s">
        <v>2399</v>
      </c>
      <c r="F537" s="34" t="s">
        <v>563</v>
      </c>
      <c r="G537" s="32" t="s">
        <v>2433</v>
      </c>
      <c r="H537" s="37" t="s">
        <v>1610</v>
      </c>
      <c r="I537" s="39" t="s">
        <v>2522</v>
      </c>
      <c r="J537" s="24" t="s">
        <v>444</v>
      </c>
      <c r="K537" s="40"/>
      <c r="L537" s="38" t="s">
        <v>2530</v>
      </c>
      <c r="M537" s="44" t="s">
        <v>26</v>
      </c>
      <c r="N537" s="46" t="s">
        <v>2533</v>
      </c>
      <c r="O537" s="47" t="s">
        <v>958</v>
      </c>
      <c r="P537" s="50"/>
      <c r="Q537" s="45"/>
      <c r="R537" s="25"/>
      <c r="S537" s="52"/>
    </row>
    <row r="538" spans="1:19" ht="16.5" customHeight="1" x14ac:dyDescent="0.3">
      <c r="A538" s="27" t="s">
        <v>487</v>
      </c>
      <c r="B538" s="28" t="s">
        <v>488</v>
      </c>
      <c r="C538" s="26" t="s">
        <v>1808</v>
      </c>
      <c r="D538" s="31" t="s">
        <v>152</v>
      </c>
      <c r="E538" s="33" t="s">
        <v>2399</v>
      </c>
      <c r="F538" s="34" t="s">
        <v>563</v>
      </c>
      <c r="G538" s="32" t="s">
        <v>2433</v>
      </c>
      <c r="H538" s="37" t="s">
        <v>1610</v>
      </c>
      <c r="I538" s="39" t="s">
        <v>2522</v>
      </c>
      <c r="J538" s="24" t="s">
        <v>444</v>
      </c>
      <c r="K538" s="40"/>
      <c r="L538" s="38" t="s">
        <v>2530</v>
      </c>
      <c r="M538" s="44" t="s">
        <v>26</v>
      </c>
      <c r="N538" s="46" t="s">
        <v>2534</v>
      </c>
      <c r="O538" s="47" t="s">
        <v>959</v>
      </c>
      <c r="P538" s="50"/>
      <c r="Q538" s="45"/>
      <c r="R538" s="25"/>
      <c r="S538" s="52"/>
    </row>
    <row r="539" spans="1:19" ht="16.5" customHeight="1" x14ac:dyDescent="0.3">
      <c r="A539" s="27" t="s">
        <v>487</v>
      </c>
      <c r="B539" s="28" t="s">
        <v>488</v>
      </c>
      <c r="C539" s="26" t="s">
        <v>1808</v>
      </c>
      <c r="D539" s="31" t="s">
        <v>152</v>
      </c>
      <c r="E539" s="33" t="s">
        <v>2399</v>
      </c>
      <c r="F539" s="34" t="s">
        <v>563</v>
      </c>
      <c r="G539" s="32" t="s">
        <v>2433</v>
      </c>
      <c r="H539" s="37" t="s">
        <v>1610</v>
      </c>
      <c r="I539" s="39" t="s">
        <v>2522</v>
      </c>
      <c r="J539" s="24" t="s">
        <v>444</v>
      </c>
      <c r="K539" s="40"/>
      <c r="L539" s="38" t="s">
        <v>2535</v>
      </c>
      <c r="M539" s="44" t="s">
        <v>16</v>
      </c>
      <c r="N539" s="46" t="s">
        <v>2536</v>
      </c>
      <c r="O539" s="47" t="s">
        <v>964</v>
      </c>
      <c r="P539" s="50"/>
      <c r="Q539" s="45"/>
      <c r="R539" s="25"/>
      <c r="S539" s="52"/>
    </row>
    <row r="540" spans="1:19" ht="16.5" customHeight="1" x14ac:dyDescent="0.3">
      <c r="A540" s="27" t="s">
        <v>487</v>
      </c>
      <c r="B540" s="28" t="s">
        <v>488</v>
      </c>
      <c r="C540" s="26" t="s">
        <v>1808</v>
      </c>
      <c r="D540" s="31" t="s">
        <v>152</v>
      </c>
      <c r="E540" s="33" t="s">
        <v>2399</v>
      </c>
      <c r="F540" s="34" t="s">
        <v>563</v>
      </c>
      <c r="G540" s="32" t="s">
        <v>2433</v>
      </c>
      <c r="H540" s="37" t="s">
        <v>1610</v>
      </c>
      <c r="I540" s="39" t="s">
        <v>2522</v>
      </c>
      <c r="J540" s="24" t="s">
        <v>444</v>
      </c>
      <c r="K540" s="40"/>
      <c r="L540" s="38" t="s">
        <v>2537</v>
      </c>
      <c r="M540" s="44" t="s">
        <v>30</v>
      </c>
      <c r="N540" s="46" t="s">
        <v>2538</v>
      </c>
      <c r="O540" s="47" t="s">
        <v>1656</v>
      </c>
      <c r="P540" s="50"/>
      <c r="Q540" s="45"/>
      <c r="R540" s="25"/>
      <c r="S540" s="52"/>
    </row>
    <row r="541" spans="1:19" ht="16.5" customHeight="1" x14ac:dyDescent="0.3">
      <c r="A541" s="27" t="s">
        <v>487</v>
      </c>
      <c r="B541" s="28" t="s">
        <v>488</v>
      </c>
      <c r="C541" s="26" t="s">
        <v>1808</v>
      </c>
      <c r="D541" s="31" t="s">
        <v>152</v>
      </c>
      <c r="E541" s="33" t="s">
        <v>2399</v>
      </c>
      <c r="F541" s="34" t="s">
        <v>563</v>
      </c>
      <c r="G541" s="32" t="s">
        <v>2433</v>
      </c>
      <c r="H541" s="37" t="s">
        <v>1610</v>
      </c>
      <c r="I541" s="39" t="s">
        <v>2522</v>
      </c>
      <c r="J541" s="24" t="s">
        <v>444</v>
      </c>
      <c r="K541" s="40"/>
      <c r="L541" s="38" t="s">
        <v>2537</v>
      </c>
      <c r="M541" s="44" t="s">
        <v>30</v>
      </c>
      <c r="N541" s="46" t="s">
        <v>2539</v>
      </c>
      <c r="O541" s="47" t="s">
        <v>1659</v>
      </c>
      <c r="P541" s="50"/>
      <c r="Q541" s="45"/>
      <c r="R541" s="25"/>
      <c r="S541" s="52"/>
    </row>
    <row r="542" spans="1:19" ht="16.5" customHeight="1" x14ac:dyDescent="0.3">
      <c r="A542" s="27" t="s">
        <v>487</v>
      </c>
      <c r="B542" s="28" t="s">
        <v>488</v>
      </c>
      <c r="C542" s="26" t="s">
        <v>1808</v>
      </c>
      <c r="D542" s="31" t="s">
        <v>152</v>
      </c>
      <c r="E542" s="33" t="s">
        <v>2399</v>
      </c>
      <c r="F542" s="34" t="s">
        <v>563</v>
      </c>
      <c r="G542" s="32" t="s">
        <v>2433</v>
      </c>
      <c r="H542" s="37" t="s">
        <v>1610</v>
      </c>
      <c r="I542" s="39" t="s">
        <v>2522</v>
      </c>
      <c r="J542" s="24" t="s">
        <v>444</v>
      </c>
      <c r="K542" s="40"/>
      <c r="L542" s="38" t="s">
        <v>2537</v>
      </c>
      <c r="M542" s="44" t="s">
        <v>30</v>
      </c>
      <c r="N542" s="46" t="s">
        <v>2540</v>
      </c>
      <c r="O542" s="47" t="s">
        <v>1657</v>
      </c>
      <c r="P542" s="50"/>
      <c r="Q542" s="45"/>
      <c r="R542" s="25"/>
      <c r="S542" s="52"/>
    </row>
    <row r="543" spans="1:19" ht="16.5" customHeight="1" x14ac:dyDescent="0.3">
      <c r="A543" s="27" t="s">
        <v>487</v>
      </c>
      <c r="B543" s="28" t="s">
        <v>488</v>
      </c>
      <c r="C543" s="26" t="s">
        <v>1808</v>
      </c>
      <c r="D543" s="31" t="s">
        <v>152</v>
      </c>
      <c r="E543" s="33" t="s">
        <v>2399</v>
      </c>
      <c r="F543" s="34" t="s">
        <v>563</v>
      </c>
      <c r="G543" s="32" t="s">
        <v>2433</v>
      </c>
      <c r="H543" s="37" t="s">
        <v>1610</v>
      </c>
      <c r="I543" s="39" t="s">
        <v>2522</v>
      </c>
      <c r="J543" s="24" t="s">
        <v>444</v>
      </c>
      <c r="K543" s="40"/>
      <c r="L543" s="38" t="s">
        <v>2537</v>
      </c>
      <c r="M543" s="44" t="s">
        <v>30</v>
      </c>
      <c r="N543" s="46" t="s">
        <v>2541</v>
      </c>
      <c r="O543" s="47" t="s">
        <v>1658</v>
      </c>
      <c r="P543" s="50"/>
      <c r="Q543" s="45"/>
      <c r="R543" s="25"/>
      <c r="S543" s="52"/>
    </row>
    <row r="544" spans="1:19" ht="16.5" customHeight="1" x14ac:dyDescent="0.3">
      <c r="A544" s="27" t="s">
        <v>487</v>
      </c>
      <c r="B544" s="28" t="s">
        <v>488</v>
      </c>
      <c r="C544" s="26" t="s">
        <v>1808</v>
      </c>
      <c r="D544" s="31" t="s">
        <v>152</v>
      </c>
      <c r="E544" s="33" t="s">
        <v>2399</v>
      </c>
      <c r="F544" s="34" t="s">
        <v>563</v>
      </c>
      <c r="G544" s="32" t="s">
        <v>2433</v>
      </c>
      <c r="H544" s="37" t="s">
        <v>1610</v>
      </c>
      <c r="I544" s="39" t="s">
        <v>2522</v>
      </c>
      <c r="J544" s="24" t="s">
        <v>444</v>
      </c>
      <c r="K544" s="40"/>
      <c r="L544" s="38" t="s">
        <v>2542</v>
      </c>
      <c r="M544" s="44" t="s">
        <v>123</v>
      </c>
      <c r="N544" s="46" t="s">
        <v>2543</v>
      </c>
      <c r="O544" s="47" t="s">
        <v>1654</v>
      </c>
      <c r="P544" s="50"/>
      <c r="Q544" s="45"/>
      <c r="R544" s="25"/>
      <c r="S544" s="52"/>
    </row>
    <row r="545" spans="1:19" ht="16.5" customHeight="1" x14ac:dyDescent="0.3">
      <c r="A545" s="27" t="s">
        <v>487</v>
      </c>
      <c r="B545" s="28" t="s">
        <v>488</v>
      </c>
      <c r="C545" s="26" t="s">
        <v>1808</v>
      </c>
      <c r="D545" s="31" t="s">
        <v>152</v>
      </c>
      <c r="E545" s="33" t="s">
        <v>2399</v>
      </c>
      <c r="F545" s="34" t="s">
        <v>563</v>
      </c>
      <c r="G545" s="32" t="s">
        <v>2544</v>
      </c>
      <c r="H545" s="37" t="s">
        <v>1611</v>
      </c>
      <c r="I545" s="39" t="s">
        <v>2545</v>
      </c>
      <c r="J545" s="24" t="s">
        <v>445</v>
      </c>
      <c r="K545" s="40"/>
      <c r="L545" s="38" t="s">
        <v>2546</v>
      </c>
      <c r="M545" s="44" t="s">
        <v>564</v>
      </c>
      <c r="N545" s="46" t="s">
        <v>2547</v>
      </c>
      <c r="O545" s="47" t="s">
        <v>970</v>
      </c>
      <c r="P545" s="50"/>
      <c r="Q545" s="45"/>
      <c r="R545" s="25"/>
      <c r="S545" s="52"/>
    </row>
    <row r="546" spans="1:19" ht="16.5" customHeight="1" x14ac:dyDescent="0.3">
      <c r="A546" s="27" t="s">
        <v>487</v>
      </c>
      <c r="B546" s="28" t="s">
        <v>488</v>
      </c>
      <c r="C546" s="26" t="s">
        <v>1808</v>
      </c>
      <c r="D546" s="31" t="s">
        <v>152</v>
      </c>
      <c r="E546" s="33" t="s">
        <v>2399</v>
      </c>
      <c r="F546" s="34" t="s">
        <v>563</v>
      </c>
      <c r="G546" s="32" t="s">
        <v>2544</v>
      </c>
      <c r="H546" s="37" t="s">
        <v>1611</v>
      </c>
      <c r="I546" s="39" t="s">
        <v>2545</v>
      </c>
      <c r="J546" s="24" t="s">
        <v>445</v>
      </c>
      <c r="K546" s="40"/>
      <c r="L546" s="38" t="s">
        <v>2546</v>
      </c>
      <c r="M546" s="44" t="s">
        <v>564</v>
      </c>
      <c r="N546" s="46" t="s">
        <v>2548</v>
      </c>
      <c r="O546" s="47" t="s">
        <v>971</v>
      </c>
      <c r="P546" s="50"/>
      <c r="Q546" s="45"/>
      <c r="R546" s="25"/>
      <c r="S546" s="52"/>
    </row>
    <row r="547" spans="1:19" ht="16.5" customHeight="1" x14ac:dyDescent="0.3">
      <c r="A547" s="27" t="s">
        <v>487</v>
      </c>
      <c r="B547" s="28" t="s">
        <v>488</v>
      </c>
      <c r="C547" s="26" t="s">
        <v>1808</v>
      </c>
      <c r="D547" s="31" t="s">
        <v>152</v>
      </c>
      <c r="E547" s="33" t="s">
        <v>2399</v>
      </c>
      <c r="F547" s="34" t="s">
        <v>563</v>
      </c>
      <c r="G547" s="32" t="s">
        <v>2544</v>
      </c>
      <c r="H547" s="37" t="s">
        <v>1611</v>
      </c>
      <c r="I547" s="39" t="s">
        <v>2545</v>
      </c>
      <c r="J547" s="24" t="s">
        <v>445</v>
      </c>
      <c r="K547" s="40"/>
      <c r="L547" s="38" t="s">
        <v>2546</v>
      </c>
      <c r="M547" s="44" t="s">
        <v>564</v>
      </c>
      <c r="N547" s="46" t="s">
        <v>2549</v>
      </c>
      <c r="O547" s="47" t="s">
        <v>965</v>
      </c>
      <c r="P547" s="50"/>
      <c r="Q547" s="45"/>
      <c r="R547" s="25"/>
      <c r="S547" s="52"/>
    </row>
    <row r="548" spans="1:19" ht="16.5" customHeight="1" x14ac:dyDescent="0.3">
      <c r="A548" s="27" t="s">
        <v>487</v>
      </c>
      <c r="B548" s="28" t="s">
        <v>488</v>
      </c>
      <c r="C548" s="26" t="s">
        <v>1808</v>
      </c>
      <c r="D548" s="31" t="s">
        <v>152</v>
      </c>
      <c r="E548" s="33" t="s">
        <v>2399</v>
      </c>
      <c r="F548" s="34" t="s">
        <v>563</v>
      </c>
      <c r="G548" s="32" t="s">
        <v>2544</v>
      </c>
      <c r="H548" s="37" t="s">
        <v>1611</v>
      </c>
      <c r="I548" s="39" t="s">
        <v>2545</v>
      </c>
      <c r="J548" s="24" t="s">
        <v>445</v>
      </c>
      <c r="K548" s="40"/>
      <c r="L548" s="38" t="s">
        <v>2546</v>
      </c>
      <c r="M548" s="44" t="s">
        <v>564</v>
      </c>
      <c r="N548" s="46" t="s">
        <v>2550</v>
      </c>
      <c r="O548" s="47" t="s">
        <v>966</v>
      </c>
      <c r="P548" s="50"/>
      <c r="Q548" s="45"/>
      <c r="R548" s="25"/>
      <c r="S548" s="52"/>
    </row>
    <row r="549" spans="1:19" ht="16.5" customHeight="1" x14ac:dyDescent="0.3">
      <c r="A549" s="27" t="s">
        <v>487</v>
      </c>
      <c r="B549" s="28" t="s">
        <v>488</v>
      </c>
      <c r="C549" s="26" t="s">
        <v>1808</v>
      </c>
      <c r="D549" s="31" t="s">
        <v>152</v>
      </c>
      <c r="E549" s="33" t="s">
        <v>2399</v>
      </c>
      <c r="F549" s="34" t="s">
        <v>563</v>
      </c>
      <c r="G549" s="32" t="s">
        <v>2544</v>
      </c>
      <c r="H549" s="37" t="s">
        <v>1611</v>
      </c>
      <c r="I549" s="39" t="s">
        <v>2545</v>
      </c>
      <c r="J549" s="24" t="s">
        <v>445</v>
      </c>
      <c r="K549" s="40"/>
      <c r="L549" s="38" t="s">
        <v>2546</v>
      </c>
      <c r="M549" s="44" t="s">
        <v>564</v>
      </c>
      <c r="N549" s="46" t="s">
        <v>2551</v>
      </c>
      <c r="O549" s="47" t="s">
        <v>972</v>
      </c>
      <c r="P549" s="50"/>
      <c r="Q549" s="45"/>
      <c r="R549" s="25"/>
      <c r="S549" s="52"/>
    </row>
    <row r="550" spans="1:19" ht="16.5" customHeight="1" x14ac:dyDescent="0.3">
      <c r="A550" s="27" t="s">
        <v>487</v>
      </c>
      <c r="B550" s="28" t="s">
        <v>488</v>
      </c>
      <c r="C550" s="26" t="s">
        <v>1808</v>
      </c>
      <c r="D550" s="31" t="s">
        <v>152</v>
      </c>
      <c r="E550" s="33" t="s">
        <v>2399</v>
      </c>
      <c r="F550" s="34" t="s">
        <v>563</v>
      </c>
      <c r="G550" s="32" t="s">
        <v>2544</v>
      </c>
      <c r="H550" s="37" t="s">
        <v>1611</v>
      </c>
      <c r="I550" s="39" t="s">
        <v>2545</v>
      </c>
      <c r="J550" s="24" t="s">
        <v>445</v>
      </c>
      <c r="K550" s="40"/>
      <c r="L550" s="38" t="s">
        <v>2546</v>
      </c>
      <c r="M550" s="44" t="s">
        <v>564</v>
      </c>
      <c r="N550" s="46" t="s">
        <v>2552</v>
      </c>
      <c r="O550" s="47" t="s">
        <v>1655</v>
      </c>
      <c r="P550" s="50"/>
      <c r="Q550" s="45"/>
      <c r="R550" s="25"/>
      <c r="S550" s="52"/>
    </row>
    <row r="551" spans="1:19" ht="16.5" customHeight="1" x14ac:dyDescent="0.3">
      <c r="A551" s="27" t="s">
        <v>487</v>
      </c>
      <c r="B551" s="28" t="s">
        <v>488</v>
      </c>
      <c r="C551" s="26" t="s">
        <v>1808</v>
      </c>
      <c r="D551" s="31" t="s">
        <v>152</v>
      </c>
      <c r="E551" s="33" t="s">
        <v>2399</v>
      </c>
      <c r="F551" s="34" t="s">
        <v>563</v>
      </c>
      <c r="G551" s="32" t="s">
        <v>2544</v>
      </c>
      <c r="H551" s="37" t="s">
        <v>1611</v>
      </c>
      <c r="I551" s="39" t="s">
        <v>2545</v>
      </c>
      <c r="J551" s="24" t="s">
        <v>445</v>
      </c>
      <c r="K551" s="40"/>
      <c r="L551" s="38" t="s">
        <v>2553</v>
      </c>
      <c r="M551" s="44" t="s">
        <v>26</v>
      </c>
      <c r="N551" s="46" t="s">
        <v>2554</v>
      </c>
      <c r="O551" s="47" t="s">
        <v>973</v>
      </c>
      <c r="P551" s="50"/>
      <c r="Q551" s="45"/>
      <c r="R551" s="25"/>
      <c r="S551" s="52"/>
    </row>
    <row r="552" spans="1:19" ht="16.5" customHeight="1" x14ac:dyDescent="0.3">
      <c r="A552" s="27" t="s">
        <v>487</v>
      </c>
      <c r="B552" s="28" t="s">
        <v>488</v>
      </c>
      <c r="C552" s="26" t="s">
        <v>1808</v>
      </c>
      <c r="D552" s="31" t="s">
        <v>152</v>
      </c>
      <c r="E552" s="33" t="s">
        <v>2399</v>
      </c>
      <c r="F552" s="34" t="s">
        <v>563</v>
      </c>
      <c r="G552" s="32" t="s">
        <v>2544</v>
      </c>
      <c r="H552" s="37" t="s">
        <v>1611</v>
      </c>
      <c r="I552" s="39" t="s">
        <v>2545</v>
      </c>
      <c r="J552" s="24" t="s">
        <v>445</v>
      </c>
      <c r="K552" s="40"/>
      <c r="L552" s="38" t="s">
        <v>2553</v>
      </c>
      <c r="M552" s="44" t="s">
        <v>26</v>
      </c>
      <c r="N552" s="46" t="s">
        <v>2555</v>
      </c>
      <c r="O552" s="47" t="s">
        <v>967</v>
      </c>
      <c r="P552" s="50"/>
      <c r="Q552" s="45"/>
      <c r="R552" s="25"/>
      <c r="S552" s="52"/>
    </row>
    <row r="553" spans="1:19" ht="16.5" customHeight="1" x14ac:dyDescent="0.3">
      <c r="A553" s="27" t="s">
        <v>487</v>
      </c>
      <c r="B553" s="28" t="s">
        <v>488</v>
      </c>
      <c r="C553" s="26" t="s">
        <v>1808</v>
      </c>
      <c r="D553" s="31" t="s">
        <v>152</v>
      </c>
      <c r="E553" s="33" t="s">
        <v>2399</v>
      </c>
      <c r="F553" s="34" t="s">
        <v>563</v>
      </c>
      <c r="G553" s="32" t="s">
        <v>2544</v>
      </c>
      <c r="H553" s="37" t="s">
        <v>1611</v>
      </c>
      <c r="I553" s="39" t="s">
        <v>2545</v>
      </c>
      <c r="J553" s="24" t="s">
        <v>445</v>
      </c>
      <c r="K553" s="40"/>
      <c r="L553" s="38" t="s">
        <v>2553</v>
      </c>
      <c r="M553" s="44" t="s">
        <v>26</v>
      </c>
      <c r="N553" s="46" t="s">
        <v>2556</v>
      </c>
      <c r="O553" s="47" t="s">
        <v>968</v>
      </c>
      <c r="P553" s="50"/>
      <c r="Q553" s="45"/>
      <c r="R553" s="25"/>
      <c r="S553" s="52"/>
    </row>
    <row r="554" spans="1:19" ht="16.5" customHeight="1" x14ac:dyDescent="0.3">
      <c r="A554" s="27" t="s">
        <v>487</v>
      </c>
      <c r="B554" s="28" t="s">
        <v>488</v>
      </c>
      <c r="C554" s="26" t="s">
        <v>1808</v>
      </c>
      <c r="D554" s="31" t="s">
        <v>152</v>
      </c>
      <c r="E554" s="33" t="s">
        <v>2399</v>
      </c>
      <c r="F554" s="34" t="s">
        <v>563</v>
      </c>
      <c r="G554" s="32" t="s">
        <v>2544</v>
      </c>
      <c r="H554" s="37" t="s">
        <v>1611</v>
      </c>
      <c r="I554" s="39" t="s">
        <v>2545</v>
      </c>
      <c r="J554" s="24" t="s">
        <v>445</v>
      </c>
      <c r="K554" s="40"/>
      <c r="L554" s="38" t="s">
        <v>2553</v>
      </c>
      <c r="M554" s="44" t="s">
        <v>26</v>
      </c>
      <c r="N554" s="46" t="s">
        <v>2557</v>
      </c>
      <c r="O554" s="47" t="s">
        <v>969</v>
      </c>
      <c r="P554" s="50"/>
      <c r="Q554" s="45"/>
      <c r="R554" s="25"/>
      <c r="S554" s="52"/>
    </row>
    <row r="555" spans="1:19" ht="16.5" customHeight="1" x14ac:dyDescent="0.3">
      <c r="A555" s="27" t="s">
        <v>487</v>
      </c>
      <c r="B555" s="28" t="s">
        <v>488</v>
      </c>
      <c r="C555" s="26" t="s">
        <v>1808</v>
      </c>
      <c r="D555" s="31" t="s">
        <v>152</v>
      </c>
      <c r="E555" s="33" t="s">
        <v>2399</v>
      </c>
      <c r="F555" s="34" t="s">
        <v>563</v>
      </c>
      <c r="G555" s="32" t="s">
        <v>2544</v>
      </c>
      <c r="H555" s="37" t="s">
        <v>1611</v>
      </c>
      <c r="I555" s="39" t="s">
        <v>2545</v>
      </c>
      <c r="J555" s="24" t="s">
        <v>445</v>
      </c>
      <c r="K555" s="40"/>
      <c r="L555" s="38" t="s">
        <v>2558</v>
      </c>
      <c r="M555" s="44" t="s">
        <v>16</v>
      </c>
      <c r="N555" s="46" t="s">
        <v>2559</v>
      </c>
      <c r="O555" s="47" t="s">
        <v>974</v>
      </c>
      <c r="P555" s="50"/>
      <c r="Q555" s="45"/>
      <c r="R555" s="25"/>
      <c r="S555" s="52"/>
    </row>
    <row r="556" spans="1:19" ht="16.5" customHeight="1" x14ac:dyDescent="0.3">
      <c r="A556" s="27" t="s">
        <v>487</v>
      </c>
      <c r="B556" s="28" t="s">
        <v>488</v>
      </c>
      <c r="C556" s="26" t="s">
        <v>1808</v>
      </c>
      <c r="D556" s="31" t="s">
        <v>152</v>
      </c>
      <c r="E556" s="33" t="s">
        <v>2399</v>
      </c>
      <c r="F556" s="34" t="s">
        <v>563</v>
      </c>
      <c r="G556" s="32" t="s">
        <v>2544</v>
      </c>
      <c r="H556" s="37" t="s">
        <v>1611</v>
      </c>
      <c r="I556" s="39" t="s">
        <v>2545</v>
      </c>
      <c r="J556" s="24" t="s">
        <v>445</v>
      </c>
      <c r="K556" s="40"/>
      <c r="L556" s="38" t="s">
        <v>2560</v>
      </c>
      <c r="M556" s="44" t="s">
        <v>30</v>
      </c>
      <c r="N556" s="46" t="s">
        <v>2561</v>
      </c>
      <c r="O556" s="47" t="s">
        <v>1656</v>
      </c>
      <c r="P556" s="50"/>
      <c r="Q556" s="45"/>
      <c r="R556" s="25"/>
      <c r="S556" s="52"/>
    </row>
    <row r="557" spans="1:19" ht="16.5" customHeight="1" x14ac:dyDescent="0.3">
      <c r="A557" s="27" t="s">
        <v>487</v>
      </c>
      <c r="B557" s="28" t="s">
        <v>488</v>
      </c>
      <c r="C557" s="26" t="s">
        <v>1808</v>
      </c>
      <c r="D557" s="31" t="s">
        <v>152</v>
      </c>
      <c r="E557" s="33" t="s">
        <v>2399</v>
      </c>
      <c r="F557" s="34" t="s">
        <v>563</v>
      </c>
      <c r="G557" s="32" t="s">
        <v>2544</v>
      </c>
      <c r="H557" s="37" t="s">
        <v>1611</v>
      </c>
      <c r="I557" s="39" t="s">
        <v>2545</v>
      </c>
      <c r="J557" s="24" t="s">
        <v>445</v>
      </c>
      <c r="K557" s="40"/>
      <c r="L557" s="38" t="s">
        <v>2560</v>
      </c>
      <c r="M557" s="44" t="s">
        <v>30</v>
      </c>
      <c r="N557" s="46" t="s">
        <v>2562</v>
      </c>
      <c r="O557" s="47" t="s">
        <v>1659</v>
      </c>
      <c r="P557" s="50"/>
      <c r="Q557" s="45"/>
      <c r="R557" s="25"/>
      <c r="S557" s="52"/>
    </row>
    <row r="558" spans="1:19" ht="16.5" customHeight="1" x14ac:dyDescent="0.3">
      <c r="A558" s="27" t="s">
        <v>487</v>
      </c>
      <c r="B558" s="28" t="s">
        <v>488</v>
      </c>
      <c r="C558" s="26" t="s">
        <v>1808</v>
      </c>
      <c r="D558" s="31" t="s">
        <v>152</v>
      </c>
      <c r="E558" s="33" t="s">
        <v>2399</v>
      </c>
      <c r="F558" s="34" t="s">
        <v>563</v>
      </c>
      <c r="G558" s="32" t="s">
        <v>2544</v>
      </c>
      <c r="H558" s="37" t="s">
        <v>1611</v>
      </c>
      <c r="I558" s="39" t="s">
        <v>2545</v>
      </c>
      <c r="J558" s="24" t="s">
        <v>445</v>
      </c>
      <c r="K558" s="40"/>
      <c r="L558" s="38" t="s">
        <v>2560</v>
      </c>
      <c r="M558" s="44" t="s">
        <v>30</v>
      </c>
      <c r="N558" s="46" t="s">
        <v>2563</v>
      </c>
      <c r="O558" s="47" t="s">
        <v>1657</v>
      </c>
      <c r="P558" s="50"/>
      <c r="Q558" s="45"/>
      <c r="R558" s="25"/>
      <c r="S558" s="52"/>
    </row>
    <row r="559" spans="1:19" ht="16.5" customHeight="1" x14ac:dyDescent="0.3">
      <c r="A559" s="27" t="s">
        <v>487</v>
      </c>
      <c r="B559" s="28" t="s">
        <v>488</v>
      </c>
      <c r="C559" s="26" t="s">
        <v>1808</v>
      </c>
      <c r="D559" s="31" t="s">
        <v>152</v>
      </c>
      <c r="E559" s="33" t="s">
        <v>2399</v>
      </c>
      <c r="F559" s="34" t="s">
        <v>563</v>
      </c>
      <c r="G559" s="32" t="s">
        <v>2544</v>
      </c>
      <c r="H559" s="37" t="s">
        <v>1611</v>
      </c>
      <c r="I559" s="39" t="s">
        <v>2545</v>
      </c>
      <c r="J559" s="24" t="s">
        <v>445</v>
      </c>
      <c r="K559" s="40"/>
      <c r="L559" s="38" t="s">
        <v>2560</v>
      </c>
      <c r="M559" s="44" t="s">
        <v>30</v>
      </c>
      <c r="N559" s="46" t="s">
        <v>2564</v>
      </c>
      <c r="O559" s="47" t="s">
        <v>1658</v>
      </c>
      <c r="P559" s="50"/>
      <c r="Q559" s="45"/>
      <c r="R559" s="25"/>
      <c r="S559" s="52"/>
    </row>
    <row r="560" spans="1:19" ht="16.5" customHeight="1" x14ac:dyDescent="0.3">
      <c r="A560" s="27" t="s">
        <v>487</v>
      </c>
      <c r="B560" s="28" t="s">
        <v>488</v>
      </c>
      <c r="C560" s="26" t="s">
        <v>1808</v>
      </c>
      <c r="D560" s="31" t="s">
        <v>152</v>
      </c>
      <c r="E560" s="33" t="s">
        <v>2399</v>
      </c>
      <c r="F560" s="34" t="s">
        <v>563</v>
      </c>
      <c r="G560" s="32" t="s">
        <v>2544</v>
      </c>
      <c r="H560" s="37" t="s">
        <v>1611</v>
      </c>
      <c r="I560" s="39" t="s">
        <v>2545</v>
      </c>
      <c r="J560" s="24" t="s">
        <v>445</v>
      </c>
      <c r="K560" s="40"/>
      <c r="L560" s="38" t="s">
        <v>2565</v>
      </c>
      <c r="M560" s="44" t="s">
        <v>123</v>
      </c>
      <c r="N560" s="46" t="s">
        <v>2566</v>
      </c>
      <c r="O560" s="47" t="s">
        <v>1654</v>
      </c>
      <c r="P560" s="50"/>
      <c r="Q560" s="45"/>
      <c r="R560" s="25"/>
      <c r="S560" s="52"/>
    </row>
    <row r="561" spans="1:19" ht="16.5" customHeight="1" x14ac:dyDescent="0.3">
      <c r="A561" s="27" t="s">
        <v>487</v>
      </c>
      <c r="B561" s="28" t="s">
        <v>488</v>
      </c>
      <c r="C561" s="26" t="s">
        <v>1808</v>
      </c>
      <c r="D561" s="31" t="s">
        <v>152</v>
      </c>
      <c r="E561" s="33" t="s">
        <v>2399</v>
      </c>
      <c r="F561" s="34" t="s">
        <v>563</v>
      </c>
      <c r="G561" s="32" t="s">
        <v>2544</v>
      </c>
      <c r="H561" s="37" t="s">
        <v>1611</v>
      </c>
      <c r="I561" s="39" t="s">
        <v>2567</v>
      </c>
      <c r="J561" s="24" t="s">
        <v>446</v>
      </c>
      <c r="K561" s="40"/>
      <c r="L561" s="38" t="s">
        <v>2568</v>
      </c>
      <c r="M561" s="44" t="s">
        <v>564</v>
      </c>
      <c r="N561" s="46" t="s">
        <v>2569</v>
      </c>
      <c r="O561" s="47" t="s">
        <v>977</v>
      </c>
      <c r="P561" s="50"/>
      <c r="Q561" s="45"/>
      <c r="R561" s="25"/>
      <c r="S561" s="52"/>
    </row>
    <row r="562" spans="1:19" ht="16.5" customHeight="1" x14ac:dyDescent="0.3">
      <c r="A562" s="27" t="s">
        <v>487</v>
      </c>
      <c r="B562" s="28" t="s">
        <v>488</v>
      </c>
      <c r="C562" s="26" t="s">
        <v>1808</v>
      </c>
      <c r="D562" s="31" t="s">
        <v>152</v>
      </c>
      <c r="E562" s="33" t="s">
        <v>2399</v>
      </c>
      <c r="F562" s="34" t="s">
        <v>563</v>
      </c>
      <c r="G562" s="32" t="s">
        <v>2544</v>
      </c>
      <c r="H562" s="37" t="s">
        <v>1611</v>
      </c>
      <c r="I562" s="39" t="s">
        <v>2567</v>
      </c>
      <c r="J562" s="24" t="s">
        <v>446</v>
      </c>
      <c r="K562" s="40"/>
      <c r="L562" s="38" t="s">
        <v>2568</v>
      </c>
      <c r="M562" s="44" t="s">
        <v>564</v>
      </c>
      <c r="N562" s="46" t="s">
        <v>2570</v>
      </c>
      <c r="O562" s="47" t="s">
        <v>978</v>
      </c>
      <c r="P562" s="50"/>
      <c r="Q562" s="45"/>
      <c r="R562" s="25"/>
      <c r="S562" s="52"/>
    </row>
    <row r="563" spans="1:19" ht="16.5" customHeight="1" x14ac:dyDescent="0.3">
      <c r="A563" s="27" t="s">
        <v>487</v>
      </c>
      <c r="B563" s="28" t="s">
        <v>488</v>
      </c>
      <c r="C563" s="26" t="s">
        <v>1808</v>
      </c>
      <c r="D563" s="31" t="s">
        <v>152</v>
      </c>
      <c r="E563" s="33" t="s">
        <v>2399</v>
      </c>
      <c r="F563" s="34" t="s">
        <v>563</v>
      </c>
      <c r="G563" s="32" t="s">
        <v>2544</v>
      </c>
      <c r="H563" s="37" t="s">
        <v>1611</v>
      </c>
      <c r="I563" s="39" t="s">
        <v>2567</v>
      </c>
      <c r="J563" s="24" t="s">
        <v>446</v>
      </c>
      <c r="K563" s="40"/>
      <c r="L563" s="38" t="s">
        <v>2568</v>
      </c>
      <c r="M563" s="44" t="s">
        <v>564</v>
      </c>
      <c r="N563" s="46" t="s">
        <v>2571</v>
      </c>
      <c r="O563" s="47" t="s">
        <v>975</v>
      </c>
      <c r="P563" s="50"/>
      <c r="Q563" s="45"/>
      <c r="R563" s="25"/>
      <c r="S563" s="52"/>
    </row>
    <row r="564" spans="1:19" ht="16.5" customHeight="1" x14ac:dyDescent="0.3">
      <c r="A564" s="27" t="s">
        <v>487</v>
      </c>
      <c r="B564" s="28" t="s">
        <v>488</v>
      </c>
      <c r="C564" s="26" t="s">
        <v>1808</v>
      </c>
      <c r="D564" s="31" t="s">
        <v>152</v>
      </c>
      <c r="E564" s="33" t="s">
        <v>2399</v>
      </c>
      <c r="F564" s="34" t="s">
        <v>563</v>
      </c>
      <c r="G564" s="32" t="s">
        <v>2544</v>
      </c>
      <c r="H564" s="37" t="s">
        <v>1611</v>
      </c>
      <c r="I564" s="39" t="s">
        <v>2567</v>
      </c>
      <c r="J564" s="24" t="s">
        <v>446</v>
      </c>
      <c r="K564" s="40"/>
      <c r="L564" s="38" t="s">
        <v>2568</v>
      </c>
      <c r="M564" s="44" t="s">
        <v>564</v>
      </c>
      <c r="N564" s="46" t="s">
        <v>2572</v>
      </c>
      <c r="O564" s="47" t="s">
        <v>976</v>
      </c>
      <c r="P564" s="50"/>
      <c r="Q564" s="45"/>
      <c r="R564" s="25"/>
      <c r="S564" s="52"/>
    </row>
    <row r="565" spans="1:19" ht="16.5" customHeight="1" x14ac:dyDescent="0.3">
      <c r="A565" s="27" t="s">
        <v>487</v>
      </c>
      <c r="B565" s="28" t="s">
        <v>488</v>
      </c>
      <c r="C565" s="26" t="s">
        <v>1808</v>
      </c>
      <c r="D565" s="31" t="s">
        <v>152</v>
      </c>
      <c r="E565" s="33" t="s">
        <v>2399</v>
      </c>
      <c r="F565" s="34" t="s">
        <v>563</v>
      </c>
      <c r="G565" s="32" t="s">
        <v>2544</v>
      </c>
      <c r="H565" s="37" t="s">
        <v>1611</v>
      </c>
      <c r="I565" s="39" t="s">
        <v>2567</v>
      </c>
      <c r="J565" s="24" t="s">
        <v>446</v>
      </c>
      <c r="K565" s="40"/>
      <c r="L565" s="38" t="s">
        <v>2568</v>
      </c>
      <c r="M565" s="44" t="s">
        <v>564</v>
      </c>
      <c r="N565" s="46" t="s">
        <v>2573</v>
      </c>
      <c r="O565" s="47" t="s">
        <v>979</v>
      </c>
      <c r="P565" s="50"/>
      <c r="Q565" s="45"/>
      <c r="R565" s="25"/>
      <c r="S565" s="52"/>
    </row>
    <row r="566" spans="1:19" ht="16.5" customHeight="1" x14ac:dyDescent="0.3">
      <c r="A566" s="27" t="s">
        <v>487</v>
      </c>
      <c r="B566" s="28" t="s">
        <v>488</v>
      </c>
      <c r="C566" s="26" t="s">
        <v>1808</v>
      </c>
      <c r="D566" s="31" t="s">
        <v>152</v>
      </c>
      <c r="E566" s="33" t="s">
        <v>2399</v>
      </c>
      <c r="F566" s="34" t="s">
        <v>563</v>
      </c>
      <c r="G566" s="32" t="s">
        <v>2544</v>
      </c>
      <c r="H566" s="37" t="s">
        <v>1611</v>
      </c>
      <c r="I566" s="39" t="s">
        <v>2567</v>
      </c>
      <c r="J566" s="24" t="s">
        <v>446</v>
      </c>
      <c r="K566" s="40"/>
      <c r="L566" s="38" t="s">
        <v>2568</v>
      </c>
      <c r="M566" s="44" t="s">
        <v>564</v>
      </c>
      <c r="N566" s="46" t="s">
        <v>2574</v>
      </c>
      <c r="O566" s="47" t="s">
        <v>1655</v>
      </c>
      <c r="P566" s="50"/>
      <c r="Q566" s="45"/>
      <c r="R566" s="25"/>
      <c r="S566" s="52"/>
    </row>
    <row r="567" spans="1:19" ht="16.5" customHeight="1" x14ac:dyDescent="0.3">
      <c r="A567" s="27" t="s">
        <v>487</v>
      </c>
      <c r="B567" s="28" t="s">
        <v>488</v>
      </c>
      <c r="C567" s="26" t="s">
        <v>1808</v>
      </c>
      <c r="D567" s="31" t="s">
        <v>152</v>
      </c>
      <c r="E567" s="33" t="s">
        <v>2399</v>
      </c>
      <c r="F567" s="34" t="s">
        <v>563</v>
      </c>
      <c r="G567" s="32" t="s">
        <v>2544</v>
      </c>
      <c r="H567" s="37" t="s">
        <v>1611</v>
      </c>
      <c r="I567" s="39" t="s">
        <v>2567</v>
      </c>
      <c r="J567" s="24" t="s">
        <v>446</v>
      </c>
      <c r="K567" s="40"/>
      <c r="L567" s="38" t="s">
        <v>2575</v>
      </c>
      <c r="M567" s="44" t="s">
        <v>26</v>
      </c>
      <c r="N567" s="46" t="s">
        <v>2576</v>
      </c>
      <c r="O567" s="47" t="s">
        <v>982</v>
      </c>
      <c r="P567" s="50"/>
      <c r="Q567" s="45"/>
      <c r="R567" s="25"/>
      <c r="S567" s="52"/>
    </row>
    <row r="568" spans="1:19" ht="16.5" customHeight="1" x14ac:dyDescent="0.3">
      <c r="A568" s="27" t="s">
        <v>487</v>
      </c>
      <c r="B568" s="28" t="s">
        <v>488</v>
      </c>
      <c r="C568" s="26" t="s">
        <v>1808</v>
      </c>
      <c r="D568" s="31" t="s">
        <v>152</v>
      </c>
      <c r="E568" s="33" t="s">
        <v>2399</v>
      </c>
      <c r="F568" s="34" t="s">
        <v>563</v>
      </c>
      <c r="G568" s="32" t="s">
        <v>2544</v>
      </c>
      <c r="H568" s="37" t="s">
        <v>1611</v>
      </c>
      <c r="I568" s="39" t="s">
        <v>2567</v>
      </c>
      <c r="J568" s="24" t="s">
        <v>446</v>
      </c>
      <c r="K568" s="40"/>
      <c r="L568" s="38" t="s">
        <v>2575</v>
      </c>
      <c r="M568" s="44" t="s">
        <v>26</v>
      </c>
      <c r="N568" s="46" t="s">
        <v>2577</v>
      </c>
      <c r="O568" s="47" t="s">
        <v>980</v>
      </c>
      <c r="P568" s="50"/>
      <c r="Q568" s="45"/>
      <c r="R568" s="25"/>
      <c r="S568" s="52"/>
    </row>
    <row r="569" spans="1:19" ht="16.5" customHeight="1" x14ac:dyDescent="0.3">
      <c r="A569" s="27" t="s">
        <v>487</v>
      </c>
      <c r="B569" s="28" t="s">
        <v>488</v>
      </c>
      <c r="C569" s="26" t="s">
        <v>1808</v>
      </c>
      <c r="D569" s="31" t="s">
        <v>152</v>
      </c>
      <c r="E569" s="33" t="s">
        <v>2399</v>
      </c>
      <c r="F569" s="34" t="s">
        <v>563</v>
      </c>
      <c r="G569" s="32" t="s">
        <v>2544</v>
      </c>
      <c r="H569" s="37" t="s">
        <v>1611</v>
      </c>
      <c r="I569" s="39" t="s">
        <v>2567</v>
      </c>
      <c r="J569" s="24" t="s">
        <v>446</v>
      </c>
      <c r="K569" s="40"/>
      <c r="L569" s="38" t="s">
        <v>2575</v>
      </c>
      <c r="M569" s="44" t="s">
        <v>26</v>
      </c>
      <c r="N569" s="46" t="s">
        <v>2578</v>
      </c>
      <c r="O569" s="47" t="s">
        <v>983</v>
      </c>
      <c r="P569" s="50"/>
      <c r="Q569" s="45"/>
      <c r="R569" s="25"/>
      <c r="S569" s="52"/>
    </row>
    <row r="570" spans="1:19" ht="16.5" customHeight="1" x14ac:dyDescent="0.3">
      <c r="A570" s="27" t="s">
        <v>487</v>
      </c>
      <c r="B570" s="28" t="s">
        <v>488</v>
      </c>
      <c r="C570" s="26" t="s">
        <v>1808</v>
      </c>
      <c r="D570" s="31" t="s">
        <v>152</v>
      </c>
      <c r="E570" s="33" t="s">
        <v>2399</v>
      </c>
      <c r="F570" s="34" t="s">
        <v>563</v>
      </c>
      <c r="G570" s="32" t="s">
        <v>2544</v>
      </c>
      <c r="H570" s="37" t="s">
        <v>1611</v>
      </c>
      <c r="I570" s="39" t="s">
        <v>2567</v>
      </c>
      <c r="J570" s="24" t="s">
        <v>446</v>
      </c>
      <c r="K570" s="40"/>
      <c r="L570" s="38" t="s">
        <v>2575</v>
      </c>
      <c r="M570" s="44" t="s">
        <v>26</v>
      </c>
      <c r="N570" s="46" t="s">
        <v>2579</v>
      </c>
      <c r="O570" s="47" t="s">
        <v>981</v>
      </c>
      <c r="P570" s="50"/>
      <c r="Q570" s="45"/>
      <c r="R570" s="25"/>
      <c r="S570" s="52"/>
    </row>
    <row r="571" spans="1:19" ht="16.5" customHeight="1" x14ac:dyDescent="0.3">
      <c r="A571" s="27" t="s">
        <v>487</v>
      </c>
      <c r="B571" s="28" t="s">
        <v>488</v>
      </c>
      <c r="C571" s="26" t="s">
        <v>1808</v>
      </c>
      <c r="D571" s="31" t="s">
        <v>152</v>
      </c>
      <c r="E571" s="33" t="s">
        <v>2399</v>
      </c>
      <c r="F571" s="34" t="s">
        <v>563</v>
      </c>
      <c r="G571" s="32" t="s">
        <v>2544</v>
      </c>
      <c r="H571" s="37" t="s">
        <v>1611</v>
      </c>
      <c r="I571" s="39" t="s">
        <v>2567</v>
      </c>
      <c r="J571" s="24" t="s">
        <v>446</v>
      </c>
      <c r="K571" s="40"/>
      <c r="L571" s="38" t="s">
        <v>2580</v>
      </c>
      <c r="M571" s="44" t="s">
        <v>16</v>
      </c>
      <c r="N571" s="46" t="s">
        <v>2581</v>
      </c>
      <c r="O571" s="47" t="s">
        <v>984</v>
      </c>
      <c r="P571" s="50"/>
      <c r="Q571" s="45"/>
      <c r="R571" s="25"/>
      <c r="S571" s="52"/>
    </row>
    <row r="572" spans="1:19" ht="16.5" customHeight="1" x14ac:dyDescent="0.3">
      <c r="A572" s="27" t="s">
        <v>487</v>
      </c>
      <c r="B572" s="28" t="s">
        <v>488</v>
      </c>
      <c r="C572" s="26" t="s">
        <v>1808</v>
      </c>
      <c r="D572" s="31" t="s">
        <v>152</v>
      </c>
      <c r="E572" s="33" t="s">
        <v>2399</v>
      </c>
      <c r="F572" s="34" t="s">
        <v>563</v>
      </c>
      <c r="G572" s="32" t="s">
        <v>2544</v>
      </c>
      <c r="H572" s="37" t="s">
        <v>1611</v>
      </c>
      <c r="I572" s="39" t="s">
        <v>2567</v>
      </c>
      <c r="J572" s="24" t="s">
        <v>446</v>
      </c>
      <c r="K572" s="40"/>
      <c r="L572" s="38" t="s">
        <v>2582</v>
      </c>
      <c r="M572" s="44" t="s">
        <v>30</v>
      </c>
      <c r="N572" s="46" t="s">
        <v>2583</v>
      </c>
      <c r="O572" s="47" t="s">
        <v>1656</v>
      </c>
      <c r="P572" s="50"/>
      <c r="Q572" s="45"/>
      <c r="R572" s="25"/>
      <c r="S572" s="52"/>
    </row>
    <row r="573" spans="1:19" ht="16.5" customHeight="1" x14ac:dyDescent="0.3">
      <c r="A573" s="27" t="s">
        <v>487</v>
      </c>
      <c r="B573" s="28" t="s">
        <v>488</v>
      </c>
      <c r="C573" s="26" t="s">
        <v>1808</v>
      </c>
      <c r="D573" s="31" t="s">
        <v>152</v>
      </c>
      <c r="E573" s="33" t="s">
        <v>2399</v>
      </c>
      <c r="F573" s="34" t="s">
        <v>563</v>
      </c>
      <c r="G573" s="32" t="s">
        <v>2544</v>
      </c>
      <c r="H573" s="37" t="s">
        <v>1611</v>
      </c>
      <c r="I573" s="39" t="s">
        <v>2567</v>
      </c>
      <c r="J573" s="24" t="s">
        <v>446</v>
      </c>
      <c r="K573" s="40"/>
      <c r="L573" s="38" t="s">
        <v>2582</v>
      </c>
      <c r="M573" s="44" t="s">
        <v>30</v>
      </c>
      <c r="N573" s="46" t="s">
        <v>2584</v>
      </c>
      <c r="O573" s="47" t="s">
        <v>1659</v>
      </c>
      <c r="P573" s="50"/>
      <c r="Q573" s="45"/>
      <c r="R573" s="25"/>
      <c r="S573" s="52"/>
    </row>
    <row r="574" spans="1:19" ht="16.5" customHeight="1" x14ac:dyDescent="0.3">
      <c r="A574" s="27" t="s">
        <v>487</v>
      </c>
      <c r="B574" s="28" t="s">
        <v>488</v>
      </c>
      <c r="C574" s="26" t="s">
        <v>1808</v>
      </c>
      <c r="D574" s="31" t="s">
        <v>152</v>
      </c>
      <c r="E574" s="33" t="s">
        <v>2399</v>
      </c>
      <c r="F574" s="34" t="s">
        <v>563</v>
      </c>
      <c r="G574" s="32" t="s">
        <v>2544</v>
      </c>
      <c r="H574" s="37" t="s">
        <v>1611</v>
      </c>
      <c r="I574" s="39" t="s">
        <v>2567</v>
      </c>
      <c r="J574" s="24" t="s">
        <v>446</v>
      </c>
      <c r="K574" s="40"/>
      <c r="L574" s="38" t="s">
        <v>2582</v>
      </c>
      <c r="M574" s="44" t="s">
        <v>30</v>
      </c>
      <c r="N574" s="46" t="s">
        <v>2585</v>
      </c>
      <c r="O574" s="47" t="s">
        <v>1657</v>
      </c>
      <c r="P574" s="50"/>
      <c r="Q574" s="45"/>
      <c r="R574" s="25"/>
      <c r="S574" s="52"/>
    </row>
    <row r="575" spans="1:19" ht="15.75" customHeight="1" x14ac:dyDescent="0.3">
      <c r="A575" s="27" t="s">
        <v>487</v>
      </c>
      <c r="B575" s="28" t="s">
        <v>488</v>
      </c>
      <c r="C575" s="26" t="s">
        <v>1808</v>
      </c>
      <c r="D575" s="31" t="s">
        <v>152</v>
      </c>
      <c r="E575" s="33" t="s">
        <v>2399</v>
      </c>
      <c r="F575" s="34" t="s">
        <v>563</v>
      </c>
      <c r="G575" s="32" t="s">
        <v>2544</v>
      </c>
      <c r="H575" s="37" t="s">
        <v>1611</v>
      </c>
      <c r="I575" s="39" t="s">
        <v>2567</v>
      </c>
      <c r="J575" s="24" t="s">
        <v>446</v>
      </c>
      <c r="K575" s="40"/>
      <c r="L575" s="38" t="s">
        <v>2582</v>
      </c>
      <c r="M575" s="44" t="s">
        <v>30</v>
      </c>
      <c r="N575" s="46" t="s">
        <v>2586</v>
      </c>
      <c r="O575" s="47" t="s">
        <v>1658</v>
      </c>
      <c r="P575" s="50"/>
      <c r="Q575" s="45"/>
      <c r="R575" s="25"/>
      <c r="S575" s="52"/>
    </row>
    <row r="576" spans="1:19" ht="16.5" customHeight="1" x14ac:dyDescent="0.3">
      <c r="A576" s="27" t="s">
        <v>487</v>
      </c>
      <c r="B576" s="28" t="s">
        <v>488</v>
      </c>
      <c r="C576" s="26" t="s">
        <v>1808</v>
      </c>
      <c r="D576" s="31" t="s">
        <v>152</v>
      </c>
      <c r="E576" s="33" t="s">
        <v>2399</v>
      </c>
      <c r="F576" s="34" t="s">
        <v>563</v>
      </c>
      <c r="G576" s="32" t="s">
        <v>2544</v>
      </c>
      <c r="H576" s="37" t="s">
        <v>1611</v>
      </c>
      <c r="I576" s="39" t="s">
        <v>2567</v>
      </c>
      <c r="J576" s="24" t="s">
        <v>446</v>
      </c>
      <c r="K576" s="40"/>
      <c r="L576" s="38" t="s">
        <v>2587</v>
      </c>
      <c r="M576" s="44" t="s">
        <v>123</v>
      </c>
      <c r="N576" s="46" t="s">
        <v>2588</v>
      </c>
      <c r="O576" s="47" t="s">
        <v>1654</v>
      </c>
      <c r="P576" s="50"/>
      <c r="Q576" s="45"/>
      <c r="R576" s="25"/>
      <c r="S576" s="52"/>
    </row>
    <row r="577" spans="1:19" ht="16.5" customHeight="1" x14ac:dyDescent="0.3">
      <c r="A577" s="27" t="s">
        <v>487</v>
      </c>
      <c r="B577" s="28" t="s">
        <v>488</v>
      </c>
      <c r="C577" s="26" t="s">
        <v>1808</v>
      </c>
      <c r="D577" s="31" t="s">
        <v>152</v>
      </c>
      <c r="E577" s="33" t="s">
        <v>2399</v>
      </c>
      <c r="F577" s="34" t="s">
        <v>563</v>
      </c>
      <c r="G577" s="32" t="s">
        <v>2544</v>
      </c>
      <c r="H577" s="37" t="s">
        <v>1611</v>
      </c>
      <c r="I577" s="39" t="s">
        <v>2589</v>
      </c>
      <c r="J577" s="24" t="s">
        <v>447</v>
      </c>
      <c r="K577" s="40"/>
      <c r="L577" s="38" t="s">
        <v>2590</v>
      </c>
      <c r="M577" s="44" t="s">
        <v>564</v>
      </c>
      <c r="N577" s="46" t="s">
        <v>2591</v>
      </c>
      <c r="O577" s="47" t="s">
        <v>990</v>
      </c>
      <c r="P577" s="50"/>
      <c r="Q577" s="45"/>
      <c r="R577" s="25"/>
      <c r="S577" s="52"/>
    </row>
    <row r="578" spans="1:19" ht="16.5" customHeight="1" x14ac:dyDescent="0.3">
      <c r="A578" s="27" t="s">
        <v>487</v>
      </c>
      <c r="B578" s="28" t="s">
        <v>488</v>
      </c>
      <c r="C578" s="26" t="s">
        <v>1808</v>
      </c>
      <c r="D578" s="31" t="s">
        <v>152</v>
      </c>
      <c r="E578" s="33" t="s">
        <v>2399</v>
      </c>
      <c r="F578" s="34" t="s">
        <v>563</v>
      </c>
      <c r="G578" s="32" t="s">
        <v>2544</v>
      </c>
      <c r="H578" s="37" t="s">
        <v>1611</v>
      </c>
      <c r="I578" s="39" t="s">
        <v>2589</v>
      </c>
      <c r="J578" s="24" t="s">
        <v>447</v>
      </c>
      <c r="K578" s="40"/>
      <c r="L578" s="38" t="s">
        <v>2590</v>
      </c>
      <c r="M578" s="44" t="s">
        <v>564</v>
      </c>
      <c r="N578" s="46" t="s">
        <v>2592</v>
      </c>
      <c r="O578" s="47" t="s">
        <v>991</v>
      </c>
      <c r="P578" s="50"/>
      <c r="Q578" s="45"/>
      <c r="R578" s="25"/>
      <c r="S578" s="52"/>
    </row>
    <row r="579" spans="1:19" ht="16.5" customHeight="1" x14ac:dyDescent="0.3">
      <c r="A579" s="27" t="s">
        <v>487</v>
      </c>
      <c r="B579" s="28" t="s">
        <v>488</v>
      </c>
      <c r="C579" s="26" t="s">
        <v>1808</v>
      </c>
      <c r="D579" s="31" t="s">
        <v>152</v>
      </c>
      <c r="E579" s="33" t="s">
        <v>2399</v>
      </c>
      <c r="F579" s="34" t="s">
        <v>563</v>
      </c>
      <c r="G579" s="32" t="s">
        <v>2544</v>
      </c>
      <c r="H579" s="37" t="s">
        <v>1611</v>
      </c>
      <c r="I579" s="39" t="s">
        <v>2589</v>
      </c>
      <c r="J579" s="24" t="s">
        <v>447</v>
      </c>
      <c r="K579" s="40"/>
      <c r="L579" s="38" t="s">
        <v>2590</v>
      </c>
      <c r="M579" s="44" t="s">
        <v>564</v>
      </c>
      <c r="N579" s="46" t="s">
        <v>2593</v>
      </c>
      <c r="O579" s="47" t="s">
        <v>985</v>
      </c>
      <c r="P579" s="50"/>
      <c r="Q579" s="45"/>
      <c r="R579" s="25"/>
      <c r="S579" s="52"/>
    </row>
    <row r="580" spans="1:19" ht="16.5" customHeight="1" x14ac:dyDescent="0.3">
      <c r="A580" s="27" t="s">
        <v>487</v>
      </c>
      <c r="B580" s="28" t="s">
        <v>488</v>
      </c>
      <c r="C580" s="26" t="s">
        <v>1808</v>
      </c>
      <c r="D580" s="31" t="s">
        <v>152</v>
      </c>
      <c r="E580" s="33" t="s">
        <v>2399</v>
      </c>
      <c r="F580" s="34" t="s">
        <v>563</v>
      </c>
      <c r="G580" s="32" t="s">
        <v>2544</v>
      </c>
      <c r="H580" s="37" t="s">
        <v>1611</v>
      </c>
      <c r="I580" s="39" t="s">
        <v>2589</v>
      </c>
      <c r="J580" s="24" t="s">
        <v>447</v>
      </c>
      <c r="K580" s="40"/>
      <c r="L580" s="38" t="s">
        <v>2590</v>
      </c>
      <c r="M580" s="44" t="s">
        <v>564</v>
      </c>
      <c r="N580" s="46" t="s">
        <v>2594</v>
      </c>
      <c r="O580" s="47" t="s">
        <v>986</v>
      </c>
      <c r="P580" s="50"/>
      <c r="Q580" s="45"/>
      <c r="R580" s="25"/>
      <c r="S580" s="52"/>
    </row>
    <row r="581" spans="1:19" ht="16.5" customHeight="1" x14ac:dyDescent="0.3">
      <c r="A581" s="27" t="s">
        <v>487</v>
      </c>
      <c r="B581" s="28" t="s">
        <v>488</v>
      </c>
      <c r="C581" s="26" t="s">
        <v>1808</v>
      </c>
      <c r="D581" s="31" t="s">
        <v>152</v>
      </c>
      <c r="E581" s="33" t="s">
        <v>2399</v>
      </c>
      <c r="F581" s="34" t="s">
        <v>563</v>
      </c>
      <c r="G581" s="32" t="s">
        <v>2544</v>
      </c>
      <c r="H581" s="37" t="s">
        <v>1611</v>
      </c>
      <c r="I581" s="39" t="s">
        <v>2589</v>
      </c>
      <c r="J581" s="24" t="s">
        <v>447</v>
      </c>
      <c r="K581" s="40"/>
      <c r="L581" s="38" t="s">
        <v>2590</v>
      </c>
      <c r="M581" s="44" t="s">
        <v>564</v>
      </c>
      <c r="N581" s="46" t="s">
        <v>2595</v>
      </c>
      <c r="O581" s="47" t="s">
        <v>992</v>
      </c>
      <c r="P581" s="50"/>
      <c r="Q581" s="45"/>
      <c r="R581" s="25"/>
      <c r="S581" s="52"/>
    </row>
    <row r="582" spans="1:19" ht="16.5" customHeight="1" x14ac:dyDescent="0.3">
      <c r="A582" s="27" t="s">
        <v>487</v>
      </c>
      <c r="B582" s="28" t="s">
        <v>488</v>
      </c>
      <c r="C582" s="26" t="s">
        <v>1808</v>
      </c>
      <c r="D582" s="31" t="s">
        <v>152</v>
      </c>
      <c r="E582" s="33" t="s">
        <v>2399</v>
      </c>
      <c r="F582" s="34" t="s">
        <v>563</v>
      </c>
      <c r="G582" s="32" t="s">
        <v>2544</v>
      </c>
      <c r="H582" s="37" t="s">
        <v>1611</v>
      </c>
      <c r="I582" s="39" t="s">
        <v>2589</v>
      </c>
      <c r="J582" s="24" t="s">
        <v>447</v>
      </c>
      <c r="K582" s="40"/>
      <c r="L582" s="38" t="s">
        <v>2590</v>
      </c>
      <c r="M582" s="44" t="s">
        <v>564</v>
      </c>
      <c r="N582" s="46" t="s">
        <v>2596</v>
      </c>
      <c r="O582" s="47" t="s">
        <v>1655</v>
      </c>
      <c r="P582" s="50"/>
      <c r="Q582" s="45"/>
      <c r="R582" s="25"/>
      <c r="S582" s="52"/>
    </row>
    <row r="583" spans="1:19" ht="16.5" customHeight="1" x14ac:dyDescent="0.3">
      <c r="A583" s="27" t="s">
        <v>487</v>
      </c>
      <c r="B583" s="28" t="s">
        <v>488</v>
      </c>
      <c r="C583" s="26" t="s">
        <v>1808</v>
      </c>
      <c r="D583" s="31" t="s">
        <v>152</v>
      </c>
      <c r="E583" s="33" t="s">
        <v>2399</v>
      </c>
      <c r="F583" s="34" t="s">
        <v>563</v>
      </c>
      <c r="G583" s="32" t="s">
        <v>2544</v>
      </c>
      <c r="H583" s="37" t="s">
        <v>1611</v>
      </c>
      <c r="I583" s="39" t="s">
        <v>2589</v>
      </c>
      <c r="J583" s="24" t="s">
        <v>447</v>
      </c>
      <c r="K583" s="40"/>
      <c r="L583" s="38" t="s">
        <v>2597</v>
      </c>
      <c r="M583" s="44" t="s">
        <v>26</v>
      </c>
      <c r="N583" s="46" t="s">
        <v>2598</v>
      </c>
      <c r="O583" s="47" t="s">
        <v>993</v>
      </c>
      <c r="P583" s="50"/>
      <c r="Q583" s="45"/>
      <c r="R583" s="25"/>
      <c r="S583" s="52"/>
    </row>
    <row r="584" spans="1:19" ht="16.5" customHeight="1" x14ac:dyDescent="0.3">
      <c r="A584" s="27" t="s">
        <v>487</v>
      </c>
      <c r="B584" s="28" t="s">
        <v>488</v>
      </c>
      <c r="C584" s="26" t="s">
        <v>1808</v>
      </c>
      <c r="D584" s="31" t="s">
        <v>152</v>
      </c>
      <c r="E584" s="33" t="s">
        <v>2399</v>
      </c>
      <c r="F584" s="34" t="s">
        <v>563</v>
      </c>
      <c r="G584" s="32" t="s">
        <v>2544</v>
      </c>
      <c r="H584" s="37" t="s">
        <v>1611</v>
      </c>
      <c r="I584" s="39" t="s">
        <v>2589</v>
      </c>
      <c r="J584" s="24" t="s">
        <v>447</v>
      </c>
      <c r="K584" s="40"/>
      <c r="L584" s="38" t="s">
        <v>2597</v>
      </c>
      <c r="M584" s="44" t="s">
        <v>26</v>
      </c>
      <c r="N584" s="46" t="s">
        <v>2599</v>
      </c>
      <c r="O584" s="47" t="s">
        <v>987</v>
      </c>
      <c r="P584" s="50"/>
      <c r="Q584" s="45"/>
      <c r="R584" s="25"/>
      <c r="S584" s="52"/>
    </row>
    <row r="585" spans="1:19" ht="16.5" customHeight="1" x14ac:dyDescent="0.3">
      <c r="A585" s="27" t="s">
        <v>487</v>
      </c>
      <c r="B585" s="28" t="s">
        <v>488</v>
      </c>
      <c r="C585" s="26" t="s">
        <v>1808</v>
      </c>
      <c r="D585" s="31" t="s">
        <v>152</v>
      </c>
      <c r="E585" s="33" t="s">
        <v>2399</v>
      </c>
      <c r="F585" s="34" t="s">
        <v>563</v>
      </c>
      <c r="G585" s="32" t="s">
        <v>2544</v>
      </c>
      <c r="H585" s="37" t="s">
        <v>1611</v>
      </c>
      <c r="I585" s="39" t="s">
        <v>2589</v>
      </c>
      <c r="J585" s="24" t="s">
        <v>447</v>
      </c>
      <c r="K585" s="40"/>
      <c r="L585" s="38" t="s">
        <v>2597</v>
      </c>
      <c r="M585" s="44" t="s">
        <v>26</v>
      </c>
      <c r="N585" s="46" t="s">
        <v>2600</v>
      </c>
      <c r="O585" s="47" t="s">
        <v>988</v>
      </c>
      <c r="P585" s="50"/>
      <c r="Q585" s="45"/>
      <c r="R585" s="25"/>
      <c r="S585" s="52"/>
    </row>
    <row r="586" spans="1:19" ht="16.5" customHeight="1" x14ac:dyDescent="0.3">
      <c r="A586" s="27" t="s">
        <v>487</v>
      </c>
      <c r="B586" s="28" t="s">
        <v>488</v>
      </c>
      <c r="C586" s="26" t="s">
        <v>1808</v>
      </c>
      <c r="D586" s="31" t="s">
        <v>152</v>
      </c>
      <c r="E586" s="33" t="s">
        <v>2399</v>
      </c>
      <c r="F586" s="34" t="s">
        <v>563</v>
      </c>
      <c r="G586" s="32" t="s">
        <v>2544</v>
      </c>
      <c r="H586" s="37" t="s">
        <v>1611</v>
      </c>
      <c r="I586" s="39" t="s">
        <v>2589</v>
      </c>
      <c r="J586" s="24" t="s">
        <v>447</v>
      </c>
      <c r="K586" s="40"/>
      <c r="L586" s="38" t="s">
        <v>2597</v>
      </c>
      <c r="M586" s="44" t="s">
        <v>26</v>
      </c>
      <c r="N586" s="46" t="s">
        <v>2601</v>
      </c>
      <c r="O586" s="47" t="s">
        <v>989</v>
      </c>
      <c r="P586" s="50"/>
      <c r="Q586" s="45"/>
      <c r="R586" s="25"/>
      <c r="S586" s="52"/>
    </row>
    <row r="587" spans="1:19" ht="16.5" customHeight="1" x14ac:dyDescent="0.3">
      <c r="A587" s="27" t="s">
        <v>487</v>
      </c>
      <c r="B587" s="28" t="s">
        <v>488</v>
      </c>
      <c r="C587" s="26" t="s">
        <v>1808</v>
      </c>
      <c r="D587" s="31" t="s">
        <v>152</v>
      </c>
      <c r="E587" s="33" t="s">
        <v>2399</v>
      </c>
      <c r="F587" s="34" t="s">
        <v>563</v>
      </c>
      <c r="G587" s="32" t="s">
        <v>2544</v>
      </c>
      <c r="H587" s="37" t="s">
        <v>1611</v>
      </c>
      <c r="I587" s="39" t="s">
        <v>2589</v>
      </c>
      <c r="J587" s="24" t="s">
        <v>447</v>
      </c>
      <c r="K587" s="40"/>
      <c r="L587" s="38" t="s">
        <v>2602</v>
      </c>
      <c r="M587" s="44" t="s">
        <v>16</v>
      </c>
      <c r="N587" s="46" t="s">
        <v>2603</v>
      </c>
      <c r="O587" s="47" t="s">
        <v>994</v>
      </c>
      <c r="P587" s="50"/>
      <c r="Q587" s="45"/>
      <c r="R587" s="25"/>
      <c r="S587" s="52"/>
    </row>
    <row r="588" spans="1:19" ht="16.5" customHeight="1" x14ac:dyDescent="0.3">
      <c r="A588" s="27" t="s">
        <v>487</v>
      </c>
      <c r="B588" s="28" t="s">
        <v>488</v>
      </c>
      <c r="C588" s="26" t="s">
        <v>1808</v>
      </c>
      <c r="D588" s="31" t="s">
        <v>152</v>
      </c>
      <c r="E588" s="33" t="s">
        <v>2399</v>
      </c>
      <c r="F588" s="34" t="s">
        <v>563</v>
      </c>
      <c r="G588" s="32" t="s">
        <v>2544</v>
      </c>
      <c r="H588" s="37" t="s">
        <v>1611</v>
      </c>
      <c r="I588" s="39" t="s">
        <v>2589</v>
      </c>
      <c r="J588" s="24" t="s">
        <v>447</v>
      </c>
      <c r="K588" s="40"/>
      <c r="L588" s="38" t="s">
        <v>2604</v>
      </c>
      <c r="M588" s="44" t="s">
        <v>30</v>
      </c>
      <c r="N588" s="46" t="s">
        <v>2605</v>
      </c>
      <c r="O588" s="47" t="s">
        <v>1656</v>
      </c>
      <c r="P588" s="50"/>
      <c r="Q588" s="45"/>
      <c r="R588" s="25"/>
      <c r="S588" s="52"/>
    </row>
    <row r="589" spans="1:19" ht="16.5" customHeight="1" x14ac:dyDescent="0.3">
      <c r="A589" s="27" t="s">
        <v>487</v>
      </c>
      <c r="B589" s="28" t="s">
        <v>488</v>
      </c>
      <c r="C589" s="26" t="s">
        <v>1808</v>
      </c>
      <c r="D589" s="31" t="s">
        <v>152</v>
      </c>
      <c r="E589" s="33" t="s">
        <v>2399</v>
      </c>
      <c r="F589" s="34" t="s">
        <v>563</v>
      </c>
      <c r="G589" s="32" t="s">
        <v>2544</v>
      </c>
      <c r="H589" s="37" t="s">
        <v>1611</v>
      </c>
      <c r="I589" s="39" t="s">
        <v>2589</v>
      </c>
      <c r="J589" s="24" t="s">
        <v>447</v>
      </c>
      <c r="K589" s="40"/>
      <c r="L589" s="38" t="s">
        <v>2604</v>
      </c>
      <c r="M589" s="44" t="s">
        <v>30</v>
      </c>
      <c r="N589" s="46" t="s">
        <v>2606</v>
      </c>
      <c r="O589" s="47" t="s">
        <v>1659</v>
      </c>
      <c r="P589" s="50"/>
      <c r="Q589" s="45"/>
      <c r="R589" s="25"/>
      <c r="S589" s="52"/>
    </row>
    <row r="590" spans="1:19" ht="16.5" customHeight="1" x14ac:dyDescent="0.3">
      <c r="A590" s="27" t="s">
        <v>487</v>
      </c>
      <c r="B590" s="28" t="s">
        <v>488</v>
      </c>
      <c r="C590" s="26" t="s">
        <v>1808</v>
      </c>
      <c r="D590" s="31" t="s">
        <v>152</v>
      </c>
      <c r="E590" s="33" t="s">
        <v>2399</v>
      </c>
      <c r="F590" s="34" t="s">
        <v>563</v>
      </c>
      <c r="G590" s="32" t="s">
        <v>2544</v>
      </c>
      <c r="H590" s="37" t="s">
        <v>1611</v>
      </c>
      <c r="I590" s="39" t="s">
        <v>2589</v>
      </c>
      <c r="J590" s="24" t="s">
        <v>447</v>
      </c>
      <c r="K590" s="40"/>
      <c r="L590" s="38" t="s">
        <v>2604</v>
      </c>
      <c r="M590" s="44" t="s">
        <v>30</v>
      </c>
      <c r="N590" s="46" t="s">
        <v>2607</v>
      </c>
      <c r="O590" s="47" t="s">
        <v>1657</v>
      </c>
      <c r="P590" s="50"/>
      <c r="Q590" s="45"/>
      <c r="R590" s="25"/>
      <c r="S590" s="52"/>
    </row>
    <row r="591" spans="1:19" ht="16.5" customHeight="1" x14ac:dyDescent="0.3">
      <c r="A591" s="27" t="s">
        <v>487</v>
      </c>
      <c r="B591" s="28" t="s">
        <v>488</v>
      </c>
      <c r="C591" s="26" t="s">
        <v>1808</v>
      </c>
      <c r="D591" s="31" t="s">
        <v>152</v>
      </c>
      <c r="E591" s="33" t="s">
        <v>2399</v>
      </c>
      <c r="F591" s="34" t="s">
        <v>563</v>
      </c>
      <c r="G591" s="32" t="s">
        <v>2544</v>
      </c>
      <c r="H591" s="37" t="s">
        <v>1611</v>
      </c>
      <c r="I591" s="39" t="s">
        <v>2589</v>
      </c>
      <c r="J591" s="24" t="s">
        <v>447</v>
      </c>
      <c r="K591" s="40"/>
      <c r="L591" s="38" t="s">
        <v>2604</v>
      </c>
      <c r="M591" s="44" t="s">
        <v>30</v>
      </c>
      <c r="N591" s="46" t="s">
        <v>2608</v>
      </c>
      <c r="O591" s="47" t="s">
        <v>1658</v>
      </c>
      <c r="P591" s="50"/>
      <c r="Q591" s="45"/>
      <c r="R591" s="25"/>
      <c r="S591" s="52"/>
    </row>
    <row r="592" spans="1:19" ht="16.5" customHeight="1" x14ac:dyDescent="0.3">
      <c r="A592" s="27" t="s">
        <v>487</v>
      </c>
      <c r="B592" s="28" t="s">
        <v>488</v>
      </c>
      <c r="C592" s="26" t="s">
        <v>1808</v>
      </c>
      <c r="D592" s="31" t="s">
        <v>152</v>
      </c>
      <c r="E592" s="33" t="s">
        <v>2399</v>
      </c>
      <c r="F592" s="34" t="s">
        <v>563</v>
      </c>
      <c r="G592" s="32" t="s">
        <v>2544</v>
      </c>
      <c r="H592" s="37" t="s">
        <v>1611</v>
      </c>
      <c r="I592" s="39" t="s">
        <v>2589</v>
      </c>
      <c r="J592" s="24" t="s">
        <v>447</v>
      </c>
      <c r="K592" s="40"/>
      <c r="L592" s="38" t="s">
        <v>2609</v>
      </c>
      <c r="M592" s="44" t="s">
        <v>123</v>
      </c>
      <c r="N592" s="46" t="s">
        <v>2610</v>
      </c>
      <c r="O592" s="47" t="s">
        <v>1654</v>
      </c>
      <c r="P592" s="50"/>
      <c r="Q592" s="45"/>
      <c r="R592" s="25"/>
      <c r="S592" s="52"/>
    </row>
    <row r="593" spans="1:19" ht="16.5" customHeight="1" x14ac:dyDescent="0.3">
      <c r="A593" s="27" t="s">
        <v>487</v>
      </c>
      <c r="B593" s="28" t="s">
        <v>488</v>
      </c>
      <c r="C593" s="26" t="s">
        <v>1808</v>
      </c>
      <c r="D593" s="31" t="s">
        <v>152</v>
      </c>
      <c r="E593" s="33" t="s">
        <v>2399</v>
      </c>
      <c r="F593" s="34" t="s">
        <v>563</v>
      </c>
      <c r="G593" s="32" t="s">
        <v>2544</v>
      </c>
      <c r="H593" s="37" t="s">
        <v>1611</v>
      </c>
      <c r="I593" s="39" t="s">
        <v>2611</v>
      </c>
      <c r="J593" s="24" t="s">
        <v>448</v>
      </c>
      <c r="K593" s="40"/>
      <c r="L593" s="38" t="s">
        <v>2612</v>
      </c>
      <c r="M593" s="44" t="s">
        <v>564</v>
      </c>
      <c r="N593" s="46" t="s">
        <v>2613</v>
      </c>
      <c r="O593" s="47" t="s">
        <v>1000</v>
      </c>
      <c r="P593" s="50"/>
      <c r="Q593" s="45"/>
      <c r="R593" s="25"/>
      <c r="S593" s="52"/>
    </row>
    <row r="594" spans="1:19" ht="16.5" customHeight="1" x14ac:dyDescent="0.3">
      <c r="A594" s="27" t="s">
        <v>487</v>
      </c>
      <c r="B594" s="28" t="s">
        <v>488</v>
      </c>
      <c r="C594" s="26" t="s">
        <v>1808</v>
      </c>
      <c r="D594" s="31" t="s">
        <v>152</v>
      </c>
      <c r="E594" s="33" t="s">
        <v>2399</v>
      </c>
      <c r="F594" s="34" t="s">
        <v>563</v>
      </c>
      <c r="G594" s="32" t="s">
        <v>2544</v>
      </c>
      <c r="H594" s="37" t="s">
        <v>1611</v>
      </c>
      <c r="I594" s="39" t="s">
        <v>2611</v>
      </c>
      <c r="J594" s="24" t="s">
        <v>448</v>
      </c>
      <c r="K594" s="40"/>
      <c r="L594" s="38" t="s">
        <v>2612</v>
      </c>
      <c r="M594" s="44" t="s">
        <v>564</v>
      </c>
      <c r="N594" s="46" t="s">
        <v>2614</v>
      </c>
      <c r="O594" s="47" t="s">
        <v>1001</v>
      </c>
      <c r="P594" s="50"/>
      <c r="Q594" s="45"/>
      <c r="R594" s="25"/>
      <c r="S594" s="52"/>
    </row>
    <row r="595" spans="1:19" ht="16.5" customHeight="1" x14ac:dyDescent="0.3">
      <c r="A595" s="27" t="s">
        <v>487</v>
      </c>
      <c r="B595" s="28" t="s">
        <v>488</v>
      </c>
      <c r="C595" s="26" t="s">
        <v>1808</v>
      </c>
      <c r="D595" s="31" t="s">
        <v>152</v>
      </c>
      <c r="E595" s="33" t="s">
        <v>2399</v>
      </c>
      <c r="F595" s="34" t="s">
        <v>563</v>
      </c>
      <c r="G595" s="32" t="s">
        <v>2544</v>
      </c>
      <c r="H595" s="37" t="s">
        <v>1611</v>
      </c>
      <c r="I595" s="39" t="s">
        <v>2611</v>
      </c>
      <c r="J595" s="24" t="s">
        <v>448</v>
      </c>
      <c r="K595" s="40"/>
      <c r="L595" s="38" t="s">
        <v>2612</v>
      </c>
      <c r="M595" s="44" t="s">
        <v>564</v>
      </c>
      <c r="N595" s="46" t="s">
        <v>2615</v>
      </c>
      <c r="O595" s="47" t="s">
        <v>995</v>
      </c>
      <c r="P595" s="50"/>
      <c r="Q595" s="45"/>
      <c r="R595" s="25"/>
      <c r="S595" s="52"/>
    </row>
    <row r="596" spans="1:19" ht="16.5" customHeight="1" x14ac:dyDescent="0.3">
      <c r="A596" s="27" t="s">
        <v>487</v>
      </c>
      <c r="B596" s="28" t="s">
        <v>488</v>
      </c>
      <c r="C596" s="26" t="s">
        <v>1808</v>
      </c>
      <c r="D596" s="31" t="s">
        <v>152</v>
      </c>
      <c r="E596" s="33" t="s">
        <v>2399</v>
      </c>
      <c r="F596" s="34" t="s">
        <v>563</v>
      </c>
      <c r="G596" s="32" t="s">
        <v>2544</v>
      </c>
      <c r="H596" s="37" t="s">
        <v>1611</v>
      </c>
      <c r="I596" s="39" t="s">
        <v>2611</v>
      </c>
      <c r="J596" s="24" t="s">
        <v>448</v>
      </c>
      <c r="K596" s="40"/>
      <c r="L596" s="38" t="s">
        <v>2612</v>
      </c>
      <c r="M596" s="44" t="s">
        <v>564</v>
      </c>
      <c r="N596" s="46" t="s">
        <v>2616</v>
      </c>
      <c r="O596" s="47" t="s">
        <v>996</v>
      </c>
      <c r="P596" s="50"/>
      <c r="Q596" s="45"/>
      <c r="R596" s="25"/>
      <c r="S596" s="52"/>
    </row>
    <row r="597" spans="1:19" ht="16.5" customHeight="1" x14ac:dyDescent="0.3">
      <c r="A597" s="27" t="s">
        <v>487</v>
      </c>
      <c r="B597" s="28" t="s">
        <v>488</v>
      </c>
      <c r="C597" s="26" t="s">
        <v>1808</v>
      </c>
      <c r="D597" s="31" t="s">
        <v>152</v>
      </c>
      <c r="E597" s="33" t="s">
        <v>2399</v>
      </c>
      <c r="F597" s="34" t="s">
        <v>563</v>
      </c>
      <c r="G597" s="32" t="s">
        <v>2544</v>
      </c>
      <c r="H597" s="37" t="s">
        <v>1611</v>
      </c>
      <c r="I597" s="39" t="s">
        <v>2611</v>
      </c>
      <c r="J597" s="24" t="s">
        <v>448</v>
      </c>
      <c r="K597" s="40"/>
      <c r="L597" s="38" t="s">
        <v>2612</v>
      </c>
      <c r="M597" s="44" t="s">
        <v>564</v>
      </c>
      <c r="N597" s="46" t="s">
        <v>2617</v>
      </c>
      <c r="O597" s="47" t="s">
        <v>1002</v>
      </c>
      <c r="P597" s="50"/>
      <c r="Q597" s="45"/>
      <c r="R597" s="25"/>
      <c r="S597" s="52"/>
    </row>
    <row r="598" spans="1:19" ht="16.5" customHeight="1" x14ac:dyDescent="0.3">
      <c r="A598" s="27" t="s">
        <v>487</v>
      </c>
      <c r="B598" s="28" t="s">
        <v>488</v>
      </c>
      <c r="C598" s="26" t="s">
        <v>1808</v>
      </c>
      <c r="D598" s="31" t="s">
        <v>152</v>
      </c>
      <c r="E598" s="33" t="s">
        <v>2399</v>
      </c>
      <c r="F598" s="34" t="s">
        <v>563</v>
      </c>
      <c r="G598" s="32" t="s">
        <v>2544</v>
      </c>
      <c r="H598" s="37" t="s">
        <v>1611</v>
      </c>
      <c r="I598" s="39" t="s">
        <v>2611</v>
      </c>
      <c r="J598" s="24" t="s">
        <v>448</v>
      </c>
      <c r="K598" s="40"/>
      <c r="L598" s="38" t="s">
        <v>2612</v>
      </c>
      <c r="M598" s="44" t="s">
        <v>564</v>
      </c>
      <c r="N598" s="46" t="s">
        <v>2618</v>
      </c>
      <c r="O598" s="47" t="s">
        <v>1655</v>
      </c>
      <c r="P598" s="50"/>
      <c r="Q598" s="45"/>
      <c r="R598" s="25"/>
      <c r="S598" s="52"/>
    </row>
    <row r="599" spans="1:19" ht="16.5" customHeight="1" x14ac:dyDescent="0.3">
      <c r="A599" s="27" t="s">
        <v>487</v>
      </c>
      <c r="B599" s="28" t="s">
        <v>488</v>
      </c>
      <c r="C599" s="26" t="s">
        <v>1808</v>
      </c>
      <c r="D599" s="31" t="s">
        <v>152</v>
      </c>
      <c r="E599" s="33" t="s">
        <v>2399</v>
      </c>
      <c r="F599" s="34" t="s">
        <v>563</v>
      </c>
      <c r="G599" s="32" t="s">
        <v>2544</v>
      </c>
      <c r="H599" s="37" t="s">
        <v>1611</v>
      </c>
      <c r="I599" s="39" t="s">
        <v>2611</v>
      </c>
      <c r="J599" s="24" t="s">
        <v>448</v>
      </c>
      <c r="K599" s="40"/>
      <c r="L599" s="38" t="s">
        <v>2619</v>
      </c>
      <c r="M599" s="44" t="s">
        <v>26</v>
      </c>
      <c r="N599" s="46" t="s">
        <v>2620</v>
      </c>
      <c r="O599" s="47" t="s">
        <v>1003</v>
      </c>
      <c r="P599" s="50"/>
      <c r="Q599" s="45"/>
      <c r="R599" s="25"/>
      <c r="S599" s="52"/>
    </row>
    <row r="600" spans="1:19" ht="16.5" customHeight="1" x14ac:dyDescent="0.3">
      <c r="A600" s="27" t="s">
        <v>487</v>
      </c>
      <c r="B600" s="28" t="s">
        <v>488</v>
      </c>
      <c r="C600" s="26" t="s">
        <v>1808</v>
      </c>
      <c r="D600" s="31" t="s">
        <v>152</v>
      </c>
      <c r="E600" s="33" t="s">
        <v>2399</v>
      </c>
      <c r="F600" s="34" t="s">
        <v>563</v>
      </c>
      <c r="G600" s="32" t="s">
        <v>2544</v>
      </c>
      <c r="H600" s="37" t="s">
        <v>1611</v>
      </c>
      <c r="I600" s="39" t="s">
        <v>2611</v>
      </c>
      <c r="J600" s="24" t="s">
        <v>448</v>
      </c>
      <c r="K600" s="40"/>
      <c r="L600" s="38" t="s">
        <v>2619</v>
      </c>
      <c r="M600" s="44" t="s">
        <v>26</v>
      </c>
      <c r="N600" s="46" t="s">
        <v>2621</v>
      </c>
      <c r="O600" s="47" t="s">
        <v>997</v>
      </c>
      <c r="P600" s="50"/>
      <c r="Q600" s="45"/>
      <c r="R600" s="25"/>
      <c r="S600" s="52"/>
    </row>
    <row r="601" spans="1:19" ht="16.5" customHeight="1" x14ac:dyDescent="0.3">
      <c r="A601" s="27" t="s">
        <v>487</v>
      </c>
      <c r="B601" s="28" t="s">
        <v>488</v>
      </c>
      <c r="C601" s="26" t="s">
        <v>1808</v>
      </c>
      <c r="D601" s="31" t="s">
        <v>152</v>
      </c>
      <c r="E601" s="33" t="s">
        <v>2399</v>
      </c>
      <c r="F601" s="34" t="s">
        <v>563</v>
      </c>
      <c r="G601" s="32" t="s">
        <v>2544</v>
      </c>
      <c r="H601" s="37" t="s">
        <v>1611</v>
      </c>
      <c r="I601" s="39" t="s">
        <v>2611</v>
      </c>
      <c r="J601" s="24" t="s">
        <v>448</v>
      </c>
      <c r="K601" s="40"/>
      <c r="L601" s="38" t="s">
        <v>2619</v>
      </c>
      <c r="M601" s="44" t="s">
        <v>26</v>
      </c>
      <c r="N601" s="46" t="s">
        <v>2622</v>
      </c>
      <c r="O601" s="47" t="s">
        <v>998</v>
      </c>
      <c r="P601" s="50"/>
      <c r="Q601" s="45"/>
      <c r="R601" s="25"/>
      <c r="S601" s="52"/>
    </row>
    <row r="602" spans="1:19" ht="16.5" customHeight="1" x14ac:dyDescent="0.3">
      <c r="A602" s="27" t="s">
        <v>487</v>
      </c>
      <c r="B602" s="28" t="s">
        <v>488</v>
      </c>
      <c r="C602" s="26" t="s">
        <v>1808</v>
      </c>
      <c r="D602" s="31" t="s">
        <v>152</v>
      </c>
      <c r="E602" s="33" t="s">
        <v>2399</v>
      </c>
      <c r="F602" s="34" t="s">
        <v>563</v>
      </c>
      <c r="G602" s="32" t="s">
        <v>2544</v>
      </c>
      <c r="H602" s="37" t="s">
        <v>1611</v>
      </c>
      <c r="I602" s="39" t="s">
        <v>2611</v>
      </c>
      <c r="J602" s="24" t="s">
        <v>448</v>
      </c>
      <c r="K602" s="40"/>
      <c r="L602" s="38" t="s">
        <v>2619</v>
      </c>
      <c r="M602" s="44" t="s">
        <v>26</v>
      </c>
      <c r="N602" s="46" t="s">
        <v>2623</v>
      </c>
      <c r="O602" s="47" t="s">
        <v>999</v>
      </c>
      <c r="P602" s="50"/>
      <c r="Q602" s="45"/>
      <c r="R602" s="25"/>
      <c r="S602" s="52"/>
    </row>
    <row r="603" spans="1:19" ht="16.5" customHeight="1" x14ac:dyDescent="0.3">
      <c r="A603" s="27" t="s">
        <v>487</v>
      </c>
      <c r="B603" s="28" t="s">
        <v>488</v>
      </c>
      <c r="C603" s="26" t="s">
        <v>1808</v>
      </c>
      <c r="D603" s="31" t="s">
        <v>152</v>
      </c>
      <c r="E603" s="33" t="s">
        <v>2399</v>
      </c>
      <c r="F603" s="34" t="s">
        <v>563</v>
      </c>
      <c r="G603" s="32" t="s">
        <v>2544</v>
      </c>
      <c r="H603" s="37" t="s">
        <v>1611</v>
      </c>
      <c r="I603" s="39" t="s">
        <v>2611</v>
      </c>
      <c r="J603" s="24" t="s">
        <v>448</v>
      </c>
      <c r="K603" s="40"/>
      <c r="L603" s="38" t="s">
        <v>2624</v>
      </c>
      <c r="M603" s="44" t="s">
        <v>16</v>
      </c>
      <c r="N603" s="46" t="s">
        <v>2625</v>
      </c>
      <c r="O603" s="47" t="s">
        <v>1004</v>
      </c>
      <c r="P603" s="50"/>
      <c r="Q603" s="45"/>
      <c r="R603" s="25"/>
      <c r="S603" s="52"/>
    </row>
    <row r="604" spans="1:19" ht="16.5" customHeight="1" x14ac:dyDescent="0.3">
      <c r="A604" s="27" t="s">
        <v>487</v>
      </c>
      <c r="B604" s="28" t="s">
        <v>488</v>
      </c>
      <c r="C604" s="26" t="s">
        <v>1808</v>
      </c>
      <c r="D604" s="31" t="s">
        <v>152</v>
      </c>
      <c r="E604" s="33" t="s">
        <v>2399</v>
      </c>
      <c r="F604" s="34" t="s">
        <v>563</v>
      </c>
      <c r="G604" s="32" t="s">
        <v>2544</v>
      </c>
      <c r="H604" s="37" t="s">
        <v>1611</v>
      </c>
      <c r="I604" s="39" t="s">
        <v>2611</v>
      </c>
      <c r="J604" s="24" t="s">
        <v>448</v>
      </c>
      <c r="K604" s="40"/>
      <c r="L604" s="38" t="s">
        <v>2626</v>
      </c>
      <c r="M604" s="44" t="s">
        <v>30</v>
      </c>
      <c r="N604" s="46" t="s">
        <v>2627</v>
      </c>
      <c r="O604" s="47" t="s">
        <v>1656</v>
      </c>
      <c r="P604" s="50"/>
      <c r="Q604" s="45"/>
      <c r="R604" s="25"/>
      <c r="S604" s="52"/>
    </row>
    <row r="605" spans="1:19" ht="16.5" customHeight="1" x14ac:dyDescent="0.3">
      <c r="A605" s="27" t="s">
        <v>487</v>
      </c>
      <c r="B605" s="28" t="s">
        <v>488</v>
      </c>
      <c r="C605" s="26" t="s">
        <v>1808</v>
      </c>
      <c r="D605" s="31" t="s">
        <v>152</v>
      </c>
      <c r="E605" s="33" t="s">
        <v>2399</v>
      </c>
      <c r="F605" s="34" t="s">
        <v>563</v>
      </c>
      <c r="G605" s="32" t="s">
        <v>2544</v>
      </c>
      <c r="H605" s="37" t="s">
        <v>1611</v>
      </c>
      <c r="I605" s="39" t="s">
        <v>2611</v>
      </c>
      <c r="J605" s="24" t="s">
        <v>448</v>
      </c>
      <c r="K605" s="40"/>
      <c r="L605" s="38" t="s">
        <v>2626</v>
      </c>
      <c r="M605" s="44" t="s">
        <v>30</v>
      </c>
      <c r="N605" s="46" t="s">
        <v>2628</v>
      </c>
      <c r="O605" s="47" t="s">
        <v>1659</v>
      </c>
      <c r="P605" s="50"/>
      <c r="Q605" s="45"/>
      <c r="R605" s="25"/>
      <c r="S605" s="52"/>
    </row>
    <row r="606" spans="1:19" ht="16.5" customHeight="1" x14ac:dyDescent="0.3">
      <c r="A606" s="27" t="s">
        <v>487</v>
      </c>
      <c r="B606" s="28" t="s">
        <v>488</v>
      </c>
      <c r="C606" s="26" t="s">
        <v>1808</v>
      </c>
      <c r="D606" s="31" t="s">
        <v>152</v>
      </c>
      <c r="E606" s="33" t="s">
        <v>2399</v>
      </c>
      <c r="F606" s="34" t="s">
        <v>563</v>
      </c>
      <c r="G606" s="32" t="s">
        <v>2544</v>
      </c>
      <c r="H606" s="37" t="s">
        <v>1611</v>
      </c>
      <c r="I606" s="39" t="s">
        <v>2611</v>
      </c>
      <c r="J606" s="24" t="s">
        <v>448</v>
      </c>
      <c r="K606" s="40"/>
      <c r="L606" s="38" t="s">
        <v>2626</v>
      </c>
      <c r="M606" s="44" t="s">
        <v>30</v>
      </c>
      <c r="N606" s="46" t="s">
        <v>2629</v>
      </c>
      <c r="O606" s="47" t="s">
        <v>1657</v>
      </c>
      <c r="P606" s="50"/>
      <c r="Q606" s="45"/>
      <c r="R606" s="25"/>
      <c r="S606" s="52"/>
    </row>
    <row r="607" spans="1:19" ht="16.5" customHeight="1" x14ac:dyDescent="0.3">
      <c r="A607" s="27" t="s">
        <v>487</v>
      </c>
      <c r="B607" s="28" t="s">
        <v>488</v>
      </c>
      <c r="C607" s="26" t="s">
        <v>1808</v>
      </c>
      <c r="D607" s="31" t="s">
        <v>152</v>
      </c>
      <c r="E607" s="33" t="s">
        <v>2399</v>
      </c>
      <c r="F607" s="34" t="s">
        <v>563</v>
      </c>
      <c r="G607" s="32" t="s">
        <v>2544</v>
      </c>
      <c r="H607" s="37" t="s">
        <v>1611</v>
      </c>
      <c r="I607" s="39" t="s">
        <v>2611</v>
      </c>
      <c r="J607" s="24" t="s">
        <v>448</v>
      </c>
      <c r="K607" s="40"/>
      <c r="L607" s="38" t="s">
        <v>2626</v>
      </c>
      <c r="M607" s="44" t="s">
        <v>30</v>
      </c>
      <c r="N607" s="46" t="s">
        <v>2630</v>
      </c>
      <c r="O607" s="47" t="s">
        <v>1658</v>
      </c>
      <c r="P607" s="50"/>
      <c r="Q607" s="45"/>
      <c r="R607" s="25"/>
      <c r="S607" s="52"/>
    </row>
    <row r="608" spans="1:19" ht="16.5" customHeight="1" x14ac:dyDescent="0.3">
      <c r="A608" s="27" t="s">
        <v>487</v>
      </c>
      <c r="B608" s="28" t="s">
        <v>488</v>
      </c>
      <c r="C608" s="26" t="s">
        <v>1808</v>
      </c>
      <c r="D608" s="31" t="s">
        <v>152</v>
      </c>
      <c r="E608" s="33" t="s">
        <v>2399</v>
      </c>
      <c r="F608" s="34" t="s">
        <v>563</v>
      </c>
      <c r="G608" s="32" t="s">
        <v>2544</v>
      </c>
      <c r="H608" s="37" t="s">
        <v>1611</v>
      </c>
      <c r="I608" s="39" t="s">
        <v>2611</v>
      </c>
      <c r="J608" s="24" t="s">
        <v>448</v>
      </c>
      <c r="K608" s="40"/>
      <c r="L608" s="38" t="s">
        <v>2631</v>
      </c>
      <c r="M608" s="44" t="s">
        <v>123</v>
      </c>
      <c r="N608" s="46" t="s">
        <v>2632</v>
      </c>
      <c r="O608" s="47" t="s">
        <v>1654</v>
      </c>
      <c r="P608" s="50"/>
      <c r="Q608" s="45"/>
      <c r="R608" s="25"/>
      <c r="S608" s="52"/>
    </row>
    <row r="609" spans="1:19" ht="16.5" customHeight="1" x14ac:dyDescent="0.3">
      <c r="A609" s="27" t="s">
        <v>487</v>
      </c>
      <c r="B609" s="28" t="s">
        <v>488</v>
      </c>
      <c r="C609" s="26" t="s">
        <v>1808</v>
      </c>
      <c r="D609" s="31" t="s">
        <v>152</v>
      </c>
      <c r="E609" s="33" t="s">
        <v>2399</v>
      </c>
      <c r="F609" s="34" t="s">
        <v>563</v>
      </c>
      <c r="G609" s="32" t="s">
        <v>2544</v>
      </c>
      <c r="H609" s="37" t="s">
        <v>1611</v>
      </c>
      <c r="I609" s="39" t="s">
        <v>2633</v>
      </c>
      <c r="J609" s="24" t="s">
        <v>449</v>
      </c>
      <c r="K609" s="40"/>
      <c r="L609" s="38" t="s">
        <v>2634</v>
      </c>
      <c r="M609" s="44" t="s">
        <v>564</v>
      </c>
      <c r="N609" s="46" t="s">
        <v>2635</v>
      </c>
      <c r="O609" s="47" t="s">
        <v>1010</v>
      </c>
      <c r="P609" s="50"/>
      <c r="Q609" s="45"/>
      <c r="R609" s="25"/>
      <c r="S609" s="52"/>
    </row>
    <row r="610" spans="1:19" ht="16.5" customHeight="1" x14ac:dyDescent="0.3">
      <c r="A610" s="27" t="s">
        <v>487</v>
      </c>
      <c r="B610" s="28" t="s">
        <v>488</v>
      </c>
      <c r="C610" s="26" t="s">
        <v>1808</v>
      </c>
      <c r="D610" s="31" t="s">
        <v>152</v>
      </c>
      <c r="E610" s="33" t="s">
        <v>2399</v>
      </c>
      <c r="F610" s="34" t="s">
        <v>563</v>
      </c>
      <c r="G610" s="32" t="s">
        <v>2544</v>
      </c>
      <c r="H610" s="37" t="s">
        <v>1611</v>
      </c>
      <c r="I610" s="39" t="s">
        <v>2633</v>
      </c>
      <c r="J610" s="24" t="s">
        <v>449</v>
      </c>
      <c r="K610" s="40"/>
      <c r="L610" s="38" t="s">
        <v>2634</v>
      </c>
      <c r="M610" s="44" t="s">
        <v>564</v>
      </c>
      <c r="N610" s="46" t="s">
        <v>2636</v>
      </c>
      <c r="O610" s="47" t="s">
        <v>1011</v>
      </c>
      <c r="P610" s="50"/>
      <c r="Q610" s="45"/>
      <c r="R610" s="25"/>
      <c r="S610" s="52"/>
    </row>
    <row r="611" spans="1:19" ht="16.5" customHeight="1" x14ac:dyDescent="0.3">
      <c r="A611" s="27" t="s">
        <v>487</v>
      </c>
      <c r="B611" s="28" t="s">
        <v>488</v>
      </c>
      <c r="C611" s="26" t="s">
        <v>1808</v>
      </c>
      <c r="D611" s="31" t="s">
        <v>152</v>
      </c>
      <c r="E611" s="33" t="s">
        <v>2399</v>
      </c>
      <c r="F611" s="34" t="s">
        <v>563</v>
      </c>
      <c r="G611" s="32" t="s">
        <v>2544</v>
      </c>
      <c r="H611" s="37" t="s">
        <v>1611</v>
      </c>
      <c r="I611" s="39" t="s">
        <v>2633</v>
      </c>
      <c r="J611" s="24" t="s">
        <v>449</v>
      </c>
      <c r="K611" s="40"/>
      <c r="L611" s="38" t="s">
        <v>2634</v>
      </c>
      <c r="M611" s="44" t="s">
        <v>564</v>
      </c>
      <c r="N611" s="46" t="s">
        <v>2637</v>
      </c>
      <c r="O611" s="47" t="s">
        <v>1005</v>
      </c>
      <c r="P611" s="50"/>
      <c r="Q611" s="45"/>
      <c r="R611" s="25"/>
      <c r="S611" s="52"/>
    </row>
    <row r="612" spans="1:19" ht="16.5" customHeight="1" x14ac:dyDescent="0.3">
      <c r="A612" s="27" t="s">
        <v>487</v>
      </c>
      <c r="B612" s="28" t="s">
        <v>488</v>
      </c>
      <c r="C612" s="26" t="s">
        <v>1808</v>
      </c>
      <c r="D612" s="31" t="s">
        <v>152</v>
      </c>
      <c r="E612" s="33" t="s">
        <v>2399</v>
      </c>
      <c r="F612" s="34" t="s">
        <v>563</v>
      </c>
      <c r="G612" s="32" t="s">
        <v>2544</v>
      </c>
      <c r="H612" s="37" t="s">
        <v>1611</v>
      </c>
      <c r="I612" s="39" t="s">
        <v>2633</v>
      </c>
      <c r="J612" s="24" t="s">
        <v>449</v>
      </c>
      <c r="K612" s="40"/>
      <c r="L612" s="38" t="s">
        <v>2634</v>
      </c>
      <c r="M612" s="44" t="s">
        <v>564</v>
      </c>
      <c r="N612" s="46" t="s">
        <v>2638</v>
      </c>
      <c r="O612" s="47" t="s">
        <v>1006</v>
      </c>
      <c r="P612" s="50"/>
      <c r="Q612" s="45"/>
      <c r="R612" s="25"/>
      <c r="S612" s="52"/>
    </row>
    <row r="613" spans="1:19" ht="16.5" customHeight="1" x14ac:dyDescent="0.3">
      <c r="A613" s="27" t="s">
        <v>487</v>
      </c>
      <c r="B613" s="28" t="s">
        <v>488</v>
      </c>
      <c r="C613" s="26" t="s">
        <v>1808</v>
      </c>
      <c r="D613" s="31" t="s">
        <v>152</v>
      </c>
      <c r="E613" s="33" t="s">
        <v>2399</v>
      </c>
      <c r="F613" s="34" t="s">
        <v>563</v>
      </c>
      <c r="G613" s="32" t="s">
        <v>2544</v>
      </c>
      <c r="H613" s="37" t="s">
        <v>1611</v>
      </c>
      <c r="I613" s="39" t="s">
        <v>2633</v>
      </c>
      <c r="J613" s="24" t="s">
        <v>449</v>
      </c>
      <c r="K613" s="40"/>
      <c r="L613" s="38" t="s">
        <v>2634</v>
      </c>
      <c r="M613" s="44" t="s">
        <v>564</v>
      </c>
      <c r="N613" s="46" t="s">
        <v>2639</v>
      </c>
      <c r="O613" s="47" t="s">
        <v>1012</v>
      </c>
      <c r="P613" s="50"/>
      <c r="Q613" s="45"/>
      <c r="R613" s="25"/>
      <c r="S613" s="52"/>
    </row>
    <row r="614" spans="1:19" ht="16.5" customHeight="1" x14ac:dyDescent="0.3">
      <c r="A614" s="27" t="s">
        <v>487</v>
      </c>
      <c r="B614" s="28" t="s">
        <v>488</v>
      </c>
      <c r="C614" s="26" t="s">
        <v>1808</v>
      </c>
      <c r="D614" s="31" t="s">
        <v>152</v>
      </c>
      <c r="E614" s="33" t="s">
        <v>2399</v>
      </c>
      <c r="F614" s="34" t="s">
        <v>563</v>
      </c>
      <c r="G614" s="32" t="s">
        <v>2544</v>
      </c>
      <c r="H614" s="37" t="s">
        <v>1611</v>
      </c>
      <c r="I614" s="39" t="s">
        <v>2633</v>
      </c>
      <c r="J614" s="24" t="s">
        <v>449</v>
      </c>
      <c r="K614" s="40"/>
      <c r="L614" s="38" t="s">
        <v>2634</v>
      </c>
      <c r="M614" s="44" t="s">
        <v>564</v>
      </c>
      <c r="N614" s="46" t="s">
        <v>2640</v>
      </c>
      <c r="O614" s="47" t="s">
        <v>1655</v>
      </c>
      <c r="P614" s="50"/>
      <c r="Q614" s="45"/>
      <c r="R614" s="25"/>
      <c r="S614" s="52"/>
    </row>
    <row r="615" spans="1:19" ht="16.5" customHeight="1" x14ac:dyDescent="0.3">
      <c r="A615" s="27" t="s">
        <v>487</v>
      </c>
      <c r="B615" s="28" t="s">
        <v>488</v>
      </c>
      <c r="C615" s="26" t="s">
        <v>1808</v>
      </c>
      <c r="D615" s="31" t="s">
        <v>152</v>
      </c>
      <c r="E615" s="33" t="s">
        <v>2399</v>
      </c>
      <c r="F615" s="34" t="s">
        <v>563</v>
      </c>
      <c r="G615" s="32" t="s">
        <v>2544</v>
      </c>
      <c r="H615" s="37" t="s">
        <v>1611</v>
      </c>
      <c r="I615" s="39" t="s">
        <v>2633</v>
      </c>
      <c r="J615" s="24" t="s">
        <v>449</v>
      </c>
      <c r="K615" s="40"/>
      <c r="L615" s="38" t="s">
        <v>2641</v>
      </c>
      <c r="M615" s="44" t="s">
        <v>26</v>
      </c>
      <c r="N615" s="46" t="s">
        <v>2642</v>
      </c>
      <c r="O615" s="47" t="s">
        <v>1013</v>
      </c>
      <c r="P615" s="50"/>
      <c r="Q615" s="45"/>
      <c r="R615" s="25"/>
      <c r="S615" s="52"/>
    </row>
    <row r="616" spans="1:19" ht="16.5" customHeight="1" x14ac:dyDescent="0.3">
      <c r="A616" s="27" t="s">
        <v>487</v>
      </c>
      <c r="B616" s="28" t="s">
        <v>488</v>
      </c>
      <c r="C616" s="26" t="s">
        <v>1808</v>
      </c>
      <c r="D616" s="31" t="s">
        <v>152</v>
      </c>
      <c r="E616" s="33" t="s">
        <v>2399</v>
      </c>
      <c r="F616" s="34" t="s">
        <v>563</v>
      </c>
      <c r="G616" s="32" t="s">
        <v>2544</v>
      </c>
      <c r="H616" s="37" t="s">
        <v>1611</v>
      </c>
      <c r="I616" s="39" t="s">
        <v>2633</v>
      </c>
      <c r="J616" s="24" t="s">
        <v>449</v>
      </c>
      <c r="K616" s="40"/>
      <c r="L616" s="38" t="s">
        <v>2641</v>
      </c>
      <c r="M616" s="44" t="s">
        <v>26</v>
      </c>
      <c r="N616" s="46" t="s">
        <v>2643</v>
      </c>
      <c r="O616" s="47" t="s">
        <v>1007</v>
      </c>
      <c r="P616" s="50"/>
      <c r="Q616" s="45"/>
      <c r="R616" s="25"/>
      <c r="S616" s="52"/>
    </row>
    <row r="617" spans="1:19" ht="16.5" customHeight="1" x14ac:dyDescent="0.3">
      <c r="A617" s="27" t="s">
        <v>487</v>
      </c>
      <c r="B617" s="28" t="s">
        <v>488</v>
      </c>
      <c r="C617" s="26" t="s">
        <v>1808</v>
      </c>
      <c r="D617" s="31" t="s">
        <v>152</v>
      </c>
      <c r="E617" s="33" t="s">
        <v>2399</v>
      </c>
      <c r="F617" s="34" t="s">
        <v>563</v>
      </c>
      <c r="G617" s="32" t="s">
        <v>2544</v>
      </c>
      <c r="H617" s="37" t="s">
        <v>1611</v>
      </c>
      <c r="I617" s="39" t="s">
        <v>2633</v>
      </c>
      <c r="J617" s="24" t="s">
        <v>449</v>
      </c>
      <c r="K617" s="40"/>
      <c r="L617" s="38" t="s">
        <v>2641</v>
      </c>
      <c r="M617" s="44" t="s">
        <v>26</v>
      </c>
      <c r="N617" s="46" t="s">
        <v>2644</v>
      </c>
      <c r="O617" s="47" t="s">
        <v>1008</v>
      </c>
      <c r="P617" s="50"/>
      <c r="Q617" s="45"/>
      <c r="R617" s="25"/>
      <c r="S617" s="52"/>
    </row>
    <row r="618" spans="1:19" ht="16.5" customHeight="1" x14ac:dyDescent="0.3">
      <c r="A618" s="27" t="s">
        <v>487</v>
      </c>
      <c r="B618" s="28" t="s">
        <v>488</v>
      </c>
      <c r="C618" s="26" t="s">
        <v>1808</v>
      </c>
      <c r="D618" s="31" t="s">
        <v>152</v>
      </c>
      <c r="E618" s="33" t="s">
        <v>2399</v>
      </c>
      <c r="F618" s="34" t="s">
        <v>563</v>
      </c>
      <c r="G618" s="32" t="s">
        <v>2544</v>
      </c>
      <c r="H618" s="37" t="s">
        <v>1611</v>
      </c>
      <c r="I618" s="39" t="s">
        <v>2633</v>
      </c>
      <c r="J618" s="24" t="s">
        <v>449</v>
      </c>
      <c r="K618" s="40"/>
      <c r="L618" s="38" t="s">
        <v>2641</v>
      </c>
      <c r="M618" s="44" t="s">
        <v>26</v>
      </c>
      <c r="N618" s="46" t="s">
        <v>2645</v>
      </c>
      <c r="O618" s="47" t="s">
        <v>1009</v>
      </c>
      <c r="P618" s="50"/>
      <c r="Q618" s="45"/>
      <c r="R618" s="25"/>
      <c r="S618" s="52"/>
    </row>
    <row r="619" spans="1:19" ht="16.5" customHeight="1" x14ac:dyDescent="0.3">
      <c r="A619" s="27" t="s">
        <v>487</v>
      </c>
      <c r="B619" s="28" t="s">
        <v>488</v>
      </c>
      <c r="C619" s="26" t="s">
        <v>1808</v>
      </c>
      <c r="D619" s="31" t="s">
        <v>152</v>
      </c>
      <c r="E619" s="33" t="s">
        <v>2399</v>
      </c>
      <c r="F619" s="34" t="s">
        <v>563</v>
      </c>
      <c r="G619" s="32" t="s">
        <v>2544</v>
      </c>
      <c r="H619" s="37" t="s">
        <v>1611</v>
      </c>
      <c r="I619" s="39" t="s">
        <v>2633</v>
      </c>
      <c r="J619" s="24" t="s">
        <v>449</v>
      </c>
      <c r="K619" s="40"/>
      <c r="L619" s="38" t="s">
        <v>2646</v>
      </c>
      <c r="M619" s="44" t="s">
        <v>16</v>
      </c>
      <c r="N619" s="46" t="s">
        <v>2647</v>
      </c>
      <c r="O619" s="47" t="s">
        <v>1014</v>
      </c>
      <c r="P619" s="50"/>
      <c r="Q619" s="45"/>
      <c r="R619" s="25"/>
      <c r="S619" s="52"/>
    </row>
    <row r="620" spans="1:19" ht="16.5" customHeight="1" x14ac:dyDescent="0.3">
      <c r="A620" s="27" t="s">
        <v>487</v>
      </c>
      <c r="B620" s="28" t="s">
        <v>488</v>
      </c>
      <c r="C620" s="26" t="s">
        <v>1808</v>
      </c>
      <c r="D620" s="31" t="s">
        <v>152</v>
      </c>
      <c r="E620" s="33" t="s">
        <v>2399</v>
      </c>
      <c r="F620" s="34" t="s">
        <v>563</v>
      </c>
      <c r="G620" s="32" t="s">
        <v>2544</v>
      </c>
      <c r="H620" s="37" t="s">
        <v>1611</v>
      </c>
      <c r="I620" s="39" t="s">
        <v>2633</v>
      </c>
      <c r="J620" s="24" t="s">
        <v>449</v>
      </c>
      <c r="K620" s="40"/>
      <c r="L620" s="38" t="s">
        <v>2648</v>
      </c>
      <c r="M620" s="44" t="s">
        <v>30</v>
      </c>
      <c r="N620" s="46" t="s">
        <v>2649</v>
      </c>
      <c r="O620" s="47" t="s">
        <v>1656</v>
      </c>
      <c r="P620" s="50"/>
      <c r="Q620" s="45"/>
      <c r="R620" s="25"/>
      <c r="S620" s="52"/>
    </row>
    <row r="621" spans="1:19" ht="16.5" customHeight="1" x14ac:dyDescent="0.3">
      <c r="A621" s="27" t="s">
        <v>487</v>
      </c>
      <c r="B621" s="28" t="s">
        <v>488</v>
      </c>
      <c r="C621" s="26" t="s">
        <v>1808</v>
      </c>
      <c r="D621" s="31" t="s">
        <v>152</v>
      </c>
      <c r="E621" s="33" t="s">
        <v>2399</v>
      </c>
      <c r="F621" s="34" t="s">
        <v>563</v>
      </c>
      <c r="G621" s="32" t="s">
        <v>2544</v>
      </c>
      <c r="H621" s="37" t="s">
        <v>1611</v>
      </c>
      <c r="I621" s="39" t="s">
        <v>2633</v>
      </c>
      <c r="J621" s="24" t="s">
        <v>449</v>
      </c>
      <c r="K621" s="40"/>
      <c r="L621" s="38" t="s">
        <v>2648</v>
      </c>
      <c r="M621" s="44" t="s">
        <v>30</v>
      </c>
      <c r="N621" s="46" t="s">
        <v>2650</v>
      </c>
      <c r="O621" s="47" t="s">
        <v>1659</v>
      </c>
      <c r="P621" s="50"/>
      <c r="Q621" s="45"/>
      <c r="R621" s="25"/>
      <c r="S621" s="52"/>
    </row>
    <row r="622" spans="1:19" ht="16.5" customHeight="1" x14ac:dyDescent="0.3">
      <c r="A622" s="27" t="s">
        <v>487</v>
      </c>
      <c r="B622" s="28" t="s">
        <v>488</v>
      </c>
      <c r="C622" s="26" t="s">
        <v>1808</v>
      </c>
      <c r="D622" s="31" t="s">
        <v>152</v>
      </c>
      <c r="E622" s="33" t="s">
        <v>2399</v>
      </c>
      <c r="F622" s="34" t="s">
        <v>563</v>
      </c>
      <c r="G622" s="32" t="s">
        <v>2544</v>
      </c>
      <c r="H622" s="37" t="s">
        <v>1611</v>
      </c>
      <c r="I622" s="39" t="s">
        <v>2633</v>
      </c>
      <c r="J622" s="24" t="s">
        <v>449</v>
      </c>
      <c r="K622" s="40"/>
      <c r="L622" s="38" t="s">
        <v>2648</v>
      </c>
      <c r="M622" s="44" t="s">
        <v>30</v>
      </c>
      <c r="N622" s="46" t="s">
        <v>2651</v>
      </c>
      <c r="O622" s="47" t="s">
        <v>1657</v>
      </c>
      <c r="P622" s="50"/>
      <c r="Q622" s="45"/>
      <c r="R622" s="25"/>
      <c r="S622" s="52"/>
    </row>
    <row r="623" spans="1:19" ht="16.5" customHeight="1" x14ac:dyDescent="0.3">
      <c r="A623" s="27" t="s">
        <v>487</v>
      </c>
      <c r="B623" s="28" t="s">
        <v>488</v>
      </c>
      <c r="C623" s="26" t="s">
        <v>1808</v>
      </c>
      <c r="D623" s="31" t="s">
        <v>152</v>
      </c>
      <c r="E623" s="33" t="s">
        <v>2399</v>
      </c>
      <c r="F623" s="34" t="s">
        <v>563</v>
      </c>
      <c r="G623" s="32" t="s">
        <v>2544</v>
      </c>
      <c r="H623" s="37" t="s">
        <v>1611</v>
      </c>
      <c r="I623" s="39" t="s">
        <v>2633</v>
      </c>
      <c r="J623" s="24" t="s">
        <v>449</v>
      </c>
      <c r="K623" s="40"/>
      <c r="L623" s="38" t="s">
        <v>2648</v>
      </c>
      <c r="M623" s="44" t="s">
        <v>30</v>
      </c>
      <c r="N623" s="46" t="s">
        <v>2652</v>
      </c>
      <c r="O623" s="47" t="s">
        <v>1658</v>
      </c>
      <c r="P623" s="50"/>
      <c r="Q623" s="45"/>
      <c r="R623" s="25"/>
      <c r="S623" s="52"/>
    </row>
    <row r="624" spans="1:19" ht="16.5" customHeight="1" x14ac:dyDescent="0.3">
      <c r="A624" s="27" t="s">
        <v>487</v>
      </c>
      <c r="B624" s="28" t="s">
        <v>488</v>
      </c>
      <c r="C624" s="26" t="s">
        <v>1808</v>
      </c>
      <c r="D624" s="31" t="s">
        <v>152</v>
      </c>
      <c r="E624" s="33" t="s">
        <v>2399</v>
      </c>
      <c r="F624" s="34" t="s">
        <v>563</v>
      </c>
      <c r="G624" s="32" t="s">
        <v>2544</v>
      </c>
      <c r="H624" s="37" t="s">
        <v>1611</v>
      </c>
      <c r="I624" s="39" t="s">
        <v>2633</v>
      </c>
      <c r="J624" s="24" t="s">
        <v>449</v>
      </c>
      <c r="K624" s="40"/>
      <c r="L624" s="38" t="s">
        <v>2653</v>
      </c>
      <c r="M624" s="44" t="s">
        <v>123</v>
      </c>
      <c r="N624" s="46" t="s">
        <v>2654</v>
      </c>
      <c r="O624" s="47" t="s">
        <v>1654</v>
      </c>
      <c r="P624" s="50"/>
      <c r="Q624" s="45"/>
      <c r="R624" s="25"/>
      <c r="S624" s="52"/>
    </row>
    <row r="625" spans="1:19" ht="16.5" customHeight="1" x14ac:dyDescent="0.3">
      <c r="A625" s="27" t="s">
        <v>487</v>
      </c>
      <c r="B625" s="28" t="s">
        <v>488</v>
      </c>
      <c r="C625" s="26" t="s">
        <v>1808</v>
      </c>
      <c r="D625" s="31" t="s">
        <v>152</v>
      </c>
      <c r="E625" s="33" t="s">
        <v>2399</v>
      </c>
      <c r="F625" s="34" t="s">
        <v>563</v>
      </c>
      <c r="G625" s="32" t="s">
        <v>2655</v>
      </c>
      <c r="H625" s="37" t="s">
        <v>1612</v>
      </c>
      <c r="I625" s="39" t="s">
        <v>2656</v>
      </c>
      <c r="J625" s="24" t="s">
        <v>450</v>
      </c>
      <c r="K625" s="40"/>
      <c r="L625" s="38" t="s">
        <v>2657</v>
      </c>
      <c r="M625" s="44" t="s">
        <v>600</v>
      </c>
      <c r="N625" s="46" t="s">
        <v>2658</v>
      </c>
      <c r="O625" s="47" t="s">
        <v>1016</v>
      </c>
      <c r="P625" s="50"/>
      <c r="Q625" s="45"/>
      <c r="R625" s="25"/>
      <c r="S625" s="52"/>
    </row>
    <row r="626" spans="1:19" ht="16.5" customHeight="1" x14ac:dyDescent="0.3">
      <c r="A626" s="27" t="s">
        <v>487</v>
      </c>
      <c r="B626" s="28" t="s">
        <v>488</v>
      </c>
      <c r="C626" s="26" t="s">
        <v>1808</v>
      </c>
      <c r="D626" s="31" t="s">
        <v>152</v>
      </c>
      <c r="E626" s="33" t="s">
        <v>2399</v>
      </c>
      <c r="F626" s="34" t="s">
        <v>563</v>
      </c>
      <c r="G626" s="32" t="s">
        <v>2655</v>
      </c>
      <c r="H626" s="37" t="s">
        <v>1612</v>
      </c>
      <c r="I626" s="39" t="s">
        <v>2656</v>
      </c>
      <c r="J626" s="24" t="s">
        <v>450</v>
      </c>
      <c r="K626" s="40"/>
      <c r="L626" s="38" t="s">
        <v>2657</v>
      </c>
      <c r="M626" s="44" t="s">
        <v>600</v>
      </c>
      <c r="N626" s="46" t="s">
        <v>2659</v>
      </c>
      <c r="O626" s="47" t="s">
        <v>1017</v>
      </c>
      <c r="P626" s="50"/>
      <c r="Q626" s="45"/>
      <c r="R626" s="25"/>
      <c r="S626" s="52"/>
    </row>
    <row r="627" spans="1:19" ht="16.5" customHeight="1" x14ac:dyDescent="0.3">
      <c r="A627" s="27" t="s">
        <v>487</v>
      </c>
      <c r="B627" s="28" t="s">
        <v>488</v>
      </c>
      <c r="C627" s="26" t="s">
        <v>1808</v>
      </c>
      <c r="D627" s="31" t="s">
        <v>152</v>
      </c>
      <c r="E627" s="33" t="s">
        <v>2399</v>
      </c>
      <c r="F627" s="34" t="s">
        <v>563</v>
      </c>
      <c r="G627" s="32" t="s">
        <v>2655</v>
      </c>
      <c r="H627" s="37" t="s">
        <v>1612</v>
      </c>
      <c r="I627" s="39" t="s">
        <v>2656</v>
      </c>
      <c r="J627" s="24" t="s">
        <v>450</v>
      </c>
      <c r="K627" s="40"/>
      <c r="L627" s="38" t="s">
        <v>2657</v>
      </c>
      <c r="M627" s="44" t="s">
        <v>600</v>
      </c>
      <c r="N627" s="46" t="s">
        <v>2660</v>
      </c>
      <c r="O627" s="47" t="s">
        <v>1015</v>
      </c>
      <c r="P627" s="50"/>
      <c r="Q627" s="45"/>
      <c r="R627" s="25"/>
      <c r="S627" s="52"/>
    </row>
    <row r="628" spans="1:19" ht="16.5" customHeight="1" x14ac:dyDescent="0.3">
      <c r="A628" s="27" t="s">
        <v>487</v>
      </c>
      <c r="B628" s="28" t="s">
        <v>488</v>
      </c>
      <c r="C628" s="26" t="s">
        <v>1808</v>
      </c>
      <c r="D628" s="31" t="s">
        <v>152</v>
      </c>
      <c r="E628" s="33" t="s">
        <v>2399</v>
      </c>
      <c r="F628" s="34" t="s">
        <v>563</v>
      </c>
      <c r="G628" s="32" t="s">
        <v>2655</v>
      </c>
      <c r="H628" s="37" t="s">
        <v>1612</v>
      </c>
      <c r="I628" s="39" t="s">
        <v>2656</v>
      </c>
      <c r="J628" s="24" t="s">
        <v>450</v>
      </c>
      <c r="K628" s="40"/>
      <c r="L628" s="38" t="s">
        <v>2657</v>
      </c>
      <c r="M628" s="44" t="s">
        <v>600</v>
      </c>
      <c r="N628" s="46" t="s">
        <v>2661</v>
      </c>
      <c r="O628" s="47" t="s">
        <v>1018</v>
      </c>
      <c r="P628" s="50"/>
      <c r="Q628" s="45"/>
      <c r="R628" s="25"/>
      <c r="S628" s="52"/>
    </row>
    <row r="629" spans="1:19" ht="16.5" customHeight="1" x14ac:dyDescent="0.3">
      <c r="A629" s="27" t="s">
        <v>487</v>
      </c>
      <c r="B629" s="28" t="s">
        <v>488</v>
      </c>
      <c r="C629" s="26" t="s">
        <v>1808</v>
      </c>
      <c r="D629" s="31" t="s">
        <v>152</v>
      </c>
      <c r="E629" s="33" t="s">
        <v>2399</v>
      </c>
      <c r="F629" s="34" t="s">
        <v>563</v>
      </c>
      <c r="G629" s="32" t="s">
        <v>2655</v>
      </c>
      <c r="H629" s="37" t="s">
        <v>1612</v>
      </c>
      <c r="I629" s="39" t="s">
        <v>2656</v>
      </c>
      <c r="J629" s="24" t="s">
        <v>450</v>
      </c>
      <c r="K629" s="40"/>
      <c r="L629" s="38" t="s">
        <v>2657</v>
      </c>
      <c r="M629" s="44" t="s">
        <v>600</v>
      </c>
      <c r="N629" s="46" t="s">
        <v>2662</v>
      </c>
      <c r="O629" s="47" t="s">
        <v>1019</v>
      </c>
      <c r="P629" s="50"/>
      <c r="Q629" s="45"/>
      <c r="R629" s="25"/>
      <c r="S629" s="52"/>
    </row>
    <row r="630" spans="1:19" ht="16.5" customHeight="1" x14ac:dyDescent="0.3">
      <c r="A630" s="27" t="s">
        <v>487</v>
      </c>
      <c r="B630" s="28" t="s">
        <v>488</v>
      </c>
      <c r="C630" s="26" t="s">
        <v>1808</v>
      </c>
      <c r="D630" s="31" t="s">
        <v>152</v>
      </c>
      <c r="E630" s="33" t="s">
        <v>2399</v>
      </c>
      <c r="F630" s="34" t="s">
        <v>563</v>
      </c>
      <c r="G630" s="32" t="s">
        <v>2655</v>
      </c>
      <c r="H630" s="37" t="s">
        <v>1612</v>
      </c>
      <c r="I630" s="39" t="s">
        <v>2656</v>
      </c>
      <c r="J630" s="24" t="s">
        <v>450</v>
      </c>
      <c r="K630" s="40"/>
      <c r="L630" s="38" t="s">
        <v>2657</v>
      </c>
      <c r="M630" s="44" t="s">
        <v>600</v>
      </c>
      <c r="N630" s="46" t="s">
        <v>2663</v>
      </c>
      <c r="O630" s="47" t="s">
        <v>1655</v>
      </c>
      <c r="P630" s="50"/>
      <c r="Q630" s="45"/>
      <c r="R630" s="25"/>
      <c r="S630" s="52"/>
    </row>
    <row r="631" spans="1:19" ht="16.5" customHeight="1" x14ac:dyDescent="0.3">
      <c r="A631" s="27" t="s">
        <v>487</v>
      </c>
      <c r="B631" s="28" t="s">
        <v>488</v>
      </c>
      <c r="C631" s="26" t="s">
        <v>1808</v>
      </c>
      <c r="D631" s="31" t="s">
        <v>152</v>
      </c>
      <c r="E631" s="33" t="s">
        <v>2399</v>
      </c>
      <c r="F631" s="34" t="s">
        <v>563</v>
      </c>
      <c r="G631" s="32" t="s">
        <v>2655</v>
      </c>
      <c r="H631" s="37" t="s">
        <v>1612</v>
      </c>
      <c r="I631" s="39" t="s">
        <v>2656</v>
      </c>
      <c r="J631" s="24" t="s">
        <v>450</v>
      </c>
      <c r="K631" s="40"/>
      <c r="L631" s="38" t="s">
        <v>2664</v>
      </c>
      <c r="M631" s="44" t="s">
        <v>26</v>
      </c>
      <c r="N631" s="46" t="s">
        <v>2665</v>
      </c>
      <c r="O631" s="47" t="s">
        <v>1020</v>
      </c>
      <c r="P631" s="50"/>
      <c r="Q631" s="45"/>
      <c r="R631" s="25"/>
      <c r="S631" s="52"/>
    </row>
    <row r="632" spans="1:19" ht="16.5" customHeight="1" x14ac:dyDescent="0.3">
      <c r="A632" s="27" t="s">
        <v>487</v>
      </c>
      <c r="B632" s="28" t="s">
        <v>488</v>
      </c>
      <c r="C632" s="26" t="s">
        <v>1808</v>
      </c>
      <c r="D632" s="31" t="s">
        <v>152</v>
      </c>
      <c r="E632" s="33" t="s">
        <v>2399</v>
      </c>
      <c r="F632" s="34" t="s">
        <v>563</v>
      </c>
      <c r="G632" s="32" t="s">
        <v>2655</v>
      </c>
      <c r="H632" s="37" t="s">
        <v>1612</v>
      </c>
      <c r="I632" s="39" t="s">
        <v>2656</v>
      </c>
      <c r="J632" s="24" t="s">
        <v>450</v>
      </c>
      <c r="K632" s="40"/>
      <c r="L632" s="38" t="s">
        <v>2664</v>
      </c>
      <c r="M632" s="44" t="s">
        <v>26</v>
      </c>
      <c r="N632" s="46" t="s">
        <v>2666</v>
      </c>
      <c r="O632" s="47" t="s">
        <v>1021</v>
      </c>
      <c r="P632" s="50"/>
      <c r="Q632" s="45"/>
      <c r="R632" s="25"/>
      <c r="S632" s="52"/>
    </row>
    <row r="633" spans="1:19" ht="16.5" customHeight="1" x14ac:dyDescent="0.3">
      <c r="A633" s="27" t="s">
        <v>487</v>
      </c>
      <c r="B633" s="28" t="s">
        <v>488</v>
      </c>
      <c r="C633" s="26" t="s">
        <v>1808</v>
      </c>
      <c r="D633" s="31" t="s">
        <v>152</v>
      </c>
      <c r="E633" s="33" t="s">
        <v>2399</v>
      </c>
      <c r="F633" s="34" t="s">
        <v>563</v>
      </c>
      <c r="G633" s="32" t="s">
        <v>2655</v>
      </c>
      <c r="H633" s="37" t="s">
        <v>1612</v>
      </c>
      <c r="I633" s="39" t="s">
        <v>2656</v>
      </c>
      <c r="J633" s="24" t="s">
        <v>450</v>
      </c>
      <c r="K633" s="40"/>
      <c r="L633" s="38" t="s">
        <v>2664</v>
      </c>
      <c r="M633" s="44" t="s">
        <v>26</v>
      </c>
      <c r="N633" s="46" t="s">
        <v>2667</v>
      </c>
      <c r="O633" s="47" t="s">
        <v>1022</v>
      </c>
      <c r="P633" s="50"/>
      <c r="Q633" s="45"/>
      <c r="R633" s="25"/>
      <c r="S633" s="52"/>
    </row>
    <row r="634" spans="1:19" ht="16.5" customHeight="1" x14ac:dyDescent="0.3">
      <c r="A634" s="27" t="s">
        <v>487</v>
      </c>
      <c r="B634" s="28" t="s">
        <v>488</v>
      </c>
      <c r="C634" s="26" t="s">
        <v>1808</v>
      </c>
      <c r="D634" s="31" t="s">
        <v>152</v>
      </c>
      <c r="E634" s="33" t="s">
        <v>2399</v>
      </c>
      <c r="F634" s="34" t="s">
        <v>563</v>
      </c>
      <c r="G634" s="32" t="s">
        <v>2655</v>
      </c>
      <c r="H634" s="37" t="s">
        <v>1612</v>
      </c>
      <c r="I634" s="39" t="s">
        <v>2656</v>
      </c>
      <c r="J634" s="24" t="s">
        <v>450</v>
      </c>
      <c r="K634" s="40"/>
      <c r="L634" s="38" t="s">
        <v>2664</v>
      </c>
      <c r="M634" s="44" t="s">
        <v>26</v>
      </c>
      <c r="N634" s="46" t="s">
        <v>2668</v>
      </c>
      <c r="O634" s="47" t="s">
        <v>1023</v>
      </c>
      <c r="P634" s="50"/>
      <c r="Q634" s="45"/>
      <c r="R634" s="25"/>
      <c r="S634" s="52"/>
    </row>
    <row r="635" spans="1:19" ht="16.5" customHeight="1" x14ac:dyDescent="0.3">
      <c r="A635" s="27" t="s">
        <v>487</v>
      </c>
      <c r="B635" s="28" t="s">
        <v>488</v>
      </c>
      <c r="C635" s="26" t="s">
        <v>1808</v>
      </c>
      <c r="D635" s="31" t="s">
        <v>152</v>
      </c>
      <c r="E635" s="33" t="s">
        <v>2399</v>
      </c>
      <c r="F635" s="34" t="s">
        <v>563</v>
      </c>
      <c r="G635" s="32" t="s">
        <v>2655</v>
      </c>
      <c r="H635" s="37" t="s">
        <v>1612</v>
      </c>
      <c r="I635" s="39" t="s">
        <v>2656</v>
      </c>
      <c r="J635" s="24" t="s">
        <v>450</v>
      </c>
      <c r="K635" s="40"/>
      <c r="L635" s="38" t="s">
        <v>2669</v>
      </c>
      <c r="M635" s="44" t="s">
        <v>1626</v>
      </c>
      <c r="N635" s="46" t="s">
        <v>2670</v>
      </c>
      <c r="O635" s="47" t="s">
        <v>1024</v>
      </c>
      <c r="P635" s="50"/>
      <c r="Q635" s="45"/>
      <c r="R635" s="25"/>
      <c r="S635" s="52"/>
    </row>
    <row r="636" spans="1:19" ht="16.5" customHeight="1" x14ac:dyDescent="0.3">
      <c r="A636" s="27" t="s">
        <v>487</v>
      </c>
      <c r="B636" s="28" t="s">
        <v>488</v>
      </c>
      <c r="C636" s="26" t="s">
        <v>1808</v>
      </c>
      <c r="D636" s="31" t="s">
        <v>152</v>
      </c>
      <c r="E636" s="33" t="s">
        <v>2399</v>
      </c>
      <c r="F636" s="34" t="s">
        <v>563</v>
      </c>
      <c r="G636" s="32" t="s">
        <v>2655</v>
      </c>
      <c r="H636" s="37" t="s">
        <v>1612</v>
      </c>
      <c r="I636" s="39" t="s">
        <v>2656</v>
      </c>
      <c r="J636" s="24" t="s">
        <v>450</v>
      </c>
      <c r="K636" s="40"/>
      <c r="L636" s="38" t="s">
        <v>2671</v>
      </c>
      <c r="M636" s="44" t="s">
        <v>30</v>
      </c>
      <c r="N636" s="46" t="s">
        <v>2672</v>
      </c>
      <c r="O636" s="47" t="s">
        <v>1656</v>
      </c>
      <c r="P636" s="50"/>
      <c r="Q636" s="45"/>
      <c r="R636" s="25"/>
      <c r="S636" s="52"/>
    </row>
    <row r="637" spans="1:19" ht="16.5" customHeight="1" x14ac:dyDescent="0.3">
      <c r="A637" s="27" t="s">
        <v>487</v>
      </c>
      <c r="B637" s="28" t="s">
        <v>488</v>
      </c>
      <c r="C637" s="26" t="s">
        <v>1808</v>
      </c>
      <c r="D637" s="31" t="s">
        <v>152</v>
      </c>
      <c r="E637" s="33" t="s">
        <v>2399</v>
      </c>
      <c r="F637" s="34" t="s">
        <v>563</v>
      </c>
      <c r="G637" s="32" t="s">
        <v>2655</v>
      </c>
      <c r="H637" s="37" t="s">
        <v>1612</v>
      </c>
      <c r="I637" s="39" t="s">
        <v>2656</v>
      </c>
      <c r="J637" s="24" t="s">
        <v>450</v>
      </c>
      <c r="K637" s="40"/>
      <c r="L637" s="38" t="s">
        <v>2671</v>
      </c>
      <c r="M637" s="44" t="s">
        <v>30</v>
      </c>
      <c r="N637" s="46" t="s">
        <v>2673</v>
      </c>
      <c r="O637" s="47" t="s">
        <v>1659</v>
      </c>
      <c r="P637" s="50"/>
      <c r="Q637" s="45"/>
      <c r="R637" s="25"/>
      <c r="S637" s="52"/>
    </row>
    <row r="638" spans="1:19" ht="16.5" customHeight="1" x14ac:dyDescent="0.3">
      <c r="A638" s="27" t="s">
        <v>487</v>
      </c>
      <c r="B638" s="28" t="s">
        <v>488</v>
      </c>
      <c r="C638" s="26" t="s">
        <v>1808</v>
      </c>
      <c r="D638" s="31" t="s">
        <v>152</v>
      </c>
      <c r="E638" s="33" t="s">
        <v>2399</v>
      </c>
      <c r="F638" s="34" t="s">
        <v>563</v>
      </c>
      <c r="G638" s="32" t="s">
        <v>2655</v>
      </c>
      <c r="H638" s="37" t="s">
        <v>1612</v>
      </c>
      <c r="I638" s="39" t="s">
        <v>2656</v>
      </c>
      <c r="J638" s="24" t="s">
        <v>450</v>
      </c>
      <c r="K638" s="40"/>
      <c r="L638" s="38" t="s">
        <v>2671</v>
      </c>
      <c r="M638" s="44" t="s">
        <v>30</v>
      </c>
      <c r="N638" s="46" t="s">
        <v>2674</v>
      </c>
      <c r="O638" s="47" t="s">
        <v>1657</v>
      </c>
      <c r="P638" s="50"/>
      <c r="Q638" s="45"/>
      <c r="R638" s="25"/>
      <c r="S638" s="52"/>
    </row>
    <row r="639" spans="1:19" ht="16.5" customHeight="1" x14ac:dyDescent="0.3">
      <c r="A639" s="27" t="s">
        <v>487</v>
      </c>
      <c r="B639" s="28" t="s">
        <v>488</v>
      </c>
      <c r="C639" s="26" t="s">
        <v>1808</v>
      </c>
      <c r="D639" s="31" t="s">
        <v>152</v>
      </c>
      <c r="E639" s="33" t="s">
        <v>2399</v>
      </c>
      <c r="F639" s="34" t="s">
        <v>563</v>
      </c>
      <c r="G639" s="32" t="s">
        <v>2655</v>
      </c>
      <c r="H639" s="37" t="s">
        <v>1612</v>
      </c>
      <c r="I639" s="39" t="s">
        <v>2656</v>
      </c>
      <c r="J639" s="24" t="s">
        <v>450</v>
      </c>
      <c r="K639" s="40"/>
      <c r="L639" s="38" t="s">
        <v>2671</v>
      </c>
      <c r="M639" s="44" t="s">
        <v>30</v>
      </c>
      <c r="N639" s="46" t="s">
        <v>2675</v>
      </c>
      <c r="O639" s="47" t="s">
        <v>1658</v>
      </c>
      <c r="P639" s="50"/>
      <c r="Q639" s="45"/>
      <c r="R639" s="25"/>
      <c r="S639" s="52"/>
    </row>
    <row r="640" spans="1:19" ht="16.5" customHeight="1" x14ac:dyDescent="0.3">
      <c r="A640" s="27" t="s">
        <v>487</v>
      </c>
      <c r="B640" s="28" t="s">
        <v>488</v>
      </c>
      <c r="C640" s="26" t="s">
        <v>1808</v>
      </c>
      <c r="D640" s="31" t="s">
        <v>152</v>
      </c>
      <c r="E640" s="33" t="s">
        <v>2399</v>
      </c>
      <c r="F640" s="34" t="s">
        <v>563</v>
      </c>
      <c r="G640" s="32" t="s">
        <v>2655</v>
      </c>
      <c r="H640" s="37" t="s">
        <v>1612</v>
      </c>
      <c r="I640" s="39" t="s">
        <v>2656</v>
      </c>
      <c r="J640" s="24" t="s">
        <v>450</v>
      </c>
      <c r="K640" s="40"/>
      <c r="L640" s="38" t="s">
        <v>2676</v>
      </c>
      <c r="M640" s="44" t="s">
        <v>1623</v>
      </c>
      <c r="N640" s="46" t="s">
        <v>2677</v>
      </c>
      <c r="O640" s="47" t="s">
        <v>1654</v>
      </c>
      <c r="P640" s="50"/>
      <c r="Q640" s="45"/>
      <c r="R640" s="25"/>
      <c r="S640" s="52"/>
    </row>
    <row r="641" spans="1:19" ht="16.5" customHeight="1" x14ac:dyDescent="0.3">
      <c r="A641" s="27" t="s">
        <v>487</v>
      </c>
      <c r="B641" s="28" t="s">
        <v>488</v>
      </c>
      <c r="C641" s="26" t="s">
        <v>1808</v>
      </c>
      <c r="D641" s="31" t="s">
        <v>152</v>
      </c>
      <c r="E641" s="33" t="s">
        <v>2399</v>
      </c>
      <c r="F641" s="34" t="s">
        <v>563</v>
      </c>
      <c r="G641" s="32" t="s">
        <v>2655</v>
      </c>
      <c r="H641" s="37" t="s">
        <v>1612</v>
      </c>
      <c r="I641" s="39" t="s">
        <v>2678</v>
      </c>
      <c r="J641" s="24" t="s">
        <v>451</v>
      </c>
      <c r="K641" s="40"/>
      <c r="L641" s="38" t="s">
        <v>2679</v>
      </c>
      <c r="M641" s="44" t="s">
        <v>564</v>
      </c>
      <c r="N641" s="46" t="s">
        <v>2680</v>
      </c>
      <c r="O641" s="47" t="s">
        <v>1026</v>
      </c>
      <c r="P641" s="50"/>
      <c r="Q641" s="45"/>
      <c r="R641" s="25"/>
      <c r="S641" s="52"/>
    </row>
    <row r="642" spans="1:19" ht="16.5" customHeight="1" x14ac:dyDescent="0.3">
      <c r="A642" s="27" t="s">
        <v>487</v>
      </c>
      <c r="B642" s="28" t="s">
        <v>488</v>
      </c>
      <c r="C642" s="26" t="s">
        <v>1808</v>
      </c>
      <c r="D642" s="31" t="s">
        <v>152</v>
      </c>
      <c r="E642" s="33" t="s">
        <v>2399</v>
      </c>
      <c r="F642" s="34" t="s">
        <v>563</v>
      </c>
      <c r="G642" s="32" t="s">
        <v>2655</v>
      </c>
      <c r="H642" s="37" t="s">
        <v>1612</v>
      </c>
      <c r="I642" s="39" t="s">
        <v>2678</v>
      </c>
      <c r="J642" s="24" t="s">
        <v>451</v>
      </c>
      <c r="K642" s="40"/>
      <c r="L642" s="38" t="s">
        <v>2679</v>
      </c>
      <c r="M642" s="44" t="s">
        <v>564</v>
      </c>
      <c r="N642" s="46" t="s">
        <v>2681</v>
      </c>
      <c r="O642" s="47" t="s">
        <v>1027</v>
      </c>
      <c r="P642" s="50"/>
      <c r="Q642" s="45"/>
      <c r="R642" s="25"/>
      <c r="S642" s="52"/>
    </row>
    <row r="643" spans="1:19" ht="16.5" customHeight="1" x14ac:dyDescent="0.3">
      <c r="A643" s="27" t="s">
        <v>487</v>
      </c>
      <c r="B643" s="28" t="s">
        <v>488</v>
      </c>
      <c r="C643" s="26" t="s">
        <v>1808</v>
      </c>
      <c r="D643" s="31" t="s">
        <v>152</v>
      </c>
      <c r="E643" s="33" t="s">
        <v>2399</v>
      </c>
      <c r="F643" s="34" t="s">
        <v>563</v>
      </c>
      <c r="G643" s="32" t="s">
        <v>2655</v>
      </c>
      <c r="H643" s="37" t="s">
        <v>1612</v>
      </c>
      <c r="I643" s="39" t="s">
        <v>2678</v>
      </c>
      <c r="J643" s="24" t="s">
        <v>451</v>
      </c>
      <c r="K643" s="40"/>
      <c r="L643" s="38" t="s">
        <v>2679</v>
      </c>
      <c r="M643" s="44" t="s">
        <v>564</v>
      </c>
      <c r="N643" s="46" t="s">
        <v>2682</v>
      </c>
      <c r="O643" s="47" t="s">
        <v>1025</v>
      </c>
      <c r="P643" s="50"/>
      <c r="Q643" s="45"/>
      <c r="R643" s="25"/>
      <c r="S643" s="52"/>
    </row>
    <row r="644" spans="1:19" ht="16.5" customHeight="1" x14ac:dyDescent="0.3">
      <c r="A644" s="27" t="s">
        <v>487</v>
      </c>
      <c r="B644" s="28" t="s">
        <v>488</v>
      </c>
      <c r="C644" s="26" t="s">
        <v>1808</v>
      </c>
      <c r="D644" s="31" t="s">
        <v>152</v>
      </c>
      <c r="E644" s="33" t="s">
        <v>2399</v>
      </c>
      <c r="F644" s="34" t="s">
        <v>563</v>
      </c>
      <c r="G644" s="32" t="s">
        <v>2655</v>
      </c>
      <c r="H644" s="37" t="s">
        <v>1612</v>
      </c>
      <c r="I644" s="39" t="s">
        <v>2678</v>
      </c>
      <c r="J644" s="24" t="s">
        <v>451</v>
      </c>
      <c r="K644" s="40"/>
      <c r="L644" s="38" t="s">
        <v>2679</v>
      </c>
      <c r="M644" s="44" t="s">
        <v>564</v>
      </c>
      <c r="N644" s="46" t="s">
        <v>2683</v>
      </c>
      <c r="O644" s="47" t="s">
        <v>1028</v>
      </c>
      <c r="P644" s="50"/>
      <c r="Q644" s="45"/>
      <c r="R644" s="25"/>
      <c r="S644" s="52"/>
    </row>
    <row r="645" spans="1:19" ht="16.5" customHeight="1" x14ac:dyDescent="0.3">
      <c r="A645" s="27" t="s">
        <v>487</v>
      </c>
      <c r="B645" s="28" t="s">
        <v>488</v>
      </c>
      <c r="C645" s="26" t="s">
        <v>1808</v>
      </c>
      <c r="D645" s="31" t="s">
        <v>152</v>
      </c>
      <c r="E645" s="33" t="s">
        <v>2399</v>
      </c>
      <c r="F645" s="34" t="s">
        <v>563</v>
      </c>
      <c r="G645" s="32" t="s">
        <v>2655</v>
      </c>
      <c r="H645" s="37" t="s">
        <v>1612</v>
      </c>
      <c r="I645" s="39" t="s">
        <v>2678</v>
      </c>
      <c r="J645" s="24" t="s">
        <v>451</v>
      </c>
      <c r="K645" s="40"/>
      <c r="L645" s="38" t="s">
        <v>2679</v>
      </c>
      <c r="M645" s="44" t="s">
        <v>564</v>
      </c>
      <c r="N645" s="46" t="s">
        <v>2684</v>
      </c>
      <c r="O645" s="47" t="s">
        <v>1029</v>
      </c>
      <c r="P645" s="50"/>
      <c r="Q645" s="45"/>
      <c r="R645" s="25"/>
      <c r="S645" s="52"/>
    </row>
    <row r="646" spans="1:19" ht="16.5" customHeight="1" x14ac:dyDescent="0.3">
      <c r="A646" s="27" t="s">
        <v>487</v>
      </c>
      <c r="B646" s="28" t="s">
        <v>488</v>
      </c>
      <c r="C646" s="26" t="s">
        <v>1808</v>
      </c>
      <c r="D646" s="31" t="s">
        <v>152</v>
      </c>
      <c r="E646" s="33" t="s">
        <v>2399</v>
      </c>
      <c r="F646" s="34" t="s">
        <v>563</v>
      </c>
      <c r="G646" s="32" t="s">
        <v>2655</v>
      </c>
      <c r="H646" s="37" t="s">
        <v>1612</v>
      </c>
      <c r="I646" s="39" t="s">
        <v>2678</v>
      </c>
      <c r="J646" s="24" t="s">
        <v>451</v>
      </c>
      <c r="K646" s="40"/>
      <c r="L646" s="38" t="s">
        <v>2679</v>
      </c>
      <c r="M646" s="44" t="s">
        <v>564</v>
      </c>
      <c r="N646" s="46" t="s">
        <v>2685</v>
      </c>
      <c r="O646" s="47" t="s">
        <v>1655</v>
      </c>
      <c r="P646" s="50"/>
      <c r="Q646" s="45"/>
      <c r="R646" s="25"/>
      <c r="S646" s="52"/>
    </row>
    <row r="647" spans="1:19" ht="16.5" customHeight="1" x14ac:dyDescent="0.3">
      <c r="A647" s="27" t="s">
        <v>487</v>
      </c>
      <c r="B647" s="28" t="s">
        <v>488</v>
      </c>
      <c r="C647" s="26" t="s">
        <v>1808</v>
      </c>
      <c r="D647" s="31" t="s">
        <v>152</v>
      </c>
      <c r="E647" s="33" t="s">
        <v>2399</v>
      </c>
      <c r="F647" s="34" t="s">
        <v>563</v>
      </c>
      <c r="G647" s="32" t="s">
        <v>2655</v>
      </c>
      <c r="H647" s="37" t="s">
        <v>1612</v>
      </c>
      <c r="I647" s="39" t="s">
        <v>2678</v>
      </c>
      <c r="J647" s="24" t="s">
        <v>451</v>
      </c>
      <c r="K647" s="40"/>
      <c r="L647" s="38" t="s">
        <v>2686</v>
      </c>
      <c r="M647" s="44" t="s">
        <v>26</v>
      </c>
      <c r="N647" s="46" t="s">
        <v>2687</v>
      </c>
      <c r="O647" s="47" t="s">
        <v>1030</v>
      </c>
      <c r="P647" s="50"/>
      <c r="Q647" s="45"/>
      <c r="R647" s="25"/>
      <c r="S647" s="52"/>
    </row>
    <row r="648" spans="1:19" ht="16.5" customHeight="1" x14ac:dyDescent="0.3">
      <c r="A648" s="27" t="s">
        <v>487</v>
      </c>
      <c r="B648" s="28" t="s">
        <v>488</v>
      </c>
      <c r="C648" s="26" t="s">
        <v>1808</v>
      </c>
      <c r="D648" s="31" t="s">
        <v>152</v>
      </c>
      <c r="E648" s="33" t="s">
        <v>2399</v>
      </c>
      <c r="F648" s="34" t="s">
        <v>563</v>
      </c>
      <c r="G648" s="32" t="s">
        <v>2655</v>
      </c>
      <c r="H648" s="37" t="s">
        <v>1612</v>
      </c>
      <c r="I648" s="39" t="s">
        <v>2678</v>
      </c>
      <c r="J648" s="24" t="s">
        <v>451</v>
      </c>
      <c r="K648" s="40"/>
      <c r="L648" s="38" t="s">
        <v>2686</v>
      </c>
      <c r="M648" s="44" t="s">
        <v>26</v>
      </c>
      <c r="N648" s="46" t="s">
        <v>2688</v>
      </c>
      <c r="O648" s="47" t="s">
        <v>1031</v>
      </c>
      <c r="P648" s="50"/>
      <c r="Q648" s="45"/>
      <c r="R648" s="25"/>
      <c r="S648" s="52"/>
    </row>
    <row r="649" spans="1:19" ht="16.5" customHeight="1" x14ac:dyDescent="0.3">
      <c r="A649" s="27" t="s">
        <v>487</v>
      </c>
      <c r="B649" s="28" t="s">
        <v>488</v>
      </c>
      <c r="C649" s="26" t="s">
        <v>1808</v>
      </c>
      <c r="D649" s="31" t="s">
        <v>152</v>
      </c>
      <c r="E649" s="33" t="s">
        <v>2399</v>
      </c>
      <c r="F649" s="34" t="s">
        <v>563</v>
      </c>
      <c r="G649" s="32" t="s">
        <v>2655</v>
      </c>
      <c r="H649" s="37" t="s">
        <v>1612</v>
      </c>
      <c r="I649" s="39" t="s">
        <v>2678</v>
      </c>
      <c r="J649" s="24" t="s">
        <v>451</v>
      </c>
      <c r="K649" s="40"/>
      <c r="L649" s="38" t="s">
        <v>2686</v>
      </c>
      <c r="M649" s="44" t="s">
        <v>26</v>
      </c>
      <c r="N649" s="46" t="s">
        <v>2689</v>
      </c>
      <c r="O649" s="47" t="s">
        <v>1032</v>
      </c>
      <c r="P649" s="50"/>
      <c r="Q649" s="45"/>
      <c r="R649" s="25"/>
      <c r="S649" s="52"/>
    </row>
    <row r="650" spans="1:19" ht="16.5" customHeight="1" x14ac:dyDescent="0.3">
      <c r="A650" s="27" t="s">
        <v>487</v>
      </c>
      <c r="B650" s="28" t="s">
        <v>488</v>
      </c>
      <c r="C650" s="26" t="s">
        <v>1808</v>
      </c>
      <c r="D650" s="31" t="s">
        <v>152</v>
      </c>
      <c r="E650" s="33" t="s">
        <v>2399</v>
      </c>
      <c r="F650" s="34" t="s">
        <v>563</v>
      </c>
      <c r="G650" s="32" t="s">
        <v>2655</v>
      </c>
      <c r="H650" s="37" t="s">
        <v>1612</v>
      </c>
      <c r="I650" s="39" t="s">
        <v>2678</v>
      </c>
      <c r="J650" s="24" t="s">
        <v>451</v>
      </c>
      <c r="K650" s="40"/>
      <c r="L650" s="38" t="s">
        <v>2686</v>
      </c>
      <c r="M650" s="44" t="s">
        <v>26</v>
      </c>
      <c r="N650" s="46" t="s">
        <v>2690</v>
      </c>
      <c r="O650" s="47" t="s">
        <v>1033</v>
      </c>
      <c r="P650" s="50"/>
      <c r="Q650" s="45"/>
      <c r="R650" s="25"/>
      <c r="S650" s="52"/>
    </row>
    <row r="651" spans="1:19" ht="16.5" customHeight="1" x14ac:dyDescent="0.3">
      <c r="A651" s="27" t="s">
        <v>487</v>
      </c>
      <c r="B651" s="28" t="s">
        <v>488</v>
      </c>
      <c r="C651" s="26" t="s">
        <v>1808</v>
      </c>
      <c r="D651" s="31" t="s">
        <v>152</v>
      </c>
      <c r="E651" s="33" t="s">
        <v>2399</v>
      </c>
      <c r="F651" s="34" t="s">
        <v>563</v>
      </c>
      <c r="G651" s="32" t="s">
        <v>2655</v>
      </c>
      <c r="H651" s="37" t="s">
        <v>1612</v>
      </c>
      <c r="I651" s="39" t="s">
        <v>2678</v>
      </c>
      <c r="J651" s="24" t="s">
        <v>451</v>
      </c>
      <c r="K651" s="40"/>
      <c r="L651" s="38" t="s">
        <v>2691</v>
      </c>
      <c r="M651" s="44" t="s">
        <v>16</v>
      </c>
      <c r="N651" s="46" t="s">
        <v>2692</v>
      </c>
      <c r="O651" s="47" t="s">
        <v>1034</v>
      </c>
      <c r="P651" s="50"/>
      <c r="Q651" s="45"/>
      <c r="R651" s="25"/>
      <c r="S651" s="52"/>
    </row>
    <row r="652" spans="1:19" ht="16.5" customHeight="1" x14ac:dyDescent="0.3">
      <c r="A652" s="27" t="s">
        <v>487</v>
      </c>
      <c r="B652" s="28" t="s">
        <v>488</v>
      </c>
      <c r="C652" s="26" t="s">
        <v>1808</v>
      </c>
      <c r="D652" s="31" t="s">
        <v>152</v>
      </c>
      <c r="E652" s="33" t="s">
        <v>2399</v>
      </c>
      <c r="F652" s="34" t="s">
        <v>563</v>
      </c>
      <c r="G652" s="32" t="s">
        <v>2655</v>
      </c>
      <c r="H652" s="37" t="s">
        <v>1612</v>
      </c>
      <c r="I652" s="39" t="s">
        <v>2678</v>
      </c>
      <c r="J652" s="24" t="s">
        <v>451</v>
      </c>
      <c r="K652" s="40"/>
      <c r="L652" s="38" t="s">
        <v>2693</v>
      </c>
      <c r="M652" s="44" t="s">
        <v>30</v>
      </c>
      <c r="N652" s="46" t="s">
        <v>2694</v>
      </c>
      <c r="O652" s="47" t="s">
        <v>1656</v>
      </c>
      <c r="P652" s="50"/>
      <c r="Q652" s="45"/>
      <c r="R652" s="25"/>
      <c r="S652" s="52"/>
    </row>
    <row r="653" spans="1:19" ht="16.5" customHeight="1" x14ac:dyDescent="0.3">
      <c r="A653" s="27" t="s">
        <v>487</v>
      </c>
      <c r="B653" s="28" t="s">
        <v>488</v>
      </c>
      <c r="C653" s="26" t="s">
        <v>1808</v>
      </c>
      <c r="D653" s="31" t="s">
        <v>152</v>
      </c>
      <c r="E653" s="33" t="s">
        <v>2399</v>
      </c>
      <c r="F653" s="34" t="s">
        <v>563</v>
      </c>
      <c r="G653" s="32" t="s">
        <v>2655</v>
      </c>
      <c r="H653" s="37" t="s">
        <v>1612</v>
      </c>
      <c r="I653" s="39" t="s">
        <v>2678</v>
      </c>
      <c r="J653" s="24" t="s">
        <v>451</v>
      </c>
      <c r="K653" s="40"/>
      <c r="L653" s="38" t="s">
        <v>2693</v>
      </c>
      <c r="M653" s="44" t="s">
        <v>30</v>
      </c>
      <c r="N653" s="46" t="s">
        <v>2695</v>
      </c>
      <c r="O653" s="47" t="s">
        <v>1659</v>
      </c>
      <c r="P653" s="50"/>
      <c r="Q653" s="45"/>
      <c r="R653" s="25"/>
      <c r="S653" s="52"/>
    </row>
    <row r="654" spans="1:19" ht="16.5" customHeight="1" x14ac:dyDescent="0.3">
      <c r="A654" s="27" t="s">
        <v>487</v>
      </c>
      <c r="B654" s="28" t="s">
        <v>488</v>
      </c>
      <c r="C654" s="26" t="s">
        <v>1808</v>
      </c>
      <c r="D654" s="31" t="s">
        <v>152</v>
      </c>
      <c r="E654" s="33" t="s">
        <v>2399</v>
      </c>
      <c r="F654" s="34" t="s">
        <v>563</v>
      </c>
      <c r="G654" s="32" t="s">
        <v>2655</v>
      </c>
      <c r="H654" s="37" t="s">
        <v>1612</v>
      </c>
      <c r="I654" s="39" t="s">
        <v>2678</v>
      </c>
      <c r="J654" s="24" t="s">
        <v>451</v>
      </c>
      <c r="K654" s="40"/>
      <c r="L654" s="38" t="s">
        <v>2693</v>
      </c>
      <c r="M654" s="44" t="s">
        <v>30</v>
      </c>
      <c r="N654" s="46" t="s">
        <v>2696</v>
      </c>
      <c r="O654" s="47" t="s">
        <v>1657</v>
      </c>
      <c r="P654" s="50"/>
      <c r="Q654" s="45"/>
      <c r="R654" s="25"/>
      <c r="S654" s="52"/>
    </row>
    <row r="655" spans="1:19" ht="16.5" customHeight="1" x14ac:dyDescent="0.3">
      <c r="A655" s="27" t="s">
        <v>487</v>
      </c>
      <c r="B655" s="28" t="s">
        <v>488</v>
      </c>
      <c r="C655" s="26" t="s">
        <v>1808</v>
      </c>
      <c r="D655" s="31" t="s">
        <v>152</v>
      </c>
      <c r="E655" s="33" t="s">
        <v>2399</v>
      </c>
      <c r="F655" s="34" t="s">
        <v>563</v>
      </c>
      <c r="G655" s="32" t="s">
        <v>2655</v>
      </c>
      <c r="H655" s="37" t="s">
        <v>1612</v>
      </c>
      <c r="I655" s="39" t="s">
        <v>2678</v>
      </c>
      <c r="J655" s="24" t="s">
        <v>451</v>
      </c>
      <c r="K655" s="40"/>
      <c r="L655" s="38" t="s">
        <v>2693</v>
      </c>
      <c r="M655" s="44" t="s">
        <v>30</v>
      </c>
      <c r="N655" s="46" t="s">
        <v>2697</v>
      </c>
      <c r="O655" s="47" t="s">
        <v>1658</v>
      </c>
      <c r="P655" s="50"/>
      <c r="Q655" s="45"/>
      <c r="R655" s="25"/>
      <c r="S655" s="52"/>
    </row>
    <row r="656" spans="1:19" ht="16.5" customHeight="1" x14ac:dyDescent="0.3">
      <c r="A656" s="27" t="s">
        <v>487</v>
      </c>
      <c r="B656" s="28" t="s">
        <v>488</v>
      </c>
      <c r="C656" s="26" t="s">
        <v>1808</v>
      </c>
      <c r="D656" s="31" t="s">
        <v>152</v>
      </c>
      <c r="E656" s="33" t="s">
        <v>2399</v>
      </c>
      <c r="F656" s="34" t="s">
        <v>563</v>
      </c>
      <c r="G656" s="32" t="s">
        <v>2655</v>
      </c>
      <c r="H656" s="37" t="s">
        <v>1612</v>
      </c>
      <c r="I656" s="39" t="s">
        <v>2678</v>
      </c>
      <c r="J656" s="24" t="s">
        <v>451</v>
      </c>
      <c r="K656" s="40"/>
      <c r="L656" s="38" t="s">
        <v>2698</v>
      </c>
      <c r="M656" s="44" t="s">
        <v>123</v>
      </c>
      <c r="N656" s="46" t="s">
        <v>2699</v>
      </c>
      <c r="O656" s="47" t="s">
        <v>1654</v>
      </c>
      <c r="P656" s="50"/>
      <c r="Q656" s="45"/>
      <c r="R656" s="25"/>
      <c r="S656" s="52"/>
    </row>
    <row r="657" spans="1:19" ht="16.5" customHeight="1" x14ac:dyDescent="0.3">
      <c r="A657" s="27" t="s">
        <v>487</v>
      </c>
      <c r="B657" s="28" t="s">
        <v>488</v>
      </c>
      <c r="C657" s="26" t="s">
        <v>1808</v>
      </c>
      <c r="D657" s="31" t="s">
        <v>152</v>
      </c>
      <c r="E657" s="33" t="s">
        <v>2399</v>
      </c>
      <c r="F657" s="34" t="s">
        <v>563</v>
      </c>
      <c r="G657" s="32" t="s">
        <v>2655</v>
      </c>
      <c r="H657" s="37" t="s">
        <v>1612</v>
      </c>
      <c r="I657" s="39" t="s">
        <v>2700</v>
      </c>
      <c r="J657" s="24" t="s">
        <v>452</v>
      </c>
      <c r="K657" s="40"/>
      <c r="L657" s="38" t="s">
        <v>2701</v>
      </c>
      <c r="M657" s="44" t="s">
        <v>564</v>
      </c>
      <c r="N657" s="46" t="s">
        <v>2702</v>
      </c>
      <c r="O657" s="47" t="s">
        <v>1036</v>
      </c>
      <c r="P657" s="50"/>
      <c r="Q657" s="45"/>
      <c r="R657" s="25"/>
      <c r="S657" s="52"/>
    </row>
    <row r="658" spans="1:19" ht="16.5" customHeight="1" x14ac:dyDescent="0.3">
      <c r="A658" s="27" t="s">
        <v>487</v>
      </c>
      <c r="B658" s="28" t="s">
        <v>488</v>
      </c>
      <c r="C658" s="26" t="s">
        <v>1808</v>
      </c>
      <c r="D658" s="31" t="s">
        <v>152</v>
      </c>
      <c r="E658" s="33" t="s">
        <v>2399</v>
      </c>
      <c r="F658" s="34" t="s">
        <v>563</v>
      </c>
      <c r="G658" s="32" t="s">
        <v>2655</v>
      </c>
      <c r="H658" s="37" t="s">
        <v>1612</v>
      </c>
      <c r="I658" s="39" t="s">
        <v>2700</v>
      </c>
      <c r="J658" s="24" t="s">
        <v>452</v>
      </c>
      <c r="K658" s="40"/>
      <c r="L658" s="38" t="s">
        <v>2701</v>
      </c>
      <c r="M658" s="44" t="s">
        <v>564</v>
      </c>
      <c r="N658" s="46" t="s">
        <v>2703</v>
      </c>
      <c r="O658" s="47" t="s">
        <v>1037</v>
      </c>
      <c r="P658" s="50"/>
      <c r="Q658" s="45"/>
      <c r="R658" s="25"/>
      <c r="S658" s="52"/>
    </row>
    <row r="659" spans="1:19" ht="16.5" customHeight="1" x14ac:dyDescent="0.3">
      <c r="A659" s="27" t="s">
        <v>487</v>
      </c>
      <c r="B659" s="28" t="s">
        <v>488</v>
      </c>
      <c r="C659" s="26" t="s">
        <v>1808</v>
      </c>
      <c r="D659" s="31" t="s">
        <v>152</v>
      </c>
      <c r="E659" s="33" t="s">
        <v>2399</v>
      </c>
      <c r="F659" s="34" t="s">
        <v>563</v>
      </c>
      <c r="G659" s="32" t="s">
        <v>2655</v>
      </c>
      <c r="H659" s="37" t="s">
        <v>1612</v>
      </c>
      <c r="I659" s="39" t="s">
        <v>2700</v>
      </c>
      <c r="J659" s="24" t="s">
        <v>452</v>
      </c>
      <c r="K659" s="40"/>
      <c r="L659" s="38" t="s">
        <v>2701</v>
      </c>
      <c r="M659" s="44" t="s">
        <v>564</v>
      </c>
      <c r="N659" s="46" t="s">
        <v>2704</v>
      </c>
      <c r="O659" s="47" t="s">
        <v>1035</v>
      </c>
      <c r="P659" s="50"/>
      <c r="Q659" s="45"/>
      <c r="R659" s="25"/>
      <c r="S659" s="52"/>
    </row>
    <row r="660" spans="1:19" ht="16.5" customHeight="1" x14ac:dyDescent="0.3">
      <c r="A660" s="27" t="s">
        <v>487</v>
      </c>
      <c r="B660" s="28" t="s">
        <v>488</v>
      </c>
      <c r="C660" s="26" t="s">
        <v>1808</v>
      </c>
      <c r="D660" s="31" t="s">
        <v>152</v>
      </c>
      <c r="E660" s="33" t="s">
        <v>2399</v>
      </c>
      <c r="F660" s="34" t="s">
        <v>563</v>
      </c>
      <c r="G660" s="32" t="s">
        <v>2655</v>
      </c>
      <c r="H660" s="37" t="s">
        <v>1612</v>
      </c>
      <c r="I660" s="39" t="s">
        <v>2700</v>
      </c>
      <c r="J660" s="24" t="s">
        <v>452</v>
      </c>
      <c r="K660" s="40"/>
      <c r="L660" s="38" t="s">
        <v>2701</v>
      </c>
      <c r="M660" s="44" t="s">
        <v>564</v>
      </c>
      <c r="N660" s="46" t="s">
        <v>2705</v>
      </c>
      <c r="O660" s="47" t="s">
        <v>1038</v>
      </c>
      <c r="P660" s="50"/>
      <c r="Q660" s="45"/>
      <c r="R660" s="25"/>
      <c r="S660" s="52"/>
    </row>
    <row r="661" spans="1:19" ht="16.5" customHeight="1" x14ac:dyDescent="0.3">
      <c r="A661" s="27" t="s">
        <v>487</v>
      </c>
      <c r="B661" s="28" t="s">
        <v>488</v>
      </c>
      <c r="C661" s="26" t="s">
        <v>1808</v>
      </c>
      <c r="D661" s="31" t="s">
        <v>152</v>
      </c>
      <c r="E661" s="33" t="s">
        <v>2399</v>
      </c>
      <c r="F661" s="34" t="s">
        <v>563</v>
      </c>
      <c r="G661" s="32" t="s">
        <v>2655</v>
      </c>
      <c r="H661" s="37" t="s">
        <v>1612</v>
      </c>
      <c r="I661" s="39" t="s">
        <v>2700</v>
      </c>
      <c r="J661" s="24" t="s">
        <v>452</v>
      </c>
      <c r="K661" s="40"/>
      <c r="L661" s="38" t="s">
        <v>2701</v>
      </c>
      <c r="M661" s="44" t="s">
        <v>564</v>
      </c>
      <c r="N661" s="46" t="s">
        <v>2706</v>
      </c>
      <c r="O661" s="47" t="s">
        <v>1039</v>
      </c>
      <c r="P661" s="50"/>
      <c r="Q661" s="45"/>
      <c r="R661" s="25"/>
      <c r="S661" s="52"/>
    </row>
    <row r="662" spans="1:19" ht="16.5" customHeight="1" x14ac:dyDescent="0.3">
      <c r="A662" s="27" t="s">
        <v>487</v>
      </c>
      <c r="B662" s="28" t="s">
        <v>488</v>
      </c>
      <c r="C662" s="26" t="s">
        <v>1808</v>
      </c>
      <c r="D662" s="31" t="s">
        <v>152</v>
      </c>
      <c r="E662" s="33" t="s">
        <v>2399</v>
      </c>
      <c r="F662" s="34" t="s">
        <v>563</v>
      </c>
      <c r="G662" s="32" t="s">
        <v>2655</v>
      </c>
      <c r="H662" s="37" t="s">
        <v>1612</v>
      </c>
      <c r="I662" s="39" t="s">
        <v>2700</v>
      </c>
      <c r="J662" s="24" t="s">
        <v>452</v>
      </c>
      <c r="K662" s="40"/>
      <c r="L662" s="38" t="s">
        <v>2701</v>
      </c>
      <c r="M662" s="44" t="s">
        <v>564</v>
      </c>
      <c r="N662" s="46" t="s">
        <v>2707</v>
      </c>
      <c r="O662" s="47" t="s">
        <v>1655</v>
      </c>
      <c r="P662" s="50"/>
      <c r="Q662" s="45"/>
      <c r="R662" s="25"/>
      <c r="S662" s="52"/>
    </row>
    <row r="663" spans="1:19" ht="16.5" customHeight="1" x14ac:dyDescent="0.3">
      <c r="A663" s="27" t="s">
        <v>487</v>
      </c>
      <c r="B663" s="28" t="s">
        <v>488</v>
      </c>
      <c r="C663" s="26" t="s">
        <v>1808</v>
      </c>
      <c r="D663" s="31" t="s">
        <v>152</v>
      </c>
      <c r="E663" s="33" t="s">
        <v>2399</v>
      </c>
      <c r="F663" s="34" t="s">
        <v>563</v>
      </c>
      <c r="G663" s="32" t="s">
        <v>2655</v>
      </c>
      <c r="H663" s="37" t="s">
        <v>1612</v>
      </c>
      <c r="I663" s="39" t="s">
        <v>2700</v>
      </c>
      <c r="J663" s="24" t="s">
        <v>452</v>
      </c>
      <c r="K663" s="40"/>
      <c r="L663" s="38" t="s">
        <v>2708</v>
      </c>
      <c r="M663" s="44" t="s">
        <v>26</v>
      </c>
      <c r="N663" s="46" t="s">
        <v>2709</v>
      </c>
      <c r="O663" s="47" t="s">
        <v>1040</v>
      </c>
      <c r="P663" s="50"/>
      <c r="Q663" s="45"/>
      <c r="R663" s="25"/>
      <c r="S663" s="52"/>
    </row>
    <row r="664" spans="1:19" ht="16.5" customHeight="1" x14ac:dyDescent="0.3">
      <c r="A664" s="27" t="s">
        <v>487</v>
      </c>
      <c r="B664" s="28" t="s">
        <v>488</v>
      </c>
      <c r="C664" s="26" t="s">
        <v>1808</v>
      </c>
      <c r="D664" s="31" t="s">
        <v>152</v>
      </c>
      <c r="E664" s="33" t="s">
        <v>2399</v>
      </c>
      <c r="F664" s="34" t="s">
        <v>563</v>
      </c>
      <c r="G664" s="32" t="s">
        <v>2655</v>
      </c>
      <c r="H664" s="37" t="s">
        <v>1612</v>
      </c>
      <c r="I664" s="39" t="s">
        <v>2700</v>
      </c>
      <c r="J664" s="24" t="s">
        <v>452</v>
      </c>
      <c r="K664" s="40"/>
      <c r="L664" s="38" t="s">
        <v>2708</v>
      </c>
      <c r="M664" s="44" t="s">
        <v>26</v>
      </c>
      <c r="N664" s="46" t="s">
        <v>2710</v>
      </c>
      <c r="O664" s="47" t="s">
        <v>1041</v>
      </c>
      <c r="P664" s="50"/>
      <c r="Q664" s="45"/>
      <c r="R664" s="25"/>
      <c r="S664" s="52"/>
    </row>
    <row r="665" spans="1:19" ht="16.5" customHeight="1" x14ac:dyDescent="0.3">
      <c r="A665" s="27" t="s">
        <v>487</v>
      </c>
      <c r="B665" s="28" t="s">
        <v>488</v>
      </c>
      <c r="C665" s="26" t="s">
        <v>1808</v>
      </c>
      <c r="D665" s="31" t="s">
        <v>152</v>
      </c>
      <c r="E665" s="33" t="s">
        <v>2399</v>
      </c>
      <c r="F665" s="34" t="s">
        <v>563</v>
      </c>
      <c r="G665" s="32" t="s">
        <v>2655</v>
      </c>
      <c r="H665" s="37" t="s">
        <v>1612</v>
      </c>
      <c r="I665" s="39" t="s">
        <v>2700</v>
      </c>
      <c r="J665" s="24" t="s">
        <v>452</v>
      </c>
      <c r="K665" s="40"/>
      <c r="L665" s="38" t="s">
        <v>2708</v>
      </c>
      <c r="M665" s="44" t="s">
        <v>26</v>
      </c>
      <c r="N665" s="46" t="s">
        <v>2711</v>
      </c>
      <c r="O665" s="47" t="s">
        <v>1042</v>
      </c>
      <c r="P665" s="50"/>
      <c r="Q665" s="45"/>
      <c r="R665" s="25"/>
      <c r="S665" s="52"/>
    </row>
    <row r="666" spans="1:19" ht="16.5" customHeight="1" x14ac:dyDescent="0.3">
      <c r="A666" s="27" t="s">
        <v>487</v>
      </c>
      <c r="B666" s="28" t="s">
        <v>488</v>
      </c>
      <c r="C666" s="26" t="s">
        <v>1808</v>
      </c>
      <c r="D666" s="31" t="s">
        <v>152</v>
      </c>
      <c r="E666" s="33" t="s">
        <v>2399</v>
      </c>
      <c r="F666" s="34" t="s">
        <v>563</v>
      </c>
      <c r="G666" s="32" t="s">
        <v>2655</v>
      </c>
      <c r="H666" s="37" t="s">
        <v>1612</v>
      </c>
      <c r="I666" s="39" t="s">
        <v>2700</v>
      </c>
      <c r="J666" s="24" t="s">
        <v>452</v>
      </c>
      <c r="K666" s="40"/>
      <c r="L666" s="38" t="s">
        <v>2708</v>
      </c>
      <c r="M666" s="44" t="s">
        <v>26</v>
      </c>
      <c r="N666" s="46" t="s">
        <v>2712</v>
      </c>
      <c r="O666" s="47" t="s">
        <v>1043</v>
      </c>
      <c r="P666" s="50"/>
      <c r="Q666" s="45"/>
      <c r="R666" s="25"/>
      <c r="S666" s="52"/>
    </row>
    <row r="667" spans="1:19" ht="16.5" customHeight="1" x14ac:dyDescent="0.3">
      <c r="A667" s="27" t="s">
        <v>487</v>
      </c>
      <c r="B667" s="28" t="s">
        <v>488</v>
      </c>
      <c r="C667" s="26" t="s">
        <v>1808</v>
      </c>
      <c r="D667" s="31" t="s">
        <v>152</v>
      </c>
      <c r="E667" s="33" t="s">
        <v>2399</v>
      </c>
      <c r="F667" s="34" t="s">
        <v>563</v>
      </c>
      <c r="G667" s="32" t="s">
        <v>2655</v>
      </c>
      <c r="H667" s="37" t="s">
        <v>1612</v>
      </c>
      <c r="I667" s="39" t="s">
        <v>2700</v>
      </c>
      <c r="J667" s="24" t="s">
        <v>452</v>
      </c>
      <c r="K667" s="40"/>
      <c r="L667" s="38" t="s">
        <v>2713</v>
      </c>
      <c r="M667" s="44" t="s">
        <v>16</v>
      </c>
      <c r="N667" s="46" t="s">
        <v>2714</v>
      </c>
      <c r="O667" s="47" t="s">
        <v>1044</v>
      </c>
      <c r="P667" s="50"/>
      <c r="Q667" s="45"/>
      <c r="R667" s="25"/>
      <c r="S667" s="52"/>
    </row>
    <row r="668" spans="1:19" ht="16.5" customHeight="1" x14ac:dyDescent="0.3">
      <c r="A668" s="27" t="s">
        <v>487</v>
      </c>
      <c r="B668" s="28" t="s">
        <v>488</v>
      </c>
      <c r="C668" s="26" t="s">
        <v>1808</v>
      </c>
      <c r="D668" s="31" t="s">
        <v>152</v>
      </c>
      <c r="E668" s="33" t="s">
        <v>2399</v>
      </c>
      <c r="F668" s="34" t="s">
        <v>563</v>
      </c>
      <c r="G668" s="32" t="s">
        <v>2655</v>
      </c>
      <c r="H668" s="37" t="s">
        <v>1612</v>
      </c>
      <c r="I668" s="39" t="s">
        <v>2700</v>
      </c>
      <c r="J668" s="24" t="s">
        <v>452</v>
      </c>
      <c r="K668" s="40"/>
      <c r="L668" s="38" t="s">
        <v>2715</v>
      </c>
      <c r="M668" s="44" t="s">
        <v>30</v>
      </c>
      <c r="N668" s="46" t="s">
        <v>2716</v>
      </c>
      <c r="O668" s="47" t="s">
        <v>1656</v>
      </c>
      <c r="P668" s="50"/>
      <c r="Q668" s="45"/>
      <c r="R668" s="25"/>
      <c r="S668" s="52"/>
    </row>
    <row r="669" spans="1:19" ht="16.5" customHeight="1" x14ac:dyDescent="0.3">
      <c r="A669" s="27" t="s">
        <v>487</v>
      </c>
      <c r="B669" s="28" t="s">
        <v>488</v>
      </c>
      <c r="C669" s="26" t="s">
        <v>1808</v>
      </c>
      <c r="D669" s="31" t="s">
        <v>152</v>
      </c>
      <c r="E669" s="33" t="s">
        <v>2399</v>
      </c>
      <c r="F669" s="34" t="s">
        <v>563</v>
      </c>
      <c r="G669" s="32" t="s">
        <v>2655</v>
      </c>
      <c r="H669" s="37" t="s">
        <v>1612</v>
      </c>
      <c r="I669" s="39" t="s">
        <v>2700</v>
      </c>
      <c r="J669" s="24" t="s">
        <v>452</v>
      </c>
      <c r="K669" s="40"/>
      <c r="L669" s="38" t="s">
        <v>2715</v>
      </c>
      <c r="M669" s="44" t="s">
        <v>30</v>
      </c>
      <c r="N669" s="46" t="s">
        <v>2717</v>
      </c>
      <c r="O669" s="47" t="s">
        <v>1659</v>
      </c>
      <c r="P669" s="50"/>
      <c r="Q669" s="45"/>
      <c r="R669" s="25"/>
      <c r="S669" s="52"/>
    </row>
    <row r="670" spans="1:19" ht="16.5" customHeight="1" x14ac:dyDescent="0.3">
      <c r="A670" s="27" t="s">
        <v>487</v>
      </c>
      <c r="B670" s="28" t="s">
        <v>488</v>
      </c>
      <c r="C670" s="26" t="s">
        <v>1808</v>
      </c>
      <c r="D670" s="31" t="s">
        <v>152</v>
      </c>
      <c r="E670" s="33" t="s">
        <v>2399</v>
      </c>
      <c r="F670" s="34" t="s">
        <v>563</v>
      </c>
      <c r="G670" s="32" t="s">
        <v>2655</v>
      </c>
      <c r="H670" s="37" t="s">
        <v>1612</v>
      </c>
      <c r="I670" s="39" t="s">
        <v>2700</v>
      </c>
      <c r="J670" s="24" t="s">
        <v>452</v>
      </c>
      <c r="K670" s="40"/>
      <c r="L670" s="38" t="s">
        <v>2715</v>
      </c>
      <c r="M670" s="44" t="s">
        <v>30</v>
      </c>
      <c r="N670" s="46" t="s">
        <v>2718</v>
      </c>
      <c r="O670" s="47" t="s">
        <v>1657</v>
      </c>
      <c r="P670" s="50"/>
      <c r="Q670" s="45"/>
      <c r="R670" s="25"/>
      <c r="S670" s="52"/>
    </row>
    <row r="671" spans="1:19" ht="16.5" customHeight="1" x14ac:dyDescent="0.3">
      <c r="A671" s="27" t="s">
        <v>487</v>
      </c>
      <c r="B671" s="28" t="s">
        <v>488</v>
      </c>
      <c r="C671" s="26" t="s">
        <v>1808</v>
      </c>
      <c r="D671" s="31" t="s">
        <v>152</v>
      </c>
      <c r="E671" s="33" t="s">
        <v>2399</v>
      </c>
      <c r="F671" s="34" t="s">
        <v>563</v>
      </c>
      <c r="G671" s="32" t="s">
        <v>2655</v>
      </c>
      <c r="H671" s="37" t="s">
        <v>1612</v>
      </c>
      <c r="I671" s="39" t="s">
        <v>2700</v>
      </c>
      <c r="J671" s="24" t="s">
        <v>452</v>
      </c>
      <c r="K671" s="40"/>
      <c r="L671" s="38" t="s">
        <v>2715</v>
      </c>
      <c r="M671" s="44" t="s">
        <v>30</v>
      </c>
      <c r="N671" s="46" t="s">
        <v>2719</v>
      </c>
      <c r="O671" s="47" t="s">
        <v>1658</v>
      </c>
      <c r="P671" s="50"/>
      <c r="Q671" s="45"/>
      <c r="R671" s="25"/>
      <c r="S671" s="52"/>
    </row>
    <row r="672" spans="1:19" ht="16.5" customHeight="1" x14ac:dyDescent="0.3">
      <c r="A672" s="27" t="s">
        <v>487</v>
      </c>
      <c r="B672" s="28" t="s">
        <v>488</v>
      </c>
      <c r="C672" s="26" t="s">
        <v>1808</v>
      </c>
      <c r="D672" s="31" t="s">
        <v>152</v>
      </c>
      <c r="E672" s="33" t="s">
        <v>2399</v>
      </c>
      <c r="F672" s="34" t="s">
        <v>563</v>
      </c>
      <c r="G672" s="32" t="s">
        <v>2655</v>
      </c>
      <c r="H672" s="37" t="s">
        <v>1612</v>
      </c>
      <c r="I672" s="39" t="s">
        <v>2700</v>
      </c>
      <c r="J672" s="24" t="s">
        <v>452</v>
      </c>
      <c r="K672" s="40"/>
      <c r="L672" s="38" t="s">
        <v>2720</v>
      </c>
      <c r="M672" s="44" t="s">
        <v>123</v>
      </c>
      <c r="N672" s="46" t="s">
        <v>2721</v>
      </c>
      <c r="O672" s="47" t="s">
        <v>1654</v>
      </c>
      <c r="P672" s="50"/>
      <c r="Q672" s="45"/>
      <c r="R672" s="25"/>
      <c r="S672" s="52"/>
    </row>
    <row r="673" spans="1:19" ht="16.5" customHeight="1" x14ac:dyDescent="0.3">
      <c r="A673" s="27" t="s">
        <v>487</v>
      </c>
      <c r="B673" s="28" t="s">
        <v>488</v>
      </c>
      <c r="C673" s="26" t="s">
        <v>1808</v>
      </c>
      <c r="D673" s="31" t="s">
        <v>152</v>
      </c>
      <c r="E673" s="33" t="s">
        <v>2399</v>
      </c>
      <c r="F673" s="34" t="s">
        <v>563</v>
      </c>
      <c r="G673" s="32" t="s">
        <v>2655</v>
      </c>
      <c r="H673" s="37" t="s">
        <v>1612</v>
      </c>
      <c r="I673" s="39" t="s">
        <v>2722</v>
      </c>
      <c r="J673" s="24" t="s">
        <v>453</v>
      </c>
      <c r="K673" s="40"/>
      <c r="L673" s="38" t="s">
        <v>2723</v>
      </c>
      <c r="M673" s="44" t="s">
        <v>564</v>
      </c>
      <c r="N673" s="46" t="s">
        <v>2724</v>
      </c>
      <c r="O673" s="47" t="s">
        <v>1046</v>
      </c>
      <c r="P673" s="50"/>
      <c r="Q673" s="45"/>
      <c r="R673" s="25"/>
      <c r="S673" s="52"/>
    </row>
    <row r="674" spans="1:19" ht="16.5" customHeight="1" x14ac:dyDescent="0.3">
      <c r="A674" s="27" t="s">
        <v>487</v>
      </c>
      <c r="B674" s="28" t="s">
        <v>488</v>
      </c>
      <c r="C674" s="26" t="s">
        <v>1808</v>
      </c>
      <c r="D674" s="31" t="s">
        <v>152</v>
      </c>
      <c r="E674" s="33" t="s">
        <v>2399</v>
      </c>
      <c r="F674" s="34" t="s">
        <v>563</v>
      </c>
      <c r="G674" s="32" t="s">
        <v>2655</v>
      </c>
      <c r="H674" s="37" t="s">
        <v>1612</v>
      </c>
      <c r="I674" s="39" t="s">
        <v>2722</v>
      </c>
      <c r="J674" s="24" t="s">
        <v>453</v>
      </c>
      <c r="K674" s="40"/>
      <c r="L674" s="38" t="s">
        <v>2723</v>
      </c>
      <c r="M674" s="44" t="s">
        <v>564</v>
      </c>
      <c r="N674" s="46" t="s">
        <v>2725</v>
      </c>
      <c r="O674" s="47" t="s">
        <v>1047</v>
      </c>
      <c r="P674" s="50"/>
      <c r="Q674" s="45"/>
      <c r="R674" s="25"/>
      <c r="S674" s="52"/>
    </row>
    <row r="675" spans="1:19" ht="16.5" customHeight="1" x14ac:dyDescent="0.3">
      <c r="A675" s="27" t="s">
        <v>487</v>
      </c>
      <c r="B675" s="28" t="s">
        <v>488</v>
      </c>
      <c r="C675" s="26" t="s">
        <v>1808</v>
      </c>
      <c r="D675" s="31" t="s">
        <v>152</v>
      </c>
      <c r="E675" s="33" t="s">
        <v>2399</v>
      </c>
      <c r="F675" s="34" t="s">
        <v>563</v>
      </c>
      <c r="G675" s="32" t="s">
        <v>2655</v>
      </c>
      <c r="H675" s="37" t="s">
        <v>1612</v>
      </c>
      <c r="I675" s="39" t="s">
        <v>2722</v>
      </c>
      <c r="J675" s="24" t="s">
        <v>453</v>
      </c>
      <c r="K675" s="40"/>
      <c r="L675" s="38" t="s">
        <v>2723</v>
      </c>
      <c r="M675" s="44" t="s">
        <v>564</v>
      </c>
      <c r="N675" s="46" t="s">
        <v>2726</v>
      </c>
      <c r="O675" s="47" t="s">
        <v>1045</v>
      </c>
      <c r="P675" s="50"/>
      <c r="Q675" s="45"/>
      <c r="R675" s="25"/>
      <c r="S675" s="52"/>
    </row>
    <row r="676" spans="1:19" ht="16.5" customHeight="1" x14ac:dyDescent="0.3">
      <c r="A676" s="27" t="s">
        <v>487</v>
      </c>
      <c r="B676" s="28" t="s">
        <v>488</v>
      </c>
      <c r="C676" s="26" t="s">
        <v>1808</v>
      </c>
      <c r="D676" s="31" t="s">
        <v>152</v>
      </c>
      <c r="E676" s="33" t="s">
        <v>2399</v>
      </c>
      <c r="F676" s="34" t="s">
        <v>563</v>
      </c>
      <c r="G676" s="32" t="s">
        <v>2655</v>
      </c>
      <c r="H676" s="37" t="s">
        <v>1612</v>
      </c>
      <c r="I676" s="39" t="s">
        <v>2722</v>
      </c>
      <c r="J676" s="24" t="s">
        <v>453</v>
      </c>
      <c r="K676" s="40"/>
      <c r="L676" s="38" t="s">
        <v>2723</v>
      </c>
      <c r="M676" s="44" t="s">
        <v>564</v>
      </c>
      <c r="N676" s="46" t="s">
        <v>2727</v>
      </c>
      <c r="O676" s="47" t="s">
        <v>1048</v>
      </c>
      <c r="P676" s="50"/>
      <c r="Q676" s="45"/>
      <c r="R676" s="25"/>
      <c r="S676" s="52"/>
    </row>
    <row r="677" spans="1:19" ht="16.5" customHeight="1" x14ac:dyDescent="0.3">
      <c r="A677" s="27" t="s">
        <v>487</v>
      </c>
      <c r="B677" s="28" t="s">
        <v>488</v>
      </c>
      <c r="C677" s="26" t="s">
        <v>1808</v>
      </c>
      <c r="D677" s="31" t="s">
        <v>152</v>
      </c>
      <c r="E677" s="33" t="s">
        <v>2399</v>
      </c>
      <c r="F677" s="34" t="s">
        <v>563</v>
      </c>
      <c r="G677" s="32" t="s">
        <v>2655</v>
      </c>
      <c r="H677" s="37" t="s">
        <v>1612</v>
      </c>
      <c r="I677" s="39" t="s">
        <v>2722</v>
      </c>
      <c r="J677" s="24" t="s">
        <v>453</v>
      </c>
      <c r="K677" s="40"/>
      <c r="L677" s="38" t="s">
        <v>2723</v>
      </c>
      <c r="M677" s="44" t="s">
        <v>564</v>
      </c>
      <c r="N677" s="46" t="s">
        <v>2728</v>
      </c>
      <c r="O677" s="47" t="s">
        <v>1049</v>
      </c>
      <c r="P677" s="50"/>
      <c r="Q677" s="45"/>
      <c r="R677" s="25"/>
      <c r="S677" s="52"/>
    </row>
    <row r="678" spans="1:19" ht="16.5" customHeight="1" x14ac:dyDescent="0.3">
      <c r="A678" s="27" t="s">
        <v>487</v>
      </c>
      <c r="B678" s="28" t="s">
        <v>488</v>
      </c>
      <c r="C678" s="26" t="s">
        <v>1808</v>
      </c>
      <c r="D678" s="31" t="s">
        <v>152</v>
      </c>
      <c r="E678" s="33" t="s">
        <v>2399</v>
      </c>
      <c r="F678" s="34" t="s">
        <v>563</v>
      </c>
      <c r="G678" s="32" t="s">
        <v>2655</v>
      </c>
      <c r="H678" s="37" t="s">
        <v>1612</v>
      </c>
      <c r="I678" s="39" t="s">
        <v>2722</v>
      </c>
      <c r="J678" s="24" t="s">
        <v>453</v>
      </c>
      <c r="K678" s="40"/>
      <c r="L678" s="38" t="s">
        <v>2723</v>
      </c>
      <c r="M678" s="44" t="s">
        <v>564</v>
      </c>
      <c r="N678" s="46" t="s">
        <v>2729</v>
      </c>
      <c r="O678" s="47" t="s">
        <v>1655</v>
      </c>
      <c r="P678" s="50"/>
      <c r="Q678" s="45"/>
      <c r="R678" s="25"/>
      <c r="S678" s="52"/>
    </row>
    <row r="679" spans="1:19" ht="16.5" customHeight="1" x14ac:dyDescent="0.3">
      <c r="A679" s="27" t="s">
        <v>487</v>
      </c>
      <c r="B679" s="28" t="s">
        <v>488</v>
      </c>
      <c r="C679" s="26" t="s">
        <v>1808</v>
      </c>
      <c r="D679" s="31" t="s">
        <v>152</v>
      </c>
      <c r="E679" s="33" t="s">
        <v>2399</v>
      </c>
      <c r="F679" s="34" t="s">
        <v>563</v>
      </c>
      <c r="G679" s="32" t="s">
        <v>2655</v>
      </c>
      <c r="H679" s="37" t="s">
        <v>1612</v>
      </c>
      <c r="I679" s="39" t="s">
        <v>2722</v>
      </c>
      <c r="J679" s="24" t="s">
        <v>453</v>
      </c>
      <c r="K679" s="40"/>
      <c r="L679" s="38" t="s">
        <v>2730</v>
      </c>
      <c r="M679" s="44" t="s">
        <v>26</v>
      </c>
      <c r="N679" s="46" t="s">
        <v>2731</v>
      </c>
      <c r="O679" s="47" t="s">
        <v>1050</v>
      </c>
      <c r="P679" s="50"/>
      <c r="Q679" s="45"/>
      <c r="R679" s="25"/>
      <c r="S679" s="52"/>
    </row>
    <row r="680" spans="1:19" ht="16.5" customHeight="1" x14ac:dyDescent="0.3">
      <c r="A680" s="27" t="s">
        <v>487</v>
      </c>
      <c r="B680" s="28" t="s">
        <v>488</v>
      </c>
      <c r="C680" s="26" t="s">
        <v>1808</v>
      </c>
      <c r="D680" s="31" t="s">
        <v>152</v>
      </c>
      <c r="E680" s="33" t="s">
        <v>2399</v>
      </c>
      <c r="F680" s="34" t="s">
        <v>563</v>
      </c>
      <c r="G680" s="32" t="s">
        <v>2655</v>
      </c>
      <c r="H680" s="37" t="s">
        <v>1612</v>
      </c>
      <c r="I680" s="39" t="s">
        <v>2722</v>
      </c>
      <c r="J680" s="24" t="s">
        <v>453</v>
      </c>
      <c r="K680" s="40"/>
      <c r="L680" s="38" t="s">
        <v>2730</v>
      </c>
      <c r="M680" s="44" t="s">
        <v>26</v>
      </c>
      <c r="N680" s="46" t="s">
        <v>2732</v>
      </c>
      <c r="O680" s="47" t="s">
        <v>1051</v>
      </c>
      <c r="P680" s="50"/>
      <c r="Q680" s="45"/>
      <c r="R680" s="25"/>
      <c r="S680" s="52"/>
    </row>
    <row r="681" spans="1:19" ht="16.5" customHeight="1" x14ac:dyDescent="0.3">
      <c r="A681" s="27" t="s">
        <v>487</v>
      </c>
      <c r="B681" s="28" t="s">
        <v>488</v>
      </c>
      <c r="C681" s="26" t="s">
        <v>1808</v>
      </c>
      <c r="D681" s="31" t="s">
        <v>152</v>
      </c>
      <c r="E681" s="33" t="s">
        <v>2399</v>
      </c>
      <c r="F681" s="34" t="s">
        <v>563</v>
      </c>
      <c r="G681" s="32" t="s">
        <v>2655</v>
      </c>
      <c r="H681" s="37" t="s">
        <v>1612</v>
      </c>
      <c r="I681" s="39" t="s">
        <v>2722</v>
      </c>
      <c r="J681" s="24" t="s">
        <v>453</v>
      </c>
      <c r="K681" s="40"/>
      <c r="L681" s="38" t="s">
        <v>2730</v>
      </c>
      <c r="M681" s="44" t="s">
        <v>26</v>
      </c>
      <c r="N681" s="46" t="s">
        <v>2733</v>
      </c>
      <c r="O681" s="47" t="s">
        <v>1052</v>
      </c>
      <c r="P681" s="50"/>
      <c r="Q681" s="45"/>
      <c r="R681" s="25"/>
      <c r="S681" s="52"/>
    </row>
    <row r="682" spans="1:19" ht="16.5" customHeight="1" x14ac:dyDescent="0.3">
      <c r="A682" s="27" t="s">
        <v>487</v>
      </c>
      <c r="B682" s="28" t="s">
        <v>488</v>
      </c>
      <c r="C682" s="26" t="s">
        <v>1808</v>
      </c>
      <c r="D682" s="31" t="s">
        <v>152</v>
      </c>
      <c r="E682" s="33" t="s">
        <v>2399</v>
      </c>
      <c r="F682" s="34" t="s">
        <v>563</v>
      </c>
      <c r="G682" s="32" t="s">
        <v>2655</v>
      </c>
      <c r="H682" s="37" t="s">
        <v>1612</v>
      </c>
      <c r="I682" s="39" t="s">
        <v>2722</v>
      </c>
      <c r="J682" s="24" t="s">
        <v>453</v>
      </c>
      <c r="K682" s="40"/>
      <c r="L682" s="38" t="s">
        <v>2730</v>
      </c>
      <c r="M682" s="44" t="s">
        <v>26</v>
      </c>
      <c r="N682" s="46" t="s">
        <v>2734</v>
      </c>
      <c r="O682" s="47" t="s">
        <v>1053</v>
      </c>
      <c r="P682" s="50"/>
      <c r="Q682" s="45"/>
      <c r="R682" s="25"/>
      <c r="S682" s="52"/>
    </row>
    <row r="683" spans="1:19" ht="16.5" customHeight="1" x14ac:dyDescent="0.3">
      <c r="A683" s="27" t="s">
        <v>487</v>
      </c>
      <c r="B683" s="28" t="s">
        <v>488</v>
      </c>
      <c r="C683" s="26" t="s">
        <v>1808</v>
      </c>
      <c r="D683" s="31" t="s">
        <v>152</v>
      </c>
      <c r="E683" s="33" t="s">
        <v>2399</v>
      </c>
      <c r="F683" s="34" t="s">
        <v>563</v>
      </c>
      <c r="G683" s="32" t="s">
        <v>2655</v>
      </c>
      <c r="H683" s="37" t="s">
        <v>1612</v>
      </c>
      <c r="I683" s="39" t="s">
        <v>2722</v>
      </c>
      <c r="J683" s="24" t="s">
        <v>453</v>
      </c>
      <c r="K683" s="40"/>
      <c r="L683" s="38" t="s">
        <v>2735</v>
      </c>
      <c r="M683" s="44" t="s">
        <v>16</v>
      </c>
      <c r="N683" s="46" t="s">
        <v>2736</v>
      </c>
      <c r="O683" s="47" t="s">
        <v>1054</v>
      </c>
      <c r="P683" s="50"/>
      <c r="Q683" s="45"/>
      <c r="R683" s="25"/>
      <c r="S683" s="52"/>
    </row>
    <row r="684" spans="1:19" ht="16.5" customHeight="1" x14ac:dyDescent="0.3">
      <c r="A684" s="27" t="s">
        <v>487</v>
      </c>
      <c r="B684" s="28" t="s">
        <v>488</v>
      </c>
      <c r="C684" s="26" t="s">
        <v>1808</v>
      </c>
      <c r="D684" s="31" t="s">
        <v>152</v>
      </c>
      <c r="E684" s="33" t="s">
        <v>2399</v>
      </c>
      <c r="F684" s="34" t="s">
        <v>563</v>
      </c>
      <c r="G684" s="32" t="s">
        <v>2655</v>
      </c>
      <c r="H684" s="37" t="s">
        <v>1612</v>
      </c>
      <c r="I684" s="39" t="s">
        <v>2722</v>
      </c>
      <c r="J684" s="24" t="s">
        <v>453</v>
      </c>
      <c r="K684" s="40"/>
      <c r="L684" s="38" t="s">
        <v>2737</v>
      </c>
      <c r="M684" s="44" t="s">
        <v>30</v>
      </c>
      <c r="N684" s="46" t="s">
        <v>2738</v>
      </c>
      <c r="O684" s="47" t="s">
        <v>1656</v>
      </c>
      <c r="P684" s="50"/>
      <c r="Q684" s="45"/>
      <c r="R684" s="25"/>
      <c r="S684" s="52"/>
    </row>
    <row r="685" spans="1:19" ht="16.5" customHeight="1" x14ac:dyDescent="0.3">
      <c r="A685" s="27" t="s">
        <v>487</v>
      </c>
      <c r="B685" s="28" t="s">
        <v>488</v>
      </c>
      <c r="C685" s="26" t="s">
        <v>1808</v>
      </c>
      <c r="D685" s="31" t="s">
        <v>152</v>
      </c>
      <c r="E685" s="33" t="s">
        <v>2399</v>
      </c>
      <c r="F685" s="34" t="s">
        <v>563</v>
      </c>
      <c r="G685" s="32" t="s">
        <v>2655</v>
      </c>
      <c r="H685" s="37" t="s">
        <v>1612</v>
      </c>
      <c r="I685" s="39" t="s">
        <v>2722</v>
      </c>
      <c r="J685" s="24" t="s">
        <v>453</v>
      </c>
      <c r="K685" s="40"/>
      <c r="L685" s="38" t="s">
        <v>2737</v>
      </c>
      <c r="M685" s="44" t="s">
        <v>30</v>
      </c>
      <c r="N685" s="46" t="s">
        <v>2739</v>
      </c>
      <c r="O685" s="47" t="s">
        <v>1659</v>
      </c>
      <c r="P685" s="50"/>
      <c r="Q685" s="45"/>
      <c r="R685" s="25"/>
      <c r="S685" s="52"/>
    </row>
    <row r="686" spans="1:19" ht="16.5" customHeight="1" x14ac:dyDescent="0.3">
      <c r="A686" s="27" t="s">
        <v>487</v>
      </c>
      <c r="B686" s="28" t="s">
        <v>488</v>
      </c>
      <c r="C686" s="26" t="s">
        <v>1808</v>
      </c>
      <c r="D686" s="31" t="s">
        <v>152</v>
      </c>
      <c r="E686" s="33" t="s">
        <v>2399</v>
      </c>
      <c r="F686" s="34" t="s">
        <v>563</v>
      </c>
      <c r="G686" s="32" t="s">
        <v>2655</v>
      </c>
      <c r="H686" s="37" t="s">
        <v>1612</v>
      </c>
      <c r="I686" s="39" t="s">
        <v>2722</v>
      </c>
      <c r="J686" s="24" t="s">
        <v>453</v>
      </c>
      <c r="K686" s="40"/>
      <c r="L686" s="38" t="s">
        <v>2737</v>
      </c>
      <c r="M686" s="44" t="s">
        <v>30</v>
      </c>
      <c r="N686" s="46" t="s">
        <v>2740</v>
      </c>
      <c r="O686" s="47" t="s">
        <v>1657</v>
      </c>
      <c r="P686" s="50"/>
      <c r="Q686" s="45"/>
      <c r="R686" s="25"/>
      <c r="S686" s="52"/>
    </row>
    <row r="687" spans="1:19" ht="16.5" customHeight="1" x14ac:dyDescent="0.3">
      <c r="A687" s="27" t="s">
        <v>487</v>
      </c>
      <c r="B687" s="28" t="s">
        <v>488</v>
      </c>
      <c r="C687" s="26" t="s">
        <v>1808</v>
      </c>
      <c r="D687" s="31" t="s">
        <v>152</v>
      </c>
      <c r="E687" s="33" t="s">
        <v>2399</v>
      </c>
      <c r="F687" s="34" t="s">
        <v>563</v>
      </c>
      <c r="G687" s="32" t="s">
        <v>2655</v>
      </c>
      <c r="H687" s="37" t="s">
        <v>1612</v>
      </c>
      <c r="I687" s="39" t="s">
        <v>2722</v>
      </c>
      <c r="J687" s="24" t="s">
        <v>453</v>
      </c>
      <c r="K687" s="40"/>
      <c r="L687" s="38" t="s">
        <v>2737</v>
      </c>
      <c r="M687" s="44" t="s">
        <v>30</v>
      </c>
      <c r="N687" s="46" t="s">
        <v>2741</v>
      </c>
      <c r="O687" s="47" t="s">
        <v>1658</v>
      </c>
      <c r="P687" s="50"/>
      <c r="Q687" s="45"/>
      <c r="R687" s="25"/>
      <c r="S687" s="52"/>
    </row>
    <row r="688" spans="1:19" ht="16.5" customHeight="1" x14ac:dyDescent="0.3">
      <c r="A688" s="27" t="s">
        <v>487</v>
      </c>
      <c r="B688" s="28" t="s">
        <v>488</v>
      </c>
      <c r="C688" s="26" t="s">
        <v>1808</v>
      </c>
      <c r="D688" s="31" t="s">
        <v>152</v>
      </c>
      <c r="E688" s="33" t="s">
        <v>2399</v>
      </c>
      <c r="F688" s="34" t="s">
        <v>563</v>
      </c>
      <c r="G688" s="32" t="s">
        <v>2655</v>
      </c>
      <c r="H688" s="37" t="s">
        <v>1612</v>
      </c>
      <c r="I688" s="39" t="s">
        <v>2722</v>
      </c>
      <c r="J688" s="24" t="s">
        <v>453</v>
      </c>
      <c r="K688" s="40"/>
      <c r="L688" s="38" t="s">
        <v>2742</v>
      </c>
      <c r="M688" s="44" t="s">
        <v>123</v>
      </c>
      <c r="N688" s="46" t="s">
        <v>2743</v>
      </c>
      <c r="O688" s="47" t="s">
        <v>1654</v>
      </c>
      <c r="P688" s="50"/>
      <c r="Q688" s="45"/>
      <c r="R688" s="25"/>
      <c r="S688" s="52"/>
    </row>
    <row r="689" spans="1:19" ht="16.5" customHeight="1" x14ac:dyDescent="0.3">
      <c r="A689" s="27" t="s">
        <v>487</v>
      </c>
      <c r="B689" s="28" t="s">
        <v>488</v>
      </c>
      <c r="C689" s="26" t="s">
        <v>1808</v>
      </c>
      <c r="D689" s="31" t="s">
        <v>152</v>
      </c>
      <c r="E689" s="33" t="s">
        <v>2399</v>
      </c>
      <c r="F689" s="34" t="s">
        <v>563</v>
      </c>
      <c r="G689" s="32" t="s">
        <v>2655</v>
      </c>
      <c r="H689" s="37" t="s">
        <v>1612</v>
      </c>
      <c r="I689" s="39" t="s">
        <v>2744</v>
      </c>
      <c r="J689" s="24" t="s">
        <v>454</v>
      </c>
      <c r="K689" s="40"/>
      <c r="L689" s="38" t="s">
        <v>2745</v>
      </c>
      <c r="M689" s="44" t="s">
        <v>564</v>
      </c>
      <c r="N689" s="46" t="s">
        <v>2746</v>
      </c>
      <c r="O689" s="47" t="s">
        <v>1056</v>
      </c>
      <c r="P689" s="50"/>
      <c r="Q689" s="45"/>
      <c r="R689" s="25"/>
      <c r="S689" s="52"/>
    </row>
    <row r="690" spans="1:19" ht="16.5" customHeight="1" x14ac:dyDescent="0.3">
      <c r="A690" s="27" t="s">
        <v>487</v>
      </c>
      <c r="B690" s="28" t="s">
        <v>488</v>
      </c>
      <c r="C690" s="26" t="s">
        <v>1808</v>
      </c>
      <c r="D690" s="31" t="s">
        <v>152</v>
      </c>
      <c r="E690" s="33" t="s">
        <v>2399</v>
      </c>
      <c r="F690" s="34" t="s">
        <v>563</v>
      </c>
      <c r="G690" s="32" t="s">
        <v>2655</v>
      </c>
      <c r="H690" s="37" t="s">
        <v>1612</v>
      </c>
      <c r="I690" s="39" t="s">
        <v>2744</v>
      </c>
      <c r="J690" s="24" t="s">
        <v>454</v>
      </c>
      <c r="K690" s="40"/>
      <c r="L690" s="38" t="s">
        <v>2745</v>
      </c>
      <c r="M690" s="44" t="s">
        <v>564</v>
      </c>
      <c r="N690" s="46" t="s">
        <v>2747</v>
      </c>
      <c r="O690" s="47" t="s">
        <v>1057</v>
      </c>
      <c r="P690" s="50"/>
      <c r="Q690" s="45"/>
      <c r="R690" s="25"/>
      <c r="S690" s="52"/>
    </row>
    <row r="691" spans="1:19" ht="16.5" customHeight="1" x14ac:dyDescent="0.3">
      <c r="A691" s="27" t="s">
        <v>487</v>
      </c>
      <c r="B691" s="28" t="s">
        <v>488</v>
      </c>
      <c r="C691" s="26" t="s">
        <v>1808</v>
      </c>
      <c r="D691" s="31" t="s">
        <v>152</v>
      </c>
      <c r="E691" s="33" t="s">
        <v>2399</v>
      </c>
      <c r="F691" s="34" t="s">
        <v>563</v>
      </c>
      <c r="G691" s="32" t="s">
        <v>2655</v>
      </c>
      <c r="H691" s="37" t="s">
        <v>1612</v>
      </c>
      <c r="I691" s="39" t="s">
        <v>2744</v>
      </c>
      <c r="J691" s="24" t="s">
        <v>454</v>
      </c>
      <c r="K691" s="40"/>
      <c r="L691" s="38" t="s">
        <v>2745</v>
      </c>
      <c r="M691" s="44" t="s">
        <v>564</v>
      </c>
      <c r="N691" s="46" t="s">
        <v>2748</v>
      </c>
      <c r="O691" s="47" t="s">
        <v>1055</v>
      </c>
      <c r="P691" s="50"/>
      <c r="Q691" s="45"/>
      <c r="R691" s="25"/>
      <c r="S691" s="52"/>
    </row>
    <row r="692" spans="1:19" ht="16.5" customHeight="1" x14ac:dyDescent="0.3">
      <c r="A692" s="27" t="s">
        <v>487</v>
      </c>
      <c r="B692" s="28" t="s">
        <v>488</v>
      </c>
      <c r="C692" s="26" t="s">
        <v>1808</v>
      </c>
      <c r="D692" s="31" t="s">
        <v>152</v>
      </c>
      <c r="E692" s="33" t="s">
        <v>2399</v>
      </c>
      <c r="F692" s="34" t="s">
        <v>563</v>
      </c>
      <c r="G692" s="32" t="s">
        <v>2655</v>
      </c>
      <c r="H692" s="37" t="s">
        <v>1612</v>
      </c>
      <c r="I692" s="39" t="s">
        <v>2744</v>
      </c>
      <c r="J692" s="24" t="s">
        <v>454</v>
      </c>
      <c r="K692" s="40"/>
      <c r="L692" s="38" t="s">
        <v>2745</v>
      </c>
      <c r="M692" s="44" t="s">
        <v>564</v>
      </c>
      <c r="N692" s="46" t="s">
        <v>2749</v>
      </c>
      <c r="O692" s="47" t="s">
        <v>1058</v>
      </c>
      <c r="P692" s="50"/>
      <c r="Q692" s="45"/>
      <c r="R692" s="25"/>
      <c r="S692" s="52"/>
    </row>
    <row r="693" spans="1:19" ht="16.5" customHeight="1" x14ac:dyDescent="0.3">
      <c r="A693" s="27" t="s">
        <v>487</v>
      </c>
      <c r="B693" s="28" t="s">
        <v>488</v>
      </c>
      <c r="C693" s="26" t="s">
        <v>1808</v>
      </c>
      <c r="D693" s="31" t="s">
        <v>152</v>
      </c>
      <c r="E693" s="33" t="s">
        <v>2399</v>
      </c>
      <c r="F693" s="34" t="s">
        <v>563</v>
      </c>
      <c r="G693" s="32" t="s">
        <v>2655</v>
      </c>
      <c r="H693" s="37" t="s">
        <v>1612</v>
      </c>
      <c r="I693" s="39" t="s">
        <v>2744</v>
      </c>
      <c r="J693" s="24" t="s">
        <v>454</v>
      </c>
      <c r="K693" s="40"/>
      <c r="L693" s="38" t="s">
        <v>2745</v>
      </c>
      <c r="M693" s="44" t="s">
        <v>564</v>
      </c>
      <c r="N693" s="46" t="s">
        <v>2750</v>
      </c>
      <c r="O693" s="47" t="s">
        <v>1059</v>
      </c>
      <c r="P693" s="50"/>
      <c r="Q693" s="45"/>
      <c r="R693" s="25"/>
      <c r="S693" s="52"/>
    </row>
    <row r="694" spans="1:19" ht="16.5" customHeight="1" x14ac:dyDescent="0.3">
      <c r="A694" s="27" t="s">
        <v>487</v>
      </c>
      <c r="B694" s="28" t="s">
        <v>488</v>
      </c>
      <c r="C694" s="26" t="s">
        <v>1808</v>
      </c>
      <c r="D694" s="31" t="s">
        <v>152</v>
      </c>
      <c r="E694" s="33" t="s">
        <v>2399</v>
      </c>
      <c r="F694" s="34" t="s">
        <v>563</v>
      </c>
      <c r="G694" s="32" t="s">
        <v>2655</v>
      </c>
      <c r="H694" s="37" t="s">
        <v>1612</v>
      </c>
      <c r="I694" s="39" t="s">
        <v>2744</v>
      </c>
      <c r="J694" s="24" t="s">
        <v>454</v>
      </c>
      <c r="K694" s="40"/>
      <c r="L694" s="38" t="s">
        <v>2745</v>
      </c>
      <c r="M694" s="44" t="s">
        <v>564</v>
      </c>
      <c r="N694" s="46" t="s">
        <v>2751</v>
      </c>
      <c r="O694" s="47" t="s">
        <v>1655</v>
      </c>
      <c r="P694" s="50"/>
      <c r="Q694" s="45"/>
      <c r="R694" s="25"/>
      <c r="S694" s="52"/>
    </row>
    <row r="695" spans="1:19" ht="16.5" customHeight="1" x14ac:dyDescent="0.3">
      <c r="A695" s="27" t="s">
        <v>487</v>
      </c>
      <c r="B695" s="28" t="s">
        <v>488</v>
      </c>
      <c r="C695" s="26" t="s">
        <v>1808</v>
      </c>
      <c r="D695" s="31" t="s">
        <v>152</v>
      </c>
      <c r="E695" s="33" t="s">
        <v>2399</v>
      </c>
      <c r="F695" s="34" t="s">
        <v>563</v>
      </c>
      <c r="G695" s="32" t="s">
        <v>2655</v>
      </c>
      <c r="H695" s="37" t="s">
        <v>1612</v>
      </c>
      <c r="I695" s="39" t="s">
        <v>2744</v>
      </c>
      <c r="J695" s="24" t="s">
        <v>454</v>
      </c>
      <c r="K695" s="40"/>
      <c r="L695" s="38" t="s">
        <v>2752</v>
      </c>
      <c r="M695" s="44" t="s">
        <v>26</v>
      </c>
      <c r="N695" s="46" t="s">
        <v>2753</v>
      </c>
      <c r="O695" s="47" t="s">
        <v>1060</v>
      </c>
      <c r="P695" s="50"/>
      <c r="Q695" s="45"/>
      <c r="R695" s="25"/>
      <c r="S695" s="52"/>
    </row>
    <row r="696" spans="1:19" ht="16.5" customHeight="1" x14ac:dyDescent="0.3">
      <c r="A696" s="27" t="s">
        <v>487</v>
      </c>
      <c r="B696" s="28" t="s">
        <v>488</v>
      </c>
      <c r="C696" s="26" t="s">
        <v>1808</v>
      </c>
      <c r="D696" s="31" t="s">
        <v>152</v>
      </c>
      <c r="E696" s="33" t="s">
        <v>2399</v>
      </c>
      <c r="F696" s="34" t="s">
        <v>563</v>
      </c>
      <c r="G696" s="32" t="s">
        <v>2655</v>
      </c>
      <c r="H696" s="37" t="s">
        <v>1612</v>
      </c>
      <c r="I696" s="39" t="s">
        <v>2744</v>
      </c>
      <c r="J696" s="24" t="s">
        <v>454</v>
      </c>
      <c r="K696" s="40"/>
      <c r="L696" s="38" t="s">
        <v>2752</v>
      </c>
      <c r="M696" s="44" t="s">
        <v>26</v>
      </c>
      <c r="N696" s="46" t="s">
        <v>2754</v>
      </c>
      <c r="O696" s="47" t="s">
        <v>1061</v>
      </c>
      <c r="P696" s="50"/>
      <c r="Q696" s="45"/>
      <c r="R696" s="25"/>
      <c r="S696" s="52"/>
    </row>
    <row r="697" spans="1:19" ht="16.5" customHeight="1" x14ac:dyDescent="0.3">
      <c r="A697" s="27" t="s">
        <v>487</v>
      </c>
      <c r="B697" s="28" t="s">
        <v>488</v>
      </c>
      <c r="C697" s="26" t="s">
        <v>1808</v>
      </c>
      <c r="D697" s="31" t="s">
        <v>152</v>
      </c>
      <c r="E697" s="33" t="s">
        <v>2399</v>
      </c>
      <c r="F697" s="34" t="s">
        <v>563</v>
      </c>
      <c r="G697" s="32" t="s">
        <v>2655</v>
      </c>
      <c r="H697" s="37" t="s">
        <v>1612</v>
      </c>
      <c r="I697" s="39" t="s">
        <v>2744</v>
      </c>
      <c r="J697" s="24" t="s">
        <v>454</v>
      </c>
      <c r="K697" s="40"/>
      <c r="L697" s="38" t="s">
        <v>2752</v>
      </c>
      <c r="M697" s="44" t="s">
        <v>26</v>
      </c>
      <c r="N697" s="46" t="s">
        <v>2755</v>
      </c>
      <c r="O697" s="47" t="s">
        <v>1062</v>
      </c>
      <c r="P697" s="50"/>
      <c r="Q697" s="45"/>
      <c r="R697" s="25"/>
      <c r="S697" s="52"/>
    </row>
    <row r="698" spans="1:19" ht="16.5" customHeight="1" x14ac:dyDescent="0.3">
      <c r="A698" s="27" t="s">
        <v>487</v>
      </c>
      <c r="B698" s="28" t="s">
        <v>488</v>
      </c>
      <c r="C698" s="26" t="s">
        <v>1808</v>
      </c>
      <c r="D698" s="31" t="s">
        <v>152</v>
      </c>
      <c r="E698" s="33" t="s">
        <v>2399</v>
      </c>
      <c r="F698" s="34" t="s">
        <v>563</v>
      </c>
      <c r="G698" s="32" t="s">
        <v>2655</v>
      </c>
      <c r="H698" s="37" t="s">
        <v>1612</v>
      </c>
      <c r="I698" s="39" t="s">
        <v>2744</v>
      </c>
      <c r="J698" s="24" t="s">
        <v>454</v>
      </c>
      <c r="K698" s="40"/>
      <c r="L698" s="38" t="s">
        <v>2752</v>
      </c>
      <c r="M698" s="44" t="s">
        <v>26</v>
      </c>
      <c r="N698" s="46" t="s">
        <v>2756</v>
      </c>
      <c r="O698" s="47" t="s">
        <v>1063</v>
      </c>
      <c r="P698" s="50"/>
      <c r="Q698" s="45"/>
      <c r="R698" s="25"/>
      <c r="S698" s="52"/>
    </row>
    <row r="699" spans="1:19" ht="16.5" customHeight="1" x14ac:dyDescent="0.3">
      <c r="A699" s="27" t="s">
        <v>487</v>
      </c>
      <c r="B699" s="28" t="s">
        <v>488</v>
      </c>
      <c r="C699" s="26" t="s">
        <v>1808</v>
      </c>
      <c r="D699" s="31" t="s">
        <v>152</v>
      </c>
      <c r="E699" s="33" t="s">
        <v>2399</v>
      </c>
      <c r="F699" s="34" t="s">
        <v>563</v>
      </c>
      <c r="G699" s="32" t="s">
        <v>2655</v>
      </c>
      <c r="H699" s="37" t="s">
        <v>1612</v>
      </c>
      <c r="I699" s="39" t="s">
        <v>2744</v>
      </c>
      <c r="J699" s="24" t="s">
        <v>454</v>
      </c>
      <c r="K699" s="40"/>
      <c r="L699" s="38" t="s">
        <v>2757</v>
      </c>
      <c r="M699" s="44" t="s">
        <v>16</v>
      </c>
      <c r="N699" s="46" t="s">
        <v>2758</v>
      </c>
      <c r="O699" s="47" t="s">
        <v>1064</v>
      </c>
      <c r="P699" s="50"/>
      <c r="Q699" s="45"/>
      <c r="R699" s="25"/>
      <c r="S699" s="52"/>
    </row>
    <row r="700" spans="1:19" ht="16.5" customHeight="1" x14ac:dyDescent="0.3">
      <c r="A700" s="27" t="s">
        <v>487</v>
      </c>
      <c r="B700" s="28" t="s">
        <v>488</v>
      </c>
      <c r="C700" s="26" t="s">
        <v>1808</v>
      </c>
      <c r="D700" s="31" t="s">
        <v>152</v>
      </c>
      <c r="E700" s="33" t="s">
        <v>2399</v>
      </c>
      <c r="F700" s="34" t="s">
        <v>563</v>
      </c>
      <c r="G700" s="32" t="s">
        <v>2655</v>
      </c>
      <c r="H700" s="37" t="s">
        <v>1612</v>
      </c>
      <c r="I700" s="39" t="s">
        <v>2744</v>
      </c>
      <c r="J700" s="24" t="s">
        <v>454</v>
      </c>
      <c r="K700" s="40"/>
      <c r="L700" s="38" t="s">
        <v>2759</v>
      </c>
      <c r="M700" s="44" t="s">
        <v>30</v>
      </c>
      <c r="N700" s="46" t="s">
        <v>2760</v>
      </c>
      <c r="O700" s="47" t="s">
        <v>1656</v>
      </c>
      <c r="P700" s="50"/>
      <c r="Q700" s="45"/>
      <c r="R700" s="25"/>
      <c r="S700" s="52"/>
    </row>
    <row r="701" spans="1:19" ht="16.5" customHeight="1" x14ac:dyDescent="0.3">
      <c r="A701" s="27" t="s">
        <v>487</v>
      </c>
      <c r="B701" s="28" t="s">
        <v>488</v>
      </c>
      <c r="C701" s="26" t="s">
        <v>1808</v>
      </c>
      <c r="D701" s="31" t="s">
        <v>152</v>
      </c>
      <c r="E701" s="33" t="s">
        <v>2399</v>
      </c>
      <c r="F701" s="34" t="s">
        <v>563</v>
      </c>
      <c r="G701" s="32" t="s">
        <v>2655</v>
      </c>
      <c r="H701" s="37" t="s">
        <v>1612</v>
      </c>
      <c r="I701" s="39" t="s">
        <v>2744</v>
      </c>
      <c r="J701" s="24" t="s">
        <v>454</v>
      </c>
      <c r="K701" s="40"/>
      <c r="L701" s="38" t="s">
        <v>2759</v>
      </c>
      <c r="M701" s="44" t="s">
        <v>30</v>
      </c>
      <c r="N701" s="46" t="s">
        <v>2761</v>
      </c>
      <c r="O701" s="47" t="s">
        <v>1659</v>
      </c>
      <c r="P701" s="50"/>
      <c r="Q701" s="45"/>
      <c r="R701" s="25"/>
      <c r="S701" s="52"/>
    </row>
    <row r="702" spans="1:19" ht="16.5" customHeight="1" x14ac:dyDescent="0.3">
      <c r="A702" s="27" t="s">
        <v>487</v>
      </c>
      <c r="B702" s="28" t="s">
        <v>488</v>
      </c>
      <c r="C702" s="26" t="s">
        <v>1808</v>
      </c>
      <c r="D702" s="31" t="s">
        <v>152</v>
      </c>
      <c r="E702" s="33" t="s">
        <v>2399</v>
      </c>
      <c r="F702" s="34" t="s">
        <v>563</v>
      </c>
      <c r="G702" s="32" t="s">
        <v>2655</v>
      </c>
      <c r="H702" s="37" t="s">
        <v>1612</v>
      </c>
      <c r="I702" s="39" t="s">
        <v>2744</v>
      </c>
      <c r="J702" s="24" t="s">
        <v>454</v>
      </c>
      <c r="K702" s="40"/>
      <c r="L702" s="38" t="s">
        <v>2759</v>
      </c>
      <c r="M702" s="44" t="s">
        <v>30</v>
      </c>
      <c r="N702" s="46" t="s">
        <v>2762</v>
      </c>
      <c r="O702" s="47" t="s">
        <v>1657</v>
      </c>
      <c r="P702" s="50"/>
      <c r="Q702" s="45"/>
      <c r="R702" s="25"/>
      <c r="S702" s="52"/>
    </row>
    <row r="703" spans="1:19" ht="16.5" customHeight="1" x14ac:dyDescent="0.3">
      <c r="A703" s="27" t="s">
        <v>487</v>
      </c>
      <c r="B703" s="28" t="s">
        <v>488</v>
      </c>
      <c r="C703" s="26" t="s">
        <v>1808</v>
      </c>
      <c r="D703" s="31" t="s">
        <v>152</v>
      </c>
      <c r="E703" s="33" t="s">
        <v>2399</v>
      </c>
      <c r="F703" s="34" t="s">
        <v>563</v>
      </c>
      <c r="G703" s="32" t="s">
        <v>2655</v>
      </c>
      <c r="H703" s="37" t="s">
        <v>1612</v>
      </c>
      <c r="I703" s="39" t="s">
        <v>2744</v>
      </c>
      <c r="J703" s="24" t="s">
        <v>454</v>
      </c>
      <c r="K703" s="40"/>
      <c r="L703" s="38" t="s">
        <v>2759</v>
      </c>
      <c r="M703" s="44" t="s">
        <v>30</v>
      </c>
      <c r="N703" s="46" t="s">
        <v>2763</v>
      </c>
      <c r="O703" s="47" t="s">
        <v>1658</v>
      </c>
      <c r="P703" s="50"/>
      <c r="Q703" s="45"/>
      <c r="R703" s="25"/>
      <c r="S703" s="52"/>
    </row>
    <row r="704" spans="1:19" ht="16.5" customHeight="1" x14ac:dyDescent="0.3">
      <c r="A704" s="27" t="s">
        <v>487</v>
      </c>
      <c r="B704" s="28" t="s">
        <v>488</v>
      </c>
      <c r="C704" s="26" t="s">
        <v>1808</v>
      </c>
      <c r="D704" s="31" t="s">
        <v>152</v>
      </c>
      <c r="E704" s="33" t="s">
        <v>2399</v>
      </c>
      <c r="F704" s="34" t="s">
        <v>563</v>
      </c>
      <c r="G704" s="32" t="s">
        <v>2655</v>
      </c>
      <c r="H704" s="37" t="s">
        <v>1612</v>
      </c>
      <c r="I704" s="39" t="s">
        <v>2744</v>
      </c>
      <c r="J704" s="24" t="s">
        <v>454</v>
      </c>
      <c r="K704" s="40"/>
      <c r="L704" s="38" t="s">
        <v>2764</v>
      </c>
      <c r="M704" s="44" t="s">
        <v>123</v>
      </c>
      <c r="N704" s="46" t="s">
        <v>2765</v>
      </c>
      <c r="O704" s="47" t="s">
        <v>1654</v>
      </c>
      <c r="P704" s="50"/>
      <c r="Q704" s="45"/>
      <c r="R704" s="25"/>
      <c r="S704" s="52"/>
    </row>
    <row r="705" spans="1:19" ht="16.5" customHeight="1" x14ac:dyDescent="0.3">
      <c r="A705" s="27" t="s">
        <v>487</v>
      </c>
      <c r="B705" s="28" t="s">
        <v>488</v>
      </c>
      <c r="C705" s="26" t="s">
        <v>1808</v>
      </c>
      <c r="D705" s="31" t="s">
        <v>152</v>
      </c>
      <c r="E705" s="33" t="s">
        <v>2399</v>
      </c>
      <c r="F705" s="34" t="s">
        <v>563</v>
      </c>
      <c r="G705" s="32" t="s">
        <v>2655</v>
      </c>
      <c r="H705" s="37" t="s">
        <v>1612</v>
      </c>
      <c r="I705" s="39" t="s">
        <v>2766</v>
      </c>
      <c r="J705" s="24" t="s">
        <v>455</v>
      </c>
      <c r="K705" s="40"/>
      <c r="L705" s="38" t="s">
        <v>2767</v>
      </c>
      <c r="M705" s="44" t="s">
        <v>564</v>
      </c>
      <c r="N705" s="46" t="s">
        <v>2768</v>
      </c>
      <c r="O705" s="47" t="s">
        <v>1066</v>
      </c>
      <c r="P705" s="50"/>
      <c r="Q705" s="45"/>
      <c r="R705" s="25"/>
      <c r="S705" s="52"/>
    </row>
    <row r="706" spans="1:19" ht="16.5" customHeight="1" x14ac:dyDescent="0.3">
      <c r="A706" s="27" t="s">
        <v>487</v>
      </c>
      <c r="B706" s="28" t="s">
        <v>488</v>
      </c>
      <c r="C706" s="26" t="s">
        <v>1808</v>
      </c>
      <c r="D706" s="31" t="s">
        <v>152</v>
      </c>
      <c r="E706" s="33" t="s">
        <v>2399</v>
      </c>
      <c r="F706" s="34" t="s">
        <v>563</v>
      </c>
      <c r="G706" s="32" t="s">
        <v>2655</v>
      </c>
      <c r="H706" s="37" t="s">
        <v>1612</v>
      </c>
      <c r="I706" s="39" t="s">
        <v>2766</v>
      </c>
      <c r="J706" s="24" t="s">
        <v>455</v>
      </c>
      <c r="K706" s="40"/>
      <c r="L706" s="38" t="s">
        <v>2767</v>
      </c>
      <c r="M706" s="44" t="s">
        <v>564</v>
      </c>
      <c r="N706" s="46" t="s">
        <v>2769</v>
      </c>
      <c r="O706" s="47" t="s">
        <v>1067</v>
      </c>
      <c r="P706" s="50"/>
      <c r="Q706" s="45"/>
      <c r="R706" s="25"/>
      <c r="S706" s="52"/>
    </row>
    <row r="707" spans="1:19" ht="16.5" customHeight="1" x14ac:dyDescent="0.3">
      <c r="A707" s="27" t="s">
        <v>487</v>
      </c>
      <c r="B707" s="28" t="s">
        <v>488</v>
      </c>
      <c r="C707" s="26" t="s">
        <v>1808</v>
      </c>
      <c r="D707" s="31" t="s">
        <v>152</v>
      </c>
      <c r="E707" s="33" t="s">
        <v>2399</v>
      </c>
      <c r="F707" s="34" t="s">
        <v>563</v>
      </c>
      <c r="G707" s="32" t="s">
        <v>2655</v>
      </c>
      <c r="H707" s="37" t="s">
        <v>1612</v>
      </c>
      <c r="I707" s="39" t="s">
        <v>2766</v>
      </c>
      <c r="J707" s="24" t="s">
        <v>455</v>
      </c>
      <c r="K707" s="40"/>
      <c r="L707" s="38" t="s">
        <v>2767</v>
      </c>
      <c r="M707" s="44" t="s">
        <v>564</v>
      </c>
      <c r="N707" s="46" t="s">
        <v>2770</v>
      </c>
      <c r="O707" s="47" t="s">
        <v>1065</v>
      </c>
      <c r="P707" s="50"/>
      <c r="Q707" s="45"/>
      <c r="R707" s="25"/>
      <c r="S707" s="52"/>
    </row>
    <row r="708" spans="1:19" ht="16.5" customHeight="1" x14ac:dyDescent="0.3">
      <c r="A708" s="27" t="s">
        <v>487</v>
      </c>
      <c r="B708" s="28" t="s">
        <v>488</v>
      </c>
      <c r="C708" s="26" t="s">
        <v>1808</v>
      </c>
      <c r="D708" s="31" t="s">
        <v>152</v>
      </c>
      <c r="E708" s="33" t="s">
        <v>2399</v>
      </c>
      <c r="F708" s="34" t="s">
        <v>563</v>
      </c>
      <c r="G708" s="32" t="s">
        <v>2655</v>
      </c>
      <c r="H708" s="37" t="s">
        <v>1612</v>
      </c>
      <c r="I708" s="39" t="s">
        <v>2766</v>
      </c>
      <c r="J708" s="24" t="s">
        <v>455</v>
      </c>
      <c r="K708" s="40"/>
      <c r="L708" s="38" t="s">
        <v>2767</v>
      </c>
      <c r="M708" s="44" t="s">
        <v>564</v>
      </c>
      <c r="N708" s="46" t="s">
        <v>2771</v>
      </c>
      <c r="O708" s="47" t="s">
        <v>1068</v>
      </c>
      <c r="P708" s="50"/>
      <c r="Q708" s="45"/>
      <c r="R708" s="25"/>
      <c r="S708" s="52"/>
    </row>
    <row r="709" spans="1:19" ht="16.5" customHeight="1" x14ac:dyDescent="0.3">
      <c r="A709" s="27" t="s">
        <v>487</v>
      </c>
      <c r="B709" s="28" t="s">
        <v>488</v>
      </c>
      <c r="C709" s="26" t="s">
        <v>1808</v>
      </c>
      <c r="D709" s="31" t="s">
        <v>152</v>
      </c>
      <c r="E709" s="33" t="s">
        <v>2399</v>
      </c>
      <c r="F709" s="34" t="s">
        <v>563</v>
      </c>
      <c r="G709" s="32" t="s">
        <v>2655</v>
      </c>
      <c r="H709" s="37" t="s">
        <v>1612</v>
      </c>
      <c r="I709" s="39" t="s">
        <v>2766</v>
      </c>
      <c r="J709" s="24" t="s">
        <v>455</v>
      </c>
      <c r="K709" s="40"/>
      <c r="L709" s="38" t="s">
        <v>2767</v>
      </c>
      <c r="M709" s="44" t="s">
        <v>564</v>
      </c>
      <c r="N709" s="46" t="s">
        <v>2772</v>
      </c>
      <c r="O709" s="47" t="s">
        <v>1069</v>
      </c>
      <c r="P709" s="50"/>
      <c r="Q709" s="45"/>
      <c r="R709" s="25"/>
      <c r="S709" s="52"/>
    </row>
    <row r="710" spans="1:19" ht="16.5" customHeight="1" x14ac:dyDescent="0.3">
      <c r="A710" s="27" t="s">
        <v>487</v>
      </c>
      <c r="B710" s="28" t="s">
        <v>488</v>
      </c>
      <c r="C710" s="26" t="s">
        <v>1808</v>
      </c>
      <c r="D710" s="31" t="s">
        <v>152</v>
      </c>
      <c r="E710" s="33" t="s">
        <v>2399</v>
      </c>
      <c r="F710" s="34" t="s">
        <v>563</v>
      </c>
      <c r="G710" s="32" t="s">
        <v>2655</v>
      </c>
      <c r="H710" s="37" t="s">
        <v>1612</v>
      </c>
      <c r="I710" s="39" t="s">
        <v>2766</v>
      </c>
      <c r="J710" s="24" t="s">
        <v>455</v>
      </c>
      <c r="K710" s="40"/>
      <c r="L710" s="38" t="s">
        <v>2767</v>
      </c>
      <c r="M710" s="44" t="s">
        <v>564</v>
      </c>
      <c r="N710" s="46" t="s">
        <v>2773</v>
      </c>
      <c r="O710" s="47" t="s">
        <v>1655</v>
      </c>
      <c r="P710" s="50"/>
      <c r="Q710" s="45"/>
      <c r="R710" s="25"/>
      <c r="S710" s="52"/>
    </row>
    <row r="711" spans="1:19" ht="16.5" customHeight="1" x14ac:dyDescent="0.3">
      <c r="A711" s="27" t="s">
        <v>487</v>
      </c>
      <c r="B711" s="28" t="s">
        <v>488</v>
      </c>
      <c r="C711" s="26" t="s">
        <v>1808</v>
      </c>
      <c r="D711" s="31" t="s">
        <v>152</v>
      </c>
      <c r="E711" s="33" t="s">
        <v>2399</v>
      </c>
      <c r="F711" s="34" t="s">
        <v>563</v>
      </c>
      <c r="G711" s="32" t="s">
        <v>2655</v>
      </c>
      <c r="H711" s="37" t="s">
        <v>1612</v>
      </c>
      <c r="I711" s="39" t="s">
        <v>2766</v>
      </c>
      <c r="J711" s="24" t="s">
        <v>455</v>
      </c>
      <c r="K711" s="40"/>
      <c r="L711" s="38" t="s">
        <v>2774</v>
      </c>
      <c r="M711" s="44" t="s">
        <v>26</v>
      </c>
      <c r="N711" s="46" t="s">
        <v>2775</v>
      </c>
      <c r="O711" s="47" t="s">
        <v>1070</v>
      </c>
      <c r="P711" s="50"/>
      <c r="Q711" s="45"/>
      <c r="R711" s="25"/>
      <c r="S711" s="52"/>
    </row>
    <row r="712" spans="1:19" ht="16.5" customHeight="1" x14ac:dyDescent="0.3">
      <c r="A712" s="27" t="s">
        <v>487</v>
      </c>
      <c r="B712" s="28" t="s">
        <v>488</v>
      </c>
      <c r="C712" s="26" t="s">
        <v>1808</v>
      </c>
      <c r="D712" s="31" t="s">
        <v>152</v>
      </c>
      <c r="E712" s="33" t="s">
        <v>2399</v>
      </c>
      <c r="F712" s="34" t="s">
        <v>563</v>
      </c>
      <c r="G712" s="32" t="s">
        <v>2655</v>
      </c>
      <c r="H712" s="37" t="s">
        <v>1612</v>
      </c>
      <c r="I712" s="39" t="s">
        <v>2766</v>
      </c>
      <c r="J712" s="24" t="s">
        <v>455</v>
      </c>
      <c r="K712" s="40"/>
      <c r="L712" s="38" t="s">
        <v>2774</v>
      </c>
      <c r="M712" s="44" t="s">
        <v>26</v>
      </c>
      <c r="N712" s="46" t="s">
        <v>2776</v>
      </c>
      <c r="O712" s="47" t="s">
        <v>1071</v>
      </c>
      <c r="P712" s="50"/>
      <c r="Q712" s="45"/>
      <c r="R712" s="25"/>
      <c r="S712" s="52"/>
    </row>
    <row r="713" spans="1:19" ht="16.5" customHeight="1" x14ac:dyDescent="0.3">
      <c r="A713" s="27" t="s">
        <v>487</v>
      </c>
      <c r="B713" s="28" t="s">
        <v>488</v>
      </c>
      <c r="C713" s="26" t="s">
        <v>1808</v>
      </c>
      <c r="D713" s="31" t="s">
        <v>152</v>
      </c>
      <c r="E713" s="33" t="s">
        <v>2399</v>
      </c>
      <c r="F713" s="34" t="s">
        <v>563</v>
      </c>
      <c r="G713" s="32" t="s">
        <v>2655</v>
      </c>
      <c r="H713" s="37" t="s">
        <v>1612</v>
      </c>
      <c r="I713" s="39" t="s">
        <v>2766</v>
      </c>
      <c r="J713" s="24" t="s">
        <v>455</v>
      </c>
      <c r="K713" s="40"/>
      <c r="L713" s="38" t="s">
        <v>2774</v>
      </c>
      <c r="M713" s="44" t="s">
        <v>26</v>
      </c>
      <c r="N713" s="46" t="s">
        <v>2777</v>
      </c>
      <c r="O713" s="47" t="s">
        <v>1072</v>
      </c>
      <c r="P713" s="50"/>
      <c r="Q713" s="45"/>
      <c r="R713" s="25"/>
      <c r="S713" s="52"/>
    </row>
    <row r="714" spans="1:19" ht="16.5" customHeight="1" x14ac:dyDescent="0.3">
      <c r="A714" s="27" t="s">
        <v>487</v>
      </c>
      <c r="B714" s="28" t="s">
        <v>488</v>
      </c>
      <c r="C714" s="26" t="s">
        <v>1808</v>
      </c>
      <c r="D714" s="31" t="s">
        <v>152</v>
      </c>
      <c r="E714" s="33" t="s">
        <v>2399</v>
      </c>
      <c r="F714" s="34" t="s">
        <v>563</v>
      </c>
      <c r="G714" s="32" t="s">
        <v>2655</v>
      </c>
      <c r="H714" s="37" t="s">
        <v>1612</v>
      </c>
      <c r="I714" s="39" t="s">
        <v>2766</v>
      </c>
      <c r="J714" s="24" t="s">
        <v>455</v>
      </c>
      <c r="K714" s="40"/>
      <c r="L714" s="38" t="s">
        <v>2774</v>
      </c>
      <c r="M714" s="44" t="s">
        <v>26</v>
      </c>
      <c r="N714" s="46" t="s">
        <v>2778</v>
      </c>
      <c r="O714" s="47" t="s">
        <v>1073</v>
      </c>
      <c r="P714" s="50"/>
      <c r="Q714" s="45"/>
      <c r="R714" s="25"/>
      <c r="S714" s="52"/>
    </row>
    <row r="715" spans="1:19" ht="16.5" customHeight="1" x14ac:dyDescent="0.3">
      <c r="A715" s="27" t="s">
        <v>487</v>
      </c>
      <c r="B715" s="28" t="s">
        <v>488</v>
      </c>
      <c r="C715" s="26" t="s">
        <v>1808</v>
      </c>
      <c r="D715" s="31" t="s">
        <v>152</v>
      </c>
      <c r="E715" s="33" t="s">
        <v>2399</v>
      </c>
      <c r="F715" s="34" t="s">
        <v>563</v>
      </c>
      <c r="G715" s="32" t="s">
        <v>2655</v>
      </c>
      <c r="H715" s="37" t="s">
        <v>1612</v>
      </c>
      <c r="I715" s="39" t="s">
        <v>2766</v>
      </c>
      <c r="J715" s="24" t="s">
        <v>455</v>
      </c>
      <c r="K715" s="40"/>
      <c r="L715" s="38" t="s">
        <v>2779</v>
      </c>
      <c r="M715" s="44" t="s">
        <v>16</v>
      </c>
      <c r="N715" s="46" t="s">
        <v>2780</v>
      </c>
      <c r="O715" s="47" t="s">
        <v>1074</v>
      </c>
      <c r="P715" s="50"/>
      <c r="Q715" s="45"/>
      <c r="R715" s="25"/>
      <c r="S715" s="52"/>
    </row>
    <row r="716" spans="1:19" ht="16.5" customHeight="1" x14ac:dyDescent="0.3">
      <c r="A716" s="27" t="s">
        <v>487</v>
      </c>
      <c r="B716" s="28" t="s">
        <v>488</v>
      </c>
      <c r="C716" s="26" t="s">
        <v>1808</v>
      </c>
      <c r="D716" s="31" t="s">
        <v>152</v>
      </c>
      <c r="E716" s="33" t="s">
        <v>2399</v>
      </c>
      <c r="F716" s="34" t="s">
        <v>563</v>
      </c>
      <c r="G716" s="32" t="s">
        <v>2655</v>
      </c>
      <c r="H716" s="37" t="s">
        <v>1612</v>
      </c>
      <c r="I716" s="39" t="s">
        <v>2766</v>
      </c>
      <c r="J716" s="24" t="s">
        <v>455</v>
      </c>
      <c r="K716" s="40"/>
      <c r="L716" s="38" t="s">
        <v>2781</v>
      </c>
      <c r="M716" s="44" t="s">
        <v>30</v>
      </c>
      <c r="N716" s="46" t="s">
        <v>2782</v>
      </c>
      <c r="O716" s="47" t="s">
        <v>1656</v>
      </c>
      <c r="P716" s="50"/>
      <c r="Q716" s="45"/>
      <c r="R716" s="25"/>
      <c r="S716" s="52"/>
    </row>
    <row r="717" spans="1:19" ht="16.5" customHeight="1" x14ac:dyDescent="0.3">
      <c r="A717" s="27" t="s">
        <v>487</v>
      </c>
      <c r="B717" s="28" t="s">
        <v>488</v>
      </c>
      <c r="C717" s="26" t="s">
        <v>1808</v>
      </c>
      <c r="D717" s="31" t="s">
        <v>152</v>
      </c>
      <c r="E717" s="33" t="s">
        <v>2399</v>
      </c>
      <c r="F717" s="34" t="s">
        <v>563</v>
      </c>
      <c r="G717" s="32" t="s">
        <v>2655</v>
      </c>
      <c r="H717" s="37" t="s">
        <v>1612</v>
      </c>
      <c r="I717" s="39" t="s">
        <v>2766</v>
      </c>
      <c r="J717" s="24" t="s">
        <v>455</v>
      </c>
      <c r="K717" s="40"/>
      <c r="L717" s="38" t="s">
        <v>2781</v>
      </c>
      <c r="M717" s="44" t="s">
        <v>30</v>
      </c>
      <c r="N717" s="46" t="s">
        <v>2783</v>
      </c>
      <c r="O717" s="47" t="s">
        <v>1659</v>
      </c>
      <c r="P717" s="50"/>
      <c r="Q717" s="45"/>
      <c r="R717" s="25"/>
      <c r="S717" s="52"/>
    </row>
    <row r="718" spans="1:19" ht="16.5" customHeight="1" x14ac:dyDescent="0.3">
      <c r="A718" s="27" t="s">
        <v>487</v>
      </c>
      <c r="B718" s="28" t="s">
        <v>488</v>
      </c>
      <c r="C718" s="26" t="s">
        <v>1808</v>
      </c>
      <c r="D718" s="31" t="s">
        <v>152</v>
      </c>
      <c r="E718" s="33" t="s">
        <v>2399</v>
      </c>
      <c r="F718" s="34" t="s">
        <v>563</v>
      </c>
      <c r="G718" s="32" t="s">
        <v>2655</v>
      </c>
      <c r="H718" s="37" t="s">
        <v>1612</v>
      </c>
      <c r="I718" s="39" t="s">
        <v>2766</v>
      </c>
      <c r="J718" s="24" t="s">
        <v>455</v>
      </c>
      <c r="K718" s="40"/>
      <c r="L718" s="38" t="s">
        <v>2781</v>
      </c>
      <c r="M718" s="44" t="s">
        <v>30</v>
      </c>
      <c r="N718" s="46" t="s">
        <v>2784</v>
      </c>
      <c r="O718" s="47" t="s">
        <v>1657</v>
      </c>
      <c r="P718" s="50"/>
      <c r="Q718" s="45"/>
      <c r="R718" s="25"/>
      <c r="S718" s="52"/>
    </row>
    <row r="719" spans="1:19" ht="16.5" customHeight="1" x14ac:dyDescent="0.3">
      <c r="A719" s="27" t="s">
        <v>487</v>
      </c>
      <c r="B719" s="28" t="s">
        <v>488</v>
      </c>
      <c r="C719" s="26" t="s">
        <v>1808</v>
      </c>
      <c r="D719" s="31" t="s">
        <v>152</v>
      </c>
      <c r="E719" s="33" t="s">
        <v>2399</v>
      </c>
      <c r="F719" s="34" t="s">
        <v>563</v>
      </c>
      <c r="G719" s="32" t="s">
        <v>2655</v>
      </c>
      <c r="H719" s="37" t="s">
        <v>1612</v>
      </c>
      <c r="I719" s="39" t="s">
        <v>2766</v>
      </c>
      <c r="J719" s="24" t="s">
        <v>455</v>
      </c>
      <c r="K719" s="40"/>
      <c r="L719" s="38" t="s">
        <v>2781</v>
      </c>
      <c r="M719" s="44" t="s">
        <v>30</v>
      </c>
      <c r="N719" s="46" t="s">
        <v>2785</v>
      </c>
      <c r="O719" s="47" t="s">
        <v>1658</v>
      </c>
      <c r="P719" s="50"/>
      <c r="Q719" s="45"/>
      <c r="R719" s="25"/>
      <c r="S719" s="52"/>
    </row>
    <row r="720" spans="1:19" ht="16.5" customHeight="1" x14ac:dyDescent="0.3">
      <c r="A720" s="27" t="s">
        <v>487</v>
      </c>
      <c r="B720" s="28" t="s">
        <v>488</v>
      </c>
      <c r="C720" s="26" t="s">
        <v>1808</v>
      </c>
      <c r="D720" s="31" t="s">
        <v>152</v>
      </c>
      <c r="E720" s="33" t="s">
        <v>2399</v>
      </c>
      <c r="F720" s="34" t="s">
        <v>563</v>
      </c>
      <c r="G720" s="32" t="s">
        <v>2655</v>
      </c>
      <c r="H720" s="37" t="s">
        <v>1612</v>
      </c>
      <c r="I720" s="39" t="s">
        <v>2766</v>
      </c>
      <c r="J720" s="24" t="s">
        <v>455</v>
      </c>
      <c r="K720" s="40"/>
      <c r="L720" s="38" t="s">
        <v>2786</v>
      </c>
      <c r="M720" s="44" t="s">
        <v>123</v>
      </c>
      <c r="N720" s="46" t="s">
        <v>2787</v>
      </c>
      <c r="O720" s="47" t="s">
        <v>1654</v>
      </c>
      <c r="P720" s="50"/>
      <c r="Q720" s="45"/>
      <c r="R720" s="25"/>
      <c r="S720" s="52"/>
    </row>
    <row r="721" spans="1:19" ht="16.5" customHeight="1" x14ac:dyDescent="0.3">
      <c r="A721" s="27" t="s">
        <v>487</v>
      </c>
      <c r="B721" s="28" t="s">
        <v>488</v>
      </c>
      <c r="C721" s="26" t="s">
        <v>1808</v>
      </c>
      <c r="D721" s="31" t="s">
        <v>152</v>
      </c>
      <c r="E721" s="33" t="s">
        <v>2399</v>
      </c>
      <c r="F721" s="34" t="s">
        <v>563</v>
      </c>
      <c r="G721" s="32" t="s">
        <v>2655</v>
      </c>
      <c r="H721" s="37" t="s">
        <v>1612</v>
      </c>
      <c r="I721" s="39" t="s">
        <v>2788</v>
      </c>
      <c r="J721" s="24" t="s">
        <v>456</v>
      </c>
      <c r="K721" s="40"/>
      <c r="L721" s="38" t="s">
        <v>2789</v>
      </c>
      <c r="M721" s="44" t="s">
        <v>564</v>
      </c>
      <c r="N721" s="46" t="s">
        <v>2790</v>
      </c>
      <c r="O721" s="47" t="s">
        <v>1076</v>
      </c>
      <c r="P721" s="50"/>
      <c r="Q721" s="45"/>
      <c r="R721" s="25"/>
      <c r="S721" s="52"/>
    </row>
    <row r="722" spans="1:19" ht="16.5" customHeight="1" x14ac:dyDescent="0.3">
      <c r="A722" s="27" t="s">
        <v>487</v>
      </c>
      <c r="B722" s="28" t="s">
        <v>488</v>
      </c>
      <c r="C722" s="26" t="s">
        <v>1808</v>
      </c>
      <c r="D722" s="31" t="s">
        <v>152</v>
      </c>
      <c r="E722" s="33" t="s">
        <v>2399</v>
      </c>
      <c r="F722" s="34" t="s">
        <v>563</v>
      </c>
      <c r="G722" s="32" t="s">
        <v>2655</v>
      </c>
      <c r="H722" s="37" t="s">
        <v>1612</v>
      </c>
      <c r="I722" s="39" t="s">
        <v>2788</v>
      </c>
      <c r="J722" s="24" t="s">
        <v>456</v>
      </c>
      <c r="K722" s="40"/>
      <c r="L722" s="38" t="s">
        <v>2789</v>
      </c>
      <c r="M722" s="44" t="s">
        <v>564</v>
      </c>
      <c r="N722" s="46" t="s">
        <v>2791</v>
      </c>
      <c r="O722" s="47" t="s">
        <v>1077</v>
      </c>
      <c r="P722" s="50"/>
      <c r="Q722" s="45"/>
      <c r="R722" s="25"/>
      <c r="S722" s="52"/>
    </row>
    <row r="723" spans="1:19" ht="16.5" customHeight="1" x14ac:dyDescent="0.3">
      <c r="A723" s="27" t="s">
        <v>487</v>
      </c>
      <c r="B723" s="28" t="s">
        <v>488</v>
      </c>
      <c r="C723" s="26" t="s">
        <v>1808</v>
      </c>
      <c r="D723" s="31" t="s">
        <v>152</v>
      </c>
      <c r="E723" s="33" t="s">
        <v>2399</v>
      </c>
      <c r="F723" s="34" t="s">
        <v>563</v>
      </c>
      <c r="G723" s="32" t="s">
        <v>2655</v>
      </c>
      <c r="H723" s="37" t="s">
        <v>1612</v>
      </c>
      <c r="I723" s="39" t="s">
        <v>2788</v>
      </c>
      <c r="J723" s="24" t="s">
        <v>456</v>
      </c>
      <c r="K723" s="40"/>
      <c r="L723" s="38" t="s">
        <v>2789</v>
      </c>
      <c r="M723" s="44" t="s">
        <v>564</v>
      </c>
      <c r="N723" s="46" t="s">
        <v>2792</v>
      </c>
      <c r="O723" s="47" t="s">
        <v>1075</v>
      </c>
      <c r="P723" s="50"/>
      <c r="Q723" s="45"/>
      <c r="R723" s="25"/>
      <c r="S723" s="52"/>
    </row>
    <row r="724" spans="1:19" ht="16.5" customHeight="1" x14ac:dyDescent="0.3">
      <c r="A724" s="27" t="s">
        <v>487</v>
      </c>
      <c r="B724" s="28" t="s">
        <v>488</v>
      </c>
      <c r="C724" s="26" t="s">
        <v>1808</v>
      </c>
      <c r="D724" s="31" t="s">
        <v>152</v>
      </c>
      <c r="E724" s="33" t="s">
        <v>2399</v>
      </c>
      <c r="F724" s="34" t="s">
        <v>563</v>
      </c>
      <c r="G724" s="32" t="s">
        <v>2655</v>
      </c>
      <c r="H724" s="37" t="s">
        <v>1612</v>
      </c>
      <c r="I724" s="39" t="s">
        <v>2788</v>
      </c>
      <c r="J724" s="24" t="s">
        <v>456</v>
      </c>
      <c r="K724" s="40"/>
      <c r="L724" s="38" t="s">
        <v>2789</v>
      </c>
      <c r="M724" s="44" t="s">
        <v>564</v>
      </c>
      <c r="N724" s="46" t="s">
        <v>2793</v>
      </c>
      <c r="O724" s="47" t="s">
        <v>1078</v>
      </c>
      <c r="P724" s="50"/>
      <c r="Q724" s="45"/>
      <c r="R724" s="25"/>
      <c r="S724" s="52"/>
    </row>
    <row r="725" spans="1:19" ht="16.5" customHeight="1" x14ac:dyDescent="0.3">
      <c r="A725" s="27" t="s">
        <v>487</v>
      </c>
      <c r="B725" s="28" t="s">
        <v>488</v>
      </c>
      <c r="C725" s="26" t="s">
        <v>1808</v>
      </c>
      <c r="D725" s="31" t="s">
        <v>152</v>
      </c>
      <c r="E725" s="33" t="s">
        <v>2399</v>
      </c>
      <c r="F725" s="34" t="s">
        <v>563</v>
      </c>
      <c r="G725" s="32" t="s">
        <v>2655</v>
      </c>
      <c r="H725" s="37" t="s">
        <v>1612</v>
      </c>
      <c r="I725" s="39" t="s">
        <v>2788</v>
      </c>
      <c r="J725" s="24" t="s">
        <v>456</v>
      </c>
      <c r="K725" s="40"/>
      <c r="L725" s="38" t="s">
        <v>2789</v>
      </c>
      <c r="M725" s="44" t="s">
        <v>564</v>
      </c>
      <c r="N725" s="46" t="s">
        <v>2794</v>
      </c>
      <c r="O725" s="47" t="s">
        <v>1080</v>
      </c>
      <c r="P725" s="50"/>
      <c r="Q725" s="45"/>
      <c r="R725" s="25"/>
      <c r="S725" s="52"/>
    </row>
    <row r="726" spans="1:19" ht="16.5" customHeight="1" x14ac:dyDescent="0.3">
      <c r="A726" s="27" t="s">
        <v>487</v>
      </c>
      <c r="B726" s="28" t="s">
        <v>488</v>
      </c>
      <c r="C726" s="26" t="s">
        <v>1808</v>
      </c>
      <c r="D726" s="31" t="s">
        <v>152</v>
      </c>
      <c r="E726" s="33" t="s">
        <v>2399</v>
      </c>
      <c r="F726" s="34" t="s">
        <v>563</v>
      </c>
      <c r="G726" s="32" t="s">
        <v>2655</v>
      </c>
      <c r="H726" s="37" t="s">
        <v>1612</v>
      </c>
      <c r="I726" s="39" t="s">
        <v>2788</v>
      </c>
      <c r="J726" s="24" t="s">
        <v>456</v>
      </c>
      <c r="K726" s="40"/>
      <c r="L726" s="38" t="s">
        <v>2789</v>
      </c>
      <c r="M726" s="44" t="s">
        <v>564</v>
      </c>
      <c r="N726" s="46" t="s">
        <v>2795</v>
      </c>
      <c r="O726" s="47" t="s">
        <v>1655</v>
      </c>
      <c r="P726" s="50"/>
      <c r="Q726" s="45"/>
      <c r="R726" s="25"/>
      <c r="S726" s="52"/>
    </row>
    <row r="727" spans="1:19" ht="16.5" customHeight="1" x14ac:dyDescent="0.3">
      <c r="A727" s="27" t="s">
        <v>487</v>
      </c>
      <c r="B727" s="28" t="s">
        <v>488</v>
      </c>
      <c r="C727" s="26" t="s">
        <v>1808</v>
      </c>
      <c r="D727" s="31" t="s">
        <v>152</v>
      </c>
      <c r="E727" s="33" t="s">
        <v>2399</v>
      </c>
      <c r="F727" s="34" t="s">
        <v>563</v>
      </c>
      <c r="G727" s="32" t="s">
        <v>2655</v>
      </c>
      <c r="H727" s="37" t="s">
        <v>1612</v>
      </c>
      <c r="I727" s="39" t="s">
        <v>2788</v>
      </c>
      <c r="J727" s="24" t="s">
        <v>456</v>
      </c>
      <c r="K727" s="40"/>
      <c r="L727" s="38" t="s">
        <v>2796</v>
      </c>
      <c r="M727" s="44" t="s">
        <v>26</v>
      </c>
      <c r="N727" s="46" t="s">
        <v>2797</v>
      </c>
      <c r="O727" s="47" t="s">
        <v>1079</v>
      </c>
      <c r="P727" s="50"/>
      <c r="Q727" s="45"/>
      <c r="R727" s="25"/>
      <c r="S727" s="52"/>
    </row>
    <row r="728" spans="1:19" ht="16.5" customHeight="1" x14ac:dyDescent="0.3">
      <c r="A728" s="27" t="s">
        <v>487</v>
      </c>
      <c r="B728" s="28" t="s">
        <v>488</v>
      </c>
      <c r="C728" s="26" t="s">
        <v>1808</v>
      </c>
      <c r="D728" s="31" t="s">
        <v>152</v>
      </c>
      <c r="E728" s="33" t="s">
        <v>2399</v>
      </c>
      <c r="F728" s="34" t="s">
        <v>563</v>
      </c>
      <c r="G728" s="32" t="s">
        <v>2655</v>
      </c>
      <c r="H728" s="37" t="s">
        <v>1612</v>
      </c>
      <c r="I728" s="39" t="s">
        <v>2788</v>
      </c>
      <c r="J728" s="24" t="s">
        <v>456</v>
      </c>
      <c r="K728" s="40"/>
      <c r="L728" s="38" t="s">
        <v>2796</v>
      </c>
      <c r="M728" s="44" t="s">
        <v>26</v>
      </c>
      <c r="N728" s="46" t="s">
        <v>2798</v>
      </c>
      <c r="O728" s="47" t="s">
        <v>1081</v>
      </c>
      <c r="P728" s="50"/>
      <c r="Q728" s="45"/>
      <c r="R728" s="25"/>
      <c r="S728" s="52"/>
    </row>
    <row r="729" spans="1:19" ht="16.5" customHeight="1" x14ac:dyDescent="0.3">
      <c r="A729" s="27" t="s">
        <v>487</v>
      </c>
      <c r="B729" s="28" t="s">
        <v>488</v>
      </c>
      <c r="C729" s="26" t="s">
        <v>1808</v>
      </c>
      <c r="D729" s="31" t="s">
        <v>152</v>
      </c>
      <c r="E729" s="33" t="s">
        <v>2399</v>
      </c>
      <c r="F729" s="34" t="s">
        <v>563</v>
      </c>
      <c r="G729" s="32" t="s">
        <v>2655</v>
      </c>
      <c r="H729" s="37" t="s">
        <v>1612</v>
      </c>
      <c r="I729" s="39" t="s">
        <v>2788</v>
      </c>
      <c r="J729" s="24" t="s">
        <v>456</v>
      </c>
      <c r="K729" s="40"/>
      <c r="L729" s="38" t="s">
        <v>2796</v>
      </c>
      <c r="M729" s="44" t="s">
        <v>26</v>
      </c>
      <c r="N729" s="46" t="s">
        <v>2799</v>
      </c>
      <c r="O729" s="47" t="s">
        <v>1082</v>
      </c>
      <c r="P729" s="50"/>
      <c r="Q729" s="45"/>
      <c r="R729" s="25"/>
      <c r="S729" s="52"/>
    </row>
    <row r="730" spans="1:19" ht="16.5" customHeight="1" x14ac:dyDescent="0.3">
      <c r="A730" s="27" t="s">
        <v>487</v>
      </c>
      <c r="B730" s="28" t="s">
        <v>488</v>
      </c>
      <c r="C730" s="26" t="s">
        <v>1808</v>
      </c>
      <c r="D730" s="31" t="s">
        <v>152</v>
      </c>
      <c r="E730" s="33" t="s">
        <v>2399</v>
      </c>
      <c r="F730" s="34" t="s">
        <v>563</v>
      </c>
      <c r="G730" s="32" t="s">
        <v>2655</v>
      </c>
      <c r="H730" s="37" t="s">
        <v>1612</v>
      </c>
      <c r="I730" s="39" t="s">
        <v>2788</v>
      </c>
      <c r="J730" s="24" t="s">
        <v>456</v>
      </c>
      <c r="K730" s="40"/>
      <c r="L730" s="38" t="s">
        <v>2796</v>
      </c>
      <c r="M730" s="44" t="s">
        <v>26</v>
      </c>
      <c r="N730" s="46" t="s">
        <v>2800</v>
      </c>
      <c r="O730" s="47" t="s">
        <v>1083</v>
      </c>
      <c r="P730" s="50"/>
      <c r="Q730" s="45"/>
      <c r="R730" s="25"/>
      <c r="S730" s="52"/>
    </row>
    <row r="731" spans="1:19" ht="16.5" customHeight="1" x14ac:dyDescent="0.3">
      <c r="A731" s="27" t="s">
        <v>487</v>
      </c>
      <c r="B731" s="28" t="s">
        <v>488</v>
      </c>
      <c r="C731" s="26" t="s">
        <v>1808</v>
      </c>
      <c r="D731" s="31" t="s">
        <v>152</v>
      </c>
      <c r="E731" s="33" t="s">
        <v>2399</v>
      </c>
      <c r="F731" s="34" t="s">
        <v>563</v>
      </c>
      <c r="G731" s="32" t="s">
        <v>2655</v>
      </c>
      <c r="H731" s="37" t="s">
        <v>1612</v>
      </c>
      <c r="I731" s="39" t="s">
        <v>2788</v>
      </c>
      <c r="J731" s="24" t="s">
        <v>456</v>
      </c>
      <c r="K731" s="40"/>
      <c r="L731" s="38" t="s">
        <v>2801</v>
      </c>
      <c r="M731" s="44" t="s">
        <v>16</v>
      </c>
      <c r="N731" s="46" t="s">
        <v>2802</v>
      </c>
      <c r="O731" s="47" t="s">
        <v>1084</v>
      </c>
      <c r="P731" s="50"/>
      <c r="Q731" s="45"/>
      <c r="R731" s="25"/>
      <c r="S731" s="52"/>
    </row>
    <row r="732" spans="1:19" ht="16.5" customHeight="1" x14ac:dyDescent="0.3">
      <c r="A732" s="27" t="s">
        <v>487</v>
      </c>
      <c r="B732" s="28" t="s">
        <v>488</v>
      </c>
      <c r="C732" s="26" t="s">
        <v>1808</v>
      </c>
      <c r="D732" s="31" t="s">
        <v>152</v>
      </c>
      <c r="E732" s="33" t="s">
        <v>2399</v>
      </c>
      <c r="F732" s="34" t="s">
        <v>563</v>
      </c>
      <c r="G732" s="32" t="s">
        <v>2655</v>
      </c>
      <c r="H732" s="37" t="s">
        <v>1612</v>
      </c>
      <c r="I732" s="39" t="s">
        <v>2788</v>
      </c>
      <c r="J732" s="24" t="s">
        <v>456</v>
      </c>
      <c r="K732" s="40"/>
      <c r="L732" s="38" t="s">
        <v>2803</v>
      </c>
      <c r="M732" s="44" t="s">
        <v>30</v>
      </c>
      <c r="N732" s="46" t="s">
        <v>2804</v>
      </c>
      <c r="O732" s="47" t="s">
        <v>1656</v>
      </c>
      <c r="P732" s="50"/>
      <c r="Q732" s="45"/>
      <c r="R732" s="25"/>
      <c r="S732" s="52"/>
    </row>
    <row r="733" spans="1:19" ht="16.5" customHeight="1" x14ac:dyDescent="0.3">
      <c r="A733" s="27" t="s">
        <v>487</v>
      </c>
      <c r="B733" s="28" t="s">
        <v>488</v>
      </c>
      <c r="C733" s="26" t="s">
        <v>1808</v>
      </c>
      <c r="D733" s="31" t="s">
        <v>152</v>
      </c>
      <c r="E733" s="33" t="s">
        <v>2399</v>
      </c>
      <c r="F733" s="34" t="s">
        <v>563</v>
      </c>
      <c r="G733" s="32" t="s">
        <v>2655</v>
      </c>
      <c r="H733" s="37" t="s">
        <v>1612</v>
      </c>
      <c r="I733" s="39" t="s">
        <v>2788</v>
      </c>
      <c r="J733" s="24" t="s">
        <v>456</v>
      </c>
      <c r="K733" s="40"/>
      <c r="L733" s="38" t="s">
        <v>2803</v>
      </c>
      <c r="M733" s="44" t="s">
        <v>30</v>
      </c>
      <c r="N733" s="46" t="s">
        <v>2805</v>
      </c>
      <c r="O733" s="47" t="s">
        <v>1659</v>
      </c>
      <c r="P733" s="50"/>
      <c r="Q733" s="45"/>
      <c r="R733" s="25"/>
      <c r="S733" s="52"/>
    </row>
    <row r="734" spans="1:19" ht="16.5" customHeight="1" x14ac:dyDescent="0.3">
      <c r="A734" s="27" t="s">
        <v>487</v>
      </c>
      <c r="B734" s="28" t="s">
        <v>488</v>
      </c>
      <c r="C734" s="26" t="s">
        <v>1808</v>
      </c>
      <c r="D734" s="31" t="s">
        <v>152</v>
      </c>
      <c r="E734" s="33" t="s">
        <v>2399</v>
      </c>
      <c r="F734" s="34" t="s">
        <v>563</v>
      </c>
      <c r="G734" s="32" t="s">
        <v>2655</v>
      </c>
      <c r="H734" s="37" t="s">
        <v>1612</v>
      </c>
      <c r="I734" s="39" t="s">
        <v>2788</v>
      </c>
      <c r="J734" s="24" t="s">
        <v>456</v>
      </c>
      <c r="K734" s="40"/>
      <c r="L734" s="38" t="s">
        <v>2803</v>
      </c>
      <c r="M734" s="44" t="s">
        <v>30</v>
      </c>
      <c r="N734" s="46" t="s">
        <v>2806</v>
      </c>
      <c r="O734" s="47" t="s">
        <v>1657</v>
      </c>
      <c r="P734" s="50"/>
      <c r="Q734" s="45"/>
      <c r="R734" s="25"/>
      <c r="S734" s="52"/>
    </row>
    <row r="735" spans="1:19" ht="16.5" customHeight="1" x14ac:dyDescent="0.3">
      <c r="A735" s="27" t="s">
        <v>487</v>
      </c>
      <c r="B735" s="28" t="s">
        <v>488</v>
      </c>
      <c r="C735" s="26" t="s">
        <v>1808</v>
      </c>
      <c r="D735" s="31" t="s">
        <v>152</v>
      </c>
      <c r="E735" s="33" t="s">
        <v>2399</v>
      </c>
      <c r="F735" s="34" t="s">
        <v>563</v>
      </c>
      <c r="G735" s="32" t="s">
        <v>2655</v>
      </c>
      <c r="H735" s="37" t="s">
        <v>1612</v>
      </c>
      <c r="I735" s="39" t="s">
        <v>2788</v>
      </c>
      <c r="J735" s="24" t="s">
        <v>456</v>
      </c>
      <c r="K735" s="40"/>
      <c r="L735" s="38" t="s">
        <v>2803</v>
      </c>
      <c r="M735" s="44" t="s">
        <v>30</v>
      </c>
      <c r="N735" s="46" t="s">
        <v>2807</v>
      </c>
      <c r="O735" s="47" t="s">
        <v>1658</v>
      </c>
      <c r="P735" s="50"/>
      <c r="Q735" s="45"/>
      <c r="R735" s="25"/>
      <c r="S735" s="52"/>
    </row>
    <row r="736" spans="1:19" ht="16.5" customHeight="1" x14ac:dyDescent="0.3">
      <c r="A736" s="27" t="s">
        <v>487</v>
      </c>
      <c r="B736" s="28" t="s">
        <v>488</v>
      </c>
      <c r="C736" s="26" t="s">
        <v>1808</v>
      </c>
      <c r="D736" s="31" t="s">
        <v>152</v>
      </c>
      <c r="E736" s="33" t="s">
        <v>2399</v>
      </c>
      <c r="F736" s="34" t="s">
        <v>563</v>
      </c>
      <c r="G736" s="32" t="s">
        <v>2655</v>
      </c>
      <c r="H736" s="37" t="s">
        <v>1612</v>
      </c>
      <c r="I736" s="39" t="s">
        <v>2788</v>
      </c>
      <c r="J736" s="24" t="s">
        <v>456</v>
      </c>
      <c r="K736" s="40"/>
      <c r="L736" s="38" t="s">
        <v>2808</v>
      </c>
      <c r="M736" s="44" t="s">
        <v>123</v>
      </c>
      <c r="N736" s="46" t="s">
        <v>2809</v>
      </c>
      <c r="O736" s="47" t="s">
        <v>1654</v>
      </c>
      <c r="P736" s="50"/>
      <c r="Q736" s="45"/>
      <c r="R736" s="25"/>
      <c r="S736" s="52"/>
    </row>
    <row r="737" spans="1:19" ht="16.5" customHeight="1" x14ac:dyDescent="0.3">
      <c r="A737" s="27" t="s">
        <v>487</v>
      </c>
      <c r="B737" s="28" t="s">
        <v>488</v>
      </c>
      <c r="C737" s="26" t="s">
        <v>1808</v>
      </c>
      <c r="D737" s="31" t="s">
        <v>152</v>
      </c>
      <c r="E737" s="33" t="s">
        <v>2399</v>
      </c>
      <c r="F737" s="34" t="s">
        <v>563</v>
      </c>
      <c r="G737" s="32" t="s">
        <v>2655</v>
      </c>
      <c r="H737" s="37" t="s">
        <v>1612</v>
      </c>
      <c r="I737" s="39" t="s">
        <v>2810</v>
      </c>
      <c r="J737" s="24" t="s">
        <v>457</v>
      </c>
      <c r="K737" s="40"/>
      <c r="L737" s="38" t="s">
        <v>2811</v>
      </c>
      <c r="M737" s="44" t="s">
        <v>564</v>
      </c>
      <c r="N737" s="46" t="s">
        <v>2812</v>
      </c>
      <c r="O737" s="47" t="s">
        <v>1086</v>
      </c>
      <c r="P737" s="50"/>
      <c r="Q737" s="45"/>
      <c r="R737" s="25"/>
      <c r="S737" s="52"/>
    </row>
    <row r="738" spans="1:19" ht="16.5" customHeight="1" x14ac:dyDescent="0.3">
      <c r="A738" s="27" t="s">
        <v>487</v>
      </c>
      <c r="B738" s="28" t="s">
        <v>488</v>
      </c>
      <c r="C738" s="26" t="s">
        <v>1808</v>
      </c>
      <c r="D738" s="31" t="s">
        <v>152</v>
      </c>
      <c r="E738" s="33" t="s">
        <v>2399</v>
      </c>
      <c r="F738" s="34" t="s">
        <v>563</v>
      </c>
      <c r="G738" s="32" t="s">
        <v>2655</v>
      </c>
      <c r="H738" s="37" t="s">
        <v>1612</v>
      </c>
      <c r="I738" s="39" t="s">
        <v>2810</v>
      </c>
      <c r="J738" s="24" t="s">
        <v>457</v>
      </c>
      <c r="K738" s="40"/>
      <c r="L738" s="38" t="s">
        <v>2811</v>
      </c>
      <c r="M738" s="44" t="s">
        <v>564</v>
      </c>
      <c r="N738" s="46" t="s">
        <v>2813</v>
      </c>
      <c r="O738" s="47" t="s">
        <v>1087</v>
      </c>
      <c r="P738" s="50"/>
      <c r="Q738" s="45"/>
      <c r="R738" s="25"/>
      <c r="S738" s="52"/>
    </row>
    <row r="739" spans="1:19" ht="16.5" customHeight="1" x14ac:dyDescent="0.3">
      <c r="A739" s="27" t="s">
        <v>487</v>
      </c>
      <c r="B739" s="28" t="s">
        <v>488</v>
      </c>
      <c r="C739" s="26" t="s">
        <v>1808</v>
      </c>
      <c r="D739" s="31" t="s">
        <v>152</v>
      </c>
      <c r="E739" s="33" t="s">
        <v>2399</v>
      </c>
      <c r="F739" s="34" t="s">
        <v>563</v>
      </c>
      <c r="G739" s="32" t="s">
        <v>2655</v>
      </c>
      <c r="H739" s="37" t="s">
        <v>1612</v>
      </c>
      <c r="I739" s="39" t="s">
        <v>2810</v>
      </c>
      <c r="J739" s="24" t="s">
        <v>457</v>
      </c>
      <c r="K739" s="40"/>
      <c r="L739" s="38" t="s">
        <v>2811</v>
      </c>
      <c r="M739" s="44" t="s">
        <v>564</v>
      </c>
      <c r="N739" s="46" t="s">
        <v>2814</v>
      </c>
      <c r="O739" s="47" t="s">
        <v>1085</v>
      </c>
      <c r="P739" s="50"/>
      <c r="Q739" s="45"/>
      <c r="R739" s="25"/>
      <c r="S739" s="52"/>
    </row>
    <row r="740" spans="1:19" ht="16.5" customHeight="1" x14ac:dyDescent="0.3">
      <c r="A740" s="27" t="s">
        <v>487</v>
      </c>
      <c r="B740" s="28" t="s">
        <v>488</v>
      </c>
      <c r="C740" s="26" t="s">
        <v>1808</v>
      </c>
      <c r="D740" s="31" t="s">
        <v>152</v>
      </c>
      <c r="E740" s="33" t="s">
        <v>2399</v>
      </c>
      <c r="F740" s="34" t="s">
        <v>563</v>
      </c>
      <c r="G740" s="32" t="s">
        <v>2655</v>
      </c>
      <c r="H740" s="37" t="s">
        <v>1612</v>
      </c>
      <c r="I740" s="39" t="s">
        <v>2810</v>
      </c>
      <c r="J740" s="24" t="s">
        <v>457</v>
      </c>
      <c r="K740" s="40"/>
      <c r="L740" s="38" t="s">
        <v>2811</v>
      </c>
      <c r="M740" s="44" t="s">
        <v>564</v>
      </c>
      <c r="N740" s="46" t="s">
        <v>2815</v>
      </c>
      <c r="O740" s="47" t="s">
        <v>1088</v>
      </c>
      <c r="P740" s="50"/>
      <c r="Q740" s="45"/>
      <c r="R740" s="25"/>
      <c r="S740" s="52"/>
    </row>
    <row r="741" spans="1:19" ht="16.5" customHeight="1" x14ac:dyDescent="0.3">
      <c r="A741" s="27" t="s">
        <v>487</v>
      </c>
      <c r="B741" s="28" t="s">
        <v>488</v>
      </c>
      <c r="C741" s="26" t="s">
        <v>1808</v>
      </c>
      <c r="D741" s="31" t="s">
        <v>152</v>
      </c>
      <c r="E741" s="33" t="s">
        <v>2399</v>
      </c>
      <c r="F741" s="34" t="s">
        <v>563</v>
      </c>
      <c r="G741" s="32" t="s">
        <v>2655</v>
      </c>
      <c r="H741" s="37" t="s">
        <v>1612</v>
      </c>
      <c r="I741" s="39" t="s">
        <v>2810</v>
      </c>
      <c r="J741" s="24" t="s">
        <v>457</v>
      </c>
      <c r="K741" s="40"/>
      <c r="L741" s="38" t="s">
        <v>2811</v>
      </c>
      <c r="M741" s="44" t="s">
        <v>564</v>
      </c>
      <c r="N741" s="46" t="s">
        <v>2816</v>
      </c>
      <c r="O741" s="47" t="s">
        <v>1089</v>
      </c>
      <c r="P741" s="50"/>
      <c r="Q741" s="45"/>
      <c r="R741" s="25"/>
      <c r="S741" s="52"/>
    </row>
    <row r="742" spans="1:19" ht="16.5" customHeight="1" x14ac:dyDescent="0.3">
      <c r="A742" s="27" t="s">
        <v>487</v>
      </c>
      <c r="B742" s="28" t="s">
        <v>488</v>
      </c>
      <c r="C742" s="26" t="s">
        <v>1808</v>
      </c>
      <c r="D742" s="31" t="s">
        <v>152</v>
      </c>
      <c r="E742" s="33" t="s">
        <v>2399</v>
      </c>
      <c r="F742" s="34" t="s">
        <v>563</v>
      </c>
      <c r="G742" s="32" t="s">
        <v>2655</v>
      </c>
      <c r="H742" s="37" t="s">
        <v>1612</v>
      </c>
      <c r="I742" s="39" t="s">
        <v>2810</v>
      </c>
      <c r="J742" s="24" t="s">
        <v>457</v>
      </c>
      <c r="K742" s="40"/>
      <c r="L742" s="38" t="s">
        <v>2811</v>
      </c>
      <c r="M742" s="44" t="s">
        <v>564</v>
      </c>
      <c r="N742" s="46" t="s">
        <v>2817</v>
      </c>
      <c r="O742" s="47" t="s">
        <v>1655</v>
      </c>
      <c r="P742" s="50"/>
      <c r="Q742" s="45"/>
      <c r="R742" s="25"/>
      <c r="S742" s="52"/>
    </row>
    <row r="743" spans="1:19" ht="16.5" customHeight="1" x14ac:dyDescent="0.3">
      <c r="A743" s="27" t="s">
        <v>487</v>
      </c>
      <c r="B743" s="28" t="s">
        <v>488</v>
      </c>
      <c r="C743" s="26" t="s">
        <v>1808</v>
      </c>
      <c r="D743" s="31" t="s">
        <v>152</v>
      </c>
      <c r="E743" s="33" t="s">
        <v>2399</v>
      </c>
      <c r="F743" s="34" t="s">
        <v>563</v>
      </c>
      <c r="G743" s="32" t="s">
        <v>2655</v>
      </c>
      <c r="H743" s="37" t="s">
        <v>1612</v>
      </c>
      <c r="I743" s="39" t="s">
        <v>2810</v>
      </c>
      <c r="J743" s="24" t="s">
        <v>457</v>
      </c>
      <c r="K743" s="40"/>
      <c r="L743" s="38" t="s">
        <v>2818</v>
      </c>
      <c r="M743" s="44" t="s">
        <v>26</v>
      </c>
      <c r="N743" s="46" t="s">
        <v>2819</v>
      </c>
      <c r="O743" s="47" t="s">
        <v>1090</v>
      </c>
      <c r="P743" s="50"/>
      <c r="Q743" s="45"/>
      <c r="R743" s="25"/>
      <c r="S743" s="52"/>
    </row>
    <row r="744" spans="1:19" ht="16.5" customHeight="1" x14ac:dyDescent="0.3">
      <c r="A744" s="27" t="s">
        <v>487</v>
      </c>
      <c r="B744" s="28" t="s">
        <v>488</v>
      </c>
      <c r="C744" s="26" t="s">
        <v>1808</v>
      </c>
      <c r="D744" s="31" t="s">
        <v>152</v>
      </c>
      <c r="E744" s="33" t="s">
        <v>2399</v>
      </c>
      <c r="F744" s="34" t="s">
        <v>563</v>
      </c>
      <c r="G744" s="32" t="s">
        <v>2655</v>
      </c>
      <c r="H744" s="37" t="s">
        <v>1612</v>
      </c>
      <c r="I744" s="39" t="s">
        <v>2810</v>
      </c>
      <c r="J744" s="24" t="s">
        <v>457</v>
      </c>
      <c r="K744" s="40"/>
      <c r="L744" s="38" t="s">
        <v>2818</v>
      </c>
      <c r="M744" s="44" t="s">
        <v>26</v>
      </c>
      <c r="N744" s="46" t="s">
        <v>2820</v>
      </c>
      <c r="O744" s="47" t="s">
        <v>1091</v>
      </c>
      <c r="P744" s="50"/>
      <c r="Q744" s="45"/>
      <c r="R744" s="25"/>
      <c r="S744" s="52"/>
    </row>
    <row r="745" spans="1:19" ht="16.5" customHeight="1" x14ac:dyDescent="0.3">
      <c r="A745" s="27" t="s">
        <v>487</v>
      </c>
      <c r="B745" s="28" t="s">
        <v>488</v>
      </c>
      <c r="C745" s="26" t="s">
        <v>1808</v>
      </c>
      <c r="D745" s="31" t="s">
        <v>152</v>
      </c>
      <c r="E745" s="33" t="s">
        <v>2399</v>
      </c>
      <c r="F745" s="34" t="s">
        <v>563</v>
      </c>
      <c r="G745" s="32" t="s">
        <v>2655</v>
      </c>
      <c r="H745" s="37" t="s">
        <v>1612</v>
      </c>
      <c r="I745" s="39" t="s">
        <v>2810</v>
      </c>
      <c r="J745" s="24" t="s">
        <v>457</v>
      </c>
      <c r="K745" s="40"/>
      <c r="L745" s="38" t="s">
        <v>2818</v>
      </c>
      <c r="M745" s="44" t="s">
        <v>26</v>
      </c>
      <c r="N745" s="46" t="s">
        <v>2821</v>
      </c>
      <c r="O745" s="47" t="s">
        <v>1092</v>
      </c>
      <c r="P745" s="50"/>
      <c r="Q745" s="45"/>
      <c r="R745" s="25"/>
      <c r="S745" s="52"/>
    </row>
    <row r="746" spans="1:19" ht="16.5" customHeight="1" x14ac:dyDescent="0.3">
      <c r="A746" s="27" t="s">
        <v>487</v>
      </c>
      <c r="B746" s="28" t="s">
        <v>488</v>
      </c>
      <c r="C746" s="26" t="s">
        <v>1808</v>
      </c>
      <c r="D746" s="31" t="s">
        <v>152</v>
      </c>
      <c r="E746" s="33" t="s">
        <v>2399</v>
      </c>
      <c r="F746" s="34" t="s">
        <v>563</v>
      </c>
      <c r="G746" s="32" t="s">
        <v>2655</v>
      </c>
      <c r="H746" s="37" t="s">
        <v>1612</v>
      </c>
      <c r="I746" s="39" t="s">
        <v>2810</v>
      </c>
      <c r="J746" s="24" t="s">
        <v>457</v>
      </c>
      <c r="K746" s="40"/>
      <c r="L746" s="38" t="s">
        <v>2818</v>
      </c>
      <c r="M746" s="44" t="s">
        <v>26</v>
      </c>
      <c r="N746" s="46" t="s">
        <v>2822</v>
      </c>
      <c r="O746" s="47" t="s">
        <v>1093</v>
      </c>
      <c r="P746" s="50"/>
      <c r="Q746" s="45"/>
      <c r="R746" s="25"/>
      <c r="S746" s="52"/>
    </row>
    <row r="747" spans="1:19" ht="16.5" customHeight="1" x14ac:dyDescent="0.3">
      <c r="A747" s="27" t="s">
        <v>487</v>
      </c>
      <c r="B747" s="28" t="s">
        <v>488</v>
      </c>
      <c r="C747" s="26" t="s">
        <v>1808</v>
      </c>
      <c r="D747" s="31" t="s">
        <v>152</v>
      </c>
      <c r="E747" s="33" t="s">
        <v>2399</v>
      </c>
      <c r="F747" s="34" t="s">
        <v>563</v>
      </c>
      <c r="G747" s="32" t="s">
        <v>2655</v>
      </c>
      <c r="H747" s="37" t="s">
        <v>1612</v>
      </c>
      <c r="I747" s="39" t="s">
        <v>2810</v>
      </c>
      <c r="J747" s="24" t="s">
        <v>457</v>
      </c>
      <c r="K747" s="40"/>
      <c r="L747" s="38" t="s">
        <v>2823</v>
      </c>
      <c r="M747" s="44" t="s">
        <v>16</v>
      </c>
      <c r="N747" s="46" t="s">
        <v>2824</v>
      </c>
      <c r="O747" s="47" t="s">
        <v>1094</v>
      </c>
      <c r="P747" s="50"/>
      <c r="Q747" s="45"/>
      <c r="R747" s="25"/>
      <c r="S747" s="52"/>
    </row>
    <row r="748" spans="1:19" ht="16.5" customHeight="1" x14ac:dyDescent="0.3">
      <c r="A748" s="27" t="s">
        <v>487</v>
      </c>
      <c r="B748" s="28" t="s">
        <v>488</v>
      </c>
      <c r="C748" s="26" t="s">
        <v>1808</v>
      </c>
      <c r="D748" s="31" t="s">
        <v>152</v>
      </c>
      <c r="E748" s="33" t="s">
        <v>2399</v>
      </c>
      <c r="F748" s="34" t="s">
        <v>563</v>
      </c>
      <c r="G748" s="32" t="s">
        <v>2655</v>
      </c>
      <c r="H748" s="37" t="s">
        <v>1612</v>
      </c>
      <c r="I748" s="39" t="s">
        <v>2810</v>
      </c>
      <c r="J748" s="24" t="s">
        <v>457</v>
      </c>
      <c r="K748" s="40"/>
      <c r="L748" s="38" t="s">
        <v>2825</v>
      </c>
      <c r="M748" s="44" t="s">
        <v>30</v>
      </c>
      <c r="N748" s="46" t="s">
        <v>2826</v>
      </c>
      <c r="O748" s="47" t="s">
        <v>1656</v>
      </c>
      <c r="P748" s="50"/>
      <c r="Q748" s="45"/>
      <c r="R748" s="25"/>
      <c r="S748" s="52"/>
    </row>
    <row r="749" spans="1:19" ht="16.5" customHeight="1" x14ac:dyDescent="0.3">
      <c r="A749" s="27" t="s">
        <v>487</v>
      </c>
      <c r="B749" s="28" t="s">
        <v>488</v>
      </c>
      <c r="C749" s="26" t="s">
        <v>1808</v>
      </c>
      <c r="D749" s="31" t="s">
        <v>152</v>
      </c>
      <c r="E749" s="33" t="s">
        <v>2399</v>
      </c>
      <c r="F749" s="34" t="s">
        <v>563</v>
      </c>
      <c r="G749" s="32" t="s">
        <v>2655</v>
      </c>
      <c r="H749" s="37" t="s">
        <v>1612</v>
      </c>
      <c r="I749" s="39" t="s">
        <v>2810</v>
      </c>
      <c r="J749" s="24" t="s">
        <v>457</v>
      </c>
      <c r="K749" s="40"/>
      <c r="L749" s="38" t="s">
        <v>2825</v>
      </c>
      <c r="M749" s="44" t="s">
        <v>30</v>
      </c>
      <c r="N749" s="46" t="s">
        <v>2827</v>
      </c>
      <c r="O749" s="47" t="s">
        <v>1659</v>
      </c>
      <c r="P749" s="50"/>
      <c r="Q749" s="45"/>
      <c r="R749" s="25"/>
      <c r="S749" s="52"/>
    </row>
    <row r="750" spans="1:19" ht="16.5" customHeight="1" x14ac:dyDescent="0.3">
      <c r="A750" s="27" t="s">
        <v>487</v>
      </c>
      <c r="B750" s="28" t="s">
        <v>488</v>
      </c>
      <c r="C750" s="26" t="s">
        <v>1808</v>
      </c>
      <c r="D750" s="31" t="s">
        <v>152</v>
      </c>
      <c r="E750" s="33" t="s">
        <v>2399</v>
      </c>
      <c r="F750" s="34" t="s">
        <v>563</v>
      </c>
      <c r="G750" s="32" t="s">
        <v>2655</v>
      </c>
      <c r="H750" s="37" t="s">
        <v>1612</v>
      </c>
      <c r="I750" s="39" t="s">
        <v>2810</v>
      </c>
      <c r="J750" s="24" t="s">
        <v>457</v>
      </c>
      <c r="K750" s="40"/>
      <c r="L750" s="38" t="s">
        <v>2825</v>
      </c>
      <c r="M750" s="44" t="s">
        <v>30</v>
      </c>
      <c r="N750" s="46" t="s">
        <v>2828</v>
      </c>
      <c r="O750" s="47" t="s">
        <v>1657</v>
      </c>
      <c r="P750" s="50"/>
      <c r="Q750" s="45"/>
      <c r="R750" s="25"/>
      <c r="S750" s="52"/>
    </row>
    <row r="751" spans="1:19" ht="16.5" customHeight="1" x14ac:dyDescent="0.3">
      <c r="A751" s="27" t="s">
        <v>487</v>
      </c>
      <c r="B751" s="28" t="s">
        <v>488</v>
      </c>
      <c r="C751" s="26" t="s">
        <v>1808</v>
      </c>
      <c r="D751" s="31" t="s">
        <v>152</v>
      </c>
      <c r="E751" s="33" t="s">
        <v>2399</v>
      </c>
      <c r="F751" s="34" t="s">
        <v>563</v>
      </c>
      <c r="G751" s="32" t="s">
        <v>2655</v>
      </c>
      <c r="H751" s="37" t="s">
        <v>1612</v>
      </c>
      <c r="I751" s="39" t="s">
        <v>2810</v>
      </c>
      <c r="J751" s="24" t="s">
        <v>457</v>
      </c>
      <c r="K751" s="40"/>
      <c r="L751" s="38" t="s">
        <v>2825</v>
      </c>
      <c r="M751" s="44" t="s">
        <v>30</v>
      </c>
      <c r="N751" s="46" t="s">
        <v>2829</v>
      </c>
      <c r="O751" s="47" t="s">
        <v>1658</v>
      </c>
      <c r="P751" s="50"/>
      <c r="Q751" s="45"/>
      <c r="R751" s="25"/>
      <c r="S751" s="52"/>
    </row>
    <row r="752" spans="1:19" ht="16.5" customHeight="1" x14ac:dyDescent="0.3">
      <c r="A752" s="27" t="s">
        <v>487</v>
      </c>
      <c r="B752" s="28" t="s">
        <v>488</v>
      </c>
      <c r="C752" s="26" t="s">
        <v>1808</v>
      </c>
      <c r="D752" s="31" t="s">
        <v>152</v>
      </c>
      <c r="E752" s="33" t="s">
        <v>2399</v>
      </c>
      <c r="F752" s="34" t="s">
        <v>563</v>
      </c>
      <c r="G752" s="32" t="s">
        <v>2655</v>
      </c>
      <c r="H752" s="37" t="s">
        <v>1612</v>
      </c>
      <c r="I752" s="39" t="s">
        <v>2810</v>
      </c>
      <c r="J752" s="24" t="s">
        <v>457</v>
      </c>
      <c r="K752" s="40"/>
      <c r="L752" s="38" t="s">
        <v>2830</v>
      </c>
      <c r="M752" s="44" t="s">
        <v>123</v>
      </c>
      <c r="N752" s="46" t="s">
        <v>2831</v>
      </c>
      <c r="O752" s="47" t="s">
        <v>1654</v>
      </c>
      <c r="P752" s="50"/>
      <c r="Q752" s="45"/>
      <c r="R752" s="25"/>
      <c r="S752" s="52"/>
    </row>
    <row r="753" spans="1:19" ht="16.5" customHeight="1" x14ac:dyDescent="0.3">
      <c r="A753" s="27" t="s">
        <v>487</v>
      </c>
      <c r="B753" s="28" t="s">
        <v>488</v>
      </c>
      <c r="C753" s="26" t="s">
        <v>1808</v>
      </c>
      <c r="D753" s="31" t="s">
        <v>152</v>
      </c>
      <c r="E753" s="33" t="s">
        <v>2399</v>
      </c>
      <c r="F753" s="34" t="s">
        <v>563</v>
      </c>
      <c r="G753" s="32" t="s">
        <v>2832</v>
      </c>
      <c r="H753" s="37" t="s">
        <v>1613</v>
      </c>
      <c r="I753" s="39" t="s">
        <v>2833</v>
      </c>
      <c r="J753" s="24" t="s">
        <v>458</v>
      </c>
      <c r="K753" s="40"/>
      <c r="L753" s="38" t="s">
        <v>2834</v>
      </c>
      <c r="M753" s="44" t="s">
        <v>564</v>
      </c>
      <c r="N753" s="46" t="s">
        <v>2835</v>
      </c>
      <c r="O753" s="47" t="s">
        <v>1095</v>
      </c>
      <c r="P753" s="50"/>
      <c r="Q753" s="45"/>
      <c r="R753" s="25"/>
      <c r="S753" s="52"/>
    </row>
    <row r="754" spans="1:19" ht="16.5" customHeight="1" x14ac:dyDescent="0.3">
      <c r="A754" s="27" t="s">
        <v>487</v>
      </c>
      <c r="B754" s="28" t="s">
        <v>488</v>
      </c>
      <c r="C754" s="26" t="s">
        <v>1808</v>
      </c>
      <c r="D754" s="31" t="s">
        <v>152</v>
      </c>
      <c r="E754" s="33" t="s">
        <v>2399</v>
      </c>
      <c r="F754" s="34" t="s">
        <v>563</v>
      </c>
      <c r="G754" s="32" t="s">
        <v>2832</v>
      </c>
      <c r="H754" s="37" t="s">
        <v>1613</v>
      </c>
      <c r="I754" s="39" t="s">
        <v>2833</v>
      </c>
      <c r="J754" s="24" t="s">
        <v>458</v>
      </c>
      <c r="K754" s="40"/>
      <c r="L754" s="38" t="s">
        <v>2834</v>
      </c>
      <c r="M754" s="44" t="s">
        <v>564</v>
      </c>
      <c r="N754" s="46" t="s">
        <v>2836</v>
      </c>
      <c r="O754" s="47" t="s">
        <v>1096</v>
      </c>
      <c r="P754" s="50"/>
      <c r="Q754" s="45"/>
      <c r="R754" s="25"/>
      <c r="S754" s="52"/>
    </row>
    <row r="755" spans="1:19" ht="16.5" customHeight="1" x14ac:dyDescent="0.3">
      <c r="A755" s="27" t="s">
        <v>487</v>
      </c>
      <c r="B755" s="28" t="s">
        <v>488</v>
      </c>
      <c r="C755" s="26" t="s">
        <v>1808</v>
      </c>
      <c r="D755" s="31" t="s">
        <v>152</v>
      </c>
      <c r="E755" s="33" t="s">
        <v>2399</v>
      </c>
      <c r="F755" s="34" t="s">
        <v>563</v>
      </c>
      <c r="G755" s="32" t="s">
        <v>2832</v>
      </c>
      <c r="H755" s="37" t="s">
        <v>1613</v>
      </c>
      <c r="I755" s="39" t="s">
        <v>2833</v>
      </c>
      <c r="J755" s="24" t="s">
        <v>458</v>
      </c>
      <c r="K755" s="40"/>
      <c r="L755" s="38" t="s">
        <v>2834</v>
      </c>
      <c r="M755" s="44" t="s">
        <v>564</v>
      </c>
      <c r="N755" s="46" t="s">
        <v>2837</v>
      </c>
      <c r="O755" s="47" t="s">
        <v>1097</v>
      </c>
      <c r="P755" s="50"/>
      <c r="Q755" s="45"/>
      <c r="R755" s="25"/>
      <c r="S755" s="52"/>
    </row>
    <row r="756" spans="1:19" ht="16.5" customHeight="1" x14ac:dyDescent="0.3">
      <c r="A756" s="27" t="s">
        <v>487</v>
      </c>
      <c r="B756" s="28" t="s">
        <v>488</v>
      </c>
      <c r="C756" s="26" t="s">
        <v>1808</v>
      </c>
      <c r="D756" s="31" t="s">
        <v>152</v>
      </c>
      <c r="E756" s="33" t="s">
        <v>2399</v>
      </c>
      <c r="F756" s="34" t="s">
        <v>563</v>
      </c>
      <c r="G756" s="32" t="s">
        <v>2832</v>
      </c>
      <c r="H756" s="37" t="s">
        <v>1613</v>
      </c>
      <c r="I756" s="39" t="s">
        <v>2833</v>
      </c>
      <c r="J756" s="24" t="s">
        <v>458</v>
      </c>
      <c r="K756" s="40"/>
      <c r="L756" s="38" t="s">
        <v>2834</v>
      </c>
      <c r="M756" s="44" t="s">
        <v>564</v>
      </c>
      <c r="N756" s="46" t="s">
        <v>2838</v>
      </c>
      <c r="O756" s="47" t="s">
        <v>1098</v>
      </c>
      <c r="P756" s="50"/>
      <c r="Q756" s="45"/>
      <c r="R756" s="25"/>
      <c r="S756" s="52"/>
    </row>
    <row r="757" spans="1:19" ht="16.5" customHeight="1" x14ac:dyDescent="0.3">
      <c r="A757" s="27" t="s">
        <v>487</v>
      </c>
      <c r="B757" s="28" t="s">
        <v>488</v>
      </c>
      <c r="C757" s="26" t="s">
        <v>1808</v>
      </c>
      <c r="D757" s="31" t="s">
        <v>152</v>
      </c>
      <c r="E757" s="33" t="s">
        <v>2399</v>
      </c>
      <c r="F757" s="34" t="s">
        <v>563</v>
      </c>
      <c r="G757" s="32" t="s">
        <v>2832</v>
      </c>
      <c r="H757" s="37" t="s">
        <v>1613</v>
      </c>
      <c r="I757" s="39" t="s">
        <v>2833</v>
      </c>
      <c r="J757" s="24" t="s">
        <v>458</v>
      </c>
      <c r="K757" s="40"/>
      <c r="L757" s="38" t="s">
        <v>2834</v>
      </c>
      <c r="M757" s="44" t="s">
        <v>564</v>
      </c>
      <c r="N757" s="46" t="s">
        <v>2839</v>
      </c>
      <c r="O757" s="47" t="s">
        <v>1099</v>
      </c>
      <c r="P757" s="50"/>
      <c r="Q757" s="45"/>
      <c r="R757" s="25"/>
      <c r="S757" s="52"/>
    </row>
    <row r="758" spans="1:19" ht="16.5" customHeight="1" x14ac:dyDescent="0.3">
      <c r="A758" s="27" t="s">
        <v>487</v>
      </c>
      <c r="B758" s="28" t="s">
        <v>488</v>
      </c>
      <c r="C758" s="26" t="s">
        <v>1808</v>
      </c>
      <c r="D758" s="31" t="s">
        <v>152</v>
      </c>
      <c r="E758" s="33" t="s">
        <v>2399</v>
      </c>
      <c r="F758" s="34" t="s">
        <v>563</v>
      </c>
      <c r="G758" s="32" t="s">
        <v>2832</v>
      </c>
      <c r="H758" s="37" t="s">
        <v>1613</v>
      </c>
      <c r="I758" s="39" t="s">
        <v>2833</v>
      </c>
      <c r="J758" s="24" t="s">
        <v>458</v>
      </c>
      <c r="K758" s="40"/>
      <c r="L758" s="38" t="s">
        <v>2834</v>
      </c>
      <c r="M758" s="44" t="s">
        <v>564</v>
      </c>
      <c r="N758" s="46" t="s">
        <v>2840</v>
      </c>
      <c r="O758" s="47" t="s">
        <v>1655</v>
      </c>
      <c r="P758" s="50"/>
      <c r="Q758" s="45"/>
      <c r="R758" s="25"/>
      <c r="S758" s="52"/>
    </row>
    <row r="759" spans="1:19" ht="16.5" customHeight="1" x14ac:dyDescent="0.3">
      <c r="A759" s="27" t="s">
        <v>487</v>
      </c>
      <c r="B759" s="28" t="s">
        <v>488</v>
      </c>
      <c r="C759" s="26" t="s">
        <v>1808</v>
      </c>
      <c r="D759" s="31" t="s">
        <v>152</v>
      </c>
      <c r="E759" s="33" t="s">
        <v>2399</v>
      </c>
      <c r="F759" s="34" t="s">
        <v>563</v>
      </c>
      <c r="G759" s="32" t="s">
        <v>2832</v>
      </c>
      <c r="H759" s="37" t="s">
        <v>1613</v>
      </c>
      <c r="I759" s="39" t="s">
        <v>2833</v>
      </c>
      <c r="J759" s="24" t="s">
        <v>458</v>
      </c>
      <c r="K759" s="40"/>
      <c r="L759" s="38" t="s">
        <v>2841</v>
      </c>
      <c r="M759" s="44" t="s">
        <v>26</v>
      </c>
      <c r="N759" s="46" t="s">
        <v>2842</v>
      </c>
      <c r="O759" s="47" t="s">
        <v>1100</v>
      </c>
      <c r="P759" s="50"/>
      <c r="Q759" s="45"/>
      <c r="R759" s="25"/>
      <c r="S759" s="52"/>
    </row>
    <row r="760" spans="1:19" ht="16.5" customHeight="1" x14ac:dyDescent="0.3">
      <c r="A760" s="27" t="s">
        <v>487</v>
      </c>
      <c r="B760" s="28" t="s">
        <v>488</v>
      </c>
      <c r="C760" s="26" t="s">
        <v>1808</v>
      </c>
      <c r="D760" s="31" t="s">
        <v>152</v>
      </c>
      <c r="E760" s="33" t="s">
        <v>2399</v>
      </c>
      <c r="F760" s="34" t="s">
        <v>563</v>
      </c>
      <c r="G760" s="32" t="s">
        <v>2832</v>
      </c>
      <c r="H760" s="37" t="s">
        <v>1613</v>
      </c>
      <c r="I760" s="39" t="s">
        <v>2833</v>
      </c>
      <c r="J760" s="24" t="s">
        <v>458</v>
      </c>
      <c r="K760" s="40"/>
      <c r="L760" s="38" t="s">
        <v>2841</v>
      </c>
      <c r="M760" s="44" t="s">
        <v>26</v>
      </c>
      <c r="N760" s="46" t="s">
        <v>2843</v>
      </c>
      <c r="O760" s="47" t="s">
        <v>1101</v>
      </c>
      <c r="P760" s="50"/>
      <c r="Q760" s="45"/>
      <c r="R760" s="25"/>
      <c r="S760" s="52"/>
    </row>
    <row r="761" spans="1:19" ht="16.5" customHeight="1" x14ac:dyDescent="0.3">
      <c r="A761" s="27" t="s">
        <v>487</v>
      </c>
      <c r="B761" s="28" t="s">
        <v>488</v>
      </c>
      <c r="C761" s="26" t="s">
        <v>1808</v>
      </c>
      <c r="D761" s="31" t="s">
        <v>152</v>
      </c>
      <c r="E761" s="33" t="s">
        <v>2399</v>
      </c>
      <c r="F761" s="34" t="s">
        <v>563</v>
      </c>
      <c r="G761" s="32" t="s">
        <v>2832</v>
      </c>
      <c r="H761" s="37" t="s">
        <v>1613</v>
      </c>
      <c r="I761" s="39" t="s">
        <v>2833</v>
      </c>
      <c r="J761" s="24" t="s">
        <v>458</v>
      </c>
      <c r="K761" s="40"/>
      <c r="L761" s="38" t="s">
        <v>2841</v>
      </c>
      <c r="M761" s="44" t="s">
        <v>26</v>
      </c>
      <c r="N761" s="46" t="s">
        <v>2844</v>
      </c>
      <c r="O761" s="47" t="s">
        <v>1102</v>
      </c>
      <c r="P761" s="50"/>
      <c r="Q761" s="45"/>
      <c r="R761" s="25"/>
      <c r="S761" s="52"/>
    </row>
    <row r="762" spans="1:19" ht="16.5" customHeight="1" x14ac:dyDescent="0.3">
      <c r="A762" s="27" t="s">
        <v>487</v>
      </c>
      <c r="B762" s="28" t="s">
        <v>488</v>
      </c>
      <c r="C762" s="26" t="s">
        <v>1808</v>
      </c>
      <c r="D762" s="31" t="s">
        <v>152</v>
      </c>
      <c r="E762" s="33" t="s">
        <v>2399</v>
      </c>
      <c r="F762" s="34" t="s">
        <v>563</v>
      </c>
      <c r="G762" s="32" t="s">
        <v>2832</v>
      </c>
      <c r="H762" s="37" t="s">
        <v>1613</v>
      </c>
      <c r="I762" s="39" t="s">
        <v>2833</v>
      </c>
      <c r="J762" s="24" t="s">
        <v>458</v>
      </c>
      <c r="K762" s="40"/>
      <c r="L762" s="38" t="s">
        <v>2841</v>
      </c>
      <c r="M762" s="44" t="s">
        <v>26</v>
      </c>
      <c r="N762" s="46" t="s">
        <v>2845</v>
      </c>
      <c r="O762" s="47" t="s">
        <v>1103</v>
      </c>
      <c r="P762" s="50"/>
      <c r="Q762" s="45"/>
      <c r="R762" s="25"/>
      <c r="S762" s="52"/>
    </row>
    <row r="763" spans="1:19" ht="16.5" customHeight="1" x14ac:dyDescent="0.3">
      <c r="A763" s="27" t="s">
        <v>487</v>
      </c>
      <c r="B763" s="28" t="s">
        <v>488</v>
      </c>
      <c r="C763" s="26" t="s">
        <v>1808</v>
      </c>
      <c r="D763" s="31" t="s">
        <v>152</v>
      </c>
      <c r="E763" s="33" t="s">
        <v>2399</v>
      </c>
      <c r="F763" s="34" t="s">
        <v>563</v>
      </c>
      <c r="G763" s="32" t="s">
        <v>2832</v>
      </c>
      <c r="H763" s="37" t="s">
        <v>1613</v>
      </c>
      <c r="I763" s="39" t="s">
        <v>2833</v>
      </c>
      <c r="J763" s="24" t="s">
        <v>458</v>
      </c>
      <c r="K763" s="40"/>
      <c r="L763" s="38" t="s">
        <v>2846</v>
      </c>
      <c r="M763" s="44" t="s">
        <v>16</v>
      </c>
      <c r="N763" s="46" t="s">
        <v>2847</v>
      </c>
      <c r="O763" s="47" t="s">
        <v>1104</v>
      </c>
      <c r="P763" s="50"/>
      <c r="Q763" s="45"/>
      <c r="R763" s="25"/>
      <c r="S763" s="52"/>
    </row>
    <row r="764" spans="1:19" ht="16.5" customHeight="1" x14ac:dyDescent="0.3">
      <c r="A764" s="27" t="s">
        <v>487</v>
      </c>
      <c r="B764" s="28" t="s">
        <v>488</v>
      </c>
      <c r="C764" s="26" t="s">
        <v>1808</v>
      </c>
      <c r="D764" s="31" t="s">
        <v>152</v>
      </c>
      <c r="E764" s="33" t="s">
        <v>2399</v>
      </c>
      <c r="F764" s="34" t="s">
        <v>563</v>
      </c>
      <c r="G764" s="32" t="s">
        <v>2832</v>
      </c>
      <c r="H764" s="37" t="s">
        <v>1613</v>
      </c>
      <c r="I764" s="39" t="s">
        <v>2833</v>
      </c>
      <c r="J764" s="24" t="s">
        <v>458</v>
      </c>
      <c r="K764" s="40"/>
      <c r="L764" s="38" t="s">
        <v>2848</v>
      </c>
      <c r="M764" s="44" t="s">
        <v>30</v>
      </c>
      <c r="N764" s="46" t="s">
        <v>2849</v>
      </c>
      <c r="O764" s="47" t="s">
        <v>1656</v>
      </c>
      <c r="P764" s="50"/>
      <c r="Q764" s="45"/>
      <c r="R764" s="25"/>
      <c r="S764" s="52"/>
    </row>
    <row r="765" spans="1:19" ht="16.5" customHeight="1" x14ac:dyDescent="0.3">
      <c r="A765" s="27" t="s">
        <v>487</v>
      </c>
      <c r="B765" s="28" t="s">
        <v>488</v>
      </c>
      <c r="C765" s="26" t="s">
        <v>1808</v>
      </c>
      <c r="D765" s="31" t="s">
        <v>152</v>
      </c>
      <c r="E765" s="33" t="s">
        <v>2399</v>
      </c>
      <c r="F765" s="34" t="s">
        <v>563</v>
      </c>
      <c r="G765" s="32" t="s">
        <v>2832</v>
      </c>
      <c r="H765" s="37" t="s">
        <v>1613</v>
      </c>
      <c r="I765" s="39" t="s">
        <v>2833</v>
      </c>
      <c r="J765" s="24" t="s">
        <v>458</v>
      </c>
      <c r="K765" s="40"/>
      <c r="L765" s="38" t="s">
        <v>2848</v>
      </c>
      <c r="M765" s="44" t="s">
        <v>30</v>
      </c>
      <c r="N765" s="46" t="s">
        <v>2850</v>
      </c>
      <c r="O765" s="47" t="s">
        <v>1659</v>
      </c>
      <c r="P765" s="50"/>
      <c r="Q765" s="45"/>
      <c r="R765" s="25"/>
      <c r="S765" s="52"/>
    </row>
    <row r="766" spans="1:19" ht="16.5" customHeight="1" x14ac:dyDescent="0.3">
      <c r="A766" s="27" t="s">
        <v>487</v>
      </c>
      <c r="B766" s="28" t="s">
        <v>488</v>
      </c>
      <c r="C766" s="26" t="s">
        <v>1808</v>
      </c>
      <c r="D766" s="31" t="s">
        <v>152</v>
      </c>
      <c r="E766" s="33" t="s">
        <v>2399</v>
      </c>
      <c r="F766" s="34" t="s">
        <v>563</v>
      </c>
      <c r="G766" s="32" t="s">
        <v>2832</v>
      </c>
      <c r="H766" s="37" t="s">
        <v>1613</v>
      </c>
      <c r="I766" s="39" t="s">
        <v>2833</v>
      </c>
      <c r="J766" s="24" t="s">
        <v>458</v>
      </c>
      <c r="K766" s="40"/>
      <c r="L766" s="38" t="s">
        <v>2848</v>
      </c>
      <c r="M766" s="44" t="s">
        <v>30</v>
      </c>
      <c r="N766" s="46" t="s">
        <v>2851</v>
      </c>
      <c r="O766" s="47" t="s">
        <v>1657</v>
      </c>
      <c r="P766" s="50"/>
      <c r="Q766" s="45"/>
      <c r="R766" s="25"/>
      <c r="S766" s="52"/>
    </row>
    <row r="767" spans="1:19" ht="16.5" customHeight="1" x14ac:dyDescent="0.3">
      <c r="A767" s="27" t="s">
        <v>487</v>
      </c>
      <c r="B767" s="28" t="s">
        <v>488</v>
      </c>
      <c r="C767" s="26" t="s">
        <v>1808</v>
      </c>
      <c r="D767" s="31" t="s">
        <v>152</v>
      </c>
      <c r="E767" s="33" t="s">
        <v>2399</v>
      </c>
      <c r="F767" s="34" t="s">
        <v>563</v>
      </c>
      <c r="G767" s="32" t="s">
        <v>2832</v>
      </c>
      <c r="H767" s="37" t="s">
        <v>1613</v>
      </c>
      <c r="I767" s="39" t="s">
        <v>2833</v>
      </c>
      <c r="J767" s="24" t="s">
        <v>458</v>
      </c>
      <c r="K767" s="40"/>
      <c r="L767" s="38" t="s">
        <v>2848</v>
      </c>
      <c r="M767" s="44" t="s">
        <v>30</v>
      </c>
      <c r="N767" s="46" t="s">
        <v>2852</v>
      </c>
      <c r="O767" s="47" t="s">
        <v>1658</v>
      </c>
      <c r="P767" s="50"/>
      <c r="Q767" s="45"/>
      <c r="R767" s="25"/>
      <c r="S767" s="52"/>
    </row>
    <row r="768" spans="1:19" ht="16.5" customHeight="1" x14ac:dyDescent="0.3">
      <c r="A768" s="27" t="s">
        <v>487</v>
      </c>
      <c r="B768" s="28" t="s">
        <v>488</v>
      </c>
      <c r="C768" s="26" t="s">
        <v>1808</v>
      </c>
      <c r="D768" s="31" t="s">
        <v>152</v>
      </c>
      <c r="E768" s="33" t="s">
        <v>2399</v>
      </c>
      <c r="F768" s="34" t="s">
        <v>563</v>
      </c>
      <c r="G768" s="32" t="s">
        <v>2832</v>
      </c>
      <c r="H768" s="37" t="s">
        <v>1613</v>
      </c>
      <c r="I768" s="39" t="s">
        <v>2833</v>
      </c>
      <c r="J768" s="24" t="s">
        <v>458</v>
      </c>
      <c r="K768" s="40"/>
      <c r="L768" s="38" t="s">
        <v>2853</v>
      </c>
      <c r="M768" s="44" t="s">
        <v>123</v>
      </c>
      <c r="N768" s="46" t="s">
        <v>2854</v>
      </c>
      <c r="O768" s="47" t="s">
        <v>1654</v>
      </c>
      <c r="P768" s="50"/>
      <c r="Q768" s="45"/>
      <c r="R768" s="25"/>
      <c r="S768" s="52"/>
    </row>
    <row r="769" spans="1:19" ht="16.5" customHeight="1" x14ac:dyDescent="0.3">
      <c r="A769" s="27" t="s">
        <v>487</v>
      </c>
      <c r="B769" s="28" t="s">
        <v>488</v>
      </c>
      <c r="C769" s="26" t="s">
        <v>1808</v>
      </c>
      <c r="D769" s="31" t="s">
        <v>152</v>
      </c>
      <c r="E769" s="33" t="s">
        <v>2399</v>
      </c>
      <c r="F769" s="34" t="s">
        <v>563</v>
      </c>
      <c r="G769" s="32" t="s">
        <v>2832</v>
      </c>
      <c r="H769" s="37" t="s">
        <v>1613</v>
      </c>
      <c r="I769" s="39" t="s">
        <v>2855</v>
      </c>
      <c r="J769" s="24" t="s">
        <v>459</v>
      </c>
      <c r="K769" s="40"/>
      <c r="L769" s="38" t="s">
        <v>2856</v>
      </c>
      <c r="M769" s="44" t="s">
        <v>564</v>
      </c>
      <c r="N769" s="46" t="s">
        <v>2857</v>
      </c>
      <c r="O769" s="47" t="s">
        <v>1106</v>
      </c>
      <c r="P769" s="50"/>
      <c r="Q769" s="45"/>
      <c r="R769" s="25"/>
      <c r="S769" s="52"/>
    </row>
    <row r="770" spans="1:19" ht="16.5" customHeight="1" x14ac:dyDescent="0.3">
      <c r="A770" s="27" t="s">
        <v>487</v>
      </c>
      <c r="B770" s="28" t="s">
        <v>488</v>
      </c>
      <c r="C770" s="26" t="s">
        <v>1808</v>
      </c>
      <c r="D770" s="31" t="s">
        <v>152</v>
      </c>
      <c r="E770" s="33" t="s">
        <v>2399</v>
      </c>
      <c r="F770" s="34" t="s">
        <v>563</v>
      </c>
      <c r="G770" s="32" t="s">
        <v>2832</v>
      </c>
      <c r="H770" s="37" t="s">
        <v>1613</v>
      </c>
      <c r="I770" s="39" t="s">
        <v>2855</v>
      </c>
      <c r="J770" s="24" t="s">
        <v>459</v>
      </c>
      <c r="K770" s="40"/>
      <c r="L770" s="38" t="s">
        <v>2856</v>
      </c>
      <c r="M770" s="44" t="s">
        <v>564</v>
      </c>
      <c r="N770" s="46" t="s">
        <v>2858</v>
      </c>
      <c r="O770" s="47" t="s">
        <v>1107</v>
      </c>
      <c r="P770" s="50"/>
      <c r="Q770" s="45"/>
      <c r="R770" s="25"/>
      <c r="S770" s="52"/>
    </row>
    <row r="771" spans="1:19" ht="16.5" customHeight="1" x14ac:dyDescent="0.3">
      <c r="A771" s="27" t="s">
        <v>487</v>
      </c>
      <c r="B771" s="28" t="s">
        <v>488</v>
      </c>
      <c r="C771" s="26" t="s">
        <v>1808</v>
      </c>
      <c r="D771" s="31" t="s">
        <v>152</v>
      </c>
      <c r="E771" s="33" t="s">
        <v>2399</v>
      </c>
      <c r="F771" s="34" t="s">
        <v>563</v>
      </c>
      <c r="G771" s="32" t="s">
        <v>2832</v>
      </c>
      <c r="H771" s="37" t="s">
        <v>1613</v>
      </c>
      <c r="I771" s="39" t="s">
        <v>2855</v>
      </c>
      <c r="J771" s="24" t="s">
        <v>459</v>
      </c>
      <c r="K771" s="40"/>
      <c r="L771" s="38" t="s">
        <v>2856</v>
      </c>
      <c r="M771" s="44" t="s">
        <v>564</v>
      </c>
      <c r="N771" s="46" t="s">
        <v>2859</v>
      </c>
      <c r="O771" s="47" t="s">
        <v>1105</v>
      </c>
      <c r="P771" s="50"/>
      <c r="Q771" s="45"/>
      <c r="R771" s="25"/>
      <c r="S771" s="52"/>
    </row>
    <row r="772" spans="1:19" ht="16.5" customHeight="1" x14ac:dyDescent="0.3">
      <c r="A772" s="27" t="s">
        <v>487</v>
      </c>
      <c r="B772" s="28" t="s">
        <v>488</v>
      </c>
      <c r="C772" s="26" t="s">
        <v>1808</v>
      </c>
      <c r="D772" s="31" t="s">
        <v>152</v>
      </c>
      <c r="E772" s="33" t="s">
        <v>2399</v>
      </c>
      <c r="F772" s="34" t="s">
        <v>563</v>
      </c>
      <c r="G772" s="32" t="s">
        <v>2832</v>
      </c>
      <c r="H772" s="37" t="s">
        <v>1613</v>
      </c>
      <c r="I772" s="39" t="s">
        <v>2855</v>
      </c>
      <c r="J772" s="24" t="s">
        <v>459</v>
      </c>
      <c r="K772" s="40"/>
      <c r="L772" s="38" t="s">
        <v>2856</v>
      </c>
      <c r="M772" s="44" t="s">
        <v>564</v>
      </c>
      <c r="N772" s="46" t="s">
        <v>2860</v>
      </c>
      <c r="O772" s="47" t="s">
        <v>1108</v>
      </c>
      <c r="P772" s="50"/>
      <c r="Q772" s="45"/>
      <c r="R772" s="25"/>
      <c r="S772" s="52"/>
    </row>
    <row r="773" spans="1:19" ht="16.5" customHeight="1" x14ac:dyDescent="0.3">
      <c r="A773" s="27" t="s">
        <v>487</v>
      </c>
      <c r="B773" s="28" t="s">
        <v>488</v>
      </c>
      <c r="C773" s="26" t="s">
        <v>1808</v>
      </c>
      <c r="D773" s="31" t="s">
        <v>152</v>
      </c>
      <c r="E773" s="33" t="s">
        <v>2399</v>
      </c>
      <c r="F773" s="34" t="s">
        <v>563</v>
      </c>
      <c r="G773" s="32" t="s">
        <v>2832</v>
      </c>
      <c r="H773" s="37" t="s">
        <v>1613</v>
      </c>
      <c r="I773" s="39" t="s">
        <v>2855</v>
      </c>
      <c r="J773" s="24" t="s">
        <v>459</v>
      </c>
      <c r="K773" s="40"/>
      <c r="L773" s="38" t="s">
        <v>2856</v>
      </c>
      <c r="M773" s="44" t="s">
        <v>564</v>
      </c>
      <c r="N773" s="46" t="s">
        <v>2861</v>
      </c>
      <c r="O773" s="47" t="s">
        <v>1109</v>
      </c>
      <c r="P773" s="50"/>
      <c r="Q773" s="45"/>
      <c r="R773" s="25"/>
      <c r="S773" s="52"/>
    </row>
    <row r="774" spans="1:19" ht="16.5" customHeight="1" x14ac:dyDescent="0.3">
      <c r="A774" s="27" t="s">
        <v>487</v>
      </c>
      <c r="B774" s="28" t="s">
        <v>488</v>
      </c>
      <c r="C774" s="26" t="s">
        <v>1808</v>
      </c>
      <c r="D774" s="31" t="s">
        <v>152</v>
      </c>
      <c r="E774" s="33" t="s">
        <v>2399</v>
      </c>
      <c r="F774" s="34" t="s">
        <v>563</v>
      </c>
      <c r="G774" s="32" t="s">
        <v>2832</v>
      </c>
      <c r="H774" s="37" t="s">
        <v>1613</v>
      </c>
      <c r="I774" s="39" t="s">
        <v>2855</v>
      </c>
      <c r="J774" s="24" t="s">
        <v>459</v>
      </c>
      <c r="K774" s="40"/>
      <c r="L774" s="38" t="s">
        <v>2856</v>
      </c>
      <c r="M774" s="44" t="s">
        <v>564</v>
      </c>
      <c r="N774" s="46" t="s">
        <v>2862</v>
      </c>
      <c r="O774" s="47" t="s">
        <v>1655</v>
      </c>
      <c r="P774" s="50"/>
      <c r="Q774" s="45"/>
      <c r="R774" s="25"/>
      <c r="S774" s="52"/>
    </row>
    <row r="775" spans="1:19" ht="16.5" customHeight="1" x14ac:dyDescent="0.3">
      <c r="A775" s="27" t="s">
        <v>487</v>
      </c>
      <c r="B775" s="28" t="s">
        <v>488</v>
      </c>
      <c r="C775" s="26" t="s">
        <v>1808</v>
      </c>
      <c r="D775" s="31" t="s">
        <v>152</v>
      </c>
      <c r="E775" s="33" t="s">
        <v>2399</v>
      </c>
      <c r="F775" s="34" t="s">
        <v>563</v>
      </c>
      <c r="G775" s="32" t="s">
        <v>2832</v>
      </c>
      <c r="H775" s="37" t="s">
        <v>1613</v>
      </c>
      <c r="I775" s="39" t="s">
        <v>2855</v>
      </c>
      <c r="J775" s="24" t="s">
        <v>459</v>
      </c>
      <c r="K775" s="40"/>
      <c r="L775" s="38" t="s">
        <v>2863</v>
      </c>
      <c r="M775" s="44" t="s">
        <v>26</v>
      </c>
      <c r="N775" s="46" t="s">
        <v>2864</v>
      </c>
      <c r="O775" s="47" t="s">
        <v>1110</v>
      </c>
      <c r="P775" s="50"/>
      <c r="Q775" s="45"/>
      <c r="R775" s="25"/>
      <c r="S775" s="52"/>
    </row>
    <row r="776" spans="1:19" ht="16.5" customHeight="1" x14ac:dyDescent="0.3">
      <c r="A776" s="27" t="s">
        <v>487</v>
      </c>
      <c r="B776" s="28" t="s">
        <v>488</v>
      </c>
      <c r="C776" s="26" t="s">
        <v>1808</v>
      </c>
      <c r="D776" s="31" t="s">
        <v>152</v>
      </c>
      <c r="E776" s="33" t="s">
        <v>2399</v>
      </c>
      <c r="F776" s="34" t="s">
        <v>563</v>
      </c>
      <c r="G776" s="32" t="s">
        <v>2832</v>
      </c>
      <c r="H776" s="37" t="s">
        <v>1613</v>
      </c>
      <c r="I776" s="39" t="s">
        <v>2855</v>
      </c>
      <c r="J776" s="24" t="s">
        <v>459</v>
      </c>
      <c r="K776" s="40"/>
      <c r="L776" s="38" t="s">
        <v>2863</v>
      </c>
      <c r="M776" s="44" t="s">
        <v>26</v>
      </c>
      <c r="N776" s="46" t="s">
        <v>2865</v>
      </c>
      <c r="O776" s="47" t="s">
        <v>1111</v>
      </c>
      <c r="P776" s="50"/>
      <c r="Q776" s="45"/>
      <c r="R776" s="25"/>
      <c r="S776" s="52"/>
    </row>
    <row r="777" spans="1:19" ht="16.5" customHeight="1" x14ac:dyDescent="0.3">
      <c r="A777" s="27" t="s">
        <v>487</v>
      </c>
      <c r="B777" s="28" t="s">
        <v>488</v>
      </c>
      <c r="C777" s="26" t="s">
        <v>1808</v>
      </c>
      <c r="D777" s="31" t="s">
        <v>152</v>
      </c>
      <c r="E777" s="33" t="s">
        <v>2399</v>
      </c>
      <c r="F777" s="34" t="s">
        <v>563</v>
      </c>
      <c r="G777" s="32" t="s">
        <v>2832</v>
      </c>
      <c r="H777" s="37" t="s">
        <v>1613</v>
      </c>
      <c r="I777" s="39" t="s">
        <v>2855</v>
      </c>
      <c r="J777" s="24" t="s">
        <v>459</v>
      </c>
      <c r="K777" s="40"/>
      <c r="L777" s="38" t="s">
        <v>2863</v>
      </c>
      <c r="M777" s="44" t="s">
        <v>26</v>
      </c>
      <c r="N777" s="46" t="s">
        <v>2866</v>
      </c>
      <c r="O777" s="47" t="s">
        <v>1112</v>
      </c>
      <c r="P777" s="50"/>
      <c r="Q777" s="45"/>
      <c r="R777" s="25"/>
      <c r="S777" s="52"/>
    </row>
    <row r="778" spans="1:19" ht="16.5" customHeight="1" x14ac:dyDescent="0.3">
      <c r="A778" s="27" t="s">
        <v>487</v>
      </c>
      <c r="B778" s="28" t="s">
        <v>488</v>
      </c>
      <c r="C778" s="26" t="s">
        <v>1808</v>
      </c>
      <c r="D778" s="31" t="s">
        <v>152</v>
      </c>
      <c r="E778" s="33" t="s">
        <v>2399</v>
      </c>
      <c r="F778" s="34" t="s">
        <v>563</v>
      </c>
      <c r="G778" s="32" t="s">
        <v>2832</v>
      </c>
      <c r="H778" s="37" t="s">
        <v>1613</v>
      </c>
      <c r="I778" s="39" t="s">
        <v>2855</v>
      </c>
      <c r="J778" s="24" t="s">
        <v>459</v>
      </c>
      <c r="K778" s="40"/>
      <c r="L778" s="38" t="s">
        <v>2863</v>
      </c>
      <c r="M778" s="44" t="s">
        <v>26</v>
      </c>
      <c r="N778" s="46" t="s">
        <v>2867</v>
      </c>
      <c r="O778" s="47" t="s">
        <v>1113</v>
      </c>
      <c r="P778" s="50"/>
      <c r="Q778" s="45"/>
      <c r="R778" s="25"/>
      <c r="S778" s="52"/>
    </row>
    <row r="779" spans="1:19" ht="16.5" customHeight="1" x14ac:dyDescent="0.3">
      <c r="A779" s="27" t="s">
        <v>487</v>
      </c>
      <c r="B779" s="28" t="s">
        <v>488</v>
      </c>
      <c r="C779" s="26" t="s">
        <v>1808</v>
      </c>
      <c r="D779" s="31" t="s">
        <v>152</v>
      </c>
      <c r="E779" s="33" t="s">
        <v>2399</v>
      </c>
      <c r="F779" s="34" t="s">
        <v>563</v>
      </c>
      <c r="G779" s="32" t="s">
        <v>2832</v>
      </c>
      <c r="H779" s="37" t="s">
        <v>1613</v>
      </c>
      <c r="I779" s="39" t="s">
        <v>2855</v>
      </c>
      <c r="J779" s="24" t="s">
        <v>459</v>
      </c>
      <c r="K779" s="40"/>
      <c r="L779" s="38" t="s">
        <v>2868</v>
      </c>
      <c r="M779" s="44" t="s">
        <v>16</v>
      </c>
      <c r="N779" s="46" t="s">
        <v>2869</v>
      </c>
      <c r="O779" s="47" t="s">
        <v>1114</v>
      </c>
      <c r="P779" s="50"/>
      <c r="Q779" s="45"/>
      <c r="R779" s="25"/>
      <c r="S779" s="52"/>
    </row>
    <row r="780" spans="1:19" ht="16.5" customHeight="1" x14ac:dyDescent="0.3">
      <c r="A780" s="27" t="s">
        <v>487</v>
      </c>
      <c r="B780" s="28" t="s">
        <v>488</v>
      </c>
      <c r="C780" s="26" t="s">
        <v>1808</v>
      </c>
      <c r="D780" s="31" t="s">
        <v>152</v>
      </c>
      <c r="E780" s="33" t="s">
        <v>2399</v>
      </c>
      <c r="F780" s="34" t="s">
        <v>563</v>
      </c>
      <c r="G780" s="32" t="s">
        <v>2832</v>
      </c>
      <c r="H780" s="37" t="s">
        <v>1613</v>
      </c>
      <c r="I780" s="39" t="s">
        <v>2855</v>
      </c>
      <c r="J780" s="24" t="s">
        <v>459</v>
      </c>
      <c r="K780" s="40"/>
      <c r="L780" s="38" t="s">
        <v>2870</v>
      </c>
      <c r="M780" s="44" t="s">
        <v>30</v>
      </c>
      <c r="N780" s="46" t="s">
        <v>2871</v>
      </c>
      <c r="O780" s="47" t="s">
        <v>1656</v>
      </c>
      <c r="P780" s="50"/>
      <c r="Q780" s="45"/>
      <c r="R780" s="25"/>
      <c r="S780" s="52"/>
    </row>
    <row r="781" spans="1:19" ht="16.5" customHeight="1" x14ac:dyDescent="0.3">
      <c r="A781" s="27" t="s">
        <v>487</v>
      </c>
      <c r="B781" s="28" t="s">
        <v>488</v>
      </c>
      <c r="C781" s="26" t="s">
        <v>1808</v>
      </c>
      <c r="D781" s="31" t="s">
        <v>152</v>
      </c>
      <c r="E781" s="33" t="s">
        <v>2399</v>
      </c>
      <c r="F781" s="34" t="s">
        <v>563</v>
      </c>
      <c r="G781" s="32" t="s">
        <v>2832</v>
      </c>
      <c r="H781" s="37" t="s">
        <v>1613</v>
      </c>
      <c r="I781" s="39" t="s">
        <v>2855</v>
      </c>
      <c r="J781" s="24" t="s">
        <v>459</v>
      </c>
      <c r="K781" s="40"/>
      <c r="L781" s="38" t="s">
        <v>2870</v>
      </c>
      <c r="M781" s="44" t="s">
        <v>30</v>
      </c>
      <c r="N781" s="46" t="s">
        <v>2872</v>
      </c>
      <c r="O781" s="47" t="s">
        <v>1659</v>
      </c>
      <c r="P781" s="50"/>
      <c r="Q781" s="45"/>
      <c r="R781" s="25"/>
      <c r="S781" s="52"/>
    </row>
    <row r="782" spans="1:19" ht="16.5" customHeight="1" x14ac:dyDescent="0.3">
      <c r="A782" s="27" t="s">
        <v>487</v>
      </c>
      <c r="B782" s="28" t="s">
        <v>488</v>
      </c>
      <c r="C782" s="26" t="s">
        <v>1808</v>
      </c>
      <c r="D782" s="31" t="s">
        <v>152</v>
      </c>
      <c r="E782" s="33" t="s">
        <v>2399</v>
      </c>
      <c r="F782" s="34" t="s">
        <v>563</v>
      </c>
      <c r="G782" s="32" t="s">
        <v>2832</v>
      </c>
      <c r="H782" s="37" t="s">
        <v>1613</v>
      </c>
      <c r="I782" s="39" t="s">
        <v>2855</v>
      </c>
      <c r="J782" s="24" t="s">
        <v>459</v>
      </c>
      <c r="K782" s="40"/>
      <c r="L782" s="38" t="s">
        <v>2870</v>
      </c>
      <c r="M782" s="44" t="s">
        <v>30</v>
      </c>
      <c r="N782" s="46" t="s">
        <v>2873</v>
      </c>
      <c r="O782" s="47" t="s">
        <v>1657</v>
      </c>
      <c r="P782" s="50"/>
      <c r="Q782" s="45"/>
      <c r="R782" s="25"/>
      <c r="S782" s="52"/>
    </row>
    <row r="783" spans="1:19" ht="16.5" customHeight="1" x14ac:dyDescent="0.3">
      <c r="A783" s="27" t="s">
        <v>487</v>
      </c>
      <c r="B783" s="28" t="s">
        <v>488</v>
      </c>
      <c r="C783" s="26" t="s">
        <v>1808</v>
      </c>
      <c r="D783" s="31" t="s">
        <v>152</v>
      </c>
      <c r="E783" s="33" t="s">
        <v>2399</v>
      </c>
      <c r="F783" s="34" t="s">
        <v>563</v>
      </c>
      <c r="G783" s="32" t="s">
        <v>2832</v>
      </c>
      <c r="H783" s="37" t="s">
        <v>1613</v>
      </c>
      <c r="I783" s="39" t="s">
        <v>2855</v>
      </c>
      <c r="J783" s="24" t="s">
        <v>459</v>
      </c>
      <c r="K783" s="40"/>
      <c r="L783" s="38" t="s">
        <v>2870</v>
      </c>
      <c r="M783" s="44" t="s">
        <v>30</v>
      </c>
      <c r="N783" s="46" t="s">
        <v>2874</v>
      </c>
      <c r="O783" s="47" t="s">
        <v>1658</v>
      </c>
      <c r="P783" s="50"/>
      <c r="Q783" s="45"/>
      <c r="R783" s="25"/>
      <c r="S783" s="52"/>
    </row>
    <row r="784" spans="1:19" ht="16.5" customHeight="1" x14ac:dyDescent="0.3">
      <c r="A784" s="27" t="s">
        <v>487</v>
      </c>
      <c r="B784" s="28" t="s">
        <v>488</v>
      </c>
      <c r="C784" s="26" t="s">
        <v>1808</v>
      </c>
      <c r="D784" s="31" t="s">
        <v>152</v>
      </c>
      <c r="E784" s="33" t="s">
        <v>2399</v>
      </c>
      <c r="F784" s="34" t="s">
        <v>563</v>
      </c>
      <c r="G784" s="32" t="s">
        <v>2832</v>
      </c>
      <c r="H784" s="37" t="s">
        <v>1613</v>
      </c>
      <c r="I784" s="39" t="s">
        <v>2855</v>
      </c>
      <c r="J784" s="24" t="s">
        <v>459</v>
      </c>
      <c r="K784" s="40"/>
      <c r="L784" s="38" t="s">
        <v>2875</v>
      </c>
      <c r="M784" s="44" t="s">
        <v>123</v>
      </c>
      <c r="N784" s="46" t="s">
        <v>2876</v>
      </c>
      <c r="O784" s="47" t="s">
        <v>1654</v>
      </c>
      <c r="P784" s="50"/>
      <c r="Q784" s="45"/>
      <c r="R784" s="25"/>
      <c r="S784" s="52"/>
    </row>
    <row r="785" spans="1:19" ht="16.5" customHeight="1" x14ac:dyDescent="0.3">
      <c r="A785" s="27" t="s">
        <v>487</v>
      </c>
      <c r="B785" s="28" t="s">
        <v>488</v>
      </c>
      <c r="C785" s="26" t="s">
        <v>1808</v>
      </c>
      <c r="D785" s="31" t="s">
        <v>152</v>
      </c>
      <c r="E785" s="33" t="s">
        <v>2399</v>
      </c>
      <c r="F785" s="34" t="s">
        <v>563</v>
      </c>
      <c r="G785" s="32" t="s">
        <v>2832</v>
      </c>
      <c r="H785" s="37" t="s">
        <v>1613</v>
      </c>
      <c r="I785" s="39" t="s">
        <v>2877</v>
      </c>
      <c r="J785" s="24" t="s">
        <v>460</v>
      </c>
      <c r="K785" s="40"/>
      <c r="L785" s="38" t="s">
        <v>2878</v>
      </c>
      <c r="M785" s="44" t="s">
        <v>564</v>
      </c>
      <c r="N785" s="46" t="s">
        <v>2879</v>
      </c>
      <c r="O785" s="47" t="s">
        <v>1116</v>
      </c>
      <c r="P785" s="50"/>
      <c r="Q785" s="45"/>
      <c r="R785" s="25"/>
      <c r="S785" s="52"/>
    </row>
    <row r="786" spans="1:19" ht="16.5" customHeight="1" x14ac:dyDescent="0.3">
      <c r="A786" s="27" t="s">
        <v>487</v>
      </c>
      <c r="B786" s="28" t="s">
        <v>488</v>
      </c>
      <c r="C786" s="26" t="s">
        <v>1808</v>
      </c>
      <c r="D786" s="31" t="s">
        <v>152</v>
      </c>
      <c r="E786" s="33" t="s">
        <v>2399</v>
      </c>
      <c r="F786" s="34" t="s">
        <v>563</v>
      </c>
      <c r="G786" s="32" t="s">
        <v>2832</v>
      </c>
      <c r="H786" s="37" t="s">
        <v>1613</v>
      </c>
      <c r="I786" s="39" t="s">
        <v>2877</v>
      </c>
      <c r="J786" s="24" t="s">
        <v>460</v>
      </c>
      <c r="K786" s="40"/>
      <c r="L786" s="38" t="s">
        <v>2878</v>
      </c>
      <c r="M786" s="44" t="s">
        <v>564</v>
      </c>
      <c r="N786" s="46" t="s">
        <v>2880</v>
      </c>
      <c r="O786" s="47" t="s">
        <v>1117</v>
      </c>
      <c r="P786" s="50"/>
      <c r="Q786" s="45"/>
      <c r="R786" s="25"/>
      <c r="S786" s="52"/>
    </row>
    <row r="787" spans="1:19" ht="16.5" customHeight="1" x14ac:dyDescent="0.3">
      <c r="A787" s="27" t="s">
        <v>487</v>
      </c>
      <c r="B787" s="28" t="s">
        <v>488</v>
      </c>
      <c r="C787" s="26" t="s">
        <v>1808</v>
      </c>
      <c r="D787" s="31" t="s">
        <v>152</v>
      </c>
      <c r="E787" s="33" t="s">
        <v>2399</v>
      </c>
      <c r="F787" s="34" t="s">
        <v>563</v>
      </c>
      <c r="G787" s="32" t="s">
        <v>2832</v>
      </c>
      <c r="H787" s="37" t="s">
        <v>1613</v>
      </c>
      <c r="I787" s="39" t="s">
        <v>2877</v>
      </c>
      <c r="J787" s="24" t="s">
        <v>460</v>
      </c>
      <c r="K787" s="40"/>
      <c r="L787" s="38" t="s">
        <v>2878</v>
      </c>
      <c r="M787" s="44" t="s">
        <v>564</v>
      </c>
      <c r="N787" s="46" t="s">
        <v>2881</v>
      </c>
      <c r="O787" s="47" t="s">
        <v>1115</v>
      </c>
      <c r="P787" s="50"/>
      <c r="Q787" s="45"/>
      <c r="R787" s="25"/>
      <c r="S787" s="52"/>
    </row>
    <row r="788" spans="1:19" ht="16.5" customHeight="1" x14ac:dyDescent="0.3">
      <c r="A788" s="27" t="s">
        <v>487</v>
      </c>
      <c r="B788" s="28" t="s">
        <v>488</v>
      </c>
      <c r="C788" s="26" t="s">
        <v>1808</v>
      </c>
      <c r="D788" s="31" t="s">
        <v>152</v>
      </c>
      <c r="E788" s="33" t="s">
        <v>2399</v>
      </c>
      <c r="F788" s="34" t="s">
        <v>563</v>
      </c>
      <c r="G788" s="32" t="s">
        <v>2832</v>
      </c>
      <c r="H788" s="37" t="s">
        <v>1613</v>
      </c>
      <c r="I788" s="39" t="s">
        <v>2877</v>
      </c>
      <c r="J788" s="24" t="s">
        <v>460</v>
      </c>
      <c r="K788" s="40"/>
      <c r="L788" s="38" t="s">
        <v>2878</v>
      </c>
      <c r="M788" s="44" t="s">
        <v>564</v>
      </c>
      <c r="N788" s="46" t="s">
        <v>2882</v>
      </c>
      <c r="O788" s="47" t="s">
        <v>1118</v>
      </c>
      <c r="P788" s="50"/>
      <c r="Q788" s="45"/>
      <c r="R788" s="25"/>
      <c r="S788" s="52"/>
    </row>
    <row r="789" spans="1:19" ht="16.5" customHeight="1" x14ac:dyDescent="0.3">
      <c r="A789" s="27" t="s">
        <v>487</v>
      </c>
      <c r="B789" s="28" t="s">
        <v>488</v>
      </c>
      <c r="C789" s="26" t="s">
        <v>1808</v>
      </c>
      <c r="D789" s="31" t="s">
        <v>152</v>
      </c>
      <c r="E789" s="33" t="s">
        <v>2399</v>
      </c>
      <c r="F789" s="34" t="s">
        <v>563</v>
      </c>
      <c r="G789" s="32" t="s">
        <v>2832</v>
      </c>
      <c r="H789" s="37" t="s">
        <v>1613</v>
      </c>
      <c r="I789" s="39" t="s">
        <v>2877</v>
      </c>
      <c r="J789" s="24" t="s">
        <v>460</v>
      </c>
      <c r="K789" s="40"/>
      <c r="L789" s="38" t="s">
        <v>2878</v>
      </c>
      <c r="M789" s="44" t="s">
        <v>564</v>
      </c>
      <c r="N789" s="46" t="s">
        <v>2883</v>
      </c>
      <c r="O789" s="47" t="s">
        <v>1119</v>
      </c>
      <c r="P789" s="50"/>
      <c r="Q789" s="45"/>
      <c r="R789" s="25"/>
      <c r="S789" s="52"/>
    </row>
    <row r="790" spans="1:19" ht="16.5" customHeight="1" x14ac:dyDescent="0.3">
      <c r="A790" s="27" t="s">
        <v>487</v>
      </c>
      <c r="B790" s="28" t="s">
        <v>488</v>
      </c>
      <c r="C790" s="26" t="s">
        <v>1808</v>
      </c>
      <c r="D790" s="31" t="s">
        <v>152</v>
      </c>
      <c r="E790" s="33" t="s">
        <v>2399</v>
      </c>
      <c r="F790" s="34" t="s">
        <v>563</v>
      </c>
      <c r="G790" s="32" t="s">
        <v>2832</v>
      </c>
      <c r="H790" s="37" t="s">
        <v>1613</v>
      </c>
      <c r="I790" s="39" t="s">
        <v>2877</v>
      </c>
      <c r="J790" s="24" t="s">
        <v>460</v>
      </c>
      <c r="K790" s="40"/>
      <c r="L790" s="38" t="s">
        <v>2878</v>
      </c>
      <c r="M790" s="44" t="s">
        <v>564</v>
      </c>
      <c r="N790" s="46" t="s">
        <v>2884</v>
      </c>
      <c r="O790" s="47" t="s">
        <v>1655</v>
      </c>
      <c r="P790" s="50"/>
      <c r="Q790" s="45"/>
      <c r="R790" s="25"/>
      <c r="S790" s="52"/>
    </row>
    <row r="791" spans="1:19" ht="16.5" customHeight="1" x14ac:dyDescent="0.3">
      <c r="A791" s="27" t="s">
        <v>487</v>
      </c>
      <c r="B791" s="28" t="s">
        <v>488</v>
      </c>
      <c r="C791" s="26" t="s">
        <v>1808</v>
      </c>
      <c r="D791" s="31" t="s">
        <v>152</v>
      </c>
      <c r="E791" s="33" t="s">
        <v>2399</v>
      </c>
      <c r="F791" s="34" t="s">
        <v>563</v>
      </c>
      <c r="G791" s="32" t="s">
        <v>2832</v>
      </c>
      <c r="H791" s="37" t="s">
        <v>1613</v>
      </c>
      <c r="I791" s="39" t="s">
        <v>2877</v>
      </c>
      <c r="J791" s="24" t="s">
        <v>460</v>
      </c>
      <c r="K791" s="40"/>
      <c r="L791" s="38" t="s">
        <v>2885</v>
      </c>
      <c r="M791" s="44" t="s">
        <v>26</v>
      </c>
      <c r="N791" s="46" t="s">
        <v>2886</v>
      </c>
      <c r="O791" s="47" t="s">
        <v>1120</v>
      </c>
      <c r="P791" s="50"/>
      <c r="Q791" s="45"/>
      <c r="R791" s="25"/>
      <c r="S791" s="52"/>
    </row>
    <row r="792" spans="1:19" ht="16.5" customHeight="1" x14ac:dyDescent="0.3">
      <c r="A792" s="27" t="s">
        <v>487</v>
      </c>
      <c r="B792" s="28" t="s">
        <v>488</v>
      </c>
      <c r="C792" s="26" t="s">
        <v>1808</v>
      </c>
      <c r="D792" s="31" t="s">
        <v>152</v>
      </c>
      <c r="E792" s="33" t="s">
        <v>2399</v>
      </c>
      <c r="F792" s="34" t="s">
        <v>563</v>
      </c>
      <c r="G792" s="32" t="s">
        <v>2832</v>
      </c>
      <c r="H792" s="37" t="s">
        <v>1613</v>
      </c>
      <c r="I792" s="39" t="s">
        <v>2877</v>
      </c>
      <c r="J792" s="24" t="s">
        <v>460</v>
      </c>
      <c r="K792" s="40"/>
      <c r="L792" s="38" t="s">
        <v>2885</v>
      </c>
      <c r="M792" s="44" t="s">
        <v>26</v>
      </c>
      <c r="N792" s="46" t="s">
        <v>2887</v>
      </c>
      <c r="O792" s="47" t="s">
        <v>1121</v>
      </c>
      <c r="P792" s="50"/>
      <c r="Q792" s="45"/>
      <c r="R792" s="25"/>
      <c r="S792" s="52"/>
    </row>
    <row r="793" spans="1:19" ht="16.5" customHeight="1" x14ac:dyDescent="0.3">
      <c r="A793" s="27" t="s">
        <v>487</v>
      </c>
      <c r="B793" s="28" t="s">
        <v>488</v>
      </c>
      <c r="C793" s="26" t="s">
        <v>1808</v>
      </c>
      <c r="D793" s="31" t="s">
        <v>152</v>
      </c>
      <c r="E793" s="33" t="s">
        <v>2399</v>
      </c>
      <c r="F793" s="34" t="s">
        <v>563</v>
      </c>
      <c r="G793" s="32" t="s">
        <v>2832</v>
      </c>
      <c r="H793" s="37" t="s">
        <v>1613</v>
      </c>
      <c r="I793" s="39" t="s">
        <v>2877</v>
      </c>
      <c r="J793" s="24" t="s">
        <v>460</v>
      </c>
      <c r="K793" s="40"/>
      <c r="L793" s="38" t="s">
        <v>2885</v>
      </c>
      <c r="M793" s="44" t="s">
        <v>26</v>
      </c>
      <c r="N793" s="46" t="s">
        <v>2888</v>
      </c>
      <c r="O793" s="47" t="s">
        <v>1122</v>
      </c>
      <c r="P793" s="50"/>
      <c r="Q793" s="45"/>
      <c r="R793" s="25"/>
      <c r="S793" s="52"/>
    </row>
    <row r="794" spans="1:19" ht="16.5" customHeight="1" x14ac:dyDescent="0.3">
      <c r="A794" s="27" t="s">
        <v>487</v>
      </c>
      <c r="B794" s="28" t="s">
        <v>488</v>
      </c>
      <c r="C794" s="26" t="s">
        <v>1808</v>
      </c>
      <c r="D794" s="31" t="s">
        <v>152</v>
      </c>
      <c r="E794" s="33" t="s">
        <v>2399</v>
      </c>
      <c r="F794" s="34" t="s">
        <v>563</v>
      </c>
      <c r="G794" s="32" t="s">
        <v>2832</v>
      </c>
      <c r="H794" s="37" t="s">
        <v>1613</v>
      </c>
      <c r="I794" s="39" t="s">
        <v>2877</v>
      </c>
      <c r="J794" s="24" t="s">
        <v>460</v>
      </c>
      <c r="K794" s="40"/>
      <c r="L794" s="38" t="s">
        <v>2885</v>
      </c>
      <c r="M794" s="44" t="s">
        <v>26</v>
      </c>
      <c r="N794" s="46" t="s">
        <v>2889</v>
      </c>
      <c r="O794" s="47" t="s">
        <v>1123</v>
      </c>
      <c r="P794" s="50"/>
      <c r="Q794" s="45"/>
      <c r="R794" s="25"/>
      <c r="S794" s="52"/>
    </row>
    <row r="795" spans="1:19" ht="16.5" customHeight="1" x14ac:dyDescent="0.3">
      <c r="A795" s="27" t="s">
        <v>487</v>
      </c>
      <c r="B795" s="28" t="s">
        <v>488</v>
      </c>
      <c r="C795" s="26" t="s">
        <v>1808</v>
      </c>
      <c r="D795" s="31" t="s">
        <v>152</v>
      </c>
      <c r="E795" s="33" t="s">
        <v>2399</v>
      </c>
      <c r="F795" s="34" t="s">
        <v>563</v>
      </c>
      <c r="G795" s="32" t="s">
        <v>2832</v>
      </c>
      <c r="H795" s="37" t="s">
        <v>1613</v>
      </c>
      <c r="I795" s="39" t="s">
        <v>2877</v>
      </c>
      <c r="J795" s="24" t="s">
        <v>460</v>
      </c>
      <c r="K795" s="40"/>
      <c r="L795" s="38" t="s">
        <v>2890</v>
      </c>
      <c r="M795" s="44" t="s">
        <v>16</v>
      </c>
      <c r="N795" s="46" t="s">
        <v>2891</v>
      </c>
      <c r="O795" s="47" t="s">
        <v>1124</v>
      </c>
      <c r="P795" s="50"/>
      <c r="Q795" s="45"/>
      <c r="R795" s="25"/>
      <c r="S795" s="52"/>
    </row>
    <row r="796" spans="1:19" ht="16.5" customHeight="1" x14ac:dyDescent="0.3">
      <c r="A796" s="27" t="s">
        <v>487</v>
      </c>
      <c r="B796" s="28" t="s">
        <v>488</v>
      </c>
      <c r="C796" s="26" t="s">
        <v>1808</v>
      </c>
      <c r="D796" s="31" t="s">
        <v>152</v>
      </c>
      <c r="E796" s="33" t="s">
        <v>2399</v>
      </c>
      <c r="F796" s="34" t="s">
        <v>563</v>
      </c>
      <c r="G796" s="32" t="s">
        <v>2832</v>
      </c>
      <c r="H796" s="37" t="s">
        <v>1613</v>
      </c>
      <c r="I796" s="39" t="s">
        <v>2877</v>
      </c>
      <c r="J796" s="24" t="s">
        <v>460</v>
      </c>
      <c r="K796" s="40"/>
      <c r="L796" s="38" t="s">
        <v>2892</v>
      </c>
      <c r="M796" s="44" t="s">
        <v>30</v>
      </c>
      <c r="N796" s="46" t="s">
        <v>2893</v>
      </c>
      <c r="O796" s="47" t="s">
        <v>1656</v>
      </c>
      <c r="P796" s="50"/>
      <c r="Q796" s="45"/>
      <c r="R796" s="25"/>
      <c r="S796" s="52"/>
    </row>
    <row r="797" spans="1:19" ht="16.5" customHeight="1" x14ac:dyDescent="0.3">
      <c r="A797" s="27" t="s">
        <v>487</v>
      </c>
      <c r="B797" s="28" t="s">
        <v>488</v>
      </c>
      <c r="C797" s="26" t="s">
        <v>1808</v>
      </c>
      <c r="D797" s="31" t="s">
        <v>152</v>
      </c>
      <c r="E797" s="33" t="s">
        <v>2399</v>
      </c>
      <c r="F797" s="34" t="s">
        <v>563</v>
      </c>
      <c r="G797" s="32" t="s">
        <v>2832</v>
      </c>
      <c r="H797" s="37" t="s">
        <v>1613</v>
      </c>
      <c r="I797" s="39" t="s">
        <v>2877</v>
      </c>
      <c r="J797" s="24" t="s">
        <v>460</v>
      </c>
      <c r="K797" s="40"/>
      <c r="L797" s="38" t="s">
        <v>2892</v>
      </c>
      <c r="M797" s="44" t="s">
        <v>30</v>
      </c>
      <c r="N797" s="46" t="s">
        <v>2894</v>
      </c>
      <c r="O797" s="47" t="s">
        <v>1659</v>
      </c>
      <c r="P797" s="50"/>
      <c r="Q797" s="45"/>
      <c r="R797" s="25"/>
      <c r="S797" s="52"/>
    </row>
    <row r="798" spans="1:19" ht="16.5" customHeight="1" x14ac:dyDescent="0.3">
      <c r="A798" s="27" t="s">
        <v>487</v>
      </c>
      <c r="B798" s="28" t="s">
        <v>488</v>
      </c>
      <c r="C798" s="26" t="s">
        <v>1808</v>
      </c>
      <c r="D798" s="31" t="s">
        <v>152</v>
      </c>
      <c r="E798" s="33" t="s">
        <v>2399</v>
      </c>
      <c r="F798" s="34" t="s">
        <v>563</v>
      </c>
      <c r="G798" s="32" t="s">
        <v>2832</v>
      </c>
      <c r="H798" s="37" t="s">
        <v>1613</v>
      </c>
      <c r="I798" s="39" t="s">
        <v>2877</v>
      </c>
      <c r="J798" s="24" t="s">
        <v>460</v>
      </c>
      <c r="K798" s="40"/>
      <c r="L798" s="38" t="s">
        <v>2892</v>
      </c>
      <c r="M798" s="44" t="s">
        <v>30</v>
      </c>
      <c r="N798" s="46" t="s">
        <v>2895</v>
      </c>
      <c r="O798" s="47" t="s">
        <v>1657</v>
      </c>
      <c r="P798" s="50"/>
      <c r="Q798" s="45"/>
      <c r="R798" s="25"/>
      <c r="S798" s="52"/>
    </row>
    <row r="799" spans="1:19" ht="16.5" customHeight="1" x14ac:dyDescent="0.3">
      <c r="A799" s="27" t="s">
        <v>487</v>
      </c>
      <c r="B799" s="28" t="s">
        <v>488</v>
      </c>
      <c r="C799" s="26" t="s">
        <v>1808</v>
      </c>
      <c r="D799" s="31" t="s">
        <v>152</v>
      </c>
      <c r="E799" s="33" t="s">
        <v>2399</v>
      </c>
      <c r="F799" s="34" t="s">
        <v>563</v>
      </c>
      <c r="G799" s="32" t="s">
        <v>2832</v>
      </c>
      <c r="H799" s="37" t="s">
        <v>1613</v>
      </c>
      <c r="I799" s="39" t="s">
        <v>2877</v>
      </c>
      <c r="J799" s="24" t="s">
        <v>460</v>
      </c>
      <c r="K799" s="40"/>
      <c r="L799" s="38" t="s">
        <v>2892</v>
      </c>
      <c r="M799" s="44" t="s">
        <v>30</v>
      </c>
      <c r="N799" s="46" t="s">
        <v>2896</v>
      </c>
      <c r="O799" s="47" t="s">
        <v>1658</v>
      </c>
      <c r="P799" s="50"/>
      <c r="Q799" s="45"/>
      <c r="R799" s="25"/>
      <c r="S799" s="52"/>
    </row>
    <row r="800" spans="1:19" ht="16.5" customHeight="1" x14ac:dyDescent="0.3">
      <c r="A800" s="27" t="s">
        <v>487</v>
      </c>
      <c r="B800" s="28" t="s">
        <v>488</v>
      </c>
      <c r="C800" s="26" t="s">
        <v>1808</v>
      </c>
      <c r="D800" s="31" t="s">
        <v>152</v>
      </c>
      <c r="E800" s="33" t="s">
        <v>2399</v>
      </c>
      <c r="F800" s="34" t="s">
        <v>563</v>
      </c>
      <c r="G800" s="32" t="s">
        <v>2832</v>
      </c>
      <c r="H800" s="37" t="s">
        <v>1613</v>
      </c>
      <c r="I800" s="39" t="s">
        <v>2877</v>
      </c>
      <c r="J800" s="24" t="s">
        <v>460</v>
      </c>
      <c r="K800" s="40"/>
      <c r="L800" s="38" t="s">
        <v>2897</v>
      </c>
      <c r="M800" s="44" t="s">
        <v>123</v>
      </c>
      <c r="N800" s="46" t="s">
        <v>2898</v>
      </c>
      <c r="O800" s="47" t="s">
        <v>1654</v>
      </c>
      <c r="P800" s="50"/>
      <c r="Q800" s="45"/>
      <c r="R800" s="25"/>
      <c r="S800" s="52"/>
    </row>
    <row r="801" spans="1:19" ht="16.5" customHeight="1" x14ac:dyDescent="0.3">
      <c r="A801" s="27" t="s">
        <v>487</v>
      </c>
      <c r="B801" s="28" t="s">
        <v>488</v>
      </c>
      <c r="C801" s="26" t="s">
        <v>1808</v>
      </c>
      <c r="D801" s="31" t="s">
        <v>152</v>
      </c>
      <c r="E801" s="33" t="s">
        <v>2399</v>
      </c>
      <c r="F801" s="34" t="s">
        <v>563</v>
      </c>
      <c r="G801" s="32" t="s">
        <v>2832</v>
      </c>
      <c r="H801" s="37" t="s">
        <v>1613</v>
      </c>
      <c r="I801" s="39" t="s">
        <v>2899</v>
      </c>
      <c r="J801" s="24" t="s">
        <v>461</v>
      </c>
      <c r="K801" s="40"/>
      <c r="L801" s="38" t="s">
        <v>2900</v>
      </c>
      <c r="M801" s="44" t="s">
        <v>564</v>
      </c>
      <c r="N801" s="46" t="s">
        <v>2901</v>
      </c>
      <c r="O801" s="47" t="s">
        <v>1126</v>
      </c>
      <c r="P801" s="50"/>
      <c r="Q801" s="45"/>
      <c r="R801" s="25"/>
      <c r="S801" s="52"/>
    </row>
    <row r="802" spans="1:19" ht="16.5" customHeight="1" x14ac:dyDescent="0.3">
      <c r="A802" s="27" t="s">
        <v>487</v>
      </c>
      <c r="B802" s="28" t="s">
        <v>488</v>
      </c>
      <c r="C802" s="26" t="s">
        <v>1808</v>
      </c>
      <c r="D802" s="31" t="s">
        <v>152</v>
      </c>
      <c r="E802" s="33" t="s">
        <v>2399</v>
      </c>
      <c r="F802" s="34" t="s">
        <v>563</v>
      </c>
      <c r="G802" s="32" t="s">
        <v>2832</v>
      </c>
      <c r="H802" s="37" t="s">
        <v>1613</v>
      </c>
      <c r="I802" s="39" t="s">
        <v>2899</v>
      </c>
      <c r="J802" s="24" t="s">
        <v>461</v>
      </c>
      <c r="K802" s="40"/>
      <c r="L802" s="38" t="s">
        <v>2900</v>
      </c>
      <c r="M802" s="44" t="s">
        <v>564</v>
      </c>
      <c r="N802" s="46" t="s">
        <v>2902</v>
      </c>
      <c r="O802" s="47" t="s">
        <v>1127</v>
      </c>
      <c r="P802" s="50"/>
      <c r="Q802" s="45"/>
      <c r="R802" s="25"/>
      <c r="S802" s="52"/>
    </row>
    <row r="803" spans="1:19" ht="16.5" customHeight="1" x14ac:dyDescent="0.3">
      <c r="A803" s="27" t="s">
        <v>487</v>
      </c>
      <c r="B803" s="28" t="s">
        <v>488</v>
      </c>
      <c r="C803" s="26" t="s">
        <v>1808</v>
      </c>
      <c r="D803" s="31" t="s">
        <v>152</v>
      </c>
      <c r="E803" s="33" t="s">
        <v>2399</v>
      </c>
      <c r="F803" s="34" t="s">
        <v>563</v>
      </c>
      <c r="G803" s="32" t="s">
        <v>2832</v>
      </c>
      <c r="H803" s="37" t="s">
        <v>1613</v>
      </c>
      <c r="I803" s="39" t="s">
        <v>2899</v>
      </c>
      <c r="J803" s="24" t="s">
        <v>461</v>
      </c>
      <c r="K803" s="40"/>
      <c r="L803" s="38" t="s">
        <v>2900</v>
      </c>
      <c r="M803" s="44" t="s">
        <v>564</v>
      </c>
      <c r="N803" s="46" t="s">
        <v>2903</v>
      </c>
      <c r="O803" s="47" t="s">
        <v>1125</v>
      </c>
      <c r="P803" s="50"/>
      <c r="Q803" s="45"/>
      <c r="R803" s="25"/>
      <c r="S803" s="52"/>
    </row>
    <row r="804" spans="1:19" ht="16.5" customHeight="1" x14ac:dyDescent="0.3">
      <c r="A804" s="27" t="s">
        <v>487</v>
      </c>
      <c r="B804" s="28" t="s">
        <v>488</v>
      </c>
      <c r="C804" s="26" t="s">
        <v>1808</v>
      </c>
      <c r="D804" s="31" t="s">
        <v>152</v>
      </c>
      <c r="E804" s="33" t="s">
        <v>2399</v>
      </c>
      <c r="F804" s="34" t="s">
        <v>563</v>
      </c>
      <c r="G804" s="32" t="s">
        <v>2832</v>
      </c>
      <c r="H804" s="37" t="s">
        <v>1613</v>
      </c>
      <c r="I804" s="39" t="s">
        <v>2899</v>
      </c>
      <c r="J804" s="24" t="s">
        <v>461</v>
      </c>
      <c r="K804" s="40"/>
      <c r="L804" s="38" t="s">
        <v>2900</v>
      </c>
      <c r="M804" s="44" t="s">
        <v>564</v>
      </c>
      <c r="N804" s="46" t="s">
        <v>2904</v>
      </c>
      <c r="O804" s="47" t="s">
        <v>1128</v>
      </c>
      <c r="P804" s="50"/>
      <c r="Q804" s="45"/>
      <c r="R804" s="25"/>
      <c r="S804" s="52"/>
    </row>
    <row r="805" spans="1:19" ht="16.5" customHeight="1" x14ac:dyDescent="0.3">
      <c r="A805" s="27" t="s">
        <v>487</v>
      </c>
      <c r="B805" s="28" t="s">
        <v>488</v>
      </c>
      <c r="C805" s="26" t="s">
        <v>1808</v>
      </c>
      <c r="D805" s="31" t="s">
        <v>152</v>
      </c>
      <c r="E805" s="33" t="s">
        <v>2399</v>
      </c>
      <c r="F805" s="34" t="s">
        <v>563</v>
      </c>
      <c r="G805" s="32" t="s">
        <v>2832</v>
      </c>
      <c r="H805" s="37" t="s">
        <v>1613</v>
      </c>
      <c r="I805" s="39" t="s">
        <v>2899</v>
      </c>
      <c r="J805" s="24" t="s">
        <v>461</v>
      </c>
      <c r="K805" s="40"/>
      <c r="L805" s="38" t="s">
        <v>2900</v>
      </c>
      <c r="M805" s="44" t="s">
        <v>564</v>
      </c>
      <c r="N805" s="46" t="s">
        <v>2905</v>
      </c>
      <c r="O805" s="47" t="s">
        <v>1129</v>
      </c>
      <c r="P805" s="50"/>
      <c r="Q805" s="45"/>
      <c r="R805" s="25"/>
      <c r="S805" s="52"/>
    </row>
    <row r="806" spans="1:19" ht="16.5" customHeight="1" x14ac:dyDescent="0.3">
      <c r="A806" s="27" t="s">
        <v>487</v>
      </c>
      <c r="B806" s="28" t="s">
        <v>488</v>
      </c>
      <c r="C806" s="26" t="s">
        <v>1808</v>
      </c>
      <c r="D806" s="31" t="s">
        <v>152</v>
      </c>
      <c r="E806" s="33" t="s">
        <v>2399</v>
      </c>
      <c r="F806" s="34" t="s">
        <v>563</v>
      </c>
      <c r="G806" s="32" t="s">
        <v>2832</v>
      </c>
      <c r="H806" s="37" t="s">
        <v>1613</v>
      </c>
      <c r="I806" s="39" t="s">
        <v>2899</v>
      </c>
      <c r="J806" s="24" t="s">
        <v>461</v>
      </c>
      <c r="K806" s="40"/>
      <c r="L806" s="38" t="s">
        <v>2900</v>
      </c>
      <c r="M806" s="44" t="s">
        <v>564</v>
      </c>
      <c r="N806" s="46" t="s">
        <v>2906</v>
      </c>
      <c r="O806" s="47" t="s">
        <v>1655</v>
      </c>
      <c r="P806" s="50"/>
      <c r="Q806" s="45"/>
      <c r="R806" s="25"/>
      <c r="S806" s="52"/>
    </row>
    <row r="807" spans="1:19" ht="16.5" customHeight="1" x14ac:dyDescent="0.3">
      <c r="A807" s="27" t="s">
        <v>487</v>
      </c>
      <c r="B807" s="28" t="s">
        <v>488</v>
      </c>
      <c r="C807" s="26" t="s">
        <v>1808</v>
      </c>
      <c r="D807" s="31" t="s">
        <v>152</v>
      </c>
      <c r="E807" s="33" t="s">
        <v>2399</v>
      </c>
      <c r="F807" s="34" t="s">
        <v>563</v>
      </c>
      <c r="G807" s="32" t="s">
        <v>2832</v>
      </c>
      <c r="H807" s="37" t="s">
        <v>1613</v>
      </c>
      <c r="I807" s="39" t="s">
        <v>2899</v>
      </c>
      <c r="J807" s="24" t="s">
        <v>461</v>
      </c>
      <c r="K807" s="40"/>
      <c r="L807" s="38" t="s">
        <v>2907</v>
      </c>
      <c r="M807" s="44" t="s">
        <v>26</v>
      </c>
      <c r="N807" s="46" t="s">
        <v>2908</v>
      </c>
      <c r="O807" s="47" t="s">
        <v>1130</v>
      </c>
      <c r="P807" s="50"/>
      <c r="Q807" s="45"/>
      <c r="R807" s="25"/>
      <c r="S807" s="52"/>
    </row>
    <row r="808" spans="1:19" ht="16.5" customHeight="1" x14ac:dyDescent="0.3">
      <c r="A808" s="27" t="s">
        <v>487</v>
      </c>
      <c r="B808" s="28" t="s">
        <v>488</v>
      </c>
      <c r="C808" s="26" t="s">
        <v>1808</v>
      </c>
      <c r="D808" s="31" t="s">
        <v>152</v>
      </c>
      <c r="E808" s="33" t="s">
        <v>2399</v>
      </c>
      <c r="F808" s="34" t="s">
        <v>563</v>
      </c>
      <c r="G808" s="32" t="s">
        <v>2832</v>
      </c>
      <c r="H808" s="37" t="s">
        <v>1613</v>
      </c>
      <c r="I808" s="39" t="s">
        <v>2899</v>
      </c>
      <c r="J808" s="24" t="s">
        <v>461</v>
      </c>
      <c r="K808" s="40"/>
      <c r="L808" s="38" t="s">
        <v>2907</v>
      </c>
      <c r="M808" s="44" t="s">
        <v>26</v>
      </c>
      <c r="N808" s="46" t="s">
        <v>2909</v>
      </c>
      <c r="O808" s="47" t="s">
        <v>1131</v>
      </c>
      <c r="P808" s="50"/>
      <c r="Q808" s="45"/>
      <c r="R808" s="25"/>
      <c r="S808" s="52"/>
    </row>
    <row r="809" spans="1:19" ht="16.5" customHeight="1" x14ac:dyDescent="0.3">
      <c r="A809" s="27" t="s">
        <v>487</v>
      </c>
      <c r="B809" s="28" t="s">
        <v>488</v>
      </c>
      <c r="C809" s="26" t="s">
        <v>1808</v>
      </c>
      <c r="D809" s="31" t="s">
        <v>152</v>
      </c>
      <c r="E809" s="33" t="s">
        <v>2399</v>
      </c>
      <c r="F809" s="34" t="s">
        <v>563</v>
      </c>
      <c r="G809" s="32" t="s">
        <v>2832</v>
      </c>
      <c r="H809" s="37" t="s">
        <v>1613</v>
      </c>
      <c r="I809" s="39" t="s">
        <v>2899</v>
      </c>
      <c r="J809" s="24" t="s">
        <v>461</v>
      </c>
      <c r="K809" s="40"/>
      <c r="L809" s="38" t="s">
        <v>2907</v>
      </c>
      <c r="M809" s="44" t="s">
        <v>26</v>
      </c>
      <c r="N809" s="46" t="s">
        <v>2910</v>
      </c>
      <c r="O809" s="47" t="s">
        <v>1132</v>
      </c>
      <c r="P809" s="50"/>
      <c r="Q809" s="45"/>
      <c r="R809" s="25"/>
      <c r="S809" s="52"/>
    </row>
    <row r="810" spans="1:19" ht="16.5" customHeight="1" x14ac:dyDescent="0.3">
      <c r="A810" s="27" t="s">
        <v>487</v>
      </c>
      <c r="B810" s="28" t="s">
        <v>488</v>
      </c>
      <c r="C810" s="26" t="s">
        <v>1808</v>
      </c>
      <c r="D810" s="31" t="s">
        <v>152</v>
      </c>
      <c r="E810" s="33" t="s">
        <v>2399</v>
      </c>
      <c r="F810" s="34" t="s">
        <v>563</v>
      </c>
      <c r="G810" s="32" t="s">
        <v>2832</v>
      </c>
      <c r="H810" s="37" t="s">
        <v>1613</v>
      </c>
      <c r="I810" s="39" t="s">
        <v>2899</v>
      </c>
      <c r="J810" s="24" t="s">
        <v>461</v>
      </c>
      <c r="K810" s="40"/>
      <c r="L810" s="38" t="s">
        <v>2907</v>
      </c>
      <c r="M810" s="44" t="s">
        <v>26</v>
      </c>
      <c r="N810" s="46" t="s">
        <v>2911</v>
      </c>
      <c r="O810" s="47" t="s">
        <v>1133</v>
      </c>
      <c r="P810" s="50"/>
      <c r="Q810" s="45"/>
      <c r="R810" s="25"/>
      <c r="S810" s="52"/>
    </row>
    <row r="811" spans="1:19" ht="16.5" customHeight="1" x14ac:dyDescent="0.3">
      <c r="A811" s="27" t="s">
        <v>487</v>
      </c>
      <c r="B811" s="28" t="s">
        <v>488</v>
      </c>
      <c r="C811" s="26" t="s">
        <v>1808</v>
      </c>
      <c r="D811" s="31" t="s">
        <v>152</v>
      </c>
      <c r="E811" s="33" t="s">
        <v>2399</v>
      </c>
      <c r="F811" s="34" t="s">
        <v>563</v>
      </c>
      <c r="G811" s="32" t="s">
        <v>2832</v>
      </c>
      <c r="H811" s="37" t="s">
        <v>1613</v>
      </c>
      <c r="I811" s="39" t="s">
        <v>2899</v>
      </c>
      <c r="J811" s="24" t="s">
        <v>461</v>
      </c>
      <c r="K811" s="40"/>
      <c r="L811" s="38" t="s">
        <v>2912</v>
      </c>
      <c r="M811" s="44" t="s">
        <v>16</v>
      </c>
      <c r="N811" s="46" t="s">
        <v>2913</v>
      </c>
      <c r="O811" s="47" t="s">
        <v>1134</v>
      </c>
      <c r="P811" s="50"/>
      <c r="Q811" s="45"/>
      <c r="R811" s="25"/>
      <c r="S811" s="52"/>
    </row>
    <row r="812" spans="1:19" ht="16.5" customHeight="1" x14ac:dyDescent="0.3">
      <c r="A812" s="27" t="s">
        <v>487</v>
      </c>
      <c r="B812" s="28" t="s">
        <v>488</v>
      </c>
      <c r="C812" s="26" t="s">
        <v>1808</v>
      </c>
      <c r="D812" s="31" t="s">
        <v>152</v>
      </c>
      <c r="E812" s="33" t="s">
        <v>2399</v>
      </c>
      <c r="F812" s="34" t="s">
        <v>563</v>
      </c>
      <c r="G812" s="32" t="s">
        <v>2832</v>
      </c>
      <c r="H812" s="37" t="s">
        <v>1613</v>
      </c>
      <c r="I812" s="39" t="s">
        <v>2899</v>
      </c>
      <c r="J812" s="24" t="s">
        <v>461</v>
      </c>
      <c r="K812" s="40"/>
      <c r="L812" s="38" t="s">
        <v>2914</v>
      </c>
      <c r="M812" s="44" t="s">
        <v>30</v>
      </c>
      <c r="N812" s="46" t="s">
        <v>2915</v>
      </c>
      <c r="O812" s="47" t="s">
        <v>1656</v>
      </c>
      <c r="P812" s="50"/>
      <c r="Q812" s="45"/>
      <c r="R812" s="25"/>
      <c r="S812" s="52"/>
    </row>
    <row r="813" spans="1:19" ht="16.5" customHeight="1" x14ac:dyDescent="0.3">
      <c r="A813" s="27" t="s">
        <v>487</v>
      </c>
      <c r="B813" s="28" t="s">
        <v>488</v>
      </c>
      <c r="C813" s="26" t="s">
        <v>1808</v>
      </c>
      <c r="D813" s="31" t="s">
        <v>152</v>
      </c>
      <c r="E813" s="33" t="s">
        <v>2399</v>
      </c>
      <c r="F813" s="34" t="s">
        <v>563</v>
      </c>
      <c r="G813" s="32" t="s">
        <v>2832</v>
      </c>
      <c r="H813" s="37" t="s">
        <v>1613</v>
      </c>
      <c r="I813" s="39" t="s">
        <v>2899</v>
      </c>
      <c r="J813" s="24" t="s">
        <v>461</v>
      </c>
      <c r="K813" s="40"/>
      <c r="L813" s="38" t="s">
        <v>2914</v>
      </c>
      <c r="M813" s="44" t="s">
        <v>30</v>
      </c>
      <c r="N813" s="46" t="s">
        <v>2916</v>
      </c>
      <c r="O813" s="47" t="s">
        <v>1659</v>
      </c>
      <c r="P813" s="50"/>
      <c r="Q813" s="45"/>
      <c r="R813" s="25"/>
      <c r="S813" s="52"/>
    </row>
    <row r="814" spans="1:19" ht="16.5" customHeight="1" x14ac:dyDescent="0.3">
      <c r="A814" s="27" t="s">
        <v>487</v>
      </c>
      <c r="B814" s="28" t="s">
        <v>488</v>
      </c>
      <c r="C814" s="26" t="s">
        <v>1808</v>
      </c>
      <c r="D814" s="31" t="s">
        <v>152</v>
      </c>
      <c r="E814" s="33" t="s">
        <v>2399</v>
      </c>
      <c r="F814" s="34" t="s">
        <v>563</v>
      </c>
      <c r="G814" s="32" t="s">
        <v>2832</v>
      </c>
      <c r="H814" s="37" t="s">
        <v>1613</v>
      </c>
      <c r="I814" s="39" t="s">
        <v>2899</v>
      </c>
      <c r="J814" s="24" t="s">
        <v>461</v>
      </c>
      <c r="K814" s="40"/>
      <c r="L814" s="38" t="s">
        <v>2914</v>
      </c>
      <c r="M814" s="44" t="s">
        <v>30</v>
      </c>
      <c r="N814" s="46" t="s">
        <v>2917</v>
      </c>
      <c r="O814" s="47" t="s">
        <v>1657</v>
      </c>
      <c r="P814" s="50"/>
      <c r="Q814" s="45"/>
      <c r="R814" s="25"/>
      <c r="S814" s="52"/>
    </row>
    <row r="815" spans="1:19" ht="16.5" customHeight="1" x14ac:dyDescent="0.3">
      <c r="A815" s="27" t="s">
        <v>487</v>
      </c>
      <c r="B815" s="28" t="s">
        <v>488</v>
      </c>
      <c r="C815" s="26" t="s">
        <v>1808</v>
      </c>
      <c r="D815" s="31" t="s">
        <v>152</v>
      </c>
      <c r="E815" s="33" t="s">
        <v>2399</v>
      </c>
      <c r="F815" s="34" t="s">
        <v>563</v>
      </c>
      <c r="G815" s="32" t="s">
        <v>2832</v>
      </c>
      <c r="H815" s="37" t="s">
        <v>1613</v>
      </c>
      <c r="I815" s="39" t="s">
        <v>2899</v>
      </c>
      <c r="J815" s="24" t="s">
        <v>461</v>
      </c>
      <c r="K815" s="40"/>
      <c r="L815" s="38" t="s">
        <v>2914</v>
      </c>
      <c r="M815" s="44" t="s">
        <v>30</v>
      </c>
      <c r="N815" s="46" t="s">
        <v>2918</v>
      </c>
      <c r="O815" s="47" t="s">
        <v>1658</v>
      </c>
      <c r="P815" s="50"/>
      <c r="Q815" s="45"/>
      <c r="R815" s="25"/>
      <c r="S815" s="52"/>
    </row>
    <row r="816" spans="1:19" ht="16.5" customHeight="1" x14ac:dyDescent="0.3">
      <c r="A816" s="27" t="s">
        <v>487</v>
      </c>
      <c r="B816" s="28" t="s">
        <v>488</v>
      </c>
      <c r="C816" s="26" t="s">
        <v>1808</v>
      </c>
      <c r="D816" s="31" t="s">
        <v>152</v>
      </c>
      <c r="E816" s="33" t="s">
        <v>2399</v>
      </c>
      <c r="F816" s="34" t="s">
        <v>563</v>
      </c>
      <c r="G816" s="32" t="s">
        <v>2832</v>
      </c>
      <c r="H816" s="37" t="s">
        <v>1613</v>
      </c>
      <c r="I816" s="39" t="s">
        <v>2899</v>
      </c>
      <c r="J816" s="24" t="s">
        <v>461</v>
      </c>
      <c r="K816" s="40"/>
      <c r="L816" s="38" t="s">
        <v>2919</v>
      </c>
      <c r="M816" s="44" t="s">
        <v>123</v>
      </c>
      <c r="N816" s="46" t="s">
        <v>2920</v>
      </c>
      <c r="O816" s="47" t="s">
        <v>1654</v>
      </c>
      <c r="P816" s="50"/>
      <c r="Q816" s="45"/>
      <c r="R816" s="25"/>
      <c r="S816" s="52"/>
    </row>
    <row r="817" spans="1:19" ht="16.5" customHeight="1" x14ac:dyDescent="0.3">
      <c r="A817" s="27" t="s">
        <v>487</v>
      </c>
      <c r="B817" s="28" t="s">
        <v>488</v>
      </c>
      <c r="C817" s="26" t="s">
        <v>1808</v>
      </c>
      <c r="D817" s="31" t="s">
        <v>152</v>
      </c>
      <c r="E817" s="33" t="s">
        <v>2399</v>
      </c>
      <c r="F817" s="34" t="s">
        <v>563</v>
      </c>
      <c r="G817" s="32" t="s">
        <v>2832</v>
      </c>
      <c r="H817" s="37" t="s">
        <v>1613</v>
      </c>
      <c r="I817" s="39" t="s">
        <v>2921</v>
      </c>
      <c r="J817" s="24" t="s">
        <v>462</v>
      </c>
      <c r="K817" s="40"/>
      <c r="L817" s="38" t="s">
        <v>2922</v>
      </c>
      <c r="M817" s="44" t="s">
        <v>564</v>
      </c>
      <c r="N817" s="46" t="s">
        <v>2923</v>
      </c>
      <c r="O817" s="47" t="s">
        <v>1136</v>
      </c>
      <c r="P817" s="50"/>
      <c r="Q817" s="45"/>
      <c r="R817" s="25"/>
      <c r="S817" s="52"/>
    </row>
    <row r="818" spans="1:19" ht="16.5" customHeight="1" x14ac:dyDescent="0.3">
      <c r="A818" s="27" t="s">
        <v>487</v>
      </c>
      <c r="B818" s="28" t="s">
        <v>488</v>
      </c>
      <c r="C818" s="26" t="s">
        <v>1808</v>
      </c>
      <c r="D818" s="31" t="s">
        <v>152</v>
      </c>
      <c r="E818" s="33" t="s">
        <v>2399</v>
      </c>
      <c r="F818" s="34" t="s">
        <v>563</v>
      </c>
      <c r="G818" s="32" t="s">
        <v>2832</v>
      </c>
      <c r="H818" s="37" t="s">
        <v>1613</v>
      </c>
      <c r="I818" s="39" t="s">
        <v>2921</v>
      </c>
      <c r="J818" s="24" t="s">
        <v>462</v>
      </c>
      <c r="K818" s="40"/>
      <c r="L818" s="38" t="s">
        <v>2922</v>
      </c>
      <c r="M818" s="44" t="s">
        <v>564</v>
      </c>
      <c r="N818" s="46" t="s">
        <v>2924</v>
      </c>
      <c r="O818" s="47" t="s">
        <v>1137</v>
      </c>
      <c r="P818" s="50"/>
      <c r="Q818" s="45"/>
      <c r="R818" s="25"/>
      <c r="S818" s="52"/>
    </row>
    <row r="819" spans="1:19" ht="16.5" customHeight="1" x14ac:dyDescent="0.3">
      <c r="A819" s="27" t="s">
        <v>487</v>
      </c>
      <c r="B819" s="28" t="s">
        <v>488</v>
      </c>
      <c r="C819" s="26" t="s">
        <v>1808</v>
      </c>
      <c r="D819" s="31" t="s">
        <v>152</v>
      </c>
      <c r="E819" s="33" t="s">
        <v>2399</v>
      </c>
      <c r="F819" s="34" t="s">
        <v>563</v>
      </c>
      <c r="G819" s="32" t="s">
        <v>2832</v>
      </c>
      <c r="H819" s="37" t="s">
        <v>1613</v>
      </c>
      <c r="I819" s="39" t="s">
        <v>2921</v>
      </c>
      <c r="J819" s="24" t="s">
        <v>462</v>
      </c>
      <c r="K819" s="40"/>
      <c r="L819" s="38" t="s">
        <v>2922</v>
      </c>
      <c r="M819" s="44" t="s">
        <v>564</v>
      </c>
      <c r="N819" s="46" t="s">
        <v>2925</v>
      </c>
      <c r="O819" s="47" t="s">
        <v>1135</v>
      </c>
      <c r="P819" s="50"/>
      <c r="Q819" s="45"/>
      <c r="R819" s="25"/>
      <c r="S819" s="52"/>
    </row>
    <row r="820" spans="1:19" ht="16.5" customHeight="1" x14ac:dyDescent="0.3">
      <c r="A820" s="27" t="s">
        <v>487</v>
      </c>
      <c r="B820" s="28" t="s">
        <v>488</v>
      </c>
      <c r="C820" s="26" t="s">
        <v>1808</v>
      </c>
      <c r="D820" s="31" t="s">
        <v>152</v>
      </c>
      <c r="E820" s="33" t="s">
        <v>2399</v>
      </c>
      <c r="F820" s="34" t="s">
        <v>563</v>
      </c>
      <c r="G820" s="32" t="s">
        <v>2832</v>
      </c>
      <c r="H820" s="37" t="s">
        <v>1613</v>
      </c>
      <c r="I820" s="39" t="s">
        <v>2921</v>
      </c>
      <c r="J820" s="24" t="s">
        <v>462</v>
      </c>
      <c r="K820" s="40"/>
      <c r="L820" s="38" t="s">
        <v>2922</v>
      </c>
      <c r="M820" s="44" t="s">
        <v>564</v>
      </c>
      <c r="N820" s="46" t="s">
        <v>2926</v>
      </c>
      <c r="O820" s="47" t="s">
        <v>1138</v>
      </c>
      <c r="P820" s="50"/>
      <c r="Q820" s="45"/>
      <c r="R820" s="25"/>
      <c r="S820" s="52"/>
    </row>
    <row r="821" spans="1:19" ht="16.5" customHeight="1" x14ac:dyDescent="0.3">
      <c r="A821" s="27" t="s">
        <v>487</v>
      </c>
      <c r="B821" s="28" t="s">
        <v>488</v>
      </c>
      <c r="C821" s="26" t="s">
        <v>1808</v>
      </c>
      <c r="D821" s="31" t="s">
        <v>152</v>
      </c>
      <c r="E821" s="33" t="s">
        <v>2399</v>
      </c>
      <c r="F821" s="34" t="s">
        <v>563</v>
      </c>
      <c r="G821" s="32" t="s">
        <v>2832</v>
      </c>
      <c r="H821" s="37" t="s">
        <v>1613</v>
      </c>
      <c r="I821" s="39" t="s">
        <v>2921</v>
      </c>
      <c r="J821" s="24" t="s">
        <v>462</v>
      </c>
      <c r="K821" s="40"/>
      <c r="L821" s="38" t="s">
        <v>2922</v>
      </c>
      <c r="M821" s="44" t="s">
        <v>564</v>
      </c>
      <c r="N821" s="46" t="s">
        <v>2927</v>
      </c>
      <c r="O821" s="47" t="s">
        <v>1139</v>
      </c>
      <c r="P821" s="50"/>
      <c r="Q821" s="45"/>
      <c r="R821" s="25"/>
      <c r="S821" s="52"/>
    </row>
    <row r="822" spans="1:19" ht="16.5" customHeight="1" x14ac:dyDescent="0.3">
      <c r="A822" s="27" t="s">
        <v>487</v>
      </c>
      <c r="B822" s="28" t="s">
        <v>488</v>
      </c>
      <c r="C822" s="26" t="s">
        <v>1808</v>
      </c>
      <c r="D822" s="31" t="s">
        <v>152</v>
      </c>
      <c r="E822" s="33" t="s">
        <v>2399</v>
      </c>
      <c r="F822" s="34" t="s">
        <v>563</v>
      </c>
      <c r="G822" s="32" t="s">
        <v>2832</v>
      </c>
      <c r="H822" s="37" t="s">
        <v>1613</v>
      </c>
      <c r="I822" s="39" t="s">
        <v>2921</v>
      </c>
      <c r="J822" s="24" t="s">
        <v>462</v>
      </c>
      <c r="K822" s="40"/>
      <c r="L822" s="38" t="s">
        <v>2922</v>
      </c>
      <c r="M822" s="44" t="s">
        <v>564</v>
      </c>
      <c r="N822" s="46" t="s">
        <v>2928</v>
      </c>
      <c r="O822" s="47" t="s">
        <v>1655</v>
      </c>
      <c r="P822" s="50"/>
      <c r="Q822" s="45"/>
      <c r="R822" s="25"/>
      <c r="S822" s="52"/>
    </row>
    <row r="823" spans="1:19" ht="16.5" customHeight="1" x14ac:dyDescent="0.3">
      <c r="A823" s="27" t="s">
        <v>487</v>
      </c>
      <c r="B823" s="28" t="s">
        <v>488</v>
      </c>
      <c r="C823" s="26" t="s">
        <v>1808</v>
      </c>
      <c r="D823" s="31" t="s">
        <v>152</v>
      </c>
      <c r="E823" s="33" t="s">
        <v>2399</v>
      </c>
      <c r="F823" s="34" t="s">
        <v>563</v>
      </c>
      <c r="G823" s="32" t="s">
        <v>2832</v>
      </c>
      <c r="H823" s="37" t="s">
        <v>1613</v>
      </c>
      <c r="I823" s="39" t="s">
        <v>2921</v>
      </c>
      <c r="J823" s="24" t="s">
        <v>462</v>
      </c>
      <c r="K823" s="40"/>
      <c r="L823" s="38" t="s">
        <v>2929</v>
      </c>
      <c r="M823" s="44" t="s">
        <v>26</v>
      </c>
      <c r="N823" s="46" t="s">
        <v>2930</v>
      </c>
      <c r="O823" s="47" t="s">
        <v>1140</v>
      </c>
      <c r="P823" s="50"/>
      <c r="Q823" s="45"/>
      <c r="R823" s="25"/>
      <c r="S823" s="52"/>
    </row>
    <row r="824" spans="1:19" ht="16.5" customHeight="1" x14ac:dyDescent="0.3">
      <c r="A824" s="27" t="s">
        <v>487</v>
      </c>
      <c r="B824" s="28" t="s">
        <v>488</v>
      </c>
      <c r="C824" s="26" t="s">
        <v>1808</v>
      </c>
      <c r="D824" s="31" t="s">
        <v>152</v>
      </c>
      <c r="E824" s="33" t="s">
        <v>2399</v>
      </c>
      <c r="F824" s="34" t="s">
        <v>563</v>
      </c>
      <c r="G824" s="32" t="s">
        <v>2832</v>
      </c>
      <c r="H824" s="37" t="s">
        <v>1613</v>
      </c>
      <c r="I824" s="39" t="s">
        <v>2921</v>
      </c>
      <c r="J824" s="24" t="s">
        <v>462</v>
      </c>
      <c r="K824" s="40"/>
      <c r="L824" s="38" t="s">
        <v>2929</v>
      </c>
      <c r="M824" s="44" t="s">
        <v>26</v>
      </c>
      <c r="N824" s="46" t="s">
        <v>2931</v>
      </c>
      <c r="O824" s="47" t="s">
        <v>1141</v>
      </c>
      <c r="P824" s="50"/>
      <c r="Q824" s="45"/>
      <c r="R824" s="25"/>
      <c r="S824" s="52"/>
    </row>
    <row r="825" spans="1:19" ht="16.5" customHeight="1" x14ac:dyDescent="0.3">
      <c r="A825" s="27" t="s">
        <v>487</v>
      </c>
      <c r="B825" s="28" t="s">
        <v>488</v>
      </c>
      <c r="C825" s="26" t="s">
        <v>1808</v>
      </c>
      <c r="D825" s="31" t="s">
        <v>152</v>
      </c>
      <c r="E825" s="33" t="s">
        <v>2399</v>
      </c>
      <c r="F825" s="34" t="s">
        <v>563</v>
      </c>
      <c r="G825" s="32" t="s">
        <v>2832</v>
      </c>
      <c r="H825" s="37" t="s">
        <v>1613</v>
      </c>
      <c r="I825" s="39" t="s">
        <v>2921</v>
      </c>
      <c r="J825" s="24" t="s">
        <v>462</v>
      </c>
      <c r="K825" s="40"/>
      <c r="L825" s="38" t="s">
        <v>2929</v>
      </c>
      <c r="M825" s="44" t="s">
        <v>26</v>
      </c>
      <c r="N825" s="46" t="s">
        <v>2932</v>
      </c>
      <c r="O825" s="47" t="s">
        <v>1142</v>
      </c>
      <c r="P825" s="50"/>
      <c r="Q825" s="45"/>
      <c r="R825" s="25"/>
      <c r="S825" s="52"/>
    </row>
    <row r="826" spans="1:19" ht="16.5" customHeight="1" x14ac:dyDescent="0.3">
      <c r="A826" s="27" t="s">
        <v>487</v>
      </c>
      <c r="B826" s="28" t="s">
        <v>488</v>
      </c>
      <c r="C826" s="26" t="s">
        <v>1808</v>
      </c>
      <c r="D826" s="31" t="s">
        <v>152</v>
      </c>
      <c r="E826" s="33" t="s">
        <v>2399</v>
      </c>
      <c r="F826" s="34" t="s">
        <v>563</v>
      </c>
      <c r="G826" s="32" t="s">
        <v>2832</v>
      </c>
      <c r="H826" s="37" t="s">
        <v>1613</v>
      </c>
      <c r="I826" s="39" t="s">
        <v>2921</v>
      </c>
      <c r="J826" s="24" t="s">
        <v>462</v>
      </c>
      <c r="K826" s="40"/>
      <c r="L826" s="38" t="s">
        <v>2929</v>
      </c>
      <c r="M826" s="44" t="s">
        <v>26</v>
      </c>
      <c r="N826" s="46" t="s">
        <v>2933</v>
      </c>
      <c r="O826" s="47" t="s">
        <v>1143</v>
      </c>
      <c r="P826" s="50"/>
      <c r="Q826" s="45"/>
      <c r="R826" s="25"/>
      <c r="S826" s="52"/>
    </row>
    <row r="827" spans="1:19" ht="16.5" customHeight="1" x14ac:dyDescent="0.3">
      <c r="A827" s="27" t="s">
        <v>487</v>
      </c>
      <c r="B827" s="28" t="s">
        <v>488</v>
      </c>
      <c r="C827" s="26" t="s">
        <v>1808</v>
      </c>
      <c r="D827" s="31" t="s">
        <v>152</v>
      </c>
      <c r="E827" s="33" t="s">
        <v>2399</v>
      </c>
      <c r="F827" s="34" t="s">
        <v>563</v>
      </c>
      <c r="G827" s="32" t="s">
        <v>2832</v>
      </c>
      <c r="H827" s="37" t="s">
        <v>1613</v>
      </c>
      <c r="I827" s="39" t="s">
        <v>2921</v>
      </c>
      <c r="J827" s="24" t="s">
        <v>462</v>
      </c>
      <c r="K827" s="40"/>
      <c r="L827" s="38" t="s">
        <v>2934</v>
      </c>
      <c r="M827" s="44" t="s">
        <v>16</v>
      </c>
      <c r="N827" s="46" t="s">
        <v>2935</v>
      </c>
      <c r="O827" s="47" t="s">
        <v>1144</v>
      </c>
      <c r="P827" s="50"/>
      <c r="Q827" s="45"/>
      <c r="R827" s="25"/>
      <c r="S827" s="52"/>
    </row>
    <row r="828" spans="1:19" ht="16.5" customHeight="1" x14ac:dyDescent="0.3">
      <c r="A828" s="27" t="s">
        <v>487</v>
      </c>
      <c r="B828" s="28" t="s">
        <v>488</v>
      </c>
      <c r="C828" s="26" t="s">
        <v>1808</v>
      </c>
      <c r="D828" s="31" t="s">
        <v>152</v>
      </c>
      <c r="E828" s="33" t="s">
        <v>2399</v>
      </c>
      <c r="F828" s="34" t="s">
        <v>563</v>
      </c>
      <c r="G828" s="32" t="s">
        <v>2832</v>
      </c>
      <c r="H828" s="37" t="s">
        <v>1613</v>
      </c>
      <c r="I828" s="39" t="s">
        <v>2921</v>
      </c>
      <c r="J828" s="24" t="s">
        <v>462</v>
      </c>
      <c r="K828" s="40"/>
      <c r="L828" s="38" t="s">
        <v>2936</v>
      </c>
      <c r="M828" s="44" t="s">
        <v>30</v>
      </c>
      <c r="N828" s="46" t="s">
        <v>2937</v>
      </c>
      <c r="O828" s="47" t="s">
        <v>1656</v>
      </c>
      <c r="P828" s="50"/>
      <c r="Q828" s="45"/>
      <c r="R828" s="25"/>
      <c r="S828" s="52"/>
    </row>
    <row r="829" spans="1:19" ht="16.5" customHeight="1" x14ac:dyDescent="0.3">
      <c r="A829" s="27" t="s">
        <v>487</v>
      </c>
      <c r="B829" s="28" t="s">
        <v>488</v>
      </c>
      <c r="C829" s="26" t="s">
        <v>1808</v>
      </c>
      <c r="D829" s="31" t="s">
        <v>152</v>
      </c>
      <c r="E829" s="33" t="s">
        <v>2399</v>
      </c>
      <c r="F829" s="34" t="s">
        <v>563</v>
      </c>
      <c r="G829" s="32" t="s">
        <v>2832</v>
      </c>
      <c r="H829" s="37" t="s">
        <v>1613</v>
      </c>
      <c r="I829" s="39" t="s">
        <v>2921</v>
      </c>
      <c r="J829" s="24" t="s">
        <v>462</v>
      </c>
      <c r="K829" s="40"/>
      <c r="L829" s="38" t="s">
        <v>2936</v>
      </c>
      <c r="M829" s="44" t="s">
        <v>30</v>
      </c>
      <c r="N829" s="46" t="s">
        <v>2938</v>
      </c>
      <c r="O829" s="47" t="s">
        <v>1659</v>
      </c>
      <c r="P829" s="50"/>
      <c r="Q829" s="45"/>
      <c r="R829" s="25"/>
      <c r="S829" s="52"/>
    </row>
    <row r="830" spans="1:19" ht="16.5" customHeight="1" x14ac:dyDescent="0.3">
      <c r="A830" s="27" t="s">
        <v>487</v>
      </c>
      <c r="B830" s="28" t="s">
        <v>488</v>
      </c>
      <c r="C830" s="26" t="s">
        <v>1808</v>
      </c>
      <c r="D830" s="31" t="s">
        <v>152</v>
      </c>
      <c r="E830" s="33" t="s">
        <v>2399</v>
      </c>
      <c r="F830" s="34" t="s">
        <v>563</v>
      </c>
      <c r="G830" s="32" t="s">
        <v>2832</v>
      </c>
      <c r="H830" s="37" t="s">
        <v>1613</v>
      </c>
      <c r="I830" s="39" t="s">
        <v>2921</v>
      </c>
      <c r="J830" s="24" t="s">
        <v>462</v>
      </c>
      <c r="K830" s="40"/>
      <c r="L830" s="38" t="s">
        <v>2936</v>
      </c>
      <c r="M830" s="44" t="s">
        <v>30</v>
      </c>
      <c r="N830" s="46" t="s">
        <v>2939</v>
      </c>
      <c r="O830" s="47" t="s">
        <v>1657</v>
      </c>
      <c r="P830" s="50"/>
      <c r="Q830" s="45"/>
      <c r="R830" s="25"/>
      <c r="S830" s="52"/>
    </row>
    <row r="831" spans="1:19" ht="16.5" customHeight="1" x14ac:dyDescent="0.3">
      <c r="A831" s="27" t="s">
        <v>487</v>
      </c>
      <c r="B831" s="28" t="s">
        <v>488</v>
      </c>
      <c r="C831" s="26" t="s">
        <v>1808</v>
      </c>
      <c r="D831" s="31" t="s">
        <v>152</v>
      </c>
      <c r="E831" s="33" t="s">
        <v>2399</v>
      </c>
      <c r="F831" s="34" t="s">
        <v>563</v>
      </c>
      <c r="G831" s="32" t="s">
        <v>2832</v>
      </c>
      <c r="H831" s="37" t="s">
        <v>1613</v>
      </c>
      <c r="I831" s="39" t="s">
        <v>2921</v>
      </c>
      <c r="J831" s="24" t="s">
        <v>462</v>
      </c>
      <c r="K831" s="40"/>
      <c r="L831" s="38" t="s">
        <v>2936</v>
      </c>
      <c r="M831" s="44" t="s">
        <v>30</v>
      </c>
      <c r="N831" s="46" t="s">
        <v>2940</v>
      </c>
      <c r="O831" s="47" t="s">
        <v>1658</v>
      </c>
      <c r="P831" s="50"/>
      <c r="Q831" s="45"/>
      <c r="R831" s="25"/>
      <c r="S831" s="52"/>
    </row>
    <row r="832" spans="1:19" ht="16.5" customHeight="1" x14ac:dyDescent="0.3">
      <c r="A832" s="27" t="s">
        <v>487</v>
      </c>
      <c r="B832" s="28" t="s">
        <v>488</v>
      </c>
      <c r="C832" s="26" t="s">
        <v>1808</v>
      </c>
      <c r="D832" s="31" t="s">
        <v>152</v>
      </c>
      <c r="E832" s="33" t="s">
        <v>2399</v>
      </c>
      <c r="F832" s="34" t="s">
        <v>563</v>
      </c>
      <c r="G832" s="32" t="s">
        <v>2832</v>
      </c>
      <c r="H832" s="37" t="s">
        <v>1613</v>
      </c>
      <c r="I832" s="39" t="s">
        <v>2921</v>
      </c>
      <c r="J832" s="24" t="s">
        <v>462</v>
      </c>
      <c r="K832" s="40"/>
      <c r="L832" s="38" t="s">
        <v>2941</v>
      </c>
      <c r="M832" s="44" t="s">
        <v>123</v>
      </c>
      <c r="N832" s="46" t="s">
        <v>2942</v>
      </c>
      <c r="O832" s="47" t="s">
        <v>1654</v>
      </c>
      <c r="P832" s="50"/>
      <c r="Q832" s="45"/>
      <c r="R832" s="25"/>
      <c r="S832" s="52"/>
    </row>
    <row r="833" spans="1:19" ht="16.5" customHeight="1" x14ac:dyDescent="0.3">
      <c r="A833" s="27" t="s">
        <v>487</v>
      </c>
      <c r="B833" s="28" t="s">
        <v>488</v>
      </c>
      <c r="C833" s="26" t="s">
        <v>1808</v>
      </c>
      <c r="D833" s="31" t="s">
        <v>152</v>
      </c>
      <c r="E833" s="33" t="s">
        <v>2399</v>
      </c>
      <c r="F833" s="34" t="s">
        <v>563</v>
      </c>
      <c r="G833" s="32" t="s">
        <v>2832</v>
      </c>
      <c r="H833" s="37" t="s">
        <v>1613</v>
      </c>
      <c r="I833" s="39" t="s">
        <v>2943</v>
      </c>
      <c r="J833" s="24" t="s">
        <v>463</v>
      </c>
      <c r="K833" s="40"/>
      <c r="L833" s="38" t="s">
        <v>2944</v>
      </c>
      <c r="M833" s="44" t="s">
        <v>564</v>
      </c>
      <c r="N833" s="46" t="s">
        <v>2945</v>
      </c>
      <c r="O833" s="47" t="s">
        <v>1146</v>
      </c>
      <c r="P833" s="50"/>
      <c r="Q833" s="45"/>
      <c r="R833" s="25"/>
      <c r="S833" s="52"/>
    </row>
    <row r="834" spans="1:19" ht="16.5" customHeight="1" x14ac:dyDescent="0.3">
      <c r="A834" s="27" t="s">
        <v>487</v>
      </c>
      <c r="B834" s="28" t="s">
        <v>488</v>
      </c>
      <c r="C834" s="26" t="s">
        <v>1808</v>
      </c>
      <c r="D834" s="31" t="s">
        <v>152</v>
      </c>
      <c r="E834" s="33" t="s">
        <v>2399</v>
      </c>
      <c r="F834" s="34" t="s">
        <v>563</v>
      </c>
      <c r="G834" s="32" t="s">
        <v>2832</v>
      </c>
      <c r="H834" s="37" t="s">
        <v>1613</v>
      </c>
      <c r="I834" s="39" t="s">
        <v>2943</v>
      </c>
      <c r="J834" s="24" t="s">
        <v>463</v>
      </c>
      <c r="K834" s="40"/>
      <c r="L834" s="38" t="s">
        <v>2944</v>
      </c>
      <c r="M834" s="44" t="s">
        <v>564</v>
      </c>
      <c r="N834" s="46" t="s">
        <v>2946</v>
      </c>
      <c r="O834" s="47" t="s">
        <v>1147</v>
      </c>
      <c r="P834" s="50"/>
      <c r="Q834" s="45"/>
      <c r="R834" s="25"/>
      <c r="S834" s="52"/>
    </row>
    <row r="835" spans="1:19" ht="16.5" customHeight="1" x14ac:dyDescent="0.3">
      <c r="A835" s="27" t="s">
        <v>487</v>
      </c>
      <c r="B835" s="28" t="s">
        <v>488</v>
      </c>
      <c r="C835" s="26" t="s">
        <v>1808</v>
      </c>
      <c r="D835" s="31" t="s">
        <v>152</v>
      </c>
      <c r="E835" s="33" t="s">
        <v>2399</v>
      </c>
      <c r="F835" s="34" t="s">
        <v>563</v>
      </c>
      <c r="G835" s="32" t="s">
        <v>2832</v>
      </c>
      <c r="H835" s="37" t="s">
        <v>1613</v>
      </c>
      <c r="I835" s="39" t="s">
        <v>2943</v>
      </c>
      <c r="J835" s="24" t="s">
        <v>463</v>
      </c>
      <c r="K835" s="40"/>
      <c r="L835" s="38" t="s">
        <v>2944</v>
      </c>
      <c r="M835" s="44" t="s">
        <v>564</v>
      </c>
      <c r="N835" s="46" t="s">
        <v>2947</v>
      </c>
      <c r="O835" s="47" t="s">
        <v>1145</v>
      </c>
      <c r="P835" s="50"/>
      <c r="Q835" s="45"/>
      <c r="R835" s="25"/>
      <c r="S835" s="52"/>
    </row>
    <row r="836" spans="1:19" ht="16.5" customHeight="1" x14ac:dyDescent="0.3">
      <c r="A836" s="27" t="s">
        <v>487</v>
      </c>
      <c r="B836" s="28" t="s">
        <v>488</v>
      </c>
      <c r="C836" s="26" t="s">
        <v>1808</v>
      </c>
      <c r="D836" s="31" t="s">
        <v>152</v>
      </c>
      <c r="E836" s="33" t="s">
        <v>2399</v>
      </c>
      <c r="F836" s="34" t="s">
        <v>563</v>
      </c>
      <c r="G836" s="32" t="s">
        <v>2832</v>
      </c>
      <c r="H836" s="37" t="s">
        <v>1613</v>
      </c>
      <c r="I836" s="39" t="s">
        <v>2943</v>
      </c>
      <c r="J836" s="24" t="s">
        <v>463</v>
      </c>
      <c r="K836" s="40"/>
      <c r="L836" s="38" t="s">
        <v>2944</v>
      </c>
      <c r="M836" s="44" t="s">
        <v>564</v>
      </c>
      <c r="N836" s="46" t="s">
        <v>2948</v>
      </c>
      <c r="O836" s="47" t="s">
        <v>1148</v>
      </c>
      <c r="P836" s="50"/>
      <c r="Q836" s="45"/>
      <c r="R836" s="25"/>
      <c r="S836" s="52"/>
    </row>
    <row r="837" spans="1:19" ht="16.5" customHeight="1" x14ac:dyDescent="0.3">
      <c r="A837" s="27" t="s">
        <v>487</v>
      </c>
      <c r="B837" s="28" t="s">
        <v>488</v>
      </c>
      <c r="C837" s="26" t="s">
        <v>1808</v>
      </c>
      <c r="D837" s="31" t="s">
        <v>152</v>
      </c>
      <c r="E837" s="33" t="s">
        <v>2399</v>
      </c>
      <c r="F837" s="34" t="s">
        <v>563</v>
      </c>
      <c r="G837" s="32" t="s">
        <v>2832</v>
      </c>
      <c r="H837" s="37" t="s">
        <v>1613</v>
      </c>
      <c r="I837" s="39" t="s">
        <v>2943</v>
      </c>
      <c r="J837" s="24" t="s">
        <v>463</v>
      </c>
      <c r="K837" s="40"/>
      <c r="L837" s="38" t="s">
        <v>2944</v>
      </c>
      <c r="M837" s="44" t="s">
        <v>564</v>
      </c>
      <c r="N837" s="46" t="s">
        <v>2949</v>
      </c>
      <c r="O837" s="47" t="s">
        <v>1149</v>
      </c>
      <c r="P837" s="50"/>
      <c r="Q837" s="45"/>
      <c r="R837" s="25"/>
      <c r="S837" s="52"/>
    </row>
    <row r="838" spans="1:19" ht="16.5" customHeight="1" x14ac:dyDescent="0.3">
      <c r="A838" s="27" t="s">
        <v>487</v>
      </c>
      <c r="B838" s="28" t="s">
        <v>488</v>
      </c>
      <c r="C838" s="26" t="s">
        <v>1808</v>
      </c>
      <c r="D838" s="31" t="s">
        <v>152</v>
      </c>
      <c r="E838" s="33" t="s">
        <v>2399</v>
      </c>
      <c r="F838" s="34" t="s">
        <v>563</v>
      </c>
      <c r="G838" s="32" t="s">
        <v>2832</v>
      </c>
      <c r="H838" s="37" t="s">
        <v>1613</v>
      </c>
      <c r="I838" s="39" t="s">
        <v>2943</v>
      </c>
      <c r="J838" s="24" t="s">
        <v>463</v>
      </c>
      <c r="K838" s="40"/>
      <c r="L838" s="38" t="s">
        <v>2944</v>
      </c>
      <c r="M838" s="44" t="s">
        <v>564</v>
      </c>
      <c r="N838" s="46" t="s">
        <v>2950</v>
      </c>
      <c r="O838" s="47" t="s">
        <v>1655</v>
      </c>
      <c r="P838" s="50"/>
      <c r="Q838" s="45"/>
      <c r="R838" s="25"/>
      <c r="S838" s="52"/>
    </row>
    <row r="839" spans="1:19" ht="16.5" customHeight="1" x14ac:dyDescent="0.3">
      <c r="A839" s="27" t="s">
        <v>487</v>
      </c>
      <c r="B839" s="28" t="s">
        <v>488</v>
      </c>
      <c r="C839" s="26" t="s">
        <v>1808</v>
      </c>
      <c r="D839" s="31" t="s">
        <v>152</v>
      </c>
      <c r="E839" s="33" t="s">
        <v>2399</v>
      </c>
      <c r="F839" s="34" t="s">
        <v>563</v>
      </c>
      <c r="G839" s="32" t="s">
        <v>2832</v>
      </c>
      <c r="H839" s="37" t="s">
        <v>1613</v>
      </c>
      <c r="I839" s="39" t="s">
        <v>2943</v>
      </c>
      <c r="J839" s="24" t="s">
        <v>463</v>
      </c>
      <c r="K839" s="40"/>
      <c r="L839" s="38" t="s">
        <v>2951</v>
      </c>
      <c r="M839" s="44" t="s">
        <v>26</v>
      </c>
      <c r="N839" s="46" t="s">
        <v>2952</v>
      </c>
      <c r="O839" s="47" t="s">
        <v>1150</v>
      </c>
      <c r="P839" s="50"/>
      <c r="Q839" s="45"/>
      <c r="R839" s="25"/>
      <c r="S839" s="52"/>
    </row>
    <row r="840" spans="1:19" ht="16.5" customHeight="1" x14ac:dyDescent="0.3">
      <c r="A840" s="27" t="s">
        <v>487</v>
      </c>
      <c r="B840" s="28" t="s">
        <v>488</v>
      </c>
      <c r="C840" s="26" t="s">
        <v>1808</v>
      </c>
      <c r="D840" s="31" t="s">
        <v>152</v>
      </c>
      <c r="E840" s="33" t="s">
        <v>2399</v>
      </c>
      <c r="F840" s="34" t="s">
        <v>563</v>
      </c>
      <c r="G840" s="32" t="s">
        <v>2832</v>
      </c>
      <c r="H840" s="37" t="s">
        <v>1613</v>
      </c>
      <c r="I840" s="39" t="s">
        <v>2943</v>
      </c>
      <c r="J840" s="24" t="s">
        <v>463</v>
      </c>
      <c r="K840" s="40"/>
      <c r="L840" s="38" t="s">
        <v>2951</v>
      </c>
      <c r="M840" s="44" t="s">
        <v>26</v>
      </c>
      <c r="N840" s="46" t="s">
        <v>2953</v>
      </c>
      <c r="O840" s="47" t="s">
        <v>1151</v>
      </c>
      <c r="P840" s="50"/>
      <c r="Q840" s="45"/>
      <c r="R840" s="25"/>
      <c r="S840" s="52"/>
    </row>
    <row r="841" spans="1:19" ht="16.5" customHeight="1" x14ac:dyDescent="0.3">
      <c r="A841" s="27" t="s">
        <v>487</v>
      </c>
      <c r="B841" s="28" t="s">
        <v>488</v>
      </c>
      <c r="C841" s="26" t="s">
        <v>1808</v>
      </c>
      <c r="D841" s="31" t="s">
        <v>152</v>
      </c>
      <c r="E841" s="33" t="s">
        <v>2399</v>
      </c>
      <c r="F841" s="34" t="s">
        <v>563</v>
      </c>
      <c r="G841" s="32" t="s">
        <v>2832</v>
      </c>
      <c r="H841" s="37" t="s">
        <v>1613</v>
      </c>
      <c r="I841" s="39" t="s">
        <v>2943</v>
      </c>
      <c r="J841" s="24" t="s">
        <v>463</v>
      </c>
      <c r="K841" s="40"/>
      <c r="L841" s="38" t="s">
        <v>2951</v>
      </c>
      <c r="M841" s="44" t="s">
        <v>26</v>
      </c>
      <c r="N841" s="46" t="s">
        <v>2954</v>
      </c>
      <c r="O841" s="47" t="s">
        <v>1152</v>
      </c>
      <c r="P841" s="50"/>
      <c r="Q841" s="45"/>
      <c r="R841" s="25"/>
      <c r="S841" s="52"/>
    </row>
    <row r="842" spans="1:19" ht="16.5" customHeight="1" x14ac:dyDescent="0.3">
      <c r="A842" s="27" t="s">
        <v>487</v>
      </c>
      <c r="B842" s="28" t="s">
        <v>488</v>
      </c>
      <c r="C842" s="26" t="s">
        <v>1808</v>
      </c>
      <c r="D842" s="31" t="s">
        <v>152</v>
      </c>
      <c r="E842" s="33" t="s">
        <v>2399</v>
      </c>
      <c r="F842" s="34" t="s">
        <v>563</v>
      </c>
      <c r="G842" s="32" t="s">
        <v>2832</v>
      </c>
      <c r="H842" s="37" t="s">
        <v>1613</v>
      </c>
      <c r="I842" s="39" t="s">
        <v>2943</v>
      </c>
      <c r="J842" s="24" t="s">
        <v>463</v>
      </c>
      <c r="K842" s="40"/>
      <c r="L842" s="38" t="s">
        <v>2951</v>
      </c>
      <c r="M842" s="44" t="s">
        <v>26</v>
      </c>
      <c r="N842" s="46" t="s">
        <v>2955</v>
      </c>
      <c r="O842" s="47" t="s">
        <v>1153</v>
      </c>
      <c r="P842" s="50"/>
      <c r="Q842" s="45"/>
      <c r="R842" s="25"/>
      <c r="S842" s="52"/>
    </row>
    <row r="843" spans="1:19" ht="16.5" customHeight="1" x14ac:dyDescent="0.3">
      <c r="A843" s="27" t="s">
        <v>487</v>
      </c>
      <c r="B843" s="28" t="s">
        <v>488</v>
      </c>
      <c r="C843" s="26" t="s">
        <v>1808</v>
      </c>
      <c r="D843" s="31" t="s">
        <v>152</v>
      </c>
      <c r="E843" s="33" t="s">
        <v>2399</v>
      </c>
      <c r="F843" s="34" t="s">
        <v>563</v>
      </c>
      <c r="G843" s="32" t="s">
        <v>2832</v>
      </c>
      <c r="H843" s="37" t="s">
        <v>1613</v>
      </c>
      <c r="I843" s="39" t="s">
        <v>2943</v>
      </c>
      <c r="J843" s="24" t="s">
        <v>463</v>
      </c>
      <c r="K843" s="40"/>
      <c r="L843" s="38" t="s">
        <v>2956</v>
      </c>
      <c r="M843" s="44" t="s">
        <v>16</v>
      </c>
      <c r="N843" s="46" t="s">
        <v>2957</v>
      </c>
      <c r="O843" s="47" t="s">
        <v>1154</v>
      </c>
      <c r="P843" s="50"/>
      <c r="Q843" s="45"/>
      <c r="R843" s="25"/>
      <c r="S843" s="52"/>
    </row>
    <row r="844" spans="1:19" ht="16.5" customHeight="1" x14ac:dyDescent="0.3">
      <c r="A844" s="27" t="s">
        <v>487</v>
      </c>
      <c r="B844" s="28" t="s">
        <v>488</v>
      </c>
      <c r="C844" s="26" t="s">
        <v>1808</v>
      </c>
      <c r="D844" s="31" t="s">
        <v>152</v>
      </c>
      <c r="E844" s="33" t="s">
        <v>2399</v>
      </c>
      <c r="F844" s="34" t="s">
        <v>563</v>
      </c>
      <c r="G844" s="32" t="s">
        <v>2832</v>
      </c>
      <c r="H844" s="37" t="s">
        <v>1613</v>
      </c>
      <c r="I844" s="39" t="s">
        <v>2943</v>
      </c>
      <c r="J844" s="24" t="s">
        <v>463</v>
      </c>
      <c r="K844" s="40"/>
      <c r="L844" s="38" t="s">
        <v>2958</v>
      </c>
      <c r="M844" s="44" t="s">
        <v>30</v>
      </c>
      <c r="N844" s="46" t="s">
        <v>2959</v>
      </c>
      <c r="O844" s="47" t="s">
        <v>1656</v>
      </c>
      <c r="P844" s="50"/>
      <c r="Q844" s="45"/>
      <c r="R844" s="25"/>
      <c r="S844" s="52"/>
    </row>
    <row r="845" spans="1:19" ht="16.5" customHeight="1" x14ac:dyDescent="0.3">
      <c r="A845" s="27" t="s">
        <v>487</v>
      </c>
      <c r="B845" s="28" t="s">
        <v>488</v>
      </c>
      <c r="C845" s="26" t="s">
        <v>1808</v>
      </c>
      <c r="D845" s="31" t="s">
        <v>152</v>
      </c>
      <c r="E845" s="33" t="s">
        <v>2399</v>
      </c>
      <c r="F845" s="34" t="s">
        <v>563</v>
      </c>
      <c r="G845" s="32" t="s">
        <v>2832</v>
      </c>
      <c r="H845" s="37" t="s">
        <v>1613</v>
      </c>
      <c r="I845" s="39" t="s">
        <v>2943</v>
      </c>
      <c r="J845" s="24" t="s">
        <v>463</v>
      </c>
      <c r="K845" s="40"/>
      <c r="L845" s="38" t="s">
        <v>2958</v>
      </c>
      <c r="M845" s="44" t="s">
        <v>30</v>
      </c>
      <c r="N845" s="46" t="s">
        <v>2960</v>
      </c>
      <c r="O845" s="47" t="s">
        <v>1659</v>
      </c>
      <c r="P845" s="50"/>
      <c r="Q845" s="45"/>
      <c r="R845" s="25"/>
      <c r="S845" s="52"/>
    </row>
    <row r="846" spans="1:19" ht="16.5" customHeight="1" x14ac:dyDescent="0.3">
      <c r="A846" s="27" t="s">
        <v>487</v>
      </c>
      <c r="B846" s="28" t="s">
        <v>488</v>
      </c>
      <c r="C846" s="26" t="s">
        <v>1808</v>
      </c>
      <c r="D846" s="31" t="s">
        <v>152</v>
      </c>
      <c r="E846" s="33" t="s">
        <v>2399</v>
      </c>
      <c r="F846" s="34" t="s">
        <v>563</v>
      </c>
      <c r="G846" s="32" t="s">
        <v>2832</v>
      </c>
      <c r="H846" s="37" t="s">
        <v>1613</v>
      </c>
      <c r="I846" s="39" t="s">
        <v>2943</v>
      </c>
      <c r="J846" s="24" t="s">
        <v>463</v>
      </c>
      <c r="K846" s="40"/>
      <c r="L846" s="38" t="s">
        <v>2958</v>
      </c>
      <c r="M846" s="44" t="s">
        <v>30</v>
      </c>
      <c r="N846" s="46" t="s">
        <v>2961</v>
      </c>
      <c r="O846" s="47" t="s">
        <v>1657</v>
      </c>
      <c r="P846" s="50"/>
      <c r="Q846" s="45"/>
      <c r="R846" s="25"/>
      <c r="S846" s="52"/>
    </row>
    <row r="847" spans="1:19" ht="16.5" customHeight="1" x14ac:dyDescent="0.3">
      <c r="A847" s="27" t="s">
        <v>487</v>
      </c>
      <c r="B847" s="28" t="s">
        <v>488</v>
      </c>
      <c r="C847" s="26" t="s">
        <v>1808</v>
      </c>
      <c r="D847" s="31" t="s">
        <v>152</v>
      </c>
      <c r="E847" s="33" t="s">
        <v>2399</v>
      </c>
      <c r="F847" s="34" t="s">
        <v>563</v>
      </c>
      <c r="G847" s="32" t="s">
        <v>2832</v>
      </c>
      <c r="H847" s="37" t="s">
        <v>1613</v>
      </c>
      <c r="I847" s="39" t="s">
        <v>2943</v>
      </c>
      <c r="J847" s="24" t="s">
        <v>463</v>
      </c>
      <c r="K847" s="40"/>
      <c r="L847" s="38" t="s">
        <v>2958</v>
      </c>
      <c r="M847" s="44" t="s">
        <v>30</v>
      </c>
      <c r="N847" s="46" t="s">
        <v>2962</v>
      </c>
      <c r="O847" s="47" t="s">
        <v>1658</v>
      </c>
      <c r="P847" s="50"/>
      <c r="Q847" s="45"/>
      <c r="R847" s="25"/>
      <c r="S847" s="52"/>
    </row>
    <row r="848" spans="1:19" ht="16.5" customHeight="1" x14ac:dyDescent="0.3">
      <c r="A848" s="27" t="s">
        <v>487</v>
      </c>
      <c r="B848" s="28" t="s">
        <v>488</v>
      </c>
      <c r="C848" s="26" t="s">
        <v>1808</v>
      </c>
      <c r="D848" s="31" t="s">
        <v>152</v>
      </c>
      <c r="E848" s="33" t="s">
        <v>2399</v>
      </c>
      <c r="F848" s="34" t="s">
        <v>563</v>
      </c>
      <c r="G848" s="32" t="s">
        <v>2832</v>
      </c>
      <c r="H848" s="37" t="s">
        <v>1613</v>
      </c>
      <c r="I848" s="39" t="s">
        <v>2943</v>
      </c>
      <c r="J848" s="24" t="s">
        <v>463</v>
      </c>
      <c r="K848" s="40"/>
      <c r="L848" s="38" t="s">
        <v>2963</v>
      </c>
      <c r="M848" s="44" t="s">
        <v>123</v>
      </c>
      <c r="N848" s="46" t="s">
        <v>2964</v>
      </c>
      <c r="O848" s="47" t="s">
        <v>1654</v>
      </c>
      <c r="P848" s="50"/>
      <c r="Q848" s="45"/>
      <c r="R848" s="25"/>
      <c r="S848" s="52"/>
    </row>
    <row r="849" spans="1:19" ht="16.5" customHeight="1" x14ac:dyDescent="0.3">
      <c r="A849" s="27" t="s">
        <v>487</v>
      </c>
      <c r="B849" s="28" t="s">
        <v>488</v>
      </c>
      <c r="C849" s="26" t="s">
        <v>1808</v>
      </c>
      <c r="D849" s="31" t="s">
        <v>152</v>
      </c>
      <c r="E849" s="33" t="s">
        <v>2399</v>
      </c>
      <c r="F849" s="34" t="s">
        <v>563</v>
      </c>
      <c r="G849" s="32" t="s">
        <v>2832</v>
      </c>
      <c r="H849" s="37" t="s">
        <v>1613</v>
      </c>
      <c r="I849" s="39" t="s">
        <v>2965</v>
      </c>
      <c r="J849" s="24" t="s">
        <v>464</v>
      </c>
      <c r="K849" s="40"/>
      <c r="L849" s="38" t="s">
        <v>2966</v>
      </c>
      <c r="M849" s="44" t="s">
        <v>564</v>
      </c>
      <c r="N849" s="46" t="s">
        <v>2967</v>
      </c>
      <c r="O849" s="47" t="s">
        <v>1156</v>
      </c>
      <c r="P849" s="50"/>
      <c r="Q849" s="45"/>
      <c r="R849" s="25"/>
      <c r="S849" s="52"/>
    </row>
    <row r="850" spans="1:19" ht="16.5" customHeight="1" x14ac:dyDescent="0.3">
      <c r="A850" s="27" t="s">
        <v>487</v>
      </c>
      <c r="B850" s="28" t="s">
        <v>488</v>
      </c>
      <c r="C850" s="26" t="s">
        <v>1808</v>
      </c>
      <c r="D850" s="31" t="s">
        <v>152</v>
      </c>
      <c r="E850" s="33" t="s">
        <v>2399</v>
      </c>
      <c r="F850" s="34" t="s">
        <v>563</v>
      </c>
      <c r="G850" s="32" t="s">
        <v>2832</v>
      </c>
      <c r="H850" s="37" t="s">
        <v>1613</v>
      </c>
      <c r="I850" s="39" t="s">
        <v>2965</v>
      </c>
      <c r="J850" s="24" t="s">
        <v>464</v>
      </c>
      <c r="K850" s="40"/>
      <c r="L850" s="38" t="s">
        <v>2966</v>
      </c>
      <c r="M850" s="44" t="s">
        <v>564</v>
      </c>
      <c r="N850" s="46" t="s">
        <v>2968</v>
      </c>
      <c r="O850" s="47" t="s">
        <v>1157</v>
      </c>
      <c r="P850" s="50"/>
      <c r="Q850" s="45"/>
      <c r="R850" s="25"/>
      <c r="S850" s="52"/>
    </row>
    <row r="851" spans="1:19" ht="16.5" customHeight="1" x14ac:dyDescent="0.3">
      <c r="A851" s="27" t="s">
        <v>487</v>
      </c>
      <c r="B851" s="28" t="s">
        <v>488</v>
      </c>
      <c r="C851" s="26" t="s">
        <v>1808</v>
      </c>
      <c r="D851" s="31" t="s">
        <v>152</v>
      </c>
      <c r="E851" s="33" t="s">
        <v>2399</v>
      </c>
      <c r="F851" s="34" t="s">
        <v>563</v>
      </c>
      <c r="G851" s="32" t="s">
        <v>2832</v>
      </c>
      <c r="H851" s="37" t="s">
        <v>1613</v>
      </c>
      <c r="I851" s="39" t="s">
        <v>2965</v>
      </c>
      <c r="J851" s="24" t="s">
        <v>464</v>
      </c>
      <c r="K851" s="40"/>
      <c r="L851" s="38" t="s">
        <v>2966</v>
      </c>
      <c r="M851" s="44" t="s">
        <v>564</v>
      </c>
      <c r="N851" s="46" t="s">
        <v>2969</v>
      </c>
      <c r="O851" s="47" t="s">
        <v>1155</v>
      </c>
      <c r="P851" s="50"/>
      <c r="Q851" s="45"/>
      <c r="R851" s="25"/>
      <c r="S851" s="52"/>
    </row>
    <row r="852" spans="1:19" ht="16.5" customHeight="1" x14ac:dyDescent="0.3">
      <c r="A852" s="27" t="s">
        <v>487</v>
      </c>
      <c r="B852" s="28" t="s">
        <v>488</v>
      </c>
      <c r="C852" s="26" t="s">
        <v>1808</v>
      </c>
      <c r="D852" s="31" t="s">
        <v>152</v>
      </c>
      <c r="E852" s="33" t="s">
        <v>2399</v>
      </c>
      <c r="F852" s="34" t="s">
        <v>563</v>
      </c>
      <c r="G852" s="32" t="s">
        <v>2832</v>
      </c>
      <c r="H852" s="37" t="s">
        <v>1613</v>
      </c>
      <c r="I852" s="39" t="s">
        <v>2965</v>
      </c>
      <c r="J852" s="24" t="s">
        <v>464</v>
      </c>
      <c r="K852" s="40"/>
      <c r="L852" s="38" t="s">
        <v>2966</v>
      </c>
      <c r="M852" s="44" t="s">
        <v>564</v>
      </c>
      <c r="N852" s="46" t="s">
        <v>2970</v>
      </c>
      <c r="O852" s="47" t="s">
        <v>1158</v>
      </c>
      <c r="P852" s="50"/>
      <c r="Q852" s="45"/>
      <c r="R852" s="25"/>
      <c r="S852" s="52"/>
    </row>
    <row r="853" spans="1:19" ht="16.5" customHeight="1" x14ac:dyDescent="0.3">
      <c r="A853" s="27" t="s">
        <v>487</v>
      </c>
      <c r="B853" s="28" t="s">
        <v>488</v>
      </c>
      <c r="C853" s="26" t="s">
        <v>1808</v>
      </c>
      <c r="D853" s="31" t="s">
        <v>152</v>
      </c>
      <c r="E853" s="33" t="s">
        <v>2399</v>
      </c>
      <c r="F853" s="34" t="s">
        <v>563</v>
      </c>
      <c r="G853" s="32" t="s">
        <v>2832</v>
      </c>
      <c r="H853" s="37" t="s">
        <v>1613</v>
      </c>
      <c r="I853" s="39" t="s">
        <v>2965</v>
      </c>
      <c r="J853" s="24" t="s">
        <v>464</v>
      </c>
      <c r="K853" s="40"/>
      <c r="L853" s="38" t="s">
        <v>2966</v>
      </c>
      <c r="M853" s="44" t="s">
        <v>564</v>
      </c>
      <c r="N853" s="46" t="s">
        <v>2971</v>
      </c>
      <c r="O853" s="47" t="s">
        <v>1159</v>
      </c>
      <c r="P853" s="50"/>
      <c r="Q853" s="45"/>
      <c r="R853" s="25"/>
      <c r="S853" s="52"/>
    </row>
    <row r="854" spans="1:19" ht="16.5" customHeight="1" x14ac:dyDescent="0.3">
      <c r="A854" s="27" t="s">
        <v>487</v>
      </c>
      <c r="B854" s="28" t="s">
        <v>488</v>
      </c>
      <c r="C854" s="26" t="s">
        <v>1808</v>
      </c>
      <c r="D854" s="31" t="s">
        <v>152</v>
      </c>
      <c r="E854" s="33" t="s">
        <v>2399</v>
      </c>
      <c r="F854" s="34" t="s">
        <v>563</v>
      </c>
      <c r="G854" s="32" t="s">
        <v>2832</v>
      </c>
      <c r="H854" s="37" t="s">
        <v>1613</v>
      </c>
      <c r="I854" s="39" t="s">
        <v>2965</v>
      </c>
      <c r="J854" s="24" t="s">
        <v>464</v>
      </c>
      <c r="K854" s="40"/>
      <c r="L854" s="38" t="s">
        <v>2966</v>
      </c>
      <c r="M854" s="44" t="s">
        <v>564</v>
      </c>
      <c r="N854" s="46" t="s">
        <v>2972</v>
      </c>
      <c r="O854" s="47" t="s">
        <v>1655</v>
      </c>
      <c r="P854" s="50"/>
      <c r="Q854" s="45"/>
      <c r="R854" s="25"/>
      <c r="S854" s="52"/>
    </row>
    <row r="855" spans="1:19" ht="16.5" customHeight="1" x14ac:dyDescent="0.3">
      <c r="A855" s="27" t="s">
        <v>487</v>
      </c>
      <c r="B855" s="28" t="s">
        <v>488</v>
      </c>
      <c r="C855" s="26" t="s">
        <v>1808</v>
      </c>
      <c r="D855" s="31" t="s">
        <v>152</v>
      </c>
      <c r="E855" s="33" t="s">
        <v>2399</v>
      </c>
      <c r="F855" s="34" t="s">
        <v>563</v>
      </c>
      <c r="G855" s="32" t="s">
        <v>2832</v>
      </c>
      <c r="H855" s="37" t="s">
        <v>1613</v>
      </c>
      <c r="I855" s="39" t="s">
        <v>2965</v>
      </c>
      <c r="J855" s="24" t="s">
        <v>464</v>
      </c>
      <c r="K855" s="40"/>
      <c r="L855" s="38" t="s">
        <v>2973</v>
      </c>
      <c r="M855" s="44" t="s">
        <v>26</v>
      </c>
      <c r="N855" s="46" t="s">
        <v>2974</v>
      </c>
      <c r="O855" s="47" t="s">
        <v>1160</v>
      </c>
      <c r="P855" s="50"/>
      <c r="Q855" s="45"/>
      <c r="R855" s="25"/>
      <c r="S855" s="52"/>
    </row>
    <row r="856" spans="1:19" ht="16.5" customHeight="1" x14ac:dyDescent="0.3">
      <c r="A856" s="27" t="s">
        <v>487</v>
      </c>
      <c r="B856" s="28" t="s">
        <v>488</v>
      </c>
      <c r="C856" s="26" t="s">
        <v>1808</v>
      </c>
      <c r="D856" s="31" t="s">
        <v>152</v>
      </c>
      <c r="E856" s="33" t="s">
        <v>2399</v>
      </c>
      <c r="F856" s="34" t="s">
        <v>563</v>
      </c>
      <c r="G856" s="32" t="s">
        <v>2832</v>
      </c>
      <c r="H856" s="37" t="s">
        <v>1613</v>
      </c>
      <c r="I856" s="39" t="s">
        <v>2965</v>
      </c>
      <c r="J856" s="24" t="s">
        <v>464</v>
      </c>
      <c r="K856" s="40"/>
      <c r="L856" s="38" t="s">
        <v>2973</v>
      </c>
      <c r="M856" s="44" t="s">
        <v>26</v>
      </c>
      <c r="N856" s="46" t="s">
        <v>2975</v>
      </c>
      <c r="O856" s="47" t="s">
        <v>1161</v>
      </c>
      <c r="P856" s="50"/>
      <c r="Q856" s="45"/>
      <c r="R856" s="25"/>
      <c r="S856" s="52"/>
    </row>
    <row r="857" spans="1:19" ht="16.5" customHeight="1" x14ac:dyDescent="0.3">
      <c r="A857" s="27" t="s">
        <v>487</v>
      </c>
      <c r="B857" s="28" t="s">
        <v>488</v>
      </c>
      <c r="C857" s="26" t="s">
        <v>1808</v>
      </c>
      <c r="D857" s="31" t="s">
        <v>152</v>
      </c>
      <c r="E857" s="33" t="s">
        <v>2399</v>
      </c>
      <c r="F857" s="34" t="s">
        <v>563</v>
      </c>
      <c r="G857" s="32" t="s">
        <v>2832</v>
      </c>
      <c r="H857" s="37" t="s">
        <v>1613</v>
      </c>
      <c r="I857" s="39" t="s">
        <v>2965</v>
      </c>
      <c r="J857" s="24" t="s">
        <v>464</v>
      </c>
      <c r="K857" s="40"/>
      <c r="L857" s="38" t="s">
        <v>2973</v>
      </c>
      <c r="M857" s="44" t="s">
        <v>26</v>
      </c>
      <c r="N857" s="46" t="s">
        <v>2976</v>
      </c>
      <c r="O857" s="47" t="s">
        <v>1162</v>
      </c>
      <c r="P857" s="50"/>
      <c r="Q857" s="45"/>
      <c r="R857" s="25"/>
      <c r="S857" s="52"/>
    </row>
    <row r="858" spans="1:19" ht="16.5" customHeight="1" x14ac:dyDescent="0.3">
      <c r="A858" s="27" t="s">
        <v>487</v>
      </c>
      <c r="B858" s="28" t="s">
        <v>488</v>
      </c>
      <c r="C858" s="26" t="s">
        <v>1808</v>
      </c>
      <c r="D858" s="31" t="s">
        <v>152</v>
      </c>
      <c r="E858" s="33" t="s">
        <v>2399</v>
      </c>
      <c r="F858" s="34" t="s">
        <v>563</v>
      </c>
      <c r="G858" s="32" t="s">
        <v>2832</v>
      </c>
      <c r="H858" s="37" t="s">
        <v>1613</v>
      </c>
      <c r="I858" s="39" t="s">
        <v>2965</v>
      </c>
      <c r="J858" s="24" t="s">
        <v>464</v>
      </c>
      <c r="K858" s="40"/>
      <c r="L858" s="38" t="s">
        <v>2973</v>
      </c>
      <c r="M858" s="44" t="s">
        <v>26</v>
      </c>
      <c r="N858" s="46" t="s">
        <v>2977</v>
      </c>
      <c r="O858" s="47" t="s">
        <v>1163</v>
      </c>
      <c r="P858" s="50"/>
      <c r="Q858" s="45"/>
      <c r="R858" s="25"/>
      <c r="S858" s="52"/>
    </row>
    <row r="859" spans="1:19" ht="16.5" customHeight="1" x14ac:dyDescent="0.3">
      <c r="A859" s="27" t="s">
        <v>487</v>
      </c>
      <c r="B859" s="28" t="s">
        <v>488</v>
      </c>
      <c r="C859" s="26" t="s">
        <v>1808</v>
      </c>
      <c r="D859" s="31" t="s">
        <v>152</v>
      </c>
      <c r="E859" s="33" t="s">
        <v>2399</v>
      </c>
      <c r="F859" s="34" t="s">
        <v>563</v>
      </c>
      <c r="G859" s="32" t="s">
        <v>2832</v>
      </c>
      <c r="H859" s="37" t="s">
        <v>1613</v>
      </c>
      <c r="I859" s="39" t="s">
        <v>2965</v>
      </c>
      <c r="J859" s="24" t="s">
        <v>464</v>
      </c>
      <c r="K859" s="40"/>
      <c r="L859" s="38" t="s">
        <v>2978</v>
      </c>
      <c r="M859" s="44" t="s">
        <v>16</v>
      </c>
      <c r="N859" s="46" t="s">
        <v>2979</v>
      </c>
      <c r="O859" s="47" t="s">
        <v>1164</v>
      </c>
      <c r="P859" s="50"/>
      <c r="Q859" s="45"/>
      <c r="R859" s="25"/>
      <c r="S859" s="52"/>
    </row>
    <row r="860" spans="1:19" ht="16.5" customHeight="1" x14ac:dyDescent="0.3">
      <c r="A860" s="27" t="s">
        <v>487</v>
      </c>
      <c r="B860" s="28" t="s">
        <v>488</v>
      </c>
      <c r="C860" s="26" t="s">
        <v>1808</v>
      </c>
      <c r="D860" s="31" t="s">
        <v>152</v>
      </c>
      <c r="E860" s="33" t="s">
        <v>2399</v>
      </c>
      <c r="F860" s="34" t="s">
        <v>563</v>
      </c>
      <c r="G860" s="32" t="s">
        <v>2832</v>
      </c>
      <c r="H860" s="37" t="s">
        <v>1613</v>
      </c>
      <c r="I860" s="39" t="s">
        <v>2965</v>
      </c>
      <c r="J860" s="24" t="s">
        <v>464</v>
      </c>
      <c r="K860" s="40"/>
      <c r="L860" s="38" t="s">
        <v>2980</v>
      </c>
      <c r="M860" s="44" t="s">
        <v>30</v>
      </c>
      <c r="N860" s="46" t="s">
        <v>2981</v>
      </c>
      <c r="O860" s="47" t="s">
        <v>1656</v>
      </c>
      <c r="P860" s="50"/>
      <c r="Q860" s="45"/>
      <c r="R860" s="25"/>
      <c r="S860" s="52"/>
    </row>
    <row r="861" spans="1:19" ht="16.5" customHeight="1" x14ac:dyDescent="0.3">
      <c r="A861" s="27" t="s">
        <v>487</v>
      </c>
      <c r="B861" s="28" t="s">
        <v>488</v>
      </c>
      <c r="C861" s="26" t="s">
        <v>1808</v>
      </c>
      <c r="D861" s="31" t="s">
        <v>152</v>
      </c>
      <c r="E861" s="33" t="s">
        <v>2399</v>
      </c>
      <c r="F861" s="34" t="s">
        <v>563</v>
      </c>
      <c r="G861" s="32" t="s">
        <v>2832</v>
      </c>
      <c r="H861" s="37" t="s">
        <v>1613</v>
      </c>
      <c r="I861" s="39" t="s">
        <v>2965</v>
      </c>
      <c r="J861" s="24" t="s">
        <v>464</v>
      </c>
      <c r="K861" s="40"/>
      <c r="L861" s="38" t="s">
        <v>2980</v>
      </c>
      <c r="M861" s="44" t="s">
        <v>30</v>
      </c>
      <c r="N861" s="46" t="s">
        <v>2982</v>
      </c>
      <c r="O861" s="47" t="s">
        <v>1659</v>
      </c>
      <c r="P861" s="50"/>
      <c r="Q861" s="45"/>
      <c r="R861" s="25"/>
      <c r="S861" s="52"/>
    </row>
    <row r="862" spans="1:19" ht="16.5" customHeight="1" x14ac:dyDescent="0.3">
      <c r="A862" s="27" t="s">
        <v>487</v>
      </c>
      <c r="B862" s="28" t="s">
        <v>488</v>
      </c>
      <c r="C862" s="26" t="s">
        <v>1808</v>
      </c>
      <c r="D862" s="31" t="s">
        <v>152</v>
      </c>
      <c r="E862" s="33" t="s">
        <v>2399</v>
      </c>
      <c r="F862" s="34" t="s">
        <v>563</v>
      </c>
      <c r="G862" s="32" t="s">
        <v>2832</v>
      </c>
      <c r="H862" s="37" t="s">
        <v>1613</v>
      </c>
      <c r="I862" s="39" t="s">
        <v>2965</v>
      </c>
      <c r="J862" s="24" t="s">
        <v>464</v>
      </c>
      <c r="K862" s="40"/>
      <c r="L862" s="38" t="s">
        <v>2980</v>
      </c>
      <c r="M862" s="44" t="s">
        <v>30</v>
      </c>
      <c r="N862" s="46" t="s">
        <v>2983</v>
      </c>
      <c r="O862" s="47" t="s">
        <v>1657</v>
      </c>
      <c r="P862" s="50"/>
      <c r="Q862" s="45"/>
      <c r="R862" s="25"/>
      <c r="S862" s="52"/>
    </row>
    <row r="863" spans="1:19" ht="16.5" customHeight="1" x14ac:dyDescent="0.3">
      <c r="A863" s="27" t="s">
        <v>487</v>
      </c>
      <c r="B863" s="28" t="s">
        <v>488</v>
      </c>
      <c r="C863" s="26" t="s">
        <v>1808</v>
      </c>
      <c r="D863" s="31" t="s">
        <v>152</v>
      </c>
      <c r="E863" s="33" t="s">
        <v>2399</v>
      </c>
      <c r="F863" s="34" t="s">
        <v>563</v>
      </c>
      <c r="G863" s="32" t="s">
        <v>2832</v>
      </c>
      <c r="H863" s="37" t="s">
        <v>1613</v>
      </c>
      <c r="I863" s="39" t="s">
        <v>2965</v>
      </c>
      <c r="J863" s="24" t="s">
        <v>464</v>
      </c>
      <c r="K863" s="40"/>
      <c r="L863" s="38" t="s">
        <v>2980</v>
      </c>
      <c r="M863" s="44" t="s">
        <v>30</v>
      </c>
      <c r="N863" s="46" t="s">
        <v>2984</v>
      </c>
      <c r="O863" s="47" t="s">
        <v>1658</v>
      </c>
      <c r="P863" s="50"/>
      <c r="Q863" s="45"/>
      <c r="R863" s="25"/>
      <c r="S863" s="52"/>
    </row>
    <row r="864" spans="1:19" ht="16.5" customHeight="1" x14ac:dyDescent="0.3">
      <c r="A864" s="27" t="s">
        <v>487</v>
      </c>
      <c r="B864" s="28" t="s">
        <v>488</v>
      </c>
      <c r="C864" s="26" t="s">
        <v>1808</v>
      </c>
      <c r="D864" s="31" t="s">
        <v>152</v>
      </c>
      <c r="E864" s="33" t="s">
        <v>2399</v>
      </c>
      <c r="F864" s="34" t="s">
        <v>563</v>
      </c>
      <c r="G864" s="32" t="s">
        <v>2832</v>
      </c>
      <c r="H864" s="37" t="s">
        <v>1613</v>
      </c>
      <c r="I864" s="39" t="s">
        <v>2965</v>
      </c>
      <c r="J864" s="24" t="s">
        <v>464</v>
      </c>
      <c r="K864" s="40"/>
      <c r="L864" s="38" t="s">
        <v>2980</v>
      </c>
      <c r="M864" s="44" t="s">
        <v>30</v>
      </c>
      <c r="N864" s="46" t="s">
        <v>2985</v>
      </c>
      <c r="O864" s="47" t="s">
        <v>123</v>
      </c>
      <c r="P864" s="50"/>
      <c r="Q864" s="45"/>
      <c r="R864" s="25"/>
      <c r="S864" s="52"/>
    </row>
    <row r="865" spans="1:19" ht="16.5" customHeight="1" x14ac:dyDescent="0.3">
      <c r="A865" s="27" t="s">
        <v>487</v>
      </c>
      <c r="B865" s="28" t="s">
        <v>488</v>
      </c>
      <c r="C865" s="26" t="s">
        <v>1808</v>
      </c>
      <c r="D865" s="31" t="s">
        <v>152</v>
      </c>
      <c r="E865" s="33" t="s">
        <v>2399</v>
      </c>
      <c r="F865" s="34" t="s">
        <v>563</v>
      </c>
      <c r="G865" s="32" t="s">
        <v>2832</v>
      </c>
      <c r="H865" s="37" t="s">
        <v>1613</v>
      </c>
      <c r="I865" s="39" t="s">
        <v>2965</v>
      </c>
      <c r="J865" s="24" t="s">
        <v>464</v>
      </c>
      <c r="K865" s="40"/>
      <c r="L865" s="38" t="s">
        <v>2985</v>
      </c>
      <c r="M865" s="44" t="s">
        <v>123</v>
      </c>
      <c r="N865" s="46" t="s">
        <v>2986</v>
      </c>
      <c r="O865" s="47" t="s">
        <v>1654</v>
      </c>
      <c r="P865" s="50"/>
      <c r="Q865" s="45"/>
      <c r="R865" s="25"/>
      <c r="S865" s="52"/>
    </row>
    <row r="866" spans="1:19" ht="16.5" customHeight="1" x14ac:dyDescent="0.3">
      <c r="A866" s="27" t="s">
        <v>487</v>
      </c>
      <c r="B866" s="28" t="s">
        <v>488</v>
      </c>
      <c r="C866" s="26" t="s">
        <v>1808</v>
      </c>
      <c r="D866" s="31" t="s">
        <v>152</v>
      </c>
      <c r="E866" s="33" t="s">
        <v>2399</v>
      </c>
      <c r="F866" s="34" t="s">
        <v>563</v>
      </c>
      <c r="G866" s="32" t="s">
        <v>2832</v>
      </c>
      <c r="H866" s="37" t="s">
        <v>1613</v>
      </c>
      <c r="I866" s="39" t="s">
        <v>2987</v>
      </c>
      <c r="J866" s="24" t="s">
        <v>465</v>
      </c>
      <c r="K866" s="40"/>
      <c r="L866" s="38" t="s">
        <v>2988</v>
      </c>
      <c r="M866" s="44" t="s">
        <v>564</v>
      </c>
      <c r="N866" s="46" t="s">
        <v>2989</v>
      </c>
      <c r="O866" s="47" t="s">
        <v>1166</v>
      </c>
      <c r="P866" s="50"/>
      <c r="Q866" s="45"/>
      <c r="R866" s="25"/>
      <c r="S866" s="52"/>
    </row>
    <row r="867" spans="1:19" ht="16.5" customHeight="1" x14ac:dyDescent="0.3">
      <c r="A867" s="27" t="s">
        <v>487</v>
      </c>
      <c r="B867" s="28" t="s">
        <v>488</v>
      </c>
      <c r="C867" s="26" t="s">
        <v>1808</v>
      </c>
      <c r="D867" s="31" t="s">
        <v>152</v>
      </c>
      <c r="E867" s="33" t="s">
        <v>2399</v>
      </c>
      <c r="F867" s="34" t="s">
        <v>563</v>
      </c>
      <c r="G867" s="32" t="s">
        <v>2832</v>
      </c>
      <c r="H867" s="37" t="s">
        <v>1613</v>
      </c>
      <c r="I867" s="39" t="s">
        <v>2987</v>
      </c>
      <c r="J867" s="24" t="s">
        <v>465</v>
      </c>
      <c r="K867" s="40"/>
      <c r="L867" s="38" t="s">
        <v>2988</v>
      </c>
      <c r="M867" s="44" t="s">
        <v>564</v>
      </c>
      <c r="N867" s="46" t="s">
        <v>2990</v>
      </c>
      <c r="O867" s="47" t="s">
        <v>1167</v>
      </c>
      <c r="P867" s="50"/>
      <c r="Q867" s="45"/>
      <c r="R867" s="25"/>
      <c r="S867" s="52"/>
    </row>
    <row r="868" spans="1:19" ht="16.5" customHeight="1" x14ac:dyDescent="0.3">
      <c r="A868" s="27" t="s">
        <v>487</v>
      </c>
      <c r="B868" s="28" t="s">
        <v>488</v>
      </c>
      <c r="C868" s="26" t="s">
        <v>1808</v>
      </c>
      <c r="D868" s="31" t="s">
        <v>152</v>
      </c>
      <c r="E868" s="33" t="s">
        <v>2399</v>
      </c>
      <c r="F868" s="34" t="s">
        <v>563</v>
      </c>
      <c r="G868" s="32" t="s">
        <v>2832</v>
      </c>
      <c r="H868" s="37" t="s">
        <v>1613</v>
      </c>
      <c r="I868" s="39" t="s">
        <v>2987</v>
      </c>
      <c r="J868" s="24" t="s">
        <v>465</v>
      </c>
      <c r="K868" s="40"/>
      <c r="L868" s="38" t="s">
        <v>2988</v>
      </c>
      <c r="M868" s="44" t="s">
        <v>564</v>
      </c>
      <c r="N868" s="46" t="s">
        <v>2991</v>
      </c>
      <c r="O868" s="47" t="s">
        <v>1165</v>
      </c>
      <c r="P868" s="50"/>
      <c r="Q868" s="45"/>
      <c r="R868" s="25"/>
      <c r="S868" s="52"/>
    </row>
    <row r="869" spans="1:19" ht="16.5" customHeight="1" x14ac:dyDescent="0.3">
      <c r="A869" s="27" t="s">
        <v>487</v>
      </c>
      <c r="B869" s="28" t="s">
        <v>488</v>
      </c>
      <c r="C869" s="26" t="s">
        <v>1808</v>
      </c>
      <c r="D869" s="31" t="s">
        <v>152</v>
      </c>
      <c r="E869" s="33" t="s">
        <v>2399</v>
      </c>
      <c r="F869" s="34" t="s">
        <v>563</v>
      </c>
      <c r="G869" s="32" t="s">
        <v>2832</v>
      </c>
      <c r="H869" s="37" t="s">
        <v>1613</v>
      </c>
      <c r="I869" s="39" t="s">
        <v>2987</v>
      </c>
      <c r="J869" s="24" t="s">
        <v>465</v>
      </c>
      <c r="K869" s="40"/>
      <c r="L869" s="38" t="s">
        <v>2988</v>
      </c>
      <c r="M869" s="44" t="s">
        <v>564</v>
      </c>
      <c r="N869" s="46" t="s">
        <v>2992</v>
      </c>
      <c r="O869" s="47" t="s">
        <v>1168</v>
      </c>
      <c r="P869" s="50"/>
      <c r="Q869" s="45"/>
      <c r="R869" s="25"/>
      <c r="S869" s="52"/>
    </row>
    <row r="870" spans="1:19" ht="16.5" customHeight="1" x14ac:dyDescent="0.3">
      <c r="A870" s="27" t="s">
        <v>487</v>
      </c>
      <c r="B870" s="28" t="s">
        <v>488</v>
      </c>
      <c r="C870" s="26" t="s">
        <v>1808</v>
      </c>
      <c r="D870" s="31" t="s">
        <v>152</v>
      </c>
      <c r="E870" s="33" t="s">
        <v>2399</v>
      </c>
      <c r="F870" s="34" t="s">
        <v>563</v>
      </c>
      <c r="G870" s="32" t="s">
        <v>2832</v>
      </c>
      <c r="H870" s="37" t="s">
        <v>1613</v>
      </c>
      <c r="I870" s="39" t="s">
        <v>2987</v>
      </c>
      <c r="J870" s="24" t="s">
        <v>465</v>
      </c>
      <c r="K870" s="40"/>
      <c r="L870" s="38" t="s">
        <v>2988</v>
      </c>
      <c r="M870" s="44" t="s">
        <v>564</v>
      </c>
      <c r="N870" s="46" t="s">
        <v>2993</v>
      </c>
      <c r="O870" s="47" t="s">
        <v>1169</v>
      </c>
      <c r="P870" s="50"/>
      <c r="Q870" s="45"/>
      <c r="R870" s="25"/>
      <c r="S870" s="52"/>
    </row>
    <row r="871" spans="1:19" ht="16.5" customHeight="1" x14ac:dyDescent="0.3">
      <c r="A871" s="27" t="s">
        <v>487</v>
      </c>
      <c r="B871" s="28" t="s">
        <v>488</v>
      </c>
      <c r="C871" s="26" t="s">
        <v>1808</v>
      </c>
      <c r="D871" s="31" t="s">
        <v>152</v>
      </c>
      <c r="E871" s="33" t="s">
        <v>2399</v>
      </c>
      <c r="F871" s="34" t="s">
        <v>563</v>
      </c>
      <c r="G871" s="32" t="s">
        <v>2832</v>
      </c>
      <c r="H871" s="37" t="s">
        <v>1613</v>
      </c>
      <c r="I871" s="39" t="s">
        <v>2987</v>
      </c>
      <c r="J871" s="24" t="s">
        <v>465</v>
      </c>
      <c r="K871" s="40"/>
      <c r="L871" s="38" t="s">
        <v>2988</v>
      </c>
      <c r="M871" s="44" t="s">
        <v>564</v>
      </c>
      <c r="N871" s="46" t="s">
        <v>2994</v>
      </c>
      <c r="O871" s="47" t="s">
        <v>1655</v>
      </c>
      <c r="P871" s="50"/>
      <c r="Q871" s="45"/>
      <c r="R871" s="25"/>
      <c r="S871" s="52"/>
    </row>
    <row r="872" spans="1:19" ht="16.5" customHeight="1" x14ac:dyDescent="0.3">
      <c r="A872" s="27" t="s">
        <v>487</v>
      </c>
      <c r="B872" s="28" t="s">
        <v>488</v>
      </c>
      <c r="C872" s="26" t="s">
        <v>1808</v>
      </c>
      <c r="D872" s="31" t="s">
        <v>152</v>
      </c>
      <c r="E872" s="33" t="s">
        <v>2399</v>
      </c>
      <c r="F872" s="34" t="s">
        <v>563</v>
      </c>
      <c r="G872" s="32" t="s">
        <v>2832</v>
      </c>
      <c r="H872" s="37" t="s">
        <v>1613</v>
      </c>
      <c r="I872" s="39" t="s">
        <v>2987</v>
      </c>
      <c r="J872" s="24" t="s">
        <v>465</v>
      </c>
      <c r="K872" s="40"/>
      <c r="L872" s="38" t="s">
        <v>2995</v>
      </c>
      <c r="M872" s="44" t="s">
        <v>26</v>
      </c>
      <c r="N872" s="46" t="s">
        <v>2996</v>
      </c>
      <c r="O872" s="47" t="s">
        <v>1170</v>
      </c>
      <c r="P872" s="50"/>
      <c r="Q872" s="45"/>
      <c r="R872" s="25"/>
      <c r="S872" s="52"/>
    </row>
    <row r="873" spans="1:19" ht="16.5" customHeight="1" x14ac:dyDescent="0.3">
      <c r="A873" s="27" t="s">
        <v>487</v>
      </c>
      <c r="B873" s="28" t="s">
        <v>488</v>
      </c>
      <c r="C873" s="26" t="s">
        <v>1808</v>
      </c>
      <c r="D873" s="31" t="s">
        <v>152</v>
      </c>
      <c r="E873" s="33" t="s">
        <v>2399</v>
      </c>
      <c r="F873" s="34" t="s">
        <v>563</v>
      </c>
      <c r="G873" s="32" t="s">
        <v>2832</v>
      </c>
      <c r="H873" s="37" t="s">
        <v>1613</v>
      </c>
      <c r="I873" s="39" t="s">
        <v>2987</v>
      </c>
      <c r="J873" s="24" t="s">
        <v>465</v>
      </c>
      <c r="K873" s="40"/>
      <c r="L873" s="38" t="s">
        <v>2995</v>
      </c>
      <c r="M873" s="44" t="s">
        <v>26</v>
      </c>
      <c r="N873" s="46" t="s">
        <v>2997</v>
      </c>
      <c r="O873" s="47" t="s">
        <v>1171</v>
      </c>
      <c r="P873" s="50"/>
      <c r="Q873" s="45"/>
      <c r="R873" s="25"/>
      <c r="S873" s="52"/>
    </row>
    <row r="874" spans="1:19" ht="16.5" customHeight="1" x14ac:dyDescent="0.3">
      <c r="A874" s="27" t="s">
        <v>487</v>
      </c>
      <c r="B874" s="28" t="s">
        <v>488</v>
      </c>
      <c r="C874" s="26" t="s">
        <v>1808</v>
      </c>
      <c r="D874" s="31" t="s">
        <v>152</v>
      </c>
      <c r="E874" s="33" t="s">
        <v>2399</v>
      </c>
      <c r="F874" s="34" t="s">
        <v>563</v>
      </c>
      <c r="G874" s="32" t="s">
        <v>2832</v>
      </c>
      <c r="H874" s="37" t="s">
        <v>1613</v>
      </c>
      <c r="I874" s="39" t="s">
        <v>2987</v>
      </c>
      <c r="J874" s="24" t="s">
        <v>465</v>
      </c>
      <c r="K874" s="40"/>
      <c r="L874" s="38" t="s">
        <v>2995</v>
      </c>
      <c r="M874" s="44" t="s">
        <v>26</v>
      </c>
      <c r="N874" s="46" t="s">
        <v>2998</v>
      </c>
      <c r="O874" s="47" t="s">
        <v>1172</v>
      </c>
      <c r="P874" s="50"/>
      <c r="Q874" s="45"/>
      <c r="R874" s="25"/>
      <c r="S874" s="52"/>
    </row>
    <row r="875" spans="1:19" ht="16.5" customHeight="1" x14ac:dyDescent="0.3">
      <c r="A875" s="27" t="s">
        <v>487</v>
      </c>
      <c r="B875" s="28" t="s">
        <v>488</v>
      </c>
      <c r="C875" s="26" t="s">
        <v>1808</v>
      </c>
      <c r="D875" s="31" t="s">
        <v>152</v>
      </c>
      <c r="E875" s="33" t="s">
        <v>2399</v>
      </c>
      <c r="F875" s="34" t="s">
        <v>563</v>
      </c>
      <c r="G875" s="32" t="s">
        <v>2832</v>
      </c>
      <c r="H875" s="37" t="s">
        <v>1613</v>
      </c>
      <c r="I875" s="39" t="s">
        <v>2987</v>
      </c>
      <c r="J875" s="24" t="s">
        <v>465</v>
      </c>
      <c r="K875" s="40"/>
      <c r="L875" s="38" t="s">
        <v>2995</v>
      </c>
      <c r="M875" s="44" t="s">
        <v>26</v>
      </c>
      <c r="N875" s="46" t="s">
        <v>2999</v>
      </c>
      <c r="O875" s="47" t="s">
        <v>1173</v>
      </c>
      <c r="P875" s="50"/>
      <c r="Q875" s="45"/>
      <c r="R875" s="25"/>
      <c r="S875" s="52"/>
    </row>
    <row r="876" spans="1:19" ht="16.5" customHeight="1" x14ac:dyDescent="0.3">
      <c r="A876" s="27" t="s">
        <v>487</v>
      </c>
      <c r="B876" s="28" t="s">
        <v>488</v>
      </c>
      <c r="C876" s="26" t="s">
        <v>1808</v>
      </c>
      <c r="D876" s="31" t="s">
        <v>152</v>
      </c>
      <c r="E876" s="33" t="s">
        <v>2399</v>
      </c>
      <c r="F876" s="34" t="s">
        <v>563</v>
      </c>
      <c r="G876" s="32" t="s">
        <v>2832</v>
      </c>
      <c r="H876" s="37" t="s">
        <v>1613</v>
      </c>
      <c r="I876" s="39" t="s">
        <v>2987</v>
      </c>
      <c r="J876" s="24" t="s">
        <v>465</v>
      </c>
      <c r="K876" s="40"/>
      <c r="L876" s="38" t="s">
        <v>3000</v>
      </c>
      <c r="M876" s="44" t="s">
        <v>16</v>
      </c>
      <c r="N876" s="46" t="s">
        <v>3001</v>
      </c>
      <c r="O876" s="47" t="s">
        <v>1174</v>
      </c>
      <c r="P876" s="50"/>
      <c r="Q876" s="45"/>
      <c r="R876" s="25"/>
      <c r="S876" s="52"/>
    </row>
    <row r="877" spans="1:19" ht="16.5" customHeight="1" x14ac:dyDescent="0.3">
      <c r="A877" s="27" t="s">
        <v>487</v>
      </c>
      <c r="B877" s="28" t="s">
        <v>488</v>
      </c>
      <c r="C877" s="26" t="s">
        <v>1808</v>
      </c>
      <c r="D877" s="31" t="s">
        <v>152</v>
      </c>
      <c r="E877" s="33" t="s">
        <v>2399</v>
      </c>
      <c r="F877" s="34" t="s">
        <v>563</v>
      </c>
      <c r="G877" s="32" t="s">
        <v>2832</v>
      </c>
      <c r="H877" s="37" t="s">
        <v>1613</v>
      </c>
      <c r="I877" s="39" t="s">
        <v>2987</v>
      </c>
      <c r="J877" s="24" t="s">
        <v>465</v>
      </c>
      <c r="K877" s="40"/>
      <c r="L877" s="38" t="s">
        <v>3002</v>
      </c>
      <c r="M877" s="44" t="s">
        <v>30</v>
      </c>
      <c r="N877" s="46" t="s">
        <v>3003</v>
      </c>
      <c r="O877" s="47" t="s">
        <v>1656</v>
      </c>
      <c r="P877" s="50"/>
      <c r="Q877" s="45"/>
      <c r="R877" s="25"/>
      <c r="S877" s="52"/>
    </row>
    <row r="878" spans="1:19" ht="16.5" customHeight="1" x14ac:dyDescent="0.3">
      <c r="A878" s="27" t="s">
        <v>487</v>
      </c>
      <c r="B878" s="28" t="s">
        <v>488</v>
      </c>
      <c r="C878" s="26" t="s">
        <v>1808</v>
      </c>
      <c r="D878" s="31" t="s">
        <v>152</v>
      </c>
      <c r="E878" s="33" t="s">
        <v>2399</v>
      </c>
      <c r="F878" s="34" t="s">
        <v>563</v>
      </c>
      <c r="G878" s="32" t="s">
        <v>2832</v>
      </c>
      <c r="H878" s="37" t="s">
        <v>1613</v>
      </c>
      <c r="I878" s="39" t="s">
        <v>2987</v>
      </c>
      <c r="J878" s="24" t="s">
        <v>465</v>
      </c>
      <c r="K878" s="40"/>
      <c r="L878" s="38" t="s">
        <v>3002</v>
      </c>
      <c r="M878" s="44" t="s">
        <v>30</v>
      </c>
      <c r="N878" s="46" t="s">
        <v>3004</v>
      </c>
      <c r="O878" s="47" t="s">
        <v>1659</v>
      </c>
      <c r="P878" s="50"/>
      <c r="Q878" s="45"/>
      <c r="R878" s="25"/>
      <c r="S878" s="52"/>
    </row>
    <row r="879" spans="1:19" ht="16.5" customHeight="1" x14ac:dyDescent="0.3">
      <c r="A879" s="27" t="s">
        <v>487</v>
      </c>
      <c r="B879" s="28" t="s">
        <v>488</v>
      </c>
      <c r="C879" s="26" t="s">
        <v>1808</v>
      </c>
      <c r="D879" s="31" t="s">
        <v>152</v>
      </c>
      <c r="E879" s="33" t="s">
        <v>2399</v>
      </c>
      <c r="F879" s="34" t="s">
        <v>563</v>
      </c>
      <c r="G879" s="32" t="s">
        <v>2832</v>
      </c>
      <c r="H879" s="37" t="s">
        <v>1613</v>
      </c>
      <c r="I879" s="39" t="s">
        <v>2987</v>
      </c>
      <c r="J879" s="24" t="s">
        <v>465</v>
      </c>
      <c r="K879" s="40"/>
      <c r="L879" s="38" t="s">
        <v>3002</v>
      </c>
      <c r="M879" s="44" t="s">
        <v>30</v>
      </c>
      <c r="N879" s="46" t="s">
        <v>3005</v>
      </c>
      <c r="O879" s="47" t="s">
        <v>1657</v>
      </c>
      <c r="P879" s="50"/>
      <c r="Q879" s="45"/>
      <c r="R879" s="25"/>
      <c r="S879" s="52"/>
    </row>
    <row r="880" spans="1:19" ht="16.5" customHeight="1" x14ac:dyDescent="0.3">
      <c r="A880" s="27" t="s">
        <v>487</v>
      </c>
      <c r="B880" s="28" t="s">
        <v>488</v>
      </c>
      <c r="C880" s="26" t="s">
        <v>1808</v>
      </c>
      <c r="D880" s="31" t="s">
        <v>152</v>
      </c>
      <c r="E880" s="33" t="s">
        <v>2399</v>
      </c>
      <c r="F880" s="34" t="s">
        <v>563</v>
      </c>
      <c r="G880" s="32" t="s">
        <v>2832</v>
      </c>
      <c r="H880" s="37" t="s">
        <v>1613</v>
      </c>
      <c r="I880" s="39" t="s">
        <v>2987</v>
      </c>
      <c r="J880" s="24" t="s">
        <v>465</v>
      </c>
      <c r="K880" s="40"/>
      <c r="L880" s="38" t="s">
        <v>3002</v>
      </c>
      <c r="M880" s="44" t="s">
        <v>30</v>
      </c>
      <c r="N880" s="46" t="s">
        <v>3006</v>
      </c>
      <c r="O880" s="47" t="s">
        <v>1658</v>
      </c>
      <c r="P880" s="50"/>
      <c r="Q880" s="45"/>
      <c r="R880" s="25"/>
      <c r="S880" s="52"/>
    </row>
    <row r="881" spans="1:19" ht="16.5" customHeight="1" x14ac:dyDescent="0.3">
      <c r="A881" s="27" t="s">
        <v>487</v>
      </c>
      <c r="B881" s="28" t="s">
        <v>488</v>
      </c>
      <c r="C881" s="26" t="s">
        <v>1808</v>
      </c>
      <c r="D881" s="31" t="s">
        <v>152</v>
      </c>
      <c r="E881" s="33" t="s">
        <v>2399</v>
      </c>
      <c r="F881" s="34" t="s">
        <v>563</v>
      </c>
      <c r="G881" s="32" t="s">
        <v>2832</v>
      </c>
      <c r="H881" s="37" t="s">
        <v>1613</v>
      </c>
      <c r="I881" s="39" t="s">
        <v>2987</v>
      </c>
      <c r="J881" s="24" t="s">
        <v>465</v>
      </c>
      <c r="K881" s="40"/>
      <c r="L881" s="38" t="s">
        <v>3007</v>
      </c>
      <c r="M881" s="44" t="s">
        <v>123</v>
      </c>
      <c r="N881" s="46" t="s">
        <v>3008</v>
      </c>
      <c r="O881" s="47" t="s">
        <v>1654</v>
      </c>
      <c r="P881" s="50"/>
      <c r="Q881" s="45"/>
      <c r="R881" s="25"/>
      <c r="S881" s="52"/>
    </row>
    <row r="882" spans="1:19" ht="16.5" customHeight="1" x14ac:dyDescent="0.3">
      <c r="A882" s="27" t="s">
        <v>487</v>
      </c>
      <c r="B882" s="28" t="s">
        <v>488</v>
      </c>
      <c r="C882" s="26" t="s">
        <v>1808</v>
      </c>
      <c r="D882" s="31" t="s">
        <v>152</v>
      </c>
      <c r="E882" s="33" t="s">
        <v>2399</v>
      </c>
      <c r="F882" s="34" t="s">
        <v>563</v>
      </c>
      <c r="G882" s="32" t="s">
        <v>3009</v>
      </c>
      <c r="H882" s="37" t="s">
        <v>1631</v>
      </c>
      <c r="I882" s="39" t="s">
        <v>3010</v>
      </c>
      <c r="J882" s="24" t="s">
        <v>466</v>
      </c>
      <c r="K882" s="40"/>
      <c r="L882" s="38" t="s">
        <v>3011</v>
      </c>
      <c r="M882" s="44" t="s">
        <v>26</v>
      </c>
      <c r="N882" s="46" t="s">
        <v>3012</v>
      </c>
      <c r="O882" s="47" t="s">
        <v>1175</v>
      </c>
      <c r="P882" s="50"/>
      <c r="Q882" s="45"/>
      <c r="R882" s="25"/>
      <c r="S882" s="52"/>
    </row>
    <row r="883" spans="1:19" ht="16.5" customHeight="1" x14ac:dyDescent="0.3">
      <c r="A883" s="27" t="s">
        <v>487</v>
      </c>
      <c r="B883" s="28" t="s">
        <v>488</v>
      </c>
      <c r="C883" s="26" t="s">
        <v>1808</v>
      </c>
      <c r="D883" s="31" t="s">
        <v>152</v>
      </c>
      <c r="E883" s="33" t="s">
        <v>2399</v>
      </c>
      <c r="F883" s="34" t="s">
        <v>563</v>
      </c>
      <c r="G883" s="32" t="s">
        <v>3009</v>
      </c>
      <c r="H883" s="37" t="s">
        <v>1631</v>
      </c>
      <c r="I883" s="39" t="s">
        <v>3010</v>
      </c>
      <c r="J883" s="24" t="s">
        <v>466</v>
      </c>
      <c r="K883" s="40"/>
      <c r="L883" s="38" t="s">
        <v>3013</v>
      </c>
      <c r="M883" s="44" t="s">
        <v>30</v>
      </c>
      <c r="N883" s="46" t="s">
        <v>3014</v>
      </c>
      <c r="O883" s="47" t="s">
        <v>1651</v>
      </c>
      <c r="P883" s="50"/>
      <c r="Q883" s="45"/>
      <c r="R883" s="25"/>
      <c r="S883" s="52"/>
    </row>
    <row r="884" spans="1:19" ht="16.5" customHeight="1" x14ac:dyDescent="0.3">
      <c r="A884" s="27" t="s">
        <v>487</v>
      </c>
      <c r="B884" s="28" t="s">
        <v>488</v>
      </c>
      <c r="C884" s="26" t="s">
        <v>1808</v>
      </c>
      <c r="D884" s="31" t="s">
        <v>152</v>
      </c>
      <c r="E884" s="33" t="s">
        <v>2399</v>
      </c>
      <c r="F884" s="34" t="s">
        <v>563</v>
      </c>
      <c r="G884" s="32" t="s">
        <v>3009</v>
      </c>
      <c r="H884" s="37" t="s">
        <v>1631</v>
      </c>
      <c r="I884" s="39" t="s">
        <v>3015</v>
      </c>
      <c r="J884" s="24" t="s">
        <v>608</v>
      </c>
      <c r="K884" s="40"/>
      <c r="L884" s="38" t="s">
        <v>3016</v>
      </c>
      <c r="M884" s="44" t="s">
        <v>16</v>
      </c>
      <c r="N884" s="46" t="s">
        <v>3017</v>
      </c>
      <c r="O884" s="47" t="s">
        <v>1176</v>
      </c>
      <c r="P884" s="50"/>
      <c r="Q884" s="45"/>
      <c r="R884" s="25"/>
      <c r="S884" s="52"/>
    </row>
    <row r="885" spans="1:19" ht="16.5" customHeight="1" x14ac:dyDescent="0.3">
      <c r="A885" s="27" t="s">
        <v>487</v>
      </c>
      <c r="B885" s="28" t="s">
        <v>488</v>
      </c>
      <c r="C885" s="26" t="s">
        <v>1808</v>
      </c>
      <c r="D885" s="31" t="s">
        <v>152</v>
      </c>
      <c r="E885" s="33" t="s">
        <v>2399</v>
      </c>
      <c r="F885" s="34" t="s">
        <v>563</v>
      </c>
      <c r="G885" s="32" t="s">
        <v>3009</v>
      </c>
      <c r="H885" s="37" t="s">
        <v>1631</v>
      </c>
      <c r="I885" s="39" t="s">
        <v>3015</v>
      </c>
      <c r="J885" s="24" t="s">
        <v>608</v>
      </c>
      <c r="K885" s="40"/>
      <c r="L885" s="38" t="s">
        <v>3018</v>
      </c>
      <c r="M885" s="44" t="s">
        <v>30</v>
      </c>
      <c r="N885" s="46" t="s">
        <v>3019</v>
      </c>
      <c r="O885" s="47" t="s">
        <v>1660</v>
      </c>
      <c r="P885" s="50"/>
      <c r="Q885" s="45"/>
      <c r="R885" s="25"/>
      <c r="S885" s="52"/>
    </row>
    <row r="886" spans="1:19" ht="16.5" customHeight="1" x14ac:dyDescent="0.3">
      <c r="A886" s="27" t="s">
        <v>487</v>
      </c>
      <c r="B886" s="28" t="s">
        <v>488</v>
      </c>
      <c r="C886" s="26" t="s">
        <v>1808</v>
      </c>
      <c r="D886" s="31" t="s">
        <v>152</v>
      </c>
      <c r="E886" s="33" t="s">
        <v>2399</v>
      </c>
      <c r="F886" s="34" t="s">
        <v>563</v>
      </c>
      <c r="G886" s="32" t="s">
        <v>3009</v>
      </c>
      <c r="H886" s="37" t="s">
        <v>1631</v>
      </c>
      <c r="I886" s="39" t="s">
        <v>3015</v>
      </c>
      <c r="J886" s="24" t="s">
        <v>608</v>
      </c>
      <c r="K886" s="40"/>
      <c r="L886" s="38" t="s">
        <v>3020</v>
      </c>
      <c r="M886" s="44" t="s">
        <v>123</v>
      </c>
      <c r="N886" s="46" t="s">
        <v>3776</v>
      </c>
      <c r="O886" s="47" t="s">
        <v>1654</v>
      </c>
      <c r="P886" s="50"/>
      <c r="Q886" s="45"/>
      <c r="R886" s="25"/>
      <c r="S886" s="52"/>
    </row>
    <row r="887" spans="1:19" ht="16.5" customHeight="1" x14ac:dyDescent="0.3">
      <c r="A887" s="27" t="s">
        <v>487</v>
      </c>
      <c r="B887" s="28" t="s">
        <v>488</v>
      </c>
      <c r="C887" s="26" t="s">
        <v>1808</v>
      </c>
      <c r="D887" s="31" t="s">
        <v>152</v>
      </c>
      <c r="E887" s="33" t="s">
        <v>2399</v>
      </c>
      <c r="F887" s="34" t="s">
        <v>563</v>
      </c>
      <c r="G887" s="32" t="s">
        <v>3009</v>
      </c>
      <c r="H887" s="37" t="s">
        <v>1631</v>
      </c>
      <c r="I887" s="39" t="s">
        <v>3021</v>
      </c>
      <c r="J887" s="24" t="s">
        <v>608</v>
      </c>
      <c r="K887" s="40"/>
      <c r="L887" s="38" t="s">
        <v>3022</v>
      </c>
      <c r="M887" s="44" t="s">
        <v>16</v>
      </c>
      <c r="N887" s="46" t="s">
        <v>3023</v>
      </c>
      <c r="O887" s="47" t="s">
        <v>1176</v>
      </c>
      <c r="P887" s="50"/>
      <c r="Q887" s="45"/>
      <c r="R887" s="25"/>
      <c r="S887" s="52"/>
    </row>
    <row r="888" spans="1:19" ht="16.5" customHeight="1" x14ac:dyDescent="0.3">
      <c r="A888" s="27" t="s">
        <v>487</v>
      </c>
      <c r="B888" s="28" t="s">
        <v>488</v>
      </c>
      <c r="C888" s="26" t="s">
        <v>1808</v>
      </c>
      <c r="D888" s="31" t="s">
        <v>152</v>
      </c>
      <c r="E888" s="33" t="s">
        <v>2399</v>
      </c>
      <c r="F888" s="34" t="s">
        <v>563</v>
      </c>
      <c r="G888" s="32" t="s">
        <v>3009</v>
      </c>
      <c r="H888" s="37" t="s">
        <v>1631</v>
      </c>
      <c r="I888" s="39" t="s">
        <v>3021</v>
      </c>
      <c r="J888" s="24" t="s">
        <v>608</v>
      </c>
      <c r="K888" s="40"/>
      <c r="L888" s="38" t="s">
        <v>3024</v>
      </c>
      <c r="M888" s="44" t="s">
        <v>30</v>
      </c>
      <c r="N888" s="46" t="s">
        <v>3025</v>
      </c>
      <c r="O888" s="47" t="s">
        <v>1660</v>
      </c>
      <c r="P888" s="50"/>
      <c r="Q888" s="45"/>
      <c r="R888" s="25"/>
      <c r="S888" s="52"/>
    </row>
    <row r="889" spans="1:19" ht="16.5" customHeight="1" x14ac:dyDescent="0.3">
      <c r="A889" s="27" t="s">
        <v>487</v>
      </c>
      <c r="B889" s="28" t="s">
        <v>488</v>
      </c>
      <c r="C889" s="26" t="s">
        <v>1808</v>
      </c>
      <c r="D889" s="31" t="s">
        <v>152</v>
      </c>
      <c r="E889" s="33" t="s">
        <v>2399</v>
      </c>
      <c r="F889" s="34" t="s">
        <v>563</v>
      </c>
      <c r="G889" s="32" t="s">
        <v>3009</v>
      </c>
      <c r="H889" s="37" t="s">
        <v>1631</v>
      </c>
      <c r="I889" s="39" t="s">
        <v>3021</v>
      </c>
      <c r="J889" s="24" t="s">
        <v>608</v>
      </c>
      <c r="K889" s="40"/>
      <c r="L889" s="38" t="s">
        <v>3026</v>
      </c>
      <c r="M889" s="44" t="s">
        <v>123</v>
      </c>
      <c r="N889" s="46" t="s">
        <v>3775</v>
      </c>
      <c r="O889" s="47" t="s">
        <v>1654</v>
      </c>
      <c r="P889" s="50"/>
      <c r="Q889" s="45"/>
      <c r="R889" s="25"/>
      <c r="S889" s="52"/>
    </row>
    <row r="890" spans="1:19" ht="16.5" customHeight="1" x14ac:dyDescent="0.3">
      <c r="A890" s="27" t="s">
        <v>487</v>
      </c>
      <c r="B890" s="28" t="s">
        <v>488</v>
      </c>
      <c r="C890" s="26" t="s">
        <v>1808</v>
      </c>
      <c r="D890" s="31" t="s">
        <v>152</v>
      </c>
      <c r="E890" s="33" t="s">
        <v>2399</v>
      </c>
      <c r="F890" s="34" t="s">
        <v>563</v>
      </c>
      <c r="G890" s="32" t="s">
        <v>3009</v>
      </c>
      <c r="H890" s="37" t="s">
        <v>1631</v>
      </c>
      <c r="I890" s="39" t="s">
        <v>3027</v>
      </c>
      <c r="J890" s="24" t="s">
        <v>617</v>
      </c>
      <c r="K890" s="40"/>
      <c r="L890" s="38" t="s">
        <v>3028</v>
      </c>
      <c r="M890" s="44" t="s">
        <v>8</v>
      </c>
      <c r="N890" s="46" t="s">
        <v>3029</v>
      </c>
      <c r="O890" s="47" t="s">
        <v>1327</v>
      </c>
      <c r="P890" s="50"/>
      <c r="Q890" s="45"/>
      <c r="R890" s="25"/>
      <c r="S890" s="52"/>
    </row>
    <row r="891" spans="1:19" ht="16.5" customHeight="1" x14ac:dyDescent="0.3">
      <c r="A891" s="27" t="s">
        <v>487</v>
      </c>
      <c r="B891" s="28" t="s">
        <v>488</v>
      </c>
      <c r="C891" s="26" t="s">
        <v>1808</v>
      </c>
      <c r="D891" s="31" t="s">
        <v>152</v>
      </c>
      <c r="E891" s="33" t="s">
        <v>2399</v>
      </c>
      <c r="F891" s="34" t="s">
        <v>563</v>
      </c>
      <c r="G891" s="32" t="s">
        <v>3009</v>
      </c>
      <c r="H891" s="37" t="s">
        <v>1631</v>
      </c>
      <c r="I891" s="39" t="s">
        <v>3027</v>
      </c>
      <c r="J891" s="24" t="s">
        <v>617</v>
      </c>
      <c r="K891" s="40"/>
      <c r="L891" s="38" t="s">
        <v>3028</v>
      </c>
      <c r="M891" s="44" t="s">
        <v>8</v>
      </c>
      <c r="N891" s="46" t="s">
        <v>3030</v>
      </c>
      <c r="O891" s="47" t="s">
        <v>1328</v>
      </c>
      <c r="P891" s="50"/>
      <c r="Q891" s="45"/>
      <c r="R891" s="25"/>
      <c r="S891" s="52"/>
    </row>
    <row r="892" spans="1:19" ht="16.5" customHeight="1" x14ac:dyDescent="0.3">
      <c r="A892" s="27" t="s">
        <v>487</v>
      </c>
      <c r="B892" s="28" t="s">
        <v>488</v>
      </c>
      <c r="C892" s="26" t="s">
        <v>1808</v>
      </c>
      <c r="D892" s="31" t="s">
        <v>152</v>
      </c>
      <c r="E892" s="33" t="s">
        <v>2399</v>
      </c>
      <c r="F892" s="34" t="s">
        <v>563</v>
      </c>
      <c r="G892" s="32" t="s">
        <v>3009</v>
      </c>
      <c r="H892" s="37" t="s">
        <v>1631</v>
      </c>
      <c r="I892" s="39" t="s">
        <v>3027</v>
      </c>
      <c r="J892" s="24" t="s">
        <v>617</v>
      </c>
      <c r="K892" s="40"/>
      <c r="L892" s="38" t="s">
        <v>3031</v>
      </c>
      <c r="M892" s="44" t="s">
        <v>30</v>
      </c>
      <c r="N892" s="46" t="s">
        <v>3032</v>
      </c>
      <c r="O892" s="47" t="s">
        <v>1651</v>
      </c>
      <c r="P892" s="50"/>
      <c r="Q892" s="45"/>
      <c r="R892" s="25"/>
      <c r="S892" s="52"/>
    </row>
    <row r="893" spans="1:19" ht="16.5" customHeight="1" x14ac:dyDescent="0.3">
      <c r="A893" s="27" t="s">
        <v>487</v>
      </c>
      <c r="B893" s="28" t="s">
        <v>488</v>
      </c>
      <c r="C893" s="26" t="s">
        <v>1808</v>
      </c>
      <c r="D893" s="31" t="s">
        <v>152</v>
      </c>
      <c r="E893" s="33" t="s">
        <v>2399</v>
      </c>
      <c r="F893" s="34" t="s">
        <v>563</v>
      </c>
      <c r="G893" s="32" t="s">
        <v>3009</v>
      </c>
      <c r="H893" s="37" t="s">
        <v>1631</v>
      </c>
      <c r="I893" s="39" t="s">
        <v>3033</v>
      </c>
      <c r="J893" s="24" t="s">
        <v>905</v>
      </c>
      <c r="K893" s="40"/>
      <c r="L893" s="38" t="s">
        <v>3034</v>
      </c>
      <c r="M893" s="44" t="s">
        <v>565</v>
      </c>
      <c r="N893" s="46" t="s">
        <v>3035</v>
      </c>
      <c r="O893" s="47" t="s">
        <v>1178</v>
      </c>
      <c r="P893" s="50"/>
      <c r="Q893" s="45"/>
      <c r="R893" s="25"/>
      <c r="S893" s="52"/>
    </row>
    <row r="894" spans="1:19" ht="16.5" customHeight="1" x14ac:dyDescent="0.3">
      <c r="A894" s="27" t="s">
        <v>487</v>
      </c>
      <c r="B894" s="28" t="s">
        <v>488</v>
      </c>
      <c r="C894" s="26" t="s">
        <v>1808</v>
      </c>
      <c r="D894" s="31" t="s">
        <v>152</v>
      </c>
      <c r="E894" s="33" t="s">
        <v>2399</v>
      </c>
      <c r="F894" s="34" t="s">
        <v>563</v>
      </c>
      <c r="G894" s="32" t="s">
        <v>3009</v>
      </c>
      <c r="H894" s="37" t="s">
        <v>1631</v>
      </c>
      <c r="I894" s="39" t="s">
        <v>3033</v>
      </c>
      <c r="J894" s="24" t="s">
        <v>905</v>
      </c>
      <c r="K894" s="40"/>
      <c r="L894" s="38" t="s">
        <v>3034</v>
      </c>
      <c r="M894" s="44" t="s">
        <v>565</v>
      </c>
      <c r="N894" s="46" t="s">
        <v>3036</v>
      </c>
      <c r="O894" s="47" t="s">
        <v>1179</v>
      </c>
      <c r="P894" s="50"/>
      <c r="Q894" s="45"/>
      <c r="R894" s="25"/>
      <c r="S894" s="52"/>
    </row>
    <row r="895" spans="1:19" ht="16.5" customHeight="1" x14ac:dyDescent="0.3">
      <c r="A895" s="27" t="s">
        <v>487</v>
      </c>
      <c r="B895" s="28" t="s">
        <v>488</v>
      </c>
      <c r="C895" s="26" t="s">
        <v>1808</v>
      </c>
      <c r="D895" s="31" t="s">
        <v>152</v>
      </c>
      <c r="E895" s="33" t="s">
        <v>2399</v>
      </c>
      <c r="F895" s="34" t="s">
        <v>563</v>
      </c>
      <c r="G895" s="32" t="s">
        <v>3009</v>
      </c>
      <c r="H895" s="37" t="s">
        <v>1631</v>
      </c>
      <c r="I895" s="39" t="s">
        <v>3033</v>
      </c>
      <c r="J895" s="24" t="s">
        <v>905</v>
      </c>
      <c r="K895" s="40"/>
      <c r="L895" s="38" t="s">
        <v>3034</v>
      </c>
      <c r="M895" s="44" t="s">
        <v>565</v>
      </c>
      <c r="N895" s="46" t="s">
        <v>3037</v>
      </c>
      <c r="O895" s="47" t="s">
        <v>1180</v>
      </c>
      <c r="P895" s="50"/>
      <c r="Q895" s="45"/>
      <c r="R895" s="25"/>
      <c r="S895" s="52"/>
    </row>
    <row r="896" spans="1:19" ht="16.5" customHeight="1" x14ac:dyDescent="0.3">
      <c r="A896" s="27" t="s">
        <v>487</v>
      </c>
      <c r="B896" s="28" t="s">
        <v>488</v>
      </c>
      <c r="C896" s="26" t="s">
        <v>1808</v>
      </c>
      <c r="D896" s="31" t="s">
        <v>152</v>
      </c>
      <c r="E896" s="33" t="s">
        <v>2399</v>
      </c>
      <c r="F896" s="34" t="s">
        <v>563</v>
      </c>
      <c r="G896" s="32" t="s">
        <v>3009</v>
      </c>
      <c r="H896" s="37" t="s">
        <v>1631</v>
      </c>
      <c r="I896" s="39" t="s">
        <v>3033</v>
      </c>
      <c r="J896" s="24" t="s">
        <v>905</v>
      </c>
      <c r="K896" s="40"/>
      <c r="L896" s="38" t="s">
        <v>3038</v>
      </c>
      <c r="M896" s="44" t="s">
        <v>16</v>
      </c>
      <c r="N896" s="46" t="s">
        <v>3039</v>
      </c>
      <c r="O896" s="47" t="s">
        <v>1177</v>
      </c>
      <c r="P896" s="50"/>
      <c r="Q896" s="45"/>
      <c r="R896" s="25"/>
      <c r="S896" s="52"/>
    </row>
    <row r="897" spans="1:19" ht="16.5" customHeight="1" x14ac:dyDescent="0.3">
      <c r="A897" s="27" t="s">
        <v>487</v>
      </c>
      <c r="B897" s="28" t="s">
        <v>488</v>
      </c>
      <c r="C897" s="26" t="s">
        <v>1808</v>
      </c>
      <c r="D897" s="31" t="s">
        <v>152</v>
      </c>
      <c r="E897" s="33" t="s">
        <v>2399</v>
      </c>
      <c r="F897" s="34" t="s">
        <v>563</v>
      </c>
      <c r="G897" s="32" t="s">
        <v>3009</v>
      </c>
      <c r="H897" s="37" t="s">
        <v>1631</v>
      </c>
      <c r="I897" s="39" t="s">
        <v>3033</v>
      </c>
      <c r="J897" s="24" t="s">
        <v>905</v>
      </c>
      <c r="K897" s="40"/>
      <c r="L897" s="38" t="s">
        <v>3040</v>
      </c>
      <c r="M897" s="44" t="s">
        <v>123</v>
      </c>
      <c r="N897" s="46" t="s">
        <v>3041</v>
      </c>
      <c r="O897" s="47" t="s">
        <v>1654</v>
      </c>
      <c r="P897" s="50"/>
      <c r="Q897" s="45"/>
      <c r="R897" s="25"/>
      <c r="S897" s="52"/>
    </row>
    <row r="898" spans="1:19" ht="16.5" customHeight="1" x14ac:dyDescent="0.3">
      <c r="A898" s="27" t="s">
        <v>487</v>
      </c>
      <c r="B898" s="28" t="s">
        <v>488</v>
      </c>
      <c r="C898" s="26" t="s">
        <v>1808</v>
      </c>
      <c r="D898" s="31" t="s">
        <v>152</v>
      </c>
      <c r="E898" s="33" t="s">
        <v>2399</v>
      </c>
      <c r="F898" s="34" t="s">
        <v>563</v>
      </c>
      <c r="G898" s="32" t="s">
        <v>3009</v>
      </c>
      <c r="H898" s="37" t="s">
        <v>1631</v>
      </c>
      <c r="I898" s="39" t="s">
        <v>3033</v>
      </c>
      <c r="J898" s="24" t="s">
        <v>905</v>
      </c>
      <c r="K898" s="40"/>
      <c r="L898" s="38" t="s">
        <v>3040</v>
      </c>
      <c r="M898" s="44" t="s">
        <v>123</v>
      </c>
      <c r="N898" s="46" t="s">
        <v>3042</v>
      </c>
      <c r="O898" s="47" t="s">
        <v>1673</v>
      </c>
      <c r="P898" s="50"/>
      <c r="Q898" s="45"/>
      <c r="R898" s="25"/>
      <c r="S898" s="52"/>
    </row>
    <row r="899" spans="1:19" ht="16.5" customHeight="1" x14ac:dyDescent="0.3">
      <c r="A899" s="27" t="s">
        <v>487</v>
      </c>
      <c r="B899" s="28" t="s">
        <v>488</v>
      </c>
      <c r="C899" s="26" t="s">
        <v>1808</v>
      </c>
      <c r="D899" s="31" t="s">
        <v>152</v>
      </c>
      <c r="E899" s="33" t="s">
        <v>2399</v>
      </c>
      <c r="F899" s="34" t="s">
        <v>563</v>
      </c>
      <c r="G899" s="32" t="s">
        <v>3009</v>
      </c>
      <c r="H899" s="37" t="s">
        <v>1631</v>
      </c>
      <c r="I899" s="39" t="s">
        <v>3043</v>
      </c>
      <c r="J899" s="24" t="s">
        <v>438</v>
      </c>
      <c r="K899" s="40"/>
      <c r="L899" s="38" t="s">
        <v>3044</v>
      </c>
      <c r="M899" s="44" t="s">
        <v>16</v>
      </c>
      <c r="N899" s="46" t="s">
        <v>3045</v>
      </c>
      <c r="O899" s="47" t="s">
        <v>628</v>
      </c>
      <c r="P899" s="50"/>
      <c r="Q899" s="45"/>
      <c r="R899" s="25"/>
      <c r="S899" s="52"/>
    </row>
    <row r="900" spans="1:19" ht="16.5" customHeight="1" x14ac:dyDescent="0.3">
      <c r="A900" s="27" t="s">
        <v>487</v>
      </c>
      <c r="B900" s="28" t="s">
        <v>488</v>
      </c>
      <c r="C900" s="26" t="s">
        <v>1808</v>
      </c>
      <c r="D900" s="31" t="s">
        <v>152</v>
      </c>
      <c r="E900" s="33" t="s">
        <v>2399</v>
      </c>
      <c r="F900" s="34" t="s">
        <v>563</v>
      </c>
      <c r="G900" s="32" t="s">
        <v>3009</v>
      </c>
      <c r="H900" s="37" t="s">
        <v>1631</v>
      </c>
      <c r="I900" s="39" t="s">
        <v>3043</v>
      </c>
      <c r="J900" s="24" t="s">
        <v>438</v>
      </c>
      <c r="K900" s="40"/>
      <c r="L900" s="38" t="s">
        <v>3046</v>
      </c>
      <c r="M900" s="44" t="s">
        <v>123</v>
      </c>
      <c r="N900" s="46" t="s">
        <v>3047</v>
      </c>
      <c r="O900" s="47" t="s">
        <v>1664</v>
      </c>
      <c r="P900" s="50"/>
      <c r="Q900" s="45"/>
      <c r="R900" s="25"/>
      <c r="S900" s="52"/>
    </row>
    <row r="901" spans="1:19" ht="16.5" customHeight="1" x14ac:dyDescent="0.3">
      <c r="A901" s="27" t="s">
        <v>487</v>
      </c>
      <c r="B901" s="28" t="s">
        <v>488</v>
      </c>
      <c r="C901" s="26" t="s">
        <v>1808</v>
      </c>
      <c r="D901" s="31" t="s">
        <v>152</v>
      </c>
      <c r="E901" s="33" t="s">
        <v>2399</v>
      </c>
      <c r="F901" s="34" t="s">
        <v>563</v>
      </c>
      <c r="G901" s="32" t="s">
        <v>3009</v>
      </c>
      <c r="H901" s="37" t="s">
        <v>1631</v>
      </c>
      <c r="I901" s="39" t="s">
        <v>3048</v>
      </c>
      <c r="J901" s="24" t="s">
        <v>439</v>
      </c>
      <c r="K901" s="40"/>
      <c r="L901" s="38" t="s">
        <v>3049</v>
      </c>
      <c r="M901" s="44" t="s">
        <v>123</v>
      </c>
      <c r="N901" s="46" t="s">
        <v>3050</v>
      </c>
      <c r="O901" s="47" t="s">
        <v>1654</v>
      </c>
      <c r="P901" s="50"/>
      <c r="Q901" s="45"/>
      <c r="R901" s="25"/>
      <c r="S901" s="52"/>
    </row>
    <row r="902" spans="1:19" ht="16.5" customHeight="1" x14ac:dyDescent="0.3">
      <c r="A902" s="27" t="s">
        <v>487</v>
      </c>
      <c r="B902" s="28" t="s">
        <v>488</v>
      </c>
      <c r="C902" s="26" t="s">
        <v>1808</v>
      </c>
      <c r="D902" s="31" t="s">
        <v>152</v>
      </c>
      <c r="E902" s="33" t="s">
        <v>2399</v>
      </c>
      <c r="F902" s="34" t="s">
        <v>563</v>
      </c>
      <c r="G902" s="32" t="s">
        <v>3051</v>
      </c>
      <c r="H902" s="37" t="s">
        <v>1632</v>
      </c>
      <c r="I902" s="39" t="s">
        <v>3052</v>
      </c>
      <c r="J902" s="24" t="s">
        <v>1181</v>
      </c>
      <c r="K902" s="40"/>
      <c r="L902" s="38" t="s">
        <v>3053</v>
      </c>
      <c r="M902" s="44" t="s">
        <v>8</v>
      </c>
      <c r="N902" s="46" t="s">
        <v>3054</v>
      </c>
      <c r="O902" s="47" t="s">
        <v>1182</v>
      </c>
      <c r="P902" s="50"/>
      <c r="Q902" s="45"/>
      <c r="R902" s="25"/>
      <c r="S902" s="52"/>
    </row>
    <row r="903" spans="1:19" ht="16.5" customHeight="1" x14ac:dyDescent="0.3">
      <c r="A903" s="27" t="s">
        <v>487</v>
      </c>
      <c r="B903" s="28" t="s">
        <v>488</v>
      </c>
      <c r="C903" s="26" t="s">
        <v>1808</v>
      </c>
      <c r="D903" s="31" t="s">
        <v>152</v>
      </c>
      <c r="E903" s="33" t="s">
        <v>2399</v>
      </c>
      <c r="F903" s="34" t="s">
        <v>563</v>
      </c>
      <c r="G903" s="32" t="s">
        <v>3051</v>
      </c>
      <c r="H903" s="37" t="s">
        <v>1632</v>
      </c>
      <c r="I903" s="39" t="s">
        <v>3052</v>
      </c>
      <c r="J903" s="24" t="s">
        <v>1181</v>
      </c>
      <c r="K903" s="40"/>
      <c r="L903" s="38" t="s">
        <v>3055</v>
      </c>
      <c r="M903" s="44" t="s">
        <v>16</v>
      </c>
      <c r="N903" s="46" t="s">
        <v>3056</v>
      </c>
      <c r="O903" s="47" t="s">
        <v>1183</v>
      </c>
      <c r="P903" s="50"/>
      <c r="Q903" s="45"/>
      <c r="R903" s="25"/>
      <c r="S903" s="52"/>
    </row>
    <row r="904" spans="1:19" ht="16.5" customHeight="1" x14ac:dyDescent="0.3">
      <c r="A904" s="27" t="s">
        <v>487</v>
      </c>
      <c r="B904" s="28" t="s">
        <v>488</v>
      </c>
      <c r="C904" s="26" t="s">
        <v>1808</v>
      </c>
      <c r="D904" s="31" t="s">
        <v>152</v>
      </c>
      <c r="E904" s="33" t="s">
        <v>2399</v>
      </c>
      <c r="F904" s="34" t="s">
        <v>563</v>
      </c>
      <c r="G904" s="32" t="s">
        <v>3051</v>
      </c>
      <c r="H904" s="37" t="s">
        <v>1632</v>
      </c>
      <c r="I904" s="39" t="s">
        <v>3052</v>
      </c>
      <c r="J904" s="24" t="s">
        <v>1181</v>
      </c>
      <c r="K904" s="40"/>
      <c r="L904" s="38" t="s">
        <v>3057</v>
      </c>
      <c r="M904" s="44" t="s">
        <v>123</v>
      </c>
      <c r="N904" s="46"/>
      <c r="O904" s="47"/>
      <c r="P904" s="50"/>
      <c r="Q904" s="45"/>
      <c r="R904" s="25"/>
      <c r="S904" s="52"/>
    </row>
    <row r="905" spans="1:19" ht="16.5" customHeight="1" x14ac:dyDescent="0.3">
      <c r="A905" s="27" t="s">
        <v>487</v>
      </c>
      <c r="B905" s="28" t="s">
        <v>488</v>
      </c>
      <c r="C905" s="26" t="s">
        <v>1808</v>
      </c>
      <c r="D905" s="31" t="s">
        <v>152</v>
      </c>
      <c r="E905" s="33" t="s">
        <v>2399</v>
      </c>
      <c r="F905" s="34" t="s">
        <v>563</v>
      </c>
      <c r="G905" s="32" t="s">
        <v>3051</v>
      </c>
      <c r="H905" s="37" t="s">
        <v>1632</v>
      </c>
      <c r="I905" s="39" t="s">
        <v>3058</v>
      </c>
      <c r="J905" s="24" t="s">
        <v>619</v>
      </c>
      <c r="K905" s="40"/>
      <c r="L905" s="38" t="s">
        <v>3059</v>
      </c>
      <c r="M905" s="44" t="s">
        <v>8</v>
      </c>
      <c r="N905" s="46" t="s">
        <v>3060</v>
      </c>
      <c r="O905" s="47" t="s">
        <v>1506</v>
      </c>
      <c r="P905" s="50"/>
      <c r="Q905" s="45"/>
      <c r="R905" s="25"/>
      <c r="S905" s="52"/>
    </row>
    <row r="906" spans="1:19" ht="16.5" customHeight="1" x14ac:dyDescent="0.3">
      <c r="A906" s="27" t="s">
        <v>487</v>
      </c>
      <c r="B906" s="28" t="s">
        <v>488</v>
      </c>
      <c r="C906" s="26" t="s">
        <v>1808</v>
      </c>
      <c r="D906" s="31" t="s">
        <v>152</v>
      </c>
      <c r="E906" s="33" t="s">
        <v>2399</v>
      </c>
      <c r="F906" s="34" t="s">
        <v>563</v>
      </c>
      <c r="G906" s="32" t="s">
        <v>3051</v>
      </c>
      <c r="H906" s="37" t="s">
        <v>1632</v>
      </c>
      <c r="I906" s="39" t="s">
        <v>3058</v>
      </c>
      <c r="J906" s="24" t="s">
        <v>619</v>
      </c>
      <c r="K906" s="40"/>
      <c r="L906" s="38" t="s">
        <v>3061</v>
      </c>
      <c r="M906" s="44" t="s">
        <v>16</v>
      </c>
      <c r="N906" s="46" t="s">
        <v>3062</v>
      </c>
      <c r="O906" s="47" t="s">
        <v>1184</v>
      </c>
      <c r="P906" s="50"/>
      <c r="Q906" s="45"/>
      <c r="R906" s="25"/>
      <c r="S906" s="52"/>
    </row>
    <row r="907" spans="1:19" ht="16.5" customHeight="1" x14ac:dyDescent="0.3">
      <c r="A907" s="27" t="s">
        <v>487</v>
      </c>
      <c r="B907" s="28" t="s">
        <v>488</v>
      </c>
      <c r="C907" s="26" t="s">
        <v>1808</v>
      </c>
      <c r="D907" s="31" t="s">
        <v>152</v>
      </c>
      <c r="E907" s="33" t="s">
        <v>2399</v>
      </c>
      <c r="F907" s="34" t="s">
        <v>563</v>
      </c>
      <c r="G907" s="32" t="s">
        <v>3051</v>
      </c>
      <c r="H907" s="37" t="s">
        <v>1632</v>
      </c>
      <c r="I907" s="39" t="s">
        <v>3058</v>
      </c>
      <c r="J907" s="24" t="s">
        <v>619</v>
      </c>
      <c r="K907" s="40"/>
      <c r="L907" s="38" t="s">
        <v>3063</v>
      </c>
      <c r="M907" s="44" t="s">
        <v>123</v>
      </c>
      <c r="N907" s="46"/>
      <c r="O907" s="47"/>
      <c r="P907" s="50"/>
      <c r="Q907" s="45"/>
      <c r="R907" s="25"/>
      <c r="S907" s="52"/>
    </row>
    <row r="908" spans="1:19" ht="16.5" customHeight="1" x14ac:dyDescent="0.3">
      <c r="A908" s="27" t="s">
        <v>487</v>
      </c>
      <c r="B908" s="28" t="s">
        <v>488</v>
      </c>
      <c r="C908" s="26" t="s">
        <v>1808</v>
      </c>
      <c r="D908" s="31" t="s">
        <v>152</v>
      </c>
      <c r="E908" s="33" t="s">
        <v>2399</v>
      </c>
      <c r="F908" s="34" t="s">
        <v>563</v>
      </c>
      <c r="G908" s="32" t="s">
        <v>3051</v>
      </c>
      <c r="H908" s="37" t="s">
        <v>1632</v>
      </c>
      <c r="I908" s="39" t="s">
        <v>3064</v>
      </c>
      <c r="J908" s="24" t="s">
        <v>620</v>
      </c>
      <c r="K908" s="40"/>
      <c r="L908" s="38" t="s">
        <v>3065</v>
      </c>
      <c r="M908" s="44" t="s">
        <v>8</v>
      </c>
      <c r="N908" s="46" t="s">
        <v>3066</v>
      </c>
      <c r="O908" s="47" t="s">
        <v>1507</v>
      </c>
      <c r="P908" s="50"/>
      <c r="Q908" s="45"/>
      <c r="R908" s="25"/>
      <c r="S908" s="52"/>
    </row>
    <row r="909" spans="1:19" ht="16.5" customHeight="1" x14ac:dyDescent="0.3">
      <c r="A909" s="27" t="s">
        <v>487</v>
      </c>
      <c r="B909" s="28" t="s">
        <v>488</v>
      </c>
      <c r="C909" s="26" t="s">
        <v>1808</v>
      </c>
      <c r="D909" s="31" t="s">
        <v>152</v>
      </c>
      <c r="E909" s="33" t="s">
        <v>2399</v>
      </c>
      <c r="F909" s="34" t="s">
        <v>563</v>
      </c>
      <c r="G909" s="32" t="s">
        <v>3051</v>
      </c>
      <c r="H909" s="37" t="s">
        <v>1632</v>
      </c>
      <c r="I909" s="39" t="s">
        <v>3064</v>
      </c>
      <c r="J909" s="24" t="s">
        <v>620</v>
      </c>
      <c r="K909" s="40"/>
      <c r="L909" s="38" t="s">
        <v>3067</v>
      </c>
      <c r="M909" s="44" t="s">
        <v>16</v>
      </c>
      <c r="N909" s="46" t="s">
        <v>3068</v>
      </c>
      <c r="O909" s="47" t="s">
        <v>1185</v>
      </c>
      <c r="P909" s="50"/>
      <c r="Q909" s="45"/>
      <c r="R909" s="25"/>
      <c r="S909" s="52"/>
    </row>
    <row r="910" spans="1:19" ht="16.5" customHeight="1" x14ac:dyDescent="0.3">
      <c r="A910" s="27" t="s">
        <v>487</v>
      </c>
      <c r="B910" s="28" t="s">
        <v>488</v>
      </c>
      <c r="C910" s="26" t="s">
        <v>1808</v>
      </c>
      <c r="D910" s="31" t="s">
        <v>152</v>
      </c>
      <c r="E910" s="33" t="s">
        <v>2399</v>
      </c>
      <c r="F910" s="34" t="s">
        <v>563</v>
      </c>
      <c r="G910" s="32" t="s">
        <v>3051</v>
      </c>
      <c r="H910" s="37" t="s">
        <v>1632</v>
      </c>
      <c r="I910" s="39" t="s">
        <v>3064</v>
      </c>
      <c r="J910" s="24" t="s">
        <v>620</v>
      </c>
      <c r="K910" s="40"/>
      <c r="L910" s="38" t="s">
        <v>3069</v>
      </c>
      <c r="M910" s="44" t="s">
        <v>123</v>
      </c>
      <c r="N910" s="46"/>
      <c r="O910" s="47"/>
      <c r="P910" s="50"/>
      <c r="Q910" s="45"/>
      <c r="R910" s="25"/>
      <c r="S910" s="52"/>
    </row>
    <row r="911" spans="1:19" ht="16.5" customHeight="1" x14ac:dyDescent="0.3">
      <c r="A911" s="27" t="s">
        <v>487</v>
      </c>
      <c r="B911" s="28" t="s">
        <v>488</v>
      </c>
      <c r="C911" s="26" t="s">
        <v>1808</v>
      </c>
      <c r="D911" s="31" t="s">
        <v>152</v>
      </c>
      <c r="E911" s="33" t="s">
        <v>2399</v>
      </c>
      <c r="F911" s="34" t="s">
        <v>563</v>
      </c>
      <c r="G911" s="32" t="s">
        <v>3051</v>
      </c>
      <c r="H911" s="37" t="s">
        <v>1632</v>
      </c>
      <c r="I911" s="39" t="s">
        <v>3070</v>
      </c>
      <c r="J911" s="24" t="s">
        <v>606</v>
      </c>
      <c r="K911" s="40"/>
      <c r="L911" s="38" t="s">
        <v>3071</v>
      </c>
      <c r="M911" s="44" t="s">
        <v>8</v>
      </c>
      <c r="N911" s="46" t="s">
        <v>3072</v>
      </c>
      <c r="O911" s="47" t="s">
        <v>1508</v>
      </c>
      <c r="P911" s="50"/>
      <c r="Q911" s="45"/>
      <c r="R911" s="25"/>
      <c r="S911" s="52"/>
    </row>
    <row r="912" spans="1:19" ht="16.5" customHeight="1" x14ac:dyDescent="0.3">
      <c r="A912" s="27" t="s">
        <v>487</v>
      </c>
      <c r="B912" s="28" t="s">
        <v>488</v>
      </c>
      <c r="C912" s="26" t="s">
        <v>1808</v>
      </c>
      <c r="D912" s="31" t="s">
        <v>152</v>
      </c>
      <c r="E912" s="33" t="s">
        <v>2399</v>
      </c>
      <c r="F912" s="34" t="s">
        <v>563</v>
      </c>
      <c r="G912" s="32" t="s">
        <v>3051</v>
      </c>
      <c r="H912" s="37" t="s">
        <v>1632</v>
      </c>
      <c r="I912" s="39" t="s">
        <v>3070</v>
      </c>
      <c r="J912" s="24" t="s">
        <v>606</v>
      </c>
      <c r="K912" s="40"/>
      <c r="L912" s="38" t="s">
        <v>3073</v>
      </c>
      <c r="M912" s="44" t="s">
        <v>16</v>
      </c>
      <c r="N912" s="46" t="s">
        <v>3074</v>
      </c>
      <c r="O912" s="47" t="s">
        <v>1186</v>
      </c>
      <c r="P912" s="50"/>
      <c r="Q912" s="45"/>
      <c r="R912" s="25"/>
      <c r="S912" s="52"/>
    </row>
    <row r="913" spans="1:19" ht="16.5" customHeight="1" x14ac:dyDescent="0.3">
      <c r="A913" s="27" t="s">
        <v>487</v>
      </c>
      <c r="B913" s="28" t="s">
        <v>488</v>
      </c>
      <c r="C913" s="26" t="s">
        <v>1808</v>
      </c>
      <c r="D913" s="31" t="s">
        <v>152</v>
      </c>
      <c r="E913" s="33" t="s">
        <v>2399</v>
      </c>
      <c r="F913" s="34" t="s">
        <v>563</v>
      </c>
      <c r="G913" s="32" t="s">
        <v>3051</v>
      </c>
      <c r="H913" s="37" t="s">
        <v>1632</v>
      </c>
      <c r="I913" s="39" t="s">
        <v>3070</v>
      </c>
      <c r="J913" s="24" t="s">
        <v>606</v>
      </c>
      <c r="K913" s="40"/>
      <c r="L913" s="38" t="s">
        <v>3075</v>
      </c>
      <c r="M913" s="44" t="s">
        <v>123</v>
      </c>
      <c r="N913" s="46"/>
      <c r="O913" s="47"/>
      <c r="P913" s="50"/>
      <c r="Q913" s="45"/>
      <c r="R913" s="25"/>
      <c r="S913" s="52"/>
    </row>
    <row r="914" spans="1:19" ht="16.5" customHeight="1" x14ac:dyDescent="0.3">
      <c r="A914" s="27" t="s">
        <v>487</v>
      </c>
      <c r="B914" s="28" t="s">
        <v>488</v>
      </c>
      <c r="C914" s="26" t="s">
        <v>1808</v>
      </c>
      <c r="D914" s="31" t="s">
        <v>152</v>
      </c>
      <c r="E914" s="33" t="s">
        <v>2399</v>
      </c>
      <c r="F914" s="34" t="s">
        <v>563</v>
      </c>
      <c r="G914" s="32" t="s">
        <v>3051</v>
      </c>
      <c r="H914" s="37" t="s">
        <v>1632</v>
      </c>
      <c r="I914" s="39" t="s">
        <v>3076</v>
      </c>
      <c r="J914" s="24" t="s">
        <v>607</v>
      </c>
      <c r="K914" s="40"/>
      <c r="L914" s="38" t="s">
        <v>3077</v>
      </c>
      <c r="M914" s="44" t="s">
        <v>8</v>
      </c>
      <c r="N914" s="46" t="s">
        <v>3078</v>
      </c>
      <c r="O914" s="47" t="s">
        <v>614</v>
      </c>
      <c r="P914" s="50"/>
      <c r="Q914" s="45"/>
      <c r="R914" s="25"/>
      <c r="S914" s="52"/>
    </row>
    <row r="915" spans="1:19" ht="16.5" customHeight="1" x14ac:dyDescent="0.3">
      <c r="A915" s="27" t="s">
        <v>487</v>
      </c>
      <c r="B915" s="28" t="s">
        <v>488</v>
      </c>
      <c r="C915" s="26" t="s">
        <v>1808</v>
      </c>
      <c r="D915" s="31" t="s">
        <v>152</v>
      </c>
      <c r="E915" s="33" t="s">
        <v>2399</v>
      </c>
      <c r="F915" s="34" t="s">
        <v>563</v>
      </c>
      <c r="G915" s="32" t="s">
        <v>3051</v>
      </c>
      <c r="H915" s="37" t="s">
        <v>1632</v>
      </c>
      <c r="I915" s="39" t="s">
        <v>3076</v>
      </c>
      <c r="J915" s="24" t="s">
        <v>607</v>
      </c>
      <c r="K915" s="40"/>
      <c r="L915" s="38" t="s">
        <v>3079</v>
      </c>
      <c r="M915" s="44" t="s">
        <v>16</v>
      </c>
      <c r="N915" s="46" t="s">
        <v>3080</v>
      </c>
      <c r="O915" s="47" t="s">
        <v>1187</v>
      </c>
      <c r="P915" s="50"/>
      <c r="Q915" s="45"/>
      <c r="R915" s="25"/>
      <c r="S915" s="52"/>
    </row>
    <row r="916" spans="1:19" ht="16.5" customHeight="1" x14ac:dyDescent="0.3">
      <c r="A916" s="27" t="s">
        <v>487</v>
      </c>
      <c r="B916" s="28" t="s">
        <v>488</v>
      </c>
      <c r="C916" s="26" t="s">
        <v>1808</v>
      </c>
      <c r="D916" s="31" t="s">
        <v>152</v>
      </c>
      <c r="E916" s="33" t="s">
        <v>2399</v>
      </c>
      <c r="F916" s="34" t="s">
        <v>563</v>
      </c>
      <c r="G916" s="32" t="s">
        <v>3051</v>
      </c>
      <c r="H916" s="37" t="s">
        <v>1632</v>
      </c>
      <c r="I916" s="39" t="s">
        <v>3076</v>
      </c>
      <c r="J916" s="24" t="s">
        <v>607</v>
      </c>
      <c r="K916" s="40"/>
      <c r="L916" s="38" t="s">
        <v>3081</v>
      </c>
      <c r="M916" s="44" t="s">
        <v>123</v>
      </c>
      <c r="N916" s="46"/>
      <c r="O916" s="47"/>
      <c r="P916" s="50"/>
      <c r="Q916" s="45"/>
      <c r="R916" s="25"/>
      <c r="S916" s="52"/>
    </row>
    <row r="917" spans="1:19" ht="16.5" customHeight="1" x14ac:dyDescent="0.3">
      <c r="A917" s="27" t="s">
        <v>487</v>
      </c>
      <c r="B917" s="28" t="s">
        <v>488</v>
      </c>
      <c r="C917" s="26" t="s">
        <v>1808</v>
      </c>
      <c r="D917" s="31" t="s">
        <v>152</v>
      </c>
      <c r="E917" s="33" t="s">
        <v>2399</v>
      </c>
      <c r="F917" s="34" t="s">
        <v>563</v>
      </c>
      <c r="G917" s="32" t="s">
        <v>3082</v>
      </c>
      <c r="H917" s="37" t="s">
        <v>1633</v>
      </c>
      <c r="I917" s="39" t="s">
        <v>3083</v>
      </c>
      <c r="J917" s="24" t="s">
        <v>573</v>
      </c>
      <c r="K917" s="40"/>
      <c r="L917" s="38" t="s">
        <v>3084</v>
      </c>
      <c r="M917" s="44" t="s">
        <v>153</v>
      </c>
      <c r="N917" s="46" t="s">
        <v>3085</v>
      </c>
      <c r="O917" s="47" t="s">
        <v>1188</v>
      </c>
      <c r="P917" s="50"/>
      <c r="Q917" s="45"/>
      <c r="R917" s="25"/>
      <c r="S917" s="52"/>
    </row>
    <row r="918" spans="1:19" ht="16.5" customHeight="1" x14ac:dyDescent="0.3">
      <c r="A918" s="27" t="s">
        <v>487</v>
      </c>
      <c r="B918" s="28" t="s">
        <v>488</v>
      </c>
      <c r="C918" s="26" t="s">
        <v>1808</v>
      </c>
      <c r="D918" s="31" t="s">
        <v>152</v>
      </c>
      <c r="E918" s="33" t="s">
        <v>2399</v>
      </c>
      <c r="F918" s="34" t="s">
        <v>563</v>
      </c>
      <c r="G918" s="32" t="s">
        <v>3082</v>
      </c>
      <c r="H918" s="37" t="s">
        <v>1633</v>
      </c>
      <c r="I918" s="39" t="s">
        <v>3083</v>
      </c>
      <c r="J918" s="24" t="s">
        <v>573</v>
      </c>
      <c r="K918" s="40"/>
      <c r="L918" s="38" t="s">
        <v>3084</v>
      </c>
      <c r="M918" s="44" t="s">
        <v>153</v>
      </c>
      <c r="N918" s="46" t="s">
        <v>3086</v>
      </c>
      <c r="O918" s="47" t="s">
        <v>1470</v>
      </c>
      <c r="P918" s="50"/>
      <c r="Q918" s="45"/>
      <c r="R918" s="25"/>
      <c r="S918" s="52"/>
    </row>
    <row r="919" spans="1:19" ht="16.5" customHeight="1" x14ac:dyDescent="0.3">
      <c r="A919" s="27" t="s">
        <v>487</v>
      </c>
      <c r="B919" s="28" t="s">
        <v>488</v>
      </c>
      <c r="C919" s="26" t="s">
        <v>1808</v>
      </c>
      <c r="D919" s="31" t="s">
        <v>152</v>
      </c>
      <c r="E919" s="33" t="s">
        <v>2399</v>
      </c>
      <c r="F919" s="34" t="s">
        <v>563</v>
      </c>
      <c r="G919" s="32" t="s">
        <v>3082</v>
      </c>
      <c r="H919" s="37" t="s">
        <v>1633</v>
      </c>
      <c r="I919" s="39" t="s">
        <v>3083</v>
      </c>
      <c r="J919" s="24" t="s">
        <v>573</v>
      </c>
      <c r="K919" s="40"/>
      <c r="L919" s="38" t="s">
        <v>3084</v>
      </c>
      <c r="M919" s="44" t="s">
        <v>153</v>
      </c>
      <c r="N919" s="46" t="s">
        <v>3087</v>
      </c>
      <c r="O919" s="47" t="s">
        <v>1189</v>
      </c>
      <c r="P919" s="50"/>
      <c r="Q919" s="45"/>
      <c r="R919" s="25"/>
      <c r="S919" s="52"/>
    </row>
    <row r="920" spans="1:19" ht="16.5" customHeight="1" x14ac:dyDescent="0.3">
      <c r="A920" s="27" t="s">
        <v>487</v>
      </c>
      <c r="B920" s="28" t="s">
        <v>488</v>
      </c>
      <c r="C920" s="26" t="s">
        <v>1808</v>
      </c>
      <c r="D920" s="31" t="s">
        <v>152</v>
      </c>
      <c r="E920" s="33" t="s">
        <v>2399</v>
      </c>
      <c r="F920" s="34" t="s">
        <v>563</v>
      </c>
      <c r="G920" s="32" t="s">
        <v>3082</v>
      </c>
      <c r="H920" s="37" t="s">
        <v>1633</v>
      </c>
      <c r="I920" s="39" t="s">
        <v>3083</v>
      </c>
      <c r="J920" s="24" t="s">
        <v>573</v>
      </c>
      <c r="K920" s="40"/>
      <c r="L920" s="38" t="s">
        <v>3084</v>
      </c>
      <c r="M920" s="44" t="s">
        <v>153</v>
      </c>
      <c r="N920" s="46" t="s">
        <v>3088</v>
      </c>
      <c r="O920" s="47" t="s">
        <v>1192</v>
      </c>
      <c r="P920" s="50"/>
      <c r="Q920" s="45"/>
      <c r="R920" s="25"/>
      <c r="S920" s="52"/>
    </row>
    <row r="921" spans="1:19" ht="16.5" customHeight="1" x14ac:dyDescent="0.3">
      <c r="A921" s="27" t="s">
        <v>487</v>
      </c>
      <c r="B921" s="28" t="s">
        <v>488</v>
      </c>
      <c r="C921" s="26" t="s">
        <v>1808</v>
      </c>
      <c r="D921" s="31" t="s">
        <v>152</v>
      </c>
      <c r="E921" s="33" t="s">
        <v>2399</v>
      </c>
      <c r="F921" s="34" t="s">
        <v>563</v>
      </c>
      <c r="G921" s="32" t="s">
        <v>3082</v>
      </c>
      <c r="H921" s="37" t="s">
        <v>1633</v>
      </c>
      <c r="I921" s="39" t="s">
        <v>3083</v>
      </c>
      <c r="J921" s="24" t="s">
        <v>573</v>
      </c>
      <c r="K921" s="40"/>
      <c r="L921" s="38" t="s">
        <v>3084</v>
      </c>
      <c r="M921" s="44" t="s">
        <v>153</v>
      </c>
      <c r="N921" s="46" t="s">
        <v>3089</v>
      </c>
      <c r="O921" s="47" t="s">
        <v>1190</v>
      </c>
      <c r="P921" s="50"/>
      <c r="Q921" s="45"/>
      <c r="R921" s="25"/>
      <c r="S921" s="52"/>
    </row>
    <row r="922" spans="1:19" ht="16.5" customHeight="1" x14ac:dyDescent="0.3">
      <c r="A922" s="27" t="s">
        <v>487</v>
      </c>
      <c r="B922" s="28" t="s">
        <v>488</v>
      </c>
      <c r="C922" s="26" t="s">
        <v>1808</v>
      </c>
      <c r="D922" s="31" t="s">
        <v>152</v>
      </c>
      <c r="E922" s="33" t="s">
        <v>2399</v>
      </c>
      <c r="F922" s="34" t="s">
        <v>563</v>
      </c>
      <c r="G922" s="32" t="s">
        <v>3082</v>
      </c>
      <c r="H922" s="37" t="s">
        <v>1633</v>
      </c>
      <c r="I922" s="39" t="s">
        <v>3083</v>
      </c>
      <c r="J922" s="24" t="s">
        <v>573</v>
      </c>
      <c r="K922" s="40"/>
      <c r="L922" s="38" t="s">
        <v>3084</v>
      </c>
      <c r="M922" s="44" t="s">
        <v>153</v>
      </c>
      <c r="N922" s="46" t="s">
        <v>3090</v>
      </c>
      <c r="O922" s="47" t="s">
        <v>1191</v>
      </c>
      <c r="P922" s="50"/>
      <c r="Q922" s="45"/>
      <c r="R922" s="25"/>
      <c r="S922" s="52"/>
    </row>
    <row r="923" spans="1:19" ht="16.5" customHeight="1" x14ac:dyDescent="0.3">
      <c r="A923" s="27" t="s">
        <v>487</v>
      </c>
      <c r="B923" s="28" t="s">
        <v>488</v>
      </c>
      <c r="C923" s="26" t="s">
        <v>1808</v>
      </c>
      <c r="D923" s="31" t="s">
        <v>152</v>
      </c>
      <c r="E923" s="33" t="s">
        <v>2399</v>
      </c>
      <c r="F923" s="34" t="s">
        <v>563</v>
      </c>
      <c r="G923" s="32" t="s">
        <v>3082</v>
      </c>
      <c r="H923" s="37" t="s">
        <v>1633</v>
      </c>
      <c r="I923" s="39" t="s">
        <v>3083</v>
      </c>
      <c r="J923" s="24" t="s">
        <v>573</v>
      </c>
      <c r="K923" s="40"/>
      <c r="L923" s="38" t="s">
        <v>3091</v>
      </c>
      <c r="M923" s="44" t="s">
        <v>123</v>
      </c>
      <c r="N923" s="46"/>
      <c r="O923" s="47"/>
      <c r="P923" s="50"/>
      <c r="Q923" s="45"/>
      <c r="R923" s="25"/>
      <c r="S923" s="52"/>
    </row>
    <row r="924" spans="1:19" ht="16.5" customHeight="1" x14ac:dyDescent="0.3">
      <c r="A924" s="27" t="s">
        <v>487</v>
      </c>
      <c r="B924" s="28" t="s">
        <v>488</v>
      </c>
      <c r="C924" s="26" t="s">
        <v>1808</v>
      </c>
      <c r="D924" s="31" t="s">
        <v>152</v>
      </c>
      <c r="E924" s="33" t="s">
        <v>2399</v>
      </c>
      <c r="F924" s="34" t="s">
        <v>563</v>
      </c>
      <c r="G924" s="32" t="s">
        <v>3092</v>
      </c>
      <c r="H924" s="37" t="s">
        <v>1794</v>
      </c>
      <c r="I924" s="39" t="s">
        <v>3093</v>
      </c>
      <c r="J924" s="24" t="s">
        <v>485</v>
      </c>
      <c r="K924" s="40"/>
      <c r="L924" s="38" t="s">
        <v>3094</v>
      </c>
      <c r="M924" s="44" t="s">
        <v>123</v>
      </c>
      <c r="N924" s="46" t="s">
        <v>3095</v>
      </c>
      <c r="O924" s="47" t="s">
        <v>1261</v>
      </c>
      <c r="P924" s="50"/>
      <c r="Q924" s="45"/>
      <c r="R924" s="25"/>
      <c r="S924" s="52"/>
    </row>
    <row r="925" spans="1:19" ht="16.5" customHeight="1" x14ac:dyDescent="0.3">
      <c r="A925" s="27" t="s">
        <v>487</v>
      </c>
      <c r="B925" s="28" t="s">
        <v>488</v>
      </c>
      <c r="C925" s="26" t="s">
        <v>1808</v>
      </c>
      <c r="D925" s="31" t="s">
        <v>152</v>
      </c>
      <c r="E925" s="33" t="s">
        <v>2399</v>
      </c>
      <c r="F925" s="34" t="s">
        <v>563</v>
      </c>
      <c r="G925" s="32" t="s">
        <v>3092</v>
      </c>
      <c r="H925" s="37" t="s">
        <v>1794</v>
      </c>
      <c r="I925" s="39" t="s">
        <v>3093</v>
      </c>
      <c r="J925" s="24" t="s">
        <v>485</v>
      </c>
      <c r="K925" s="40"/>
      <c r="L925" s="38" t="s">
        <v>3094</v>
      </c>
      <c r="M925" s="44" t="s">
        <v>123</v>
      </c>
      <c r="N925" s="46" t="s">
        <v>3096</v>
      </c>
      <c r="O925" s="47" t="s">
        <v>1312</v>
      </c>
      <c r="P925" s="50"/>
      <c r="Q925" s="45"/>
      <c r="R925" s="25"/>
      <c r="S925" s="52"/>
    </row>
    <row r="926" spans="1:19" ht="16.5" customHeight="1" x14ac:dyDescent="0.3">
      <c r="A926" s="27" t="s">
        <v>487</v>
      </c>
      <c r="B926" s="28" t="s">
        <v>488</v>
      </c>
      <c r="C926" s="26" t="s">
        <v>1808</v>
      </c>
      <c r="D926" s="31" t="s">
        <v>152</v>
      </c>
      <c r="E926" s="33" t="s">
        <v>2399</v>
      </c>
      <c r="F926" s="34" t="s">
        <v>563</v>
      </c>
      <c r="G926" s="32" t="s">
        <v>3092</v>
      </c>
      <c r="H926" s="37" t="s">
        <v>1794</v>
      </c>
      <c r="I926" s="39" t="s">
        <v>3093</v>
      </c>
      <c r="J926" s="24" t="s">
        <v>485</v>
      </c>
      <c r="K926" s="40"/>
      <c r="L926" s="38" t="s">
        <v>3094</v>
      </c>
      <c r="M926" s="44" t="s">
        <v>123</v>
      </c>
      <c r="N926" s="46" t="s">
        <v>3097</v>
      </c>
      <c r="O926" s="47" t="s">
        <v>1313</v>
      </c>
      <c r="P926" s="50"/>
      <c r="Q926" s="45"/>
      <c r="R926" s="25"/>
      <c r="S926" s="52"/>
    </row>
    <row r="927" spans="1:19" ht="16.5" customHeight="1" x14ac:dyDescent="0.3">
      <c r="A927" s="27" t="s">
        <v>487</v>
      </c>
      <c r="B927" s="28" t="s">
        <v>488</v>
      </c>
      <c r="C927" s="26" t="s">
        <v>1808</v>
      </c>
      <c r="D927" s="31" t="s">
        <v>152</v>
      </c>
      <c r="E927" s="33" t="s">
        <v>2399</v>
      </c>
      <c r="F927" s="34" t="s">
        <v>563</v>
      </c>
      <c r="G927" s="32" t="s">
        <v>3092</v>
      </c>
      <c r="H927" s="37" t="s">
        <v>1794</v>
      </c>
      <c r="I927" s="39" t="s">
        <v>3093</v>
      </c>
      <c r="J927" s="24" t="s">
        <v>485</v>
      </c>
      <c r="K927" s="40"/>
      <c r="L927" s="38" t="s">
        <v>3094</v>
      </c>
      <c r="M927" s="44" t="s">
        <v>123</v>
      </c>
      <c r="N927" s="46" t="s">
        <v>3098</v>
      </c>
      <c r="O927" s="47" t="s">
        <v>1314</v>
      </c>
      <c r="P927" s="50"/>
      <c r="Q927" s="45"/>
      <c r="R927" s="25"/>
      <c r="S927" s="52"/>
    </row>
    <row r="928" spans="1:19" ht="16.5" customHeight="1" x14ac:dyDescent="0.3">
      <c r="A928" s="27" t="s">
        <v>487</v>
      </c>
      <c r="B928" s="28" t="s">
        <v>488</v>
      </c>
      <c r="C928" s="26" t="s">
        <v>1808</v>
      </c>
      <c r="D928" s="31" t="s">
        <v>152</v>
      </c>
      <c r="E928" s="33" t="s">
        <v>2399</v>
      </c>
      <c r="F928" s="34" t="s">
        <v>563</v>
      </c>
      <c r="G928" s="32" t="s">
        <v>3092</v>
      </c>
      <c r="H928" s="37" t="s">
        <v>1794</v>
      </c>
      <c r="I928" s="39" t="s">
        <v>3093</v>
      </c>
      <c r="J928" s="24" t="s">
        <v>485</v>
      </c>
      <c r="K928" s="40"/>
      <c r="L928" s="38" t="s">
        <v>3094</v>
      </c>
      <c r="M928" s="44" t="s">
        <v>123</v>
      </c>
      <c r="N928" s="46" t="s">
        <v>3099</v>
      </c>
      <c r="O928" s="47" t="s">
        <v>1315</v>
      </c>
      <c r="P928" s="50"/>
      <c r="Q928" s="45"/>
      <c r="R928" s="25"/>
      <c r="S928" s="52"/>
    </row>
    <row r="929" spans="1:19" ht="16.5" customHeight="1" x14ac:dyDescent="0.3">
      <c r="A929" s="27" t="s">
        <v>487</v>
      </c>
      <c r="B929" s="28" t="s">
        <v>488</v>
      </c>
      <c r="C929" s="26" t="s">
        <v>1808</v>
      </c>
      <c r="D929" s="31" t="s">
        <v>152</v>
      </c>
      <c r="E929" s="33" t="s">
        <v>2399</v>
      </c>
      <c r="F929" s="34" t="s">
        <v>563</v>
      </c>
      <c r="G929" s="32" t="s">
        <v>3092</v>
      </c>
      <c r="H929" s="37" t="s">
        <v>1794</v>
      </c>
      <c r="I929" s="39" t="s">
        <v>3093</v>
      </c>
      <c r="J929" s="24" t="s">
        <v>485</v>
      </c>
      <c r="K929" s="40"/>
      <c r="L929" s="38" t="s">
        <v>3094</v>
      </c>
      <c r="M929" s="44" t="s">
        <v>123</v>
      </c>
      <c r="N929" s="46" t="s">
        <v>3100</v>
      </c>
      <c r="O929" s="47" t="s">
        <v>1316</v>
      </c>
      <c r="P929" s="50"/>
      <c r="Q929" s="45"/>
      <c r="R929" s="25"/>
      <c r="S929" s="52"/>
    </row>
    <row r="930" spans="1:19" ht="16.5" customHeight="1" x14ac:dyDescent="0.3">
      <c r="A930" s="27" t="s">
        <v>487</v>
      </c>
      <c r="B930" s="28" t="s">
        <v>488</v>
      </c>
      <c r="C930" s="26" t="s">
        <v>1808</v>
      </c>
      <c r="D930" s="31" t="s">
        <v>152</v>
      </c>
      <c r="E930" s="33" t="s">
        <v>2399</v>
      </c>
      <c r="F930" s="34" t="s">
        <v>563</v>
      </c>
      <c r="G930" s="32" t="s">
        <v>3092</v>
      </c>
      <c r="H930" s="37" t="s">
        <v>1794</v>
      </c>
      <c r="I930" s="39" t="s">
        <v>3093</v>
      </c>
      <c r="J930" s="24" t="s">
        <v>485</v>
      </c>
      <c r="K930" s="40"/>
      <c r="L930" s="38" t="s">
        <v>3094</v>
      </c>
      <c r="M930" s="44" t="s">
        <v>123</v>
      </c>
      <c r="N930" s="46" t="s">
        <v>3101</v>
      </c>
      <c r="O930" s="47" t="s">
        <v>1262</v>
      </c>
      <c r="P930" s="50"/>
      <c r="Q930" s="45"/>
      <c r="R930" s="25"/>
      <c r="S930" s="52"/>
    </row>
    <row r="931" spans="1:19" ht="16.5" customHeight="1" x14ac:dyDescent="0.3">
      <c r="A931" s="27" t="s">
        <v>487</v>
      </c>
      <c r="B931" s="28" t="s">
        <v>488</v>
      </c>
      <c r="C931" s="26" t="s">
        <v>1808</v>
      </c>
      <c r="D931" s="31" t="s">
        <v>152</v>
      </c>
      <c r="E931" s="33" t="s">
        <v>2399</v>
      </c>
      <c r="F931" s="34" t="s">
        <v>563</v>
      </c>
      <c r="G931" s="32" t="s">
        <v>3092</v>
      </c>
      <c r="H931" s="37" t="s">
        <v>1794</v>
      </c>
      <c r="I931" s="39" t="s">
        <v>3093</v>
      </c>
      <c r="J931" s="24" t="s">
        <v>485</v>
      </c>
      <c r="K931" s="40"/>
      <c r="L931" s="38" t="s">
        <v>3094</v>
      </c>
      <c r="M931" s="44" t="s">
        <v>123</v>
      </c>
      <c r="N931" s="46" t="s">
        <v>3102</v>
      </c>
      <c r="O931" s="47" t="s">
        <v>1259</v>
      </c>
      <c r="P931" s="50"/>
      <c r="Q931" s="45"/>
      <c r="R931" s="25"/>
      <c r="S931" s="52"/>
    </row>
    <row r="932" spans="1:19" ht="16.5" customHeight="1" x14ac:dyDescent="0.3">
      <c r="A932" s="27" t="s">
        <v>487</v>
      </c>
      <c r="B932" s="28" t="s">
        <v>488</v>
      </c>
      <c r="C932" s="26" t="s">
        <v>1808</v>
      </c>
      <c r="D932" s="31" t="s">
        <v>152</v>
      </c>
      <c r="E932" s="33" t="s">
        <v>2399</v>
      </c>
      <c r="F932" s="34" t="s">
        <v>563</v>
      </c>
      <c r="G932" s="32" t="s">
        <v>3092</v>
      </c>
      <c r="H932" s="37" t="s">
        <v>1794</v>
      </c>
      <c r="I932" s="39" t="s">
        <v>3093</v>
      </c>
      <c r="J932" s="24" t="s">
        <v>485</v>
      </c>
      <c r="K932" s="40"/>
      <c r="L932" s="38" t="s">
        <v>3094</v>
      </c>
      <c r="M932" s="44" t="s">
        <v>123</v>
      </c>
      <c r="N932" s="46" t="s">
        <v>3103</v>
      </c>
      <c r="O932" s="47" t="s">
        <v>1260</v>
      </c>
      <c r="P932" s="50"/>
      <c r="Q932" s="45"/>
      <c r="R932" s="25"/>
      <c r="S932" s="52"/>
    </row>
    <row r="933" spans="1:19" ht="16.5" customHeight="1" x14ac:dyDescent="0.3">
      <c r="A933" s="27" t="s">
        <v>487</v>
      </c>
      <c r="B933" s="28" t="s">
        <v>488</v>
      </c>
      <c r="C933" s="26" t="s">
        <v>1808</v>
      </c>
      <c r="D933" s="31" t="s">
        <v>152</v>
      </c>
      <c r="E933" s="33" t="s">
        <v>2399</v>
      </c>
      <c r="F933" s="34" t="s">
        <v>563</v>
      </c>
      <c r="G933" s="32" t="s">
        <v>3092</v>
      </c>
      <c r="H933" s="37" t="s">
        <v>1794</v>
      </c>
      <c r="I933" s="39" t="s">
        <v>3093</v>
      </c>
      <c r="J933" s="24" t="s">
        <v>485</v>
      </c>
      <c r="K933" s="40"/>
      <c r="L933" s="38" t="s">
        <v>3094</v>
      </c>
      <c r="M933" s="44" t="s">
        <v>123</v>
      </c>
      <c r="N933" s="46" t="s">
        <v>3104</v>
      </c>
      <c r="O933" s="47" t="s">
        <v>1263</v>
      </c>
      <c r="P933" s="50"/>
      <c r="Q933" s="45"/>
      <c r="R933" s="25"/>
      <c r="S933" s="52"/>
    </row>
    <row r="934" spans="1:19" ht="16.5" customHeight="1" x14ac:dyDescent="0.3">
      <c r="A934" s="27" t="s">
        <v>487</v>
      </c>
      <c r="B934" s="28" t="s">
        <v>488</v>
      </c>
      <c r="C934" s="26" t="s">
        <v>1808</v>
      </c>
      <c r="D934" s="31" t="s">
        <v>152</v>
      </c>
      <c r="E934" s="33" t="s">
        <v>2399</v>
      </c>
      <c r="F934" s="34" t="s">
        <v>563</v>
      </c>
      <c r="G934" s="32" t="s">
        <v>3092</v>
      </c>
      <c r="H934" s="37" t="s">
        <v>1794</v>
      </c>
      <c r="I934" s="39" t="s">
        <v>3093</v>
      </c>
      <c r="J934" s="24" t="s">
        <v>485</v>
      </c>
      <c r="K934" s="40"/>
      <c r="L934" s="38" t="s">
        <v>3094</v>
      </c>
      <c r="M934" s="44" t="s">
        <v>123</v>
      </c>
      <c r="N934" s="46" t="s">
        <v>3105</v>
      </c>
      <c r="O934" s="47" t="s">
        <v>623</v>
      </c>
      <c r="P934" s="50"/>
      <c r="Q934" s="45"/>
      <c r="R934" s="25"/>
      <c r="S934" s="52"/>
    </row>
    <row r="935" spans="1:19" ht="16.5" customHeight="1" x14ac:dyDescent="0.3">
      <c r="A935" s="27" t="s">
        <v>487</v>
      </c>
      <c r="B935" s="28" t="s">
        <v>488</v>
      </c>
      <c r="C935" s="26" t="s">
        <v>1808</v>
      </c>
      <c r="D935" s="31" t="s">
        <v>152</v>
      </c>
      <c r="E935" s="33" t="s">
        <v>2399</v>
      </c>
      <c r="F935" s="34" t="s">
        <v>563</v>
      </c>
      <c r="G935" s="32" t="s">
        <v>3092</v>
      </c>
      <c r="H935" s="37" t="s">
        <v>1794</v>
      </c>
      <c r="I935" s="39" t="s">
        <v>3093</v>
      </c>
      <c r="J935" s="24" t="s">
        <v>485</v>
      </c>
      <c r="K935" s="40"/>
      <c r="L935" s="38" t="s">
        <v>3094</v>
      </c>
      <c r="M935" s="44" t="s">
        <v>123</v>
      </c>
      <c r="N935" s="46" t="s">
        <v>3106</v>
      </c>
      <c r="O935" s="47" t="s">
        <v>1264</v>
      </c>
      <c r="P935" s="50"/>
      <c r="Q935" s="45"/>
      <c r="R935" s="25"/>
      <c r="S935" s="52"/>
    </row>
    <row r="936" spans="1:19" ht="16.5" customHeight="1" x14ac:dyDescent="0.3">
      <c r="A936" s="27" t="s">
        <v>487</v>
      </c>
      <c r="B936" s="28" t="s">
        <v>488</v>
      </c>
      <c r="C936" s="26" t="s">
        <v>1808</v>
      </c>
      <c r="D936" s="31" t="s">
        <v>152</v>
      </c>
      <c r="E936" s="33" t="s">
        <v>2399</v>
      </c>
      <c r="F936" s="34" t="s">
        <v>563</v>
      </c>
      <c r="G936" s="32" t="s">
        <v>3092</v>
      </c>
      <c r="H936" s="37" t="s">
        <v>1794</v>
      </c>
      <c r="I936" s="39" t="s">
        <v>3093</v>
      </c>
      <c r="J936" s="24" t="s">
        <v>485</v>
      </c>
      <c r="K936" s="40"/>
      <c r="L936" s="38" t="s">
        <v>3094</v>
      </c>
      <c r="M936" s="44" t="s">
        <v>123</v>
      </c>
      <c r="N936" s="46" t="s">
        <v>3107</v>
      </c>
      <c r="O936" s="47" t="s">
        <v>1265</v>
      </c>
      <c r="P936" s="50"/>
      <c r="Q936" s="45"/>
      <c r="R936" s="25"/>
      <c r="S936" s="52"/>
    </row>
    <row r="937" spans="1:19" ht="16.5" customHeight="1" x14ac:dyDescent="0.3">
      <c r="A937" s="27" t="s">
        <v>487</v>
      </c>
      <c r="B937" s="28" t="s">
        <v>488</v>
      </c>
      <c r="C937" s="26" t="s">
        <v>1808</v>
      </c>
      <c r="D937" s="31" t="s">
        <v>152</v>
      </c>
      <c r="E937" s="33" t="s">
        <v>2399</v>
      </c>
      <c r="F937" s="34" t="s">
        <v>563</v>
      </c>
      <c r="G937" s="32" t="s">
        <v>3092</v>
      </c>
      <c r="H937" s="37" t="s">
        <v>1794</v>
      </c>
      <c r="I937" s="39" t="s">
        <v>3093</v>
      </c>
      <c r="J937" s="24" t="s">
        <v>485</v>
      </c>
      <c r="K937" s="40"/>
      <c r="L937" s="38" t="s">
        <v>3094</v>
      </c>
      <c r="M937" s="44" t="s">
        <v>123</v>
      </c>
      <c r="N937" s="46" t="s">
        <v>3108</v>
      </c>
      <c r="O937" s="47" t="s">
        <v>1270</v>
      </c>
      <c r="P937" s="50"/>
      <c r="Q937" s="45"/>
      <c r="R937" s="25"/>
      <c r="S937" s="52"/>
    </row>
    <row r="938" spans="1:19" ht="16.5" customHeight="1" x14ac:dyDescent="0.3">
      <c r="A938" s="27" t="s">
        <v>487</v>
      </c>
      <c r="B938" s="28" t="s">
        <v>488</v>
      </c>
      <c r="C938" s="26" t="s">
        <v>1808</v>
      </c>
      <c r="D938" s="31" t="s">
        <v>152</v>
      </c>
      <c r="E938" s="33" t="s">
        <v>2399</v>
      </c>
      <c r="F938" s="34" t="s">
        <v>563</v>
      </c>
      <c r="G938" s="32" t="s">
        <v>3092</v>
      </c>
      <c r="H938" s="37" t="s">
        <v>1794</v>
      </c>
      <c r="I938" s="39" t="s">
        <v>3093</v>
      </c>
      <c r="J938" s="24" t="s">
        <v>485</v>
      </c>
      <c r="K938" s="40"/>
      <c r="L938" s="38" t="s">
        <v>3094</v>
      </c>
      <c r="M938" s="44" t="s">
        <v>123</v>
      </c>
      <c r="N938" s="46" t="s">
        <v>3109</v>
      </c>
      <c r="O938" s="47" t="s">
        <v>1271</v>
      </c>
      <c r="P938" s="50"/>
      <c r="Q938" s="45"/>
      <c r="R938" s="25"/>
      <c r="S938" s="52"/>
    </row>
    <row r="939" spans="1:19" ht="16.5" customHeight="1" x14ac:dyDescent="0.3">
      <c r="A939" s="27" t="s">
        <v>487</v>
      </c>
      <c r="B939" s="28" t="s">
        <v>488</v>
      </c>
      <c r="C939" s="26" t="s">
        <v>1808</v>
      </c>
      <c r="D939" s="31" t="s">
        <v>152</v>
      </c>
      <c r="E939" s="33" t="s">
        <v>2399</v>
      </c>
      <c r="F939" s="34" t="s">
        <v>563</v>
      </c>
      <c r="G939" s="32" t="s">
        <v>3092</v>
      </c>
      <c r="H939" s="37" t="s">
        <v>1794</v>
      </c>
      <c r="I939" s="39" t="s">
        <v>3093</v>
      </c>
      <c r="J939" s="24" t="s">
        <v>485</v>
      </c>
      <c r="K939" s="40"/>
      <c r="L939" s="38" t="s">
        <v>3094</v>
      </c>
      <c r="M939" s="44" t="s">
        <v>123</v>
      </c>
      <c r="N939" s="46" t="s">
        <v>3110</v>
      </c>
      <c r="O939" s="47" t="s">
        <v>1802</v>
      </c>
      <c r="P939" s="50"/>
      <c r="Q939" s="45"/>
      <c r="R939" s="25"/>
      <c r="S939" s="52"/>
    </row>
    <row r="940" spans="1:19" ht="16.5" customHeight="1" x14ac:dyDescent="0.3">
      <c r="A940" s="27" t="s">
        <v>487</v>
      </c>
      <c r="B940" s="28" t="s">
        <v>488</v>
      </c>
      <c r="C940" s="26" t="s">
        <v>1808</v>
      </c>
      <c r="D940" s="31" t="s">
        <v>152</v>
      </c>
      <c r="E940" s="33" t="s">
        <v>2399</v>
      </c>
      <c r="F940" s="34" t="s">
        <v>563</v>
      </c>
      <c r="G940" s="32" t="s">
        <v>3092</v>
      </c>
      <c r="H940" s="37" t="s">
        <v>1794</v>
      </c>
      <c r="I940" s="39" t="s">
        <v>3093</v>
      </c>
      <c r="J940" s="24" t="s">
        <v>485</v>
      </c>
      <c r="K940" s="40"/>
      <c r="L940" s="38" t="s">
        <v>3094</v>
      </c>
      <c r="M940" s="44" t="s">
        <v>123</v>
      </c>
      <c r="N940" s="46" t="s">
        <v>3111</v>
      </c>
      <c r="O940" s="47" t="s">
        <v>1266</v>
      </c>
      <c r="P940" s="50"/>
      <c r="Q940" s="45"/>
      <c r="R940" s="25"/>
      <c r="S940" s="52"/>
    </row>
    <row r="941" spans="1:19" ht="16.5" customHeight="1" x14ac:dyDescent="0.3">
      <c r="A941" s="27" t="s">
        <v>487</v>
      </c>
      <c r="B941" s="28" t="s">
        <v>488</v>
      </c>
      <c r="C941" s="26" t="s">
        <v>1808</v>
      </c>
      <c r="D941" s="31" t="s">
        <v>152</v>
      </c>
      <c r="E941" s="33" t="s">
        <v>2399</v>
      </c>
      <c r="F941" s="34" t="s">
        <v>563</v>
      </c>
      <c r="G941" s="32" t="s">
        <v>3092</v>
      </c>
      <c r="H941" s="37" t="s">
        <v>1794</v>
      </c>
      <c r="I941" s="39" t="s">
        <v>3093</v>
      </c>
      <c r="J941" s="24" t="s">
        <v>485</v>
      </c>
      <c r="K941" s="40"/>
      <c r="L941" s="38" t="s">
        <v>3094</v>
      </c>
      <c r="M941" s="44" t="s">
        <v>123</v>
      </c>
      <c r="N941" s="46" t="s">
        <v>3112</v>
      </c>
      <c r="O941" s="47" t="s">
        <v>1267</v>
      </c>
      <c r="P941" s="50"/>
      <c r="Q941" s="45"/>
      <c r="R941" s="25"/>
      <c r="S941" s="52"/>
    </row>
    <row r="942" spans="1:19" ht="16.5" customHeight="1" x14ac:dyDescent="0.3">
      <c r="A942" s="27" t="s">
        <v>487</v>
      </c>
      <c r="B942" s="28" t="s">
        <v>488</v>
      </c>
      <c r="C942" s="26" t="s">
        <v>1808</v>
      </c>
      <c r="D942" s="31" t="s">
        <v>152</v>
      </c>
      <c r="E942" s="33" t="s">
        <v>2399</v>
      </c>
      <c r="F942" s="34" t="s">
        <v>563</v>
      </c>
      <c r="G942" s="32" t="s">
        <v>3092</v>
      </c>
      <c r="H942" s="37" t="s">
        <v>1794</v>
      </c>
      <c r="I942" s="39" t="s">
        <v>3093</v>
      </c>
      <c r="J942" s="24" t="s">
        <v>485</v>
      </c>
      <c r="K942" s="40"/>
      <c r="L942" s="38" t="s">
        <v>3094</v>
      </c>
      <c r="M942" s="44" t="s">
        <v>123</v>
      </c>
      <c r="N942" s="46" t="s">
        <v>3113</v>
      </c>
      <c r="O942" s="47" t="s">
        <v>1268</v>
      </c>
      <c r="P942" s="50"/>
      <c r="Q942" s="45"/>
      <c r="R942" s="25"/>
      <c r="S942" s="52"/>
    </row>
    <row r="943" spans="1:19" ht="16.5" customHeight="1" x14ac:dyDescent="0.3">
      <c r="A943" s="27" t="s">
        <v>487</v>
      </c>
      <c r="B943" s="28" t="s">
        <v>488</v>
      </c>
      <c r="C943" s="26" t="s">
        <v>1808</v>
      </c>
      <c r="D943" s="31" t="s">
        <v>152</v>
      </c>
      <c r="E943" s="33" t="s">
        <v>2399</v>
      </c>
      <c r="F943" s="34" t="s">
        <v>563</v>
      </c>
      <c r="G943" s="32" t="s">
        <v>3092</v>
      </c>
      <c r="H943" s="37" t="s">
        <v>1794</v>
      </c>
      <c r="I943" s="39" t="s">
        <v>3093</v>
      </c>
      <c r="J943" s="24" t="s">
        <v>485</v>
      </c>
      <c r="K943" s="40"/>
      <c r="L943" s="38" t="s">
        <v>3094</v>
      </c>
      <c r="M943" s="44" t="s">
        <v>123</v>
      </c>
      <c r="N943" s="46" t="s">
        <v>3114</v>
      </c>
      <c r="O943" s="47" t="s">
        <v>1317</v>
      </c>
      <c r="P943" s="50"/>
      <c r="Q943" s="45"/>
      <c r="R943" s="25"/>
      <c r="S943" s="52"/>
    </row>
    <row r="944" spans="1:19" ht="16.5" customHeight="1" x14ac:dyDescent="0.3">
      <c r="A944" s="27" t="s">
        <v>487</v>
      </c>
      <c r="B944" s="28" t="s">
        <v>488</v>
      </c>
      <c r="C944" s="26" t="s">
        <v>1808</v>
      </c>
      <c r="D944" s="31" t="s">
        <v>152</v>
      </c>
      <c r="E944" s="33" t="s">
        <v>2399</v>
      </c>
      <c r="F944" s="34" t="s">
        <v>563</v>
      </c>
      <c r="G944" s="32" t="s">
        <v>3092</v>
      </c>
      <c r="H944" s="37" t="s">
        <v>1794</v>
      </c>
      <c r="I944" s="39" t="s">
        <v>3093</v>
      </c>
      <c r="J944" s="24" t="s">
        <v>485</v>
      </c>
      <c r="K944" s="40"/>
      <c r="L944" s="38" t="s">
        <v>3094</v>
      </c>
      <c r="M944" s="44" t="s">
        <v>123</v>
      </c>
      <c r="N944" s="46" t="s">
        <v>3115</v>
      </c>
      <c r="O944" s="47" t="s">
        <v>1318</v>
      </c>
      <c r="P944" s="50"/>
      <c r="Q944" s="45"/>
      <c r="R944" s="25"/>
      <c r="S944" s="52"/>
    </row>
    <row r="945" spans="1:19" ht="16.5" customHeight="1" x14ac:dyDescent="0.3">
      <c r="A945" s="27" t="s">
        <v>487</v>
      </c>
      <c r="B945" s="28" t="s">
        <v>488</v>
      </c>
      <c r="C945" s="26" t="s">
        <v>1808</v>
      </c>
      <c r="D945" s="31" t="s">
        <v>152</v>
      </c>
      <c r="E945" s="33" t="s">
        <v>2399</v>
      </c>
      <c r="F945" s="34" t="s">
        <v>563</v>
      </c>
      <c r="G945" s="32" t="s">
        <v>3092</v>
      </c>
      <c r="H945" s="37" t="s">
        <v>1794</v>
      </c>
      <c r="I945" s="39" t="s">
        <v>3093</v>
      </c>
      <c r="J945" s="24" t="s">
        <v>485</v>
      </c>
      <c r="K945" s="40"/>
      <c r="L945" s="38" t="s">
        <v>3094</v>
      </c>
      <c r="M945" s="44" t="s">
        <v>123</v>
      </c>
      <c r="N945" s="46" t="s">
        <v>3116</v>
      </c>
      <c r="O945" s="47" t="s">
        <v>1269</v>
      </c>
      <c r="P945" s="50"/>
      <c r="Q945" s="45"/>
      <c r="R945" s="25"/>
      <c r="S945" s="52"/>
    </row>
    <row r="946" spans="1:19" ht="16.5" customHeight="1" x14ac:dyDescent="0.3">
      <c r="A946" s="27" t="s">
        <v>487</v>
      </c>
      <c r="B946" s="28" t="s">
        <v>488</v>
      </c>
      <c r="C946" s="26" t="s">
        <v>1808</v>
      </c>
      <c r="D946" s="31" t="s">
        <v>152</v>
      </c>
      <c r="E946" s="33" t="s">
        <v>2399</v>
      </c>
      <c r="F946" s="34" t="s">
        <v>563</v>
      </c>
      <c r="G946" s="32" t="s">
        <v>3092</v>
      </c>
      <c r="H946" s="37" t="s">
        <v>1794</v>
      </c>
      <c r="I946" s="39" t="s">
        <v>3093</v>
      </c>
      <c r="J946" s="24" t="s">
        <v>485</v>
      </c>
      <c r="K946" s="40"/>
      <c r="L946" s="38" t="s">
        <v>3094</v>
      </c>
      <c r="M946" s="44" t="s">
        <v>123</v>
      </c>
      <c r="N946" s="46" t="s">
        <v>3117</v>
      </c>
      <c r="O946" s="47" t="s">
        <v>1319</v>
      </c>
      <c r="P946" s="50"/>
      <c r="Q946" s="45"/>
      <c r="R946" s="25"/>
      <c r="S946" s="52"/>
    </row>
    <row r="947" spans="1:19" ht="16.5" customHeight="1" x14ac:dyDescent="0.3">
      <c r="A947" s="27" t="s">
        <v>487</v>
      </c>
      <c r="B947" s="28" t="s">
        <v>488</v>
      </c>
      <c r="C947" s="26" t="s">
        <v>1808</v>
      </c>
      <c r="D947" s="31" t="s">
        <v>152</v>
      </c>
      <c r="E947" s="33" t="s">
        <v>2399</v>
      </c>
      <c r="F947" s="34" t="s">
        <v>563</v>
      </c>
      <c r="G947" s="32" t="s">
        <v>3092</v>
      </c>
      <c r="H947" s="37" t="s">
        <v>1794</v>
      </c>
      <c r="I947" s="39" t="s">
        <v>3093</v>
      </c>
      <c r="J947" s="24" t="s">
        <v>485</v>
      </c>
      <c r="K947" s="40"/>
      <c r="L947" s="38" t="s">
        <v>3094</v>
      </c>
      <c r="M947" s="44" t="s">
        <v>123</v>
      </c>
      <c r="N947" s="46" t="s">
        <v>3118</v>
      </c>
      <c r="O947" s="47" t="s">
        <v>1320</v>
      </c>
      <c r="P947" s="50"/>
      <c r="Q947" s="45"/>
      <c r="R947" s="25"/>
      <c r="S947" s="52"/>
    </row>
    <row r="948" spans="1:19" ht="16.5" customHeight="1" x14ac:dyDescent="0.3">
      <c r="A948" s="27" t="s">
        <v>487</v>
      </c>
      <c r="B948" s="28" t="s">
        <v>488</v>
      </c>
      <c r="C948" s="26" t="s">
        <v>1808</v>
      </c>
      <c r="D948" s="31" t="s">
        <v>152</v>
      </c>
      <c r="E948" s="33" t="s">
        <v>2399</v>
      </c>
      <c r="F948" s="34" t="s">
        <v>563</v>
      </c>
      <c r="G948" s="32" t="s">
        <v>3092</v>
      </c>
      <c r="H948" s="37" t="s">
        <v>1794</v>
      </c>
      <c r="I948" s="39" t="s">
        <v>3093</v>
      </c>
      <c r="J948" s="24" t="s">
        <v>485</v>
      </c>
      <c r="K948" s="40"/>
      <c r="L948" s="38" t="s">
        <v>3094</v>
      </c>
      <c r="M948" s="44" t="s">
        <v>123</v>
      </c>
      <c r="N948" s="46" t="s">
        <v>3119</v>
      </c>
      <c r="O948" s="47" t="s">
        <v>1321</v>
      </c>
      <c r="P948" s="50"/>
      <c r="Q948" s="45"/>
      <c r="R948" s="25"/>
      <c r="S948" s="52"/>
    </row>
    <row r="949" spans="1:19" ht="16.5" customHeight="1" x14ac:dyDescent="0.3">
      <c r="A949" s="27" t="s">
        <v>487</v>
      </c>
      <c r="B949" s="28" t="s">
        <v>488</v>
      </c>
      <c r="C949" s="26" t="s">
        <v>1808</v>
      </c>
      <c r="D949" s="31" t="s">
        <v>152</v>
      </c>
      <c r="E949" s="33" t="s">
        <v>2399</v>
      </c>
      <c r="F949" s="34" t="s">
        <v>563</v>
      </c>
      <c r="G949" s="32" t="s">
        <v>3092</v>
      </c>
      <c r="H949" s="37" t="s">
        <v>1794</v>
      </c>
      <c r="I949" s="39" t="s">
        <v>3093</v>
      </c>
      <c r="J949" s="24" t="s">
        <v>485</v>
      </c>
      <c r="K949" s="40"/>
      <c r="L949" s="38" t="s">
        <v>3094</v>
      </c>
      <c r="M949" s="44" t="s">
        <v>123</v>
      </c>
      <c r="N949" s="46" t="s">
        <v>3120</v>
      </c>
      <c r="O949" s="47" t="s">
        <v>1322</v>
      </c>
      <c r="P949" s="50"/>
      <c r="Q949" s="45"/>
      <c r="R949" s="25"/>
      <c r="S949" s="52"/>
    </row>
    <row r="950" spans="1:19" ht="16.5" customHeight="1" x14ac:dyDescent="0.3">
      <c r="A950" s="27" t="s">
        <v>487</v>
      </c>
      <c r="B950" s="28" t="s">
        <v>488</v>
      </c>
      <c r="C950" s="26" t="s">
        <v>1808</v>
      </c>
      <c r="D950" s="31" t="s">
        <v>152</v>
      </c>
      <c r="E950" s="33" t="s">
        <v>2399</v>
      </c>
      <c r="F950" s="34" t="s">
        <v>563</v>
      </c>
      <c r="G950" s="32" t="s">
        <v>3092</v>
      </c>
      <c r="H950" s="37" t="s">
        <v>1794</v>
      </c>
      <c r="I950" s="39" t="s">
        <v>3093</v>
      </c>
      <c r="J950" s="24" t="s">
        <v>485</v>
      </c>
      <c r="K950" s="40"/>
      <c r="L950" s="38" t="s">
        <v>3094</v>
      </c>
      <c r="M950" s="44" t="s">
        <v>123</v>
      </c>
      <c r="N950" s="46" t="s">
        <v>3121</v>
      </c>
      <c r="O950" s="47" t="s">
        <v>1323</v>
      </c>
      <c r="P950" s="50"/>
      <c r="Q950" s="45"/>
      <c r="R950" s="25"/>
      <c r="S950" s="52"/>
    </row>
    <row r="951" spans="1:19" ht="16.5" customHeight="1" x14ac:dyDescent="0.3">
      <c r="A951" s="27" t="s">
        <v>487</v>
      </c>
      <c r="B951" s="28" t="s">
        <v>488</v>
      </c>
      <c r="C951" s="26" t="s">
        <v>1808</v>
      </c>
      <c r="D951" s="31" t="s">
        <v>152</v>
      </c>
      <c r="E951" s="33" t="s">
        <v>2399</v>
      </c>
      <c r="F951" s="34" t="s">
        <v>563</v>
      </c>
      <c r="G951" s="32" t="s">
        <v>3092</v>
      </c>
      <c r="H951" s="37" t="s">
        <v>1794</v>
      </c>
      <c r="I951" s="39" t="s">
        <v>3093</v>
      </c>
      <c r="J951" s="24" t="s">
        <v>485</v>
      </c>
      <c r="K951" s="40"/>
      <c r="L951" s="38" t="s">
        <v>3094</v>
      </c>
      <c r="M951" s="44" t="s">
        <v>123</v>
      </c>
      <c r="N951" s="46" t="s">
        <v>3122</v>
      </c>
      <c r="O951" s="47" t="s">
        <v>1324</v>
      </c>
      <c r="P951" s="50"/>
      <c r="Q951" s="45"/>
      <c r="R951" s="25"/>
      <c r="S951" s="52"/>
    </row>
    <row r="952" spans="1:19" ht="16.5" customHeight="1" x14ac:dyDescent="0.3">
      <c r="A952" s="27" t="s">
        <v>487</v>
      </c>
      <c r="B952" s="28" t="s">
        <v>488</v>
      </c>
      <c r="C952" s="26" t="s">
        <v>1808</v>
      </c>
      <c r="D952" s="31" t="s">
        <v>152</v>
      </c>
      <c r="E952" s="33" t="s">
        <v>2399</v>
      </c>
      <c r="F952" s="34" t="s">
        <v>563</v>
      </c>
      <c r="G952" s="32" t="s">
        <v>3092</v>
      </c>
      <c r="H952" s="37" t="s">
        <v>1794</v>
      </c>
      <c r="I952" s="39" t="s">
        <v>3093</v>
      </c>
      <c r="J952" s="24" t="s">
        <v>485</v>
      </c>
      <c r="K952" s="40"/>
      <c r="L952" s="38" t="s">
        <v>3094</v>
      </c>
      <c r="M952" s="44" t="s">
        <v>123</v>
      </c>
      <c r="N952" s="46" t="s">
        <v>3123</v>
      </c>
      <c r="O952" s="47" t="s">
        <v>1272</v>
      </c>
      <c r="P952" s="50"/>
      <c r="Q952" s="45"/>
      <c r="R952" s="25"/>
      <c r="S952" s="52"/>
    </row>
    <row r="953" spans="1:19" ht="16.5" customHeight="1" x14ac:dyDescent="0.3">
      <c r="A953" s="27" t="s">
        <v>487</v>
      </c>
      <c r="B953" s="28" t="s">
        <v>488</v>
      </c>
      <c r="C953" s="26" t="s">
        <v>1808</v>
      </c>
      <c r="D953" s="31" t="s">
        <v>152</v>
      </c>
      <c r="E953" s="33" t="s">
        <v>2399</v>
      </c>
      <c r="F953" s="34" t="s">
        <v>563</v>
      </c>
      <c r="G953" s="32" t="s">
        <v>3092</v>
      </c>
      <c r="H953" s="37" t="s">
        <v>1794</v>
      </c>
      <c r="I953" s="39" t="s">
        <v>3093</v>
      </c>
      <c r="J953" s="24" t="s">
        <v>485</v>
      </c>
      <c r="K953" s="40"/>
      <c r="L953" s="38" t="s">
        <v>3094</v>
      </c>
      <c r="M953" s="44" t="s">
        <v>123</v>
      </c>
      <c r="N953" s="46" t="s">
        <v>3124</v>
      </c>
      <c r="O953" s="47" t="s">
        <v>1273</v>
      </c>
      <c r="P953" s="50"/>
      <c r="Q953" s="45"/>
      <c r="R953" s="25"/>
      <c r="S953" s="52"/>
    </row>
    <row r="954" spans="1:19" ht="16.5" customHeight="1" x14ac:dyDescent="0.3">
      <c r="A954" s="27" t="s">
        <v>487</v>
      </c>
      <c r="B954" s="28" t="s">
        <v>488</v>
      </c>
      <c r="C954" s="26" t="s">
        <v>1808</v>
      </c>
      <c r="D954" s="31" t="s">
        <v>152</v>
      </c>
      <c r="E954" s="33" t="s">
        <v>2399</v>
      </c>
      <c r="F954" s="34" t="s">
        <v>563</v>
      </c>
      <c r="G954" s="32" t="s">
        <v>3092</v>
      </c>
      <c r="H954" s="37" t="s">
        <v>1794</v>
      </c>
      <c r="I954" s="39" t="s">
        <v>3093</v>
      </c>
      <c r="J954" s="24" t="s">
        <v>485</v>
      </c>
      <c r="K954" s="40"/>
      <c r="L954" s="38" t="s">
        <v>3094</v>
      </c>
      <c r="M954" s="44" t="s">
        <v>123</v>
      </c>
      <c r="N954" s="46" t="s">
        <v>3125</v>
      </c>
      <c r="O954" s="47" t="s">
        <v>1266</v>
      </c>
      <c r="P954" s="50"/>
      <c r="Q954" s="45"/>
      <c r="R954" s="25"/>
      <c r="S954" s="52"/>
    </row>
    <row r="955" spans="1:19" ht="16.5" customHeight="1" x14ac:dyDescent="0.3">
      <c r="A955" s="27" t="s">
        <v>487</v>
      </c>
      <c r="B955" s="28" t="s">
        <v>488</v>
      </c>
      <c r="C955" s="26" t="s">
        <v>1808</v>
      </c>
      <c r="D955" s="31" t="s">
        <v>152</v>
      </c>
      <c r="E955" s="33" t="s">
        <v>2399</v>
      </c>
      <c r="F955" s="34" t="s">
        <v>563</v>
      </c>
      <c r="G955" s="32" t="s">
        <v>3092</v>
      </c>
      <c r="H955" s="37" t="s">
        <v>1794</v>
      </c>
      <c r="I955" s="39" t="s">
        <v>3093</v>
      </c>
      <c r="J955" s="24" t="s">
        <v>485</v>
      </c>
      <c r="K955" s="40"/>
      <c r="L955" s="38" t="s">
        <v>3094</v>
      </c>
      <c r="M955" s="44" t="s">
        <v>123</v>
      </c>
      <c r="N955" s="46" t="s">
        <v>3126</v>
      </c>
      <c r="O955" s="47" t="s">
        <v>1478</v>
      </c>
      <c r="P955" s="50"/>
      <c r="Q955" s="45"/>
      <c r="R955" s="25"/>
      <c r="S955" s="52"/>
    </row>
    <row r="956" spans="1:19" ht="16.5" customHeight="1" x14ac:dyDescent="0.3">
      <c r="A956" s="27" t="s">
        <v>487</v>
      </c>
      <c r="B956" s="28" t="s">
        <v>488</v>
      </c>
      <c r="C956" s="26" t="s">
        <v>1808</v>
      </c>
      <c r="D956" s="31" t="s">
        <v>152</v>
      </c>
      <c r="E956" s="33" t="s">
        <v>2399</v>
      </c>
      <c r="F956" s="34" t="s">
        <v>563</v>
      </c>
      <c r="G956" s="32" t="s">
        <v>3092</v>
      </c>
      <c r="H956" s="37" t="s">
        <v>1794</v>
      </c>
      <c r="I956" s="39" t="s">
        <v>3093</v>
      </c>
      <c r="J956" s="24" t="s">
        <v>485</v>
      </c>
      <c r="K956" s="40"/>
      <c r="L956" s="38" t="s">
        <v>3094</v>
      </c>
      <c r="M956" s="44" t="s">
        <v>123</v>
      </c>
      <c r="N956" s="46" t="s">
        <v>3127</v>
      </c>
      <c r="O956" s="47" t="s">
        <v>1615</v>
      </c>
      <c r="P956" s="50"/>
      <c r="Q956" s="45"/>
      <c r="R956" s="25"/>
      <c r="S956" s="52"/>
    </row>
    <row r="957" spans="1:19" ht="16.5" customHeight="1" x14ac:dyDescent="0.3">
      <c r="A957" s="27" t="s">
        <v>487</v>
      </c>
      <c r="B957" s="28" t="s">
        <v>488</v>
      </c>
      <c r="C957" s="26" t="s">
        <v>1808</v>
      </c>
      <c r="D957" s="31" t="s">
        <v>152</v>
      </c>
      <c r="E957" s="33" t="s">
        <v>2399</v>
      </c>
      <c r="F957" s="34" t="s">
        <v>563</v>
      </c>
      <c r="G957" s="32" t="s">
        <v>3092</v>
      </c>
      <c r="H957" s="37" t="s">
        <v>1794</v>
      </c>
      <c r="I957" s="39" t="s">
        <v>3093</v>
      </c>
      <c r="J957" s="24" t="s">
        <v>485</v>
      </c>
      <c r="K957" s="40"/>
      <c r="L957" s="38" t="s">
        <v>3094</v>
      </c>
      <c r="M957" s="44" t="s">
        <v>123</v>
      </c>
      <c r="N957" s="46" t="s">
        <v>3128</v>
      </c>
      <c r="O957" s="47" t="s">
        <v>1429</v>
      </c>
      <c r="P957" s="50"/>
      <c r="Q957" s="45"/>
      <c r="R957" s="25"/>
      <c r="S957" s="52"/>
    </row>
    <row r="958" spans="1:19" ht="16.5" customHeight="1" x14ac:dyDescent="0.3">
      <c r="A958" s="27" t="s">
        <v>487</v>
      </c>
      <c r="B958" s="28" t="s">
        <v>488</v>
      </c>
      <c r="C958" s="26" t="s">
        <v>1808</v>
      </c>
      <c r="D958" s="31" t="s">
        <v>152</v>
      </c>
      <c r="E958" s="33" t="s">
        <v>2399</v>
      </c>
      <c r="F958" s="34" t="s">
        <v>563</v>
      </c>
      <c r="G958" s="32" t="s">
        <v>3092</v>
      </c>
      <c r="H958" s="37" t="s">
        <v>1794</v>
      </c>
      <c r="I958" s="39" t="s">
        <v>3093</v>
      </c>
      <c r="J958" s="24" t="s">
        <v>485</v>
      </c>
      <c r="K958" s="40"/>
      <c r="L958" s="38" t="s">
        <v>3094</v>
      </c>
      <c r="M958" s="44" t="s">
        <v>123</v>
      </c>
      <c r="N958" s="46" t="s">
        <v>3129</v>
      </c>
      <c r="O958" s="47" t="s">
        <v>1429</v>
      </c>
      <c r="P958" s="50"/>
      <c r="Q958" s="45"/>
      <c r="R958" s="25"/>
      <c r="S958" s="52"/>
    </row>
    <row r="959" spans="1:19" ht="16.5" customHeight="1" x14ac:dyDescent="0.3">
      <c r="A959" s="27" t="s">
        <v>487</v>
      </c>
      <c r="B959" s="28" t="s">
        <v>488</v>
      </c>
      <c r="C959" s="26" t="s">
        <v>1808</v>
      </c>
      <c r="D959" s="31" t="s">
        <v>152</v>
      </c>
      <c r="E959" s="33" t="s">
        <v>2399</v>
      </c>
      <c r="F959" s="34" t="s">
        <v>563</v>
      </c>
      <c r="G959" s="32" t="s">
        <v>3092</v>
      </c>
      <c r="H959" s="37" t="s">
        <v>1794</v>
      </c>
      <c r="I959" s="39" t="s">
        <v>3093</v>
      </c>
      <c r="J959" s="24" t="s">
        <v>485</v>
      </c>
      <c r="K959" s="40"/>
      <c r="L959" s="38" t="s">
        <v>3094</v>
      </c>
      <c r="M959" s="44" t="s">
        <v>123</v>
      </c>
      <c r="N959" s="46" t="s">
        <v>3130</v>
      </c>
      <c r="O959" s="47" t="s">
        <v>1432</v>
      </c>
      <c r="P959" s="50"/>
      <c r="Q959" s="45"/>
      <c r="R959" s="25"/>
      <c r="S959" s="52"/>
    </row>
    <row r="960" spans="1:19" ht="16.5" customHeight="1" x14ac:dyDescent="0.3">
      <c r="A960" s="27" t="s">
        <v>487</v>
      </c>
      <c r="B960" s="28" t="s">
        <v>488</v>
      </c>
      <c r="C960" s="26" t="s">
        <v>1808</v>
      </c>
      <c r="D960" s="31" t="s">
        <v>152</v>
      </c>
      <c r="E960" s="33" t="s">
        <v>2399</v>
      </c>
      <c r="F960" s="34" t="s">
        <v>563</v>
      </c>
      <c r="G960" s="32" t="s">
        <v>3092</v>
      </c>
      <c r="H960" s="37" t="s">
        <v>1794</v>
      </c>
      <c r="I960" s="39" t="s">
        <v>3093</v>
      </c>
      <c r="J960" s="24" t="s">
        <v>485</v>
      </c>
      <c r="K960" s="40"/>
      <c r="L960" s="38" t="s">
        <v>3094</v>
      </c>
      <c r="M960" s="44" t="s">
        <v>123</v>
      </c>
      <c r="N960" s="46" t="s">
        <v>3131</v>
      </c>
      <c r="O960" s="47" t="s">
        <v>1432</v>
      </c>
      <c r="P960" s="50"/>
      <c r="Q960" s="45"/>
      <c r="R960" s="25"/>
      <c r="S960" s="52"/>
    </row>
    <row r="961" spans="1:19" ht="16.5" customHeight="1" x14ac:dyDescent="0.3">
      <c r="A961" s="27" t="s">
        <v>487</v>
      </c>
      <c r="B961" s="28" t="s">
        <v>488</v>
      </c>
      <c r="C961" s="26" t="s">
        <v>1808</v>
      </c>
      <c r="D961" s="31" t="s">
        <v>152</v>
      </c>
      <c r="E961" s="33" t="s">
        <v>2399</v>
      </c>
      <c r="F961" s="34" t="s">
        <v>563</v>
      </c>
      <c r="G961" s="32" t="s">
        <v>3092</v>
      </c>
      <c r="H961" s="37" t="s">
        <v>1794</v>
      </c>
      <c r="I961" s="39" t="s">
        <v>3093</v>
      </c>
      <c r="J961" s="24" t="s">
        <v>485</v>
      </c>
      <c r="K961" s="40"/>
      <c r="L961" s="38" t="s">
        <v>3094</v>
      </c>
      <c r="M961" s="44" t="s">
        <v>123</v>
      </c>
      <c r="N961" s="46" t="s">
        <v>3132</v>
      </c>
      <c r="O961" s="47" t="s">
        <v>1429</v>
      </c>
      <c r="P961" s="50"/>
      <c r="Q961" s="45"/>
      <c r="R961" s="25"/>
      <c r="S961" s="52"/>
    </row>
    <row r="962" spans="1:19" ht="16.5" customHeight="1" x14ac:dyDescent="0.3">
      <c r="A962" s="27" t="s">
        <v>487</v>
      </c>
      <c r="B962" s="28" t="s">
        <v>488</v>
      </c>
      <c r="C962" s="26" t="s">
        <v>1808</v>
      </c>
      <c r="D962" s="31" t="s">
        <v>152</v>
      </c>
      <c r="E962" s="33" t="s">
        <v>2399</v>
      </c>
      <c r="F962" s="34" t="s">
        <v>563</v>
      </c>
      <c r="G962" s="32" t="s">
        <v>3092</v>
      </c>
      <c r="H962" s="37" t="s">
        <v>1794</v>
      </c>
      <c r="I962" s="39" t="s">
        <v>3093</v>
      </c>
      <c r="J962" s="24" t="s">
        <v>485</v>
      </c>
      <c r="K962" s="40"/>
      <c r="L962" s="38" t="s">
        <v>3094</v>
      </c>
      <c r="M962" s="44" t="s">
        <v>123</v>
      </c>
      <c r="N962" s="46" t="s">
        <v>3133</v>
      </c>
      <c r="O962" s="47" t="s">
        <v>1429</v>
      </c>
      <c r="P962" s="50"/>
      <c r="Q962" s="45"/>
      <c r="R962" s="25"/>
      <c r="S962" s="52"/>
    </row>
    <row r="963" spans="1:19" ht="16.5" customHeight="1" x14ac:dyDescent="0.3">
      <c r="A963" s="27" t="s">
        <v>487</v>
      </c>
      <c r="B963" s="28" t="s">
        <v>488</v>
      </c>
      <c r="C963" s="26" t="s">
        <v>1808</v>
      </c>
      <c r="D963" s="31" t="s">
        <v>152</v>
      </c>
      <c r="E963" s="33" t="s">
        <v>2399</v>
      </c>
      <c r="F963" s="34" t="s">
        <v>563</v>
      </c>
      <c r="G963" s="32" t="s">
        <v>3092</v>
      </c>
      <c r="H963" s="37" t="s">
        <v>1794</v>
      </c>
      <c r="I963" s="39" t="s">
        <v>3093</v>
      </c>
      <c r="J963" s="24" t="s">
        <v>485</v>
      </c>
      <c r="K963" s="40"/>
      <c r="L963" s="38" t="s">
        <v>3094</v>
      </c>
      <c r="M963" s="44" t="s">
        <v>123</v>
      </c>
      <c r="N963" s="46" t="s">
        <v>3134</v>
      </c>
      <c r="O963" s="47" t="s">
        <v>1485</v>
      </c>
      <c r="P963" s="50"/>
      <c r="Q963" s="45"/>
      <c r="R963" s="25"/>
      <c r="S963" s="52"/>
    </row>
    <row r="964" spans="1:19" ht="16.5" customHeight="1" x14ac:dyDescent="0.3">
      <c r="A964" s="27" t="s">
        <v>487</v>
      </c>
      <c r="B964" s="28" t="s">
        <v>488</v>
      </c>
      <c r="C964" s="26" t="s">
        <v>1808</v>
      </c>
      <c r="D964" s="31" t="s">
        <v>152</v>
      </c>
      <c r="E964" s="33" t="s">
        <v>2399</v>
      </c>
      <c r="F964" s="34" t="s">
        <v>563</v>
      </c>
      <c r="G964" s="32" t="s">
        <v>3092</v>
      </c>
      <c r="H964" s="37" t="s">
        <v>1794</v>
      </c>
      <c r="I964" s="39" t="s">
        <v>3093</v>
      </c>
      <c r="J964" s="24" t="s">
        <v>485</v>
      </c>
      <c r="K964" s="40"/>
      <c r="L964" s="38" t="s">
        <v>3094</v>
      </c>
      <c r="M964" s="44" t="s">
        <v>123</v>
      </c>
      <c r="N964" s="46" t="s">
        <v>3135</v>
      </c>
      <c r="O964" s="47" t="s">
        <v>1479</v>
      </c>
      <c r="P964" s="50"/>
      <c r="Q964" s="45"/>
      <c r="R964" s="25"/>
      <c r="S964" s="52"/>
    </row>
    <row r="965" spans="1:19" ht="16.5" customHeight="1" x14ac:dyDescent="0.3">
      <c r="A965" s="27" t="s">
        <v>487</v>
      </c>
      <c r="B965" s="28" t="s">
        <v>488</v>
      </c>
      <c r="C965" s="26" t="s">
        <v>1808</v>
      </c>
      <c r="D965" s="31" t="s">
        <v>152</v>
      </c>
      <c r="E965" s="33" t="s">
        <v>2399</v>
      </c>
      <c r="F965" s="34" t="s">
        <v>563</v>
      </c>
      <c r="G965" s="32" t="s">
        <v>3092</v>
      </c>
      <c r="H965" s="37" t="s">
        <v>1794</v>
      </c>
      <c r="I965" s="39" t="s">
        <v>3093</v>
      </c>
      <c r="J965" s="24" t="s">
        <v>485</v>
      </c>
      <c r="K965" s="40"/>
      <c r="L965" s="38" t="s">
        <v>3094</v>
      </c>
      <c r="M965" s="44" t="s">
        <v>123</v>
      </c>
      <c r="N965" s="46" t="s">
        <v>3136</v>
      </c>
      <c r="O965" s="47" t="s">
        <v>1480</v>
      </c>
      <c r="P965" s="50"/>
      <c r="Q965" s="45"/>
      <c r="R965" s="25"/>
      <c r="S965" s="52"/>
    </row>
    <row r="966" spans="1:19" ht="16.5" customHeight="1" x14ac:dyDescent="0.3">
      <c r="A966" s="27" t="s">
        <v>487</v>
      </c>
      <c r="B966" s="28" t="s">
        <v>488</v>
      </c>
      <c r="C966" s="26" t="s">
        <v>1808</v>
      </c>
      <c r="D966" s="31" t="s">
        <v>152</v>
      </c>
      <c r="E966" s="33" t="s">
        <v>2399</v>
      </c>
      <c r="F966" s="34" t="s">
        <v>563</v>
      </c>
      <c r="G966" s="32" t="s">
        <v>3092</v>
      </c>
      <c r="H966" s="37" t="s">
        <v>1794</v>
      </c>
      <c r="I966" s="39" t="s">
        <v>3093</v>
      </c>
      <c r="J966" s="24" t="s">
        <v>485</v>
      </c>
      <c r="K966" s="40"/>
      <c r="L966" s="38" t="s">
        <v>3094</v>
      </c>
      <c r="M966" s="44" t="s">
        <v>123</v>
      </c>
      <c r="N966" s="46" t="s">
        <v>3137</v>
      </c>
      <c r="O966" s="47" t="s">
        <v>1481</v>
      </c>
      <c r="P966" s="50"/>
      <c r="Q966" s="45"/>
      <c r="R966" s="25"/>
      <c r="S966" s="52"/>
    </row>
    <row r="967" spans="1:19" ht="16.5" customHeight="1" x14ac:dyDescent="0.3">
      <c r="A967" s="27" t="s">
        <v>487</v>
      </c>
      <c r="B967" s="28" t="s">
        <v>488</v>
      </c>
      <c r="C967" s="26" t="s">
        <v>1808</v>
      </c>
      <c r="D967" s="31" t="s">
        <v>152</v>
      </c>
      <c r="E967" s="33" t="s">
        <v>2399</v>
      </c>
      <c r="F967" s="34" t="s">
        <v>563</v>
      </c>
      <c r="G967" s="32" t="s">
        <v>3092</v>
      </c>
      <c r="H967" s="37" t="s">
        <v>1794</v>
      </c>
      <c r="I967" s="39" t="s">
        <v>3093</v>
      </c>
      <c r="J967" s="24" t="s">
        <v>485</v>
      </c>
      <c r="K967" s="40"/>
      <c r="L967" s="38" t="s">
        <v>3094</v>
      </c>
      <c r="M967" s="44" t="s">
        <v>123</v>
      </c>
      <c r="N967" s="46" t="s">
        <v>3138</v>
      </c>
      <c r="O967" s="47" t="s">
        <v>1482</v>
      </c>
      <c r="P967" s="50"/>
      <c r="Q967" s="45"/>
      <c r="R967" s="25"/>
      <c r="S967" s="52"/>
    </row>
    <row r="968" spans="1:19" ht="16.5" customHeight="1" x14ac:dyDescent="0.3">
      <c r="A968" s="27" t="s">
        <v>487</v>
      </c>
      <c r="B968" s="28" t="s">
        <v>488</v>
      </c>
      <c r="C968" s="26" t="s">
        <v>1808</v>
      </c>
      <c r="D968" s="31" t="s">
        <v>152</v>
      </c>
      <c r="E968" s="33" t="s">
        <v>2399</v>
      </c>
      <c r="F968" s="34" t="s">
        <v>563</v>
      </c>
      <c r="G968" s="32" t="s">
        <v>3092</v>
      </c>
      <c r="H968" s="37" t="s">
        <v>1794</v>
      </c>
      <c r="I968" s="39" t="s">
        <v>3093</v>
      </c>
      <c r="J968" s="24" t="s">
        <v>485</v>
      </c>
      <c r="K968" s="40"/>
      <c r="L968" s="38" t="s">
        <v>3094</v>
      </c>
      <c r="M968" s="44" t="s">
        <v>123</v>
      </c>
      <c r="N968" s="46" t="s">
        <v>3139</v>
      </c>
      <c r="O968" s="47" t="s">
        <v>1483</v>
      </c>
      <c r="P968" s="50"/>
      <c r="Q968" s="45"/>
      <c r="R968" s="25"/>
      <c r="S968" s="52"/>
    </row>
    <row r="969" spans="1:19" ht="16.5" customHeight="1" x14ac:dyDescent="0.3">
      <c r="A969" s="27" t="s">
        <v>487</v>
      </c>
      <c r="B969" s="28" t="s">
        <v>488</v>
      </c>
      <c r="C969" s="26" t="s">
        <v>1808</v>
      </c>
      <c r="D969" s="31" t="s">
        <v>152</v>
      </c>
      <c r="E969" s="33" t="s">
        <v>2399</v>
      </c>
      <c r="F969" s="34" t="s">
        <v>563</v>
      </c>
      <c r="G969" s="32" t="s">
        <v>3092</v>
      </c>
      <c r="H969" s="37" t="s">
        <v>1794</v>
      </c>
      <c r="I969" s="39" t="s">
        <v>3093</v>
      </c>
      <c r="J969" s="24" t="s">
        <v>485</v>
      </c>
      <c r="K969" s="40"/>
      <c r="L969" s="38" t="s">
        <v>3094</v>
      </c>
      <c r="M969" s="44" t="s">
        <v>123</v>
      </c>
      <c r="N969" s="46" t="s">
        <v>3140</v>
      </c>
      <c r="O969" s="47" t="s">
        <v>1484</v>
      </c>
      <c r="P969" s="50"/>
      <c r="Q969" s="45"/>
      <c r="R969" s="25"/>
      <c r="S969" s="52"/>
    </row>
    <row r="970" spans="1:19" ht="16.5" customHeight="1" x14ac:dyDescent="0.3">
      <c r="A970" s="27" t="s">
        <v>487</v>
      </c>
      <c r="B970" s="28" t="s">
        <v>488</v>
      </c>
      <c r="C970" s="26" t="s">
        <v>1808</v>
      </c>
      <c r="D970" s="31" t="s">
        <v>152</v>
      </c>
      <c r="E970" s="33" t="s">
        <v>2399</v>
      </c>
      <c r="F970" s="34" t="s">
        <v>563</v>
      </c>
      <c r="G970" s="32" t="s">
        <v>3092</v>
      </c>
      <c r="H970" s="37" t="s">
        <v>1794</v>
      </c>
      <c r="I970" s="39" t="s">
        <v>3093</v>
      </c>
      <c r="J970" s="24" t="s">
        <v>485</v>
      </c>
      <c r="K970" s="40"/>
      <c r="L970" s="38" t="s">
        <v>3094</v>
      </c>
      <c r="M970" s="44" t="s">
        <v>123</v>
      </c>
      <c r="N970" s="46" t="s">
        <v>3141</v>
      </c>
      <c r="O970" s="47" t="s">
        <v>1490</v>
      </c>
      <c r="P970" s="50"/>
      <c r="Q970" s="45"/>
      <c r="R970" s="25"/>
      <c r="S970" s="52"/>
    </row>
    <row r="971" spans="1:19" ht="16.5" customHeight="1" x14ac:dyDescent="0.3">
      <c r="A971" s="27" t="s">
        <v>487</v>
      </c>
      <c r="B971" s="28" t="s">
        <v>488</v>
      </c>
      <c r="C971" s="26" t="s">
        <v>1808</v>
      </c>
      <c r="D971" s="31" t="s">
        <v>152</v>
      </c>
      <c r="E971" s="33" t="s">
        <v>2399</v>
      </c>
      <c r="F971" s="34" t="s">
        <v>563</v>
      </c>
      <c r="G971" s="32" t="s">
        <v>3092</v>
      </c>
      <c r="H971" s="37" t="s">
        <v>1794</v>
      </c>
      <c r="I971" s="39" t="s">
        <v>3093</v>
      </c>
      <c r="J971" s="24" t="s">
        <v>485</v>
      </c>
      <c r="K971" s="40"/>
      <c r="L971" s="38" t="s">
        <v>3094</v>
      </c>
      <c r="M971" s="44" t="s">
        <v>123</v>
      </c>
      <c r="N971" s="46" t="s">
        <v>3142</v>
      </c>
      <c r="O971" s="47" t="s">
        <v>1616</v>
      </c>
      <c r="P971" s="50"/>
      <c r="Q971" s="45"/>
      <c r="R971" s="25"/>
      <c r="S971" s="52"/>
    </row>
    <row r="972" spans="1:19" ht="16.5" customHeight="1" x14ac:dyDescent="0.3">
      <c r="A972" s="27" t="s">
        <v>487</v>
      </c>
      <c r="B972" s="28" t="s">
        <v>488</v>
      </c>
      <c r="C972" s="26" t="s">
        <v>1808</v>
      </c>
      <c r="D972" s="31" t="s">
        <v>152</v>
      </c>
      <c r="E972" s="33" t="s">
        <v>3143</v>
      </c>
      <c r="F972" s="34" t="s">
        <v>561</v>
      </c>
      <c r="G972" s="32" t="s">
        <v>3144</v>
      </c>
      <c r="H972" s="37" t="s">
        <v>243</v>
      </c>
      <c r="I972" s="39" t="s">
        <v>3145</v>
      </c>
      <c r="J972" s="24" t="s">
        <v>467</v>
      </c>
      <c r="K972" s="40"/>
      <c r="L972" s="38" t="s">
        <v>3146</v>
      </c>
      <c r="M972" s="44" t="s">
        <v>26</v>
      </c>
      <c r="N972" s="46" t="s">
        <v>3147</v>
      </c>
      <c r="O972" s="47" t="s">
        <v>1193</v>
      </c>
      <c r="P972" s="50"/>
      <c r="Q972" s="45"/>
      <c r="R972" s="25"/>
      <c r="S972" s="52"/>
    </row>
    <row r="973" spans="1:19" ht="16.5" customHeight="1" x14ac:dyDescent="0.3">
      <c r="A973" s="27" t="s">
        <v>487</v>
      </c>
      <c r="B973" s="28" t="s">
        <v>488</v>
      </c>
      <c r="C973" s="26" t="s">
        <v>1808</v>
      </c>
      <c r="D973" s="31" t="s">
        <v>152</v>
      </c>
      <c r="E973" s="33" t="s">
        <v>3143</v>
      </c>
      <c r="F973" s="34" t="s">
        <v>561</v>
      </c>
      <c r="G973" s="32" t="s">
        <v>3144</v>
      </c>
      <c r="H973" s="37" t="s">
        <v>243</v>
      </c>
      <c r="I973" s="39" t="s">
        <v>3145</v>
      </c>
      <c r="J973" s="24" t="s">
        <v>467</v>
      </c>
      <c r="K973" s="40"/>
      <c r="L973" s="38" t="s">
        <v>3148</v>
      </c>
      <c r="M973" s="44" t="s">
        <v>1665</v>
      </c>
      <c r="N973" s="46" t="s">
        <v>3149</v>
      </c>
      <c r="O973" s="47" t="s">
        <v>1651</v>
      </c>
      <c r="P973" s="50"/>
      <c r="Q973" s="45"/>
      <c r="R973" s="25"/>
      <c r="S973" s="52"/>
    </row>
    <row r="974" spans="1:19" ht="16.5" customHeight="1" x14ac:dyDescent="0.3">
      <c r="A974" s="27" t="s">
        <v>487</v>
      </c>
      <c r="B974" s="28" t="s">
        <v>488</v>
      </c>
      <c r="C974" s="26" t="s">
        <v>1808</v>
      </c>
      <c r="D974" s="31" t="s">
        <v>152</v>
      </c>
      <c r="E974" s="33" t="s">
        <v>3143</v>
      </c>
      <c r="F974" s="34" t="s">
        <v>561</v>
      </c>
      <c r="G974" s="32" t="s">
        <v>3144</v>
      </c>
      <c r="H974" s="37" t="s">
        <v>243</v>
      </c>
      <c r="I974" s="39" t="s">
        <v>3150</v>
      </c>
      <c r="J974" s="24" t="s">
        <v>618</v>
      </c>
      <c r="K974" s="40"/>
      <c r="L974" s="38" t="s">
        <v>3151</v>
      </c>
      <c r="M974" s="44" t="s">
        <v>26</v>
      </c>
      <c r="N974" s="46" t="s">
        <v>3152</v>
      </c>
      <c r="O974" s="47" t="s">
        <v>1194</v>
      </c>
      <c r="P974" s="50"/>
      <c r="Q974" s="45"/>
      <c r="R974" s="25"/>
      <c r="S974" s="52"/>
    </row>
    <row r="975" spans="1:19" ht="16.5" customHeight="1" x14ac:dyDescent="0.3">
      <c r="A975" s="27" t="s">
        <v>487</v>
      </c>
      <c r="B975" s="28" t="s">
        <v>488</v>
      </c>
      <c r="C975" s="26" t="s">
        <v>1808</v>
      </c>
      <c r="D975" s="31" t="s">
        <v>152</v>
      </c>
      <c r="E975" s="33" t="s">
        <v>3143</v>
      </c>
      <c r="F975" s="34" t="s">
        <v>561</v>
      </c>
      <c r="G975" s="32" t="s">
        <v>3144</v>
      </c>
      <c r="H975" s="37" t="s">
        <v>243</v>
      </c>
      <c r="I975" s="39" t="s">
        <v>3150</v>
      </c>
      <c r="J975" s="24" t="s">
        <v>618</v>
      </c>
      <c r="K975" s="40"/>
      <c r="L975" s="38" t="s">
        <v>3153</v>
      </c>
      <c r="M975" s="44" t="s">
        <v>1665</v>
      </c>
      <c r="N975" s="46" t="s">
        <v>3154</v>
      </c>
      <c r="O975" s="47" t="s">
        <v>1651</v>
      </c>
      <c r="P975" s="50"/>
      <c r="Q975" s="45"/>
      <c r="R975" s="25"/>
      <c r="S975" s="52"/>
    </row>
    <row r="976" spans="1:19" ht="16.5" customHeight="1" x14ac:dyDescent="0.3">
      <c r="A976" s="27" t="s">
        <v>487</v>
      </c>
      <c r="B976" s="28" t="s">
        <v>488</v>
      </c>
      <c r="C976" s="26" t="s">
        <v>1808</v>
      </c>
      <c r="D976" s="31" t="s">
        <v>152</v>
      </c>
      <c r="E976" s="33" t="s">
        <v>3143</v>
      </c>
      <c r="F976" s="34" t="s">
        <v>561</v>
      </c>
      <c r="G976" s="32" t="s">
        <v>3144</v>
      </c>
      <c r="H976" s="37" t="s">
        <v>243</v>
      </c>
      <c r="I976" s="39" t="s">
        <v>3150</v>
      </c>
      <c r="J976" s="24" t="s">
        <v>618</v>
      </c>
      <c r="K976" s="40"/>
      <c r="L976" s="38" t="s">
        <v>3153</v>
      </c>
      <c r="M976" s="44" t="s">
        <v>1665</v>
      </c>
      <c r="N976" s="46" t="s">
        <v>3157</v>
      </c>
      <c r="O976" s="47" t="s">
        <v>16</v>
      </c>
      <c r="P976" s="50"/>
      <c r="Q976" s="45"/>
      <c r="R976" s="25"/>
      <c r="S976" s="52"/>
    </row>
    <row r="977" spans="1:19" ht="16.5" customHeight="1" x14ac:dyDescent="0.3">
      <c r="A977" s="27" t="s">
        <v>487</v>
      </c>
      <c r="B977" s="28" t="s">
        <v>488</v>
      </c>
      <c r="C977" s="26" t="s">
        <v>1808</v>
      </c>
      <c r="D977" s="31" t="s">
        <v>152</v>
      </c>
      <c r="E977" s="33" t="s">
        <v>3143</v>
      </c>
      <c r="F977" s="34" t="s">
        <v>561</v>
      </c>
      <c r="G977" s="32" t="s">
        <v>3144</v>
      </c>
      <c r="H977" s="37" t="s">
        <v>243</v>
      </c>
      <c r="I977" s="39" t="s">
        <v>3155</v>
      </c>
      <c r="J977" s="24" t="s">
        <v>247</v>
      </c>
      <c r="K977" s="40"/>
      <c r="L977" s="38"/>
      <c r="M977" s="44"/>
      <c r="N977" s="46"/>
      <c r="O977" s="47"/>
      <c r="P977" s="50"/>
      <c r="Q977" s="45"/>
      <c r="R977" s="25"/>
      <c r="S977" s="52"/>
    </row>
    <row r="978" spans="1:19" ht="16.5" customHeight="1" x14ac:dyDescent="0.3">
      <c r="A978" s="27" t="s">
        <v>487</v>
      </c>
      <c r="B978" s="28" t="s">
        <v>488</v>
      </c>
      <c r="C978" s="26" t="s">
        <v>1808</v>
      </c>
      <c r="D978" s="31" t="s">
        <v>152</v>
      </c>
      <c r="E978" s="33" t="s">
        <v>3143</v>
      </c>
      <c r="F978" s="34" t="s">
        <v>561</v>
      </c>
      <c r="G978" s="32" t="s">
        <v>3144</v>
      </c>
      <c r="H978" s="37" t="s">
        <v>243</v>
      </c>
      <c r="I978" s="39" t="s">
        <v>3156</v>
      </c>
      <c r="J978" s="24" t="s">
        <v>602</v>
      </c>
      <c r="K978" s="40"/>
      <c r="L978" s="38" t="s">
        <v>3157</v>
      </c>
      <c r="M978" s="44" t="s">
        <v>16</v>
      </c>
      <c r="N978" s="46" t="s">
        <v>3158</v>
      </c>
      <c r="O978" s="47" t="s">
        <v>1195</v>
      </c>
      <c r="P978" s="50"/>
      <c r="Q978" s="45"/>
      <c r="R978" s="25"/>
      <c r="S978" s="52"/>
    </row>
    <row r="979" spans="1:19" ht="16.5" customHeight="1" x14ac:dyDescent="0.3">
      <c r="A979" s="27" t="s">
        <v>487</v>
      </c>
      <c r="B979" s="28" t="s">
        <v>488</v>
      </c>
      <c r="C979" s="26" t="s">
        <v>1808</v>
      </c>
      <c r="D979" s="31" t="s">
        <v>152</v>
      </c>
      <c r="E979" s="33" t="s">
        <v>3143</v>
      </c>
      <c r="F979" s="34" t="s">
        <v>561</v>
      </c>
      <c r="G979" s="32" t="s">
        <v>3144</v>
      </c>
      <c r="H979" s="37" t="s">
        <v>243</v>
      </c>
      <c r="I979" s="39" t="s">
        <v>3156</v>
      </c>
      <c r="J979" s="24" t="s">
        <v>602</v>
      </c>
      <c r="K979" s="40"/>
      <c r="L979" s="38" t="s">
        <v>3159</v>
      </c>
      <c r="M979" s="44" t="s">
        <v>123</v>
      </c>
      <c r="N979" s="46" t="s">
        <v>3777</v>
      </c>
      <c r="O979" s="47" t="s">
        <v>1654</v>
      </c>
      <c r="P979" s="50"/>
      <c r="Q979" s="45"/>
      <c r="R979" s="25"/>
      <c r="S979" s="52"/>
    </row>
    <row r="980" spans="1:19" ht="16.5" customHeight="1" x14ac:dyDescent="0.3">
      <c r="A980" s="27" t="s">
        <v>487</v>
      </c>
      <c r="B980" s="28" t="s">
        <v>488</v>
      </c>
      <c r="C980" s="26" t="s">
        <v>1808</v>
      </c>
      <c r="D980" s="31" t="s">
        <v>152</v>
      </c>
      <c r="E980" s="33" t="s">
        <v>3143</v>
      </c>
      <c r="F980" s="34" t="s">
        <v>561</v>
      </c>
      <c r="G980" s="32" t="s">
        <v>3144</v>
      </c>
      <c r="H980" s="37" t="s">
        <v>243</v>
      </c>
      <c r="I980" s="39" t="s">
        <v>3156</v>
      </c>
      <c r="J980" s="24" t="s">
        <v>602</v>
      </c>
      <c r="K980" s="40"/>
      <c r="L980" s="38" t="s">
        <v>3764</v>
      </c>
      <c r="M980" s="44" t="s">
        <v>1665</v>
      </c>
      <c r="N980" s="46" t="s">
        <v>3160</v>
      </c>
      <c r="O980" s="47" t="s">
        <v>1660</v>
      </c>
      <c r="P980" s="50"/>
      <c r="Q980" s="45"/>
      <c r="R980" s="25"/>
      <c r="S980" s="52"/>
    </row>
    <row r="981" spans="1:19" ht="16.5" customHeight="1" x14ac:dyDescent="0.3">
      <c r="A981" s="27" t="s">
        <v>487</v>
      </c>
      <c r="B981" s="28" t="s">
        <v>488</v>
      </c>
      <c r="C981" s="26" t="s">
        <v>1808</v>
      </c>
      <c r="D981" s="31" t="s">
        <v>152</v>
      </c>
      <c r="E981" s="33" t="s">
        <v>3143</v>
      </c>
      <c r="F981" s="34" t="s">
        <v>561</v>
      </c>
      <c r="G981" s="32" t="s">
        <v>3144</v>
      </c>
      <c r="H981" s="37" t="s">
        <v>243</v>
      </c>
      <c r="I981" s="39" t="s">
        <v>3161</v>
      </c>
      <c r="J981" s="24" t="s">
        <v>602</v>
      </c>
      <c r="K981" s="40"/>
      <c r="L981" s="38" t="s">
        <v>3162</v>
      </c>
      <c r="M981" s="44" t="s">
        <v>16</v>
      </c>
      <c r="N981" s="46" t="s">
        <v>3163</v>
      </c>
      <c r="O981" s="47" t="s">
        <v>1196</v>
      </c>
      <c r="P981" s="50"/>
      <c r="Q981" s="45"/>
      <c r="R981" s="25"/>
      <c r="S981" s="52"/>
    </row>
    <row r="982" spans="1:19" ht="16.5" customHeight="1" x14ac:dyDescent="0.3">
      <c r="A982" s="27" t="s">
        <v>487</v>
      </c>
      <c r="B982" s="28" t="s">
        <v>488</v>
      </c>
      <c r="C982" s="26" t="s">
        <v>1808</v>
      </c>
      <c r="D982" s="31" t="s">
        <v>152</v>
      </c>
      <c r="E982" s="33" t="s">
        <v>3143</v>
      </c>
      <c r="F982" s="34" t="s">
        <v>561</v>
      </c>
      <c r="G982" s="32" t="s">
        <v>3144</v>
      </c>
      <c r="H982" s="37" t="s">
        <v>243</v>
      </c>
      <c r="I982" s="39" t="s">
        <v>3161</v>
      </c>
      <c r="J982" s="24" t="s">
        <v>602</v>
      </c>
      <c r="K982" s="40"/>
      <c r="L982" s="38" t="s">
        <v>3164</v>
      </c>
      <c r="M982" s="44" t="s">
        <v>123</v>
      </c>
      <c r="N982" s="46" t="s">
        <v>3778</v>
      </c>
      <c r="O982" s="47" t="s">
        <v>1654</v>
      </c>
      <c r="P982" s="50"/>
      <c r="Q982" s="45"/>
      <c r="R982" s="25"/>
      <c r="S982" s="52"/>
    </row>
    <row r="983" spans="1:19" ht="16.5" customHeight="1" x14ac:dyDescent="0.3">
      <c r="A983" s="27" t="s">
        <v>487</v>
      </c>
      <c r="B983" s="28" t="s">
        <v>488</v>
      </c>
      <c r="C983" s="26" t="s">
        <v>1808</v>
      </c>
      <c r="D983" s="31" t="s">
        <v>152</v>
      </c>
      <c r="E983" s="33" t="s">
        <v>3143</v>
      </c>
      <c r="F983" s="34" t="s">
        <v>561</v>
      </c>
      <c r="G983" s="32" t="s">
        <v>3144</v>
      </c>
      <c r="H983" s="37" t="s">
        <v>243</v>
      </c>
      <c r="I983" s="39" t="s">
        <v>3161</v>
      </c>
      <c r="J983" s="24" t="s">
        <v>602</v>
      </c>
      <c r="K983" s="40"/>
      <c r="L983" s="38" t="s">
        <v>3765</v>
      </c>
      <c r="M983" s="44" t="s">
        <v>1665</v>
      </c>
      <c r="N983" s="46" t="s">
        <v>3165</v>
      </c>
      <c r="O983" s="47" t="s">
        <v>1660</v>
      </c>
      <c r="P983" s="50"/>
      <c r="Q983" s="45"/>
      <c r="R983" s="25"/>
      <c r="S983" s="52"/>
    </row>
    <row r="984" spans="1:19" ht="16.5" customHeight="1" x14ac:dyDescent="0.3">
      <c r="A984" s="27" t="s">
        <v>487</v>
      </c>
      <c r="B984" s="28" t="s">
        <v>488</v>
      </c>
      <c r="C984" s="26" t="s">
        <v>1808</v>
      </c>
      <c r="D984" s="31" t="s">
        <v>152</v>
      </c>
      <c r="E984" s="33" t="s">
        <v>3143</v>
      </c>
      <c r="F984" s="34" t="s">
        <v>561</v>
      </c>
      <c r="G984" s="32" t="s">
        <v>3144</v>
      </c>
      <c r="H984" s="37" t="s">
        <v>243</v>
      </c>
      <c r="I984" s="39" t="s">
        <v>3166</v>
      </c>
      <c r="J984" s="24" t="s">
        <v>244</v>
      </c>
      <c r="K984" s="40"/>
      <c r="L984" s="38" t="s">
        <v>3167</v>
      </c>
      <c r="M984" s="44" t="s">
        <v>26</v>
      </c>
      <c r="N984" s="46" t="s">
        <v>3168</v>
      </c>
      <c r="O984" s="47" t="s">
        <v>1200</v>
      </c>
      <c r="P984" s="50"/>
      <c r="Q984" s="45"/>
      <c r="R984" s="25"/>
      <c r="S984" s="52"/>
    </row>
    <row r="985" spans="1:19" ht="16.5" customHeight="1" x14ac:dyDescent="0.3">
      <c r="A985" s="27" t="s">
        <v>487</v>
      </c>
      <c r="B985" s="28" t="s">
        <v>488</v>
      </c>
      <c r="C985" s="26" t="s">
        <v>1808</v>
      </c>
      <c r="D985" s="31" t="s">
        <v>152</v>
      </c>
      <c r="E985" s="33" t="s">
        <v>3143</v>
      </c>
      <c r="F985" s="34" t="s">
        <v>561</v>
      </c>
      <c r="G985" s="32" t="s">
        <v>3144</v>
      </c>
      <c r="H985" s="37" t="s">
        <v>243</v>
      </c>
      <c r="I985" s="39" t="s">
        <v>3166</v>
      </c>
      <c r="J985" s="24" t="s">
        <v>244</v>
      </c>
      <c r="K985" s="40"/>
      <c r="L985" s="38" t="s">
        <v>3167</v>
      </c>
      <c r="M985" s="44" t="s">
        <v>26</v>
      </c>
      <c r="N985" s="46" t="s">
        <v>3169</v>
      </c>
      <c r="O985" s="47" t="s">
        <v>1197</v>
      </c>
      <c r="P985" s="50"/>
      <c r="Q985" s="45"/>
      <c r="R985" s="25"/>
      <c r="S985" s="52"/>
    </row>
    <row r="986" spans="1:19" ht="16.5" customHeight="1" x14ac:dyDescent="0.3">
      <c r="A986" s="27" t="s">
        <v>487</v>
      </c>
      <c r="B986" s="28" t="s">
        <v>488</v>
      </c>
      <c r="C986" s="26" t="s">
        <v>1808</v>
      </c>
      <c r="D986" s="31" t="s">
        <v>152</v>
      </c>
      <c r="E986" s="33" t="s">
        <v>3143</v>
      </c>
      <c r="F986" s="34" t="s">
        <v>561</v>
      </c>
      <c r="G986" s="32" t="s">
        <v>3144</v>
      </c>
      <c r="H986" s="37" t="s">
        <v>243</v>
      </c>
      <c r="I986" s="39" t="s">
        <v>3166</v>
      </c>
      <c r="J986" s="24" t="s">
        <v>244</v>
      </c>
      <c r="K986" s="40"/>
      <c r="L986" s="38" t="s">
        <v>3167</v>
      </c>
      <c r="M986" s="44" t="s">
        <v>26</v>
      </c>
      <c r="N986" s="46" t="s">
        <v>3170</v>
      </c>
      <c r="O986" s="47" t="s">
        <v>1198</v>
      </c>
      <c r="P986" s="50"/>
      <c r="Q986" s="45"/>
      <c r="R986" s="25"/>
      <c r="S986" s="52"/>
    </row>
    <row r="987" spans="1:19" ht="16.5" customHeight="1" x14ac:dyDescent="0.3">
      <c r="A987" s="27" t="s">
        <v>487</v>
      </c>
      <c r="B987" s="28" t="s">
        <v>488</v>
      </c>
      <c r="C987" s="26" t="s">
        <v>1808</v>
      </c>
      <c r="D987" s="31" t="s">
        <v>152</v>
      </c>
      <c r="E987" s="33" t="s">
        <v>3143</v>
      </c>
      <c r="F987" s="34" t="s">
        <v>561</v>
      </c>
      <c r="G987" s="32" t="s">
        <v>3144</v>
      </c>
      <c r="H987" s="37" t="s">
        <v>243</v>
      </c>
      <c r="I987" s="39" t="s">
        <v>3166</v>
      </c>
      <c r="J987" s="24" t="s">
        <v>244</v>
      </c>
      <c r="K987" s="40"/>
      <c r="L987" s="38" t="s">
        <v>3167</v>
      </c>
      <c r="M987" s="44" t="s">
        <v>26</v>
      </c>
      <c r="N987" s="46" t="s">
        <v>3171</v>
      </c>
      <c r="O987" s="47" t="s">
        <v>1201</v>
      </c>
      <c r="P987" s="50"/>
      <c r="Q987" s="45"/>
      <c r="R987" s="25"/>
      <c r="S987" s="52"/>
    </row>
    <row r="988" spans="1:19" ht="16.5" customHeight="1" x14ac:dyDescent="0.3">
      <c r="A988" s="27" t="s">
        <v>487</v>
      </c>
      <c r="B988" s="28" t="s">
        <v>488</v>
      </c>
      <c r="C988" s="26" t="s">
        <v>1808</v>
      </c>
      <c r="D988" s="31" t="s">
        <v>152</v>
      </c>
      <c r="E988" s="33" t="s">
        <v>3143</v>
      </c>
      <c r="F988" s="34" t="s">
        <v>561</v>
      </c>
      <c r="G988" s="32" t="s">
        <v>3144</v>
      </c>
      <c r="H988" s="37" t="s">
        <v>243</v>
      </c>
      <c r="I988" s="39" t="s">
        <v>3166</v>
      </c>
      <c r="J988" s="24" t="s">
        <v>244</v>
      </c>
      <c r="K988" s="40"/>
      <c r="L988" s="38" t="s">
        <v>3172</v>
      </c>
      <c r="M988" s="44" t="s">
        <v>1626</v>
      </c>
      <c r="N988" s="46" t="s">
        <v>3173</v>
      </c>
      <c r="O988" s="47" t="s">
        <v>1202</v>
      </c>
      <c r="P988" s="50"/>
      <c r="Q988" s="45"/>
      <c r="R988" s="25"/>
      <c r="S988" s="52"/>
    </row>
    <row r="989" spans="1:19" ht="16.5" customHeight="1" x14ac:dyDescent="0.3">
      <c r="A989" s="27" t="s">
        <v>487</v>
      </c>
      <c r="B989" s="28" t="s">
        <v>488</v>
      </c>
      <c r="C989" s="26" t="s">
        <v>1808</v>
      </c>
      <c r="D989" s="31" t="s">
        <v>152</v>
      </c>
      <c r="E989" s="33" t="s">
        <v>3143</v>
      </c>
      <c r="F989" s="34" t="s">
        <v>561</v>
      </c>
      <c r="G989" s="32" t="s">
        <v>3144</v>
      </c>
      <c r="H989" s="37" t="s">
        <v>243</v>
      </c>
      <c r="I989" s="39" t="s">
        <v>3166</v>
      </c>
      <c r="J989" s="24" t="s">
        <v>244</v>
      </c>
      <c r="K989" s="40"/>
      <c r="L989" s="38" t="s">
        <v>3172</v>
      </c>
      <c r="M989" s="44" t="s">
        <v>1626</v>
      </c>
      <c r="N989" s="46" t="s">
        <v>3174</v>
      </c>
      <c r="O989" s="47" t="s">
        <v>1199</v>
      </c>
      <c r="P989" s="50"/>
      <c r="Q989" s="45"/>
      <c r="R989" s="25"/>
      <c r="S989" s="52"/>
    </row>
    <row r="990" spans="1:19" ht="16.5" customHeight="1" x14ac:dyDescent="0.3">
      <c r="A990" s="27" t="s">
        <v>487</v>
      </c>
      <c r="B990" s="28" t="s">
        <v>488</v>
      </c>
      <c r="C990" s="26" t="s">
        <v>1808</v>
      </c>
      <c r="D990" s="31" t="s">
        <v>152</v>
      </c>
      <c r="E990" s="33" t="s">
        <v>3143</v>
      </c>
      <c r="F990" s="34" t="s">
        <v>561</v>
      </c>
      <c r="G990" s="32" t="s">
        <v>3144</v>
      </c>
      <c r="H990" s="37" t="s">
        <v>243</v>
      </c>
      <c r="I990" s="39" t="s">
        <v>3166</v>
      </c>
      <c r="J990" s="24" t="s">
        <v>244</v>
      </c>
      <c r="K990" s="40"/>
      <c r="L990" s="38" t="s">
        <v>3172</v>
      </c>
      <c r="M990" s="44" t="s">
        <v>1626</v>
      </c>
      <c r="N990" s="46" t="s">
        <v>3175</v>
      </c>
      <c r="O990" s="47" t="s">
        <v>9</v>
      </c>
      <c r="P990" s="50"/>
      <c r="Q990" s="45"/>
      <c r="R990" s="25"/>
      <c r="S990" s="52"/>
    </row>
    <row r="991" spans="1:19" ht="16.5" customHeight="1" x14ac:dyDescent="0.3">
      <c r="A991" s="27" t="s">
        <v>487</v>
      </c>
      <c r="B991" s="28" t="s">
        <v>488</v>
      </c>
      <c r="C991" s="26" t="s">
        <v>1808</v>
      </c>
      <c r="D991" s="31" t="s">
        <v>152</v>
      </c>
      <c r="E991" s="33" t="s">
        <v>3143</v>
      </c>
      <c r="F991" s="34" t="s">
        <v>561</v>
      </c>
      <c r="G991" s="32" t="s">
        <v>3144</v>
      </c>
      <c r="H991" s="37" t="s">
        <v>243</v>
      </c>
      <c r="I991" s="39" t="s">
        <v>3166</v>
      </c>
      <c r="J991" s="24" t="s">
        <v>244</v>
      </c>
      <c r="K991" s="40"/>
      <c r="L991" s="38" t="s">
        <v>3176</v>
      </c>
      <c r="M991" s="44" t="s">
        <v>581</v>
      </c>
      <c r="N991" s="46" t="s">
        <v>3177</v>
      </c>
      <c r="O991" s="47" t="s">
        <v>1203</v>
      </c>
      <c r="P991" s="50"/>
      <c r="Q991" s="45"/>
      <c r="R991" s="25"/>
      <c r="S991" s="52"/>
    </row>
    <row r="992" spans="1:19" ht="16.5" customHeight="1" x14ac:dyDescent="0.3">
      <c r="A992" s="27" t="s">
        <v>487</v>
      </c>
      <c r="B992" s="28" t="s">
        <v>488</v>
      </c>
      <c r="C992" s="26" t="s">
        <v>1808</v>
      </c>
      <c r="D992" s="31" t="s">
        <v>152</v>
      </c>
      <c r="E992" s="33" t="s">
        <v>3143</v>
      </c>
      <c r="F992" s="34" t="s">
        <v>561</v>
      </c>
      <c r="G992" s="32" t="s">
        <v>3144</v>
      </c>
      <c r="H992" s="37" t="s">
        <v>243</v>
      </c>
      <c r="I992" s="39" t="s">
        <v>3166</v>
      </c>
      <c r="J992" s="24" t="s">
        <v>244</v>
      </c>
      <c r="K992" s="40"/>
      <c r="L992" s="38" t="s">
        <v>3176</v>
      </c>
      <c r="M992" s="44" t="s">
        <v>581</v>
      </c>
      <c r="N992" s="46" t="s">
        <v>3766</v>
      </c>
      <c r="O992" s="47" t="s">
        <v>1665</v>
      </c>
      <c r="P992" s="50"/>
      <c r="Q992" s="45"/>
      <c r="R992" s="25"/>
      <c r="S992" s="52"/>
    </row>
    <row r="993" spans="1:19" ht="16.5" customHeight="1" x14ac:dyDescent="0.3">
      <c r="A993" s="27" t="s">
        <v>487</v>
      </c>
      <c r="B993" s="28" t="s">
        <v>488</v>
      </c>
      <c r="C993" s="26" t="s">
        <v>1808</v>
      </c>
      <c r="D993" s="31" t="s">
        <v>152</v>
      </c>
      <c r="E993" s="33" t="s">
        <v>3143</v>
      </c>
      <c r="F993" s="34" t="s">
        <v>561</v>
      </c>
      <c r="G993" s="32" t="s">
        <v>3144</v>
      </c>
      <c r="H993" s="37" t="s">
        <v>243</v>
      </c>
      <c r="I993" s="39" t="s">
        <v>3166</v>
      </c>
      <c r="J993" s="24" t="s">
        <v>244</v>
      </c>
      <c r="K993" s="40"/>
      <c r="L993" s="38" t="s">
        <v>3766</v>
      </c>
      <c r="M993" s="44" t="s">
        <v>1665</v>
      </c>
      <c r="N993" s="46" t="s">
        <v>3178</v>
      </c>
      <c r="O993" s="47" t="s">
        <v>1668</v>
      </c>
      <c r="P993" s="50"/>
      <c r="Q993" s="45"/>
      <c r="R993" s="25"/>
      <c r="S993" s="52"/>
    </row>
    <row r="994" spans="1:19" ht="16.5" customHeight="1" x14ac:dyDescent="0.3">
      <c r="A994" s="27" t="s">
        <v>487</v>
      </c>
      <c r="B994" s="28" t="s">
        <v>488</v>
      </c>
      <c r="C994" s="26" t="s">
        <v>1808</v>
      </c>
      <c r="D994" s="31" t="s">
        <v>152</v>
      </c>
      <c r="E994" s="33" t="s">
        <v>3143</v>
      </c>
      <c r="F994" s="34" t="s">
        <v>561</v>
      </c>
      <c r="G994" s="32" t="s">
        <v>3144</v>
      </c>
      <c r="H994" s="37" t="s">
        <v>243</v>
      </c>
      <c r="I994" s="39" t="s">
        <v>3166</v>
      </c>
      <c r="J994" s="24" t="s">
        <v>244</v>
      </c>
      <c r="K994" s="40"/>
      <c r="L994" s="38" t="s">
        <v>3766</v>
      </c>
      <c r="M994" s="44" t="s">
        <v>1665</v>
      </c>
      <c r="N994" s="46" t="s">
        <v>3179</v>
      </c>
      <c r="O994" s="47" t="s">
        <v>1669</v>
      </c>
      <c r="P994" s="50"/>
      <c r="Q994" s="45"/>
      <c r="R994" s="25"/>
      <c r="S994" s="52"/>
    </row>
    <row r="995" spans="1:19" ht="16.5" customHeight="1" x14ac:dyDescent="0.3">
      <c r="A995" s="27" t="s">
        <v>487</v>
      </c>
      <c r="B995" s="28" t="s">
        <v>488</v>
      </c>
      <c r="C995" s="26" t="s">
        <v>1808</v>
      </c>
      <c r="D995" s="31" t="s">
        <v>152</v>
      </c>
      <c r="E995" s="33" t="s">
        <v>3143</v>
      </c>
      <c r="F995" s="34" t="s">
        <v>561</v>
      </c>
      <c r="G995" s="32" t="s">
        <v>3144</v>
      </c>
      <c r="H995" s="37" t="s">
        <v>243</v>
      </c>
      <c r="I995" s="39" t="s">
        <v>3166</v>
      </c>
      <c r="J995" s="24" t="s">
        <v>244</v>
      </c>
      <c r="K995" s="40"/>
      <c r="L995" s="38" t="s">
        <v>3766</v>
      </c>
      <c r="M995" s="44" t="s">
        <v>1665</v>
      </c>
      <c r="N995" s="46" t="s">
        <v>3180</v>
      </c>
      <c r="O995" s="47" t="s">
        <v>1670</v>
      </c>
      <c r="P995" s="50"/>
      <c r="Q995" s="45"/>
      <c r="R995" s="25"/>
      <c r="S995" s="52"/>
    </row>
    <row r="996" spans="1:19" ht="16.5" customHeight="1" x14ac:dyDescent="0.3">
      <c r="A996" s="27" t="s">
        <v>487</v>
      </c>
      <c r="B996" s="28" t="s">
        <v>488</v>
      </c>
      <c r="C996" s="26" t="s">
        <v>1808</v>
      </c>
      <c r="D996" s="31" t="s">
        <v>152</v>
      </c>
      <c r="E996" s="33" t="s">
        <v>3143</v>
      </c>
      <c r="F996" s="34" t="s">
        <v>561</v>
      </c>
      <c r="G996" s="32" t="s">
        <v>3144</v>
      </c>
      <c r="H996" s="37" t="s">
        <v>243</v>
      </c>
      <c r="I996" s="39" t="s">
        <v>3166</v>
      </c>
      <c r="J996" s="24" t="s">
        <v>244</v>
      </c>
      <c r="K996" s="40"/>
      <c r="L996" s="38" t="s">
        <v>3766</v>
      </c>
      <c r="M996" s="44" t="s">
        <v>1665</v>
      </c>
      <c r="N996" s="46" t="s">
        <v>3181</v>
      </c>
      <c r="O996" s="47" t="s">
        <v>1671</v>
      </c>
      <c r="P996" s="50"/>
      <c r="Q996" s="45"/>
      <c r="R996" s="25"/>
      <c r="S996" s="52"/>
    </row>
    <row r="997" spans="1:19" ht="16.5" customHeight="1" x14ac:dyDescent="0.3">
      <c r="A997" s="27" t="s">
        <v>487</v>
      </c>
      <c r="B997" s="28" t="s">
        <v>488</v>
      </c>
      <c r="C997" s="26" t="s">
        <v>1808</v>
      </c>
      <c r="D997" s="31" t="s">
        <v>152</v>
      </c>
      <c r="E997" s="33" t="s">
        <v>3143</v>
      </c>
      <c r="F997" s="34" t="s">
        <v>561</v>
      </c>
      <c r="G997" s="32" t="s">
        <v>3144</v>
      </c>
      <c r="H997" s="37" t="s">
        <v>243</v>
      </c>
      <c r="I997" s="39" t="s">
        <v>3166</v>
      </c>
      <c r="J997" s="24" t="s">
        <v>244</v>
      </c>
      <c r="K997" s="40"/>
      <c r="L997" s="38" t="s">
        <v>3766</v>
      </c>
      <c r="M997" s="44" t="s">
        <v>1665</v>
      </c>
      <c r="N997" s="46" t="s">
        <v>3182</v>
      </c>
      <c r="O997" s="47" t="s">
        <v>1672</v>
      </c>
      <c r="P997" s="50"/>
      <c r="Q997" s="45"/>
      <c r="R997" s="25"/>
      <c r="S997" s="52"/>
    </row>
    <row r="998" spans="1:19" ht="16.5" customHeight="1" x14ac:dyDescent="0.3">
      <c r="A998" s="27" t="s">
        <v>487</v>
      </c>
      <c r="B998" s="28" t="s">
        <v>488</v>
      </c>
      <c r="C998" s="26" t="s">
        <v>1808</v>
      </c>
      <c r="D998" s="31" t="s">
        <v>152</v>
      </c>
      <c r="E998" s="33" t="s">
        <v>3143</v>
      </c>
      <c r="F998" s="34" t="s">
        <v>561</v>
      </c>
      <c r="G998" s="32" t="s">
        <v>3144</v>
      </c>
      <c r="H998" s="37" t="s">
        <v>243</v>
      </c>
      <c r="I998" s="39" t="s">
        <v>3166</v>
      </c>
      <c r="J998" s="24" t="s">
        <v>244</v>
      </c>
      <c r="K998" s="40"/>
      <c r="L998" s="38" t="s">
        <v>3766</v>
      </c>
      <c r="M998" s="44" t="s">
        <v>1665</v>
      </c>
      <c r="N998" s="46" t="s">
        <v>3183</v>
      </c>
      <c r="O998" s="47" t="s">
        <v>1673</v>
      </c>
      <c r="P998" s="50"/>
      <c r="Q998" s="45"/>
      <c r="R998" s="25"/>
      <c r="S998" s="52"/>
    </row>
    <row r="999" spans="1:19" ht="16.5" customHeight="1" x14ac:dyDescent="0.3">
      <c r="A999" s="27" t="s">
        <v>487</v>
      </c>
      <c r="B999" s="28" t="s">
        <v>488</v>
      </c>
      <c r="C999" s="26" t="s">
        <v>1808</v>
      </c>
      <c r="D999" s="31" t="s">
        <v>152</v>
      </c>
      <c r="E999" s="33" t="s">
        <v>3143</v>
      </c>
      <c r="F999" s="34" t="s">
        <v>561</v>
      </c>
      <c r="G999" s="32" t="s">
        <v>3144</v>
      </c>
      <c r="H999" s="37" t="s">
        <v>243</v>
      </c>
      <c r="I999" s="39" t="s">
        <v>3184</v>
      </c>
      <c r="J999" s="24" t="s">
        <v>1674</v>
      </c>
      <c r="K999" s="40"/>
      <c r="L999" s="38" t="s">
        <v>3185</v>
      </c>
      <c r="M999" s="44" t="s">
        <v>565</v>
      </c>
      <c r="N999" s="46" t="s">
        <v>3186</v>
      </c>
      <c r="O999" s="47" t="s">
        <v>1204</v>
      </c>
      <c r="P999" s="50"/>
      <c r="Q999" s="45"/>
      <c r="R999" s="25"/>
      <c r="S999" s="52"/>
    </row>
    <row r="1000" spans="1:19" ht="16.5" customHeight="1" x14ac:dyDescent="0.3">
      <c r="A1000" s="27" t="s">
        <v>487</v>
      </c>
      <c r="B1000" s="28" t="s">
        <v>488</v>
      </c>
      <c r="C1000" s="26" t="s">
        <v>1808</v>
      </c>
      <c r="D1000" s="31" t="s">
        <v>152</v>
      </c>
      <c r="E1000" s="33" t="s">
        <v>3143</v>
      </c>
      <c r="F1000" s="34" t="s">
        <v>561</v>
      </c>
      <c r="G1000" s="32" t="s">
        <v>3144</v>
      </c>
      <c r="H1000" s="37" t="s">
        <v>243</v>
      </c>
      <c r="I1000" s="39" t="s">
        <v>3184</v>
      </c>
      <c r="J1000" s="24" t="s">
        <v>1674</v>
      </c>
      <c r="K1000" s="40"/>
      <c r="L1000" s="38" t="s">
        <v>3185</v>
      </c>
      <c r="M1000" s="44" t="s">
        <v>565</v>
      </c>
      <c r="N1000" s="46" t="s">
        <v>3187</v>
      </c>
      <c r="O1000" s="47" t="s">
        <v>1205</v>
      </c>
      <c r="P1000" s="50"/>
      <c r="Q1000" s="45"/>
      <c r="R1000" s="25"/>
      <c r="S1000" s="52"/>
    </row>
    <row r="1001" spans="1:19" ht="16.5" customHeight="1" x14ac:dyDescent="0.3">
      <c r="A1001" s="27" t="s">
        <v>487</v>
      </c>
      <c r="B1001" s="28" t="s">
        <v>488</v>
      </c>
      <c r="C1001" s="26" t="s">
        <v>1808</v>
      </c>
      <c r="D1001" s="31" t="s">
        <v>152</v>
      </c>
      <c r="E1001" s="33" t="s">
        <v>3143</v>
      </c>
      <c r="F1001" s="34" t="s">
        <v>561</v>
      </c>
      <c r="G1001" s="32" t="s">
        <v>3144</v>
      </c>
      <c r="H1001" s="37" t="s">
        <v>243</v>
      </c>
      <c r="I1001" s="39" t="s">
        <v>3184</v>
      </c>
      <c r="J1001" s="24" t="s">
        <v>1674</v>
      </c>
      <c r="K1001" s="40"/>
      <c r="L1001" s="38" t="s">
        <v>3185</v>
      </c>
      <c r="M1001" s="44" t="s">
        <v>565</v>
      </c>
      <c r="N1001" s="46" t="s">
        <v>3188</v>
      </c>
      <c r="O1001" s="47" t="s">
        <v>1206</v>
      </c>
      <c r="P1001" s="50"/>
      <c r="Q1001" s="45"/>
      <c r="R1001" s="25"/>
      <c r="S1001" s="52"/>
    </row>
    <row r="1002" spans="1:19" ht="16.5" customHeight="1" x14ac:dyDescent="0.3">
      <c r="A1002" s="27" t="s">
        <v>487</v>
      </c>
      <c r="B1002" s="28" t="s">
        <v>488</v>
      </c>
      <c r="C1002" s="26" t="s">
        <v>1808</v>
      </c>
      <c r="D1002" s="31" t="s">
        <v>152</v>
      </c>
      <c r="E1002" s="33" t="s">
        <v>3143</v>
      </c>
      <c r="F1002" s="34" t="s">
        <v>561</v>
      </c>
      <c r="G1002" s="32" t="s">
        <v>3144</v>
      </c>
      <c r="H1002" s="37" t="s">
        <v>243</v>
      </c>
      <c r="I1002" s="39" t="s">
        <v>3184</v>
      </c>
      <c r="J1002" s="24" t="s">
        <v>1674</v>
      </c>
      <c r="K1002" s="40"/>
      <c r="L1002" s="38" t="s">
        <v>3189</v>
      </c>
      <c r="M1002" s="44" t="s">
        <v>16</v>
      </c>
      <c r="N1002" s="46" t="s">
        <v>3190</v>
      </c>
      <c r="O1002" s="47" t="s">
        <v>1225</v>
      </c>
      <c r="P1002" s="50"/>
      <c r="Q1002" s="45"/>
      <c r="R1002" s="25"/>
      <c r="S1002" s="52"/>
    </row>
    <row r="1003" spans="1:19" ht="16.5" customHeight="1" x14ac:dyDescent="0.3">
      <c r="A1003" s="27" t="s">
        <v>487</v>
      </c>
      <c r="B1003" s="28" t="s">
        <v>488</v>
      </c>
      <c r="C1003" s="26" t="s">
        <v>1808</v>
      </c>
      <c r="D1003" s="31" t="s">
        <v>152</v>
      </c>
      <c r="E1003" s="33" t="s">
        <v>3143</v>
      </c>
      <c r="F1003" s="34" t="s">
        <v>561</v>
      </c>
      <c r="G1003" s="32" t="s">
        <v>3144</v>
      </c>
      <c r="H1003" s="37" t="s">
        <v>243</v>
      </c>
      <c r="I1003" s="39" t="s">
        <v>3184</v>
      </c>
      <c r="J1003" s="24" t="s">
        <v>1674</v>
      </c>
      <c r="K1003" s="40"/>
      <c r="L1003" s="38" t="s">
        <v>3191</v>
      </c>
      <c r="M1003" s="44" t="s">
        <v>122</v>
      </c>
      <c r="N1003" s="46" t="s">
        <v>3192</v>
      </c>
      <c r="O1003" s="47" t="s">
        <v>1207</v>
      </c>
      <c r="P1003" s="50"/>
      <c r="Q1003" s="45"/>
      <c r="R1003" s="25"/>
      <c r="S1003" s="52"/>
    </row>
    <row r="1004" spans="1:19" ht="16.5" customHeight="1" x14ac:dyDescent="0.3">
      <c r="A1004" s="27" t="s">
        <v>487</v>
      </c>
      <c r="B1004" s="28" t="s">
        <v>488</v>
      </c>
      <c r="C1004" s="26" t="s">
        <v>1808</v>
      </c>
      <c r="D1004" s="31" t="s">
        <v>152</v>
      </c>
      <c r="E1004" s="33" t="s">
        <v>3143</v>
      </c>
      <c r="F1004" s="34" t="s">
        <v>561</v>
      </c>
      <c r="G1004" s="32" t="s">
        <v>3144</v>
      </c>
      <c r="H1004" s="37" t="s">
        <v>243</v>
      </c>
      <c r="I1004" s="39" t="s">
        <v>3184</v>
      </c>
      <c r="J1004" s="24" t="s">
        <v>1674</v>
      </c>
      <c r="K1004" s="40"/>
      <c r="L1004" s="38" t="s">
        <v>3191</v>
      </c>
      <c r="M1004" s="44" t="s">
        <v>122</v>
      </c>
      <c r="N1004" s="46" t="s">
        <v>3193</v>
      </c>
      <c r="O1004" s="47" t="s">
        <v>1208</v>
      </c>
      <c r="P1004" s="50"/>
      <c r="Q1004" s="45"/>
      <c r="R1004" s="25"/>
      <c r="S1004" s="52"/>
    </row>
    <row r="1005" spans="1:19" ht="16.5" customHeight="1" x14ac:dyDescent="0.3">
      <c r="A1005" s="27" t="s">
        <v>487</v>
      </c>
      <c r="B1005" s="28" t="s">
        <v>488</v>
      </c>
      <c r="C1005" s="26" t="s">
        <v>1808</v>
      </c>
      <c r="D1005" s="31" t="s">
        <v>152</v>
      </c>
      <c r="E1005" s="33" t="s">
        <v>3143</v>
      </c>
      <c r="F1005" s="34" t="s">
        <v>561</v>
      </c>
      <c r="G1005" s="32" t="s">
        <v>3144</v>
      </c>
      <c r="H1005" s="37" t="s">
        <v>243</v>
      </c>
      <c r="I1005" s="39" t="s">
        <v>3184</v>
      </c>
      <c r="J1005" s="24" t="s">
        <v>1674</v>
      </c>
      <c r="K1005" s="40"/>
      <c r="L1005" s="38" t="s">
        <v>3191</v>
      </c>
      <c r="M1005" s="44" t="s">
        <v>122</v>
      </c>
      <c r="N1005" s="46" t="s">
        <v>3194</v>
      </c>
      <c r="O1005" s="47" t="s">
        <v>1209</v>
      </c>
      <c r="P1005" s="50"/>
      <c r="Q1005" s="45"/>
      <c r="R1005" s="25"/>
      <c r="S1005" s="52"/>
    </row>
    <row r="1006" spans="1:19" ht="16.5" customHeight="1" x14ac:dyDescent="0.3">
      <c r="A1006" s="27" t="s">
        <v>487</v>
      </c>
      <c r="B1006" s="28" t="s">
        <v>488</v>
      </c>
      <c r="C1006" s="26" t="s">
        <v>1808</v>
      </c>
      <c r="D1006" s="31" t="s">
        <v>152</v>
      </c>
      <c r="E1006" s="33" t="s">
        <v>3143</v>
      </c>
      <c r="F1006" s="34" t="s">
        <v>561</v>
      </c>
      <c r="G1006" s="32" t="s">
        <v>3144</v>
      </c>
      <c r="H1006" s="37" t="s">
        <v>243</v>
      </c>
      <c r="I1006" s="39" t="s">
        <v>3195</v>
      </c>
      <c r="J1006" s="24" t="s">
        <v>1675</v>
      </c>
      <c r="K1006" s="40"/>
      <c r="L1006" s="38" t="s">
        <v>3196</v>
      </c>
      <c r="M1006" s="44" t="s">
        <v>565</v>
      </c>
      <c r="N1006" s="46" t="s">
        <v>3197</v>
      </c>
      <c r="O1006" s="47" t="s">
        <v>1210</v>
      </c>
      <c r="P1006" s="50"/>
      <c r="Q1006" s="45"/>
      <c r="R1006" s="25"/>
      <c r="S1006" s="52"/>
    </row>
    <row r="1007" spans="1:19" ht="16.5" customHeight="1" x14ac:dyDescent="0.3">
      <c r="A1007" s="27" t="s">
        <v>487</v>
      </c>
      <c r="B1007" s="28" t="s">
        <v>488</v>
      </c>
      <c r="C1007" s="26" t="s">
        <v>1808</v>
      </c>
      <c r="D1007" s="31" t="s">
        <v>152</v>
      </c>
      <c r="E1007" s="33" t="s">
        <v>3143</v>
      </c>
      <c r="F1007" s="34" t="s">
        <v>561</v>
      </c>
      <c r="G1007" s="32" t="s">
        <v>3144</v>
      </c>
      <c r="H1007" s="37" t="s">
        <v>243</v>
      </c>
      <c r="I1007" s="39" t="s">
        <v>3195</v>
      </c>
      <c r="J1007" s="24" t="s">
        <v>1675</v>
      </c>
      <c r="K1007" s="40"/>
      <c r="L1007" s="38" t="s">
        <v>3196</v>
      </c>
      <c r="M1007" s="44" t="s">
        <v>565</v>
      </c>
      <c r="N1007" s="46" t="s">
        <v>3198</v>
      </c>
      <c r="O1007" s="47" t="s">
        <v>1211</v>
      </c>
      <c r="P1007" s="50"/>
      <c r="Q1007" s="45"/>
      <c r="R1007" s="25"/>
      <c r="S1007" s="52"/>
    </row>
    <row r="1008" spans="1:19" ht="16.5" customHeight="1" x14ac:dyDescent="0.3">
      <c r="A1008" s="27" t="s">
        <v>487</v>
      </c>
      <c r="B1008" s="28" t="s">
        <v>488</v>
      </c>
      <c r="C1008" s="26" t="s">
        <v>1808</v>
      </c>
      <c r="D1008" s="31" t="s">
        <v>152</v>
      </c>
      <c r="E1008" s="33" t="s">
        <v>3143</v>
      </c>
      <c r="F1008" s="34" t="s">
        <v>561</v>
      </c>
      <c r="G1008" s="32" t="s">
        <v>3144</v>
      </c>
      <c r="H1008" s="37" t="s">
        <v>243</v>
      </c>
      <c r="I1008" s="39" t="s">
        <v>3195</v>
      </c>
      <c r="J1008" s="24" t="s">
        <v>1675</v>
      </c>
      <c r="K1008" s="40"/>
      <c r="L1008" s="38" t="s">
        <v>3196</v>
      </c>
      <c r="M1008" s="44" t="s">
        <v>565</v>
      </c>
      <c r="N1008" s="46" t="s">
        <v>3199</v>
      </c>
      <c r="O1008" s="47" t="s">
        <v>1212</v>
      </c>
      <c r="P1008" s="50"/>
      <c r="Q1008" s="45"/>
      <c r="R1008" s="25"/>
      <c r="S1008" s="52"/>
    </row>
    <row r="1009" spans="1:19" ht="16.5" customHeight="1" x14ac:dyDescent="0.3">
      <c r="A1009" s="27" t="s">
        <v>487</v>
      </c>
      <c r="B1009" s="28" t="s">
        <v>488</v>
      </c>
      <c r="C1009" s="26" t="s">
        <v>1808</v>
      </c>
      <c r="D1009" s="31" t="s">
        <v>152</v>
      </c>
      <c r="E1009" s="33" t="s">
        <v>3143</v>
      </c>
      <c r="F1009" s="34" t="s">
        <v>561</v>
      </c>
      <c r="G1009" s="32" t="s">
        <v>3144</v>
      </c>
      <c r="H1009" s="37" t="s">
        <v>243</v>
      </c>
      <c r="I1009" s="39" t="s">
        <v>3195</v>
      </c>
      <c r="J1009" s="24" t="s">
        <v>1675</v>
      </c>
      <c r="K1009" s="40"/>
      <c r="L1009" s="38" t="s">
        <v>3200</v>
      </c>
      <c r="M1009" s="44" t="s">
        <v>16</v>
      </c>
      <c r="N1009" s="46" t="s">
        <v>3201</v>
      </c>
      <c r="O1009" s="47" t="s">
        <v>1226</v>
      </c>
      <c r="P1009" s="50"/>
      <c r="Q1009" s="45"/>
      <c r="R1009" s="25"/>
      <c r="S1009" s="52"/>
    </row>
    <row r="1010" spans="1:19" ht="16.5" customHeight="1" x14ac:dyDescent="0.3">
      <c r="A1010" s="27" t="s">
        <v>487</v>
      </c>
      <c r="B1010" s="28" t="s">
        <v>488</v>
      </c>
      <c r="C1010" s="26" t="s">
        <v>1808</v>
      </c>
      <c r="D1010" s="31" t="s">
        <v>152</v>
      </c>
      <c r="E1010" s="33" t="s">
        <v>3143</v>
      </c>
      <c r="F1010" s="34" t="s">
        <v>561</v>
      </c>
      <c r="G1010" s="32" t="s">
        <v>3144</v>
      </c>
      <c r="H1010" s="37" t="s">
        <v>243</v>
      </c>
      <c r="I1010" s="39" t="s">
        <v>3195</v>
      </c>
      <c r="J1010" s="24" t="s">
        <v>1675</v>
      </c>
      <c r="K1010" s="40"/>
      <c r="L1010" s="38" t="s">
        <v>3202</v>
      </c>
      <c r="M1010" s="44" t="s">
        <v>122</v>
      </c>
      <c r="N1010" s="46" t="s">
        <v>3203</v>
      </c>
      <c r="O1010" s="47" t="s">
        <v>1213</v>
      </c>
      <c r="P1010" s="50"/>
      <c r="Q1010" s="45"/>
      <c r="R1010" s="25"/>
      <c r="S1010" s="52"/>
    </row>
    <row r="1011" spans="1:19" ht="16.5" customHeight="1" x14ac:dyDescent="0.3">
      <c r="A1011" s="27" t="s">
        <v>487</v>
      </c>
      <c r="B1011" s="28" t="s">
        <v>488</v>
      </c>
      <c r="C1011" s="26" t="s">
        <v>1808</v>
      </c>
      <c r="D1011" s="31" t="s">
        <v>152</v>
      </c>
      <c r="E1011" s="33" t="s">
        <v>3143</v>
      </c>
      <c r="F1011" s="34" t="s">
        <v>561</v>
      </c>
      <c r="G1011" s="32" t="s">
        <v>3144</v>
      </c>
      <c r="H1011" s="37" t="s">
        <v>243</v>
      </c>
      <c r="I1011" s="39" t="s">
        <v>3195</v>
      </c>
      <c r="J1011" s="24" t="s">
        <v>1675</v>
      </c>
      <c r="K1011" s="40"/>
      <c r="L1011" s="38" t="s">
        <v>3202</v>
      </c>
      <c r="M1011" s="44" t="s">
        <v>122</v>
      </c>
      <c r="N1011" s="46" t="s">
        <v>3204</v>
      </c>
      <c r="O1011" s="47" t="s">
        <v>1214</v>
      </c>
      <c r="P1011" s="50"/>
      <c r="Q1011" s="45"/>
      <c r="R1011" s="25"/>
      <c r="S1011" s="52"/>
    </row>
    <row r="1012" spans="1:19" ht="16.5" customHeight="1" x14ac:dyDescent="0.3">
      <c r="A1012" s="27" t="s">
        <v>487</v>
      </c>
      <c r="B1012" s="28" t="s">
        <v>488</v>
      </c>
      <c r="C1012" s="26" t="s">
        <v>1808</v>
      </c>
      <c r="D1012" s="31" t="s">
        <v>152</v>
      </c>
      <c r="E1012" s="33" t="s">
        <v>3143</v>
      </c>
      <c r="F1012" s="34" t="s">
        <v>561</v>
      </c>
      <c r="G1012" s="32" t="s">
        <v>3144</v>
      </c>
      <c r="H1012" s="37" t="s">
        <v>243</v>
      </c>
      <c r="I1012" s="39" t="s">
        <v>3195</v>
      </c>
      <c r="J1012" s="24" t="s">
        <v>1675</v>
      </c>
      <c r="K1012" s="40"/>
      <c r="L1012" s="38" t="s">
        <v>3202</v>
      </c>
      <c r="M1012" s="44" t="s">
        <v>122</v>
      </c>
      <c r="N1012" s="46" t="s">
        <v>3205</v>
      </c>
      <c r="O1012" s="47" t="s">
        <v>1215</v>
      </c>
      <c r="P1012" s="50"/>
      <c r="Q1012" s="45"/>
      <c r="R1012" s="25"/>
      <c r="S1012" s="52"/>
    </row>
    <row r="1013" spans="1:19" ht="16.5" customHeight="1" x14ac:dyDescent="0.3">
      <c r="A1013" s="27" t="s">
        <v>487</v>
      </c>
      <c r="B1013" s="28" t="s">
        <v>488</v>
      </c>
      <c r="C1013" s="26" t="s">
        <v>1808</v>
      </c>
      <c r="D1013" s="31" t="s">
        <v>152</v>
      </c>
      <c r="E1013" s="33" t="s">
        <v>3143</v>
      </c>
      <c r="F1013" s="34" t="s">
        <v>561</v>
      </c>
      <c r="G1013" s="32" t="s">
        <v>3144</v>
      </c>
      <c r="H1013" s="37" t="s">
        <v>243</v>
      </c>
      <c r="I1013" s="39" t="s">
        <v>3206</v>
      </c>
      <c r="J1013" s="24" t="s">
        <v>1676</v>
      </c>
      <c r="K1013" s="40"/>
      <c r="L1013" s="38" t="s">
        <v>3207</v>
      </c>
      <c r="M1013" s="44" t="s">
        <v>565</v>
      </c>
      <c r="N1013" s="46" t="s">
        <v>3208</v>
      </c>
      <c r="O1013" s="47" t="s">
        <v>1217</v>
      </c>
      <c r="P1013" s="50"/>
      <c r="Q1013" s="45"/>
      <c r="R1013" s="25"/>
      <c r="S1013" s="52"/>
    </row>
    <row r="1014" spans="1:19" ht="16.5" customHeight="1" x14ac:dyDescent="0.3">
      <c r="A1014" s="27" t="s">
        <v>487</v>
      </c>
      <c r="B1014" s="28" t="s">
        <v>488</v>
      </c>
      <c r="C1014" s="26" t="s">
        <v>1808</v>
      </c>
      <c r="D1014" s="31" t="s">
        <v>152</v>
      </c>
      <c r="E1014" s="33" t="s">
        <v>3143</v>
      </c>
      <c r="F1014" s="34" t="s">
        <v>561</v>
      </c>
      <c r="G1014" s="32" t="s">
        <v>3144</v>
      </c>
      <c r="H1014" s="37" t="s">
        <v>243</v>
      </c>
      <c r="I1014" s="39" t="s">
        <v>3206</v>
      </c>
      <c r="J1014" s="24" t="s">
        <v>1676</v>
      </c>
      <c r="K1014" s="40"/>
      <c r="L1014" s="38" t="s">
        <v>3207</v>
      </c>
      <c r="M1014" s="44" t="s">
        <v>565</v>
      </c>
      <c r="N1014" s="46" t="s">
        <v>3209</v>
      </c>
      <c r="O1014" s="47" t="s">
        <v>1218</v>
      </c>
      <c r="P1014" s="50"/>
      <c r="Q1014" s="45"/>
      <c r="R1014" s="25"/>
      <c r="S1014" s="52"/>
    </row>
    <row r="1015" spans="1:19" ht="16.5" customHeight="1" x14ac:dyDescent="0.3">
      <c r="A1015" s="27" t="s">
        <v>487</v>
      </c>
      <c r="B1015" s="28" t="s">
        <v>488</v>
      </c>
      <c r="C1015" s="26" t="s">
        <v>1808</v>
      </c>
      <c r="D1015" s="31" t="s">
        <v>152</v>
      </c>
      <c r="E1015" s="33" t="s">
        <v>3143</v>
      </c>
      <c r="F1015" s="34" t="s">
        <v>561</v>
      </c>
      <c r="G1015" s="32" t="s">
        <v>3144</v>
      </c>
      <c r="H1015" s="37" t="s">
        <v>243</v>
      </c>
      <c r="I1015" s="39" t="s">
        <v>3206</v>
      </c>
      <c r="J1015" s="24" t="s">
        <v>1676</v>
      </c>
      <c r="K1015" s="40"/>
      <c r="L1015" s="38" t="s">
        <v>3207</v>
      </c>
      <c r="M1015" s="44" t="s">
        <v>565</v>
      </c>
      <c r="N1015" s="46" t="s">
        <v>3210</v>
      </c>
      <c r="O1015" s="47" t="s">
        <v>1219</v>
      </c>
      <c r="P1015" s="50"/>
      <c r="Q1015" s="45"/>
      <c r="R1015" s="25"/>
      <c r="S1015" s="52"/>
    </row>
    <row r="1016" spans="1:19" ht="16.5" customHeight="1" x14ac:dyDescent="0.3">
      <c r="A1016" s="27" t="s">
        <v>487</v>
      </c>
      <c r="B1016" s="28" t="s">
        <v>488</v>
      </c>
      <c r="C1016" s="26" t="s">
        <v>1808</v>
      </c>
      <c r="D1016" s="31" t="s">
        <v>152</v>
      </c>
      <c r="E1016" s="33" t="s">
        <v>3143</v>
      </c>
      <c r="F1016" s="34" t="s">
        <v>561</v>
      </c>
      <c r="G1016" s="32" t="s">
        <v>3144</v>
      </c>
      <c r="H1016" s="37" t="s">
        <v>243</v>
      </c>
      <c r="I1016" s="39" t="s">
        <v>3206</v>
      </c>
      <c r="J1016" s="24" t="s">
        <v>1676</v>
      </c>
      <c r="K1016" s="40"/>
      <c r="L1016" s="38" t="s">
        <v>3211</v>
      </c>
      <c r="M1016" s="44" t="s">
        <v>16</v>
      </c>
      <c r="N1016" s="46" t="s">
        <v>3212</v>
      </c>
      <c r="O1016" s="47" t="s">
        <v>1227</v>
      </c>
      <c r="P1016" s="50"/>
      <c r="Q1016" s="45"/>
      <c r="R1016" s="25"/>
      <c r="S1016" s="52"/>
    </row>
    <row r="1017" spans="1:19" ht="16.5" customHeight="1" x14ac:dyDescent="0.3">
      <c r="A1017" s="27" t="s">
        <v>487</v>
      </c>
      <c r="B1017" s="28" t="s">
        <v>488</v>
      </c>
      <c r="C1017" s="26" t="s">
        <v>1808</v>
      </c>
      <c r="D1017" s="31" t="s">
        <v>152</v>
      </c>
      <c r="E1017" s="33" t="s">
        <v>3143</v>
      </c>
      <c r="F1017" s="34" t="s">
        <v>561</v>
      </c>
      <c r="G1017" s="32" t="s">
        <v>3144</v>
      </c>
      <c r="H1017" s="37" t="s">
        <v>243</v>
      </c>
      <c r="I1017" s="39" t="s">
        <v>3206</v>
      </c>
      <c r="J1017" s="24" t="s">
        <v>1676</v>
      </c>
      <c r="K1017" s="40"/>
      <c r="L1017" s="38" t="s">
        <v>3213</v>
      </c>
      <c r="M1017" s="44" t="s">
        <v>122</v>
      </c>
      <c r="N1017" s="46" t="s">
        <v>3214</v>
      </c>
      <c r="O1017" s="47" t="s">
        <v>1220</v>
      </c>
      <c r="P1017" s="50"/>
      <c r="Q1017" s="45"/>
      <c r="R1017" s="25"/>
      <c r="S1017" s="52"/>
    </row>
    <row r="1018" spans="1:19" ht="16.5" customHeight="1" x14ac:dyDescent="0.3">
      <c r="A1018" s="27" t="s">
        <v>487</v>
      </c>
      <c r="B1018" s="28" t="s">
        <v>488</v>
      </c>
      <c r="C1018" s="26" t="s">
        <v>1808</v>
      </c>
      <c r="D1018" s="31" t="s">
        <v>152</v>
      </c>
      <c r="E1018" s="33" t="s">
        <v>3143</v>
      </c>
      <c r="F1018" s="34" t="s">
        <v>561</v>
      </c>
      <c r="G1018" s="32" t="s">
        <v>3144</v>
      </c>
      <c r="H1018" s="37" t="s">
        <v>243</v>
      </c>
      <c r="I1018" s="39" t="s">
        <v>3206</v>
      </c>
      <c r="J1018" s="24" t="s">
        <v>1676</v>
      </c>
      <c r="K1018" s="40"/>
      <c r="L1018" s="38" t="s">
        <v>3213</v>
      </c>
      <c r="M1018" s="44" t="s">
        <v>122</v>
      </c>
      <c r="N1018" s="46" t="s">
        <v>3215</v>
      </c>
      <c r="O1018" s="47" t="s">
        <v>1221</v>
      </c>
      <c r="P1018" s="50"/>
      <c r="Q1018" s="45"/>
      <c r="R1018" s="25"/>
      <c r="S1018" s="52"/>
    </row>
    <row r="1019" spans="1:19" ht="16.5" customHeight="1" x14ac:dyDescent="0.3">
      <c r="A1019" s="27" t="s">
        <v>487</v>
      </c>
      <c r="B1019" s="28" t="s">
        <v>488</v>
      </c>
      <c r="C1019" s="26" t="s">
        <v>1808</v>
      </c>
      <c r="D1019" s="31" t="s">
        <v>152</v>
      </c>
      <c r="E1019" s="33" t="s">
        <v>3143</v>
      </c>
      <c r="F1019" s="34" t="s">
        <v>561</v>
      </c>
      <c r="G1019" s="32" t="s">
        <v>3144</v>
      </c>
      <c r="H1019" s="37" t="s">
        <v>243</v>
      </c>
      <c r="I1019" s="39" t="s">
        <v>3206</v>
      </c>
      <c r="J1019" s="24" t="s">
        <v>1676</v>
      </c>
      <c r="K1019" s="40"/>
      <c r="L1019" s="38" t="s">
        <v>3213</v>
      </c>
      <c r="M1019" s="44" t="s">
        <v>122</v>
      </c>
      <c r="N1019" s="46" t="s">
        <v>3216</v>
      </c>
      <c r="O1019" s="47" t="s">
        <v>1216</v>
      </c>
      <c r="P1019" s="50"/>
      <c r="Q1019" s="45"/>
      <c r="R1019" s="25"/>
      <c r="S1019" s="52"/>
    </row>
    <row r="1020" spans="1:19" ht="16.5" customHeight="1" x14ac:dyDescent="0.3">
      <c r="A1020" s="27" t="s">
        <v>487</v>
      </c>
      <c r="B1020" s="28" t="s">
        <v>488</v>
      </c>
      <c r="C1020" s="26" t="s">
        <v>1808</v>
      </c>
      <c r="D1020" s="31" t="s">
        <v>152</v>
      </c>
      <c r="E1020" s="33" t="s">
        <v>3143</v>
      </c>
      <c r="F1020" s="34" t="s">
        <v>561</v>
      </c>
      <c r="G1020" s="32" t="s">
        <v>3144</v>
      </c>
      <c r="H1020" s="37" t="s">
        <v>243</v>
      </c>
      <c r="I1020" s="39" t="s">
        <v>3217</v>
      </c>
      <c r="J1020" s="24" t="s">
        <v>1677</v>
      </c>
      <c r="K1020" s="40"/>
      <c r="L1020" s="38" t="s">
        <v>3218</v>
      </c>
      <c r="M1020" s="44" t="s">
        <v>565</v>
      </c>
      <c r="N1020" s="46" t="s">
        <v>3219</v>
      </c>
      <c r="O1020" s="47" t="s">
        <v>1222</v>
      </c>
      <c r="P1020" s="50"/>
      <c r="Q1020" s="45"/>
      <c r="R1020" s="25"/>
      <c r="S1020" s="52"/>
    </row>
    <row r="1021" spans="1:19" ht="16.5" customHeight="1" x14ac:dyDescent="0.3">
      <c r="A1021" s="27" t="s">
        <v>487</v>
      </c>
      <c r="B1021" s="28" t="s">
        <v>488</v>
      </c>
      <c r="C1021" s="26" t="s">
        <v>1808</v>
      </c>
      <c r="D1021" s="31" t="s">
        <v>152</v>
      </c>
      <c r="E1021" s="33" t="s">
        <v>3143</v>
      </c>
      <c r="F1021" s="34" t="s">
        <v>561</v>
      </c>
      <c r="G1021" s="32" t="s">
        <v>3144</v>
      </c>
      <c r="H1021" s="37" t="s">
        <v>243</v>
      </c>
      <c r="I1021" s="39" t="s">
        <v>3217</v>
      </c>
      <c r="J1021" s="24" t="s">
        <v>1677</v>
      </c>
      <c r="K1021" s="40"/>
      <c r="L1021" s="38" t="s">
        <v>3218</v>
      </c>
      <c r="M1021" s="44" t="s">
        <v>565</v>
      </c>
      <c r="N1021" s="46" t="s">
        <v>3220</v>
      </c>
      <c r="O1021" s="47" t="s">
        <v>1223</v>
      </c>
      <c r="P1021" s="50"/>
      <c r="Q1021" s="45"/>
      <c r="R1021" s="25"/>
      <c r="S1021" s="52"/>
    </row>
    <row r="1022" spans="1:19" ht="16.5" customHeight="1" x14ac:dyDescent="0.3">
      <c r="A1022" s="27" t="s">
        <v>487</v>
      </c>
      <c r="B1022" s="28" t="s">
        <v>488</v>
      </c>
      <c r="C1022" s="26" t="s">
        <v>1808</v>
      </c>
      <c r="D1022" s="31" t="s">
        <v>152</v>
      </c>
      <c r="E1022" s="33" t="s">
        <v>3143</v>
      </c>
      <c r="F1022" s="34" t="s">
        <v>561</v>
      </c>
      <c r="G1022" s="32" t="s">
        <v>3144</v>
      </c>
      <c r="H1022" s="37" t="s">
        <v>243</v>
      </c>
      <c r="I1022" s="39" t="s">
        <v>3217</v>
      </c>
      <c r="J1022" s="24" t="s">
        <v>1677</v>
      </c>
      <c r="K1022" s="40"/>
      <c r="L1022" s="38" t="s">
        <v>3218</v>
      </c>
      <c r="M1022" s="44" t="s">
        <v>565</v>
      </c>
      <c r="N1022" s="46" t="s">
        <v>3221</v>
      </c>
      <c r="O1022" s="47" t="s">
        <v>1224</v>
      </c>
      <c r="P1022" s="50"/>
      <c r="Q1022" s="45"/>
      <c r="R1022" s="25"/>
      <c r="S1022" s="52"/>
    </row>
    <row r="1023" spans="1:19" ht="16.5" customHeight="1" x14ac:dyDescent="0.3">
      <c r="A1023" s="27" t="s">
        <v>487</v>
      </c>
      <c r="B1023" s="28" t="s">
        <v>488</v>
      </c>
      <c r="C1023" s="26" t="s">
        <v>1808</v>
      </c>
      <c r="D1023" s="31" t="s">
        <v>152</v>
      </c>
      <c r="E1023" s="33" t="s">
        <v>3143</v>
      </c>
      <c r="F1023" s="34" t="s">
        <v>561</v>
      </c>
      <c r="G1023" s="32" t="s">
        <v>3144</v>
      </c>
      <c r="H1023" s="37" t="s">
        <v>243</v>
      </c>
      <c r="I1023" s="39" t="s">
        <v>3217</v>
      </c>
      <c r="J1023" s="24" t="s">
        <v>1677</v>
      </c>
      <c r="K1023" s="40"/>
      <c r="L1023" s="38" t="s">
        <v>3222</v>
      </c>
      <c r="M1023" s="44" t="s">
        <v>16</v>
      </c>
      <c r="N1023" s="46" t="s">
        <v>3223</v>
      </c>
      <c r="O1023" s="47" t="s">
        <v>1228</v>
      </c>
      <c r="P1023" s="50"/>
      <c r="Q1023" s="45"/>
      <c r="R1023" s="25"/>
      <c r="S1023" s="52"/>
    </row>
    <row r="1024" spans="1:19" ht="16.5" customHeight="1" x14ac:dyDescent="0.3">
      <c r="A1024" s="27" t="s">
        <v>487</v>
      </c>
      <c r="B1024" s="28" t="s">
        <v>488</v>
      </c>
      <c r="C1024" s="26" t="s">
        <v>1808</v>
      </c>
      <c r="D1024" s="31" t="s">
        <v>152</v>
      </c>
      <c r="E1024" s="33" t="s">
        <v>3143</v>
      </c>
      <c r="F1024" s="34" t="s">
        <v>561</v>
      </c>
      <c r="G1024" s="32" t="s">
        <v>3144</v>
      </c>
      <c r="H1024" s="37" t="s">
        <v>243</v>
      </c>
      <c r="I1024" s="39" t="s">
        <v>3217</v>
      </c>
      <c r="J1024" s="24" t="s">
        <v>1677</v>
      </c>
      <c r="K1024" s="40"/>
      <c r="L1024" s="38" t="s">
        <v>3224</v>
      </c>
      <c r="M1024" s="44" t="s">
        <v>122</v>
      </c>
      <c r="N1024" s="46" t="s">
        <v>3225</v>
      </c>
      <c r="O1024" s="47" t="s">
        <v>1222</v>
      </c>
      <c r="P1024" s="50"/>
      <c r="Q1024" s="45"/>
      <c r="R1024" s="25"/>
      <c r="S1024" s="52"/>
    </row>
    <row r="1025" spans="1:19" ht="16.5" customHeight="1" x14ac:dyDescent="0.3">
      <c r="A1025" s="27" t="s">
        <v>487</v>
      </c>
      <c r="B1025" s="28" t="s">
        <v>488</v>
      </c>
      <c r="C1025" s="26" t="s">
        <v>1808</v>
      </c>
      <c r="D1025" s="31" t="s">
        <v>152</v>
      </c>
      <c r="E1025" s="33" t="s">
        <v>3143</v>
      </c>
      <c r="F1025" s="34" t="s">
        <v>561</v>
      </c>
      <c r="G1025" s="32" t="s">
        <v>3144</v>
      </c>
      <c r="H1025" s="37" t="s">
        <v>243</v>
      </c>
      <c r="I1025" s="39" t="s">
        <v>3217</v>
      </c>
      <c r="J1025" s="24" t="s">
        <v>1677</v>
      </c>
      <c r="K1025" s="40"/>
      <c r="L1025" s="38" t="s">
        <v>3224</v>
      </c>
      <c r="M1025" s="44" t="s">
        <v>122</v>
      </c>
      <c r="N1025" s="46" t="s">
        <v>3226</v>
      </c>
      <c r="O1025" s="47" t="s">
        <v>1229</v>
      </c>
      <c r="P1025" s="50"/>
      <c r="Q1025" s="45"/>
      <c r="R1025" s="25"/>
      <c r="S1025" s="52"/>
    </row>
    <row r="1026" spans="1:19" ht="16.5" customHeight="1" x14ac:dyDescent="0.3">
      <c r="A1026" s="27" t="s">
        <v>487</v>
      </c>
      <c r="B1026" s="28" t="s">
        <v>488</v>
      </c>
      <c r="C1026" s="26" t="s">
        <v>1808</v>
      </c>
      <c r="D1026" s="31" t="s">
        <v>152</v>
      </c>
      <c r="E1026" s="33" t="s">
        <v>3143</v>
      </c>
      <c r="F1026" s="34" t="s">
        <v>561</v>
      </c>
      <c r="G1026" s="32" t="s">
        <v>3144</v>
      </c>
      <c r="H1026" s="37" t="s">
        <v>243</v>
      </c>
      <c r="I1026" s="39" t="s">
        <v>3217</v>
      </c>
      <c r="J1026" s="24" t="s">
        <v>1677</v>
      </c>
      <c r="K1026" s="40"/>
      <c r="L1026" s="38" t="s">
        <v>3224</v>
      </c>
      <c r="M1026" s="44" t="s">
        <v>122</v>
      </c>
      <c r="N1026" s="46" t="s">
        <v>3227</v>
      </c>
      <c r="O1026" s="47" t="s">
        <v>1230</v>
      </c>
      <c r="P1026" s="50"/>
      <c r="Q1026" s="45"/>
      <c r="R1026" s="25"/>
      <c r="S1026" s="52"/>
    </row>
    <row r="1027" spans="1:19" ht="16.5" customHeight="1" x14ac:dyDescent="0.3">
      <c r="A1027" s="27" t="s">
        <v>487</v>
      </c>
      <c r="B1027" s="28" t="s">
        <v>488</v>
      </c>
      <c r="C1027" s="26" t="s">
        <v>1808</v>
      </c>
      <c r="D1027" s="31" t="s">
        <v>152</v>
      </c>
      <c r="E1027" s="33" t="s">
        <v>3143</v>
      </c>
      <c r="F1027" s="34" t="s">
        <v>561</v>
      </c>
      <c r="G1027" s="32" t="s">
        <v>3144</v>
      </c>
      <c r="H1027" s="37" t="s">
        <v>243</v>
      </c>
      <c r="I1027" s="39" t="s">
        <v>3228</v>
      </c>
      <c r="J1027" s="24" t="s">
        <v>609</v>
      </c>
      <c r="K1027" s="40"/>
      <c r="L1027" s="38" t="s">
        <v>3229</v>
      </c>
      <c r="M1027" s="44" t="s">
        <v>123</v>
      </c>
      <c r="N1027" s="46" t="s">
        <v>3230</v>
      </c>
      <c r="O1027" s="47" t="s">
        <v>1664</v>
      </c>
      <c r="P1027" s="50"/>
      <c r="Q1027" s="45"/>
      <c r="R1027" s="25"/>
      <c r="S1027" s="52"/>
    </row>
    <row r="1028" spans="1:19" ht="16.5" customHeight="1" x14ac:dyDescent="0.3">
      <c r="A1028" s="27" t="s">
        <v>487</v>
      </c>
      <c r="B1028" s="28" t="s">
        <v>488</v>
      </c>
      <c r="C1028" s="26" t="s">
        <v>1808</v>
      </c>
      <c r="D1028" s="31" t="s">
        <v>152</v>
      </c>
      <c r="E1028" s="33" t="s">
        <v>3143</v>
      </c>
      <c r="F1028" s="34" t="s">
        <v>561</v>
      </c>
      <c r="G1028" s="32" t="s">
        <v>3144</v>
      </c>
      <c r="H1028" s="37" t="s">
        <v>243</v>
      </c>
      <c r="I1028" s="39" t="s">
        <v>3231</v>
      </c>
      <c r="J1028" s="24" t="s">
        <v>603</v>
      </c>
      <c r="K1028" s="40"/>
      <c r="L1028" s="38" t="s">
        <v>3232</v>
      </c>
      <c r="M1028" s="44" t="s">
        <v>16</v>
      </c>
      <c r="N1028" s="46" t="s">
        <v>3233</v>
      </c>
      <c r="O1028" s="47" t="s">
        <v>629</v>
      </c>
      <c r="P1028" s="50"/>
      <c r="Q1028" s="45"/>
      <c r="R1028" s="25"/>
      <c r="S1028" s="52"/>
    </row>
    <row r="1029" spans="1:19" ht="16.5" customHeight="1" x14ac:dyDescent="0.3">
      <c r="A1029" s="27" t="s">
        <v>487</v>
      </c>
      <c r="B1029" s="28" t="s">
        <v>488</v>
      </c>
      <c r="C1029" s="26" t="s">
        <v>1808</v>
      </c>
      <c r="D1029" s="31" t="s">
        <v>152</v>
      </c>
      <c r="E1029" s="33" t="s">
        <v>3143</v>
      </c>
      <c r="F1029" s="34" t="s">
        <v>561</v>
      </c>
      <c r="G1029" s="32" t="s">
        <v>3144</v>
      </c>
      <c r="H1029" s="37" t="s">
        <v>243</v>
      </c>
      <c r="I1029" s="39" t="s">
        <v>3231</v>
      </c>
      <c r="J1029" s="24" t="s">
        <v>603</v>
      </c>
      <c r="K1029" s="40"/>
      <c r="L1029" s="38" t="s">
        <v>3234</v>
      </c>
      <c r="M1029" s="44" t="s">
        <v>123</v>
      </c>
      <c r="N1029" s="46" t="s">
        <v>3779</v>
      </c>
      <c r="O1029" s="47" t="s">
        <v>1654</v>
      </c>
      <c r="P1029" s="50"/>
      <c r="Q1029" s="45"/>
      <c r="R1029" s="25"/>
      <c r="S1029" s="52"/>
    </row>
    <row r="1030" spans="1:19" ht="16.5" customHeight="1" x14ac:dyDescent="0.3">
      <c r="A1030" s="27" t="s">
        <v>487</v>
      </c>
      <c r="B1030" s="28" t="s">
        <v>488</v>
      </c>
      <c r="C1030" s="26" t="s">
        <v>1808</v>
      </c>
      <c r="D1030" s="31" t="s">
        <v>152</v>
      </c>
      <c r="E1030" s="33" t="s">
        <v>3143</v>
      </c>
      <c r="F1030" s="34" t="s">
        <v>561</v>
      </c>
      <c r="G1030" s="32" t="s">
        <v>3144</v>
      </c>
      <c r="H1030" s="37" t="s">
        <v>243</v>
      </c>
      <c r="I1030" s="39" t="s">
        <v>3231</v>
      </c>
      <c r="J1030" s="24" t="s">
        <v>603</v>
      </c>
      <c r="K1030" s="40"/>
      <c r="L1030" s="38" t="s">
        <v>3767</v>
      </c>
      <c r="M1030" s="44" t="s">
        <v>1665</v>
      </c>
      <c r="N1030" s="46" t="s">
        <v>3235</v>
      </c>
      <c r="O1030" s="47" t="s">
        <v>1660</v>
      </c>
      <c r="P1030" s="50"/>
      <c r="Q1030" s="45"/>
      <c r="R1030" s="25"/>
      <c r="S1030" s="52"/>
    </row>
    <row r="1031" spans="1:19" ht="16.5" customHeight="1" x14ac:dyDescent="0.3">
      <c r="A1031" s="27" t="s">
        <v>487</v>
      </c>
      <c r="B1031" s="28" t="s">
        <v>488</v>
      </c>
      <c r="C1031" s="26" t="s">
        <v>1808</v>
      </c>
      <c r="D1031" s="31" t="s">
        <v>152</v>
      </c>
      <c r="E1031" s="33" t="s">
        <v>3143</v>
      </c>
      <c r="F1031" s="34" t="s">
        <v>561</v>
      </c>
      <c r="G1031" s="32" t="s">
        <v>3144</v>
      </c>
      <c r="H1031" s="37" t="s">
        <v>243</v>
      </c>
      <c r="I1031" s="39" t="s">
        <v>3236</v>
      </c>
      <c r="J1031" s="24" t="s">
        <v>603</v>
      </c>
      <c r="K1031" s="40"/>
      <c r="L1031" s="38" t="s">
        <v>3237</v>
      </c>
      <c r="M1031" s="44" t="s">
        <v>16</v>
      </c>
      <c r="N1031" s="46" t="s">
        <v>3238</v>
      </c>
      <c r="O1031" s="47" t="s">
        <v>629</v>
      </c>
      <c r="P1031" s="50"/>
      <c r="Q1031" s="45"/>
      <c r="R1031" s="25"/>
      <c r="S1031" s="52"/>
    </row>
    <row r="1032" spans="1:19" ht="16.5" customHeight="1" x14ac:dyDescent="0.3">
      <c r="A1032" s="27" t="s">
        <v>487</v>
      </c>
      <c r="B1032" s="28" t="s">
        <v>488</v>
      </c>
      <c r="C1032" s="26" t="s">
        <v>1808</v>
      </c>
      <c r="D1032" s="31" t="s">
        <v>152</v>
      </c>
      <c r="E1032" s="33" t="s">
        <v>3143</v>
      </c>
      <c r="F1032" s="34" t="s">
        <v>561</v>
      </c>
      <c r="G1032" s="32" t="s">
        <v>3144</v>
      </c>
      <c r="H1032" s="37" t="s">
        <v>243</v>
      </c>
      <c r="I1032" s="39" t="s">
        <v>3236</v>
      </c>
      <c r="J1032" s="24" t="s">
        <v>603</v>
      </c>
      <c r="K1032" s="40"/>
      <c r="L1032" s="38" t="s">
        <v>3239</v>
      </c>
      <c r="M1032" s="44" t="s">
        <v>123</v>
      </c>
      <c r="N1032" s="46" t="s">
        <v>3780</v>
      </c>
      <c r="O1032" s="47" t="s">
        <v>1654</v>
      </c>
      <c r="P1032" s="50"/>
      <c r="Q1032" s="45"/>
      <c r="R1032" s="25"/>
      <c r="S1032" s="52"/>
    </row>
    <row r="1033" spans="1:19" ht="16.5" customHeight="1" x14ac:dyDescent="0.3">
      <c r="A1033" s="27" t="s">
        <v>487</v>
      </c>
      <c r="B1033" s="28" t="s">
        <v>488</v>
      </c>
      <c r="C1033" s="26" t="s">
        <v>1808</v>
      </c>
      <c r="D1033" s="31" t="s">
        <v>152</v>
      </c>
      <c r="E1033" s="33" t="s">
        <v>3143</v>
      </c>
      <c r="F1033" s="34" t="s">
        <v>561</v>
      </c>
      <c r="G1033" s="32" t="s">
        <v>3144</v>
      </c>
      <c r="H1033" s="37" t="s">
        <v>243</v>
      </c>
      <c r="I1033" s="39" t="s">
        <v>3236</v>
      </c>
      <c r="J1033" s="24" t="s">
        <v>603</v>
      </c>
      <c r="K1033" s="40"/>
      <c r="L1033" s="38" t="s">
        <v>3768</v>
      </c>
      <c r="M1033" s="44" t="s">
        <v>1665</v>
      </c>
      <c r="N1033" s="46" t="s">
        <v>3240</v>
      </c>
      <c r="O1033" s="47" t="s">
        <v>1660</v>
      </c>
      <c r="P1033" s="50"/>
      <c r="Q1033" s="45"/>
      <c r="R1033" s="25"/>
      <c r="S1033" s="52"/>
    </row>
    <row r="1034" spans="1:19" ht="16.5" customHeight="1" x14ac:dyDescent="0.3">
      <c r="A1034" s="27" t="s">
        <v>487</v>
      </c>
      <c r="B1034" s="28" t="s">
        <v>488</v>
      </c>
      <c r="C1034" s="26" t="s">
        <v>1808</v>
      </c>
      <c r="D1034" s="31" t="s">
        <v>152</v>
      </c>
      <c r="E1034" s="33" t="s">
        <v>3143</v>
      </c>
      <c r="F1034" s="34" t="s">
        <v>561</v>
      </c>
      <c r="G1034" s="32" t="s">
        <v>3144</v>
      </c>
      <c r="H1034" s="37" t="s">
        <v>243</v>
      </c>
      <c r="I1034" s="39" t="s">
        <v>3241</v>
      </c>
      <c r="J1034" s="24" t="s">
        <v>604</v>
      </c>
      <c r="K1034" s="40"/>
      <c r="L1034" s="38" t="s">
        <v>3242</v>
      </c>
      <c r="M1034" s="44" t="s">
        <v>123</v>
      </c>
      <c r="N1034" s="46" t="s">
        <v>3243</v>
      </c>
      <c r="O1034" s="47" t="s">
        <v>1664</v>
      </c>
      <c r="P1034" s="50"/>
      <c r="Q1034" s="45"/>
      <c r="R1034" s="25"/>
      <c r="S1034" s="52"/>
    </row>
    <row r="1035" spans="1:19" ht="16.5" customHeight="1" x14ac:dyDescent="0.3">
      <c r="A1035" s="27" t="s">
        <v>487</v>
      </c>
      <c r="B1035" s="28" t="s">
        <v>488</v>
      </c>
      <c r="C1035" s="26" t="s">
        <v>1808</v>
      </c>
      <c r="D1035" s="31" t="s">
        <v>152</v>
      </c>
      <c r="E1035" s="33" t="s">
        <v>3143</v>
      </c>
      <c r="F1035" s="34" t="s">
        <v>561</v>
      </c>
      <c r="G1035" s="32" t="s">
        <v>3144</v>
      </c>
      <c r="H1035" s="37" t="s">
        <v>243</v>
      </c>
      <c r="I1035" s="39" t="s">
        <v>3244</v>
      </c>
      <c r="J1035" s="24" t="s">
        <v>605</v>
      </c>
      <c r="K1035" s="40"/>
      <c r="L1035" s="38" t="s">
        <v>3245</v>
      </c>
      <c r="M1035" s="44" t="s">
        <v>123</v>
      </c>
      <c r="N1035" s="46" t="s">
        <v>3246</v>
      </c>
      <c r="O1035" s="47" t="s">
        <v>1664</v>
      </c>
      <c r="P1035" s="50"/>
      <c r="Q1035" s="45"/>
      <c r="R1035" s="25"/>
      <c r="S1035" s="52"/>
    </row>
    <row r="1036" spans="1:19" ht="16.5" customHeight="1" x14ac:dyDescent="0.3">
      <c r="A1036" s="27" t="s">
        <v>487</v>
      </c>
      <c r="B1036" s="28" t="s">
        <v>488</v>
      </c>
      <c r="C1036" s="26" t="s">
        <v>1808</v>
      </c>
      <c r="D1036" s="31" t="s">
        <v>152</v>
      </c>
      <c r="E1036" s="33" t="s">
        <v>3143</v>
      </c>
      <c r="F1036" s="34" t="s">
        <v>561</v>
      </c>
      <c r="G1036" s="32" t="s">
        <v>3144</v>
      </c>
      <c r="H1036" s="37" t="s">
        <v>243</v>
      </c>
      <c r="I1036" s="39" t="s">
        <v>3247</v>
      </c>
      <c r="J1036" s="24" t="s">
        <v>169</v>
      </c>
      <c r="K1036" s="40"/>
      <c r="L1036" s="38"/>
      <c r="M1036" s="44"/>
      <c r="N1036" s="46"/>
      <c r="O1036" s="47"/>
      <c r="P1036" s="50"/>
      <c r="Q1036" s="45"/>
      <c r="R1036" s="25"/>
      <c r="S1036" s="52"/>
    </row>
    <row r="1037" spans="1:19" ht="16.5" customHeight="1" x14ac:dyDescent="0.3">
      <c r="A1037" s="27" t="s">
        <v>487</v>
      </c>
      <c r="B1037" s="28" t="s">
        <v>488</v>
      </c>
      <c r="C1037" s="26" t="s">
        <v>1808</v>
      </c>
      <c r="D1037" s="31" t="s">
        <v>152</v>
      </c>
      <c r="E1037" s="33" t="s">
        <v>3143</v>
      </c>
      <c r="F1037" s="34" t="s">
        <v>561</v>
      </c>
      <c r="G1037" s="32" t="s">
        <v>3248</v>
      </c>
      <c r="H1037" s="37" t="s">
        <v>1601</v>
      </c>
      <c r="I1037" s="39" t="s">
        <v>3249</v>
      </c>
      <c r="J1037" s="24" t="s">
        <v>253</v>
      </c>
      <c r="K1037" s="40"/>
      <c r="L1037" s="38"/>
      <c r="M1037" s="44"/>
      <c r="N1037" s="46"/>
      <c r="O1037" s="47"/>
      <c r="P1037" s="50"/>
      <c r="Q1037" s="45"/>
      <c r="R1037" s="25"/>
      <c r="S1037" s="52"/>
    </row>
    <row r="1038" spans="1:19" ht="16.5" customHeight="1" x14ac:dyDescent="0.3">
      <c r="A1038" s="27" t="s">
        <v>487</v>
      </c>
      <c r="B1038" s="28" t="s">
        <v>488</v>
      </c>
      <c r="C1038" s="26" t="s">
        <v>1808</v>
      </c>
      <c r="D1038" s="31" t="s">
        <v>152</v>
      </c>
      <c r="E1038" s="33" t="s">
        <v>3143</v>
      </c>
      <c r="F1038" s="34" t="s">
        <v>561</v>
      </c>
      <c r="G1038" s="32" t="s">
        <v>3250</v>
      </c>
      <c r="H1038" s="37" t="s">
        <v>1602</v>
      </c>
      <c r="I1038" s="39" t="s">
        <v>3251</v>
      </c>
      <c r="J1038" s="24" t="s">
        <v>468</v>
      </c>
      <c r="K1038" s="40"/>
      <c r="L1038" s="38" t="s">
        <v>3769</v>
      </c>
      <c r="M1038" s="44" t="s">
        <v>1665</v>
      </c>
      <c r="N1038" s="46" t="s">
        <v>3252</v>
      </c>
      <c r="O1038" s="47" t="s">
        <v>1652</v>
      </c>
      <c r="P1038" s="50"/>
      <c r="Q1038" s="45"/>
      <c r="R1038" s="25"/>
      <c r="S1038" s="52"/>
    </row>
    <row r="1039" spans="1:19" ht="16.5" customHeight="1" x14ac:dyDescent="0.3">
      <c r="A1039" s="27" t="s">
        <v>487</v>
      </c>
      <c r="B1039" s="28" t="s">
        <v>488</v>
      </c>
      <c r="C1039" s="26" t="s">
        <v>1808</v>
      </c>
      <c r="D1039" s="31" t="s">
        <v>152</v>
      </c>
      <c r="E1039" s="33" t="s">
        <v>3143</v>
      </c>
      <c r="F1039" s="34" t="s">
        <v>561</v>
      </c>
      <c r="G1039" s="32" t="s">
        <v>3250</v>
      </c>
      <c r="H1039" s="37" t="s">
        <v>1602</v>
      </c>
      <c r="I1039" s="39" t="s">
        <v>3253</v>
      </c>
      <c r="J1039" s="24" t="s">
        <v>469</v>
      </c>
      <c r="K1039" s="40"/>
      <c r="L1039" s="38" t="s">
        <v>3254</v>
      </c>
      <c r="M1039" s="44" t="s">
        <v>16</v>
      </c>
      <c r="N1039" s="46" t="s">
        <v>3255</v>
      </c>
      <c r="O1039" s="47" t="s">
        <v>1679</v>
      </c>
      <c r="P1039" s="50"/>
      <c r="Q1039" s="45"/>
      <c r="R1039" s="25"/>
      <c r="S1039" s="52"/>
    </row>
    <row r="1040" spans="1:19" ht="16.5" customHeight="1" x14ac:dyDescent="0.3">
      <c r="A1040" s="27" t="s">
        <v>487</v>
      </c>
      <c r="B1040" s="28" t="s">
        <v>488</v>
      </c>
      <c r="C1040" s="26" t="s">
        <v>1808</v>
      </c>
      <c r="D1040" s="31" t="s">
        <v>152</v>
      </c>
      <c r="E1040" s="33" t="s">
        <v>3143</v>
      </c>
      <c r="F1040" s="34" t="s">
        <v>561</v>
      </c>
      <c r="G1040" s="32" t="s">
        <v>3250</v>
      </c>
      <c r="H1040" s="37" t="s">
        <v>1602</v>
      </c>
      <c r="I1040" s="39" t="s">
        <v>3253</v>
      </c>
      <c r="J1040" s="24" t="s">
        <v>469</v>
      </c>
      <c r="K1040" s="40"/>
      <c r="L1040" s="38" t="s">
        <v>3254</v>
      </c>
      <c r="M1040" s="44" t="s">
        <v>16</v>
      </c>
      <c r="N1040" s="46" t="s">
        <v>3256</v>
      </c>
      <c r="O1040" s="47" t="s">
        <v>1649</v>
      </c>
      <c r="P1040" s="50"/>
      <c r="Q1040" s="45"/>
      <c r="R1040" s="25"/>
      <c r="S1040" s="52"/>
    </row>
    <row r="1041" spans="1:19" ht="16.5" customHeight="1" x14ac:dyDescent="0.3">
      <c r="A1041" s="27" t="s">
        <v>487</v>
      </c>
      <c r="B1041" s="28" t="s">
        <v>488</v>
      </c>
      <c r="C1041" s="26" t="s">
        <v>1808</v>
      </c>
      <c r="D1041" s="31" t="s">
        <v>152</v>
      </c>
      <c r="E1041" s="33" t="s">
        <v>3143</v>
      </c>
      <c r="F1041" s="34" t="s">
        <v>561</v>
      </c>
      <c r="G1041" s="32" t="s">
        <v>3250</v>
      </c>
      <c r="H1041" s="37" t="s">
        <v>1602</v>
      </c>
      <c r="I1041" s="39" t="s">
        <v>3253</v>
      </c>
      <c r="J1041" s="24" t="s">
        <v>469</v>
      </c>
      <c r="K1041" s="40"/>
      <c r="L1041" s="38" t="s">
        <v>3257</v>
      </c>
      <c r="M1041" s="44" t="s">
        <v>123</v>
      </c>
      <c r="N1041" s="46" t="s">
        <v>3781</v>
      </c>
      <c r="O1041" s="47" t="s">
        <v>1654</v>
      </c>
      <c r="P1041" s="50"/>
      <c r="Q1041" s="45"/>
      <c r="R1041" s="25"/>
      <c r="S1041" s="52"/>
    </row>
    <row r="1042" spans="1:19" ht="16.5" customHeight="1" x14ac:dyDescent="0.3">
      <c r="A1042" s="27" t="s">
        <v>487</v>
      </c>
      <c r="B1042" s="28" t="s">
        <v>488</v>
      </c>
      <c r="C1042" s="26" t="s">
        <v>1808</v>
      </c>
      <c r="D1042" s="31" t="s">
        <v>152</v>
      </c>
      <c r="E1042" s="33" t="s">
        <v>3143</v>
      </c>
      <c r="F1042" s="34" t="s">
        <v>561</v>
      </c>
      <c r="G1042" s="32" t="s">
        <v>3250</v>
      </c>
      <c r="H1042" s="37" t="s">
        <v>1602</v>
      </c>
      <c r="I1042" s="39" t="s">
        <v>3258</v>
      </c>
      <c r="J1042" s="24" t="s">
        <v>1231</v>
      </c>
      <c r="K1042" s="40"/>
      <c r="L1042" s="38" t="s">
        <v>3259</v>
      </c>
      <c r="M1042" s="44" t="s">
        <v>16</v>
      </c>
      <c r="N1042" s="46" t="s">
        <v>3260</v>
      </c>
      <c r="O1042" s="47" t="s">
        <v>1234</v>
      </c>
      <c r="P1042" s="50"/>
      <c r="Q1042" s="45"/>
      <c r="R1042" s="25"/>
      <c r="S1042" s="52"/>
    </row>
    <row r="1043" spans="1:19" ht="16.5" customHeight="1" x14ac:dyDescent="0.3">
      <c r="A1043" s="27" t="s">
        <v>487</v>
      </c>
      <c r="B1043" s="28" t="s">
        <v>488</v>
      </c>
      <c r="C1043" s="26" t="s">
        <v>1808</v>
      </c>
      <c r="D1043" s="31" t="s">
        <v>152</v>
      </c>
      <c r="E1043" s="33" t="s">
        <v>3143</v>
      </c>
      <c r="F1043" s="34" t="s">
        <v>561</v>
      </c>
      <c r="G1043" s="32" t="s">
        <v>3250</v>
      </c>
      <c r="H1043" s="37" t="s">
        <v>1602</v>
      </c>
      <c r="I1043" s="39" t="s">
        <v>3258</v>
      </c>
      <c r="J1043" s="24" t="s">
        <v>1231</v>
      </c>
      <c r="K1043" s="40"/>
      <c r="L1043" s="38" t="s">
        <v>3261</v>
      </c>
      <c r="M1043" s="44" t="s">
        <v>123</v>
      </c>
      <c r="N1043" s="46" t="s">
        <v>3782</v>
      </c>
      <c r="O1043" s="47" t="s">
        <v>1654</v>
      </c>
      <c r="P1043" s="50"/>
      <c r="Q1043" s="45"/>
      <c r="R1043" s="25"/>
      <c r="S1043" s="52"/>
    </row>
    <row r="1044" spans="1:19" ht="16.5" customHeight="1" x14ac:dyDescent="0.3">
      <c r="A1044" s="27" t="s">
        <v>487</v>
      </c>
      <c r="B1044" s="28" t="s">
        <v>488</v>
      </c>
      <c r="C1044" s="26" t="s">
        <v>1808</v>
      </c>
      <c r="D1044" s="31" t="s">
        <v>152</v>
      </c>
      <c r="E1044" s="33" t="s">
        <v>3143</v>
      </c>
      <c r="F1044" s="34" t="s">
        <v>561</v>
      </c>
      <c r="G1044" s="32" t="s">
        <v>3250</v>
      </c>
      <c r="H1044" s="37" t="s">
        <v>1602</v>
      </c>
      <c r="I1044" s="39" t="s">
        <v>3258</v>
      </c>
      <c r="J1044" s="24" t="s">
        <v>1231</v>
      </c>
      <c r="K1044" s="40"/>
      <c r="L1044" s="38" t="s">
        <v>3262</v>
      </c>
      <c r="M1044" s="44" t="s">
        <v>1665</v>
      </c>
      <c r="N1044" s="46" t="s">
        <v>3263</v>
      </c>
      <c r="O1044" s="47" t="s">
        <v>1660</v>
      </c>
      <c r="P1044" s="50"/>
      <c r="Q1044" s="45"/>
      <c r="R1044" s="25"/>
      <c r="S1044" s="52"/>
    </row>
    <row r="1045" spans="1:19" ht="16.5" customHeight="1" x14ac:dyDescent="0.3">
      <c r="A1045" s="27" t="s">
        <v>487</v>
      </c>
      <c r="B1045" s="28" t="s">
        <v>488</v>
      </c>
      <c r="C1045" s="26" t="s">
        <v>1808</v>
      </c>
      <c r="D1045" s="31" t="s">
        <v>152</v>
      </c>
      <c r="E1045" s="33" t="s">
        <v>3143</v>
      </c>
      <c r="F1045" s="34" t="s">
        <v>561</v>
      </c>
      <c r="G1045" s="32" t="s">
        <v>3250</v>
      </c>
      <c r="H1045" s="37" t="s">
        <v>1602</v>
      </c>
      <c r="I1045" s="39" t="s">
        <v>3264</v>
      </c>
      <c r="J1045" s="24" t="s">
        <v>1232</v>
      </c>
      <c r="K1045" s="40"/>
      <c r="L1045" s="38" t="s">
        <v>3265</v>
      </c>
      <c r="M1045" s="44" t="s">
        <v>16</v>
      </c>
      <c r="N1045" s="46" t="s">
        <v>3266</v>
      </c>
      <c r="O1045" s="47" t="s">
        <v>1233</v>
      </c>
      <c r="P1045" s="50"/>
      <c r="Q1045" s="45"/>
      <c r="R1045" s="25"/>
      <c r="S1045" s="52"/>
    </row>
    <row r="1046" spans="1:19" ht="16.5" customHeight="1" x14ac:dyDescent="0.3">
      <c r="A1046" s="27" t="s">
        <v>487</v>
      </c>
      <c r="B1046" s="28" t="s">
        <v>488</v>
      </c>
      <c r="C1046" s="26" t="s">
        <v>1808</v>
      </c>
      <c r="D1046" s="31" t="s">
        <v>152</v>
      </c>
      <c r="E1046" s="33" t="s">
        <v>3143</v>
      </c>
      <c r="F1046" s="34" t="s">
        <v>561</v>
      </c>
      <c r="G1046" s="32" t="s">
        <v>3250</v>
      </c>
      <c r="H1046" s="37" t="s">
        <v>1602</v>
      </c>
      <c r="I1046" s="39" t="s">
        <v>3264</v>
      </c>
      <c r="J1046" s="24" t="s">
        <v>1232</v>
      </c>
      <c r="K1046" s="40"/>
      <c r="L1046" s="38" t="s">
        <v>3267</v>
      </c>
      <c r="M1046" s="44" t="s">
        <v>123</v>
      </c>
      <c r="N1046" s="46" t="s">
        <v>3783</v>
      </c>
      <c r="O1046" s="47" t="s">
        <v>1654</v>
      </c>
      <c r="P1046" s="50"/>
      <c r="Q1046" s="45"/>
      <c r="R1046" s="25"/>
      <c r="S1046" s="52"/>
    </row>
    <row r="1047" spans="1:19" ht="16.5" customHeight="1" x14ac:dyDescent="0.3">
      <c r="A1047" s="27" t="s">
        <v>487</v>
      </c>
      <c r="B1047" s="28" t="s">
        <v>488</v>
      </c>
      <c r="C1047" s="26" t="s">
        <v>1808</v>
      </c>
      <c r="D1047" s="31" t="s">
        <v>152</v>
      </c>
      <c r="E1047" s="33" t="s">
        <v>3143</v>
      </c>
      <c r="F1047" s="34" t="s">
        <v>561</v>
      </c>
      <c r="G1047" s="32" t="s">
        <v>3250</v>
      </c>
      <c r="H1047" s="37" t="s">
        <v>1602</v>
      </c>
      <c r="I1047" s="39" t="s">
        <v>3264</v>
      </c>
      <c r="J1047" s="24" t="s">
        <v>1232</v>
      </c>
      <c r="K1047" s="40"/>
      <c r="L1047" s="38" t="s">
        <v>3268</v>
      </c>
      <c r="M1047" s="44" t="s">
        <v>1665</v>
      </c>
      <c r="N1047" s="46" t="s">
        <v>3269</v>
      </c>
      <c r="O1047" s="47" t="s">
        <v>1660</v>
      </c>
      <c r="P1047" s="50"/>
      <c r="Q1047" s="45"/>
      <c r="R1047" s="25"/>
      <c r="S1047" s="52"/>
    </row>
    <row r="1048" spans="1:19" ht="16.5" customHeight="1" x14ac:dyDescent="0.3">
      <c r="A1048" s="27" t="s">
        <v>487</v>
      </c>
      <c r="B1048" s="28" t="s">
        <v>488</v>
      </c>
      <c r="C1048" s="26" t="s">
        <v>1808</v>
      </c>
      <c r="D1048" s="31" t="s">
        <v>152</v>
      </c>
      <c r="E1048" s="33" t="s">
        <v>3143</v>
      </c>
      <c r="F1048" s="34" t="s">
        <v>561</v>
      </c>
      <c r="G1048" s="32" t="s">
        <v>3250</v>
      </c>
      <c r="H1048" s="37" t="s">
        <v>1602</v>
      </c>
      <c r="I1048" s="39" t="s">
        <v>3270</v>
      </c>
      <c r="J1048" s="24" t="s">
        <v>470</v>
      </c>
      <c r="K1048" s="40"/>
      <c r="L1048" s="38" t="s">
        <v>3271</v>
      </c>
      <c r="M1048" s="44" t="s">
        <v>1696</v>
      </c>
      <c r="N1048" s="46" t="s">
        <v>3272</v>
      </c>
      <c r="O1048" s="47" t="s">
        <v>1697</v>
      </c>
      <c r="P1048" s="50"/>
      <c r="Q1048" s="45"/>
      <c r="R1048" s="25"/>
      <c r="S1048" s="52"/>
    </row>
    <row r="1049" spans="1:19" ht="16.5" customHeight="1" x14ac:dyDescent="0.3">
      <c r="A1049" s="27" t="s">
        <v>487</v>
      </c>
      <c r="B1049" s="28" t="s">
        <v>488</v>
      </c>
      <c r="C1049" s="26" t="s">
        <v>1808</v>
      </c>
      <c r="D1049" s="31" t="s">
        <v>152</v>
      </c>
      <c r="E1049" s="33" t="s">
        <v>3143</v>
      </c>
      <c r="F1049" s="34" t="s">
        <v>561</v>
      </c>
      <c r="G1049" s="32" t="s">
        <v>3250</v>
      </c>
      <c r="H1049" s="37" t="s">
        <v>1602</v>
      </c>
      <c r="I1049" s="39" t="s">
        <v>3270</v>
      </c>
      <c r="J1049" s="24" t="s">
        <v>470</v>
      </c>
      <c r="K1049" s="40"/>
      <c r="L1049" s="38" t="s">
        <v>3273</v>
      </c>
      <c r="M1049" s="44" t="s">
        <v>1698</v>
      </c>
      <c r="N1049" s="46" t="s">
        <v>3274</v>
      </c>
      <c r="O1049" s="47" t="s">
        <v>1699</v>
      </c>
      <c r="P1049" s="50"/>
      <c r="Q1049" s="45"/>
      <c r="R1049" s="25"/>
      <c r="S1049" s="52"/>
    </row>
    <row r="1050" spans="1:19" ht="16.5" customHeight="1" x14ac:dyDescent="0.3">
      <c r="A1050" s="27" t="s">
        <v>487</v>
      </c>
      <c r="B1050" s="28" t="s">
        <v>488</v>
      </c>
      <c r="C1050" s="26" t="s">
        <v>1808</v>
      </c>
      <c r="D1050" s="31" t="s">
        <v>152</v>
      </c>
      <c r="E1050" s="33" t="s">
        <v>3143</v>
      </c>
      <c r="F1050" s="34" t="s">
        <v>561</v>
      </c>
      <c r="G1050" s="32" t="s">
        <v>3250</v>
      </c>
      <c r="H1050" s="37" t="s">
        <v>1602</v>
      </c>
      <c r="I1050" s="39" t="s">
        <v>3270</v>
      </c>
      <c r="J1050" s="24" t="s">
        <v>470</v>
      </c>
      <c r="K1050" s="40"/>
      <c r="L1050" s="38" t="s">
        <v>3273</v>
      </c>
      <c r="M1050" s="44" t="s">
        <v>1698</v>
      </c>
      <c r="N1050" s="46" t="s">
        <v>3275</v>
      </c>
      <c r="O1050" s="47" t="s">
        <v>1700</v>
      </c>
      <c r="P1050" s="50"/>
      <c r="Q1050" s="45"/>
      <c r="R1050" s="25"/>
      <c r="S1050" s="52"/>
    </row>
    <row r="1051" spans="1:19" ht="16.5" customHeight="1" x14ac:dyDescent="0.3">
      <c r="A1051" s="27" t="s">
        <v>487</v>
      </c>
      <c r="B1051" s="28" t="s">
        <v>488</v>
      </c>
      <c r="C1051" s="26" t="s">
        <v>1808</v>
      </c>
      <c r="D1051" s="31" t="s">
        <v>152</v>
      </c>
      <c r="E1051" s="33" t="s">
        <v>3143</v>
      </c>
      <c r="F1051" s="34" t="s">
        <v>561</v>
      </c>
      <c r="G1051" s="32" t="s">
        <v>3250</v>
      </c>
      <c r="H1051" s="37" t="s">
        <v>1602</v>
      </c>
      <c r="I1051" s="39" t="s">
        <v>3270</v>
      </c>
      <c r="J1051" s="24" t="s">
        <v>470</v>
      </c>
      <c r="K1051" s="40"/>
      <c r="L1051" s="38" t="s">
        <v>3276</v>
      </c>
      <c r="M1051" s="44" t="s">
        <v>1701</v>
      </c>
      <c r="N1051" s="46" t="s">
        <v>3277</v>
      </c>
      <c r="O1051" s="47" t="s">
        <v>1713</v>
      </c>
      <c r="P1051" s="50"/>
      <c r="Q1051" s="45"/>
      <c r="R1051" s="25"/>
      <c r="S1051" s="52"/>
    </row>
    <row r="1052" spans="1:19" ht="16.5" customHeight="1" x14ac:dyDescent="0.3">
      <c r="A1052" s="27" t="s">
        <v>487</v>
      </c>
      <c r="B1052" s="28" t="s">
        <v>488</v>
      </c>
      <c r="C1052" s="26" t="s">
        <v>1808</v>
      </c>
      <c r="D1052" s="31" t="s">
        <v>152</v>
      </c>
      <c r="E1052" s="33" t="s">
        <v>3143</v>
      </c>
      <c r="F1052" s="34" t="s">
        <v>561</v>
      </c>
      <c r="G1052" s="32" t="s">
        <v>3250</v>
      </c>
      <c r="H1052" s="37" t="s">
        <v>1602</v>
      </c>
      <c r="I1052" s="39" t="s">
        <v>3270</v>
      </c>
      <c r="J1052" s="24" t="s">
        <v>470</v>
      </c>
      <c r="K1052" s="40"/>
      <c r="L1052" s="38" t="s">
        <v>3276</v>
      </c>
      <c r="M1052" s="44" t="s">
        <v>1701</v>
      </c>
      <c r="N1052" s="46" t="s">
        <v>3278</v>
      </c>
      <c r="O1052" s="47" t="s">
        <v>1714</v>
      </c>
      <c r="P1052" s="50"/>
      <c r="Q1052" s="45"/>
      <c r="R1052" s="25"/>
      <c r="S1052" s="52"/>
    </row>
    <row r="1053" spans="1:19" ht="16.5" customHeight="1" x14ac:dyDescent="0.3">
      <c r="A1053" s="27" t="s">
        <v>487</v>
      </c>
      <c r="B1053" s="28" t="s">
        <v>488</v>
      </c>
      <c r="C1053" s="26" t="s">
        <v>1808</v>
      </c>
      <c r="D1053" s="31" t="s">
        <v>152</v>
      </c>
      <c r="E1053" s="33" t="s">
        <v>3143</v>
      </c>
      <c r="F1053" s="34" t="s">
        <v>561</v>
      </c>
      <c r="G1053" s="32" t="s">
        <v>3250</v>
      </c>
      <c r="H1053" s="37" t="s">
        <v>1602</v>
      </c>
      <c r="I1053" s="39" t="s">
        <v>3270</v>
      </c>
      <c r="J1053" s="24" t="s">
        <v>470</v>
      </c>
      <c r="K1053" s="40"/>
      <c r="L1053" s="38" t="s">
        <v>3276</v>
      </c>
      <c r="M1053" s="44" t="s">
        <v>1701</v>
      </c>
      <c r="N1053" s="46" t="s">
        <v>3279</v>
      </c>
      <c r="O1053" s="47" t="s">
        <v>1715</v>
      </c>
      <c r="P1053" s="50"/>
      <c r="Q1053" s="45"/>
      <c r="R1053" s="25"/>
      <c r="S1053" s="52"/>
    </row>
    <row r="1054" spans="1:19" ht="16.5" customHeight="1" x14ac:dyDescent="0.3">
      <c r="A1054" s="27" t="s">
        <v>487</v>
      </c>
      <c r="B1054" s="28" t="s">
        <v>488</v>
      </c>
      <c r="C1054" s="26" t="s">
        <v>1808</v>
      </c>
      <c r="D1054" s="31" t="s">
        <v>152</v>
      </c>
      <c r="E1054" s="33" t="s">
        <v>3143</v>
      </c>
      <c r="F1054" s="34" t="s">
        <v>561</v>
      </c>
      <c r="G1054" s="32" t="s">
        <v>3250</v>
      </c>
      <c r="H1054" s="37" t="s">
        <v>1602</v>
      </c>
      <c r="I1054" s="39" t="s">
        <v>3270</v>
      </c>
      <c r="J1054" s="24" t="s">
        <v>470</v>
      </c>
      <c r="K1054" s="40"/>
      <c r="L1054" s="38" t="s">
        <v>3280</v>
      </c>
      <c r="M1054" s="44" t="s">
        <v>1716</v>
      </c>
      <c r="N1054" s="46" t="s">
        <v>3281</v>
      </c>
      <c r="O1054" s="47" t="s">
        <v>1707</v>
      </c>
      <c r="P1054" s="50"/>
      <c r="Q1054" s="45"/>
      <c r="R1054" s="25"/>
      <c r="S1054" s="52"/>
    </row>
    <row r="1055" spans="1:19" ht="16.5" customHeight="1" x14ac:dyDescent="0.3">
      <c r="A1055" s="27" t="s">
        <v>487</v>
      </c>
      <c r="B1055" s="28" t="s">
        <v>488</v>
      </c>
      <c r="C1055" s="26" t="s">
        <v>1808</v>
      </c>
      <c r="D1055" s="31" t="s">
        <v>152</v>
      </c>
      <c r="E1055" s="33" t="s">
        <v>3143</v>
      </c>
      <c r="F1055" s="34" t="s">
        <v>561</v>
      </c>
      <c r="G1055" s="32" t="s">
        <v>3250</v>
      </c>
      <c r="H1055" s="37" t="s">
        <v>1602</v>
      </c>
      <c r="I1055" s="39" t="s">
        <v>3270</v>
      </c>
      <c r="J1055" s="24" t="s">
        <v>470</v>
      </c>
      <c r="K1055" s="40"/>
      <c r="L1055" s="38" t="s">
        <v>3280</v>
      </c>
      <c r="M1055" s="44" t="s">
        <v>1716</v>
      </c>
      <c r="N1055" s="46" t="s">
        <v>3282</v>
      </c>
      <c r="O1055" s="47" t="s">
        <v>1708</v>
      </c>
      <c r="P1055" s="50"/>
      <c r="Q1055" s="45"/>
      <c r="R1055" s="25"/>
      <c r="S1055" s="52"/>
    </row>
    <row r="1056" spans="1:19" ht="16.5" customHeight="1" x14ac:dyDescent="0.3">
      <c r="A1056" s="27" t="s">
        <v>487</v>
      </c>
      <c r="B1056" s="28" t="s">
        <v>488</v>
      </c>
      <c r="C1056" s="26" t="s">
        <v>1808</v>
      </c>
      <c r="D1056" s="31" t="s">
        <v>152</v>
      </c>
      <c r="E1056" s="33" t="s">
        <v>3143</v>
      </c>
      <c r="F1056" s="34" t="s">
        <v>561</v>
      </c>
      <c r="G1056" s="32" t="s">
        <v>3250</v>
      </c>
      <c r="H1056" s="37" t="s">
        <v>1602</v>
      </c>
      <c r="I1056" s="39" t="s">
        <v>3270</v>
      </c>
      <c r="J1056" s="24" t="s">
        <v>470</v>
      </c>
      <c r="K1056" s="40"/>
      <c r="L1056" s="38" t="s">
        <v>3280</v>
      </c>
      <c r="M1056" s="44" t="s">
        <v>1716</v>
      </c>
      <c r="N1056" s="46" t="s">
        <v>3283</v>
      </c>
      <c r="O1056" s="47" t="s">
        <v>1709</v>
      </c>
      <c r="P1056" s="50"/>
      <c r="Q1056" s="45"/>
      <c r="R1056" s="25"/>
      <c r="S1056" s="52"/>
    </row>
    <row r="1057" spans="1:19" ht="16.5" customHeight="1" x14ac:dyDescent="0.3">
      <c r="A1057" s="27" t="s">
        <v>487</v>
      </c>
      <c r="B1057" s="28" t="s">
        <v>488</v>
      </c>
      <c r="C1057" s="26" t="s">
        <v>1808</v>
      </c>
      <c r="D1057" s="31" t="s">
        <v>152</v>
      </c>
      <c r="E1057" s="33" t="s">
        <v>3143</v>
      </c>
      <c r="F1057" s="34" t="s">
        <v>561</v>
      </c>
      <c r="G1057" s="32" t="s">
        <v>3250</v>
      </c>
      <c r="H1057" s="37" t="s">
        <v>1602</v>
      </c>
      <c r="I1057" s="39" t="s">
        <v>3270</v>
      </c>
      <c r="J1057" s="24" t="s">
        <v>470</v>
      </c>
      <c r="K1057" s="40"/>
      <c r="L1057" s="38" t="s">
        <v>3280</v>
      </c>
      <c r="M1057" s="44" t="s">
        <v>1716</v>
      </c>
      <c r="N1057" s="46" t="s">
        <v>3284</v>
      </c>
      <c r="O1057" s="47" t="s">
        <v>1710</v>
      </c>
      <c r="P1057" s="50"/>
      <c r="Q1057" s="45"/>
      <c r="R1057" s="25"/>
      <c r="S1057" s="52"/>
    </row>
    <row r="1058" spans="1:19" ht="16.5" customHeight="1" x14ac:dyDescent="0.3">
      <c r="A1058" s="27" t="s">
        <v>487</v>
      </c>
      <c r="B1058" s="28" t="s">
        <v>488</v>
      </c>
      <c r="C1058" s="26" t="s">
        <v>1808</v>
      </c>
      <c r="D1058" s="31" t="s">
        <v>152</v>
      </c>
      <c r="E1058" s="33" t="s">
        <v>3143</v>
      </c>
      <c r="F1058" s="34" t="s">
        <v>561</v>
      </c>
      <c r="G1058" s="32" t="s">
        <v>3250</v>
      </c>
      <c r="H1058" s="37" t="s">
        <v>1602</v>
      </c>
      <c r="I1058" s="39" t="s">
        <v>3270</v>
      </c>
      <c r="J1058" s="24" t="s">
        <v>470</v>
      </c>
      <c r="K1058" s="40"/>
      <c r="L1058" s="38" t="s">
        <v>3280</v>
      </c>
      <c r="M1058" s="44" t="s">
        <v>1716</v>
      </c>
      <c r="N1058" s="46" t="s">
        <v>3285</v>
      </c>
      <c r="O1058" s="47" t="s">
        <v>1711</v>
      </c>
      <c r="P1058" s="50"/>
      <c r="Q1058" s="45"/>
      <c r="R1058" s="25"/>
      <c r="S1058" s="52"/>
    </row>
    <row r="1059" spans="1:19" ht="16.5" customHeight="1" x14ac:dyDescent="0.3">
      <c r="A1059" s="27" t="s">
        <v>487</v>
      </c>
      <c r="B1059" s="28" t="s">
        <v>488</v>
      </c>
      <c r="C1059" s="26" t="s">
        <v>1808</v>
      </c>
      <c r="D1059" s="31" t="s">
        <v>152</v>
      </c>
      <c r="E1059" s="33" t="s">
        <v>3143</v>
      </c>
      <c r="F1059" s="34" t="s">
        <v>561</v>
      </c>
      <c r="G1059" s="32" t="s">
        <v>3250</v>
      </c>
      <c r="H1059" s="37" t="s">
        <v>1602</v>
      </c>
      <c r="I1059" s="39" t="s">
        <v>3270</v>
      </c>
      <c r="J1059" s="24" t="s">
        <v>470</v>
      </c>
      <c r="K1059" s="40"/>
      <c r="L1059" s="38" t="s">
        <v>3280</v>
      </c>
      <c r="M1059" s="44" t="s">
        <v>1716</v>
      </c>
      <c r="N1059" s="46" t="s">
        <v>3286</v>
      </c>
      <c r="O1059" s="47" t="s">
        <v>1712</v>
      </c>
      <c r="P1059" s="50"/>
      <c r="Q1059" s="45"/>
      <c r="R1059" s="25"/>
      <c r="S1059" s="52"/>
    </row>
    <row r="1060" spans="1:19" ht="16.5" customHeight="1" x14ac:dyDescent="0.3">
      <c r="A1060" s="27" t="s">
        <v>487</v>
      </c>
      <c r="B1060" s="28" t="s">
        <v>488</v>
      </c>
      <c r="C1060" s="26" t="s">
        <v>1808</v>
      </c>
      <c r="D1060" s="31" t="s">
        <v>152</v>
      </c>
      <c r="E1060" s="33" t="s">
        <v>3143</v>
      </c>
      <c r="F1060" s="34" t="s">
        <v>561</v>
      </c>
      <c r="G1060" s="32" t="s">
        <v>3250</v>
      </c>
      <c r="H1060" s="37" t="s">
        <v>1602</v>
      </c>
      <c r="I1060" s="39" t="s">
        <v>3270</v>
      </c>
      <c r="J1060" s="24" t="s">
        <v>470</v>
      </c>
      <c r="K1060" s="40"/>
      <c r="L1060" s="38" t="s">
        <v>3287</v>
      </c>
      <c r="M1060" s="44" t="s">
        <v>26</v>
      </c>
      <c r="N1060" s="46" t="s">
        <v>3288</v>
      </c>
      <c r="O1060" s="47" t="s">
        <v>1702</v>
      </c>
      <c r="P1060" s="50"/>
      <c r="Q1060" s="45"/>
      <c r="R1060" s="25"/>
      <c r="S1060" s="52"/>
    </row>
    <row r="1061" spans="1:19" ht="16.5" customHeight="1" x14ac:dyDescent="0.3">
      <c r="A1061" s="27" t="s">
        <v>487</v>
      </c>
      <c r="B1061" s="28" t="s">
        <v>488</v>
      </c>
      <c r="C1061" s="26" t="s">
        <v>1808</v>
      </c>
      <c r="D1061" s="31" t="s">
        <v>152</v>
      </c>
      <c r="E1061" s="33" t="s">
        <v>3143</v>
      </c>
      <c r="F1061" s="34" t="s">
        <v>561</v>
      </c>
      <c r="G1061" s="32" t="s">
        <v>3250</v>
      </c>
      <c r="H1061" s="37" t="s">
        <v>1602</v>
      </c>
      <c r="I1061" s="39" t="s">
        <v>3270</v>
      </c>
      <c r="J1061" s="24" t="s">
        <v>470</v>
      </c>
      <c r="K1061" s="40"/>
      <c r="L1061" s="38" t="s">
        <v>3287</v>
      </c>
      <c r="M1061" s="44" t="s">
        <v>26</v>
      </c>
      <c r="N1061" s="46" t="s">
        <v>3289</v>
      </c>
      <c r="O1061" s="47" t="s">
        <v>1703</v>
      </c>
      <c r="P1061" s="50"/>
      <c r="Q1061" s="45"/>
      <c r="R1061" s="25"/>
      <c r="S1061" s="52"/>
    </row>
    <row r="1062" spans="1:19" ht="16.5" customHeight="1" x14ac:dyDescent="0.3">
      <c r="A1062" s="27" t="s">
        <v>487</v>
      </c>
      <c r="B1062" s="28" t="s">
        <v>488</v>
      </c>
      <c r="C1062" s="26" t="s">
        <v>1808</v>
      </c>
      <c r="D1062" s="31" t="s">
        <v>152</v>
      </c>
      <c r="E1062" s="33" t="s">
        <v>3143</v>
      </c>
      <c r="F1062" s="34" t="s">
        <v>561</v>
      </c>
      <c r="G1062" s="32" t="s">
        <v>3250</v>
      </c>
      <c r="H1062" s="37" t="s">
        <v>1602</v>
      </c>
      <c r="I1062" s="39" t="s">
        <v>3270</v>
      </c>
      <c r="J1062" s="24" t="s">
        <v>470</v>
      </c>
      <c r="K1062" s="40"/>
      <c r="L1062" s="38" t="s">
        <v>3770</v>
      </c>
      <c r="M1062" s="44" t="s">
        <v>1704</v>
      </c>
      <c r="N1062" s="46" t="s">
        <v>3290</v>
      </c>
      <c r="O1062" s="47" t="s">
        <v>1705</v>
      </c>
      <c r="P1062" s="50"/>
      <c r="Q1062" s="45"/>
      <c r="R1062" s="25"/>
      <c r="S1062" s="52"/>
    </row>
    <row r="1063" spans="1:19" ht="16.5" customHeight="1" x14ac:dyDescent="0.3">
      <c r="A1063" s="27" t="s">
        <v>487</v>
      </c>
      <c r="B1063" s="28" t="s">
        <v>488</v>
      </c>
      <c r="C1063" s="26" t="s">
        <v>1808</v>
      </c>
      <c r="D1063" s="31" t="s">
        <v>152</v>
      </c>
      <c r="E1063" s="33" t="s">
        <v>3143</v>
      </c>
      <c r="F1063" s="34" t="s">
        <v>561</v>
      </c>
      <c r="G1063" s="32" t="s">
        <v>3250</v>
      </c>
      <c r="H1063" s="37" t="s">
        <v>1602</v>
      </c>
      <c r="I1063" s="39" t="s">
        <v>3270</v>
      </c>
      <c r="J1063" s="24" t="s">
        <v>470</v>
      </c>
      <c r="K1063" s="40"/>
      <c r="L1063" s="38" t="s">
        <v>3770</v>
      </c>
      <c r="M1063" s="44" t="s">
        <v>1704</v>
      </c>
      <c r="N1063" s="46" t="s">
        <v>3291</v>
      </c>
      <c r="O1063" s="47" t="s">
        <v>1706</v>
      </c>
      <c r="P1063" s="50"/>
      <c r="Q1063" s="45"/>
      <c r="R1063" s="25"/>
      <c r="S1063" s="52"/>
    </row>
    <row r="1064" spans="1:19" ht="16.5" customHeight="1" x14ac:dyDescent="0.3">
      <c r="A1064" s="27" t="s">
        <v>487</v>
      </c>
      <c r="B1064" s="28" t="s">
        <v>488</v>
      </c>
      <c r="C1064" s="26" t="s">
        <v>1808</v>
      </c>
      <c r="D1064" s="31" t="s">
        <v>152</v>
      </c>
      <c r="E1064" s="33" t="s">
        <v>3143</v>
      </c>
      <c r="F1064" s="34" t="s">
        <v>561</v>
      </c>
      <c r="G1064" s="32" t="s">
        <v>3250</v>
      </c>
      <c r="H1064" s="37" t="s">
        <v>1602</v>
      </c>
      <c r="I1064" s="39" t="s">
        <v>3270</v>
      </c>
      <c r="J1064" s="24" t="s">
        <v>470</v>
      </c>
      <c r="K1064" s="40"/>
      <c r="L1064" s="38" t="s">
        <v>3292</v>
      </c>
      <c r="M1064" s="44" t="s">
        <v>30</v>
      </c>
      <c r="N1064" s="46" t="s">
        <v>3293</v>
      </c>
      <c r="O1064" s="47" t="s">
        <v>1683</v>
      </c>
      <c r="P1064" s="50"/>
      <c r="Q1064" s="45"/>
      <c r="R1064" s="25"/>
      <c r="S1064" s="52"/>
    </row>
    <row r="1065" spans="1:19" ht="16.5" customHeight="1" x14ac:dyDescent="0.3">
      <c r="A1065" s="27" t="s">
        <v>487</v>
      </c>
      <c r="B1065" s="28" t="s">
        <v>488</v>
      </c>
      <c r="C1065" s="26" t="s">
        <v>1808</v>
      </c>
      <c r="D1065" s="31" t="s">
        <v>152</v>
      </c>
      <c r="E1065" s="33" t="s">
        <v>3143</v>
      </c>
      <c r="F1065" s="34" t="s">
        <v>561</v>
      </c>
      <c r="G1065" s="32" t="s">
        <v>3250</v>
      </c>
      <c r="H1065" s="37" t="s">
        <v>1602</v>
      </c>
      <c r="I1065" s="39" t="s">
        <v>3270</v>
      </c>
      <c r="J1065" s="24" t="s">
        <v>470</v>
      </c>
      <c r="K1065" s="40"/>
      <c r="L1065" s="38" t="s">
        <v>3292</v>
      </c>
      <c r="M1065" s="44" t="s">
        <v>30</v>
      </c>
      <c r="N1065" s="46" t="s">
        <v>3294</v>
      </c>
      <c r="O1065" s="47" t="s">
        <v>1684</v>
      </c>
      <c r="P1065" s="50"/>
      <c r="Q1065" s="45"/>
      <c r="R1065" s="25"/>
      <c r="S1065" s="52"/>
    </row>
    <row r="1066" spans="1:19" ht="16.5" customHeight="1" x14ac:dyDescent="0.3">
      <c r="A1066" s="27" t="s">
        <v>487</v>
      </c>
      <c r="B1066" s="28" t="s">
        <v>488</v>
      </c>
      <c r="C1066" s="26" t="s">
        <v>1808</v>
      </c>
      <c r="D1066" s="31" t="s">
        <v>152</v>
      </c>
      <c r="E1066" s="33" t="s">
        <v>3143</v>
      </c>
      <c r="F1066" s="34" t="s">
        <v>561</v>
      </c>
      <c r="G1066" s="32" t="s">
        <v>3250</v>
      </c>
      <c r="H1066" s="37" t="s">
        <v>1602</v>
      </c>
      <c r="I1066" s="39" t="s">
        <v>3270</v>
      </c>
      <c r="J1066" s="24" t="s">
        <v>470</v>
      </c>
      <c r="K1066" s="40"/>
      <c r="L1066" s="38" t="s">
        <v>3292</v>
      </c>
      <c r="M1066" s="44" t="s">
        <v>30</v>
      </c>
      <c r="N1066" s="46" t="s">
        <v>3295</v>
      </c>
      <c r="O1066" s="47" t="s">
        <v>1685</v>
      </c>
      <c r="P1066" s="50"/>
      <c r="Q1066" s="45"/>
      <c r="R1066" s="25"/>
      <c r="S1066" s="52"/>
    </row>
    <row r="1067" spans="1:19" ht="16.5" customHeight="1" x14ac:dyDescent="0.3">
      <c r="A1067" s="27" t="s">
        <v>487</v>
      </c>
      <c r="B1067" s="28" t="s">
        <v>488</v>
      </c>
      <c r="C1067" s="26" t="s">
        <v>1808</v>
      </c>
      <c r="D1067" s="31" t="s">
        <v>152</v>
      </c>
      <c r="E1067" s="33" t="s">
        <v>3143</v>
      </c>
      <c r="F1067" s="34" t="s">
        <v>561</v>
      </c>
      <c r="G1067" s="32" t="s">
        <v>3250</v>
      </c>
      <c r="H1067" s="37" t="s">
        <v>1602</v>
      </c>
      <c r="I1067" s="39" t="s">
        <v>3270</v>
      </c>
      <c r="J1067" s="24" t="s">
        <v>470</v>
      </c>
      <c r="K1067" s="40"/>
      <c r="L1067" s="38" t="s">
        <v>3292</v>
      </c>
      <c r="M1067" s="44" t="s">
        <v>30</v>
      </c>
      <c r="N1067" s="46" t="s">
        <v>3296</v>
      </c>
      <c r="O1067" s="47" t="s">
        <v>1686</v>
      </c>
      <c r="P1067" s="50"/>
      <c r="Q1067" s="45"/>
      <c r="R1067" s="25"/>
      <c r="S1067" s="52"/>
    </row>
    <row r="1068" spans="1:19" ht="16.5" customHeight="1" x14ac:dyDescent="0.3">
      <c r="A1068" s="27" t="s">
        <v>487</v>
      </c>
      <c r="B1068" s="28" t="s">
        <v>488</v>
      </c>
      <c r="C1068" s="26" t="s">
        <v>1808</v>
      </c>
      <c r="D1068" s="31" t="s">
        <v>152</v>
      </c>
      <c r="E1068" s="33" t="s">
        <v>3143</v>
      </c>
      <c r="F1068" s="34" t="s">
        <v>561</v>
      </c>
      <c r="G1068" s="32" t="s">
        <v>3250</v>
      </c>
      <c r="H1068" s="37" t="s">
        <v>1602</v>
      </c>
      <c r="I1068" s="39" t="s">
        <v>3270</v>
      </c>
      <c r="J1068" s="24" t="s">
        <v>470</v>
      </c>
      <c r="K1068" s="40"/>
      <c r="L1068" s="38" t="s">
        <v>3292</v>
      </c>
      <c r="M1068" s="44" t="s">
        <v>30</v>
      </c>
      <c r="N1068" s="46" t="s">
        <v>3297</v>
      </c>
      <c r="O1068" s="47" t="s">
        <v>1687</v>
      </c>
      <c r="P1068" s="50"/>
      <c r="Q1068" s="45"/>
      <c r="R1068" s="25"/>
      <c r="S1068" s="52"/>
    </row>
    <row r="1069" spans="1:19" ht="16.5" customHeight="1" x14ac:dyDescent="0.3">
      <c r="A1069" s="27" t="s">
        <v>487</v>
      </c>
      <c r="B1069" s="28" t="s">
        <v>488</v>
      </c>
      <c r="C1069" s="26" t="s">
        <v>1808</v>
      </c>
      <c r="D1069" s="31" t="s">
        <v>152</v>
      </c>
      <c r="E1069" s="33" t="s">
        <v>3143</v>
      </c>
      <c r="F1069" s="34" t="s">
        <v>561</v>
      </c>
      <c r="G1069" s="32" t="s">
        <v>3250</v>
      </c>
      <c r="H1069" s="37" t="s">
        <v>1602</v>
      </c>
      <c r="I1069" s="39" t="s">
        <v>3270</v>
      </c>
      <c r="J1069" s="24" t="s">
        <v>470</v>
      </c>
      <c r="K1069" s="40"/>
      <c r="L1069" s="38" t="s">
        <v>3292</v>
      </c>
      <c r="M1069" s="44" t="s">
        <v>30</v>
      </c>
      <c r="N1069" s="46" t="s">
        <v>3298</v>
      </c>
      <c r="O1069" s="47" t="s">
        <v>1806</v>
      </c>
      <c r="P1069" s="50"/>
      <c r="Q1069" s="45"/>
      <c r="R1069" s="25"/>
      <c r="S1069" s="52"/>
    </row>
    <row r="1070" spans="1:19" ht="16.5" customHeight="1" x14ac:dyDescent="0.3">
      <c r="A1070" s="27" t="s">
        <v>487</v>
      </c>
      <c r="B1070" s="28" t="s">
        <v>488</v>
      </c>
      <c r="C1070" s="26" t="s">
        <v>1808</v>
      </c>
      <c r="D1070" s="31" t="s">
        <v>152</v>
      </c>
      <c r="E1070" s="33" t="s">
        <v>3143</v>
      </c>
      <c r="F1070" s="34" t="s">
        <v>561</v>
      </c>
      <c r="G1070" s="32" t="s">
        <v>3250</v>
      </c>
      <c r="H1070" s="37" t="s">
        <v>1602</v>
      </c>
      <c r="I1070" s="39" t="s">
        <v>3270</v>
      </c>
      <c r="J1070" s="24" t="s">
        <v>470</v>
      </c>
      <c r="K1070" s="40"/>
      <c r="L1070" s="38" t="s">
        <v>3292</v>
      </c>
      <c r="M1070" s="44" t="s">
        <v>30</v>
      </c>
      <c r="N1070" s="46" t="s">
        <v>3299</v>
      </c>
      <c r="O1070" s="47" t="s">
        <v>1689</v>
      </c>
      <c r="P1070" s="50"/>
      <c r="Q1070" s="45"/>
      <c r="R1070" s="25"/>
      <c r="S1070" s="52"/>
    </row>
    <row r="1071" spans="1:19" ht="16.5" customHeight="1" x14ac:dyDescent="0.3">
      <c r="A1071" s="27" t="s">
        <v>487</v>
      </c>
      <c r="B1071" s="28" t="s">
        <v>488</v>
      </c>
      <c r="C1071" s="26" t="s">
        <v>1808</v>
      </c>
      <c r="D1071" s="31" t="s">
        <v>152</v>
      </c>
      <c r="E1071" s="33" t="s">
        <v>3143</v>
      </c>
      <c r="F1071" s="34" t="s">
        <v>561</v>
      </c>
      <c r="G1071" s="32" t="s">
        <v>3250</v>
      </c>
      <c r="H1071" s="37" t="s">
        <v>1602</v>
      </c>
      <c r="I1071" s="39" t="s">
        <v>3270</v>
      </c>
      <c r="J1071" s="24" t="s">
        <v>470</v>
      </c>
      <c r="K1071" s="40"/>
      <c r="L1071" s="38" t="s">
        <v>3292</v>
      </c>
      <c r="M1071" s="44" t="s">
        <v>30</v>
      </c>
      <c r="N1071" s="46" t="s">
        <v>3300</v>
      </c>
      <c r="O1071" s="47" t="s">
        <v>1690</v>
      </c>
      <c r="P1071" s="50"/>
      <c r="Q1071" s="45"/>
      <c r="R1071" s="25"/>
      <c r="S1071" s="52"/>
    </row>
    <row r="1072" spans="1:19" ht="16.5" customHeight="1" x14ac:dyDescent="0.3">
      <c r="A1072" s="27" t="s">
        <v>487</v>
      </c>
      <c r="B1072" s="28" t="s">
        <v>488</v>
      </c>
      <c r="C1072" s="26" t="s">
        <v>1808</v>
      </c>
      <c r="D1072" s="31" t="s">
        <v>152</v>
      </c>
      <c r="E1072" s="33" t="s">
        <v>3143</v>
      </c>
      <c r="F1072" s="34" t="s">
        <v>561</v>
      </c>
      <c r="G1072" s="32" t="s">
        <v>3250</v>
      </c>
      <c r="H1072" s="37" t="s">
        <v>1602</v>
      </c>
      <c r="I1072" s="39" t="s">
        <v>3270</v>
      </c>
      <c r="J1072" s="24" t="s">
        <v>470</v>
      </c>
      <c r="K1072" s="40"/>
      <c r="L1072" s="38" t="s">
        <v>3292</v>
      </c>
      <c r="M1072" s="44" t="s">
        <v>30</v>
      </c>
      <c r="N1072" s="46" t="s">
        <v>3301</v>
      </c>
      <c r="O1072" s="47" t="s">
        <v>1776</v>
      </c>
      <c r="P1072" s="50"/>
      <c r="Q1072" s="45"/>
      <c r="R1072" s="25"/>
      <c r="S1072" s="52"/>
    </row>
    <row r="1073" spans="1:19" ht="16.5" customHeight="1" x14ac:dyDescent="0.3">
      <c r="A1073" s="27" t="s">
        <v>487</v>
      </c>
      <c r="B1073" s="28" t="s">
        <v>488</v>
      </c>
      <c r="C1073" s="26" t="s">
        <v>1808</v>
      </c>
      <c r="D1073" s="31" t="s">
        <v>152</v>
      </c>
      <c r="E1073" s="33" t="s">
        <v>3143</v>
      </c>
      <c r="F1073" s="34" t="s">
        <v>561</v>
      </c>
      <c r="G1073" s="32" t="s">
        <v>3250</v>
      </c>
      <c r="H1073" s="37" t="s">
        <v>1602</v>
      </c>
      <c r="I1073" s="39" t="s">
        <v>3270</v>
      </c>
      <c r="J1073" s="24" t="s">
        <v>470</v>
      </c>
      <c r="K1073" s="40"/>
      <c r="L1073" s="38" t="s">
        <v>3292</v>
      </c>
      <c r="M1073" s="44" t="s">
        <v>30</v>
      </c>
      <c r="N1073" s="46" t="s">
        <v>3302</v>
      </c>
      <c r="O1073" s="47" t="s">
        <v>1777</v>
      </c>
      <c r="P1073" s="50"/>
      <c r="Q1073" s="45"/>
      <c r="R1073" s="25"/>
      <c r="S1073" s="52"/>
    </row>
    <row r="1074" spans="1:19" ht="16.5" customHeight="1" x14ac:dyDescent="0.3">
      <c r="A1074" s="27" t="s">
        <v>487</v>
      </c>
      <c r="B1074" s="28" t="s">
        <v>488</v>
      </c>
      <c r="C1074" s="26" t="s">
        <v>1808</v>
      </c>
      <c r="D1074" s="31" t="s">
        <v>152</v>
      </c>
      <c r="E1074" s="33" t="s">
        <v>3143</v>
      </c>
      <c r="F1074" s="34" t="s">
        <v>561</v>
      </c>
      <c r="G1074" s="32" t="s">
        <v>3250</v>
      </c>
      <c r="H1074" s="37" t="s">
        <v>1602</v>
      </c>
      <c r="I1074" s="39" t="s">
        <v>3270</v>
      </c>
      <c r="J1074" s="24" t="s">
        <v>470</v>
      </c>
      <c r="K1074" s="40"/>
      <c r="L1074" s="38" t="s">
        <v>3292</v>
      </c>
      <c r="M1074" s="44" t="s">
        <v>30</v>
      </c>
      <c r="N1074" s="46" t="s">
        <v>3303</v>
      </c>
      <c r="O1074" s="47" t="s">
        <v>1780</v>
      </c>
      <c r="P1074" s="50"/>
      <c r="Q1074" s="45"/>
      <c r="R1074" s="25"/>
      <c r="S1074" s="52"/>
    </row>
    <row r="1075" spans="1:19" ht="16.5" customHeight="1" x14ac:dyDescent="0.3">
      <c r="A1075" s="27" t="s">
        <v>487</v>
      </c>
      <c r="B1075" s="28" t="s">
        <v>488</v>
      </c>
      <c r="C1075" s="26" t="s">
        <v>1808</v>
      </c>
      <c r="D1075" s="31" t="s">
        <v>152</v>
      </c>
      <c r="E1075" s="33" t="s">
        <v>3143</v>
      </c>
      <c r="F1075" s="34" t="s">
        <v>561</v>
      </c>
      <c r="G1075" s="32" t="s">
        <v>3250</v>
      </c>
      <c r="H1075" s="37" t="s">
        <v>1602</v>
      </c>
      <c r="I1075" s="39" t="s">
        <v>3270</v>
      </c>
      <c r="J1075" s="24" t="s">
        <v>470</v>
      </c>
      <c r="K1075" s="40"/>
      <c r="L1075" s="38" t="s">
        <v>3292</v>
      </c>
      <c r="M1075" s="44" t="s">
        <v>30</v>
      </c>
      <c r="N1075" s="46" t="s">
        <v>3304</v>
      </c>
      <c r="O1075" s="47" t="s">
        <v>1778</v>
      </c>
      <c r="P1075" s="50"/>
      <c r="Q1075" s="45"/>
      <c r="R1075" s="25"/>
      <c r="S1075" s="52"/>
    </row>
    <row r="1076" spans="1:19" ht="16.5" customHeight="1" x14ac:dyDescent="0.3">
      <c r="A1076" s="27" t="s">
        <v>487</v>
      </c>
      <c r="B1076" s="28" t="s">
        <v>488</v>
      </c>
      <c r="C1076" s="26" t="s">
        <v>1808</v>
      </c>
      <c r="D1076" s="31" t="s">
        <v>152</v>
      </c>
      <c r="E1076" s="33" t="s">
        <v>3143</v>
      </c>
      <c r="F1076" s="34" t="s">
        <v>561</v>
      </c>
      <c r="G1076" s="32" t="s">
        <v>3250</v>
      </c>
      <c r="H1076" s="37" t="s">
        <v>1602</v>
      </c>
      <c r="I1076" s="39" t="s">
        <v>3270</v>
      </c>
      <c r="J1076" s="24" t="s">
        <v>470</v>
      </c>
      <c r="K1076" s="40"/>
      <c r="L1076" s="38" t="s">
        <v>3292</v>
      </c>
      <c r="M1076" s="44" t="s">
        <v>30</v>
      </c>
      <c r="N1076" s="46" t="s">
        <v>3305</v>
      </c>
      <c r="O1076" s="47" t="s">
        <v>1779</v>
      </c>
      <c r="P1076" s="50"/>
      <c r="Q1076" s="45"/>
      <c r="R1076" s="25"/>
      <c r="S1076" s="52"/>
    </row>
    <row r="1077" spans="1:19" ht="16.5" customHeight="1" x14ac:dyDescent="0.3">
      <c r="A1077" s="27" t="s">
        <v>487</v>
      </c>
      <c r="B1077" s="28" t="s">
        <v>488</v>
      </c>
      <c r="C1077" s="26" t="s">
        <v>1808</v>
      </c>
      <c r="D1077" s="31" t="s">
        <v>152</v>
      </c>
      <c r="E1077" s="33" t="s">
        <v>3143</v>
      </c>
      <c r="F1077" s="34" t="s">
        <v>561</v>
      </c>
      <c r="G1077" s="32" t="s">
        <v>3250</v>
      </c>
      <c r="H1077" s="37" t="s">
        <v>1602</v>
      </c>
      <c r="I1077" s="39" t="s">
        <v>3270</v>
      </c>
      <c r="J1077" s="24" t="s">
        <v>470</v>
      </c>
      <c r="K1077" s="40"/>
      <c r="L1077" s="38" t="s">
        <v>3292</v>
      </c>
      <c r="M1077" s="44" t="s">
        <v>30</v>
      </c>
      <c r="N1077" s="46" t="s">
        <v>3306</v>
      </c>
      <c r="O1077" s="47" t="s">
        <v>1693</v>
      </c>
      <c r="P1077" s="50"/>
      <c r="Q1077" s="45"/>
      <c r="R1077" s="25"/>
      <c r="S1077" s="52"/>
    </row>
    <row r="1078" spans="1:19" ht="16.5" customHeight="1" x14ac:dyDescent="0.3">
      <c r="A1078" s="27" t="s">
        <v>487</v>
      </c>
      <c r="B1078" s="28" t="s">
        <v>488</v>
      </c>
      <c r="C1078" s="26" t="s">
        <v>1808</v>
      </c>
      <c r="D1078" s="31" t="s">
        <v>152</v>
      </c>
      <c r="E1078" s="33" t="s">
        <v>3143</v>
      </c>
      <c r="F1078" s="34" t="s">
        <v>561</v>
      </c>
      <c r="G1078" s="32" t="s">
        <v>3250</v>
      </c>
      <c r="H1078" s="37" t="s">
        <v>1602</v>
      </c>
      <c r="I1078" s="39" t="s">
        <v>3270</v>
      </c>
      <c r="J1078" s="24" t="s">
        <v>470</v>
      </c>
      <c r="K1078" s="40"/>
      <c r="L1078" s="38" t="s">
        <v>3292</v>
      </c>
      <c r="M1078" s="44" t="s">
        <v>30</v>
      </c>
      <c r="N1078" s="46" t="s">
        <v>3307</v>
      </c>
      <c r="O1078" s="47" t="s">
        <v>1695</v>
      </c>
      <c r="P1078" s="50"/>
      <c r="Q1078" s="45"/>
      <c r="R1078" s="25"/>
      <c r="S1078" s="52"/>
    </row>
    <row r="1079" spans="1:19" ht="16.5" customHeight="1" x14ac:dyDescent="0.3">
      <c r="A1079" s="27" t="s">
        <v>487</v>
      </c>
      <c r="B1079" s="28" t="s">
        <v>488</v>
      </c>
      <c r="C1079" s="26" t="s">
        <v>1808</v>
      </c>
      <c r="D1079" s="31" t="s">
        <v>152</v>
      </c>
      <c r="E1079" s="33" t="s">
        <v>3143</v>
      </c>
      <c r="F1079" s="34" t="s">
        <v>561</v>
      </c>
      <c r="G1079" s="32" t="s">
        <v>3250</v>
      </c>
      <c r="H1079" s="37" t="s">
        <v>1602</v>
      </c>
      <c r="I1079" s="39" t="s">
        <v>3270</v>
      </c>
      <c r="J1079" s="24" t="s">
        <v>470</v>
      </c>
      <c r="K1079" s="40"/>
      <c r="L1079" s="38" t="s">
        <v>3308</v>
      </c>
      <c r="M1079" s="44" t="s">
        <v>123</v>
      </c>
      <c r="N1079" s="46"/>
      <c r="O1079" s="47"/>
      <c r="P1079" s="50"/>
      <c r="Q1079" s="45"/>
      <c r="R1079" s="25"/>
      <c r="S1079" s="52"/>
    </row>
    <row r="1080" spans="1:19" ht="16.5" customHeight="1" x14ac:dyDescent="0.3">
      <c r="A1080" s="27" t="s">
        <v>487</v>
      </c>
      <c r="B1080" s="28" t="s">
        <v>488</v>
      </c>
      <c r="C1080" s="26" t="s">
        <v>1808</v>
      </c>
      <c r="D1080" s="31" t="s">
        <v>152</v>
      </c>
      <c r="E1080" s="33" t="s">
        <v>3143</v>
      </c>
      <c r="F1080" s="34" t="s">
        <v>561</v>
      </c>
      <c r="G1080" s="32" t="s">
        <v>3250</v>
      </c>
      <c r="H1080" s="37" t="s">
        <v>1602</v>
      </c>
      <c r="I1080" s="39" t="s">
        <v>3309</v>
      </c>
      <c r="J1080" s="24" t="s">
        <v>1235</v>
      </c>
      <c r="K1080" s="40"/>
      <c r="L1080" s="38" t="s">
        <v>3310</v>
      </c>
      <c r="M1080" s="44" t="s">
        <v>1717</v>
      </c>
      <c r="N1080" s="46" t="s">
        <v>3311</v>
      </c>
      <c r="O1080" s="47" t="s">
        <v>1718</v>
      </c>
      <c r="P1080" s="50"/>
      <c r="Q1080" s="45"/>
      <c r="R1080" s="25"/>
      <c r="S1080" s="52"/>
    </row>
    <row r="1081" spans="1:19" ht="16.5" customHeight="1" x14ac:dyDescent="0.3">
      <c r="A1081" s="27" t="s">
        <v>487</v>
      </c>
      <c r="B1081" s="28" t="s">
        <v>488</v>
      </c>
      <c r="C1081" s="26" t="s">
        <v>1808</v>
      </c>
      <c r="D1081" s="31" t="s">
        <v>152</v>
      </c>
      <c r="E1081" s="33" t="s">
        <v>3143</v>
      </c>
      <c r="F1081" s="34" t="s">
        <v>561</v>
      </c>
      <c r="G1081" s="32" t="s">
        <v>3250</v>
      </c>
      <c r="H1081" s="37" t="s">
        <v>1602</v>
      </c>
      <c r="I1081" s="39" t="s">
        <v>3309</v>
      </c>
      <c r="J1081" s="24" t="s">
        <v>1235</v>
      </c>
      <c r="K1081" s="40"/>
      <c r="L1081" s="38" t="s">
        <v>3310</v>
      </c>
      <c r="M1081" s="44" t="s">
        <v>1717</v>
      </c>
      <c r="N1081" s="46" t="s">
        <v>3312</v>
      </c>
      <c r="O1081" s="47" t="s">
        <v>1728</v>
      </c>
      <c r="P1081" s="50"/>
      <c r="Q1081" s="45"/>
      <c r="R1081" s="25"/>
      <c r="S1081" s="52"/>
    </row>
    <row r="1082" spans="1:19" ht="16.5" customHeight="1" x14ac:dyDescent="0.3">
      <c r="A1082" s="27" t="s">
        <v>487</v>
      </c>
      <c r="B1082" s="28" t="s">
        <v>488</v>
      </c>
      <c r="C1082" s="26" t="s">
        <v>1808</v>
      </c>
      <c r="D1082" s="31" t="s">
        <v>152</v>
      </c>
      <c r="E1082" s="33" t="s">
        <v>3143</v>
      </c>
      <c r="F1082" s="34" t="s">
        <v>561</v>
      </c>
      <c r="G1082" s="32" t="s">
        <v>3250</v>
      </c>
      <c r="H1082" s="37" t="s">
        <v>1602</v>
      </c>
      <c r="I1082" s="39" t="s">
        <v>3309</v>
      </c>
      <c r="J1082" s="24" t="s">
        <v>1235</v>
      </c>
      <c r="K1082" s="40"/>
      <c r="L1082" s="38" t="s">
        <v>3310</v>
      </c>
      <c r="M1082" s="44" t="s">
        <v>1717</v>
      </c>
      <c r="N1082" s="46" t="s">
        <v>3313</v>
      </c>
      <c r="O1082" s="47" t="s">
        <v>1727</v>
      </c>
      <c r="P1082" s="50"/>
      <c r="Q1082" s="45"/>
      <c r="R1082" s="25"/>
      <c r="S1082" s="52"/>
    </row>
    <row r="1083" spans="1:19" ht="16.5" customHeight="1" x14ac:dyDescent="0.3">
      <c r="A1083" s="27" t="s">
        <v>487</v>
      </c>
      <c r="B1083" s="28" t="s">
        <v>488</v>
      </c>
      <c r="C1083" s="26" t="s">
        <v>1808</v>
      </c>
      <c r="D1083" s="31" t="s">
        <v>152</v>
      </c>
      <c r="E1083" s="33" t="s">
        <v>3143</v>
      </c>
      <c r="F1083" s="34" t="s">
        <v>561</v>
      </c>
      <c r="G1083" s="32" t="s">
        <v>3250</v>
      </c>
      <c r="H1083" s="37" t="s">
        <v>1602</v>
      </c>
      <c r="I1083" s="39" t="s">
        <v>3309</v>
      </c>
      <c r="J1083" s="24" t="s">
        <v>1235</v>
      </c>
      <c r="K1083" s="40"/>
      <c r="L1083" s="38" t="s">
        <v>3314</v>
      </c>
      <c r="M1083" s="44" t="s">
        <v>1732</v>
      </c>
      <c r="N1083" s="46" t="s">
        <v>3315</v>
      </c>
      <c r="O1083" s="47" t="s">
        <v>1729</v>
      </c>
      <c r="P1083" s="50"/>
      <c r="Q1083" s="45"/>
      <c r="R1083" s="25"/>
      <c r="S1083" s="52"/>
    </row>
    <row r="1084" spans="1:19" ht="16.5" customHeight="1" x14ac:dyDescent="0.3">
      <c r="A1084" s="27" t="s">
        <v>487</v>
      </c>
      <c r="B1084" s="28" t="s">
        <v>488</v>
      </c>
      <c r="C1084" s="26" t="s">
        <v>1808</v>
      </c>
      <c r="D1084" s="31" t="s">
        <v>152</v>
      </c>
      <c r="E1084" s="33" t="s">
        <v>3143</v>
      </c>
      <c r="F1084" s="34" t="s">
        <v>561</v>
      </c>
      <c r="G1084" s="32" t="s">
        <v>3250</v>
      </c>
      <c r="H1084" s="37" t="s">
        <v>1602</v>
      </c>
      <c r="I1084" s="39" t="s">
        <v>3309</v>
      </c>
      <c r="J1084" s="24" t="s">
        <v>1235</v>
      </c>
      <c r="K1084" s="40"/>
      <c r="L1084" s="38" t="s">
        <v>3314</v>
      </c>
      <c r="M1084" s="44" t="s">
        <v>1732</v>
      </c>
      <c r="N1084" s="46" t="s">
        <v>3316</v>
      </c>
      <c r="O1084" s="47" t="s">
        <v>1730</v>
      </c>
      <c r="P1084" s="50"/>
      <c r="Q1084" s="45"/>
      <c r="R1084" s="25"/>
      <c r="S1084" s="52"/>
    </row>
    <row r="1085" spans="1:19" ht="16.5" customHeight="1" x14ac:dyDescent="0.3">
      <c r="A1085" s="27" t="s">
        <v>487</v>
      </c>
      <c r="B1085" s="28" t="s">
        <v>488</v>
      </c>
      <c r="C1085" s="26" t="s">
        <v>1808</v>
      </c>
      <c r="D1085" s="31" t="s">
        <v>152</v>
      </c>
      <c r="E1085" s="33" t="s">
        <v>3143</v>
      </c>
      <c r="F1085" s="34" t="s">
        <v>561</v>
      </c>
      <c r="G1085" s="32" t="s">
        <v>3250</v>
      </c>
      <c r="H1085" s="37" t="s">
        <v>1602</v>
      </c>
      <c r="I1085" s="39" t="s">
        <v>3309</v>
      </c>
      <c r="J1085" s="24" t="s">
        <v>1235</v>
      </c>
      <c r="K1085" s="40"/>
      <c r="L1085" s="38" t="s">
        <v>3314</v>
      </c>
      <c r="M1085" s="44" t="s">
        <v>1732</v>
      </c>
      <c r="N1085" s="46" t="s">
        <v>3317</v>
      </c>
      <c r="O1085" s="47" t="s">
        <v>1731</v>
      </c>
      <c r="P1085" s="50"/>
      <c r="Q1085" s="45"/>
      <c r="R1085" s="25"/>
      <c r="S1085" s="52"/>
    </row>
    <row r="1086" spans="1:19" ht="16.5" customHeight="1" x14ac:dyDescent="0.3">
      <c r="A1086" s="27" t="s">
        <v>487</v>
      </c>
      <c r="B1086" s="28" t="s">
        <v>488</v>
      </c>
      <c r="C1086" s="26" t="s">
        <v>1808</v>
      </c>
      <c r="D1086" s="31" t="s">
        <v>152</v>
      </c>
      <c r="E1086" s="33" t="s">
        <v>3143</v>
      </c>
      <c r="F1086" s="34" t="s">
        <v>561</v>
      </c>
      <c r="G1086" s="32" t="s">
        <v>3250</v>
      </c>
      <c r="H1086" s="37" t="s">
        <v>1602</v>
      </c>
      <c r="I1086" s="39" t="s">
        <v>3309</v>
      </c>
      <c r="J1086" s="24" t="s">
        <v>1235</v>
      </c>
      <c r="K1086" s="40"/>
      <c r="L1086" s="38" t="s">
        <v>3318</v>
      </c>
      <c r="M1086" s="44" t="s">
        <v>26</v>
      </c>
      <c r="N1086" s="46" t="s">
        <v>3319</v>
      </c>
      <c r="O1086" s="47" t="s">
        <v>1719</v>
      </c>
      <c r="P1086" s="50"/>
      <c r="Q1086" s="45"/>
      <c r="R1086" s="25"/>
      <c r="S1086" s="52"/>
    </row>
    <row r="1087" spans="1:19" ht="16.5" customHeight="1" x14ac:dyDescent="0.3">
      <c r="A1087" s="27" t="s">
        <v>487</v>
      </c>
      <c r="B1087" s="28" t="s">
        <v>488</v>
      </c>
      <c r="C1087" s="26" t="s">
        <v>1808</v>
      </c>
      <c r="D1087" s="31" t="s">
        <v>152</v>
      </c>
      <c r="E1087" s="33" t="s">
        <v>3143</v>
      </c>
      <c r="F1087" s="34" t="s">
        <v>561</v>
      </c>
      <c r="G1087" s="32" t="s">
        <v>3250</v>
      </c>
      <c r="H1087" s="37" t="s">
        <v>1602</v>
      </c>
      <c r="I1087" s="39" t="s">
        <v>3309</v>
      </c>
      <c r="J1087" s="24" t="s">
        <v>1235</v>
      </c>
      <c r="K1087" s="40"/>
      <c r="L1087" s="38" t="s">
        <v>3320</v>
      </c>
      <c r="M1087" s="44" t="s">
        <v>16</v>
      </c>
      <c r="N1087" s="46" t="s">
        <v>3321</v>
      </c>
      <c r="O1087" s="47" t="s">
        <v>1726</v>
      </c>
      <c r="P1087" s="50"/>
      <c r="Q1087" s="45"/>
      <c r="R1087" s="25"/>
      <c r="S1087" s="52"/>
    </row>
    <row r="1088" spans="1:19" ht="16.5" customHeight="1" x14ac:dyDescent="0.3">
      <c r="A1088" s="27" t="s">
        <v>487</v>
      </c>
      <c r="B1088" s="28" t="s">
        <v>488</v>
      </c>
      <c r="C1088" s="26" t="s">
        <v>1808</v>
      </c>
      <c r="D1088" s="31" t="s">
        <v>152</v>
      </c>
      <c r="E1088" s="33" t="s">
        <v>3143</v>
      </c>
      <c r="F1088" s="34" t="s">
        <v>561</v>
      </c>
      <c r="G1088" s="32" t="s">
        <v>3250</v>
      </c>
      <c r="H1088" s="37" t="s">
        <v>1602</v>
      </c>
      <c r="I1088" s="39" t="s">
        <v>3309</v>
      </c>
      <c r="J1088" s="24" t="s">
        <v>1235</v>
      </c>
      <c r="K1088" s="40"/>
      <c r="L1088" s="38" t="s">
        <v>3322</v>
      </c>
      <c r="M1088" s="44" t="s">
        <v>1720</v>
      </c>
      <c r="N1088" s="46" t="s">
        <v>3323</v>
      </c>
      <c r="O1088" s="47" t="s">
        <v>1721</v>
      </c>
      <c r="P1088" s="50"/>
      <c r="Q1088" s="45"/>
      <c r="R1088" s="25"/>
      <c r="S1088" s="52"/>
    </row>
    <row r="1089" spans="1:19" ht="16.5" customHeight="1" x14ac:dyDescent="0.3">
      <c r="A1089" s="27" t="s">
        <v>487</v>
      </c>
      <c r="B1089" s="28" t="s">
        <v>488</v>
      </c>
      <c r="C1089" s="26" t="s">
        <v>1808</v>
      </c>
      <c r="D1089" s="31" t="s">
        <v>152</v>
      </c>
      <c r="E1089" s="33" t="s">
        <v>3143</v>
      </c>
      <c r="F1089" s="34" t="s">
        <v>561</v>
      </c>
      <c r="G1089" s="32" t="s">
        <v>3250</v>
      </c>
      <c r="H1089" s="37" t="s">
        <v>1602</v>
      </c>
      <c r="I1089" s="39" t="s">
        <v>3309</v>
      </c>
      <c r="J1089" s="24" t="s">
        <v>1235</v>
      </c>
      <c r="K1089" s="40"/>
      <c r="L1089" s="38" t="s">
        <v>3324</v>
      </c>
      <c r="M1089" s="44" t="s">
        <v>718</v>
      </c>
      <c r="N1089" s="46" t="s">
        <v>3325</v>
      </c>
      <c r="O1089" s="47" t="s">
        <v>1236</v>
      </c>
      <c r="P1089" s="50"/>
      <c r="Q1089" s="45"/>
      <c r="R1089" s="25"/>
      <c r="S1089" s="52"/>
    </row>
    <row r="1090" spans="1:19" ht="16.5" customHeight="1" x14ac:dyDescent="0.3">
      <c r="A1090" s="27" t="s">
        <v>487</v>
      </c>
      <c r="B1090" s="28" t="s">
        <v>488</v>
      </c>
      <c r="C1090" s="26" t="s">
        <v>1808</v>
      </c>
      <c r="D1090" s="31" t="s">
        <v>152</v>
      </c>
      <c r="E1090" s="33" t="s">
        <v>3143</v>
      </c>
      <c r="F1090" s="34" t="s">
        <v>561</v>
      </c>
      <c r="G1090" s="32" t="s">
        <v>3250</v>
      </c>
      <c r="H1090" s="37" t="s">
        <v>1602</v>
      </c>
      <c r="I1090" s="39" t="s">
        <v>3309</v>
      </c>
      <c r="J1090" s="24" t="s">
        <v>1235</v>
      </c>
      <c r="K1090" s="40"/>
      <c r="L1090" s="38" t="s">
        <v>3324</v>
      </c>
      <c r="M1090" s="44" t="s">
        <v>718</v>
      </c>
      <c r="N1090" s="46" t="s">
        <v>3326</v>
      </c>
      <c r="O1090" s="47" t="s">
        <v>1237</v>
      </c>
      <c r="P1090" s="50"/>
      <c r="Q1090" s="45"/>
      <c r="R1090" s="25"/>
      <c r="S1090" s="52"/>
    </row>
    <row r="1091" spans="1:19" ht="16.5" customHeight="1" x14ac:dyDescent="0.3">
      <c r="A1091" s="27" t="s">
        <v>487</v>
      </c>
      <c r="B1091" s="28" t="s">
        <v>488</v>
      </c>
      <c r="C1091" s="26" t="s">
        <v>1808</v>
      </c>
      <c r="D1091" s="31" t="s">
        <v>152</v>
      </c>
      <c r="E1091" s="33" t="s">
        <v>3143</v>
      </c>
      <c r="F1091" s="34" t="s">
        <v>561</v>
      </c>
      <c r="G1091" s="32" t="s">
        <v>3250</v>
      </c>
      <c r="H1091" s="37" t="s">
        <v>1602</v>
      </c>
      <c r="I1091" s="39" t="s">
        <v>3309</v>
      </c>
      <c r="J1091" s="24" t="s">
        <v>1235</v>
      </c>
      <c r="K1091" s="40"/>
      <c r="L1091" s="38" t="s">
        <v>3320</v>
      </c>
      <c r="M1091" s="44" t="s">
        <v>16</v>
      </c>
      <c r="N1091" s="46" t="s">
        <v>3327</v>
      </c>
      <c r="O1091" s="47" t="s">
        <v>1325</v>
      </c>
      <c r="P1091" s="50"/>
      <c r="Q1091" s="45"/>
      <c r="R1091" s="25"/>
      <c r="S1091" s="52"/>
    </row>
    <row r="1092" spans="1:19" ht="16.5" customHeight="1" x14ac:dyDescent="0.3">
      <c r="A1092" s="27" t="s">
        <v>487</v>
      </c>
      <c r="B1092" s="28" t="s">
        <v>488</v>
      </c>
      <c r="C1092" s="26" t="s">
        <v>1808</v>
      </c>
      <c r="D1092" s="31" t="s">
        <v>152</v>
      </c>
      <c r="E1092" s="33" t="s">
        <v>3143</v>
      </c>
      <c r="F1092" s="34" t="s">
        <v>561</v>
      </c>
      <c r="G1092" s="32" t="s">
        <v>3250</v>
      </c>
      <c r="H1092" s="37" t="s">
        <v>1602</v>
      </c>
      <c r="I1092" s="39" t="s">
        <v>3309</v>
      </c>
      <c r="J1092" s="24" t="s">
        <v>1235</v>
      </c>
      <c r="K1092" s="40"/>
      <c r="L1092" s="38" t="s">
        <v>3320</v>
      </c>
      <c r="M1092" s="44" t="s">
        <v>16</v>
      </c>
      <c r="N1092" s="46" t="s">
        <v>3328</v>
      </c>
      <c r="O1092" s="47" t="s">
        <v>1326</v>
      </c>
      <c r="P1092" s="50"/>
      <c r="Q1092" s="45"/>
      <c r="R1092" s="25"/>
      <c r="S1092" s="52"/>
    </row>
    <row r="1093" spans="1:19" ht="16.5" customHeight="1" x14ac:dyDescent="0.3">
      <c r="A1093" s="27" t="s">
        <v>487</v>
      </c>
      <c r="B1093" s="28" t="s">
        <v>488</v>
      </c>
      <c r="C1093" s="26" t="s">
        <v>1808</v>
      </c>
      <c r="D1093" s="31" t="s">
        <v>152</v>
      </c>
      <c r="E1093" s="33" t="s">
        <v>3143</v>
      </c>
      <c r="F1093" s="34" t="s">
        <v>561</v>
      </c>
      <c r="G1093" s="32" t="s">
        <v>3250</v>
      </c>
      <c r="H1093" s="37" t="s">
        <v>1602</v>
      </c>
      <c r="I1093" s="39" t="s">
        <v>3309</v>
      </c>
      <c r="J1093" s="24" t="s">
        <v>1235</v>
      </c>
      <c r="K1093" s="40"/>
      <c r="L1093" s="38" t="s">
        <v>3320</v>
      </c>
      <c r="M1093" s="44" t="s">
        <v>16</v>
      </c>
      <c r="N1093" s="46" t="s">
        <v>3329</v>
      </c>
      <c r="O1093" s="47" t="s">
        <v>1238</v>
      </c>
      <c r="P1093" s="50"/>
      <c r="Q1093" s="45"/>
      <c r="R1093" s="25"/>
      <c r="S1093" s="52"/>
    </row>
    <row r="1094" spans="1:19" ht="16.5" customHeight="1" x14ac:dyDescent="0.3">
      <c r="A1094" s="27" t="s">
        <v>487</v>
      </c>
      <c r="B1094" s="28" t="s">
        <v>488</v>
      </c>
      <c r="C1094" s="26" t="s">
        <v>1808</v>
      </c>
      <c r="D1094" s="31" t="s">
        <v>152</v>
      </c>
      <c r="E1094" s="33" t="s">
        <v>3143</v>
      </c>
      <c r="F1094" s="34" t="s">
        <v>561</v>
      </c>
      <c r="G1094" s="32" t="s">
        <v>3250</v>
      </c>
      <c r="H1094" s="37" t="s">
        <v>1602</v>
      </c>
      <c r="I1094" s="39" t="s">
        <v>3309</v>
      </c>
      <c r="J1094" s="24" t="s">
        <v>1235</v>
      </c>
      <c r="K1094" s="40"/>
      <c r="L1094" s="38" t="s">
        <v>3330</v>
      </c>
      <c r="M1094" s="44" t="s">
        <v>1665</v>
      </c>
      <c r="N1094" s="46" t="s">
        <v>3331</v>
      </c>
      <c r="O1094" s="47" t="s">
        <v>1805</v>
      </c>
      <c r="P1094" s="50"/>
      <c r="Q1094" s="45"/>
      <c r="R1094" s="25"/>
      <c r="S1094" s="52"/>
    </row>
    <row r="1095" spans="1:19" ht="16.5" customHeight="1" x14ac:dyDescent="0.3">
      <c r="A1095" s="27" t="s">
        <v>487</v>
      </c>
      <c r="B1095" s="28" t="s">
        <v>488</v>
      </c>
      <c r="C1095" s="26" t="s">
        <v>1808</v>
      </c>
      <c r="D1095" s="31" t="s">
        <v>152</v>
      </c>
      <c r="E1095" s="33" t="s">
        <v>3143</v>
      </c>
      <c r="F1095" s="34" t="s">
        <v>561</v>
      </c>
      <c r="G1095" s="32" t="s">
        <v>3250</v>
      </c>
      <c r="H1095" s="37" t="s">
        <v>1602</v>
      </c>
      <c r="I1095" s="39" t="s">
        <v>3309</v>
      </c>
      <c r="J1095" s="24" t="s">
        <v>1235</v>
      </c>
      <c r="K1095" s="40"/>
      <c r="L1095" s="38" t="s">
        <v>3330</v>
      </c>
      <c r="M1095" s="44" t="s">
        <v>1665</v>
      </c>
      <c r="N1095" s="46" t="s">
        <v>3332</v>
      </c>
      <c r="O1095" s="47" t="s">
        <v>1807</v>
      </c>
      <c r="P1095" s="50"/>
      <c r="Q1095" s="45"/>
      <c r="R1095" s="25"/>
      <c r="S1095" s="52"/>
    </row>
    <row r="1096" spans="1:19" ht="16.5" customHeight="1" x14ac:dyDescent="0.3">
      <c r="A1096" s="27" t="s">
        <v>487</v>
      </c>
      <c r="B1096" s="28" t="s">
        <v>488</v>
      </c>
      <c r="C1096" s="26" t="s">
        <v>1808</v>
      </c>
      <c r="D1096" s="31" t="s">
        <v>152</v>
      </c>
      <c r="E1096" s="33" t="s">
        <v>3143</v>
      </c>
      <c r="F1096" s="34" t="s">
        <v>561</v>
      </c>
      <c r="G1096" s="32" t="s">
        <v>3250</v>
      </c>
      <c r="H1096" s="37" t="s">
        <v>1602</v>
      </c>
      <c r="I1096" s="39" t="s">
        <v>3309</v>
      </c>
      <c r="J1096" s="24" t="s">
        <v>1235</v>
      </c>
      <c r="K1096" s="40"/>
      <c r="L1096" s="38" t="s">
        <v>3330</v>
      </c>
      <c r="M1096" s="44" t="s">
        <v>1665</v>
      </c>
      <c r="N1096" s="46" t="s">
        <v>3333</v>
      </c>
      <c r="O1096" s="47" t="s">
        <v>1671</v>
      </c>
      <c r="P1096" s="50"/>
      <c r="Q1096" s="45"/>
      <c r="R1096" s="25"/>
      <c r="S1096" s="52"/>
    </row>
    <row r="1097" spans="1:19" ht="16.5" customHeight="1" x14ac:dyDescent="0.3">
      <c r="A1097" s="27" t="s">
        <v>487</v>
      </c>
      <c r="B1097" s="28" t="s">
        <v>488</v>
      </c>
      <c r="C1097" s="26" t="s">
        <v>1808</v>
      </c>
      <c r="D1097" s="31" t="s">
        <v>152</v>
      </c>
      <c r="E1097" s="33" t="s">
        <v>3143</v>
      </c>
      <c r="F1097" s="34" t="s">
        <v>561</v>
      </c>
      <c r="G1097" s="32" t="s">
        <v>3250</v>
      </c>
      <c r="H1097" s="37" t="s">
        <v>1602</v>
      </c>
      <c r="I1097" s="39" t="s">
        <v>3309</v>
      </c>
      <c r="J1097" s="24" t="s">
        <v>1235</v>
      </c>
      <c r="K1097" s="40"/>
      <c r="L1097" s="38" t="s">
        <v>3330</v>
      </c>
      <c r="M1097" s="44" t="s">
        <v>1665</v>
      </c>
      <c r="N1097" s="46" t="s">
        <v>3334</v>
      </c>
      <c r="O1097" s="47" t="s">
        <v>1724</v>
      </c>
      <c r="P1097" s="50"/>
      <c r="Q1097" s="45"/>
      <c r="R1097" s="25"/>
      <c r="S1097" s="52"/>
    </row>
    <row r="1098" spans="1:19" ht="16.5" customHeight="1" x14ac:dyDescent="0.3">
      <c r="A1098" s="27" t="s">
        <v>487</v>
      </c>
      <c r="B1098" s="28" t="s">
        <v>488</v>
      </c>
      <c r="C1098" s="26" t="s">
        <v>1808</v>
      </c>
      <c r="D1098" s="31" t="s">
        <v>152</v>
      </c>
      <c r="E1098" s="33" t="s">
        <v>3143</v>
      </c>
      <c r="F1098" s="34" t="s">
        <v>561</v>
      </c>
      <c r="G1098" s="32" t="s">
        <v>3250</v>
      </c>
      <c r="H1098" s="37" t="s">
        <v>1602</v>
      </c>
      <c r="I1098" s="39" t="s">
        <v>3309</v>
      </c>
      <c r="J1098" s="24" t="s">
        <v>1235</v>
      </c>
      <c r="K1098" s="40"/>
      <c r="L1098" s="38" t="s">
        <v>3330</v>
      </c>
      <c r="M1098" s="44" t="s">
        <v>1665</v>
      </c>
      <c r="N1098" s="46" t="s">
        <v>3335</v>
      </c>
      <c r="O1098" s="47" t="s">
        <v>1724</v>
      </c>
      <c r="P1098" s="50"/>
      <c r="Q1098" s="45"/>
      <c r="R1098" s="25"/>
      <c r="S1098" s="52"/>
    </row>
    <row r="1099" spans="1:19" ht="16.5" customHeight="1" x14ac:dyDescent="0.3">
      <c r="A1099" s="27" t="s">
        <v>487</v>
      </c>
      <c r="B1099" s="28" t="s">
        <v>488</v>
      </c>
      <c r="C1099" s="26" t="s">
        <v>1808</v>
      </c>
      <c r="D1099" s="31" t="s">
        <v>152</v>
      </c>
      <c r="E1099" s="33" t="s">
        <v>3143</v>
      </c>
      <c r="F1099" s="34" t="s">
        <v>561</v>
      </c>
      <c r="G1099" s="32" t="s">
        <v>3250</v>
      </c>
      <c r="H1099" s="37" t="s">
        <v>1602</v>
      </c>
      <c r="I1099" s="39" t="s">
        <v>3309</v>
      </c>
      <c r="J1099" s="24" t="s">
        <v>1235</v>
      </c>
      <c r="K1099" s="40"/>
      <c r="L1099" s="38" t="s">
        <v>3330</v>
      </c>
      <c r="M1099" s="44" t="s">
        <v>1665</v>
      </c>
      <c r="N1099" s="46" t="s">
        <v>3336</v>
      </c>
      <c r="O1099" s="47" t="s">
        <v>1725</v>
      </c>
      <c r="P1099" s="50"/>
      <c r="Q1099" s="45"/>
      <c r="R1099" s="25"/>
      <c r="S1099" s="52"/>
    </row>
    <row r="1100" spans="1:19" ht="16.5" customHeight="1" x14ac:dyDescent="0.3">
      <c r="A1100" s="27" t="s">
        <v>487</v>
      </c>
      <c r="B1100" s="28" t="s">
        <v>488</v>
      </c>
      <c r="C1100" s="26" t="s">
        <v>1808</v>
      </c>
      <c r="D1100" s="31" t="s">
        <v>152</v>
      </c>
      <c r="E1100" s="33" t="s">
        <v>3143</v>
      </c>
      <c r="F1100" s="34" t="s">
        <v>561</v>
      </c>
      <c r="G1100" s="32" t="s">
        <v>3250</v>
      </c>
      <c r="H1100" s="37" t="s">
        <v>1602</v>
      </c>
      <c r="I1100" s="39" t="s">
        <v>3309</v>
      </c>
      <c r="J1100" s="24" t="s">
        <v>1235</v>
      </c>
      <c r="K1100" s="40"/>
      <c r="L1100" s="38" t="s">
        <v>3330</v>
      </c>
      <c r="M1100" s="44" t="s">
        <v>1665</v>
      </c>
      <c r="N1100" s="46" t="s">
        <v>3337</v>
      </c>
      <c r="O1100" s="47" t="s">
        <v>1673</v>
      </c>
      <c r="P1100" s="50"/>
      <c r="Q1100" s="45"/>
      <c r="R1100" s="25"/>
      <c r="S1100" s="52"/>
    </row>
    <row r="1101" spans="1:19" ht="16.5" customHeight="1" x14ac:dyDescent="0.3">
      <c r="A1101" s="27" t="s">
        <v>487</v>
      </c>
      <c r="B1101" s="28" t="s">
        <v>488</v>
      </c>
      <c r="C1101" s="26" t="s">
        <v>1808</v>
      </c>
      <c r="D1101" s="31" t="s">
        <v>152</v>
      </c>
      <c r="E1101" s="33" t="s">
        <v>3143</v>
      </c>
      <c r="F1101" s="34" t="s">
        <v>561</v>
      </c>
      <c r="G1101" s="32" t="s">
        <v>3250</v>
      </c>
      <c r="H1101" s="37" t="s">
        <v>1602</v>
      </c>
      <c r="I1101" s="39" t="s">
        <v>3338</v>
      </c>
      <c r="J1101" s="24" t="s">
        <v>277</v>
      </c>
      <c r="K1101" s="40"/>
      <c r="L1101" s="38" t="s">
        <v>3338</v>
      </c>
      <c r="M1101" s="44" t="s">
        <v>277</v>
      </c>
      <c r="N1101" s="46"/>
      <c r="O1101" s="47"/>
      <c r="P1101" s="50"/>
      <c r="Q1101" s="45"/>
      <c r="R1101" s="25"/>
      <c r="S1101" s="52"/>
    </row>
    <row r="1102" spans="1:19" ht="16.5" customHeight="1" x14ac:dyDescent="0.3">
      <c r="A1102" s="27" t="s">
        <v>487</v>
      </c>
      <c r="B1102" s="28" t="s">
        <v>488</v>
      </c>
      <c r="C1102" s="26" t="s">
        <v>1808</v>
      </c>
      <c r="D1102" s="31" t="s">
        <v>152</v>
      </c>
      <c r="E1102" s="33" t="s">
        <v>3143</v>
      </c>
      <c r="F1102" s="34" t="s">
        <v>561</v>
      </c>
      <c r="G1102" s="32" t="s">
        <v>3250</v>
      </c>
      <c r="H1102" s="37" t="s">
        <v>1602</v>
      </c>
      <c r="I1102" s="39" t="s">
        <v>3339</v>
      </c>
      <c r="J1102" s="24" t="s">
        <v>1603</v>
      </c>
      <c r="K1102" s="40"/>
      <c r="L1102" s="38"/>
      <c r="M1102" s="44"/>
      <c r="N1102" s="46"/>
      <c r="O1102" s="47"/>
      <c r="P1102" s="50"/>
      <c r="Q1102" s="45"/>
      <c r="R1102" s="25"/>
      <c r="S1102" s="52"/>
    </row>
    <row r="1103" spans="1:19" ht="16.5" customHeight="1" x14ac:dyDescent="0.3">
      <c r="A1103" s="27" t="s">
        <v>487</v>
      </c>
      <c r="B1103" s="28" t="s">
        <v>488</v>
      </c>
      <c r="C1103" s="26" t="s">
        <v>1808</v>
      </c>
      <c r="D1103" s="31" t="s">
        <v>152</v>
      </c>
      <c r="E1103" s="33" t="s">
        <v>3143</v>
      </c>
      <c r="F1103" s="34" t="s">
        <v>561</v>
      </c>
      <c r="G1103" s="32" t="s">
        <v>3250</v>
      </c>
      <c r="H1103" s="37" t="s">
        <v>1602</v>
      </c>
      <c r="I1103" s="39" t="s">
        <v>3340</v>
      </c>
      <c r="J1103" s="24" t="s">
        <v>471</v>
      </c>
      <c r="K1103" s="40"/>
      <c r="L1103" s="38" t="s">
        <v>3341</v>
      </c>
      <c r="M1103" s="44" t="s">
        <v>1696</v>
      </c>
      <c r="N1103" s="46" t="s">
        <v>3342</v>
      </c>
      <c r="O1103" s="47" t="s">
        <v>1697</v>
      </c>
      <c r="P1103" s="50"/>
      <c r="Q1103" s="45"/>
      <c r="R1103" s="25"/>
      <c r="S1103" s="52"/>
    </row>
    <row r="1104" spans="1:19" ht="16.5" customHeight="1" x14ac:dyDescent="0.3">
      <c r="A1104" s="27" t="s">
        <v>487</v>
      </c>
      <c r="B1104" s="28" t="s">
        <v>488</v>
      </c>
      <c r="C1104" s="26" t="s">
        <v>1808</v>
      </c>
      <c r="D1104" s="31" t="s">
        <v>152</v>
      </c>
      <c r="E1104" s="33" t="s">
        <v>3143</v>
      </c>
      <c r="F1104" s="34" t="s">
        <v>561</v>
      </c>
      <c r="G1104" s="32" t="s">
        <v>3250</v>
      </c>
      <c r="H1104" s="37" t="s">
        <v>1602</v>
      </c>
      <c r="I1104" s="39" t="s">
        <v>3340</v>
      </c>
      <c r="J1104" s="24" t="s">
        <v>471</v>
      </c>
      <c r="K1104" s="40"/>
      <c r="L1104" s="38" t="s">
        <v>3343</v>
      </c>
      <c r="M1104" s="44" t="s">
        <v>1698</v>
      </c>
      <c r="N1104" s="46" t="s">
        <v>3344</v>
      </c>
      <c r="O1104" s="47" t="s">
        <v>1699</v>
      </c>
      <c r="P1104" s="50"/>
      <c r="Q1104" s="45"/>
      <c r="R1104" s="25"/>
      <c r="S1104" s="52"/>
    </row>
    <row r="1105" spans="1:19" ht="16.5" customHeight="1" x14ac:dyDescent="0.3">
      <c r="A1105" s="27" t="s">
        <v>487</v>
      </c>
      <c r="B1105" s="28" t="s">
        <v>488</v>
      </c>
      <c r="C1105" s="26" t="s">
        <v>1808</v>
      </c>
      <c r="D1105" s="31" t="s">
        <v>152</v>
      </c>
      <c r="E1105" s="33" t="s">
        <v>3143</v>
      </c>
      <c r="F1105" s="34" t="s">
        <v>561</v>
      </c>
      <c r="G1105" s="32" t="s">
        <v>3250</v>
      </c>
      <c r="H1105" s="37" t="s">
        <v>1602</v>
      </c>
      <c r="I1105" s="39" t="s">
        <v>3340</v>
      </c>
      <c r="J1105" s="24" t="s">
        <v>471</v>
      </c>
      <c r="K1105" s="40"/>
      <c r="L1105" s="38" t="s">
        <v>3343</v>
      </c>
      <c r="M1105" s="44" t="s">
        <v>1698</v>
      </c>
      <c r="N1105" s="46" t="s">
        <v>3345</v>
      </c>
      <c r="O1105" s="47" t="s">
        <v>1700</v>
      </c>
      <c r="P1105" s="50"/>
      <c r="Q1105" s="45"/>
      <c r="R1105" s="25"/>
      <c r="S1105" s="52"/>
    </row>
    <row r="1106" spans="1:19" ht="16.5" customHeight="1" x14ac:dyDescent="0.3">
      <c r="A1106" s="27" t="s">
        <v>487</v>
      </c>
      <c r="B1106" s="28" t="s">
        <v>488</v>
      </c>
      <c r="C1106" s="26" t="s">
        <v>1808</v>
      </c>
      <c r="D1106" s="31" t="s">
        <v>152</v>
      </c>
      <c r="E1106" s="33" t="s">
        <v>3143</v>
      </c>
      <c r="F1106" s="34" t="s">
        <v>561</v>
      </c>
      <c r="G1106" s="32" t="s">
        <v>3250</v>
      </c>
      <c r="H1106" s="37" t="s">
        <v>1602</v>
      </c>
      <c r="I1106" s="39" t="s">
        <v>3340</v>
      </c>
      <c r="J1106" s="24" t="s">
        <v>471</v>
      </c>
      <c r="K1106" s="40"/>
      <c r="L1106" s="38" t="s">
        <v>3346</v>
      </c>
      <c r="M1106" s="44" t="s">
        <v>1701</v>
      </c>
      <c r="N1106" s="46" t="s">
        <v>3347</v>
      </c>
      <c r="O1106" s="47" t="s">
        <v>1713</v>
      </c>
      <c r="P1106" s="50"/>
      <c r="Q1106" s="45"/>
      <c r="R1106" s="25"/>
      <c r="S1106" s="52"/>
    </row>
    <row r="1107" spans="1:19" ht="16.5" customHeight="1" x14ac:dyDescent="0.3">
      <c r="A1107" s="27" t="s">
        <v>487</v>
      </c>
      <c r="B1107" s="28" t="s">
        <v>488</v>
      </c>
      <c r="C1107" s="26" t="s">
        <v>1808</v>
      </c>
      <c r="D1107" s="31" t="s">
        <v>152</v>
      </c>
      <c r="E1107" s="33" t="s">
        <v>3143</v>
      </c>
      <c r="F1107" s="34" t="s">
        <v>561</v>
      </c>
      <c r="G1107" s="32" t="s">
        <v>3250</v>
      </c>
      <c r="H1107" s="37" t="s">
        <v>1602</v>
      </c>
      <c r="I1107" s="39" t="s">
        <v>3340</v>
      </c>
      <c r="J1107" s="24" t="s">
        <v>471</v>
      </c>
      <c r="K1107" s="40"/>
      <c r="L1107" s="38" t="s">
        <v>3346</v>
      </c>
      <c r="M1107" s="44" t="s">
        <v>1701</v>
      </c>
      <c r="N1107" s="46" t="s">
        <v>3348</v>
      </c>
      <c r="O1107" s="47" t="s">
        <v>1714</v>
      </c>
      <c r="P1107" s="50"/>
      <c r="Q1107" s="45"/>
      <c r="R1107" s="25"/>
      <c r="S1107" s="52"/>
    </row>
    <row r="1108" spans="1:19" ht="16.5" customHeight="1" x14ac:dyDescent="0.3">
      <c r="A1108" s="27" t="s">
        <v>487</v>
      </c>
      <c r="B1108" s="28" t="s">
        <v>488</v>
      </c>
      <c r="C1108" s="26" t="s">
        <v>1808</v>
      </c>
      <c r="D1108" s="31" t="s">
        <v>152</v>
      </c>
      <c r="E1108" s="33" t="s">
        <v>3143</v>
      </c>
      <c r="F1108" s="34" t="s">
        <v>561</v>
      </c>
      <c r="G1108" s="32" t="s">
        <v>3250</v>
      </c>
      <c r="H1108" s="37" t="s">
        <v>1602</v>
      </c>
      <c r="I1108" s="39" t="s">
        <v>3340</v>
      </c>
      <c r="J1108" s="24" t="s">
        <v>471</v>
      </c>
      <c r="K1108" s="40"/>
      <c r="L1108" s="38" t="s">
        <v>3346</v>
      </c>
      <c r="M1108" s="44" t="s">
        <v>1701</v>
      </c>
      <c r="N1108" s="46" t="s">
        <v>3349</v>
      </c>
      <c r="O1108" s="47" t="s">
        <v>1715</v>
      </c>
      <c r="P1108" s="50"/>
      <c r="Q1108" s="45"/>
      <c r="R1108" s="25"/>
      <c r="S1108" s="52"/>
    </row>
    <row r="1109" spans="1:19" ht="16.5" customHeight="1" x14ac:dyDescent="0.3">
      <c r="A1109" s="27" t="s">
        <v>487</v>
      </c>
      <c r="B1109" s="28" t="s">
        <v>488</v>
      </c>
      <c r="C1109" s="26" t="s">
        <v>1808</v>
      </c>
      <c r="D1109" s="31" t="s">
        <v>152</v>
      </c>
      <c r="E1109" s="33" t="s">
        <v>3143</v>
      </c>
      <c r="F1109" s="34" t="s">
        <v>561</v>
      </c>
      <c r="G1109" s="32" t="s">
        <v>3250</v>
      </c>
      <c r="H1109" s="37" t="s">
        <v>1602</v>
      </c>
      <c r="I1109" s="39" t="s">
        <v>3340</v>
      </c>
      <c r="J1109" s="24" t="s">
        <v>471</v>
      </c>
      <c r="K1109" s="40"/>
      <c r="L1109" s="38" t="s">
        <v>3350</v>
      </c>
      <c r="M1109" s="44" t="s">
        <v>1716</v>
      </c>
      <c r="N1109" s="46" t="s">
        <v>3351</v>
      </c>
      <c r="O1109" s="47" t="s">
        <v>1707</v>
      </c>
      <c r="P1109" s="50"/>
      <c r="Q1109" s="45"/>
      <c r="R1109" s="25"/>
      <c r="S1109" s="52"/>
    </row>
    <row r="1110" spans="1:19" ht="16.5" customHeight="1" x14ac:dyDescent="0.3">
      <c r="A1110" s="27" t="s">
        <v>487</v>
      </c>
      <c r="B1110" s="28" t="s">
        <v>488</v>
      </c>
      <c r="C1110" s="26" t="s">
        <v>1808</v>
      </c>
      <c r="D1110" s="31" t="s">
        <v>152</v>
      </c>
      <c r="E1110" s="33" t="s">
        <v>3143</v>
      </c>
      <c r="F1110" s="34" t="s">
        <v>561</v>
      </c>
      <c r="G1110" s="32" t="s">
        <v>3250</v>
      </c>
      <c r="H1110" s="37" t="s">
        <v>1602</v>
      </c>
      <c r="I1110" s="39" t="s">
        <v>3340</v>
      </c>
      <c r="J1110" s="24" t="s">
        <v>471</v>
      </c>
      <c r="K1110" s="40"/>
      <c r="L1110" s="38" t="s">
        <v>3350</v>
      </c>
      <c r="M1110" s="44" t="s">
        <v>1716</v>
      </c>
      <c r="N1110" s="46" t="s">
        <v>3352</v>
      </c>
      <c r="O1110" s="47" t="s">
        <v>1708</v>
      </c>
      <c r="P1110" s="50"/>
      <c r="Q1110" s="45"/>
      <c r="R1110" s="25"/>
      <c r="S1110" s="52"/>
    </row>
    <row r="1111" spans="1:19" ht="16.5" customHeight="1" x14ac:dyDescent="0.3">
      <c r="A1111" s="27" t="s">
        <v>487</v>
      </c>
      <c r="B1111" s="28" t="s">
        <v>488</v>
      </c>
      <c r="C1111" s="26" t="s">
        <v>1808</v>
      </c>
      <c r="D1111" s="31" t="s">
        <v>152</v>
      </c>
      <c r="E1111" s="33" t="s">
        <v>3143</v>
      </c>
      <c r="F1111" s="34" t="s">
        <v>561</v>
      </c>
      <c r="G1111" s="32" t="s">
        <v>3250</v>
      </c>
      <c r="H1111" s="37" t="s">
        <v>1602</v>
      </c>
      <c r="I1111" s="39" t="s">
        <v>3340</v>
      </c>
      <c r="J1111" s="24" t="s">
        <v>471</v>
      </c>
      <c r="K1111" s="40"/>
      <c r="L1111" s="38" t="s">
        <v>3350</v>
      </c>
      <c r="M1111" s="44" t="s">
        <v>1716</v>
      </c>
      <c r="N1111" s="46" t="s">
        <v>3353</v>
      </c>
      <c r="O1111" s="47" t="s">
        <v>1709</v>
      </c>
      <c r="P1111" s="50"/>
      <c r="Q1111" s="45"/>
      <c r="R1111" s="25"/>
      <c r="S1111" s="52"/>
    </row>
    <row r="1112" spans="1:19" ht="16.5" customHeight="1" x14ac:dyDescent="0.3">
      <c r="A1112" s="27" t="s">
        <v>487</v>
      </c>
      <c r="B1112" s="28" t="s">
        <v>488</v>
      </c>
      <c r="C1112" s="26" t="s">
        <v>1808</v>
      </c>
      <c r="D1112" s="31" t="s">
        <v>152</v>
      </c>
      <c r="E1112" s="33" t="s">
        <v>3143</v>
      </c>
      <c r="F1112" s="34" t="s">
        <v>561</v>
      </c>
      <c r="G1112" s="32" t="s">
        <v>3250</v>
      </c>
      <c r="H1112" s="37" t="s">
        <v>1602</v>
      </c>
      <c r="I1112" s="39" t="s">
        <v>3340</v>
      </c>
      <c r="J1112" s="24" t="s">
        <v>471</v>
      </c>
      <c r="K1112" s="40"/>
      <c r="L1112" s="38" t="s">
        <v>3350</v>
      </c>
      <c r="M1112" s="44" t="s">
        <v>1716</v>
      </c>
      <c r="N1112" s="46" t="s">
        <v>3354</v>
      </c>
      <c r="O1112" s="47" t="s">
        <v>1710</v>
      </c>
      <c r="P1112" s="50"/>
      <c r="Q1112" s="45"/>
      <c r="R1112" s="25"/>
      <c r="S1112" s="52"/>
    </row>
    <row r="1113" spans="1:19" ht="16.5" customHeight="1" x14ac:dyDescent="0.3">
      <c r="A1113" s="27" t="s">
        <v>487</v>
      </c>
      <c r="B1113" s="28" t="s">
        <v>488</v>
      </c>
      <c r="C1113" s="26" t="s">
        <v>1808</v>
      </c>
      <c r="D1113" s="31" t="s">
        <v>152</v>
      </c>
      <c r="E1113" s="33" t="s">
        <v>3143</v>
      </c>
      <c r="F1113" s="34" t="s">
        <v>561</v>
      </c>
      <c r="G1113" s="32" t="s">
        <v>3250</v>
      </c>
      <c r="H1113" s="37" t="s">
        <v>1602</v>
      </c>
      <c r="I1113" s="39" t="s">
        <v>3340</v>
      </c>
      <c r="J1113" s="24" t="s">
        <v>471</v>
      </c>
      <c r="K1113" s="40"/>
      <c r="L1113" s="38" t="s">
        <v>3350</v>
      </c>
      <c r="M1113" s="44" t="s">
        <v>1716</v>
      </c>
      <c r="N1113" s="46" t="s">
        <v>3355</v>
      </c>
      <c r="O1113" s="47" t="s">
        <v>1711</v>
      </c>
      <c r="P1113" s="50"/>
      <c r="Q1113" s="45"/>
      <c r="R1113" s="25"/>
      <c r="S1113" s="52"/>
    </row>
    <row r="1114" spans="1:19" ht="16.5" customHeight="1" x14ac:dyDescent="0.3">
      <c r="A1114" s="27" t="s">
        <v>487</v>
      </c>
      <c r="B1114" s="28" t="s">
        <v>488</v>
      </c>
      <c r="C1114" s="26" t="s">
        <v>1808</v>
      </c>
      <c r="D1114" s="31" t="s">
        <v>152</v>
      </c>
      <c r="E1114" s="33" t="s">
        <v>3143</v>
      </c>
      <c r="F1114" s="34" t="s">
        <v>561</v>
      </c>
      <c r="G1114" s="32" t="s">
        <v>3250</v>
      </c>
      <c r="H1114" s="37" t="s">
        <v>1602</v>
      </c>
      <c r="I1114" s="39" t="s">
        <v>3340</v>
      </c>
      <c r="J1114" s="24" t="s">
        <v>471</v>
      </c>
      <c r="K1114" s="40"/>
      <c r="L1114" s="38" t="s">
        <v>3350</v>
      </c>
      <c r="M1114" s="44" t="s">
        <v>1716</v>
      </c>
      <c r="N1114" s="46" t="s">
        <v>3356</v>
      </c>
      <c r="O1114" s="47" t="s">
        <v>1712</v>
      </c>
      <c r="P1114" s="50"/>
      <c r="Q1114" s="45"/>
      <c r="R1114" s="25"/>
      <c r="S1114" s="52"/>
    </row>
    <row r="1115" spans="1:19" ht="16.5" customHeight="1" x14ac:dyDescent="0.3">
      <c r="A1115" s="27" t="s">
        <v>487</v>
      </c>
      <c r="B1115" s="28" t="s">
        <v>488</v>
      </c>
      <c r="C1115" s="26" t="s">
        <v>1808</v>
      </c>
      <c r="D1115" s="31" t="s">
        <v>152</v>
      </c>
      <c r="E1115" s="33" t="s">
        <v>3143</v>
      </c>
      <c r="F1115" s="34" t="s">
        <v>561</v>
      </c>
      <c r="G1115" s="32" t="s">
        <v>3250</v>
      </c>
      <c r="H1115" s="37" t="s">
        <v>1602</v>
      </c>
      <c r="I1115" s="39" t="s">
        <v>3340</v>
      </c>
      <c r="J1115" s="24" t="s">
        <v>471</v>
      </c>
      <c r="K1115" s="40"/>
      <c r="L1115" s="38" t="s">
        <v>3357</v>
      </c>
      <c r="M1115" s="44" t="s">
        <v>26</v>
      </c>
      <c r="N1115" s="46" t="s">
        <v>3358</v>
      </c>
      <c r="O1115" s="47" t="s">
        <v>1702</v>
      </c>
      <c r="P1115" s="50"/>
      <c r="Q1115" s="45"/>
      <c r="R1115" s="25"/>
      <c r="S1115" s="52"/>
    </row>
    <row r="1116" spans="1:19" ht="16.5" customHeight="1" x14ac:dyDescent="0.3">
      <c r="A1116" s="27" t="s">
        <v>487</v>
      </c>
      <c r="B1116" s="28" t="s">
        <v>488</v>
      </c>
      <c r="C1116" s="26" t="s">
        <v>1808</v>
      </c>
      <c r="D1116" s="31" t="s">
        <v>152</v>
      </c>
      <c r="E1116" s="33" t="s">
        <v>3143</v>
      </c>
      <c r="F1116" s="34" t="s">
        <v>561</v>
      </c>
      <c r="G1116" s="32" t="s">
        <v>3250</v>
      </c>
      <c r="H1116" s="37" t="s">
        <v>1602</v>
      </c>
      <c r="I1116" s="39" t="s">
        <v>3340</v>
      </c>
      <c r="J1116" s="24" t="s">
        <v>471</v>
      </c>
      <c r="K1116" s="40"/>
      <c r="L1116" s="38" t="s">
        <v>3357</v>
      </c>
      <c r="M1116" s="44" t="s">
        <v>26</v>
      </c>
      <c r="N1116" s="46" t="s">
        <v>3359</v>
      </c>
      <c r="O1116" s="47" t="s">
        <v>1703</v>
      </c>
      <c r="P1116" s="50"/>
      <c r="Q1116" s="45"/>
      <c r="R1116" s="25"/>
      <c r="S1116" s="52"/>
    </row>
    <row r="1117" spans="1:19" ht="16.5" customHeight="1" x14ac:dyDescent="0.3">
      <c r="A1117" s="27" t="s">
        <v>487</v>
      </c>
      <c r="B1117" s="28" t="s">
        <v>488</v>
      </c>
      <c r="C1117" s="26" t="s">
        <v>1808</v>
      </c>
      <c r="D1117" s="31" t="s">
        <v>152</v>
      </c>
      <c r="E1117" s="33" t="s">
        <v>3143</v>
      </c>
      <c r="F1117" s="34" t="s">
        <v>561</v>
      </c>
      <c r="G1117" s="32" t="s">
        <v>3250</v>
      </c>
      <c r="H1117" s="37" t="s">
        <v>1602</v>
      </c>
      <c r="I1117" s="39" t="s">
        <v>3340</v>
      </c>
      <c r="J1117" s="24" t="s">
        <v>471</v>
      </c>
      <c r="K1117" s="40"/>
      <c r="L1117" s="38" t="s">
        <v>3771</v>
      </c>
      <c r="M1117" s="44" t="s">
        <v>3784</v>
      </c>
      <c r="N1117" s="46" t="s">
        <v>3360</v>
      </c>
      <c r="O1117" s="47" t="s">
        <v>1705</v>
      </c>
      <c r="P1117" s="50"/>
      <c r="Q1117" s="45"/>
      <c r="R1117" s="25"/>
      <c r="S1117" s="52"/>
    </row>
    <row r="1118" spans="1:19" ht="16.5" customHeight="1" x14ac:dyDescent="0.3">
      <c r="A1118" s="27" t="s">
        <v>487</v>
      </c>
      <c r="B1118" s="28" t="s">
        <v>488</v>
      </c>
      <c r="C1118" s="26" t="s">
        <v>1808</v>
      </c>
      <c r="D1118" s="31" t="s">
        <v>152</v>
      </c>
      <c r="E1118" s="33" t="s">
        <v>3143</v>
      </c>
      <c r="F1118" s="34" t="s">
        <v>561</v>
      </c>
      <c r="G1118" s="32" t="s">
        <v>3250</v>
      </c>
      <c r="H1118" s="37" t="s">
        <v>1602</v>
      </c>
      <c r="I1118" s="39" t="s">
        <v>3340</v>
      </c>
      <c r="J1118" s="24" t="s">
        <v>471</v>
      </c>
      <c r="K1118" s="40"/>
      <c r="L1118" s="38" t="s">
        <v>3771</v>
      </c>
      <c r="M1118" s="44" t="s">
        <v>3784</v>
      </c>
      <c r="N1118" s="46" t="s">
        <v>3361</v>
      </c>
      <c r="O1118" s="47" t="s">
        <v>1706</v>
      </c>
      <c r="P1118" s="50"/>
      <c r="Q1118" s="45"/>
      <c r="R1118" s="25"/>
      <c r="S1118" s="52"/>
    </row>
    <row r="1119" spans="1:19" ht="16.5" customHeight="1" x14ac:dyDescent="0.3">
      <c r="A1119" s="27" t="s">
        <v>487</v>
      </c>
      <c r="B1119" s="28" t="s">
        <v>488</v>
      </c>
      <c r="C1119" s="26" t="s">
        <v>1808</v>
      </c>
      <c r="D1119" s="31" t="s">
        <v>152</v>
      </c>
      <c r="E1119" s="33" t="s">
        <v>3143</v>
      </c>
      <c r="F1119" s="34" t="s">
        <v>561</v>
      </c>
      <c r="G1119" s="32" t="s">
        <v>3250</v>
      </c>
      <c r="H1119" s="37" t="s">
        <v>1602</v>
      </c>
      <c r="I1119" s="39" t="s">
        <v>3340</v>
      </c>
      <c r="J1119" s="24" t="s">
        <v>471</v>
      </c>
      <c r="K1119" s="40"/>
      <c r="L1119" s="38" t="s">
        <v>3362</v>
      </c>
      <c r="M1119" s="44" t="s">
        <v>30</v>
      </c>
      <c r="N1119" s="46" t="s">
        <v>3363</v>
      </c>
      <c r="O1119" s="47" t="s">
        <v>1683</v>
      </c>
      <c r="P1119" s="50"/>
      <c r="Q1119" s="45"/>
      <c r="R1119" s="25"/>
      <c r="S1119" s="52"/>
    </row>
    <row r="1120" spans="1:19" ht="16.5" customHeight="1" x14ac:dyDescent="0.3">
      <c r="A1120" s="27" t="s">
        <v>487</v>
      </c>
      <c r="B1120" s="28" t="s">
        <v>488</v>
      </c>
      <c r="C1120" s="26" t="s">
        <v>1808</v>
      </c>
      <c r="D1120" s="31" t="s">
        <v>152</v>
      </c>
      <c r="E1120" s="33" t="s">
        <v>3143</v>
      </c>
      <c r="F1120" s="34" t="s">
        <v>561</v>
      </c>
      <c r="G1120" s="32" t="s">
        <v>3250</v>
      </c>
      <c r="H1120" s="37" t="s">
        <v>1602</v>
      </c>
      <c r="I1120" s="39" t="s">
        <v>3340</v>
      </c>
      <c r="J1120" s="24" t="s">
        <v>471</v>
      </c>
      <c r="K1120" s="40"/>
      <c r="L1120" s="38" t="s">
        <v>3362</v>
      </c>
      <c r="M1120" s="44" t="s">
        <v>30</v>
      </c>
      <c r="N1120" s="46" t="s">
        <v>3364</v>
      </c>
      <c r="O1120" s="47" t="s">
        <v>1684</v>
      </c>
      <c r="P1120" s="50"/>
      <c r="Q1120" s="45"/>
      <c r="R1120" s="25"/>
      <c r="S1120" s="52"/>
    </row>
    <row r="1121" spans="1:19" ht="16.5" customHeight="1" x14ac:dyDescent="0.3">
      <c r="A1121" s="27" t="s">
        <v>487</v>
      </c>
      <c r="B1121" s="28" t="s">
        <v>488</v>
      </c>
      <c r="C1121" s="26" t="s">
        <v>1808</v>
      </c>
      <c r="D1121" s="31" t="s">
        <v>152</v>
      </c>
      <c r="E1121" s="33" t="s">
        <v>3143</v>
      </c>
      <c r="F1121" s="34" t="s">
        <v>561</v>
      </c>
      <c r="G1121" s="32" t="s">
        <v>3250</v>
      </c>
      <c r="H1121" s="37" t="s">
        <v>1602</v>
      </c>
      <c r="I1121" s="39" t="s">
        <v>3340</v>
      </c>
      <c r="J1121" s="24" t="s">
        <v>471</v>
      </c>
      <c r="K1121" s="40"/>
      <c r="L1121" s="38" t="s">
        <v>3362</v>
      </c>
      <c r="M1121" s="44" t="s">
        <v>30</v>
      </c>
      <c r="N1121" s="46" t="s">
        <v>3365</v>
      </c>
      <c r="O1121" s="47" t="s">
        <v>1685</v>
      </c>
      <c r="P1121" s="50"/>
      <c r="Q1121" s="45"/>
      <c r="R1121" s="25"/>
      <c r="S1121" s="52"/>
    </row>
    <row r="1122" spans="1:19" ht="16.5" customHeight="1" x14ac:dyDescent="0.3">
      <c r="A1122" s="27" t="s">
        <v>487</v>
      </c>
      <c r="B1122" s="28" t="s">
        <v>488</v>
      </c>
      <c r="C1122" s="26" t="s">
        <v>1808</v>
      </c>
      <c r="D1122" s="31" t="s">
        <v>152</v>
      </c>
      <c r="E1122" s="33" t="s">
        <v>3143</v>
      </c>
      <c r="F1122" s="34" t="s">
        <v>561</v>
      </c>
      <c r="G1122" s="32" t="s">
        <v>3250</v>
      </c>
      <c r="H1122" s="37" t="s">
        <v>1602</v>
      </c>
      <c r="I1122" s="39" t="s">
        <v>3340</v>
      </c>
      <c r="J1122" s="24" t="s">
        <v>471</v>
      </c>
      <c r="K1122" s="40"/>
      <c r="L1122" s="38" t="s">
        <v>3362</v>
      </c>
      <c r="M1122" s="44" t="s">
        <v>30</v>
      </c>
      <c r="N1122" s="46" t="s">
        <v>3366</v>
      </c>
      <c r="O1122" s="47" t="s">
        <v>1686</v>
      </c>
      <c r="P1122" s="50"/>
      <c r="Q1122" s="45"/>
      <c r="R1122" s="25"/>
      <c r="S1122" s="52"/>
    </row>
    <row r="1123" spans="1:19" ht="16.5" customHeight="1" x14ac:dyDescent="0.3">
      <c r="A1123" s="27" t="s">
        <v>487</v>
      </c>
      <c r="B1123" s="28" t="s">
        <v>488</v>
      </c>
      <c r="C1123" s="26" t="s">
        <v>1808</v>
      </c>
      <c r="D1123" s="31" t="s">
        <v>152</v>
      </c>
      <c r="E1123" s="33" t="s">
        <v>3143</v>
      </c>
      <c r="F1123" s="34" t="s">
        <v>561</v>
      </c>
      <c r="G1123" s="32" t="s">
        <v>3250</v>
      </c>
      <c r="H1123" s="37" t="s">
        <v>1602</v>
      </c>
      <c r="I1123" s="39" t="s">
        <v>3340</v>
      </c>
      <c r="J1123" s="24" t="s">
        <v>471</v>
      </c>
      <c r="K1123" s="40"/>
      <c r="L1123" s="38" t="s">
        <v>3362</v>
      </c>
      <c r="M1123" s="44" t="s">
        <v>30</v>
      </c>
      <c r="N1123" s="46" t="s">
        <v>3367</v>
      </c>
      <c r="O1123" s="47" t="s">
        <v>1687</v>
      </c>
      <c r="P1123" s="50"/>
      <c r="Q1123" s="45"/>
      <c r="R1123" s="25"/>
      <c r="S1123" s="52"/>
    </row>
    <row r="1124" spans="1:19" ht="16.5" customHeight="1" x14ac:dyDescent="0.3">
      <c r="A1124" s="27" t="s">
        <v>487</v>
      </c>
      <c r="B1124" s="28" t="s">
        <v>488</v>
      </c>
      <c r="C1124" s="26" t="s">
        <v>1808</v>
      </c>
      <c r="D1124" s="31" t="s">
        <v>152</v>
      </c>
      <c r="E1124" s="33" t="s">
        <v>3143</v>
      </c>
      <c r="F1124" s="34" t="s">
        <v>561</v>
      </c>
      <c r="G1124" s="32" t="s">
        <v>3250</v>
      </c>
      <c r="H1124" s="37" t="s">
        <v>1602</v>
      </c>
      <c r="I1124" s="39" t="s">
        <v>3340</v>
      </c>
      <c r="J1124" s="24" t="s">
        <v>471</v>
      </c>
      <c r="K1124" s="40"/>
      <c r="L1124" s="38" t="s">
        <v>3362</v>
      </c>
      <c r="M1124" s="44" t="s">
        <v>30</v>
      </c>
      <c r="N1124" s="46" t="s">
        <v>3368</v>
      </c>
      <c r="O1124" s="47" t="s">
        <v>1688</v>
      </c>
      <c r="P1124" s="50"/>
      <c r="Q1124" s="45"/>
      <c r="R1124" s="25"/>
      <c r="S1124" s="52"/>
    </row>
    <row r="1125" spans="1:19" ht="16.5" customHeight="1" x14ac:dyDescent="0.3">
      <c r="A1125" s="27" t="s">
        <v>487</v>
      </c>
      <c r="B1125" s="28" t="s">
        <v>488</v>
      </c>
      <c r="C1125" s="26" t="s">
        <v>1808</v>
      </c>
      <c r="D1125" s="31" t="s">
        <v>152</v>
      </c>
      <c r="E1125" s="33" t="s">
        <v>3143</v>
      </c>
      <c r="F1125" s="34" t="s">
        <v>561</v>
      </c>
      <c r="G1125" s="32" t="s">
        <v>3250</v>
      </c>
      <c r="H1125" s="37" t="s">
        <v>1602</v>
      </c>
      <c r="I1125" s="39" t="s">
        <v>3340</v>
      </c>
      <c r="J1125" s="24" t="s">
        <v>471</v>
      </c>
      <c r="K1125" s="40"/>
      <c r="L1125" s="38" t="s">
        <v>3362</v>
      </c>
      <c r="M1125" s="44" t="s">
        <v>30</v>
      </c>
      <c r="N1125" s="46" t="s">
        <v>3369</v>
      </c>
      <c r="O1125" s="47" t="s">
        <v>1689</v>
      </c>
      <c r="P1125" s="50"/>
      <c r="Q1125" s="45"/>
      <c r="R1125" s="25"/>
      <c r="S1125" s="52"/>
    </row>
    <row r="1126" spans="1:19" ht="16.5" customHeight="1" x14ac:dyDescent="0.3">
      <c r="A1126" s="27" t="s">
        <v>487</v>
      </c>
      <c r="B1126" s="28" t="s">
        <v>488</v>
      </c>
      <c r="C1126" s="26" t="s">
        <v>1808</v>
      </c>
      <c r="D1126" s="31" t="s">
        <v>152</v>
      </c>
      <c r="E1126" s="33" t="s">
        <v>3143</v>
      </c>
      <c r="F1126" s="34" t="s">
        <v>561</v>
      </c>
      <c r="G1126" s="32" t="s">
        <v>3250</v>
      </c>
      <c r="H1126" s="37" t="s">
        <v>1602</v>
      </c>
      <c r="I1126" s="39" t="s">
        <v>3340</v>
      </c>
      <c r="J1126" s="24" t="s">
        <v>471</v>
      </c>
      <c r="K1126" s="40"/>
      <c r="L1126" s="38" t="s">
        <v>3362</v>
      </c>
      <c r="M1126" s="44" t="s">
        <v>30</v>
      </c>
      <c r="N1126" s="46" t="s">
        <v>3370</v>
      </c>
      <c r="O1126" s="47" t="s">
        <v>1690</v>
      </c>
      <c r="P1126" s="50"/>
      <c r="Q1126" s="45"/>
      <c r="R1126" s="25"/>
      <c r="S1126" s="52"/>
    </row>
    <row r="1127" spans="1:19" ht="16.5" customHeight="1" x14ac:dyDescent="0.3">
      <c r="A1127" s="27" t="s">
        <v>487</v>
      </c>
      <c r="B1127" s="28" t="s">
        <v>488</v>
      </c>
      <c r="C1127" s="26" t="s">
        <v>1808</v>
      </c>
      <c r="D1127" s="31" t="s">
        <v>152</v>
      </c>
      <c r="E1127" s="33" t="s">
        <v>3143</v>
      </c>
      <c r="F1127" s="34" t="s">
        <v>561</v>
      </c>
      <c r="G1127" s="32" t="s">
        <v>3250</v>
      </c>
      <c r="H1127" s="37" t="s">
        <v>1602</v>
      </c>
      <c r="I1127" s="39" t="s">
        <v>3340</v>
      </c>
      <c r="J1127" s="24" t="s">
        <v>471</v>
      </c>
      <c r="K1127" s="40"/>
      <c r="L1127" s="38" t="s">
        <v>3362</v>
      </c>
      <c r="M1127" s="44" t="s">
        <v>30</v>
      </c>
      <c r="N1127" s="46" t="s">
        <v>3371</v>
      </c>
      <c r="O1127" s="47" t="s">
        <v>1776</v>
      </c>
      <c r="P1127" s="50"/>
      <c r="Q1127" s="45"/>
      <c r="R1127" s="25"/>
      <c r="S1127" s="52"/>
    </row>
    <row r="1128" spans="1:19" ht="16.5" customHeight="1" x14ac:dyDescent="0.3">
      <c r="A1128" s="27" t="s">
        <v>487</v>
      </c>
      <c r="B1128" s="28" t="s">
        <v>488</v>
      </c>
      <c r="C1128" s="26" t="s">
        <v>1808</v>
      </c>
      <c r="D1128" s="31" t="s">
        <v>152</v>
      </c>
      <c r="E1128" s="33" t="s">
        <v>3143</v>
      </c>
      <c r="F1128" s="34" t="s">
        <v>561</v>
      </c>
      <c r="G1128" s="32" t="s">
        <v>3250</v>
      </c>
      <c r="H1128" s="37" t="s">
        <v>1602</v>
      </c>
      <c r="I1128" s="39" t="s">
        <v>3340</v>
      </c>
      <c r="J1128" s="24" t="s">
        <v>471</v>
      </c>
      <c r="K1128" s="40"/>
      <c r="L1128" s="38" t="s">
        <v>3362</v>
      </c>
      <c r="M1128" s="44" t="s">
        <v>30</v>
      </c>
      <c r="N1128" s="46" t="s">
        <v>3372</v>
      </c>
      <c r="O1128" s="47" t="s">
        <v>1777</v>
      </c>
      <c r="P1128" s="50"/>
      <c r="Q1128" s="45"/>
      <c r="R1128" s="25"/>
      <c r="S1128" s="52"/>
    </row>
    <row r="1129" spans="1:19" ht="16.5" customHeight="1" x14ac:dyDescent="0.3">
      <c r="A1129" s="27" t="s">
        <v>487</v>
      </c>
      <c r="B1129" s="28" t="s">
        <v>488</v>
      </c>
      <c r="C1129" s="26" t="s">
        <v>1808</v>
      </c>
      <c r="D1129" s="31" t="s">
        <v>152</v>
      </c>
      <c r="E1129" s="33" t="s">
        <v>3143</v>
      </c>
      <c r="F1129" s="34" t="s">
        <v>561</v>
      </c>
      <c r="G1129" s="32" t="s">
        <v>3250</v>
      </c>
      <c r="H1129" s="37" t="s">
        <v>1602</v>
      </c>
      <c r="I1129" s="39" t="s">
        <v>3340</v>
      </c>
      <c r="J1129" s="24" t="s">
        <v>471</v>
      </c>
      <c r="K1129" s="40"/>
      <c r="L1129" s="38" t="s">
        <v>3362</v>
      </c>
      <c r="M1129" s="44" t="s">
        <v>30</v>
      </c>
      <c r="N1129" s="46" t="s">
        <v>3373</v>
      </c>
      <c r="O1129" s="47" t="s">
        <v>1780</v>
      </c>
      <c r="P1129" s="50"/>
      <c r="Q1129" s="45"/>
      <c r="R1129" s="25"/>
      <c r="S1129" s="52"/>
    </row>
    <row r="1130" spans="1:19" ht="16.5" customHeight="1" x14ac:dyDescent="0.3">
      <c r="A1130" s="27" t="s">
        <v>487</v>
      </c>
      <c r="B1130" s="28" t="s">
        <v>488</v>
      </c>
      <c r="C1130" s="26" t="s">
        <v>1808</v>
      </c>
      <c r="D1130" s="31" t="s">
        <v>152</v>
      </c>
      <c r="E1130" s="33" t="s">
        <v>3143</v>
      </c>
      <c r="F1130" s="34" t="s">
        <v>561</v>
      </c>
      <c r="G1130" s="32" t="s">
        <v>3250</v>
      </c>
      <c r="H1130" s="37" t="s">
        <v>1602</v>
      </c>
      <c r="I1130" s="39" t="s">
        <v>3340</v>
      </c>
      <c r="J1130" s="24" t="s">
        <v>471</v>
      </c>
      <c r="K1130" s="40"/>
      <c r="L1130" s="38" t="s">
        <v>3362</v>
      </c>
      <c r="M1130" s="44" t="s">
        <v>30</v>
      </c>
      <c r="N1130" s="46" t="s">
        <v>3374</v>
      </c>
      <c r="O1130" s="47" t="s">
        <v>1691</v>
      </c>
      <c r="P1130" s="50"/>
      <c r="Q1130" s="45"/>
      <c r="R1130" s="25"/>
      <c r="S1130" s="52"/>
    </row>
    <row r="1131" spans="1:19" ht="16.5" customHeight="1" x14ac:dyDescent="0.3">
      <c r="A1131" s="27" t="s">
        <v>487</v>
      </c>
      <c r="B1131" s="28" t="s">
        <v>488</v>
      </c>
      <c r="C1131" s="26" t="s">
        <v>1808</v>
      </c>
      <c r="D1131" s="31" t="s">
        <v>152</v>
      </c>
      <c r="E1131" s="33" t="s">
        <v>3143</v>
      </c>
      <c r="F1131" s="34" t="s">
        <v>561</v>
      </c>
      <c r="G1131" s="32" t="s">
        <v>3250</v>
      </c>
      <c r="H1131" s="37" t="s">
        <v>1602</v>
      </c>
      <c r="I1131" s="39" t="s">
        <v>3340</v>
      </c>
      <c r="J1131" s="24" t="s">
        <v>471</v>
      </c>
      <c r="K1131" s="40"/>
      <c r="L1131" s="38" t="s">
        <v>3362</v>
      </c>
      <c r="M1131" s="44" t="s">
        <v>30</v>
      </c>
      <c r="N1131" s="46" t="s">
        <v>3375</v>
      </c>
      <c r="O1131" s="47" t="s">
        <v>1692</v>
      </c>
      <c r="P1131" s="50"/>
      <c r="Q1131" s="45"/>
      <c r="R1131" s="25"/>
      <c r="S1131" s="52"/>
    </row>
    <row r="1132" spans="1:19" ht="16.5" customHeight="1" x14ac:dyDescent="0.3">
      <c r="A1132" s="27" t="s">
        <v>487</v>
      </c>
      <c r="B1132" s="28" t="s">
        <v>488</v>
      </c>
      <c r="C1132" s="26" t="s">
        <v>1808</v>
      </c>
      <c r="D1132" s="31" t="s">
        <v>152</v>
      </c>
      <c r="E1132" s="33" t="s">
        <v>3143</v>
      </c>
      <c r="F1132" s="34" t="s">
        <v>561</v>
      </c>
      <c r="G1132" s="32" t="s">
        <v>3250</v>
      </c>
      <c r="H1132" s="37" t="s">
        <v>1602</v>
      </c>
      <c r="I1132" s="39" t="s">
        <v>3340</v>
      </c>
      <c r="J1132" s="24" t="s">
        <v>471</v>
      </c>
      <c r="K1132" s="40"/>
      <c r="L1132" s="38" t="s">
        <v>3362</v>
      </c>
      <c r="M1132" s="44" t="s">
        <v>30</v>
      </c>
      <c r="N1132" s="46" t="s">
        <v>3376</v>
      </c>
      <c r="O1132" s="47" t="s">
        <v>1693</v>
      </c>
      <c r="P1132" s="50"/>
      <c r="Q1132" s="45"/>
      <c r="R1132" s="25"/>
      <c r="S1132" s="52"/>
    </row>
    <row r="1133" spans="1:19" ht="16.5" customHeight="1" x14ac:dyDescent="0.3">
      <c r="A1133" s="27" t="s">
        <v>487</v>
      </c>
      <c r="B1133" s="28" t="s">
        <v>488</v>
      </c>
      <c r="C1133" s="26" t="s">
        <v>1808</v>
      </c>
      <c r="D1133" s="31" t="s">
        <v>152</v>
      </c>
      <c r="E1133" s="33" t="s">
        <v>3143</v>
      </c>
      <c r="F1133" s="34" t="s">
        <v>561</v>
      </c>
      <c r="G1133" s="32" t="s">
        <v>3250</v>
      </c>
      <c r="H1133" s="37" t="s">
        <v>1602</v>
      </c>
      <c r="I1133" s="39" t="s">
        <v>3340</v>
      </c>
      <c r="J1133" s="24" t="s">
        <v>471</v>
      </c>
      <c r="K1133" s="40"/>
      <c r="L1133" s="38" t="s">
        <v>3362</v>
      </c>
      <c r="M1133" s="44" t="s">
        <v>30</v>
      </c>
      <c r="N1133" s="46" t="s">
        <v>3377</v>
      </c>
      <c r="O1133" s="47" t="s">
        <v>1695</v>
      </c>
      <c r="P1133" s="50"/>
      <c r="Q1133" s="45"/>
      <c r="R1133" s="25"/>
      <c r="S1133" s="52"/>
    </row>
    <row r="1134" spans="1:19" ht="16.5" customHeight="1" x14ac:dyDescent="0.3">
      <c r="A1134" s="27" t="s">
        <v>487</v>
      </c>
      <c r="B1134" s="28" t="s">
        <v>488</v>
      </c>
      <c r="C1134" s="26" t="s">
        <v>1808</v>
      </c>
      <c r="D1134" s="31" t="s">
        <v>152</v>
      </c>
      <c r="E1134" s="33" t="s">
        <v>3143</v>
      </c>
      <c r="F1134" s="34" t="s">
        <v>561</v>
      </c>
      <c r="G1134" s="32" t="s">
        <v>3250</v>
      </c>
      <c r="H1134" s="37" t="s">
        <v>1602</v>
      </c>
      <c r="I1134" s="39" t="s">
        <v>3340</v>
      </c>
      <c r="J1134" s="24" t="s">
        <v>471</v>
      </c>
      <c r="K1134" s="40"/>
      <c r="L1134" s="38" t="s">
        <v>3378</v>
      </c>
      <c r="M1134" s="44" t="s">
        <v>123</v>
      </c>
      <c r="N1134" s="46"/>
      <c r="O1134" s="47"/>
      <c r="P1134" s="50"/>
      <c r="Q1134" s="45"/>
      <c r="R1134" s="25"/>
      <c r="S1134" s="52"/>
    </row>
    <row r="1135" spans="1:19" ht="16.5" customHeight="1" x14ac:dyDescent="0.3">
      <c r="A1135" s="27" t="s">
        <v>487</v>
      </c>
      <c r="B1135" s="28" t="s">
        <v>488</v>
      </c>
      <c r="C1135" s="26" t="s">
        <v>1808</v>
      </c>
      <c r="D1135" s="31" t="s">
        <v>152</v>
      </c>
      <c r="E1135" s="33" t="s">
        <v>3143</v>
      </c>
      <c r="F1135" s="34" t="s">
        <v>561</v>
      </c>
      <c r="G1135" s="32" t="s">
        <v>3250</v>
      </c>
      <c r="H1135" s="37" t="s">
        <v>1602</v>
      </c>
      <c r="I1135" s="39" t="s">
        <v>3379</v>
      </c>
      <c r="J1135" s="24" t="s">
        <v>1239</v>
      </c>
      <c r="K1135" s="40"/>
      <c r="L1135" s="38" t="s">
        <v>3380</v>
      </c>
      <c r="M1135" s="44" t="s">
        <v>3785</v>
      </c>
      <c r="N1135" s="46" t="s">
        <v>3381</v>
      </c>
      <c r="O1135" s="47" t="s">
        <v>1718</v>
      </c>
      <c r="P1135" s="50"/>
      <c r="Q1135" s="45"/>
      <c r="R1135" s="25"/>
      <c r="S1135" s="52"/>
    </row>
    <row r="1136" spans="1:19" ht="16.5" customHeight="1" x14ac:dyDescent="0.3">
      <c r="A1136" s="27" t="s">
        <v>487</v>
      </c>
      <c r="B1136" s="28" t="s">
        <v>488</v>
      </c>
      <c r="C1136" s="26" t="s">
        <v>1808</v>
      </c>
      <c r="D1136" s="31" t="s">
        <v>152</v>
      </c>
      <c r="E1136" s="33" t="s">
        <v>3143</v>
      </c>
      <c r="F1136" s="34" t="s">
        <v>561</v>
      </c>
      <c r="G1136" s="32" t="s">
        <v>3250</v>
      </c>
      <c r="H1136" s="37" t="s">
        <v>1602</v>
      </c>
      <c r="I1136" s="39" t="s">
        <v>3379</v>
      </c>
      <c r="J1136" s="24" t="s">
        <v>1239</v>
      </c>
      <c r="K1136" s="40"/>
      <c r="L1136" s="38" t="s">
        <v>3380</v>
      </c>
      <c r="M1136" s="44" t="s">
        <v>3785</v>
      </c>
      <c r="N1136" s="46" t="s">
        <v>3382</v>
      </c>
      <c r="O1136" s="47" t="s">
        <v>1728</v>
      </c>
      <c r="P1136" s="50"/>
      <c r="Q1136" s="45"/>
      <c r="R1136" s="25"/>
      <c r="S1136" s="52"/>
    </row>
    <row r="1137" spans="1:19" ht="16.5" customHeight="1" x14ac:dyDescent="0.3">
      <c r="A1137" s="27" t="s">
        <v>487</v>
      </c>
      <c r="B1137" s="28" t="s">
        <v>488</v>
      </c>
      <c r="C1137" s="26" t="s">
        <v>1808</v>
      </c>
      <c r="D1137" s="31" t="s">
        <v>152</v>
      </c>
      <c r="E1137" s="33" t="s">
        <v>3143</v>
      </c>
      <c r="F1137" s="34" t="s">
        <v>561</v>
      </c>
      <c r="G1137" s="32" t="s">
        <v>3250</v>
      </c>
      <c r="H1137" s="37" t="s">
        <v>1602</v>
      </c>
      <c r="I1137" s="39" t="s">
        <v>3379</v>
      </c>
      <c r="J1137" s="24" t="s">
        <v>1239</v>
      </c>
      <c r="K1137" s="40"/>
      <c r="L1137" s="38" t="s">
        <v>3380</v>
      </c>
      <c r="M1137" s="44" t="s">
        <v>3785</v>
      </c>
      <c r="N1137" s="46" t="s">
        <v>3383</v>
      </c>
      <c r="O1137" s="47" t="s">
        <v>1727</v>
      </c>
      <c r="P1137" s="50"/>
      <c r="Q1137" s="45"/>
      <c r="R1137" s="25"/>
      <c r="S1137" s="52"/>
    </row>
    <row r="1138" spans="1:19" ht="16.5" customHeight="1" x14ac:dyDescent="0.3">
      <c r="A1138" s="27" t="s">
        <v>487</v>
      </c>
      <c r="B1138" s="28" t="s">
        <v>488</v>
      </c>
      <c r="C1138" s="26" t="s">
        <v>1808</v>
      </c>
      <c r="D1138" s="31" t="s">
        <v>152</v>
      </c>
      <c r="E1138" s="33" t="s">
        <v>3143</v>
      </c>
      <c r="F1138" s="34" t="s">
        <v>561</v>
      </c>
      <c r="G1138" s="32" t="s">
        <v>3250</v>
      </c>
      <c r="H1138" s="37" t="s">
        <v>1602</v>
      </c>
      <c r="I1138" s="39" t="s">
        <v>3379</v>
      </c>
      <c r="J1138" s="24" t="s">
        <v>1239</v>
      </c>
      <c r="K1138" s="40"/>
      <c r="L1138" s="38" t="s">
        <v>3384</v>
      </c>
      <c r="M1138" s="44" t="s">
        <v>1732</v>
      </c>
      <c r="N1138" s="46" t="s">
        <v>3385</v>
      </c>
      <c r="O1138" s="47" t="s">
        <v>1729</v>
      </c>
      <c r="P1138" s="50"/>
      <c r="Q1138" s="45"/>
      <c r="R1138" s="25"/>
      <c r="S1138" s="52"/>
    </row>
    <row r="1139" spans="1:19" ht="16.5" customHeight="1" x14ac:dyDescent="0.3">
      <c r="A1139" s="27" t="s">
        <v>487</v>
      </c>
      <c r="B1139" s="28" t="s">
        <v>488</v>
      </c>
      <c r="C1139" s="26" t="s">
        <v>1808</v>
      </c>
      <c r="D1139" s="31" t="s">
        <v>152</v>
      </c>
      <c r="E1139" s="33" t="s">
        <v>3143</v>
      </c>
      <c r="F1139" s="34" t="s">
        <v>561</v>
      </c>
      <c r="G1139" s="32" t="s">
        <v>3250</v>
      </c>
      <c r="H1139" s="37" t="s">
        <v>1602</v>
      </c>
      <c r="I1139" s="39" t="s">
        <v>3379</v>
      </c>
      <c r="J1139" s="24" t="s">
        <v>1239</v>
      </c>
      <c r="K1139" s="40"/>
      <c r="L1139" s="38" t="s">
        <v>3384</v>
      </c>
      <c r="M1139" s="44" t="s">
        <v>1732</v>
      </c>
      <c r="N1139" s="46" t="s">
        <v>3386</v>
      </c>
      <c r="O1139" s="47" t="s">
        <v>1730</v>
      </c>
      <c r="P1139" s="50"/>
      <c r="Q1139" s="45"/>
      <c r="R1139" s="25"/>
      <c r="S1139" s="52"/>
    </row>
    <row r="1140" spans="1:19" ht="16.5" customHeight="1" x14ac:dyDescent="0.3">
      <c r="A1140" s="27" t="s">
        <v>487</v>
      </c>
      <c r="B1140" s="28" t="s">
        <v>488</v>
      </c>
      <c r="C1140" s="26" t="s">
        <v>1808</v>
      </c>
      <c r="D1140" s="31" t="s">
        <v>152</v>
      </c>
      <c r="E1140" s="33" t="s">
        <v>3143</v>
      </c>
      <c r="F1140" s="34" t="s">
        <v>561</v>
      </c>
      <c r="G1140" s="32" t="s">
        <v>3250</v>
      </c>
      <c r="H1140" s="37" t="s">
        <v>1602</v>
      </c>
      <c r="I1140" s="39" t="s">
        <v>3379</v>
      </c>
      <c r="J1140" s="24" t="s">
        <v>1239</v>
      </c>
      <c r="K1140" s="40"/>
      <c r="L1140" s="38" t="s">
        <v>3384</v>
      </c>
      <c r="M1140" s="44" t="s">
        <v>1732</v>
      </c>
      <c r="N1140" s="46" t="s">
        <v>3387</v>
      </c>
      <c r="O1140" s="47" t="s">
        <v>1731</v>
      </c>
      <c r="P1140" s="50"/>
      <c r="Q1140" s="45"/>
      <c r="R1140" s="25"/>
      <c r="S1140" s="52"/>
    </row>
    <row r="1141" spans="1:19" ht="16.5" customHeight="1" x14ac:dyDescent="0.3">
      <c r="A1141" s="27" t="s">
        <v>487</v>
      </c>
      <c r="B1141" s="28" t="s">
        <v>488</v>
      </c>
      <c r="C1141" s="26" t="s">
        <v>1808</v>
      </c>
      <c r="D1141" s="31" t="s">
        <v>152</v>
      </c>
      <c r="E1141" s="33" t="s">
        <v>3143</v>
      </c>
      <c r="F1141" s="34" t="s">
        <v>561</v>
      </c>
      <c r="G1141" s="32" t="s">
        <v>3250</v>
      </c>
      <c r="H1141" s="37" t="s">
        <v>1602</v>
      </c>
      <c r="I1141" s="39" t="s">
        <v>3379</v>
      </c>
      <c r="J1141" s="24" t="s">
        <v>1239</v>
      </c>
      <c r="K1141" s="40"/>
      <c r="L1141" s="38" t="s">
        <v>3388</v>
      </c>
      <c r="M1141" s="44" t="s">
        <v>26</v>
      </c>
      <c r="N1141" s="46" t="s">
        <v>3389</v>
      </c>
      <c r="O1141" s="47" t="s">
        <v>1719</v>
      </c>
      <c r="P1141" s="50"/>
      <c r="Q1141" s="45"/>
      <c r="R1141" s="25"/>
      <c r="S1141" s="52"/>
    </row>
    <row r="1142" spans="1:19" ht="16.5" customHeight="1" x14ac:dyDescent="0.3">
      <c r="A1142" s="27" t="s">
        <v>487</v>
      </c>
      <c r="B1142" s="28" t="s">
        <v>488</v>
      </c>
      <c r="C1142" s="26" t="s">
        <v>1808</v>
      </c>
      <c r="D1142" s="31" t="s">
        <v>152</v>
      </c>
      <c r="E1142" s="33" t="s">
        <v>3143</v>
      </c>
      <c r="F1142" s="34" t="s">
        <v>561</v>
      </c>
      <c r="G1142" s="32" t="s">
        <v>3250</v>
      </c>
      <c r="H1142" s="37" t="s">
        <v>1602</v>
      </c>
      <c r="I1142" s="39" t="s">
        <v>3379</v>
      </c>
      <c r="J1142" s="24" t="s">
        <v>1239</v>
      </c>
      <c r="K1142" s="40"/>
      <c r="L1142" s="38" t="s">
        <v>3390</v>
      </c>
      <c r="M1142" s="44" t="s">
        <v>16</v>
      </c>
      <c r="N1142" s="46" t="s">
        <v>3786</v>
      </c>
      <c r="O1142" s="47" t="s">
        <v>1726</v>
      </c>
      <c r="P1142" s="50"/>
      <c r="Q1142" s="45"/>
      <c r="R1142" s="25"/>
      <c r="S1142" s="52"/>
    </row>
    <row r="1143" spans="1:19" ht="16.5" customHeight="1" x14ac:dyDescent="0.3">
      <c r="A1143" s="27" t="s">
        <v>487</v>
      </c>
      <c r="B1143" s="28" t="s">
        <v>488</v>
      </c>
      <c r="C1143" s="26" t="s">
        <v>1808</v>
      </c>
      <c r="D1143" s="31" t="s">
        <v>152</v>
      </c>
      <c r="E1143" s="33" t="s">
        <v>3143</v>
      </c>
      <c r="F1143" s="34" t="s">
        <v>561</v>
      </c>
      <c r="G1143" s="32" t="s">
        <v>3250</v>
      </c>
      <c r="H1143" s="37" t="s">
        <v>1602</v>
      </c>
      <c r="I1143" s="39" t="s">
        <v>3379</v>
      </c>
      <c r="J1143" s="24" t="s">
        <v>1239</v>
      </c>
      <c r="K1143" s="40"/>
      <c r="L1143" s="38" t="s">
        <v>3391</v>
      </c>
      <c r="M1143" s="44" t="s">
        <v>1720</v>
      </c>
      <c r="N1143" s="46" t="s">
        <v>3392</v>
      </c>
      <c r="O1143" s="47" t="s">
        <v>1721</v>
      </c>
      <c r="P1143" s="50"/>
      <c r="Q1143" s="45"/>
      <c r="R1143" s="25"/>
      <c r="S1143" s="52"/>
    </row>
    <row r="1144" spans="1:19" ht="16.5" customHeight="1" x14ac:dyDescent="0.3">
      <c r="A1144" s="27" t="s">
        <v>487</v>
      </c>
      <c r="B1144" s="28" t="s">
        <v>488</v>
      </c>
      <c r="C1144" s="26" t="s">
        <v>1808</v>
      </c>
      <c r="D1144" s="31" t="s">
        <v>152</v>
      </c>
      <c r="E1144" s="33" t="s">
        <v>3143</v>
      </c>
      <c r="F1144" s="34" t="s">
        <v>561</v>
      </c>
      <c r="G1144" s="32" t="s">
        <v>3250</v>
      </c>
      <c r="H1144" s="37" t="s">
        <v>1602</v>
      </c>
      <c r="I1144" s="39" t="s">
        <v>3379</v>
      </c>
      <c r="J1144" s="24" t="s">
        <v>1239</v>
      </c>
      <c r="K1144" s="40"/>
      <c r="L1144" s="38" t="s">
        <v>3393</v>
      </c>
      <c r="M1144" s="44" t="s">
        <v>718</v>
      </c>
      <c r="N1144" s="46" t="s">
        <v>3394</v>
      </c>
      <c r="O1144" s="47" t="s">
        <v>1236</v>
      </c>
      <c r="P1144" s="50"/>
      <c r="Q1144" s="45"/>
      <c r="R1144" s="25"/>
      <c r="S1144" s="52"/>
    </row>
    <row r="1145" spans="1:19" ht="16.5" customHeight="1" x14ac:dyDescent="0.3">
      <c r="A1145" s="27" t="s">
        <v>487</v>
      </c>
      <c r="B1145" s="28" t="s">
        <v>488</v>
      </c>
      <c r="C1145" s="26" t="s">
        <v>1808</v>
      </c>
      <c r="D1145" s="31" t="s">
        <v>152</v>
      </c>
      <c r="E1145" s="33" t="s">
        <v>3143</v>
      </c>
      <c r="F1145" s="34" t="s">
        <v>561</v>
      </c>
      <c r="G1145" s="32" t="s">
        <v>3250</v>
      </c>
      <c r="H1145" s="37" t="s">
        <v>1602</v>
      </c>
      <c r="I1145" s="39" t="s">
        <v>3379</v>
      </c>
      <c r="J1145" s="24" t="s">
        <v>1239</v>
      </c>
      <c r="K1145" s="40"/>
      <c r="L1145" s="38" t="s">
        <v>3393</v>
      </c>
      <c r="M1145" s="44" t="s">
        <v>718</v>
      </c>
      <c r="N1145" s="46" t="s">
        <v>3395</v>
      </c>
      <c r="O1145" s="47" t="s">
        <v>1237</v>
      </c>
      <c r="P1145" s="50"/>
      <c r="Q1145" s="45"/>
      <c r="R1145" s="25"/>
      <c r="S1145" s="52"/>
    </row>
    <row r="1146" spans="1:19" ht="16.5" customHeight="1" x14ac:dyDescent="0.3">
      <c r="A1146" s="27" t="s">
        <v>487</v>
      </c>
      <c r="B1146" s="28" t="s">
        <v>488</v>
      </c>
      <c r="C1146" s="26" t="s">
        <v>1808</v>
      </c>
      <c r="D1146" s="31" t="s">
        <v>152</v>
      </c>
      <c r="E1146" s="33" t="s">
        <v>3143</v>
      </c>
      <c r="F1146" s="34" t="s">
        <v>561</v>
      </c>
      <c r="G1146" s="32" t="s">
        <v>3250</v>
      </c>
      <c r="H1146" s="37" t="s">
        <v>1602</v>
      </c>
      <c r="I1146" s="39" t="s">
        <v>3379</v>
      </c>
      <c r="J1146" s="24" t="s">
        <v>1239</v>
      </c>
      <c r="K1146" s="40"/>
      <c r="L1146" s="38" t="s">
        <v>3390</v>
      </c>
      <c r="M1146" s="44" t="s">
        <v>16</v>
      </c>
      <c r="N1146" s="46" t="s">
        <v>3396</v>
      </c>
      <c r="O1146" s="47" t="s">
        <v>1325</v>
      </c>
      <c r="P1146" s="50"/>
      <c r="Q1146" s="45"/>
      <c r="R1146" s="25"/>
      <c r="S1146" s="52"/>
    </row>
    <row r="1147" spans="1:19" ht="16.5" customHeight="1" x14ac:dyDescent="0.3">
      <c r="A1147" s="27" t="s">
        <v>487</v>
      </c>
      <c r="B1147" s="28" t="s">
        <v>488</v>
      </c>
      <c r="C1147" s="26" t="s">
        <v>1808</v>
      </c>
      <c r="D1147" s="31" t="s">
        <v>152</v>
      </c>
      <c r="E1147" s="33" t="s">
        <v>3143</v>
      </c>
      <c r="F1147" s="34" t="s">
        <v>561</v>
      </c>
      <c r="G1147" s="32" t="s">
        <v>3250</v>
      </c>
      <c r="H1147" s="37" t="s">
        <v>1602</v>
      </c>
      <c r="I1147" s="39" t="s">
        <v>3379</v>
      </c>
      <c r="J1147" s="24" t="s">
        <v>1239</v>
      </c>
      <c r="K1147" s="40"/>
      <c r="L1147" s="38" t="s">
        <v>3390</v>
      </c>
      <c r="M1147" s="44" t="s">
        <v>16</v>
      </c>
      <c r="N1147" s="46" t="s">
        <v>3397</v>
      </c>
      <c r="O1147" s="47" t="s">
        <v>1326</v>
      </c>
      <c r="P1147" s="50"/>
      <c r="Q1147" s="45"/>
      <c r="R1147" s="25"/>
      <c r="S1147" s="52"/>
    </row>
    <row r="1148" spans="1:19" ht="16.5" customHeight="1" x14ac:dyDescent="0.3">
      <c r="A1148" s="27" t="s">
        <v>487</v>
      </c>
      <c r="B1148" s="28" t="s">
        <v>488</v>
      </c>
      <c r="C1148" s="26" t="s">
        <v>1808</v>
      </c>
      <c r="D1148" s="31" t="s">
        <v>152</v>
      </c>
      <c r="E1148" s="33" t="s">
        <v>3143</v>
      </c>
      <c r="F1148" s="34" t="s">
        <v>561</v>
      </c>
      <c r="G1148" s="32" t="s">
        <v>3250</v>
      </c>
      <c r="H1148" s="37" t="s">
        <v>1602</v>
      </c>
      <c r="I1148" s="39" t="s">
        <v>3379</v>
      </c>
      <c r="J1148" s="24" t="s">
        <v>1239</v>
      </c>
      <c r="K1148" s="40"/>
      <c r="L1148" s="38" t="s">
        <v>3390</v>
      </c>
      <c r="M1148" s="44" t="s">
        <v>16</v>
      </c>
      <c r="N1148" s="46" t="s">
        <v>3398</v>
      </c>
      <c r="O1148" s="47" t="s">
        <v>1238</v>
      </c>
      <c r="P1148" s="50"/>
      <c r="Q1148" s="45"/>
      <c r="R1148" s="25"/>
      <c r="S1148" s="52"/>
    </row>
    <row r="1149" spans="1:19" ht="16.5" customHeight="1" x14ac:dyDescent="0.3">
      <c r="A1149" s="27" t="s">
        <v>487</v>
      </c>
      <c r="B1149" s="28" t="s">
        <v>488</v>
      </c>
      <c r="C1149" s="26" t="s">
        <v>1808</v>
      </c>
      <c r="D1149" s="31" t="s">
        <v>152</v>
      </c>
      <c r="E1149" s="33" t="s">
        <v>3143</v>
      </c>
      <c r="F1149" s="34" t="s">
        <v>561</v>
      </c>
      <c r="G1149" s="32" t="s">
        <v>3250</v>
      </c>
      <c r="H1149" s="37" t="s">
        <v>1602</v>
      </c>
      <c r="I1149" s="39" t="s">
        <v>3379</v>
      </c>
      <c r="J1149" s="24" t="s">
        <v>1239</v>
      </c>
      <c r="K1149" s="40"/>
      <c r="L1149" s="38" t="s">
        <v>3399</v>
      </c>
      <c r="M1149" s="44" t="s">
        <v>1665</v>
      </c>
      <c r="N1149" s="46" t="s">
        <v>3400</v>
      </c>
      <c r="O1149" s="47" t="s">
        <v>1722</v>
      </c>
      <c r="P1149" s="50"/>
      <c r="Q1149" s="45"/>
      <c r="R1149" s="25"/>
      <c r="S1149" s="52"/>
    </row>
    <row r="1150" spans="1:19" ht="16.5" customHeight="1" x14ac:dyDescent="0.3">
      <c r="A1150" s="27" t="s">
        <v>487</v>
      </c>
      <c r="B1150" s="28" t="s">
        <v>488</v>
      </c>
      <c r="C1150" s="26" t="s">
        <v>1808</v>
      </c>
      <c r="D1150" s="31" t="s">
        <v>152</v>
      </c>
      <c r="E1150" s="33" t="s">
        <v>3143</v>
      </c>
      <c r="F1150" s="34" t="s">
        <v>561</v>
      </c>
      <c r="G1150" s="32" t="s">
        <v>3250</v>
      </c>
      <c r="H1150" s="37" t="s">
        <v>1602</v>
      </c>
      <c r="I1150" s="39" t="s">
        <v>3379</v>
      </c>
      <c r="J1150" s="24" t="s">
        <v>1239</v>
      </c>
      <c r="K1150" s="40"/>
      <c r="L1150" s="38" t="s">
        <v>3399</v>
      </c>
      <c r="M1150" s="44" t="s">
        <v>1665</v>
      </c>
      <c r="N1150" s="46" t="s">
        <v>3401</v>
      </c>
      <c r="O1150" s="47" t="s">
        <v>1723</v>
      </c>
      <c r="P1150" s="50"/>
      <c r="Q1150" s="45"/>
      <c r="R1150" s="25"/>
      <c r="S1150" s="52"/>
    </row>
    <row r="1151" spans="1:19" ht="16.5" customHeight="1" x14ac:dyDescent="0.3">
      <c r="A1151" s="27" t="s">
        <v>487</v>
      </c>
      <c r="B1151" s="28" t="s">
        <v>488</v>
      </c>
      <c r="C1151" s="26" t="s">
        <v>1808</v>
      </c>
      <c r="D1151" s="31" t="s">
        <v>152</v>
      </c>
      <c r="E1151" s="33" t="s">
        <v>3143</v>
      </c>
      <c r="F1151" s="34" t="s">
        <v>561</v>
      </c>
      <c r="G1151" s="32" t="s">
        <v>3250</v>
      </c>
      <c r="H1151" s="37" t="s">
        <v>1602</v>
      </c>
      <c r="I1151" s="39" t="s">
        <v>3379</v>
      </c>
      <c r="J1151" s="24" t="s">
        <v>1239</v>
      </c>
      <c r="K1151" s="40"/>
      <c r="L1151" s="38" t="s">
        <v>3399</v>
      </c>
      <c r="M1151" s="44" t="s">
        <v>1665</v>
      </c>
      <c r="N1151" s="46" t="s">
        <v>3402</v>
      </c>
      <c r="O1151" s="47" t="s">
        <v>1671</v>
      </c>
      <c r="P1151" s="50"/>
      <c r="Q1151" s="45"/>
      <c r="R1151" s="25"/>
      <c r="S1151" s="52"/>
    </row>
    <row r="1152" spans="1:19" ht="16.5" customHeight="1" x14ac:dyDescent="0.3">
      <c r="A1152" s="27" t="s">
        <v>487</v>
      </c>
      <c r="B1152" s="28" t="s">
        <v>488</v>
      </c>
      <c r="C1152" s="26" t="s">
        <v>1808</v>
      </c>
      <c r="D1152" s="31" t="s">
        <v>152</v>
      </c>
      <c r="E1152" s="33" t="s">
        <v>3143</v>
      </c>
      <c r="F1152" s="34" t="s">
        <v>561</v>
      </c>
      <c r="G1152" s="32" t="s">
        <v>3250</v>
      </c>
      <c r="H1152" s="37" t="s">
        <v>1602</v>
      </c>
      <c r="I1152" s="39" t="s">
        <v>3379</v>
      </c>
      <c r="J1152" s="24" t="s">
        <v>1239</v>
      </c>
      <c r="K1152" s="40"/>
      <c r="L1152" s="38" t="s">
        <v>3399</v>
      </c>
      <c r="M1152" s="44" t="s">
        <v>1665</v>
      </c>
      <c r="N1152" s="46" t="s">
        <v>3403</v>
      </c>
      <c r="O1152" s="47" t="s">
        <v>1724</v>
      </c>
      <c r="P1152" s="50"/>
      <c r="Q1152" s="45"/>
      <c r="R1152" s="25"/>
      <c r="S1152" s="52"/>
    </row>
    <row r="1153" spans="1:19" ht="16.5" customHeight="1" x14ac:dyDescent="0.3">
      <c r="A1153" s="27" t="s">
        <v>487</v>
      </c>
      <c r="B1153" s="28" t="s">
        <v>488</v>
      </c>
      <c r="C1153" s="26" t="s">
        <v>1808</v>
      </c>
      <c r="D1153" s="31" t="s">
        <v>152</v>
      </c>
      <c r="E1153" s="33" t="s">
        <v>3143</v>
      </c>
      <c r="F1153" s="34" t="s">
        <v>561</v>
      </c>
      <c r="G1153" s="32" t="s">
        <v>3250</v>
      </c>
      <c r="H1153" s="37" t="s">
        <v>1602</v>
      </c>
      <c r="I1153" s="39" t="s">
        <v>3379</v>
      </c>
      <c r="J1153" s="24" t="s">
        <v>1239</v>
      </c>
      <c r="K1153" s="40"/>
      <c r="L1153" s="38" t="s">
        <v>3399</v>
      </c>
      <c r="M1153" s="44" t="s">
        <v>1665</v>
      </c>
      <c r="N1153" s="46" t="s">
        <v>3404</v>
      </c>
      <c r="O1153" s="47" t="s">
        <v>1724</v>
      </c>
      <c r="P1153" s="50"/>
      <c r="Q1153" s="45"/>
      <c r="R1153" s="25"/>
      <c r="S1153" s="52"/>
    </row>
    <row r="1154" spans="1:19" ht="16.5" customHeight="1" x14ac:dyDescent="0.3">
      <c r="A1154" s="27" t="s">
        <v>487</v>
      </c>
      <c r="B1154" s="28" t="s">
        <v>488</v>
      </c>
      <c r="C1154" s="26" t="s">
        <v>1808</v>
      </c>
      <c r="D1154" s="31" t="s">
        <v>152</v>
      </c>
      <c r="E1154" s="33" t="s">
        <v>3143</v>
      </c>
      <c r="F1154" s="34" t="s">
        <v>561</v>
      </c>
      <c r="G1154" s="32" t="s">
        <v>3250</v>
      </c>
      <c r="H1154" s="37" t="s">
        <v>1602</v>
      </c>
      <c r="I1154" s="39" t="s">
        <v>3379</v>
      </c>
      <c r="J1154" s="24" t="s">
        <v>1239</v>
      </c>
      <c r="K1154" s="40"/>
      <c r="L1154" s="38" t="s">
        <v>3399</v>
      </c>
      <c r="M1154" s="44" t="s">
        <v>1665</v>
      </c>
      <c r="N1154" s="46" t="s">
        <v>3405</v>
      </c>
      <c r="O1154" s="47" t="s">
        <v>1725</v>
      </c>
      <c r="P1154" s="50"/>
      <c r="Q1154" s="45"/>
      <c r="R1154" s="25"/>
      <c r="S1154" s="52"/>
    </row>
    <row r="1155" spans="1:19" ht="16.5" customHeight="1" x14ac:dyDescent="0.3">
      <c r="A1155" s="27" t="s">
        <v>487</v>
      </c>
      <c r="B1155" s="28" t="s">
        <v>488</v>
      </c>
      <c r="C1155" s="26" t="s">
        <v>1808</v>
      </c>
      <c r="D1155" s="31" t="s">
        <v>152</v>
      </c>
      <c r="E1155" s="33" t="s">
        <v>3143</v>
      </c>
      <c r="F1155" s="34" t="s">
        <v>561</v>
      </c>
      <c r="G1155" s="32" t="s">
        <v>3250</v>
      </c>
      <c r="H1155" s="37" t="s">
        <v>1602</v>
      </c>
      <c r="I1155" s="39" t="s">
        <v>3379</v>
      </c>
      <c r="J1155" s="24" t="s">
        <v>1239</v>
      </c>
      <c r="K1155" s="40"/>
      <c r="L1155" s="38" t="s">
        <v>3399</v>
      </c>
      <c r="M1155" s="44" t="s">
        <v>1665</v>
      </c>
      <c r="N1155" s="46" t="s">
        <v>3406</v>
      </c>
      <c r="O1155" s="47" t="s">
        <v>1673</v>
      </c>
      <c r="P1155" s="50"/>
      <c r="Q1155" s="45"/>
      <c r="R1155" s="25"/>
      <c r="S1155" s="52"/>
    </row>
    <row r="1156" spans="1:19" ht="16.5" customHeight="1" x14ac:dyDescent="0.3">
      <c r="A1156" s="27" t="s">
        <v>487</v>
      </c>
      <c r="B1156" s="28" t="s">
        <v>488</v>
      </c>
      <c r="C1156" s="26" t="s">
        <v>1808</v>
      </c>
      <c r="D1156" s="31" t="s">
        <v>152</v>
      </c>
      <c r="E1156" s="33" t="s">
        <v>3143</v>
      </c>
      <c r="F1156" s="34" t="s">
        <v>561</v>
      </c>
      <c r="G1156" s="32" t="s">
        <v>3250</v>
      </c>
      <c r="H1156" s="37" t="s">
        <v>1602</v>
      </c>
      <c r="I1156" s="39" t="s">
        <v>3407</v>
      </c>
      <c r="J1156" s="24" t="s">
        <v>277</v>
      </c>
      <c r="K1156" s="40"/>
      <c r="L1156" s="38"/>
      <c r="M1156" s="44"/>
      <c r="N1156" s="46"/>
      <c r="O1156" s="47"/>
      <c r="P1156" s="50"/>
      <c r="Q1156" s="45"/>
      <c r="R1156" s="25"/>
      <c r="S1156" s="52"/>
    </row>
    <row r="1157" spans="1:19" ht="16.5" customHeight="1" x14ac:dyDescent="0.3">
      <c r="A1157" s="27" t="s">
        <v>487</v>
      </c>
      <c r="B1157" s="28" t="s">
        <v>488</v>
      </c>
      <c r="C1157" s="26" t="s">
        <v>1808</v>
      </c>
      <c r="D1157" s="31" t="s">
        <v>152</v>
      </c>
      <c r="E1157" s="33" t="s">
        <v>3143</v>
      </c>
      <c r="F1157" s="34" t="s">
        <v>561</v>
      </c>
      <c r="G1157" s="32" t="s">
        <v>3250</v>
      </c>
      <c r="H1157" s="37" t="s">
        <v>1602</v>
      </c>
      <c r="I1157" s="39" t="s">
        <v>3408</v>
      </c>
      <c r="J1157" s="24" t="s">
        <v>1603</v>
      </c>
      <c r="K1157" s="40"/>
      <c r="L1157" s="38"/>
      <c r="M1157" s="44"/>
      <c r="N1157" s="46"/>
      <c r="O1157" s="47"/>
      <c r="P1157" s="50"/>
      <c r="Q1157" s="45"/>
      <c r="R1157" s="25"/>
      <c r="S1157" s="52"/>
    </row>
    <row r="1158" spans="1:19" ht="16.5" customHeight="1" x14ac:dyDescent="0.3">
      <c r="A1158" s="27" t="s">
        <v>487</v>
      </c>
      <c r="B1158" s="28" t="s">
        <v>488</v>
      </c>
      <c r="C1158" s="26" t="s">
        <v>1808</v>
      </c>
      <c r="D1158" s="31" t="s">
        <v>152</v>
      </c>
      <c r="E1158" s="33" t="s">
        <v>3143</v>
      </c>
      <c r="F1158" s="34" t="s">
        <v>561</v>
      </c>
      <c r="G1158" s="32" t="s">
        <v>3250</v>
      </c>
      <c r="H1158" s="37" t="s">
        <v>1602</v>
      </c>
      <c r="I1158" s="39" t="s">
        <v>3409</v>
      </c>
      <c r="J1158" s="24" t="s">
        <v>284</v>
      </c>
      <c r="K1158" s="40"/>
      <c r="L1158" s="38"/>
      <c r="M1158" s="44"/>
      <c r="N1158" s="46"/>
      <c r="O1158" s="47"/>
      <c r="P1158" s="50"/>
      <c r="Q1158" s="45"/>
      <c r="R1158" s="25"/>
      <c r="S1158" s="52"/>
    </row>
    <row r="1159" spans="1:19" ht="16.5" customHeight="1" x14ac:dyDescent="0.3">
      <c r="A1159" s="27" t="s">
        <v>487</v>
      </c>
      <c r="B1159" s="28" t="s">
        <v>488</v>
      </c>
      <c r="C1159" s="26" t="s">
        <v>1808</v>
      </c>
      <c r="D1159" s="31" t="s">
        <v>152</v>
      </c>
      <c r="E1159" s="33" t="s">
        <v>3143</v>
      </c>
      <c r="F1159" s="34" t="s">
        <v>561</v>
      </c>
      <c r="G1159" s="32" t="s">
        <v>3250</v>
      </c>
      <c r="H1159" s="37" t="s">
        <v>1602</v>
      </c>
      <c r="I1159" s="39" t="s">
        <v>3410</v>
      </c>
      <c r="J1159" s="24" t="s">
        <v>284</v>
      </c>
      <c r="K1159" s="40"/>
      <c r="L1159" s="38"/>
      <c r="M1159" s="44"/>
      <c r="N1159" s="46"/>
      <c r="O1159" s="47"/>
      <c r="P1159" s="50"/>
      <c r="Q1159" s="45"/>
      <c r="R1159" s="25"/>
      <c r="S1159" s="52"/>
    </row>
    <row r="1160" spans="1:19" ht="16.5" customHeight="1" x14ac:dyDescent="0.3">
      <c r="A1160" s="27" t="s">
        <v>487</v>
      </c>
      <c r="B1160" s="28" t="s">
        <v>488</v>
      </c>
      <c r="C1160" s="26" t="s">
        <v>1808</v>
      </c>
      <c r="D1160" s="31" t="s">
        <v>152</v>
      </c>
      <c r="E1160" s="33" t="s">
        <v>3143</v>
      </c>
      <c r="F1160" s="34" t="s">
        <v>561</v>
      </c>
      <c r="G1160" s="32" t="s">
        <v>3250</v>
      </c>
      <c r="H1160" s="37" t="s">
        <v>1602</v>
      </c>
      <c r="I1160" s="39" t="s">
        <v>3411</v>
      </c>
      <c r="J1160" s="24" t="s">
        <v>287</v>
      </c>
      <c r="K1160" s="40"/>
      <c r="L1160" s="38"/>
      <c r="M1160" s="44"/>
      <c r="N1160" s="46"/>
      <c r="O1160" s="47"/>
      <c r="P1160" s="50"/>
      <c r="Q1160" s="45"/>
      <c r="R1160" s="25"/>
      <c r="S1160" s="52"/>
    </row>
    <row r="1161" spans="1:19" ht="16.5" customHeight="1" x14ac:dyDescent="0.3">
      <c r="A1161" s="27" t="s">
        <v>487</v>
      </c>
      <c r="B1161" s="28" t="s">
        <v>488</v>
      </c>
      <c r="C1161" s="26" t="s">
        <v>1808</v>
      </c>
      <c r="D1161" s="31" t="s">
        <v>152</v>
      </c>
      <c r="E1161" s="33" t="s">
        <v>3143</v>
      </c>
      <c r="F1161" s="34" t="s">
        <v>561</v>
      </c>
      <c r="G1161" s="32" t="s">
        <v>3250</v>
      </c>
      <c r="H1161" s="37" t="s">
        <v>1602</v>
      </c>
      <c r="I1161" s="39" t="s">
        <v>3412</v>
      </c>
      <c r="J1161" s="24" t="s">
        <v>287</v>
      </c>
      <c r="K1161" s="40"/>
      <c r="L1161" s="38"/>
      <c r="M1161" s="44"/>
      <c r="N1161" s="46"/>
      <c r="O1161" s="47"/>
      <c r="P1161" s="50"/>
      <c r="Q1161" s="45"/>
      <c r="R1161" s="25"/>
      <c r="S1161" s="52"/>
    </row>
    <row r="1162" spans="1:19" ht="16.5" customHeight="1" x14ac:dyDescent="0.3">
      <c r="A1162" s="27" t="s">
        <v>487</v>
      </c>
      <c r="B1162" s="28" t="s">
        <v>488</v>
      </c>
      <c r="C1162" s="26" t="s">
        <v>1808</v>
      </c>
      <c r="D1162" s="31" t="s">
        <v>152</v>
      </c>
      <c r="E1162" s="33" t="s">
        <v>3143</v>
      </c>
      <c r="F1162" s="34" t="s">
        <v>561</v>
      </c>
      <c r="G1162" s="32" t="s">
        <v>3413</v>
      </c>
      <c r="H1162" s="37" t="s">
        <v>290</v>
      </c>
      <c r="I1162" s="39" t="s">
        <v>3414</v>
      </c>
      <c r="J1162" s="24" t="s">
        <v>472</v>
      </c>
      <c r="K1162" s="40"/>
      <c r="L1162" s="38" t="s">
        <v>3415</v>
      </c>
      <c r="M1162" s="44" t="s">
        <v>1665</v>
      </c>
      <c r="N1162" s="46" t="s">
        <v>3416</v>
      </c>
      <c r="O1162" s="47" t="s">
        <v>1733</v>
      </c>
      <c r="P1162" s="50"/>
      <c r="Q1162" s="45"/>
      <c r="R1162" s="25"/>
      <c r="S1162" s="52"/>
    </row>
    <row r="1163" spans="1:19" ht="16.5" customHeight="1" x14ac:dyDescent="0.3">
      <c r="A1163" s="27" t="s">
        <v>487</v>
      </c>
      <c r="B1163" s="28" t="s">
        <v>488</v>
      </c>
      <c r="C1163" s="26" t="s">
        <v>1808</v>
      </c>
      <c r="D1163" s="31" t="s">
        <v>152</v>
      </c>
      <c r="E1163" s="33" t="s">
        <v>3143</v>
      </c>
      <c r="F1163" s="34" t="s">
        <v>561</v>
      </c>
      <c r="G1163" s="32" t="s">
        <v>3413</v>
      </c>
      <c r="H1163" s="37" t="s">
        <v>290</v>
      </c>
      <c r="I1163" s="39" t="s">
        <v>3414</v>
      </c>
      <c r="J1163" s="24" t="s">
        <v>472</v>
      </c>
      <c r="K1163" s="40"/>
      <c r="L1163" s="38" t="s">
        <v>3415</v>
      </c>
      <c r="M1163" s="44" t="s">
        <v>1665</v>
      </c>
      <c r="N1163" s="46" t="s">
        <v>3417</v>
      </c>
      <c r="O1163" s="47" t="s">
        <v>1735</v>
      </c>
      <c r="P1163" s="50"/>
      <c r="Q1163" s="45"/>
      <c r="R1163" s="25"/>
      <c r="S1163" s="52"/>
    </row>
    <row r="1164" spans="1:19" ht="16.5" customHeight="1" x14ac:dyDescent="0.3">
      <c r="A1164" s="27" t="s">
        <v>487</v>
      </c>
      <c r="B1164" s="28" t="s">
        <v>488</v>
      </c>
      <c r="C1164" s="26" t="s">
        <v>1808</v>
      </c>
      <c r="D1164" s="31" t="s">
        <v>152</v>
      </c>
      <c r="E1164" s="33" t="s">
        <v>3143</v>
      </c>
      <c r="F1164" s="34" t="s">
        <v>561</v>
      </c>
      <c r="G1164" s="32" t="s">
        <v>3413</v>
      </c>
      <c r="H1164" s="37" t="s">
        <v>290</v>
      </c>
      <c r="I1164" s="39" t="s">
        <v>3418</v>
      </c>
      <c r="J1164" s="24" t="s">
        <v>292</v>
      </c>
      <c r="K1164" s="40"/>
      <c r="L1164" s="38" t="s">
        <v>3419</v>
      </c>
      <c r="M1164" s="44" t="s">
        <v>9</v>
      </c>
      <c r="N1164" s="46" t="s">
        <v>3420</v>
      </c>
      <c r="O1164" s="47" t="s">
        <v>631</v>
      </c>
      <c r="P1164" s="50"/>
      <c r="Q1164" s="45"/>
      <c r="R1164" s="25"/>
      <c r="S1164" s="52"/>
    </row>
    <row r="1165" spans="1:19" ht="16.5" customHeight="1" x14ac:dyDescent="0.3">
      <c r="A1165" s="27" t="s">
        <v>487</v>
      </c>
      <c r="B1165" s="28" t="s">
        <v>488</v>
      </c>
      <c r="C1165" s="26" t="s">
        <v>1808</v>
      </c>
      <c r="D1165" s="31" t="s">
        <v>152</v>
      </c>
      <c r="E1165" s="33" t="s">
        <v>3143</v>
      </c>
      <c r="F1165" s="34" t="s">
        <v>561</v>
      </c>
      <c r="G1165" s="32" t="s">
        <v>3413</v>
      </c>
      <c r="H1165" s="37" t="s">
        <v>290</v>
      </c>
      <c r="I1165" s="39" t="s">
        <v>3418</v>
      </c>
      <c r="J1165" s="24" t="s">
        <v>292</v>
      </c>
      <c r="K1165" s="40"/>
      <c r="L1165" s="38" t="s">
        <v>3419</v>
      </c>
      <c r="M1165" s="44" t="s">
        <v>9</v>
      </c>
      <c r="N1165" s="46" t="s">
        <v>3421</v>
      </c>
      <c r="O1165" s="47" t="s">
        <v>714</v>
      </c>
      <c r="P1165" s="50"/>
      <c r="Q1165" s="45"/>
      <c r="R1165" s="25"/>
      <c r="S1165" s="52"/>
    </row>
    <row r="1166" spans="1:19" ht="16.5" customHeight="1" x14ac:dyDescent="0.3">
      <c r="A1166" s="27" t="s">
        <v>487</v>
      </c>
      <c r="B1166" s="28" t="s">
        <v>488</v>
      </c>
      <c r="C1166" s="26" t="s">
        <v>1808</v>
      </c>
      <c r="D1166" s="31" t="s">
        <v>152</v>
      </c>
      <c r="E1166" s="33" t="s">
        <v>3143</v>
      </c>
      <c r="F1166" s="34" t="s">
        <v>561</v>
      </c>
      <c r="G1166" s="32" t="s">
        <v>3413</v>
      </c>
      <c r="H1166" s="37" t="s">
        <v>290</v>
      </c>
      <c r="I1166" s="39" t="s">
        <v>3418</v>
      </c>
      <c r="J1166" s="24" t="s">
        <v>292</v>
      </c>
      <c r="K1166" s="40"/>
      <c r="L1166" s="38" t="s">
        <v>3419</v>
      </c>
      <c r="M1166" s="44" t="s">
        <v>9</v>
      </c>
      <c r="N1166" s="46" t="s">
        <v>3422</v>
      </c>
      <c r="O1166" s="47" t="s">
        <v>632</v>
      </c>
      <c r="P1166" s="50"/>
      <c r="Q1166" s="45"/>
      <c r="R1166" s="25"/>
      <c r="S1166" s="52"/>
    </row>
    <row r="1167" spans="1:19" ht="16.5" customHeight="1" x14ac:dyDescent="0.3">
      <c r="A1167" s="27" t="s">
        <v>487</v>
      </c>
      <c r="B1167" s="28" t="s">
        <v>488</v>
      </c>
      <c r="C1167" s="26" t="s">
        <v>1808</v>
      </c>
      <c r="D1167" s="31" t="s">
        <v>152</v>
      </c>
      <c r="E1167" s="33" t="s">
        <v>3143</v>
      </c>
      <c r="F1167" s="34" t="s">
        <v>561</v>
      </c>
      <c r="G1167" s="32" t="s">
        <v>3413</v>
      </c>
      <c r="H1167" s="37" t="s">
        <v>290</v>
      </c>
      <c r="I1167" s="39" t="s">
        <v>3418</v>
      </c>
      <c r="J1167" s="24" t="s">
        <v>292</v>
      </c>
      <c r="K1167" s="40"/>
      <c r="L1167" s="38" t="s">
        <v>3419</v>
      </c>
      <c r="M1167" s="44" t="s">
        <v>9</v>
      </c>
      <c r="N1167" s="46" t="s">
        <v>3423</v>
      </c>
      <c r="O1167" s="47" t="s">
        <v>708</v>
      </c>
      <c r="P1167" s="50"/>
      <c r="Q1167" s="45"/>
      <c r="R1167" s="25"/>
      <c r="S1167" s="52"/>
    </row>
    <row r="1168" spans="1:19" ht="16.5" customHeight="1" x14ac:dyDescent="0.3">
      <c r="A1168" s="27" t="s">
        <v>487</v>
      </c>
      <c r="B1168" s="28" t="s">
        <v>488</v>
      </c>
      <c r="C1168" s="26" t="s">
        <v>1808</v>
      </c>
      <c r="D1168" s="31" t="s">
        <v>152</v>
      </c>
      <c r="E1168" s="33" t="s">
        <v>3143</v>
      </c>
      <c r="F1168" s="34" t="s">
        <v>561</v>
      </c>
      <c r="G1168" s="32" t="s">
        <v>3413</v>
      </c>
      <c r="H1168" s="37" t="s">
        <v>290</v>
      </c>
      <c r="I1168" s="39" t="s">
        <v>3418</v>
      </c>
      <c r="J1168" s="24" t="s">
        <v>292</v>
      </c>
      <c r="K1168" s="40"/>
      <c r="L1168" s="38" t="s">
        <v>3419</v>
      </c>
      <c r="M1168" s="44" t="s">
        <v>9</v>
      </c>
      <c r="N1168" s="46" t="s">
        <v>3424</v>
      </c>
      <c r="O1168" s="47" t="s">
        <v>1518</v>
      </c>
      <c r="P1168" s="50"/>
      <c r="Q1168" s="45"/>
      <c r="R1168" s="25"/>
      <c r="S1168" s="52"/>
    </row>
    <row r="1169" spans="1:19" ht="16.5" customHeight="1" x14ac:dyDescent="0.3">
      <c r="A1169" s="27" t="s">
        <v>487</v>
      </c>
      <c r="B1169" s="28" t="s">
        <v>488</v>
      </c>
      <c r="C1169" s="26" t="s">
        <v>1808</v>
      </c>
      <c r="D1169" s="31" t="s">
        <v>152</v>
      </c>
      <c r="E1169" s="33" t="s">
        <v>3143</v>
      </c>
      <c r="F1169" s="34" t="s">
        <v>561</v>
      </c>
      <c r="G1169" s="32" t="s">
        <v>3413</v>
      </c>
      <c r="H1169" s="37" t="s">
        <v>290</v>
      </c>
      <c r="I1169" s="39" t="s">
        <v>3418</v>
      </c>
      <c r="J1169" s="24" t="s">
        <v>292</v>
      </c>
      <c r="K1169" s="40"/>
      <c r="L1169" s="38" t="s">
        <v>3425</v>
      </c>
      <c r="M1169" s="44" t="s">
        <v>8</v>
      </c>
      <c r="N1169" s="46" t="s">
        <v>3426</v>
      </c>
      <c r="O1169" s="47" t="s">
        <v>1462</v>
      </c>
      <c r="P1169" s="50"/>
      <c r="Q1169" s="45"/>
      <c r="R1169" s="25"/>
      <c r="S1169" s="52"/>
    </row>
    <row r="1170" spans="1:19" ht="16.5" customHeight="1" x14ac:dyDescent="0.3">
      <c r="A1170" s="27" t="s">
        <v>487</v>
      </c>
      <c r="B1170" s="28" t="s">
        <v>488</v>
      </c>
      <c r="C1170" s="26" t="s">
        <v>1808</v>
      </c>
      <c r="D1170" s="31" t="s">
        <v>152</v>
      </c>
      <c r="E1170" s="33" t="s">
        <v>3143</v>
      </c>
      <c r="F1170" s="34" t="s">
        <v>561</v>
      </c>
      <c r="G1170" s="32" t="s">
        <v>3413</v>
      </c>
      <c r="H1170" s="37" t="s">
        <v>290</v>
      </c>
      <c r="I1170" s="39" t="s">
        <v>3418</v>
      </c>
      <c r="J1170" s="24" t="s">
        <v>292</v>
      </c>
      <c r="K1170" s="40"/>
      <c r="L1170" s="38" t="s">
        <v>3425</v>
      </c>
      <c r="M1170" s="44" t="s">
        <v>8</v>
      </c>
      <c r="N1170" s="46" t="s">
        <v>3427</v>
      </c>
      <c r="O1170" s="47" t="s">
        <v>1567</v>
      </c>
      <c r="P1170" s="50"/>
      <c r="Q1170" s="45"/>
      <c r="R1170" s="25"/>
      <c r="S1170" s="52"/>
    </row>
    <row r="1171" spans="1:19" ht="16.5" customHeight="1" x14ac:dyDescent="0.3">
      <c r="A1171" s="27" t="s">
        <v>487</v>
      </c>
      <c r="B1171" s="28" t="s">
        <v>488</v>
      </c>
      <c r="C1171" s="26" t="s">
        <v>1808</v>
      </c>
      <c r="D1171" s="31" t="s">
        <v>152</v>
      </c>
      <c r="E1171" s="33" t="s">
        <v>3143</v>
      </c>
      <c r="F1171" s="34" t="s">
        <v>561</v>
      </c>
      <c r="G1171" s="32" t="s">
        <v>3413</v>
      </c>
      <c r="H1171" s="37" t="s">
        <v>290</v>
      </c>
      <c r="I1171" s="39" t="s">
        <v>3418</v>
      </c>
      <c r="J1171" s="24" t="s">
        <v>292</v>
      </c>
      <c r="K1171" s="40"/>
      <c r="L1171" s="38" t="s">
        <v>3428</v>
      </c>
      <c r="M1171" s="44" t="s">
        <v>26</v>
      </c>
      <c r="N1171" s="46" t="s">
        <v>3429</v>
      </c>
      <c r="O1171" s="47" t="s">
        <v>3</v>
      </c>
      <c r="P1171" s="50"/>
      <c r="Q1171" s="45"/>
      <c r="R1171" s="25"/>
      <c r="S1171" s="52"/>
    </row>
    <row r="1172" spans="1:19" ht="16.5" customHeight="1" x14ac:dyDescent="0.3">
      <c r="A1172" s="27" t="s">
        <v>487</v>
      </c>
      <c r="B1172" s="28" t="s">
        <v>488</v>
      </c>
      <c r="C1172" s="26" t="s">
        <v>1808</v>
      </c>
      <c r="D1172" s="31" t="s">
        <v>152</v>
      </c>
      <c r="E1172" s="33" t="s">
        <v>3143</v>
      </c>
      <c r="F1172" s="34" t="s">
        <v>561</v>
      </c>
      <c r="G1172" s="32" t="s">
        <v>3413</v>
      </c>
      <c r="H1172" s="37" t="s">
        <v>290</v>
      </c>
      <c r="I1172" s="39" t="s">
        <v>3430</v>
      </c>
      <c r="J1172" s="24" t="s">
        <v>625</v>
      </c>
      <c r="K1172" s="40"/>
      <c r="L1172" s="38" t="s">
        <v>3431</v>
      </c>
      <c r="M1172" s="44" t="s">
        <v>1737</v>
      </c>
      <c r="N1172" s="46" t="s">
        <v>3432</v>
      </c>
      <c r="O1172" s="47" t="s">
        <v>1738</v>
      </c>
      <c r="P1172" s="50"/>
      <c r="Q1172" s="45"/>
      <c r="R1172" s="25"/>
      <c r="S1172" s="52"/>
    </row>
    <row r="1173" spans="1:19" ht="16.5" customHeight="1" x14ac:dyDescent="0.3">
      <c r="A1173" s="27" t="s">
        <v>487</v>
      </c>
      <c r="B1173" s="28" t="s">
        <v>488</v>
      </c>
      <c r="C1173" s="26" t="s">
        <v>1808</v>
      </c>
      <c r="D1173" s="31" t="s">
        <v>152</v>
      </c>
      <c r="E1173" s="33" t="s">
        <v>3143</v>
      </c>
      <c r="F1173" s="34" t="s">
        <v>561</v>
      </c>
      <c r="G1173" s="32" t="s">
        <v>3413</v>
      </c>
      <c r="H1173" s="37" t="s">
        <v>290</v>
      </c>
      <c r="I1173" s="39" t="s">
        <v>3430</v>
      </c>
      <c r="J1173" s="24" t="s">
        <v>625</v>
      </c>
      <c r="K1173" s="40"/>
      <c r="L1173" s="38" t="s">
        <v>3431</v>
      </c>
      <c r="M1173" s="44" t="s">
        <v>1737</v>
      </c>
      <c r="N1173" s="46" t="s">
        <v>3433</v>
      </c>
      <c r="O1173" s="47" t="s">
        <v>1739</v>
      </c>
      <c r="P1173" s="50"/>
      <c r="Q1173" s="45"/>
      <c r="R1173" s="25"/>
      <c r="S1173" s="52"/>
    </row>
    <row r="1174" spans="1:19" ht="16.5" customHeight="1" x14ac:dyDescent="0.3">
      <c r="A1174" s="27" t="s">
        <v>487</v>
      </c>
      <c r="B1174" s="28" t="s">
        <v>488</v>
      </c>
      <c r="C1174" s="26" t="s">
        <v>1808</v>
      </c>
      <c r="D1174" s="31" t="s">
        <v>152</v>
      </c>
      <c r="E1174" s="33" t="s">
        <v>3143</v>
      </c>
      <c r="F1174" s="34" t="s">
        <v>561</v>
      </c>
      <c r="G1174" s="32" t="s">
        <v>3413</v>
      </c>
      <c r="H1174" s="37" t="s">
        <v>290</v>
      </c>
      <c r="I1174" s="39" t="s">
        <v>3430</v>
      </c>
      <c r="J1174" s="24" t="s">
        <v>625</v>
      </c>
      <c r="K1174" s="40"/>
      <c r="L1174" s="38" t="s">
        <v>3431</v>
      </c>
      <c r="M1174" s="44" t="s">
        <v>1737</v>
      </c>
      <c r="N1174" s="46" t="s">
        <v>3434</v>
      </c>
      <c r="O1174" s="47" t="s">
        <v>1740</v>
      </c>
      <c r="P1174" s="50"/>
      <c r="Q1174" s="45"/>
      <c r="R1174" s="25"/>
      <c r="S1174" s="52"/>
    </row>
    <row r="1175" spans="1:19" ht="16.5" customHeight="1" x14ac:dyDescent="0.3">
      <c r="A1175" s="27" t="s">
        <v>487</v>
      </c>
      <c r="B1175" s="28" t="s">
        <v>488</v>
      </c>
      <c r="C1175" s="26" t="s">
        <v>1808</v>
      </c>
      <c r="D1175" s="31" t="s">
        <v>152</v>
      </c>
      <c r="E1175" s="33" t="s">
        <v>3143</v>
      </c>
      <c r="F1175" s="34" t="s">
        <v>561</v>
      </c>
      <c r="G1175" s="32" t="s">
        <v>3413</v>
      </c>
      <c r="H1175" s="37" t="s">
        <v>290</v>
      </c>
      <c r="I1175" s="39" t="s">
        <v>3430</v>
      </c>
      <c r="J1175" s="24" t="s">
        <v>625</v>
      </c>
      <c r="K1175" s="40"/>
      <c r="L1175" s="38" t="s">
        <v>3431</v>
      </c>
      <c r="M1175" s="44" t="s">
        <v>1737</v>
      </c>
      <c r="N1175" s="46" t="s">
        <v>3435</v>
      </c>
      <c r="O1175" s="47" t="s">
        <v>1741</v>
      </c>
      <c r="P1175" s="50"/>
      <c r="Q1175" s="45"/>
      <c r="R1175" s="25"/>
      <c r="S1175" s="52"/>
    </row>
    <row r="1176" spans="1:19" ht="16.5" customHeight="1" x14ac:dyDescent="0.3">
      <c r="A1176" s="27" t="s">
        <v>487</v>
      </c>
      <c r="B1176" s="28" t="s">
        <v>488</v>
      </c>
      <c r="C1176" s="26" t="s">
        <v>1808</v>
      </c>
      <c r="D1176" s="31" t="s">
        <v>152</v>
      </c>
      <c r="E1176" s="33" t="s">
        <v>3143</v>
      </c>
      <c r="F1176" s="34" t="s">
        <v>561</v>
      </c>
      <c r="G1176" s="32" t="s">
        <v>3413</v>
      </c>
      <c r="H1176" s="37" t="s">
        <v>290</v>
      </c>
      <c r="I1176" s="39" t="s">
        <v>3430</v>
      </c>
      <c r="J1176" s="24" t="s">
        <v>625</v>
      </c>
      <c r="K1176" s="40"/>
      <c r="L1176" s="38" t="s">
        <v>3431</v>
      </c>
      <c r="M1176" s="44" t="s">
        <v>1737</v>
      </c>
      <c r="N1176" s="46" t="s">
        <v>3436</v>
      </c>
      <c r="O1176" s="47" t="s">
        <v>1518</v>
      </c>
      <c r="P1176" s="50"/>
      <c r="Q1176" s="45"/>
      <c r="R1176" s="25"/>
      <c r="S1176" s="52"/>
    </row>
    <row r="1177" spans="1:19" ht="16.5" customHeight="1" x14ac:dyDescent="0.3">
      <c r="A1177" s="27" t="s">
        <v>487</v>
      </c>
      <c r="B1177" s="28" t="s">
        <v>488</v>
      </c>
      <c r="C1177" s="26" t="s">
        <v>1808</v>
      </c>
      <c r="D1177" s="31" t="s">
        <v>152</v>
      </c>
      <c r="E1177" s="33" t="s">
        <v>3143</v>
      </c>
      <c r="F1177" s="34" t="s">
        <v>561</v>
      </c>
      <c r="G1177" s="32" t="s">
        <v>3413</v>
      </c>
      <c r="H1177" s="37" t="s">
        <v>290</v>
      </c>
      <c r="I1177" s="39" t="s">
        <v>3430</v>
      </c>
      <c r="J1177" s="24" t="s">
        <v>625</v>
      </c>
      <c r="K1177" s="40"/>
      <c r="L1177" s="38" t="s">
        <v>3431</v>
      </c>
      <c r="M1177" s="44" t="s">
        <v>1737</v>
      </c>
      <c r="N1177" s="46" t="s">
        <v>3437</v>
      </c>
      <c r="O1177" s="47" t="s">
        <v>1540</v>
      </c>
      <c r="P1177" s="50"/>
      <c r="Q1177" s="45"/>
      <c r="R1177" s="25"/>
      <c r="S1177" s="52"/>
    </row>
    <row r="1178" spans="1:19" ht="16.5" customHeight="1" x14ac:dyDescent="0.3">
      <c r="A1178" s="27" t="s">
        <v>487</v>
      </c>
      <c r="B1178" s="28" t="s">
        <v>488</v>
      </c>
      <c r="C1178" s="26" t="s">
        <v>1808</v>
      </c>
      <c r="D1178" s="31" t="s">
        <v>152</v>
      </c>
      <c r="E1178" s="33" t="s">
        <v>3143</v>
      </c>
      <c r="F1178" s="34" t="s">
        <v>561</v>
      </c>
      <c r="G1178" s="32" t="s">
        <v>3413</v>
      </c>
      <c r="H1178" s="37" t="s">
        <v>290</v>
      </c>
      <c r="I1178" s="39" t="s">
        <v>3430</v>
      </c>
      <c r="J1178" s="24" t="s">
        <v>625</v>
      </c>
      <c r="K1178" s="40"/>
      <c r="L1178" s="38" t="s">
        <v>3431</v>
      </c>
      <c r="M1178" s="44" t="s">
        <v>1737</v>
      </c>
      <c r="N1178" s="46" t="s">
        <v>3438</v>
      </c>
      <c r="O1178" s="47" t="s">
        <v>1542</v>
      </c>
      <c r="P1178" s="50"/>
      <c r="Q1178" s="45"/>
      <c r="R1178" s="25"/>
      <c r="S1178" s="52"/>
    </row>
    <row r="1179" spans="1:19" ht="16.5" customHeight="1" x14ac:dyDescent="0.3">
      <c r="A1179" s="27" t="s">
        <v>487</v>
      </c>
      <c r="B1179" s="28" t="s">
        <v>488</v>
      </c>
      <c r="C1179" s="26" t="s">
        <v>1808</v>
      </c>
      <c r="D1179" s="31" t="s">
        <v>152</v>
      </c>
      <c r="E1179" s="33" t="s">
        <v>3143</v>
      </c>
      <c r="F1179" s="34" t="s">
        <v>561</v>
      </c>
      <c r="G1179" s="32" t="s">
        <v>3413</v>
      </c>
      <c r="H1179" s="37" t="s">
        <v>290</v>
      </c>
      <c r="I1179" s="39" t="s">
        <v>3430</v>
      </c>
      <c r="J1179" s="24" t="s">
        <v>625</v>
      </c>
      <c r="K1179" s="40"/>
      <c r="L1179" s="38" t="s">
        <v>3439</v>
      </c>
      <c r="M1179" s="44" t="s">
        <v>1665</v>
      </c>
      <c r="N1179" s="46" t="s">
        <v>3440</v>
      </c>
      <c r="O1179" s="47" t="s">
        <v>1804</v>
      </c>
      <c r="P1179" s="50"/>
      <c r="Q1179" s="45"/>
      <c r="R1179" s="25"/>
      <c r="S1179" s="52"/>
    </row>
    <row r="1180" spans="1:19" ht="16.5" customHeight="1" x14ac:dyDescent="0.3">
      <c r="A1180" s="27" t="s">
        <v>487</v>
      </c>
      <c r="B1180" s="28" t="s">
        <v>488</v>
      </c>
      <c r="C1180" s="26" t="s">
        <v>1808</v>
      </c>
      <c r="D1180" s="31" t="s">
        <v>152</v>
      </c>
      <c r="E1180" s="33" t="s">
        <v>3143</v>
      </c>
      <c r="F1180" s="34" t="s">
        <v>561</v>
      </c>
      <c r="G1180" s="32" t="s">
        <v>3413</v>
      </c>
      <c r="H1180" s="37" t="s">
        <v>290</v>
      </c>
      <c r="I1180" s="39" t="s">
        <v>3430</v>
      </c>
      <c r="J1180" s="24" t="s">
        <v>625</v>
      </c>
      <c r="K1180" s="40"/>
      <c r="L1180" s="38" t="s">
        <v>3439</v>
      </c>
      <c r="M1180" s="44" t="s">
        <v>1665</v>
      </c>
      <c r="N1180" s="46" t="s">
        <v>3441</v>
      </c>
      <c r="O1180" s="47" t="s">
        <v>1743</v>
      </c>
      <c r="P1180" s="50"/>
      <c r="Q1180" s="45"/>
      <c r="R1180" s="25"/>
      <c r="S1180" s="52"/>
    </row>
    <row r="1181" spans="1:19" ht="16.5" customHeight="1" x14ac:dyDescent="0.3">
      <c r="A1181" s="27" t="s">
        <v>487</v>
      </c>
      <c r="B1181" s="28" t="s">
        <v>488</v>
      </c>
      <c r="C1181" s="26" t="s">
        <v>1808</v>
      </c>
      <c r="D1181" s="31" t="s">
        <v>152</v>
      </c>
      <c r="E1181" s="33" t="s">
        <v>3143</v>
      </c>
      <c r="F1181" s="34" t="s">
        <v>561</v>
      </c>
      <c r="G1181" s="32" t="s">
        <v>3413</v>
      </c>
      <c r="H1181" s="37" t="s">
        <v>290</v>
      </c>
      <c r="I1181" s="39" t="s">
        <v>3430</v>
      </c>
      <c r="J1181" s="24" t="s">
        <v>625</v>
      </c>
      <c r="K1181" s="40"/>
      <c r="L1181" s="38" t="s">
        <v>3439</v>
      </c>
      <c r="M1181" s="44" t="s">
        <v>1665</v>
      </c>
      <c r="N1181" s="46" t="s">
        <v>3442</v>
      </c>
      <c r="O1181" s="47" t="s">
        <v>1803</v>
      </c>
      <c r="P1181" s="50"/>
      <c r="Q1181" s="45"/>
      <c r="R1181" s="25"/>
      <c r="S1181" s="52"/>
    </row>
    <row r="1182" spans="1:19" ht="16.5" customHeight="1" x14ac:dyDescent="0.3">
      <c r="A1182" s="27" t="s">
        <v>487</v>
      </c>
      <c r="B1182" s="28" t="s">
        <v>488</v>
      </c>
      <c r="C1182" s="26" t="s">
        <v>1808</v>
      </c>
      <c r="D1182" s="31" t="s">
        <v>152</v>
      </c>
      <c r="E1182" s="33" t="s">
        <v>3143</v>
      </c>
      <c r="F1182" s="34" t="s">
        <v>561</v>
      </c>
      <c r="G1182" s="32" t="s">
        <v>3413</v>
      </c>
      <c r="H1182" s="37" t="s">
        <v>290</v>
      </c>
      <c r="I1182" s="39" t="s">
        <v>3430</v>
      </c>
      <c r="J1182" s="24" t="s">
        <v>625</v>
      </c>
      <c r="K1182" s="40"/>
      <c r="L1182" s="38" t="s">
        <v>3439</v>
      </c>
      <c r="M1182" s="44" t="s">
        <v>1665</v>
      </c>
      <c r="N1182" s="46" t="s">
        <v>3443</v>
      </c>
      <c r="O1182" s="47" t="s">
        <v>1803</v>
      </c>
      <c r="P1182" s="50"/>
      <c r="Q1182" s="45"/>
      <c r="R1182" s="25"/>
      <c r="S1182" s="52"/>
    </row>
    <row r="1183" spans="1:19" ht="16.5" customHeight="1" x14ac:dyDescent="0.3">
      <c r="A1183" s="27" t="s">
        <v>487</v>
      </c>
      <c r="B1183" s="28" t="s">
        <v>488</v>
      </c>
      <c r="C1183" s="26" t="s">
        <v>1808</v>
      </c>
      <c r="D1183" s="31" t="s">
        <v>152</v>
      </c>
      <c r="E1183" s="33" t="s">
        <v>3143</v>
      </c>
      <c r="F1183" s="34" t="s">
        <v>561</v>
      </c>
      <c r="G1183" s="32" t="s">
        <v>3413</v>
      </c>
      <c r="H1183" s="37" t="s">
        <v>290</v>
      </c>
      <c r="I1183" s="39" t="s">
        <v>3430</v>
      </c>
      <c r="J1183" s="24" t="s">
        <v>625</v>
      </c>
      <c r="K1183" s="40"/>
      <c r="L1183" s="38" t="s">
        <v>3439</v>
      </c>
      <c r="M1183" s="44" t="s">
        <v>1665</v>
      </c>
      <c r="N1183" s="46" t="s">
        <v>3444</v>
      </c>
      <c r="O1183" s="47" t="s">
        <v>1803</v>
      </c>
      <c r="P1183" s="50"/>
      <c r="Q1183" s="45"/>
      <c r="R1183" s="25"/>
      <c r="S1183" s="52"/>
    </row>
    <row r="1184" spans="1:19" ht="16.5" customHeight="1" x14ac:dyDescent="0.3">
      <c r="A1184" s="27" t="s">
        <v>487</v>
      </c>
      <c r="B1184" s="28" t="s">
        <v>488</v>
      </c>
      <c r="C1184" s="26" t="s">
        <v>1808</v>
      </c>
      <c r="D1184" s="31" t="s">
        <v>152</v>
      </c>
      <c r="E1184" s="33" t="s">
        <v>3143</v>
      </c>
      <c r="F1184" s="34" t="s">
        <v>561</v>
      </c>
      <c r="G1184" s="32" t="s">
        <v>3413</v>
      </c>
      <c r="H1184" s="37" t="s">
        <v>290</v>
      </c>
      <c r="I1184" s="39" t="s">
        <v>3430</v>
      </c>
      <c r="J1184" s="24" t="s">
        <v>625</v>
      </c>
      <c r="K1184" s="40"/>
      <c r="L1184" s="38" t="s">
        <v>3439</v>
      </c>
      <c r="M1184" s="44" t="s">
        <v>1665</v>
      </c>
      <c r="N1184" s="46" t="s">
        <v>3445</v>
      </c>
      <c r="O1184" s="47" t="s">
        <v>1803</v>
      </c>
      <c r="P1184" s="50"/>
      <c r="Q1184" s="45"/>
      <c r="R1184" s="25"/>
      <c r="S1184" s="52"/>
    </row>
    <row r="1185" spans="1:19" ht="16.5" customHeight="1" x14ac:dyDescent="0.3">
      <c r="A1185" s="27" t="s">
        <v>487</v>
      </c>
      <c r="B1185" s="28" t="s">
        <v>488</v>
      </c>
      <c r="C1185" s="26" t="s">
        <v>1808</v>
      </c>
      <c r="D1185" s="31" t="s">
        <v>152</v>
      </c>
      <c r="E1185" s="33" t="s">
        <v>3143</v>
      </c>
      <c r="F1185" s="34" t="s">
        <v>561</v>
      </c>
      <c r="G1185" s="32" t="s">
        <v>3413</v>
      </c>
      <c r="H1185" s="37" t="s">
        <v>290</v>
      </c>
      <c r="I1185" s="39" t="s">
        <v>3430</v>
      </c>
      <c r="J1185" s="24" t="s">
        <v>625</v>
      </c>
      <c r="K1185" s="40"/>
      <c r="L1185" s="38" t="s">
        <v>3439</v>
      </c>
      <c r="M1185" s="44" t="s">
        <v>1665</v>
      </c>
      <c r="N1185" s="46" t="s">
        <v>3446</v>
      </c>
      <c r="O1185" s="47" t="s">
        <v>1749</v>
      </c>
      <c r="P1185" s="50"/>
      <c r="Q1185" s="45"/>
      <c r="R1185" s="25"/>
      <c r="S1185" s="52"/>
    </row>
    <row r="1186" spans="1:19" ht="16.5" customHeight="1" x14ac:dyDescent="0.3">
      <c r="A1186" s="27" t="s">
        <v>487</v>
      </c>
      <c r="B1186" s="28" t="s">
        <v>488</v>
      </c>
      <c r="C1186" s="26" t="s">
        <v>1808</v>
      </c>
      <c r="D1186" s="31" t="s">
        <v>152</v>
      </c>
      <c r="E1186" s="33" t="s">
        <v>3143</v>
      </c>
      <c r="F1186" s="34" t="s">
        <v>561</v>
      </c>
      <c r="G1186" s="32" t="s">
        <v>3413</v>
      </c>
      <c r="H1186" s="37" t="s">
        <v>290</v>
      </c>
      <c r="I1186" s="39" t="s">
        <v>3430</v>
      </c>
      <c r="J1186" s="24" t="s">
        <v>625</v>
      </c>
      <c r="K1186" s="40"/>
      <c r="L1186" s="38" t="s">
        <v>3439</v>
      </c>
      <c r="M1186" s="44" t="s">
        <v>1665</v>
      </c>
      <c r="N1186" s="46" t="s">
        <v>3447</v>
      </c>
      <c r="O1186" s="47" t="s">
        <v>1749</v>
      </c>
      <c r="P1186" s="50"/>
      <c r="Q1186" s="45"/>
      <c r="R1186" s="25"/>
      <c r="S1186" s="52"/>
    </row>
    <row r="1187" spans="1:19" ht="16.5" customHeight="1" x14ac:dyDescent="0.3">
      <c r="A1187" s="27" t="s">
        <v>487</v>
      </c>
      <c r="B1187" s="28" t="s">
        <v>488</v>
      </c>
      <c r="C1187" s="26" t="s">
        <v>1808</v>
      </c>
      <c r="D1187" s="31" t="s">
        <v>152</v>
      </c>
      <c r="E1187" s="33" t="s">
        <v>3143</v>
      </c>
      <c r="F1187" s="34" t="s">
        <v>561</v>
      </c>
      <c r="G1187" s="32" t="s">
        <v>3413</v>
      </c>
      <c r="H1187" s="37" t="s">
        <v>290</v>
      </c>
      <c r="I1187" s="39" t="s">
        <v>3430</v>
      </c>
      <c r="J1187" s="24" t="s">
        <v>625</v>
      </c>
      <c r="K1187" s="40"/>
      <c r="L1187" s="38" t="s">
        <v>3439</v>
      </c>
      <c r="M1187" s="44" t="s">
        <v>1665</v>
      </c>
      <c r="N1187" s="46" t="s">
        <v>3448</v>
      </c>
      <c r="O1187" s="47" t="s">
        <v>1752</v>
      </c>
      <c r="P1187" s="50"/>
      <c r="Q1187" s="45"/>
      <c r="R1187" s="25"/>
      <c r="S1187" s="52"/>
    </row>
    <row r="1188" spans="1:19" ht="16.5" customHeight="1" x14ac:dyDescent="0.3">
      <c r="A1188" s="27" t="s">
        <v>487</v>
      </c>
      <c r="B1188" s="28" t="s">
        <v>488</v>
      </c>
      <c r="C1188" s="26" t="s">
        <v>1808</v>
      </c>
      <c r="D1188" s="31" t="s">
        <v>152</v>
      </c>
      <c r="E1188" s="33" t="s">
        <v>3143</v>
      </c>
      <c r="F1188" s="34" t="s">
        <v>561</v>
      </c>
      <c r="G1188" s="32" t="s">
        <v>3413</v>
      </c>
      <c r="H1188" s="37" t="s">
        <v>290</v>
      </c>
      <c r="I1188" s="39" t="s">
        <v>3430</v>
      </c>
      <c r="J1188" s="24" t="s">
        <v>625</v>
      </c>
      <c r="K1188" s="40"/>
      <c r="L1188" s="38" t="s">
        <v>3439</v>
      </c>
      <c r="M1188" s="44" t="s">
        <v>1665</v>
      </c>
      <c r="N1188" s="46" t="s">
        <v>3449</v>
      </c>
      <c r="O1188" s="47" t="s">
        <v>1650</v>
      </c>
      <c r="P1188" s="50"/>
      <c r="Q1188" s="45"/>
      <c r="R1188" s="25"/>
      <c r="S1188" s="52"/>
    </row>
    <row r="1189" spans="1:19" ht="16.5" customHeight="1" x14ac:dyDescent="0.3">
      <c r="A1189" s="27" t="s">
        <v>487</v>
      </c>
      <c r="B1189" s="28" t="s">
        <v>488</v>
      </c>
      <c r="C1189" s="26" t="s">
        <v>1808</v>
      </c>
      <c r="D1189" s="31" t="s">
        <v>152</v>
      </c>
      <c r="E1189" s="33" t="s">
        <v>3143</v>
      </c>
      <c r="F1189" s="34" t="s">
        <v>561</v>
      </c>
      <c r="G1189" s="32" t="s">
        <v>3413</v>
      </c>
      <c r="H1189" s="37" t="s">
        <v>290</v>
      </c>
      <c r="I1189" s="39" t="s">
        <v>3430</v>
      </c>
      <c r="J1189" s="24" t="s">
        <v>625</v>
      </c>
      <c r="K1189" s="40"/>
      <c r="L1189" s="38" t="s">
        <v>3439</v>
      </c>
      <c r="M1189" s="44" t="s">
        <v>1665</v>
      </c>
      <c r="N1189" s="46" t="s">
        <v>3450</v>
      </c>
      <c r="O1189" s="47" t="s">
        <v>1755</v>
      </c>
      <c r="P1189" s="50"/>
      <c r="Q1189" s="45"/>
      <c r="R1189" s="25"/>
      <c r="S1189" s="52"/>
    </row>
    <row r="1190" spans="1:19" ht="16.5" customHeight="1" x14ac:dyDescent="0.3">
      <c r="A1190" s="27" t="s">
        <v>487</v>
      </c>
      <c r="B1190" s="28" t="s">
        <v>488</v>
      </c>
      <c r="C1190" s="26" t="s">
        <v>1808</v>
      </c>
      <c r="D1190" s="31" t="s">
        <v>152</v>
      </c>
      <c r="E1190" s="33" t="s">
        <v>3143</v>
      </c>
      <c r="F1190" s="34" t="s">
        <v>561</v>
      </c>
      <c r="G1190" s="32" t="s">
        <v>3413</v>
      </c>
      <c r="H1190" s="37" t="s">
        <v>290</v>
      </c>
      <c r="I1190" s="39" t="s">
        <v>3430</v>
      </c>
      <c r="J1190" s="24" t="s">
        <v>625</v>
      </c>
      <c r="K1190" s="40"/>
      <c r="L1190" s="38" t="s">
        <v>3451</v>
      </c>
      <c r="M1190" s="44" t="s">
        <v>123</v>
      </c>
      <c r="N1190" s="46" t="s">
        <v>3452</v>
      </c>
      <c r="O1190" s="47" t="s">
        <v>1664</v>
      </c>
      <c r="P1190" s="50"/>
      <c r="Q1190" s="45"/>
      <c r="R1190" s="25"/>
      <c r="S1190" s="52"/>
    </row>
    <row r="1191" spans="1:19" ht="16.5" customHeight="1" x14ac:dyDescent="0.3">
      <c r="A1191" s="27" t="s">
        <v>487</v>
      </c>
      <c r="B1191" s="28" t="s">
        <v>488</v>
      </c>
      <c r="C1191" s="26" t="s">
        <v>1808</v>
      </c>
      <c r="D1191" s="31" t="s">
        <v>152</v>
      </c>
      <c r="E1191" s="33" t="s">
        <v>3143</v>
      </c>
      <c r="F1191" s="34" t="s">
        <v>561</v>
      </c>
      <c r="G1191" s="32" t="s">
        <v>3413</v>
      </c>
      <c r="H1191" s="37" t="s">
        <v>290</v>
      </c>
      <c r="I1191" s="39" t="s">
        <v>3453</v>
      </c>
      <c r="J1191" s="24" t="s">
        <v>599</v>
      </c>
      <c r="K1191" s="40"/>
      <c r="L1191" s="38" t="s">
        <v>3454</v>
      </c>
      <c r="M1191" s="44" t="s">
        <v>123</v>
      </c>
      <c r="N1191" s="46" t="s">
        <v>3455</v>
      </c>
      <c r="O1191" s="47" t="s">
        <v>1664</v>
      </c>
      <c r="P1191" s="50"/>
      <c r="Q1191" s="45"/>
      <c r="R1191" s="25"/>
      <c r="S1191" s="52"/>
    </row>
    <row r="1192" spans="1:19" ht="16.5" customHeight="1" x14ac:dyDescent="0.3">
      <c r="A1192" s="27" t="s">
        <v>487</v>
      </c>
      <c r="B1192" s="28" t="s">
        <v>488</v>
      </c>
      <c r="C1192" s="26" t="s">
        <v>1808</v>
      </c>
      <c r="D1192" s="31" t="s">
        <v>152</v>
      </c>
      <c r="E1192" s="33" t="s">
        <v>3143</v>
      </c>
      <c r="F1192" s="34" t="s">
        <v>561</v>
      </c>
      <c r="G1192" s="32" t="s">
        <v>3413</v>
      </c>
      <c r="H1192" s="37" t="s">
        <v>290</v>
      </c>
      <c r="I1192" s="39" t="s">
        <v>3456</v>
      </c>
      <c r="J1192" s="24" t="s">
        <v>296</v>
      </c>
      <c r="K1192" s="40"/>
      <c r="L1192" s="38" t="s">
        <v>3787</v>
      </c>
      <c r="M1192" s="44" t="s">
        <v>26</v>
      </c>
      <c r="N1192" s="46" t="s">
        <v>3788</v>
      </c>
      <c r="O1192" s="47" t="s">
        <v>730</v>
      </c>
      <c r="P1192" s="50"/>
      <c r="Q1192" s="45"/>
      <c r="R1192" s="25"/>
      <c r="S1192" s="52"/>
    </row>
    <row r="1193" spans="1:19" ht="16.5" customHeight="1" x14ac:dyDescent="0.3">
      <c r="A1193" s="27" t="s">
        <v>487</v>
      </c>
      <c r="B1193" s="28" t="s">
        <v>488</v>
      </c>
      <c r="C1193" s="26" t="s">
        <v>1808</v>
      </c>
      <c r="D1193" s="31" t="s">
        <v>152</v>
      </c>
      <c r="E1193" s="33" t="s">
        <v>3143</v>
      </c>
      <c r="F1193" s="34" t="s">
        <v>561</v>
      </c>
      <c r="G1193" s="32" t="s">
        <v>3413</v>
      </c>
      <c r="H1193" s="37" t="s">
        <v>290</v>
      </c>
      <c r="I1193" s="39" t="s">
        <v>3456</v>
      </c>
      <c r="J1193" s="24" t="s">
        <v>296</v>
      </c>
      <c r="K1193" s="40"/>
      <c r="L1193" s="38" t="s">
        <v>3787</v>
      </c>
      <c r="M1193" s="44" t="s">
        <v>26</v>
      </c>
      <c r="N1193" s="46" t="s">
        <v>3789</v>
      </c>
      <c r="O1193" s="47" t="s">
        <v>1758</v>
      </c>
      <c r="P1193" s="50"/>
      <c r="Q1193" s="45"/>
      <c r="R1193" s="25"/>
      <c r="S1193" s="52"/>
    </row>
    <row r="1194" spans="1:19" ht="16.5" customHeight="1" x14ac:dyDescent="0.3">
      <c r="A1194" s="27" t="s">
        <v>487</v>
      </c>
      <c r="B1194" s="28" t="s">
        <v>488</v>
      </c>
      <c r="C1194" s="26" t="s">
        <v>1808</v>
      </c>
      <c r="D1194" s="31" t="s">
        <v>152</v>
      </c>
      <c r="E1194" s="33" t="s">
        <v>3143</v>
      </c>
      <c r="F1194" s="34" t="s">
        <v>561</v>
      </c>
      <c r="G1194" s="32" t="s">
        <v>3413</v>
      </c>
      <c r="H1194" s="37" t="s">
        <v>290</v>
      </c>
      <c r="I1194" s="39" t="s">
        <v>3456</v>
      </c>
      <c r="J1194" s="24" t="s">
        <v>296</v>
      </c>
      <c r="K1194" s="40"/>
      <c r="L1194" s="38" t="s">
        <v>3457</v>
      </c>
      <c r="M1194" s="44" t="s">
        <v>29</v>
      </c>
      <c r="N1194" s="46" t="s">
        <v>3458</v>
      </c>
      <c r="O1194" s="47" t="s">
        <v>1760</v>
      </c>
      <c r="P1194" s="50"/>
      <c r="Q1194" s="45"/>
      <c r="R1194" s="25"/>
      <c r="S1194" s="52"/>
    </row>
    <row r="1195" spans="1:19" ht="16.5" customHeight="1" x14ac:dyDescent="0.3">
      <c r="A1195" s="27" t="s">
        <v>487</v>
      </c>
      <c r="B1195" s="28" t="s">
        <v>488</v>
      </c>
      <c r="C1195" s="26" t="s">
        <v>1808</v>
      </c>
      <c r="D1195" s="31" t="s">
        <v>152</v>
      </c>
      <c r="E1195" s="33" t="s">
        <v>3143</v>
      </c>
      <c r="F1195" s="34" t="s">
        <v>561</v>
      </c>
      <c r="G1195" s="32" t="s">
        <v>3413</v>
      </c>
      <c r="H1195" s="37" t="s">
        <v>290</v>
      </c>
      <c r="I1195" s="39" t="s">
        <v>3456</v>
      </c>
      <c r="J1195" s="24" t="s">
        <v>296</v>
      </c>
      <c r="K1195" s="40"/>
      <c r="L1195" s="38" t="s">
        <v>3459</v>
      </c>
      <c r="M1195" s="44" t="s">
        <v>31</v>
      </c>
      <c r="N1195" s="46" t="s">
        <v>3460</v>
      </c>
      <c r="O1195" s="47" t="s">
        <v>647</v>
      </c>
      <c r="P1195" s="50"/>
      <c r="Q1195" s="45"/>
      <c r="R1195" s="25"/>
      <c r="S1195" s="52"/>
    </row>
    <row r="1196" spans="1:19" ht="16.5" customHeight="1" x14ac:dyDescent="0.3">
      <c r="A1196" s="27" t="s">
        <v>487</v>
      </c>
      <c r="B1196" s="28" t="s">
        <v>488</v>
      </c>
      <c r="C1196" s="26" t="s">
        <v>1808</v>
      </c>
      <c r="D1196" s="31" t="s">
        <v>152</v>
      </c>
      <c r="E1196" s="33" t="s">
        <v>3143</v>
      </c>
      <c r="F1196" s="34" t="s">
        <v>561</v>
      </c>
      <c r="G1196" s="32" t="s">
        <v>3413</v>
      </c>
      <c r="H1196" s="37" t="s">
        <v>290</v>
      </c>
      <c r="I1196" s="39" t="s">
        <v>3456</v>
      </c>
      <c r="J1196" s="24" t="s">
        <v>296</v>
      </c>
      <c r="K1196" s="40"/>
      <c r="L1196" s="38" t="s">
        <v>3461</v>
      </c>
      <c r="M1196" s="44" t="s">
        <v>16</v>
      </c>
      <c r="N1196" s="46" t="s">
        <v>3462</v>
      </c>
      <c r="O1196" s="47" t="s">
        <v>712</v>
      </c>
      <c r="P1196" s="50"/>
      <c r="Q1196" s="45"/>
      <c r="R1196" s="25"/>
      <c r="S1196" s="52"/>
    </row>
    <row r="1197" spans="1:19" ht="16.5" customHeight="1" x14ac:dyDescent="0.3">
      <c r="A1197" s="27" t="s">
        <v>487</v>
      </c>
      <c r="B1197" s="28" t="s">
        <v>488</v>
      </c>
      <c r="C1197" s="26" t="s">
        <v>1808</v>
      </c>
      <c r="D1197" s="31" t="s">
        <v>152</v>
      </c>
      <c r="E1197" s="33" t="s">
        <v>3143</v>
      </c>
      <c r="F1197" s="34" t="s">
        <v>561</v>
      </c>
      <c r="G1197" s="32" t="s">
        <v>3413</v>
      </c>
      <c r="H1197" s="37" t="s">
        <v>290</v>
      </c>
      <c r="I1197" s="39" t="s">
        <v>3456</v>
      </c>
      <c r="J1197" s="24" t="s">
        <v>296</v>
      </c>
      <c r="K1197" s="40"/>
      <c r="L1197" s="38" t="s">
        <v>3461</v>
      </c>
      <c r="M1197" s="44" t="s">
        <v>16</v>
      </c>
      <c r="N1197" s="46" t="s">
        <v>3463</v>
      </c>
      <c r="O1197" s="47" t="s">
        <v>648</v>
      </c>
      <c r="P1197" s="50"/>
      <c r="Q1197" s="45"/>
      <c r="R1197" s="25"/>
      <c r="S1197" s="52"/>
    </row>
    <row r="1198" spans="1:19" ht="16.5" customHeight="1" x14ac:dyDescent="0.3">
      <c r="A1198" s="27" t="s">
        <v>487</v>
      </c>
      <c r="B1198" s="28" t="s">
        <v>488</v>
      </c>
      <c r="C1198" s="26" t="s">
        <v>1808</v>
      </c>
      <c r="D1198" s="31" t="s">
        <v>152</v>
      </c>
      <c r="E1198" s="33" t="s">
        <v>3143</v>
      </c>
      <c r="F1198" s="34" t="s">
        <v>561</v>
      </c>
      <c r="G1198" s="32" t="s">
        <v>3413</v>
      </c>
      <c r="H1198" s="37" t="s">
        <v>290</v>
      </c>
      <c r="I1198" s="39" t="s">
        <v>3456</v>
      </c>
      <c r="J1198" s="24" t="s">
        <v>296</v>
      </c>
      <c r="K1198" s="40"/>
      <c r="L1198" s="38" t="s">
        <v>3461</v>
      </c>
      <c r="M1198" s="44" t="s">
        <v>16</v>
      </c>
      <c r="N1198" s="46" t="s">
        <v>3464</v>
      </c>
      <c r="O1198" s="47" t="s">
        <v>650</v>
      </c>
      <c r="P1198" s="50"/>
      <c r="Q1198" s="45"/>
      <c r="R1198" s="25"/>
      <c r="S1198" s="52"/>
    </row>
    <row r="1199" spans="1:19" ht="16.5" customHeight="1" x14ac:dyDescent="0.3">
      <c r="A1199" s="27" t="s">
        <v>487</v>
      </c>
      <c r="B1199" s="28" t="s">
        <v>488</v>
      </c>
      <c r="C1199" s="26" t="s">
        <v>1808</v>
      </c>
      <c r="D1199" s="31" t="s">
        <v>152</v>
      </c>
      <c r="E1199" s="33" t="s">
        <v>3143</v>
      </c>
      <c r="F1199" s="34" t="s">
        <v>561</v>
      </c>
      <c r="G1199" s="32" t="s">
        <v>3413</v>
      </c>
      <c r="H1199" s="37" t="s">
        <v>290</v>
      </c>
      <c r="I1199" s="39" t="s">
        <v>3456</v>
      </c>
      <c r="J1199" s="24" t="s">
        <v>296</v>
      </c>
      <c r="K1199" s="40"/>
      <c r="L1199" s="38" t="s">
        <v>3461</v>
      </c>
      <c r="M1199" s="44" t="s">
        <v>16</v>
      </c>
      <c r="N1199" s="46" t="s">
        <v>3465</v>
      </c>
      <c r="O1199" s="47" t="s">
        <v>651</v>
      </c>
      <c r="P1199" s="50"/>
      <c r="Q1199" s="45"/>
      <c r="R1199" s="25"/>
      <c r="S1199" s="52"/>
    </row>
    <row r="1200" spans="1:19" ht="16.5" customHeight="1" x14ac:dyDescent="0.3">
      <c r="A1200" s="27" t="s">
        <v>487</v>
      </c>
      <c r="B1200" s="28" t="s">
        <v>488</v>
      </c>
      <c r="C1200" s="26" t="s">
        <v>1808</v>
      </c>
      <c r="D1200" s="31" t="s">
        <v>152</v>
      </c>
      <c r="E1200" s="33" t="s">
        <v>3143</v>
      </c>
      <c r="F1200" s="34" t="s">
        <v>561</v>
      </c>
      <c r="G1200" s="32" t="s">
        <v>3413</v>
      </c>
      <c r="H1200" s="37" t="s">
        <v>290</v>
      </c>
      <c r="I1200" s="39" t="s">
        <v>3456</v>
      </c>
      <c r="J1200" s="24" t="s">
        <v>296</v>
      </c>
      <c r="K1200" s="40"/>
      <c r="L1200" s="38" t="s">
        <v>3461</v>
      </c>
      <c r="M1200" s="44" t="s">
        <v>16</v>
      </c>
      <c r="N1200" s="46" t="s">
        <v>3466</v>
      </c>
      <c r="O1200" s="47" t="s">
        <v>652</v>
      </c>
      <c r="P1200" s="50"/>
      <c r="Q1200" s="45"/>
      <c r="R1200" s="25"/>
      <c r="S1200" s="52"/>
    </row>
    <row r="1201" spans="1:19" ht="16.5" customHeight="1" x14ac:dyDescent="0.3">
      <c r="A1201" s="27" t="s">
        <v>487</v>
      </c>
      <c r="B1201" s="28" t="s">
        <v>488</v>
      </c>
      <c r="C1201" s="26" t="s">
        <v>1808</v>
      </c>
      <c r="D1201" s="31" t="s">
        <v>152</v>
      </c>
      <c r="E1201" s="33" t="s">
        <v>3143</v>
      </c>
      <c r="F1201" s="34" t="s">
        <v>561</v>
      </c>
      <c r="G1201" s="32" t="s">
        <v>3413</v>
      </c>
      <c r="H1201" s="37" t="s">
        <v>290</v>
      </c>
      <c r="I1201" s="39" t="s">
        <v>3456</v>
      </c>
      <c r="J1201" s="24" t="s">
        <v>296</v>
      </c>
      <c r="K1201" s="40"/>
      <c r="L1201" s="38" t="s">
        <v>3467</v>
      </c>
      <c r="M1201" s="44" t="s">
        <v>1665</v>
      </c>
      <c r="N1201" s="46" t="s">
        <v>3468</v>
      </c>
      <c r="O1201" s="47" t="s">
        <v>1804</v>
      </c>
      <c r="P1201" s="50"/>
      <c r="Q1201" s="45"/>
      <c r="R1201" s="25"/>
      <c r="S1201" s="52"/>
    </row>
    <row r="1202" spans="1:19" ht="16.5" customHeight="1" x14ac:dyDescent="0.3">
      <c r="A1202" s="27" t="s">
        <v>487</v>
      </c>
      <c r="B1202" s="28" t="s">
        <v>488</v>
      </c>
      <c r="C1202" s="26" t="s">
        <v>1808</v>
      </c>
      <c r="D1202" s="31" t="s">
        <v>152</v>
      </c>
      <c r="E1202" s="33" t="s">
        <v>3143</v>
      </c>
      <c r="F1202" s="34" t="s">
        <v>561</v>
      </c>
      <c r="G1202" s="32" t="s">
        <v>3413</v>
      </c>
      <c r="H1202" s="37" t="s">
        <v>290</v>
      </c>
      <c r="I1202" s="39" t="s">
        <v>3456</v>
      </c>
      <c r="J1202" s="24" t="s">
        <v>296</v>
      </c>
      <c r="K1202" s="40"/>
      <c r="L1202" s="38" t="s">
        <v>3467</v>
      </c>
      <c r="M1202" s="44" t="s">
        <v>1665</v>
      </c>
      <c r="N1202" s="46" t="s">
        <v>3469</v>
      </c>
      <c r="O1202" s="47" t="s">
        <v>1743</v>
      </c>
      <c r="P1202" s="50"/>
      <c r="Q1202" s="45"/>
      <c r="R1202" s="25"/>
      <c r="S1202" s="52"/>
    </row>
    <row r="1203" spans="1:19" ht="16.5" customHeight="1" x14ac:dyDescent="0.3">
      <c r="A1203" s="27" t="s">
        <v>487</v>
      </c>
      <c r="B1203" s="28" t="s">
        <v>488</v>
      </c>
      <c r="C1203" s="26" t="s">
        <v>1808</v>
      </c>
      <c r="D1203" s="31" t="s">
        <v>152</v>
      </c>
      <c r="E1203" s="33" t="s">
        <v>3143</v>
      </c>
      <c r="F1203" s="34" t="s">
        <v>561</v>
      </c>
      <c r="G1203" s="32" t="s">
        <v>3413</v>
      </c>
      <c r="H1203" s="37" t="s">
        <v>290</v>
      </c>
      <c r="I1203" s="39" t="s">
        <v>3456</v>
      </c>
      <c r="J1203" s="24" t="s">
        <v>296</v>
      </c>
      <c r="K1203" s="40"/>
      <c r="L1203" s="38" t="s">
        <v>3467</v>
      </c>
      <c r="M1203" s="44" t="s">
        <v>1665</v>
      </c>
      <c r="N1203" s="46" t="s">
        <v>3470</v>
      </c>
      <c r="O1203" s="47" t="s">
        <v>1803</v>
      </c>
      <c r="P1203" s="50"/>
      <c r="Q1203" s="45"/>
      <c r="R1203" s="25"/>
      <c r="S1203" s="52"/>
    </row>
    <row r="1204" spans="1:19" ht="16.5" customHeight="1" x14ac:dyDescent="0.3">
      <c r="A1204" s="27" t="s">
        <v>487</v>
      </c>
      <c r="B1204" s="28" t="s">
        <v>488</v>
      </c>
      <c r="C1204" s="26" t="s">
        <v>1808</v>
      </c>
      <c r="D1204" s="31" t="s">
        <v>152</v>
      </c>
      <c r="E1204" s="33" t="s">
        <v>3143</v>
      </c>
      <c r="F1204" s="34" t="s">
        <v>561</v>
      </c>
      <c r="G1204" s="32" t="s">
        <v>3413</v>
      </c>
      <c r="H1204" s="37" t="s">
        <v>290</v>
      </c>
      <c r="I1204" s="39" t="s">
        <v>3456</v>
      </c>
      <c r="J1204" s="24" t="s">
        <v>296</v>
      </c>
      <c r="K1204" s="40"/>
      <c r="L1204" s="38" t="s">
        <v>3467</v>
      </c>
      <c r="M1204" s="44" t="s">
        <v>1665</v>
      </c>
      <c r="N1204" s="46" t="s">
        <v>3471</v>
      </c>
      <c r="O1204" s="47" t="s">
        <v>1803</v>
      </c>
      <c r="P1204" s="50"/>
      <c r="Q1204" s="45"/>
      <c r="R1204" s="25"/>
      <c r="S1204" s="52"/>
    </row>
    <row r="1205" spans="1:19" ht="16.5" customHeight="1" x14ac:dyDescent="0.3">
      <c r="A1205" s="27" t="s">
        <v>487</v>
      </c>
      <c r="B1205" s="28" t="s">
        <v>488</v>
      </c>
      <c r="C1205" s="26" t="s">
        <v>1808</v>
      </c>
      <c r="D1205" s="31" t="s">
        <v>152</v>
      </c>
      <c r="E1205" s="33" t="s">
        <v>3143</v>
      </c>
      <c r="F1205" s="34" t="s">
        <v>561</v>
      </c>
      <c r="G1205" s="32" t="s">
        <v>3413</v>
      </c>
      <c r="H1205" s="37" t="s">
        <v>290</v>
      </c>
      <c r="I1205" s="39" t="s">
        <v>3456</v>
      </c>
      <c r="J1205" s="24" t="s">
        <v>296</v>
      </c>
      <c r="K1205" s="40"/>
      <c r="L1205" s="38" t="s">
        <v>3467</v>
      </c>
      <c r="M1205" s="44" t="s">
        <v>1665</v>
      </c>
      <c r="N1205" s="46" t="s">
        <v>3472</v>
      </c>
      <c r="O1205" s="47" t="s">
        <v>1803</v>
      </c>
      <c r="P1205" s="50"/>
      <c r="Q1205" s="45"/>
      <c r="R1205" s="25"/>
      <c r="S1205" s="52"/>
    </row>
    <row r="1206" spans="1:19" ht="16.5" customHeight="1" x14ac:dyDescent="0.3">
      <c r="A1206" s="27" t="s">
        <v>487</v>
      </c>
      <c r="B1206" s="28" t="s">
        <v>488</v>
      </c>
      <c r="C1206" s="26" t="s">
        <v>1808</v>
      </c>
      <c r="D1206" s="31" t="s">
        <v>152</v>
      </c>
      <c r="E1206" s="33" t="s">
        <v>3143</v>
      </c>
      <c r="F1206" s="34" t="s">
        <v>561</v>
      </c>
      <c r="G1206" s="32" t="s">
        <v>3413</v>
      </c>
      <c r="H1206" s="37" t="s">
        <v>290</v>
      </c>
      <c r="I1206" s="39" t="s">
        <v>3456</v>
      </c>
      <c r="J1206" s="24" t="s">
        <v>296</v>
      </c>
      <c r="K1206" s="40"/>
      <c r="L1206" s="38" t="s">
        <v>3467</v>
      </c>
      <c r="M1206" s="44" t="s">
        <v>1665</v>
      </c>
      <c r="N1206" s="46" t="s">
        <v>3473</v>
      </c>
      <c r="O1206" s="47" t="s">
        <v>1803</v>
      </c>
      <c r="P1206" s="50"/>
      <c r="Q1206" s="45"/>
      <c r="R1206" s="25"/>
      <c r="S1206" s="52"/>
    </row>
    <row r="1207" spans="1:19" ht="16.5" customHeight="1" x14ac:dyDescent="0.3">
      <c r="A1207" s="27" t="s">
        <v>487</v>
      </c>
      <c r="B1207" s="28" t="s">
        <v>488</v>
      </c>
      <c r="C1207" s="26" t="s">
        <v>1808</v>
      </c>
      <c r="D1207" s="31" t="s">
        <v>152</v>
      </c>
      <c r="E1207" s="33" t="s">
        <v>3143</v>
      </c>
      <c r="F1207" s="34" t="s">
        <v>561</v>
      </c>
      <c r="G1207" s="32" t="s">
        <v>3413</v>
      </c>
      <c r="H1207" s="37" t="s">
        <v>290</v>
      </c>
      <c r="I1207" s="39" t="s">
        <v>3456</v>
      </c>
      <c r="J1207" s="24" t="s">
        <v>296</v>
      </c>
      <c r="K1207" s="40"/>
      <c r="L1207" s="38" t="s">
        <v>3467</v>
      </c>
      <c r="M1207" s="44" t="s">
        <v>1665</v>
      </c>
      <c r="N1207" s="46" t="s">
        <v>3474</v>
      </c>
      <c r="O1207" s="47" t="s">
        <v>1749</v>
      </c>
      <c r="P1207" s="50"/>
      <c r="Q1207" s="45"/>
      <c r="R1207" s="25"/>
      <c r="S1207" s="52"/>
    </row>
    <row r="1208" spans="1:19" ht="16.5" customHeight="1" x14ac:dyDescent="0.3">
      <c r="A1208" s="27" t="s">
        <v>487</v>
      </c>
      <c r="B1208" s="28" t="s">
        <v>488</v>
      </c>
      <c r="C1208" s="26" t="s">
        <v>1808</v>
      </c>
      <c r="D1208" s="31" t="s">
        <v>152</v>
      </c>
      <c r="E1208" s="33" t="s">
        <v>3143</v>
      </c>
      <c r="F1208" s="34" t="s">
        <v>561</v>
      </c>
      <c r="G1208" s="32" t="s">
        <v>3413</v>
      </c>
      <c r="H1208" s="37" t="s">
        <v>290</v>
      </c>
      <c r="I1208" s="39" t="s">
        <v>3456</v>
      </c>
      <c r="J1208" s="24" t="s">
        <v>296</v>
      </c>
      <c r="K1208" s="40"/>
      <c r="L1208" s="38" t="s">
        <v>3467</v>
      </c>
      <c r="M1208" s="44" t="s">
        <v>1665</v>
      </c>
      <c r="N1208" s="46" t="s">
        <v>3475</v>
      </c>
      <c r="O1208" s="47" t="s">
        <v>1749</v>
      </c>
      <c r="P1208" s="50"/>
      <c r="Q1208" s="45"/>
      <c r="R1208" s="25"/>
      <c r="S1208" s="52"/>
    </row>
    <row r="1209" spans="1:19" ht="16.5" customHeight="1" x14ac:dyDescent="0.3">
      <c r="A1209" s="27" t="s">
        <v>487</v>
      </c>
      <c r="B1209" s="28" t="s">
        <v>488</v>
      </c>
      <c r="C1209" s="26" t="s">
        <v>1808</v>
      </c>
      <c r="D1209" s="31" t="s">
        <v>152</v>
      </c>
      <c r="E1209" s="33" t="s">
        <v>3143</v>
      </c>
      <c r="F1209" s="34" t="s">
        <v>561</v>
      </c>
      <c r="G1209" s="32" t="s">
        <v>3413</v>
      </c>
      <c r="H1209" s="37" t="s">
        <v>290</v>
      </c>
      <c r="I1209" s="39" t="s">
        <v>3456</v>
      </c>
      <c r="J1209" s="24" t="s">
        <v>296</v>
      </c>
      <c r="K1209" s="40"/>
      <c r="L1209" s="38" t="s">
        <v>3467</v>
      </c>
      <c r="M1209" s="44" t="s">
        <v>1665</v>
      </c>
      <c r="N1209" s="46" t="s">
        <v>3476</v>
      </c>
      <c r="O1209" s="47" t="s">
        <v>1752</v>
      </c>
      <c r="P1209" s="50"/>
      <c r="Q1209" s="45"/>
      <c r="R1209" s="25"/>
      <c r="S1209" s="52"/>
    </row>
    <row r="1210" spans="1:19" ht="16.5" customHeight="1" x14ac:dyDescent="0.3">
      <c r="A1210" s="27" t="s">
        <v>487</v>
      </c>
      <c r="B1210" s="28" t="s">
        <v>488</v>
      </c>
      <c r="C1210" s="26" t="s">
        <v>1808</v>
      </c>
      <c r="D1210" s="31" t="s">
        <v>152</v>
      </c>
      <c r="E1210" s="33" t="s">
        <v>3143</v>
      </c>
      <c r="F1210" s="34" t="s">
        <v>561</v>
      </c>
      <c r="G1210" s="32" t="s">
        <v>3413</v>
      </c>
      <c r="H1210" s="37" t="s">
        <v>290</v>
      </c>
      <c r="I1210" s="39" t="s">
        <v>3456</v>
      </c>
      <c r="J1210" s="24" t="s">
        <v>296</v>
      </c>
      <c r="K1210" s="40"/>
      <c r="L1210" s="38" t="s">
        <v>3467</v>
      </c>
      <c r="M1210" s="44" t="s">
        <v>1665</v>
      </c>
      <c r="N1210" s="46" t="s">
        <v>3477</v>
      </c>
      <c r="O1210" s="47" t="s">
        <v>1733</v>
      </c>
      <c r="P1210" s="50"/>
      <c r="Q1210" s="45"/>
      <c r="R1210" s="25"/>
      <c r="S1210" s="52"/>
    </row>
    <row r="1211" spans="1:19" ht="16.5" customHeight="1" x14ac:dyDescent="0.3">
      <c r="A1211" s="27" t="s">
        <v>487</v>
      </c>
      <c r="B1211" s="28" t="s">
        <v>488</v>
      </c>
      <c r="C1211" s="26" t="s">
        <v>1808</v>
      </c>
      <c r="D1211" s="31" t="s">
        <v>152</v>
      </c>
      <c r="E1211" s="33" t="s">
        <v>3143</v>
      </c>
      <c r="F1211" s="34" t="s">
        <v>561</v>
      </c>
      <c r="G1211" s="32" t="s">
        <v>3413</v>
      </c>
      <c r="H1211" s="37" t="s">
        <v>290</v>
      </c>
      <c r="I1211" s="39" t="s">
        <v>3456</v>
      </c>
      <c r="J1211" s="24" t="s">
        <v>296</v>
      </c>
      <c r="K1211" s="40"/>
      <c r="L1211" s="38" t="s">
        <v>3467</v>
      </c>
      <c r="M1211" s="44" t="s">
        <v>1665</v>
      </c>
      <c r="N1211" s="46" t="s">
        <v>3478</v>
      </c>
      <c r="O1211" s="47" t="s">
        <v>1770</v>
      </c>
      <c r="P1211" s="50"/>
      <c r="Q1211" s="45"/>
      <c r="R1211" s="25"/>
      <c r="S1211" s="52"/>
    </row>
    <row r="1212" spans="1:19" ht="16.5" customHeight="1" x14ac:dyDescent="0.3">
      <c r="A1212" s="27" t="s">
        <v>487</v>
      </c>
      <c r="B1212" s="28" t="s">
        <v>488</v>
      </c>
      <c r="C1212" s="26" t="s">
        <v>1808</v>
      </c>
      <c r="D1212" s="31" t="s">
        <v>152</v>
      </c>
      <c r="E1212" s="33" t="s">
        <v>3143</v>
      </c>
      <c r="F1212" s="34" t="s">
        <v>561</v>
      </c>
      <c r="G1212" s="32" t="s">
        <v>3413</v>
      </c>
      <c r="H1212" s="37" t="s">
        <v>290</v>
      </c>
      <c r="I1212" s="39" t="s">
        <v>3479</v>
      </c>
      <c r="J1212" s="24" t="s">
        <v>473</v>
      </c>
      <c r="K1212" s="40"/>
      <c r="L1212" s="38" t="s">
        <v>3480</v>
      </c>
      <c r="M1212" s="44" t="s">
        <v>123</v>
      </c>
      <c r="N1212" s="46" t="s">
        <v>3481</v>
      </c>
      <c r="O1212" s="47" t="s">
        <v>1664</v>
      </c>
      <c r="P1212" s="50"/>
      <c r="Q1212" s="45"/>
      <c r="R1212" s="25"/>
      <c r="S1212" s="52"/>
    </row>
    <row r="1213" spans="1:19" ht="16.5" customHeight="1" x14ac:dyDescent="0.3">
      <c r="A1213" s="27" t="s">
        <v>487</v>
      </c>
      <c r="B1213" s="28" t="s">
        <v>488</v>
      </c>
      <c r="C1213" s="26" t="s">
        <v>1808</v>
      </c>
      <c r="D1213" s="31" t="s">
        <v>152</v>
      </c>
      <c r="E1213" s="33" t="s">
        <v>3143</v>
      </c>
      <c r="F1213" s="34" t="s">
        <v>561</v>
      </c>
      <c r="G1213" s="32" t="s">
        <v>3413</v>
      </c>
      <c r="H1213" s="37" t="s">
        <v>290</v>
      </c>
      <c r="I1213" s="39" t="s">
        <v>3482</v>
      </c>
      <c r="J1213" s="24" t="s">
        <v>473</v>
      </c>
      <c r="K1213" s="40"/>
      <c r="L1213" s="38" t="s">
        <v>3483</v>
      </c>
      <c r="M1213" s="44" t="s">
        <v>123</v>
      </c>
      <c r="N1213" s="46" t="s">
        <v>3484</v>
      </c>
      <c r="O1213" s="47" t="s">
        <v>1664</v>
      </c>
      <c r="P1213" s="50"/>
      <c r="Q1213" s="45"/>
      <c r="R1213" s="25"/>
      <c r="S1213" s="52"/>
    </row>
    <row r="1214" spans="1:19" ht="16.5" customHeight="1" x14ac:dyDescent="0.3">
      <c r="A1214" s="27" t="s">
        <v>487</v>
      </c>
      <c r="B1214" s="28" t="s">
        <v>488</v>
      </c>
      <c r="C1214" s="26" t="s">
        <v>1808</v>
      </c>
      <c r="D1214" s="31" t="s">
        <v>152</v>
      </c>
      <c r="E1214" s="33" t="s">
        <v>3143</v>
      </c>
      <c r="F1214" s="34" t="s">
        <v>561</v>
      </c>
      <c r="G1214" s="32" t="s">
        <v>3413</v>
      </c>
      <c r="H1214" s="37" t="s">
        <v>290</v>
      </c>
      <c r="I1214" s="39" t="s">
        <v>3485</v>
      </c>
      <c r="J1214" s="24" t="s">
        <v>610</v>
      </c>
      <c r="K1214" s="40"/>
      <c r="L1214" s="38"/>
      <c r="M1214" s="44"/>
      <c r="N1214" s="46"/>
      <c r="O1214" s="47"/>
      <c r="P1214" s="50"/>
      <c r="Q1214" s="45"/>
      <c r="R1214" s="25"/>
      <c r="S1214" s="52"/>
    </row>
    <row r="1215" spans="1:19" ht="16.5" customHeight="1" x14ac:dyDescent="0.3">
      <c r="A1215" s="27" t="s">
        <v>487</v>
      </c>
      <c r="B1215" s="28" t="s">
        <v>488</v>
      </c>
      <c r="C1215" s="26" t="s">
        <v>1808</v>
      </c>
      <c r="D1215" s="31" t="s">
        <v>152</v>
      </c>
      <c r="E1215" s="33" t="s">
        <v>3143</v>
      </c>
      <c r="F1215" s="34" t="s">
        <v>561</v>
      </c>
      <c r="G1215" s="32" t="s">
        <v>3413</v>
      </c>
      <c r="H1215" s="37" t="s">
        <v>290</v>
      </c>
      <c r="I1215" s="39" t="s">
        <v>3486</v>
      </c>
      <c r="J1215" s="24" t="s">
        <v>169</v>
      </c>
      <c r="K1215" s="40"/>
      <c r="L1215" s="38"/>
      <c r="M1215" s="44"/>
      <c r="N1215" s="46"/>
      <c r="O1215" s="47"/>
      <c r="P1215" s="50"/>
      <c r="Q1215" s="45"/>
      <c r="R1215" s="25"/>
      <c r="S1215" s="52"/>
    </row>
    <row r="1216" spans="1:19" ht="16.5" customHeight="1" x14ac:dyDescent="0.3">
      <c r="A1216" s="27" t="s">
        <v>487</v>
      </c>
      <c r="B1216" s="28" t="s">
        <v>488</v>
      </c>
      <c r="C1216" s="26" t="s">
        <v>1808</v>
      </c>
      <c r="D1216" s="31" t="s">
        <v>152</v>
      </c>
      <c r="E1216" s="33" t="s">
        <v>3143</v>
      </c>
      <c r="F1216" s="34" t="s">
        <v>561</v>
      </c>
      <c r="G1216" s="32" t="s">
        <v>3413</v>
      </c>
      <c r="H1216" s="37" t="s">
        <v>290</v>
      </c>
      <c r="I1216" s="39" t="s">
        <v>3487</v>
      </c>
      <c r="J1216" s="24" t="s">
        <v>598</v>
      </c>
      <c r="K1216" s="40"/>
      <c r="L1216" s="38" t="s">
        <v>3488</v>
      </c>
      <c r="M1216" s="44" t="s">
        <v>1665</v>
      </c>
      <c r="N1216" s="46" t="s">
        <v>3489</v>
      </c>
      <c r="O1216" s="47" t="s">
        <v>1650</v>
      </c>
      <c r="P1216" s="50"/>
      <c r="Q1216" s="45"/>
      <c r="R1216" s="25"/>
      <c r="S1216" s="52"/>
    </row>
    <row r="1217" spans="1:19" ht="16.5" customHeight="1" x14ac:dyDescent="0.3">
      <c r="A1217" s="27" t="s">
        <v>487</v>
      </c>
      <c r="B1217" s="28" t="s">
        <v>488</v>
      </c>
      <c r="C1217" s="26" t="s">
        <v>1808</v>
      </c>
      <c r="D1217" s="31" t="s">
        <v>152</v>
      </c>
      <c r="E1217" s="33" t="s">
        <v>3143</v>
      </c>
      <c r="F1217" s="34" t="s">
        <v>561</v>
      </c>
      <c r="G1217" s="32" t="s">
        <v>3413</v>
      </c>
      <c r="H1217" s="37" t="s">
        <v>290</v>
      </c>
      <c r="I1217" s="39" t="s">
        <v>3490</v>
      </c>
      <c r="J1217" s="24" t="s">
        <v>474</v>
      </c>
      <c r="K1217" s="40"/>
      <c r="L1217" s="38"/>
      <c r="M1217" s="44"/>
      <c r="N1217" s="46"/>
      <c r="O1217" s="47"/>
      <c r="P1217" s="50"/>
      <c r="Q1217" s="45"/>
      <c r="R1217" s="25"/>
      <c r="S1217" s="52"/>
    </row>
    <row r="1218" spans="1:19" ht="16.5" customHeight="1" x14ac:dyDescent="0.3">
      <c r="A1218" s="27" t="s">
        <v>487</v>
      </c>
      <c r="B1218" s="28" t="s">
        <v>488</v>
      </c>
      <c r="C1218" s="26" t="s">
        <v>1808</v>
      </c>
      <c r="D1218" s="31" t="s">
        <v>152</v>
      </c>
      <c r="E1218" s="33" t="s">
        <v>3143</v>
      </c>
      <c r="F1218" s="34" t="s">
        <v>561</v>
      </c>
      <c r="G1218" s="32" t="s">
        <v>3413</v>
      </c>
      <c r="H1218" s="37" t="s">
        <v>290</v>
      </c>
      <c r="I1218" s="39" t="s">
        <v>3491</v>
      </c>
      <c r="J1218" s="24" t="s">
        <v>304</v>
      </c>
      <c r="K1218" s="40"/>
      <c r="L1218" s="38" t="s">
        <v>3492</v>
      </c>
      <c r="M1218" s="44" t="s">
        <v>16</v>
      </c>
      <c r="N1218" s="46" t="s">
        <v>3493</v>
      </c>
      <c r="O1218" s="47" t="s">
        <v>1240</v>
      </c>
      <c r="P1218" s="50"/>
      <c r="Q1218" s="45"/>
      <c r="R1218" s="25"/>
      <c r="S1218" s="52"/>
    </row>
    <row r="1219" spans="1:19" ht="16.5" customHeight="1" x14ac:dyDescent="0.3">
      <c r="A1219" s="27" t="s">
        <v>487</v>
      </c>
      <c r="B1219" s="28" t="s">
        <v>488</v>
      </c>
      <c r="C1219" s="26" t="s">
        <v>1808</v>
      </c>
      <c r="D1219" s="31" t="s">
        <v>152</v>
      </c>
      <c r="E1219" s="33" t="s">
        <v>3143</v>
      </c>
      <c r="F1219" s="34" t="s">
        <v>561</v>
      </c>
      <c r="G1219" s="32" t="s">
        <v>3413</v>
      </c>
      <c r="H1219" s="37" t="s">
        <v>290</v>
      </c>
      <c r="I1219" s="39" t="s">
        <v>3494</v>
      </c>
      <c r="J1219" s="24" t="s">
        <v>475</v>
      </c>
      <c r="K1219" s="40"/>
      <c r="L1219" s="38" t="s">
        <v>3495</v>
      </c>
      <c r="M1219" s="44" t="s">
        <v>123</v>
      </c>
      <c r="N1219" s="46" t="s">
        <v>3496</v>
      </c>
      <c r="O1219" s="47" t="s">
        <v>1664</v>
      </c>
      <c r="P1219" s="50"/>
      <c r="Q1219" s="45"/>
      <c r="R1219" s="25"/>
      <c r="S1219" s="52"/>
    </row>
    <row r="1220" spans="1:19" ht="16.5" customHeight="1" x14ac:dyDescent="0.3">
      <c r="A1220" s="27" t="s">
        <v>487</v>
      </c>
      <c r="B1220" s="28" t="s">
        <v>488</v>
      </c>
      <c r="C1220" s="26" t="s">
        <v>1808</v>
      </c>
      <c r="D1220" s="31" t="s">
        <v>152</v>
      </c>
      <c r="E1220" s="33" t="s">
        <v>3143</v>
      </c>
      <c r="F1220" s="34" t="s">
        <v>561</v>
      </c>
      <c r="G1220" s="32" t="s">
        <v>3413</v>
      </c>
      <c r="H1220" s="37" t="s">
        <v>290</v>
      </c>
      <c r="I1220" s="39" t="s">
        <v>3497</v>
      </c>
      <c r="J1220" s="24" t="s">
        <v>476</v>
      </c>
      <c r="K1220" s="40"/>
      <c r="L1220" s="38"/>
      <c r="M1220" s="44"/>
      <c r="N1220" s="46"/>
      <c r="O1220" s="47"/>
      <c r="P1220" s="50"/>
      <c r="Q1220" s="45"/>
      <c r="R1220" s="25"/>
      <c r="S1220" s="52"/>
    </row>
    <row r="1221" spans="1:19" ht="16.5" customHeight="1" x14ac:dyDescent="0.3">
      <c r="A1221" s="27" t="s">
        <v>487</v>
      </c>
      <c r="B1221" s="28" t="s">
        <v>488</v>
      </c>
      <c r="C1221" s="26" t="s">
        <v>1808</v>
      </c>
      <c r="D1221" s="31" t="s">
        <v>152</v>
      </c>
      <c r="E1221" s="33" t="s">
        <v>3143</v>
      </c>
      <c r="F1221" s="34" t="s">
        <v>561</v>
      </c>
      <c r="G1221" s="32" t="s">
        <v>3413</v>
      </c>
      <c r="H1221" s="37" t="s">
        <v>290</v>
      </c>
      <c r="I1221" s="39" t="s">
        <v>3498</v>
      </c>
      <c r="J1221" s="24" t="s">
        <v>476</v>
      </c>
      <c r="K1221" s="40"/>
      <c r="L1221" s="38"/>
      <c r="M1221" s="44"/>
      <c r="N1221" s="46"/>
      <c r="O1221" s="47"/>
      <c r="P1221" s="50"/>
      <c r="Q1221" s="45"/>
      <c r="R1221" s="25"/>
      <c r="S1221" s="52"/>
    </row>
    <row r="1222" spans="1:19" ht="16.5" customHeight="1" x14ac:dyDescent="0.3">
      <c r="A1222" s="27" t="s">
        <v>487</v>
      </c>
      <c r="B1222" s="28" t="s">
        <v>488</v>
      </c>
      <c r="C1222" s="26" t="s">
        <v>1808</v>
      </c>
      <c r="D1222" s="31" t="s">
        <v>152</v>
      </c>
      <c r="E1222" s="33" t="s">
        <v>3143</v>
      </c>
      <c r="F1222" s="34" t="s">
        <v>561</v>
      </c>
      <c r="G1222" s="32" t="s">
        <v>3413</v>
      </c>
      <c r="H1222" s="37" t="s">
        <v>290</v>
      </c>
      <c r="I1222" s="39" t="s">
        <v>3499</v>
      </c>
      <c r="J1222" s="24" t="s">
        <v>476</v>
      </c>
      <c r="K1222" s="40"/>
      <c r="L1222" s="38"/>
      <c r="M1222" s="44"/>
      <c r="N1222" s="46"/>
      <c r="O1222" s="47"/>
      <c r="P1222" s="50"/>
      <c r="Q1222" s="45"/>
      <c r="R1222" s="25"/>
      <c r="S1222" s="52"/>
    </row>
    <row r="1223" spans="1:19" ht="16.5" customHeight="1" x14ac:dyDescent="0.3">
      <c r="A1223" s="27" t="s">
        <v>487</v>
      </c>
      <c r="B1223" s="28" t="s">
        <v>488</v>
      </c>
      <c r="C1223" s="26" t="s">
        <v>1808</v>
      </c>
      <c r="D1223" s="31" t="s">
        <v>152</v>
      </c>
      <c r="E1223" s="33" t="s">
        <v>3143</v>
      </c>
      <c r="F1223" s="34" t="s">
        <v>561</v>
      </c>
      <c r="G1223" s="32" t="s">
        <v>3413</v>
      </c>
      <c r="H1223" s="37" t="s">
        <v>290</v>
      </c>
      <c r="I1223" s="39" t="s">
        <v>3500</v>
      </c>
      <c r="J1223" s="24" t="s">
        <v>311</v>
      </c>
      <c r="K1223" s="40"/>
      <c r="L1223" s="38"/>
      <c r="M1223" s="44"/>
      <c r="N1223" s="46"/>
      <c r="O1223" s="47"/>
      <c r="P1223" s="50"/>
      <c r="Q1223" s="45"/>
      <c r="R1223" s="25"/>
      <c r="S1223" s="52"/>
    </row>
    <row r="1224" spans="1:19" ht="16.5" customHeight="1" x14ac:dyDescent="0.3">
      <c r="A1224" s="27" t="s">
        <v>487</v>
      </c>
      <c r="B1224" s="28" t="s">
        <v>488</v>
      </c>
      <c r="C1224" s="26" t="s">
        <v>1808</v>
      </c>
      <c r="D1224" s="31" t="s">
        <v>152</v>
      </c>
      <c r="E1224" s="33" t="s">
        <v>3143</v>
      </c>
      <c r="F1224" s="34" t="s">
        <v>561</v>
      </c>
      <c r="G1224" s="32" t="s">
        <v>3413</v>
      </c>
      <c r="H1224" s="37" t="s">
        <v>290</v>
      </c>
      <c r="I1224" s="39" t="s">
        <v>3501</v>
      </c>
      <c r="J1224" s="24" t="s">
        <v>313</v>
      </c>
      <c r="K1224" s="40"/>
      <c r="L1224" s="38"/>
      <c r="M1224" s="44"/>
      <c r="N1224" s="46"/>
      <c r="O1224" s="47"/>
      <c r="P1224" s="50"/>
      <c r="Q1224" s="45"/>
      <c r="R1224" s="25"/>
      <c r="S1224" s="52"/>
    </row>
    <row r="1225" spans="1:19" ht="16.5" customHeight="1" x14ac:dyDescent="0.3">
      <c r="A1225" s="27" t="s">
        <v>487</v>
      </c>
      <c r="B1225" s="28" t="s">
        <v>488</v>
      </c>
      <c r="C1225" s="26" t="s">
        <v>1808</v>
      </c>
      <c r="D1225" s="31" t="s">
        <v>152</v>
      </c>
      <c r="E1225" s="33" t="s">
        <v>3143</v>
      </c>
      <c r="F1225" s="34" t="s">
        <v>561</v>
      </c>
      <c r="G1225" s="32" t="s">
        <v>3413</v>
      </c>
      <c r="H1225" s="37" t="s">
        <v>290</v>
      </c>
      <c r="I1225" s="39" t="s">
        <v>3502</v>
      </c>
      <c r="J1225" s="24" t="s">
        <v>313</v>
      </c>
      <c r="K1225" s="40"/>
      <c r="L1225" s="38"/>
      <c r="M1225" s="44"/>
      <c r="N1225" s="46"/>
      <c r="O1225" s="47"/>
      <c r="P1225" s="50"/>
      <c r="Q1225" s="45"/>
      <c r="R1225" s="25"/>
      <c r="S1225" s="52"/>
    </row>
    <row r="1226" spans="1:19" ht="16.5" customHeight="1" x14ac:dyDescent="0.3">
      <c r="A1226" s="27" t="s">
        <v>487</v>
      </c>
      <c r="B1226" s="28" t="s">
        <v>488</v>
      </c>
      <c r="C1226" s="26" t="s">
        <v>1808</v>
      </c>
      <c r="D1226" s="31" t="s">
        <v>152</v>
      </c>
      <c r="E1226" s="33" t="s">
        <v>3143</v>
      </c>
      <c r="F1226" s="34" t="s">
        <v>561</v>
      </c>
      <c r="G1226" s="32" t="s">
        <v>3413</v>
      </c>
      <c r="H1226" s="37" t="s">
        <v>290</v>
      </c>
      <c r="I1226" s="39" t="s">
        <v>3503</v>
      </c>
      <c r="J1226" s="24" t="s">
        <v>313</v>
      </c>
      <c r="K1226" s="40"/>
      <c r="L1226" s="38"/>
      <c r="M1226" s="44"/>
      <c r="N1226" s="46"/>
      <c r="O1226" s="47"/>
      <c r="P1226" s="50"/>
      <c r="Q1226" s="45"/>
      <c r="R1226" s="25"/>
      <c r="S1226" s="52"/>
    </row>
    <row r="1227" spans="1:19" ht="16.5" customHeight="1" x14ac:dyDescent="0.3">
      <c r="A1227" s="27" t="s">
        <v>487</v>
      </c>
      <c r="B1227" s="28" t="s">
        <v>488</v>
      </c>
      <c r="C1227" s="26" t="s">
        <v>1808</v>
      </c>
      <c r="D1227" s="31" t="s">
        <v>152</v>
      </c>
      <c r="E1227" s="33" t="s">
        <v>3143</v>
      </c>
      <c r="F1227" s="34" t="s">
        <v>561</v>
      </c>
      <c r="G1227" s="32" t="s">
        <v>3413</v>
      </c>
      <c r="H1227" s="37" t="s">
        <v>290</v>
      </c>
      <c r="I1227" s="39" t="s">
        <v>3504</v>
      </c>
      <c r="J1227" s="24" t="s">
        <v>477</v>
      </c>
      <c r="K1227" s="40"/>
      <c r="L1227" s="38"/>
      <c r="M1227" s="44"/>
      <c r="N1227" s="46"/>
      <c r="O1227" s="47"/>
      <c r="P1227" s="50"/>
      <c r="Q1227" s="45"/>
      <c r="R1227" s="25"/>
      <c r="S1227" s="52"/>
    </row>
    <row r="1228" spans="1:19" ht="16.5" customHeight="1" x14ac:dyDescent="0.3">
      <c r="A1228" s="27" t="s">
        <v>487</v>
      </c>
      <c r="B1228" s="28" t="s">
        <v>488</v>
      </c>
      <c r="C1228" s="26" t="s">
        <v>1808</v>
      </c>
      <c r="D1228" s="31" t="s">
        <v>152</v>
      </c>
      <c r="E1228" s="33" t="s">
        <v>3143</v>
      </c>
      <c r="F1228" s="34" t="s">
        <v>561</v>
      </c>
      <c r="G1228" s="32" t="s">
        <v>3413</v>
      </c>
      <c r="H1228" s="37" t="s">
        <v>290</v>
      </c>
      <c r="I1228" s="39" t="s">
        <v>3505</v>
      </c>
      <c r="J1228" s="24" t="s">
        <v>318</v>
      </c>
      <c r="K1228" s="40"/>
      <c r="L1228" s="38"/>
      <c r="M1228" s="44"/>
      <c r="N1228" s="46"/>
      <c r="O1228" s="47"/>
      <c r="P1228" s="50"/>
      <c r="Q1228" s="45"/>
      <c r="R1228" s="25"/>
      <c r="S1228" s="52"/>
    </row>
    <row r="1229" spans="1:19" ht="16.5" customHeight="1" x14ac:dyDescent="0.3">
      <c r="A1229" s="27" t="s">
        <v>487</v>
      </c>
      <c r="B1229" s="28" t="s">
        <v>488</v>
      </c>
      <c r="C1229" s="26" t="s">
        <v>1808</v>
      </c>
      <c r="D1229" s="31" t="s">
        <v>152</v>
      </c>
      <c r="E1229" s="33" t="s">
        <v>3143</v>
      </c>
      <c r="F1229" s="34" t="s">
        <v>561</v>
      </c>
      <c r="G1229" s="32" t="s">
        <v>3413</v>
      </c>
      <c r="H1229" s="37" t="s">
        <v>290</v>
      </c>
      <c r="I1229" s="39" t="s">
        <v>3506</v>
      </c>
      <c r="J1229" s="24" t="s">
        <v>478</v>
      </c>
      <c r="K1229" s="40"/>
      <c r="L1229" s="38"/>
      <c r="M1229" s="44"/>
      <c r="N1229" s="46"/>
      <c r="O1229" s="47"/>
      <c r="P1229" s="50"/>
      <c r="Q1229" s="45"/>
      <c r="R1229" s="25"/>
      <c r="S1229" s="52"/>
    </row>
    <row r="1230" spans="1:19" ht="16.5" customHeight="1" x14ac:dyDescent="0.3">
      <c r="A1230" s="27" t="s">
        <v>487</v>
      </c>
      <c r="B1230" s="28" t="s">
        <v>488</v>
      </c>
      <c r="C1230" s="26" t="s">
        <v>1808</v>
      </c>
      <c r="D1230" s="31" t="s">
        <v>152</v>
      </c>
      <c r="E1230" s="33" t="s">
        <v>3143</v>
      </c>
      <c r="F1230" s="34" t="s">
        <v>561</v>
      </c>
      <c r="G1230" s="32" t="s">
        <v>3507</v>
      </c>
      <c r="H1230" s="37" t="s">
        <v>1793</v>
      </c>
      <c r="I1230" s="39" t="s">
        <v>3508</v>
      </c>
      <c r="J1230" s="24" t="s">
        <v>486</v>
      </c>
      <c r="K1230" s="40"/>
      <c r="L1230" s="38" t="s">
        <v>3509</v>
      </c>
      <c r="M1230" s="44" t="s">
        <v>123</v>
      </c>
      <c r="N1230" s="46" t="s">
        <v>3510</v>
      </c>
      <c r="O1230" s="47" t="s">
        <v>1284</v>
      </c>
      <c r="P1230" s="50"/>
      <c r="Q1230" s="45"/>
      <c r="R1230" s="25"/>
      <c r="S1230" s="52"/>
    </row>
    <row r="1231" spans="1:19" ht="16.5" customHeight="1" x14ac:dyDescent="0.3">
      <c r="A1231" s="27" t="s">
        <v>487</v>
      </c>
      <c r="B1231" s="28" t="s">
        <v>488</v>
      </c>
      <c r="C1231" s="26" t="s">
        <v>1808</v>
      </c>
      <c r="D1231" s="31" t="s">
        <v>152</v>
      </c>
      <c r="E1231" s="33" t="s">
        <v>3143</v>
      </c>
      <c r="F1231" s="34" t="s">
        <v>561</v>
      </c>
      <c r="G1231" s="32" t="s">
        <v>3507</v>
      </c>
      <c r="H1231" s="37" t="s">
        <v>1793</v>
      </c>
      <c r="I1231" s="39" t="s">
        <v>3508</v>
      </c>
      <c r="J1231" s="24" t="s">
        <v>486</v>
      </c>
      <c r="K1231" s="40"/>
      <c r="L1231" s="38" t="s">
        <v>3509</v>
      </c>
      <c r="M1231" s="44" t="s">
        <v>123</v>
      </c>
      <c r="N1231" s="46" t="s">
        <v>3511</v>
      </c>
      <c r="O1231" s="47" t="s">
        <v>1286</v>
      </c>
      <c r="P1231" s="50"/>
      <c r="Q1231" s="45"/>
      <c r="R1231" s="25"/>
      <c r="S1231" s="52"/>
    </row>
    <row r="1232" spans="1:19" ht="16.5" customHeight="1" x14ac:dyDescent="0.3">
      <c r="A1232" s="27" t="s">
        <v>487</v>
      </c>
      <c r="B1232" s="28" t="s">
        <v>488</v>
      </c>
      <c r="C1232" s="26" t="s">
        <v>1808</v>
      </c>
      <c r="D1232" s="31" t="s">
        <v>152</v>
      </c>
      <c r="E1232" s="33" t="s">
        <v>3143</v>
      </c>
      <c r="F1232" s="34" t="s">
        <v>561</v>
      </c>
      <c r="G1232" s="32" t="s">
        <v>3507</v>
      </c>
      <c r="H1232" s="37" t="s">
        <v>1793</v>
      </c>
      <c r="I1232" s="39" t="s">
        <v>3508</v>
      </c>
      <c r="J1232" s="24" t="s">
        <v>486</v>
      </c>
      <c r="K1232" s="40"/>
      <c r="L1232" s="38" t="s">
        <v>3509</v>
      </c>
      <c r="M1232" s="44" t="s">
        <v>123</v>
      </c>
      <c r="N1232" s="46" t="s">
        <v>3512</v>
      </c>
      <c r="O1232" s="47" t="s">
        <v>1287</v>
      </c>
      <c r="P1232" s="50"/>
      <c r="Q1232" s="45"/>
      <c r="R1232" s="25"/>
      <c r="S1232" s="52"/>
    </row>
    <row r="1233" spans="1:19" ht="16.5" customHeight="1" x14ac:dyDescent="0.3">
      <c r="A1233" s="27" t="s">
        <v>487</v>
      </c>
      <c r="B1233" s="28" t="s">
        <v>488</v>
      </c>
      <c r="C1233" s="26" t="s">
        <v>1808</v>
      </c>
      <c r="D1233" s="31" t="s">
        <v>152</v>
      </c>
      <c r="E1233" s="33" t="s">
        <v>3143</v>
      </c>
      <c r="F1233" s="34" t="s">
        <v>561</v>
      </c>
      <c r="G1233" s="32" t="s">
        <v>3507</v>
      </c>
      <c r="H1233" s="37" t="s">
        <v>1793</v>
      </c>
      <c r="I1233" s="39" t="s">
        <v>3508</v>
      </c>
      <c r="J1233" s="24" t="s">
        <v>486</v>
      </c>
      <c r="K1233" s="40"/>
      <c r="L1233" s="38" t="s">
        <v>3509</v>
      </c>
      <c r="M1233" s="44" t="s">
        <v>123</v>
      </c>
      <c r="N1233" s="46" t="s">
        <v>3513</v>
      </c>
      <c r="O1233" s="47" t="s">
        <v>1288</v>
      </c>
      <c r="P1233" s="50"/>
      <c r="Q1233" s="45"/>
      <c r="R1233" s="25"/>
      <c r="S1233" s="52"/>
    </row>
    <row r="1234" spans="1:19" ht="16.5" customHeight="1" x14ac:dyDescent="0.3">
      <c r="A1234" s="27" t="s">
        <v>487</v>
      </c>
      <c r="B1234" s="28" t="s">
        <v>488</v>
      </c>
      <c r="C1234" s="26" t="s">
        <v>1808</v>
      </c>
      <c r="D1234" s="31" t="s">
        <v>152</v>
      </c>
      <c r="E1234" s="33" t="s">
        <v>3143</v>
      </c>
      <c r="F1234" s="34" t="s">
        <v>561</v>
      </c>
      <c r="G1234" s="32" t="s">
        <v>3507</v>
      </c>
      <c r="H1234" s="37" t="s">
        <v>1793</v>
      </c>
      <c r="I1234" s="39" t="s">
        <v>3508</v>
      </c>
      <c r="J1234" s="24" t="s">
        <v>486</v>
      </c>
      <c r="K1234" s="40"/>
      <c r="L1234" s="38" t="s">
        <v>3509</v>
      </c>
      <c r="M1234" s="44" t="s">
        <v>123</v>
      </c>
      <c r="N1234" s="46" t="s">
        <v>3514</v>
      </c>
      <c r="O1234" s="47" t="s">
        <v>1285</v>
      </c>
      <c r="P1234" s="50"/>
      <c r="Q1234" s="45"/>
      <c r="R1234" s="25"/>
      <c r="S1234" s="52"/>
    </row>
    <row r="1235" spans="1:19" ht="16.5" customHeight="1" x14ac:dyDescent="0.3">
      <c r="A1235" s="27" t="s">
        <v>487</v>
      </c>
      <c r="B1235" s="28" t="s">
        <v>488</v>
      </c>
      <c r="C1235" s="26" t="s">
        <v>1808</v>
      </c>
      <c r="D1235" s="31" t="s">
        <v>152</v>
      </c>
      <c r="E1235" s="33" t="s">
        <v>3143</v>
      </c>
      <c r="F1235" s="34" t="s">
        <v>561</v>
      </c>
      <c r="G1235" s="32" t="s">
        <v>3507</v>
      </c>
      <c r="H1235" s="37" t="s">
        <v>1793</v>
      </c>
      <c r="I1235" s="39" t="s">
        <v>3508</v>
      </c>
      <c r="J1235" s="24" t="s">
        <v>486</v>
      </c>
      <c r="K1235" s="40"/>
      <c r="L1235" s="38" t="s">
        <v>3509</v>
      </c>
      <c r="M1235" s="44" t="s">
        <v>123</v>
      </c>
      <c r="N1235" s="46" t="s">
        <v>3515</v>
      </c>
      <c r="O1235" s="47" t="s">
        <v>1274</v>
      </c>
      <c r="P1235" s="50"/>
      <c r="Q1235" s="45"/>
      <c r="R1235" s="25"/>
      <c r="S1235" s="52"/>
    </row>
    <row r="1236" spans="1:19" ht="16.5" customHeight="1" x14ac:dyDescent="0.3">
      <c r="A1236" s="27" t="s">
        <v>487</v>
      </c>
      <c r="B1236" s="28" t="s">
        <v>488</v>
      </c>
      <c r="C1236" s="26" t="s">
        <v>1808</v>
      </c>
      <c r="D1236" s="31" t="s">
        <v>152</v>
      </c>
      <c r="E1236" s="33" t="s">
        <v>3143</v>
      </c>
      <c r="F1236" s="34" t="s">
        <v>561</v>
      </c>
      <c r="G1236" s="32" t="s">
        <v>3507</v>
      </c>
      <c r="H1236" s="37" t="s">
        <v>1793</v>
      </c>
      <c r="I1236" s="39" t="s">
        <v>3508</v>
      </c>
      <c r="J1236" s="24" t="s">
        <v>486</v>
      </c>
      <c r="K1236" s="40"/>
      <c r="L1236" s="38" t="s">
        <v>3509</v>
      </c>
      <c r="M1236" s="44" t="s">
        <v>123</v>
      </c>
      <c r="N1236" s="46" t="s">
        <v>3516</v>
      </c>
      <c r="O1236" s="47" t="s">
        <v>1275</v>
      </c>
      <c r="P1236" s="50"/>
      <c r="Q1236" s="45"/>
      <c r="R1236" s="25"/>
      <c r="S1236" s="52"/>
    </row>
    <row r="1237" spans="1:19" ht="16.5" customHeight="1" x14ac:dyDescent="0.3">
      <c r="A1237" s="27" t="s">
        <v>487</v>
      </c>
      <c r="B1237" s="28" t="s">
        <v>488</v>
      </c>
      <c r="C1237" s="26" t="s">
        <v>1808</v>
      </c>
      <c r="D1237" s="31" t="s">
        <v>152</v>
      </c>
      <c r="E1237" s="33" t="s">
        <v>3143</v>
      </c>
      <c r="F1237" s="34" t="s">
        <v>561</v>
      </c>
      <c r="G1237" s="32" t="s">
        <v>3507</v>
      </c>
      <c r="H1237" s="37" t="s">
        <v>1793</v>
      </c>
      <c r="I1237" s="39" t="s">
        <v>3508</v>
      </c>
      <c r="J1237" s="24" t="s">
        <v>486</v>
      </c>
      <c r="K1237" s="40"/>
      <c r="L1237" s="38" t="s">
        <v>3509</v>
      </c>
      <c r="M1237" s="44" t="s">
        <v>123</v>
      </c>
      <c r="N1237" s="46" t="s">
        <v>3517</v>
      </c>
      <c r="O1237" s="47" t="s">
        <v>622</v>
      </c>
      <c r="P1237" s="50"/>
      <c r="Q1237" s="45"/>
      <c r="R1237" s="25"/>
      <c r="S1237" s="52"/>
    </row>
    <row r="1238" spans="1:19" ht="16.5" customHeight="1" x14ac:dyDescent="0.3">
      <c r="A1238" s="27" t="s">
        <v>487</v>
      </c>
      <c r="B1238" s="28" t="s">
        <v>488</v>
      </c>
      <c r="C1238" s="26" t="s">
        <v>1808</v>
      </c>
      <c r="D1238" s="31" t="s">
        <v>152</v>
      </c>
      <c r="E1238" s="33" t="s">
        <v>3143</v>
      </c>
      <c r="F1238" s="34" t="s">
        <v>561</v>
      </c>
      <c r="G1238" s="32" t="s">
        <v>3507</v>
      </c>
      <c r="H1238" s="37" t="s">
        <v>1793</v>
      </c>
      <c r="I1238" s="39" t="s">
        <v>3508</v>
      </c>
      <c r="J1238" s="24" t="s">
        <v>486</v>
      </c>
      <c r="K1238" s="40"/>
      <c r="L1238" s="38" t="s">
        <v>3509</v>
      </c>
      <c r="M1238" s="44" t="s">
        <v>123</v>
      </c>
      <c r="N1238" s="46" t="s">
        <v>3518</v>
      </c>
      <c r="O1238" s="47" t="s">
        <v>1276</v>
      </c>
      <c r="P1238" s="50"/>
      <c r="Q1238" s="45"/>
      <c r="R1238" s="25"/>
      <c r="S1238" s="52"/>
    </row>
    <row r="1239" spans="1:19" ht="16.5" customHeight="1" x14ac:dyDescent="0.3">
      <c r="A1239" s="27" t="s">
        <v>487</v>
      </c>
      <c r="B1239" s="28" t="s">
        <v>488</v>
      </c>
      <c r="C1239" s="26" t="s">
        <v>1808</v>
      </c>
      <c r="D1239" s="31" t="s">
        <v>152</v>
      </c>
      <c r="E1239" s="33" t="s">
        <v>3143</v>
      </c>
      <c r="F1239" s="34" t="s">
        <v>561</v>
      </c>
      <c r="G1239" s="32" t="s">
        <v>3507</v>
      </c>
      <c r="H1239" s="37" t="s">
        <v>1793</v>
      </c>
      <c r="I1239" s="39" t="s">
        <v>3508</v>
      </c>
      <c r="J1239" s="24" t="s">
        <v>486</v>
      </c>
      <c r="K1239" s="40"/>
      <c r="L1239" s="38" t="s">
        <v>3509</v>
      </c>
      <c r="M1239" s="44" t="s">
        <v>123</v>
      </c>
      <c r="N1239" s="46" t="s">
        <v>3519</v>
      </c>
      <c r="O1239" s="47" t="s">
        <v>1277</v>
      </c>
      <c r="P1239" s="50"/>
      <c r="Q1239" s="45"/>
      <c r="R1239" s="25"/>
      <c r="S1239" s="52"/>
    </row>
    <row r="1240" spans="1:19" ht="16.5" customHeight="1" x14ac:dyDescent="0.3">
      <c r="A1240" s="27" t="s">
        <v>487</v>
      </c>
      <c r="B1240" s="28" t="s">
        <v>488</v>
      </c>
      <c r="C1240" s="26" t="s">
        <v>1808</v>
      </c>
      <c r="D1240" s="31" t="s">
        <v>152</v>
      </c>
      <c r="E1240" s="33" t="s">
        <v>3143</v>
      </c>
      <c r="F1240" s="34" t="s">
        <v>561</v>
      </c>
      <c r="G1240" s="32" t="s">
        <v>3507</v>
      </c>
      <c r="H1240" s="37" t="s">
        <v>1793</v>
      </c>
      <c r="I1240" s="39" t="s">
        <v>3508</v>
      </c>
      <c r="J1240" s="24" t="s">
        <v>486</v>
      </c>
      <c r="K1240" s="40"/>
      <c r="L1240" s="38" t="s">
        <v>3509</v>
      </c>
      <c r="M1240" s="44" t="s">
        <v>123</v>
      </c>
      <c r="N1240" s="46" t="s">
        <v>3520</v>
      </c>
      <c r="O1240" s="47" t="s">
        <v>1278</v>
      </c>
      <c r="P1240" s="50"/>
      <c r="Q1240" s="45"/>
      <c r="R1240" s="25"/>
      <c r="S1240" s="52"/>
    </row>
    <row r="1241" spans="1:19" ht="16.5" customHeight="1" x14ac:dyDescent="0.3">
      <c r="A1241" s="27" t="s">
        <v>487</v>
      </c>
      <c r="B1241" s="28" t="s">
        <v>488</v>
      </c>
      <c r="C1241" s="26" t="s">
        <v>1808</v>
      </c>
      <c r="D1241" s="31" t="s">
        <v>152</v>
      </c>
      <c r="E1241" s="33" t="s">
        <v>3143</v>
      </c>
      <c r="F1241" s="34" t="s">
        <v>561</v>
      </c>
      <c r="G1241" s="32" t="s">
        <v>3507</v>
      </c>
      <c r="H1241" s="37" t="s">
        <v>1793</v>
      </c>
      <c r="I1241" s="39" t="s">
        <v>3508</v>
      </c>
      <c r="J1241" s="24" t="s">
        <v>486</v>
      </c>
      <c r="K1241" s="40"/>
      <c r="L1241" s="38" t="s">
        <v>3509</v>
      </c>
      <c r="M1241" s="44" t="s">
        <v>123</v>
      </c>
      <c r="N1241" s="46" t="s">
        <v>3521</v>
      </c>
      <c r="O1241" s="47" t="s">
        <v>1279</v>
      </c>
      <c r="P1241" s="50"/>
      <c r="Q1241" s="45"/>
      <c r="R1241" s="25"/>
      <c r="S1241" s="52"/>
    </row>
    <row r="1242" spans="1:19" ht="16.5" customHeight="1" x14ac:dyDescent="0.3">
      <c r="A1242" s="27" t="s">
        <v>487</v>
      </c>
      <c r="B1242" s="28" t="s">
        <v>488</v>
      </c>
      <c r="C1242" s="26" t="s">
        <v>1808</v>
      </c>
      <c r="D1242" s="31" t="s">
        <v>152</v>
      </c>
      <c r="E1242" s="33" t="s">
        <v>3143</v>
      </c>
      <c r="F1242" s="34" t="s">
        <v>561</v>
      </c>
      <c r="G1242" s="32" t="s">
        <v>3507</v>
      </c>
      <c r="H1242" s="37" t="s">
        <v>1793</v>
      </c>
      <c r="I1242" s="39" t="s">
        <v>3508</v>
      </c>
      <c r="J1242" s="24" t="s">
        <v>486</v>
      </c>
      <c r="K1242" s="40"/>
      <c r="L1242" s="38" t="s">
        <v>3509</v>
      </c>
      <c r="M1242" s="44" t="s">
        <v>123</v>
      </c>
      <c r="N1242" s="46" t="s">
        <v>3522</v>
      </c>
      <c r="O1242" s="47" t="s">
        <v>1280</v>
      </c>
      <c r="P1242" s="50"/>
      <c r="Q1242" s="45"/>
      <c r="R1242" s="25"/>
      <c r="S1242" s="52"/>
    </row>
    <row r="1243" spans="1:19" ht="16.5" customHeight="1" x14ac:dyDescent="0.3">
      <c r="A1243" s="27" t="s">
        <v>487</v>
      </c>
      <c r="B1243" s="28" t="s">
        <v>488</v>
      </c>
      <c r="C1243" s="26" t="s">
        <v>1808</v>
      </c>
      <c r="D1243" s="31" t="s">
        <v>152</v>
      </c>
      <c r="E1243" s="33" t="s">
        <v>3143</v>
      </c>
      <c r="F1243" s="34" t="s">
        <v>561</v>
      </c>
      <c r="G1243" s="32" t="s">
        <v>3507</v>
      </c>
      <c r="H1243" s="37" t="s">
        <v>1793</v>
      </c>
      <c r="I1243" s="39" t="s">
        <v>3508</v>
      </c>
      <c r="J1243" s="24" t="s">
        <v>486</v>
      </c>
      <c r="K1243" s="40"/>
      <c r="L1243" s="38" t="s">
        <v>3509</v>
      </c>
      <c r="M1243" s="44" t="s">
        <v>123</v>
      </c>
      <c r="N1243" s="46" t="s">
        <v>3523</v>
      </c>
      <c r="O1243" s="47" t="s">
        <v>1281</v>
      </c>
      <c r="P1243" s="50"/>
      <c r="Q1243" s="45"/>
      <c r="R1243" s="25"/>
      <c r="S1243" s="52"/>
    </row>
    <row r="1244" spans="1:19" ht="16.5" customHeight="1" x14ac:dyDescent="0.3">
      <c r="A1244" s="27" t="s">
        <v>487</v>
      </c>
      <c r="B1244" s="28" t="s">
        <v>488</v>
      </c>
      <c r="C1244" s="26" t="s">
        <v>1808</v>
      </c>
      <c r="D1244" s="31" t="s">
        <v>152</v>
      </c>
      <c r="E1244" s="33" t="s">
        <v>3143</v>
      </c>
      <c r="F1244" s="34" t="s">
        <v>561</v>
      </c>
      <c r="G1244" s="32" t="s">
        <v>3507</v>
      </c>
      <c r="H1244" s="37" t="s">
        <v>1793</v>
      </c>
      <c r="I1244" s="39" t="s">
        <v>3508</v>
      </c>
      <c r="J1244" s="24" t="s">
        <v>486</v>
      </c>
      <c r="K1244" s="40"/>
      <c r="L1244" s="38" t="s">
        <v>3509</v>
      </c>
      <c r="M1244" s="44" t="s">
        <v>123</v>
      </c>
      <c r="N1244" s="46" t="s">
        <v>3524</v>
      </c>
      <c r="O1244" s="47" t="s">
        <v>1282</v>
      </c>
      <c r="P1244" s="50"/>
      <c r="Q1244" s="45"/>
      <c r="R1244" s="25"/>
      <c r="S1244" s="52"/>
    </row>
    <row r="1245" spans="1:19" ht="16.5" customHeight="1" x14ac:dyDescent="0.3">
      <c r="A1245" s="27" t="s">
        <v>487</v>
      </c>
      <c r="B1245" s="28" t="s">
        <v>488</v>
      </c>
      <c r="C1245" s="26" t="s">
        <v>1808</v>
      </c>
      <c r="D1245" s="31" t="s">
        <v>152</v>
      </c>
      <c r="E1245" s="33" t="s">
        <v>3143</v>
      </c>
      <c r="F1245" s="34" t="s">
        <v>561</v>
      </c>
      <c r="G1245" s="32" t="s">
        <v>3507</v>
      </c>
      <c r="H1245" s="37" t="s">
        <v>1793</v>
      </c>
      <c r="I1245" s="39" t="s">
        <v>3508</v>
      </c>
      <c r="J1245" s="24" t="s">
        <v>486</v>
      </c>
      <c r="K1245" s="40"/>
      <c r="L1245" s="38" t="s">
        <v>3509</v>
      </c>
      <c r="M1245" s="44" t="s">
        <v>123</v>
      </c>
      <c r="N1245" s="46" t="s">
        <v>3525</v>
      </c>
      <c r="O1245" s="47" t="s">
        <v>1283</v>
      </c>
      <c r="P1245" s="50"/>
      <c r="Q1245" s="45"/>
      <c r="R1245" s="25"/>
      <c r="S1245" s="52"/>
    </row>
    <row r="1246" spans="1:19" ht="16.5" customHeight="1" x14ac:dyDescent="0.3">
      <c r="A1246" s="27" t="s">
        <v>487</v>
      </c>
      <c r="B1246" s="28" t="s">
        <v>488</v>
      </c>
      <c r="C1246" s="26" t="s">
        <v>1808</v>
      </c>
      <c r="D1246" s="31" t="s">
        <v>152</v>
      </c>
      <c r="E1246" s="33" t="s">
        <v>3143</v>
      </c>
      <c r="F1246" s="34" t="s">
        <v>561</v>
      </c>
      <c r="G1246" s="32" t="s">
        <v>3507</v>
      </c>
      <c r="H1246" s="37" t="s">
        <v>1793</v>
      </c>
      <c r="I1246" s="39" t="s">
        <v>3508</v>
      </c>
      <c r="J1246" s="24" t="s">
        <v>486</v>
      </c>
      <c r="K1246" s="40"/>
      <c r="L1246" s="38" t="s">
        <v>3509</v>
      </c>
      <c r="M1246" s="44" t="s">
        <v>123</v>
      </c>
      <c r="N1246" s="46" t="s">
        <v>3526</v>
      </c>
      <c r="O1246" s="47" t="s">
        <v>621</v>
      </c>
      <c r="P1246" s="50"/>
      <c r="Q1246" s="45"/>
      <c r="R1246" s="25"/>
      <c r="S1246" s="52"/>
    </row>
    <row r="1247" spans="1:19" ht="16.5" customHeight="1" x14ac:dyDescent="0.3">
      <c r="A1247" s="27" t="s">
        <v>487</v>
      </c>
      <c r="B1247" s="28" t="s">
        <v>488</v>
      </c>
      <c r="C1247" s="26" t="s">
        <v>1808</v>
      </c>
      <c r="D1247" s="31" t="s">
        <v>152</v>
      </c>
      <c r="E1247" s="33" t="s">
        <v>3143</v>
      </c>
      <c r="F1247" s="34" t="s">
        <v>561</v>
      </c>
      <c r="G1247" s="32" t="s">
        <v>3507</v>
      </c>
      <c r="H1247" s="37" t="s">
        <v>1793</v>
      </c>
      <c r="I1247" s="39" t="s">
        <v>3508</v>
      </c>
      <c r="J1247" s="24" t="s">
        <v>486</v>
      </c>
      <c r="K1247" s="40"/>
      <c r="L1247" s="38" t="s">
        <v>3509</v>
      </c>
      <c r="M1247" s="44" t="s">
        <v>123</v>
      </c>
      <c r="N1247" s="46" t="s">
        <v>3527</v>
      </c>
      <c r="O1247" s="47" t="s">
        <v>1289</v>
      </c>
      <c r="P1247" s="50"/>
      <c r="Q1247" s="45"/>
      <c r="R1247" s="25"/>
      <c r="S1247" s="52"/>
    </row>
    <row r="1248" spans="1:19" ht="16.5" customHeight="1" x14ac:dyDescent="0.3">
      <c r="A1248" s="27" t="s">
        <v>487</v>
      </c>
      <c r="B1248" s="28" t="s">
        <v>488</v>
      </c>
      <c r="C1248" s="26" t="s">
        <v>1808</v>
      </c>
      <c r="D1248" s="31" t="s">
        <v>152</v>
      </c>
      <c r="E1248" s="33" t="s">
        <v>3143</v>
      </c>
      <c r="F1248" s="34" t="s">
        <v>561</v>
      </c>
      <c r="G1248" s="32" t="s">
        <v>3507</v>
      </c>
      <c r="H1248" s="37" t="s">
        <v>1793</v>
      </c>
      <c r="I1248" s="39" t="s">
        <v>3508</v>
      </c>
      <c r="J1248" s="24" t="s">
        <v>486</v>
      </c>
      <c r="K1248" s="40"/>
      <c r="L1248" s="38" t="s">
        <v>3509</v>
      </c>
      <c r="M1248" s="44" t="s">
        <v>123</v>
      </c>
      <c r="N1248" s="46" t="s">
        <v>3528</v>
      </c>
      <c r="O1248" s="47" t="s">
        <v>1290</v>
      </c>
      <c r="P1248" s="50"/>
      <c r="Q1248" s="45"/>
      <c r="R1248" s="25"/>
      <c r="S1248" s="52"/>
    </row>
    <row r="1249" spans="1:19" ht="16.5" customHeight="1" x14ac:dyDescent="0.3">
      <c r="A1249" s="27" t="s">
        <v>487</v>
      </c>
      <c r="B1249" s="28" t="s">
        <v>488</v>
      </c>
      <c r="C1249" s="26" t="s">
        <v>1808</v>
      </c>
      <c r="D1249" s="31" t="s">
        <v>152</v>
      </c>
      <c r="E1249" s="33" t="s">
        <v>3143</v>
      </c>
      <c r="F1249" s="34" t="s">
        <v>561</v>
      </c>
      <c r="G1249" s="32" t="s">
        <v>3507</v>
      </c>
      <c r="H1249" s="37" t="s">
        <v>1793</v>
      </c>
      <c r="I1249" s="39" t="s">
        <v>3508</v>
      </c>
      <c r="J1249" s="24" t="s">
        <v>486</v>
      </c>
      <c r="K1249" s="40"/>
      <c r="L1249" s="38" t="s">
        <v>3509</v>
      </c>
      <c r="M1249" s="44" t="s">
        <v>123</v>
      </c>
      <c r="N1249" s="46" t="s">
        <v>3529</v>
      </c>
      <c r="O1249" s="47" t="s">
        <v>1291</v>
      </c>
      <c r="P1249" s="50"/>
      <c r="Q1249" s="45"/>
      <c r="R1249" s="25"/>
      <c r="S1249" s="52"/>
    </row>
    <row r="1250" spans="1:19" ht="16.5" customHeight="1" x14ac:dyDescent="0.3">
      <c r="A1250" s="27" t="s">
        <v>487</v>
      </c>
      <c r="B1250" s="28" t="s">
        <v>488</v>
      </c>
      <c r="C1250" s="26" t="s">
        <v>1808</v>
      </c>
      <c r="D1250" s="31" t="s">
        <v>152</v>
      </c>
      <c r="E1250" s="33" t="s">
        <v>3143</v>
      </c>
      <c r="F1250" s="34" t="s">
        <v>561</v>
      </c>
      <c r="G1250" s="32" t="s">
        <v>3507</v>
      </c>
      <c r="H1250" s="37" t="s">
        <v>1793</v>
      </c>
      <c r="I1250" s="39" t="s">
        <v>3508</v>
      </c>
      <c r="J1250" s="24" t="s">
        <v>486</v>
      </c>
      <c r="K1250" s="40"/>
      <c r="L1250" s="38" t="s">
        <v>3509</v>
      </c>
      <c r="M1250" s="44" t="s">
        <v>123</v>
      </c>
      <c r="N1250" s="46" t="s">
        <v>3530</v>
      </c>
      <c r="O1250" s="47" t="s">
        <v>1292</v>
      </c>
      <c r="P1250" s="50"/>
      <c r="Q1250" s="45"/>
      <c r="R1250" s="25"/>
      <c r="S1250" s="52"/>
    </row>
    <row r="1251" spans="1:19" ht="16.5" customHeight="1" x14ac:dyDescent="0.3">
      <c r="A1251" s="27" t="s">
        <v>487</v>
      </c>
      <c r="B1251" s="28" t="s">
        <v>488</v>
      </c>
      <c r="C1251" s="26" t="s">
        <v>1808</v>
      </c>
      <c r="D1251" s="31" t="s">
        <v>152</v>
      </c>
      <c r="E1251" s="33" t="s">
        <v>3143</v>
      </c>
      <c r="F1251" s="34" t="s">
        <v>561</v>
      </c>
      <c r="G1251" s="32" t="s">
        <v>3507</v>
      </c>
      <c r="H1251" s="37" t="s">
        <v>1793</v>
      </c>
      <c r="I1251" s="39" t="s">
        <v>3508</v>
      </c>
      <c r="J1251" s="24" t="s">
        <v>486</v>
      </c>
      <c r="K1251" s="40"/>
      <c r="L1251" s="38" t="s">
        <v>3509</v>
      </c>
      <c r="M1251" s="44" t="s">
        <v>123</v>
      </c>
      <c r="N1251" s="46" t="s">
        <v>3531</v>
      </c>
      <c r="O1251" s="47" t="s">
        <v>1293</v>
      </c>
      <c r="P1251" s="50"/>
      <c r="Q1251" s="45"/>
      <c r="R1251" s="25"/>
      <c r="S1251" s="52"/>
    </row>
    <row r="1252" spans="1:19" ht="16.5" customHeight="1" x14ac:dyDescent="0.3">
      <c r="A1252" s="27" t="s">
        <v>487</v>
      </c>
      <c r="B1252" s="28" t="s">
        <v>488</v>
      </c>
      <c r="C1252" s="26" t="s">
        <v>1808</v>
      </c>
      <c r="D1252" s="31" t="s">
        <v>152</v>
      </c>
      <c r="E1252" s="33" t="s">
        <v>3143</v>
      </c>
      <c r="F1252" s="34" t="s">
        <v>561</v>
      </c>
      <c r="G1252" s="32" t="s">
        <v>3507</v>
      </c>
      <c r="H1252" s="37" t="s">
        <v>1793</v>
      </c>
      <c r="I1252" s="39" t="s">
        <v>3508</v>
      </c>
      <c r="J1252" s="24" t="s">
        <v>486</v>
      </c>
      <c r="K1252" s="40"/>
      <c r="L1252" s="38" t="s">
        <v>3509</v>
      </c>
      <c r="M1252" s="44" t="s">
        <v>123</v>
      </c>
      <c r="N1252" s="46" t="s">
        <v>3532</v>
      </c>
      <c r="O1252" s="47" t="s">
        <v>1294</v>
      </c>
      <c r="P1252" s="50"/>
      <c r="Q1252" s="45"/>
      <c r="R1252" s="25"/>
      <c r="S1252" s="52"/>
    </row>
    <row r="1253" spans="1:19" ht="16.5" customHeight="1" x14ac:dyDescent="0.3">
      <c r="A1253" s="27" t="s">
        <v>487</v>
      </c>
      <c r="B1253" s="28" t="s">
        <v>488</v>
      </c>
      <c r="C1253" s="26" t="s">
        <v>1808</v>
      </c>
      <c r="D1253" s="31" t="s">
        <v>152</v>
      </c>
      <c r="E1253" s="33" t="s">
        <v>3143</v>
      </c>
      <c r="F1253" s="34" t="s">
        <v>561</v>
      </c>
      <c r="G1253" s="32" t="s">
        <v>3507</v>
      </c>
      <c r="H1253" s="37" t="s">
        <v>1793</v>
      </c>
      <c r="I1253" s="39" t="s">
        <v>3508</v>
      </c>
      <c r="J1253" s="24" t="s">
        <v>486</v>
      </c>
      <c r="K1253" s="40"/>
      <c r="L1253" s="38" t="s">
        <v>3509</v>
      </c>
      <c r="M1253" s="44" t="s">
        <v>123</v>
      </c>
      <c r="N1253" s="46" t="s">
        <v>3533</v>
      </c>
      <c r="O1253" s="47" t="s">
        <v>1295</v>
      </c>
      <c r="P1253" s="50"/>
      <c r="Q1253" s="45"/>
      <c r="R1253" s="25"/>
      <c r="S1253" s="52"/>
    </row>
    <row r="1254" spans="1:19" ht="16.5" customHeight="1" x14ac:dyDescent="0.3">
      <c r="A1254" s="27" t="s">
        <v>487</v>
      </c>
      <c r="B1254" s="28" t="s">
        <v>488</v>
      </c>
      <c r="C1254" s="26" t="s">
        <v>1808</v>
      </c>
      <c r="D1254" s="31" t="s">
        <v>152</v>
      </c>
      <c r="E1254" s="33" t="s">
        <v>3143</v>
      </c>
      <c r="F1254" s="34" t="s">
        <v>561</v>
      </c>
      <c r="G1254" s="32" t="s">
        <v>3507</v>
      </c>
      <c r="H1254" s="37" t="s">
        <v>1793</v>
      </c>
      <c r="I1254" s="39" t="s">
        <v>3508</v>
      </c>
      <c r="J1254" s="24" t="s">
        <v>486</v>
      </c>
      <c r="K1254" s="40"/>
      <c r="L1254" s="38" t="s">
        <v>3509</v>
      </c>
      <c r="M1254" s="44" t="s">
        <v>123</v>
      </c>
      <c r="N1254" s="46" t="s">
        <v>3534</v>
      </c>
      <c r="O1254" s="47" t="s">
        <v>1296</v>
      </c>
      <c r="P1254" s="50"/>
      <c r="Q1254" s="45"/>
      <c r="R1254" s="25"/>
      <c r="S1254" s="52"/>
    </row>
    <row r="1255" spans="1:19" ht="16.5" customHeight="1" x14ac:dyDescent="0.3">
      <c r="A1255" s="27" t="s">
        <v>487</v>
      </c>
      <c r="B1255" s="28" t="s">
        <v>488</v>
      </c>
      <c r="C1255" s="26" t="s">
        <v>1808</v>
      </c>
      <c r="D1255" s="31" t="s">
        <v>152</v>
      </c>
      <c r="E1255" s="33" t="s">
        <v>3143</v>
      </c>
      <c r="F1255" s="34" t="s">
        <v>561</v>
      </c>
      <c r="G1255" s="32" t="s">
        <v>3507</v>
      </c>
      <c r="H1255" s="37" t="s">
        <v>1793</v>
      </c>
      <c r="I1255" s="39" t="s">
        <v>3508</v>
      </c>
      <c r="J1255" s="24" t="s">
        <v>486</v>
      </c>
      <c r="K1255" s="40"/>
      <c r="L1255" s="38" t="s">
        <v>3509</v>
      </c>
      <c r="M1255" s="44" t="s">
        <v>123</v>
      </c>
      <c r="N1255" s="46" t="s">
        <v>3535</v>
      </c>
      <c r="O1255" s="47" t="s">
        <v>1297</v>
      </c>
      <c r="P1255" s="50"/>
      <c r="Q1255" s="45"/>
      <c r="R1255" s="25"/>
      <c r="S1255" s="52"/>
    </row>
    <row r="1256" spans="1:19" ht="16.5" customHeight="1" x14ac:dyDescent="0.3">
      <c r="A1256" s="27" t="s">
        <v>487</v>
      </c>
      <c r="B1256" s="28" t="s">
        <v>488</v>
      </c>
      <c r="C1256" s="26" t="s">
        <v>1808</v>
      </c>
      <c r="D1256" s="31" t="s">
        <v>152</v>
      </c>
      <c r="E1256" s="33" t="s">
        <v>3143</v>
      </c>
      <c r="F1256" s="34" t="s">
        <v>561</v>
      </c>
      <c r="G1256" s="32" t="s">
        <v>3507</v>
      </c>
      <c r="H1256" s="37" t="s">
        <v>1793</v>
      </c>
      <c r="I1256" s="39" t="s">
        <v>3508</v>
      </c>
      <c r="J1256" s="24" t="s">
        <v>486</v>
      </c>
      <c r="K1256" s="40"/>
      <c r="L1256" s="38" t="s">
        <v>3509</v>
      </c>
      <c r="M1256" s="44" t="s">
        <v>123</v>
      </c>
      <c r="N1256" s="46" t="s">
        <v>3536</v>
      </c>
      <c r="O1256" s="47" t="s">
        <v>1298</v>
      </c>
      <c r="P1256" s="50"/>
      <c r="Q1256" s="45"/>
      <c r="R1256" s="25"/>
      <c r="S1256" s="52"/>
    </row>
    <row r="1257" spans="1:19" ht="16.5" customHeight="1" x14ac:dyDescent="0.3">
      <c r="A1257" s="27" t="s">
        <v>487</v>
      </c>
      <c r="B1257" s="28" t="s">
        <v>488</v>
      </c>
      <c r="C1257" s="26" t="s">
        <v>1808</v>
      </c>
      <c r="D1257" s="31" t="s">
        <v>152</v>
      </c>
      <c r="E1257" s="33" t="s">
        <v>3143</v>
      </c>
      <c r="F1257" s="34" t="s">
        <v>561</v>
      </c>
      <c r="G1257" s="32" t="s">
        <v>3507</v>
      </c>
      <c r="H1257" s="37" t="s">
        <v>1793</v>
      </c>
      <c r="I1257" s="39" t="s">
        <v>3508</v>
      </c>
      <c r="J1257" s="24" t="s">
        <v>486</v>
      </c>
      <c r="K1257" s="40"/>
      <c r="L1257" s="38" t="s">
        <v>3509</v>
      </c>
      <c r="M1257" s="44" t="s">
        <v>123</v>
      </c>
      <c r="N1257" s="46" t="s">
        <v>3537</v>
      </c>
      <c r="O1257" s="47" t="s">
        <v>1299</v>
      </c>
      <c r="P1257" s="50"/>
      <c r="Q1257" s="45"/>
      <c r="R1257" s="25"/>
      <c r="S1257" s="52"/>
    </row>
    <row r="1258" spans="1:19" ht="16.5" customHeight="1" x14ac:dyDescent="0.3">
      <c r="A1258" s="27" t="s">
        <v>487</v>
      </c>
      <c r="B1258" s="28" t="s">
        <v>488</v>
      </c>
      <c r="C1258" s="26" t="s">
        <v>1808</v>
      </c>
      <c r="D1258" s="31" t="s">
        <v>152</v>
      </c>
      <c r="E1258" s="33" t="s">
        <v>3143</v>
      </c>
      <c r="F1258" s="34" t="s">
        <v>561</v>
      </c>
      <c r="G1258" s="32" t="s">
        <v>3507</v>
      </c>
      <c r="H1258" s="37" t="s">
        <v>1793</v>
      </c>
      <c r="I1258" s="39" t="s">
        <v>3508</v>
      </c>
      <c r="J1258" s="24" t="s">
        <v>486</v>
      </c>
      <c r="K1258" s="40"/>
      <c r="L1258" s="38" t="s">
        <v>3509</v>
      </c>
      <c r="M1258" s="44" t="s">
        <v>123</v>
      </c>
      <c r="N1258" s="46" t="s">
        <v>3538</v>
      </c>
      <c r="O1258" s="47" t="s">
        <v>1300</v>
      </c>
      <c r="P1258" s="50"/>
      <c r="Q1258" s="45"/>
      <c r="R1258" s="25"/>
      <c r="S1258" s="52"/>
    </row>
    <row r="1259" spans="1:19" ht="16.5" customHeight="1" x14ac:dyDescent="0.3">
      <c r="A1259" s="27" t="s">
        <v>487</v>
      </c>
      <c r="B1259" s="28" t="s">
        <v>488</v>
      </c>
      <c r="C1259" s="26" t="s">
        <v>1808</v>
      </c>
      <c r="D1259" s="31" t="s">
        <v>152</v>
      </c>
      <c r="E1259" s="33" t="s">
        <v>3143</v>
      </c>
      <c r="F1259" s="34" t="s">
        <v>561</v>
      </c>
      <c r="G1259" s="32" t="s">
        <v>3507</v>
      </c>
      <c r="H1259" s="37" t="s">
        <v>1793</v>
      </c>
      <c r="I1259" s="39" t="s">
        <v>3508</v>
      </c>
      <c r="J1259" s="24" t="s">
        <v>486</v>
      </c>
      <c r="K1259" s="40"/>
      <c r="L1259" s="38" t="s">
        <v>3509</v>
      </c>
      <c r="M1259" s="44" t="s">
        <v>123</v>
      </c>
      <c r="N1259" s="46" t="s">
        <v>3539</v>
      </c>
      <c r="O1259" s="47" t="s">
        <v>1301</v>
      </c>
      <c r="P1259" s="50"/>
      <c r="Q1259" s="45"/>
      <c r="R1259" s="25"/>
      <c r="S1259" s="52"/>
    </row>
    <row r="1260" spans="1:19" ht="16.5" customHeight="1" x14ac:dyDescent="0.3">
      <c r="A1260" s="27" t="s">
        <v>487</v>
      </c>
      <c r="B1260" s="28" t="s">
        <v>488</v>
      </c>
      <c r="C1260" s="26" t="s">
        <v>1808</v>
      </c>
      <c r="D1260" s="31" t="s">
        <v>152</v>
      </c>
      <c r="E1260" s="33" t="s">
        <v>3143</v>
      </c>
      <c r="F1260" s="34" t="s">
        <v>561</v>
      </c>
      <c r="G1260" s="32" t="s">
        <v>3507</v>
      </c>
      <c r="H1260" s="37" t="s">
        <v>1793</v>
      </c>
      <c r="I1260" s="39" t="s">
        <v>3508</v>
      </c>
      <c r="J1260" s="24" t="s">
        <v>486</v>
      </c>
      <c r="K1260" s="40"/>
      <c r="L1260" s="38" t="s">
        <v>3509</v>
      </c>
      <c r="M1260" s="44" t="s">
        <v>123</v>
      </c>
      <c r="N1260" s="46" t="s">
        <v>3540</v>
      </c>
      <c r="O1260" s="47" t="s">
        <v>1302</v>
      </c>
      <c r="P1260" s="50"/>
      <c r="Q1260" s="45"/>
      <c r="R1260" s="25"/>
      <c r="S1260" s="52"/>
    </row>
    <row r="1261" spans="1:19" ht="16.5" customHeight="1" x14ac:dyDescent="0.3">
      <c r="A1261" s="27" t="s">
        <v>487</v>
      </c>
      <c r="B1261" s="28" t="s">
        <v>488</v>
      </c>
      <c r="C1261" s="26" t="s">
        <v>1808</v>
      </c>
      <c r="D1261" s="31" t="s">
        <v>152</v>
      </c>
      <c r="E1261" s="33" t="s">
        <v>3143</v>
      </c>
      <c r="F1261" s="34" t="s">
        <v>561</v>
      </c>
      <c r="G1261" s="32" t="s">
        <v>3507</v>
      </c>
      <c r="H1261" s="37" t="s">
        <v>1793</v>
      </c>
      <c r="I1261" s="39" t="s">
        <v>3508</v>
      </c>
      <c r="J1261" s="24" t="s">
        <v>486</v>
      </c>
      <c r="K1261" s="40"/>
      <c r="L1261" s="38" t="s">
        <v>3509</v>
      </c>
      <c r="M1261" s="44" t="s">
        <v>123</v>
      </c>
      <c r="N1261" s="46" t="s">
        <v>3541</v>
      </c>
      <c r="O1261" s="47" t="s">
        <v>1303</v>
      </c>
      <c r="P1261" s="50"/>
      <c r="Q1261" s="45"/>
      <c r="R1261" s="25"/>
      <c r="S1261" s="52"/>
    </row>
    <row r="1262" spans="1:19" ht="16.5" customHeight="1" x14ac:dyDescent="0.3">
      <c r="A1262" s="27" t="s">
        <v>487</v>
      </c>
      <c r="B1262" s="28" t="s">
        <v>488</v>
      </c>
      <c r="C1262" s="26" t="s">
        <v>1808</v>
      </c>
      <c r="D1262" s="31" t="s">
        <v>152</v>
      </c>
      <c r="E1262" s="33" t="s">
        <v>3143</v>
      </c>
      <c r="F1262" s="34" t="s">
        <v>561</v>
      </c>
      <c r="G1262" s="32" t="s">
        <v>3507</v>
      </c>
      <c r="H1262" s="37" t="s">
        <v>1793</v>
      </c>
      <c r="I1262" s="39" t="s">
        <v>3508</v>
      </c>
      <c r="J1262" s="24" t="s">
        <v>486</v>
      </c>
      <c r="K1262" s="40"/>
      <c r="L1262" s="38" t="s">
        <v>3509</v>
      </c>
      <c r="M1262" s="44" t="s">
        <v>123</v>
      </c>
      <c r="N1262" s="46" t="s">
        <v>3542</v>
      </c>
      <c r="O1262" s="47" t="s">
        <v>1304</v>
      </c>
      <c r="P1262" s="50"/>
      <c r="Q1262" s="45"/>
      <c r="R1262" s="25"/>
      <c r="S1262" s="52"/>
    </row>
    <row r="1263" spans="1:19" ht="16.5" customHeight="1" x14ac:dyDescent="0.3">
      <c r="A1263" s="27" t="s">
        <v>487</v>
      </c>
      <c r="B1263" s="28" t="s">
        <v>488</v>
      </c>
      <c r="C1263" s="26" t="s">
        <v>1808</v>
      </c>
      <c r="D1263" s="31" t="s">
        <v>152</v>
      </c>
      <c r="E1263" s="33" t="s">
        <v>3143</v>
      </c>
      <c r="F1263" s="34" t="s">
        <v>561</v>
      </c>
      <c r="G1263" s="32" t="s">
        <v>3507</v>
      </c>
      <c r="H1263" s="37" t="s">
        <v>1793</v>
      </c>
      <c r="I1263" s="39" t="s">
        <v>3508</v>
      </c>
      <c r="J1263" s="24" t="s">
        <v>486</v>
      </c>
      <c r="K1263" s="40"/>
      <c r="L1263" s="38" t="s">
        <v>3509</v>
      </c>
      <c r="M1263" s="44" t="s">
        <v>123</v>
      </c>
      <c r="N1263" s="46" t="s">
        <v>3543</v>
      </c>
      <c r="O1263" s="47" t="s">
        <v>1305</v>
      </c>
      <c r="P1263" s="50"/>
      <c r="Q1263" s="45"/>
      <c r="R1263" s="25"/>
      <c r="S1263" s="52"/>
    </row>
    <row r="1264" spans="1:19" ht="16.5" customHeight="1" x14ac:dyDescent="0.3">
      <c r="A1264" s="27" t="s">
        <v>487</v>
      </c>
      <c r="B1264" s="28" t="s">
        <v>488</v>
      </c>
      <c r="C1264" s="26" t="s">
        <v>1808</v>
      </c>
      <c r="D1264" s="31" t="s">
        <v>152</v>
      </c>
      <c r="E1264" s="33" t="s">
        <v>3143</v>
      </c>
      <c r="F1264" s="34" t="s">
        <v>561</v>
      </c>
      <c r="G1264" s="32" t="s">
        <v>3507</v>
      </c>
      <c r="H1264" s="37" t="s">
        <v>1793</v>
      </c>
      <c r="I1264" s="39" t="s">
        <v>3508</v>
      </c>
      <c r="J1264" s="24" t="s">
        <v>486</v>
      </c>
      <c r="K1264" s="40"/>
      <c r="L1264" s="38" t="s">
        <v>3509</v>
      </c>
      <c r="M1264" s="44" t="s">
        <v>123</v>
      </c>
      <c r="N1264" s="46" t="s">
        <v>3544</v>
      </c>
      <c r="O1264" s="47" t="s">
        <v>1306</v>
      </c>
      <c r="P1264" s="50"/>
      <c r="Q1264" s="45"/>
      <c r="R1264" s="25"/>
      <c r="S1264" s="52"/>
    </row>
    <row r="1265" spans="1:19" ht="16.5" customHeight="1" x14ac:dyDescent="0.3">
      <c r="A1265" s="27" t="s">
        <v>487</v>
      </c>
      <c r="B1265" s="28" t="s">
        <v>488</v>
      </c>
      <c r="C1265" s="26" t="s">
        <v>1808</v>
      </c>
      <c r="D1265" s="31" t="s">
        <v>152</v>
      </c>
      <c r="E1265" s="33" t="s">
        <v>3143</v>
      </c>
      <c r="F1265" s="34" t="s">
        <v>561</v>
      </c>
      <c r="G1265" s="32" t="s">
        <v>3507</v>
      </c>
      <c r="H1265" s="37" t="s">
        <v>1793</v>
      </c>
      <c r="I1265" s="39" t="s">
        <v>3508</v>
      </c>
      <c r="J1265" s="24" t="s">
        <v>486</v>
      </c>
      <c r="K1265" s="40"/>
      <c r="L1265" s="38" t="s">
        <v>3509</v>
      </c>
      <c r="M1265" s="44" t="s">
        <v>123</v>
      </c>
      <c r="N1265" s="46" t="s">
        <v>3545</v>
      </c>
      <c r="O1265" s="47" t="s">
        <v>1307</v>
      </c>
      <c r="P1265" s="50"/>
      <c r="Q1265" s="45"/>
      <c r="R1265" s="25"/>
      <c r="S1265" s="52"/>
    </row>
    <row r="1266" spans="1:19" ht="16.5" customHeight="1" x14ac:dyDescent="0.3">
      <c r="A1266" s="27" t="s">
        <v>487</v>
      </c>
      <c r="B1266" s="28" t="s">
        <v>488</v>
      </c>
      <c r="C1266" s="26" t="s">
        <v>1808</v>
      </c>
      <c r="D1266" s="31" t="s">
        <v>152</v>
      </c>
      <c r="E1266" s="33" t="s">
        <v>3143</v>
      </c>
      <c r="F1266" s="34" t="s">
        <v>561</v>
      </c>
      <c r="G1266" s="32" t="s">
        <v>3507</v>
      </c>
      <c r="H1266" s="37" t="s">
        <v>1793</v>
      </c>
      <c r="I1266" s="39" t="s">
        <v>3508</v>
      </c>
      <c r="J1266" s="24" t="s">
        <v>486</v>
      </c>
      <c r="K1266" s="40"/>
      <c r="L1266" s="38" t="s">
        <v>3509</v>
      </c>
      <c r="M1266" s="44" t="s">
        <v>123</v>
      </c>
      <c r="N1266" s="46" t="s">
        <v>3546</v>
      </c>
      <c r="O1266" s="47" t="s">
        <v>1308</v>
      </c>
      <c r="P1266" s="50"/>
      <c r="Q1266" s="45"/>
      <c r="R1266" s="25"/>
      <c r="S1266" s="52"/>
    </row>
    <row r="1267" spans="1:19" ht="16.5" customHeight="1" x14ac:dyDescent="0.3">
      <c r="A1267" s="27" t="s">
        <v>487</v>
      </c>
      <c r="B1267" s="28" t="s">
        <v>488</v>
      </c>
      <c r="C1267" s="26" t="s">
        <v>1808</v>
      </c>
      <c r="D1267" s="31" t="s">
        <v>152</v>
      </c>
      <c r="E1267" s="33" t="s">
        <v>3143</v>
      </c>
      <c r="F1267" s="34" t="s">
        <v>561</v>
      </c>
      <c r="G1267" s="32" t="s">
        <v>3507</v>
      </c>
      <c r="H1267" s="37" t="s">
        <v>1793</v>
      </c>
      <c r="I1267" s="39" t="s">
        <v>3508</v>
      </c>
      <c r="J1267" s="24" t="s">
        <v>486</v>
      </c>
      <c r="K1267" s="40"/>
      <c r="L1267" s="38" t="s">
        <v>3509</v>
      </c>
      <c r="M1267" s="44" t="s">
        <v>123</v>
      </c>
      <c r="N1267" s="46" t="s">
        <v>3547</v>
      </c>
      <c r="O1267" s="47" t="s">
        <v>1309</v>
      </c>
      <c r="P1267" s="50"/>
      <c r="Q1267" s="45"/>
      <c r="R1267" s="25"/>
      <c r="S1267" s="52"/>
    </row>
    <row r="1268" spans="1:19" ht="16.5" customHeight="1" x14ac:dyDescent="0.3">
      <c r="A1268" s="27" t="s">
        <v>487</v>
      </c>
      <c r="B1268" s="28" t="s">
        <v>488</v>
      </c>
      <c r="C1268" s="26" t="s">
        <v>1808</v>
      </c>
      <c r="D1268" s="31" t="s">
        <v>152</v>
      </c>
      <c r="E1268" s="33" t="s">
        <v>3143</v>
      </c>
      <c r="F1268" s="34" t="s">
        <v>561</v>
      </c>
      <c r="G1268" s="32" t="s">
        <v>3507</v>
      </c>
      <c r="H1268" s="37" t="s">
        <v>1793</v>
      </c>
      <c r="I1268" s="39" t="s">
        <v>3508</v>
      </c>
      <c r="J1268" s="24" t="s">
        <v>486</v>
      </c>
      <c r="K1268" s="40"/>
      <c r="L1268" s="38" t="s">
        <v>3509</v>
      </c>
      <c r="M1268" s="44" t="s">
        <v>123</v>
      </c>
      <c r="N1268" s="46" t="s">
        <v>3548</v>
      </c>
      <c r="O1268" s="47" t="s">
        <v>1310</v>
      </c>
      <c r="P1268" s="50"/>
      <c r="Q1268" s="45"/>
      <c r="R1268" s="25"/>
      <c r="S1268" s="52"/>
    </row>
    <row r="1269" spans="1:19" ht="16.5" customHeight="1" x14ac:dyDescent="0.3">
      <c r="A1269" s="27" t="s">
        <v>487</v>
      </c>
      <c r="B1269" s="28" t="s">
        <v>488</v>
      </c>
      <c r="C1269" s="26" t="s">
        <v>1808</v>
      </c>
      <c r="D1269" s="31" t="s">
        <v>152</v>
      </c>
      <c r="E1269" s="33" t="s">
        <v>3143</v>
      </c>
      <c r="F1269" s="34" t="s">
        <v>561</v>
      </c>
      <c r="G1269" s="32" t="s">
        <v>3507</v>
      </c>
      <c r="H1269" s="37" t="s">
        <v>1793</v>
      </c>
      <c r="I1269" s="39" t="s">
        <v>3508</v>
      </c>
      <c r="J1269" s="24" t="s">
        <v>486</v>
      </c>
      <c r="K1269" s="40"/>
      <c r="L1269" s="38" t="s">
        <v>3509</v>
      </c>
      <c r="M1269" s="44" t="s">
        <v>123</v>
      </c>
      <c r="N1269" s="46" t="s">
        <v>3549</v>
      </c>
      <c r="O1269" s="47" t="s">
        <v>1311</v>
      </c>
      <c r="P1269" s="50"/>
      <c r="Q1269" s="45"/>
      <c r="R1269" s="25"/>
      <c r="S1269" s="52"/>
    </row>
    <row r="1270" spans="1:19" ht="16.5" customHeight="1" x14ac:dyDescent="0.3">
      <c r="A1270" s="27" t="s">
        <v>487</v>
      </c>
      <c r="B1270" s="28" t="s">
        <v>488</v>
      </c>
      <c r="C1270" s="26" t="s">
        <v>1808</v>
      </c>
      <c r="D1270" s="31" t="s">
        <v>152</v>
      </c>
      <c r="E1270" s="33" t="s">
        <v>3143</v>
      </c>
      <c r="F1270" s="34" t="s">
        <v>561</v>
      </c>
      <c r="G1270" s="32" t="s">
        <v>3507</v>
      </c>
      <c r="H1270" s="37" t="s">
        <v>1793</v>
      </c>
      <c r="I1270" s="39" t="s">
        <v>3508</v>
      </c>
      <c r="J1270" s="24" t="s">
        <v>486</v>
      </c>
      <c r="K1270" s="40"/>
      <c r="L1270" s="38" t="s">
        <v>3509</v>
      </c>
      <c r="M1270" s="44" t="s">
        <v>123</v>
      </c>
      <c r="N1270" s="46" t="s">
        <v>3550</v>
      </c>
      <c r="O1270" s="47" t="s">
        <v>1617</v>
      </c>
      <c r="P1270" s="50"/>
      <c r="Q1270" s="45"/>
      <c r="R1270" s="25"/>
      <c r="S1270" s="52"/>
    </row>
    <row r="1271" spans="1:19" ht="16.5" customHeight="1" x14ac:dyDescent="0.3">
      <c r="A1271" s="27" t="s">
        <v>487</v>
      </c>
      <c r="B1271" s="28" t="s">
        <v>488</v>
      </c>
      <c r="C1271" s="26" t="s">
        <v>1808</v>
      </c>
      <c r="D1271" s="31" t="s">
        <v>152</v>
      </c>
      <c r="E1271" s="33" t="s">
        <v>3143</v>
      </c>
      <c r="F1271" s="34" t="s">
        <v>561</v>
      </c>
      <c r="G1271" s="32" t="s">
        <v>3507</v>
      </c>
      <c r="H1271" s="37" t="s">
        <v>1793</v>
      </c>
      <c r="I1271" s="39" t="s">
        <v>3508</v>
      </c>
      <c r="J1271" s="24" t="s">
        <v>486</v>
      </c>
      <c r="K1271" s="40"/>
      <c r="L1271" s="38" t="s">
        <v>3509</v>
      </c>
      <c r="M1271" s="44" t="s">
        <v>123</v>
      </c>
      <c r="N1271" s="46" t="s">
        <v>3551</v>
      </c>
      <c r="O1271" s="47" t="s">
        <v>1447</v>
      </c>
      <c r="P1271" s="50"/>
      <c r="Q1271" s="45"/>
      <c r="R1271" s="25"/>
      <c r="S1271" s="52"/>
    </row>
    <row r="1272" spans="1:19" ht="16.5" customHeight="1" x14ac:dyDescent="0.3">
      <c r="A1272" s="27" t="s">
        <v>487</v>
      </c>
      <c r="B1272" s="28" t="s">
        <v>488</v>
      </c>
      <c r="C1272" s="26" t="s">
        <v>1808</v>
      </c>
      <c r="D1272" s="31" t="s">
        <v>152</v>
      </c>
      <c r="E1272" s="33" t="s">
        <v>3143</v>
      </c>
      <c r="F1272" s="34" t="s">
        <v>561</v>
      </c>
      <c r="G1272" s="32" t="s">
        <v>3507</v>
      </c>
      <c r="H1272" s="37" t="s">
        <v>1793</v>
      </c>
      <c r="I1272" s="39" t="s">
        <v>3508</v>
      </c>
      <c r="J1272" s="24" t="s">
        <v>486</v>
      </c>
      <c r="K1272" s="40"/>
      <c r="L1272" s="38" t="s">
        <v>3509</v>
      </c>
      <c r="M1272" s="44" t="s">
        <v>123</v>
      </c>
      <c r="N1272" s="46" t="s">
        <v>3552</v>
      </c>
      <c r="O1272" s="47" t="s">
        <v>1447</v>
      </c>
      <c r="P1272" s="50"/>
      <c r="Q1272" s="45"/>
      <c r="R1272" s="25"/>
      <c r="S1272" s="52"/>
    </row>
    <row r="1273" spans="1:19" ht="16.5" customHeight="1" x14ac:dyDescent="0.3">
      <c r="A1273" s="27" t="s">
        <v>487</v>
      </c>
      <c r="B1273" s="28" t="s">
        <v>488</v>
      </c>
      <c r="C1273" s="26" t="s">
        <v>1808</v>
      </c>
      <c r="D1273" s="31" t="s">
        <v>152</v>
      </c>
      <c r="E1273" s="33" t="s">
        <v>3143</v>
      </c>
      <c r="F1273" s="34" t="s">
        <v>561</v>
      </c>
      <c r="G1273" s="32" t="s">
        <v>3507</v>
      </c>
      <c r="H1273" s="37" t="s">
        <v>1793</v>
      </c>
      <c r="I1273" s="39" t="s">
        <v>3508</v>
      </c>
      <c r="J1273" s="24" t="s">
        <v>486</v>
      </c>
      <c r="K1273" s="40"/>
      <c r="L1273" s="38" t="s">
        <v>3509</v>
      </c>
      <c r="M1273" s="44" t="s">
        <v>123</v>
      </c>
      <c r="N1273" s="46" t="s">
        <v>3553</v>
      </c>
      <c r="O1273" s="47" t="s">
        <v>1450</v>
      </c>
      <c r="P1273" s="50"/>
      <c r="Q1273" s="45"/>
      <c r="R1273" s="25"/>
      <c r="S1273" s="52"/>
    </row>
    <row r="1274" spans="1:19" ht="16.5" customHeight="1" x14ac:dyDescent="0.3">
      <c r="A1274" s="27" t="s">
        <v>487</v>
      </c>
      <c r="B1274" s="28" t="s">
        <v>488</v>
      </c>
      <c r="C1274" s="26" t="s">
        <v>1808</v>
      </c>
      <c r="D1274" s="31" t="s">
        <v>152</v>
      </c>
      <c r="E1274" s="33" t="s">
        <v>3143</v>
      </c>
      <c r="F1274" s="34" t="s">
        <v>561</v>
      </c>
      <c r="G1274" s="32" t="s">
        <v>3507</v>
      </c>
      <c r="H1274" s="37" t="s">
        <v>1793</v>
      </c>
      <c r="I1274" s="39" t="s">
        <v>3508</v>
      </c>
      <c r="J1274" s="24" t="s">
        <v>486</v>
      </c>
      <c r="K1274" s="40"/>
      <c r="L1274" s="38" t="s">
        <v>3509</v>
      </c>
      <c r="M1274" s="44" t="s">
        <v>123</v>
      </c>
      <c r="N1274" s="46" t="s">
        <v>3554</v>
      </c>
      <c r="O1274" s="47" t="s">
        <v>1450</v>
      </c>
      <c r="P1274" s="50"/>
      <c r="Q1274" s="45"/>
      <c r="R1274" s="25"/>
      <c r="S1274" s="52"/>
    </row>
    <row r="1275" spans="1:19" ht="16.5" customHeight="1" x14ac:dyDescent="0.3">
      <c r="A1275" s="27" t="s">
        <v>487</v>
      </c>
      <c r="B1275" s="28" t="s">
        <v>488</v>
      </c>
      <c r="C1275" s="26" t="s">
        <v>1808</v>
      </c>
      <c r="D1275" s="31" t="s">
        <v>152</v>
      </c>
      <c r="E1275" s="33" t="s">
        <v>3143</v>
      </c>
      <c r="F1275" s="34" t="s">
        <v>561</v>
      </c>
      <c r="G1275" s="32" t="s">
        <v>3507</v>
      </c>
      <c r="H1275" s="37" t="s">
        <v>1793</v>
      </c>
      <c r="I1275" s="39" t="s">
        <v>3508</v>
      </c>
      <c r="J1275" s="24" t="s">
        <v>486</v>
      </c>
      <c r="K1275" s="40"/>
      <c r="L1275" s="38" t="s">
        <v>3509</v>
      </c>
      <c r="M1275" s="44" t="s">
        <v>123</v>
      </c>
      <c r="N1275" s="46" t="s">
        <v>3555</v>
      </c>
      <c r="O1275" s="47" t="s">
        <v>1618</v>
      </c>
      <c r="P1275" s="50"/>
      <c r="Q1275" s="45"/>
      <c r="R1275" s="25"/>
      <c r="S1275" s="52"/>
    </row>
    <row r="1276" spans="1:19" ht="16.5" customHeight="1" x14ac:dyDescent="0.3">
      <c r="A1276" s="27" t="s">
        <v>487</v>
      </c>
      <c r="B1276" s="28" t="s">
        <v>488</v>
      </c>
      <c r="C1276" s="26" t="s">
        <v>1808</v>
      </c>
      <c r="D1276" s="31" t="s">
        <v>152</v>
      </c>
      <c r="E1276" s="33" t="s">
        <v>3143</v>
      </c>
      <c r="F1276" s="34" t="s">
        <v>561</v>
      </c>
      <c r="G1276" s="32" t="s">
        <v>3507</v>
      </c>
      <c r="H1276" s="37" t="s">
        <v>1793</v>
      </c>
      <c r="I1276" s="39" t="s">
        <v>3508</v>
      </c>
      <c r="J1276" s="24" t="s">
        <v>486</v>
      </c>
      <c r="K1276" s="40"/>
      <c r="L1276" s="38" t="s">
        <v>3509</v>
      </c>
      <c r="M1276" s="44" t="s">
        <v>123</v>
      </c>
      <c r="N1276" s="46" t="s">
        <v>3556</v>
      </c>
      <c r="O1276" s="47" t="s">
        <v>1619</v>
      </c>
      <c r="P1276" s="50"/>
      <c r="Q1276" s="45"/>
      <c r="R1276" s="25"/>
      <c r="S1276" s="52"/>
    </row>
    <row r="1277" spans="1:19" ht="16.5" customHeight="1" x14ac:dyDescent="0.3">
      <c r="A1277" s="27" t="s">
        <v>487</v>
      </c>
      <c r="B1277" s="28" t="s">
        <v>488</v>
      </c>
      <c r="C1277" s="26" t="s">
        <v>1808</v>
      </c>
      <c r="D1277" s="31" t="s">
        <v>152</v>
      </c>
      <c r="E1277" s="33" t="s">
        <v>3143</v>
      </c>
      <c r="F1277" s="34" t="s">
        <v>561</v>
      </c>
      <c r="G1277" s="32" t="s">
        <v>3507</v>
      </c>
      <c r="H1277" s="37" t="s">
        <v>1793</v>
      </c>
      <c r="I1277" s="39" t="s">
        <v>3508</v>
      </c>
      <c r="J1277" s="24" t="s">
        <v>486</v>
      </c>
      <c r="K1277" s="40"/>
      <c r="L1277" s="38" t="s">
        <v>3509</v>
      </c>
      <c r="M1277" s="44" t="s">
        <v>123</v>
      </c>
      <c r="N1277" s="46" t="s">
        <v>3557</v>
      </c>
      <c r="O1277" s="47" t="s">
        <v>1455</v>
      </c>
      <c r="P1277" s="50"/>
      <c r="Q1277" s="45"/>
      <c r="R1277" s="25"/>
      <c r="S1277" s="52"/>
    </row>
    <row r="1278" spans="1:19" ht="16.5" customHeight="1" x14ac:dyDescent="0.3">
      <c r="A1278" s="27" t="s">
        <v>487</v>
      </c>
      <c r="B1278" s="28" t="s">
        <v>488</v>
      </c>
      <c r="C1278" s="26" t="s">
        <v>1808</v>
      </c>
      <c r="D1278" s="31" t="s">
        <v>152</v>
      </c>
      <c r="E1278" s="33" t="s">
        <v>3143</v>
      </c>
      <c r="F1278" s="34" t="s">
        <v>561</v>
      </c>
      <c r="G1278" s="32" t="s">
        <v>3507</v>
      </c>
      <c r="H1278" s="37" t="s">
        <v>1793</v>
      </c>
      <c r="I1278" s="39" t="s">
        <v>3508</v>
      </c>
      <c r="J1278" s="24" t="s">
        <v>486</v>
      </c>
      <c r="K1278" s="40"/>
      <c r="L1278" s="38" t="s">
        <v>3509</v>
      </c>
      <c r="M1278" s="44" t="s">
        <v>123</v>
      </c>
      <c r="N1278" s="46" t="s">
        <v>3558</v>
      </c>
      <c r="O1278" s="47" t="s">
        <v>1455</v>
      </c>
      <c r="P1278" s="50"/>
      <c r="Q1278" s="45"/>
      <c r="R1278" s="25"/>
      <c r="S1278" s="52"/>
    </row>
    <row r="1279" spans="1:19" ht="16.5" customHeight="1" x14ac:dyDescent="0.3">
      <c r="A1279" s="27" t="s">
        <v>487</v>
      </c>
      <c r="B1279" s="28" t="s">
        <v>488</v>
      </c>
      <c r="C1279" s="26" t="s">
        <v>1808</v>
      </c>
      <c r="D1279" s="31" t="s">
        <v>152</v>
      </c>
      <c r="E1279" s="33" t="s">
        <v>3143</v>
      </c>
      <c r="F1279" s="34" t="s">
        <v>561</v>
      </c>
      <c r="G1279" s="32" t="s">
        <v>3507</v>
      </c>
      <c r="H1279" s="37" t="s">
        <v>1793</v>
      </c>
      <c r="I1279" s="39" t="s">
        <v>3508</v>
      </c>
      <c r="J1279" s="24" t="s">
        <v>486</v>
      </c>
      <c r="K1279" s="40"/>
      <c r="L1279" s="38" t="s">
        <v>3509</v>
      </c>
      <c r="M1279" s="44" t="s">
        <v>123</v>
      </c>
      <c r="N1279" s="46" t="s">
        <v>3559</v>
      </c>
      <c r="O1279" s="47" t="s">
        <v>1458</v>
      </c>
      <c r="P1279" s="50"/>
      <c r="Q1279" s="45"/>
      <c r="R1279" s="25"/>
      <c r="S1279" s="52"/>
    </row>
    <row r="1280" spans="1:19" ht="16.5" customHeight="1" x14ac:dyDescent="0.3">
      <c r="A1280" s="27" t="s">
        <v>487</v>
      </c>
      <c r="B1280" s="28" t="s">
        <v>488</v>
      </c>
      <c r="C1280" s="26" t="s">
        <v>1808</v>
      </c>
      <c r="D1280" s="31" t="s">
        <v>152</v>
      </c>
      <c r="E1280" s="33" t="s">
        <v>3143</v>
      </c>
      <c r="F1280" s="34" t="s">
        <v>561</v>
      </c>
      <c r="G1280" s="32" t="s">
        <v>3507</v>
      </c>
      <c r="H1280" s="37" t="s">
        <v>1793</v>
      </c>
      <c r="I1280" s="39" t="s">
        <v>3508</v>
      </c>
      <c r="J1280" s="24" t="s">
        <v>486</v>
      </c>
      <c r="K1280" s="40"/>
      <c r="L1280" s="38" t="s">
        <v>3509</v>
      </c>
      <c r="M1280" s="44" t="s">
        <v>123</v>
      </c>
      <c r="N1280" s="46" t="s">
        <v>3560</v>
      </c>
      <c r="O1280" s="47" t="s">
        <v>1486</v>
      </c>
      <c r="P1280" s="50"/>
      <c r="Q1280" s="45"/>
      <c r="R1280" s="25"/>
      <c r="S1280" s="52"/>
    </row>
    <row r="1281" spans="1:19" ht="16.5" customHeight="1" x14ac:dyDescent="0.3">
      <c r="A1281" s="27" t="s">
        <v>487</v>
      </c>
      <c r="B1281" s="28" t="s">
        <v>488</v>
      </c>
      <c r="C1281" s="26" t="s">
        <v>1808</v>
      </c>
      <c r="D1281" s="31" t="s">
        <v>152</v>
      </c>
      <c r="E1281" s="33" t="s">
        <v>3143</v>
      </c>
      <c r="F1281" s="34" t="s">
        <v>561</v>
      </c>
      <c r="G1281" s="32" t="s">
        <v>3507</v>
      </c>
      <c r="H1281" s="37" t="s">
        <v>1793</v>
      </c>
      <c r="I1281" s="39" t="s">
        <v>3508</v>
      </c>
      <c r="J1281" s="24" t="s">
        <v>486</v>
      </c>
      <c r="K1281" s="40"/>
      <c r="L1281" s="38" t="s">
        <v>3509</v>
      </c>
      <c r="M1281" s="44" t="s">
        <v>123</v>
      </c>
      <c r="N1281" s="46" t="s">
        <v>3561</v>
      </c>
      <c r="O1281" s="47" t="s">
        <v>1487</v>
      </c>
      <c r="P1281" s="50"/>
      <c r="Q1281" s="45"/>
      <c r="R1281" s="25"/>
      <c r="S1281" s="52"/>
    </row>
    <row r="1282" spans="1:19" ht="16.5" customHeight="1" x14ac:dyDescent="0.3">
      <c r="A1282" s="27" t="s">
        <v>487</v>
      </c>
      <c r="B1282" s="28" t="s">
        <v>488</v>
      </c>
      <c r="C1282" s="26" t="s">
        <v>1808</v>
      </c>
      <c r="D1282" s="31" t="s">
        <v>152</v>
      </c>
      <c r="E1282" s="33" t="s">
        <v>3562</v>
      </c>
      <c r="F1282" s="34" t="s">
        <v>562</v>
      </c>
      <c r="G1282" s="32" t="s">
        <v>3563</v>
      </c>
      <c r="H1282" s="37" t="s">
        <v>321</v>
      </c>
      <c r="I1282" s="39" t="s">
        <v>3564</v>
      </c>
      <c r="J1282" s="24" t="s">
        <v>1241</v>
      </c>
      <c r="K1282" s="40"/>
      <c r="L1282" s="38" t="s">
        <v>3565</v>
      </c>
      <c r="M1282" s="44" t="s">
        <v>16</v>
      </c>
      <c r="N1282" s="46" t="s">
        <v>3566</v>
      </c>
      <c r="O1282" s="47" t="s">
        <v>1242</v>
      </c>
      <c r="P1282" s="50"/>
      <c r="Q1282" s="45"/>
      <c r="R1282" s="25"/>
      <c r="S1282" s="52"/>
    </row>
    <row r="1283" spans="1:19" ht="16.5" customHeight="1" x14ac:dyDescent="0.3">
      <c r="A1283" s="27" t="s">
        <v>487</v>
      </c>
      <c r="B1283" s="28" t="s">
        <v>488</v>
      </c>
      <c r="C1283" s="26" t="s">
        <v>1808</v>
      </c>
      <c r="D1283" s="31" t="s">
        <v>152</v>
      </c>
      <c r="E1283" s="33" t="s">
        <v>3562</v>
      </c>
      <c r="F1283" s="34" t="s">
        <v>562</v>
      </c>
      <c r="G1283" s="32" t="s">
        <v>3563</v>
      </c>
      <c r="H1283" s="37" t="s">
        <v>321</v>
      </c>
      <c r="I1283" s="39" t="s">
        <v>3564</v>
      </c>
      <c r="J1283" s="24" t="s">
        <v>1241</v>
      </c>
      <c r="K1283" s="40"/>
      <c r="L1283" s="38" t="s">
        <v>3567</v>
      </c>
      <c r="M1283" s="44" t="s">
        <v>123</v>
      </c>
      <c r="N1283" s="46" t="s">
        <v>3790</v>
      </c>
      <c r="O1283" s="47" t="s">
        <v>1654</v>
      </c>
      <c r="P1283" s="50"/>
      <c r="Q1283" s="45"/>
      <c r="R1283" s="25"/>
      <c r="S1283" s="52"/>
    </row>
    <row r="1284" spans="1:19" ht="16.5" customHeight="1" x14ac:dyDescent="0.3">
      <c r="A1284" s="27" t="s">
        <v>487</v>
      </c>
      <c r="B1284" s="28" t="s">
        <v>488</v>
      </c>
      <c r="C1284" s="26" t="s">
        <v>1808</v>
      </c>
      <c r="D1284" s="31" t="s">
        <v>152</v>
      </c>
      <c r="E1284" s="33" t="s">
        <v>3562</v>
      </c>
      <c r="F1284" s="34" t="s">
        <v>562</v>
      </c>
      <c r="G1284" s="32" t="s">
        <v>3563</v>
      </c>
      <c r="H1284" s="37" t="s">
        <v>321</v>
      </c>
      <c r="I1284" s="39" t="s">
        <v>3564</v>
      </c>
      <c r="J1284" s="24" t="s">
        <v>1241</v>
      </c>
      <c r="K1284" s="40"/>
      <c r="L1284" s="38" t="s">
        <v>3568</v>
      </c>
      <c r="M1284" s="44" t="s">
        <v>1665</v>
      </c>
      <c r="N1284" s="46" t="s">
        <v>3569</v>
      </c>
      <c r="O1284" s="47" t="s">
        <v>1773</v>
      </c>
      <c r="P1284" s="50"/>
      <c r="Q1284" s="45"/>
      <c r="R1284" s="25"/>
      <c r="S1284" s="52"/>
    </row>
    <row r="1285" spans="1:19" ht="16.5" customHeight="1" x14ac:dyDescent="0.3">
      <c r="A1285" s="27" t="s">
        <v>487</v>
      </c>
      <c r="B1285" s="28" t="s">
        <v>488</v>
      </c>
      <c r="C1285" s="26" t="s">
        <v>1808</v>
      </c>
      <c r="D1285" s="31" t="s">
        <v>152</v>
      </c>
      <c r="E1285" s="33" t="s">
        <v>3562</v>
      </c>
      <c r="F1285" s="34" t="s">
        <v>562</v>
      </c>
      <c r="G1285" s="32" t="s">
        <v>3563</v>
      </c>
      <c r="H1285" s="37" t="s">
        <v>321</v>
      </c>
      <c r="I1285" s="39" t="s">
        <v>3570</v>
      </c>
      <c r="J1285" s="24" t="s">
        <v>1243</v>
      </c>
      <c r="K1285" s="40"/>
      <c r="L1285" s="38" t="s">
        <v>3571</v>
      </c>
      <c r="M1285" s="44" t="s">
        <v>16</v>
      </c>
      <c r="N1285" s="46" t="s">
        <v>3572</v>
      </c>
      <c r="O1285" s="47" t="s">
        <v>1244</v>
      </c>
      <c r="P1285" s="50"/>
      <c r="Q1285" s="45"/>
      <c r="R1285" s="25"/>
      <c r="S1285" s="52"/>
    </row>
    <row r="1286" spans="1:19" ht="16.5" customHeight="1" x14ac:dyDescent="0.3">
      <c r="A1286" s="27" t="s">
        <v>487</v>
      </c>
      <c r="B1286" s="28" t="s">
        <v>488</v>
      </c>
      <c r="C1286" s="26" t="s">
        <v>1808</v>
      </c>
      <c r="D1286" s="31" t="s">
        <v>152</v>
      </c>
      <c r="E1286" s="33" t="s">
        <v>3562</v>
      </c>
      <c r="F1286" s="34" t="s">
        <v>562</v>
      </c>
      <c r="G1286" s="32" t="s">
        <v>3563</v>
      </c>
      <c r="H1286" s="37" t="s">
        <v>321</v>
      </c>
      <c r="I1286" s="39" t="s">
        <v>3570</v>
      </c>
      <c r="J1286" s="24" t="s">
        <v>1243</v>
      </c>
      <c r="K1286" s="40"/>
      <c r="L1286" s="38" t="s">
        <v>3573</v>
      </c>
      <c r="M1286" s="44" t="s">
        <v>123</v>
      </c>
      <c r="N1286" s="46" t="s">
        <v>3791</v>
      </c>
      <c r="O1286" s="47" t="s">
        <v>1654</v>
      </c>
      <c r="P1286" s="50"/>
      <c r="Q1286" s="45"/>
      <c r="R1286" s="25"/>
      <c r="S1286" s="52"/>
    </row>
    <row r="1287" spans="1:19" ht="16.5" customHeight="1" x14ac:dyDescent="0.3">
      <c r="A1287" s="27" t="s">
        <v>487</v>
      </c>
      <c r="B1287" s="28" t="s">
        <v>488</v>
      </c>
      <c r="C1287" s="26" t="s">
        <v>1808</v>
      </c>
      <c r="D1287" s="31" t="s">
        <v>152</v>
      </c>
      <c r="E1287" s="33" t="s">
        <v>3562</v>
      </c>
      <c r="F1287" s="34" t="s">
        <v>562</v>
      </c>
      <c r="G1287" s="32" t="s">
        <v>3563</v>
      </c>
      <c r="H1287" s="37" t="s">
        <v>321</v>
      </c>
      <c r="I1287" s="39" t="s">
        <v>3570</v>
      </c>
      <c r="J1287" s="24" t="s">
        <v>1243</v>
      </c>
      <c r="K1287" s="40"/>
      <c r="L1287" s="38" t="s">
        <v>3574</v>
      </c>
      <c r="M1287" s="44" t="s">
        <v>1665</v>
      </c>
      <c r="N1287" s="46" t="s">
        <v>3575</v>
      </c>
      <c r="O1287" s="47" t="s">
        <v>1773</v>
      </c>
      <c r="P1287" s="50"/>
      <c r="Q1287" s="45"/>
      <c r="R1287" s="25"/>
      <c r="S1287" s="52"/>
    </row>
    <row r="1288" spans="1:19" ht="16.5" customHeight="1" x14ac:dyDescent="0.3">
      <c r="A1288" s="27" t="s">
        <v>487</v>
      </c>
      <c r="B1288" s="28" t="s">
        <v>488</v>
      </c>
      <c r="C1288" s="26" t="s">
        <v>1808</v>
      </c>
      <c r="D1288" s="31" t="s">
        <v>152</v>
      </c>
      <c r="E1288" s="33" t="s">
        <v>3562</v>
      </c>
      <c r="F1288" s="34" t="s">
        <v>562</v>
      </c>
      <c r="G1288" s="32" t="s">
        <v>3563</v>
      </c>
      <c r="H1288" s="37" t="s">
        <v>321</v>
      </c>
      <c r="I1288" s="39" t="s">
        <v>3576</v>
      </c>
      <c r="J1288" s="24" t="s">
        <v>479</v>
      </c>
      <c r="K1288" s="40"/>
      <c r="L1288" s="38" t="s">
        <v>3577</v>
      </c>
      <c r="M1288" s="44" t="s">
        <v>1665</v>
      </c>
      <c r="N1288" s="46" t="s">
        <v>3578</v>
      </c>
      <c r="O1288" s="47" t="s">
        <v>1651</v>
      </c>
      <c r="P1288" s="50"/>
      <c r="Q1288" s="45"/>
      <c r="R1288" s="25"/>
      <c r="S1288" s="52"/>
    </row>
    <row r="1289" spans="1:19" ht="16.5" customHeight="1" x14ac:dyDescent="0.3">
      <c r="A1289" s="27" t="s">
        <v>487</v>
      </c>
      <c r="B1289" s="28" t="s">
        <v>488</v>
      </c>
      <c r="C1289" s="26" t="s">
        <v>1808</v>
      </c>
      <c r="D1289" s="31" t="s">
        <v>152</v>
      </c>
      <c r="E1289" s="33" t="s">
        <v>3562</v>
      </c>
      <c r="F1289" s="34" t="s">
        <v>562</v>
      </c>
      <c r="G1289" s="32" t="s">
        <v>3563</v>
      </c>
      <c r="H1289" s="37" t="s">
        <v>321</v>
      </c>
      <c r="I1289" s="39" t="s">
        <v>3579</v>
      </c>
      <c r="J1289" s="24" t="s">
        <v>480</v>
      </c>
      <c r="K1289" s="40"/>
      <c r="L1289" s="38" t="s">
        <v>3580</v>
      </c>
      <c r="M1289" s="44" t="s">
        <v>1665</v>
      </c>
      <c r="N1289" s="46" t="s">
        <v>3581</v>
      </c>
      <c r="O1289" s="47" t="s">
        <v>1651</v>
      </c>
      <c r="P1289" s="50"/>
      <c r="Q1289" s="45"/>
      <c r="R1289" s="25"/>
      <c r="S1289" s="52"/>
    </row>
    <row r="1290" spans="1:19" ht="16.5" customHeight="1" x14ac:dyDescent="0.3">
      <c r="A1290" s="27" t="s">
        <v>487</v>
      </c>
      <c r="B1290" s="28" t="s">
        <v>488</v>
      </c>
      <c r="C1290" s="26" t="s">
        <v>1808</v>
      </c>
      <c r="D1290" s="31" t="s">
        <v>152</v>
      </c>
      <c r="E1290" s="33" t="s">
        <v>3562</v>
      </c>
      <c r="F1290" s="34" t="s">
        <v>562</v>
      </c>
      <c r="G1290" s="32" t="s">
        <v>3563</v>
      </c>
      <c r="H1290" s="37" t="s">
        <v>321</v>
      </c>
      <c r="I1290" s="39" t="s">
        <v>3582</v>
      </c>
      <c r="J1290" s="24" t="s">
        <v>328</v>
      </c>
      <c r="K1290" s="40"/>
      <c r="L1290" s="38" t="s">
        <v>3583</v>
      </c>
      <c r="M1290" s="44" t="s">
        <v>26</v>
      </c>
      <c r="N1290" s="46" t="s">
        <v>3584</v>
      </c>
      <c r="O1290" s="47" t="s">
        <v>1781</v>
      </c>
      <c r="P1290" s="50"/>
      <c r="Q1290" s="45"/>
      <c r="R1290" s="25"/>
      <c r="S1290" s="52"/>
    </row>
    <row r="1291" spans="1:19" ht="16.5" customHeight="1" x14ac:dyDescent="0.3">
      <c r="A1291" s="27" t="s">
        <v>487</v>
      </c>
      <c r="B1291" s="28" t="s">
        <v>488</v>
      </c>
      <c r="C1291" s="26" t="s">
        <v>1808</v>
      </c>
      <c r="D1291" s="31" t="s">
        <v>152</v>
      </c>
      <c r="E1291" s="33" t="s">
        <v>3562</v>
      </c>
      <c r="F1291" s="34" t="s">
        <v>562</v>
      </c>
      <c r="G1291" s="32" t="s">
        <v>3563</v>
      </c>
      <c r="H1291" s="37" t="s">
        <v>321</v>
      </c>
      <c r="I1291" s="39" t="s">
        <v>3582</v>
      </c>
      <c r="J1291" s="24" t="s">
        <v>328</v>
      </c>
      <c r="K1291" s="40"/>
      <c r="L1291" s="38" t="s">
        <v>3583</v>
      </c>
      <c r="M1291" s="44" t="s">
        <v>26</v>
      </c>
      <c r="N1291" s="46" t="s">
        <v>3585</v>
      </c>
      <c r="O1291" s="47" t="s">
        <v>1782</v>
      </c>
      <c r="P1291" s="50"/>
      <c r="Q1291" s="45"/>
      <c r="R1291" s="25"/>
      <c r="S1291" s="52"/>
    </row>
    <row r="1292" spans="1:19" ht="16.5" customHeight="1" x14ac:dyDescent="0.3">
      <c r="A1292" s="27" t="s">
        <v>487</v>
      </c>
      <c r="B1292" s="28" t="s">
        <v>488</v>
      </c>
      <c r="C1292" s="26" t="s">
        <v>1808</v>
      </c>
      <c r="D1292" s="31" t="s">
        <v>152</v>
      </c>
      <c r="E1292" s="33" t="s">
        <v>3562</v>
      </c>
      <c r="F1292" s="34" t="s">
        <v>562</v>
      </c>
      <c r="G1292" s="32" t="s">
        <v>3563</v>
      </c>
      <c r="H1292" s="37" t="s">
        <v>321</v>
      </c>
      <c r="I1292" s="39" t="s">
        <v>3582</v>
      </c>
      <c r="J1292" s="24" t="s">
        <v>328</v>
      </c>
      <c r="K1292" s="40"/>
      <c r="L1292" s="38" t="s">
        <v>3583</v>
      </c>
      <c r="M1292" s="44" t="s">
        <v>26</v>
      </c>
      <c r="N1292" s="46" t="s">
        <v>3586</v>
      </c>
      <c r="O1292" s="47" t="s">
        <v>1783</v>
      </c>
      <c r="P1292" s="50"/>
      <c r="Q1292" s="45"/>
      <c r="R1292" s="25"/>
      <c r="S1292" s="52"/>
    </row>
    <row r="1293" spans="1:19" ht="16.5" customHeight="1" x14ac:dyDescent="0.3">
      <c r="A1293" s="27" t="s">
        <v>487</v>
      </c>
      <c r="B1293" s="28" t="s">
        <v>488</v>
      </c>
      <c r="C1293" s="26" t="s">
        <v>1808</v>
      </c>
      <c r="D1293" s="31" t="s">
        <v>152</v>
      </c>
      <c r="E1293" s="33" t="s">
        <v>3562</v>
      </c>
      <c r="F1293" s="34" t="s">
        <v>562</v>
      </c>
      <c r="G1293" s="32" t="s">
        <v>3563</v>
      </c>
      <c r="H1293" s="37" t="s">
        <v>321</v>
      </c>
      <c r="I1293" s="39" t="s">
        <v>3582</v>
      </c>
      <c r="J1293" s="24" t="s">
        <v>328</v>
      </c>
      <c r="K1293" s="40"/>
      <c r="L1293" s="38" t="s">
        <v>3792</v>
      </c>
      <c r="M1293" s="44" t="s">
        <v>1775</v>
      </c>
      <c r="N1293" s="46" t="s">
        <v>3587</v>
      </c>
      <c r="O1293" s="47" t="s">
        <v>1784</v>
      </c>
      <c r="P1293" s="50"/>
      <c r="Q1293" s="45"/>
      <c r="R1293" s="25"/>
      <c r="S1293" s="52"/>
    </row>
    <row r="1294" spans="1:19" ht="16.5" customHeight="1" x14ac:dyDescent="0.3">
      <c r="A1294" s="27" t="s">
        <v>487</v>
      </c>
      <c r="B1294" s="28" t="s">
        <v>488</v>
      </c>
      <c r="C1294" s="26" t="s">
        <v>1808</v>
      </c>
      <c r="D1294" s="31" t="s">
        <v>152</v>
      </c>
      <c r="E1294" s="33" t="s">
        <v>3562</v>
      </c>
      <c r="F1294" s="34" t="s">
        <v>562</v>
      </c>
      <c r="G1294" s="32" t="s">
        <v>3563</v>
      </c>
      <c r="H1294" s="37" t="s">
        <v>321</v>
      </c>
      <c r="I1294" s="39" t="s">
        <v>3582</v>
      </c>
      <c r="J1294" s="24" t="s">
        <v>328</v>
      </c>
      <c r="K1294" s="40"/>
      <c r="L1294" s="38" t="s">
        <v>3792</v>
      </c>
      <c r="M1294" s="44" t="s">
        <v>1775</v>
      </c>
      <c r="N1294" s="46" t="s">
        <v>3588</v>
      </c>
      <c r="O1294" s="47" t="s">
        <v>1785</v>
      </c>
      <c r="P1294" s="50"/>
      <c r="Q1294" s="45"/>
      <c r="R1294" s="25"/>
      <c r="S1294" s="52"/>
    </row>
    <row r="1295" spans="1:19" ht="16.5" customHeight="1" x14ac:dyDescent="0.3">
      <c r="A1295" s="27" t="s">
        <v>487</v>
      </c>
      <c r="B1295" s="28" t="s">
        <v>488</v>
      </c>
      <c r="C1295" s="26" t="s">
        <v>1808</v>
      </c>
      <c r="D1295" s="31" t="s">
        <v>152</v>
      </c>
      <c r="E1295" s="33" t="s">
        <v>3562</v>
      </c>
      <c r="F1295" s="34" t="s">
        <v>562</v>
      </c>
      <c r="G1295" s="32" t="s">
        <v>3563</v>
      </c>
      <c r="H1295" s="37" t="s">
        <v>321</v>
      </c>
      <c r="I1295" s="39" t="s">
        <v>3582</v>
      </c>
      <c r="J1295" s="24" t="s">
        <v>328</v>
      </c>
      <c r="K1295" s="40"/>
      <c r="L1295" s="38" t="s">
        <v>3792</v>
      </c>
      <c r="M1295" s="44" t="s">
        <v>1775</v>
      </c>
      <c r="N1295" s="46" t="s">
        <v>3589</v>
      </c>
      <c r="O1295" s="47" t="s">
        <v>9</v>
      </c>
      <c r="P1295" s="50"/>
      <c r="Q1295" s="45"/>
      <c r="R1295" s="25"/>
      <c r="S1295" s="52"/>
    </row>
    <row r="1296" spans="1:19" ht="16.5" customHeight="1" x14ac:dyDescent="0.3">
      <c r="A1296" s="27" t="s">
        <v>487</v>
      </c>
      <c r="B1296" s="28" t="s">
        <v>488</v>
      </c>
      <c r="C1296" s="26" t="s">
        <v>1808</v>
      </c>
      <c r="D1296" s="31" t="s">
        <v>152</v>
      </c>
      <c r="E1296" s="33" t="s">
        <v>3562</v>
      </c>
      <c r="F1296" s="34" t="s">
        <v>562</v>
      </c>
      <c r="G1296" s="32" t="s">
        <v>3563</v>
      </c>
      <c r="H1296" s="37" t="s">
        <v>321</v>
      </c>
      <c r="I1296" s="39" t="s">
        <v>3582</v>
      </c>
      <c r="J1296" s="24" t="s">
        <v>328</v>
      </c>
      <c r="K1296" s="40"/>
      <c r="L1296" s="38" t="s">
        <v>3793</v>
      </c>
      <c r="M1296" s="44" t="s">
        <v>581</v>
      </c>
      <c r="N1296" s="46" t="s">
        <v>3590</v>
      </c>
      <c r="O1296" s="47" t="s">
        <v>1786</v>
      </c>
      <c r="P1296" s="50"/>
      <c r="Q1296" s="45"/>
      <c r="R1296" s="25"/>
      <c r="S1296" s="52"/>
    </row>
    <row r="1297" spans="1:19" ht="16.5" customHeight="1" x14ac:dyDescent="0.3">
      <c r="A1297" s="27" t="s">
        <v>487</v>
      </c>
      <c r="B1297" s="28" t="s">
        <v>488</v>
      </c>
      <c r="C1297" s="26" t="s">
        <v>1808</v>
      </c>
      <c r="D1297" s="31" t="s">
        <v>152</v>
      </c>
      <c r="E1297" s="33" t="s">
        <v>3562</v>
      </c>
      <c r="F1297" s="34" t="s">
        <v>562</v>
      </c>
      <c r="G1297" s="32" t="s">
        <v>3563</v>
      </c>
      <c r="H1297" s="37" t="s">
        <v>321</v>
      </c>
      <c r="I1297" s="39" t="s">
        <v>3582</v>
      </c>
      <c r="J1297" s="24" t="s">
        <v>328</v>
      </c>
      <c r="K1297" s="40"/>
      <c r="L1297" s="38" t="s">
        <v>3591</v>
      </c>
      <c r="M1297" s="44" t="s">
        <v>30</v>
      </c>
      <c r="N1297" s="46" t="s">
        <v>3592</v>
      </c>
      <c r="O1297" s="47" t="s">
        <v>1668</v>
      </c>
      <c r="P1297" s="50"/>
      <c r="Q1297" s="45"/>
      <c r="R1297" s="25"/>
      <c r="S1297" s="52"/>
    </row>
    <row r="1298" spans="1:19" ht="16.5" customHeight="1" x14ac:dyDescent="0.3">
      <c r="A1298" s="27" t="s">
        <v>487</v>
      </c>
      <c r="B1298" s="28" t="s">
        <v>488</v>
      </c>
      <c r="C1298" s="26" t="s">
        <v>1808</v>
      </c>
      <c r="D1298" s="31" t="s">
        <v>152</v>
      </c>
      <c r="E1298" s="33" t="s">
        <v>3562</v>
      </c>
      <c r="F1298" s="34" t="s">
        <v>562</v>
      </c>
      <c r="G1298" s="32" t="s">
        <v>3563</v>
      </c>
      <c r="H1298" s="37" t="s">
        <v>321</v>
      </c>
      <c r="I1298" s="39" t="s">
        <v>3582</v>
      </c>
      <c r="J1298" s="24" t="s">
        <v>328</v>
      </c>
      <c r="K1298" s="40"/>
      <c r="L1298" s="38" t="s">
        <v>3591</v>
      </c>
      <c r="M1298" s="44" t="s">
        <v>30</v>
      </c>
      <c r="N1298" s="46" t="s">
        <v>3593</v>
      </c>
      <c r="O1298" s="47" t="s">
        <v>1669</v>
      </c>
      <c r="P1298" s="50"/>
      <c r="Q1298" s="45"/>
      <c r="R1298" s="25"/>
      <c r="S1298" s="52"/>
    </row>
    <row r="1299" spans="1:19" ht="16.5" customHeight="1" x14ac:dyDescent="0.3">
      <c r="A1299" s="27" t="s">
        <v>487</v>
      </c>
      <c r="B1299" s="28" t="s">
        <v>488</v>
      </c>
      <c r="C1299" s="26" t="s">
        <v>1808</v>
      </c>
      <c r="D1299" s="31" t="s">
        <v>152</v>
      </c>
      <c r="E1299" s="33" t="s">
        <v>3562</v>
      </c>
      <c r="F1299" s="34" t="s">
        <v>562</v>
      </c>
      <c r="G1299" s="32" t="s">
        <v>3563</v>
      </c>
      <c r="H1299" s="37" t="s">
        <v>321</v>
      </c>
      <c r="I1299" s="39" t="s">
        <v>3582</v>
      </c>
      <c r="J1299" s="24" t="s">
        <v>328</v>
      </c>
      <c r="K1299" s="40"/>
      <c r="L1299" s="38" t="s">
        <v>3591</v>
      </c>
      <c r="M1299" s="44" t="s">
        <v>30</v>
      </c>
      <c r="N1299" s="46" t="s">
        <v>3594</v>
      </c>
      <c r="O1299" s="47" t="s">
        <v>1670</v>
      </c>
      <c r="P1299" s="50"/>
      <c r="Q1299" s="45"/>
      <c r="R1299" s="25"/>
      <c r="S1299" s="52"/>
    </row>
    <row r="1300" spans="1:19" ht="16.5" customHeight="1" x14ac:dyDescent="0.3">
      <c r="A1300" s="27" t="s">
        <v>487</v>
      </c>
      <c r="B1300" s="28" t="s">
        <v>488</v>
      </c>
      <c r="C1300" s="26" t="s">
        <v>1808</v>
      </c>
      <c r="D1300" s="31" t="s">
        <v>152</v>
      </c>
      <c r="E1300" s="33" t="s">
        <v>3562</v>
      </c>
      <c r="F1300" s="34" t="s">
        <v>562</v>
      </c>
      <c r="G1300" s="32" t="s">
        <v>3563</v>
      </c>
      <c r="H1300" s="37" t="s">
        <v>321</v>
      </c>
      <c r="I1300" s="39" t="s">
        <v>3582</v>
      </c>
      <c r="J1300" s="24" t="s">
        <v>328</v>
      </c>
      <c r="K1300" s="40"/>
      <c r="L1300" s="38" t="s">
        <v>3591</v>
      </c>
      <c r="M1300" s="44" t="s">
        <v>30</v>
      </c>
      <c r="N1300" s="46" t="s">
        <v>3595</v>
      </c>
      <c r="O1300" s="47" t="s">
        <v>1671</v>
      </c>
      <c r="P1300" s="50"/>
      <c r="Q1300" s="45"/>
      <c r="R1300" s="25"/>
      <c r="S1300" s="52"/>
    </row>
    <row r="1301" spans="1:19" ht="16.5" customHeight="1" x14ac:dyDescent="0.3">
      <c r="A1301" s="27" t="s">
        <v>487</v>
      </c>
      <c r="B1301" s="28" t="s">
        <v>488</v>
      </c>
      <c r="C1301" s="26" t="s">
        <v>1808</v>
      </c>
      <c r="D1301" s="31" t="s">
        <v>152</v>
      </c>
      <c r="E1301" s="33" t="s">
        <v>3562</v>
      </c>
      <c r="F1301" s="34" t="s">
        <v>562</v>
      </c>
      <c r="G1301" s="32" t="s">
        <v>3563</v>
      </c>
      <c r="H1301" s="37" t="s">
        <v>321</v>
      </c>
      <c r="I1301" s="39" t="s">
        <v>3582</v>
      </c>
      <c r="J1301" s="24" t="s">
        <v>328</v>
      </c>
      <c r="K1301" s="40"/>
      <c r="L1301" s="38" t="s">
        <v>3591</v>
      </c>
      <c r="M1301" s="44" t="s">
        <v>30</v>
      </c>
      <c r="N1301" s="46" t="s">
        <v>3596</v>
      </c>
      <c r="O1301" s="47" t="s">
        <v>1672</v>
      </c>
      <c r="P1301" s="50"/>
      <c r="Q1301" s="45"/>
      <c r="R1301" s="25"/>
      <c r="S1301" s="52"/>
    </row>
    <row r="1302" spans="1:19" ht="16.5" customHeight="1" x14ac:dyDescent="0.3">
      <c r="A1302" s="27" t="s">
        <v>487</v>
      </c>
      <c r="B1302" s="28" t="s">
        <v>488</v>
      </c>
      <c r="C1302" s="26" t="s">
        <v>1808</v>
      </c>
      <c r="D1302" s="31" t="s">
        <v>152</v>
      </c>
      <c r="E1302" s="33" t="s">
        <v>3562</v>
      </c>
      <c r="F1302" s="34" t="s">
        <v>562</v>
      </c>
      <c r="G1302" s="32" t="s">
        <v>3563</v>
      </c>
      <c r="H1302" s="37" t="s">
        <v>321</v>
      </c>
      <c r="I1302" s="39" t="s">
        <v>3582</v>
      </c>
      <c r="J1302" s="24" t="s">
        <v>328</v>
      </c>
      <c r="K1302" s="40"/>
      <c r="L1302" s="38" t="s">
        <v>3591</v>
      </c>
      <c r="M1302" s="44" t="s">
        <v>30</v>
      </c>
      <c r="N1302" s="46" t="s">
        <v>3597</v>
      </c>
      <c r="O1302" s="47" t="s">
        <v>1673</v>
      </c>
      <c r="P1302" s="50"/>
      <c r="Q1302" s="45"/>
      <c r="R1302" s="25"/>
      <c r="S1302" s="52"/>
    </row>
    <row r="1303" spans="1:19" ht="16.5" customHeight="1" x14ac:dyDescent="0.3">
      <c r="A1303" s="27" t="s">
        <v>487</v>
      </c>
      <c r="B1303" s="28" t="s">
        <v>488</v>
      </c>
      <c r="C1303" s="26" t="s">
        <v>1808</v>
      </c>
      <c r="D1303" s="31" t="s">
        <v>152</v>
      </c>
      <c r="E1303" s="33" t="s">
        <v>3562</v>
      </c>
      <c r="F1303" s="34" t="s">
        <v>562</v>
      </c>
      <c r="G1303" s="32" t="s">
        <v>3563</v>
      </c>
      <c r="H1303" s="37" t="s">
        <v>321</v>
      </c>
      <c r="I1303" s="39" t="s">
        <v>3598</v>
      </c>
      <c r="J1303" s="24" t="s">
        <v>627</v>
      </c>
      <c r="K1303" s="40"/>
      <c r="L1303" s="38" t="s">
        <v>3599</v>
      </c>
      <c r="M1303" s="44" t="s">
        <v>123</v>
      </c>
      <c r="N1303" s="46" t="s">
        <v>3600</v>
      </c>
      <c r="O1303" s="47" t="s">
        <v>1664</v>
      </c>
      <c r="P1303" s="50"/>
      <c r="Q1303" s="45"/>
      <c r="R1303" s="25"/>
      <c r="S1303" s="52"/>
    </row>
    <row r="1304" spans="1:19" ht="16.5" customHeight="1" x14ac:dyDescent="0.3">
      <c r="A1304" s="27" t="s">
        <v>487</v>
      </c>
      <c r="B1304" s="28" t="s">
        <v>488</v>
      </c>
      <c r="C1304" s="26" t="s">
        <v>1808</v>
      </c>
      <c r="D1304" s="31" t="s">
        <v>152</v>
      </c>
      <c r="E1304" s="33" t="s">
        <v>3562</v>
      </c>
      <c r="F1304" s="34" t="s">
        <v>562</v>
      </c>
      <c r="G1304" s="32" t="s">
        <v>3563</v>
      </c>
      <c r="H1304" s="37" t="s">
        <v>321</v>
      </c>
      <c r="I1304" s="39" t="s">
        <v>3601</v>
      </c>
      <c r="J1304" s="24" t="s">
        <v>1245</v>
      </c>
      <c r="K1304" s="40"/>
      <c r="L1304" s="38" t="s">
        <v>3602</v>
      </c>
      <c r="M1304" s="44" t="s">
        <v>16</v>
      </c>
      <c r="N1304" s="46" t="s">
        <v>3603</v>
      </c>
      <c r="O1304" s="47" t="s">
        <v>1247</v>
      </c>
      <c r="P1304" s="50"/>
      <c r="Q1304" s="45"/>
      <c r="R1304" s="25"/>
      <c r="S1304" s="52"/>
    </row>
    <row r="1305" spans="1:19" ht="16.5" customHeight="1" x14ac:dyDescent="0.3">
      <c r="A1305" s="27" t="s">
        <v>487</v>
      </c>
      <c r="B1305" s="28" t="s">
        <v>488</v>
      </c>
      <c r="C1305" s="26" t="s">
        <v>1808</v>
      </c>
      <c r="D1305" s="31" t="s">
        <v>152</v>
      </c>
      <c r="E1305" s="33" t="s">
        <v>3562</v>
      </c>
      <c r="F1305" s="34" t="s">
        <v>562</v>
      </c>
      <c r="G1305" s="32" t="s">
        <v>3563</v>
      </c>
      <c r="H1305" s="37" t="s">
        <v>321</v>
      </c>
      <c r="I1305" s="39" t="s">
        <v>3601</v>
      </c>
      <c r="J1305" s="24" t="s">
        <v>1245</v>
      </c>
      <c r="K1305" s="40"/>
      <c r="L1305" s="38" t="s">
        <v>3604</v>
      </c>
      <c r="M1305" s="44" t="s">
        <v>123</v>
      </c>
      <c r="N1305" s="46" t="s">
        <v>3794</v>
      </c>
      <c r="O1305" s="47" t="s">
        <v>1654</v>
      </c>
      <c r="P1305" s="50"/>
      <c r="Q1305" s="45"/>
      <c r="R1305" s="25"/>
      <c r="S1305" s="52"/>
    </row>
    <row r="1306" spans="1:19" ht="16.5" customHeight="1" x14ac:dyDescent="0.3">
      <c r="A1306" s="27" t="s">
        <v>487</v>
      </c>
      <c r="B1306" s="28" t="s">
        <v>488</v>
      </c>
      <c r="C1306" s="26" t="s">
        <v>1808</v>
      </c>
      <c r="D1306" s="31" t="s">
        <v>152</v>
      </c>
      <c r="E1306" s="33" t="s">
        <v>3562</v>
      </c>
      <c r="F1306" s="34" t="s">
        <v>562</v>
      </c>
      <c r="G1306" s="32" t="s">
        <v>3563</v>
      </c>
      <c r="H1306" s="37" t="s">
        <v>321</v>
      </c>
      <c r="I1306" s="39" t="s">
        <v>3601</v>
      </c>
      <c r="J1306" s="24" t="s">
        <v>1245</v>
      </c>
      <c r="K1306" s="40"/>
      <c r="L1306" s="38" t="s">
        <v>3605</v>
      </c>
      <c r="M1306" s="44" t="s">
        <v>1665</v>
      </c>
      <c r="N1306" s="46" t="s">
        <v>3606</v>
      </c>
      <c r="O1306" s="47" t="s">
        <v>1773</v>
      </c>
      <c r="P1306" s="50"/>
      <c r="Q1306" s="45"/>
      <c r="R1306" s="25"/>
      <c r="S1306" s="52"/>
    </row>
    <row r="1307" spans="1:19" ht="16.5" customHeight="1" x14ac:dyDescent="0.3">
      <c r="A1307" s="27" t="s">
        <v>487</v>
      </c>
      <c r="B1307" s="28" t="s">
        <v>488</v>
      </c>
      <c r="C1307" s="26" t="s">
        <v>1808</v>
      </c>
      <c r="D1307" s="31" t="s">
        <v>152</v>
      </c>
      <c r="E1307" s="33" t="s">
        <v>3562</v>
      </c>
      <c r="F1307" s="34" t="s">
        <v>562</v>
      </c>
      <c r="G1307" s="32" t="s">
        <v>3563</v>
      </c>
      <c r="H1307" s="37" t="s">
        <v>321</v>
      </c>
      <c r="I1307" s="39" t="s">
        <v>3607</v>
      </c>
      <c r="J1307" s="24" t="s">
        <v>1246</v>
      </c>
      <c r="K1307" s="40"/>
      <c r="L1307" s="38" t="s">
        <v>3608</v>
      </c>
      <c r="M1307" s="44" t="s">
        <v>16</v>
      </c>
      <c r="N1307" s="46" t="s">
        <v>3609</v>
      </c>
      <c r="O1307" s="47" t="s">
        <v>1248</v>
      </c>
      <c r="P1307" s="50"/>
      <c r="Q1307" s="45"/>
      <c r="R1307" s="25"/>
      <c r="S1307" s="52"/>
    </row>
    <row r="1308" spans="1:19" ht="16.5" customHeight="1" x14ac:dyDescent="0.3">
      <c r="A1308" s="27" t="s">
        <v>487</v>
      </c>
      <c r="B1308" s="28" t="s">
        <v>488</v>
      </c>
      <c r="C1308" s="26" t="s">
        <v>1808</v>
      </c>
      <c r="D1308" s="31" t="s">
        <v>152</v>
      </c>
      <c r="E1308" s="33" t="s">
        <v>3562</v>
      </c>
      <c r="F1308" s="34" t="s">
        <v>562</v>
      </c>
      <c r="G1308" s="32" t="s">
        <v>3563</v>
      </c>
      <c r="H1308" s="37" t="s">
        <v>321</v>
      </c>
      <c r="I1308" s="39" t="s">
        <v>3607</v>
      </c>
      <c r="J1308" s="24" t="s">
        <v>1246</v>
      </c>
      <c r="K1308" s="40"/>
      <c r="L1308" s="38" t="s">
        <v>3610</v>
      </c>
      <c r="M1308" s="44" t="s">
        <v>123</v>
      </c>
      <c r="N1308" s="46" t="s">
        <v>3795</v>
      </c>
      <c r="O1308" s="47" t="s">
        <v>1654</v>
      </c>
      <c r="P1308" s="50"/>
      <c r="Q1308" s="45"/>
      <c r="R1308" s="25"/>
      <c r="S1308" s="52"/>
    </row>
    <row r="1309" spans="1:19" ht="16.5" customHeight="1" x14ac:dyDescent="0.3">
      <c r="A1309" s="27" t="s">
        <v>487</v>
      </c>
      <c r="B1309" s="28" t="s">
        <v>488</v>
      </c>
      <c r="C1309" s="26" t="s">
        <v>1808</v>
      </c>
      <c r="D1309" s="31" t="s">
        <v>152</v>
      </c>
      <c r="E1309" s="33" t="s">
        <v>3562</v>
      </c>
      <c r="F1309" s="34" t="s">
        <v>562</v>
      </c>
      <c r="G1309" s="32" t="s">
        <v>3563</v>
      </c>
      <c r="H1309" s="37" t="s">
        <v>321</v>
      </c>
      <c r="I1309" s="39" t="s">
        <v>3607</v>
      </c>
      <c r="J1309" s="24" t="s">
        <v>1246</v>
      </c>
      <c r="K1309" s="40"/>
      <c r="L1309" s="38" t="s">
        <v>3611</v>
      </c>
      <c r="M1309" s="44" t="s">
        <v>1665</v>
      </c>
      <c r="N1309" s="46" t="s">
        <v>3612</v>
      </c>
      <c r="O1309" s="47" t="s">
        <v>1773</v>
      </c>
      <c r="P1309" s="50"/>
      <c r="Q1309" s="45"/>
      <c r="R1309" s="25"/>
      <c r="S1309" s="52"/>
    </row>
    <row r="1310" spans="1:19" ht="16.5" customHeight="1" x14ac:dyDescent="0.3">
      <c r="A1310" s="27" t="s">
        <v>487</v>
      </c>
      <c r="B1310" s="28" t="s">
        <v>488</v>
      </c>
      <c r="C1310" s="26" t="s">
        <v>1808</v>
      </c>
      <c r="D1310" s="31" t="s">
        <v>152</v>
      </c>
      <c r="E1310" s="33" t="s">
        <v>3562</v>
      </c>
      <c r="F1310" s="34" t="s">
        <v>562</v>
      </c>
      <c r="G1310" s="32" t="s">
        <v>3563</v>
      </c>
      <c r="H1310" s="37" t="s">
        <v>321</v>
      </c>
      <c r="I1310" s="39" t="s">
        <v>3613</v>
      </c>
      <c r="J1310" s="24" t="s">
        <v>612</v>
      </c>
      <c r="K1310" s="40"/>
      <c r="L1310" s="38" t="s">
        <v>3614</v>
      </c>
      <c r="M1310" s="44" t="s">
        <v>123</v>
      </c>
      <c r="N1310" s="46" t="s">
        <v>3615</v>
      </c>
      <c r="O1310" s="47" t="s">
        <v>1664</v>
      </c>
      <c r="P1310" s="50"/>
      <c r="Q1310" s="45"/>
      <c r="R1310" s="25"/>
      <c r="S1310" s="52"/>
    </row>
    <row r="1311" spans="1:19" ht="16.5" customHeight="1" x14ac:dyDescent="0.3">
      <c r="A1311" s="27" t="s">
        <v>487</v>
      </c>
      <c r="B1311" s="28" t="s">
        <v>488</v>
      </c>
      <c r="C1311" s="26" t="s">
        <v>1808</v>
      </c>
      <c r="D1311" s="31" t="s">
        <v>152</v>
      </c>
      <c r="E1311" s="33" t="s">
        <v>3562</v>
      </c>
      <c r="F1311" s="34" t="s">
        <v>562</v>
      </c>
      <c r="G1311" s="32" t="s">
        <v>3563</v>
      </c>
      <c r="H1311" s="37" t="s">
        <v>321</v>
      </c>
      <c r="I1311" s="39" t="s">
        <v>3616</v>
      </c>
      <c r="J1311" s="24" t="s">
        <v>611</v>
      </c>
      <c r="K1311" s="40"/>
      <c r="L1311" s="38" t="s">
        <v>3617</v>
      </c>
      <c r="M1311" s="44" t="s">
        <v>123</v>
      </c>
      <c r="N1311" s="46" t="s">
        <v>3618</v>
      </c>
      <c r="O1311" s="47" t="s">
        <v>1664</v>
      </c>
      <c r="P1311" s="50"/>
      <c r="Q1311" s="45"/>
      <c r="R1311" s="25"/>
      <c r="S1311" s="52"/>
    </row>
    <row r="1312" spans="1:19" ht="16.5" customHeight="1" x14ac:dyDescent="0.3">
      <c r="A1312" s="27" t="s">
        <v>487</v>
      </c>
      <c r="B1312" s="28" t="s">
        <v>488</v>
      </c>
      <c r="C1312" s="26" t="s">
        <v>1808</v>
      </c>
      <c r="D1312" s="31" t="s">
        <v>152</v>
      </c>
      <c r="E1312" s="33" t="s">
        <v>3562</v>
      </c>
      <c r="F1312" s="34" t="s">
        <v>562</v>
      </c>
      <c r="G1312" s="32" t="s">
        <v>3563</v>
      </c>
      <c r="H1312" s="37" t="s">
        <v>321</v>
      </c>
      <c r="I1312" s="39" t="s">
        <v>3619</v>
      </c>
      <c r="J1312" s="24" t="s">
        <v>337</v>
      </c>
      <c r="K1312" s="40"/>
      <c r="L1312" s="38" t="s">
        <v>3620</v>
      </c>
      <c r="M1312" s="44" t="s">
        <v>16</v>
      </c>
      <c r="N1312" s="46" t="s">
        <v>3621</v>
      </c>
      <c r="O1312" s="47" t="s">
        <v>630</v>
      </c>
      <c r="P1312" s="50"/>
      <c r="Q1312" s="45"/>
      <c r="R1312" s="25"/>
      <c r="S1312" s="52"/>
    </row>
    <row r="1313" spans="1:19" ht="16.5" customHeight="1" x14ac:dyDescent="0.3">
      <c r="A1313" s="27" t="s">
        <v>487</v>
      </c>
      <c r="B1313" s="28" t="s">
        <v>488</v>
      </c>
      <c r="C1313" s="26" t="s">
        <v>1808</v>
      </c>
      <c r="D1313" s="31" t="s">
        <v>152</v>
      </c>
      <c r="E1313" s="33" t="s">
        <v>3562</v>
      </c>
      <c r="F1313" s="34" t="s">
        <v>562</v>
      </c>
      <c r="G1313" s="32" t="s">
        <v>3563</v>
      </c>
      <c r="H1313" s="37" t="s">
        <v>321</v>
      </c>
      <c r="I1313" s="39" t="s">
        <v>3619</v>
      </c>
      <c r="J1313" s="24" t="s">
        <v>337</v>
      </c>
      <c r="K1313" s="40"/>
      <c r="L1313" s="38" t="s">
        <v>3622</v>
      </c>
      <c r="M1313" s="44" t="s">
        <v>123</v>
      </c>
      <c r="N1313" s="46" t="s">
        <v>3623</v>
      </c>
      <c r="O1313" s="47" t="s">
        <v>1664</v>
      </c>
      <c r="P1313" s="50"/>
      <c r="Q1313" s="45"/>
      <c r="R1313" s="25"/>
      <c r="S1313" s="52"/>
    </row>
    <row r="1314" spans="1:19" ht="16.5" customHeight="1" x14ac:dyDescent="0.3">
      <c r="A1314" s="27" t="s">
        <v>487</v>
      </c>
      <c r="B1314" s="28" t="s">
        <v>488</v>
      </c>
      <c r="C1314" s="26" t="s">
        <v>1808</v>
      </c>
      <c r="D1314" s="31" t="s">
        <v>152</v>
      </c>
      <c r="E1314" s="33" t="s">
        <v>3562</v>
      </c>
      <c r="F1314" s="34" t="s">
        <v>562</v>
      </c>
      <c r="G1314" s="32" t="s">
        <v>3563</v>
      </c>
      <c r="H1314" s="37" t="s">
        <v>321</v>
      </c>
      <c r="I1314" s="39" t="s">
        <v>3624</v>
      </c>
      <c r="J1314" s="24" t="s">
        <v>1488</v>
      </c>
      <c r="K1314" s="40"/>
      <c r="L1314" s="38" t="s">
        <v>3625</v>
      </c>
      <c r="M1314" s="44" t="s">
        <v>123</v>
      </c>
      <c r="N1314" s="46" t="s">
        <v>3626</v>
      </c>
      <c r="O1314" s="47" t="s">
        <v>1664</v>
      </c>
      <c r="P1314" s="50"/>
      <c r="Q1314" s="45"/>
      <c r="R1314" s="25"/>
      <c r="S1314" s="52"/>
    </row>
    <row r="1315" spans="1:19" ht="16.5" customHeight="1" x14ac:dyDescent="0.3">
      <c r="A1315" s="27" t="s">
        <v>487</v>
      </c>
      <c r="B1315" s="28" t="s">
        <v>488</v>
      </c>
      <c r="C1315" s="26" t="s">
        <v>1808</v>
      </c>
      <c r="D1315" s="31" t="s">
        <v>152</v>
      </c>
      <c r="E1315" s="33" t="s">
        <v>3562</v>
      </c>
      <c r="F1315" s="34" t="s">
        <v>562</v>
      </c>
      <c r="G1315" s="32" t="s">
        <v>3563</v>
      </c>
      <c r="H1315" s="37" t="s">
        <v>321</v>
      </c>
      <c r="I1315" s="39" t="s">
        <v>3627</v>
      </c>
      <c r="J1315" s="24" t="s">
        <v>341</v>
      </c>
      <c r="K1315" s="40"/>
      <c r="L1315" s="38"/>
      <c r="M1315" s="44"/>
      <c r="N1315" s="46"/>
      <c r="O1315" s="47"/>
      <c r="P1315" s="50"/>
      <c r="Q1315" s="45"/>
      <c r="R1315" s="25"/>
      <c r="S1315" s="52"/>
    </row>
    <row r="1316" spans="1:19" ht="16.5" customHeight="1" x14ac:dyDescent="0.3">
      <c r="A1316" s="27" t="s">
        <v>487</v>
      </c>
      <c r="B1316" s="28" t="s">
        <v>488</v>
      </c>
      <c r="C1316" s="26" t="s">
        <v>1808</v>
      </c>
      <c r="D1316" s="31" t="s">
        <v>152</v>
      </c>
      <c r="E1316" s="33" t="s">
        <v>3562</v>
      </c>
      <c r="F1316" s="34" t="s">
        <v>562</v>
      </c>
      <c r="G1316" s="32" t="s">
        <v>3563</v>
      </c>
      <c r="H1316" s="37" t="s">
        <v>321</v>
      </c>
      <c r="I1316" s="39" t="s">
        <v>3628</v>
      </c>
      <c r="J1316" s="24" t="s">
        <v>343</v>
      </c>
      <c r="K1316" s="40"/>
      <c r="L1316" s="38"/>
      <c r="M1316" s="44"/>
      <c r="N1316" s="46"/>
      <c r="O1316" s="47"/>
      <c r="P1316" s="50"/>
      <c r="Q1316" s="45"/>
      <c r="R1316" s="25"/>
      <c r="S1316" s="52"/>
    </row>
    <row r="1317" spans="1:19" ht="16.5" customHeight="1" x14ac:dyDescent="0.3">
      <c r="A1317" s="27" t="s">
        <v>487</v>
      </c>
      <c r="B1317" s="28" t="s">
        <v>488</v>
      </c>
      <c r="C1317" s="26" t="s">
        <v>1808</v>
      </c>
      <c r="D1317" s="31" t="s">
        <v>152</v>
      </c>
      <c r="E1317" s="33" t="s">
        <v>3562</v>
      </c>
      <c r="F1317" s="34" t="s">
        <v>562</v>
      </c>
      <c r="G1317" s="32" t="s">
        <v>3563</v>
      </c>
      <c r="H1317" s="37" t="s">
        <v>321</v>
      </c>
      <c r="I1317" s="39" t="s">
        <v>3629</v>
      </c>
      <c r="J1317" s="24" t="s">
        <v>345</v>
      </c>
      <c r="K1317" s="40"/>
      <c r="L1317" s="38" t="s">
        <v>3774</v>
      </c>
      <c r="M1317" s="44" t="s">
        <v>1665</v>
      </c>
      <c r="N1317" s="46" t="s">
        <v>3630</v>
      </c>
      <c r="O1317" s="47" t="s">
        <v>1652</v>
      </c>
      <c r="P1317" s="50"/>
      <c r="Q1317" s="45"/>
      <c r="R1317" s="25"/>
      <c r="S1317" s="52"/>
    </row>
    <row r="1318" spans="1:19" ht="16.5" customHeight="1" x14ac:dyDescent="0.3">
      <c r="A1318" s="27" t="s">
        <v>487</v>
      </c>
      <c r="B1318" s="28" t="s">
        <v>488</v>
      </c>
      <c r="C1318" s="26" t="s">
        <v>1808</v>
      </c>
      <c r="D1318" s="31" t="s">
        <v>152</v>
      </c>
      <c r="E1318" s="33" t="s">
        <v>3562</v>
      </c>
      <c r="F1318" s="34" t="s">
        <v>562</v>
      </c>
      <c r="G1318" s="32" t="s">
        <v>3563</v>
      </c>
      <c r="H1318" s="37" t="s">
        <v>321</v>
      </c>
      <c r="I1318" s="39" t="s">
        <v>3631</v>
      </c>
      <c r="J1318" s="24" t="s">
        <v>347</v>
      </c>
      <c r="K1318" s="40"/>
      <c r="L1318" s="38" t="s">
        <v>3632</v>
      </c>
      <c r="M1318" s="44" t="s">
        <v>16</v>
      </c>
      <c r="N1318" s="46" t="s">
        <v>3632</v>
      </c>
      <c r="O1318" s="47" t="s">
        <v>16</v>
      </c>
      <c r="P1318" s="50"/>
      <c r="Q1318" s="45"/>
      <c r="R1318" s="25"/>
      <c r="S1318" s="52"/>
    </row>
    <row r="1319" spans="1:19" ht="16.5" customHeight="1" x14ac:dyDescent="0.3">
      <c r="A1319" s="27" t="s">
        <v>487</v>
      </c>
      <c r="B1319" s="28" t="s">
        <v>488</v>
      </c>
      <c r="C1319" s="26" t="s">
        <v>1808</v>
      </c>
      <c r="D1319" s="31" t="s">
        <v>152</v>
      </c>
      <c r="E1319" s="33" t="s">
        <v>3562</v>
      </c>
      <c r="F1319" s="34" t="s">
        <v>562</v>
      </c>
      <c r="G1319" s="32" t="s">
        <v>3563</v>
      </c>
      <c r="H1319" s="37" t="s">
        <v>321</v>
      </c>
      <c r="I1319" s="39" t="s">
        <v>3631</v>
      </c>
      <c r="J1319" s="24" t="s">
        <v>347</v>
      </c>
      <c r="K1319" s="40"/>
      <c r="L1319" s="38" t="s">
        <v>3632</v>
      </c>
      <c r="M1319" s="44" t="s">
        <v>16</v>
      </c>
      <c r="N1319" s="46" t="s">
        <v>3633</v>
      </c>
      <c r="O1319" s="47" t="s">
        <v>1679</v>
      </c>
      <c r="P1319" s="50"/>
      <c r="Q1319" s="45"/>
      <c r="R1319" s="25"/>
      <c r="S1319" s="52"/>
    </row>
    <row r="1320" spans="1:19" ht="16.5" customHeight="1" x14ac:dyDescent="0.3">
      <c r="A1320" s="27" t="s">
        <v>487</v>
      </c>
      <c r="B1320" s="28" t="s">
        <v>488</v>
      </c>
      <c r="C1320" s="26" t="s">
        <v>1808</v>
      </c>
      <c r="D1320" s="31" t="s">
        <v>152</v>
      </c>
      <c r="E1320" s="33" t="s">
        <v>3562</v>
      </c>
      <c r="F1320" s="34" t="s">
        <v>562</v>
      </c>
      <c r="G1320" s="32" t="s">
        <v>3563</v>
      </c>
      <c r="H1320" s="37" t="s">
        <v>321</v>
      </c>
      <c r="I1320" s="39" t="s">
        <v>3631</v>
      </c>
      <c r="J1320" s="24" t="s">
        <v>347</v>
      </c>
      <c r="K1320" s="40"/>
      <c r="L1320" s="38" t="s">
        <v>3632</v>
      </c>
      <c r="M1320" s="44" t="s">
        <v>16</v>
      </c>
      <c r="N1320" s="46" t="s">
        <v>3634</v>
      </c>
      <c r="O1320" s="47" t="s">
        <v>1649</v>
      </c>
      <c r="P1320" s="50"/>
      <c r="Q1320" s="45"/>
      <c r="R1320" s="25"/>
      <c r="S1320" s="52"/>
    </row>
    <row r="1321" spans="1:19" ht="16.5" customHeight="1" x14ac:dyDescent="0.3">
      <c r="A1321" s="27" t="s">
        <v>487</v>
      </c>
      <c r="B1321" s="28" t="s">
        <v>488</v>
      </c>
      <c r="C1321" s="26" t="s">
        <v>1808</v>
      </c>
      <c r="D1321" s="31" t="s">
        <v>152</v>
      </c>
      <c r="E1321" s="33" t="s">
        <v>3562</v>
      </c>
      <c r="F1321" s="34" t="s">
        <v>562</v>
      </c>
      <c r="G1321" s="32" t="s">
        <v>3563</v>
      </c>
      <c r="H1321" s="37" t="s">
        <v>321</v>
      </c>
      <c r="I1321" s="39" t="s">
        <v>3631</v>
      </c>
      <c r="J1321" s="24" t="s">
        <v>347</v>
      </c>
      <c r="K1321" s="40"/>
      <c r="L1321" s="38" t="s">
        <v>3635</v>
      </c>
      <c r="M1321" s="44" t="s">
        <v>123</v>
      </c>
      <c r="N1321" s="46" t="s">
        <v>3796</v>
      </c>
      <c r="O1321" s="47" t="s">
        <v>1654</v>
      </c>
      <c r="P1321" s="50"/>
      <c r="Q1321" s="45"/>
      <c r="R1321" s="25"/>
      <c r="S1321" s="52"/>
    </row>
    <row r="1322" spans="1:19" ht="16.5" customHeight="1" x14ac:dyDescent="0.3">
      <c r="A1322" s="27" t="s">
        <v>487</v>
      </c>
      <c r="B1322" s="28" t="s">
        <v>488</v>
      </c>
      <c r="C1322" s="26" t="s">
        <v>1808</v>
      </c>
      <c r="D1322" s="31" t="s">
        <v>152</v>
      </c>
      <c r="E1322" s="33" t="s">
        <v>3562</v>
      </c>
      <c r="F1322" s="34" t="s">
        <v>562</v>
      </c>
      <c r="G1322" s="32" t="s">
        <v>3563</v>
      </c>
      <c r="H1322" s="37" t="s">
        <v>321</v>
      </c>
      <c r="I1322" s="39" t="s">
        <v>3636</v>
      </c>
      <c r="J1322" s="24" t="s">
        <v>1249</v>
      </c>
      <c r="K1322" s="40"/>
      <c r="L1322" s="38" t="s">
        <v>3637</v>
      </c>
      <c r="M1322" s="44" t="s">
        <v>16</v>
      </c>
      <c r="N1322" s="46" t="s">
        <v>3638</v>
      </c>
      <c r="O1322" s="47" t="s">
        <v>1250</v>
      </c>
      <c r="P1322" s="50"/>
      <c r="Q1322" s="45"/>
      <c r="R1322" s="25"/>
      <c r="S1322" s="52"/>
    </row>
    <row r="1323" spans="1:19" ht="16.5" customHeight="1" x14ac:dyDescent="0.3">
      <c r="A1323" s="27" t="s">
        <v>487</v>
      </c>
      <c r="B1323" s="28" t="s">
        <v>488</v>
      </c>
      <c r="C1323" s="26" t="s">
        <v>1808</v>
      </c>
      <c r="D1323" s="31" t="s">
        <v>152</v>
      </c>
      <c r="E1323" s="33" t="s">
        <v>3562</v>
      </c>
      <c r="F1323" s="34" t="s">
        <v>562</v>
      </c>
      <c r="G1323" s="32" t="s">
        <v>3563</v>
      </c>
      <c r="H1323" s="37" t="s">
        <v>321</v>
      </c>
      <c r="I1323" s="39" t="s">
        <v>3636</v>
      </c>
      <c r="J1323" s="24" t="s">
        <v>1249</v>
      </c>
      <c r="K1323" s="40"/>
      <c r="L1323" s="38" t="s">
        <v>3639</v>
      </c>
      <c r="M1323" s="44" t="s">
        <v>123</v>
      </c>
      <c r="N1323" s="46" t="s">
        <v>3797</v>
      </c>
      <c r="O1323" s="47" t="s">
        <v>1654</v>
      </c>
      <c r="P1323" s="50"/>
      <c r="Q1323" s="45"/>
      <c r="R1323" s="25"/>
      <c r="S1323" s="52"/>
    </row>
    <row r="1324" spans="1:19" ht="16.5" customHeight="1" x14ac:dyDescent="0.3">
      <c r="A1324" s="27" t="s">
        <v>487</v>
      </c>
      <c r="B1324" s="28" t="s">
        <v>488</v>
      </c>
      <c r="C1324" s="26" t="s">
        <v>1808</v>
      </c>
      <c r="D1324" s="31" t="s">
        <v>152</v>
      </c>
      <c r="E1324" s="33" t="s">
        <v>3562</v>
      </c>
      <c r="F1324" s="34" t="s">
        <v>562</v>
      </c>
      <c r="G1324" s="32" t="s">
        <v>3563</v>
      </c>
      <c r="H1324" s="37" t="s">
        <v>321</v>
      </c>
      <c r="I1324" s="39" t="s">
        <v>3636</v>
      </c>
      <c r="J1324" s="24" t="s">
        <v>1249</v>
      </c>
      <c r="K1324" s="40"/>
      <c r="L1324" s="38" t="s">
        <v>3640</v>
      </c>
      <c r="M1324" s="44" t="s">
        <v>1665</v>
      </c>
      <c r="N1324" s="46" t="s">
        <v>3641</v>
      </c>
      <c r="O1324" s="47" t="s">
        <v>1787</v>
      </c>
      <c r="P1324" s="50"/>
      <c r="Q1324" s="45"/>
      <c r="R1324" s="25"/>
      <c r="S1324" s="52"/>
    </row>
    <row r="1325" spans="1:19" ht="16.5" customHeight="1" x14ac:dyDescent="0.3">
      <c r="A1325" s="27" t="s">
        <v>487</v>
      </c>
      <c r="B1325" s="28" t="s">
        <v>488</v>
      </c>
      <c r="C1325" s="26" t="s">
        <v>1808</v>
      </c>
      <c r="D1325" s="31" t="s">
        <v>152</v>
      </c>
      <c r="E1325" s="33" t="s">
        <v>3562</v>
      </c>
      <c r="F1325" s="34" t="s">
        <v>562</v>
      </c>
      <c r="G1325" s="32" t="s">
        <v>3563</v>
      </c>
      <c r="H1325" s="37" t="s">
        <v>321</v>
      </c>
      <c r="I1325" s="39" t="s">
        <v>3642</v>
      </c>
      <c r="J1325" s="24" t="s">
        <v>1251</v>
      </c>
      <c r="K1325" s="40"/>
      <c r="L1325" s="38" t="s">
        <v>3643</v>
      </c>
      <c r="M1325" s="44" t="s">
        <v>16</v>
      </c>
      <c r="N1325" s="46" t="s">
        <v>3644</v>
      </c>
      <c r="O1325" s="47" t="s">
        <v>1252</v>
      </c>
      <c r="P1325" s="50"/>
      <c r="Q1325" s="45"/>
      <c r="R1325" s="25"/>
      <c r="S1325" s="52"/>
    </row>
    <row r="1326" spans="1:19" ht="16.5" customHeight="1" x14ac:dyDescent="0.3">
      <c r="A1326" s="27" t="s">
        <v>487</v>
      </c>
      <c r="B1326" s="28" t="s">
        <v>488</v>
      </c>
      <c r="C1326" s="26" t="s">
        <v>1808</v>
      </c>
      <c r="D1326" s="31" t="s">
        <v>152</v>
      </c>
      <c r="E1326" s="33" t="s">
        <v>3562</v>
      </c>
      <c r="F1326" s="34" t="s">
        <v>562</v>
      </c>
      <c r="G1326" s="32" t="s">
        <v>3563</v>
      </c>
      <c r="H1326" s="37" t="s">
        <v>321</v>
      </c>
      <c r="I1326" s="39" t="s">
        <v>3642</v>
      </c>
      <c r="J1326" s="24" t="s">
        <v>1251</v>
      </c>
      <c r="K1326" s="40"/>
      <c r="L1326" s="38" t="s">
        <v>3645</v>
      </c>
      <c r="M1326" s="44" t="s">
        <v>123</v>
      </c>
      <c r="N1326" s="46" t="s">
        <v>3798</v>
      </c>
      <c r="O1326" s="47" t="s">
        <v>1654</v>
      </c>
      <c r="P1326" s="50"/>
      <c r="Q1326" s="45"/>
      <c r="R1326" s="25"/>
      <c r="S1326" s="52"/>
    </row>
    <row r="1327" spans="1:19" ht="16.5" customHeight="1" x14ac:dyDescent="0.3">
      <c r="A1327" s="27" t="s">
        <v>487</v>
      </c>
      <c r="B1327" s="28" t="s">
        <v>488</v>
      </c>
      <c r="C1327" s="26" t="s">
        <v>1808</v>
      </c>
      <c r="D1327" s="31" t="s">
        <v>152</v>
      </c>
      <c r="E1327" s="33" t="s">
        <v>3562</v>
      </c>
      <c r="F1327" s="34" t="s">
        <v>562</v>
      </c>
      <c r="G1327" s="32" t="s">
        <v>3563</v>
      </c>
      <c r="H1327" s="37" t="s">
        <v>321</v>
      </c>
      <c r="I1327" s="39" t="s">
        <v>3642</v>
      </c>
      <c r="J1327" s="24" t="s">
        <v>1251</v>
      </c>
      <c r="K1327" s="40"/>
      <c r="L1327" s="38" t="s">
        <v>3646</v>
      </c>
      <c r="M1327" s="44" t="s">
        <v>1665</v>
      </c>
      <c r="N1327" s="46" t="s">
        <v>3647</v>
      </c>
      <c r="O1327" s="47" t="s">
        <v>1787</v>
      </c>
      <c r="P1327" s="50"/>
      <c r="Q1327" s="45"/>
      <c r="R1327" s="25"/>
      <c r="S1327" s="52"/>
    </row>
    <row r="1328" spans="1:19" ht="16.5" customHeight="1" x14ac:dyDescent="0.3">
      <c r="A1328" s="27" t="s">
        <v>487</v>
      </c>
      <c r="B1328" s="28" t="s">
        <v>488</v>
      </c>
      <c r="C1328" s="26" t="s">
        <v>1808</v>
      </c>
      <c r="D1328" s="31" t="s">
        <v>152</v>
      </c>
      <c r="E1328" s="33" t="s">
        <v>3562</v>
      </c>
      <c r="F1328" s="34" t="s">
        <v>562</v>
      </c>
      <c r="G1328" s="32" t="s">
        <v>3563</v>
      </c>
      <c r="H1328" s="37" t="s">
        <v>321</v>
      </c>
      <c r="I1328" s="39" t="s">
        <v>3648</v>
      </c>
      <c r="J1328" s="24" t="s">
        <v>615</v>
      </c>
      <c r="K1328" s="40"/>
      <c r="L1328" s="38" t="s">
        <v>3649</v>
      </c>
      <c r="M1328" s="44" t="s">
        <v>16</v>
      </c>
      <c r="N1328" s="46" t="s">
        <v>3650</v>
      </c>
      <c r="O1328" s="47" t="s">
        <v>1256</v>
      </c>
      <c r="P1328" s="50"/>
      <c r="Q1328" s="45"/>
      <c r="R1328" s="25"/>
      <c r="S1328" s="52"/>
    </row>
    <row r="1329" spans="1:19" ht="16.5" customHeight="1" x14ac:dyDescent="0.3">
      <c r="A1329" s="27" t="s">
        <v>487</v>
      </c>
      <c r="B1329" s="28" t="s">
        <v>488</v>
      </c>
      <c r="C1329" s="26" t="s">
        <v>1808</v>
      </c>
      <c r="D1329" s="31" t="s">
        <v>152</v>
      </c>
      <c r="E1329" s="33" t="s">
        <v>3562</v>
      </c>
      <c r="F1329" s="34" t="s">
        <v>562</v>
      </c>
      <c r="G1329" s="32" t="s">
        <v>3563</v>
      </c>
      <c r="H1329" s="37" t="s">
        <v>321</v>
      </c>
      <c r="I1329" s="39" t="s">
        <v>3648</v>
      </c>
      <c r="J1329" s="24" t="s">
        <v>615</v>
      </c>
      <c r="K1329" s="40"/>
      <c r="L1329" s="38" t="s">
        <v>3651</v>
      </c>
      <c r="M1329" s="44" t="s">
        <v>13</v>
      </c>
      <c r="N1329" s="46" t="s">
        <v>3652</v>
      </c>
      <c r="O1329" s="47" t="s">
        <v>1620</v>
      </c>
      <c r="P1329" s="50"/>
      <c r="Q1329" s="45"/>
      <c r="R1329" s="25"/>
      <c r="S1329" s="52"/>
    </row>
    <row r="1330" spans="1:19" ht="16.5" customHeight="1" x14ac:dyDescent="0.3">
      <c r="A1330" s="27" t="s">
        <v>487</v>
      </c>
      <c r="B1330" s="28" t="s">
        <v>488</v>
      </c>
      <c r="C1330" s="26" t="s">
        <v>1808</v>
      </c>
      <c r="D1330" s="31" t="s">
        <v>152</v>
      </c>
      <c r="E1330" s="33" t="s">
        <v>3562</v>
      </c>
      <c r="F1330" s="34" t="s">
        <v>562</v>
      </c>
      <c r="G1330" s="32" t="s">
        <v>3563</v>
      </c>
      <c r="H1330" s="37" t="s">
        <v>321</v>
      </c>
      <c r="I1330" s="39" t="s">
        <v>3648</v>
      </c>
      <c r="J1330" s="24" t="s">
        <v>615</v>
      </c>
      <c r="K1330" s="40"/>
      <c r="L1330" s="38" t="s">
        <v>3651</v>
      </c>
      <c r="M1330" s="44" t="s">
        <v>13</v>
      </c>
      <c r="N1330" s="46" t="s">
        <v>3653</v>
      </c>
      <c r="O1330" s="47" t="s">
        <v>1255</v>
      </c>
      <c r="P1330" s="50"/>
      <c r="Q1330" s="45"/>
      <c r="R1330" s="25"/>
      <c r="S1330" s="52"/>
    </row>
    <row r="1331" spans="1:19" ht="16.5" customHeight="1" x14ac:dyDescent="0.3">
      <c r="A1331" s="27" t="s">
        <v>487</v>
      </c>
      <c r="B1331" s="28" t="s">
        <v>488</v>
      </c>
      <c r="C1331" s="26" t="s">
        <v>1808</v>
      </c>
      <c r="D1331" s="31" t="s">
        <v>152</v>
      </c>
      <c r="E1331" s="33" t="s">
        <v>3562</v>
      </c>
      <c r="F1331" s="34" t="s">
        <v>562</v>
      </c>
      <c r="G1331" s="32" t="s">
        <v>3563</v>
      </c>
      <c r="H1331" s="37" t="s">
        <v>321</v>
      </c>
      <c r="I1331" s="39" t="s">
        <v>3648</v>
      </c>
      <c r="J1331" s="24" t="s">
        <v>615</v>
      </c>
      <c r="K1331" s="40"/>
      <c r="L1331" s="38" t="s">
        <v>3772</v>
      </c>
      <c r="M1331" s="44" t="s">
        <v>1665</v>
      </c>
      <c r="N1331" s="46" t="s">
        <v>3654</v>
      </c>
      <c r="O1331" s="47" t="s">
        <v>1788</v>
      </c>
      <c r="P1331" s="50"/>
      <c r="Q1331" s="45"/>
      <c r="R1331" s="25"/>
      <c r="S1331" s="52"/>
    </row>
    <row r="1332" spans="1:19" ht="16.5" customHeight="1" x14ac:dyDescent="0.3">
      <c r="A1332" s="27" t="s">
        <v>487</v>
      </c>
      <c r="B1332" s="28" t="s">
        <v>488</v>
      </c>
      <c r="C1332" s="26" t="s">
        <v>1808</v>
      </c>
      <c r="D1332" s="31" t="s">
        <v>152</v>
      </c>
      <c r="E1332" s="33" t="s">
        <v>3562</v>
      </c>
      <c r="F1332" s="34" t="s">
        <v>562</v>
      </c>
      <c r="G1332" s="32" t="s">
        <v>3563</v>
      </c>
      <c r="H1332" s="37" t="s">
        <v>321</v>
      </c>
      <c r="I1332" s="39" t="s">
        <v>3648</v>
      </c>
      <c r="J1332" s="24" t="s">
        <v>615</v>
      </c>
      <c r="K1332" s="40"/>
      <c r="L1332" s="38" t="s">
        <v>3772</v>
      </c>
      <c r="M1332" s="44" t="s">
        <v>1665</v>
      </c>
      <c r="N1332" s="46" t="s">
        <v>3655</v>
      </c>
      <c r="O1332" s="47" t="s">
        <v>1789</v>
      </c>
      <c r="P1332" s="50"/>
      <c r="Q1332" s="45"/>
      <c r="R1332" s="25"/>
      <c r="S1332" s="52"/>
    </row>
    <row r="1333" spans="1:19" ht="16.5" customHeight="1" x14ac:dyDescent="0.3">
      <c r="A1333" s="27" t="s">
        <v>487</v>
      </c>
      <c r="B1333" s="28" t="s">
        <v>488</v>
      </c>
      <c r="C1333" s="26" t="s">
        <v>1808</v>
      </c>
      <c r="D1333" s="31" t="s">
        <v>152</v>
      </c>
      <c r="E1333" s="33" t="s">
        <v>3562</v>
      </c>
      <c r="F1333" s="34" t="s">
        <v>562</v>
      </c>
      <c r="G1333" s="32" t="s">
        <v>3563</v>
      </c>
      <c r="H1333" s="37" t="s">
        <v>321</v>
      </c>
      <c r="I1333" s="39" t="s">
        <v>3648</v>
      </c>
      <c r="J1333" s="24" t="s">
        <v>615</v>
      </c>
      <c r="K1333" s="40"/>
      <c r="L1333" s="38" t="s">
        <v>3772</v>
      </c>
      <c r="M1333" s="44" t="s">
        <v>1665</v>
      </c>
      <c r="N1333" s="46" t="s">
        <v>3656</v>
      </c>
      <c r="O1333" s="47" t="s">
        <v>1790</v>
      </c>
      <c r="P1333" s="50"/>
      <c r="Q1333" s="45"/>
      <c r="R1333" s="25"/>
      <c r="S1333" s="52"/>
    </row>
    <row r="1334" spans="1:19" ht="16.5" customHeight="1" x14ac:dyDescent="0.3">
      <c r="A1334" s="27" t="s">
        <v>487</v>
      </c>
      <c r="B1334" s="28" t="s">
        <v>488</v>
      </c>
      <c r="C1334" s="26" t="s">
        <v>1808</v>
      </c>
      <c r="D1334" s="31" t="s">
        <v>152</v>
      </c>
      <c r="E1334" s="33" t="s">
        <v>3562</v>
      </c>
      <c r="F1334" s="34" t="s">
        <v>562</v>
      </c>
      <c r="G1334" s="32" t="s">
        <v>3563</v>
      </c>
      <c r="H1334" s="37" t="s">
        <v>321</v>
      </c>
      <c r="I1334" s="39" t="s">
        <v>3648</v>
      </c>
      <c r="J1334" s="24" t="s">
        <v>615</v>
      </c>
      <c r="K1334" s="40"/>
      <c r="L1334" s="38" t="s">
        <v>3772</v>
      </c>
      <c r="M1334" s="44" t="s">
        <v>1665</v>
      </c>
      <c r="N1334" s="46" t="s">
        <v>3657</v>
      </c>
      <c r="O1334" s="47" t="s">
        <v>1694</v>
      </c>
      <c r="P1334" s="50"/>
      <c r="Q1334" s="45"/>
      <c r="R1334" s="25"/>
      <c r="S1334" s="52"/>
    </row>
    <row r="1335" spans="1:19" ht="16.5" customHeight="1" x14ac:dyDescent="0.3">
      <c r="A1335" s="27" t="s">
        <v>487</v>
      </c>
      <c r="B1335" s="28" t="s">
        <v>488</v>
      </c>
      <c r="C1335" s="26" t="s">
        <v>1808</v>
      </c>
      <c r="D1335" s="31" t="s">
        <v>152</v>
      </c>
      <c r="E1335" s="33" t="s">
        <v>3562</v>
      </c>
      <c r="F1335" s="34" t="s">
        <v>562</v>
      </c>
      <c r="G1335" s="32" t="s">
        <v>3563</v>
      </c>
      <c r="H1335" s="37" t="s">
        <v>321</v>
      </c>
      <c r="I1335" s="39" t="s">
        <v>3648</v>
      </c>
      <c r="J1335" s="24" t="s">
        <v>615</v>
      </c>
      <c r="K1335" s="40"/>
      <c r="L1335" s="38" t="s">
        <v>3772</v>
      </c>
      <c r="M1335" s="44" t="s">
        <v>1665</v>
      </c>
      <c r="N1335" s="46" t="s">
        <v>3658</v>
      </c>
      <c r="O1335" s="47" t="s">
        <v>1673</v>
      </c>
      <c r="P1335" s="50"/>
      <c r="Q1335" s="45"/>
      <c r="R1335" s="25"/>
      <c r="S1335" s="52"/>
    </row>
    <row r="1336" spans="1:19" ht="16.5" customHeight="1" x14ac:dyDescent="0.3">
      <c r="A1336" s="27" t="s">
        <v>487</v>
      </c>
      <c r="B1336" s="28" t="s">
        <v>488</v>
      </c>
      <c r="C1336" s="26" t="s">
        <v>1808</v>
      </c>
      <c r="D1336" s="31" t="s">
        <v>152</v>
      </c>
      <c r="E1336" s="33" t="s">
        <v>3562</v>
      </c>
      <c r="F1336" s="34" t="s">
        <v>562</v>
      </c>
      <c r="G1336" s="32" t="s">
        <v>3563</v>
      </c>
      <c r="H1336" s="37" t="s">
        <v>321</v>
      </c>
      <c r="I1336" s="39" t="s">
        <v>3659</v>
      </c>
      <c r="J1336" s="24" t="s">
        <v>616</v>
      </c>
      <c r="K1336" s="40"/>
      <c r="L1336" s="38" t="s">
        <v>3660</v>
      </c>
      <c r="M1336" s="44" t="s">
        <v>16</v>
      </c>
      <c r="N1336" s="46" t="s">
        <v>3661</v>
      </c>
      <c r="O1336" s="47" t="s">
        <v>1253</v>
      </c>
      <c r="P1336" s="50"/>
      <c r="Q1336" s="45"/>
      <c r="R1336" s="25"/>
      <c r="S1336" s="52"/>
    </row>
    <row r="1337" spans="1:19" ht="16.5" customHeight="1" x14ac:dyDescent="0.3">
      <c r="A1337" s="27" t="s">
        <v>487</v>
      </c>
      <c r="B1337" s="28" t="s">
        <v>488</v>
      </c>
      <c r="C1337" s="26" t="s">
        <v>1808</v>
      </c>
      <c r="D1337" s="31" t="s">
        <v>152</v>
      </c>
      <c r="E1337" s="33" t="s">
        <v>3562</v>
      </c>
      <c r="F1337" s="34" t="s">
        <v>562</v>
      </c>
      <c r="G1337" s="32" t="s">
        <v>3563</v>
      </c>
      <c r="H1337" s="37" t="s">
        <v>321</v>
      </c>
      <c r="I1337" s="39" t="s">
        <v>3659</v>
      </c>
      <c r="J1337" s="24" t="s">
        <v>616</v>
      </c>
      <c r="K1337" s="40"/>
      <c r="L1337" s="38" t="s">
        <v>3662</v>
      </c>
      <c r="M1337" s="44" t="s">
        <v>13</v>
      </c>
      <c r="N1337" s="46" t="s">
        <v>3663</v>
      </c>
      <c r="O1337" s="47" t="s">
        <v>1621</v>
      </c>
      <c r="P1337" s="50"/>
      <c r="Q1337" s="45"/>
      <c r="R1337" s="25"/>
      <c r="S1337" s="52"/>
    </row>
    <row r="1338" spans="1:19" ht="16.5" customHeight="1" x14ac:dyDescent="0.3">
      <c r="A1338" s="27" t="s">
        <v>487</v>
      </c>
      <c r="B1338" s="28" t="s">
        <v>488</v>
      </c>
      <c r="C1338" s="26" t="s">
        <v>1808</v>
      </c>
      <c r="D1338" s="31" t="s">
        <v>152</v>
      </c>
      <c r="E1338" s="33" t="s">
        <v>3562</v>
      </c>
      <c r="F1338" s="34" t="s">
        <v>562</v>
      </c>
      <c r="G1338" s="32" t="s">
        <v>3563</v>
      </c>
      <c r="H1338" s="37" t="s">
        <v>321</v>
      </c>
      <c r="I1338" s="39" t="s">
        <v>3659</v>
      </c>
      <c r="J1338" s="24" t="s">
        <v>616</v>
      </c>
      <c r="K1338" s="40"/>
      <c r="L1338" s="38" t="s">
        <v>3662</v>
      </c>
      <c r="M1338" s="44" t="s">
        <v>13</v>
      </c>
      <c r="N1338" s="46" t="s">
        <v>3664</v>
      </c>
      <c r="O1338" s="47" t="s">
        <v>1254</v>
      </c>
      <c r="P1338" s="50"/>
      <c r="Q1338" s="45"/>
      <c r="R1338" s="25"/>
      <c r="S1338" s="52"/>
    </row>
    <row r="1339" spans="1:19" ht="16.5" customHeight="1" x14ac:dyDescent="0.3">
      <c r="A1339" s="27" t="s">
        <v>487</v>
      </c>
      <c r="B1339" s="28" t="s">
        <v>488</v>
      </c>
      <c r="C1339" s="26" t="s">
        <v>1808</v>
      </c>
      <c r="D1339" s="31" t="s">
        <v>152</v>
      </c>
      <c r="E1339" s="33" t="s">
        <v>3562</v>
      </c>
      <c r="F1339" s="34" t="s">
        <v>562</v>
      </c>
      <c r="G1339" s="32" t="s">
        <v>3563</v>
      </c>
      <c r="H1339" s="37" t="s">
        <v>321</v>
      </c>
      <c r="I1339" s="39" t="s">
        <v>3659</v>
      </c>
      <c r="J1339" s="24" t="s">
        <v>616</v>
      </c>
      <c r="K1339" s="40"/>
      <c r="L1339" s="38" t="s">
        <v>3773</v>
      </c>
      <c r="M1339" s="44" t="s">
        <v>1665</v>
      </c>
      <c r="N1339" s="46" t="s">
        <v>3665</v>
      </c>
      <c r="O1339" s="47" t="s">
        <v>1788</v>
      </c>
      <c r="P1339" s="50"/>
      <c r="Q1339" s="45"/>
      <c r="R1339" s="25"/>
      <c r="S1339" s="52"/>
    </row>
    <row r="1340" spans="1:19" ht="16.5" customHeight="1" x14ac:dyDescent="0.3">
      <c r="A1340" s="27" t="s">
        <v>487</v>
      </c>
      <c r="B1340" s="28" t="s">
        <v>488</v>
      </c>
      <c r="C1340" s="26" t="s">
        <v>1808</v>
      </c>
      <c r="D1340" s="31" t="s">
        <v>152</v>
      </c>
      <c r="E1340" s="33" t="s">
        <v>3562</v>
      </c>
      <c r="F1340" s="34" t="s">
        <v>562</v>
      </c>
      <c r="G1340" s="32" t="s">
        <v>3563</v>
      </c>
      <c r="H1340" s="37" t="s">
        <v>321</v>
      </c>
      <c r="I1340" s="39" t="s">
        <v>3659</v>
      </c>
      <c r="J1340" s="24" t="s">
        <v>616</v>
      </c>
      <c r="K1340" s="40"/>
      <c r="L1340" s="38" t="s">
        <v>3773</v>
      </c>
      <c r="M1340" s="44" t="s">
        <v>1665</v>
      </c>
      <c r="N1340" s="46" t="s">
        <v>3666</v>
      </c>
      <c r="O1340" s="47" t="s">
        <v>1789</v>
      </c>
      <c r="P1340" s="50"/>
      <c r="Q1340" s="45"/>
      <c r="R1340" s="25"/>
      <c r="S1340" s="52"/>
    </row>
    <row r="1341" spans="1:19" ht="16.5" customHeight="1" x14ac:dyDescent="0.3">
      <c r="A1341" s="27" t="s">
        <v>487</v>
      </c>
      <c r="B1341" s="28" t="s">
        <v>488</v>
      </c>
      <c r="C1341" s="26" t="s">
        <v>1808</v>
      </c>
      <c r="D1341" s="31" t="s">
        <v>152</v>
      </c>
      <c r="E1341" s="33" t="s">
        <v>3562</v>
      </c>
      <c r="F1341" s="34" t="s">
        <v>562</v>
      </c>
      <c r="G1341" s="32" t="s">
        <v>3563</v>
      </c>
      <c r="H1341" s="37" t="s">
        <v>321</v>
      </c>
      <c r="I1341" s="39" t="s">
        <v>3659</v>
      </c>
      <c r="J1341" s="24" t="s">
        <v>616</v>
      </c>
      <c r="K1341" s="40"/>
      <c r="L1341" s="38" t="s">
        <v>3773</v>
      </c>
      <c r="M1341" s="44" t="s">
        <v>1665</v>
      </c>
      <c r="N1341" s="46" t="s">
        <v>3667</v>
      </c>
      <c r="O1341" s="47" t="s">
        <v>1790</v>
      </c>
      <c r="P1341" s="50"/>
      <c r="Q1341" s="45"/>
      <c r="R1341" s="25"/>
      <c r="S1341" s="52"/>
    </row>
    <row r="1342" spans="1:19" ht="16.5" customHeight="1" x14ac:dyDescent="0.3">
      <c r="A1342" s="27" t="s">
        <v>487</v>
      </c>
      <c r="B1342" s="28" t="s">
        <v>488</v>
      </c>
      <c r="C1342" s="26" t="s">
        <v>1808</v>
      </c>
      <c r="D1342" s="31" t="s">
        <v>152</v>
      </c>
      <c r="E1342" s="33" t="s">
        <v>3562</v>
      </c>
      <c r="F1342" s="34" t="s">
        <v>562</v>
      </c>
      <c r="G1342" s="32" t="s">
        <v>3563</v>
      </c>
      <c r="H1342" s="37" t="s">
        <v>321</v>
      </c>
      <c r="I1342" s="39" t="s">
        <v>3659</v>
      </c>
      <c r="J1342" s="24" t="s">
        <v>616</v>
      </c>
      <c r="K1342" s="40"/>
      <c r="L1342" s="38" t="s">
        <v>3773</v>
      </c>
      <c r="M1342" s="44" t="s">
        <v>1665</v>
      </c>
      <c r="N1342" s="46" t="s">
        <v>3668</v>
      </c>
      <c r="O1342" s="47" t="s">
        <v>1694</v>
      </c>
      <c r="P1342" s="50"/>
      <c r="Q1342" s="45"/>
      <c r="R1342" s="25"/>
      <c r="S1342" s="52"/>
    </row>
    <row r="1343" spans="1:19" ht="16.5" customHeight="1" x14ac:dyDescent="0.3">
      <c r="A1343" s="27" t="s">
        <v>487</v>
      </c>
      <c r="B1343" s="28" t="s">
        <v>488</v>
      </c>
      <c r="C1343" s="26" t="s">
        <v>1808</v>
      </c>
      <c r="D1343" s="31" t="s">
        <v>152</v>
      </c>
      <c r="E1343" s="33" t="s">
        <v>3562</v>
      </c>
      <c r="F1343" s="34" t="s">
        <v>562</v>
      </c>
      <c r="G1343" s="32" t="s">
        <v>3563</v>
      </c>
      <c r="H1343" s="37" t="s">
        <v>321</v>
      </c>
      <c r="I1343" s="39" t="s">
        <v>3659</v>
      </c>
      <c r="J1343" s="24" t="s">
        <v>616</v>
      </c>
      <c r="K1343" s="40"/>
      <c r="L1343" s="38" t="s">
        <v>3773</v>
      </c>
      <c r="M1343" s="44" t="s">
        <v>1665</v>
      </c>
      <c r="N1343" s="46" t="s">
        <v>3669</v>
      </c>
      <c r="O1343" s="47" t="s">
        <v>1673</v>
      </c>
      <c r="P1343" s="50"/>
      <c r="Q1343" s="45"/>
      <c r="R1343" s="25"/>
      <c r="S1343" s="52"/>
    </row>
    <row r="1344" spans="1:19" ht="16.5" customHeight="1" x14ac:dyDescent="0.3">
      <c r="A1344" s="27" t="s">
        <v>487</v>
      </c>
      <c r="B1344" s="28" t="s">
        <v>488</v>
      </c>
      <c r="C1344" s="26" t="s">
        <v>1808</v>
      </c>
      <c r="D1344" s="31" t="s">
        <v>152</v>
      </c>
      <c r="E1344" s="33" t="s">
        <v>3562</v>
      </c>
      <c r="F1344" s="34" t="s">
        <v>562</v>
      </c>
      <c r="G1344" s="32" t="s">
        <v>3563</v>
      </c>
      <c r="H1344" s="37" t="s">
        <v>321</v>
      </c>
      <c r="I1344" s="39" t="s">
        <v>3670</v>
      </c>
      <c r="J1344" s="24" t="s">
        <v>481</v>
      </c>
      <c r="K1344" s="40"/>
      <c r="L1344" s="38"/>
      <c r="M1344" s="44"/>
      <c r="N1344" s="46"/>
      <c r="O1344" s="47"/>
      <c r="P1344" s="50"/>
      <c r="Q1344" s="45"/>
      <c r="R1344" s="25"/>
      <c r="S1344" s="52"/>
    </row>
    <row r="1345" spans="1:19" ht="16.5" customHeight="1" x14ac:dyDescent="0.3">
      <c r="A1345" s="27" t="s">
        <v>487</v>
      </c>
      <c r="B1345" s="28" t="s">
        <v>488</v>
      </c>
      <c r="C1345" s="26" t="s">
        <v>1808</v>
      </c>
      <c r="D1345" s="31" t="s">
        <v>152</v>
      </c>
      <c r="E1345" s="33" t="s">
        <v>3562</v>
      </c>
      <c r="F1345" s="34" t="s">
        <v>562</v>
      </c>
      <c r="G1345" s="32" t="s">
        <v>3563</v>
      </c>
      <c r="H1345" s="37" t="s">
        <v>321</v>
      </c>
      <c r="I1345" s="39" t="s">
        <v>3671</v>
      </c>
      <c r="J1345" s="24" t="s">
        <v>482</v>
      </c>
      <c r="K1345" s="40"/>
      <c r="L1345" s="38" t="s">
        <v>3672</v>
      </c>
      <c r="M1345" s="44" t="s">
        <v>16</v>
      </c>
      <c r="N1345" s="46" t="s">
        <v>3673</v>
      </c>
      <c r="O1345" s="47" t="s">
        <v>1257</v>
      </c>
      <c r="P1345" s="50"/>
      <c r="Q1345" s="45"/>
      <c r="R1345" s="25"/>
      <c r="S1345" s="52"/>
    </row>
    <row r="1346" spans="1:19" ht="16.5" customHeight="1" x14ac:dyDescent="0.3">
      <c r="A1346" s="27" t="s">
        <v>487</v>
      </c>
      <c r="B1346" s="28" t="s">
        <v>488</v>
      </c>
      <c r="C1346" s="26" t="s">
        <v>1808</v>
      </c>
      <c r="D1346" s="31" t="s">
        <v>152</v>
      </c>
      <c r="E1346" s="33" t="s">
        <v>3562</v>
      </c>
      <c r="F1346" s="34" t="s">
        <v>562</v>
      </c>
      <c r="G1346" s="32" t="s">
        <v>3563</v>
      </c>
      <c r="H1346" s="37" t="s">
        <v>321</v>
      </c>
      <c r="I1346" s="39" t="s">
        <v>3671</v>
      </c>
      <c r="J1346" s="24" t="s">
        <v>482</v>
      </c>
      <c r="K1346" s="40"/>
      <c r="L1346" s="38" t="s">
        <v>3674</v>
      </c>
      <c r="M1346" s="44" t="s">
        <v>123</v>
      </c>
      <c r="N1346" s="46" t="s">
        <v>3799</v>
      </c>
      <c r="O1346" s="47" t="s">
        <v>1654</v>
      </c>
      <c r="P1346" s="50"/>
      <c r="Q1346" s="45"/>
      <c r="R1346" s="25"/>
      <c r="S1346" s="52"/>
    </row>
    <row r="1347" spans="1:19" ht="16.5" customHeight="1" x14ac:dyDescent="0.3">
      <c r="A1347" s="27" t="s">
        <v>487</v>
      </c>
      <c r="B1347" s="28" t="s">
        <v>488</v>
      </c>
      <c r="C1347" s="26" t="s">
        <v>1808</v>
      </c>
      <c r="D1347" s="31" t="s">
        <v>152</v>
      </c>
      <c r="E1347" s="33" t="s">
        <v>3562</v>
      </c>
      <c r="F1347" s="34" t="s">
        <v>562</v>
      </c>
      <c r="G1347" s="32" t="s">
        <v>3563</v>
      </c>
      <c r="H1347" s="37" t="s">
        <v>321</v>
      </c>
      <c r="I1347" s="39" t="s">
        <v>3675</v>
      </c>
      <c r="J1347" s="24" t="s">
        <v>483</v>
      </c>
      <c r="K1347" s="40"/>
      <c r="L1347" s="38" t="s">
        <v>3676</v>
      </c>
      <c r="M1347" s="44" t="s">
        <v>123</v>
      </c>
      <c r="N1347" s="46" t="s">
        <v>3800</v>
      </c>
      <c r="O1347" s="47" t="s">
        <v>1654</v>
      </c>
      <c r="P1347" s="50"/>
      <c r="Q1347" s="45"/>
      <c r="R1347" s="25"/>
      <c r="S1347" s="52"/>
    </row>
    <row r="1348" spans="1:19" ht="16.5" customHeight="1" x14ac:dyDescent="0.3">
      <c r="A1348" s="27" t="s">
        <v>487</v>
      </c>
      <c r="B1348" s="28" t="s">
        <v>488</v>
      </c>
      <c r="C1348" s="26" t="s">
        <v>1808</v>
      </c>
      <c r="D1348" s="31" t="s">
        <v>152</v>
      </c>
      <c r="E1348" s="33" t="s">
        <v>3562</v>
      </c>
      <c r="F1348" s="34" t="s">
        <v>562</v>
      </c>
      <c r="G1348" s="32" t="s">
        <v>3563</v>
      </c>
      <c r="H1348" s="37" t="s">
        <v>321</v>
      </c>
      <c r="I1348" s="39" t="s">
        <v>3677</v>
      </c>
      <c r="J1348" s="24" t="s">
        <v>484</v>
      </c>
      <c r="K1348" s="40"/>
      <c r="L1348" s="38"/>
      <c r="M1348" s="44"/>
      <c r="N1348" s="46"/>
      <c r="O1348" s="47"/>
      <c r="P1348" s="50"/>
      <c r="Q1348" s="45"/>
      <c r="R1348" s="25"/>
      <c r="S1348" s="52"/>
    </row>
    <row r="1349" spans="1:19" ht="16.5" customHeight="1" x14ac:dyDescent="0.3">
      <c r="A1349" s="27" t="s">
        <v>487</v>
      </c>
      <c r="B1349" s="28" t="s">
        <v>488</v>
      </c>
      <c r="C1349" s="26" t="s">
        <v>1808</v>
      </c>
      <c r="D1349" s="31" t="s">
        <v>152</v>
      </c>
      <c r="E1349" s="33" t="s">
        <v>3562</v>
      </c>
      <c r="F1349" s="34" t="s">
        <v>562</v>
      </c>
      <c r="G1349" s="32" t="s">
        <v>3563</v>
      </c>
      <c r="H1349" s="37" t="s">
        <v>321</v>
      </c>
      <c r="I1349" s="39" t="s">
        <v>3678</v>
      </c>
      <c r="J1349" s="24" t="s">
        <v>360</v>
      </c>
      <c r="K1349" s="40"/>
      <c r="L1349" s="38"/>
      <c r="M1349" s="44"/>
      <c r="N1349" s="46"/>
      <c r="O1349" s="47"/>
      <c r="P1349" s="50"/>
      <c r="Q1349" s="45"/>
      <c r="R1349" s="25"/>
      <c r="S1349" s="52"/>
    </row>
    <row r="1350" spans="1:19" ht="16.5" customHeight="1" x14ac:dyDescent="0.3">
      <c r="A1350" s="27" t="s">
        <v>487</v>
      </c>
      <c r="B1350" s="28" t="s">
        <v>488</v>
      </c>
      <c r="C1350" s="26" t="s">
        <v>1808</v>
      </c>
      <c r="D1350" s="31" t="s">
        <v>152</v>
      </c>
      <c r="E1350" s="33" t="s">
        <v>3562</v>
      </c>
      <c r="F1350" s="34" t="s">
        <v>562</v>
      </c>
      <c r="G1350" s="32" t="s">
        <v>3563</v>
      </c>
      <c r="H1350" s="37" t="s">
        <v>321</v>
      </c>
      <c r="I1350" s="39" t="s">
        <v>3679</v>
      </c>
      <c r="J1350" s="24" t="s">
        <v>362</v>
      </c>
      <c r="K1350" s="40"/>
      <c r="L1350" s="38" t="s">
        <v>3680</v>
      </c>
      <c r="M1350" s="44" t="s">
        <v>16</v>
      </c>
      <c r="N1350" s="46" t="s">
        <v>3681</v>
      </c>
      <c r="O1350" s="47" t="s">
        <v>1258</v>
      </c>
      <c r="P1350" s="50"/>
      <c r="Q1350" s="45"/>
      <c r="R1350" s="25"/>
      <c r="S1350" s="52"/>
    </row>
    <row r="1351" spans="1:19" ht="16.5" customHeight="1" x14ac:dyDescent="0.3">
      <c r="A1351" s="27" t="s">
        <v>487</v>
      </c>
      <c r="B1351" s="28" t="s">
        <v>488</v>
      </c>
      <c r="C1351" s="26" t="s">
        <v>1808</v>
      </c>
      <c r="D1351" s="31" t="s">
        <v>152</v>
      </c>
      <c r="E1351" s="33" t="s">
        <v>3562</v>
      </c>
      <c r="F1351" s="34" t="s">
        <v>562</v>
      </c>
      <c r="G1351" s="32" t="s">
        <v>3563</v>
      </c>
      <c r="H1351" s="37" t="s">
        <v>321</v>
      </c>
      <c r="I1351" s="39" t="s">
        <v>3679</v>
      </c>
      <c r="J1351" s="24" t="s">
        <v>362</v>
      </c>
      <c r="K1351" s="40"/>
      <c r="L1351" s="38" t="s">
        <v>3682</v>
      </c>
      <c r="M1351" s="44" t="s">
        <v>123</v>
      </c>
      <c r="N1351" s="46" t="s">
        <v>3801</v>
      </c>
      <c r="O1351" s="47" t="s">
        <v>1654</v>
      </c>
      <c r="P1351" s="50"/>
      <c r="Q1351" s="45"/>
      <c r="R1351" s="25"/>
      <c r="S1351" s="52"/>
    </row>
    <row r="1352" spans="1:19" ht="16.5" customHeight="1" x14ac:dyDescent="0.3">
      <c r="A1352" s="27" t="s">
        <v>487</v>
      </c>
      <c r="B1352" s="28" t="s">
        <v>488</v>
      </c>
      <c r="C1352" s="26" t="s">
        <v>1808</v>
      </c>
      <c r="D1352" s="31" t="s">
        <v>152</v>
      </c>
      <c r="E1352" s="33" t="s">
        <v>3562</v>
      </c>
      <c r="F1352" s="34" t="s">
        <v>562</v>
      </c>
      <c r="G1352" s="32" t="s">
        <v>3563</v>
      </c>
      <c r="H1352" s="37" t="s">
        <v>321</v>
      </c>
      <c r="I1352" s="39" t="s">
        <v>3683</v>
      </c>
      <c r="J1352" s="24" t="s">
        <v>613</v>
      </c>
      <c r="K1352" s="40"/>
      <c r="L1352" s="38" t="s">
        <v>3684</v>
      </c>
      <c r="M1352" s="44" t="s">
        <v>123</v>
      </c>
      <c r="N1352" s="46" t="s">
        <v>3802</v>
      </c>
      <c r="O1352" s="47" t="s">
        <v>1654</v>
      </c>
      <c r="P1352" s="50"/>
      <c r="Q1352" s="45"/>
      <c r="R1352" s="25"/>
      <c r="S1352" s="52"/>
    </row>
    <row r="1353" spans="1:19" ht="16.5" customHeight="1" x14ac:dyDescent="0.3">
      <c r="A1353" s="27" t="s">
        <v>487</v>
      </c>
      <c r="B1353" s="28" t="s">
        <v>488</v>
      </c>
      <c r="C1353" s="26" t="s">
        <v>1808</v>
      </c>
      <c r="D1353" s="31" t="s">
        <v>152</v>
      </c>
      <c r="E1353" s="33" t="s">
        <v>3562</v>
      </c>
      <c r="F1353" s="34" t="s">
        <v>562</v>
      </c>
      <c r="G1353" s="32" t="s">
        <v>3563</v>
      </c>
      <c r="H1353" s="37" t="s">
        <v>321</v>
      </c>
      <c r="I1353" s="39" t="s">
        <v>3683</v>
      </c>
      <c r="J1353" s="24" t="s">
        <v>613</v>
      </c>
      <c r="K1353" s="40"/>
      <c r="L1353" s="38" t="s">
        <v>3684</v>
      </c>
      <c r="M1353" s="44" t="s">
        <v>123</v>
      </c>
      <c r="N1353" s="46" t="s">
        <v>3685</v>
      </c>
      <c r="O1353" s="47" t="s">
        <v>123</v>
      </c>
      <c r="P1353" s="50"/>
      <c r="Q1353" s="45"/>
      <c r="R1353" s="25"/>
      <c r="S1353" s="52"/>
    </row>
    <row r="1354" spans="1:19" ht="16.5" customHeight="1" x14ac:dyDescent="0.3">
      <c r="A1354" s="27" t="s">
        <v>487</v>
      </c>
      <c r="B1354" s="28" t="s">
        <v>488</v>
      </c>
      <c r="C1354" s="26" t="s">
        <v>1808</v>
      </c>
      <c r="D1354" s="31" t="s">
        <v>152</v>
      </c>
      <c r="E1354" s="33" t="s">
        <v>3562</v>
      </c>
      <c r="F1354" s="34" t="s">
        <v>562</v>
      </c>
      <c r="G1354" s="32" t="s">
        <v>3563</v>
      </c>
      <c r="H1354" s="37" t="s">
        <v>321</v>
      </c>
      <c r="I1354" s="39" t="s">
        <v>3683</v>
      </c>
      <c r="J1354" s="24" t="s">
        <v>613</v>
      </c>
      <c r="K1354" s="40"/>
      <c r="L1354" s="38" t="s">
        <v>3685</v>
      </c>
      <c r="M1354" s="44" t="s">
        <v>123</v>
      </c>
      <c r="N1354" s="46"/>
      <c r="O1354" s="47"/>
      <c r="P1354" s="50"/>
      <c r="Q1354" s="45"/>
      <c r="R1354" s="25"/>
      <c r="S1354" s="52"/>
    </row>
    <row r="1355" spans="1:19" ht="16.5" customHeight="1" x14ac:dyDescent="0.3">
      <c r="A1355" s="27" t="s">
        <v>487</v>
      </c>
      <c r="B1355" s="28" t="s">
        <v>488</v>
      </c>
      <c r="C1355" s="26" t="s">
        <v>1808</v>
      </c>
      <c r="D1355" s="31" t="s">
        <v>152</v>
      </c>
      <c r="E1355" s="33" t="s">
        <v>3686</v>
      </c>
      <c r="F1355" s="34" t="s">
        <v>587</v>
      </c>
      <c r="G1355" s="32" t="s">
        <v>3687</v>
      </c>
      <c r="H1355" s="37" t="s">
        <v>588</v>
      </c>
      <c r="I1355" s="39"/>
      <c r="J1355" s="24"/>
      <c r="K1355" s="40"/>
      <c r="L1355" s="38"/>
      <c r="M1355" s="44"/>
      <c r="N1355" s="46"/>
      <c r="O1355" s="47"/>
      <c r="P1355" s="50"/>
      <c r="Q1355" s="45"/>
      <c r="R1355" s="25"/>
      <c r="S1355" s="52"/>
    </row>
    <row r="1356" spans="1:19" ht="16.5" customHeight="1" x14ac:dyDescent="0.3">
      <c r="A1356" s="27" t="s">
        <v>487</v>
      </c>
      <c r="B1356" s="28" t="s">
        <v>488</v>
      </c>
      <c r="C1356" s="26" t="s">
        <v>1808</v>
      </c>
      <c r="D1356" s="31" t="s">
        <v>152</v>
      </c>
      <c r="E1356" s="33" t="s">
        <v>3686</v>
      </c>
      <c r="F1356" s="34" t="s">
        <v>587</v>
      </c>
      <c r="G1356" s="32" t="s">
        <v>3688</v>
      </c>
      <c r="H1356" s="37" t="s">
        <v>589</v>
      </c>
      <c r="I1356" s="39"/>
      <c r="J1356" s="24"/>
      <c r="K1356" s="40"/>
      <c r="L1356" s="38"/>
      <c r="M1356" s="44"/>
      <c r="N1356" s="46"/>
      <c r="O1356" s="47"/>
      <c r="P1356" s="50"/>
      <c r="Q1356" s="45"/>
      <c r="R1356" s="25"/>
      <c r="S1356" s="52"/>
    </row>
    <row r="1357" spans="1:19" ht="16.5" customHeight="1" x14ac:dyDescent="0.3">
      <c r="A1357" s="27" t="s">
        <v>487</v>
      </c>
      <c r="B1357" s="28" t="s">
        <v>488</v>
      </c>
      <c r="C1357" s="26" t="s">
        <v>1808</v>
      </c>
      <c r="D1357" s="31" t="s">
        <v>152</v>
      </c>
      <c r="E1357" s="33" t="s">
        <v>3686</v>
      </c>
      <c r="F1357" s="34" t="s">
        <v>587</v>
      </c>
      <c r="G1357" s="32" t="s">
        <v>3689</v>
      </c>
      <c r="H1357" s="37" t="s">
        <v>590</v>
      </c>
      <c r="I1357" s="39"/>
      <c r="J1357" s="24"/>
      <c r="K1357" s="40"/>
      <c r="L1357" s="38"/>
      <c r="M1357" s="44"/>
      <c r="N1357" s="46"/>
      <c r="O1357" s="47"/>
      <c r="P1357" s="50"/>
      <c r="Q1357" s="45"/>
      <c r="R1357" s="25"/>
      <c r="S1357" s="52"/>
    </row>
    <row r="1358" spans="1:19" ht="16.5" customHeight="1" x14ac:dyDescent="0.3">
      <c r="A1358" s="27" t="s">
        <v>487</v>
      </c>
      <c r="B1358" s="28" t="s">
        <v>488</v>
      </c>
      <c r="C1358" s="26" t="s">
        <v>1808</v>
      </c>
      <c r="D1358" s="31" t="s">
        <v>152</v>
      </c>
      <c r="E1358" s="33" t="s">
        <v>3686</v>
      </c>
      <c r="F1358" s="34" t="s">
        <v>587</v>
      </c>
      <c r="G1358" s="32" t="s">
        <v>3690</v>
      </c>
      <c r="H1358" s="37" t="s">
        <v>591</v>
      </c>
      <c r="I1358" s="39"/>
      <c r="J1358" s="24"/>
      <c r="K1358" s="40"/>
      <c r="L1358" s="38"/>
      <c r="M1358" s="44"/>
      <c r="N1358" s="46"/>
      <c r="O1358" s="47"/>
      <c r="P1358" s="50"/>
      <c r="Q1358" s="45"/>
      <c r="R1358" s="25"/>
      <c r="S1358" s="52"/>
    </row>
    <row r="1359" spans="1:19" ht="16.5" customHeight="1" x14ac:dyDescent="0.3">
      <c r="A1359" s="27" t="s">
        <v>487</v>
      </c>
      <c r="B1359" s="28" t="s">
        <v>488</v>
      </c>
      <c r="C1359" s="26" t="s">
        <v>1808</v>
      </c>
      <c r="D1359" s="31" t="s">
        <v>152</v>
      </c>
      <c r="E1359" s="33" t="s">
        <v>3686</v>
      </c>
      <c r="F1359" s="34" t="s">
        <v>587</v>
      </c>
      <c r="G1359" s="32" t="s">
        <v>3691</v>
      </c>
      <c r="H1359" s="37" t="s">
        <v>626</v>
      </c>
      <c r="I1359" s="39"/>
      <c r="J1359" s="24"/>
      <c r="K1359" s="40"/>
      <c r="L1359" s="38"/>
      <c r="M1359" s="44"/>
      <c r="N1359" s="46"/>
      <c r="O1359" s="47"/>
      <c r="P1359" s="50"/>
      <c r="Q1359" s="45"/>
      <c r="R1359" s="25"/>
      <c r="S1359" s="52"/>
    </row>
    <row r="1360" spans="1:19" ht="16.5" customHeight="1" x14ac:dyDescent="0.3">
      <c r="A1360" s="27" t="s">
        <v>487</v>
      </c>
      <c r="B1360" s="28" t="s">
        <v>488</v>
      </c>
      <c r="C1360" s="26" t="s">
        <v>1808</v>
      </c>
      <c r="D1360" s="31" t="s">
        <v>152</v>
      </c>
      <c r="E1360" s="33" t="s">
        <v>3692</v>
      </c>
      <c r="F1360" s="34" t="s">
        <v>1600</v>
      </c>
      <c r="G1360" s="32" t="s">
        <v>3693</v>
      </c>
      <c r="H1360" s="37" t="s">
        <v>592</v>
      </c>
      <c r="I1360" s="39" t="s">
        <v>3694</v>
      </c>
      <c r="J1360" s="24" t="s">
        <v>169</v>
      </c>
      <c r="K1360" s="40"/>
      <c r="L1360" s="38"/>
      <c r="M1360" s="44"/>
      <c r="N1360" s="46"/>
      <c r="O1360" s="47"/>
      <c r="P1360" s="50"/>
      <c r="Q1360" s="45"/>
      <c r="R1360" s="25"/>
      <c r="S1360" s="52"/>
    </row>
    <row r="1361" spans="1:19" ht="16.5" customHeight="1" x14ac:dyDescent="0.3">
      <c r="A1361" s="27" t="s">
        <v>487</v>
      </c>
      <c r="B1361" s="28" t="s">
        <v>488</v>
      </c>
      <c r="C1361" s="26" t="s">
        <v>1808</v>
      </c>
      <c r="D1361" s="31" t="s">
        <v>152</v>
      </c>
      <c r="E1361" s="33" t="s">
        <v>3692</v>
      </c>
      <c r="F1361" s="34" t="s">
        <v>1600</v>
      </c>
      <c r="G1361" s="32" t="s">
        <v>3695</v>
      </c>
      <c r="H1361" s="37" t="s">
        <v>593</v>
      </c>
      <c r="I1361" s="39" t="s">
        <v>3696</v>
      </c>
      <c r="J1361" s="24" t="s">
        <v>169</v>
      </c>
      <c r="K1361" s="40"/>
      <c r="L1361" s="38"/>
      <c r="M1361" s="44"/>
      <c r="N1361" s="46"/>
      <c r="O1361" s="47"/>
      <c r="P1361" s="50"/>
      <c r="Q1361" s="45"/>
      <c r="R1361" s="25"/>
      <c r="S1361" s="52"/>
    </row>
    <row r="1362" spans="1:19" ht="16.5" customHeight="1" x14ac:dyDescent="0.3">
      <c r="A1362" s="27" t="s">
        <v>487</v>
      </c>
      <c r="B1362" s="28" t="s">
        <v>488</v>
      </c>
      <c r="C1362" s="26" t="s">
        <v>1808</v>
      </c>
      <c r="D1362" s="31" t="s">
        <v>152</v>
      </c>
      <c r="E1362" s="33" t="s">
        <v>3692</v>
      </c>
      <c r="F1362" s="34" t="s">
        <v>1600</v>
      </c>
      <c r="G1362" s="32" t="s">
        <v>3695</v>
      </c>
      <c r="H1362" s="37" t="s">
        <v>593</v>
      </c>
      <c r="I1362" s="39" t="s">
        <v>3697</v>
      </c>
      <c r="J1362" s="24" t="s">
        <v>169</v>
      </c>
      <c r="K1362" s="40"/>
      <c r="L1362" s="38"/>
      <c r="M1362" s="44"/>
      <c r="N1362" s="46"/>
      <c r="O1362" s="47"/>
      <c r="P1362" s="50"/>
      <c r="Q1362" s="45"/>
      <c r="R1362" s="25"/>
      <c r="S1362" s="52"/>
    </row>
    <row r="1363" spans="1:19" ht="16.5" customHeight="1" x14ac:dyDescent="0.3">
      <c r="A1363" s="27" t="s">
        <v>487</v>
      </c>
      <c r="B1363" s="28" t="s">
        <v>488</v>
      </c>
      <c r="C1363" s="26" t="s">
        <v>1808</v>
      </c>
      <c r="D1363" s="31" t="s">
        <v>152</v>
      </c>
      <c r="E1363" s="33" t="s">
        <v>3692</v>
      </c>
      <c r="F1363" s="34" t="s">
        <v>1600</v>
      </c>
      <c r="G1363" s="32" t="s">
        <v>3698</v>
      </c>
      <c r="H1363" s="37" t="s">
        <v>594</v>
      </c>
      <c r="I1363" s="39"/>
      <c r="J1363" s="24"/>
      <c r="K1363" s="40"/>
      <c r="L1363" s="38"/>
      <c r="M1363" s="44"/>
      <c r="N1363" s="46"/>
      <c r="O1363" s="47"/>
      <c r="P1363" s="50"/>
      <c r="Q1363" s="45"/>
      <c r="R1363" s="25"/>
      <c r="S1363" s="52"/>
    </row>
    <row r="1364" spans="1:19" ht="16.5" customHeight="1" x14ac:dyDescent="0.3">
      <c r="A1364" s="27" t="s">
        <v>487</v>
      </c>
      <c r="B1364" s="28" t="s">
        <v>488</v>
      </c>
      <c r="C1364" s="26" t="s">
        <v>1808</v>
      </c>
      <c r="D1364" s="31" t="s">
        <v>152</v>
      </c>
      <c r="E1364" s="33" t="s">
        <v>3699</v>
      </c>
      <c r="F1364" s="34" t="s">
        <v>1622</v>
      </c>
      <c r="G1364" s="32" t="s">
        <v>3700</v>
      </c>
      <c r="H1364" s="37" t="s">
        <v>1464</v>
      </c>
      <c r="I1364" s="39" t="s">
        <v>3701</v>
      </c>
      <c r="J1364" s="24" t="s">
        <v>1357</v>
      </c>
      <c r="K1364" s="40"/>
      <c r="L1364" s="38" t="s">
        <v>3702</v>
      </c>
      <c r="M1364" s="44" t="s">
        <v>123</v>
      </c>
      <c r="N1364" s="46" t="s">
        <v>3703</v>
      </c>
      <c r="O1364" s="47" t="s">
        <v>1799</v>
      </c>
      <c r="P1364" s="50"/>
      <c r="Q1364" s="45"/>
      <c r="R1364" s="25"/>
      <c r="S1364" s="52"/>
    </row>
    <row r="1365" spans="1:19" ht="16.5" customHeight="1" x14ac:dyDescent="0.3">
      <c r="A1365" s="27" t="s">
        <v>487</v>
      </c>
      <c r="B1365" s="28" t="s">
        <v>488</v>
      </c>
      <c r="C1365" s="26" t="s">
        <v>1808</v>
      </c>
      <c r="D1365" s="31" t="s">
        <v>152</v>
      </c>
      <c r="E1365" s="33" t="s">
        <v>3699</v>
      </c>
      <c r="F1365" s="34" t="s">
        <v>1622</v>
      </c>
      <c r="G1365" s="32" t="s">
        <v>3700</v>
      </c>
      <c r="H1365" s="37" t="s">
        <v>1464</v>
      </c>
      <c r="I1365" s="39" t="s">
        <v>3701</v>
      </c>
      <c r="J1365" s="24" t="s">
        <v>1357</v>
      </c>
      <c r="K1365" s="40"/>
      <c r="L1365" s="38" t="s">
        <v>3702</v>
      </c>
      <c r="M1365" s="44" t="s">
        <v>123</v>
      </c>
      <c r="N1365" s="46" t="s">
        <v>3704</v>
      </c>
      <c r="O1365" s="47" t="s">
        <v>1359</v>
      </c>
      <c r="P1365" s="50"/>
      <c r="Q1365" s="45"/>
      <c r="R1365" s="25"/>
      <c r="S1365" s="52"/>
    </row>
    <row r="1366" spans="1:19" ht="16.5" customHeight="1" x14ac:dyDescent="0.3">
      <c r="A1366" s="27" t="s">
        <v>487</v>
      </c>
      <c r="B1366" s="28" t="s">
        <v>488</v>
      </c>
      <c r="C1366" s="26" t="s">
        <v>1808</v>
      </c>
      <c r="D1366" s="31" t="s">
        <v>152</v>
      </c>
      <c r="E1366" s="33" t="s">
        <v>3699</v>
      </c>
      <c r="F1366" s="34" t="s">
        <v>1622</v>
      </c>
      <c r="G1366" s="32" t="s">
        <v>3700</v>
      </c>
      <c r="H1366" s="37" t="s">
        <v>1464</v>
      </c>
      <c r="I1366" s="39" t="s">
        <v>3701</v>
      </c>
      <c r="J1366" s="24" t="s">
        <v>1357</v>
      </c>
      <c r="K1366" s="40"/>
      <c r="L1366" s="38" t="s">
        <v>3702</v>
      </c>
      <c r="M1366" s="44" t="s">
        <v>123</v>
      </c>
      <c r="N1366" s="46" t="s">
        <v>3705</v>
      </c>
      <c r="O1366" s="47" t="s">
        <v>1489</v>
      </c>
      <c r="P1366" s="50"/>
      <c r="Q1366" s="45"/>
      <c r="R1366" s="25"/>
      <c r="S1366" s="52"/>
    </row>
    <row r="1367" spans="1:19" ht="16.5" customHeight="1" x14ac:dyDescent="0.3">
      <c r="A1367" s="27" t="s">
        <v>487</v>
      </c>
      <c r="B1367" s="28" t="s">
        <v>488</v>
      </c>
      <c r="C1367" s="26" t="s">
        <v>1808</v>
      </c>
      <c r="D1367" s="31" t="s">
        <v>152</v>
      </c>
      <c r="E1367" s="33" t="s">
        <v>3699</v>
      </c>
      <c r="F1367" s="34" t="s">
        <v>1622</v>
      </c>
      <c r="G1367" s="32" t="s">
        <v>3700</v>
      </c>
      <c r="H1367" s="37" t="s">
        <v>1464</v>
      </c>
      <c r="I1367" s="39" t="s">
        <v>3701</v>
      </c>
      <c r="J1367" s="24" t="s">
        <v>1357</v>
      </c>
      <c r="K1367" s="40"/>
      <c r="L1367" s="38" t="s">
        <v>3702</v>
      </c>
      <c r="M1367" s="44" t="s">
        <v>123</v>
      </c>
      <c r="N1367" s="46" t="s">
        <v>3706</v>
      </c>
      <c r="O1367" s="47" t="s">
        <v>1362</v>
      </c>
      <c r="P1367" s="50"/>
      <c r="Q1367" s="45"/>
      <c r="R1367" s="25"/>
      <c r="S1367" s="52"/>
    </row>
    <row r="1368" spans="1:19" ht="16.5" customHeight="1" x14ac:dyDescent="0.3">
      <c r="A1368" s="27" t="s">
        <v>487</v>
      </c>
      <c r="B1368" s="28" t="s">
        <v>488</v>
      </c>
      <c r="C1368" s="26" t="s">
        <v>1808</v>
      </c>
      <c r="D1368" s="31" t="s">
        <v>152</v>
      </c>
      <c r="E1368" s="33" t="s">
        <v>3699</v>
      </c>
      <c r="F1368" s="34" t="s">
        <v>1622</v>
      </c>
      <c r="G1368" s="32" t="s">
        <v>3700</v>
      </c>
      <c r="H1368" s="37" t="s">
        <v>1464</v>
      </c>
      <c r="I1368" s="39" t="s">
        <v>3701</v>
      </c>
      <c r="J1368" s="24" t="s">
        <v>1357</v>
      </c>
      <c r="K1368" s="40"/>
      <c r="L1368" s="38" t="s">
        <v>3702</v>
      </c>
      <c r="M1368" s="44" t="s">
        <v>123</v>
      </c>
      <c r="N1368" s="46" t="s">
        <v>3707</v>
      </c>
      <c r="O1368" s="47" t="s">
        <v>1801</v>
      </c>
      <c r="P1368" s="50"/>
      <c r="Q1368" s="45"/>
      <c r="R1368" s="25"/>
      <c r="S1368" s="52"/>
    </row>
    <row r="1369" spans="1:19" ht="16.5" customHeight="1" x14ac:dyDescent="0.3">
      <c r="A1369" s="27" t="s">
        <v>487</v>
      </c>
      <c r="B1369" s="28" t="s">
        <v>488</v>
      </c>
      <c r="C1369" s="26" t="s">
        <v>1808</v>
      </c>
      <c r="D1369" s="31" t="s">
        <v>152</v>
      </c>
      <c r="E1369" s="33" t="s">
        <v>3699</v>
      </c>
      <c r="F1369" s="34" t="s">
        <v>1622</v>
      </c>
      <c r="G1369" s="32" t="s">
        <v>3700</v>
      </c>
      <c r="H1369" s="37" t="s">
        <v>1464</v>
      </c>
      <c r="I1369" s="39" t="s">
        <v>3701</v>
      </c>
      <c r="J1369" s="24" t="s">
        <v>1357</v>
      </c>
      <c r="K1369" s="40"/>
      <c r="L1369" s="38" t="s">
        <v>3702</v>
      </c>
      <c r="M1369" s="44" t="s">
        <v>123</v>
      </c>
      <c r="N1369" s="46" t="s">
        <v>3708</v>
      </c>
      <c r="O1369" s="47" t="s">
        <v>1800</v>
      </c>
      <c r="P1369" s="50"/>
      <c r="Q1369" s="45"/>
      <c r="R1369" s="25"/>
      <c r="S1369" s="52"/>
    </row>
    <row r="1370" spans="1:19" ht="16.5" customHeight="1" x14ac:dyDescent="0.3">
      <c r="A1370" s="27" t="s">
        <v>487</v>
      </c>
      <c r="B1370" s="28" t="s">
        <v>488</v>
      </c>
      <c r="C1370" s="26" t="s">
        <v>1808</v>
      </c>
      <c r="D1370" s="31" t="s">
        <v>152</v>
      </c>
      <c r="E1370" s="33" t="s">
        <v>3699</v>
      </c>
      <c r="F1370" s="34" t="s">
        <v>1622</v>
      </c>
      <c r="G1370" s="32" t="s">
        <v>3700</v>
      </c>
      <c r="H1370" s="37" t="s">
        <v>1464</v>
      </c>
      <c r="I1370" s="39" t="s">
        <v>3701</v>
      </c>
      <c r="J1370" s="24" t="s">
        <v>1357</v>
      </c>
      <c r="K1370" s="40"/>
      <c r="L1370" s="38" t="s">
        <v>3702</v>
      </c>
      <c r="M1370" s="44" t="s">
        <v>123</v>
      </c>
      <c r="N1370" s="46" t="s">
        <v>3709</v>
      </c>
      <c r="O1370" s="47" t="s">
        <v>1491</v>
      </c>
      <c r="P1370" s="50"/>
      <c r="Q1370" s="45"/>
      <c r="R1370" s="25"/>
      <c r="S1370" s="52"/>
    </row>
    <row r="1371" spans="1:19" ht="16.5" customHeight="1" x14ac:dyDescent="0.3">
      <c r="A1371" s="27" t="s">
        <v>487</v>
      </c>
      <c r="B1371" s="28" t="s">
        <v>488</v>
      </c>
      <c r="C1371" s="26" t="s">
        <v>1808</v>
      </c>
      <c r="D1371" s="31" t="s">
        <v>152</v>
      </c>
      <c r="E1371" s="33" t="s">
        <v>3699</v>
      </c>
      <c r="F1371" s="34" t="s">
        <v>1622</v>
      </c>
      <c r="G1371" s="32" t="s">
        <v>3700</v>
      </c>
      <c r="H1371" s="37" t="s">
        <v>1464</v>
      </c>
      <c r="I1371" s="39" t="s">
        <v>3701</v>
      </c>
      <c r="J1371" s="24" t="s">
        <v>1357</v>
      </c>
      <c r="K1371" s="40"/>
      <c r="L1371" s="38" t="s">
        <v>3702</v>
      </c>
      <c r="M1371" s="44" t="s">
        <v>123</v>
      </c>
      <c r="N1371" s="46" t="s">
        <v>3710</v>
      </c>
      <c r="O1371" s="47" t="s">
        <v>1492</v>
      </c>
      <c r="P1371" s="50"/>
      <c r="Q1371" s="45"/>
      <c r="R1371" s="25"/>
      <c r="S1371" s="52"/>
    </row>
    <row r="1372" spans="1:19" ht="16.5" customHeight="1" x14ac:dyDescent="0.3">
      <c r="A1372" s="27" t="s">
        <v>487</v>
      </c>
      <c r="B1372" s="28" t="s">
        <v>488</v>
      </c>
      <c r="C1372" s="26" t="s">
        <v>1808</v>
      </c>
      <c r="D1372" s="31" t="s">
        <v>152</v>
      </c>
      <c r="E1372" s="33" t="s">
        <v>3699</v>
      </c>
      <c r="F1372" s="34" t="s">
        <v>1622</v>
      </c>
      <c r="G1372" s="32" t="s">
        <v>3700</v>
      </c>
      <c r="H1372" s="37" t="s">
        <v>1464</v>
      </c>
      <c r="I1372" s="39" t="s">
        <v>3701</v>
      </c>
      <c r="J1372" s="24" t="s">
        <v>1357</v>
      </c>
      <c r="K1372" s="40"/>
      <c r="L1372" s="38" t="s">
        <v>3702</v>
      </c>
      <c r="M1372" s="44" t="s">
        <v>123</v>
      </c>
      <c r="N1372" s="46" t="s">
        <v>3711</v>
      </c>
      <c r="O1372" s="47" t="s">
        <v>1367</v>
      </c>
      <c r="P1372" s="50"/>
      <c r="Q1372" s="45"/>
      <c r="R1372" s="25"/>
      <c r="S1372" s="52"/>
    </row>
    <row r="1373" spans="1:19" ht="16.5" customHeight="1" x14ac:dyDescent="0.3">
      <c r="A1373" s="27" t="s">
        <v>487</v>
      </c>
      <c r="B1373" s="28" t="s">
        <v>488</v>
      </c>
      <c r="C1373" s="26" t="s">
        <v>1808</v>
      </c>
      <c r="D1373" s="31" t="s">
        <v>152</v>
      </c>
      <c r="E1373" s="33" t="s">
        <v>3699</v>
      </c>
      <c r="F1373" s="34" t="s">
        <v>1622</v>
      </c>
      <c r="G1373" s="32" t="s">
        <v>3700</v>
      </c>
      <c r="H1373" s="37" t="s">
        <v>1464</v>
      </c>
      <c r="I1373" s="39" t="s">
        <v>3701</v>
      </c>
      <c r="J1373" s="24" t="s">
        <v>1357</v>
      </c>
      <c r="K1373" s="40"/>
      <c r="L1373" s="38" t="s">
        <v>3702</v>
      </c>
      <c r="M1373" s="44" t="s">
        <v>123</v>
      </c>
      <c r="N1373" s="46" t="s">
        <v>3712</v>
      </c>
      <c r="O1373" s="47" t="s">
        <v>1493</v>
      </c>
      <c r="P1373" s="50"/>
      <c r="Q1373" s="45"/>
      <c r="R1373" s="25"/>
      <c r="S1373" s="52"/>
    </row>
    <row r="1374" spans="1:19" ht="16.5" customHeight="1" x14ac:dyDescent="0.3">
      <c r="A1374" s="27" t="s">
        <v>487</v>
      </c>
      <c r="B1374" s="28" t="s">
        <v>488</v>
      </c>
      <c r="C1374" s="26" t="s">
        <v>1808</v>
      </c>
      <c r="D1374" s="31" t="s">
        <v>152</v>
      </c>
      <c r="E1374" s="33" t="s">
        <v>3699</v>
      </c>
      <c r="F1374" s="34" t="s">
        <v>1622</v>
      </c>
      <c r="G1374" s="32" t="s">
        <v>3700</v>
      </c>
      <c r="H1374" s="37" t="s">
        <v>1464</v>
      </c>
      <c r="I1374" s="39" t="s">
        <v>3701</v>
      </c>
      <c r="J1374" s="24" t="s">
        <v>1357</v>
      </c>
      <c r="K1374" s="40"/>
      <c r="L1374" s="38" t="s">
        <v>3702</v>
      </c>
      <c r="M1374" s="44" t="s">
        <v>123</v>
      </c>
      <c r="N1374" s="46" t="s">
        <v>3713</v>
      </c>
      <c r="O1374" s="47" t="s">
        <v>1495</v>
      </c>
      <c r="P1374" s="50"/>
      <c r="Q1374" s="45"/>
      <c r="R1374" s="25"/>
      <c r="S1374" s="52"/>
    </row>
    <row r="1375" spans="1:19" ht="16.5" customHeight="1" x14ac:dyDescent="0.3">
      <c r="A1375" s="27" t="s">
        <v>487</v>
      </c>
      <c r="B1375" s="28" t="s">
        <v>488</v>
      </c>
      <c r="C1375" s="26" t="s">
        <v>1808</v>
      </c>
      <c r="D1375" s="31" t="s">
        <v>152</v>
      </c>
      <c r="E1375" s="33" t="s">
        <v>3699</v>
      </c>
      <c r="F1375" s="34" t="s">
        <v>1622</v>
      </c>
      <c r="G1375" s="32" t="s">
        <v>3700</v>
      </c>
      <c r="H1375" s="37" t="s">
        <v>1464</v>
      </c>
      <c r="I1375" s="39" t="s">
        <v>3701</v>
      </c>
      <c r="J1375" s="24" t="s">
        <v>1357</v>
      </c>
      <c r="K1375" s="40"/>
      <c r="L1375" s="38" t="s">
        <v>3702</v>
      </c>
      <c r="M1375" s="44" t="s">
        <v>123</v>
      </c>
      <c r="N1375" s="46" t="s">
        <v>3714</v>
      </c>
      <c r="O1375" s="47" t="s">
        <v>1371</v>
      </c>
      <c r="P1375" s="50"/>
      <c r="Q1375" s="45"/>
      <c r="R1375" s="25"/>
      <c r="S1375" s="52"/>
    </row>
    <row r="1376" spans="1:19" ht="16.5" customHeight="1" x14ac:dyDescent="0.3">
      <c r="A1376" s="27" t="s">
        <v>487</v>
      </c>
      <c r="B1376" s="28" t="s">
        <v>488</v>
      </c>
      <c r="C1376" s="26" t="s">
        <v>1808</v>
      </c>
      <c r="D1376" s="31" t="s">
        <v>152</v>
      </c>
      <c r="E1376" s="33" t="s">
        <v>3699</v>
      </c>
      <c r="F1376" s="34" t="s">
        <v>1622</v>
      </c>
      <c r="G1376" s="32" t="s">
        <v>3700</v>
      </c>
      <c r="H1376" s="37" t="s">
        <v>1464</v>
      </c>
      <c r="I1376" s="39" t="s">
        <v>3701</v>
      </c>
      <c r="J1376" s="24" t="s">
        <v>1357</v>
      </c>
      <c r="K1376" s="40"/>
      <c r="L1376" s="38" t="s">
        <v>3702</v>
      </c>
      <c r="M1376" s="44" t="s">
        <v>123</v>
      </c>
      <c r="N1376" s="46" t="s">
        <v>3715</v>
      </c>
      <c r="O1376" s="47" t="s">
        <v>1496</v>
      </c>
      <c r="P1376" s="50"/>
      <c r="Q1376" s="45"/>
      <c r="R1376" s="25"/>
      <c r="S1376" s="52"/>
    </row>
    <row r="1377" spans="1:19" ht="16.5" customHeight="1" x14ac:dyDescent="0.3">
      <c r="A1377" s="27" t="s">
        <v>487</v>
      </c>
      <c r="B1377" s="28" t="s">
        <v>488</v>
      </c>
      <c r="C1377" s="26" t="s">
        <v>1808</v>
      </c>
      <c r="D1377" s="31" t="s">
        <v>152</v>
      </c>
      <c r="E1377" s="33" t="s">
        <v>3699</v>
      </c>
      <c r="F1377" s="34" t="s">
        <v>1622</v>
      </c>
      <c r="G1377" s="32" t="s">
        <v>3700</v>
      </c>
      <c r="H1377" s="37" t="s">
        <v>1464</v>
      </c>
      <c r="I1377" s="39" t="s">
        <v>3701</v>
      </c>
      <c r="J1377" s="24" t="s">
        <v>1357</v>
      </c>
      <c r="K1377" s="40"/>
      <c r="L1377" s="38" t="s">
        <v>3702</v>
      </c>
      <c r="M1377" s="44" t="s">
        <v>123</v>
      </c>
      <c r="N1377" s="46" t="s">
        <v>3716</v>
      </c>
      <c r="O1377" s="47" t="s">
        <v>1494</v>
      </c>
      <c r="P1377" s="50"/>
      <c r="Q1377" s="45"/>
      <c r="R1377" s="25"/>
      <c r="S1377" s="52"/>
    </row>
    <row r="1378" spans="1:19" ht="16.5" customHeight="1" x14ac:dyDescent="0.3">
      <c r="A1378" s="27" t="s">
        <v>487</v>
      </c>
      <c r="B1378" s="28" t="s">
        <v>488</v>
      </c>
      <c r="C1378" s="26" t="s">
        <v>1808</v>
      </c>
      <c r="D1378" s="31" t="s">
        <v>152</v>
      </c>
      <c r="E1378" s="33" t="s">
        <v>3699</v>
      </c>
      <c r="F1378" s="34" t="s">
        <v>1622</v>
      </c>
      <c r="G1378" s="32" t="s">
        <v>3700</v>
      </c>
      <c r="H1378" s="37" t="s">
        <v>1464</v>
      </c>
      <c r="I1378" s="39" t="s">
        <v>3701</v>
      </c>
      <c r="J1378" s="24" t="s">
        <v>1357</v>
      </c>
      <c r="K1378" s="40"/>
      <c r="L1378" s="38" t="s">
        <v>3702</v>
      </c>
      <c r="M1378" s="44" t="s">
        <v>123</v>
      </c>
      <c r="N1378" s="46" t="s">
        <v>3717</v>
      </c>
      <c r="O1378" s="47" t="s">
        <v>1497</v>
      </c>
      <c r="P1378" s="50"/>
      <c r="Q1378" s="45"/>
      <c r="R1378" s="25"/>
      <c r="S1378" s="52"/>
    </row>
    <row r="1379" spans="1:19" ht="16.5" customHeight="1" x14ac:dyDescent="0.3">
      <c r="A1379" s="27" t="s">
        <v>487</v>
      </c>
      <c r="B1379" s="28" t="s">
        <v>488</v>
      </c>
      <c r="C1379" s="26" t="s">
        <v>1808</v>
      </c>
      <c r="D1379" s="31" t="s">
        <v>152</v>
      </c>
      <c r="E1379" s="33" t="s">
        <v>3699</v>
      </c>
      <c r="F1379" s="34" t="s">
        <v>1622</v>
      </c>
      <c r="G1379" s="32" t="s">
        <v>3700</v>
      </c>
      <c r="H1379" s="37" t="s">
        <v>1464</v>
      </c>
      <c r="I1379" s="39" t="s">
        <v>3701</v>
      </c>
      <c r="J1379" s="24" t="s">
        <v>1357</v>
      </c>
      <c r="K1379" s="40"/>
      <c r="L1379" s="38" t="s">
        <v>3702</v>
      </c>
      <c r="M1379" s="44" t="s">
        <v>123</v>
      </c>
      <c r="N1379" s="46" t="s">
        <v>3718</v>
      </c>
      <c r="O1379" s="47" t="s">
        <v>1374</v>
      </c>
      <c r="P1379" s="50"/>
      <c r="Q1379" s="45"/>
      <c r="R1379" s="25"/>
      <c r="S1379" s="52"/>
    </row>
    <row r="1380" spans="1:19" ht="16.5" customHeight="1" x14ac:dyDescent="0.3">
      <c r="A1380" s="27" t="s">
        <v>487</v>
      </c>
      <c r="B1380" s="28" t="s">
        <v>488</v>
      </c>
      <c r="C1380" s="26" t="s">
        <v>1808</v>
      </c>
      <c r="D1380" s="31" t="s">
        <v>152</v>
      </c>
      <c r="E1380" s="33" t="s">
        <v>3699</v>
      </c>
      <c r="F1380" s="34" t="s">
        <v>1622</v>
      </c>
      <c r="G1380" s="32" t="s">
        <v>3700</v>
      </c>
      <c r="H1380" s="37" t="s">
        <v>1464</v>
      </c>
      <c r="I1380" s="39" t="s">
        <v>3701</v>
      </c>
      <c r="J1380" s="24" t="s">
        <v>1357</v>
      </c>
      <c r="K1380" s="40"/>
      <c r="L1380" s="38" t="s">
        <v>3702</v>
      </c>
      <c r="M1380" s="44" t="s">
        <v>123</v>
      </c>
      <c r="N1380" s="46" t="s">
        <v>3719</v>
      </c>
      <c r="O1380" s="47" t="s">
        <v>1376</v>
      </c>
      <c r="P1380" s="50"/>
      <c r="Q1380" s="45"/>
      <c r="R1380" s="25"/>
      <c r="S1380" s="52"/>
    </row>
    <row r="1381" spans="1:19" ht="16.5" customHeight="1" x14ac:dyDescent="0.3">
      <c r="A1381" s="27" t="s">
        <v>487</v>
      </c>
      <c r="B1381" s="28" t="s">
        <v>488</v>
      </c>
      <c r="C1381" s="26" t="s">
        <v>1808</v>
      </c>
      <c r="D1381" s="31" t="s">
        <v>152</v>
      </c>
      <c r="E1381" s="33" t="s">
        <v>3699</v>
      </c>
      <c r="F1381" s="34" t="s">
        <v>1622</v>
      </c>
      <c r="G1381" s="32" t="s">
        <v>3700</v>
      </c>
      <c r="H1381" s="37" t="s">
        <v>1464</v>
      </c>
      <c r="I1381" s="39" t="s">
        <v>3701</v>
      </c>
      <c r="J1381" s="24" t="s">
        <v>1357</v>
      </c>
      <c r="K1381" s="40"/>
      <c r="L1381" s="38" t="s">
        <v>3702</v>
      </c>
      <c r="M1381" s="44" t="s">
        <v>123</v>
      </c>
      <c r="N1381" s="46" t="s">
        <v>3720</v>
      </c>
      <c r="O1381" s="47" t="s">
        <v>1378</v>
      </c>
      <c r="P1381" s="50"/>
      <c r="Q1381" s="45"/>
      <c r="R1381" s="25"/>
      <c r="S1381" s="52"/>
    </row>
    <row r="1382" spans="1:19" ht="16.5" customHeight="1" x14ac:dyDescent="0.3">
      <c r="A1382" s="27" t="s">
        <v>487</v>
      </c>
      <c r="B1382" s="28" t="s">
        <v>488</v>
      </c>
      <c r="C1382" s="26" t="s">
        <v>1808</v>
      </c>
      <c r="D1382" s="31" t="s">
        <v>152</v>
      </c>
      <c r="E1382" s="33" t="s">
        <v>3699</v>
      </c>
      <c r="F1382" s="34" t="s">
        <v>1622</v>
      </c>
      <c r="G1382" s="32" t="s">
        <v>3700</v>
      </c>
      <c r="H1382" s="37" t="s">
        <v>1464</v>
      </c>
      <c r="I1382" s="39" t="s">
        <v>3701</v>
      </c>
      <c r="J1382" s="24" t="s">
        <v>1357</v>
      </c>
      <c r="K1382" s="40"/>
      <c r="L1382" s="38" t="s">
        <v>3702</v>
      </c>
      <c r="M1382" s="44" t="s">
        <v>123</v>
      </c>
      <c r="N1382" s="46" t="s">
        <v>3721</v>
      </c>
      <c r="O1382" s="47" t="s">
        <v>1380</v>
      </c>
      <c r="P1382" s="50"/>
      <c r="Q1382" s="45"/>
      <c r="R1382" s="25"/>
      <c r="S1382" s="52"/>
    </row>
    <row r="1383" spans="1:19" ht="16.5" customHeight="1" x14ac:dyDescent="0.3">
      <c r="A1383" s="27" t="s">
        <v>487</v>
      </c>
      <c r="B1383" s="28" t="s">
        <v>488</v>
      </c>
      <c r="C1383" s="26" t="s">
        <v>1808</v>
      </c>
      <c r="D1383" s="31" t="s">
        <v>152</v>
      </c>
      <c r="E1383" s="33" t="s">
        <v>3699</v>
      </c>
      <c r="F1383" s="34" t="s">
        <v>1622</v>
      </c>
      <c r="G1383" s="32" t="s">
        <v>3700</v>
      </c>
      <c r="H1383" s="37" t="s">
        <v>1464</v>
      </c>
      <c r="I1383" s="39" t="s">
        <v>3701</v>
      </c>
      <c r="J1383" s="24" t="s">
        <v>1357</v>
      </c>
      <c r="K1383" s="40"/>
      <c r="L1383" s="38" t="s">
        <v>3702</v>
      </c>
      <c r="M1383" s="44" t="s">
        <v>123</v>
      </c>
      <c r="N1383" s="46" t="s">
        <v>3722</v>
      </c>
      <c r="O1383" s="47" t="s">
        <v>1382</v>
      </c>
      <c r="P1383" s="50"/>
      <c r="Q1383" s="45"/>
      <c r="R1383" s="25"/>
      <c r="S1383" s="52"/>
    </row>
    <row r="1384" spans="1:19" ht="16.5" customHeight="1" x14ac:dyDescent="0.3">
      <c r="A1384" s="27" t="s">
        <v>487</v>
      </c>
      <c r="B1384" s="28" t="s">
        <v>488</v>
      </c>
      <c r="C1384" s="26" t="s">
        <v>1808</v>
      </c>
      <c r="D1384" s="31" t="s">
        <v>152</v>
      </c>
      <c r="E1384" s="33" t="s">
        <v>3699</v>
      </c>
      <c r="F1384" s="34" t="s">
        <v>1622</v>
      </c>
      <c r="G1384" s="32" t="s">
        <v>3700</v>
      </c>
      <c r="H1384" s="37" t="s">
        <v>1464</v>
      </c>
      <c r="I1384" s="39" t="s">
        <v>3701</v>
      </c>
      <c r="J1384" s="24" t="s">
        <v>1357</v>
      </c>
      <c r="K1384" s="40"/>
      <c r="L1384" s="38" t="s">
        <v>3702</v>
      </c>
      <c r="M1384" s="44" t="s">
        <v>123</v>
      </c>
      <c r="N1384" s="46" t="s">
        <v>3723</v>
      </c>
      <c r="O1384" s="47" t="s">
        <v>1384</v>
      </c>
      <c r="P1384" s="50"/>
      <c r="Q1384" s="45"/>
      <c r="R1384" s="25"/>
      <c r="S1384" s="52"/>
    </row>
    <row r="1385" spans="1:19" ht="16.5" customHeight="1" x14ac:dyDescent="0.3">
      <c r="A1385" s="27" t="s">
        <v>487</v>
      </c>
      <c r="B1385" s="28" t="s">
        <v>488</v>
      </c>
      <c r="C1385" s="26" t="s">
        <v>1808</v>
      </c>
      <c r="D1385" s="31" t="s">
        <v>152</v>
      </c>
      <c r="E1385" s="33" t="s">
        <v>3699</v>
      </c>
      <c r="F1385" s="34" t="s">
        <v>1622</v>
      </c>
      <c r="G1385" s="32" t="s">
        <v>3700</v>
      </c>
      <c r="H1385" s="37" t="s">
        <v>1464</v>
      </c>
      <c r="I1385" s="39" t="s">
        <v>3701</v>
      </c>
      <c r="J1385" s="24" t="s">
        <v>1357</v>
      </c>
      <c r="K1385" s="40"/>
      <c r="L1385" s="38" t="s">
        <v>3702</v>
      </c>
      <c r="M1385" s="44" t="s">
        <v>123</v>
      </c>
      <c r="N1385" s="46" t="s">
        <v>3724</v>
      </c>
      <c r="O1385" s="47" t="s">
        <v>1386</v>
      </c>
      <c r="P1385" s="50"/>
      <c r="Q1385" s="45"/>
      <c r="R1385" s="25"/>
      <c r="S1385" s="52"/>
    </row>
    <row r="1386" spans="1:19" ht="16.5" customHeight="1" x14ac:dyDescent="0.3">
      <c r="A1386" s="27" t="s">
        <v>487</v>
      </c>
      <c r="B1386" s="28" t="s">
        <v>488</v>
      </c>
      <c r="C1386" s="26" t="s">
        <v>1808</v>
      </c>
      <c r="D1386" s="31" t="s">
        <v>152</v>
      </c>
      <c r="E1386" s="33" t="s">
        <v>3699</v>
      </c>
      <c r="F1386" s="34" t="s">
        <v>1622</v>
      </c>
      <c r="G1386" s="32" t="s">
        <v>3700</v>
      </c>
      <c r="H1386" s="37" t="s">
        <v>1464</v>
      </c>
      <c r="I1386" s="39" t="s">
        <v>3701</v>
      </c>
      <c r="J1386" s="24" t="s">
        <v>1357</v>
      </c>
      <c r="K1386" s="40"/>
      <c r="L1386" s="38" t="s">
        <v>3702</v>
      </c>
      <c r="M1386" s="44" t="s">
        <v>123</v>
      </c>
      <c r="N1386" s="46" t="s">
        <v>3725</v>
      </c>
      <c r="O1386" s="47" t="s">
        <v>1386</v>
      </c>
      <c r="P1386" s="50"/>
      <c r="Q1386" s="45"/>
      <c r="R1386" s="25"/>
      <c r="S1386" s="52"/>
    </row>
    <row r="1387" spans="1:19" ht="16.5" customHeight="1" x14ac:dyDescent="0.3">
      <c r="A1387" s="27" t="s">
        <v>487</v>
      </c>
      <c r="B1387" s="28" t="s">
        <v>488</v>
      </c>
      <c r="C1387" s="26" t="s">
        <v>1808</v>
      </c>
      <c r="D1387" s="31" t="s">
        <v>152</v>
      </c>
      <c r="E1387" s="33" t="s">
        <v>3699</v>
      </c>
      <c r="F1387" s="34" t="s">
        <v>1622</v>
      </c>
      <c r="G1387" s="32" t="s">
        <v>3700</v>
      </c>
      <c r="H1387" s="37" t="s">
        <v>1464</v>
      </c>
      <c r="I1387" s="39" t="s">
        <v>3701</v>
      </c>
      <c r="J1387" s="24" t="s">
        <v>1357</v>
      </c>
      <c r="K1387" s="40"/>
      <c r="L1387" s="38" t="s">
        <v>3702</v>
      </c>
      <c r="M1387" s="44" t="s">
        <v>123</v>
      </c>
      <c r="N1387" s="46" t="s">
        <v>3715</v>
      </c>
      <c r="O1387" s="47" t="s">
        <v>1389</v>
      </c>
      <c r="P1387" s="50"/>
      <c r="Q1387" s="45"/>
      <c r="R1387" s="25"/>
      <c r="S1387" s="52"/>
    </row>
    <row r="1388" spans="1:19" ht="16.5" customHeight="1" x14ac:dyDescent="0.3">
      <c r="A1388" s="27" t="s">
        <v>487</v>
      </c>
      <c r="B1388" s="28" t="s">
        <v>488</v>
      </c>
      <c r="C1388" s="26" t="s">
        <v>1808</v>
      </c>
      <c r="D1388" s="31" t="s">
        <v>152</v>
      </c>
      <c r="E1388" s="33" t="s">
        <v>3699</v>
      </c>
      <c r="F1388" s="34" t="s">
        <v>1622</v>
      </c>
      <c r="G1388" s="32" t="s">
        <v>3700</v>
      </c>
      <c r="H1388" s="37" t="s">
        <v>1464</v>
      </c>
      <c r="I1388" s="39" t="s">
        <v>3701</v>
      </c>
      <c r="J1388" s="24" t="s">
        <v>1357</v>
      </c>
      <c r="K1388" s="40"/>
      <c r="L1388" s="38" t="s">
        <v>3702</v>
      </c>
      <c r="M1388" s="44" t="s">
        <v>123</v>
      </c>
      <c r="N1388" s="46" t="s">
        <v>3726</v>
      </c>
      <c r="O1388" s="47" t="s">
        <v>1391</v>
      </c>
      <c r="P1388" s="50"/>
      <c r="Q1388" s="45"/>
      <c r="R1388" s="25"/>
      <c r="S1388" s="52"/>
    </row>
    <row r="1389" spans="1:19" ht="16.5" customHeight="1" x14ac:dyDescent="0.3">
      <c r="A1389" s="27" t="s">
        <v>487</v>
      </c>
      <c r="B1389" s="28" t="s">
        <v>488</v>
      </c>
      <c r="C1389" s="26" t="s">
        <v>1808</v>
      </c>
      <c r="D1389" s="31" t="s">
        <v>152</v>
      </c>
      <c r="E1389" s="33" t="s">
        <v>3699</v>
      </c>
      <c r="F1389" s="34" t="s">
        <v>1622</v>
      </c>
      <c r="G1389" s="32" t="s">
        <v>3700</v>
      </c>
      <c r="H1389" s="37" t="s">
        <v>1464</v>
      </c>
      <c r="I1389" s="39" t="s">
        <v>3701</v>
      </c>
      <c r="J1389" s="24" t="s">
        <v>1357</v>
      </c>
      <c r="K1389" s="40"/>
      <c r="L1389" s="38" t="s">
        <v>3702</v>
      </c>
      <c r="M1389" s="44" t="s">
        <v>123</v>
      </c>
      <c r="N1389" s="46" t="s">
        <v>3727</v>
      </c>
      <c r="O1389" s="47" t="s">
        <v>1391</v>
      </c>
      <c r="P1389" s="50"/>
      <c r="Q1389" s="45"/>
      <c r="R1389" s="25"/>
      <c r="S1389" s="52"/>
    </row>
    <row r="1390" spans="1:19" ht="16.5" customHeight="1" x14ac:dyDescent="0.3">
      <c r="A1390" s="27" t="s">
        <v>487</v>
      </c>
      <c r="B1390" s="28" t="s">
        <v>488</v>
      </c>
      <c r="C1390" s="26" t="s">
        <v>1808</v>
      </c>
      <c r="D1390" s="31" t="s">
        <v>152</v>
      </c>
      <c r="E1390" s="33" t="s">
        <v>3699</v>
      </c>
      <c r="F1390" s="34" t="s">
        <v>1622</v>
      </c>
      <c r="G1390" s="32" t="s">
        <v>3700</v>
      </c>
      <c r="H1390" s="37" t="s">
        <v>1464</v>
      </c>
      <c r="I1390" s="39" t="s">
        <v>3701</v>
      </c>
      <c r="J1390" s="24" t="s">
        <v>1357</v>
      </c>
      <c r="K1390" s="40"/>
      <c r="L1390" s="38" t="s">
        <v>3702</v>
      </c>
      <c r="M1390" s="44" t="s">
        <v>123</v>
      </c>
      <c r="N1390" s="46" t="s">
        <v>3728</v>
      </c>
      <c r="O1390" s="47" t="s">
        <v>1394</v>
      </c>
      <c r="P1390" s="50"/>
      <c r="Q1390" s="45"/>
      <c r="R1390" s="25"/>
      <c r="S1390" s="52"/>
    </row>
    <row r="1391" spans="1:19" ht="16.5" customHeight="1" x14ac:dyDescent="0.3">
      <c r="A1391" s="27" t="s">
        <v>487</v>
      </c>
      <c r="B1391" s="28" t="s">
        <v>488</v>
      </c>
      <c r="C1391" s="26" t="s">
        <v>1808</v>
      </c>
      <c r="D1391" s="31" t="s">
        <v>152</v>
      </c>
      <c r="E1391" s="33" t="s">
        <v>3699</v>
      </c>
      <c r="F1391" s="34" t="s">
        <v>1622</v>
      </c>
      <c r="G1391" s="32" t="s">
        <v>3700</v>
      </c>
      <c r="H1391" s="37" t="s">
        <v>1464</v>
      </c>
      <c r="I1391" s="39" t="s">
        <v>3701</v>
      </c>
      <c r="J1391" s="24" t="s">
        <v>1357</v>
      </c>
      <c r="K1391" s="40"/>
      <c r="L1391" s="38" t="s">
        <v>3702</v>
      </c>
      <c r="M1391" s="44" t="s">
        <v>123</v>
      </c>
      <c r="N1391" s="46" t="s">
        <v>3729</v>
      </c>
      <c r="O1391" s="47" t="s">
        <v>1604</v>
      </c>
      <c r="P1391" s="50"/>
      <c r="Q1391" s="45"/>
      <c r="R1391" s="25"/>
      <c r="S1391" s="52"/>
    </row>
    <row r="1392" spans="1:19" ht="16.5" customHeight="1" x14ac:dyDescent="0.3">
      <c r="A1392" s="27" t="s">
        <v>487</v>
      </c>
      <c r="B1392" s="28" t="s">
        <v>488</v>
      </c>
      <c r="C1392" s="26" t="s">
        <v>1808</v>
      </c>
      <c r="D1392" s="31" t="s">
        <v>152</v>
      </c>
      <c r="E1392" s="33" t="s">
        <v>3699</v>
      </c>
      <c r="F1392" s="34" t="s">
        <v>1622</v>
      </c>
      <c r="G1392" s="32" t="s">
        <v>3700</v>
      </c>
      <c r="H1392" s="37" t="s">
        <v>1464</v>
      </c>
      <c r="I1392" s="39" t="s">
        <v>3701</v>
      </c>
      <c r="J1392" s="24" t="s">
        <v>1357</v>
      </c>
      <c r="K1392" s="40"/>
      <c r="L1392" s="38" t="s">
        <v>3702</v>
      </c>
      <c r="M1392" s="44" t="s">
        <v>123</v>
      </c>
      <c r="N1392" s="46" t="s">
        <v>3730</v>
      </c>
      <c r="O1392" s="47" t="s">
        <v>1604</v>
      </c>
      <c r="P1392" s="50"/>
      <c r="Q1392" s="45"/>
      <c r="R1392" s="25"/>
      <c r="S1392" s="52"/>
    </row>
    <row r="1393" spans="1:19" ht="16.5" customHeight="1" x14ac:dyDescent="0.3">
      <c r="A1393" s="27" t="s">
        <v>487</v>
      </c>
      <c r="B1393" s="28" t="s">
        <v>488</v>
      </c>
      <c r="C1393" s="26" t="s">
        <v>1808</v>
      </c>
      <c r="D1393" s="31" t="s">
        <v>152</v>
      </c>
      <c r="E1393" s="33" t="s">
        <v>3699</v>
      </c>
      <c r="F1393" s="34" t="s">
        <v>1622</v>
      </c>
      <c r="G1393" s="32" t="s">
        <v>3700</v>
      </c>
      <c r="H1393" s="37" t="s">
        <v>1464</v>
      </c>
      <c r="I1393" s="39" t="s">
        <v>3701</v>
      </c>
      <c r="J1393" s="24" t="s">
        <v>1357</v>
      </c>
      <c r="K1393" s="40"/>
      <c r="L1393" s="38" t="s">
        <v>3702</v>
      </c>
      <c r="M1393" s="44" t="s">
        <v>123</v>
      </c>
      <c r="N1393" s="46" t="s">
        <v>3731</v>
      </c>
      <c r="O1393" s="47" t="s">
        <v>1498</v>
      </c>
      <c r="P1393" s="50"/>
      <c r="Q1393" s="45"/>
      <c r="R1393" s="25"/>
      <c r="S1393" s="52"/>
    </row>
    <row r="1394" spans="1:19" ht="16.5" customHeight="1" x14ac:dyDescent="0.3">
      <c r="A1394" s="27" t="s">
        <v>487</v>
      </c>
      <c r="B1394" s="28" t="s">
        <v>488</v>
      </c>
      <c r="C1394" s="26" t="s">
        <v>1808</v>
      </c>
      <c r="D1394" s="31" t="s">
        <v>152</v>
      </c>
      <c r="E1394" s="33" t="s">
        <v>3699</v>
      </c>
      <c r="F1394" s="34" t="s">
        <v>1622</v>
      </c>
      <c r="G1394" s="32" t="s">
        <v>3700</v>
      </c>
      <c r="H1394" s="37" t="s">
        <v>1464</v>
      </c>
      <c r="I1394" s="39" t="s">
        <v>3701</v>
      </c>
      <c r="J1394" s="24" t="s">
        <v>1357</v>
      </c>
      <c r="K1394" s="40"/>
      <c r="L1394" s="38" t="s">
        <v>3702</v>
      </c>
      <c r="M1394" s="44" t="s">
        <v>123</v>
      </c>
      <c r="N1394" s="46" t="s">
        <v>3732</v>
      </c>
      <c r="O1394" s="47" t="s">
        <v>1399</v>
      </c>
      <c r="P1394" s="50"/>
      <c r="Q1394" s="45"/>
      <c r="R1394" s="25"/>
      <c r="S1394" s="52"/>
    </row>
    <row r="1395" spans="1:19" ht="16.5" customHeight="1" x14ac:dyDescent="0.3">
      <c r="A1395" s="27" t="s">
        <v>487</v>
      </c>
      <c r="B1395" s="28" t="s">
        <v>488</v>
      </c>
      <c r="C1395" s="26" t="s">
        <v>1808</v>
      </c>
      <c r="D1395" s="31" t="s">
        <v>152</v>
      </c>
      <c r="E1395" s="33" t="s">
        <v>3699</v>
      </c>
      <c r="F1395" s="34" t="s">
        <v>1622</v>
      </c>
      <c r="G1395" s="32" t="s">
        <v>3700</v>
      </c>
      <c r="H1395" s="37" t="s">
        <v>1464</v>
      </c>
      <c r="I1395" s="39" t="s">
        <v>3701</v>
      </c>
      <c r="J1395" s="24" t="s">
        <v>1357</v>
      </c>
      <c r="K1395" s="40"/>
      <c r="L1395" s="38" t="s">
        <v>3702</v>
      </c>
      <c r="M1395" s="44" t="s">
        <v>123</v>
      </c>
      <c r="N1395" s="46" t="s">
        <v>3733</v>
      </c>
      <c r="O1395" s="47" t="s">
        <v>1401</v>
      </c>
      <c r="P1395" s="50"/>
      <c r="Q1395" s="45"/>
      <c r="R1395" s="25"/>
      <c r="S1395" s="52"/>
    </row>
    <row r="1396" spans="1:19" ht="16.5" customHeight="1" x14ac:dyDescent="0.3">
      <c r="A1396" s="27" t="s">
        <v>487</v>
      </c>
      <c r="B1396" s="28" t="s">
        <v>488</v>
      </c>
      <c r="C1396" s="26" t="s">
        <v>1808</v>
      </c>
      <c r="D1396" s="31" t="s">
        <v>152</v>
      </c>
      <c r="E1396" s="33" t="s">
        <v>3699</v>
      </c>
      <c r="F1396" s="34" t="s">
        <v>1622</v>
      </c>
      <c r="G1396" s="32" t="s">
        <v>3700</v>
      </c>
      <c r="H1396" s="37" t="s">
        <v>1464</v>
      </c>
      <c r="I1396" s="39" t="s">
        <v>3701</v>
      </c>
      <c r="J1396" s="24" t="s">
        <v>1357</v>
      </c>
      <c r="K1396" s="40"/>
      <c r="L1396" s="38" t="s">
        <v>3702</v>
      </c>
      <c r="M1396" s="44" t="s">
        <v>123</v>
      </c>
      <c r="N1396" s="46" t="s">
        <v>3734</v>
      </c>
      <c r="O1396" s="47" t="s">
        <v>1403</v>
      </c>
      <c r="P1396" s="50"/>
      <c r="Q1396" s="45"/>
      <c r="R1396" s="25"/>
      <c r="S1396" s="52"/>
    </row>
    <row r="1397" spans="1:19" ht="16.5" customHeight="1" x14ac:dyDescent="0.3">
      <c r="A1397" s="27" t="s">
        <v>487</v>
      </c>
      <c r="B1397" s="28" t="s">
        <v>488</v>
      </c>
      <c r="C1397" s="26" t="s">
        <v>1808</v>
      </c>
      <c r="D1397" s="31" t="s">
        <v>152</v>
      </c>
      <c r="E1397" s="33" t="s">
        <v>3699</v>
      </c>
      <c r="F1397" s="34" t="s">
        <v>1622</v>
      </c>
      <c r="G1397" s="32" t="s">
        <v>3700</v>
      </c>
      <c r="H1397" s="37" t="s">
        <v>1464</v>
      </c>
      <c r="I1397" s="39" t="s">
        <v>3701</v>
      </c>
      <c r="J1397" s="24" t="s">
        <v>1357</v>
      </c>
      <c r="K1397" s="40"/>
      <c r="L1397" s="38" t="s">
        <v>3702</v>
      </c>
      <c r="M1397" s="44" t="s">
        <v>123</v>
      </c>
      <c r="N1397" s="46" t="s">
        <v>3735</v>
      </c>
      <c r="O1397" s="47" t="s">
        <v>1499</v>
      </c>
      <c r="P1397" s="50"/>
      <c r="Q1397" s="45"/>
      <c r="R1397" s="25"/>
      <c r="S1397" s="52"/>
    </row>
    <row r="1398" spans="1:19" ht="16.5" customHeight="1" x14ac:dyDescent="0.3">
      <c r="A1398" s="27" t="s">
        <v>487</v>
      </c>
      <c r="B1398" s="28" t="s">
        <v>488</v>
      </c>
      <c r="C1398" s="26" t="s">
        <v>1808</v>
      </c>
      <c r="D1398" s="31" t="s">
        <v>152</v>
      </c>
      <c r="E1398" s="33" t="s">
        <v>3699</v>
      </c>
      <c r="F1398" s="34" t="s">
        <v>1622</v>
      </c>
      <c r="G1398" s="32" t="s">
        <v>3700</v>
      </c>
      <c r="H1398" s="37" t="s">
        <v>1464</v>
      </c>
      <c r="I1398" s="39" t="s">
        <v>3701</v>
      </c>
      <c r="J1398" s="24" t="s">
        <v>1357</v>
      </c>
      <c r="K1398" s="40"/>
      <c r="L1398" s="38" t="s">
        <v>3702</v>
      </c>
      <c r="M1398" s="44" t="s">
        <v>123</v>
      </c>
      <c r="N1398" s="46" t="s">
        <v>3736</v>
      </c>
      <c r="O1398" s="47" t="s">
        <v>1500</v>
      </c>
      <c r="P1398" s="50"/>
      <c r="Q1398" s="45"/>
      <c r="R1398" s="25"/>
      <c r="S1398" s="52"/>
    </row>
    <row r="1399" spans="1:19" ht="16.5" customHeight="1" x14ac:dyDescent="0.3">
      <c r="A1399" s="27" t="s">
        <v>487</v>
      </c>
      <c r="B1399" s="28" t="s">
        <v>488</v>
      </c>
      <c r="C1399" s="26" t="s">
        <v>1808</v>
      </c>
      <c r="D1399" s="31" t="s">
        <v>152</v>
      </c>
      <c r="E1399" s="33" t="s">
        <v>3699</v>
      </c>
      <c r="F1399" s="34" t="s">
        <v>1622</v>
      </c>
      <c r="G1399" s="32" t="s">
        <v>3700</v>
      </c>
      <c r="H1399" s="37" t="s">
        <v>1464</v>
      </c>
      <c r="I1399" s="39" t="s">
        <v>3701</v>
      </c>
      <c r="J1399" s="24" t="s">
        <v>1357</v>
      </c>
      <c r="K1399" s="40"/>
      <c r="L1399" s="38" t="s">
        <v>3702</v>
      </c>
      <c r="M1399" s="44" t="s">
        <v>123</v>
      </c>
      <c r="N1399" s="46" t="s">
        <v>3737</v>
      </c>
      <c r="O1399" s="47" t="s">
        <v>1407</v>
      </c>
      <c r="P1399" s="50"/>
      <c r="Q1399" s="45"/>
      <c r="R1399" s="25"/>
      <c r="S1399" s="52"/>
    </row>
    <row r="1400" spans="1:19" ht="16.5" customHeight="1" x14ac:dyDescent="0.3">
      <c r="A1400" s="27" t="s">
        <v>487</v>
      </c>
      <c r="B1400" s="28" t="s">
        <v>488</v>
      </c>
      <c r="C1400" s="26" t="s">
        <v>1808</v>
      </c>
      <c r="D1400" s="31" t="s">
        <v>152</v>
      </c>
      <c r="E1400" s="33" t="s">
        <v>3699</v>
      </c>
      <c r="F1400" s="34" t="s">
        <v>1622</v>
      </c>
      <c r="G1400" s="32" t="s">
        <v>3700</v>
      </c>
      <c r="H1400" s="37" t="s">
        <v>1464</v>
      </c>
      <c r="I1400" s="39" t="s">
        <v>3701</v>
      </c>
      <c r="J1400" s="24" t="s">
        <v>1357</v>
      </c>
      <c r="K1400" s="40"/>
      <c r="L1400" s="38" t="s">
        <v>3702</v>
      </c>
      <c r="M1400" s="44" t="s">
        <v>123</v>
      </c>
      <c r="N1400" s="46" t="s">
        <v>3738</v>
      </c>
      <c r="O1400" s="47" t="s">
        <v>1501</v>
      </c>
      <c r="P1400" s="50"/>
      <c r="Q1400" s="45"/>
      <c r="R1400" s="25"/>
      <c r="S1400" s="52"/>
    </row>
    <row r="1401" spans="1:19" ht="16.5" customHeight="1" thickBot="1" x14ac:dyDescent="0.35">
      <c r="A1401" s="29" t="s">
        <v>487</v>
      </c>
      <c r="B1401" s="30" t="s">
        <v>488</v>
      </c>
      <c r="C1401" s="53" t="s">
        <v>1808</v>
      </c>
      <c r="D1401" s="54" t="s">
        <v>152</v>
      </c>
      <c r="E1401" s="35" t="s">
        <v>3699</v>
      </c>
      <c r="F1401" s="36" t="s">
        <v>1622</v>
      </c>
      <c r="G1401" s="55" t="s">
        <v>3700</v>
      </c>
      <c r="H1401" s="56" t="s">
        <v>1464</v>
      </c>
      <c r="I1401" s="41" t="s">
        <v>3701</v>
      </c>
      <c r="J1401" s="42" t="s">
        <v>1357</v>
      </c>
      <c r="K1401" s="43"/>
      <c r="L1401" s="57" t="s">
        <v>3702</v>
      </c>
      <c r="M1401" s="58" t="s">
        <v>123</v>
      </c>
      <c r="N1401" s="48" t="s">
        <v>3739</v>
      </c>
      <c r="O1401" s="49" t="s">
        <v>1502</v>
      </c>
      <c r="P1401" s="51"/>
      <c r="Q1401" s="59"/>
      <c r="R1401" s="60"/>
      <c r="S1401" s="61"/>
    </row>
  </sheetData>
  <mergeCells count="8">
    <mergeCell ref="N1:O1"/>
    <mergeCell ref="P1:P2"/>
    <mergeCell ref="A1:B1"/>
    <mergeCell ref="C1:D1"/>
    <mergeCell ref="E1:F1"/>
    <mergeCell ref="G1:H1"/>
    <mergeCell ref="I1:K1"/>
    <mergeCell ref="L1:M1"/>
  </mergeCells>
  <conditionalFormatting sqref="E972 E3">
    <cfRule type="duplicateValues" dxfId="1" priority="1539"/>
  </conditionalFormatting>
  <conditionalFormatting sqref="E9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284B-612B-4856-93F7-A3ABDD8C572E}">
  <sheetPr>
    <tabColor rgb="FF00B050"/>
  </sheetPr>
  <dimension ref="A1:BI1979"/>
  <sheetViews>
    <sheetView workbookViewId="0">
      <pane ySplit="1" topLeftCell="A2" activePane="bottomLeft" state="frozen"/>
      <selection activeCell="C13" sqref="C13"/>
      <selection pane="bottomLeft" activeCell="C13" sqref="C13"/>
    </sheetView>
  </sheetViews>
  <sheetFormatPr baseColWidth="10" defaultRowHeight="14.5" x14ac:dyDescent="0.35"/>
  <cols>
    <col min="1" max="1" width="33.7265625" bestFit="1" customWidth="1"/>
    <col min="2" max="2" width="10.453125" style="91" bestFit="1" customWidth="1"/>
    <col min="3" max="3" width="10.453125" style="90" hidden="1" customWidth="1"/>
    <col min="4" max="4" width="46.54296875" bestFit="1" customWidth="1"/>
    <col min="5" max="5" width="26.54296875" style="91" bestFit="1" customWidth="1"/>
    <col min="8" max="8" width="14.1796875" customWidth="1"/>
    <col min="9" max="29" width="0" hidden="1" customWidth="1"/>
    <col min="30" max="30" width="15.7265625" customWidth="1"/>
    <col min="31" max="31" width="15.1796875" customWidth="1"/>
    <col min="32" max="33" width="0" hidden="1" customWidth="1"/>
    <col min="34" max="34" width="18.1796875" customWidth="1"/>
    <col min="35" max="41" width="0" hidden="1" customWidth="1"/>
    <col min="44" max="45" width="0" hidden="1" customWidth="1"/>
    <col min="46" max="47" width="14.26953125" customWidth="1"/>
    <col min="48" max="49" width="0" hidden="1" customWidth="1"/>
    <col min="50" max="50" width="15.1796875" bestFit="1" customWidth="1"/>
    <col min="51" max="51" width="14.81640625" bestFit="1" customWidth="1"/>
    <col min="52" max="52" width="27" bestFit="1" customWidth="1"/>
    <col min="53" max="53" width="16" customWidth="1"/>
    <col min="54" max="54" width="15" customWidth="1"/>
    <col min="56" max="56" width="13.7265625" customWidth="1"/>
    <col min="57" max="57" width="0" hidden="1" customWidth="1"/>
    <col min="59" max="61" width="0" hidden="1" customWidth="1"/>
  </cols>
  <sheetData>
    <row r="1" spans="1:61" s="87" customFormat="1" ht="25.5" customHeight="1" thickBot="1" x14ac:dyDescent="0.4">
      <c r="A1" s="178" t="s">
        <v>4157</v>
      </c>
      <c r="B1" s="181" t="s">
        <v>4158</v>
      </c>
      <c r="C1" s="170" t="s">
        <v>4154</v>
      </c>
      <c r="D1" s="165" t="s">
        <v>4159</v>
      </c>
      <c r="E1" s="168" t="s">
        <v>4225</v>
      </c>
      <c r="F1" s="184" t="s">
        <v>4160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6"/>
      <c r="AD1" s="172" t="s">
        <v>4161</v>
      </c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72" t="s">
        <v>4162</v>
      </c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4"/>
      <c r="BC1" s="172" t="s">
        <v>4163</v>
      </c>
      <c r="BD1" s="173"/>
      <c r="BE1" s="173"/>
      <c r="BF1" s="173"/>
      <c r="BG1" s="173"/>
      <c r="BH1" s="173"/>
      <c r="BI1" s="174"/>
    </row>
    <row r="2" spans="1:61" s="88" customFormat="1" ht="15" customHeight="1" thickBot="1" x14ac:dyDescent="0.35">
      <c r="A2" s="179"/>
      <c r="B2" s="182"/>
      <c r="C2" s="171"/>
      <c r="D2" s="166"/>
      <c r="E2" s="169"/>
      <c r="F2" s="175" t="s">
        <v>4164</v>
      </c>
      <c r="G2" s="176"/>
      <c r="H2" s="176"/>
      <c r="I2" s="176"/>
      <c r="J2" s="176"/>
      <c r="K2" s="176"/>
      <c r="L2" s="176"/>
      <c r="M2" s="177"/>
      <c r="N2" s="175" t="s">
        <v>4165</v>
      </c>
      <c r="O2" s="176"/>
      <c r="P2" s="177"/>
      <c r="Q2" s="110"/>
      <c r="R2" s="176"/>
      <c r="S2" s="176"/>
      <c r="T2" s="176"/>
      <c r="U2" s="176"/>
      <c r="V2" s="176"/>
      <c r="W2" s="177"/>
      <c r="X2" s="175" t="s">
        <v>4166</v>
      </c>
      <c r="Y2" s="176"/>
      <c r="Z2" s="177"/>
      <c r="AA2" s="175" t="s">
        <v>4167</v>
      </c>
      <c r="AB2" s="176"/>
      <c r="AC2" s="177"/>
      <c r="AD2" s="162" t="s">
        <v>4168</v>
      </c>
      <c r="AE2" s="163"/>
      <c r="AF2" s="163"/>
      <c r="AG2" s="163"/>
      <c r="AH2" s="163"/>
      <c r="AI2" s="163"/>
      <c r="AJ2" s="164"/>
      <c r="AK2" s="162" t="s">
        <v>4169</v>
      </c>
      <c r="AL2" s="163"/>
      <c r="AM2" s="163"/>
      <c r="AN2" s="163"/>
      <c r="AO2" s="164"/>
      <c r="AP2" s="162" t="s">
        <v>4170</v>
      </c>
      <c r="AQ2" s="163"/>
      <c r="AR2" s="163"/>
      <c r="AS2" s="163"/>
      <c r="AT2" s="163"/>
      <c r="AU2" s="163"/>
      <c r="AV2" s="163"/>
      <c r="AW2" s="164"/>
      <c r="AX2" s="162" t="s">
        <v>4171</v>
      </c>
      <c r="AY2" s="163"/>
      <c r="AZ2" s="163"/>
      <c r="BA2" s="163"/>
      <c r="BB2" s="164"/>
      <c r="BC2" s="162" t="s">
        <v>4163</v>
      </c>
      <c r="BD2" s="163"/>
      <c r="BE2" s="163"/>
      <c r="BF2" s="163"/>
      <c r="BG2" s="163"/>
      <c r="BH2" s="163"/>
      <c r="BI2" s="164"/>
    </row>
    <row r="3" spans="1:61" s="89" customFormat="1" ht="43.5" customHeight="1" thickBot="1" x14ac:dyDescent="0.4">
      <c r="A3" s="180"/>
      <c r="B3" s="183"/>
      <c r="C3" s="171"/>
      <c r="D3" s="167"/>
      <c r="E3" s="169"/>
      <c r="F3" s="111" t="s">
        <v>4172</v>
      </c>
      <c r="G3" s="112" t="s">
        <v>4173</v>
      </c>
      <c r="H3" s="112" t="s">
        <v>4174</v>
      </c>
      <c r="I3" s="112" t="s">
        <v>4175</v>
      </c>
      <c r="J3" s="112" t="s">
        <v>4176</v>
      </c>
      <c r="K3" s="112" t="s">
        <v>4177</v>
      </c>
      <c r="L3" s="112" t="s">
        <v>4178</v>
      </c>
      <c r="M3" s="113" t="s">
        <v>4179</v>
      </c>
      <c r="N3" s="111" t="s">
        <v>4180</v>
      </c>
      <c r="O3" s="112" t="s">
        <v>4181</v>
      </c>
      <c r="P3" s="113" t="s">
        <v>4182</v>
      </c>
      <c r="Q3" s="114" t="s">
        <v>4183</v>
      </c>
      <c r="R3" s="112" t="s">
        <v>4184</v>
      </c>
      <c r="S3" s="112" t="s">
        <v>4185</v>
      </c>
      <c r="T3" s="112" t="s">
        <v>4186</v>
      </c>
      <c r="U3" s="112" t="s">
        <v>4187</v>
      </c>
      <c r="V3" s="112" t="s">
        <v>4188</v>
      </c>
      <c r="W3" s="113" t="s">
        <v>4189</v>
      </c>
      <c r="X3" s="111" t="s">
        <v>4190</v>
      </c>
      <c r="Y3" s="112" t="s">
        <v>4191</v>
      </c>
      <c r="Z3" s="113" t="s">
        <v>4192</v>
      </c>
      <c r="AA3" s="111" t="s">
        <v>4190</v>
      </c>
      <c r="AB3" s="112" t="s">
        <v>4191</v>
      </c>
      <c r="AC3" s="113" t="s">
        <v>4192</v>
      </c>
      <c r="AD3" s="111" t="s">
        <v>4193</v>
      </c>
      <c r="AE3" s="112" t="s">
        <v>4194</v>
      </c>
      <c r="AF3" s="112" t="s">
        <v>4195</v>
      </c>
      <c r="AG3" s="115" t="s">
        <v>4196</v>
      </c>
      <c r="AH3" s="112" t="s">
        <v>4197</v>
      </c>
      <c r="AI3" s="112" t="s">
        <v>4198</v>
      </c>
      <c r="AJ3" s="113" t="s">
        <v>4199</v>
      </c>
      <c r="AK3" s="111" t="s">
        <v>4200</v>
      </c>
      <c r="AL3" s="112" t="s">
        <v>4201</v>
      </c>
      <c r="AM3" s="112" t="s">
        <v>4202</v>
      </c>
      <c r="AN3" s="112" t="s">
        <v>4203</v>
      </c>
      <c r="AO3" s="113" t="s">
        <v>4204</v>
      </c>
      <c r="AP3" s="111" t="s">
        <v>4205</v>
      </c>
      <c r="AQ3" s="112" t="s">
        <v>4206</v>
      </c>
      <c r="AR3" s="112" t="s">
        <v>4207</v>
      </c>
      <c r="AS3" s="112" t="s">
        <v>4208</v>
      </c>
      <c r="AT3" s="112" t="s">
        <v>4209</v>
      </c>
      <c r="AU3" s="112" t="s">
        <v>4210</v>
      </c>
      <c r="AV3" s="112" t="s">
        <v>4211</v>
      </c>
      <c r="AW3" s="113" t="s">
        <v>4212</v>
      </c>
      <c r="AX3" s="111" t="s">
        <v>4213</v>
      </c>
      <c r="AY3" s="112" t="s">
        <v>4214</v>
      </c>
      <c r="AZ3" s="112" t="s">
        <v>4215</v>
      </c>
      <c r="BA3" s="112" t="s">
        <v>4216</v>
      </c>
      <c r="BB3" s="113" t="s">
        <v>4217</v>
      </c>
      <c r="BC3" s="111" t="s">
        <v>4218</v>
      </c>
      <c r="BD3" s="112" t="s">
        <v>4219</v>
      </c>
      <c r="BE3" s="112" t="s">
        <v>4220</v>
      </c>
      <c r="BF3" s="115" t="s">
        <v>4221</v>
      </c>
      <c r="BG3" s="116" t="s">
        <v>4222</v>
      </c>
      <c r="BH3" s="116" t="s">
        <v>4223</v>
      </c>
      <c r="BI3" s="117" t="s">
        <v>4224</v>
      </c>
    </row>
    <row r="4" spans="1:61" x14ac:dyDescent="0.35">
      <c r="A4" s="92" t="s">
        <v>487</v>
      </c>
      <c r="B4" s="93" t="s">
        <v>0</v>
      </c>
      <c r="C4" s="93">
        <v>1</v>
      </c>
      <c r="D4" s="92" t="s">
        <v>488</v>
      </c>
      <c r="E4" s="93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</row>
    <row r="5" spans="1:61" x14ac:dyDescent="0.35">
      <c r="A5" s="95" t="s">
        <v>1808</v>
      </c>
      <c r="B5" s="96" t="s">
        <v>0</v>
      </c>
      <c r="C5" s="97">
        <v>2</v>
      </c>
      <c r="D5" s="95" t="s">
        <v>152</v>
      </c>
      <c r="E5" s="97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</row>
    <row r="6" spans="1:61" x14ac:dyDescent="0.35">
      <c r="A6" s="98" t="s">
        <v>1809</v>
      </c>
      <c r="B6" s="99" t="s">
        <v>0</v>
      </c>
      <c r="C6" s="100">
        <v>3</v>
      </c>
      <c r="D6" s="98" t="s">
        <v>559</v>
      </c>
      <c r="E6" s="100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61" x14ac:dyDescent="0.35">
      <c r="A7" s="95" t="s">
        <v>1810</v>
      </c>
      <c r="B7" s="96" t="s">
        <v>0</v>
      </c>
      <c r="C7" s="97">
        <v>4</v>
      </c>
      <c r="D7" s="95" t="s">
        <v>1791</v>
      </c>
      <c r="E7" s="97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</row>
    <row r="8" spans="1:61" x14ac:dyDescent="0.35">
      <c r="A8" s="101" t="s">
        <v>1811</v>
      </c>
      <c r="B8" s="102" t="s">
        <v>0</v>
      </c>
      <c r="C8" s="103">
        <v>5</v>
      </c>
      <c r="D8" s="101" t="s">
        <v>601</v>
      </c>
      <c r="E8" s="103" t="s">
        <v>3813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</row>
    <row r="9" spans="1:61" x14ac:dyDescent="0.35">
      <c r="A9" s="101" t="s">
        <v>1812</v>
      </c>
      <c r="B9" s="102" t="s">
        <v>0</v>
      </c>
      <c r="C9" s="103">
        <v>5</v>
      </c>
      <c r="D9" s="101" t="s">
        <v>545</v>
      </c>
      <c r="E9" s="103" t="s">
        <v>3815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</row>
    <row r="10" spans="1:61" x14ac:dyDescent="0.35">
      <c r="A10" s="104" t="s">
        <v>1813</v>
      </c>
      <c r="B10" s="105" t="s">
        <v>0</v>
      </c>
      <c r="C10" s="106">
        <v>6</v>
      </c>
      <c r="D10" s="104" t="s">
        <v>9</v>
      </c>
      <c r="E10" s="106" t="s">
        <v>1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</row>
    <row r="11" spans="1:61" x14ac:dyDescent="0.35">
      <c r="A11" s="107" t="s">
        <v>1814</v>
      </c>
      <c r="B11" s="108" t="s">
        <v>0</v>
      </c>
      <c r="C11" s="109">
        <v>7</v>
      </c>
      <c r="D11" s="107" t="s">
        <v>631</v>
      </c>
      <c r="E11" s="109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</row>
    <row r="12" spans="1:61" x14ac:dyDescent="0.35">
      <c r="A12" s="107" t="s">
        <v>1815</v>
      </c>
      <c r="B12" s="108" t="s">
        <v>0</v>
      </c>
      <c r="C12" s="109">
        <v>7</v>
      </c>
      <c r="D12" s="107" t="s">
        <v>714</v>
      </c>
      <c r="E12" s="109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</row>
    <row r="13" spans="1:61" x14ac:dyDescent="0.35">
      <c r="A13" s="107" t="s">
        <v>1816</v>
      </c>
      <c r="B13" s="108" t="s">
        <v>0</v>
      </c>
      <c r="C13" s="109">
        <v>7</v>
      </c>
      <c r="D13" s="107" t="s">
        <v>632</v>
      </c>
      <c r="E13" s="109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</row>
    <row r="14" spans="1:61" x14ac:dyDescent="0.35">
      <c r="A14" s="107" t="s">
        <v>1817</v>
      </c>
      <c r="B14" s="108" t="s">
        <v>0</v>
      </c>
      <c r="C14" s="109">
        <v>7</v>
      </c>
      <c r="D14" s="107" t="s">
        <v>708</v>
      </c>
      <c r="E14" s="109" t="s">
        <v>1565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</row>
    <row r="15" spans="1:61" x14ac:dyDescent="0.35">
      <c r="A15" s="107" t="s">
        <v>1818</v>
      </c>
      <c r="B15" s="108" t="s">
        <v>0</v>
      </c>
      <c r="C15" s="109">
        <v>7</v>
      </c>
      <c r="D15" s="107" t="s">
        <v>1518</v>
      </c>
      <c r="E15" s="109" t="s">
        <v>1566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</row>
    <row r="16" spans="1:61" x14ac:dyDescent="0.35">
      <c r="A16" s="104" t="s">
        <v>1819</v>
      </c>
      <c r="B16" s="105" t="s">
        <v>0</v>
      </c>
      <c r="C16" s="106">
        <v>6</v>
      </c>
      <c r="D16" s="104" t="s">
        <v>8</v>
      </c>
      <c r="E16" s="106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</row>
    <row r="17" spans="1:58" x14ac:dyDescent="0.35">
      <c r="A17" s="107" t="s">
        <v>1820</v>
      </c>
      <c r="B17" s="108" t="s">
        <v>0</v>
      </c>
      <c r="C17" s="109">
        <v>7</v>
      </c>
      <c r="D17" s="107" t="s">
        <v>1462</v>
      </c>
      <c r="E17" s="109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</row>
    <row r="18" spans="1:58" x14ac:dyDescent="0.35">
      <c r="A18" s="107" t="s">
        <v>1821</v>
      </c>
      <c r="B18" s="108" t="s">
        <v>0</v>
      </c>
      <c r="C18" s="109">
        <v>7</v>
      </c>
      <c r="D18" s="107" t="s">
        <v>1567</v>
      </c>
      <c r="E18" s="109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</row>
    <row r="19" spans="1:58" x14ac:dyDescent="0.35">
      <c r="A19" s="104" t="s">
        <v>1822</v>
      </c>
      <c r="B19" s="105" t="s">
        <v>0</v>
      </c>
      <c r="C19" s="106">
        <v>6</v>
      </c>
      <c r="D19" s="104" t="s">
        <v>26</v>
      </c>
      <c r="E19" s="106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</row>
    <row r="20" spans="1:58" x14ac:dyDescent="0.35">
      <c r="A20" s="107" t="s">
        <v>1823</v>
      </c>
      <c r="B20" s="108" t="s">
        <v>0</v>
      </c>
      <c r="C20" s="109">
        <v>7</v>
      </c>
      <c r="D20" s="107" t="s">
        <v>3</v>
      </c>
      <c r="E20" s="109" t="s">
        <v>2</v>
      </c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</row>
    <row r="21" spans="1:58" x14ac:dyDescent="0.35">
      <c r="A21" s="101" t="s">
        <v>1824</v>
      </c>
      <c r="B21" s="102" t="s">
        <v>0</v>
      </c>
      <c r="C21" s="103">
        <v>5</v>
      </c>
      <c r="D21" s="101" t="s">
        <v>5</v>
      </c>
      <c r="E21" s="103" t="s">
        <v>4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</row>
    <row r="22" spans="1:58" x14ac:dyDescent="0.35">
      <c r="A22" s="104" t="s">
        <v>1825</v>
      </c>
      <c r="B22" s="105" t="s">
        <v>0</v>
      </c>
      <c r="C22" s="106">
        <v>6</v>
      </c>
      <c r="D22" s="104" t="s">
        <v>8</v>
      </c>
      <c r="E22" s="106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</row>
    <row r="23" spans="1:58" x14ac:dyDescent="0.35">
      <c r="A23" s="107" t="s">
        <v>1826</v>
      </c>
      <c r="B23" s="108" t="s">
        <v>0</v>
      </c>
      <c r="C23" s="109">
        <v>7</v>
      </c>
      <c r="D23" s="107" t="s">
        <v>635</v>
      </c>
      <c r="E23" s="109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</row>
    <row r="24" spans="1:58" x14ac:dyDescent="0.35">
      <c r="A24" s="107" t="s">
        <v>1827</v>
      </c>
      <c r="B24" s="108" t="s">
        <v>0</v>
      </c>
      <c r="C24" s="109">
        <v>7</v>
      </c>
      <c r="D24" s="107" t="s">
        <v>1503</v>
      </c>
      <c r="E24" s="109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</row>
    <row r="25" spans="1:58" x14ac:dyDescent="0.35">
      <c r="A25" s="107" t="s">
        <v>1828</v>
      </c>
      <c r="B25" s="108" t="s">
        <v>0</v>
      </c>
      <c r="C25" s="109">
        <v>7</v>
      </c>
      <c r="D25" s="107" t="s">
        <v>649</v>
      </c>
      <c r="E25" s="109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</row>
    <row r="26" spans="1:58" x14ac:dyDescent="0.35">
      <c r="A26" s="107" t="s">
        <v>1829</v>
      </c>
      <c r="B26" s="108" t="s">
        <v>0</v>
      </c>
      <c r="C26" s="109">
        <v>7</v>
      </c>
      <c r="D26" s="107" t="s">
        <v>1589</v>
      </c>
      <c r="E26" s="109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</row>
    <row r="27" spans="1:58" x14ac:dyDescent="0.35">
      <c r="A27" s="104" t="s">
        <v>1830</v>
      </c>
      <c r="B27" s="105" t="s">
        <v>0</v>
      </c>
      <c r="C27" s="106">
        <v>6</v>
      </c>
      <c r="D27" s="104" t="s">
        <v>30</v>
      </c>
      <c r="E27" s="106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</row>
    <row r="28" spans="1:58" x14ac:dyDescent="0.35">
      <c r="A28" s="107" t="s">
        <v>1831</v>
      </c>
      <c r="B28" s="108" t="s">
        <v>0</v>
      </c>
      <c r="C28" s="109">
        <v>7</v>
      </c>
      <c r="D28" s="107" t="s">
        <v>1530</v>
      </c>
      <c r="E28" s="109" t="s">
        <v>1531</v>
      </c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</row>
    <row r="29" spans="1:58" x14ac:dyDescent="0.35">
      <c r="A29" s="107" t="s">
        <v>1832</v>
      </c>
      <c r="B29" s="108" t="s">
        <v>0</v>
      </c>
      <c r="C29" s="109">
        <v>7</v>
      </c>
      <c r="D29" s="107" t="s">
        <v>1530</v>
      </c>
      <c r="E29" s="109" t="s">
        <v>1532</v>
      </c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</row>
    <row r="30" spans="1:58" x14ac:dyDescent="0.35">
      <c r="A30" s="107" t="s">
        <v>1833</v>
      </c>
      <c r="B30" s="108" t="s">
        <v>0</v>
      </c>
      <c r="C30" s="109">
        <v>7</v>
      </c>
      <c r="D30" s="107" t="s">
        <v>1583</v>
      </c>
      <c r="E30" s="109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</row>
    <row r="31" spans="1:58" x14ac:dyDescent="0.35">
      <c r="A31" s="107" t="s">
        <v>1834</v>
      </c>
      <c r="B31" s="108" t="s">
        <v>0</v>
      </c>
      <c r="C31" s="109">
        <v>7</v>
      </c>
      <c r="D31" s="107" t="s">
        <v>1584</v>
      </c>
      <c r="E31" s="109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</row>
    <row r="32" spans="1:58" x14ac:dyDescent="0.35">
      <c r="A32" s="107" t="s">
        <v>1835</v>
      </c>
      <c r="B32" s="108" t="s">
        <v>0</v>
      </c>
      <c r="C32" s="109">
        <v>7</v>
      </c>
      <c r="D32" s="107" t="s">
        <v>1586</v>
      </c>
      <c r="E32" s="109" t="s">
        <v>1533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</row>
    <row r="33" spans="1:58" x14ac:dyDescent="0.35">
      <c r="A33" s="107" t="s">
        <v>1836</v>
      </c>
      <c r="B33" s="108" t="s">
        <v>0</v>
      </c>
      <c r="C33" s="109">
        <v>7</v>
      </c>
      <c r="D33" s="107" t="s">
        <v>1585</v>
      </c>
      <c r="E33" s="109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</row>
    <row r="34" spans="1:58" x14ac:dyDescent="0.35">
      <c r="A34" s="107" t="s">
        <v>1837</v>
      </c>
      <c r="B34" s="108" t="s">
        <v>0</v>
      </c>
      <c r="C34" s="109">
        <v>7</v>
      </c>
      <c r="D34" s="107" t="s">
        <v>1509</v>
      </c>
      <c r="E34" s="109" t="s">
        <v>1537</v>
      </c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</row>
    <row r="35" spans="1:58" x14ac:dyDescent="0.35">
      <c r="A35" s="107" t="s">
        <v>1838</v>
      </c>
      <c r="B35" s="108" t="s">
        <v>0</v>
      </c>
      <c r="C35" s="109">
        <v>7</v>
      </c>
      <c r="D35" s="107" t="s">
        <v>1538</v>
      </c>
      <c r="E35" s="109" t="s">
        <v>1539</v>
      </c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</row>
    <row r="36" spans="1:58" x14ac:dyDescent="0.35">
      <c r="A36" s="107" t="s">
        <v>1839</v>
      </c>
      <c r="B36" s="108" t="s">
        <v>0</v>
      </c>
      <c r="C36" s="109">
        <v>7</v>
      </c>
      <c r="D36" s="107" t="s">
        <v>1587</v>
      </c>
      <c r="E36" s="109" t="s">
        <v>1535</v>
      </c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</row>
    <row r="37" spans="1:58" x14ac:dyDescent="0.35">
      <c r="A37" s="107" t="s">
        <v>1840</v>
      </c>
      <c r="B37" s="108" t="s">
        <v>0</v>
      </c>
      <c r="C37" s="109">
        <v>7</v>
      </c>
      <c r="D37" s="107" t="s">
        <v>1588</v>
      </c>
      <c r="E37" s="109" t="s">
        <v>1536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</row>
    <row r="38" spans="1:58" x14ac:dyDescent="0.35">
      <c r="A38" s="104" t="s">
        <v>1841</v>
      </c>
      <c r="B38" s="105" t="s">
        <v>0</v>
      </c>
      <c r="C38" s="106">
        <v>6</v>
      </c>
      <c r="D38" s="104" t="s">
        <v>11</v>
      </c>
      <c r="E38" s="106" t="s">
        <v>10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</row>
    <row r="39" spans="1:58" x14ac:dyDescent="0.35">
      <c r="A39" s="107" t="s">
        <v>1842</v>
      </c>
      <c r="B39" s="108" t="s">
        <v>0</v>
      </c>
      <c r="C39" s="109">
        <v>7</v>
      </c>
      <c r="D39" s="107" t="s">
        <v>633</v>
      </c>
      <c r="E39" s="109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</row>
    <row r="40" spans="1:58" x14ac:dyDescent="0.35">
      <c r="A40" s="107" t="s">
        <v>1843</v>
      </c>
      <c r="B40" s="108" t="s">
        <v>0</v>
      </c>
      <c r="C40" s="109">
        <v>7</v>
      </c>
      <c r="D40" s="107" t="s">
        <v>1513</v>
      </c>
      <c r="E40" s="109" t="s">
        <v>1582</v>
      </c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</row>
    <row r="41" spans="1:58" x14ac:dyDescent="0.35">
      <c r="A41" s="107" t="s">
        <v>1844</v>
      </c>
      <c r="B41" s="108" t="s">
        <v>0</v>
      </c>
      <c r="C41" s="109">
        <v>7</v>
      </c>
      <c r="D41" s="107" t="s">
        <v>634</v>
      </c>
      <c r="E41" s="109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</row>
    <row r="42" spans="1:58" x14ac:dyDescent="0.35">
      <c r="A42" s="107" t="s">
        <v>1845</v>
      </c>
      <c r="B42" s="108" t="s">
        <v>0</v>
      </c>
      <c r="C42" s="109">
        <v>7</v>
      </c>
      <c r="D42" s="107" t="s">
        <v>1511</v>
      </c>
      <c r="E42" s="109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</row>
    <row r="43" spans="1:58" x14ac:dyDescent="0.35">
      <c r="A43" s="107" t="s">
        <v>1846</v>
      </c>
      <c r="B43" s="108" t="s">
        <v>0</v>
      </c>
      <c r="C43" s="109">
        <v>7</v>
      </c>
      <c r="D43" s="107" t="s">
        <v>1512</v>
      </c>
      <c r="E43" s="109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</row>
    <row r="44" spans="1:58" x14ac:dyDescent="0.35">
      <c r="A44" s="104" t="s">
        <v>1847</v>
      </c>
      <c r="B44" s="105" t="s">
        <v>0</v>
      </c>
      <c r="C44" s="106">
        <v>6</v>
      </c>
      <c r="D44" s="104" t="s">
        <v>1628</v>
      </c>
      <c r="E44" s="106" t="s">
        <v>489</v>
      </c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</row>
    <row r="45" spans="1:58" x14ac:dyDescent="0.35">
      <c r="A45" s="107" t="s">
        <v>1848</v>
      </c>
      <c r="B45" s="108" t="s">
        <v>0</v>
      </c>
      <c r="C45" s="109">
        <v>7</v>
      </c>
      <c r="D45" s="107" t="s">
        <v>715</v>
      </c>
      <c r="E45" s="109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</row>
    <row r="46" spans="1:58" x14ac:dyDescent="0.35">
      <c r="A46" s="107" t="s">
        <v>1849</v>
      </c>
      <c r="B46" s="108" t="s">
        <v>0</v>
      </c>
      <c r="C46" s="109">
        <v>7</v>
      </c>
      <c r="D46" s="107" t="s">
        <v>701</v>
      </c>
      <c r="E46" s="109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</row>
    <row r="47" spans="1:58" x14ac:dyDescent="0.35">
      <c r="A47" s="107" t="s">
        <v>1850</v>
      </c>
      <c r="B47" s="108" t="s">
        <v>0</v>
      </c>
      <c r="C47" s="109">
        <v>7</v>
      </c>
      <c r="D47" s="107" t="s">
        <v>636</v>
      </c>
      <c r="E47" s="109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</row>
    <row r="48" spans="1:58" x14ac:dyDescent="0.35">
      <c r="A48" s="107" t="s">
        <v>1851</v>
      </c>
      <c r="B48" s="108" t="s">
        <v>0</v>
      </c>
      <c r="C48" s="109">
        <v>7</v>
      </c>
      <c r="D48" s="107" t="s">
        <v>709</v>
      </c>
      <c r="E48" s="109" t="s">
        <v>1519</v>
      </c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</row>
    <row r="49" spans="1:58" x14ac:dyDescent="0.35">
      <c r="A49" s="107" t="s">
        <v>1852</v>
      </c>
      <c r="B49" s="108" t="s">
        <v>0</v>
      </c>
      <c r="C49" s="109">
        <v>7</v>
      </c>
      <c r="D49" s="107" t="s">
        <v>1608</v>
      </c>
      <c r="E49" s="109" t="s">
        <v>1520</v>
      </c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</row>
    <row r="50" spans="1:58" x14ac:dyDescent="0.35">
      <c r="A50" s="107" t="s">
        <v>1853</v>
      </c>
      <c r="B50" s="108" t="s">
        <v>0</v>
      </c>
      <c r="C50" s="109">
        <v>7</v>
      </c>
      <c r="D50" s="107" t="s">
        <v>1609</v>
      </c>
      <c r="E50" s="109" t="s">
        <v>1521</v>
      </c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</row>
    <row r="51" spans="1:58" x14ac:dyDescent="0.35">
      <c r="A51" s="107" t="s">
        <v>1854</v>
      </c>
      <c r="B51" s="108" t="s">
        <v>0</v>
      </c>
      <c r="C51" s="109">
        <v>7</v>
      </c>
      <c r="D51" s="107" t="s">
        <v>1518</v>
      </c>
      <c r="E51" s="109" t="s">
        <v>1522</v>
      </c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</row>
    <row r="52" spans="1:58" x14ac:dyDescent="0.35">
      <c r="A52" s="107" t="s">
        <v>1855</v>
      </c>
      <c r="B52" s="108" t="s">
        <v>0</v>
      </c>
      <c r="C52" s="109">
        <v>7</v>
      </c>
      <c r="D52" s="107" t="s">
        <v>1540</v>
      </c>
      <c r="E52" s="109" t="s">
        <v>1541</v>
      </c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</row>
    <row r="53" spans="1:58" x14ac:dyDescent="0.35">
      <c r="A53" s="107" t="s">
        <v>1856</v>
      </c>
      <c r="B53" s="108" t="s">
        <v>0</v>
      </c>
      <c r="C53" s="109">
        <v>7</v>
      </c>
      <c r="D53" s="107" t="s">
        <v>1542</v>
      </c>
      <c r="E53" s="109" t="s">
        <v>1543</v>
      </c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</row>
    <row r="54" spans="1:58" x14ac:dyDescent="0.35">
      <c r="A54" s="104" t="s">
        <v>1857</v>
      </c>
      <c r="B54" s="105" t="s">
        <v>0</v>
      </c>
      <c r="C54" s="106">
        <v>6</v>
      </c>
      <c r="D54" s="104" t="s">
        <v>26</v>
      </c>
      <c r="E54" s="106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</row>
    <row r="55" spans="1:58" x14ac:dyDescent="0.35">
      <c r="A55" s="107" t="s">
        <v>1858</v>
      </c>
      <c r="B55" s="108" t="s">
        <v>0</v>
      </c>
      <c r="C55" s="109">
        <v>7</v>
      </c>
      <c r="D55" s="107" t="s">
        <v>7</v>
      </c>
      <c r="E55" s="109" t="s">
        <v>6</v>
      </c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</row>
    <row r="56" spans="1:58" x14ac:dyDescent="0.35">
      <c r="A56" s="107" t="s">
        <v>1859</v>
      </c>
      <c r="B56" s="108" t="s">
        <v>0</v>
      </c>
      <c r="C56" s="109">
        <v>7</v>
      </c>
      <c r="D56" s="107" t="s">
        <v>22</v>
      </c>
      <c r="E56" s="109" t="s">
        <v>21</v>
      </c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</row>
    <row r="57" spans="1:58" x14ac:dyDescent="0.35">
      <c r="A57" s="101" t="s">
        <v>3763</v>
      </c>
      <c r="B57" s="102" t="s">
        <v>0</v>
      </c>
      <c r="C57" s="103">
        <v>5</v>
      </c>
      <c r="D57" s="101" t="s">
        <v>436</v>
      </c>
      <c r="E57" s="103" t="s">
        <v>12</v>
      </c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</row>
    <row r="58" spans="1:58" x14ac:dyDescent="0.35">
      <c r="A58" s="104" t="s">
        <v>1860</v>
      </c>
      <c r="B58" s="105" t="s">
        <v>0</v>
      </c>
      <c r="C58" s="106">
        <v>6</v>
      </c>
      <c r="D58" s="104" t="s">
        <v>26</v>
      </c>
      <c r="E58" s="106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</row>
    <row r="59" spans="1:58" x14ac:dyDescent="0.35">
      <c r="A59" s="107" t="s">
        <v>1861</v>
      </c>
      <c r="B59" s="108" t="s">
        <v>0</v>
      </c>
      <c r="C59" s="109">
        <v>7</v>
      </c>
      <c r="D59" s="107" t="s">
        <v>637</v>
      </c>
      <c r="E59" s="109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</row>
    <row r="60" spans="1:58" x14ac:dyDescent="0.35">
      <c r="A60" s="107" t="s">
        <v>1862</v>
      </c>
      <c r="B60" s="108" t="s">
        <v>0</v>
      </c>
      <c r="C60" s="109">
        <v>7</v>
      </c>
      <c r="D60" s="107" t="s">
        <v>638</v>
      </c>
      <c r="E60" s="109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</row>
    <row r="61" spans="1:58" x14ac:dyDescent="0.35">
      <c r="A61" s="104" t="s">
        <v>1863</v>
      </c>
      <c r="B61" s="105" t="s">
        <v>0</v>
      </c>
      <c r="C61" s="106">
        <v>6</v>
      </c>
      <c r="D61" s="104" t="s">
        <v>16</v>
      </c>
      <c r="E61" s="106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</row>
    <row r="62" spans="1:58" x14ac:dyDescent="0.35">
      <c r="A62" s="107" t="s">
        <v>1864</v>
      </c>
      <c r="B62" s="108" t="s">
        <v>0</v>
      </c>
      <c r="C62" s="109">
        <v>7</v>
      </c>
      <c r="D62" s="107" t="s">
        <v>710</v>
      </c>
      <c r="E62" s="109" t="s">
        <v>17</v>
      </c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</row>
    <row r="63" spans="1:58" x14ac:dyDescent="0.35">
      <c r="A63" s="107" t="s">
        <v>1865</v>
      </c>
      <c r="B63" s="108" t="s">
        <v>0</v>
      </c>
      <c r="C63" s="109">
        <v>7</v>
      </c>
      <c r="D63" s="107" t="s">
        <v>639</v>
      </c>
      <c r="E63" s="109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</row>
    <row r="64" spans="1:58" x14ac:dyDescent="0.35">
      <c r="A64" s="107" t="s">
        <v>1866</v>
      </c>
      <c r="B64" s="108" t="s">
        <v>0</v>
      </c>
      <c r="C64" s="109">
        <v>7</v>
      </c>
      <c r="D64" s="107" t="s">
        <v>640</v>
      </c>
      <c r="E64" s="109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</row>
    <row r="65" spans="1:58" x14ac:dyDescent="0.35">
      <c r="A65" s="104" t="s">
        <v>1867</v>
      </c>
      <c r="B65" s="105" t="s">
        <v>0</v>
      </c>
      <c r="C65" s="106">
        <v>6</v>
      </c>
      <c r="D65" s="104" t="s">
        <v>30</v>
      </c>
      <c r="E65" s="106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</row>
    <row r="66" spans="1:58" x14ac:dyDescent="0.35">
      <c r="A66" s="107" t="s">
        <v>1868</v>
      </c>
      <c r="B66" s="108" t="s">
        <v>0</v>
      </c>
      <c r="C66" s="109">
        <v>7</v>
      </c>
      <c r="D66" s="107" t="s">
        <v>641</v>
      </c>
      <c r="E66" s="109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</row>
    <row r="67" spans="1:58" x14ac:dyDescent="0.35">
      <c r="A67" s="104" t="s">
        <v>1869</v>
      </c>
      <c r="B67" s="105" t="s">
        <v>0</v>
      </c>
      <c r="C67" s="106">
        <v>6</v>
      </c>
      <c r="D67" s="104" t="s">
        <v>565</v>
      </c>
      <c r="E67" s="106" t="s">
        <v>18</v>
      </c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</row>
    <row r="68" spans="1:58" x14ac:dyDescent="0.35">
      <c r="A68" s="107" t="s">
        <v>1870</v>
      </c>
      <c r="B68" s="108" t="s">
        <v>0</v>
      </c>
      <c r="C68" s="109">
        <v>7</v>
      </c>
      <c r="D68" s="107" t="s">
        <v>716</v>
      </c>
      <c r="E68" s="109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</row>
    <row r="69" spans="1:58" x14ac:dyDescent="0.35">
      <c r="A69" s="107" t="s">
        <v>1871</v>
      </c>
      <c r="B69" s="108" t="s">
        <v>0</v>
      </c>
      <c r="C69" s="109">
        <v>7</v>
      </c>
      <c r="D69" s="107" t="s">
        <v>642</v>
      </c>
      <c r="E69" s="109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</row>
    <row r="70" spans="1:58" x14ac:dyDescent="0.35">
      <c r="A70" s="107" t="s">
        <v>1872</v>
      </c>
      <c r="B70" s="108" t="s">
        <v>0</v>
      </c>
      <c r="C70" s="109">
        <v>7</v>
      </c>
      <c r="D70" s="107" t="s">
        <v>643</v>
      </c>
      <c r="E70" s="109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</row>
    <row r="71" spans="1:58" x14ac:dyDescent="0.35">
      <c r="A71" s="107" t="s">
        <v>1873</v>
      </c>
      <c r="B71" s="108" t="s">
        <v>0</v>
      </c>
      <c r="C71" s="109">
        <v>7</v>
      </c>
      <c r="D71" s="107" t="s">
        <v>710</v>
      </c>
      <c r="E71" s="109" t="s">
        <v>1523</v>
      </c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</row>
    <row r="72" spans="1:58" x14ac:dyDescent="0.35">
      <c r="A72" s="107" t="s">
        <v>1874</v>
      </c>
      <c r="B72" s="108" t="s">
        <v>0</v>
      </c>
      <c r="C72" s="109">
        <v>7</v>
      </c>
      <c r="D72" s="107" t="s">
        <v>1524</v>
      </c>
      <c r="E72" s="109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</row>
    <row r="73" spans="1:58" x14ac:dyDescent="0.35">
      <c r="A73" s="104" t="s">
        <v>1875</v>
      </c>
      <c r="B73" s="105" t="s">
        <v>0</v>
      </c>
      <c r="C73" s="106">
        <v>6</v>
      </c>
      <c r="D73" s="104" t="s">
        <v>13</v>
      </c>
      <c r="E73" s="106" t="s">
        <v>14</v>
      </c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</row>
    <row r="74" spans="1:58" x14ac:dyDescent="0.35">
      <c r="A74" s="107" t="s">
        <v>1876</v>
      </c>
      <c r="B74" s="108" t="s">
        <v>0</v>
      </c>
      <c r="C74" s="109">
        <v>7</v>
      </c>
      <c r="D74" s="107" t="s">
        <v>711</v>
      </c>
      <c r="E74" s="109" t="s">
        <v>15</v>
      </c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</row>
    <row r="75" spans="1:58" x14ac:dyDescent="0.35">
      <c r="A75" s="107" t="s">
        <v>1877</v>
      </c>
      <c r="B75" s="108" t="s">
        <v>0</v>
      </c>
      <c r="C75" s="109">
        <v>7</v>
      </c>
      <c r="D75" s="107" t="s">
        <v>644</v>
      </c>
      <c r="E75" s="109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</row>
    <row r="76" spans="1:58" x14ac:dyDescent="0.35">
      <c r="A76" s="104" t="s">
        <v>1860</v>
      </c>
      <c r="B76" s="105" t="s">
        <v>0</v>
      </c>
      <c r="C76" s="106">
        <v>6</v>
      </c>
      <c r="D76" s="104" t="s">
        <v>26</v>
      </c>
      <c r="E76" s="106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</row>
    <row r="77" spans="1:58" x14ac:dyDescent="0.35">
      <c r="A77" s="107" t="s">
        <v>1878</v>
      </c>
      <c r="B77" s="108" t="s">
        <v>0</v>
      </c>
      <c r="C77" s="109">
        <v>7</v>
      </c>
      <c r="D77" s="107" t="s">
        <v>20</v>
      </c>
      <c r="E77" s="109" t="s">
        <v>19</v>
      </c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</row>
    <row r="78" spans="1:58" x14ac:dyDescent="0.35">
      <c r="A78" s="107" t="s">
        <v>1879</v>
      </c>
      <c r="B78" s="108" t="s">
        <v>0</v>
      </c>
      <c r="C78" s="109">
        <v>7</v>
      </c>
      <c r="D78" s="107" t="s">
        <v>24</v>
      </c>
      <c r="E78" s="109" t="s">
        <v>23</v>
      </c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</row>
    <row r="79" spans="1:58" x14ac:dyDescent="0.35">
      <c r="A79" s="101" t="s">
        <v>1880</v>
      </c>
      <c r="B79" s="102" t="s">
        <v>0</v>
      </c>
      <c r="C79" s="103">
        <v>5</v>
      </c>
      <c r="D79" s="101" t="s">
        <v>645</v>
      </c>
      <c r="E79" s="103" t="s">
        <v>25</v>
      </c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</row>
    <row r="80" spans="1:58" x14ac:dyDescent="0.35">
      <c r="A80" s="104" t="s">
        <v>1881</v>
      </c>
      <c r="B80" s="105" t="s">
        <v>0</v>
      </c>
      <c r="C80" s="106">
        <v>6</v>
      </c>
      <c r="D80" s="104" t="s">
        <v>26</v>
      </c>
      <c r="E80" s="106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</row>
    <row r="81" spans="1:58" x14ac:dyDescent="0.35">
      <c r="A81" s="107" t="s">
        <v>1882</v>
      </c>
      <c r="B81" s="108" t="s">
        <v>0</v>
      </c>
      <c r="C81" s="109">
        <v>7</v>
      </c>
      <c r="D81" s="107" t="s">
        <v>730</v>
      </c>
      <c r="E81" s="109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</row>
    <row r="82" spans="1:58" x14ac:dyDescent="0.35">
      <c r="A82" s="107" t="s">
        <v>1883</v>
      </c>
      <c r="B82" s="108" t="s">
        <v>0</v>
      </c>
      <c r="C82" s="109">
        <v>7</v>
      </c>
      <c r="D82" s="107" t="s">
        <v>28</v>
      </c>
      <c r="E82" s="109" t="s">
        <v>27</v>
      </c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</row>
    <row r="83" spans="1:58" x14ac:dyDescent="0.35">
      <c r="A83" s="104" t="s">
        <v>1884</v>
      </c>
      <c r="B83" s="105" t="s">
        <v>0</v>
      </c>
      <c r="C83" s="106">
        <v>6</v>
      </c>
      <c r="D83" s="104" t="s">
        <v>29</v>
      </c>
      <c r="E83" s="106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</row>
    <row r="84" spans="1:58" x14ac:dyDescent="0.35">
      <c r="A84" s="107" t="s">
        <v>1885</v>
      </c>
      <c r="B84" s="108" t="s">
        <v>0</v>
      </c>
      <c r="C84" s="109">
        <v>7</v>
      </c>
      <c r="D84" s="107" t="s">
        <v>646</v>
      </c>
      <c r="E84" s="109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</row>
    <row r="85" spans="1:58" x14ac:dyDescent="0.35">
      <c r="A85" s="107" t="s">
        <v>1886</v>
      </c>
      <c r="B85" s="108" t="s">
        <v>0</v>
      </c>
      <c r="C85" s="109">
        <v>7</v>
      </c>
      <c r="D85" s="107" t="s">
        <v>1597</v>
      </c>
      <c r="E85" s="109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</row>
    <row r="86" spans="1:58" x14ac:dyDescent="0.35">
      <c r="A86" s="107" t="s">
        <v>1887</v>
      </c>
      <c r="B86" s="108" t="s">
        <v>0</v>
      </c>
      <c r="C86" s="109">
        <v>7</v>
      </c>
      <c r="D86" s="107" t="s">
        <v>1598</v>
      </c>
      <c r="E86" s="109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</row>
    <row r="87" spans="1:58" x14ac:dyDescent="0.35">
      <c r="A87" s="107" t="s">
        <v>1888</v>
      </c>
      <c r="B87" s="108" t="s">
        <v>0</v>
      </c>
      <c r="C87" s="109">
        <v>7</v>
      </c>
      <c r="D87" s="107" t="s">
        <v>1599</v>
      </c>
      <c r="E87" s="109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</row>
    <row r="88" spans="1:58" x14ac:dyDescent="0.35">
      <c r="A88" s="104" t="s">
        <v>1889</v>
      </c>
      <c r="B88" s="105" t="s">
        <v>0</v>
      </c>
      <c r="C88" s="106">
        <v>6</v>
      </c>
      <c r="D88" s="104" t="s">
        <v>31</v>
      </c>
      <c r="E88" s="106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</row>
    <row r="89" spans="1:58" x14ac:dyDescent="0.35">
      <c r="A89" s="107" t="s">
        <v>1890</v>
      </c>
      <c r="B89" s="108" t="s">
        <v>0</v>
      </c>
      <c r="C89" s="109">
        <v>7</v>
      </c>
      <c r="D89" s="107" t="s">
        <v>647</v>
      </c>
      <c r="E89" s="109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</row>
    <row r="90" spans="1:58" x14ac:dyDescent="0.35">
      <c r="A90" s="104" t="s">
        <v>1891</v>
      </c>
      <c r="B90" s="105" t="s">
        <v>0</v>
      </c>
      <c r="C90" s="106">
        <v>6</v>
      </c>
      <c r="D90" s="104" t="s">
        <v>16</v>
      </c>
      <c r="E90" s="106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</row>
    <row r="91" spans="1:58" x14ac:dyDescent="0.35">
      <c r="A91" s="107" t="s">
        <v>1892</v>
      </c>
      <c r="B91" s="108" t="s">
        <v>0</v>
      </c>
      <c r="C91" s="109">
        <v>7</v>
      </c>
      <c r="D91" s="107" t="s">
        <v>712</v>
      </c>
      <c r="E91" s="109" t="s">
        <v>32</v>
      </c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</row>
    <row r="92" spans="1:58" x14ac:dyDescent="0.35">
      <c r="A92" s="107" t="s">
        <v>1893</v>
      </c>
      <c r="B92" s="108" t="s">
        <v>0</v>
      </c>
      <c r="C92" s="109">
        <v>7</v>
      </c>
      <c r="D92" s="107" t="s">
        <v>648</v>
      </c>
      <c r="E92" s="109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</row>
    <row r="93" spans="1:58" x14ac:dyDescent="0.35">
      <c r="A93" s="107" t="s">
        <v>1894</v>
      </c>
      <c r="B93" s="108" t="s">
        <v>0</v>
      </c>
      <c r="C93" s="109">
        <v>7</v>
      </c>
      <c r="D93" s="107" t="s">
        <v>650</v>
      </c>
      <c r="E93" s="109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</row>
    <row r="94" spans="1:58" x14ac:dyDescent="0.35">
      <c r="A94" s="107" t="s">
        <v>1895</v>
      </c>
      <c r="B94" s="108" t="s">
        <v>0</v>
      </c>
      <c r="C94" s="109">
        <v>7</v>
      </c>
      <c r="D94" s="107" t="s">
        <v>651</v>
      </c>
      <c r="E94" s="109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</row>
    <row r="95" spans="1:58" x14ac:dyDescent="0.35">
      <c r="A95" s="107" t="s">
        <v>1896</v>
      </c>
      <c r="B95" s="108" t="s">
        <v>0</v>
      </c>
      <c r="C95" s="109">
        <v>7</v>
      </c>
      <c r="D95" s="107" t="s">
        <v>652</v>
      </c>
      <c r="E95" s="109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</row>
    <row r="96" spans="1:58" x14ac:dyDescent="0.35">
      <c r="A96" s="104" t="s">
        <v>1897</v>
      </c>
      <c r="B96" s="105" t="s">
        <v>0</v>
      </c>
      <c r="C96" s="106">
        <v>6</v>
      </c>
      <c r="D96" s="104" t="s">
        <v>33</v>
      </c>
      <c r="E96" s="106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</row>
    <row r="97" spans="1:58" x14ac:dyDescent="0.35">
      <c r="A97" s="107" t="s">
        <v>1898</v>
      </c>
      <c r="B97" s="108" t="s">
        <v>0</v>
      </c>
      <c r="C97" s="109">
        <v>7</v>
      </c>
      <c r="D97" s="107" t="s">
        <v>1355</v>
      </c>
      <c r="E97" s="109" t="s">
        <v>34</v>
      </c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</row>
    <row r="98" spans="1:58" x14ac:dyDescent="0.35">
      <c r="A98" s="101" t="s">
        <v>1899</v>
      </c>
      <c r="B98" s="102" t="s">
        <v>0</v>
      </c>
      <c r="C98" s="103">
        <v>5</v>
      </c>
      <c r="D98" s="101" t="s">
        <v>36</v>
      </c>
      <c r="E98" s="103" t="s">
        <v>35</v>
      </c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</row>
    <row r="99" spans="1:58" x14ac:dyDescent="0.35">
      <c r="A99" s="104" t="s">
        <v>1900</v>
      </c>
      <c r="B99" s="105" t="s">
        <v>0</v>
      </c>
      <c r="C99" s="106">
        <v>6</v>
      </c>
      <c r="D99" s="104" t="s">
        <v>37</v>
      </c>
      <c r="E99" s="106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</row>
    <row r="100" spans="1:58" x14ac:dyDescent="0.35">
      <c r="A100" s="107" t="s">
        <v>1901</v>
      </c>
      <c r="B100" s="108" t="s">
        <v>0</v>
      </c>
      <c r="C100" s="109">
        <v>7</v>
      </c>
      <c r="D100" s="107" t="s">
        <v>1466</v>
      </c>
      <c r="E100" s="109" t="s">
        <v>38</v>
      </c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</row>
    <row r="101" spans="1:58" x14ac:dyDescent="0.35">
      <c r="A101" s="107" t="s">
        <v>1902</v>
      </c>
      <c r="B101" s="108" t="s">
        <v>0</v>
      </c>
      <c r="C101" s="109">
        <v>7</v>
      </c>
      <c r="D101" s="107" t="s">
        <v>654</v>
      </c>
      <c r="E101" s="109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</row>
    <row r="102" spans="1:58" x14ac:dyDescent="0.35">
      <c r="A102" s="107" t="s">
        <v>1903</v>
      </c>
      <c r="B102" s="108" t="s">
        <v>0</v>
      </c>
      <c r="C102" s="109">
        <v>7</v>
      </c>
      <c r="D102" s="107" t="s">
        <v>655</v>
      </c>
      <c r="E102" s="109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</row>
    <row r="103" spans="1:58" x14ac:dyDescent="0.35">
      <c r="A103" s="104" t="s">
        <v>1904</v>
      </c>
      <c r="B103" s="105" t="s">
        <v>0</v>
      </c>
      <c r="C103" s="106">
        <v>6</v>
      </c>
      <c r="D103" s="104" t="s">
        <v>1625</v>
      </c>
      <c r="E103" s="106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</row>
    <row r="104" spans="1:58" x14ac:dyDescent="0.35">
      <c r="A104" s="107" t="s">
        <v>1905</v>
      </c>
      <c r="B104" s="108" t="s">
        <v>0</v>
      </c>
      <c r="C104" s="109">
        <v>7</v>
      </c>
      <c r="D104" s="107" t="s">
        <v>656</v>
      </c>
      <c r="E104" s="109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</row>
    <row r="105" spans="1:58" x14ac:dyDescent="0.35">
      <c r="A105" s="104" t="s">
        <v>1906</v>
      </c>
      <c r="B105" s="105" t="s">
        <v>0</v>
      </c>
      <c r="C105" s="106">
        <v>6</v>
      </c>
      <c r="D105" s="104" t="s">
        <v>1623</v>
      </c>
      <c r="E105" s="106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</row>
    <row r="106" spans="1:58" x14ac:dyDescent="0.35">
      <c r="A106" s="107" t="s">
        <v>1907</v>
      </c>
      <c r="B106" s="108" t="s">
        <v>0</v>
      </c>
      <c r="C106" s="109">
        <v>7</v>
      </c>
      <c r="D106" s="107" t="s">
        <v>653</v>
      </c>
      <c r="E106" s="109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</row>
    <row r="107" spans="1:58" x14ac:dyDescent="0.35">
      <c r="A107" s="101" t="s">
        <v>1908</v>
      </c>
      <c r="B107" s="102" t="s">
        <v>0</v>
      </c>
      <c r="C107" s="103">
        <v>5</v>
      </c>
      <c r="D107" s="101" t="s">
        <v>40</v>
      </c>
      <c r="E107" s="103" t="s">
        <v>39</v>
      </c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</row>
    <row r="108" spans="1:58" x14ac:dyDescent="0.35">
      <c r="A108" s="104" t="s">
        <v>1909</v>
      </c>
      <c r="B108" s="105" t="s">
        <v>0</v>
      </c>
      <c r="C108" s="106">
        <v>6</v>
      </c>
      <c r="D108" s="104" t="s">
        <v>37</v>
      </c>
      <c r="E108" s="106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</row>
    <row r="109" spans="1:58" x14ac:dyDescent="0.35">
      <c r="A109" s="107" t="s">
        <v>1910</v>
      </c>
      <c r="B109" s="108" t="s">
        <v>0</v>
      </c>
      <c r="C109" s="109">
        <v>7</v>
      </c>
      <c r="D109" s="107" t="s">
        <v>657</v>
      </c>
      <c r="E109" s="109" t="s">
        <v>41</v>
      </c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</row>
    <row r="110" spans="1:58" x14ac:dyDescent="0.35">
      <c r="A110" s="107" t="s">
        <v>1911</v>
      </c>
      <c r="B110" s="108" t="s">
        <v>0</v>
      </c>
      <c r="C110" s="109">
        <v>7</v>
      </c>
      <c r="D110" s="107" t="s">
        <v>658</v>
      </c>
      <c r="E110" s="109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</row>
    <row r="111" spans="1:58" x14ac:dyDescent="0.35">
      <c r="A111" s="107" t="s">
        <v>1912</v>
      </c>
      <c r="B111" s="108" t="s">
        <v>0</v>
      </c>
      <c r="C111" s="109">
        <v>7</v>
      </c>
      <c r="D111" s="107" t="s">
        <v>659</v>
      </c>
      <c r="E111" s="109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</row>
    <row r="112" spans="1:58" x14ac:dyDescent="0.35">
      <c r="A112" s="104" t="s">
        <v>1913</v>
      </c>
      <c r="B112" s="105" t="s">
        <v>0</v>
      </c>
      <c r="C112" s="106">
        <v>6</v>
      </c>
      <c r="D112" s="104" t="s">
        <v>1625</v>
      </c>
      <c r="E112" s="106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</row>
    <row r="113" spans="1:58" x14ac:dyDescent="0.35">
      <c r="A113" s="107" t="s">
        <v>1914</v>
      </c>
      <c r="B113" s="108" t="s">
        <v>0</v>
      </c>
      <c r="C113" s="109">
        <v>7</v>
      </c>
      <c r="D113" s="107" t="s">
        <v>660</v>
      </c>
      <c r="E113" s="109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</row>
    <row r="114" spans="1:58" x14ac:dyDescent="0.35">
      <c r="A114" s="104" t="s">
        <v>1915</v>
      </c>
      <c r="B114" s="105" t="s">
        <v>0</v>
      </c>
      <c r="C114" s="106">
        <v>6</v>
      </c>
      <c r="D114" s="104" t="s">
        <v>123</v>
      </c>
      <c r="E114" s="106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</row>
    <row r="115" spans="1:58" x14ac:dyDescent="0.35">
      <c r="A115" s="107" t="s">
        <v>1916</v>
      </c>
      <c r="B115" s="108" t="s">
        <v>0</v>
      </c>
      <c r="C115" s="109">
        <v>7</v>
      </c>
      <c r="D115" s="107" t="s">
        <v>661</v>
      </c>
      <c r="E115" s="109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</row>
    <row r="116" spans="1:58" x14ac:dyDescent="0.35">
      <c r="A116" s="101" t="s">
        <v>1917</v>
      </c>
      <c r="B116" s="102" t="s">
        <v>0</v>
      </c>
      <c r="C116" s="103">
        <v>5</v>
      </c>
      <c r="D116" s="101" t="s">
        <v>43</v>
      </c>
      <c r="E116" s="103" t="s">
        <v>42</v>
      </c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</row>
    <row r="117" spans="1:58" x14ac:dyDescent="0.35">
      <c r="A117" s="104" t="s">
        <v>1918</v>
      </c>
      <c r="B117" s="105" t="s">
        <v>0</v>
      </c>
      <c r="C117" s="106">
        <v>6</v>
      </c>
      <c r="D117" s="104" t="s">
        <v>37</v>
      </c>
      <c r="E117" s="106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</row>
    <row r="118" spans="1:58" x14ac:dyDescent="0.35">
      <c r="A118" s="107" t="s">
        <v>1919</v>
      </c>
      <c r="B118" s="108" t="s">
        <v>0</v>
      </c>
      <c r="C118" s="109">
        <v>7</v>
      </c>
      <c r="D118" s="107" t="s">
        <v>662</v>
      </c>
      <c r="E118" s="109" t="s">
        <v>44</v>
      </c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</row>
    <row r="119" spans="1:58" x14ac:dyDescent="0.35">
      <c r="A119" s="107" t="s">
        <v>1920</v>
      </c>
      <c r="B119" s="108" t="s">
        <v>0</v>
      </c>
      <c r="C119" s="109">
        <v>7</v>
      </c>
      <c r="D119" s="107" t="s">
        <v>663</v>
      </c>
      <c r="E119" s="109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</row>
    <row r="120" spans="1:58" x14ac:dyDescent="0.35">
      <c r="A120" s="107" t="s">
        <v>1921</v>
      </c>
      <c r="B120" s="108" t="s">
        <v>0</v>
      </c>
      <c r="C120" s="109">
        <v>7</v>
      </c>
      <c r="D120" s="107" t="s">
        <v>664</v>
      </c>
      <c r="E120" s="109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</row>
    <row r="121" spans="1:58" x14ac:dyDescent="0.35">
      <c r="A121" s="104" t="s">
        <v>1922</v>
      </c>
      <c r="B121" s="105" t="s">
        <v>0</v>
      </c>
      <c r="C121" s="106">
        <v>6</v>
      </c>
      <c r="D121" s="104" t="s">
        <v>1625</v>
      </c>
      <c r="E121" s="106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</row>
    <row r="122" spans="1:58" x14ac:dyDescent="0.35">
      <c r="A122" s="107" t="s">
        <v>1923</v>
      </c>
      <c r="B122" s="108" t="s">
        <v>0</v>
      </c>
      <c r="C122" s="109">
        <v>7</v>
      </c>
      <c r="D122" s="107" t="s">
        <v>665</v>
      </c>
      <c r="E122" s="109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</row>
    <row r="123" spans="1:58" x14ac:dyDescent="0.35">
      <c r="A123" s="104" t="s">
        <v>1924</v>
      </c>
      <c r="B123" s="105" t="s">
        <v>0</v>
      </c>
      <c r="C123" s="106">
        <v>6</v>
      </c>
      <c r="D123" s="104" t="s">
        <v>123</v>
      </c>
      <c r="E123" s="106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</row>
    <row r="124" spans="1:58" x14ac:dyDescent="0.35">
      <c r="A124" s="107" t="s">
        <v>1925</v>
      </c>
      <c r="B124" s="108" t="s">
        <v>0</v>
      </c>
      <c r="C124" s="109">
        <v>7</v>
      </c>
      <c r="D124" s="107" t="s">
        <v>666</v>
      </c>
      <c r="E124" s="109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</row>
    <row r="125" spans="1:58" x14ac:dyDescent="0.35">
      <c r="A125" s="101" t="s">
        <v>1926</v>
      </c>
      <c r="B125" s="102" t="s">
        <v>0</v>
      </c>
      <c r="C125" s="103">
        <v>5</v>
      </c>
      <c r="D125" s="101" t="s">
        <v>45</v>
      </c>
      <c r="E125" s="103" t="s">
        <v>46</v>
      </c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</row>
    <row r="126" spans="1:58" x14ac:dyDescent="0.35">
      <c r="A126" s="104" t="s">
        <v>1927</v>
      </c>
      <c r="B126" s="105" t="s">
        <v>0</v>
      </c>
      <c r="C126" s="106">
        <v>6</v>
      </c>
      <c r="D126" s="104" t="s">
        <v>37</v>
      </c>
      <c r="E126" s="106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</row>
    <row r="127" spans="1:58" x14ac:dyDescent="0.35">
      <c r="A127" s="107" t="s">
        <v>1928</v>
      </c>
      <c r="B127" s="108" t="s">
        <v>0</v>
      </c>
      <c r="C127" s="109">
        <v>7</v>
      </c>
      <c r="D127" s="107" t="s">
        <v>668</v>
      </c>
      <c r="E127" s="109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</row>
    <row r="128" spans="1:58" x14ac:dyDescent="0.35">
      <c r="A128" s="107" t="s">
        <v>1929</v>
      </c>
      <c r="B128" s="108" t="s">
        <v>0</v>
      </c>
      <c r="C128" s="109">
        <v>7</v>
      </c>
      <c r="D128" s="107" t="s">
        <v>667</v>
      </c>
      <c r="E128" s="109" t="s">
        <v>47</v>
      </c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</row>
    <row r="129" spans="1:58" x14ac:dyDescent="0.35">
      <c r="A129" s="101" t="s">
        <v>1930</v>
      </c>
      <c r="B129" s="102" t="s">
        <v>0</v>
      </c>
      <c r="C129" s="103">
        <v>5</v>
      </c>
      <c r="D129" s="101" t="s">
        <v>49</v>
      </c>
      <c r="E129" s="103" t="s">
        <v>48</v>
      </c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</row>
    <row r="130" spans="1:58" x14ac:dyDescent="0.35">
      <c r="A130" s="104" t="s">
        <v>1931</v>
      </c>
      <c r="B130" s="105" t="s">
        <v>0</v>
      </c>
      <c r="C130" s="106">
        <v>6</v>
      </c>
      <c r="D130" s="104" t="s">
        <v>50</v>
      </c>
      <c r="E130" s="106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</row>
    <row r="131" spans="1:58" x14ac:dyDescent="0.35">
      <c r="A131" s="107" t="s">
        <v>1932</v>
      </c>
      <c r="B131" s="108" t="s">
        <v>0</v>
      </c>
      <c r="C131" s="109">
        <v>7</v>
      </c>
      <c r="D131" s="107" t="s">
        <v>669</v>
      </c>
      <c r="E131" s="109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</row>
    <row r="132" spans="1:58" x14ac:dyDescent="0.35">
      <c r="A132" s="104" t="s">
        <v>1933</v>
      </c>
      <c r="B132" s="105" t="s">
        <v>0</v>
      </c>
      <c r="C132" s="106">
        <v>6</v>
      </c>
      <c r="D132" s="104" t="s">
        <v>30</v>
      </c>
      <c r="E132" s="106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</row>
    <row r="133" spans="1:58" x14ac:dyDescent="0.35">
      <c r="A133" s="107" t="s">
        <v>1934</v>
      </c>
      <c r="B133" s="108" t="s">
        <v>0</v>
      </c>
      <c r="C133" s="109">
        <v>7</v>
      </c>
      <c r="D133" s="107" t="s">
        <v>670</v>
      </c>
      <c r="E133" s="109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</row>
    <row r="134" spans="1:58" x14ac:dyDescent="0.35">
      <c r="A134" s="101" t="s">
        <v>1935</v>
      </c>
      <c r="B134" s="102" t="s">
        <v>0</v>
      </c>
      <c r="C134" s="103">
        <v>5</v>
      </c>
      <c r="D134" s="101" t="s">
        <v>52</v>
      </c>
      <c r="E134" s="103" t="s">
        <v>51</v>
      </c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</row>
    <row r="135" spans="1:58" x14ac:dyDescent="0.35">
      <c r="A135" s="104" t="s">
        <v>1936</v>
      </c>
      <c r="B135" s="105" t="s">
        <v>0</v>
      </c>
      <c r="C135" s="106">
        <v>6</v>
      </c>
      <c r="D135" s="104" t="s">
        <v>50</v>
      </c>
      <c r="E135" s="106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</row>
    <row r="136" spans="1:58" x14ac:dyDescent="0.35">
      <c r="A136" s="107" t="s">
        <v>1937</v>
      </c>
      <c r="B136" s="108" t="s">
        <v>0</v>
      </c>
      <c r="C136" s="109">
        <v>7</v>
      </c>
      <c r="D136" s="107" t="s">
        <v>671</v>
      </c>
      <c r="E136" s="109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</row>
    <row r="137" spans="1:58" x14ac:dyDescent="0.35">
      <c r="A137" s="104" t="s">
        <v>1938</v>
      </c>
      <c r="B137" s="105" t="s">
        <v>0</v>
      </c>
      <c r="C137" s="106">
        <v>6</v>
      </c>
      <c r="D137" s="104" t="s">
        <v>30</v>
      </c>
      <c r="E137" s="106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</row>
    <row r="138" spans="1:58" x14ac:dyDescent="0.35">
      <c r="A138" s="107" t="s">
        <v>1939</v>
      </c>
      <c r="B138" s="108" t="s">
        <v>0</v>
      </c>
      <c r="C138" s="109">
        <v>7</v>
      </c>
      <c r="D138" s="107" t="s">
        <v>672</v>
      </c>
      <c r="E138" s="109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</row>
    <row r="139" spans="1:58" x14ac:dyDescent="0.35">
      <c r="A139" s="101" t="s">
        <v>1940</v>
      </c>
      <c r="B139" s="102" t="s">
        <v>0</v>
      </c>
      <c r="C139" s="103">
        <v>5</v>
      </c>
      <c r="D139" s="101" t="s">
        <v>54</v>
      </c>
      <c r="E139" s="103" t="s">
        <v>53</v>
      </c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</row>
    <row r="140" spans="1:58" x14ac:dyDescent="0.35">
      <c r="A140" s="104" t="s">
        <v>1941</v>
      </c>
      <c r="B140" s="105" t="s">
        <v>0</v>
      </c>
      <c r="C140" s="106">
        <v>6</v>
      </c>
      <c r="D140" s="104" t="s">
        <v>50</v>
      </c>
      <c r="E140" s="106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</row>
    <row r="141" spans="1:58" x14ac:dyDescent="0.35">
      <c r="A141" s="107" t="s">
        <v>1942</v>
      </c>
      <c r="B141" s="108" t="s">
        <v>0</v>
      </c>
      <c r="C141" s="109">
        <v>7</v>
      </c>
      <c r="D141" s="107" t="s">
        <v>673</v>
      </c>
      <c r="E141" s="109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</row>
    <row r="142" spans="1:58" x14ac:dyDescent="0.35">
      <c r="A142" s="104" t="s">
        <v>1943</v>
      </c>
      <c r="B142" s="105" t="s">
        <v>0</v>
      </c>
      <c r="C142" s="106">
        <v>6</v>
      </c>
      <c r="D142" s="104" t="s">
        <v>30</v>
      </c>
      <c r="E142" s="106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</row>
    <row r="143" spans="1:58" x14ac:dyDescent="0.35">
      <c r="A143" s="107" t="s">
        <v>1944</v>
      </c>
      <c r="B143" s="108" t="s">
        <v>0</v>
      </c>
      <c r="C143" s="109">
        <v>7</v>
      </c>
      <c r="D143" s="107" t="s">
        <v>674</v>
      </c>
      <c r="E143" s="109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</row>
    <row r="144" spans="1:58" x14ac:dyDescent="0.35">
      <c r="A144" s="101" t="s">
        <v>1945</v>
      </c>
      <c r="B144" s="102" t="s">
        <v>0</v>
      </c>
      <c r="C144" s="103">
        <v>5</v>
      </c>
      <c r="D144" s="101" t="s">
        <v>56</v>
      </c>
      <c r="E144" s="103" t="s">
        <v>55</v>
      </c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</row>
    <row r="145" spans="1:58" x14ac:dyDescent="0.35">
      <c r="A145" s="104" t="s">
        <v>1946</v>
      </c>
      <c r="B145" s="105" t="s">
        <v>0</v>
      </c>
      <c r="C145" s="106">
        <v>6</v>
      </c>
      <c r="D145" s="104" t="s">
        <v>50</v>
      </c>
      <c r="E145" s="106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</row>
    <row r="146" spans="1:58" x14ac:dyDescent="0.35">
      <c r="A146" s="107" t="s">
        <v>1947</v>
      </c>
      <c r="B146" s="108" t="s">
        <v>0</v>
      </c>
      <c r="C146" s="109">
        <v>7</v>
      </c>
      <c r="D146" s="107" t="s">
        <v>675</v>
      </c>
      <c r="E146" s="109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</row>
    <row r="147" spans="1:58" x14ac:dyDescent="0.35">
      <c r="A147" s="104" t="s">
        <v>1948</v>
      </c>
      <c r="B147" s="105" t="s">
        <v>0</v>
      </c>
      <c r="C147" s="106">
        <v>6</v>
      </c>
      <c r="D147" s="104" t="s">
        <v>30</v>
      </c>
      <c r="E147" s="106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</row>
    <row r="148" spans="1:58" x14ac:dyDescent="0.35">
      <c r="A148" s="107" t="s">
        <v>1949</v>
      </c>
      <c r="B148" s="108" t="s">
        <v>0</v>
      </c>
      <c r="C148" s="109">
        <v>7</v>
      </c>
      <c r="D148" s="107" t="s">
        <v>676</v>
      </c>
      <c r="E148" s="109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</row>
    <row r="149" spans="1:58" x14ac:dyDescent="0.35">
      <c r="A149" s="101" t="s">
        <v>1950</v>
      </c>
      <c r="B149" s="102" t="s">
        <v>0</v>
      </c>
      <c r="C149" s="103">
        <v>5</v>
      </c>
      <c r="D149" s="101" t="s">
        <v>169</v>
      </c>
      <c r="E149" s="103" t="s">
        <v>57</v>
      </c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</row>
    <row r="150" spans="1:58" x14ac:dyDescent="0.35">
      <c r="A150" s="101" t="s">
        <v>1951</v>
      </c>
      <c r="B150" s="102" t="s">
        <v>0</v>
      </c>
      <c r="C150" s="103">
        <v>5</v>
      </c>
      <c r="D150" s="101" t="s">
        <v>59</v>
      </c>
      <c r="E150" s="103" t="s">
        <v>58</v>
      </c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</row>
    <row r="151" spans="1:58" x14ac:dyDescent="0.35">
      <c r="A151" s="104" t="s">
        <v>1952</v>
      </c>
      <c r="B151" s="105" t="s">
        <v>0</v>
      </c>
      <c r="C151" s="106">
        <v>6</v>
      </c>
      <c r="D151" s="104" t="s">
        <v>37</v>
      </c>
      <c r="E151" s="106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</row>
    <row r="152" spans="1:58" x14ac:dyDescent="0.35">
      <c r="A152" s="107" t="s">
        <v>1953</v>
      </c>
      <c r="B152" s="108" t="s">
        <v>0</v>
      </c>
      <c r="C152" s="109">
        <v>7</v>
      </c>
      <c r="D152" s="107" t="s">
        <v>677</v>
      </c>
      <c r="E152" s="109" t="s">
        <v>60</v>
      </c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</row>
    <row r="153" spans="1:58" x14ac:dyDescent="0.35">
      <c r="A153" s="107" t="s">
        <v>1954</v>
      </c>
      <c r="B153" s="108" t="s">
        <v>0</v>
      </c>
      <c r="C153" s="109">
        <v>7</v>
      </c>
      <c r="D153" s="107" t="s">
        <v>678</v>
      </c>
      <c r="E153" s="109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</row>
    <row r="154" spans="1:58" x14ac:dyDescent="0.35">
      <c r="A154" s="107" t="s">
        <v>1955</v>
      </c>
      <c r="B154" s="108" t="s">
        <v>0</v>
      </c>
      <c r="C154" s="109">
        <v>7</v>
      </c>
      <c r="D154" s="107" t="s">
        <v>679</v>
      </c>
      <c r="E154" s="109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</row>
    <row r="155" spans="1:58" x14ac:dyDescent="0.35">
      <c r="A155" s="104" t="s">
        <v>1956</v>
      </c>
      <c r="B155" s="105" t="s">
        <v>0</v>
      </c>
      <c r="C155" s="106">
        <v>6</v>
      </c>
      <c r="D155" s="104" t="s">
        <v>1625</v>
      </c>
      <c r="E155" s="106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</row>
    <row r="156" spans="1:58" x14ac:dyDescent="0.35">
      <c r="A156" s="107" t="s">
        <v>1957</v>
      </c>
      <c r="B156" s="108" t="s">
        <v>0</v>
      </c>
      <c r="C156" s="109">
        <v>7</v>
      </c>
      <c r="D156" s="107" t="s">
        <v>680</v>
      </c>
      <c r="E156" s="109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</row>
    <row r="157" spans="1:58" x14ac:dyDescent="0.35">
      <c r="A157" s="104" t="s">
        <v>1958</v>
      </c>
      <c r="B157" s="105" t="s">
        <v>0</v>
      </c>
      <c r="C157" s="106">
        <v>6</v>
      </c>
      <c r="D157" s="104" t="s">
        <v>123</v>
      </c>
      <c r="E157" s="106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</row>
    <row r="158" spans="1:58" x14ac:dyDescent="0.35">
      <c r="A158" s="107" t="s">
        <v>1959</v>
      </c>
      <c r="B158" s="108" t="s">
        <v>0</v>
      </c>
      <c r="C158" s="109">
        <v>7</v>
      </c>
      <c r="D158" s="107" t="s">
        <v>681</v>
      </c>
      <c r="E158" s="109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</row>
    <row r="159" spans="1:58" x14ac:dyDescent="0.35">
      <c r="A159" s="101" t="s">
        <v>1960</v>
      </c>
      <c r="B159" s="102" t="s">
        <v>0</v>
      </c>
      <c r="C159" s="103">
        <v>5</v>
      </c>
      <c r="D159" s="101" t="s">
        <v>62</v>
      </c>
      <c r="E159" s="103" t="s">
        <v>61</v>
      </c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</row>
    <row r="160" spans="1:58" x14ac:dyDescent="0.35">
      <c r="A160" s="104" t="s">
        <v>1961</v>
      </c>
      <c r="B160" s="105" t="s">
        <v>0</v>
      </c>
      <c r="C160" s="106">
        <v>6</v>
      </c>
      <c r="D160" s="104" t="s">
        <v>37</v>
      </c>
      <c r="E160" s="106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</row>
    <row r="161" spans="1:58" x14ac:dyDescent="0.35">
      <c r="A161" s="107" t="s">
        <v>1962</v>
      </c>
      <c r="B161" s="108" t="s">
        <v>0</v>
      </c>
      <c r="C161" s="109">
        <v>7</v>
      </c>
      <c r="D161" s="107" t="s">
        <v>682</v>
      </c>
      <c r="E161" s="109" t="s">
        <v>63</v>
      </c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</row>
    <row r="162" spans="1:58" x14ac:dyDescent="0.35">
      <c r="A162" s="107" t="s">
        <v>1963</v>
      </c>
      <c r="B162" s="108" t="s">
        <v>0</v>
      </c>
      <c r="C162" s="109">
        <v>7</v>
      </c>
      <c r="D162" s="107" t="s">
        <v>685</v>
      </c>
      <c r="E162" s="109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</row>
    <row r="163" spans="1:58" x14ac:dyDescent="0.35">
      <c r="A163" s="107" t="s">
        <v>1964</v>
      </c>
      <c r="B163" s="108" t="s">
        <v>0</v>
      </c>
      <c r="C163" s="109">
        <v>7</v>
      </c>
      <c r="D163" s="107" t="s">
        <v>683</v>
      </c>
      <c r="E163" s="109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</row>
    <row r="164" spans="1:58" x14ac:dyDescent="0.35">
      <c r="A164" s="104" t="s">
        <v>1965</v>
      </c>
      <c r="B164" s="105" t="s">
        <v>0</v>
      </c>
      <c r="C164" s="106">
        <v>6</v>
      </c>
      <c r="D164" s="104" t="s">
        <v>1625</v>
      </c>
      <c r="E164" s="106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</row>
    <row r="165" spans="1:58" x14ac:dyDescent="0.35">
      <c r="A165" s="107" t="s">
        <v>1966</v>
      </c>
      <c r="B165" s="108" t="s">
        <v>0</v>
      </c>
      <c r="C165" s="109">
        <v>7</v>
      </c>
      <c r="D165" s="107" t="s">
        <v>686</v>
      </c>
      <c r="E165" s="109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</row>
    <row r="166" spans="1:58" x14ac:dyDescent="0.35">
      <c r="A166" s="104" t="s">
        <v>1967</v>
      </c>
      <c r="B166" s="105" t="s">
        <v>0</v>
      </c>
      <c r="C166" s="106">
        <v>6</v>
      </c>
      <c r="D166" s="104" t="s">
        <v>123</v>
      </c>
      <c r="E166" s="106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</row>
    <row r="167" spans="1:58" x14ac:dyDescent="0.35">
      <c r="A167" s="107" t="s">
        <v>1968</v>
      </c>
      <c r="B167" s="108" t="s">
        <v>0</v>
      </c>
      <c r="C167" s="109">
        <v>7</v>
      </c>
      <c r="D167" s="107" t="s">
        <v>684</v>
      </c>
      <c r="E167" s="109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</row>
    <row r="168" spans="1:58" x14ac:dyDescent="0.35">
      <c r="A168" s="101" t="s">
        <v>1969</v>
      </c>
      <c r="B168" s="102" t="s">
        <v>0</v>
      </c>
      <c r="C168" s="103">
        <v>5</v>
      </c>
      <c r="D168" s="101" t="s">
        <v>65</v>
      </c>
      <c r="E168" s="103" t="s">
        <v>64</v>
      </c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</row>
    <row r="169" spans="1:58" x14ac:dyDescent="0.35">
      <c r="A169" s="104" t="s">
        <v>1970</v>
      </c>
      <c r="B169" s="105" t="s">
        <v>0</v>
      </c>
      <c r="C169" s="106">
        <v>6</v>
      </c>
      <c r="D169" s="104" t="s">
        <v>37</v>
      </c>
      <c r="E169" s="106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</row>
    <row r="170" spans="1:58" x14ac:dyDescent="0.35">
      <c r="A170" s="107" t="s">
        <v>1971</v>
      </c>
      <c r="B170" s="108" t="s">
        <v>0</v>
      </c>
      <c r="C170" s="109">
        <v>7</v>
      </c>
      <c r="D170" s="107" t="s">
        <v>688</v>
      </c>
      <c r="E170" s="109" t="s">
        <v>66</v>
      </c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</row>
    <row r="171" spans="1:58" x14ac:dyDescent="0.35">
      <c r="A171" s="107" t="s">
        <v>1972</v>
      </c>
      <c r="B171" s="108" t="s">
        <v>0</v>
      </c>
      <c r="C171" s="109">
        <v>7</v>
      </c>
      <c r="D171" s="107" t="s">
        <v>687</v>
      </c>
      <c r="E171" s="109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</row>
    <row r="172" spans="1:58" x14ac:dyDescent="0.35">
      <c r="A172" s="107" t="s">
        <v>1973</v>
      </c>
      <c r="B172" s="108" t="s">
        <v>0</v>
      </c>
      <c r="C172" s="109">
        <v>7</v>
      </c>
      <c r="D172" s="107" t="s">
        <v>689</v>
      </c>
      <c r="E172" s="109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</row>
    <row r="173" spans="1:58" x14ac:dyDescent="0.35">
      <c r="A173" s="104" t="s">
        <v>1974</v>
      </c>
      <c r="B173" s="105" t="s">
        <v>0</v>
      </c>
      <c r="C173" s="106">
        <v>6</v>
      </c>
      <c r="D173" s="104" t="s">
        <v>1625</v>
      </c>
      <c r="E173" s="106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</row>
    <row r="174" spans="1:58" x14ac:dyDescent="0.35">
      <c r="A174" s="107" t="s">
        <v>1975</v>
      </c>
      <c r="B174" s="108" t="s">
        <v>0</v>
      </c>
      <c r="C174" s="109">
        <v>7</v>
      </c>
      <c r="D174" s="107" t="s">
        <v>1467</v>
      </c>
      <c r="E174" s="109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</row>
    <row r="175" spans="1:58" x14ac:dyDescent="0.35">
      <c r="A175" s="104" t="s">
        <v>1976</v>
      </c>
      <c r="B175" s="105" t="s">
        <v>0</v>
      </c>
      <c r="C175" s="106">
        <v>6</v>
      </c>
      <c r="D175" s="104" t="s">
        <v>123</v>
      </c>
      <c r="E175" s="106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</row>
    <row r="176" spans="1:58" x14ac:dyDescent="0.35">
      <c r="A176" s="107" t="s">
        <v>1977</v>
      </c>
      <c r="B176" s="108" t="s">
        <v>0</v>
      </c>
      <c r="C176" s="109">
        <v>7</v>
      </c>
      <c r="D176" s="107" t="s">
        <v>690</v>
      </c>
      <c r="E176" s="109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</row>
    <row r="177" spans="1:58" x14ac:dyDescent="0.35">
      <c r="A177" s="101" t="s">
        <v>1978</v>
      </c>
      <c r="B177" s="102" t="s">
        <v>0</v>
      </c>
      <c r="C177" s="103">
        <v>5</v>
      </c>
      <c r="D177" s="101" t="s">
        <v>68</v>
      </c>
      <c r="E177" s="103" t="s">
        <v>67</v>
      </c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</row>
    <row r="178" spans="1:58" x14ac:dyDescent="0.35">
      <c r="A178" s="104" t="s">
        <v>1979</v>
      </c>
      <c r="B178" s="105" t="s">
        <v>0</v>
      </c>
      <c r="C178" s="106">
        <v>6</v>
      </c>
      <c r="D178" s="104" t="s">
        <v>37</v>
      </c>
      <c r="E178" s="106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</row>
    <row r="179" spans="1:58" x14ac:dyDescent="0.35">
      <c r="A179" s="107" t="s">
        <v>1980</v>
      </c>
      <c r="B179" s="108" t="s">
        <v>0</v>
      </c>
      <c r="C179" s="109">
        <v>7</v>
      </c>
      <c r="D179" s="107" t="s">
        <v>691</v>
      </c>
      <c r="E179" s="109" t="s">
        <v>69</v>
      </c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</row>
    <row r="180" spans="1:58" x14ac:dyDescent="0.35">
      <c r="A180" s="107" t="s">
        <v>1981</v>
      </c>
      <c r="B180" s="108" t="s">
        <v>0</v>
      </c>
      <c r="C180" s="109">
        <v>7</v>
      </c>
      <c r="D180" s="107" t="s">
        <v>692</v>
      </c>
      <c r="E180" s="109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</row>
    <row r="181" spans="1:58" x14ac:dyDescent="0.35">
      <c r="A181" s="107" t="s">
        <v>1982</v>
      </c>
      <c r="B181" s="108" t="s">
        <v>0</v>
      </c>
      <c r="C181" s="109">
        <v>7</v>
      </c>
      <c r="D181" s="107" t="s">
        <v>693</v>
      </c>
      <c r="E181" s="109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</row>
    <row r="182" spans="1:58" x14ac:dyDescent="0.35">
      <c r="A182" s="104" t="s">
        <v>1983</v>
      </c>
      <c r="B182" s="105" t="s">
        <v>0</v>
      </c>
      <c r="C182" s="106">
        <v>6</v>
      </c>
      <c r="D182" s="104" t="s">
        <v>1625</v>
      </c>
      <c r="E182" s="106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</row>
    <row r="183" spans="1:58" x14ac:dyDescent="0.35">
      <c r="A183" s="107" t="s">
        <v>1984</v>
      </c>
      <c r="B183" s="108" t="s">
        <v>0</v>
      </c>
      <c r="C183" s="109">
        <v>7</v>
      </c>
      <c r="D183" s="107" t="s">
        <v>694</v>
      </c>
      <c r="E183" s="109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</row>
    <row r="184" spans="1:58" x14ac:dyDescent="0.35">
      <c r="A184" s="104" t="s">
        <v>1985</v>
      </c>
      <c r="B184" s="105" t="s">
        <v>0</v>
      </c>
      <c r="C184" s="106">
        <v>6</v>
      </c>
      <c r="D184" s="104" t="s">
        <v>123</v>
      </c>
      <c r="E184" s="106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</row>
    <row r="185" spans="1:58" x14ac:dyDescent="0.35">
      <c r="A185" s="107" t="s">
        <v>1986</v>
      </c>
      <c r="B185" s="108" t="s">
        <v>0</v>
      </c>
      <c r="C185" s="109">
        <v>7</v>
      </c>
      <c r="D185" s="107" t="s">
        <v>695</v>
      </c>
      <c r="E185" s="109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</row>
    <row r="186" spans="1:58" x14ac:dyDescent="0.35">
      <c r="A186" s="101" t="s">
        <v>1987</v>
      </c>
      <c r="B186" s="102" t="s">
        <v>0</v>
      </c>
      <c r="C186" s="103">
        <v>5</v>
      </c>
      <c r="D186" s="101" t="s">
        <v>70</v>
      </c>
      <c r="E186" s="103" t="s">
        <v>71</v>
      </c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</row>
    <row r="187" spans="1:58" x14ac:dyDescent="0.35">
      <c r="A187" s="104" t="s">
        <v>1988</v>
      </c>
      <c r="B187" s="105" t="s">
        <v>0</v>
      </c>
      <c r="C187" s="106">
        <v>6</v>
      </c>
      <c r="D187" s="104" t="s">
        <v>26</v>
      </c>
      <c r="E187" s="106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</row>
    <row r="188" spans="1:58" x14ac:dyDescent="0.35">
      <c r="A188" s="107" t="s">
        <v>1989</v>
      </c>
      <c r="B188" s="108" t="s">
        <v>0</v>
      </c>
      <c r="C188" s="109">
        <v>7</v>
      </c>
      <c r="D188" s="107" t="s">
        <v>72</v>
      </c>
      <c r="E188" s="109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</row>
    <row r="189" spans="1:58" x14ac:dyDescent="0.35">
      <c r="A189" s="107" t="s">
        <v>1990</v>
      </c>
      <c r="B189" s="108" t="s">
        <v>0</v>
      </c>
      <c r="C189" s="109">
        <v>7</v>
      </c>
      <c r="D189" s="107" t="s">
        <v>696</v>
      </c>
      <c r="E189" s="109" t="s">
        <v>73</v>
      </c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</row>
    <row r="190" spans="1:58" x14ac:dyDescent="0.35">
      <c r="A190" s="95" t="s">
        <v>1991</v>
      </c>
      <c r="B190" s="96" t="s">
        <v>0</v>
      </c>
      <c r="C190" s="97">
        <v>4</v>
      </c>
      <c r="D190" s="95" t="s">
        <v>1356</v>
      </c>
      <c r="E190" s="97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</row>
    <row r="191" spans="1:58" x14ac:dyDescent="0.35">
      <c r="A191" s="101" t="s">
        <v>1992</v>
      </c>
      <c r="B191" s="102" t="s">
        <v>0</v>
      </c>
      <c r="C191" s="103">
        <v>5</v>
      </c>
      <c r="D191" s="101" t="s">
        <v>883</v>
      </c>
      <c r="E191" s="103" t="s">
        <v>437</v>
      </c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</row>
    <row r="192" spans="1:58" x14ac:dyDescent="0.35">
      <c r="A192" s="104" t="s">
        <v>1993</v>
      </c>
      <c r="B192" s="105" t="s">
        <v>0</v>
      </c>
      <c r="C192" s="106">
        <v>6</v>
      </c>
      <c r="D192" s="104" t="s">
        <v>123</v>
      </c>
      <c r="E192" s="106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</row>
    <row r="193" spans="1:58" x14ac:dyDescent="0.35">
      <c r="A193" s="107" t="s">
        <v>1994</v>
      </c>
      <c r="B193" s="108" t="s">
        <v>0</v>
      </c>
      <c r="C193" s="109">
        <v>7</v>
      </c>
      <c r="D193" s="107" t="s">
        <v>884</v>
      </c>
      <c r="E193" s="109" t="s">
        <v>77</v>
      </c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</row>
    <row r="194" spans="1:58" x14ac:dyDescent="0.35">
      <c r="A194" s="107" t="s">
        <v>1995</v>
      </c>
      <c r="B194" s="108" t="s">
        <v>0</v>
      </c>
      <c r="C194" s="109">
        <v>7</v>
      </c>
      <c r="D194" s="107" t="s">
        <v>885</v>
      </c>
      <c r="E194" s="109" t="s">
        <v>75</v>
      </c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</row>
    <row r="195" spans="1:58" x14ac:dyDescent="0.35">
      <c r="A195" s="107" t="s">
        <v>1996</v>
      </c>
      <c r="B195" s="108" t="s">
        <v>0</v>
      </c>
      <c r="C195" s="109">
        <v>7</v>
      </c>
      <c r="D195" s="107" t="s">
        <v>886</v>
      </c>
      <c r="E195" s="109" t="s">
        <v>76</v>
      </c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</row>
    <row r="196" spans="1:58" x14ac:dyDescent="0.35">
      <c r="A196" s="107" t="s">
        <v>1997</v>
      </c>
      <c r="B196" s="108" t="s">
        <v>0</v>
      </c>
      <c r="C196" s="109">
        <v>7</v>
      </c>
      <c r="D196" s="107" t="s">
        <v>887</v>
      </c>
      <c r="E196" s="109" t="s">
        <v>1629</v>
      </c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</row>
    <row r="197" spans="1:58" x14ac:dyDescent="0.35">
      <c r="A197" s="107" t="s">
        <v>1998</v>
      </c>
      <c r="B197" s="108" t="s">
        <v>0</v>
      </c>
      <c r="C197" s="109">
        <v>7</v>
      </c>
      <c r="D197" s="107" t="s">
        <v>1333</v>
      </c>
      <c r="E197" s="109" t="s">
        <v>525</v>
      </c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</row>
    <row r="198" spans="1:58" x14ac:dyDescent="0.35">
      <c r="A198" s="107" t="s">
        <v>1999</v>
      </c>
      <c r="B198" s="108" t="s">
        <v>0</v>
      </c>
      <c r="C198" s="109">
        <v>7</v>
      </c>
      <c r="D198" s="107" t="s">
        <v>1334</v>
      </c>
      <c r="E198" s="109" t="s">
        <v>526</v>
      </c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</row>
    <row r="199" spans="1:58" x14ac:dyDescent="0.35">
      <c r="A199" s="107" t="s">
        <v>2000</v>
      </c>
      <c r="B199" s="108" t="s">
        <v>0</v>
      </c>
      <c r="C199" s="109">
        <v>7</v>
      </c>
      <c r="D199" s="107" t="s">
        <v>888</v>
      </c>
      <c r="E199" s="109" t="s">
        <v>527</v>
      </c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</row>
    <row r="200" spans="1:58" x14ac:dyDescent="0.35">
      <c r="A200" s="107" t="s">
        <v>2001</v>
      </c>
      <c r="B200" s="108" t="s">
        <v>0</v>
      </c>
      <c r="C200" s="109">
        <v>7</v>
      </c>
      <c r="D200" s="107" t="s">
        <v>889</v>
      </c>
      <c r="E200" s="109" t="s">
        <v>528</v>
      </c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</row>
    <row r="201" spans="1:58" x14ac:dyDescent="0.35">
      <c r="A201" s="107" t="s">
        <v>2002</v>
      </c>
      <c r="B201" s="108" t="s">
        <v>0</v>
      </c>
      <c r="C201" s="109">
        <v>7</v>
      </c>
      <c r="D201" s="107" t="s">
        <v>890</v>
      </c>
      <c r="E201" s="109" t="s">
        <v>529</v>
      </c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</row>
    <row r="202" spans="1:58" x14ac:dyDescent="0.35">
      <c r="A202" s="107" t="s">
        <v>2003</v>
      </c>
      <c r="B202" s="108" t="s">
        <v>0</v>
      </c>
      <c r="C202" s="109">
        <v>7</v>
      </c>
      <c r="D202" s="107" t="s">
        <v>892</v>
      </c>
      <c r="E202" s="109" t="s">
        <v>530</v>
      </c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</row>
    <row r="203" spans="1:58" x14ac:dyDescent="0.35">
      <c r="A203" s="107" t="s">
        <v>2004</v>
      </c>
      <c r="B203" s="108" t="s">
        <v>0</v>
      </c>
      <c r="C203" s="109">
        <v>7</v>
      </c>
      <c r="D203" s="107" t="s">
        <v>893</v>
      </c>
      <c r="E203" s="109" t="s">
        <v>531</v>
      </c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</row>
    <row r="204" spans="1:58" x14ac:dyDescent="0.35">
      <c r="A204" s="107" t="s">
        <v>2005</v>
      </c>
      <c r="B204" s="108" t="s">
        <v>0</v>
      </c>
      <c r="C204" s="109">
        <v>7</v>
      </c>
      <c r="D204" s="107" t="s">
        <v>894</v>
      </c>
      <c r="E204" s="109" t="s">
        <v>532</v>
      </c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</row>
    <row r="205" spans="1:58" x14ac:dyDescent="0.35">
      <c r="A205" s="107" t="s">
        <v>2006</v>
      </c>
      <c r="B205" s="108" t="s">
        <v>0</v>
      </c>
      <c r="C205" s="109">
        <v>7</v>
      </c>
      <c r="D205" s="107" t="s">
        <v>1331</v>
      </c>
      <c r="E205" s="109" t="s">
        <v>533</v>
      </c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</row>
    <row r="206" spans="1:58" x14ac:dyDescent="0.35">
      <c r="A206" s="107" t="s">
        <v>2007</v>
      </c>
      <c r="B206" s="108" t="s">
        <v>0</v>
      </c>
      <c r="C206" s="109">
        <v>7</v>
      </c>
      <c r="D206" s="107" t="s">
        <v>1332</v>
      </c>
      <c r="E206" s="109" t="s">
        <v>534</v>
      </c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</row>
    <row r="207" spans="1:58" x14ac:dyDescent="0.35">
      <c r="A207" s="107" t="s">
        <v>2008</v>
      </c>
      <c r="B207" s="108" t="s">
        <v>0</v>
      </c>
      <c r="C207" s="109">
        <v>7</v>
      </c>
      <c r="D207" s="107" t="s">
        <v>895</v>
      </c>
      <c r="E207" s="109" t="s">
        <v>535</v>
      </c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</row>
    <row r="208" spans="1:58" x14ac:dyDescent="0.35">
      <c r="A208" s="107" t="s">
        <v>2009</v>
      </c>
      <c r="B208" s="108" t="s">
        <v>0</v>
      </c>
      <c r="C208" s="109">
        <v>7</v>
      </c>
      <c r="D208" s="107" t="s">
        <v>896</v>
      </c>
      <c r="E208" s="109" t="s">
        <v>536</v>
      </c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</row>
    <row r="209" spans="1:58" x14ac:dyDescent="0.35">
      <c r="A209" s="107" t="s">
        <v>2010</v>
      </c>
      <c r="B209" s="108" t="s">
        <v>0</v>
      </c>
      <c r="C209" s="109">
        <v>7</v>
      </c>
      <c r="D209" s="107" t="s">
        <v>891</v>
      </c>
      <c r="E209" s="109" t="s">
        <v>537</v>
      </c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</row>
    <row r="210" spans="1:58" x14ac:dyDescent="0.35">
      <c r="A210" s="107" t="s">
        <v>2011</v>
      </c>
      <c r="B210" s="108" t="s">
        <v>0</v>
      </c>
      <c r="C210" s="109">
        <v>7</v>
      </c>
      <c r="D210" s="107" t="s">
        <v>898</v>
      </c>
      <c r="E210" s="109" t="s">
        <v>538</v>
      </c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</row>
    <row r="211" spans="1:58" x14ac:dyDescent="0.35">
      <c r="A211" s="107" t="s">
        <v>2012</v>
      </c>
      <c r="B211" s="108" t="s">
        <v>0</v>
      </c>
      <c r="C211" s="109">
        <v>7</v>
      </c>
      <c r="D211" s="107" t="s">
        <v>899</v>
      </c>
      <c r="E211" s="109" t="s">
        <v>539</v>
      </c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</row>
    <row r="212" spans="1:58" x14ac:dyDescent="0.35">
      <c r="A212" s="107" t="s">
        <v>2013</v>
      </c>
      <c r="B212" s="108" t="s">
        <v>0</v>
      </c>
      <c r="C212" s="109">
        <v>7</v>
      </c>
      <c r="D212" s="107" t="s">
        <v>897</v>
      </c>
      <c r="E212" s="109" t="s">
        <v>540</v>
      </c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</row>
    <row r="213" spans="1:58" x14ac:dyDescent="0.35">
      <c r="A213" s="107" t="s">
        <v>2014</v>
      </c>
      <c r="B213" s="108" t="s">
        <v>0</v>
      </c>
      <c r="C213" s="109">
        <v>7</v>
      </c>
      <c r="D213" s="107" t="s">
        <v>1329</v>
      </c>
      <c r="E213" s="109" t="s">
        <v>541</v>
      </c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</row>
    <row r="214" spans="1:58" x14ac:dyDescent="0.35">
      <c r="A214" s="107" t="s">
        <v>2015</v>
      </c>
      <c r="B214" s="108" t="s">
        <v>0</v>
      </c>
      <c r="C214" s="109">
        <v>7</v>
      </c>
      <c r="D214" s="107" t="s">
        <v>1330</v>
      </c>
      <c r="E214" s="109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</row>
    <row r="215" spans="1:58" x14ac:dyDescent="0.35">
      <c r="A215" s="107" t="s">
        <v>2016</v>
      </c>
      <c r="B215" s="108" t="s">
        <v>0</v>
      </c>
      <c r="C215" s="109">
        <v>7</v>
      </c>
      <c r="D215" s="107" t="s">
        <v>900</v>
      </c>
      <c r="E215" s="109" t="s">
        <v>542</v>
      </c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</row>
    <row r="216" spans="1:58" x14ac:dyDescent="0.35">
      <c r="A216" s="107" t="s">
        <v>2017</v>
      </c>
      <c r="B216" s="108" t="s">
        <v>0</v>
      </c>
      <c r="C216" s="109">
        <v>7</v>
      </c>
      <c r="D216" s="107" t="s">
        <v>901</v>
      </c>
      <c r="E216" s="109" t="s">
        <v>543</v>
      </c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</row>
    <row r="217" spans="1:58" x14ac:dyDescent="0.35">
      <c r="A217" s="107" t="s">
        <v>2018</v>
      </c>
      <c r="B217" s="108" t="s">
        <v>0</v>
      </c>
      <c r="C217" s="109">
        <v>7</v>
      </c>
      <c r="D217" s="107" t="s">
        <v>902</v>
      </c>
      <c r="E217" s="109" t="s">
        <v>544</v>
      </c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</row>
    <row r="218" spans="1:58" x14ac:dyDescent="0.35">
      <c r="A218" s="107" t="s">
        <v>2019</v>
      </c>
      <c r="B218" s="108" t="s">
        <v>0</v>
      </c>
      <c r="C218" s="109">
        <v>7</v>
      </c>
      <c r="D218" s="107" t="s">
        <v>903</v>
      </c>
      <c r="E218" s="109" t="s">
        <v>74</v>
      </c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</row>
    <row r="219" spans="1:58" x14ac:dyDescent="0.35">
      <c r="A219" s="107" t="s">
        <v>2020</v>
      </c>
      <c r="B219" s="108" t="s">
        <v>0</v>
      </c>
      <c r="C219" s="109">
        <v>7</v>
      </c>
      <c r="D219" s="107" t="s">
        <v>1504</v>
      </c>
      <c r="E219" s="109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</row>
    <row r="220" spans="1:58" x14ac:dyDescent="0.35">
      <c r="A220" s="107" t="s">
        <v>2021</v>
      </c>
      <c r="B220" s="108" t="s">
        <v>0</v>
      </c>
      <c r="C220" s="109">
        <v>7</v>
      </c>
      <c r="D220" s="107" t="s">
        <v>1424</v>
      </c>
      <c r="E220" s="109" t="s">
        <v>1425</v>
      </c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</row>
    <row r="221" spans="1:58" x14ac:dyDescent="0.35">
      <c r="A221" s="107" t="s">
        <v>2022</v>
      </c>
      <c r="B221" s="108" t="s">
        <v>0</v>
      </c>
      <c r="C221" s="109">
        <v>7</v>
      </c>
      <c r="D221" s="107" t="s">
        <v>1424</v>
      </c>
      <c r="E221" s="109" t="s">
        <v>1426</v>
      </c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</row>
    <row r="222" spans="1:58" x14ac:dyDescent="0.35">
      <c r="A222" s="98" t="s">
        <v>2023</v>
      </c>
      <c r="B222" s="99" t="s">
        <v>0</v>
      </c>
      <c r="C222" s="100">
        <v>3</v>
      </c>
      <c r="D222" s="98" t="s">
        <v>560</v>
      </c>
      <c r="E222" s="100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</row>
    <row r="223" spans="1:58" x14ac:dyDescent="0.35">
      <c r="A223" s="95" t="s">
        <v>2024</v>
      </c>
      <c r="B223" s="96" t="s">
        <v>0</v>
      </c>
      <c r="C223" s="97">
        <v>4</v>
      </c>
      <c r="D223" s="95" t="s">
        <v>1792</v>
      </c>
      <c r="E223" s="97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4"/>
      <c r="BE223" s="94"/>
      <c r="BF223" s="94"/>
    </row>
    <row r="224" spans="1:58" x14ac:dyDescent="0.35">
      <c r="A224" s="101" t="s">
        <v>2025</v>
      </c>
      <c r="B224" s="102" t="s">
        <v>0</v>
      </c>
      <c r="C224" s="103">
        <v>5</v>
      </c>
      <c r="D224" s="101" t="s">
        <v>1571</v>
      </c>
      <c r="E224" s="103" t="s">
        <v>82</v>
      </c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4"/>
      <c r="BE224" s="94"/>
      <c r="BF224" s="94"/>
    </row>
    <row r="225" spans="1:58" x14ac:dyDescent="0.35">
      <c r="A225" s="104" t="s">
        <v>2026</v>
      </c>
      <c r="B225" s="105" t="s">
        <v>0</v>
      </c>
      <c r="C225" s="106">
        <v>6</v>
      </c>
      <c r="D225" s="104" t="s">
        <v>9</v>
      </c>
      <c r="E225" s="106" t="s">
        <v>1568</v>
      </c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4"/>
      <c r="BE225" s="94"/>
      <c r="BF225" s="94"/>
    </row>
    <row r="226" spans="1:58" x14ac:dyDescent="0.35">
      <c r="A226" s="107" t="s">
        <v>2027</v>
      </c>
      <c r="B226" s="108" t="s">
        <v>0</v>
      </c>
      <c r="C226" s="109">
        <v>7</v>
      </c>
      <c r="D226" s="107" t="s">
        <v>631</v>
      </c>
      <c r="E226" s="109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4"/>
      <c r="BE226" s="94"/>
      <c r="BF226" s="94"/>
    </row>
    <row r="227" spans="1:58" x14ac:dyDescent="0.35">
      <c r="A227" s="107" t="s">
        <v>2028</v>
      </c>
      <c r="B227" s="108" t="s">
        <v>0</v>
      </c>
      <c r="C227" s="109">
        <v>7</v>
      </c>
      <c r="D227" s="107" t="s">
        <v>714</v>
      </c>
      <c r="E227" s="109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4"/>
      <c r="BE227" s="94"/>
      <c r="BF227" s="94"/>
    </row>
    <row r="228" spans="1:58" x14ac:dyDescent="0.35">
      <c r="A228" s="107" t="s">
        <v>2029</v>
      </c>
      <c r="B228" s="108" t="s">
        <v>0</v>
      </c>
      <c r="C228" s="109">
        <v>7</v>
      </c>
      <c r="D228" s="107" t="s">
        <v>632</v>
      </c>
      <c r="E228" s="109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</row>
    <row r="229" spans="1:58" x14ac:dyDescent="0.35">
      <c r="A229" s="107" t="s">
        <v>2030</v>
      </c>
      <c r="B229" s="108" t="s">
        <v>0</v>
      </c>
      <c r="C229" s="109">
        <v>7</v>
      </c>
      <c r="D229" s="107" t="s">
        <v>708</v>
      </c>
      <c r="E229" s="109" t="s">
        <v>1569</v>
      </c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</row>
    <row r="230" spans="1:58" x14ac:dyDescent="0.35">
      <c r="A230" s="107" t="s">
        <v>2031</v>
      </c>
      <c r="B230" s="108" t="s">
        <v>0</v>
      </c>
      <c r="C230" s="109">
        <v>7</v>
      </c>
      <c r="D230" s="107" t="s">
        <v>1518</v>
      </c>
      <c r="E230" s="109" t="s">
        <v>1572</v>
      </c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4"/>
      <c r="BE230" s="94"/>
      <c r="BF230" s="94"/>
    </row>
    <row r="231" spans="1:58" x14ac:dyDescent="0.35">
      <c r="A231" s="104" t="s">
        <v>2032</v>
      </c>
      <c r="B231" s="105" t="s">
        <v>0</v>
      </c>
      <c r="C231" s="106">
        <v>6</v>
      </c>
      <c r="D231" s="104" t="s">
        <v>8</v>
      </c>
      <c r="E231" s="106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</row>
    <row r="232" spans="1:58" x14ac:dyDescent="0.35">
      <c r="A232" s="107" t="s">
        <v>2033</v>
      </c>
      <c r="B232" s="108" t="s">
        <v>0</v>
      </c>
      <c r="C232" s="109">
        <v>7</v>
      </c>
      <c r="D232" s="107" t="s">
        <v>1462</v>
      </c>
      <c r="E232" s="109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4"/>
      <c r="BE232" s="94"/>
      <c r="BF232" s="94"/>
    </row>
    <row r="233" spans="1:58" x14ac:dyDescent="0.35">
      <c r="A233" s="107" t="s">
        <v>2034</v>
      </c>
      <c r="B233" s="108" t="s">
        <v>0</v>
      </c>
      <c r="C233" s="109">
        <v>7</v>
      </c>
      <c r="D233" s="107" t="s">
        <v>1567</v>
      </c>
      <c r="E233" s="109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</row>
    <row r="234" spans="1:58" x14ac:dyDescent="0.35">
      <c r="A234" s="104" t="s">
        <v>2035</v>
      </c>
      <c r="B234" s="105" t="s">
        <v>0</v>
      </c>
      <c r="C234" s="106">
        <v>6</v>
      </c>
      <c r="D234" s="104" t="s">
        <v>26</v>
      </c>
      <c r="E234" s="106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4"/>
      <c r="BE234" s="94"/>
      <c r="BF234" s="94"/>
    </row>
    <row r="235" spans="1:58" x14ac:dyDescent="0.35">
      <c r="A235" s="107" t="s">
        <v>2036</v>
      </c>
      <c r="B235" s="108" t="s">
        <v>0</v>
      </c>
      <c r="C235" s="109">
        <v>7</v>
      </c>
      <c r="D235" s="107" t="s">
        <v>3</v>
      </c>
      <c r="E235" s="109" t="s">
        <v>83</v>
      </c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</row>
    <row r="236" spans="1:58" x14ac:dyDescent="0.35">
      <c r="A236" s="101" t="s">
        <v>2037</v>
      </c>
      <c r="B236" s="102" t="s">
        <v>0</v>
      </c>
      <c r="C236" s="103">
        <v>5</v>
      </c>
      <c r="D236" s="101" t="s">
        <v>79</v>
      </c>
      <c r="E236" s="103" t="s">
        <v>78</v>
      </c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</row>
    <row r="237" spans="1:58" x14ac:dyDescent="0.35">
      <c r="A237" s="104" t="s">
        <v>2038</v>
      </c>
      <c r="B237" s="105" t="s">
        <v>0</v>
      </c>
      <c r="C237" s="106">
        <v>6</v>
      </c>
      <c r="D237" s="104" t="s">
        <v>8</v>
      </c>
      <c r="E237" s="106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</row>
    <row r="238" spans="1:58" x14ac:dyDescent="0.35">
      <c r="A238" s="107" t="s">
        <v>2039</v>
      </c>
      <c r="B238" s="108" t="s">
        <v>0</v>
      </c>
      <c r="C238" s="109">
        <v>7</v>
      </c>
      <c r="D238" s="107" t="s">
        <v>698</v>
      </c>
      <c r="E238" s="109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4"/>
      <c r="BE238" s="94"/>
      <c r="BF238" s="94"/>
    </row>
    <row r="239" spans="1:58" x14ac:dyDescent="0.35">
      <c r="A239" s="107" t="s">
        <v>2040</v>
      </c>
      <c r="B239" s="108" t="s">
        <v>0</v>
      </c>
      <c r="C239" s="109">
        <v>7</v>
      </c>
      <c r="D239" s="107" t="s">
        <v>697</v>
      </c>
      <c r="E239" s="109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4"/>
      <c r="BE239" s="94"/>
      <c r="BF239" s="94"/>
    </row>
    <row r="240" spans="1:58" x14ac:dyDescent="0.35">
      <c r="A240" s="107" t="s">
        <v>2041</v>
      </c>
      <c r="B240" s="108" t="s">
        <v>0</v>
      </c>
      <c r="C240" s="109">
        <v>7</v>
      </c>
      <c r="D240" s="107" t="s">
        <v>699</v>
      </c>
      <c r="E240" s="109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4"/>
      <c r="BE240" s="94"/>
      <c r="BF240" s="94"/>
    </row>
    <row r="241" spans="1:58" x14ac:dyDescent="0.35">
      <c r="A241" s="107" t="s">
        <v>2042</v>
      </c>
      <c r="B241" s="108" t="s">
        <v>0</v>
      </c>
      <c r="C241" s="109">
        <v>7</v>
      </c>
      <c r="D241" s="107" t="s">
        <v>700</v>
      </c>
      <c r="E241" s="109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</row>
    <row r="242" spans="1:58" x14ac:dyDescent="0.35">
      <c r="A242" s="104" t="s">
        <v>2043</v>
      </c>
      <c r="B242" s="105" t="s">
        <v>0</v>
      </c>
      <c r="C242" s="106">
        <v>6</v>
      </c>
      <c r="D242" s="104" t="s">
        <v>30</v>
      </c>
      <c r="E242" s="106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</row>
    <row r="243" spans="1:58" x14ac:dyDescent="0.35">
      <c r="A243" s="107" t="s">
        <v>2044</v>
      </c>
      <c r="B243" s="108" t="s">
        <v>0</v>
      </c>
      <c r="C243" s="109">
        <v>7</v>
      </c>
      <c r="D243" s="107" t="s">
        <v>1530</v>
      </c>
      <c r="E243" s="109" t="s">
        <v>1544</v>
      </c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</row>
    <row r="244" spans="1:58" x14ac:dyDescent="0.35">
      <c r="A244" s="107" t="s">
        <v>2045</v>
      </c>
      <c r="B244" s="108" t="s">
        <v>0</v>
      </c>
      <c r="C244" s="109">
        <v>7</v>
      </c>
      <c r="D244" s="107" t="s">
        <v>1530</v>
      </c>
      <c r="E244" s="109" t="s">
        <v>1545</v>
      </c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</row>
    <row r="245" spans="1:58" x14ac:dyDescent="0.35">
      <c r="A245" s="107" t="s">
        <v>2046</v>
      </c>
      <c r="B245" s="108" t="s">
        <v>0</v>
      </c>
      <c r="C245" s="109">
        <v>7</v>
      </c>
      <c r="D245" s="107" t="s">
        <v>1583</v>
      </c>
      <c r="E245" s="109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</row>
    <row r="246" spans="1:58" x14ac:dyDescent="0.35">
      <c r="A246" s="107" t="s">
        <v>2047</v>
      </c>
      <c r="B246" s="108" t="s">
        <v>0</v>
      </c>
      <c r="C246" s="109">
        <v>7</v>
      </c>
      <c r="D246" s="107" t="s">
        <v>1584</v>
      </c>
      <c r="E246" s="109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</row>
    <row r="247" spans="1:58" x14ac:dyDescent="0.35">
      <c r="A247" s="107" t="s">
        <v>2048</v>
      </c>
      <c r="B247" s="108" t="s">
        <v>0</v>
      </c>
      <c r="C247" s="109">
        <v>7</v>
      </c>
      <c r="D247" s="107" t="s">
        <v>1596</v>
      </c>
      <c r="E247" s="109" t="s">
        <v>1546</v>
      </c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</row>
    <row r="248" spans="1:58" x14ac:dyDescent="0.35">
      <c r="A248" s="107" t="s">
        <v>2049</v>
      </c>
      <c r="B248" s="108" t="s">
        <v>0</v>
      </c>
      <c r="C248" s="109">
        <v>7</v>
      </c>
      <c r="D248" s="107" t="s">
        <v>1595</v>
      </c>
      <c r="E248" s="109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</row>
    <row r="249" spans="1:58" x14ac:dyDescent="0.35">
      <c r="A249" s="107" t="s">
        <v>2050</v>
      </c>
      <c r="B249" s="108" t="s">
        <v>0</v>
      </c>
      <c r="C249" s="109">
        <v>7</v>
      </c>
      <c r="D249" s="107" t="s">
        <v>1509</v>
      </c>
      <c r="E249" s="109" t="s">
        <v>1549</v>
      </c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</row>
    <row r="250" spans="1:58" x14ac:dyDescent="0.35">
      <c r="A250" s="107" t="s">
        <v>2051</v>
      </c>
      <c r="B250" s="108" t="s">
        <v>0</v>
      </c>
      <c r="C250" s="109">
        <v>7</v>
      </c>
      <c r="D250" s="107" t="s">
        <v>1538</v>
      </c>
      <c r="E250" s="109" t="s">
        <v>1550</v>
      </c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</row>
    <row r="251" spans="1:58" x14ac:dyDescent="0.35">
      <c r="A251" s="107" t="s">
        <v>2052</v>
      </c>
      <c r="B251" s="108" t="s">
        <v>0</v>
      </c>
      <c r="C251" s="109">
        <v>7</v>
      </c>
      <c r="D251" s="107" t="s">
        <v>1534</v>
      </c>
      <c r="E251" s="109" t="s">
        <v>1547</v>
      </c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</row>
    <row r="252" spans="1:58" x14ac:dyDescent="0.35">
      <c r="A252" s="107" t="s">
        <v>2053</v>
      </c>
      <c r="B252" s="108" t="s">
        <v>0</v>
      </c>
      <c r="C252" s="109">
        <v>7</v>
      </c>
      <c r="D252" s="107" t="s">
        <v>1510</v>
      </c>
      <c r="E252" s="109" t="s">
        <v>1548</v>
      </c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</row>
    <row r="253" spans="1:58" x14ac:dyDescent="0.35">
      <c r="A253" s="104" t="s">
        <v>2054</v>
      </c>
      <c r="B253" s="105" t="s">
        <v>0</v>
      </c>
      <c r="C253" s="106">
        <v>6</v>
      </c>
      <c r="D253" s="104" t="s">
        <v>1627</v>
      </c>
      <c r="E253" s="106" t="s">
        <v>85</v>
      </c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</row>
    <row r="254" spans="1:58" x14ac:dyDescent="0.35">
      <c r="A254" s="107" t="s">
        <v>2055</v>
      </c>
      <c r="B254" s="108" t="s">
        <v>0</v>
      </c>
      <c r="C254" s="109">
        <v>7</v>
      </c>
      <c r="D254" s="107" t="s">
        <v>1590</v>
      </c>
      <c r="E254" s="109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</row>
    <row r="255" spans="1:58" x14ac:dyDescent="0.35">
      <c r="A255" s="107" t="s">
        <v>2056</v>
      </c>
      <c r="B255" s="108" t="s">
        <v>0</v>
      </c>
      <c r="C255" s="109">
        <v>7</v>
      </c>
      <c r="D255" s="107" t="s">
        <v>1354</v>
      </c>
      <c r="E255" s="109" t="s">
        <v>1553</v>
      </c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</row>
    <row r="256" spans="1:58" x14ac:dyDescent="0.35">
      <c r="A256" s="107" t="s">
        <v>2057</v>
      </c>
      <c r="B256" s="108" t="s">
        <v>0</v>
      </c>
      <c r="C256" s="109">
        <v>7</v>
      </c>
      <c r="D256" s="107" t="s">
        <v>703</v>
      </c>
      <c r="E256" s="109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</row>
    <row r="257" spans="1:58" x14ac:dyDescent="0.35">
      <c r="A257" s="107" t="s">
        <v>2058</v>
      </c>
      <c r="B257" s="108" t="s">
        <v>0</v>
      </c>
      <c r="C257" s="109">
        <v>7</v>
      </c>
      <c r="D257" s="107" t="s">
        <v>1511</v>
      </c>
      <c r="E257" s="109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</row>
    <row r="258" spans="1:58" x14ac:dyDescent="0.35">
      <c r="A258" s="107" t="s">
        <v>2059</v>
      </c>
      <c r="B258" s="108" t="s">
        <v>0</v>
      </c>
      <c r="C258" s="109">
        <v>7</v>
      </c>
      <c r="D258" s="107" t="s">
        <v>1512</v>
      </c>
      <c r="E258" s="109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</row>
    <row r="259" spans="1:58" x14ac:dyDescent="0.35">
      <c r="A259" s="104" t="s">
        <v>2060</v>
      </c>
      <c r="B259" s="105" t="s">
        <v>0</v>
      </c>
      <c r="C259" s="106">
        <v>6</v>
      </c>
      <c r="D259" s="104" t="s">
        <v>9</v>
      </c>
      <c r="E259" s="106" t="s">
        <v>84</v>
      </c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</row>
    <row r="260" spans="1:58" x14ac:dyDescent="0.35">
      <c r="A260" s="107" t="s">
        <v>2061</v>
      </c>
      <c r="B260" s="108" t="s">
        <v>0</v>
      </c>
      <c r="C260" s="109">
        <v>7</v>
      </c>
      <c r="D260" s="107" t="s">
        <v>717</v>
      </c>
      <c r="E260" s="109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</row>
    <row r="261" spans="1:58" x14ac:dyDescent="0.35">
      <c r="A261" s="107" t="s">
        <v>2062</v>
      </c>
      <c r="B261" s="108" t="s">
        <v>0</v>
      </c>
      <c r="C261" s="109">
        <v>7</v>
      </c>
      <c r="D261" s="107" t="s">
        <v>701</v>
      </c>
      <c r="E261" s="109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</row>
    <row r="262" spans="1:58" x14ac:dyDescent="0.35">
      <c r="A262" s="107" t="s">
        <v>2063</v>
      </c>
      <c r="B262" s="108" t="s">
        <v>0</v>
      </c>
      <c r="C262" s="109">
        <v>7</v>
      </c>
      <c r="D262" s="107" t="s">
        <v>636</v>
      </c>
      <c r="E262" s="109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</row>
    <row r="263" spans="1:58" x14ac:dyDescent="0.35">
      <c r="A263" s="107" t="s">
        <v>2064</v>
      </c>
      <c r="B263" s="108" t="s">
        <v>0</v>
      </c>
      <c r="C263" s="109">
        <v>7</v>
      </c>
      <c r="D263" s="107" t="s">
        <v>702</v>
      </c>
      <c r="E263" s="109" t="s">
        <v>1514</v>
      </c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</row>
    <row r="264" spans="1:58" x14ac:dyDescent="0.35">
      <c r="A264" s="107" t="s">
        <v>2065</v>
      </c>
      <c r="B264" s="108" t="s">
        <v>0</v>
      </c>
      <c r="C264" s="109">
        <v>7</v>
      </c>
      <c r="D264" s="107" t="s">
        <v>1608</v>
      </c>
      <c r="E264" s="109" t="s">
        <v>1515</v>
      </c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</row>
    <row r="265" spans="1:58" x14ac:dyDescent="0.35">
      <c r="A265" s="107" t="s">
        <v>2066</v>
      </c>
      <c r="B265" s="108" t="s">
        <v>0</v>
      </c>
      <c r="C265" s="109">
        <v>7</v>
      </c>
      <c r="D265" s="107" t="s">
        <v>1609</v>
      </c>
      <c r="E265" s="109" t="s">
        <v>1516</v>
      </c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</row>
    <row r="266" spans="1:58" x14ac:dyDescent="0.35">
      <c r="A266" s="107" t="s">
        <v>2067</v>
      </c>
      <c r="B266" s="108" t="s">
        <v>0</v>
      </c>
      <c r="C266" s="109">
        <v>7</v>
      </c>
      <c r="D266" s="107" t="s">
        <v>1518</v>
      </c>
      <c r="E266" s="109" t="s">
        <v>1517</v>
      </c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</row>
    <row r="267" spans="1:58" x14ac:dyDescent="0.35">
      <c r="A267" s="107" t="s">
        <v>2068</v>
      </c>
      <c r="B267" s="108" t="s">
        <v>0</v>
      </c>
      <c r="C267" s="109">
        <v>7</v>
      </c>
      <c r="D267" s="107" t="s">
        <v>1540</v>
      </c>
      <c r="E267" s="109" t="s">
        <v>1551</v>
      </c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</row>
    <row r="268" spans="1:58" x14ac:dyDescent="0.35">
      <c r="A268" s="107" t="s">
        <v>2069</v>
      </c>
      <c r="B268" s="108" t="s">
        <v>0</v>
      </c>
      <c r="C268" s="109">
        <v>7</v>
      </c>
      <c r="D268" s="107" t="s">
        <v>1542</v>
      </c>
      <c r="E268" s="109" t="s">
        <v>1552</v>
      </c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</row>
    <row r="269" spans="1:58" x14ac:dyDescent="0.35">
      <c r="A269" s="104" t="s">
        <v>2070</v>
      </c>
      <c r="B269" s="105" t="s">
        <v>0</v>
      </c>
      <c r="C269" s="106">
        <v>6</v>
      </c>
      <c r="D269" s="104" t="s">
        <v>26</v>
      </c>
      <c r="E269" s="106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</row>
    <row r="270" spans="1:58" x14ac:dyDescent="0.35">
      <c r="A270" s="107" t="s">
        <v>2071</v>
      </c>
      <c r="B270" s="108" t="s">
        <v>0</v>
      </c>
      <c r="C270" s="109">
        <v>7</v>
      </c>
      <c r="D270" s="107" t="s">
        <v>81</v>
      </c>
      <c r="E270" s="109" t="s">
        <v>80</v>
      </c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</row>
    <row r="271" spans="1:58" x14ac:dyDescent="0.35">
      <c r="A271" s="107" t="s">
        <v>2072</v>
      </c>
      <c r="B271" s="108" t="s">
        <v>0</v>
      </c>
      <c r="C271" s="109">
        <v>7</v>
      </c>
      <c r="D271" s="107" t="s">
        <v>94</v>
      </c>
      <c r="E271" s="109" t="s">
        <v>93</v>
      </c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</row>
    <row r="272" spans="1:58" x14ac:dyDescent="0.35">
      <c r="A272" s="107" t="s">
        <v>2073</v>
      </c>
      <c r="B272" s="108" t="s">
        <v>0</v>
      </c>
      <c r="C272" s="109">
        <v>7</v>
      </c>
      <c r="D272" s="107" t="s">
        <v>98</v>
      </c>
      <c r="E272" s="109" t="s">
        <v>97</v>
      </c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</row>
    <row r="273" spans="1:58" x14ac:dyDescent="0.35">
      <c r="A273" s="101" t="s">
        <v>2074</v>
      </c>
      <c r="B273" s="102" t="s">
        <v>0</v>
      </c>
      <c r="C273" s="103">
        <v>5</v>
      </c>
      <c r="D273" s="101" t="s">
        <v>1570</v>
      </c>
      <c r="E273" s="103" t="s">
        <v>1573</v>
      </c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</row>
    <row r="274" spans="1:58" x14ac:dyDescent="0.35">
      <c r="A274" s="104" t="s">
        <v>2075</v>
      </c>
      <c r="B274" s="105" t="s">
        <v>0</v>
      </c>
      <c r="C274" s="106">
        <v>6</v>
      </c>
      <c r="D274" s="104" t="s">
        <v>9</v>
      </c>
      <c r="E274" s="106" t="s">
        <v>1574</v>
      </c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</row>
    <row r="275" spans="1:58" x14ac:dyDescent="0.35">
      <c r="A275" s="107" t="s">
        <v>2076</v>
      </c>
      <c r="B275" s="108" t="s">
        <v>0</v>
      </c>
      <c r="C275" s="109">
        <v>7</v>
      </c>
      <c r="D275" s="107" t="s">
        <v>631</v>
      </c>
      <c r="E275" s="109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</row>
    <row r="276" spans="1:58" x14ac:dyDescent="0.35">
      <c r="A276" s="107" t="s">
        <v>2077</v>
      </c>
      <c r="B276" s="108" t="s">
        <v>0</v>
      </c>
      <c r="C276" s="109">
        <v>7</v>
      </c>
      <c r="D276" s="107" t="s">
        <v>714</v>
      </c>
      <c r="E276" s="109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</row>
    <row r="277" spans="1:58" x14ac:dyDescent="0.35">
      <c r="A277" s="107" t="s">
        <v>2078</v>
      </c>
      <c r="B277" s="108" t="s">
        <v>0</v>
      </c>
      <c r="C277" s="109">
        <v>7</v>
      </c>
      <c r="D277" s="107" t="s">
        <v>632</v>
      </c>
      <c r="E277" s="109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</row>
    <row r="278" spans="1:58" x14ac:dyDescent="0.35">
      <c r="A278" s="107" t="s">
        <v>2079</v>
      </c>
      <c r="B278" s="108" t="s">
        <v>0</v>
      </c>
      <c r="C278" s="109">
        <v>7</v>
      </c>
      <c r="D278" s="107" t="s">
        <v>708</v>
      </c>
      <c r="E278" s="109" t="s">
        <v>1575</v>
      </c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</row>
    <row r="279" spans="1:58" x14ac:dyDescent="0.35">
      <c r="A279" s="107" t="s">
        <v>2080</v>
      </c>
      <c r="B279" s="108" t="s">
        <v>0</v>
      </c>
      <c r="C279" s="109">
        <v>7</v>
      </c>
      <c r="D279" s="107" t="s">
        <v>1518</v>
      </c>
      <c r="E279" s="109" t="s">
        <v>1576</v>
      </c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</row>
    <row r="280" spans="1:58" x14ac:dyDescent="0.35">
      <c r="A280" s="104" t="s">
        <v>2081</v>
      </c>
      <c r="B280" s="105" t="s">
        <v>0</v>
      </c>
      <c r="C280" s="106">
        <v>6</v>
      </c>
      <c r="D280" s="104" t="s">
        <v>8</v>
      </c>
      <c r="E280" s="106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</row>
    <row r="281" spans="1:58" x14ac:dyDescent="0.35">
      <c r="A281" s="107" t="s">
        <v>2082</v>
      </c>
      <c r="B281" s="108" t="s">
        <v>0</v>
      </c>
      <c r="C281" s="109">
        <v>7</v>
      </c>
      <c r="D281" s="107" t="s">
        <v>1462</v>
      </c>
      <c r="E281" s="109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</row>
    <row r="282" spans="1:58" x14ac:dyDescent="0.35">
      <c r="A282" s="107" t="s">
        <v>2083</v>
      </c>
      <c r="B282" s="108" t="s">
        <v>0</v>
      </c>
      <c r="C282" s="109">
        <v>7</v>
      </c>
      <c r="D282" s="107" t="s">
        <v>1567</v>
      </c>
      <c r="E282" s="109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</row>
    <row r="283" spans="1:58" x14ac:dyDescent="0.35">
      <c r="A283" s="104" t="s">
        <v>2084</v>
      </c>
      <c r="B283" s="105" t="s">
        <v>0</v>
      </c>
      <c r="C283" s="106">
        <v>6</v>
      </c>
      <c r="D283" s="104" t="s">
        <v>26</v>
      </c>
      <c r="E283" s="106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</row>
    <row r="284" spans="1:58" x14ac:dyDescent="0.35">
      <c r="A284" s="107" t="s">
        <v>2085</v>
      </c>
      <c r="B284" s="108" t="s">
        <v>0</v>
      </c>
      <c r="C284" s="109">
        <v>7</v>
      </c>
      <c r="D284" s="107" t="s">
        <v>3</v>
      </c>
      <c r="E284" s="109" t="s">
        <v>1577</v>
      </c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</row>
    <row r="285" spans="1:58" x14ac:dyDescent="0.35">
      <c r="A285" s="101" t="s">
        <v>2086</v>
      </c>
      <c r="B285" s="102" t="s">
        <v>0</v>
      </c>
      <c r="C285" s="103">
        <v>5</v>
      </c>
      <c r="D285" s="101" t="s">
        <v>87</v>
      </c>
      <c r="E285" s="103" t="s">
        <v>86</v>
      </c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</row>
    <row r="286" spans="1:58" x14ac:dyDescent="0.35">
      <c r="A286" s="104" t="s">
        <v>2087</v>
      </c>
      <c r="B286" s="105" t="s">
        <v>0</v>
      </c>
      <c r="C286" s="106">
        <v>6</v>
      </c>
      <c r="D286" s="104" t="s">
        <v>8</v>
      </c>
      <c r="E286" s="106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</row>
    <row r="287" spans="1:58" x14ac:dyDescent="0.35">
      <c r="A287" s="107" t="s">
        <v>2088</v>
      </c>
      <c r="B287" s="108" t="s">
        <v>0</v>
      </c>
      <c r="C287" s="109">
        <v>7</v>
      </c>
      <c r="D287" s="107" t="s">
        <v>705</v>
      </c>
      <c r="E287" s="109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</row>
    <row r="288" spans="1:58" x14ac:dyDescent="0.35">
      <c r="A288" s="107" t="s">
        <v>2089</v>
      </c>
      <c r="B288" s="108" t="s">
        <v>0</v>
      </c>
      <c r="C288" s="109">
        <v>7</v>
      </c>
      <c r="D288" s="107" t="s">
        <v>704</v>
      </c>
      <c r="E288" s="109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</row>
    <row r="289" spans="1:58" x14ac:dyDescent="0.35">
      <c r="A289" s="107" t="s">
        <v>2090</v>
      </c>
      <c r="B289" s="108" t="s">
        <v>0</v>
      </c>
      <c r="C289" s="109">
        <v>7</v>
      </c>
      <c r="D289" s="107" t="s">
        <v>1465</v>
      </c>
      <c r="E289" s="109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</row>
    <row r="290" spans="1:58" x14ac:dyDescent="0.35">
      <c r="A290" s="107" t="s">
        <v>2091</v>
      </c>
      <c r="B290" s="108" t="s">
        <v>0</v>
      </c>
      <c r="C290" s="109">
        <v>7</v>
      </c>
      <c r="D290" s="107" t="s">
        <v>706</v>
      </c>
      <c r="E290" s="109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</row>
    <row r="291" spans="1:58" x14ac:dyDescent="0.35">
      <c r="A291" s="104" t="s">
        <v>2092</v>
      </c>
      <c r="B291" s="105" t="s">
        <v>0</v>
      </c>
      <c r="C291" s="106">
        <v>6</v>
      </c>
      <c r="D291" s="104" t="s">
        <v>30</v>
      </c>
      <c r="E291" s="106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</row>
    <row r="292" spans="1:58" x14ac:dyDescent="0.35">
      <c r="A292" s="107" t="s">
        <v>2093</v>
      </c>
      <c r="B292" s="108" t="s">
        <v>0</v>
      </c>
      <c r="C292" s="109">
        <v>7</v>
      </c>
      <c r="D292" s="107" t="s">
        <v>1530</v>
      </c>
      <c r="E292" s="109" t="s">
        <v>1555</v>
      </c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</row>
    <row r="293" spans="1:58" x14ac:dyDescent="0.35">
      <c r="A293" s="107" t="s">
        <v>2094</v>
      </c>
      <c r="B293" s="108" t="s">
        <v>0</v>
      </c>
      <c r="C293" s="109">
        <v>7</v>
      </c>
      <c r="D293" s="107" t="s">
        <v>1530</v>
      </c>
      <c r="E293" s="109" t="s">
        <v>1556</v>
      </c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</row>
    <row r="294" spans="1:58" x14ac:dyDescent="0.35">
      <c r="A294" s="107" t="s">
        <v>2095</v>
      </c>
      <c r="B294" s="108" t="s">
        <v>0</v>
      </c>
      <c r="C294" s="109">
        <v>7</v>
      </c>
      <c r="D294" s="107" t="s">
        <v>1583</v>
      </c>
      <c r="E294" s="109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</row>
    <row r="295" spans="1:58" x14ac:dyDescent="0.35">
      <c r="A295" s="107" t="s">
        <v>2096</v>
      </c>
      <c r="B295" s="108" t="s">
        <v>0</v>
      </c>
      <c r="C295" s="109">
        <v>7</v>
      </c>
      <c r="D295" s="107" t="s">
        <v>1607</v>
      </c>
      <c r="E295" s="109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</row>
    <row r="296" spans="1:58" x14ac:dyDescent="0.35">
      <c r="A296" s="107" t="s">
        <v>2097</v>
      </c>
      <c r="B296" s="108" t="s">
        <v>0</v>
      </c>
      <c r="C296" s="109">
        <v>7</v>
      </c>
      <c r="D296" s="107" t="s">
        <v>1594</v>
      </c>
      <c r="E296" s="109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</row>
    <row r="297" spans="1:58" x14ac:dyDescent="0.35">
      <c r="A297" s="107" t="s">
        <v>2098</v>
      </c>
      <c r="B297" s="108" t="s">
        <v>0</v>
      </c>
      <c r="C297" s="109">
        <v>7</v>
      </c>
      <c r="D297" s="107" t="s">
        <v>1595</v>
      </c>
      <c r="E297" s="109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</row>
    <row r="298" spans="1:58" x14ac:dyDescent="0.35">
      <c r="A298" s="107" t="s">
        <v>2099</v>
      </c>
      <c r="B298" s="108" t="s">
        <v>0</v>
      </c>
      <c r="C298" s="109">
        <v>7</v>
      </c>
      <c r="D298" s="107" t="s">
        <v>1509</v>
      </c>
      <c r="E298" s="109" t="s">
        <v>1559</v>
      </c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</row>
    <row r="299" spans="1:58" x14ac:dyDescent="0.35">
      <c r="A299" s="107" t="s">
        <v>2100</v>
      </c>
      <c r="B299" s="108" t="s">
        <v>0</v>
      </c>
      <c r="C299" s="109">
        <v>7</v>
      </c>
      <c r="D299" s="107" t="s">
        <v>1538</v>
      </c>
      <c r="E299" s="109" t="s">
        <v>1560</v>
      </c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</row>
    <row r="300" spans="1:58" x14ac:dyDescent="0.35">
      <c r="A300" s="107" t="s">
        <v>2101</v>
      </c>
      <c r="B300" s="108" t="s">
        <v>0</v>
      </c>
      <c r="C300" s="109">
        <v>7</v>
      </c>
      <c r="D300" s="107" t="s">
        <v>1534</v>
      </c>
      <c r="E300" s="109" t="s">
        <v>1557</v>
      </c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</row>
    <row r="301" spans="1:58" x14ac:dyDescent="0.35">
      <c r="A301" s="107" t="s">
        <v>2102</v>
      </c>
      <c r="B301" s="108" t="s">
        <v>0</v>
      </c>
      <c r="C301" s="109">
        <v>7</v>
      </c>
      <c r="D301" s="107" t="s">
        <v>1510</v>
      </c>
      <c r="E301" s="109" t="s">
        <v>1558</v>
      </c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</row>
    <row r="302" spans="1:58" x14ac:dyDescent="0.35">
      <c r="A302" s="104" t="s">
        <v>2103</v>
      </c>
      <c r="B302" s="105" t="s">
        <v>0</v>
      </c>
      <c r="C302" s="106">
        <v>6</v>
      </c>
      <c r="D302" s="104" t="s">
        <v>13</v>
      </c>
      <c r="E302" s="106" t="s">
        <v>91</v>
      </c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</row>
    <row r="303" spans="1:58" x14ac:dyDescent="0.35">
      <c r="A303" s="107" t="s">
        <v>2104</v>
      </c>
      <c r="B303" s="108" t="s">
        <v>0</v>
      </c>
      <c r="C303" s="109">
        <v>7</v>
      </c>
      <c r="D303" s="107" t="s">
        <v>1591</v>
      </c>
      <c r="E303" s="109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</row>
    <row r="304" spans="1:58" x14ac:dyDescent="0.35">
      <c r="A304" s="107" t="s">
        <v>2105</v>
      </c>
      <c r="B304" s="108" t="s">
        <v>0</v>
      </c>
      <c r="C304" s="109">
        <v>7</v>
      </c>
      <c r="D304" s="107" t="s">
        <v>726</v>
      </c>
      <c r="E304" s="109" t="s">
        <v>1525</v>
      </c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</row>
    <row r="305" spans="1:58" x14ac:dyDescent="0.35">
      <c r="A305" s="107" t="s">
        <v>2106</v>
      </c>
      <c r="B305" s="108" t="s">
        <v>0</v>
      </c>
      <c r="C305" s="109">
        <v>7</v>
      </c>
      <c r="D305" s="107" t="s">
        <v>719</v>
      </c>
      <c r="E305" s="109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</row>
    <row r="306" spans="1:58" x14ac:dyDescent="0.35">
      <c r="A306" s="107" t="s">
        <v>2107</v>
      </c>
      <c r="B306" s="108" t="s">
        <v>0</v>
      </c>
      <c r="C306" s="109">
        <v>7</v>
      </c>
      <c r="D306" s="107" t="s">
        <v>1511</v>
      </c>
      <c r="E306" s="109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</row>
    <row r="307" spans="1:58" x14ac:dyDescent="0.35">
      <c r="A307" s="107" t="s">
        <v>2108</v>
      </c>
      <c r="B307" s="108" t="s">
        <v>0</v>
      </c>
      <c r="C307" s="109">
        <v>7</v>
      </c>
      <c r="D307" s="107" t="s">
        <v>1512</v>
      </c>
      <c r="E307" s="109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</row>
    <row r="308" spans="1:58" x14ac:dyDescent="0.35">
      <c r="A308" s="104" t="s">
        <v>2109</v>
      </c>
      <c r="B308" s="105" t="s">
        <v>0</v>
      </c>
      <c r="C308" s="106">
        <v>6</v>
      </c>
      <c r="D308" s="104" t="s">
        <v>9</v>
      </c>
      <c r="E308" s="106" t="s">
        <v>90</v>
      </c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</row>
    <row r="309" spans="1:58" x14ac:dyDescent="0.35">
      <c r="A309" s="107" t="s">
        <v>2110</v>
      </c>
      <c r="B309" s="108" t="s">
        <v>0</v>
      </c>
      <c r="C309" s="109">
        <v>7</v>
      </c>
      <c r="D309" s="107" t="s">
        <v>1592</v>
      </c>
      <c r="E309" s="109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</row>
    <row r="310" spans="1:58" x14ac:dyDescent="0.35">
      <c r="A310" s="107" t="s">
        <v>2111</v>
      </c>
      <c r="B310" s="108" t="s">
        <v>0</v>
      </c>
      <c r="C310" s="109">
        <v>7</v>
      </c>
      <c r="D310" s="107" t="s">
        <v>1593</v>
      </c>
      <c r="E310" s="109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</row>
    <row r="311" spans="1:58" x14ac:dyDescent="0.35">
      <c r="A311" s="107" t="s">
        <v>2112</v>
      </c>
      <c r="B311" s="108" t="s">
        <v>0</v>
      </c>
      <c r="C311" s="109">
        <v>7</v>
      </c>
      <c r="D311" s="107" t="s">
        <v>707</v>
      </c>
      <c r="E311" s="109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</row>
    <row r="312" spans="1:58" x14ac:dyDescent="0.35">
      <c r="A312" s="107" t="s">
        <v>2113</v>
      </c>
      <c r="B312" s="108" t="s">
        <v>0</v>
      </c>
      <c r="C312" s="109">
        <v>7</v>
      </c>
      <c r="D312" s="107" t="s">
        <v>1554</v>
      </c>
      <c r="E312" s="109" t="s">
        <v>1526</v>
      </c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</row>
    <row r="313" spans="1:58" x14ac:dyDescent="0.35">
      <c r="A313" s="107" t="s">
        <v>2114</v>
      </c>
      <c r="B313" s="108" t="s">
        <v>0</v>
      </c>
      <c r="C313" s="109">
        <v>7</v>
      </c>
      <c r="D313" s="107" t="s">
        <v>1608</v>
      </c>
      <c r="E313" s="109" t="s">
        <v>1527</v>
      </c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</row>
    <row r="314" spans="1:58" x14ac:dyDescent="0.35">
      <c r="A314" s="107" t="s">
        <v>2115</v>
      </c>
      <c r="B314" s="108" t="s">
        <v>0</v>
      </c>
      <c r="C314" s="109">
        <v>7</v>
      </c>
      <c r="D314" s="107" t="s">
        <v>1609</v>
      </c>
      <c r="E314" s="109" t="s">
        <v>1528</v>
      </c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</row>
    <row r="315" spans="1:58" x14ac:dyDescent="0.35">
      <c r="A315" s="107" t="s">
        <v>2116</v>
      </c>
      <c r="B315" s="108" t="s">
        <v>0</v>
      </c>
      <c r="C315" s="109">
        <v>7</v>
      </c>
      <c r="D315" s="107" t="s">
        <v>1518</v>
      </c>
      <c r="E315" s="109" t="s">
        <v>1529</v>
      </c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</row>
    <row r="316" spans="1:58" x14ac:dyDescent="0.35">
      <c r="A316" s="107" t="s">
        <v>2117</v>
      </c>
      <c r="B316" s="108" t="s">
        <v>0</v>
      </c>
      <c r="C316" s="109">
        <v>7</v>
      </c>
      <c r="D316" s="107" t="s">
        <v>1540</v>
      </c>
      <c r="E316" s="109" t="s">
        <v>1561</v>
      </c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</row>
    <row r="317" spans="1:58" x14ac:dyDescent="0.35">
      <c r="A317" s="107" t="s">
        <v>2118</v>
      </c>
      <c r="B317" s="108" t="s">
        <v>0</v>
      </c>
      <c r="C317" s="109">
        <v>7</v>
      </c>
      <c r="D317" s="107" t="s">
        <v>1542</v>
      </c>
      <c r="E317" s="109" t="s">
        <v>1562</v>
      </c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</row>
    <row r="318" spans="1:58" x14ac:dyDescent="0.35">
      <c r="A318" s="104" t="s">
        <v>2119</v>
      </c>
      <c r="B318" s="105" t="s">
        <v>0</v>
      </c>
      <c r="C318" s="106">
        <v>6</v>
      </c>
      <c r="D318" s="104" t="s">
        <v>26</v>
      </c>
      <c r="E318" s="106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</row>
    <row r="319" spans="1:58" x14ac:dyDescent="0.35">
      <c r="A319" s="107" t="s">
        <v>2120</v>
      </c>
      <c r="B319" s="108" t="s">
        <v>0</v>
      </c>
      <c r="C319" s="109">
        <v>7</v>
      </c>
      <c r="D319" s="107" t="s">
        <v>89</v>
      </c>
      <c r="E319" s="109" t="s">
        <v>88</v>
      </c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</row>
    <row r="320" spans="1:58" x14ac:dyDescent="0.35">
      <c r="A320" s="107" t="s">
        <v>2121</v>
      </c>
      <c r="B320" s="108" t="s">
        <v>0</v>
      </c>
      <c r="C320" s="109">
        <v>7</v>
      </c>
      <c r="D320" s="107" t="s">
        <v>96</v>
      </c>
      <c r="E320" s="109" t="s">
        <v>95</v>
      </c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</row>
    <row r="321" spans="1:58" x14ac:dyDescent="0.35">
      <c r="A321" s="107" t="s">
        <v>2122</v>
      </c>
      <c r="B321" s="108" t="s">
        <v>0</v>
      </c>
      <c r="C321" s="109">
        <v>7</v>
      </c>
      <c r="D321" s="107" t="s">
        <v>100</v>
      </c>
      <c r="E321" s="109" t="s">
        <v>99</v>
      </c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</row>
    <row r="322" spans="1:58" x14ac:dyDescent="0.35">
      <c r="A322" s="101" t="s">
        <v>2123</v>
      </c>
      <c r="B322" s="102" t="s">
        <v>0</v>
      </c>
      <c r="C322" s="103">
        <v>5</v>
      </c>
      <c r="D322" s="101" t="s">
        <v>102</v>
      </c>
      <c r="E322" s="103" t="s">
        <v>101</v>
      </c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</row>
    <row r="323" spans="1:58" x14ac:dyDescent="0.35">
      <c r="A323" s="101" t="s">
        <v>2124</v>
      </c>
      <c r="B323" s="102" t="s">
        <v>0</v>
      </c>
      <c r="C323" s="103">
        <v>5</v>
      </c>
      <c r="D323" s="101" t="s">
        <v>104</v>
      </c>
      <c r="E323" s="103" t="s">
        <v>103</v>
      </c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</row>
    <row r="324" spans="1:58" x14ac:dyDescent="0.35">
      <c r="A324" s="101" t="s">
        <v>2125</v>
      </c>
      <c r="B324" s="102" t="s">
        <v>0</v>
      </c>
      <c r="C324" s="103">
        <v>5</v>
      </c>
      <c r="D324" s="101" t="s">
        <v>110</v>
      </c>
      <c r="E324" s="103" t="s">
        <v>109</v>
      </c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</row>
    <row r="325" spans="1:58" x14ac:dyDescent="0.35">
      <c r="A325" s="104" t="s">
        <v>2126</v>
      </c>
      <c r="B325" s="105" t="s">
        <v>0</v>
      </c>
      <c r="C325" s="106">
        <v>6</v>
      </c>
      <c r="D325" s="104" t="s">
        <v>50</v>
      </c>
      <c r="E325" s="106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</row>
    <row r="326" spans="1:58" x14ac:dyDescent="0.35">
      <c r="A326" s="107" t="s">
        <v>2127</v>
      </c>
      <c r="B326" s="108" t="s">
        <v>0</v>
      </c>
      <c r="C326" s="109">
        <v>7</v>
      </c>
      <c r="D326" s="107" t="s">
        <v>727</v>
      </c>
      <c r="E326" s="109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</row>
    <row r="327" spans="1:58" x14ac:dyDescent="0.35">
      <c r="A327" s="104" t="s">
        <v>2128</v>
      </c>
      <c r="B327" s="105" t="s">
        <v>0</v>
      </c>
      <c r="C327" s="106">
        <v>6</v>
      </c>
      <c r="D327" s="104" t="s">
        <v>30</v>
      </c>
      <c r="E327" s="106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</row>
    <row r="328" spans="1:58" x14ac:dyDescent="0.35">
      <c r="A328" s="107" t="s">
        <v>2129</v>
      </c>
      <c r="B328" s="108" t="s">
        <v>0</v>
      </c>
      <c r="C328" s="109">
        <v>7</v>
      </c>
      <c r="D328" s="107" t="s">
        <v>728</v>
      </c>
      <c r="E328" s="109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</row>
    <row r="329" spans="1:58" x14ac:dyDescent="0.35">
      <c r="A329" s="101" t="s">
        <v>2130</v>
      </c>
      <c r="B329" s="102" t="s">
        <v>0</v>
      </c>
      <c r="C329" s="103">
        <v>5</v>
      </c>
      <c r="D329" s="101" t="s">
        <v>112</v>
      </c>
      <c r="E329" s="103" t="s">
        <v>111</v>
      </c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</row>
    <row r="330" spans="1:58" x14ac:dyDescent="0.35">
      <c r="A330" s="104" t="s">
        <v>2131</v>
      </c>
      <c r="B330" s="105" t="s">
        <v>0</v>
      </c>
      <c r="C330" s="106">
        <v>6</v>
      </c>
      <c r="D330" s="104" t="s">
        <v>26</v>
      </c>
      <c r="E330" s="106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</row>
    <row r="331" spans="1:58" x14ac:dyDescent="0.35">
      <c r="A331" s="107" t="s">
        <v>2132</v>
      </c>
      <c r="B331" s="108" t="s">
        <v>0</v>
      </c>
      <c r="C331" s="109">
        <v>7</v>
      </c>
      <c r="D331" s="107" t="s">
        <v>729</v>
      </c>
      <c r="E331" s="109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</row>
    <row r="332" spans="1:58" x14ac:dyDescent="0.35">
      <c r="A332" s="107" t="s">
        <v>2133</v>
      </c>
      <c r="B332" s="108" t="s">
        <v>0</v>
      </c>
      <c r="C332" s="109">
        <v>7</v>
      </c>
      <c r="D332" s="107" t="s">
        <v>731</v>
      </c>
      <c r="E332" s="109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</row>
    <row r="333" spans="1:58" x14ac:dyDescent="0.35">
      <c r="A333" s="107" t="s">
        <v>2134</v>
      </c>
      <c r="B333" s="108" t="s">
        <v>0</v>
      </c>
      <c r="C333" s="109">
        <v>7</v>
      </c>
      <c r="D333" s="107" t="s">
        <v>732</v>
      </c>
      <c r="E333" s="109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</row>
    <row r="334" spans="1:58" x14ac:dyDescent="0.35">
      <c r="A334" s="107" t="s">
        <v>2135</v>
      </c>
      <c r="B334" s="108" t="s">
        <v>0</v>
      </c>
      <c r="C334" s="109">
        <v>7</v>
      </c>
      <c r="D334" s="107" t="s">
        <v>733</v>
      </c>
      <c r="E334" s="109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</row>
    <row r="335" spans="1:58" x14ac:dyDescent="0.35">
      <c r="A335" s="107" t="s">
        <v>2136</v>
      </c>
      <c r="B335" s="108" t="s">
        <v>0</v>
      </c>
      <c r="C335" s="109">
        <v>7</v>
      </c>
      <c r="D335" s="107" t="s">
        <v>114</v>
      </c>
      <c r="E335" s="109" t="s">
        <v>113</v>
      </c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</row>
    <row r="336" spans="1:58" x14ac:dyDescent="0.35">
      <c r="A336" s="104" t="s">
        <v>2137</v>
      </c>
      <c r="B336" s="105" t="s">
        <v>0</v>
      </c>
      <c r="C336" s="106">
        <v>6</v>
      </c>
      <c r="D336" s="104" t="s">
        <v>29</v>
      </c>
      <c r="E336" s="106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</row>
    <row r="337" spans="1:58" x14ac:dyDescent="0.35">
      <c r="A337" s="107" t="s">
        <v>2138</v>
      </c>
      <c r="B337" s="108" t="s">
        <v>0</v>
      </c>
      <c r="C337" s="109">
        <v>7</v>
      </c>
      <c r="D337" s="107" t="s">
        <v>734</v>
      </c>
      <c r="E337" s="109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</row>
    <row r="338" spans="1:58" x14ac:dyDescent="0.35">
      <c r="A338" s="107" t="s">
        <v>2139</v>
      </c>
      <c r="B338" s="108" t="s">
        <v>0</v>
      </c>
      <c r="C338" s="109">
        <v>7</v>
      </c>
      <c r="D338" s="107" t="s">
        <v>738</v>
      </c>
      <c r="E338" s="109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</row>
    <row r="339" spans="1:58" x14ac:dyDescent="0.35">
      <c r="A339" s="107" t="s">
        <v>2140</v>
      </c>
      <c r="B339" s="108" t="s">
        <v>0</v>
      </c>
      <c r="C339" s="109">
        <v>7</v>
      </c>
      <c r="D339" s="107" t="s">
        <v>736</v>
      </c>
      <c r="E339" s="109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</row>
    <row r="340" spans="1:58" x14ac:dyDescent="0.35">
      <c r="A340" s="107" t="s">
        <v>2141</v>
      </c>
      <c r="B340" s="108" t="s">
        <v>0</v>
      </c>
      <c r="C340" s="109">
        <v>7</v>
      </c>
      <c r="D340" s="107" t="s">
        <v>735</v>
      </c>
      <c r="E340" s="109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</row>
    <row r="341" spans="1:58" x14ac:dyDescent="0.35">
      <c r="A341" s="107" t="s">
        <v>2142</v>
      </c>
      <c r="B341" s="108" t="s">
        <v>0</v>
      </c>
      <c r="C341" s="109">
        <v>7</v>
      </c>
      <c r="D341" s="107" t="s">
        <v>737</v>
      </c>
      <c r="E341" s="109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</row>
    <row r="342" spans="1:58" x14ac:dyDescent="0.35">
      <c r="A342" s="107" t="s">
        <v>2143</v>
      </c>
      <c r="B342" s="108" t="s">
        <v>0</v>
      </c>
      <c r="C342" s="109">
        <v>7</v>
      </c>
      <c r="D342" s="107" t="s">
        <v>739</v>
      </c>
      <c r="E342" s="109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</row>
    <row r="343" spans="1:58" x14ac:dyDescent="0.35">
      <c r="A343" s="107" t="s">
        <v>2144</v>
      </c>
      <c r="B343" s="108" t="s">
        <v>0</v>
      </c>
      <c r="C343" s="109">
        <v>7</v>
      </c>
      <c r="D343" s="107" t="s">
        <v>740</v>
      </c>
      <c r="E343" s="109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</row>
    <row r="344" spans="1:58" x14ac:dyDescent="0.35">
      <c r="A344" s="107" t="s">
        <v>2145</v>
      </c>
      <c r="B344" s="108" t="s">
        <v>0</v>
      </c>
      <c r="C344" s="109">
        <v>7</v>
      </c>
      <c r="D344" s="107" t="s">
        <v>741</v>
      </c>
      <c r="E344" s="109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</row>
    <row r="345" spans="1:58" x14ac:dyDescent="0.35">
      <c r="A345" s="107" t="s">
        <v>2146</v>
      </c>
      <c r="B345" s="108" t="s">
        <v>0</v>
      </c>
      <c r="C345" s="109">
        <v>7</v>
      </c>
      <c r="D345" s="107" t="s">
        <v>742</v>
      </c>
      <c r="E345" s="109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</row>
    <row r="346" spans="1:58" x14ac:dyDescent="0.35">
      <c r="A346" s="104" t="s">
        <v>2147</v>
      </c>
      <c r="B346" s="105" t="s">
        <v>0</v>
      </c>
      <c r="C346" s="106">
        <v>6</v>
      </c>
      <c r="D346" s="104" t="s">
        <v>31</v>
      </c>
      <c r="E346" s="106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</row>
    <row r="347" spans="1:58" x14ac:dyDescent="0.35">
      <c r="A347" s="107" t="s">
        <v>2148</v>
      </c>
      <c r="B347" s="108" t="s">
        <v>0</v>
      </c>
      <c r="C347" s="109">
        <v>7</v>
      </c>
      <c r="D347" s="107" t="s">
        <v>1468</v>
      </c>
      <c r="E347" s="109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</row>
    <row r="348" spans="1:58" x14ac:dyDescent="0.35">
      <c r="A348" s="104" t="s">
        <v>2149</v>
      </c>
      <c r="B348" s="105" t="s">
        <v>0</v>
      </c>
      <c r="C348" s="106">
        <v>6</v>
      </c>
      <c r="D348" s="104" t="s">
        <v>16</v>
      </c>
      <c r="E348" s="106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</row>
    <row r="349" spans="1:58" x14ac:dyDescent="0.35">
      <c r="A349" s="107" t="s">
        <v>2150</v>
      </c>
      <c r="B349" s="108" t="s">
        <v>0</v>
      </c>
      <c r="C349" s="109">
        <v>7</v>
      </c>
      <c r="D349" s="107" t="s">
        <v>744</v>
      </c>
      <c r="E349" s="109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</row>
    <row r="350" spans="1:58" x14ac:dyDescent="0.35">
      <c r="A350" s="107" t="s">
        <v>2151</v>
      </c>
      <c r="B350" s="108" t="s">
        <v>0</v>
      </c>
      <c r="C350" s="109">
        <v>7</v>
      </c>
      <c r="D350" s="107" t="s">
        <v>745</v>
      </c>
      <c r="E350" s="109" t="s">
        <v>115</v>
      </c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</row>
    <row r="351" spans="1:58" x14ac:dyDescent="0.35">
      <c r="A351" s="107" t="s">
        <v>2152</v>
      </c>
      <c r="B351" s="108" t="s">
        <v>0</v>
      </c>
      <c r="C351" s="109">
        <v>7</v>
      </c>
      <c r="D351" s="107" t="s">
        <v>746</v>
      </c>
      <c r="E351" s="109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</row>
    <row r="352" spans="1:58" x14ac:dyDescent="0.35">
      <c r="A352" s="107" t="s">
        <v>2153</v>
      </c>
      <c r="B352" s="108" t="s">
        <v>0</v>
      </c>
      <c r="C352" s="109">
        <v>7</v>
      </c>
      <c r="D352" s="107" t="s">
        <v>747</v>
      </c>
      <c r="E352" s="109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</row>
    <row r="353" spans="1:58" x14ac:dyDescent="0.35">
      <c r="A353" s="107" t="s">
        <v>2154</v>
      </c>
      <c r="B353" s="108" t="s">
        <v>0</v>
      </c>
      <c r="C353" s="109">
        <v>7</v>
      </c>
      <c r="D353" s="107" t="s">
        <v>743</v>
      </c>
      <c r="E353" s="109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</row>
    <row r="354" spans="1:58" x14ac:dyDescent="0.35">
      <c r="A354" s="104" t="s">
        <v>2155</v>
      </c>
      <c r="B354" s="105" t="s">
        <v>0</v>
      </c>
      <c r="C354" s="106">
        <v>6</v>
      </c>
      <c r="D354" s="104" t="s">
        <v>30</v>
      </c>
      <c r="E354" s="106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</row>
    <row r="355" spans="1:58" x14ac:dyDescent="0.35">
      <c r="A355" s="104" t="s">
        <v>2156</v>
      </c>
      <c r="B355" s="105" t="s">
        <v>0</v>
      </c>
      <c r="C355" s="106">
        <v>6</v>
      </c>
      <c r="D355" s="104" t="s">
        <v>33</v>
      </c>
      <c r="E355" s="106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</row>
    <row r="356" spans="1:58" x14ac:dyDescent="0.35">
      <c r="A356" s="107" t="s">
        <v>2157</v>
      </c>
      <c r="B356" s="108" t="s">
        <v>0</v>
      </c>
      <c r="C356" s="109">
        <v>7</v>
      </c>
      <c r="D356" s="107" t="s">
        <v>748</v>
      </c>
      <c r="E356" s="109" t="s">
        <v>116</v>
      </c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</row>
    <row r="357" spans="1:58" x14ac:dyDescent="0.35">
      <c r="A357" s="101" t="s">
        <v>2158</v>
      </c>
      <c r="B357" s="102" t="s">
        <v>0</v>
      </c>
      <c r="C357" s="103">
        <v>5</v>
      </c>
      <c r="D357" s="101" t="s">
        <v>118</v>
      </c>
      <c r="E357" s="103" t="s">
        <v>117</v>
      </c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</row>
    <row r="358" spans="1:58" x14ac:dyDescent="0.35">
      <c r="A358" s="104" t="s">
        <v>2159</v>
      </c>
      <c r="B358" s="105" t="s">
        <v>0</v>
      </c>
      <c r="C358" s="106">
        <v>6</v>
      </c>
      <c r="D358" s="104" t="s">
        <v>16</v>
      </c>
      <c r="E358" s="106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</row>
    <row r="359" spans="1:58" x14ac:dyDescent="0.35">
      <c r="A359" s="107" t="s">
        <v>2160</v>
      </c>
      <c r="B359" s="108" t="s">
        <v>0</v>
      </c>
      <c r="C359" s="109">
        <v>7</v>
      </c>
      <c r="D359" s="107" t="s">
        <v>749</v>
      </c>
      <c r="E359" s="109" t="s">
        <v>119</v>
      </c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</row>
    <row r="360" spans="1:58" x14ac:dyDescent="0.35">
      <c r="A360" s="107" t="s">
        <v>2161</v>
      </c>
      <c r="B360" s="108" t="s">
        <v>0</v>
      </c>
      <c r="C360" s="109">
        <v>7</v>
      </c>
      <c r="D360" s="107" t="s">
        <v>750</v>
      </c>
      <c r="E360" s="109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</row>
    <row r="361" spans="1:58" x14ac:dyDescent="0.35">
      <c r="A361" s="107" t="s">
        <v>2162</v>
      </c>
      <c r="B361" s="108" t="s">
        <v>0</v>
      </c>
      <c r="C361" s="109">
        <v>7</v>
      </c>
      <c r="D361" s="107" t="s">
        <v>751</v>
      </c>
      <c r="E361" s="109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</row>
    <row r="362" spans="1:58" x14ac:dyDescent="0.35">
      <c r="A362" s="107" t="s">
        <v>2163</v>
      </c>
      <c r="B362" s="108" t="s">
        <v>0</v>
      </c>
      <c r="C362" s="109">
        <v>7</v>
      </c>
      <c r="D362" s="107" t="s">
        <v>752</v>
      </c>
      <c r="E362" s="109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</row>
    <row r="363" spans="1:58" x14ac:dyDescent="0.35">
      <c r="A363" s="104" t="s">
        <v>2164</v>
      </c>
      <c r="B363" s="105" t="s">
        <v>0</v>
      </c>
      <c r="C363" s="106">
        <v>6</v>
      </c>
      <c r="D363" s="104" t="s">
        <v>120</v>
      </c>
      <c r="E363" s="106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</row>
    <row r="364" spans="1:58" x14ac:dyDescent="0.35">
      <c r="A364" s="107" t="s">
        <v>2165</v>
      </c>
      <c r="B364" s="108" t="s">
        <v>0</v>
      </c>
      <c r="C364" s="109">
        <v>7</v>
      </c>
      <c r="D364" s="107" t="s">
        <v>749</v>
      </c>
      <c r="E364" s="109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</row>
    <row r="365" spans="1:58" x14ac:dyDescent="0.35">
      <c r="A365" s="107" t="s">
        <v>2166</v>
      </c>
      <c r="B365" s="108" t="s">
        <v>0</v>
      </c>
      <c r="C365" s="109">
        <v>7</v>
      </c>
      <c r="D365" s="107" t="s">
        <v>753</v>
      </c>
      <c r="E365" s="109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</row>
    <row r="366" spans="1:58" x14ac:dyDescent="0.35">
      <c r="A366" s="107" t="s">
        <v>2167</v>
      </c>
      <c r="B366" s="108" t="s">
        <v>0</v>
      </c>
      <c r="C366" s="109">
        <v>7</v>
      </c>
      <c r="D366" s="107" t="s">
        <v>754</v>
      </c>
      <c r="E366" s="109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</row>
    <row r="367" spans="1:58" x14ac:dyDescent="0.35">
      <c r="A367" s="107" t="s">
        <v>2168</v>
      </c>
      <c r="B367" s="108" t="s">
        <v>0</v>
      </c>
      <c r="C367" s="109">
        <v>7</v>
      </c>
      <c r="D367" s="107" t="s">
        <v>1640</v>
      </c>
      <c r="E367" s="109" t="s">
        <v>1641</v>
      </c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</row>
    <row r="368" spans="1:58" x14ac:dyDescent="0.35">
      <c r="A368" s="104" t="s">
        <v>2169</v>
      </c>
      <c r="B368" s="105" t="s">
        <v>0</v>
      </c>
      <c r="C368" s="106">
        <v>6</v>
      </c>
      <c r="D368" s="104" t="s">
        <v>121</v>
      </c>
      <c r="E368" s="106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</row>
    <row r="369" spans="1:58" x14ac:dyDescent="0.35">
      <c r="A369" s="107" t="s">
        <v>2170</v>
      </c>
      <c r="B369" s="108" t="s">
        <v>0</v>
      </c>
      <c r="C369" s="109">
        <v>7</v>
      </c>
      <c r="D369" s="107" t="s">
        <v>755</v>
      </c>
      <c r="E369" s="109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</row>
    <row r="370" spans="1:58" x14ac:dyDescent="0.35">
      <c r="A370" s="104" t="s">
        <v>2171</v>
      </c>
      <c r="B370" s="105" t="s">
        <v>0</v>
      </c>
      <c r="C370" s="106">
        <v>6</v>
      </c>
      <c r="D370" s="104" t="s">
        <v>1624</v>
      </c>
      <c r="E370" s="106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</row>
    <row r="371" spans="1:58" x14ac:dyDescent="0.35">
      <c r="A371" s="107" t="s">
        <v>2172</v>
      </c>
      <c r="B371" s="108" t="s">
        <v>0</v>
      </c>
      <c r="C371" s="109">
        <v>7</v>
      </c>
      <c r="D371" s="107" t="s">
        <v>756</v>
      </c>
      <c r="E371" s="109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</row>
    <row r="372" spans="1:58" x14ac:dyDescent="0.35">
      <c r="A372" s="107" t="s">
        <v>2173</v>
      </c>
      <c r="B372" s="108" t="s">
        <v>0</v>
      </c>
      <c r="C372" s="109">
        <v>7</v>
      </c>
      <c r="D372" s="107" t="s">
        <v>757</v>
      </c>
      <c r="E372" s="109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</row>
    <row r="373" spans="1:58" x14ac:dyDescent="0.35">
      <c r="A373" s="107" t="s">
        <v>2174</v>
      </c>
      <c r="B373" s="108" t="s">
        <v>0</v>
      </c>
      <c r="C373" s="109">
        <v>7</v>
      </c>
      <c r="D373" s="107" t="s">
        <v>749</v>
      </c>
      <c r="E373" s="109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</row>
    <row r="374" spans="1:58" x14ac:dyDescent="0.35">
      <c r="A374" s="104" t="s">
        <v>2175</v>
      </c>
      <c r="B374" s="105" t="s">
        <v>0</v>
      </c>
      <c r="C374" s="106">
        <v>6</v>
      </c>
      <c r="D374" s="104" t="s">
        <v>26</v>
      </c>
      <c r="E374" s="106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</row>
    <row r="375" spans="1:58" x14ac:dyDescent="0.35">
      <c r="A375" s="107" t="s">
        <v>2176</v>
      </c>
      <c r="B375" s="108" t="s">
        <v>0</v>
      </c>
      <c r="C375" s="109">
        <v>7</v>
      </c>
      <c r="D375" s="107" t="s">
        <v>758</v>
      </c>
      <c r="E375" s="109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</row>
    <row r="376" spans="1:58" x14ac:dyDescent="0.35">
      <c r="A376" s="107" t="s">
        <v>2177</v>
      </c>
      <c r="B376" s="108" t="s">
        <v>0</v>
      </c>
      <c r="C376" s="109">
        <v>7</v>
      </c>
      <c r="D376" s="107" t="s">
        <v>759</v>
      </c>
      <c r="E376" s="109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</row>
    <row r="377" spans="1:58" x14ac:dyDescent="0.35">
      <c r="A377" s="107" t="s">
        <v>2178</v>
      </c>
      <c r="B377" s="108" t="s">
        <v>0</v>
      </c>
      <c r="C377" s="109">
        <v>7</v>
      </c>
      <c r="D377" s="107" t="s">
        <v>760</v>
      </c>
      <c r="E377" s="109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</row>
    <row r="378" spans="1:58" x14ac:dyDescent="0.35">
      <c r="A378" s="107" t="s">
        <v>2179</v>
      </c>
      <c r="B378" s="108" t="s">
        <v>0</v>
      </c>
      <c r="C378" s="109">
        <v>7</v>
      </c>
      <c r="D378" s="107" t="s">
        <v>761</v>
      </c>
      <c r="E378" s="109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</row>
    <row r="379" spans="1:58" x14ac:dyDescent="0.35">
      <c r="A379" s="107" t="s">
        <v>2180</v>
      </c>
      <c r="B379" s="108" t="s">
        <v>0</v>
      </c>
      <c r="C379" s="109">
        <v>7</v>
      </c>
      <c r="D379" s="107" t="s">
        <v>1469</v>
      </c>
      <c r="E379" s="109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</row>
    <row r="380" spans="1:58" x14ac:dyDescent="0.35">
      <c r="A380" s="107" t="s">
        <v>2181</v>
      </c>
      <c r="B380" s="108" t="s">
        <v>0</v>
      </c>
      <c r="C380" s="109">
        <v>7</v>
      </c>
      <c r="D380" s="107" t="s">
        <v>762</v>
      </c>
      <c r="E380" s="109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</row>
    <row r="381" spans="1:58" x14ac:dyDescent="0.35">
      <c r="A381" s="107" t="s">
        <v>2182</v>
      </c>
      <c r="B381" s="108" t="s">
        <v>0</v>
      </c>
      <c r="C381" s="109">
        <v>7</v>
      </c>
      <c r="D381" s="107" t="s">
        <v>763</v>
      </c>
      <c r="E381" s="109" t="s">
        <v>1639</v>
      </c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</row>
    <row r="382" spans="1:58" x14ac:dyDescent="0.35">
      <c r="A382" s="107" t="s">
        <v>2183</v>
      </c>
      <c r="B382" s="108" t="s">
        <v>0</v>
      </c>
      <c r="C382" s="109">
        <v>7</v>
      </c>
      <c r="D382" s="107" t="s">
        <v>764</v>
      </c>
      <c r="E382" s="109" t="s">
        <v>1638</v>
      </c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</row>
    <row r="383" spans="1:58" x14ac:dyDescent="0.35">
      <c r="A383" s="107" t="s">
        <v>2184</v>
      </c>
      <c r="B383" s="108" t="s">
        <v>0</v>
      </c>
      <c r="C383" s="109">
        <v>7</v>
      </c>
      <c r="D383" s="107" t="s">
        <v>106</v>
      </c>
      <c r="E383" s="109" t="s">
        <v>105</v>
      </c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</row>
    <row r="384" spans="1:58" x14ac:dyDescent="0.35">
      <c r="A384" s="107" t="s">
        <v>2185</v>
      </c>
      <c r="B384" s="108" t="s">
        <v>0</v>
      </c>
      <c r="C384" s="109">
        <v>7</v>
      </c>
      <c r="D384" s="107" t="s">
        <v>108</v>
      </c>
      <c r="E384" s="109" t="s">
        <v>107</v>
      </c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</row>
    <row r="385" spans="1:58" x14ac:dyDescent="0.35">
      <c r="A385" s="107" t="s">
        <v>2186</v>
      </c>
      <c r="B385" s="108" t="s">
        <v>0</v>
      </c>
      <c r="C385" s="109">
        <v>7</v>
      </c>
      <c r="D385" s="107" t="s">
        <v>1635</v>
      </c>
      <c r="E385" s="109" t="s">
        <v>1634</v>
      </c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</row>
    <row r="386" spans="1:58" x14ac:dyDescent="0.35">
      <c r="A386" s="107" t="s">
        <v>2187</v>
      </c>
      <c r="B386" s="108" t="s">
        <v>0</v>
      </c>
      <c r="C386" s="109">
        <v>7</v>
      </c>
      <c r="D386" s="107" t="s">
        <v>1637</v>
      </c>
      <c r="E386" s="109" t="s">
        <v>1636</v>
      </c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</row>
    <row r="387" spans="1:58" x14ac:dyDescent="0.35">
      <c r="A387" s="104" t="s">
        <v>2188</v>
      </c>
      <c r="B387" s="105" t="s">
        <v>0</v>
      </c>
      <c r="C387" s="106">
        <v>6</v>
      </c>
      <c r="D387" s="104" t="s">
        <v>9</v>
      </c>
      <c r="E387" s="106" t="s">
        <v>158</v>
      </c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</row>
    <row r="388" spans="1:58" x14ac:dyDescent="0.35">
      <c r="A388" s="107" t="s">
        <v>2189</v>
      </c>
      <c r="B388" s="108" t="s">
        <v>0</v>
      </c>
      <c r="C388" s="109">
        <v>7</v>
      </c>
      <c r="D388" s="107" t="s">
        <v>770</v>
      </c>
      <c r="E388" s="109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</row>
    <row r="389" spans="1:58" x14ac:dyDescent="0.35">
      <c r="A389" s="107" t="s">
        <v>2190</v>
      </c>
      <c r="B389" s="108" t="s">
        <v>0</v>
      </c>
      <c r="C389" s="109">
        <v>7</v>
      </c>
      <c r="D389" s="107" t="s">
        <v>768</v>
      </c>
      <c r="E389" s="109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</row>
    <row r="390" spans="1:58" x14ac:dyDescent="0.35">
      <c r="A390" s="107" t="s">
        <v>2191</v>
      </c>
      <c r="B390" s="108" t="s">
        <v>0</v>
      </c>
      <c r="C390" s="109">
        <v>7</v>
      </c>
      <c r="D390" s="107" t="s">
        <v>771</v>
      </c>
      <c r="E390" s="109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</row>
    <row r="391" spans="1:58" x14ac:dyDescent="0.35">
      <c r="A391" s="107" t="s">
        <v>2192</v>
      </c>
      <c r="B391" s="108" t="s">
        <v>0</v>
      </c>
      <c r="C391" s="109">
        <v>7</v>
      </c>
      <c r="D391" s="107" t="s">
        <v>769</v>
      </c>
      <c r="E391" s="109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</row>
    <row r="392" spans="1:58" x14ac:dyDescent="0.35">
      <c r="A392" s="104" t="s">
        <v>2193</v>
      </c>
      <c r="B392" s="105" t="s">
        <v>0</v>
      </c>
      <c r="C392" s="106">
        <v>6</v>
      </c>
      <c r="D392" s="104" t="s">
        <v>123</v>
      </c>
      <c r="E392" s="106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</row>
    <row r="393" spans="1:58" x14ac:dyDescent="0.35">
      <c r="A393" s="104" t="s">
        <v>2194</v>
      </c>
      <c r="B393" s="105" t="s">
        <v>0</v>
      </c>
      <c r="C393" s="106">
        <v>6</v>
      </c>
      <c r="D393" s="104" t="s">
        <v>11</v>
      </c>
      <c r="E393" s="106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</row>
    <row r="394" spans="1:58" x14ac:dyDescent="0.35">
      <c r="A394" s="107" t="s">
        <v>2195</v>
      </c>
      <c r="B394" s="108" t="s">
        <v>0</v>
      </c>
      <c r="C394" s="109">
        <v>7</v>
      </c>
      <c r="D394" s="107" t="s">
        <v>765</v>
      </c>
      <c r="E394" s="109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</row>
    <row r="395" spans="1:58" x14ac:dyDescent="0.35">
      <c r="A395" s="107" t="s">
        <v>2196</v>
      </c>
      <c r="B395" s="108" t="s">
        <v>0</v>
      </c>
      <c r="C395" s="109">
        <v>7</v>
      </c>
      <c r="D395" s="107" t="s">
        <v>766</v>
      </c>
      <c r="E395" s="109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</row>
    <row r="396" spans="1:58" x14ac:dyDescent="0.35">
      <c r="A396" s="107" t="s">
        <v>2197</v>
      </c>
      <c r="B396" s="108" t="s">
        <v>0</v>
      </c>
      <c r="C396" s="109">
        <v>7</v>
      </c>
      <c r="D396" s="107" t="s">
        <v>767</v>
      </c>
      <c r="E396" s="109" t="s">
        <v>92</v>
      </c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</row>
    <row r="397" spans="1:58" x14ac:dyDescent="0.35">
      <c r="A397" s="101" t="s">
        <v>2198</v>
      </c>
      <c r="B397" s="102" t="s">
        <v>0</v>
      </c>
      <c r="C397" s="103">
        <v>5</v>
      </c>
      <c r="D397" s="101" t="s">
        <v>125</v>
      </c>
      <c r="E397" s="103" t="s">
        <v>124</v>
      </c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</row>
    <row r="398" spans="1:58" x14ac:dyDescent="0.35">
      <c r="A398" s="104" t="s">
        <v>2199</v>
      </c>
      <c r="B398" s="105" t="s">
        <v>0</v>
      </c>
      <c r="C398" s="106">
        <v>6</v>
      </c>
      <c r="D398" s="104" t="s">
        <v>26</v>
      </c>
      <c r="E398" s="106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4"/>
      <c r="BE398" s="94"/>
      <c r="BF398" s="94"/>
    </row>
    <row r="399" spans="1:58" x14ac:dyDescent="0.35">
      <c r="A399" s="107" t="s">
        <v>2200</v>
      </c>
      <c r="B399" s="108" t="s">
        <v>0</v>
      </c>
      <c r="C399" s="109">
        <v>7</v>
      </c>
      <c r="D399" s="107" t="s">
        <v>772</v>
      </c>
      <c r="E399" s="109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4"/>
      <c r="BE399" s="94"/>
      <c r="BF399" s="94"/>
    </row>
    <row r="400" spans="1:58" x14ac:dyDescent="0.35">
      <c r="A400" s="107" t="s">
        <v>2201</v>
      </c>
      <c r="B400" s="108" t="s">
        <v>0</v>
      </c>
      <c r="C400" s="109">
        <v>7</v>
      </c>
      <c r="D400" s="107" t="s">
        <v>773</v>
      </c>
      <c r="E400" s="109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4"/>
      <c r="BE400" s="94"/>
      <c r="BF400" s="94"/>
    </row>
    <row r="401" spans="1:58" x14ac:dyDescent="0.35">
      <c r="A401" s="107" t="s">
        <v>2202</v>
      </c>
      <c r="B401" s="108" t="s">
        <v>0</v>
      </c>
      <c r="C401" s="109">
        <v>7</v>
      </c>
      <c r="D401" s="107" t="s">
        <v>774</v>
      </c>
      <c r="E401" s="109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4"/>
      <c r="BE401" s="94"/>
      <c r="BF401" s="94"/>
    </row>
    <row r="402" spans="1:58" x14ac:dyDescent="0.35">
      <c r="A402" s="107" t="s">
        <v>2203</v>
      </c>
      <c r="B402" s="108" t="s">
        <v>0</v>
      </c>
      <c r="C402" s="109">
        <v>7</v>
      </c>
      <c r="D402" s="107" t="s">
        <v>775</v>
      </c>
      <c r="E402" s="109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4"/>
      <c r="BE402" s="94"/>
      <c r="BF402" s="94"/>
    </row>
    <row r="403" spans="1:58" x14ac:dyDescent="0.35">
      <c r="A403" s="107" t="s">
        <v>2204</v>
      </c>
      <c r="B403" s="108" t="s">
        <v>0</v>
      </c>
      <c r="C403" s="109">
        <v>7</v>
      </c>
      <c r="D403" s="107" t="s">
        <v>127</v>
      </c>
      <c r="E403" s="109" t="s">
        <v>126</v>
      </c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</row>
    <row r="404" spans="1:58" x14ac:dyDescent="0.35">
      <c r="A404" s="104" t="s">
        <v>2205</v>
      </c>
      <c r="B404" s="105" t="s">
        <v>0</v>
      </c>
      <c r="C404" s="106">
        <v>6</v>
      </c>
      <c r="D404" s="104" t="s">
        <v>29</v>
      </c>
      <c r="E404" s="106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</row>
    <row r="405" spans="1:58" x14ac:dyDescent="0.35">
      <c r="A405" s="107" t="s">
        <v>2206</v>
      </c>
      <c r="B405" s="108" t="s">
        <v>0</v>
      </c>
      <c r="C405" s="109">
        <v>7</v>
      </c>
      <c r="D405" s="107" t="s">
        <v>776</v>
      </c>
      <c r="E405" s="109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4"/>
      <c r="BE405" s="94"/>
      <c r="BF405" s="94"/>
    </row>
    <row r="406" spans="1:58" x14ac:dyDescent="0.35">
      <c r="A406" s="107" t="s">
        <v>2207</v>
      </c>
      <c r="B406" s="108" t="s">
        <v>0</v>
      </c>
      <c r="C406" s="109">
        <v>7</v>
      </c>
      <c r="D406" s="107" t="s">
        <v>777</v>
      </c>
      <c r="E406" s="109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4"/>
      <c r="BE406" s="94"/>
      <c r="BF406" s="94"/>
    </row>
    <row r="407" spans="1:58" x14ac:dyDescent="0.35">
      <c r="A407" s="107" t="s">
        <v>2208</v>
      </c>
      <c r="B407" s="108" t="s">
        <v>0</v>
      </c>
      <c r="C407" s="109">
        <v>7</v>
      </c>
      <c r="D407" s="107" t="s">
        <v>778</v>
      </c>
      <c r="E407" s="109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</row>
    <row r="408" spans="1:58" x14ac:dyDescent="0.35">
      <c r="A408" s="107" t="s">
        <v>2209</v>
      </c>
      <c r="B408" s="108" t="s">
        <v>0</v>
      </c>
      <c r="C408" s="109">
        <v>7</v>
      </c>
      <c r="D408" s="107" t="s">
        <v>779</v>
      </c>
      <c r="E408" s="109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4"/>
      <c r="BE408" s="94"/>
      <c r="BF408" s="94"/>
    </row>
    <row r="409" spans="1:58" x14ac:dyDescent="0.35">
      <c r="A409" s="107" t="s">
        <v>2210</v>
      </c>
      <c r="B409" s="108" t="s">
        <v>0</v>
      </c>
      <c r="C409" s="109">
        <v>7</v>
      </c>
      <c r="D409" s="107" t="s">
        <v>780</v>
      </c>
      <c r="E409" s="109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</row>
    <row r="410" spans="1:58" x14ac:dyDescent="0.35">
      <c r="A410" s="107" t="s">
        <v>2211</v>
      </c>
      <c r="B410" s="108" t="s">
        <v>0</v>
      </c>
      <c r="C410" s="109">
        <v>7</v>
      </c>
      <c r="D410" s="107" t="s">
        <v>781</v>
      </c>
      <c r="E410" s="109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4"/>
      <c r="BE410" s="94"/>
      <c r="BF410" s="94"/>
    </row>
    <row r="411" spans="1:58" x14ac:dyDescent="0.35">
      <c r="A411" s="107" t="s">
        <v>2212</v>
      </c>
      <c r="B411" s="108" t="s">
        <v>0</v>
      </c>
      <c r="C411" s="109">
        <v>7</v>
      </c>
      <c r="D411" s="107" t="s">
        <v>782</v>
      </c>
      <c r="E411" s="109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4"/>
      <c r="BE411" s="94"/>
      <c r="BF411" s="94"/>
    </row>
    <row r="412" spans="1:58" x14ac:dyDescent="0.35">
      <c r="A412" s="107" t="s">
        <v>2213</v>
      </c>
      <c r="B412" s="108" t="s">
        <v>0</v>
      </c>
      <c r="C412" s="109">
        <v>7</v>
      </c>
      <c r="D412" s="107" t="s">
        <v>783</v>
      </c>
      <c r="E412" s="109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4"/>
      <c r="BE412" s="94"/>
      <c r="BF412" s="94"/>
    </row>
    <row r="413" spans="1:58" x14ac:dyDescent="0.35">
      <c r="A413" s="107" t="s">
        <v>2214</v>
      </c>
      <c r="B413" s="108" t="s">
        <v>0</v>
      </c>
      <c r="C413" s="109">
        <v>7</v>
      </c>
      <c r="D413" s="107" t="s">
        <v>784</v>
      </c>
      <c r="E413" s="109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4"/>
      <c r="BE413" s="94"/>
      <c r="BF413" s="94"/>
    </row>
    <row r="414" spans="1:58" x14ac:dyDescent="0.35">
      <c r="A414" s="104" t="s">
        <v>2215</v>
      </c>
      <c r="B414" s="105" t="s">
        <v>0</v>
      </c>
      <c r="C414" s="106">
        <v>6</v>
      </c>
      <c r="D414" s="104" t="s">
        <v>31</v>
      </c>
      <c r="E414" s="106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4"/>
      <c r="BE414" s="94"/>
      <c r="BF414" s="94"/>
    </row>
    <row r="415" spans="1:58" x14ac:dyDescent="0.35">
      <c r="A415" s="107" t="s">
        <v>2216</v>
      </c>
      <c r="B415" s="108" t="s">
        <v>0</v>
      </c>
      <c r="C415" s="109">
        <v>7</v>
      </c>
      <c r="D415" s="107" t="s">
        <v>785</v>
      </c>
      <c r="E415" s="109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4"/>
      <c r="BE415" s="94"/>
      <c r="BF415" s="94"/>
    </row>
    <row r="416" spans="1:58" x14ac:dyDescent="0.35">
      <c r="A416" s="104" t="s">
        <v>2217</v>
      </c>
      <c r="B416" s="105" t="s">
        <v>0</v>
      </c>
      <c r="C416" s="106">
        <v>6</v>
      </c>
      <c r="D416" s="104" t="s">
        <v>16</v>
      </c>
      <c r="E416" s="106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  <c r="BD416" s="94"/>
      <c r="BE416" s="94"/>
      <c r="BF416" s="94"/>
    </row>
    <row r="417" spans="1:58" x14ac:dyDescent="0.35">
      <c r="A417" s="107" t="s">
        <v>2218</v>
      </c>
      <c r="B417" s="108" t="s">
        <v>0</v>
      </c>
      <c r="C417" s="109">
        <v>7</v>
      </c>
      <c r="D417" s="107" t="s">
        <v>786</v>
      </c>
      <c r="E417" s="109" t="s">
        <v>128</v>
      </c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</row>
    <row r="418" spans="1:58" x14ac:dyDescent="0.35">
      <c r="A418" s="107" t="s">
        <v>2219</v>
      </c>
      <c r="B418" s="108" t="s">
        <v>0</v>
      </c>
      <c r="C418" s="109">
        <v>7</v>
      </c>
      <c r="D418" s="107" t="s">
        <v>787</v>
      </c>
      <c r="E418" s="109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  <c r="BD418" s="94"/>
      <c r="BE418" s="94"/>
      <c r="BF418" s="94"/>
    </row>
    <row r="419" spans="1:58" x14ac:dyDescent="0.35">
      <c r="A419" s="107" t="s">
        <v>2220</v>
      </c>
      <c r="B419" s="108" t="s">
        <v>0</v>
      </c>
      <c r="C419" s="109">
        <v>7</v>
      </c>
      <c r="D419" s="107" t="s">
        <v>788</v>
      </c>
      <c r="E419" s="109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  <c r="BD419" s="94"/>
      <c r="BE419" s="94"/>
      <c r="BF419" s="94"/>
    </row>
    <row r="420" spans="1:58" x14ac:dyDescent="0.35">
      <c r="A420" s="107" t="s">
        <v>2221</v>
      </c>
      <c r="B420" s="108" t="s">
        <v>0</v>
      </c>
      <c r="C420" s="109">
        <v>7</v>
      </c>
      <c r="D420" s="107" t="s">
        <v>789</v>
      </c>
      <c r="E420" s="109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  <c r="BD420" s="94"/>
      <c r="BE420" s="94"/>
      <c r="BF420" s="94"/>
    </row>
    <row r="421" spans="1:58" x14ac:dyDescent="0.35">
      <c r="A421" s="107" t="s">
        <v>2222</v>
      </c>
      <c r="B421" s="108" t="s">
        <v>0</v>
      </c>
      <c r="C421" s="109">
        <v>7</v>
      </c>
      <c r="D421" s="107" t="s">
        <v>790</v>
      </c>
      <c r="E421" s="109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  <c r="BD421" s="94"/>
      <c r="BE421" s="94"/>
      <c r="BF421" s="94"/>
    </row>
    <row r="422" spans="1:58" x14ac:dyDescent="0.35">
      <c r="A422" s="101" t="s">
        <v>2223</v>
      </c>
      <c r="B422" s="102" t="s">
        <v>0</v>
      </c>
      <c r="C422" s="103">
        <v>5</v>
      </c>
      <c r="D422" s="101" t="s">
        <v>130</v>
      </c>
      <c r="E422" s="103" t="s">
        <v>129</v>
      </c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4"/>
      <c r="BE422" s="94"/>
      <c r="BF422" s="94"/>
    </row>
    <row r="423" spans="1:58" x14ac:dyDescent="0.35">
      <c r="A423" s="104" t="s">
        <v>2224</v>
      </c>
      <c r="B423" s="105" t="s">
        <v>0</v>
      </c>
      <c r="C423" s="106">
        <v>6</v>
      </c>
      <c r="D423" s="104" t="s">
        <v>26</v>
      </c>
      <c r="E423" s="106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4"/>
      <c r="BE423" s="94"/>
      <c r="BF423" s="94"/>
    </row>
    <row r="424" spans="1:58" x14ac:dyDescent="0.35">
      <c r="A424" s="107" t="s">
        <v>2225</v>
      </c>
      <c r="B424" s="108" t="s">
        <v>0</v>
      </c>
      <c r="C424" s="109">
        <v>7</v>
      </c>
      <c r="D424" s="107" t="s">
        <v>791</v>
      </c>
      <c r="E424" s="109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4"/>
      <c r="BE424" s="94"/>
      <c r="BF424" s="94"/>
    </row>
    <row r="425" spans="1:58" x14ac:dyDescent="0.35">
      <c r="A425" s="107" t="s">
        <v>2226</v>
      </c>
      <c r="B425" s="108" t="s">
        <v>0</v>
      </c>
      <c r="C425" s="109">
        <v>7</v>
      </c>
      <c r="D425" s="107" t="s">
        <v>792</v>
      </c>
      <c r="E425" s="109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</row>
    <row r="426" spans="1:58" x14ac:dyDescent="0.35">
      <c r="A426" s="107" t="s">
        <v>2227</v>
      </c>
      <c r="B426" s="108" t="s">
        <v>0</v>
      </c>
      <c r="C426" s="109">
        <v>7</v>
      </c>
      <c r="D426" s="107" t="s">
        <v>793</v>
      </c>
      <c r="E426" s="109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4"/>
      <c r="BE426" s="94"/>
      <c r="BF426" s="94"/>
    </row>
    <row r="427" spans="1:58" x14ac:dyDescent="0.35">
      <c r="A427" s="107" t="s">
        <v>2228</v>
      </c>
      <c r="B427" s="108" t="s">
        <v>0</v>
      </c>
      <c r="C427" s="109">
        <v>7</v>
      </c>
      <c r="D427" s="107" t="s">
        <v>132</v>
      </c>
      <c r="E427" s="109" t="s">
        <v>131</v>
      </c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</row>
    <row r="428" spans="1:58" x14ac:dyDescent="0.35">
      <c r="A428" s="104" t="s">
        <v>2229</v>
      </c>
      <c r="B428" s="105" t="s">
        <v>0</v>
      </c>
      <c r="C428" s="106">
        <v>6</v>
      </c>
      <c r="D428" s="104" t="s">
        <v>29</v>
      </c>
      <c r="E428" s="106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4"/>
      <c r="BE428" s="94"/>
      <c r="BF428" s="94"/>
    </row>
    <row r="429" spans="1:58" x14ac:dyDescent="0.35">
      <c r="A429" s="107" t="s">
        <v>2230</v>
      </c>
      <c r="B429" s="108" t="s">
        <v>0</v>
      </c>
      <c r="C429" s="109">
        <v>7</v>
      </c>
      <c r="D429" s="107" t="s">
        <v>794</v>
      </c>
      <c r="E429" s="109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4"/>
      <c r="BE429" s="94"/>
      <c r="BF429" s="94"/>
    </row>
    <row r="430" spans="1:58" x14ac:dyDescent="0.35">
      <c r="A430" s="107" t="s">
        <v>2231</v>
      </c>
      <c r="B430" s="108" t="s">
        <v>0</v>
      </c>
      <c r="C430" s="109">
        <v>7</v>
      </c>
      <c r="D430" s="107" t="s">
        <v>795</v>
      </c>
      <c r="E430" s="109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4"/>
      <c r="BE430" s="94"/>
      <c r="BF430" s="94"/>
    </row>
    <row r="431" spans="1:58" x14ac:dyDescent="0.35">
      <c r="A431" s="107" t="s">
        <v>2232</v>
      </c>
      <c r="B431" s="108" t="s">
        <v>0</v>
      </c>
      <c r="C431" s="109">
        <v>7</v>
      </c>
      <c r="D431" s="107" t="s">
        <v>796</v>
      </c>
      <c r="E431" s="109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4"/>
      <c r="BE431" s="94"/>
      <c r="BF431" s="94"/>
    </row>
    <row r="432" spans="1:58" x14ac:dyDescent="0.35">
      <c r="A432" s="107" t="s">
        <v>2233</v>
      </c>
      <c r="B432" s="108" t="s">
        <v>0</v>
      </c>
      <c r="C432" s="109">
        <v>7</v>
      </c>
      <c r="D432" s="107" t="s">
        <v>797</v>
      </c>
      <c r="E432" s="109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4"/>
      <c r="BE432" s="94"/>
      <c r="BF432" s="94"/>
    </row>
    <row r="433" spans="1:58" x14ac:dyDescent="0.35">
      <c r="A433" s="107" t="s">
        <v>2234</v>
      </c>
      <c r="B433" s="108" t="s">
        <v>0</v>
      </c>
      <c r="C433" s="109">
        <v>7</v>
      </c>
      <c r="D433" s="107" t="s">
        <v>798</v>
      </c>
      <c r="E433" s="109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4"/>
      <c r="BE433" s="94"/>
      <c r="BF433" s="94"/>
    </row>
    <row r="434" spans="1:58" x14ac:dyDescent="0.35">
      <c r="A434" s="107" t="s">
        <v>2235</v>
      </c>
      <c r="B434" s="108" t="s">
        <v>0</v>
      </c>
      <c r="C434" s="109">
        <v>7</v>
      </c>
      <c r="D434" s="107" t="s">
        <v>799</v>
      </c>
      <c r="E434" s="109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4"/>
      <c r="BE434" s="94"/>
      <c r="BF434" s="94"/>
    </row>
    <row r="435" spans="1:58" x14ac:dyDescent="0.35">
      <c r="A435" s="107" t="s">
        <v>2236</v>
      </c>
      <c r="B435" s="108" t="s">
        <v>0</v>
      </c>
      <c r="C435" s="109">
        <v>7</v>
      </c>
      <c r="D435" s="107" t="s">
        <v>806</v>
      </c>
      <c r="E435" s="109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4"/>
      <c r="BE435" s="94"/>
      <c r="BF435" s="94"/>
    </row>
    <row r="436" spans="1:58" x14ac:dyDescent="0.35">
      <c r="A436" s="107" t="s">
        <v>2237</v>
      </c>
      <c r="B436" s="108" t="s">
        <v>0</v>
      </c>
      <c r="C436" s="109">
        <v>7</v>
      </c>
      <c r="D436" s="107" t="s">
        <v>807</v>
      </c>
      <c r="E436" s="109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</row>
    <row r="437" spans="1:58" x14ac:dyDescent="0.35">
      <c r="A437" s="107" t="s">
        <v>2238</v>
      </c>
      <c r="B437" s="108" t="s">
        <v>0</v>
      </c>
      <c r="C437" s="109">
        <v>7</v>
      </c>
      <c r="D437" s="107" t="s">
        <v>808</v>
      </c>
      <c r="E437" s="109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4"/>
      <c r="BE437" s="94"/>
      <c r="BF437" s="94"/>
    </row>
    <row r="438" spans="1:58" x14ac:dyDescent="0.35">
      <c r="A438" s="107" t="s">
        <v>2239</v>
      </c>
      <c r="B438" s="108" t="s">
        <v>0</v>
      </c>
      <c r="C438" s="109">
        <v>7</v>
      </c>
      <c r="D438" s="107" t="s">
        <v>809</v>
      </c>
      <c r="E438" s="109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</row>
    <row r="439" spans="1:58" x14ac:dyDescent="0.35">
      <c r="A439" s="104" t="s">
        <v>2240</v>
      </c>
      <c r="B439" s="105" t="s">
        <v>0</v>
      </c>
      <c r="C439" s="106">
        <v>6</v>
      </c>
      <c r="D439" s="104" t="s">
        <v>31</v>
      </c>
      <c r="E439" s="106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4"/>
      <c r="BE439" s="94"/>
      <c r="BF439" s="94"/>
    </row>
    <row r="440" spans="1:58" x14ac:dyDescent="0.35">
      <c r="A440" s="107" t="s">
        <v>2241</v>
      </c>
      <c r="B440" s="108" t="s">
        <v>0</v>
      </c>
      <c r="C440" s="109">
        <v>7</v>
      </c>
      <c r="D440" s="107" t="s">
        <v>810</v>
      </c>
      <c r="E440" s="109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</row>
    <row r="441" spans="1:58" x14ac:dyDescent="0.35">
      <c r="A441" s="104" t="s">
        <v>2242</v>
      </c>
      <c r="B441" s="105" t="s">
        <v>0</v>
      </c>
      <c r="C441" s="106">
        <v>6</v>
      </c>
      <c r="D441" s="104" t="s">
        <v>16</v>
      </c>
      <c r="E441" s="106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4"/>
      <c r="BE441" s="94"/>
      <c r="BF441" s="94"/>
    </row>
    <row r="442" spans="1:58" x14ac:dyDescent="0.35">
      <c r="A442" s="107" t="s">
        <v>2243</v>
      </c>
      <c r="B442" s="108" t="s">
        <v>0</v>
      </c>
      <c r="C442" s="109">
        <v>7</v>
      </c>
      <c r="D442" s="107" t="s">
        <v>800</v>
      </c>
      <c r="E442" s="109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</row>
    <row r="443" spans="1:58" x14ac:dyDescent="0.35">
      <c r="A443" s="107" t="s">
        <v>2244</v>
      </c>
      <c r="B443" s="108" t="s">
        <v>0</v>
      </c>
      <c r="C443" s="109">
        <v>7</v>
      </c>
      <c r="D443" s="107" t="s">
        <v>801</v>
      </c>
      <c r="E443" s="109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4"/>
      <c r="BE443" s="94"/>
      <c r="BF443" s="94"/>
    </row>
    <row r="444" spans="1:58" x14ac:dyDescent="0.35">
      <c r="A444" s="107" t="s">
        <v>2245</v>
      </c>
      <c r="B444" s="108" t="s">
        <v>0</v>
      </c>
      <c r="C444" s="109">
        <v>7</v>
      </c>
      <c r="D444" s="107" t="s">
        <v>802</v>
      </c>
      <c r="E444" s="109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4"/>
      <c r="BE444" s="94"/>
      <c r="BF444" s="94"/>
    </row>
    <row r="445" spans="1:58" x14ac:dyDescent="0.35">
      <c r="A445" s="107" t="s">
        <v>2246</v>
      </c>
      <c r="B445" s="108" t="s">
        <v>0</v>
      </c>
      <c r="C445" s="109">
        <v>7</v>
      </c>
      <c r="D445" s="107" t="s">
        <v>803</v>
      </c>
      <c r="E445" s="109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4"/>
      <c r="BE445" s="94"/>
      <c r="BF445" s="94"/>
    </row>
    <row r="446" spans="1:58" x14ac:dyDescent="0.35">
      <c r="A446" s="107" t="s">
        <v>2247</v>
      </c>
      <c r="B446" s="108" t="s">
        <v>0</v>
      </c>
      <c r="C446" s="109">
        <v>7</v>
      </c>
      <c r="D446" s="107" t="s">
        <v>804</v>
      </c>
      <c r="E446" s="109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4"/>
      <c r="BE446" s="94"/>
      <c r="BF446" s="94"/>
    </row>
    <row r="447" spans="1:58" x14ac:dyDescent="0.35">
      <c r="A447" s="104" t="s">
        <v>2248</v>
      </c>
      <c r="B447" s="105" t="s">
        <v>0</v>
      </c>
      <c r="C447" s="106">
        <v>6</v>
      </c>
      <c r="D447" s="104" t="s">
        <v>30</v>
      </c>
      <c r="E447" s="106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4"/>
      <c r="BE447" s="94"/>
      <c r="BF447" s="94"/>
    </row>
    <row r="448" spans="1:58" x14ac:dyDescent="0.35">
      <c r="A448" s="101" t="s">
        <v>2249</v>
      </c>
      <c r="B448" s="102" t="s">
        <v>0</v>
      </c>
      <c r="C448" s="103">
        <v>5</v>
      </c>
      <c r="D448" s="101" t="s">
        <v>134</v>
      </c>
      <c r="E448" s="103" t="s">
        <v>133</v>
      </c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</row>
    <row r="449" spans="1:58" x14ac:dyDescent="0.35">
      <c r="A449" s="104" t="s">
        <v>2250</v>
      </c>
      <c r="B449" s="105" t="s">
        <v>0</v>
      </c>
      <c r="C449" s="106">
        <v>6</v>
      </c>
      <c r="D449" s="104" t="s">
        <v>26</v>
      </c>
      <c r="E449" s="106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4"/>
      <c r="BE449" s="94"/>
      <c r="BF449" s="94"/>
    </row>
    <row r="450" spans="1:58" x14ac:dyDescent="0.35">
      <c r="A450" s="107" t="s">
        <v>2251</v>
      </c>
      <c r="B450" s="108" t="s">
        <v>0</v>
      </c>
      <c r="C450" s="109">
        <v>7</v>
      </c>
      <c r="D450" s="107" t="s">
        <v>805</v>
      </c>
      <c r="E450" s="109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4"/>
      <c r="BE450" s="94"/>
      <c r="BF450" s="94"/>
    </row>
    <row r="451" spans="1:58" x14ac:dyDescent="0.35">
      <c r="A451" s="107" t="s">
        <v>2252</v>
      </c>
      <c r="B451" s="108" t="s">
        <v>0</v>
      </c>
      <c r="C451" s="109">
        <v>7</v>
      </c>
      <c r="D451" s="107" t="s">
        <v>822</v>
      </c>
      <c r="E451" s="109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4"/>
      <c r="BE451" s="94"/>
      <c r="BF451" s="94"/>
    </row>
    <row r="452" spans="1:58" x14ac:dyDescent="0.35">
      <c r="A452" s="107" t="s">
        <v>2253</v>
      </c>
      <c r="B452" s="108" t="s">
        <v>0</v>
      </c>
      <c r="C452" s="109">
        <v>7</v>
      </c>
      <c r="D452" s="107" t="s">
        <v>811</v>
      </c>
      <c r="E452" s="109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</row>
    <row r="453" spans="1:58" x14ac:dyDescent="0.35">
      <c r="A453" s="107" t="s">
        <v>2254</v>
      </c>
      <c r="B453" s="108" t="s">
        <v>0</v>
      </c>
      <c r="C453" s="109">
        <v>7</v>
      </c>
      <c r="D453" s="107" t="s">
        <v>812</v>
      </c>
      <c r="E453" s="109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</row>
    <row r="454" spans="1:58" x14ac:dyDescent="0.35">
      <c r="A454" s="107" t="s">
        <v>2255</v>
      </c>
      <c r="B454" s="108" t="s">
        <v>0</v>
      </c>
      <c r="C454" s="109">
        <v>7</v>
      </c>
      <c r="D454" s="107" t="s">
        <v>136</v>
      </c>
      <c r="E454" s="109" t="s">
        <v>135</v>
      </c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4"/>
      <c r="BE454" s="94"/>
      <c r="BF454" s="94"/>
    </row>
    <row r="455" spans="1:58" x14ac:dyDescent="0.35">
      <c r="A455" s="104" t="s">
        <v>2256</v>
      </c>
      <c r="B455" s="105" t="s">
        <v>0</v>
      </c>
      <c r="C455" s="106">
        <v>6</v>
      </c>
      <c r="D455" s="104" t="s">
        <v>29</v>
      </c>
      <c r="E455" s="106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</row>
    <row r="456" spans="1:58" x14ac:dyDescent="0.35">
      <c r="A456" s="107" t="s">
        <v>2257</v>
      </c>
      <c r="B456" s="108" t="s">
        <v>0</v>
      </c>
      <c r="C456" s="109">
        <v>7</v>
      </c>
      <c r="D456" s="107" t="s">
        <v>813</v>
      </c>
      <c r="E456" s="109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4"/>
      <c r="BE456" s="94"/>
      <c r="BF456" s="94"/>
    </row>
    <row r="457" spans="1:58" x14ac:dyDescent="0.35">
      <c r="A457" s="107" t="s">
        <v>2258</v>
      </c>
      <c r="B457" s="108" t="s">
        <v>0</v>
      </c>
      <c r="C457" s="109">
        <v>7</v>
      </c>
      <c r="D457" s="107" t="s">
        <v>814</v>
      </c>
      <c r="E457" s="109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</row>
    <row r="458" spans="1:58" x14ac:dyDescent="0.35">
      <c r="A458" s="107" t="s">
        <v>2259</v>
      </c>
      <c r="B458" s="108" t="s">
        <v>0</v>
      </c>
      <c r="C458" s="109">
        <v>7</v>
      </c>
      <c r="D458" s="107" t="s">
        <v>821</v>
      </c>
      <c r="E458" s="109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4"/>
      <c r="BE458" s="94"/>
      <c r="BF458" s="94"/>
    </row>
    <row r="459" spans="1:58" x14ac:dyDescent="0.35">
      <c r="A459" s="107" t="s">
        <v>2260</v>
      </c>
      <c r="B459" s="108" t="s">
        <v>0</v>
      </c>
      <c r="C459" s="109">
        <v>7</v>
      </c>
      <c r="D459" s="107" t="s">
        <v>815</v>
      </c>
      <c r="E459" s="109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4"/>
      <c r="BE459" s="94"/>
      <c r="BF459" s="94"/>
    </row>
    <row r="460" spans="1:58" x14ac:dyDescent="0.35">
      <c r="A460" s="107" t="s">
        <v>2261</v>
      </c>
      <c r="B460" s="108" t="s">
        <v>0</v>
      </c>
      <c r="C460" s="109">
        <v>7</v>
      </c>
      <c r="D460" s="107" t="s">
        <v>816</v>
      </c>
      <c r="E460" s="109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</row>
    <row r="461" spans="1:58" x14ac:dyDescent="0.35">
      <c r="A461" s="107" t="s">
        <v>2262</v>
      </c>
      <c r="B461" s="108" t="s">
        <v>0</v>
      </c>
      <c r="C461" s="109">
        <v>7</v>
      </c>
      <c r="D461" s="107" t="s">
        <v>817</v>
      </c>
      <c r="E461" s="109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4"/>
      <c r="BE461" s="94"/>
      <c r="BF461" s="94"/>
    </row>
    <row r="462" spans="1:58" x14ac:dyDescent="0.35">
      <c r="A462" s="107" t="s">
        <v>2263</v>
      </c>
      <c r="B462" s="108" t="s">
        <v>0</v>
      </c>
      <c r="C462" s="109">
        <v>7</v>
      </c>
      <c r="D462" s="107" t="s">
        <v>818</v>
      </c>
      <c r="E462" s="109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</row>
    <row r="463" spans="1:58" x14ac:dyDescent="0.35">
      <c r="A463" s="107" t="s">
        <v>2264</v>
      </c>
      <c r="B463" s="108" t="s">
        <v>0</v>
      </c>
      <c r="C463" s="109">
        <v>7</v>
      </c>
      <c r="D463" s="107" t="s">
        <v>819</v>
      </c>
      <c r="E463" s="109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4"/>
      <c r="BF463" s="94"/>
    </row>
    <row r="464" spans="1:58" x14ac:dyDescent="0.35">
      <c r="A464" s="107" t="s">
        <v>2265</v>
      </c>
      <c r="B464" s="108" t="s">
        <v>0</v>
      </c>
      <c r="C464" s="109">
        <v>7</v>
      </c>
      <c r="D464" s="107" t="s">
        <v>820</v>
      </c>
      <c r="E464" s="109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4"/>
      <c r="BE464" s="94"/>
      <c r="BF464" s="94"/>
    </row>
    <row r="465" spans="1:58" x14ac:dyDescent="0.35">
      <c r="A465" s="104" t="s">
        <v>2266</v>
      </c>
      <c r="B465" s="105" t="s">
        <v>0</v>
      </c>
      <c r="C465" s="106">
        <v>6</v>
      </c>
      <c r="D465" s="104" t="s">
        <v>16</v>
      </c>
      <c r="E465" s="106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4"/>
      <c r="BE465" s="94"/>
      <c r="BF465" s="94"/>
    </row>
    <row r="466" spans="1:58" x14ac:dyDescent="0.35">
      <c r="A466" s="107" t="s">
        <v>2267</v>
      </c>
      <c r="B466" s="108" t="s">
        <v>0</v>
      </c>
      <c r="C466" s="109">
        <v>7</v>
      </c>
      <c r="D466" s="107" t="s">
        <v>823</v>
      </c>
      <c r="E466" s="109" t="s">
        <v>137</v>
      </c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</row>
    <row r="467" spans="1:58" x14ac:dyDescent="0.35">
      <c r="A467" s="107" t="s">
        <v>2268</v>
      </c>
      <c r="B467" s="108" t="s">
        <v>0</v>
      </c>
      <c r="C467" s="109">
        <v>7</v>
      </c>
      <c r="D467" s="107" t="s">
        <v>824</v>
      </c>
      <c r="E467" s="109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</row>
    <row r="468" spans="1:58" x14ac:dyDescent="0.35">
      <c r="A468" s="107" t="s">
        <v>2269</v>
      </c>
      <c r="B468" s="108" t="s">
        <v>0</v>
      </c>
      <c r="C468" s="109">
        <v>7</v>
      </c>
      <c r="D468" s="107" t="s">
        <v>825</v>
      </c>
      <c r="E468" s="109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4"/>
      <c r="BF468" s="94"/>
    </row>
    <row r="469" spans="1:58" x14ac:dyDescent="0.35">
      <c r="A469" s="107" t="s">
        <v>2270</v>
      </c>
      <c r="B469" s="108" t="s">
        <v>0</v>
      </c>
      <c r="C469" s="109">
        <v>7</v>
      </c>
      <c r="D469" s="107" t="s">
        <v>826</v>
      </c>
      <c r="E469" s="109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4"/>
      <c r="BE469" s="94"/>
      <c r="BF469" s="94"/>
    </row>
    <row r="470" spans="1:58" x14ac:dyDescent="0.35">
      <c r="A470" s="107" t="s">
        <v>2271</v>
      </c>
      <c r="B470" s="108" t="s">
        <v>0</v>
      </c>
      <c r="C470" s="109">
        <v>7</v>
      </c>
      <c r="D470" s="107" t="s">
        <v>827</v>
      </c>
      <c r="E470" s="109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</row>
    <row r="471" spans="1:58" x14ac:dyDescent="0.35">
      <c r="A471" s="104" t="s">
        <v>2272</v>
      </c>
      <c r="B471" s="105" t="s">
        <v>0</v>
      </c>
      <c r="C471" s="106">
        <v>6</v>
      </c>
      <c r="D471" s="104" t="s">
        <v>30</v>
      </c>
      <c r="E471" s="106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4"/>
      <c r="BE471" s="94"/>
      <c r="BF471" s="94"/>
    </row>
    <row r="472" spans="1:58" x14ac:dyDescent="0.35">
      <c r="A472" s="104" t="s">
        <v>2273</v>
      </c>
      <c r="B472" s="105" t="s">
        <v>0</v>
      </c>
      <c r="C472" s="106">
        <v>6</v>
      </c>
      <c r="D472" s="104" t="s">
        <v>31</v>
      </c>
      <c r="E472" s="106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</row>
    <row r="473" spans="1:58" x14ac:dyDescent="0.35">
      <c r="A473" s="107" t="s">
        <v>2274</v>
      </c>
      <c r="B473" s="108" t="s">
        <v>0</v>
      </c>
      <c r="C473" s="109">
        <v>7</v>
      </c>
      <c r="D473" s="107" t="s">
        <v>828</v>
      </c>
      <c r="E473" s="109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  <c r="BD473" s="94"/>
      <c r="BE473" s="94"/>
      <c r="BF473" s="94"/>
    </row>
    <row r="474" spans="1:58" x14ac:dyDescent="0.35">
      <c r="A474" s="101" t="s">
        <v>2275</v>
      </c>
      <c r="B474" s="102" t="s">
        <v>0</v>
      </c>
      <c r="C474" s="103">
        <v>5</v>
      </c>
      <c r="D474" s="101" t="s">
        <v>1643</v>
      </c>
      <c r="E474" s="103" t="s">
        <v>1642</v>
      </c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  <c r="BD474" s="94"/>
      <c r="BE474" s="94"/>
      <c r="BF474" s="94"/>
    </row>
    <row r="475" spans="1:58" x14ac:dyDescent="0.35">
      <c r="A475" s="95" t="s">
        <v>2276</v>
      </c>
      <c r="B475" s="96" t="s">
        <v>0</v>
      </c>
      <c r="C475" s="97">
        <v>4</v>
      </c>
      <c r="D475" s="95" t="s">
        <v>1463</v>
      </c>
      <c r="E475" s="97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4"/>
      <c r="BE475" s="94"/>
      <c r="BF475" s="94"/>
    </row>
    <row r="476" spans="1:58" x14ac:dyDescent="0.35">
      <c r="A476" s="101" t="s">
        <v>2277</v>
      </c>
      <c r="B476" s="102" t="s">
        <v>0</v>
      </c>
      <c r="C476" s="103">
        <v>5</v>
      </c>
      <c r="D476" s="101" t="s">
        <v>144</v>
      </c>
      <c r="E476" s="103" t="s">
        <v>143</v>
      </c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4"/>
      <c r="BE476" s="94"/>
      <c r="BF476" s="94"/>
    </row>
    <row r="477" spans="1:58" x14ac:dyDescent="0.35">
      <c r="A477" s="104" t="s">
        <v>2278</v>
      </c>
      <c r="B477" s="105" t="s">
        <v>0</v>
      </c>
      <c r="C477" s="106">
        <v>6</v>
      </c>
      <c r="D477" s="104" t="s">
        <v>16</v>
      </c>
      <c r="E477" s="106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4"/>
      <c r="BE477" s="94"/>
      <c r="BF477" s="94"/>
    </row>
    <row r="478" spans="1:58" x14ac:dyDescent="0.35">
      <c r="A478" s="107" t="s">
        <v>2279</v>
      </c>
      <c r="B478" s="108" t="s">
        <v>0</v>
      </c>
      <c r="C478" s="109">
        <v>7</v>
      </c>
      <c r="D478" s="107" t="s">
        <v>829</v>
      </c>
      <c r="E478" s="109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  <c r="BD478" s="94"/>
      <c r="BE478" s="94"/>
      <c r="BF478" s="94"/>
    </row>
    <row r="479" spans="1:58" x14ac:dyDescent="0.35">
      <c r="A479" s="107" t="s">
        <v>2280</v>
      </c>
      <c r="B479" s="108" t="s">
        <v>0</v>
      </c>
      <c r="C479" s="109">
        <v>7</v>
      </c>
      <c r="D479" s="107" t="s">
        <v>830</v>
      </c>
      <c r="E479" s="109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  <c r="BD479" s="94"/>
      <c r="BE479" s="94"/>
      <c r="BF479" s="94"/>
    </row>
    <row r="480" spans="1:58" x14ac:dyDescent="0.35">
      <c r="A480" s="101" t="s">
        <v>2281</v>
      </c>
      <c r="B480" s="102" t="s">
        <v>0</v>
      </c>
      <c r="C480" s="103">
        <v>5</v>
      </c>
      <c r="D480" s="101" t="s">
        <v>146</v>
      </c>
      <c r="E480" s="103" t="s">
        <v>145</v>
      </c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  <c r="BD480" s="94"/>
      <c r="BE480" s="94"/>
      <c r="BF480" s="94"/>
    </row>
    <row r="481" spans="1:58" x14ac:dyDescent="0.35">
      <c r="A481" s="104" t="s">
        <v>2282</v>
      </c>
      <c r="B481" s="105" t="s">
        <v>0</v>
      </c>
      <c r="C481" s="106">
        <v>6</v>
      </c>
      <c r="D481" s="104" t="s">
        <v>16</v>
      </c>
      <c r="E481" s="106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  <c r="BD481" s="94"/>
      <c r="BE481" s="94"/>
      <c r="BF481" s="94"/>
    </row>
    <row r="482" spans="1:58" x14ac:dyDescent="0.35">
      <c r="A482" s="107" t="s">
        <v>2283</v>
      </c>
      <c r="B482" s="108" t="s">
        <v>0</v>
      </c>
      <c r="C482" s="109">
        <v>7</v>
      </c>
      <c r="D482" s="107" t="s">
        <v>831</v>
      </c>
      <c r="E482" s="109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4"/>
      <c r="BE482" s="94"/>
      <c r="BF482" s="94"/>
    </row>
    <row r="483" spans="1:58" x14ac:dyDescent="0.35">
      <c r="A483" s="107" t="s">
        <v>2284</v>
      </c>
      <c r="B483" s="108" t="s">
        <v>0</v>
      </c>
      <c r="C483" s="109">
        <v>7</v>
      </c>
      <c r="D483" s="107" t="s">
        <v>832</v>
      </c>
      <c r="E483" s="109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  <c r="BD483" s="94"/>
      <c r="BE483" s="94"/>
      <c r="BF483" s="94"/>
    </row>
    <row r="484" spans="1:58" x14ac:dyDescent="0.35">
      <c r="A484" s="101" t="s">
        <v>2285</v>
      </c>
      <c r="B484" s="102" t="s">
        <v>0</v>
      </c>
      <c r="C484" s="103">
        <v>5</v>
      </c>
      <c r="D484" s="101" t="s">
        <v>148</v>
      </c>
      <c r="E484" s="103" t="s">
        <v>147</v>
      </c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4"/>
      <c r="BE484" s="94"/>
      <c r="BF484" s="94"/>
    </row>
    <row r="485" spans="1:58" x14ac:dyDescent="0.35">
      <c r="A485" s="104" t="s">
        <v>2286</v>
      </c>
      <c r="B485" s="105" t="s">
        <v>0</v>
      </c>
      <c r="C485" s="106">
        <v>6</v>
      </c>
      <c r="D485" s="104" t="s">
        <v>26</v>
      </c>
      <c r="E485" s="106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  <c r="BD485" s="94"/>
      <c r="BE485" s="94"/>
      <c r="BF485" s="94"/>
    </row>
    <row r="486" spans="1:58" x14ac:dyDescent="0.35">
      <c r="A486" s="107" t="s">
        <v>2287</v>
      </c>
      <c r="B486" s="108" t="s">
        <v>0</v>
      </c>
      <c r="C486" s="109">
        <v>7</v>
      </c>
      <c r="D486" s="107" t="s">
        <v>833</v>
      </c>
      <c r="E486" s="109" t="s">
        <v>142</v>
      </c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4"/>
      <c r="BE486" s="94"/>
      <c r="BF486" s="94"/>
    </row>
    <row r="487" spans="1:58" x14ac:dyDescent="0.35">
      <c r="A487" s="107" t="s">
        <v>2288</v>
      </c>
      <c r="B487" s="108" t="s">
        <v>0</v>
      </c>
      <c r="C487" s="109">
        <v>7</v>
      </c>
      <c r="D487" s="107" t="s">
        <v>834</v>
      </c>
      <c r="E487" s="109" t="s">
        <v>142</v>
      </c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  <c r="BD487" s="94"/>
      <c r="BE487" s="94"/>
      <c r="BF487" s="94"/>
    </row>
    <row r="488" spans="1:58" x14ac:dyDescent="0.35">
      <c r="A488" s="104" t="s">
        <v>2289</v>
      </c>
      <c r="B488" s="105" t="s">
        <v>0</v>
      </c>
      <c r="C488" s="106">
        <v>6</v>
      </c>
      <c r="D488" s="104" t="s">
        <v>30</v>
      </c>
      <c r="E488" s="106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  <c r="BD488" s="94"/>
      <c r="BE488" s="94"/>
      <c r="BF488" s="94"/>
    </row>
    <row r="489" spans="1:58" x14ac:dyDescent="0.35">
      <c r="A489" s="107" t="s">
        <v>2290</v>
      </c>
      <c r="B489" s="108" t="s">
        <v>0</v>
      </c>
      <c r="C489" s="109">
        <v>7</v>
      </c>
      <c r="D489" s="107" t="s">
        <v>835</v>
      </c>
      <c r="E489" s="109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  <c r="BD489" s="94"/>
      <c r="BE489" s="94"/>
      <c r="BF489" s="94"/>
    </row>
    <row r="490" spans="1:58" x14ac:dyDescent="0.35">
      <c r="A490" s="101" t="s">
        <v>2291</v>
      </c>
      <c r="B490" s="102" t="s">
        <v>0</v>
      </c>
      <c r="C490" s="103">
        <v>5</v>
      </c>
      <c r="D490" s="101" t="s">
        <v>150</v>
      </c>
      <c r="E490" s="103" t="s">
        <v>149</v>
      </c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  <c r="BD490" s="94"/>
      <c r="BE490" s="94"/>
      <c r="BF490" s="94"/>
    </row>
    <row r="491" spans="1:58" x14ac:dyDescent="0.35">
      <c r="A491" s="104" t="s">
        <v>2292</v>
      </c>
      <c r="B491" s="105" t="s">
        <v>0</v>
      </c>
      <c r="C491" s="106">
        <v>6</v>
      </c>
      <c r="D491" s="104" t="s">
        <v>26</v>
      </c>
      <c r="E491" s="106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  <c r="BD491" s="94"/>
      <c r="BE491" s="94"/>
      <c r="BF491" s="94"/>
    </row>
    <row r="492" spans="1:58" x14ac:dyDescent="0.35">
      <c r="A492" s="107" t="s">
        <v>2293</v>
      </c>
      <c r="B492" s="108" t="s">
        <v>0</v>
      </c>
      <c r="C492" s="109">
        <v>7</v>
      </c>
      <c r="D492" s="107" t="s">
        <v>836</v>
      </c>
      <c r="E492" s="109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4"/>
      <c r="BE492" s="94"/>
      <c r="BF492" s="94"/>
    </row>
    <row r="493" spans="1:58" x14ac:dyDescent="0.35">
      <c r="A493" s="107" t="s">
        <v>2294</v>
      </c>
      <c r="B493" s="108" t="s">
        <v>0</v>
      </c>
      <c r="C493" s="109">
        <v>7</v>
      </c>
      <c r="D493" s="107" t="s">
        <v>837</v>
      </c>
      <c r="E493" s="109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4"/>
      <c r="BE493" s="94"/>
      <c r="BF493" s="94"/>
    </row>
    <row r="494" spans="1:58" x14ac:dyDescent="0.35">
      <c r="A494" s="107" t="s">
        <v>2295</v>
      </c>
      <c r="B494" s="108" t="s">
        <v>0</v>
      </c>
      <c r="C494" s="109">
        <v>7</v>
      </c>
      <c r="D494" s="107" t="s">
        <v>838</v>
      </c>
      <c r="E494" s="109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4"/>
      <c r="BE494" s="94"/>
      <c r="BF494" s="94"/>
    </row>
    <row r="495" spans="1:58" x14ac:dyDescent="0.35">
      <c r="A495" s="107" t="s">
        <v>2296</v>
      </c>
      <c r="B495" s="108" t="s">
        <v>0</v>
      </c>
      <c r="C495" s="109">
        <v>7</v>
      </c>
      <c r="D495" s="107" t="s">
        <v>1644</v>
      </c>
      <c r="E495" s="109" t="s">
        <v>1645</v>
      </c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  <c r="BD495" s="94"/>
      <c r="BE495" s="94"/>
      <c r="BF495" s="94"/>
    </row>
    <row r="496" spans="1:58" x14ac:dyDescent="0.35">
      <c r="A496" s="107" t="s">
        <v>2297</v>
      </c>
      <c r="B496" s="108" t="s">
        <v>0</v>
      </c>
      <c r="C496" s="109">
        <v>7</v>
      </c>
      <c r="D496" s="107" t="s">
        <v>1646</v>
      </c>
      <c r="E496" s="109" t="s">
        <v>1647</v>
      </c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  <c r="BD496" s="94"/>
      <c r="BE496" s="94"/>
      <c r="BF496" s="94"/>
    </row>
    <row r="497" spans="1:58" x14ac:dyDescent="0.35">
      <c r="A497" s="104" t="s">
        <v>2298</v>
      </c>
      <c r="B497" s="105" t="s">
        <v>0</v>
      </c>
      <c r="C497" s="106">
        <v>6</v>
      </c>
      <c r="D497" s="104" t="s">
        <v>16</v>
      </c>
      <c r="E497" s="106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  <c r="BD497" s="94"/>
      <c r="BE497" s="94"/>
      <c r="BF497" s="94"/>
    </row>
    <row r="498" spans="1:58" x14ac:dyDescent="0.35">
      <c r="A498" s="107" t="s">
        <v>2299</v>
      </c>
      <c r="B498" s="108" t="s">
        <v>0</v>
      </c>
      <c r="C498" s="109">
        <v>7</v>
      </c>
      <c r="D498" s="107" t="s">
        <v>839</v>
      </c>
      <c r="E498" s="109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  <c r="BD498" s="94"/>
      <c r="BE498" s="94"/>
      <c r="BF498" s="94"/>
    </row>
    <row r="499" spans="1:58" x14ac:dyDescent="0.35">
      <c r="A499" s="107" t="s">
        <v>2300</v>
      </c>
      <c r="B499" s="108" t="s">
        <v>0</v>
      </c>
      <c r="C499" s="109">
        <v>7</v>
      </c>
      <c r="D499" s="107" t="s">
        <v>840</v>
      </c>
      <c r="E499" s="109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  <c r="BD499" s="94"/>
      <c r="BE499" s="94"/>
      <c r="BF499" s="94"/>
    </row>
    <row r="500" spans="1:58" x14ac:dyDescent="0.35">
      <c r="A500" s="107" t="s">
        <v>2301</v>
      </c>
      <c r="B500" s="108" t="s">
        <v>0</v>
      </c>
      <c r="C500" s="109">
        <v>7</v>
      </c>
      <c r="D500" s="107" t="s">
        <v>841</v>
      </c>
      <c r="E500" s="109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  <c r="BD500" s="94"/>
      <c r="BE500" s="94"/>
      <c r="BF500" s="94"/>
    </row>
    <row r="501" spans="1:58" x14ac:dyDescent="0.35">
      <c r="A501" s="107" t="s">
        <v>2302</v>
      </c>
      <c r="B501" s="108" t="s">
        <v>0</v>
      </c>
      <c r="C501" s="109">
        <v>7</v>
      </c>
      <c r="D501" s="107" t="s">
        <v>842</v>
      </c>
      <c r="E501" s="109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  <c r="BD501" s="94"/>
      <c r="BE501" s="94"/>
      <c r="BF501" s="94"/>
    </row>
    <row r="502" spans="1:58" x14ac:dyDescent="0.35">
      <c r="A502" s="107" t="s">
        <v>2303</v>
      </c>
      <c r="B502" s="108" t="s">
        <v>0</v>
      </c>
      <c r="C502" s="109">
        <v>7</v>
      </c>
      <c r="D502" s="107" t="s">
        <v>843</v>
      </c>
      <c r="E502" s="109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  <c r="BD502" s="94"/>
      <c r="BE502" s="94"/>
      <c r="BF502" s="94"/>
    </row>
    <row r="503" spans="1:58" x14ac:dyDescent="0.35">
      <c r="A503" s="104" t="s">
        <v>2304</v>
      </c>
      <c r="B503" s="105" t="s">
        <v>0</v>
      </c>
      <c r="C503" s="106">
        <v>6</v>
      </c>
      <c r="D503" s="104" t="s">
        <v>120</v>
      </c>
      <c r="E503" s="106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  <c r="BD503" s="94"/>
      <c r="BE503" s="94"/>
      <c r="BF503" s="94"/>
    </row>
    <row r="504" spans="1:58" x14ac:dyDescent="0.35">
      <c r="A504" s="107" t="s">
        <v>2305</v>
      </c>
      <c r="B504" s="108" t="s">
        <v>0</v>
      </c>
      <c r="C504" s="109">
        <v>7</v>
      </c>
      <c r="D504" s="107" t="s">
        <v>839</v>
      </c>
      <c r="E504" s="109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</row>
    <row r="505" spans="1:58" x14ac:dyDescent="0.35">
      <c r="A505" s="107" t="s">
        <v>2306</v>
      </c>
      <c r="B505" s="108" t="s">
        <v>0</v>
      </c>
      <c r="C505" s="109">
        <v>7</v>
      </c>
      <c r="D505" s="107" t="s">
        <v>844</v>
      </c>
      <c r="E505" s="109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  <c r="BD505" s="94"/>
      <c r="BE505" s="94"/>
      <c r="BF505" s="94"/>
    </row>
    <row r="506" spans="1:58" x14ac:dyDescent="0.35">
      <c r="A506" s="107" t="s">
        <v>2307</v>
      </c>
      <c r="B506" s="108" t="s">
        <v>0</v>
      </c>
      <c r="C506" s="109">
        <v>7</v>
      </c>
      <c r="D506" s="107" t="s">
        <v>845</v>
      </c>
      <c r="E506" s="109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4"/>
      <c r="BE506" s="94"/>
      <c r="BF506" s="94"/>
    </row>
    <row r="507" spans="1:58" x14ac:dyDescent="0.35">
      <c r="A507" s="107" t="s">
        <v>2308</v>
      </c>
      <c r="B507" s="108" t="s">
        <v>0</v>
      </c>
      <c r="C507" s="109">
        <v>7</v>
      </c>
      <c r="D507" s="107" t="s">
        <v>1640</v>
      </c>
      <c r="E507" s="109" t="s">
        <v>1648</v>
      </c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  <c r="BD507" s="94"/>
      <c r="BE507" s="94"/>
      <c r="BF507" s="94"/>
    </row>
    <row r="508" spans="1:58" x14ac:dyDescent="0.35">
      <c r="A508" s="104" t="s">
        <v>2309</v>
      </c>
      <c r="B508" s="105" t="s">
        <v>0</v>
      </c>
      <c r="C508" s="106">
        <v>6</v>
      </c>
      <c r="D508" s="104" t="s">
        <v>13</v>
      </c>
      <c r="E508" s="106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4"/>
      <c r="BE508" s="94"/>
      <c r="BF508" s="94"/>
    </row>
    <row r="509" spans="1:58" x14ac:dyDescent="0.35">
      <c r="A509" s="107" t="s">
        <v>2310</v>
      </c>
      <c r="B509" s="108" t="s">
        <v>0</v>
      </c>
      <c r="C509" s="109">
        <v>7</v>
      </c>
      <c r="D509" s="107" t="s">
        <v>846</v>
      </c>
      <c r="E509" s="109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  <c r="BD509" s="94"/>
      <c r="BE509" s="94"/>
      <c r="BF509" s="94"/>
    </row>
    <row r="510" spans="1:58" x14ac:dyDescent="0.35">
      <c r="A510" s="104" t="s">
        <v>2311</v>
      </c>
      <c r="B510" s="105" t="s">
        <v>0</v>
      </c>
      <c r="C510" s="106">
        <v>6</v>
      </c>
      <c r="D510" s="104" t="s">
        <v>121</v>
      </c>
      <c r="E510" s="106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4"/>
      <c r="BE510" s="94"/>
      <c r="BF510" s="94"/>
    </row>
    <row r="511" spans="1:58" x14ac:dyDescent="0.35">
      <c r="A511" s="107" t="s">
        <v>2312</v>
      </c>
      <c r="B511" s="108" t="s">
        <v>0</v>
      </c>
      <c r="C511" s="109">
        <v>7</v>
      </c>
      <c r="D511" s="107" t="s">
        <v>847</v>
      </c>
      <c r="E511" s="109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  <c r="BD511" s="94"/>
      <c r="BE511" s="94"/>
      <c r="BF511" s="94"/>
    </row>
    <row r="512" spans="1:58" x14ac:dyDescent="0.35">
      <c r="A512" s="104" t="s">
        <v>2313</v>
      </c>
      <c r="B512" s="105" t="s">
        <v>0</v>
      </c>
      <c r="C512" s="106">
        <v>6</v>
      </c>
      <c r="D512" s="104" t="s">
        <v>122</v>
      </c>
      <c r="E512" s="106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  <c r="BD512" s="94"/>
      <c r="BE512" s="94"/>
      <c r="BF512" s="94"/>
    </row>
    <row r="513" spans="1:58" x14ac:dyDescent="0.35">
      <c r="A513" s="107" t="s">
        <v>2314</v>
      </c>
      <c r="B513" s="108" t="s">
        <v>0</v>
      </c>
      <c r="C513" s="109">
        <v>7</v>
      </c>
      <c r="D513" s="107" t="s">
        <v>848</v>
      </c>
      <c r="E513" s="109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4"/>
      <c r="BE513" s="94"/>
      <c r="BF513" s="94"/>
    </row>
    <row r="514" spans="1:58" x14ac:dyDescent="0.35">
      <c r="A514" s="104" t="s">
        <v>2315</v>
      </c>
      <c r="B514" s="105" t="s">
        <v>0</v>
      </c>
      <c r="C514" s="106">
        <v>6</v>
      </c>
      <c r="D514" s="104" t="s">
        <v>1624</v>
      </c>
      <c r="E514" s="106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  <c r="BD514" s="94"/>
      <c r="BE514" s="94"/>
      <c r="BF514" s="94"/>
    </row>
    <row r="515" spans="1:58" x14ac:dyDescent="0.35">
      <c r="A515" s="107" t="s">
        <v>2316</v>
      </c>
      <c r="B515" s="108" t="s">
        <v>0</v>
      </c>
      <c r="C515" s="109">
        <v>7</v>
      </c>
      <c r="D515" s="107" t="s">
        <v>849</v>
      </c>
      <c r="E515" s="109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  <c r="BD515" s="94"/>
      <c r="BE515" s="94"/>
      <c r="BF515" s="94"/>
    </row>
    <row r="516" spans="1:58" x14ac:dyDescent="0.35">
      <c r="A516" s="107" t="s">
        <v>2317</v>
      </c>
      <c r="B516" s="108" t="s">
        <v>0</v>
      </c>
      <c r="C516" s="109">
        <v>7</v>
      </c>
      <c r="D516" s="107" t="s">
        <v>850</v>
      </c>
      <c r="E516" s="109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  <c r="BD516" s="94"/>
      <c r="BE516" s="94"/>
      <c r="BF516" s="94"/>
    </row>
    <row r="517" spans="1:58" x14ac:dyDescent="0.35">
      <c r="A517" s="107" t="s">
        <v>2318</v>
      </c>
      <c r="B517" s="108" t="s">
        <v>0</v>
      </c>
      <c r="C517" s="109">
        <v>7</v>
      </c>
      <c r="D517" s="107" t="s">
        <v>839</v>
      </c>
      <c r="E517" s="109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  <c r="BD517" s="94"/>
      <c r="BE517" s="94"/>
      <c r="BF517" s="94"/>
    </row>
    <row r="518" spans="1:58" x14ac:dyDescent="0.35">
      <c r="A518" s="104" t="s">
        <v>2319</v>
      </c>
      <c r="B518" s="105" t="s">
        <v>0</v>
      </c>
      <c r="C518" s="106">
        <v>6</v>
      </c>
      <c r="D518" s="104" t="s">
        <v>151</v>
      </c>
      <c r="E518" s="106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4"/>
      <c r="BE518" s="94"/>
      <c r="BF518" s="94"/>
    </row>
    <row r="519" spans="1:58" x14ac:dyDescent="0.35">
      <c r="A519" s="107" t="s">
        <v>2320</v>
      </c>
      <c r="B519" s="108" t="s">
        <v>0</v>
      </c>
      <c r="C519" s="109">
        <v>7</v>
      </c>
      <c r="D519" s="107" t="s">
        <v>851</v>
      </c>
      <c r="E519" s="109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  <c r="BD519" s="94"/>
      <c r="BE519" s="94"/>
      <c r="BF519" s="94"/>
    </row>
    <row r="520" spans="1:58" x14ac:dyDescent="0.35">
      <c r="A520" s="107" t="s">
        <v>2321</v>
      </c>
      <c r="B520" s="108" t="s">
        <v>0</v>
      </c>
      <c r="C520" s="109">
        <v>7</v>
      </c>
      <c r="D520" s="107" t="s">
        <v>853</v>
      </c>
      <c r="E520" s="109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  <c r="BD520" s="94"/>
      <c r="BE520" s="94"/>
      <c r="BF520" s="94"/>
    </row>
    <row r="521" spans="1:58" x14ac:dyDescent="0.35">
      <c r="A521" s="107" t="s">
        <v>2322</v>
      </c>
      <c r="B521" s="108" t="s">
        <v>0</v>
      </c>
      <c r="C521" s="109">
        <v>7</v>
      </c>
      <c r="D521" s="107" t="s">
        <v>852</v>
      </c>
      <c r="E521" s="109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  <c r="BD521" s="94"/>
      <c r="BE521" s="94"/>
      <c r="BF521" s="94"/>
    </row>
    <row r="522" spans="1:58" x14ac:dyDescent="0.35">
      <c r="A522" s="104" t="s">
        <v>2323</v>
      </c>
      <c r="B522" s="105" t="s">
        <v>0</v>
      </c>
      <c r="C522" s="106">
        <v>6</v>
      </c>
      <c r="D522" s="104" t="s">
        <v>9</v>
      </c>
      <c r="E522" s="106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  <c r="BD522" s="94"/>
      <c r="BE522" s="94"/>
      <c r="BF522" s="94"/>
    </row>
    <row r="523" spans="1:58" x14ac:dyDescent="0.35">
      <c r="A523" s="107" t="s">
        <v>2324</v>
      </c>
      <c r="B523" s="108" t="s">
        <v>0</v>
      </c>
      <c r="C523" s="109">
        <v>7</v>
      </c>
      <c r="D523" s="107" t="s">
        <v>854</v>
      </c>
      <c r="E523" s="109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  <c r="BD523" s="94"/>
      <c r="BE523" s="94"/>
      <c r="BF523" s="94"/>
    </row>
    <row r="524" spans="1:58" x14ac:dyDescent="0.35">
      <c r="A524" s="107" t="s">
        <v>2325</v>
      </c>
      <c r="B524" s="108" t="s">
        <v>0</v>
      </c>
      <c r="C524" s="109">
        <v>7</v>
      </c>
      <c r="D524" s="107" t="s">
        <v>771</v>
      </c>
      <c r="E524" s="109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  <c r="BD524" s="94"/>
      <c r="BE524" s="94"/>
      <c r="BF524" s="94"/>
    </row>
    <row r="525" spans="1:58" x14ac:dyDescent="0.35">
      <c r="A525" s="107" t="s">
        <v>2326</v>
      </c>
      <c r="B525" s="108" t="s">
        <v>0</v>
      </c>
      <c r="C525" s="109">
        <v>7</v>
      </c>
      <c r="D525" s="107" t="s">
        <v>769</v>
      </c>
      <c r="E525" s="109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  <c r="BD525" s="94"/>
      <c r="BE525" s="94"/>
      <c r="BF525" s="94"/>
    </row>
    <row r="526" spans="1:58" x14ac:dyDescent="0.35">
      <c r="A526" s="107" t="s">
        <v>2327</v>
      </c>
      <c r="B526" s="108" t="s">
        <v>0</v>
      </c>
      <c r="C526" s="109">
        <v>7</v>
      </c>
      <c r="D526" s="107" t="s">
        <v>770</v>
      </c>
      <c r="E526" s="109" t="s">
        <v>159</v>
      </c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  <c r="BD526" s="94"/>
      <c r="BE526" s="94"/>
      <c r="BF526" s="94"/>
    </row>
    <row r="527" spans="1:58" x14ac:dyDescent="0.35">
      <c r="A527" s="104" t="s">
        <v>2309</v>
      </c>
      <c r="B527" s="105" t="s">
        <v>0</v>
      </c>
      <c r="C527" s="106">
        <v>6</v>
      </c>
      <c r="D527" s="104" t="s">
        <v>11</v>
      </c>
      <c r="E527" s="106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  <c r="BD527" s="94"/>
      <c r="BE527" s="94"/>
      <c r="BF527" s="94"/>
    </row>
    <row r="528" spans="1:58" x14ac:dyDescent="0.35">
      <c r="A528" s="107" t="s">
        <v>2328</v>
      </c>
      <c r="B528" s="108" t="s">
        <v>0</v>
      </c>
      <c r="C528" s="109">
        <v>7</v>
      </c>
      <c r="D528" s="107" t="s">
        <v>765</v>
      </c>
      <c r="E528" s="109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  <c r="BD528" s="94"/>
      <c r="BE528" s="94"/>
      <c r="BF528" s="94"/>
    </row>
    <row r="529" spans="1:58" x14ac:dyDescent="0.35">
      <c r="A529" s="107" t="s">
        <v>2329</v>
      </c>
      <c r="B529" s="108" t="s">
        <v>0</v>
      </c>
      <c r="C529" s="109">
        <v>7</v>
      </c>
      <c r="D529" s="107" t="s">
        <v>855</v>
      </c>
      <c r="E529" s="109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  <c r="BD529" s="94"/>
      <c r="BE529" s="94"/>
      <c r="BF529" s="94"/>
    </row>
    <row r="530" spans="1:58" x14ac:dyDescent="0.35">
      <c r="A530" s="107" t="s">
        <v>2330</v>
      </c>
      <c r="B530" s="108" t="s">
        <v>0</v>
      </c>
      <c r="C530" s="109">
        <v>7</v>
      </c>
      <c r="D530" s="107" t="s">
        <v>767</v>
      </c>
      <c r="E530" s="109" t="s">
        <v>92</v>
      </c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  <c r="BD530" s="94"/>
      <c r="BE530" s="94"/>
      <c r="BF530" s="94"/>
    </row>
    <row r="531" spans="1:58" x14ac:dyDescent="0.35">
      <c r="A531" s="104" t="s">
        <v>2331</v>
      </c>
      <c r="B531" s="105" t="s">
        <v>0</v>
      </c>
      <c r="C531" s="106">
        <v>6</v>
      </c>
      <c r="D531" s="104" t="s">
        <v>30</v>
      </c>
      <c r="E531" s="106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  <c r="BD531" s="94"/>
      <c r="BE531" s="94"/>
      <c r="BF531" s="94"/>
    </row>
    <row r="532" spans="1:58" x14ac:dyDescent="0.35">
      <c r="A532" s="101" t="s">
        <v>2332</v>
      </c>
      <c r="B532" s="102" t="s">
        <v>0</v>
      </c>
      <c r="C532" s="103">
        <v>5</v>
      </c>
      <c r="D532" s="101" t="s">
        <v>169</v>
      </c>
      <c r="E532" s="103" t="s">
        <v>586</v>
      </c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  <c r="BD532" s="94"/>
      <c r="BE532" s="94"/>
      <c r="BF532" s="94"/>
    </row>
    <row r="533" spans="1:58" x14ac:dyDescent="0.35">
      <c r="A533" s="95" t="s">
        <v>2333</v>
      </c>
      <c r="B533" s="96" t="s">
        <v>0</v>
      </c>
      <c r="C533" s="97">
        <v>4</v>
      </c>
      <c r="D533" s="95" t="s">
        <v>1795</v>
      </c>
      <c r="E533" s="97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  <c r="BD533" s="94"/>
      <c r="BE533" s="94"/>
      <c r="BF533" s="94"/>
    </row>
    <row r="534" spans="1:58" x14ac:dyDescent="0.35">
      <c r="A534" s="101" t="s">
        <v>2334</v>
      </c>
      <c r="B534" s="102" t="s">
        <v>0</v>
      </c>
      <c r="C534" s="103">
        <v>5</v>
      </c>
      <c r="D534" s="101" t="s">
        <v>546</v>
      </c>
      <c r="E534" s="103" t="s">
        <v>1796</v>
      </c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  <c r="BD534" s="94"/>
      <c r="BE534" s="94"/>
      <c r="BF534" s="94"/>
    </row>
    <row r="535" spans="1:58" x14ac:dyDescent="0.35">
      <c r="A535" s="104" t="s">
        <v>2335</v>
      </c>
      <c r="B535" s="105" t="s">
        <v>0</v>
      </c>
      <c r="C535" s="106">
        <v>6</v>
      </c>
      <c r="D535" s="104" t="s">
        <v>123</v>
      </c>
      <c r="E535" s="106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  <c r="BD535" s="94"/>
      <c r="BE535" s="94"/>
      <c r="BF535" s="94"/>
    </row>
    <row r="536" spans="1:58" x14ac:dyDescent="0.35">
      <c r="A536" s="107" t="s">
        <v>2336</v>
      </c>
      <c r="B536" s="108" t="s">
        <v>0</v>
      </c>
      <c r="C536" s="109">
        <v>7</v>
      </c>
      <c r="D536" s="107" t="s">
        <v>1471</v>
      </c>
      <c r="E536" s="109" t="s">
        <v>1411</v>
      </c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  <c r="BD536" s="94"/>
      <c r="BE536" s="94"/>
      <c r="BF536" s="94"/>
    </row>
    <row r="537" spans="1:58" x14ac:dyDescent="0.35">
      <c r="A537" s="107" t="s">
        <v>2337</v>
      </c>
      <c r="B537" s="108" t="s">
        <v>0</v>
      </c>
      <c r="C537" s="109">
        <v>7</v>
      </c>
      <c r="D537" s="107" t="s">
        <v>1412</v>
      </c>
      <c r="E537" s="109" t="s">
        <v>1413</v>
      </c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  <c r="BD537" s="94"/>
      <c r="BE537" s="94"/>
      <c r="BF537" s="94"/>
    </row>
    <row r="538" spans="1:58" x14ac:dyDescent="0.35">
      <c r="A538" s="107" t="s">
        <v>2338</v>
      </c>
      <c r="B538" s="108" t="s">
        <v>0</v>
      </c>
      <c r="C538" s="109">
        <v>7</v>
      </c>
      <c r="D538" s="107" t="s">
        <v>1414</v>
      </c>
      <c r="E538" s="109" t="s">
        <v>1415</v>
      </c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  <c r="BD538" s="94"/>
      <c r="BE538" s="94"/>
      <c r="BF538" s="94"/>
    </row>
    <row r="539" spans="1:58" x14ac:dyDescent="0.35">
      <c r="A539" s="107" t="s">
        <v>2339</v>
      </c>
      <c r="B539" s="108" t="s">
        <v>0</v>
      </c>
      <c r="C539" s="109">
        <v>7</v>
      </c>
      <c r="D539" s="107" t="s">
        <v>856</v>
      </c>
      <c r="E539" s="109" t="s">
        <v>490</v>
      </c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  <c r="BD539" s="94"/>
      <c r="BE539" s="94"/>
      <c r="BF539" s="94"/>
    </row>
    <row r="540" spans="1:58" x14ac:dyDescent="0.35">
      <c r="A540" s="107" t="s">
        <v>2340</v>
      </c>
      <c r="B540" s="108" t="s">
        <v>0</v>
      </c>
      <c r="C540" s="109">
        <v>7</v>
      </c>
      <c r="D540" s="107" t="s">
        <v>857</v>
      </c>
      <c r="E540" s="109" t="s">
        <v>491</v>
      </c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  <c r="BD540" s="94"/>
      <c r="BE540" s="94"/>
      <c r="BF540" s="94"/>
    </row>
    <row r="541" spans="1:58" x14ac:dyDescent="0.35">
      <c r="A541" s="107" t="s">
        <v>2341</v>
      </c>
      <c r="B541" s="108" t="s">
        <v>0</v>
      </c>
      <c r="C541" s="109">
        <v>7</v>
      </c>
      <c r="D541" s="107" t="s">
        <v>1352</v>
      </c>
      <c r="E541" s="109" t="s">
        <v>141</v>
      </c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</row>
    <row r="542" spans="1:58" x14ac:dyDescent="0.35">
      <c r="A542" s="107" t="s">
        <v>2342</v>
      </c>
      <c r="B542" s="108" t="s">
        <v>0</v>
      </c>
      <c r="C542" s="109">
        <v>7</v>
      </c>
      <c r="D542" s="107" t="s">
        <v>1353</v>
      </c>
      <c r="E542" s="109" t="s">
        <v>140</v>
      </c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  <c r="BD542" s="94"/>
      <c r="BE542" s="94"/>
      <c r="BF542" s="94"/>
    </row>
    <row r="543" spans="1:58" x14ac:dyDescent="0.35">
      <c r="A543" s="107" t="s">
        <v>2343</v>
      </c>
      <c r="B543" s="108" t="s">
        <v>0</v>
      </c>
      <c r="C543" s="109">
        <v>7</v>
      </c>
      <c r="D543" s="107" t="s">
        <v>858</v>
      </c>
      <c r="E543" s="109" t="s">
        <v>139</v>
      </c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  <c r="BD543" s="94"/>
      <c r="BE543" s="94"/>
      <c r="BF543" s="94"/>
    </row>
    <row r="544" spans="1:58" x14ac:dyDescent="0.35">
      <c r="A544" s="107" t="s">
        <v>2344</v>
      </c>
      <c r="B544" s="108" t="s">
        <v>0</v>
      </c>
      <c r="C544" s="109">
        <v>7</v>
      </c>
      <c r="D544" s="107" t="s">
        <v>859</v>
      </c>
      <c r="E544" s="109" t="s">
        <v>492</v>
      </c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  <c r="BD544" s="94"/>
      <c r="BE544" s="94"/>
      <c r="BF544" s="94"/>
    </row>
    <row r="545" spans="1:58" x14ac:dyDescent="0.35">
      <c r="A545" s="107" t="s">
        <v>2345</v>
      </c>
      <c r="B545" s="108" t="s">
        <v>0</v>
      </c>
      <c r="C545" s="109">
        <v>7</v>
      </c>
      <c r="D545" s="107" t="s">
        <v>860</v>
      </c>
      <c r="E545" s="109" t="s">
        <v>493</v>
      </c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  <c r="BD545" s="94"/>
      <c r="BE545" s="94"/>
      <c r="BF545" s="94"/>
    </row>
    <row r="546" spans="1:58" x14ac:dyDescent="0.35">
      <c r="A546" s="107" t="s">
        <v>2346</v>
      </c>
      <c r="B546" s="108" t="s">
        <v>0</v>
      </c>
      <c r="C546" s="109">
        <v>7</v>
      </c>
      <c r="D546" s="107" t="s">
        <v>861</v>
      </c>
      <c r="E546" s="109" t="s">
        <v>494</v>
      </c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  <c r="BD546" s="94"/>
      <c r="BE546" s="94"/>
      <c r="BF546" s="94"/>
    </row>
    <row r="547" spans="1:58" x14ac:dyDescent="0.35">
      <c r="A547" s="107" t="s">
        <v>2347</v>
      </c>
      <c r="B547" s="108" t="s">
        <v>0</v>
      </c>
      <c r="C547" s="109">
        <v>7</v>
      </c>
      <c r="D547" s="107" t="s">
        <v>624</v>
      </c>
      <c r="E547" s="109" t="s">
        <v>495</v>
      </c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  <c r="BD547" s="94"/>
      <c r="BE547" s="94"/>
      <c r="BF547" s="94"/>
    </row>
    <row r="548" spans="1:58" x14ac:dyDescent="0.35">
      <c r="A548" s="107" t="s">
        <v>2348</v>
      </c>
      <c r="B548" s="108" t="s">
        <v>0</v>
      </c>
      <c r="C548" s="109">
        <v>7</v>
      </c>
      <c r="D548" s="107" t="s">
        <v>1350</v>
      </c>
      <c r="E548" s="109" t="s">
        <v>496</v>
      </c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  <c r="BD548" s="94"/>
      <c r="BE548" s="94"/>
      <c r="BF548" s="94"/>
    </row>
    <row r="549" spans="1:58" x14ac:dyDescent="0.35">
      <c r="A549" s="107" t="s">
        <v>2349</v>
      </c>
      <c r="B549" s="108" t="s">
        <v>0</v>
      </c>
      <c r="C549" s="109">
        <v>7</v>
      </c>
      <c r="D549" s="107" t="s">
        <v>1351</v>
      </c>
      <c r="E549" s="109" t="s">
        <v>497</v>
      </c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  <c r="BD549" s="94"/>
      <c r="BE549" s="94"/>
      <c r="BF549" s="94"/>
    </row>
    <row r="550" spans="1:58" x14ac:dyDescent="0.35">
      <c r="A550" s="107" t="s">
        <v>2350</v>
      </c>
      <c r="B550" s="108" t="s">
        <v>0</v>
      </c>
      <c r="C550" s="109">
        <v>7</v>
      </c>
      <c r="D550" s="107" t="s">
        <v>862</v>
      </c>
      <c r="E550" s="109" t="s">
        <v>498</v>
      </c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  <c r="BD550" s="94"/>
      <c r="BE550" s="94"/>
      <c r="BF550" s="94"/>
    </row>
    <row r="551" spans="1:58" x14ac:dyDescent="0.35">
      <c r="A551" s="107" t="s">
        <v>2351</v>
      </c>
      <c r="B551" s="108" t="s">
        <v>0</v>
      </c>
      <c r="C551" s="109">
        <v>7</v>
      </c>
      <c r="D551" s="107" t="s">
        <v>863</v>
      </c>
      <c r="E551" s="109" t="s">
        <v>499</v>
      </c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  <c r="BD551" s="94"/>
      <c r="BE551" s="94"/>
      <c r="BF551" s="94"/>
    </row>
    <row r="552" spans="1:58" x14ac:dyDescent="0.35">
      <c r="A552" s="107" t="s">
        <v>2352</v>
      </c>
      <c r="B552" s="108" t="s">
        <v>0</v>
      </c>
      <c r="C552" s="109">
        <v>7</v>
      </c>
      <c r="D552" s="107" t="s">
        <v>860</v>
      </c>
      <c r="E552" s="109" t="s">
        <v>500</v>
      </c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  <c r="BD552" s="94"/>
      <c r="BE552" s="94"/>
      <c r="BF552" s="94"/>
    </row>
    <row r="553" spans="1:58" x14ac:dyDescent="0.35">
      <c r="A553" s="107" t="s">
        <v>2353</v>
      </c>
      <c r="B553" s="108" t="s">
        <v>0</v>
      </c>
      <c r="C553" s="109">
        <v>7</v>
      </c>
      <c r="D553" s="107" t="s">
        <v>864</v>
      </c>
      <c r="E553" s="109" t="s">
        <v>501</v>
      </c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  <c r="BD553" s="94"/>
      <c r="BE553" s="94"/>
      <c r="BF553" s="94"/>
    </row>
    <row r="554" spans="1:58" x14ac:dyDescent="0.35">
      <c r="A554" s="107" t="s">
        <v>2354</v>
      </c>
      <c r="B554" s="108" t="s">
        <v>0</v>
      </c>
      <c r="C554" s="109">
        <v>7</v>
      </c>
      <c r="D554" s="107" t="s">
        <v>865</v>
      </c>
      <c r="E554" s="109" t="s">
        <v>502</v>
      </c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  <c r="BD554" s="94"/>
      <c r="BE554" s="94"/>
      <c r="BF554" s="94"/>
    </row>
    <row r="555" spans="1:58" x14ac:dyDescent="0.35">
      <c r="A555" s="107" t="s">
        <v>2355</v>
      </c>
      <c r="B555" s="108" t="s">
        <v>0</v>
      </c>
      <c r="C555" s="109">
        <v>7</v>
      </c>
      <c r="D555" s="107" t="s">
        <v>1348</v>
      </c>
      <c r="E555" s="109" t="s">
        <v>503</v>
      </c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  <c r="BD555" s="94"/>
      <c r="BE555" s="94"/>
      <c r="BF555" s="94"/>
    </row>
    <row r="556" spans="1:58" x14ac:dyDescent="0.35">
      <c r="A556" s="107" t="s">
        <v>2356</v>
      </c>
      <c r="B556" s="108" t="s">
        <v>0</v>
      </c>
      <c r="C556" s="109">
        <v>7</v>
      </c>
      <c r="D556" s="107" t="s">
        <v>1349</v>
      </c>
      <c r="E556" s="109" t="s">
        <v>504</v>
      </c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  <c r="BD556" s="94"/>
      <c r="BE556" s="94"/>
      <c r="BF556" s="94"/>
    </row>
    <row r="557" spans="1:58" x14ac:dyDescent="0.35">
      <c r="A557" s="107" t="s">
        <v>2357</v>
      </c>
      <c r="B557" s="108" t="s">
        <v>0</v>
      </c>
      <c r="C557" s="109">
        <v>7</v>
      </c>
      <c r="D557" s="107" t="s">
        <v>866</v>
      </c>
      <c r="E557" s="109" t="s">
        <v>505</v>
      </c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  <c r="BD557" s="94"/>
      <c r="BE557" s="94"/>
      <c r="BF557" s="94"/>
    </row>
    <row r="558" spans="1:58" x14ac:dyDescent="0.35">
      <c r="A558" s="107" t="s">
        <v>2358</v>
      </c>
      <c r="B558" s="108" t="s">
        <v>0</v>
      </c>
      <c r="C558" s="109">
        <v>7</v>
      </c>
      <c r="D558" s="107" t="s">
        <v>1346</v>
      </c>
      <c r="E558" s="109" t="s">
        <v>506</v>
      </c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  <c r="BD558" s="94"/>
      <c r="BE558" s="94"/>
      <c r="BF558" s="94"/>
    </row>
    <row r="559" spans="1:58" x14ac:dyDescent="0.35">
      <c r="A559" s="107" t="s">
        <v>2359</v>
      </c>
      <c r="B559" s="108" t="s">
        <v>0</v>
      </c>
      <c r="C559" s="109">
        <v>7</v>
      </c>
      <c r="D559" s="107" t="s">
        <v>1347</v>
      </c>
      <c r="E559" s="109" t="s">
        <v>507</v>
      </c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  <c r="BD559" s="94"/>
      <c r="BE559" s="94"/>
      <c r="BF559" s="94"/>
    </row>
    <row r="560" spans="1:58" x14ac:dyDescent="0.35">
      <c r="A560" s="107" t="s">
        <v>2360</v>
      </c>
      <c r="B560" s="108" t="s">
        <v>0</v>
      </c>
      <c r="C560" s="109">
        <v>7</v>
      </c>
      <c r="D560" s="107" t="s">
        <v>867</v>
      </c>
      <c r="E560" s="109" t="s">
        <v>508</v>
      </c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  <c r="BD560" s="94"/>
      <c r="BE560" s="94"/>
      <c r="BF560" s="94"/>
    </row>
    <row r="561" spans="1:58" x14ac:dyDescent="0.35">
      <c r="A561" s="107" t="s">
        <v>2361</v>
      </c>
      <c r="B561" s="108" t="s">
        <v>0</v>
      </c>
      <c r="C561" s="109">
        <v>7</v>
      </c>
      <c r="D561" s="107" t="s">
        <v>868</v>
      </c>
      <c r="E561" s="109" t="s">
        <v>509</v>
      </c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  <c r="BD561" s="94"/>
      <c r="BE561" s="94"/>
      <c r="BF561" s="94"/>
    </row>
    <row r="562" spans="1:58" x14ac:dyDescent="0.35">
      <c r="A562" s="107" t="s">
        <v>2362</v>
      </c>
      <c r="B562" s="108" t="s">
        <v>0</v>
      </c>
      <c r="C562" s="109">
        <v>7</v>
      </c>
      <c r="D562" s="107" t="s">
        <v>1340</v>
      </c>
      <c r="E562" s="109" t="s">
        <v>510</v>
      </c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  <c r="BD562" s="94"/>
      <c r="BE562" s="94"/>
      <c r="BF562" s="94"/>
    </row>
    <row r="563" spans="1:58" x14ac:dyDescent="0.35">
      <c r="A563" s="107" t="s">
        <v>2363</v>
      </c>
      <c r="B563" s="108" t="s">
        <v>0</v>
      </c>
      <c r="C563" s="109">
        <v>7</v>
      </c>
      <c r="D563" s="107" t="s">
        <v>1341</v>
      </c>
      <c r="E563" s="109" t="s">
        <v>511</v>
      </c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  <c r="BD563" s="94"/>
      <c r="BE563" s="94"/>
      <c r="BF563" s="94"/>
    </row>
    <row r="564" spans="1:58" x14ac:dyDescent="0.35">
      <c r="A564" s="107" t="s">
        <v>2364</v>
      </c>
      <c r="B564" s="108" t="s">
        <v>0</v>
      </c>
      <c r="C564" s="109">
        <v>7</v>
      </c>
      <c r="D564" s="107" t="s">
        <v>1342</v>
      </c>
      <c r="E564" s="109" t="s">
        <v>512</v>
      </c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  <c r="BD564" s="94"/>
      <c r="BE564" s="94"/>
      <c r="BF564" s="94"/>
    </row>
    <row r="565" spans="1:58" x14ac:dyDescent="0.35">
      <c r="A565" s="107" t="s">
        <v>2365</v>
      </c>
      <c r="B565" s="108" t="s">
        <v>0</v>
      </c>
      <c r="C565" s="109">
        <v>7</v>
      </c>
      <c r="D565" s="107" t="s">
        <v>1343</v>
      </c>
      <c r="E565" s="109" t="s">
        <v>513</v>
      </c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  <c r="BD565" s="94"/>
      <c r="BE565" s="94"/>
      <c r="BF565" s="94"/>
    </row>
    <row r="566" spans="1:58" x14ac:dyDescent="0.35">
      <c r="A566" s="107" t="s">
        <v>2366</v>
      </c>
      <c r="B566" s="108" t="s">
        <v>0</v>
      </c>
      <c r="C566" s="109">
        <v>7</v>
      </c>
      <c r="D566" s="107" t="s">
        <v>1344</v>
      </c>
      <c r="E566" s="109" t="s">
        <v>514</v>
      </c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  <c r="BD566" s="94"/>
      <c r="BE566" s="94"/>
      <c r="BF566" s="94"/>
    </row>
    <row r="567" spans="1:58" x14ac:dyDescent="0.35">
      <c r="A567" s="107" t="s">
        <v>2367</v>
      </c>
      <c r="B567" s="108" t="s">
        <v>0</v>
      </c>
      <c r="C567" s="109">
        <v>7</v>
      </c>
      <c r="D567" s="107" t="s">
        <v>1345</v>
      </c>
      <c r="E567" s="109" t="s">
        <v>515</v>
      </c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  <c r="BD567" s="94"/>
      <c r="BE567" s="94"/>
      <c r="BF567" s="94"/>
    </row>
    <row r="568" spans="1:58" x14ac:dyDescent="0.35">
      <c r="A568" s="107" t="s">
        <v>2368</v>
      </c>
      <c r="B568" s="108" t="s">
        <v>0</v>
      </c>
      <c r="C568" s="109">
        <v>7</v>
      </c>
      <c r="D568" s="107" t="s">
        <v>1337</v>
      </c>
      <c r="E568" s="109" t="s">
        <v>516</v>
      </c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  <c r="BD568" s="94"/>
      <c r="BE568" s="94"/>
      <c r="BF568" s="94"/>
    </row>
    <row r="569" spans="1:58" x14ac:dyDescent="0.35">
      <c r="A569" s="107" t="s">
        <v>2369</v>
      </c>
      <c r="B569" s="108" t="s">
        <v>0</v>
      </c>
      <c r="C569" s="109">
        <v>7</v>
      </c>
      <c r="D569" s="107" t="s">
        <v>1338</v>
      </c>
      <c r="E569" s="109" t="s">
        <v>517</v>
      </c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  <c r="BD569" s="94"/>
      <c r="BE569" s="94"/>
      <c r="BF569" s="94"/>
    </row>
    <row r="570" spans="1:58" x14ac:dyDescent="0.35">
      <c r="A570" s="107" t="s">
        <v>2370</v>
      </c>
      <c r="B570" s="108" t="s">
        <v>0</v>
      </c>
      <c r="C570" s="109">
        <v>7</v>
      </c>
      <c r="D570" s="107" t="s">
        <v>1339</v>
      </c>
      <c r="E570" s="109" t="s">
        <v>518</v>
      </c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  <c r="BD570" s="94"/>
      <c r="BE570" s="94"/>
      <c r="BF570" s="94"/>
    </row>
    <row r="571" spans="1:58" x14ac:dyDescent="0.35">
      <c r="A571" s="107" t="s">
        <v>2371</v>
      </c>
      <c r="B571" s="108" t="s">
        <v>0</v>
      </c>
      <c r="C571" s="109">
        <v>7</v>
      </c>
      <c r="D571" s="107" t="s">
        <v>869</v>
      </c>
      <c r="E571" s="109" t="s">
        <v>519</v>
      </c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  <c r="BD571" s="94"/>
      <c r="BE571" s="94"/>
      <c r="BF571" s="94"/>
    </row>
    <row r="572" spans="1:58" x14ac:dyDescent="0.35">
      <c r="A572" s="107" t="s">
        <v>2372</v>
      </c>
      <c r="B572" s="108" t="s">
        <v>0</v>
      </c>
      <c r="C572" s="109">
        <v>7</v>
      </c>
      <c r="D572" s="107" t="s">
        <v>870</v>
      </c>
      <c r="E572" s="109" t="s">
        <v>520</v>
      </c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  <c r="BD572" s="94"/>
      <c r="BE572" s="94"/>
      <c r="BF572" s="94"/>
    </row>
    <row r="573" spans="1:58" x14ac:dyDescent="0.35">
      <c r="A573" s="107" t="s">
        <v>2373</v>
      </c>
      <c r="B573" s="108" t="s">
        <v>0</v>
      </c>
      <c r="C573" s="109">
        <v>7</v>
      </c>
      <c r="D573" s="107" t="s">
        <v>871</v>
      </c>
      <c r="E573" s="109" t="s">
        <v>521</v>
      </c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  <c r="BD573" s="94"/>
      <c r="BE573" s="94"/>
      <c r="BF573" s="94"/>
    </row>
    <row r="574" spans="1:58" x14ac:dyDescent="0.35">
      <c r="A574" s="107" t="s">
        <v>2374</v>
      </c>
      <c r="B574" s="108" t="s">
        <v>0</v>
      </c>
      <c r="C574" s="109">
        <v>7</v>
      </c>
      <c r="D574" s="107" t="s">
        <v>871</v>
      </c>
      <c r="E574" s="109" t="s">
        <v>522</v>
      </c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  <c r="BD574" s="94"/>
      <c r="BE574" s="94"/>
      <c r="BF574" s="94"/>
    </row>
    <row r="575" spans="1:58" x14ac:dyDescent="0.35">
      <c r="A575" s="107" t="s">
        <v>2375</v>
      </c>
      <c r="B575" s="108" t="s">
        <v>0</v>
      </c>
      <c r="C575" s="109">
        <v>7</v>
      </c>
      <c r="D575" s="107" t="s">
        <v>872</v>
      </c>
      <c r="E575" s="109" t="s">
        <v>523</v>
      </c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  <c r="BD575" s="94"/>
      <c r="BE575" s="94"/>
      <c r="BF575" s="94"/>
    </row>
    <row r="576" spans="1:58" x14ac:dyDescent="0.35">
      <c r="A576" s="107" t="s">
        <v>2376</v>
      </c>
      <c r="B576" s="108" t="s">
        <v>0</v>
      </c>
      <c r="C576" s="109">
        <v>7</v>
      </c>
      <c r="D576" s="107" t="s">
        <v>873</v>
      </c>
      <c r="E576" s="109" t="s">
        <v>524</v>
      </c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  <c r="BD576" s="94"/>
      <c r="BE576" s="94"/>
      <c r="BF576" s="94"/>
    </row>
    <row r="577" spans="1:58" x14ac:dyDescent="0.35">
      <c r="A577" s="107" t="s">
        <v>2377</v>
      </c>
      <c r="B577" s="108" t="s">
        <v>0</v>
      </c>
      <c r="C577" s="109">
        <v>7</v>
      </c>
      <c r="D577" s="107" t="s">
        <v>874</v>
      </c>
      <c r="E577" s="109" t="s">
        <v>138</v>
      </c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  <c r="BD577" s="94"/>
      <c r="BE577" s="94"/>
      <c r="BF577" s="94"/>
    </row>
    <row r="578" spans="1:58" x14ac:dyDescent="0.35">
      <c r="A578" s="107" t="s">
        <v>2378</v>
      </c>
      <c r="B578" s="108" t="s">
        <v>0</v>
      </c>
      <c r="C578" s="109">
        <v>7</v>
      </c>
      <c r="D578" s="107" t="s">
        <v>1614</v>
      </c>
      <c r="E578" s="109" t="s">
        <v>1416</v>
      </c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  <c r="BD578" s="94"/>
      <c r="BE578" s="94"/>
      <c r="BF578" s="94"/>
    </row>
    <row r="579" spans="1:58" x14ac:dyDescent="0.35">
      <c r="A579" s="107" t="s">
        <v>2379</v>
      </c>
      <c r="B579" s="108" t="s">
        <v>0</v>
      </c>
      <c r="C579" s="109">
        <v>7</v>
      </c>
      <c r="D579" s="107" t="s">
        <v>1614</v>
      </c>
      <c r="E579" s="109" t="s">
        <v>1417</v>
      </c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  <c r="BD579" s="94"/>
      <c r="BE579" s="94"/>
      <c r="BF579" s="94"/>
    </row>
    <row r="580" spans="1:58" x14ac:dyDescent="0.35">
      <c r="A580" s="107" t="s">
        <v>2380</v>
      </c>
      <c r="B580" s="108" t="s">
        <v>0</v>
      </c>
      <c r="C580" s="109">
        <v>7</v>
      </c>
      <c r="D580" s="107" t="s">
        <v>875</v>
      </c>
      <c r="E580" s="109" t="s">
        <v>547</v>
      </c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  <c r="BD580" s="94"/>
      <c r="BE580" s="94"/>
      <c r="BF580" s="94"/>
    </row>
    <row r="581" spans="1:58" x14ac:dyDescent="0.35">
      <c r="A581" s="107" t="s">
        <v>2381</v>
      </c>
      <c r="B581" s="108" t="s">
        <v>0</v>
      </c>
      <c r="C581" s="109">
        <v>7</v>
      </c>
      <c r="D581" s="107" t="s">
        <v>1472</v>
      </c>
      <c r="E581" s="109" t="s">
        <v>1418</v>
      </c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  <c r="BD581" s="94"/>
      <c r="BE581" s="94"/>
      <c r="BF581" s="94"/>
    </row>
    <row r="582" spans="1:58" x14ac:dyDescent="0.35">
      <c r="A582" s="107" t="s">
        <v>2382</v>
      </c>
      <c r="B582" s="108" t="s">
        <v>0</v>
      </c>
      <c r="C582" s="109">
        <v>7</v>
      </c>
      <c r="D582" s="107" t="s">
        <v>1473</v>
      </c>
      <c r="E582" s="109" t="s">
        <v>1419</v>
      </c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  <c r="BD582" s="94"/>
      <c r="BE582" s="94"/>
      <c r="BF582" s="94"/>
    </row>
    <row r="583" spans="1:58" x14ac:dyDescent="0.35">
      <c r="A583" s="107" t="s">
        <v>2383</v>
      </c>
      <c r="B583" s="108" t="s">
        <v>0</v>
      </c>
      <c r="C583" s="109">
        <v>7</v>
      </c>
      <c r="D583" s="107" t="s">
        <v>1474</v>
      </c>
      <c r="E583" s="109" t="s">
        <v>1420</v>
      </c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  <c r="BD583" s="94"/>
      <c r="BE583" s="94"/>
      <c r="BF583" s="94"/>
    </row>
    <row r="584" spans="1:58" x14ac:dyDescent="0.35">
      <c r="A584" s="107" t="s">
        <v>2384</v>
      </c>
      <c r="B584" s="108" t="s">
        <v>0</v>
      </c>
      <c r="C584" s="109">
        <v>7</v>
      </c>
      <c r="D584" s="107" t="s">
        <v>1475</v>
      </c>
      <c r="E584" s="109" t="s">
        <v>1421</v>
      </c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  <c r="BD584" s="94"/>
      <c r="BE584" s="94"/>
      <c r="BF584" s="94"/>
    </row>
    <row r="585" spans="1:58" x14ac:dyDescent="0.35">
      <c r="A585" s="107" t="s">
        <v>2385</v>
      </c>
      <c r="B585" s="108" t="s">
        <v>0</v>
      </c>
      <c r="C585" s="109">
        <v>7</v>
      </c>
      <c r="D585" s="107" t="s">
        <v>1476</v>
      </c>
      <c r="E585" s="109" t="s">
        <v>1422</v>
      </c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  <c r="BD585" s="94"/>
      <c r="BE585" s="94"/>
      <c r="BF585" s="94"/>
    </row>
    <row r="586" spans="1:58" x14ac:dyDescent="0.35">
      <c r="A586" s="107" t="s">
        <v>2386</v>
      </c>
      <c r="B586" s="108" t="s">
        <v>0</v>
      </c>
      <c r="C586" s="109">
        <v>7</v>
      </c>
      <c r="D586" s="107" t="s">
        <v>1477</v>
      </c>
      <c r="E586" s="109" t="s">
        <v>1423</v>
      </c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  <c r="BD586" s="94"/>
      <c r="BE586" s="94"/>
      <c r="BF586" s="94"/>
    </row>
    <row r="587" spans="1:58" x14ac:dyDescent="0.35">
      <c r="A587" s="101" t="s">
        <v>2387</v>
      </c>
      <c r="B587" s="102" t="s">
        <v>0</v>
      </c>
      <c r="C587" s="103">
        <v>5</v>
      </c>
      <c r="D587" s="101" t="s">
        <v>558</v>
      </c>
      <c r="E587" s="103" t="s">
        <v>1796</v>
      </c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  <c r="BD587" s="94"/>
      <c r="BE587" s="94"/>
      <c r="BF587" s="94"/>
    </row>
    <row r="588" spans="1:58" x14ac:dyDescent="0.35">
      <c r="A588" s="104" t="s">
        <v>2388</v>
      </c>
      <c r="B588" s="105" t="s">
        <v>0</v>
      </c>
      <c r="C588" s="106">
        <v>6</v>
      </c>
      <c r="D588" s="104" t="s">
        <v>123</v>
      </c>
      <c r="E588" s="106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  <c r="BD588" s="94"/>
      <c r="BE588" s="94"/>
      <c r="BF588" s="94"/>
    </row>
    <row r="589" spans="1:58" x14ac:dyDescent="0.35">
      <c r="A589" s="107" t="s">
        <v>2389</v>
      </c>
      <c r="B589" s="108" t="s">
        <v>0</v>
      </c>
      <c r="C589" s="109">
        <v>7</v>
      </c>
      <c r="D589" s="107" t="s">
        <v>1335</v>
      </c>
      <c r="E589" s="109" t="s">
        <v>548</v>
      </c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  <c r="BD589" s="94"/>
      <c r="BE589" s="94"/>
      <c r="BF589" s="94"/>
    </row>
    <row r="590" spans="1:58" x14ac:dyDescent="0.35">
      <c r="A590" s="107" t="s">
        <v>2390</v>
      </c>
      <c r="B590" s="108" t="s">
        <v>0</v>
      </c>
      <c r="C590" s="109">
        <v>7</v>
      </c>
      <c r="D590" s="107" t="s">
        <v>876</v>
      </c>
      <c r="E590" s="109" t="s">
        <v>549</v>
      </c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  <c r="BD590" s="94"/>
      <c r="BE590" s="94"/>
      <c r="BF590" s="94"/>
    </row>
    <row r="591" spans="1:58" x14ac:dyDescent="0.35">
      <c r="A591" s="107" t="s">
        <v>2391</v>
      </c>
      <c r="B591" s="108" t="s">
        <v>0</v>
      </c>
      <c r="C591" s="109">
        <v>7</v>
      </c>
      <c r="D591" s="107" t="s">
        <v>877</v>
      </c>
      <c r="E591" s="109" t="s">
        <v>550</v>
      </c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  <c r="BD591" s="94"/>
      <c r="BE591" s="94"/>
      <c r="BF591" s="94"/>
    </row>
    <row r="592" spans="1:58" x14ac:dyDescent="0.35">
      <c r="A592" s="107" t="s">
        <v>2392</v>
      </c>
      <c r="B592" s="108" t="s">
        <v>0</v>
      </c>
      <c r="C592" s="109">
        <v>7</v>
      </c>
      <c r="D592" s="107" t="s">
        <v>1336</v>
      </c>
      <c r="E592" s="109" t="s">
        <v>551</v>
      </c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  <c r="BD592" s="94"/>
      <c r="BE592" s="94"/>
      <c r="BF592" s="94"/>
    </row>
    <row r="593" spans="1:58" x14ac:dyDescent="0.35">
      <c r="A593" s="107" t="s">
        <v>2393</v>
      </c>
      <c r="B593" s="108" t="s">
        <v>0</v>
      </c>
      <c r="C593" s="109">
        <v>7</v>
      </c>
      <c r="D593" s="107" t="s">
        <v>878</v>
      </c>
      <c r="E593" s="109" t="s">
        <v>552</v>
      </c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  <c r="BD593" s="94"/>
      <c r="BE593" s="94"/>
      <c r="BF593" s="94"/>
    </row>
    <row r="594" spans="1:58" x14ac:dyDescent="0.35">
      <c r="A594" s="107" t="s">
        <v>2394</v>
      </c>
      <c r="B594" s="108" t="s">
        <v>0</v>
      </c>
      <c r="C594" s="109">
        <v>7</v>
      </c>
      <c r="D594" s="107" t="s">
        <v>877</v>
      </c>
      <c r="E594" s="109" t="s">
        <v>553</v>
      </c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  <c r="BD594" s="94"/>
      <c r="BE594" s="94"/>
      <c r="BF594" s="94"/>
    </row>
    <row r="595" spans="1:58" x14ac:dyDescent="0.35">
      <c r="A595" s="107" t="s">
        <v>2395</v>
      </c>
      <c r="B595" s="108" t="s">
        <v>0</v>
      </c>
      <c r="C595" s="109">
        <v>7</v>
      </c>
      <c r="D595" s="107" t="s">
        <v>879</v>
      </c>
      <c r="E595" s="109" t="s">
        <v>554</v>
      </c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  <c r="BD595" s="94"/>
      <c r="BE595" s="94"/>
      <c r="BF595" s="94"/>
    </row>
    <row r="596" spans="1:58" x14ac:dyDescent="0.35">
      <c r="A596" s="107" t="s">
        <v>2396</v>
      </c>
      <c r="B596" s="108" t="s">
        <v>0</v>
      </c>
      <c r="C596" s="109">
        <v>7</v>
      </c>
      <c r="D596" s="107" t="s">
        <v>880</v>
      </c>
      <c r="E596" s="109" t="s">
        <v>555</v>
      </c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  <c r="BD596" s="94"/>
      <c r="BE596" s="94"/>
      <c r="BF596" s="94"/>
    </row>
    <row r="597" spans="1:58" x14ac:dyDescent="0.35">
      <c r="A597" s="107" t="s">
        <v>2397</v>
      </c>
      <c r="B597" s="108" t="s">
        <v>0</v>
      </c>
      <c r="C597" s="109">
        <v>7</v>
      </c>
      <c r="D597" s="107" t="s">
        <v>881</v>
      </c>
      <c r="E597" s="109" t="s">
        <v>556</v>
      </c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  <c r="BD597" s="94"/>
      <c r="BE597" s="94"/>
      <c r="BF597" s="94"/>
    </row>
    <row r="598" spans="1:58" x14ac:dyDescent="0.35">
      <c r="A598" s="107" t="s">
        <v>2398</v>
      </c>
      <c r="B598" s="108" t="s">
        <v>0</v>
      </c>
      <c r="C598" s="109">
        <v>7</v>
      </c>
      <c r="D598" s="107" t="s">
        <v>882</v>
      </c>
      <c r="E598" s="109" t="s">
        <v>557</v>
      </c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  <c r="BD598" s="94"/>
      <c r="BE598" s="94"/>
      <c r="BF598" s="94"/>
    </row>
    <row r="599" spans="1:58" x14ac:dyDescent="0.35">
      <c r="A599" s="98" t="s">
        <v>2399</v>
      </c>
      <c r="B599" s="99" t="s">
        <v>0</v>
      </c>
      <c r="C599" s="100">
        <v>3</v>
      </c>
      <c r="D599" s="98" t="s">
        <v>563</v>
      </c>
      <c r="E599" s="100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  <c r="BD599" s="94"/>
      <c r="BE599" s="94"/>
      <c r="BF599" s="94"/>
    </row>
    <row r="600" spans="1:58" x14ac:dyDescent="0.35">
      <c r="A600" s="95" t="s">
        <v>2400</v>
      </c>
      <c r="B600" s="96" t="s">
        <v>0</v>
      </c>
      <c r="C600" s="97">
        <v>4</v>
      </c>
      <c r="D600" s="95" t="s">
        <v>1630</v>
      </c>
      <c r="E600" s="97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  <c r="BD600" s="94"/>
      <c r="BE600" s="94"/>
      <c r="BF600" s="94"/>
    </row>
    <row r="601" spans="1:58" x14ac:dyDescent="0.35">
      <c r="A601" s="101" t="s">
        <v>2401</v>
      </c>
      <c r="B601" s="102" t="s">
        <v>0</v>
      </c>
      <c r="C601" s="103">
        <v>5</v>
      </c>
      <c r="D601" s="101" t="s">
        <v>904</v>
      </c>
      <c r="E601" s="103" t="s">
        <v>155</v>
      </c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  <c r="BD601" s="94"/>
      <c r="BE601" s="94"/>
      <c r="BF601" s="94"/>
    </row>
    <row r="602" spans="1:58" x14ac:dyDescent="0.35">
      <c r="A602" s="104" t="s">
        <v>2402</v>
      </c>
      <c r="B602" s="105" t="s">
        <v>0</v>
      </c>
      <c r="C602" s="106">
        <v>6</v>
      </c>
      <c r="D602" s="104" t="s">
        <v>8</v>
      </c>
      <c r="E602" s="106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  <c r="BD602" s="94"/>
      <c r="BE602" s="94"/>
      <c r="BF602" s="94"/>
    </row>
    <row r="603" spans="1:58" x14ac:dyDescent="0.35">
      <c r="A603" s="107" t="s">
        <v>2403</v>
      </c>
      <c r="B603" s="108" t="s">
        <v>0</v>
      </c>
      <c r="C603" s="109">
        <v>7</v>
      </c>
      <c r="D603" s="107" t="s">
        <v>1605</v>
      </c>
      <c r="E603" s="109" t="s">
        <v>156</v>
      </c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  <c r="BD603" s="94"/>
      <c r="BE603" s="94"/>
      <c r="BF603" s="94"/>
    </row>
    <row r="604" spans="1:58" x14ac:dyDescent="0.35">
      <c r="A604" s="107" t="s">
        <v>2404</v>
      </c>
      <c r="B604" s="108" t="s">
        <v>0</v>
      </c>
      <c r="C604" s="109">
        <v>7</v>
      </c>
      <c r="D604" s="107" t="s">
        <v>1606</v>
      </c>
      <c r="E604" s="109" t="s">
        <v>157</v>
      </c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  <c r="BD604" s="94"/>
      <c r="BE604" s="94"/>
      <c r="BF604" s="94"/>
    </row>
    <row r="605" spans="1:58" x14ac:dyDescent="0.35">
      <c r="A605" s="104" t="s">
        <v>2405</v>
      </c>
      <c r="B605" s="105" t="s">
        <v>0</v>
      </c>
      <c r="C605" s="106">
        <v>6</v>
      </c>
      <c r="D605" s="104" t="s">
        <v>30</v>
      </c>
      <c r="E605" s="106" t="s">
        <v>155</v>
      </c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  <c r="BD605" s="94"/>
      <c r="BE605" s="94"/>
      <c r="BF605" s="94"/>
    </row>
    <row r="606" spans="1:58" x14ac:dyDescent="0.35">
      <c r="A606" s="107" t="s">
        <v>2406</v>
      </c>
      <c r="B606" s="108" t="s">
        <v>0</v>
      </c>
      <c r="C606" s="109">
        <v>7</v>
      </c>
      <c r="D606" s="107" t="s">
        <v>1651</v>
      </c>
      <c r="E606" s="109" t="s">
        <v>1653</v>
      </c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  <c r="BD606" s="94"/>
      <c r="BE606" s="94"/>
      <c r="BF606" s="94"/>
    </row>
    <row r="607" spans="1:58" x14ac:dyDescent="0.35">
      <c r="A607" s="101" t="s">
        <v>2407</v>
      </c>
      <c r="B607" s="102" t="s">
        <v>0</v>
      </c>
      <c r="C607" s="103">
        <v>5</v>
      </c>
      <c r="D607" s="101" t="s">
        <v>905</v>
      </c>
      <c r="E607" s="103" t="s">
        <v>158</v>
      </c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  <c r="BD607" s="94"/>
      <c r="BE607" s="94"/>
      <c r="BF607" s="94"/>
    </row>
    <row r="608" spans="1:58" x14ac:dyDescent="0.35">
      <c r="A608" s="104" t="s">
        <v>2408</v>
      </c>
      <c r="B608" s="105" t="s">
        <v>0</v>
      </c>
      <c r="C608" s="106">
        <v>6</v>
      </c>
      <c r="D608" s="104" t="s">
        <v>565</v>
      </c>
      <c r="E608" s="106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  <c r="BD608" s="94"/>
      <c r="BE608" s="94"/>
      <c r="BF608" s="94"/>
    </row>
    <row r="609" spans="1:58" x14ac:dyDescent="0.35">
      <c r="A609" s="107" t="s">
        <v>2409</v>
      </c>
      <c r="B609" s="108" t="s">
        <v>0</v>
      </c>
      <c r="C609" s="109">
        <v>7</v>
      </c>
      <c r="D609" s="107" t="s">
        <v>906</v>
      </c>
      <c r="E609" s="109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  <c r="BD609" s="94"/>
      <c r="BE609" s="94"/>
      <c r="BF609" s="94"/>
    </row>
    <row r="610" spans="1:58" x14ac:dyDescent="0.35">
      <c r="A610" s="107" t="s">
        <v>2410</v>
      </c>
      <c r="B610" s="108" t="s">
        <v>0</v>
      </c>
      <c r="C610" s="109">
        <v>7</v>
      </c>
      <c r="D610" s="107" t="s">
        <v>907</v>
      </c>
      <c r="E610" s="109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  <c r="BD610" s="94"/>
      <c r="BE610" s="94"/>
      <c r="BF610" s="94"/>
    </row>
    <row r="611" spans="1:58" x14ac:dyDescent="0.35">
      <c r="A611" s="107" t="s">
        <v>2411</v>
      </c>
      <c r="B611" s="108" t="s">
        <v>0</v>
      </c>
      <c r="C611" s="109">
        <v>7</v>
      </c>
      <c r="D611" s="107" t="s">
        <v>908</v>
      </c>
      <c r="E611" s="109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4"/>
      <c r="BE611" s="94"/>
      <c r="BF611" s="94"/>
    </row>
    <row r="612" spans="1:58" x14ac:dyDescent="0.35">
      <c r="A612" s="104" t="s">
        <v>2412</v>
      </c>
      <c r="B612" s="105" t="s">
        <v>0</v>
      </c>
      <c r="C612" s="106">
        <v>6</v>
      </c>
      <c r="D612" s="104" t="s">
        <v>16</v>
      </c>
      <c r="E612" s="106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4"/>
      <c r="BE612" s="94"/>
      <c r="BF612" s="94"/>
    </row>
    <row r="613" spans="1:58" x14ac:dyDescent="0.35">
      <c r="A613" s="107" t="s">
        <v>2413</v>
      </c>
      <c r="B613" s="108" t="s">
        <v>0</v>
      </c>
      <c r="C613" s="109">
        <v>7</v>
      </c>
      <c r="D613" s="107" t="s">
        <v>909</v>
      </c>
      <c r="E613" s="109" t="s">
        <v>159</v>
      </c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  <c r="BD613" s="94"/>
      <c r="BE613" s="94"/>
      <c r="BF613" s="94"/>
    </row>
    <row r="614" spans="1:58" x14ac:dyDescent="0.35">
      <c r="A614" s="104" t="s">
        <v>2414</v>
      </c>
      <c r="B614" s="105" t="s">
        <v>0</v>
      </c>
      <c r="C614" s="106">
        <v>6</v>
      </c>
      <c r="D614" s="104" t="s">
        <v>123</v>
      </c>
      <c r="E614" s="106" t="s">
        <v>158</v>
      </c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  <c r="BD614" s="94"/>
      <c r="BE614" s="94"/>
      <c r="BF614" s="94"/>
    </row>
    <row r="615" spans="1:58" x14ac:dyDescent="0.35">
      <c r="A615" s="101" t="s">
        <v>2415</v>
      </c>
      <c r="B615" s="102" t="s">
        <v>0</v>
      </c>
      <c r="C615" s="103">
        <v>5</v>
      </c>
      <c r="D615" s="101" t="s">
        <v>438</v>
      </c>
      <c r="E615" s="103" t="s">
        <v>160</v>
      </c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  <c r="BD615" s="94"/>
      <c r="BE615" s="94"/>
      <c r="BF615" s="94"/>
    </row>
    <row r="616" spans="1:58" x14ac:dyDescent="0.35">
      <c r="A616" s="104" t="s">
        <v>2416</v>
      </c>
      <c r="B616" s="105" t="s">
        <v>0</v>
      </c>
      <c r="C616" s="106">
        <v>6</v>
      </c>
      <c r="D616" s="104" t="s">
        <v>16</v>
      </c>
      <c r="E616" s="106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  <c r="BD616" s="94"/>
      <c r="BE616" s="94"/>
      <c r="BF616" s="94"/>
    </row>
    <row r="617" spans="1:58" x14ac:dyDescent="0.35">
      <c r="A617" s="107" t="s">
        <v>2417</v>
      </c>
      <c r="B617" s="108" t="s">
        <v>0</v>
      </c>
      <c r="C617" s="109">
        <v>7</v>
      </c>
      <c r="D617" s="107" t="s">
        <v>713</v>
      </c>
      <c r="E617" s="109" t="s">
        <v>161</v>
      </c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  <c r="BD617" s="94"/>
      <c r="BE617" s="94"/>
      <c r="BF617" s="94"/>
    </row>
    <row r="618" spans="1:58" x14ac:dyDescent="0.35">
      <c r="A618" s="104" t="s">
        <v>2418</v>
      </c>
      <c r="B618" s="105" t="s">
        <v>0</v>
      </c>
      <c r="C618" s="106">
        <v>6</v>
      </c>
      <c r="D618" s="104" t="s">
        <v>123</v>
      </c>
      <c r="E618" s="106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  <c r="BD618" s="94"/>
      <c r="BE618" s="94"/>
      <c r="BF618" s="94"/>
    </row>
    <row r="619" spans="1:58" x14ac:dyDescent="0.35">
      <c r="A619" s="107" t="s">
        <v>2419</v>
      </c>
      <c r="B619" s="108" t="s">
        <v>0</v>
      </c>
      <c r="C619" s="109">
        <v>7</v>
      </c>
      <c r="D619" s="107" t="s">
        <v>1654</v>
      </c>
      <c r="E619" s="109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  <c r="BD619" s="94"/>
      <c r="BE619" s="94"/>
      <c r="BF619" s="94"/>
    </row>
    <row r="620" spans="1:58" x14ac:dyDescent="0.35">
      <c r="A620" s="101" t="s">
        <v>2420</v>
      </c>
      <c r="B620" s="102" t="s">
        <v>0</v>
      </c>
      <c r="C620" s="103">
        <v>5</v>
      </c>
      <c r="D620" s="101" t="s">
        <v>439</v>
      </c>
      <c r="E620" s="103" t="s">
        <v>162</v>
      </c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  <c r="BD620" s="94"/>
      <c r="BE620" s="94"/>
      <c r="BF620" s="94"/>
    </row>
    <row r="621" spans="1:58" x14ac:dyDescent="0.35">
      <c r="A621" s="104" t="s">
        <v>2421</v>
      </c>
      <c r="B621" s="105" t="s">
        <v>0</v>
      </c>
      <c r="C621" s="106">
        <v>6</v>
      </c>
      <c r="D621" s="104" t="s">
        <v>123</v>
      </c>
      <c r="E621" s="106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  <c r="BD621" s="94"/>
      <c r="BE621" s="94"/>
      <c r="BF621" s="94"/>
    </row>
    <row r="622" spans="1:58" x14ac:dyDescent="0.35">
      <c r="A622" s="107" t="s">
        <v>2422</v>
      </c>
      <c r="B622" s="108" t="s">
        <v>0</v>
      </c>
      <c r="C622" s="109">
        <v>7</v>
      </c>
      <c r="D622" s="107" t="s">
        <v>1654</v>
      </c>
      <c r="E622" s="109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  <c r="BD622" s="94"/>
      <c r="BE622" s="94"/>
      <c r="BF622" s="94"/>
    </row>
    <row r="623" spans="1:58" x14ac:dyDescent="0.35">
      <c r="A623" s="101" t="s">
        <v>2423</v>
      </c>
      <c r="B623" s="102" t="s">
        <v>0</v>
      </c>
      <c r="C623" s="103">
        <v>5</v>
      </c>
      <c r="D623" s="101" t="s">
        <v>910</v>
      </c>
      <c r="E623" s="103" t="s">
        <v>163</v>
      </c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  <c r="BD623" s="94"/>
      <c r="BE623" s="94"/>
      <c r="BF623" s="94"/>
    </row>
    <row r="624" spans="1:58" x14ac:dyDescent="0.35">
      <c r="A624" s="104" t="s">
        <v>2424</v>
      </c>
      <c r="B624" s="105" t="s">
        <v>0</v>
      </c>
      <c r="C624" s="106">
        <v>6</v>
      </c>
      <c r="D624" s="104" t="s">
        <v>8</v>
      </c>
      <c r="E624" s="106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  <c r="BD624" s="94"/>
      <c r="BE624" s="94"/>
      <c r="BF624" s="94"/>
    </row>
    <row r="625" spans="1:58" x14ac:dyDescent="0.35">
      <c r="A625" s="107" t="s">
        <v>2425</v>
      </c>
      <c r="B625" s="108" t="s">
        <v>0</v>
      </c>
      <c r="C625" s="109">
        <v>7</v>
      </c>
      <c r="D625" s="107" t="s">
        <v>1505</v>
      </c>
      <c r="E625" s="109" t="s">
        <v>165</v>
      </c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  <c r="BD625" s="94"/>
      <c r="BE625" s="94"/>
      <c r="BF625" s="94"/>
    </row>
    <row r="626" spans="1:58" x14ac:dyDescent="0.35">
      <c r="A626" s="107" t="s">
        <v>2426</v>
      </c>
      <c r="B626" s="108" t="s">
        <v>0</v>
      </c>
      <c r="C626" s="109">
        <v>7</v>
      </c>
      <c r="D626" s="107" t="s">
        <v>911</v>
      </c>
      <c r="E626" s="109" t="s">
        <v>167</v>
      </c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  <c r="BD626" s="94"/>
      <c r="BE626" s="94"/>
      <c r="BF626" s="94"/>
    </row>
    <row r="627" spans="1:58" x14ac:dyDescent="0.35">
      <c r="A627" s="104" t="s">
        <v>2427</v>
      </c>
      <c r="B627" s="105" t="s">
        <v>0</v>
      </c>
      <c r="C627" s="106">
        <v>6</v>
      </c>
      <c r="D627" s="104" t="s">
        <v>16</v>
      </c>
      <c r="E627" s="106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  <c r="BD627" s="94"/>
      <c r="BE627" s="94"/>
      <c r="BF627" s="94"/>
    </row>
    <row r="628" spans="1:58" x14ac:dyDescent="0.35">
      <c r="A628" s="107" t="s">
        <v>2428</v>
      </c>
      <c r="B628" s="108" t="s">
        <v>0</v>
      </c>
      <c r="C628" s="109">
        <v>7</v>
      </c>
      <c r="D628" s="107" t="s">
        <v>912</v>
      </c>
      <c r="E628" s="109" t="s">
        <v>164</v>
      </c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  <c r="BD628" s="94"/>
      <c r="BE628" s="94"/>
      <c r="BF628" s="94"/>
    </row>
    <row r="629" spans="1:58" x14ac:dyDescent="0.35">
      <c r="A629" s="107" t="s">
        <v>2429</v>
      </c>
      <c r="B629" s="108" t="s">
        <v>0</v>
      </c>
      <c r="C629" s="109">
        <v>7</v>
      </c>
      <c r="D629" s="107" t="s">
        <v>913</v>
      </c>
      <c r="E629" s="109" t="s">
        <v>168</v>
      </c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  <c r="BD629" s="94"/>
      <c r="BE629" s="94"/>
      <c r="BF629" s="94"/>
    </row>
    <row r="630" spans="1:58" x14ac:dyDescent="0.35">
      <c r="A630" s="107" t="s">
        <v>2430</v>
      </c>
      <c r="B630" s="108" t="s">
        <v>0</v>
      </c>
      <c r="C630" s="109">
        <v>7</v>
      </c>
      <c r="D630" s="107" t="s">
        <v>914</v>
      </c>
      <c r="E630" s="109" t="s">
        <v>166</v>
      </c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  <c r="BD630" s="94"/>
      <c r="BE630" s="94"/>
      <c r="BF630" s="94"/>
    </row>
    <row r="631" spans="1:58" x14ac:dyDescent="0.35">
      <c r="A631" s="104" t="s">
        <v>2431</v>
      </c>
      <c r="B631" s="105" t="s">
        <v>0</v>
      </c>
      <c r="C631" s="106">
        <v>6</v>
      </c>
      <c r="D631" s="104" t="s">
        <v>123</v>
      </c>
      <c r="E631" s="106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  <c r="BD631" s="94"/>
      <c r="BE631" s="94"/>
      <c r="BF631" s="94"/>
    </row>
    <row r="632" spans="1:58" x14ac:dyDescent="0.35">
      <c r="A632" s="101" t="s">
        <v>2432</v>
      </c>
      <c r="B632" s="102" t="s">
        <v>0</v>
      </c>
      <c r="C632" s="103">
        <v>5</v>
      </c>
      <c r="D632" s="101" t="s">
        <v>169</v>
      </c>
      <c r="E632" s="103" t="s">
        <v>170</v>
      </c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  <c r="BD632" s="94"/>
      <c r="BE632" s="94"/>
      <c r="BF632" s="94"/>
    </row>
    <row r="633" spans="1:58" x14ac:dyDescent="0.35">
      <c r="A633" s="95" t="s">
        <v>2433</v>
      </c>
      <c r="B633" s="96" t="s">
        <v>0</v>
      </c>
      <c r="C633" s="97">
        <v>4</v>
      </c>
      <c r="D633" s="95" t="s">
        <v>1610</v>
      </c>
      <c r="E633" s="97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  <c r="BD633" s="94"/>
      <c r="BE633" s="94"/>
      <c r="BF633" s="94"/>
    </row>
    <row r="634" spans="1:58" x14ac:dyDescent="0.35">
      <c r="A634" s="101" t="s">
        <v>2434</v>
      </c>
      <c r="B634" s="102" t="s">
        <v>0</v>
      </c>
      <c r="C634" s="103">
        <v>5</v>
      </c>
      <c r="D634" s="101" t="s">
        <v>440</v>
      </c>
      <c r="E634" s="103" t="s">
        <v>171</v>
      </c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  <c r="BD634" s="94"/>
      <c r="BE634" s="94"/>
      <c r="BF634" s="94"/>
    </row>
    <row r="635" spans="1:58" x14ac:dyDescent="0.35">
      <c r="A635" s="104" t="s">
        <v>2435</v>
      </c>
      <c r="B635" s="105" t="s">
        <v>0</v>
      </c>
      <c r="C635" s="106">
        <v>6</v>
      </c>
      <c r="D635" s="104" t="s">
        <v>564</v>
      </c>
      <c r="E635" s="106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  <c r="BD635" s="94"/>
      <c r="BE635" s="94"/>
      <c r="BF635" s="94"/>
    </row>
    <row r="636" spans="1:58" x14ac:dyDescent="0.35">
      <c r="A636" s="107" t="s">
        <v>2436</v>
      </c>
      <c r="B636" s="108" t="s">
        <v>0</v>
      </c>
      <c r="C636" s="109">
        <v>7</v>
      </c>
      <c r="D636" s="107" t="s">
        <v>917</v>
      </c>
      <c r="E636" s="109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  <c r="BD636" s="94"/>
      <c r="BE636" s="94"/>
      <c r="BF636" s="94"/>
    </row>
    <row r="637" spans="1:58" x14ac:dyDescent="0.35">
      <c r="A637" s="107" t="s">
        <v>2437</v>
      </c>
      <c r="B637" s="108" t="s">
        <v>0</v>
      </c>
      <c r="C637" s="109">
        <v>7</v>
      </c>
      <c r="D637" s="107" t="s">
        <v>918</v>
      </c>
      <c r="E637" s="109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  <c r="BD637" s="94"/>
      <c r="BE637" s="94"/>
      <c r="BF637" s="94"/>
    </row>
    <row r="638" spans="1:58" x14ac:dyDescent="0.35">
      <c r="A638" s="107" t="s">
        <v>2438</v>
      </c>
      <c r="B638" s="108" t="s">
        <v>0</v>
      </c>
      <c r="C638" s="109">
        <v>7</v>
      </c>
      <c r="D638" s="107" t="s">
        <v>915</v>
      </c>
      <c r="E638" s="109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  <c r="BD638" s="94"/>
      <c r="BE638" s="94"/>
      <c r="BF638" s="94"/>
    </row>
    <row r="639" spans="1:58" x14ac:dyDescent="0.35">
      <c r="A639" s="107" t="s">
        <v>2439</v>
      </c>
      <c r="B639" s="108" t="s">
        <v>0</v>
      </c>
      <c r="C639" s="109">
        <v>7</v>
      </c>
      <c r="D639" s="107" t="s">
        <v>916</v>
      </c>
      <c r="E639" s="109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  <c r="BD639" s="94"/>
      <c r="BE639" s="94"/>
      <c r="BF639" s="94"/>
    </row>
    <row r="640" spans="1:58" x14ac:dyDescent="0.35">
      <c r="A640" s="107" t="s">
        <v>2440</v>
      </c>
      <c r="B640" s="108" t="s">
        <v>0</v>
      </c>
      <c r="C640" s="109">
        <v>7</v>
      </c>
      <c r="D640" s="107" t="s">
        <v>919</v>
      </c>
      <c r="E640" s="109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  <c r="BD640" s="94"/>
      <c r="BE640" s="94"/>
      <c r="BF640" s="94"/>
    </row>
    <row r="641" spans="1:58" x14ac:dyDescent="0.35">
      <c r="A641" s="107" t="s">
        <v>2441</v>
      </c>
      <c r="B641" s="108" t="s">
        <v>0</v>
      </c>
      <c r="C641" s="109">
        <v>7</v>
      </c>
      <c r="D641" s="107" t="s">
        <v>1655</v>
      </c>
      <c r="E641" s="109" t="s">
        <v>0</v>
      </c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  <c r="BD641" s="94"/>
      <c r="BE641" s="94"/>
      <c r="BF641" s="94"/>
    </row>
    <row r="642" spans="1:58" x14ac:dyDescent="0.35">
      <c r="A642" s="104" t="s">
        <v>2442</v>
      </c>
      <c r="B642" s="105" t="s">
        <v>0</v>
      </c>
      <c r="C642" s="106">
        <v>6</v>
      </c>
      <c r="D642" s="104" t="s">
        <v>26</v>
      </c>
      <c r="E642" s="106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  <c r="BD642" s="94"/>
      <c r="BE642" s="94"/>
      <c r="BF642" s="94"/>
    </row>
    <row r="643" spans="1:58" x14ac:dyDescent="0.35">
      <c r="A643" s="107" t="s">
        <v>2443</v>
      </c>
      <c r="B643" s="108" t="s">
        <v>0</v>
      </c>
      <c r="C643" s="109">
        <v>7</v>
      </c>
      <c r="D643" s="107" t="s">
        <v>923</v>
      </c>
      <c r="E643" s="109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  <c r="BD643" s="94"/>
      <c r="BE643" s="94"/>
      <c r="BF643" s="94"/>
    </row>
    <row r="644" spans="1:58" x14ac:dyDescent="0.35">
      <c r="A644" s="107" t="s">
        <v>2444</v>
      </c>
      <c r="B644" s="108" t="s">
        <v>0</v>
      </c>
      <c r="C644" s="109">
        <v>7</v>
      </c>
      <c r="D644" s="107" t="s">
        <v>920</v>
      </c>
      <c r="E644" s="109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</row>
    <row r="645" spans="1:58" x14ac:dyDescent="0.35">
      <c r="A645" s="107" t="s">
        <v>2445</v>
      </c>
      <c r="B645" s="108" t="s">
        <v>0</v>
      </c>
      <c r="C645" s="109">
        <v>7</v>
      </c>
      <c r="D645" s="107" t="s">
        <v>921</v>
      </c>
      <c r="E645" s="109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4"/>
      <c r="BE645" s="94"/>
      <c r="BF645" s="94"/>
    </row>
    <row r="646" spans="1:58" x14ac:dyDescent="0.35">
      <c r="A646" s="107" t="s">
        <v>2446</v>
      </c>
      <c r="B646" s="108" t="s">
        <v>0</v>
      </c>
      <c r="C646" s="109">
        <v>7</v>
      </c>
      <c r="D646" s="107" t="s">
        <v>922</v>
      </c>
      <c r="E646" s="109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4"/>
      <c r="BE646" s="94"/>
      <c r="BF646" s="94"/>
    </row>
    <row r="647" spans="1:58" x14ac:dyDescent="0.35">
      <c r="A647" s="104" t="s">
        <v>2447</v>
      </c>
      <c r="B647" s="105" t="s">
        <v>0</v>
      </c>
      <c r="C647" s="106">
        <v>6</v>
      </c>
      <c r="D647" s="104" t="s">
        <v>16</v>
      </c>
      <c r="E647" s="106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4"/>
      <c r="BE647" s="94"/>
      <c r="BF647" s="94"/>
    </row>
    <row r="648" spans="1:58" x14ac:dyDescent="0.35">
      <c r="A648" s="107" t="s">
        <v>2448</v>
      </c>
      <c r="B648" s="108" t="s">
        <v>0</v>
      </c>
      <c r="C648" s="109">
        <v>7</v>
      </c>
      <c r="D648" s="107" t="s">
        <v>924</v>
      </c>
      <c r="E648" s="109" t="s">
        <v>172</v>
      </c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4"/>
      <c r="BE648" s="94"/>
      <c r="BF648" s="94"/>
    </row>
    <row r="649" spans="1:58" x14ac:dyDescent="0.35">
      <c r="A649" s="104" t="s">
        <v>2449</v>
      </c>
      <c r="B649" s="105" t="s">
        <v>0</v>
      </c>
      <c r="C649" s="106">
        <v>6</v>
      </c>
      <c r="D649" s="104" t="s">
        <v>30</v>
      </c>
      <c r="E649" s="106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4"/>
      <c r="BE649" s="94"/>
      <c r="BF649" s="94"/>
    </row>
    <row r="650" spans="1:58" x14ac:dyDescent="0.35">
      <c r="A650" s="107" t="s">
        <v>2450</v>
      </c>
      <c r="B650" s="108" t="s">
        <v>0</v>
      </c>
      <c r="C650" s="109">
        <v>7</v>
      </c>
      <c r="D650" s="107" t="s">
        <v>1656</v>
      </c>
      <c r="E650" s="109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4"/>
      <c r="BE650" s="94"/>
      <c r="BF650" s="94"/>
    </row>
    <row r="651" spans="1:58" x14ac:dyDescent="0.35">
      <c r="A651" s="107" t="s">
        <v>2451</v>
      </c>
      <c r="B651" s="108" t="s">
        <v>0</v>
      </c>
      <c r="C651" s="109">
        <v>7</v>
      </c>
      <c r="D651" s="107" t="s">
        <v>1659</v>
      </c>
      <c r="E651" s="109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  <c r="BD651" s="94"/>
      <c r="BE651" s="94"/>
      <c r="BF651" s="94"/>
    </row>
    <row r="652" spans="1:58" x14ac:dyDescent="0.35">
      <c r="A652" s="107" t="s">
        <v>2452</v>
      </c>
      <c r="B652" s="108" t="s">
        <v>0</v>
      </c>
      <c r="C652" s="109">
        <v>7</v>
      </c>
      <c r="D652" s="107" t="s">
        <v>1657</v>
      </c>
      <c r="E652" s="109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  <c r="BD652" s="94"/>
      <c r="BE652" s="94"/>
      <c r="BF652" s="94"/>
    </row>
    <row r="653" spans="1:58" x14ac:dyDescent="0.35">
      <c r="A653" s="107" t="s">
        <v>2453</v>
      </c>
      <c r="B653" s="108" t="s">
        <v>0</v>
      </c>
      <c r="C653" s="109">
        <v>7</v>
      </c>
      <c r="D653" s="107" t="s">
        <v>1658</v>
      </c>
      <c r="E653" s="109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  <c r="BD653" s="94"/>
      <c r="BE653" s="94"/>
      <c r="BF653" s="94"/>
    </row>
    <row r="654" spans="1:58" x14ac:dyDescent="0.35">
      <c r="A654" s="104" t="s">
        <v>2454</v>
      </c>
      <c r="B654" s="105" t="s">
        <v>0</v>
      </c>
      <c r="C654" s="106">
        <v>6</v>
      </c>
      <c r="D654" s="104" t="s">
        <v>123</v>
      </c>
      <c r="E654" s="106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  <c r="BD654" s="94"/>
      <c r="BE654" s="94"/>
      <c r="BF654" s="94"/>
    </row>
    <row r="655" spans="1:58" x14ac:dyDescent="0.35">
      <c r="A655" s="107" t="s">
        <v>2455</v>
      </c>
      <c r="B655" s="108" t="s">
        <v>0</v>
      </c>
      <c r="C655" s="109">
        <v>7</v>
      </c>
      <c r="D655" s="107" t="s">
        <v>1654</v>
      </c>
      <c r="E655" s="109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  <c r="BD655" s="94"/>
      <c r="BE655" s="94"/>
      <c r="BF655" s="94"/>
    </row>
    <row r="656" spans="1:58" x14ac:dyDescent="0.35">
      <c r="A656" s="101" t="s">
        <v>2456</v>
      </c>
      <c r="B656" s="102" t="s">
        <v>0</v>
      </c>
      <c r="C656" s="103">
        <v>5</v>
      </c>
      <c r="D656" s="101" t="s">
        <v>441</v>
      </c>
      <c r="E656" s="103" t="s">
        <v>173</v>
      </c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  <c r="BD656" s="94"/>
      <c r="BE656" s="94"/>
      <c r="BF656" s="94"/>
    </row>
    <row r="657" spans="1:58" x14ac:dyDescent="0.35">
      <c r="A657" s="104" t="s">
        <v>2457</v>
      </c>
      <c r="B657" s="105" t="s">
        <v>0</v>
      </c>
      <c r="C657" s="106">
        <v>6</v>
      </c>
      <c r="D657" s="104" t="s">
        <v>564</v>
      </c>
      <c r="E657" s="106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  <c r="BD657" s="94"/>
      <c r="BE657" s="94"/>
      <c r="BF657" s="94"/>
    </row>
    <row r="658" spans="1:58" x14ac:dyDescent="0.35">
      <c r="A658" s="107" t="s">
        <v>2458</v>
      </c>
      <c r="B658" s="108" t="s">
        <v>0</v>
      </c>
      <c r="C658" s="109">
        <v>7</v>
      </c>
      <c r="D658" s="107" t="s">
        <v>927</v>
      </c>
      <c r="E658" s="109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  <c r="BD658" s="94"/>
      <c r="BE658" s="94"/>
      <c r="BF658" s="94"/>
    </row>
    <row r="659" spans="1:58" x14ac:dyDescent="0.35">
      <c r="A659" s="107" t="s">
        <v>2459</v>
      </c>
      <c r="B659" s="108" t="s">
        <v>0</v>
      </c>
      <c r="C659" s="109">
        <v>7</v>
      </c>
      <c r="D659" s="107" t="s">
        <v>928</v>
      </c>
      <c r="E659" s="109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  <c r="BD659" s="94"/>
      <c r="BE659" s="94"/>
      <c r="BF659" s="94"/>
    </row>
    <row r="660" spans="1:58" x14ac:dyDescent="0.35">
      <c r="A660" s="107" t="s">
        <v>2460</v>
      </c>
      <c r="B660" s="108" t="s">
        <v>0</v>
      </c>
      <c r="C660" s="109">
        <v>7</v>
      </c>
      <c r="D660" s="107" t="s">
        <v>925</v>
      </c>
      <c r="E660" s="109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  <c r="BD660" s="94"/>
      <c r="BE660" s="94"/>
      <c r="BF660" s="94"/>
    </row>
    <row r="661" spans="1:58" x14ac:dyDescent="0.35">
      <c r="A661" s="107" t="s">
        <v>2461</v>
      </c>
      <c r="B661" s="108" t="s">
        <v>0</v>
      </c>
      <c r="C661" s="109">
        <v>7</v>
      </c>
      <c r="D661" s="107" t="s">
        <v>926</v>
      </c>
      <c r="E661" s="109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  <c r="BD661" s="94"/>
      <c r="BE661" s="94"/>
      <c r="BF661" s="94"/>
    </row>
    <row r="662" spans="1:58" x14ac:dyDescent="0.35">
      <c r="A662" s="107" t="s">
        <v>2462</v>
      </c>
      <c r="B662" s="108" t="s">
        <v>0</v>
      </c>
      <c r="C662" s="109">
        <v>7</v>
      </c>
      <c r="D662" s="107" t="s">
        <v>929</v>
      </c>
      <c r="E662" s="109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  <c r="BD662" s="94"/>
      <c r="BE662" s="94"/>
      <c r="BF662" s="94"/>
    </row>
    <row r="663" spans="1:58" x14ac:dyDescent="0.35">
      <c r="A663" s="107" t="s">
        <v>2463</v>
      </c>
      <c r="B663" s="108" t="s">
        <v>0</v>
      </c>
      <c r="C663" s="109">
        <v>7</v>
      </c>
      <c r="D663" s="107" t="s">
        <v>1655</v>
      </c>
      <c r="E663" s="109" t="s">
        <v>0</v>
      </c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  <c r="BD663" s="94"/>
      <c r="BE663" s="94"/>
      <c r="BF663" s="94"/>
    </row>
    <row r="664" spans="1:58" x14ac:dyDescent="0.35">
      <c r="A664" s="104" t="s">
        <v>2464</v>
      </c>
      <c r="B664" s="105" t="s">
        <v>0</v>
      </c>
      <c r="C664" s="106">
        <v>6</v>
      </c>
      <c r="D664" s="104" t="s">
        <v>26</v>
      </c>
      <c r="E664" s="106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  <c r="BD664" s="94"/>
      <c r="BE664" s="94"/>
      <c r="BF664" s="94"/>
    </row>
    <row r="665" spans="1:58" x14ac:dyDescent="0.35">
      <c r="A665" s="107" t="s">
        <v>2465</v>
      </c>
      <c r="B665" s="108" t="s">
        <v>0</v>
      </c>
      <c r="C665" s="109">
        <v>7</v>
      </c>
      <c r="D665" s="107" t="s">
        <v>933</v>
      </c>
      <c r="E665" s="109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  <c r="BD665" s="94"/>
      <c r="BE665" s="94"/>
      <c r="BF665" s="94"/>
    </row>
    <row r="666" spans="1:58" x14ac:dyDescent="0.35">
      <c r="A666" s="107" t="s">
        <v>2466</v>
      </c>
      <c r="B666" s="108" t="s">
        <v>0</v>
      </c>
      <c r="C666" s="109">
        <v>7</v>
      </c>
      <c r="D666" s="107" t="s">
        <v>930</v>
      </c>
      <c r="E666" s="109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  <c r="BD666" s="94"/>
      <c r="BE666" s="94"/>
      <c r="BF666" s="94"/>
    </row>
    <row r="667" spans="1:58" x14ac:dyDescent="0.35">
      <c r="A667" s="107" t="s">
        <v>2467</v>
      </c>
      <c r="B667" s="108" t="s">
        <v>0</v>
      </c>
      <c r="C667" s="109">
        <v>7</v>
      </c>
      <c r="D667" s="107" t="s">
        <v>931</v>
      </c>
      <c r="E667" s="109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  <c r="BD667" s="94"/>
      <c r="BE667" s="94"/>
      <c r="BF667" s="94"/>
    </row>
    <row r="668" spans="1:58" x14ac:dyDescent="0.35">
      <c r="A668" s="107" t="s">
        <v>2468</v>
      </c>
      <c r="B668" s="108" t="s">
        <v>0</v>
      </c>
      <c r="C668" s="109">
        <v>7</v>
      </c>
      <c r="D668" s="107" t="s">
        <v>932</v>
      </c>
      <c r="E668" s="109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  <c r="BD668" s="94"/>
      <c r="BE668" s="94"/>
      <c r="BF668" s="94"/>
    </row>
    <row r="669" spans="1:58" x14ac:dyDescent="0.35">
      <c r="A669" s="104" t="s">
        <v>2469</v>
      </c>
      <c r="B669" s="105" t="s">
        <v>0</v>
      </c>
      <c r="C669" s="106">
        <v>6</v>
      </c>
      <c r="D669" s="104" t="s">
        <v>16</v>
      </c>
      <c r="E669" s="106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  <c r="BD669" s="94"/>
      <c r="BE669" s="94"/>
      <c r="BF669" s="94"/>
    </row>
    <row r="670" spans="1:58" x14ac:dyDescent="0.35">
      <c r="A670" s="107" t="s">
        <v>2470</v>
      </c>
      <c r="B670" s="108" t="s">
        <v>0</v>
      </c>
      <c r="C670" s="109">
        <v>7</v>
      </c>
      <c r="D670" s="107" t="s">
        <v>934</v>
      </c>
      <c r="E670" s="109" t="s">
        <v>174</v>
      </c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  <c r="BD670" s="94"/>
      <c r="BE670" s="94"/>
      <c r="BF670" s="94"/>
    </row>
    <row r="671" spans="1:58" x14ac:dyDescent="0.35">
      <c r="A671" s="104" t="s">
        <v>2471</v>
      </c>
      <c r="B671" s="105" t="s">
        <v>0</v>
      </c>
      <c r="C671" s="106">
        <v>6</v>
      </c>
      <c r="D671" s="104" t="s">
        <v>30</v>
      </c>
      <c r="E671" s="106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  <c r="BD671" s="94"/>
      <c r="BE671" s="94"/>
      <c r="BF671" s="94"/>
    </row>
    <row r="672" spans="1:58" x14ac:dyDescent="0.35">
      <c r="A672" s="107" t="s">
        <v>2472</v>
      </c>
      <c r="B672" s="108" t="s">
        <v>0</v>
      </c>
      <c r="C672" s="109">
        <v>7</v>
      </c>
      <c r="D672" s="107" t="s">
        <v>1656</v>
      </c>
      <c r="E672" s="109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  <c r="BD672" s="94"/>
      <c r="BE672" s="94"/>
      <c r="BF672" s="94"/>
    </row>
    <row r="673" spans="1:58" x14ac:dyDescent="0.35">
      <c r="A673" s="107" t="s">
        <v>2473</v>
      </c>
      <c r="B673" s="108" t="s">
        <v>0</v>
      </c>
      <c r="C673" s="109">
        <v>7</v>
      </c>
      <c r="D673" s="107" t="s">
        <v>1659</v>
      </c>
      <c r="E673" s="109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  <c r="BD673" s="94"/>
      <c r="BE673" s="94"/>
      <c r="BF673" s="94"/>
    </row>
    <row r="674" spans="1:58" x14ac:dyDescent="0.35">
      <c r="A674" s="107" t="s">
        <v>2474</v>
      </c>
      <c r="B674" s="108" t="s">
        <v>0</v>
      </c>
      <c r="C674" s="109">
        <v>7</v>
      </c>
      <c r="D674" s="107" t="s">
        <v>1657</v>
      </c>
      <c r="E674" s="109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  <c r="BD674" s="94"/>
      <c r="BE674" s="94"/>
      <c r="BF674" s="94"/>
    </row>
    <row r="675" spans="1:58" x14ac:dyDescent="0.35">
      <c r="A675" s="107" t="s">
        <v>2475</v>
      </c>
      <c r="B675" s="108" t="s">
        <v>0</v>
      </c>
      <c r="C675" s="109">
        <v>7</v>
      </c>
      <c r="D675" s="107" t="s">
        <v>1658</v>
      </c>
      <c r="E675" s="109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</row>
    <row r="676" spans="1:58" x14ac:dyDescent="0.35">
      <c r="A676" s="104" t="s">
        <v>2476</v>
      </c>
      <c r="B676" s="105" t="s">
        <v>0</v>
      </c>
      <c r="C676" s="106">
        <v>6</v>
      </c>
      <c r="D676" s="104" t="s">
        <v>123</v>
      </c>
      <c r="E676" s="106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  <c r="BD676" s="94"/>
      <c r="BE676" s="94"/>
      <c r="BF676" s="94"/>
    </row>
    <row r="677" spans="1:58" x14ac:dyDescent="0.35">
      <c r="A677" s="107" t="s">
        <v>2477</v>
      </c>
      <c r="B677" s="108" t="s">
        <v>0</v>
      </c>
      <c r="C677" s="109">
        <v>7</v>
      </c>
      <c r="D677" s="107" t="s">
        <v>1654</v>
      </c>
      <c r="E677" s="109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  <c r="BD677" s="94"/>
      <c r="BE677" s="94"/>
      <c r="BF677" s="94"/>
    </row>
    <row r="678" spans="1:58" x14ac:dyDescent="0.35">
      <c r="A678" s="101" t="s">
        <v>2478</v>
      </c>
      <c r="B678" s="102" t="s">
        <v>0</v>
      </c>
      <c r="C678" s="103">
        <v>5</v>
      </c>
      <c r="D678" s="101" t="s">
        <v>442</v>
      </c>
      <c r="E678" s="103" t="s">
        <v>175</v>
      </c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  <c r="BD678" s="94"/>
      <c r="BE678" s="94"/>
      <c r="BF678" s="94"/>
    </row>
    <row r="679" spans="1:58" x14ac:dyDescent="0.35">
      <c r="A679" s="104" t="s">
        <v>2479</v>
      </c>
      <c r="B679" s="105" t="s">
        <v>0</v>
      </c>
      <c r="C679" s="106">
        <v>6</v>
      </c>
      <c r="D679" s="104" t="s">
        <v>564</v>
      </c>
      <c r="E679" s="106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  <c r="BD679" s="94"/>
      <c r="BE679" s="94"/>
      <c r="BF679" s="94"/>
    </row>
    <row r="680" spans="1:58" x14ac:dyDescent="0.35">
      <c r="A680" s="107" t="s">
        <v>2480</v>
      </c>
      <c r="B680" s="108" t="s">
        <v>0</v>
      </c>
      <c r="C680" s="109">
        <v>7</v>
      </c>
      <c r="D680" s="107" t="s">
        <v>940</v>
      </c>
      <c r="E680" s="109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  <c r="BD680" s="94"/>
      <c r="BE680" s="94"/>
      <c r="BF680" s="94"/>
    </row>
    <row r="681" spans="1:58" x14ac:dyDescent="0.35">
      <c r="A681" s="107" t="s">
        <v>2481</v>
      </c>
      <c r="B681" s="108" t="s">
        <v>0</v>
      </c>
      <c r="C681" s="109">
        <v>7</v>
      </c>
      <c r="D681" s="107" t="s">
        <v>941</v>
      </c>
      <c r="E681" s="109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  <c r="BD681" s="94"/>
      <c r="BE681" s="94"/>
      <c r="BF681" s="94"/>
    </row>
    <row r="682" spans="1:58" x14ac:dyDescent="0.35">
      <c r="A682" s="107" t="s">
        <v>2482</v>
      </c>
      <c r="B682" s="108" t="s">
        <v>0</v>
      </c>
      <c r="C682" s="109">
        <v>7</v>
      </c>
      <c r="D682" s="107" t="s">
        <v>935</v>
      </c>
      <c r="E682" s="109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  <c r="BD682" s="94"/>
      <c r="BE682" s="94"/>
      <c r="BF682" s="94"/>
    </row>
    <row r="683" spans="1:58" x14ac:dyDescent="0.35">
      <c r="A683" s="107" t="s">
        <v>2483</v>
      </c>
      <c r="B683" s="108" t="s">
        <v>0</v>
      </c>
      <c r="C683" s="109">
        <v>7</v>
      </c>
      <c r="D683" s="107" t="s">
        <v>936</v>
      </c>
      <c r="E683" s="109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  <c r="BD683" s="94"/>
      <c r="BE683" s="94"/>
      <c r="BF683" s="94"/>
    </row>
    <row r="684" spans="1:58" x14ac:dyDescent="0.35">
      <c r="A684" s="107" t="s">
        <v>2484</v>
      </c>
      <c r="B684" s="108" t="s">
        <v>0</v>
      </c>
      <c r="C684" s="109">
        <v>7</v>
      </c>
      <c r="D684" s="107" t="s">
        <v>942</v>
      </c>
      <c r="E684" s="109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  <c r="BD684" s="94"/>
      <c r="BE684" s="94"/>
      <c r="BF684" s="94"/>
    </row>
    <row r="685" spans="1:58" x14ac:dyDescent="0.35">
      <c r="A685" s="107" t="s">
        <v>2485</v>
      </c>
      <c r="B685" s="108" t="s">
        <v>0</v>
      </c>
      <c r="C685" s="109">
        <v>7</v>
      </c>
      <c r="D685" s="107" t="s">
        <v>1655</v>
      </c>
      <c r="E685" s="109" t="s">
        <v>0</v>
      </c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  <c r="BD685" s="94"/>
      <c r="BE685" s="94"/>
      <c r="BF685" s="94"/>
    </row>
    <row r="686" spans="1:58" x14ac:dyDescent="0.35">
      <c r="A686" s="104" t="s">
        <v>2486</v>
      </c>
      <c r="B686" s="105" t="s">
        <v>0</v>
      </c>
      <c r="C686" s="106">
        <v>6</v>
      </c>
      <c r="D686" s="104" t="s">
        <v>26</v>
      </c>
      <c r="E686" s="106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  <c r="BD686" s="94"/>
      <c r="BE686" s="94"/>
      <c r="BF686" s="94"/>
    </row>
    <row r="687" spans="1:58" x14ac:dyDescent="0.35">
      <c r="A687" s="107" t="s">
        <v>2487</v>
      </c>
      <c r="B687" s="108" t="s">
        <v>0</v>
      </c>
      <c r="C687" s="109">
        <v>7</v>
      </c>
      <c r="D687" s="107" t="s">
        <v>943</v>
      </c>
      <c r="E687" s="109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  <c r="BD687" s="94"/>
      <c r="BE687" s="94"/>
      <c r="BF687" s="94"/>
    </row>
    <row r="688" spans="1:58" x14ac:dyDescent="0.35">
      <c r="A688" s="107" t="s">
        <v>2488</v>
      </c>
      <c r="B688" s="108" t="s">
        <v>0</v>
      </c>
      <c r="C688" s="109">
        <v>7</v>
      </c>
      <c r="D688" s="107" t="s">
        <v>937</v>
      </c>
      <c r="E688" s="109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  <c r="BD688" s="94"/>
      <c r="BE688" s="94"/>
      <c r="BF688" s="94"/>
    </row>
    <row r="689" spans="1:58" x14ac:dyDescent="0.35">
      <c r="A689" s="107" t="s">
        <v>2489</v>
      </c>
      <c r="B689" s="108" t="s">
        <v>0</v>
      </c>
      <c r="C689" s="109">
        <v>7</v>
      </c>
      <c r="D689" s="107" t="s">
        <v>938</v>
      </c>
      <c r="E689" s="109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  <c r="BD689" s="94"/>
      <c r="BE689" s="94"/>
      <c r="BF689" s="94"/>
    </row>
    <row r="690" spans="1:58" x14ac:dyDescent="0.35">
      <c r="A690" s="107" t="s">
        <v>2490</v>
      </c>
      <c r="B690" s="108" t="s">
        <v>0</v>
      </c>
      <c r="C690" s="109">
        <v>7</v>
      </c>
      <c r="D690" s="107" t="s">
        <v>939</v>
      </c>
      <c r="E690" s="109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  <c r="BD690" s="94"/>
      <c r="BE690" s="94"/>
      <c r="BF690" s="94"/>
    </row>
    <row r="691" spans="1:58" x14ac:dyDescent="0.35">
      <c r="A691" s="104" t="s">
        <v>2491</v>
      </c>
      <c r="B691" s="105" t="s">
        <v>0</v>
      </c>
      <c r="C691" s="106">
        <v>6</v>
      </c>
      <c r="D691" s="104" t="s">
        <v>16</v>
      </c>
      <c r="E691" s="106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  <c r="BD691" s="94"/>
      <c r="BE691" s="94"/>
      <c r="BF691" s="94"/>
    </row>
    <row r="692" spans="1:58" x14ac:dyDescent="0.35">
      <c r="A692" s="107" t="s">
        <v>2492</v>
      </c>
      <c r="B692" s="108" t="s">
        <v>0</v>
      </c>
      <c r="C692" s="109">
        <v>7</v>
      </c>
      <c r="D692" s="107" t="s">
        <v>944</v>
      </c>
      <c r="E692" s="109" t="s">
        <v>176</v>
      </c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  <c r="BD692" s="94"/>
      <c r="BE692" s="94"/>
      <c r="BF692" s="94"/>
    </row>
    <row r="693" spans="1:58" x14ac:dyDescent="0.35">
      <c r="A693" s="104" t="s">
        <v>2493</v>
      </c>
      <c r="B693" s="105" t="s">
        <v>0</v>
      </c>
      <c r="C693" s="106">
        <v>6</v>
      </c>
      <c r="D693" s="104" t="s">
        <v>30</v>
      </c>
      <c r="E693" s="106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  <c r="BD693" s="94"/>
      <c r="BE693" s="94"/>
      <c r="BF693" s="94"/>
    </row>
    <row r="694" spans="1:58" x14ac:dyDescent="0.35">
      <c r="A694" s="107" t="s">
        <v>2494</v>
      </c>
      <c r="B694" s="108" t="s">
        <v>0</v>
      </c>
      <c r="C694" s="109">
        <v>7</v>
      </c>
      <c r="D694" s="107" t="s">
        <v>1656</v>
      </c>
      <c r="E694" s="109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  <c r="BD694" s="94"/>
      <c r="BE694" s="94"/>
      <c r="BF694" s="94"/>
    </row>
    <row r="695" spans="1:58" x14ac:dyDescent="0.35">
      <c r="A695" s="107" t="s">
        <v>2495</v>
      </c>
      <c r="B695" s="108" t="s">
        <v>0</v>
      </c>
      <c r="C695" s="109">
        <v>7</v>
      </c>
      <c r="D695" s="107" t="s">
        <v>1659</v>
      </c>
      <c r="E695" s="109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  <c r="BD695" s="94"/>
      <c r="BE695" s="94"/>
      <c r="BF695" s="94"/>
    </row>
    <row r="696" spans="1:58" x14ac:dyDescent="0.35">
      <c r="A696" s="107" t="s">
        <v>2496</v>
      </c>
      <c r="B696" s="108" t="s">
        <v>0</v>
      </c>
      <c r="C696" s="109">
        <v>7</v>
      </c>
      <c r="D696" s="107" t="s">
        <v>1657</v>
      </c>
      <c r="E696" s="109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  <c r="BD696" s="94"/>
      <c r="BE696" s="94"/>
      <c r="BF696" s="94"/>
    </row>
    <row r="697" spans="1:58" x14ac:dyDescent="0.35">
      <c r="A697" s="107" t="s">
        <v>2497</v>
      </c>
      <c r="B697" s="108" t="s">
        <v>0</v>
      </c>
      <c r="C697" s="109">
        <v>7</v>
      </c>
      <c r="D697" s="107" t="s">
        <v>1658</v>
      </c>
      <c r="E697" s="109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  <c r="BD697" s="94"/>
      <c r="BE697" s="94"/>
      <c r="BF697" s="94"/>
    </row>
    <row r="698" spans="1:58" x14ac:dyDescent="0.35">
      <c r="A698" s="104" t="s">
        <v>2498</v>
      </c>
      <c r="B698" s="105" t="s">
        <v>0</v>
      </c>
      <c r="C698" s="106">
        <v>6</v>
      </c>
      <c r="D698" s="104" t="s">
        <v>123</v>
      </c>
      <c r="E698" s="106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  <c r="BD698" s="94"/>
      <c r="BE698" s="94"/>
      <c r="BF698" s="94"/>
    </row>
    <row r="699" spans="1:58" x14ac:dyDescent="0.35">
      <c r="A699" s="107" t="s">
        <v>2499</v>
      </c>
      <c r="B699" s="108" t="s">
        <v>0</v>
      </c>
      <c r="C699" s="109">
        <v>7</v>
      </c>
      <c r="D699" s="107" t="s">
        <v>1654</v>
      </c>
      <c r="E699" s="109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  <c r="BD699" s="94"/>
      <c r="BE699" s="94"/>
      <c r="BF699" s="94"/>
    </row>
    <row r="700" spans="1:58" x14ac:dyDescent="0.35">
      <c r="A700" s="101" t="s">
        <v>2500</v>
      </c>
      <c r="B700" s="102" t="s">
        <v>0</v>
      </c>
      <c r="C700" s="103">
        <v>5</v>
      </c>
      <c r="D700" s="101" t="s">
        <v>443</v>
      </c>
      <c r="E700" s="103" t="s">
        <v>177</v>
      </c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  <c r="BD700" s="94"/>
      <c r="BE700" s="94"/>
      <c r="BF700" s="94"/>
    </row>
    <row r="701" spans="1:58" x14ac:dyDescent="0.35">
      <c r="A701" s="104" t="s">
        <v>2501</v>
      </c>
      <c r="B701" s="105" t="s">
        <v>0</v>
      </c>
      <c r="C701" s="106">
        <v>6</v>
      </c>
      <c r="D701" s="104" t="s">
        <v>564</v>
      </c>
      <c r="E701" s="106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  <c r="BD701" s="94"/>
      <c r="BE701" s="94"/>
      <c r="BF701" s="94"/>
    </row>
    <row r="702" spans="1:58" x14ac:dyDescent="0.35">
      <c r="A702" s="107" t="s">
        <v>2502</v>
      </c>
      <c r="B702" s="108" t="s">
        <v>0</v>
      </c>
      <c r="C702" s="109">
        <v>7</v>
      </c>
      <c r="D702" s="107" t="s">
        <v>950</v>
      </c>
      <c r="E702" s="109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  <c r="BD702" s="94"/>
      <c r="BE702" s="94"/>
      <c r="BF702" s="94"/>
    </row>
    <row r="703" spans="1:58" x14ac:dyDescent="0.35">
      <c r="A703" s="107" t="s">
        <v>2503</v>
      </c>
      <c r="B703" s="108" t="s">
        <v>0</v>
      </c>
      <c r="C703" s="109">
        <v>7</v>
      </c>
      <c r="D703" s="107" t="s">
        <v>951</v>
      </c>
      <c r="E703" s="109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  <c r="BD703" s="94"/>
      <c r="BE703" s="94"/>
      <c r="BF703" s="94"/>
    </row>
    <row r="704" spans="1:58" x14ac:dyDescent="0.35">
      <c r="A704" s="107" t="s">
        <v>2504</v>
      </c>
      <c r="B704" s="108" t="s">
        <v>0</v>
      </c>
      <c r="C704" s="109">
        <v>7</v>
      </c>
      <c r="D704" s="107" t="s">
        <v>945</v>
      </c>
      <c r="E704" s="109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  <c r="BD704" s="94"/>
      <c r="BE704" s="94"/>
      <c r="BF704" s="94"/>
    </row>
    <row r="705" spans="1:58" x14ac:dyDescent="0.35">
      <c r="A705" s="107" t="s">
        <v>2505</v>
      </c>
      <c r="B705" s="108" t="s">
        <v>0</v>
      </c>
      <c r="C705" s="109">
        <v>7</v>
      </c>
      <c r="D705" s="107" t="s">
        <v>946</v>
      </c>
      <c r="E705" s="109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  <c r="BD705" s="94"/>
      <c r="BE705" s="94"/>
      <c r="BF705" s="94"/>
    </row>
    <row r="706" spans="1:58" x14ac:dyDescent="0.35">
      <c r="A706" s="107" t="s">
        <v>2506</v>
      </c>
      <c r="B706" s="108" t="s">
        <v>0</v>
      </c>
      <c r="C706" s="109">
        <v>7</v>
      </c>
      <c r="D706" s="107" t="s">
        <v>952</v>
      </c>
      <c r="E706" s="109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  <c r="BD706" s="94"/>
      <c r="BE706" s="94"/>
      <c r="BF706" s="94"/>
    </row>
    <row r="707" spans="1:58" x14ac:dyDescent="0.35">
      <c r="A707" s="107" t="s">
        <v>2507</v>
      </c>
      <c r="B707" s="108" t="s">
        <v>0</v>
      </c>
      <c r="C707" s="109">
        <v>7</v>
      </c>
      <c r="D707" s="107" t="s">
        <v>1655</v>
      </c>
      <c r="E707" s="109" t="s">
        <v>0</v>
      </c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  <c r="BD707" s="94"/>
      <c r="BE707" s="94"/>
      <c r="BF707" s="94"/>
    </row>
    <row r="708" spans="1:58" x14ac:dyDescent="0.35">
      <c r="A708" s="104" t="s">
        <v>2508</v>
      </c>
      <c r="B708" s="105" t="s">
        <v>0</v>
      </c>
      <c r="C708" s="106">
        <v>6</v>
      </c>
      <c r="D708" s="104" t="s">
        <v>26</v>
      </c>
      <c r="E708" s="106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  <c r="BD708" s="94"/>
      <c r="BE708" s="94"/>
      <c r="BF708" s="94"/>
    </row>
    <row r="709" spans="1:58" x14ac:dyDescent="0.35">
      <c r="A709" s="107" t="s">
        <v>2509</v>
      </c>
      <c r="B709" s="108" t="s">
        <v>0</v>
      </c>
      <c r="C709" s="109">
        <v>7</v>
      </c>
      <c r="D709" s="107" t="s">
        <v>953</v>
      </c>
      <c r="E709" s="109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  <c r="BD709" s="94"/>
      <c r="BE709" s="94"/>
      <c r="BF709" s="94"/>
    </row>
    <row r="710" spans="1:58" x14ac:dyDescent="0.35">
      <c r="A710" s="107" t="s">
        <v>2510</v>
      </c>
      <c r="B710" s="108" t="s">
        <v>0</v>
      </c>
      <c r="C710" s="109">
        <v>7</v>
      </c>
      <c r="D710" s="107" t="s">
        <v>947</v>
      </c>
      <c r="E710" s="109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4"/>
      <c r="BE710" s="94"/>
      <c r="BF710" s="94"/>
    </row>
    <row r="711" spans="1:58" x14ac:dyDescent="0.35">
      <c r="A711" s="107" t="s">
        <v>2511</v>
      </c>
      <c r="B711" s="108" t="s">
        <v>0</v>
      </c>
      <c r="C711" s="109">
        <v>7</v>
      </c>
      <c r="D711" s="107" t="s">
        <v>948</v>
      </c>
      <c r="E711" s="109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  <c r="BD711" s="94"/>
      <c r="BE711" s="94"/>
      <c r="BF711" s="94"/>
    </row>
    <row r="712" spans="1:58" x14ac:dyDescent="0.35">
      <c r="A712" s="107" t="s">
        <v>2512</v>
      </c>
      <c r="B712" s="108" t="s">
        <v>0</v>
      </c>
      <c r="C712" s="109">
        <v>7</v>
      </c>
      <c r="D712" s="107" t="s">
        <v>949</v>
      </c>
      <c r="E712" s="109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  <c r="BD712" s="94"/>
      <c r="BE712" s="94"/>
      <c r="BF712" s="94"/>
    </row>
    <row r="713" spans="1:58" x14ac:dyDescent="0.35">
      <c r="A713" s="104" t="s">
        <v>2513</v>
      </c>
      <c r="B713" s="105" t="s">
        <v>0</v>
      </c>
      <c r="C713" s="106">
        <v>6</v>
      </c>
      <c r="D713" s="104" t="s">
        <v>16</v>
      </c>
      <c r="E713" s="106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  <c r="BD713" s="94"/>
      <c r="BE713" s="94"/>
      <c r="BF713" s="94"/>
    </row>
    <row r="714" spans="1:58" x14ac:dyDescent="0.35">
      <c r="A714" s="107" t="s">
        <v>2514</v>
      </c>
      <c r="B714" s="108" t="s">
        <v>0</v>
      </c>
      <c r="C714" s="109">
        <v>7</v>
      </c>
      <c r="D714" s="107" t="s">
        <v>954</v>
      </c>
      <c r="E714" s="109" t="s">
        <v>178</v>
      </c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  <c r="BD714" s="94"/>
      <c r="BE714" s="94"/>
      <c r="BF714" s="94"/>
    </row>
    <row r="715" spans="1:58" x14ac:dyDescent="0.35">
      <c r="A715" s="104" t="s">
        <v>2515</v>
      </c>
      <c r="B715" s="105" t="s">
        <v>0</v>
      </c>
      <c r="C715" s="106">
        <v>6</v>
      </c>
      <c r="D715" s="104" t="s">
        <v>30</v>
      </c>
      <c r="E715" s="106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  <c r="BD715" s="94"/>
      <c r="BE715" s="94"/>
      <c r="BF715" s="94"/>
    </row>
    <row r="716" spans="1:58" x14ac:dyDescent="0.35">
      <c r="A716" s="107" t="s">
        <v>2516</v>
      </c>
      <c r="B716" s="108" t="s">
        <v>0</v>
      </c>
      <c r="C716" s="109">
        <v>7</v>
      </c>
      <c r="D716" s="107" t="s">
        <v>1656</v>
      </c>
      <c r="E716" s="109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  <c r="BD716" s="94"/>
      <c r="BE716" s="94"/>
      <c r="BF716" s="94"/>
    </row>
    <row r="717" spans="1:58" x14ac:dyDescent="0.35">
      <c r="A717" s="107" t="s">
        <v>2517</v>
      </c>
      <c r="B717" s="108" t="s">
        <v>0</v>
      </c>
      <c r="C717" s="109">
        <v>7</v>
      </c>
      <c r="D717" s="107" t="s">
        <v>1659</v>
      </c>
      <c r="E717" s="109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  <c r="BD717" s="94"/>
      <c r="BE717" s="94"/>
      <c r="BF717" s="94"/>
    </row>
    <row r="718" spans="1:58" x14ac:dyDescent="0.35">
      <c r="A718" s="107" t="s">
        <v>2518</v>
      </c>
      <c r="B718" s="108" t="s">
        <v>0</v>
      </c>
      <c r="C718" s="109">
        <v>7</v>
      </c>
      <c r="D718" s="107" t="s">
        <v>1657</v>
      </c>
      <c r="E718" s="109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  <c r="BD718" s="94"/>
      <c r="BE718" s="94"/>
      <c r="BF718" s="94"/>
    </row>
    <row r="719" spans="1:58" x14ac:dyDescent="0.35">
      <c r="A719" s="107" t="s">
        <v>2519</v>
      </c>
      <c r="B719" s="108" t="s">
        <v>0</v>
      </c>
      <c r="C719" s="109">
        <v>7</v>
      </c>
      <c r="D719" s="107" t="s">
        <v>1658</v>
      </c>
      <c r="E719" s="109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  <c r="BD719" s="94"/>
      <c r="BE719" s="94"/>
      <c r="BF719" s="94"/>
    </row>
    <row r="720" spans="1:58" x14ac:dyDescent="0.35">
      <c r="A720" s="104" t="s">
        <v>2520</v>
      </c>
      <c r="B720" s="105" t="s">
        <v>0</v>
      </c>
      <c r="C720" s="106">
        <v>6</v>
      </c>
      <c r="D720" s="104" t="s">
        <v>123</v>
      </c>
      <c r="E720" s="106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  <c r="BD720" s="94"/>
      <c r="BE720" s="94"/>
      <c r="BF720" s="94"/>
    </row>
    <row r="721" spans="1:58" x14ac:dyDescent="0.35">
      <c r="A721" s="107" t="s">
        <v>2521</v>
      </c>
      <c r="B721" s="108" t="s">
        <v>0</v>
      </c>
      <c r="C721" s="109">
        <v>7</v>
      </c>
      <c r="D721" s="107" t="s">
        <v>1654</v>
      </c>
      <c r="E721" s="109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  <c r="BD721" s="94"/>
      <c r="BE721" s="94"/>
      <c r="BF721" s="94"/>
    </row>
    <row r="722" spans="1:58" x14ac:dyDescent="0.35">
      <c r="A722" s="101" t="s">
        <v>2522</v>
      </c>
      <c r="B722" s="102" t="s">
        <v>0</v>
      </c>
      <c r="C722" s="103">
        <v>5</v>
      </c>
      <c r="D722" s="101" t="s">
        <v>444</v>
      </c>
      <c r="E722" s="103" t="s">
        <v>179</v>
      </c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  <c r="BD722" s="94"/>
      <c r="BE722" s="94"/>
      <c r="BF722" s="94"/>
    </row>
    <row r="723" spans="1:58" x14ac:dyDescent="0.35">
      <c r="A723" s="104" t="s">
        <v>2523</v>
      </c>
      <c r="B723" s="105" t="s">
        <v>0</v>
      </c>
      <c r="C723" s="106">
        <v>6</v>
      </c>
      <c r="D723" s="104" t="s">
        <v>564</v>
      </c>
      <c r="E723" s="106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  <c r="BD723" s="94"/>
      <c r="BE723" s="94"/>
      <c r="BF723" s="94"/>
    </row>
    <row r="724" spans="1:58" x14ac:dyDescent="0.35">
      <c r="A724" s="107" t="s">
        <v>2524</v>
      </c>
      <c r="B724" s="108" t="s">
        <v>0</v>
      </c>
      <c r="C724" s="109">
        <v>7</v>
      </c>
      <c r="D724" s="107" t="s">
        <v>960</v>
      </c>
      <c r="E724" s="109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  <c r="BD724" s="94"/>
      <c r="BE724" s="94"/>
      <c r="BF724" s="94"/>
    </row>
    <row r="725" spans="1:58" x14ac:dyDescent="0.35">
      <c r="A725" s="107" t="s">
        <v>2525</v>
      </c>
      <c r="B725" s="108" t="s">
        <v>0</v>
      </c>
      <c r="C725" s="109">
        <v>7</v>
      </c>
      <c r="D725" s="107" t="s">
        <v>961</v>
      </c>
      <c r="E725" s="109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  <c r="BD725" s="94"/>
      <c r="BE725" s="94"/>
      <c r="BF725" s="94"/>
    </row>
    <row r="726" spans="1:58" x14ac:dyDescent="0.35">
      <c r="A726" s="107" t="s">
        <v>2526</v>
      </c>
      <c r="B726" s="108" t="s">
        <v>0</v>
      </c>
      <c r="C726" s="109">
        <v>7</v>
      </c>
      <c r="D726" s="107" t="s">
        <v>955</v>
      </c>
      <c r="E726" s="109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  <c r="BD726" s="94"/>
      <c r="BE726" s="94"/>
      <c r="BF726" s="94"/>
    </row>
    <row r="727" spans="1:58" x14ac:dyDescent="0.35">
      <c r="A727" s="107" t="s">
        <v>2527</v>
      </c>
      <c r="B727" s="108" t="s">
        <v>0</v>
      </c>
      <c r="C727" s="109">
        <v>7</v>
      </c>
      <c r="D727" s="107" t="s">
        <v>956</v>
      </c>
      <c r="E727" s="109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  <c r="BD727" s="94"/>
      <c r="BE727" s="94"/>
      <c r="BF727" s="94"/>
    </row>
    <row r="728" spans="1:58" x14ac:dyDescent="0.35">
      <c r="A728" s="107" t="s">
        <v>2528</v>
      </c>
      <c r="B728" s="108" t="s">
        <v>0</v>
      </c>
      <c r="C728" s="109">
        <v>7</v>
      </c>
      <c r="D728" s="107" t="s">
        <v>962</v>
      </c>
      <c r="E728" s="109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  <c r="BD728" s="94"/>
      <c r="BE728" s="94"/>
      <c r="BF728" s="94"/>
    </row>
    <row r="729" spans="1:58" x14ac:dyDescent="0.35">
      <c r="A729" s="107" t="s">
        <v>2529</v>
      </c>
      <c r="B729" s="108" t="s">
        <v>0</v>
      </c>
      <c r="C729" s="109">
        <v>7</v>
      </c>
      <c r="D729" s="107" t="s">
        <v>1655</v>
      </c>
      <c r="E729" s="109" t="s">
        <v>0</v>
      </c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  <c r="BD729" s="94"/>
      <c r="BE729" s="94"/>
      <c r="BF729" s="94"/>
    </row>
    <row r="730" spans="1:58" x14ac:dyDescent="0.35">
      <c r="A730" s="104" t="s">
        <v>2530</v>
      </c>
      <c r="B730" s="105" t="s">
        <v>0</v>
      </c>
      <c r="C730" s="106">
        <v>6</v>
      </c>
      <c r="D730" s="104" t="s">
        <v>26</v>
      </c>
      <c r="E730" s="106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  <c r="BD730" s="94"/>
      <c r="BE730" s="94"/>
      <c r="BF730" s="94"/>
    </row>
    <row r="731" spans="1:58" x14ac:dyDescent="0.35">
      <c r="A731" s="107" t="s">
        <v>2531</v>
      </c>
      <c r="B731" s="108" t="s">
        <v>0</v>
      </c>
      <c r="C731" s="109">
        <v>7</v>
      </c>
      <c r="D731" s="107" t="s">
        <v>963</v>
      </c>
      <c r="E731" s="109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  <c r="BD731" s="94"/>
      <c r="BE731" s="94"/>
      <c r="BF731" s="94"/>
    </row>
    <row r="732" spans="1:58" x14ac:dyDescent="0.35">
      <c r="A732" s="107" t="s">
        <v>2532</v>
      </c>
      <c r="B732" s="108" t="s">
        <v>0</v>
      </c>
      <c r="C732" s="109">
        <v>7</v>
      </c>
      <c r="D732" s="107" t="s">
        <v>957</v>
      </c>
      <c r="E732" s="109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  <c r="BD732" s="94"/>
      <c r="BE732" s="94"/>
      <c r="BF732" s="94"/>
    </row>
    <row r="733" spans="1:58" x14ac:dyDescent="0.35">
      <c r="A733" s="107" t="s">
        <v>2533</v>
      </c>
      <c r="B733" s="108" t="s">
        <v>0</v>
      </c>
      <c r="C733" s="109">
        <v>7</v>
      </c>
      <c r="D733" s="107" t="s">
        <v>958</v>
      </c>
      <c r="E733" s="109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4"/>
      <c r="BA733" s="94"/>
      <c r="BB733" s="94"/>
      <c r="BC733" s="94"/>
      <c r="BD733" s="94"/>
      <c r="BE733" s="94"/>
      <c r="BF733" s="94"/>
    </row>
    <row r="734" spans="1:58" x14ac:dyDescent="0.35">
      <c r="A734" s="107" t="s">
        <v>2534</v>
      </c>
      <c r="B734" s="108" t="s">
        <v>0</v>
      </c>
      <c r="C734" s="109">
        <v>7</v>
      </c>
      <c r="D734" s="107" t="s">
        <v>959</v>
      </c>
      <c r="E734" s="109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4"/>
      <c r="BA734" s="94"/>
      <c r="BB734" s="94"/>
      <c r="BC734" s="94"/>
      <c r="BD734" s="94"/>
      <c r="BE734" s="94"/>
      <c r="BF734" s="94"/>
    </row>
    <row r="735" spans="1:58" x14ac:dyDescent="0.35">
      <c r="A735" s="104" t="s">
        <v>2535</v>
      </c>
      <c r="B735" s="105" t="s">
        <v>0</v>
      </c>
      <c r="C735" s="106">
        <v>6</v>
      </c>
      <c r="D735" s="104" t="s">
        <v>16</v>
      </c>
      <c r="E735" s="106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4"/>
      <c r="BA735" s="94"/>
      <c r="BB735" s="94"/>
      <c r="BC735" s="94"/>
      <c r="BD735" s="94"/>
      <c r="BE735" s="94"/>
      <c r="BF735" s="94"/>
    </row>
    <row r="736" spans="1:58" x14ac:dyDescent="0.35">
      <c r="A736" s="107" t="s">
        <v>2536</v>
      </c>
      <c r="B736" s="108" t="s">
        <v>0</v>
      </c>
      <c r="C736" s="109">
        <v>7</v>
      </c>
      <c r="D736" s="107" t="s">
        <v>964</v>
      </c>
      <c r="E736" s="109" t="s">
        <v>180</v>
      </c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4"/>
      <c r="BA736" s="94"/>
      <c r="BB736" s="94"/>
      <c r="BC736" s="94"/>
      <c r="BD736" s="94"/>
      <c r="BE736" s="94"/>
      <c r="BF736" s="94"/>
    </row>
    <row r="737" spans="1:58" x14ac:dyDescent="0.35">
      <c r="A737" s="104" t="s">
        <v>2537</v>
      </c>
      <c r="B737" s="105" t="s">
        <v>0</v>
      </c>
      <c r="C737" s="106">
        <v>6</v>
      </c>
      <c r="D737" s="104" t="s">
        <v>30</v>
      </c>
      <c r="E737" s="106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4"/>
      <c r="BA737" s="94"/>
      <c r="BB737" s="94"/>
      <c r="BC737" s="94"/>
      <c r="BD737" s="94"/>
      <c r="BE737" s="94"/>
      <c r="BF737" s="94"/>
    </row>
    <row r="738" spans="1:58" x14ac:dyDescent="0.35">
      <c r="A738" s="107" t="s">
        <v>2538</v>
      </c>
      <c r="B738" s="108" t="s">
        <v>0</v>
      </c>
      <c r="C738" s="109">
        <v>7</v>
      </c>
      <c r="D738" s="107" t="s">
        <v>1656</v>
      </c>
      <c r="E738" s="109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4"/>
      <c r="BA738" s="94"/>
      <c r="BB738" s="94"/>
      <c r="BC738" s="94"/>
      <c r="BD738" s="94"/>
      <c r="BE738" s="94"/>
      <c r="BF738" s="94"/>
    </row>
    <row r="739" spans="1:58" x14ac:dyDescent="0.35">
      <c r="A739" s="107" t="s">
        <v>2539</v>
      </c>
      <c r="B739" s="108" t="s">
        <v>0</v>
      </c>
      <c r="C739" s="109">
        <v>7</v>
      </c>
      <c r="D739" s="107" t="s">
        <v>1659</v>
      </c>
      <c r="E739" s="109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4"/>
      <c r="BA739" s="94"/>
      <c r="BB739" s="94"/>
      <c r="BC739" s="94"/>
      <c r="BD739" s="94"/>
      <c r="BE739" s="94"/>
      <c r="BF739" s="94"/>
    </row>
    <row r="740" spans="1:58" x14ac:dyDescent="0.35">
      <c r="A740" s="107" t="s">
        <v>2540</v>
      </c>
      <c r="B740" s="108" t="s">
        <v>0</v>
      </c>
      <c r="C740" s="109">
        <v>7</v>
      </c>
      <c r="D740" s="107" t="s">
        <v>1657</v>
      </c>
      <c r="E740" s="109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4"/>
      <c r="BA740" s="94"/>
      <c r="BB740" s="94"/>
      <c r="BC740" s="94"/>
      <c r="BD740" s="94"/>
      <c r="BE740" s="94"/>
      <c r="BF740" s="94"/>
    </row>
    <row r="741" spans="1:58" x14ac:dyDescent="0.35">
      <c r="A741" s="107" t="s">
        <v>2541</v>
      </c>
      <c r="B741" s="108" t="s">
        <v>0</v>
      </c>
      <c r="C741" s="109">
        <v>7</v>
      </c>
      <c r="D741" s="107" t="s">
        <v>1658</v>
      </c>
      <c r="E741" s="109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4"/>
      <c r="BA741" s="94"/>
      <c r="BB741" s="94"/>
      <c r="BC741" s="94"/>
      <c r="BD741" s="94"/>
      <c r="BE741" s="94"/>
      <c r="BF741" s="94"/>
    </row>
    <row r="742" spans="1:58" x14ac:dyDescent="0.35">
      <c r="A742" s="104" t="s">
        <v>2542</v>
      </c>
      <c r="B742" s="105" t="s">
        <v>0</v>
      </c>
      <c r="C742" s="106">
        <v>6</v>
      </c>
      <c r="D742" s="104" t="s">
        <v>123</v>
      </c>
      <c r="E742" s="106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4"/>
      <c r="BA742" s="94"/>
      <c r="BB742" s="94"/>
      <c r="BC742" s="94"/>
      <c r="BD742" s="94"/>
      <c r="BE742" s="94"/>
      <c r="BF742" s="94"/>
    </row>
    <row r="743" spans="1:58" x14ac:dyDescent="0.35">
      <c r="A743" s="107" t="s">
        <v>2543</v>
      </c>
      <c r="B743" s="108" t="s">
        <v>0</v>
      </c>
      <c r="C743" s="109">
        <v>7</v>
      </c>
      <c r="D743" s="107" t="s">
        <v>1654</v>
      </c>
      <c r="E743" s="109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4"/>
      <c r="BA743" s="94"/>
      <c r="BB743" s="94"/>
      <c r="BC743" s="94"/>
      <c r="BD743" s="94"/>
      <c r="BE743" s="94"/>
      <c r="BF743" s="94"/>
    </row>
    <row r="744" spans="1:58" x14ac:dyDescent="0.35">
      <c r="A744" s="95" t="s">
        <v>2544</v>
      </c>
      <c r="B744" s="96" t="s">
        <v>0</v>
      </c>
      <c r="C744" s="97">
        <v>4</v>
      </c>
      <c r="D744" s="95" t="s">
        <v>1611</v>
      </c>
      <c r="E744" s="97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4"/>
      <c r="BA744" s="94"/>
      <c r="BB744" s="94"/>
      <c r="BC744" s="94"/>
      <c r="BD744" s="94"/>
      <c r="BE744" s="94"/>
      <c r="BF744" s="94"/>
    </row>
    <row r="745" spans="1:58" x14ac:dyDescent="0.35">
      <c r="A745" s="101" t="s">
        <v>2545</v>
      </c>
      <c r="B745" s="102" t="s">
        <v>0</v>
      </c>
      <c r="C745" s="103">
        <v>5</v>
      </c>
      <c r="D745" s="101" t="s">
        <v>445</v>
      </c>
      <c r="E745" s="103" t="s">
        <v>181</v>
      </c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4"/>
      <c r="BA745" s="94"/>
      <c r="BB745" s="94"/>
      <c r="BC745" s="94"/>
      <c r="BD745" s="94"/>
      <c r="BE745" s="94"/>
      <c r="BF745" s="94"/>
    </row>
    <row r="746" spans="1:58" x14ac:dyDescent="0.35">
      <c r="A746" s="104" t="s">
        <v>2546</v>
      </c>
      <c r="B746" s="105" t="s">
        <v>0</v>
      </c>
      <c r="C746" s="106">
        <v>6</v>
      </c>
      <c r="D746" s="104" t="s">
        <v>564</v>
      </c>
      <c r="E746" s="106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4"/>
      <c r="BA746" s="94"/>
      <c r="BB746" s="94"/>
      <c r="BC746" s="94"/>
      <c r="BD746" s="94"/>
      <c r="BE746" s="94"/>
      <c r="BF746" s="94"/>
    </row>
    <row r="747" spans="1:58" x14ac:dyDescent="0.35">
      <c r="A747" s="107" t="s">
        <v>2547</v>
      </c>
      <c r="B747" s="108" t="s">
        <v>0</v>
      </c>
      <c r="C747" s="109">
        <v>7</v>
      </c>
      <c r="D747" s="107" t="s">
        <v>970</v>
      </c>
      <c r="E747" s="109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4"/>
      <c r="BA747" s="94"/>
      <c r="BB747" s="94"/>
      <c r="BC747" s="94"/>
      <c r="BD747" s="94"/>
      <c r="BE747" s="94"/>
      <c r="BF747" s="94"/>
    </row>
    <row r="748" spans="1:58" x14ac:dyDescent="0.35">
      <c r="A748" s="107" t="s">
        <v>2548</v>
      </c>
      <c r="B748" s="108" t="s">
        <v>0</v>
      </c>
      <c r="C748" s="109">
        <v>7</v>
      </c>
      <c r="D748" s="107" t="s">
        <v>971</v>
      </c>
      <c r="E748" s="109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4"/>
      <c r="BA748" s="94"/>
      <c r="BB748" s="94"/>
      <c r="BC748" s="94"/>
      <c r="BD748" s="94"/>
      <c r="BE748" s="94"/>
      <c r="BF748" s="94"/>
    </row>
    <row r="749" spans="1:58" x14ac:dyDescent="0.35">
      <c r="A749" s="107" t="s">
        <v>2549</v>
      </c>
      <c r="B749" s="108" t="s">
        <v>0</v>
      </c>
      <c r="C749" s="109">
        <v>7</v>
      </c>
      <c r="D749" s="107" t="s">
        <v>965</v>
      </c>
      <c r="E749" s="109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4"/>
      <c r="BA749" s="94"/>
      <c r="BB749" s="94"/>
      <c r="BC749" s="94"/>
      <c r="BD749" s="94"/>
      <c r="BE749" s="94"/>
      <c r="BF749" s="94"/>
    </row>
    <row r="750" spans="1:58" x14ac:dyDescent="0.35">
      <c r="A750" s="107" t="s">
        <v>2550</v>
      </c>
      <c r="B750" s="108" t="s">
        <v>0</v>
      </c>
      <c r="C750" s="109">
        <v>7</v>
      </c>
      <c r="D750" s="107" t="s">
        <v>966</v>
      </c>
      <c r="E750" s="109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4"/>
      <c r="BA750" s="94"/>
      <c r="BB750" s="94"/>
      <c r="BC750" s="94"/>
      <c r="BD750" s="94"/>
      <c r="BE750" s="94"/>
      <c r="BF750" s="94"/>
    </row>
    <row r="751" spans="1:58" x14ac:dyDescent="0.35">
      <c r="A751" s="107" t="s">
        <v>2551</v>
      </c>
      <c r="B751" s="108" t="s">
        <v>0</v>
      </c>
      <c r="C751" s="109">
        <v>7</v>
      </c>
      <c r="D751" s="107" t="s">
        <v>972</v>
      </c>
      <c r="E751" s="109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4"/>
      <c r="BA751" s="94"/>
      <c r="BB751" s="94"/>
      <c r="BC751" s="94"/>
      <c r="BD751" s="94"/>
      <c r="BE751" s="94"/>
      <c r="BF751" s="94"/>
    </row>
    <row r="752" spans="1:58" x14ac:dyDescent="0.35">
      <c r="A752" s="107" t="s">
        <v>2552</v>
      </c>
      <c r="B752" s="108" t="s">
        <v>0</v>
      </c>
      <c r="C752" s="109">
        <v>7</v>
      </c>
      <c r="D752" s="107" t="s">
        <v>1655</v>
      </c>
      <c r="E752" s="109" t="s">
        <v>0</v>
      </c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4"/>
      <c r="BA752" s="94"/>
      <c r="BB752" s="94"/>
      <c r="BC752" s="94"/>
      <c r="BD752" s="94"/>
      <c r="BE752" s="94"/>
      <c r="BF752" s="94"/>
    </row>
    <row r="753" spans="1:58" x14ac:dyDescent="0.35">
      <c r="A753" s="104" t="s">
        <v>2553</v>
      </c>
      <c r="B753" s="105" t="s">
        <v>0</v>
      </c>
      <c r="C753" s="106">
        <v>6</v>
      </c>
      <c r="D753" s="104" t="s">
        <v>26</v>
      </c>
      <c r="E753" s="106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4"/>
      <c r="BA753" s="94"/>
      <c r="BB753" s="94"/>
      <c r="BC753" s="94"/>
      <c r="BD753" s="94"/>
      <c r="BE753" s="94"/>
      <c r="BF753" s="94"/>
    </row>
    <row r="754" spans="1:58" x14ac:dyDescent="0.35">
      <c r="A754" s="107" t="s">
        <v>2554</v>
      </c>
      <c r="B754" s="108" t="s">
        <v>0</v>
      </c>
      <c r="C754" s="109">
        <v>7</v>
      </c>
      <c r="D754" s="107" t="s">
        <v>973</v>
      </c>
      <c r="E754" s="109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4"/>
      <c r="BA754" s="94"/>
      <c r="BB754" s="94"/>
      <c r="BC754" s="94"/>
      <c r="BD754" s="94"/>
      <c r="BE754" s="94"/>
      <c r="BF754" s="94"/>
    </row>
    <row r="755" spans="1:58" x14ac:dyDescent="0.35">
      <c r="A755" s="107" t="s">
        <v>2555</v>
      </c>
      <c r="B755" s="108" t="s">
        <v>0</v>
      </c>
      <c r="C755" s="109">
        <v>7</v>
      </c>
      <c r="D755" s="107" t="s">
        <v>967</v>
      </c>
      <c r="E755" s="109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4"/>
      <c r="BA755" s="94"/>
      <c r="BB755" s="94"/>
      <c r="BC755" s="94"/>
      <c r="BD755" s="94"/>
      <c r="BE755" s="94"/>
      <c r="BF755" s="94"/>
    </row>
    <row r="756" spans="1:58" x14ac:dyDescent="0.35">
      <c r="A756" s="107" t="s">
        <v>2556</v>
      </c>
      <c r="B756" s="108" t="s">
        <v>0</v>
      </c>
      <c r="C756" s="109">
        <v>7</v>
      </c>
      <c r="D756" s="107" t="s">
        <v>968</v>
      </c>
      <c r="E756" s="109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4"/>
      <c r="BA756" s="94"/>
      <c r="BB756" s="94"/>
      <c r="BC756" s="94"/>
      <c r="BD756" s="94"/>
      <c r="BE756" s="94"/>
      <c r="BF756" s="94"/>
    </row>
    <row r="757" spans="1:58" x14ac:dyDescent="0.35">
      <c r="A757" s="107" t="s">
        <v>2557</v>
      </c>
      <c r="B757" s="108" t="s">
        <v>0</v>
      </c>
      <c r="C757" s="109">
        <v>7</v>
      </c>
      <c r="D757" s="107" t="s">
        <v>969</v>
      </c>
      <c r="E757" s="109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4"/>
      <c r="BA757" s="94"/>
      <c r="BB757" s="94"/>
      <c r="BC757" s="94"/>
      <c r="BD757" s="94"/>
      <c r="BE757" s="94"/>
      <c r="BF757" s="94"/>
    </row>
    <row r="758" spans="1:58" x14ac:dyDescent="0.35">
      <c r="A758" s="104" t="s">
        <v>2558</v>
      </c>
      <c r="B758" s="105" t="s">
        <v>0</v>
      </c>
      <c r="C758" s="106">
        <v>6</v>
      </c>
      <c r="D758" s="104" t="s">
        <v>16</v>
      </c>
      <c r="E758" s="106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4"/>
      <c r="BA758" s="94"/>
      <c r="BB758" s="94"/>
      <c r="BC758" s="94"/>
      <c r="BD758" s="94"/>
      <c r="BE758" s="94"/>
      <c r="BF758" s="94"/>
    </row>
    <row r="759" spans="1:58" x14ac:dyDescent="0.35">
      <c r="A759" s="107" t="s">
        <v>2559</v>
      </c>
      <c r="B759" s="108" t="s">
        <v>0</v>
      </c>
      <c r="C759" s="109">
        <v>7</v>
      </c>
      <c r="D759" s="107" t="s">
        <v>974</v>
      </c>
      <c r="E759" s="109" t="s">
        <v>182</v>
      </c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4"/>
      <c r="BA759" s="94"/>
      <c r="BB759" s="94"/>
      <c r="BC759" s="94"/>
      <c r="BD759" s="94"/>
      <c r="BE759" s="94"/>
      <c r="BF759" s="94"/>
    </row>
    <row r="760" spans="1:58" x14ac:dyDescent="0.35">
      <c r="A760" s="104" t="s">
        <v>2560</v>
      </c>
      <c r="B760" s="105" t="s">
        <v>0</v>
      </c>
      <c r="C760" s="106">
        <v>6</v>
      </c>
      <c r="D760" s="104" t="s">
        <v>30</v>
      </c>
      <c r="E760" s="106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4"/>
      <c r="BA760" s="94"/>
      <c r="BB760" s="94"/>
      <c r="BC760" s="94"/>
      <c r="BD760" s="94"/>
      <c r="BE760" s="94"/>
      <c r="BF760" s="94"/>
    </row>
    <row r="761" spans="1:58" x14ac:dyDescent="0.35">
      <c r="A761" s="107" t="s">
        <v>2561</v>
      </c>
      <c r="B761" s="108" t="s">
        <v>0</v>
      </c>
      <c r="C761" s="109">
        <v>7</v>
      </c>
      <c r="D761" s="107" t="s">
        <v>1656</v>
      </c>
      <c r="E761" s="109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4"/>
      <c r="BA761" s="94"/>
      <c r="BB761" s="94"/>
      <c r="BC761" s="94"/>
      <c r="BD761" s="94"/>
      <c r="BE761" s="94"/>
      <c r="BF761" s="94"/>
    </row>
    <row r="762" spans="1:58" x14ac:dyDescent="0.35">
      <c r="A762" s="107" t="s">
        <v>2562</v>
      </c>
      <c r="B762" s="108" t="s">
        <v>0</v>
      </c>
      <c r="C762" s="109">
        <v>7</v>
      </c>
      <c r="D762" s="107" t="s">
        <v>1659</v>
      </c>
      <c r="E762" s="109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4"/>
      <c r="BA762" s="94"/>
      <c r="BB762" s="94"/>
      <c r="BC762" s="94"/>
      <c r="BD762" s="94"/>
      <c r="BE762" s="94"/>
      <c r="BF762" s="94"/>
    </row>
    <row r="763" spans="1:58" x14ac:dyDescent="0.35">
      <c r="A763" s="107" t="s">
        <v>2563</v>
      </c>
      <c r="B763" s="108" t="s">
        <v>0</v>
      </c>
      <c r="C763" s="109">
        <v>7</v>
      </c>
      <c r="D763" s="107" t="s">
        <v>1657</v>
      </c>
      <c r="E763" s="109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4"/>
      <c r="BA763" s="94"/>
      <c r="BB763" s="94"/>
      <c r="BC763" s="94"/>
      <c r="BD763" s="94"/>
      <c r="BE763" s="94"/>
      <c r="BF763" s="94"/>
    </row>
    <row r="764" spans="1:58" x14ac:dyDescent="0.35">
      <c r="A764" s="107" t="s">
        <v>2564</v>
      </c>
      <c r="B764" s="108" t="s">
        <v>0</v>
      </c>
      <c r="C764" s="109">
        <v>7</v>
      </c>
      <c r="D764" s="107" t="s">
        <v>1658</v>
      </c>
      <c r="E764" s="109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4"/>
      <c r="BA764" s="94"/>
      <c r="BB764" s="94"/>
      <c r="BC764" s="94"/>
      <c r="BD764" s="94"/>
      <c r="BE764" s="94"/>
      <c r="BF764" s="94"/>
    </row>
    <row r="765" spans="1:58" x14ac:dyDescent="0.35">
      <c r="A765" s="104" t="s">
        <v>2565</v>
      </c>
      <c r="B765" s="105" t="s">
        <v>0</v>
      </c>
      <c r="C765" s="106">
        <v>6</v>
      </c>
      <c r="D765" s="104" t="s">
        <v>123</v>
      </c>
      <c r="E765" s="106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4"/>
      <c r="BA765" s="94"/>
      <c r="BB765" s="94"/>
      <c r="BC765" s="94"/>
      <c r="BD765" s="94"/>
      <c r="BE765" s="94"/>
      <c r="BF765" s="94"/>
    </row>
    <row r="766" spans="1:58" x14ac:dyDescent="0.35">
      <c r="A766" s="107" t="s">
        <v>2566</v>
      </c>
      <c r="B766" s="108" t="s">
        <v>0</v>
      </c>
      <c r="C766" s="109">
        <v>7</v>
      </c>
      <c r="D766" s="107" t="s">
        <v>1654</v>
      </c>
      <c r="E766" s="109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4"/>
      <c r="BA766" s="94"/>
      <c r="BB766" s="94"/>
      <c r="BC766" s="94"/>
      <c r="BD766" s="94"/>
      <c r="BE766" s="94"/>
      <c r="BF766" s="94"/>
    </row>
    <row r="767" spans="1:58" x14ac:dyDescent="0.35">
      <c r="A767" s="101" t="s">
        <v>2567</v>
      </c>
      <c r="B767" s="102" t="s">
        <v>0</v>
      </c>
      <c r="C767" s="103">
        <v>5</v>
      </c>
      <c r="D767" s="101" t="s">
        <v>446</v>
      </c>
      <c r="E767" s="103" t="s">
        <v>183</v>
      </c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4"/>
      <c r="BA767" s="94"/>
      <c r="BB767" s="94"/>
      <c r="BC767" s="94"/>
      <c r="BD767" s="94"/>
      <c r="BE767" s="94"/>
      <c r="BF767" s="94"/>
    </row>
    <row r="768" spans="1:58" x14ac:dyDescent="0.35">
      <c r="A768" s="104" t="s">
        <v>2568</v>
      </c>
      <c r="B768" s="105" t="s">
        <v>0</v>
      </c>
      <c r="C768" s="106">
        <v>6</v>
      </c>
      <c r="D768" s="104" t="s">
        <v>564</v>
      </c>
      <c r="E768" s="106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4"/>
      <c r="BA768" s="94"/>
      <c r="BB768" s="94"/>
      <c r="BC768" s="94"/>
      <c r="BD768" s="94"/>
      <c r="BE768" s="94"/>
      <c r="BF768" s="94"/>
    </row>
    <row r="769" spans="1:58" x14ac:dyDescent="0.35">
      <c r="A769" s="107" t="s">
        <v>2569</v>
      </c>
      <c r="B769" s="108" t="s">
        <v>0</v>
      </c>
      <c r="C769" s="109">
        <v>7</v>
      </c>
      <c r="D769" s="107" t="s">
        <v>977</v>
      </c>
      <c r="E769" s="109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4"/>
      <c r="BA769" s="94"/>
      <c r="BB769" s="94"/>
      <c r="BC769" s="94"/>
      <c r="BD769" s="94"/>
      <c r="BE769" s="94"/>
      <c r="BF769" s="94"/>
    </row>
    <row r="770" spans="1:58" x14ac:dyDescent="0.35">
      <c r="A770" s="107" t="s">
        <v>2570</v>
      </c>
      <c r="B770" s="108" t="s">
        <v>0</v>
      </c>
      <c r="C770" s="109">
        <v>7</v>
      </c>
      <c r="D770" s="107" t="s">
        <v>978</v>
      </c>
      <c r="E770" s="109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4"/>
      <c r="BA770" s="94"/>
      <c r="BB770" s="94"/>
      <c r="BC770" s="94"/>
      <c r="BD770" s="94"/>
      <c r="BE770" s="94"/>
      <c r="BF770" s="94"/>
    </row>
    <row r="771" spans="1:58" x14ac:dyDescent="0.35">
      <c r="A771" s="107" t="s">
        <v>2571</v>
      </c>
      <c r="B771" s="108" t="s">
        <v>0</v>
      </c>
      <c r="C771" s="109">
        <v>7</v>
      </c>
      <c r="D771" s="107" t="s">
        <v>975</v>
      </c>
      <c r="E771" s="109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4"/>
      <c r="BA771" s="94"/>
      <c r="BB771" s="94"/>
      <c r="BC771" s="94"/>
      <c r="BD771" s="94"/>
      <c r="BE771" s="94"/>
      <c r="BF771" s="94"/>
    </row>
    <row r="772" spans="1:58" x14ac:dyDescent="0.35">
      <c r="A772" s="107" t="s">
        <v>2572</v>
      </c>
      <c r="B772" s="108" t="s">
        <v>0</v>
      </c>
      <c r="C772" s="109">
        <v>7</v>
      </c>
      <c r="D772" s="107" t="s">
        <v>976</v>
      </c>
      <c r="E772" s="109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4"/>
      <c r="BA772" s="94"/>
      <c r="BB772" s="94"/>
      <c r="BC772" s="94"/>
      <c r="BD772" s="94"/>
      <c r="BE772" s="94"/>
      <c r="BF772" s="94"/>
    </row>
    <row r="773" spans="1:58" x14ac:dyDescent="0.35">
      <c r="A773" s="107" t="s">
        <v>2573</v>
      </c>
      <c r="B773" s="108" t="s">
        <v>0</v>
      </c>
      <c r="C773" s="109">
        <v>7</v>
      </c>
      <c r="D773" s="107" t="s">
        <v>979</v>
      </c>
      <c r="E773" s="109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4"/>
      <c r="BA773" s="94"/>
      <c r="BB773" s="94"/>
      <c r="BC773" s="94"/>
      <c r="BD773" s="94"/>
      <c r="BE773" s="94"/>
      <c r="BF773" s="94"/>
    </row>
    <row r="774" spans="1:58" x14ac:dyDescent="0.35">
      <c r="A774" s="107" t="s">
        <v>2574</v>
      </c>
      <c r="B774" s="108" t="s">
        <v>0</v>
      </c>
      <c r="C774" s="109">
        <v>7</v>
      </c>
      <c r="D774" s="107" t="s">
        <v>1655</v>
      </c>
      <c r="E774" s="109" t="s">
        <v>0</v>
      </c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4"/>
      <c r="BA774" s="94"/>
      <c r="BB774" s="94"/>
      <c r="BC774" s="94"/>
      <c r="BD774" s="94"/>
      <c r="BE774" s="94"/>
      <c r="BF774" s="94"/>
    </row>
    <row r="775" spans="1:58" x14ac:dyDescent="0.35">
      <c r="A775" s="104" t="s">
        <v>2575</v>
      </c>
      <c r="B775" s="105" t="s">
        <v>0</v>
      </c>
      <c r="C775" s="106">
        <v>6</v>
      </c>
      <c r="D775" s="104" t="s">
        <v>26</v>
      </c>
      <c r="E775" s="106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4"/>
      <c r="BA775" s="94"/>
      <c r="BB775" s="94"/>
      <c r="BC775" s="94"/>
      <c r="BD775" s="94"/>
      <c r="BE775" s="94"/>
      <c r="BF775" s="94"/>
    </row>
    <row r="776" spans="1:58" x14ac:dyDescent="0.35">
      <c r="A776" s="107" t="s">
        <v>2576</v>
      </c>
      <c r="B776" s="108" t="s">
        <v>0</v>
      </c>
      <c r="C776" s="109">
        <v>7</v>
      </c>
      <c r="D776" s="107" t="s">
        <v>982</v>
      </c>
      <c r="E776" s="109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4"/>
      <c r="BA776" s="94"/>
      <c r="BB776" s="94"/>
      <c r="BC776" s="94"/>
      <c r="BD776" s="94"/>
      <c r="BE776" s="94"/>
      <c r="BF776" s="94"/>
    </row>
    <row r="777" spans="1:58" x14ac:dyDescent="0.35">
      <c r="A777" s="107" t="s">
        <v>2577</v>
      </c>
      <c r="B777" s="108" t="s">
        <v>0</v>
      </c>
      <c r="C777" s="109">
        <v>7</v>
      </c>
      <c r="D777" s="107" t="s">
        <v>980</v>
      </c>
      <c r="E777" s="109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4"/>
      <c r="BA777" s="94"/>
      <c r="BB777" s="94"/>
      <c r="BC777" s="94"/>
      <c r="BD777" s="94"/>
      <c r="BE777" s="94"/>
      <c r="BF777" s="94"/>
    </row>
    <row r="778" spans="1:58" x14ac:dyDescent="0.35">
      <c r="A778" s="107" t="s">
        <v>2578</v>
      </c>
      <c r="B778" s="108" t="s">
        <v>0</v>
      </c>
      <c r="C778" s="109">
        <v>7</v>
      </c>
      <c r="D778" s="107" t="s">
        <v>983</v>
      </c>
      <c r="E778" s="109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4"/>
      <c r="BA778" s="94"/>
      <c r="BB778" s="94"/>
      <c r="BC778" s="94"/>
      <c r="BD778" s="94"/>
      <c r="BE778" s="94"/>
      <c r="BF778" s="94"/>
    </row>
    <row r="779" spans="1:58" x14ac:dyDescent="0.35">
      <c r="A779" s="107" t="s">
        <v>2579</v>
      </c>
      <c r="B779" s="108" t="s">
        <v>0</v>
      </c>
      <c r="C779" s="109">
        <v>7</v>
      </c>
      <c r="D779" s="107" t="s">
        <v>981</v>
      </c>
      <c r="E779" s="109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4"/>
      <c r="BA779" s="94"/>
      <c r="BB779" s="94"/>
      <c r="BC779" s="94"/>
      <c r="BD779" s="94"/>
      <c r="BE779" s="94"/>
      <c r="BF779" s="94"/>
    </row>
    <row r="780" spans="1:58" x14ac:dyDescent="0.35">
      <c r="A780" s="104" t="s">
        <v>2580</v>
      </c>
      <c r="B780" s="105" t="s">
        <v>0</v>
      </c>
      <c r="C780" s="106">
        <v>6</v>
      </c>
      <c r="D780" s="104" t="s">
        <v>16</v>
      </c>
      <c r="E780" s="106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4"/>
      <c r="BA780" s="94"/>
      <c r="BB780" s="94"/>
      <c r="BC780" s="94"/>
      <c r="BD780" s="94"/>
      <c r="BE780" s="94"/>
      <c r="BF780" s="94"/>
    </row>
    <row r="781" spans="1:58" x14ac:dyDescent="0.35">
      <c r="A781" s="107" t="s">
        <v>2581</v>
      </c>
      <c r="B781" s="108" t="s">
        <v>0</v>
      </c>
      <c r="C781" s="109">
        <v>7</v>
      </c>
      <c r="D781" s="107" t="s">
        <v>984</v>
      </c>
      <c r="E781" s="109" t="s">
        <v>184</v>
      </c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4"/>
      <c r="BA781" s="94"/>
      <c r="BB781" s="94"/>
      <c r="BC781" s="94"/>
      <c r="BD781" s="94"/>
      <c r="BE781" s="94"/>
      <c r="BF781" s="94"/>
    </row>
    <row r="782" spans="1:58" x14ac:dyDescent="0.35">
      <c r="A782" s="104" t="s">
        <v>2582</v>
      </c>
      <c r="B782" s="105" t="s">
        <v>0</v>
      </c>
      <c r="C782" s="106">
        <v>6</v>
      </c>
      <c r="D782" s="104" t="s">
        <v>30</v>
      </c>
      <c r="E782" s="106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4"/>
      <c r="BA782" s="94"/>
      <c r="BB782" s="94"/>
      <c r="BC782" s="94"/>
      <c r="BD782" s="94"/>
      <c r="BE782" s="94"/>
      <c r="BF782" s="94"/>
    </row>
    <row r="783" spans="1:58" x14ac:dyDescent="0.35">
      <c r="A783" s="107" t="s">
        <v>2583</v>
      </c>
      <c r="B783" s="108" t="s">
        <v>0</v>
      </c>
      <c r="C783" s="109">
        <v>7</v>
      </c>
      <c r="D783" s="107" t="s">
        <v>1656</v>
      </c>
      <c r="E783" s="109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</row>
    <row r="784" spans="1:58" x14ac:dyDescent="0.35">
      <c r="A784" s="107" t="s">
        <v>2584</v>
      </c>
      <c r="B784" s="108" t="s">
        <v>0</v>
      </c>
      <c r="C784" s="109">
        <v>7</v>
      </c>
      <c r="D784" s="107" t="s">
        <v>1659</v>
      </c>
      <c r="E784" s="109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4"/>
      <c r="BA784" s="94"/>
      <c r="BB784" s="94"/>
      <c r="BC784" s="94"/>
      <c r="BD784" s="94"/>
      <c r="BE784" s="94"/>
      <c r="BF784" s="94"/>
    </row>
    <row r="785" spans="1:58" x14ac:dyDescent="0.35">
      <c r="A785" s="107" t="s">
        <v>2585</v>
      </c>
      <c r="B785" s="108" t="s">
        <v>0</v>
      </c>
      <c r="C785" s="109">
        <v>7</v>
      </c>
      <c r="D785" s="107" t="s">
        <v>1657</v>
      </c>
      <c r="E785" s="109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4"/>
      <c r="BA785" s="94"/>
      <c r="BB785" s="94"/>
      <c r="BC785" s="94"/>
      <c r="BD785" s="94"/>
      <c r="BE785" s="94"/>
      <c r="BF785" s="94"/>
    </row>
    <row r="786" spans="1:58" x14ac:dyDescent="0.35">
      <c r="A786" s="107" t="s">
        <v>2586</v>
      </c>
      <c r="B786" s="108" t="s">
        <v>0</v>
      </c>
      <c r="C786" s="109">
        <v>7</v>
      </c>
      <c r="D786" s="107" t="s">
        <v>1658</v>
      </c>
      <c r="E786" s="109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4"/>
      <c r="BE786" s="94"/>
      <c r="BF786" s="94"/>
    </row>
    <row r="787" spans="1:58" x14ac:dyDescent="0.35">
      <c r="A787" s="104" t="s">
        <v>2587</v>
      </c>
      <c r="B787" s="105" t="s">
        <v>0</v>
      </c>
      <c r="C787" s="106">
        <v>6</v>
      </c>
      <c r="D787" s="104" t="s">
        <v>123</v>
      </c>
      <c r="E787" s="106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4"/>
      <c r="BA787" s="94"/>
      <c r="BB787" s="94"/>
      <c r="BC787" s="94"/>
      <c r="BD787" s="94"/>
      <c r="BE787" s="94"/>
      <c r="BF787" s="94"/>
    </row>
    <row r="788" spans="1:58" x14ac:dyDescent="0.35">
      <c r="A788" s="107" t="s">
        <v>2588</v>
      </c>
      <c r="B788" s="108" t="s">
        <v>0</v>
      </c>
      <c r="C788" s="109">
        <v>7</v>
      </c>
      <c r="D788" s="107" t="s">
        <v>1654</v>
      </c>
      <c r="E788" s="109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4"/>
      <c r="BA788" s="94"/>
      <c r="BB788" s="94"/>
      <c r="BC788" s="94"/>
      <c r="BD788" s="94"/>
      <c r="BE788" s="94"/>
      <c r="BF788" s="94"/>
    </row>
    <row r="789" spans="1:58" x14ac:dyDescent="0.35">
      <c r="A789" s="101" t="s">
        <v>2589</v>
      </c>
      <c r="B789" s="102" t="s">
        <v>0</v>
      </c>
      <c r="C789" s="103">
        <v>5</v>
      </c>
      <c r="D789" s="101" t="s">
        <v>447</v>
      </c>
      <c r="E789" s="103" t="s">
        <v>185</v>
      </c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4"/>
      <c r="BA789" s="94"/>
      <c r="BB789" s="94"/>
      <c r="BC789" s="94"/>
      <c r="BD789" s="94"/>
      <c r="BE789" s="94"/>
      <c r="BF789" s="94"/>
    </row>
    <row r="790" spans="1:58" x14ac:dyDescent="0.35">
      <c r="A790" s="104" t="s">
        <v>2590</v>
      </c>
      <c r="B790" s="105" t="s">
        <v>0</v>
      </c>
      <c r="C790" s="106">
        <v>6</v>
      </c>
      <c r="D790" s="104" t="s">
        <v>564</v>
      </c>
      <c r="E790" s="106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4"/>
      <c r="BA790" s="94"/>
      <c r="BB790" s="94"/>
      <c r="BC790" s="94"/>
      <c r="BD790" s="94"/>
      <c r="BE790" s="94"/>
      <c r="BF790" s="94"/>
    </row>
    <row r="791" spans="1:58" x14ac:dyDescent="0.35">
      <c r="A791" s="107" t="s">
        <v>2591</v>
      </c>
      <c r="B791" s="108" t="s">
        <v>0</v>
      </c>
      <c r="C791" s="109">
        <v>7</v>
      </c>
      <c r="D791" s="107" t="s">
        <v>990</v>
      </c>
      <c r="E791" s="109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4"/>
      <c r="BA791" s="94"/>
      <c r="BB791" s="94"/>
      <c r="BC791" s="94"/>
      <c r="BD791" s="94"/>
      <c r="BE791" s="94"/>
      <c r="BF791" s="94"/>
    </row>
    <row r="792" spans="1:58" x14ac:dyDescent="0.35">
      <c r="A792" s="107" t="s">
        <v>2592</v>
      </c>
      <c r="B792" s="108" t="s">
        <v>0</v>
      </c>
      <c r="C792" s="109">
        <v>7</v>
      </c>
      <c r="D792" s="107" t="s">
        <v>991</v>
      </c>
      <c r="E792" s="109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4"/>
      <c r="BA792" s="94"/>
      <c r="BB792" s="94"/>
      <c r="BC792" s="94"/>
      <c r="BD792" s="94"/>
      <c r="BE792" s="94"/>
      <c r="BF792" s="94"/>
    </row>
    <row r="793" spans="1:58" x14ac:dyDescent="0.35">
      <c r="A793" s="107" t="s">
        <v>2593</v>
      </c>
      <c r="B793" s="108" t="s">
        <v>0</v>
      </c>
      <c r="C793" s="109">
        <v>7</v>
      </c>
      <c r="D793" s="107" t="s">
        <v>985</v>
      </c>
      <c r="E793" s="109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4"/>
      <c r="BA793" s="94"/>
      <c r="BB793" s="94"/>
      <c r="BC793" s="94"/>
      <c r="BD793" s="94"/>
      <c r="BE793" s="94"/>
      <c r="BF793" s="94"/>
    </row>
    <row r="794" spans="1:58" x14ac:dyDescent="0.35">
      <c r="A794" s="107" t="s">
        <v>2594</v>
      </c>
      <c r="B794" s="108" t="s">
        <v>0</v>
      </c>
      <c r="C794" s="109">
        <v>7</v>
      </c>
      <c r="D794" s="107" t="s">
        <v>986</v>
      </c>
      <c r="E794" s="109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4"/>
      <c r="BA794" s="94"/>
      <c r="BB794" s="94"/>
      <c r="BC794" s="94"/>
      <c r="BD794" s="94"/>
      <c r="BE794" s="94"/>
      <c r="BF794" s="94"/>
    </row>
    <row r="795" spans="1:58" x14ac:dyDescent="0.35">
      <c r="A795" s="107" t="s">
        <v>2595</v>
      </c>
      <c r="B795" s="108" t="s">
        <v>0</v>
      </c>
      <c r="C795" s="109">
        <v>7</v>
      </c>
      <c r="D795" s="107" t="s">
        <v>992</v>
      </c>
      <c r="E795" s="109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4"/>
      <c r="BA795" s="94"/>
      <c r="BB795" s="94"/>
      <c r="BC795" s="94"/>
      <c r="BD795" s="94"/>
      <c r="BE795" s="94"/>
      <c r="BF795" s="94"/>
    </row>
    <row r="796" spans="1:58" x14ac:dyDescent="0.35">
      <c r="A796" s="107" t="s">
        <v>2596</v>
      </c>
      <c r="B796" s="108" t="s">
        <v>0</v>
      </c>
      <c r="C796" s="109">
        <v>7</v>
      </c>
      <c r="D796" s="107" t="s">
        <v>1655</v>
      </c>
      <c r="E796" s="109" t="s">
        <v>0</v>
      </c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4"/>
      <c r="BA796" s="94"/>
      <c r="BB796" s="94"/>
      <c r="BC796" s="94"/>
      <c r="BD796" s="94"/>
      <c r="BE796" s="94"/>
      <c r="BF796" s="94"/>
    </row>
    <row r="797" spans="1:58" x14ac:dyDescent="0.35">
      <c r="A797" s="104" t="s">
        <v>2597</v>
      </c>
      <c r="B797" s="105" t="s">
        <v>0</v>
      </c>
      <c r="C797" s="106">
        <v>6</v>
      </c>
      <c r="D797" s="104" t="s">
        <v>26</v>
      </c>
      <c r="E797" s="106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4"/>
      <c r="BE797" s="94"/>
      <c r="BF797" s="94"/>
    </row>
    <row r="798" spans="1:58" x14ac:dyDescent="0.35">
      <c r="A798" s="107" t="s">
        <v>2598</v>
      </c>
      <c r="B798" s="108" t="s">
        <v>0</v>
      </c>
      <c r="C798" s="109">
        <v>7</v>
      </c>
      <c r="D798" s="107" t="s">
        <v>993</v>
      </c>
      <c r="E798" s="109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4"/>
      <c r="BA798" s="94"/>
      <c r="BB798" s="94"/>
      <c r="BC798" s="94"/>
      <c r="BD798" s="94"/>
      <c r="BE798" s="94"/>
      <c r="BF798" s="94"/>
    </row>
    <row r="799" spans="1:58" x14ac:dyDescent="0.35">
      <c r="A799" s="107" t="s">
        <v>2599</v>
      </c>
      <c r="B799" s="108" t="s">
        <v>0</v>
      </c>
      <c r="C799" s="109">
        <v>7</v>
      </c>
      <c r="D799" s="107" t="s">
        <v>987</v>
      </c>
      <c r="E799" s="109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4"/>
      <c r="BA799" s="94"/>
      <c r="BB799" s="94"/>
      <c r="BC799" s="94"/>
      <c r="BD799" s="94"/>
      <c r="BE799" s="94"/>
      <c r="BF799" s="94"/>
    </row>
    <row r="800" spans="1:58" x14ac:dyDescent="0.35">
      <c r="A800" s="107" t="s">
        <v>2600</v>
      </c>
      <c r="B800" s="108" t="s">
        <v>0</v>
      </c>
      <c r="C800" s="109">
        <v>7</v>
      </c>
      <c r="D800" s="107" t="s">
        <v>988</v>
      </c>
      <c r="E800" s="109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4"/>
      <c r="BA800" s="94"/>
      <c r="BB800" s="94"/>
      <c r="BC800" s="94"/>
      <c r="BD800" s="94"/>
      <c r="BE800" s="94"/>
      <c r="BF800" s="94"/>
    </row>
    <row r="801" spans="1:58" x14ac:dyDescent="0.35">
      <c r="A801" s="107" t="s">
        <v>2601</v>
      </c>
      <c r="B801" s="108" t="s">
        <v>0</v>
      </c>
      <c r="C801" s="109">
        <v>7</v>
      </c>
      <c r="D801" s="107" t="s">
        <v>989</v>
      </c>
      <c r="E801" s="109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4"/>
      <c r="BA801" s="94"/>
      <c r="BB801" s="94"/>
      <c r="BC801" s="94"/>
      <c r="BD801" s="94"/>
      <c r="BE801" s="94"/>
      <c r="BF801" s="94"/>
    </row>
    <row r="802" spans="1:58" x14ac:dyDescent="0.35">
      <c r="A802" s="104" t="s">
        <v>2602</v>
      </c>
      <c r="B802" s="105" t="s">
        <v>0</v>
      </c>
      <c r="C802" s="106">
        <v>6</v>
      </c>
      <c r="D802" s="104" t="s">
        <v>16</v>
      </c>
      <c r="E802" s="106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4"/>
      <c r="BA802" s="94"/>
      <c r="BB802" s="94"/>
      <c r="BC802" s="94"/>
      <c r="BD802" s="94"/>
      <c r="BE802" s="94"/>
      <c r="BF802" s="94"/>
    </row>
    <row r="803" spans="1:58" x14ac:dyDescent="0.35">
      <c r="A803" s="107" t="s">
        <v>2603</v>
      </c>
      <c r="B803" s="108" t="s">
        <v>0</v>
      </c>
      <c r="C803" s="109">
        <v>7</v>
      </c>
      <c r="D803" s="107" t="s">
        <v>994</v>
      </c>
      <c r="E803" s="109" t="s">
        <v>186</v>
      </c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4"/>
      <c r="BA803" s="94"/>
      <c r="BB803" s="94"/>
      <c r="BC803" s="94"/>
      <c r="BD803" s="94"/>
      <c r="BE803" s="94"/>
      <c r="BF803" s="94"/>
    </row>
    <row r="804" spans="1:58" x14ac:dyDescent="0.35">
      <c r="A804" s="104" t="s">
        <v>2604</v>
      </c>
      <c r="B804" s="105" t="s">
        <v>0</v>
      </c>
      <c r="C804" s="106">
        <v>6</v>
      </c>
      <c r="D804" s="104" t="s">
        <v>30</v>
      </c>
      <c r="E804" s="106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4"/>
      <c r="BA804" s="94"/>
      <c r="BB804" s="94"/>
      <c r="BC804" s="94"/>
      <c r="BD804" s="94"/>
      <c r="BE804" s="94"/>
      <c r="BF804" s="94"/>
    </row>
    <row r="805" spans="1:58" x14ac:dyDescent="0.35">
      <c r="A805" s="107" t="s">
        <v>2605</v>
      </c>
      <c r="B805" s="108" t="s">
        <v>0</v>
      </c>
      <c r="C805" s="109">
        <v>7</v>
      </c>
      <c r="D805" s="107" t="s">
        <v>1656</v>
      </c>
      <c r="E805" s="109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4"/>
      <c r="BA805" s="94"/>
      <c r="BB805" s="94"/>
      <c r="BC805" s="94"/>
      <c r="BD805" s="94"/>
      <c r="BE805" s="94"/>
      <c r="BF805" s="94"/>
    </row>
    <row r="806" spans="1:58" x14ac:dyDescent="0.35">
      <c r="A806" s="107" t="s">
        <v>2606</v>
      </c>
      <c r="B806" s="108" t="s">
        <v>0</v>
      </c>
      <c r="C806" s="109">
        <v>7</v>
      </c>
      <c r="D806" s="107" t="s">
        <v>1659</v>
      </c>
      <c r="E806" s="109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4"/>
      <c r="BA806" s="94"/>
      <c r="BB806" s="94"/>
      <c r="BC806" s="94"/>
      <c r="BD806" s="94"/>
      <c r="BE806" s="94"/>
      <c r="BF806" s="94"/>
    </row>
    <row r="807" spans="1:58" x14ac:dyDescent="0.35">
      <c r="A807" s="107" t="s">
        <v>2607</v>
      </c>
      <c r="B807" s="108" t="s">
        <v>0</v>
      </c>
      <c r="C807" s="109">
        <v>7</v>
      </c>
      <c r="D807" s="107" t="s">
        <v>1657</v>
      </c>
      <c r="E807" s="109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4"/>
      <c r="BA807" s="94"/>
      <c r="BB807" s="94"/>
      <c r="BC807" s="94"/>
      <c r="BD807" s="94"/>
      <c r="BE807" s="94"/>
      <c r="BF807" s="94"/>
    </row>
    <row r="808" spans="1:58" x14ac:dyDescent="0.35">
      <c r="A808" s="107" t="s">
        <v>2608</v>
      </c>
      <c r="B808" s="108" t="s">
        <v>0</v>
      </c>
      <c r="C808" s="109">
        <v>7</v>
      </c>
      <c r="D808" s="107" t="s">
        <v>1658</v>
      </c>
      <c r="E808" s="109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4"/>
      <c r="BA808" s="94"/>
      <c r="BB808" s="94"/>
      <c r="BC808" s="94"/>
      <c r="BD808" s="94"/>
      <c r="BE808" s="94"/>
      <c r="BF808" s="94"/>
    </row>
    <row r="809" spans="1:58" x14ac:dyDescent="0.35">
      <c r="A809" s="104" t="s">
        <v>2609</v>
      </c>
      <c r="B809" s="105" t="s">
        <v>0</v>
      </c>
      <c r="C809" s="106">
        <v>6</v>
      </c>
      <c r="D809" s="104" t="s">
        <v>123</v>
      </c>
      <c r="E809" s="106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4"/>
      <c r="BA809" s="94"/>
      <c r="BB809" s="94"/>
      <c r="BC809" s="94"/>
      <c r="BD809" s="94"/>
      <c r="BE809" s="94"/>
      <c r="BF809" s="94"/>
    </row>
    <row r="810" spans="1:58" x14ac:dyDescent="0.35">
      <c r="A810" s="107" t="s">
        <v>2610</v>
      </c>
      <c r="B810" s="108" t="s">
        <v>0</v>
      </c>
      <c r="C810" s="109">
        <v>7</v>
      </c>
      <c r="D810" s="107" t="s">
        <v>1654</v>
      </c>
      <c r="E810" s="109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4"/>
      <c r="BA810" s="94"/>
      <c r="BB810" s="94"/>
      <c r="BC810" s="94"/>
      <c r="BD810" s="94"/>
      <c r="BE810" s="94"/>
      <c r="BF810" s="94"/>
    </row>
    <row r="811" spans="1:58" x14ac:dyDescent="0.35">
      <c r="A811" s="101" t="s">
        <v>2611</v>
      </c>
      <c r="B811" s="102" t="s">
        <v>0</v>
      </c>
      <c r="C811" s="103">
        <v>5</v>
      </c>
      <c r="D811" s="101" t="s">
        <v>448</v>
      </c>
      <c r="E811" s="103" t="s">
        <v>187</v>
      </c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4"/>
      <c r="BA811" s="94"/>
      <c r="BB811" s="94"/>
      <c r="BC811" s="94"/>
      <c r="BD811" s="94"/>
      <c r="BE811" s="94"/>
      <c r="BF811" s="94"/>
    </row>
    <row r="812" spans="1:58" x14ac:dyDescent="0.35">
      <c r="A812" s="104" t="s">
        <v>2612</v>
      </c>
      <c r="B812" s="105" t="s">
        <v>0</v>
      </c>
      <c r="C812" s="106">
        <v>6</v>
      </c>
      <c r="D812" s="104" t="s">
        <v>564</v>
      </c>
      <c r="E812" s="106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4"/>
      <c r="BA812" s="94"/>
      <c r="BB812" s="94"/>
      <c r="BC812" s="94"/>
      <c r="BD812" s="94"/>
      <c r="BE812" s="94"/>
      <c r="BF812" s="94"/>
    </row>
    <row r="813" spans="1:58" x14ac:dyDescent="0.35">
      <c r="A813" s="107" t="s">
        <v>2613</v>
      </c>
      <c r="B813" s="108" t="s">
        <v>0</v>
      </c>
      <c r="C813" s="109">
        <v>7</v>
      </c>
      <c r="D813" s="107" t="s">
        <v>1000</v>
      </c>
      <c r="E813" s="109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4"/>
      <c r="BA813" s="94"/>
      <c r="BB813" s="94"/>
      <c r="BC813" s="94"/>
      <c r="BD813" s="94"/>
      <c r="BE813" s="94"/>
      <c r="BF813" s="94"/>
    </row>
    <row r="814" spans="1:58" x14ac:dyDescent="0.35">
      <c r="A814" s="107" t="s">
        <v>2614</v>
      </c>
      <c r="B814" s="108" t="s">
        <v>0</v>
      </c>
      <c r="C814" s="109">
        <v>7</v>
      </c>
      <c r="D814" s="107" t="s">
        <v>1001</v>
      </c>
      <c r="E814" s="109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4"/>
      <c r="BA814" s="94"/>
      <c r="BB814" s="94"/>
      <c r="BC814" s="94"/>
      <c r="BD814" s="94"/>
      <c r="BE814" s="94"/>
      <c r="BF814" s="94"/>
    </row>
    <row r="815" spans="1:58" x14ac:dyDescent="0.35">
      <c r="A815" s="107" t="s">
        <v>2615</v>
      </c>
      <c r="B815" s="108" t="s">
        <v>0</v>
      </c>
      <c r="C815" s="109">
        <v>7</v>
      </c>
      <c r="D815" s="107" t="s">
        <v>995</v>
      </c>
      <c r="E815" s="109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4"/>
      <c r="BA815" s="94"/>
      <c r="BB815" s="94"/>
      <c r="BC815" s="94"/>
      <c r="BD815" s="94"/>
      <c r="BE815" s="94"/>
      <c r="BF815" s="94"/>
    </row>
    <row r="816" spans="1:58" x14ac:dyDescent="0.35">
      <c r="A816" s="107" t="s">
        <v>2616</v>
      </c>
      <c r="B816" s="108" t="s">
        <v>0</v>
      </c>
      <c r="C816" s="109">
        <v>7</v>
      </c>
      <c r="D816" s="107" t="s">
        <v>996</v>
      </c>
      <c r="E816" s="109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4"/>
      <c r="BA816" s="94"/>
      <c r="BB816" s="94"/>
      <c r="BC816" s="94"/>
      <c r="BD816" s="94"/>
      <c r="BE816" s="94"/>
      <c r="BF816" s="94"/>
    </row>
    <row r="817" spans="1:58" x14ac:dyDescent="0.35">
      <c r="A817" s="107" t="s">
        <v>2617</v>
      </c>
      <c r="B817" s="108" t="s">
        <v>0</v>
      </c>
      <c r="C817" s="109">
        <v>7</v>
      </c>
      <c r="D817" s="107" t="s">
        <v>1002</v>
      </c>
      <c r="E817" s="109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4"/>
      <c r="BA817" s="94"/>
      <c r="BB817" s="94"/>
      <c r="BC817" s="94"/>
      <c r="BD817" s="94"/>
      <c r="BE817" s="94"/>
      <c r="BF817" s="94"/>
    </row>
    <row r="818" spans="1:58" x14ac:dyDescent="0.35">
      <c r="A818" s="107" t="s">
        <v>2618</v>
      </c>
      <c r="B818" s="108" t="s">
        <v>0</v>
      </c>
      <c r="C818" s="109">
        <v>7</v>
      </c>
      <c r="D818" s="107" t="s">
        <v>1655</v>
      </c>
      <c r="E818" s="109" t="s">
        <v>0</v>
      </c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4"/>
      <c r="BA818" s="94"/>
      <c r="BB818" s="94"/>
      <c r="BC818" s="94"/>
      <c r="BD818" s="94"/>
      <c r="BE818" s="94"/>
      <c r="BF818" s="94"/>
    </row>
    <row r="819" spans="1:58" x14ac:dyDescent="0.35">
      <c r="A819" s="104" t="s">
        <v>2619</v>
      </c>
      <c r="B819" s="105" t="s">
        <v>0</v>
      </c>
      <c r="C819" s="106">
        <v>6</v>
      </c>
      <c r="D819" s="104" t="s">
        <v>26</v>
      </c>
      <c r="E819" s="106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4"/>
      <c r="BA819" s="94"/>
      <c r="BB819" s="94"/>
      <c r="BC819" s="94"/>
      <c r="BD819" s="94"/>
      <c r="BE819" s="94"/>
      <c r="BF819" s="94"/>
    </row>
    <row r="820" spans="1:58" x14ac:dyDescent="0.35">
      <c r="A820" s="107" t="s">
        <v>2620</v>
      </c>
      <c r="B820" s="108" t="s">
        <v>0</v>
      </c>
      <c r="C820" s="109">
        <v>7</v>
      </c>
      <c r="D820" s="107" t="s">
        <v>1003</v>
      </c>
      <c r="E820" s="109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4"/>
      <c r="BA820" s="94"/>
      <c r="BB820" s="94"/>
      <c r="BC820" s="94"/>
      <c r="BD820" s="94"/>
      <c r="BE820" s="94"/>
      <c r="BF820" s="94"/>
    </row>
    <row r="821" spans="1:58" x14ac:dyDescent="0.35">
      <c r="A821" s="107" t="s">
        <v>2621</v>
      </c>
      <c r="B821" s="108" t="s">
        <v>0</v>
      </c>
      <c r="C821" s="109">
        <v>7</v>
      </c>
      <c r="D821" s="107" t="s">
        <v>997</v>
      </c>
      <c r="E821" s="109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4"/>
      <c r="BE821" s="94"/>
      <c r="BF821" s="94"/>
    </row>
    <row r="822" spans="1:58" x14ac:dyDescent="0.35">
      <c r="A822" s="107" t="s">
        <v>2622</v>
      </c>
      <c r="B822" s="108" t="s">
        <v>0</v>
      </c>
      <c r="C822" s="109">
        <v>7</v>
      </c>
      <c r="D822" s="107" t="s">
        <v>998</v>
      </c>
      <c r="E822" s="109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4"/>
      <c r="BA822" s="94"/>
      <c r="BB822" s="94"/>
      <c r="BC822" s="94"/>
      <c r="BD822" s="94"/>
      <c r="BE822" s="94"/>
      <c r="BF822" s="94"/>
    </row>
    <row r="823" spans="1:58" x14ac:dyDescent="0.35">
      <c r="A823" s="107" t="s">
        <v>2623</v>
      </c>
      <c r="B823" s="108" t="s">
        <v>0</v>
      </c>
      <c r="C823" s="109">
        <v>7</v>
      </c>
      <c r="D823" s="107" t="s">
        <v>999</v>
      </c>
      <c r="E823" s="109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4"/>
      <c r="BA823" s="94"/>
      <c r="BB823" s="94"/>
      <c r="BC823" s="94"/>
      <c r="BD823" s="94"/>
      <c r="BE823" s="94"/>
      <c r="BF823" s="94"/>
    </row>
    <row r="824" spans="1:58" x14ac:dyDescent="0.35">
      <c r="A824" s="104" t="s">
        <v>2624</v>
      </c>
      <c r="B824" s="105" t="s">
        <v>0</v>
      </c>
      <c r="C824" s="106">
        <v>6</v>
      </c>
      <c r="D824" s="104" t="s">
        <v>16</v>
      </c>
      <c r="E824" s="106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4"/>
      <c r="BA824" s="94"/>
      <c r="BB824" s="94"/>
      <c r="BC824" s="94"/>
      <c r="BD824" s="94"/>
      <c r="BE824" s="94"/>
      <c r="BF824" s="94"/>
    </row>
    <row r="825" spans="1:58" x14ac:dyDescent="0.35">
      <c r="A825" s="107" t="s">
        <v>2625</v>
      </c>
      <c r="B825" s="108" t="s">
        <v>0</v>
      </c>
      <c r="C825" s="109">
        <v>7</v>
      </c>
      <c r="D825" s="107" t="s">
        <v>1004</v>
      </c>
      <c r="E825" s="109" t="s">
        <v>188</v>
      </c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4"/>
      <c r="BA825" s="94"/>
      <c r="BB825" s="94"/>
      <c r="BC825" s="94"/>
      <c r="BD825" s="94"/>
      <c r="BE825" s="94"/>
      <c r="BF825" s="94"/>
    </row>
    <row r="826" spans="1:58" x14ac:dyDescent="0.35">
      <c r="A826" s="104" t="s">
        <v>2626</v>
      </c>
      <c r="B826" s="105" t="s">
        <v>0</v>
      </c>
      <c r="C826" s="106">
        <v>6</v>
      </c>
      <c r="D826" s="104" t="s">
        <v>30</v>
      </c>
      <c r="E826" s="106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4"/>
      <c r="BA826" s="94"/>
      <c r="BB826" s="94"/>
      <c r="BC826" s="94"/>
      <c r="BD826" s="94"/>
      <c r="BE826" s="94"/>
      <c r="BF826" s="94"/>
    </row>
    <row r="827" spans="1:58" x14ac:dyDescent="0.35">
      <c r="A827" s="107" t="s">
        <v>2627</v>
      </c>
      <c r="B827" s="108" t="s">
        <v>0</v>
      </c>
      <c r="C827" s="109">
        <v>7</v>
      </c>
      <c r="D827" s="107" t="s">
        <v>1656</v>
      </c>
      <c r="E827" s="109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4"/>
      <c r="BA827" s="94"/>
      <c r="BB827" s="94"/>
      <c r="BC827" s="94"/>
      <c r="BD827" s="94"/>
      <c r="BE827" s="94"/>
      <c r="BF827" s="94"/>
    </row>
    <row r="828" spans="1:58" x14ac:dyDescent="0.35">
      <c r="A828" s="107" t="s">
        <v>2628</v>
      </c>
      <c r="B828" s="108" t="s">
        <v>0</v>
      </c>
      <c r="C828" s="109">
        <v>7</v>
      </c>
      <c r="D828" s="107" t="s">
        <v>1659</v>
      </c>
      <c r="E828" s="109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4"/>
      <c r="BA828" s="94"/>
      <c r="BB828" s="94"/>
      <c r="BC828" s="94"/>
      <c r="BD828" s="94"/>
      <c r="BE828" s="94"/>
      <c r="BF828" s="94"/>
    </row>
    <row r="829" spans="1:58" x14ac:dyDescent="0.35">
      <c r="A829" s="107" t="s">
        <v>2629</v>
      </c>
      <c r="B829" s="108" t="s">
        <v>0</v>
      </c>
      <c r="C829" s="109">
        <v>7</v>
      </c>
      <c r="D829" s="107" t="s">
        <v>1657</v>
      </c>
      <c r="E829" s="109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4"/>
      <c r="BA829" s="94"/>
      <c r="BB829" s="94"/>
      <c r="BC829" s="94"/>
      <c r="BD829" s="94"/>
      <c r="BE829" s="94"/>
      <c r="BF829" s="94"/>
    </row>
    <row r="830" spans="1:58" x14ac:dyDescent="0.35">
      <c r="A830" s="107" t="s">
        <v>2630</v>
      </c>
      <c r="B830" s="108" t="s">
        <v>0</v>
      </c>
      <c r="C830" s="109">
        <v>7</v>
      </c>
      <c r="D830" s="107" t="s">
        <v>1658</v>
      </c>
      <c r="E830" s="109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4"/>
      <c r="BA830" s="94"/>
      <c r="BB830" s="94"/>
      <c r="BC830" s="94"/>
      <c r="BD830" s="94"/>
      <c r="BE830" s="94"/>
      <c r="BF830" s="94"/>
    </row>
    <row r="831" spans="1:58" x14ac:dyDescent="0.35">
      <c r="A831" s="104" t="s">
        <v>2631</v>
      </c>
      <c r="B831" s="105" t="s">
        <v>0</v>
      </c>
      <c r="C831" s="106">
        <v>6</v>
      </c>
      <c r="D831" s="104" t="s">
        <v>123</v>
      </c>
      <c r="E831" s="106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4"/>
      <c r="BA831" s="94"/>
      <c r="BB831" s="94"/>
      <c r="BC831" s="94"/>
      <c r="BD831" s="94"/>
      <c r="BE831" s="94"/>
      <c r="BF831" s="94"/>
    </row>
    <row r="832" spans="1:58" x14ac:dyDescent="0.35">
      <c r="A832" s="107" t="s">
        <v>2632</v>
      </c>
      <c r="B832" s="108" t="s">
        <v>0</v>
      </c>
      <c r="C832" s="109">
        <v>7</v>
      </c>
      <c r="D832" s="107" t="s">
        <v>1654</v>
      </c>
      <c r="E832" s="109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4"/>
      <c r="BA832" s="94"/>
      <c r="BB832" s="94"/>
      <c r="BC832" s="94"/>
      <c r="BD832" s="94"/>
      <c r="BE832" s="94"/>
      <c r="BF832" s="94"/>
    </row>
    <row r="833" spans="1:58" x14ac:dyDescent="0.35">
      <c r="A833" s="101" t="s">
        <v>2633</v>
      </c>
      <c r="B833" s="102" t="s">
        <v>0</v>
      </c>
      <c r="C833" s="103">
        <v>5</v>
      </c>
      <c r="D833" s="101" t="s">
        <v>449</v>
      </c>
      <c r="E833" s="103" t="s">
        <v>189</v>
      </c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4"/>
      <c r="BA833" s="94"/>
      <c r="BB833" s="94"/>
      <c r="BC833" s="94"/>
      <c r="BD833" s="94"/>
      <c r="BE833" s="94"/>
      <c r="BF833" s="94"/>
    </row>
    <row r="834" spans="1:58" x14ac:dyDescent="0.35">
      <c r="A834" s="104" t="s">
        <v>2634</v>
      </c>
      <c r="B834" s="105" t="s">
        <v>0</v>
      </c>
      <c r="C834" s="106">
        <v>6</v>
      </c>
      <c r="D834" s="104" t="s">
        <v>564</v>
      </c>
      <c r="E834" s="106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4"/>
      <c r="BA834" s="94"/>
      <c r="BB834" s="94"/>
      <c r="BC834" s="94"/>
      <c r="BD834" s="94"/>
      <c r="BE834" s="94"/>
      <c r="BF834" s="94"/>
    </row>
    <row r="835" spans="1:58" x14ac:dyDescent="0.35">
      <c r="A835" s="107" t="s">
        <v>2635</v>
      </c>
      <c r="B835" s="108" t="s">
        <v>0</v>
      </c>
      <c r="C835" s="109">
        <v>7</v>
      </c>
      <c r="D835" s="107" t="s">
        <v>1010</v>
      </c>
      <c r="E835" s="109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4"/>
      <c r="BA835" s="94"/>
      <c r="BB835" s="94"/>
      <c r="BC835" s="94"/>
      <c r="BD835" s="94"/>
      <c r="BE835" s="94"/>
      <c r="BF835" s="94"/>
    </row>
    <row r="836" spans="1:58" x14ac:dyDescent="0.35">
      <c r="A836" s="107" t="s">
        <v>2636</v>
      </c>
      <c r="B836" s="108" t="s">
        <v>0</v>
      </c>
      <c r="C836" s="109">
        <v>7</v>
      </c>
      <c r="D836" s="107" t="s">
        <v>1011</v>
      </c>
      <c r="E836" s="109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4"/>
      <c r="BA836" s="94"/>
      <c r="BB836" s="94"/>
      <c r="BC836" s="94"/>
      <c r="BD836" s="94"/>
      <c r="BE836" s="94"/>
      <c r="BF836" s="94"/>
    </row>
    <row r="837" spans="1:58" x14ac:dyDescent="0.35">
      <c r="A837" s="107" t="s">
        <v>2637</v>
      </c>
      <c r="B837" s="108" t="s">
        <v>0</v>
      </c>
      <c r="C837" s="109">
        <v>7</v>
      </c>
      <c r="D837" s="107" t="s">
        <v>1005</v>
      </c>
      <c r="E837" s="109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4"/>
      <c r="BA837" s="94"/>
      <c r="BB837" s="94"/>
      <c r="BC837" s="94"/>
      <c r="BD837" s="94"/>
      <c r="BE837" s="94"/>
      <c r="BF837" s="94"/>
    </row>
    <row r="838" spans="1:58" x14ac:dyDescent="0.35">
      <c r="A838" s="107" t="s">
        <v>2638</v>
      </c>
      <c r="B838" s="108" t="s">
        <v>0</v>
      </c>
      <c r="C838" s="109">
        <v>7</v>
      </c>
      <c r="D838" s="107" t="s">
        <v>1006</v>
      </c>
      <c r="E838" s="109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4"/>
      <c r="BA838" s="94"/>
      <c r="BB838" s="94"/>
      <c r="BC838" s="94"/>
      <c r="BD838" s="94"/>
      <c r="BE838" s="94"/>
      <c r="BF838" s="94"/>
    </row>
    <row r="839" spans="1:58" x14ac:dyDescent="0.35">
      <c r="A839" s="107" t="s">
        <v>2639</v>
      </c>
      <c r="B839" s="108" t="s">
        <v>0</v>
      </c>
      <c r="C839" s="109">
        <v>7</v>
      </c>
      <c r="D839" s="107" t="s">
        <v>1012</v>
      </c>
      <c r="E839" s="109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4"/>
      <c r="BA839" s="94"/>
      <c r="BB839" s="94"/>
      <c r="BC839" s="94"/>
      <c r="BD839" s="94"/>
      <c r="BE839" s="94"/>
      <c r="BF839" s="94"/>
    </row>
    <row r="840" spans="1:58" x14ac:dyDescent="0.35">
      <c r="A840" s="107" t="s">
        <v>2640</v>
      </c>
      <c r="B840" s="108" t="s">
        <v>0</v>
      </c>
      <c r="C840" s="109">
        <v>7</v>
      </c>
      <c r="D840" s="107" t="s">
        <v>1655</v>
      </c>
      <c r="E840" s="109" t="s">
        <v>0</v>
      </c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4"/>
      <c r="BA840" s="94"/>
      <c r="BB840" s="94"/>
      <c r="BC840" s="94"/>
      <c r="BD840" s="94"/>
      <c r="BE840" s="94"/>
      <c r="BF840" s="94"/>
    </row>
    <row r="841" spans="1:58" x14ac:dyDescent="0.35">
      <c r="A841" s="104" t="s">
        <v>2641</v>
      </c>
      <c r="B841" s="105" t="s">
        <v>0</v>
      </c>
      <c r="C841" s="106">
        <v>6</v>
      </c>
      <c r="D841" s="104" t="s">
        <v>26</v>
      </c>
      <c r="E841" s="106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4"/>
      <c r="BA841" s="94"/>
      <c r="BB841" s="94"/>
      <c r="BC841" s="94"/>
      <c r="BD841" s="94"/>
      <c r="BE841" s="94"/>
      <c r="BF841" s="94"/>
    </row>
    <row r="842" spans="1:58" x14ac:dyDescent="0.35">
      <c r="A842" s="107" t="s">
        <v>2642</v>
      </c>
      <c r="B842" s="108" t="s">
        <v>0</v>
      </c>
      <c r="C842" s="109">
        <v>7</v>
      </c>
      <c r="D842" s="107" t="s">
        <v>1013</v>
      </c>
      <c r="E842" s="109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4"/>
      <c r="BA842" s="94"/>
      <c r="BB842" s="94"/>
      <c r="BC842" s="94"/>
      <c r="BD842" s="94"/>
      <c r="BE842" s="94"/>
      <c r="BF842" s="94"/>
    </row>
    <row r="843" spans="1:58" x14ac:dyDescent="0.35">
      <c r="A843" s="107" t="s">
        <v>2643</v>
      </c>
      <c r="B843" s="108" t="s">
        <v>0</v>
      </c>
      <c r="C843" s="109">
        <v>7</v>
      </c>
      <c r="D843" s="107" t="s">
        <v>1007</v>
      </c>
      <c r="E843" s="109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4"/>
      <c r="BA843" s="94"/>
      <c r="BB843" s="94"/>
      <c r="BC843" s="94"/>
      <c r="BD843" s="94"/>
      <c r="BE843" s="94"/>
      <c r="BF843" s="94"/>
    </row>
    <row r="844" spans="1:58" x14ac:dyDescent="0.35">
      <c r="A844" s="107" t="s">
        <v>2644</v>
      </c>
      <c r="B844" s="108" t="s">
        <v>0</v>
      </c>
      <c r="C844" s="109">
        <v>7</v>
      </c>
      <c r="D844" s="107" t="s">
        <v>1008</v>
      </c>
      <c r="E844" s="109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4"/>
      <c r="BA844" s="94"/>
      <c r="BB844" s="94"/>
      <c r="BC844" s="94"/>
      <c r="BD844" s="94"/>
      <c r="BE844" s="94"/>
      <c r="BF844" s="94"/>
    </row>
    <row r="845" spans="1:58" x14ac:dyDescent="0.35">
      <c r="A845" s="107" t="s">
        <v>2645</v>
      </c>
      <c r="B845" s="108" t="s">
        <v>0</v>
      </c>
      <c r="C845" s="109">
        <v>7</v>
      </c>
      <c r="D845" s="107" t="s">
        <v>1009</v>
      </c>
      <c r="E845" s="109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4"/>
      <c r="BA845" s="94"/>
      <c r="BB845" s="94"/>
      <c r="BC845" s="94"/>
      <c r="BD845" s="94"/>
      <c r="BE845" s="94"/>
      <c r="BF845" s="94"/>
    </row>
    <row r="846" spans="1:58" x14ac:dyDescent="0.35">
      <c r="A846" s="104" t="s">
        <v>2646</v>
      </c>
      <c r="B846" s="105" t="s">
        <v>0</v>
      </c>
      <c r="C846" s="106">
        <v>6</v>
      </c>
      <c r="D846" s="104" t="s">
        <v>16</v>
      </c>
      <c r="E846" s="106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4"/>
      <c r="BA846" s="94"/>
      <c r="BB846" s="94"/>
      <c r="BC846" s="94"/>
      <c r="BD846" s="94"/>
      <c r="BE846" s="94"/>
      <c r="BF846" s="94"/>
    </row>
    <row r="847" spans="1:58" x14ac:dyDescent="0.35">
      <c r="A847" s="107" t="s">
        <v>2647</v>
      </c>
      <c r="B847" s="108" t="s">
        <v>0</v>
      </c>
      <c r="C847" s="109">
        <v>7</v>
      </c>
      <c r="D847" s="107" t="s">
        <v>1014</v>
      </c>
      <c r="E847" s="109" t="s">
        <v>190</v>
      </c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4"/>
      <c r="BA847" s="94"/>
      <c r="BB847" s="94"/>
      <c r="BC847" s="94"/>
      <c r="BD847" s="94"/>
      <c r="BE847" s="94"/>
      <c r="BF847" s="94"/>
    </row>
    <row r="848" spans="1:58" x14ac:dyDescent="0.35">
      <c r="A848" s="104" t="s">
        <v>2648</v>
      </c>
      <c r="B848" s="105" t="s">
        <v>0</v>
      </c>
      <c r="C848" s="106">
        <v>6</v>
      </c>
      <c r="D848" s="104" t="s">
        <v>30</v>
      </c>
      <c r="E848" s="106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4"/>
      <c r="BA848" s="94"/>
      <c r="BB848" s="94"/>
      <c r="BC848" s="94"/>
      <c r="BD848" s="94"/>
      <c r="BE848" s="94"/>
      <c r="BF848" s="94"/>
    </row>
    <row r="849" spans="1:58" x14ac:dyDescent="0.35">
      <c r="A849" s="107" t="s">
        <v>2649</v>
      </c>
      <c r="B849" s="108" t="s">
        <v>0</v>
      </c>
      <c r="C849" s="109">
        <v>7</v>
      </c>
      <c r="D849" s="107" t="s">
        <v>1656</v>
      </c>
      <c r="E849" s="109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4"/>
      <c r="BA849" s="94"/>
      <c r="BB849" s="94"/>
      <c r="BC849" s="94"/>
      <c r="BD849" s="94"/>
      <c r="BE849" s="94"/>
      <c r="BF849" s="94"/>
    </row>
    <row r="850" spans="1:58" x14ac:dyDescent="0.35">
      <c r="A850" s="107" t="s">
        <v>2650</v>
      </c>
      <c r="B850" s="108" t="s">
        <v>0</v>
      </c>
      <c r="C850" s="109">
        <v>7</v>
      </c>
      <c r="D850" s="107" t="s">
        <v>1659</v>
      </c>
      <c r="E850" s="109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4"/>
      <c r="BA850" s="94"/>
      <c r="BB850" s="94"/>
      <c r="BC850" s="94"/>
      <c r="BD850" s="94"/>
      <c r="BE850" s="94"/>
      <c r="BF850" s="94"/>
    </row>
    <row r="851" spans="1:58" x14ac:dyDescent="0.35">
      <c r="A851" s="107" t="s">
        <v>2651</v>
      </c>
      <c r="B851" s="108" t="s">
        <v>0</v>
      </c>
      <c r="C851" s="109">
        <v>7</v>
      </c>
      <c r="D851" s="107" t="s">
        <v>1657</v>
      </c>
      <c r="E851" s="109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4"/>
      <c r="BA851" s="94"/>
      <c r="BB851" s="94"/>
      <c r="BC851" s="94"/>
      <c r="BD851" s="94"/>
      <c r="BE851" s="94"/>
      <c r="BF851" s="94"/>
    </row>
    <row r="852" spans="1:58" x14ac:dyDescent="0.35">
      <c r="A852" s="107" t="s">
        <v>2652</v>
      </c>
      <c r="B852" s="108" t="s">
        <v>0</v>
      </c>
      <c r="C852" s="109">
        <v>7</v>
      </c>
      <c r="D852" s="107" t="s">
        <v>1658</v>
      </c>
      <c r="E852" s="109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4"/>
      <c r="BA852" s="94"/>
      <c r="BB852" s="94"/>
      <c r="BC852" s="94"/>
      <c r="BD852" s="94"/>
      <c r="BE852" s="94"/>
      <c r="BF852" s="94"/>
    </row>
    <row r="853" spans="1:58" x14ac:dyDescent="0.35">
      <c r="A853" s="104" t="s">
        <v>2653</v>
      </c>
      <c r="B853" s="105" t="s">
        <v>0</v>
      </c>
      <c r="C853" s="106">
        <v>6</v>
      </c>
      <c r="D853" s="104" t="s">
        <v>123</v>
      </c>
      <c r="E853" s="106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4"/>
      <c r="BA853" s="94"/>
      <c r="BB853" s="94"/>
      <c r="BC853" s="94"/>
      <c r="BD853" s="94"/>
      <c r="BE853" s="94"/>
      <c r="BF853" s="94"/>
    </row>
    <row r="854" spans="1:58" x14ac:dyDescent="0.35">
      <c r="A854" s="107" t="s">
        <v>2654</v>
      </c>
      <c r="B854" s="108" t="s">
        <v>0</v>
      </c>
      <c r="C854" s="109">
        <v>7</v>
      </c>
      <c r="D854" s="107" t="s">
        <v>1654</v>
      </c>
      <c r="E854" s="109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4"/>
      <c r="BA854" s="94"/>
      <c r="BB854" s="94"/>
      <c r="BC854" s="94"/>
      <c r="BD854" s="94"/>
      <c r="BE854" s="94"/>
      <c r="BF854" s="94"/>
    </row>
    <row r="855" spans="1:58" x14ac:dyDescent="0.35">
      <c r="A855" s="95" t="s">
        <v>2655</v>
      </c>
      <c r="B855" s="96" t="s">
        <v>0</v>
      </c>
      <c r="C855" s="97">
        <v>4</v>
      </c>
      <c r="D855" s="95" t="s">
        <v>1612</v>
      </c>
      <c r="E855" s="97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4"/>
      <c r="BA855" s="94"/>
      <c r="BB855" s="94"/>
      <c r="BC855" s="94"/>
      <c r="BD855" s="94"/>
      <c r="BE855" s="94"/>
      <c r="BF855" s="94"/>
    </row>
    <row r="856" spans="1:58" x14ac:dyDescent="0.35">
      <c r="A856" s="101" t="s">
        <v>2656</v>
      </c>
      <c r="B856" s="102" t="s">
        <v>0</v>
      </c>
      <c r="C856" s="103">
        <v>5</v>
      </c>
      <c r="D856" s="101" t="s">
        <v>450</v>
      </c>
      <c r="E856" s="103" t="s">
        <v>191</v>
      </c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4"/>
      <c r="BA856" s="94"/>
      <c r="BB856" s="94"/>
      <c r="BC856" s="94"/>
      <c r="BD856" s="94"/>
      <c r="BE856" s="94"/>
      <c r="BF856" s="94"/>
    </row>
    <row r="857" spans="1:58" x14ac:dyDescent="0.35">
      <c r="A857" s="104" t="s">
        <v>2657</v>
      </c>
      <c r="B857" s="105" t="s">
        <v>0</v>
      </c>
      <c r="C857" s="106">
        <v>6</v>
      </c>
      <c r="D857" s="104" t="s">
        <v>600</v>
      </c>
      <c r="E857" s="106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4"/>
      <c r="BA857" s="94"/>
      <c r="BB857" s="94"/>
      <c r="BC857" s="94"/>
      <c r="BD857" s="94"/>
      <c r="BE857" s="94"/>
      <c r="BF857" s="94"/>
    </row>
    <row r="858" spans="1:58" x14ac:dyDescent="0.35">
      <c r="A858" s="107" t="s">
        <v>2658</v>
      </c>
      <c r="B858" s="108" t="s">
        <v>0</v>
      </c>
      <c r="C858" s="109">
        <v>7</v>
      </c>
      <c r="D858" s="107" t="s">
        <v>1016</v>
      </c>
      <c r="E858" s="109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4"/>
      <c r="BA858" s="94"/>
      <c r="BB858" s="94"/>
      <c r="BC858" s="94"/>
      <c r="BD858" s="94"/>
      <c r="BE858" s="94"/>
      <c r="BF858" s="94"/>
    </row>
    <row r="859" spans="1:58" x14ac:dyDescent="0.35">
      <c r="A859" s="107" t="s">
        <v>2659</v>
      </c>
      <c r="B859" s="108" t="s">
        <v>0</v>
      </c>
      <c r="C859" s="109">
        <v>7</v>
      </c>
      <c r="D859" s="107" t="s">
        <v>1017</v>
      </c>
      <c r="E859" s="109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4"/>
      <c r="BA859" s="94"/>
      <c r="BB859" s="94"/>
      <c r="BC859" s="94"/>
      <c r="BD859" s="94"/>
      <c r="BE859" s="94"/>
      <c r="BF859" s="94"/>
    </row>
    <row r="860" spans="1:58" x14ac:dyDescent="0.35">
      <c r="A860" s="107" t="s">
        <v>2660</v>
      </c>
      <c r="B860" s="108" t="s">
        <v>0</v>
      </c>
      <c r="C860" s="109">
        <v>7</v>
      </c>
      <c r="D860" s="107" t="s">
        <v>1015</v>
      </c>
      <c r="E860" s="109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4"/>
      <c r="BA860" s="94"/>
      <c r="BB860" s="94"/>
      <c r="BC860" s="94"/>
      <c r="BD860" s="94"/>
      <c r="BE860" s="94"/>
      <c r="BF860" s="94"/>
    </row>
    <row r="861" spans="1:58" x14ac:dyDescent="0.35">
      <c r="A861" s="107" t="s">
        <v>2661</v>
      </c>
      <c r="B861" s="108" t="s">
        <v>0</v>
      </c>
      <c r="C861" s="109">
        <v>7</v>
      </c>
      <c r="D861" s="107" t="s">
        <v>1018</v>
      </c>
      <c r="E861" s="109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4"/>
      <c r="BA861" s="94"/>
      <c r="BB861" s="94"/>
      <c r="BC861" s="94"/>
      <c r="BD861" s="94"/>
      <c r="BE861" s="94"/>
      <c r="BF861" s="94"/>
    </row>
    <row r="862" spans="1:58" x14ac:dyDescent="0.35">
      <c r="A862" s="107" t="s">
        <v>2662</v>
      </c>
      <c r="B862" s="108" t="s">
        <v>0</v>
      </c>
      <c r="C862" s="109">
        <v>7</v>
      </c>
      <c r="D862" s="107" t="s">
        <v>1019</v>
      </c>
      <c r="E862" s="109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4"/>
      <c r="BA862" s="94"/>
      <c r="BB862" s="94"/>
      <c r="BC862" s="94"/>
      <c r="BD862" s="94"/>
      <c r="BE862" s="94"/>
      <c r="BF862" s="94"/>
    </row>
    <row r="863" spans="1:58" x14ac:dyDescent="0.35">
      <c r="A863" s="107" t="s">
        <v>2663</v>
      </c>
      <c r="B863" s="108" t="s">
        <v>0</v>
      </c>
      <c r="C863" s="109">
        <v>7</v>
      </c>
      <c r="D863" s="107" t="s">
        <v>1655</v>
      </c>
      <c r="E863" s="109" t="s">
        <v>0</v>
      </c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4"/>
      <c r="BA863" s="94"/>
      <c r="BB863" s="94"/>
      <c r="BC863" s="94"/>
      <c r="BD863" s="94"/>
      <c r="BE863" s="94"/>
      <c r="BF863" s="94"/>
    </row>
    <row r="864" spans="1:58" x14ac:dyDescent="0.35">
      <c r="A864" s="104" t="s">
        <v>2664</v>
      </c>
      <c r="B864" s="105" t="s">
        <v>0</v>
      </c>
      <c r="C864" s="106">
        <v>6</v>
      </c>
      <c r="D864" s="104" t="s">
        <v>26</v>
      </c>
      <c r="E864" s="106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4"/>
      <c r="BA864" s="94"/>
      <c r="BB864" s="94"/>
      <c r="BC864" s="94"/>
      <c r="BD864" s="94"/>
      <c r="BE864" s="94"/>
      <c r="BF864" s="94"/>
    </row>
    <row r="865" spans="1:58" x14ac:dyDescent="0.35">
      <c r="A865" s="107" t="s">
        <v>2665</v>
      </c>
      <c r="B865" s="108" t="s">
        <v>0</v>
      </c>
      <c r="C865" s="109">
        <v>7</v>
      </c>
      <c r="D865" s="107" t="s">
        <v>1020</v>
      </c>
      <c r="E865" s="109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4"/>
      <c r="BA865" s="94"/>
      <c r="BB865" s="94"/>
      <c r="BC865" s="94"/>
      <c r="BD865" s="94"/>
      <c r="BE865" s="94"/>
      <c r="BF865" s="94"/>
    </row>
    <row r="866" spans="1:58" x14ac:dyDescent="0.35">
      <c r="A866" s="107" t="s">
        <v>2666</v>
      </c>
      <c r="B866" s="108" t="s">
        <v>0</v>
      </c>
      <c r="C866" s="109">
        <v>7</v>
      </c>
      <c r="D866" s="107" t="s">
        <v>1021</v>
      </c>
      <c r="E866" s="109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4"/>
      <c r="BA866" s="94"/>
      <c r="BB866" s="94"/>
      <c r="BC866" s="94"/>
      <c r="BD866" s="94"/>
      <c r="BE866" s="94"/>
      <c r="BF866" s="94"/>
    </row>
    <row r="867" spans="1:58" x14ac:dyDescent="0.35">
      <c r="A867" s="107" t="s">
        <v>2667</v>
      </c>
      <c r="B867" s="108" t="s">
        <v>0</v>
      </c>
      <c r="C867" s="109">
        <v>7</v>
      </c>
      <c r="D867" s="107" t="s">
        <v>1022</v>
      </c>
      <c r="E867" s="109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4"/>
      <c r="BA867" s="94"/>
      <c r="BB867" s="94"/>
      <c r="BC867" s="94"/>
      <c r="BD867" s="94"/>
      <c r="BE867" s="94"/>
      <c r="BF867" s="94"/>
    </row>
    <row r="868" spans="1:58" x14ac:dyDescent="0.35">
      <c r="A868" s="107" t="s">
        <v>2668</v>
      </c>
      <c r="B868" s="108" t="s">
        <v>0</v>
      </c>
      <c r="C868" s="109">
        <v>7</v>
      </c>
      <c r="D868" s="107" t="s">
        <v>1023</v>
      </c>
      <c r="E868" s="109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4"/>
      <c r="BA868" s="94"/>
      <c r="BB868" s="94"/>
      <c r="BC868" s="94"/>
      <c r="BD868" s="94"/>
      <c r="BE868" s="94"/>
      <c r="BF868" s="94"/>
    </row>
    <row r="869" spans="1:58" x14ac:dyDescent="0.35">
      <c r="A869" s="104" t="s">
        <v>2669</v>
      </c>
      <c r="B869" s="105" t="s">
        <v>0</v>
      </c>
      <c r="C869" s="106">
        <v>6</v>
      </c>
      <c r="D869" s="104" t="s">
        <v>1626</v>
      </c>
      <c r="E869" s="106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4"/>
      <c r="BA869" s="94"/>
      <c r="BB869" s="94"/>
      <c r="BC869" s="94"/>
      <c r="BD869" s="94"/>
      <c r="BE869" s="94"/>
      <c r="BF869" s="94"/>
    </row>
    <row r="870" spans="1:58" x14ac:dyDescent="0.35">
      <c r="A870" s="107" t="s">
        <v>2670</v>
      </c>
      <c r="B870" s="108" t="s">
        <v>0</v>
      </c>
      <c r="C870" s="109">
        <v>7</v>
      </c>
      <c r="D870" s="107" t="s">
        <v>1024</v>
      </c>
      <c r="E870" s="109" t="s">
        <v>192</v>
      </c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4"/>
      <c r="BA870" s="94"/>
      <c r="BB870" s="94"/>
      <c r="BC870" s="94"/>
      <c r="BD870" s="94"/>
      <c r="BE870" s="94"/>
      <c r="BF870" s="94"/>
    </row>
    <row r="871" spans="1:58" x14ac:dyDescent="0.35">
      <c r="A871" s="104" t="s">
        <v>2671</v>
      </c>
      <c r="B871" s="105" t="s">
        <v>0</v>
      </c>
      <c r="C871" s="106">
        <v>6</v>
      </c>
      <c r="D871" s="104" t="s">
        <v>30</v>
      </c>
      <c r="E871" s="106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4"/>
      <c r="BA871" s="94"/>
      <c r="BB871" s="94"/>
      <c r="BC871" s="94"/>
      <c r="BD871" s="94"/>
      <c r="BE871" s="94"/>
      <c r="BF871" s="94"/>
    </row>
    <row r="872" spans="1:58" x14ac:dyDescent="0.35">
      <c r="A872" s="107" t="s">
        <v>2672</v>
      </c>
      <c r="B872" s="108" t="s">
        <v>0</v>
      </c>
      <c r="C872" s="109">
        <v>7</v>
      </c>
      <c r="D872" s="107" t="s">
        <v>1656</v>
      </c>
      <c r="E872" s="109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4"/>
      <c r="BA872" s="94"/>
      <c r="BB872" s="94"/>
      <c r="BC872" s="94"/>
      <c r="BD872" s="94"/>
      <c r="BE872" s="94"/>
      <c r="BF872" s="94"/>
    </row>
    <row r="873" spans="1:58" x14ac:dyDescent="0.35">
      <c r="A873" s="107" t="s">
        <v>2673</v>
      </c>
      <c r="B873" s="108" t="s">
        <v>0</v>
      </c>
      <c r="C873" s="109">
        <v>7</v>
      </c>
      <c r="D873" s="107" t="s">
        <v>1659</v>
      </c>
      <c r="E873" s="109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4"/>
      <c r="BA873" s="94"/>
      <c r="BB873" s="94"/>
      <c r="BC873" s="94"/>
      <c r="BD873" s="94"/>
      <c r="BE873" s="94"/>
      <c r="BF873" s="94"/>
    </row>
    <row r="874" spans="1:58" x14ac:dyDescent="0.35">
      <c r="A874" s="107" t="s">
        <v>2674</v>
      </c>
      <c r="B874" s="108" t="s">
        <v>0</v>
      </c>
      <c r="C874" s="109">
        <v>7</v>
      </c>
      <c r="D874" s="107" t="s">
        <v>1657</v>
      </c>
      <c r="E874" s="109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4"/>
      <c r="BA874" s="94"/>
      <c r="BB874" s="94"/>
      <c r="BC874" s="94"/>
      <c r="BD874" s="94"/>
      <c r="BE874" s="94"/>
      <c r="BF874" s="94"/>
    </row>
    <row r="875" spans="1:58" x14ac:dyDescent="0.35">
      <c r="A875" s="107" t="s">
        <v>2675</v>
      </c>
      <c r="B875" s="108" t="s">
        <v>0</v>
      </c>
      <c r="C875" s="109">
        <v>7</v>
      </c>
      <c r="D875" s="107" t="s">
        <v>1658</v>
      </c>
      <c r="E875" s="109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4"/>
      <c r="BA875" s="94"/>
      <c r="BB875" s="94"/>
      <c r="BC875" s="94"/>
      <c r="BD875" s="94"/>
      <c r="BE875" s="94"/>
      <c r="BF875" s="94"/>
    </row>
    <row r="876" spans="1:58" x14ac:dyDescent="0.35">
      <c r="A876" s="104" t="s">
        <v>2676</v>
      </c>
      <c r="B876" s="105" t="s">
        <v>0</v>
      </c>
      <c r="C876" s="106">
        <v>6</v>
      </c>
      <c r="D876" s="104" t="s">
        <v>1623</v>
      </c>
      <c r="E876" s="106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4"/>
      <c r="BA876" s="94"/>
      <c r="BB876" s="94"/>
      <c r="BC876" s="94"/>
      <c r="BD876" s="94"/>
      <c r="BE876" s="94"/>
      <c r="BF876" s="94"/>
    </row>
    <row r="877" spans="1:58" x14ac:dyDescent="0.35">
      <c r="A877" s="107" t="s">
        <v>2677</v>
      </c>
      <c r="B877" s="108" t="s">
        <v>0</v>
      </c>
      <c r="C877" s="109">
        <v>7</v>
      </c>
      <c r="D877" s="107" t="s">
        <v>1654</v>
      </c>
      <c r="E877" s="109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4"/>
      <c r="BA877" s="94"/>
      <c r="BB877" s="94"/>
      <c r="BC877" s="94"/>
      <c r="BD877" s="94"/>
      <c r="BE877" s="94"/>
      <c r="BF877" s="94"/>
    </row>
    <row r="878" spans="1:58" x14ac:dyDescent="0.35">
      <c r="A878" s="101" t="s">
        <v>2678</v>
      </c>
      <c r="B878" s="102" t="s">
        <v>0</v>
      </c>
      <c r="C878" s="103">
        <v>5</v>
      </c>
      <c r="D878" s="101" t="s">
        <v>451</v>
      </c>
      <c r="E878" s="103" t="s">
        <v>193</v>
      </c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4"/>
      <c r="BA878" s="94"/>
      <c r="BB878" s="94"/>
      <c r="BC878" s="94"/>
      <c r="BD878" s="94"/>
      <c r="BE878" s="94"/>
      <c r="BF878" s="94"/>
    </row>
    <row r="879" spans="1:58" x14ac:dyDescent="0.35">
      <c r="A879" s="104" t="s">
        <v>2679</v>
      </c>
      <c r="B879" s="105" t="s">
        <v>0</v>
      </c>
      <c r="C879" s="106">
        <v>6</v>
      </c>
      <c r="D879" s="104" t="s">
        <v>564</v>
      </c>
      <c r="E879" s="106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4"/>
      <c r="BA879" s="94"/>
      <c r="BB879" s="94"/>
      <c r="BC879" s="94"/>
      <c r="BD879" s="94"/>
      <c r="BE879" s="94"/>
      <c r="BF879" s="94"/>
    </row>
    <row r="880" spans="1:58" x14ac:dyDescent="0.35">
      <c r="A880" s="107" t="s">
        <v>2680</v>
      </c>
      <c r="B880" s="108" t="s">
        <v>0</v>
      </c>
      <c r="C880" s="109">
        <v>7</v>
      </c>
      <c r="D880" s="107" t="s">
        <v>1026</v>
      </c>
      <c r="E880" s="109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4"/>
      <c r="BA880" s="94"/>
      <c r="BB880" s="94"/>
      <c r="BC880" s="94"/>
      <c r="BD880" s="94"/>
      <c r="BE880" s="94"/>
      <c r="BF880" s="94"/>
    </row>
    <row r="881" spans="1:58" x14ac:dyDescent="0.35">
      <c r="A881" s="107" t="s">
        <v>2681</v>
      </c>
      <c r="B881" s="108" t="s">
        <v>0</v>
      </c>
      <c r="C881" s="109">
        <v>7</v>
      </c>
      <c r="D881" s="107" t="s">
        <v>1027</v>
      </c>
      <c r="E881" s="109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4"/>
      <c r="BA881" s="94"/>
      <c r="BB881" s="94"/>
      <c r="BC881" s="94"/>
      <c r="BD881" s="94"/>
      <c r="BE881" s="94"/>
      <c r="BF881" s="94"/>
    </row>
    <row r="882" spans="1:58" x14ac:dyDescent="0.35">
      <c r="A882" s="107" t="s">
        <v>2682</v>
      </c>
      <c r="B882" s="108" t="s">
        <v>0</v>
      </c>
      <c r="C882" s="109">
        <v>7</v>
      </c>
      <c r="D882" s="107" t="s">
        <v>1025</v>
      </c>
      <c r="E882" s="109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4"/>
      <c r="BA882" s="94"/>
      <c r="BB882" s="94"/>
      <c r="BC882" s="94"/>
      <c r="BD882" s="94"/>
      <c r="BE882" s="94"/>
      <c r="BF882" s="94"/>
    </row>
    <row r="883" spans="1:58" x14ac:dyDescent="0.35">
      <c r="A883" s="107" t="s">
        <v>2683</v>
      </c>
      <c r="B883" s="108" t="s">
        <v>0</v>
      </c>
      <c r="C883" s="109">
        <v>7</v>
      </c>
      <c r="D883" s="107" t="s">
        <v>1028</v>
      </c>
      <c r="E883" s="109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4"/>
      <c r="BA883" s="94"/>
      <c r="BB883" s="94"/>
      <c r="BC883" s="94"/>
      <c r="BD883" s="94"/>
      <c r="BE883" s="94"/>
      <c r="BF883" s="94"/>
    </row>
    <row r="884" spans="1:58" x14ac:dyDescent="0.35">
      <c r="A884" s="107" t="s">
        <v>2684</v>
      </c>
      <c r="B884" s="108" t="s">
        <v>0</v>
      </c>
      <c r="C884" s="109">
        <v>7</v>
      </c>
      <c r="D884" s="107" t="s">
        <v>1029</v>
      </c>
      <c r="E884" s="109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4"/>
      <c r="BA884" s="94"/>
      <c r="BB884" s="94"/>
      <c r="BC884" s="94"/>
      <c r="BD884" s="94"/>
      <c r="BE884" s="94"/>
      <c r="BF884" s="94"/>
    </row>
    <row r="885" spans="1:58" x14ac:dyDescent="0.35">
      <c r="A885" s="107" t="s">
        <v>2685</v>
      </c>
      <c r="B885" s="108" t="s">
        <v>0</v>
      </c>
      <c r="C885" s="109">
        <v>7</v>
      </c>
      <c r="D885" s="107" t="s">
        <v>1655</v>
      </c>
      <c r="E885" s="109" t="s">
        <v>0</v>
      </c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4"/>
      <c r="BA885" s="94"/>
      <c r="BB885" s="94"/>
      <c r="BC885" s="94"/>
      <c r="BD885" s="94"/>
      <c r="BE885" s="94"/>
      <c r="BF885" s="94"/>
    </row>
    <row r="886" spans="1:58" x14ac:dyDescent="0.35">
      <c r="A886" s="104" t="s">
        <v>2686</v>
      </c>
      <c r="B886" s="105" t="s">
        <v>0</v>
      </c>
      <c r="C886" s="106">
        <v>6</v>
      </c>
      <c r="D886" s="104" t="s">
        <v>26</v>
      </c>
      <c r="E886" s="106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4"/>
      <c r="BA886" s="94"/>
      <c r="BB886" s="94"/>
      <c r="BC886" s="94"/>
      <c r="BD886" s="94"/>
      <c r="BE886" s="94"/>
      <c r="BF886" s="94"/>
    </row>
    <row r="887" spans="1:58" x14ac:dyDescent="0.35">
      <c r="A887" s="107" t="s">
        <v>2687</v>
      </c>
      <c r="B887" s="108" t="s">
        <v>0</v>
      </c>
      <c r="C887" s="109">
        <v>7</v>
      </c>
      <c r="D887" s="107" t="s">
        <v>1030</v>
      </c>
      <c r="E887" s="109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4"/>
      <c r="BA887" s="94"/>
      <c r="BB887" s="94"/>
      <c r="BC887" s="94"/>
      <c r="BD887" s="94"/>
      <c r="BE887" s="94"/>
      <c r="BF887" s="94"/>
    </row>
    <row r="888" spans="1:58" x14ac:dyDescent="0.35">
      <c r="A888" s="107" t="s">
        <v>2688</v>
      </c>
      <c r="B888" s="108" t="s">
        <v>0</v>
      </c>
      <c r="C888" s="109">
        <v>7</v>
      </c>
      <c r="D888" s="107" t="s">
        <v>1031</v>
      </c>
      <c r="E888" s="109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4"/>
      <c r="BA888" s="94"/>
      <c r="BB888" s="94"/>
      <c r="BC888" s="94"/>
      <c r="BD888" s="94"/>
      <c r="BE888" s="94"/>
      <c r="BF888" s="94"/>
    </row>
    <row r="889" spans="1:58" x14ac:dyDescent="0.35">
      <c r="A889" s="107" t="s">
        <v>2689</v>
      </c>
      <c r="B889" s="108" t="s">
        <v>0</v>
      </c>
      <c r="C889" s="109">
        <v>7</v>
      </c>
      <c r="D889" s="107" t="s">
        <v>1032</v>
      </c>
      <c r="E889" s="109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4"/>
      <c r="BA889" s="94"/>
      <c r="BB889" s="94"/>
      <c r="BC889" s="94"/>
      <c r="BD889" s="94"/>
      <c r="BE889" s="94"/>
      <c r="BF889" s="94"/>
    </row>
    <row r="890" spans="1:58" x14ac:dyDescent="0.35">
      <c r="A890" s="107" t="s">
        <v>2690</v>
      </c>
      <c r="B890" s="108" t="s">
        <v>0</v>
      </c>
      <c r="C890" s="109">
        <v>7</v>
      </c>
      <c r="D890" s="107" t="s">
        <v>1033</v>
      </c>
      <c r="E890" s="109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4"/>
      <c r="BA890" s="94"/>
      <c r="BB890" s="94"/>
      <c r="BC890" s="94"/>
      <c r="BD890" s="94"/>
      <c r="BE890" s="94"/>
      <c r="BF890" s="94"/>
    </row>
    <row r="891" spans="1:58" x14ac:dyDescent="0.35">
      <c r="A891" s="104" t="s">
        <v>2691</v>
      </c>
      <c r="B891" s="105" t="s">
        <v>0</v>
      </c>
      <c r="C891" s="106">
        <v>6</v>
      </c>
      <c r="D891" s="104" t="s">
        <v>16</v>
      </c>
      <c r="E891" s="106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4"/>
      <c r="BA891" s="94"/>
      <c r="BB891" s="94"/>
      <c r="BC891" s="94"/>
      <c r="BD891" s="94"/>
      <c r="BE891" s="94"/>
      <c r="BF891" s="94"/>
    </row>
    <row r="892" spans="1:58" x14ac:dyDescent="0.35">
      <c r="A892" s="107" t="s">
        <v>2692</v>
      </c>
      <c r="B892" s="108" t="s">
        <v>0</v>
      </c>
      <c r="C892" s="109">
        <v>7</v>
      </c>
      <c r="D892" s="107" t="s">
        <v>1034</v>
      </c>
      <c r="E892" s="109" t="s">
        <v>194</v>
      </c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4"/>
      <c r="BA892" s="94"/>
      <c r="BB892" s="94"/>
      <c r="BC892" s="94"/>
      <c r="BD892" s="94"/>
      <c r="BE892" s="94"/>
      <c r="BF892" s="94"/>
    </row>
    <row r="893" spans="1:58" x14ac:dyDescent="0.35">
      <c r="A893" s="104" t="s">
        <v>2693</v>
      </c>
      <c r="B893" s="105" t="s">
        <v>0</v>
      </c>
      <c r="C893" s="106">
        <v>6</v>
      </c>
      <c r="D893" s="104" t="s">
        <v>30</v>
      </c>
      <c r="E893" s="106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4"/>
      <c r="BA893" s="94"/>
      <c r="BB893" s="94"/>
      <c r="BC893" s="94"/>
      <c r="BD893" s="94"/>
      <c r="BE893" s="94"/>
      <c r="BF893" s="94"/>
    </row>
    <row r="894" spans="1:58" x14ac:dyDescent="0.35">
      <c r="A894" s="107" t="s">
        <v>2694</v>
      </c>
      <c r="B894" s="108" t="s">
        <v>0</v>
      </c>
      <c r="C894" s="109">
        <v>7</v>
      </c>
      <c r="D894" s="107" t="s">
        <v>1656</v>
      </c>
      <c r="E894" s="109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4"/>
      <c r="BA894" s="94"/>
      <c r="BB894" s="94"/>
      <c r="BC894" s="94"/>
      <c r="BD894" s="94"/>
      <c r="BE894" s="94"/>
      <c r="BF894" s="94"/>
    </row>
    <row r="895" spans="1:58" x14ac:dyDescent="0.35">
      <c r="A895" s="107" t="s">
        <v>2695</v>
      </c>
      <c r="B895" s="108" t="s">
        <v>0</v>
      </c>
      <c r="C895" s="109">
        <v>7</v>
      </c>
      <c r="D895" s="107" t="s">
        <v>1659</v>
      </c>
      <c r="E895" s="109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4"/>
      <c r="BA895" s="94"/>
      <c r="BB895" s="94"/>
      <c r="BC895" s="94"/>
      <c r="BD895" s="94"/>
      <c r="BE895" s="94"/>
      <c r="BF895" s="94"/>
    </row>
    <row r="896" spans="1:58" x14ac:dyDescent="0.35">
      <c r="A896" s="107" t="s">
        <v>2696</v>
      </c>
      <c r="B896" s="108" t="s">
        <v>0</v>
      </c>
      <c r="C896" s="109">
        <v>7</v>
      </c>
      <c r="D896" s="107" t="s">
        <v>1657</v>
      </c>
      <c r="E896" s="109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4"/>
      <c r="BA896" s="94"/>
      <c r="BB896" s="94"/>
      <c r="BC896" s="94"/>
      <c r="BD896" s="94"/>
      <c r="BE896" s="94"/>
      <c r="BF896" s="94"/>
    </row>
    <row r="897" spans="1:58" x14ac:dyDescent="0.35">
      <c r="A897" s="107" t="s">
        <v>2697</v>
      </c>
      <c r="B897" s="108" t="s">
        <v>0</v>
      </c>
      <c r="C897" s="109">
        <v>7</v>
      </c>
      <c r="D897" s="107" t="s">
        <v>1658</v>
      </c>
      <c r="E897" s="109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4"/>
      <c r="BA897" s="94"/>
      <c r="BB897" s="94"/>
      <c r="BC897" s="94"/>
      <c r="BD897" s="94"/>
      <c r="BE897" s="94"/>
      <c r="BF897" s="94"/>
    </row>
    <row r="898" spans="1:58" x14ac:dyDescent="0.35">
      <c r="A898" s="104" t="s">
        <v>2698</v>
      </c>
      <c r="B898" s="105" t="s">
        <v>0</v>
      </c>
      <c r="C898" s="106">
        <v>6</v>
      </c>
      <c r="D898" s="104" t="s">
        <v>123</v>
      </c>
      <c r="E898" s="106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4"/>
      <c r="BA898" s="94"/>
      <c r="BB898" s="94"/>
      <c r="BC898" s="94"/>
      <c r="BD898" s="94"/>
      <c r="BE898" s="94"/>
      <c r="BF898" s="94"/>
    </row>
    <row r="899" spans="1:58" x14ac:dyDescent="0.35">
      <c r="A899" s="107" t="s">
        <v>2699</v>
      </c>
      <c r="B899" s="108" t="s">
        <v>0</v>
      </c>
      <c r="C899" s="109">
        <v>7</v>
      </c>
      <c r="D899" s="107" t="s">
        <v>1654</v>
      </c>
      <c r="E899" s="109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4"/>
      <c r="BA899" s="94"/>
      <c r="BB899" s="94"/>
      <c r="BC899" s="94"/>
      <c r="BD899" s="94"/>
      <c r="BE899" s="94"/>
      <c r="BF899" s="94"/>
    </row>
    <row r="900" spans="1:58" x14ac:dyDescent="0.35">
      <c r="A900" s="101" t="s">
        <v>2700</v>
      </c>
      <c r="B900" s="102" t="s">
        <v>0</v>
      </c>
      <c r="C900" s="103">
        <v>5</v>
      </c>
      <c r="D900" s="101" t="s">
        <v>452</v>
      </c>
      <c r="E900" s="103" t="s">
        <v>195</v>
      </c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4"/>
      <c r="BA900" s="94"/>
      <c r="BB900" s="94"/>
      <c r="BC900" s="94"/>
      <c r="BD900" s="94"/>
      <c r="BE900" s="94"/>
      <c r="BF900" s="94"/>
    </row>
    <row r="901" spans="1:58" x14ac:dyDescent="0.35">
      <c r="A901" s="104" t="s">
        <v>2701</v>
      </c>
      <c r="B901" s="105" t="s">
        <v>0</v>
      </c>
      <c r="C901" s="106">
        <v>6</v>
      </c>
      <c r="D901" s="104" t="s">
        <v>564</v>
      </c>
      <c r="E901" s="106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4"/>
      <c r="BA901" s="94"/>
      <c r="BB901" s="94"/>
      <c r="BC901" s="94"/>
      <c r="BD901" s="94"/>
      <c r="BE901" s="94"/>
      <c r="BF901" s="94"/>
    </row>
    <row r="902" spans="1:58" x14ac:dyDescent="0.35">
      <c r="A902" s="107" t="s">
        <v>2702</v>
      </c>
      <c r="B902" s="108" t="s">
        <v>0</v>
      </c>
      <c r="C902" s="109">
        <v>7</v>
      </c>
      <c r="D902" s="107" t="s">
        <v>1036</v>
      </c>
      <c r="E902" s="109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4"/>
      <c r="BA902" s="94"/>
      <c r="BB902" s="94"/>
      <c r="BC902" s="94"/>
      <c r="BD902" s="94"/>
      <c r="BE902" s="94"/>
      <c r="BF902" s="94"/>
    </row>
    <row r="903" spans="1:58" x14ac:dyDescent="0.35">
      <c r="A903" s="107" t="s">
        <v>2703</v>
      </c>
      <c r="B903" s="108" t="s">
        <v>0</v>
      </c>
      <c r="C903" s="109">
        <v>7</v>
      </c>
      <c r="D903" s="107" t="s">
        <v>1037</v>
      </c>
      <c r="E903" s="109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4"/>
      <c r="BA903" s="94"/>
      <c r="BB903" s="94"/>
      <c r="BC903" s="94"/>
      <c r="BD903" s="94"/>
      <c r="BE903" s="94"/>
      <c r="BF903" s="94"/>
    </row>
    <row r="904" spans="1:58" x14ac:dyDescent="0.35">
      <c r="A904" s="107" t="s">
        <v>2704</v>
      </c>
      <c r="B904" s="108" t="s">
        <v>0</v>
      </c>
      <c r="C904" s="109">
        <v>7</v>
      </c>
      <c r="D904" s="107" t="s">
        <v>1035</v>
      </c>
      <c r="E904" s="109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4"/>
      <c r="BA904" s="94"/>
      <c r="BB904" s="94"/>
      <c r="BC904" s="94"/>
      <c r="BD904" s="94"/>
      <c r="BE904" s="94"/>
      <c r="BF904" s="94"/>
    </row>
    <row r="905" spans="1:58" x14ac:dyDescent="0.35">
      <c r="A905" s="107" t="s">
        <v>2705</v>
      </c>
      <c r="B905" s="108" t="s">
        <v>0</v>
      </c>
      <c r="C905" s="109">
        <v>7</v>
      </c>
      <c r="D905" s="107" t="s">
        <v>1038</v>
      </c>
      <c r="E905" s="109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4"/>
      <c r="BA905" s="94"/>
      <c r="BB905" s="94"/>
      <c r="BC905" s="94"/>
      <c r="BD905" s="94"/>
      <c r="BE905" s="94"/>
      <c r="BF905" s="94"/>
    </row>
    <row r="906" spans="1:58" x14ac:dyDescent="0.35">
      <c r="A906" s="107" t="s">
        <v>2706</v>
      </c>
      <c r="B906" s="108" t="s">
        <v>0</v>
      </c>
      <c r="C906" s="109">
        <v>7</v>
      </c>
      <c r="D906" s="107" t="s">
        <v>1039</v>
      </c>
      <c r="E906" s="109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4"/>
      <c r="BA906" s="94"/>
      <c r="BB906" s="94"/>
      <c r="BC906" s="94"/>
      <c r="BD906" s="94"/>
      <c r="BE906" s="94"/>
      <c r="BF906" s="94"/>
    </row>
    <row r="907" spans="1:58" x14ac:dyDescent="0.35">
      <c r="A907" s="107" t="s">
        <v>2707</v>
      </c>
      <c r="B907" s="108" t="s">
        <v>0</v>
      </c>
      <c r="C907" s="109">
        <v>7</v>
      </c>
      <c r="D907" s="107" t="s">
        <v>1655</v>
      </c>
      <c r="E907" s="109" t="s">
        <v>0</v>
      </c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4"/>
      <c r="BA907" s="94"/>
      <c r="BB907" s="94"/>
      <c r="BC907" s="94"/>
      <c r="BD907" s="94"/>
      <c r="BE907" s="94"/>
      <c r="BF907" s="94"/>
    </row>
    <row r="908" spans="1:58" x14ac:dyDescent="0.35">
      <c r="A908" s="104" t="s">
        <v>2708</v>
      </c>
      <c r="B908" s="105" t="s">
        <v>0</v>
      </c>
      <c r="C908" s="106">
        <v>6</v>
      </c>
      <c r="D908" s="104" t="s">
        <v>26</v>
      </c>
      <c r="E908" s="106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4"/>
      <c r="BA908" s="94"/>
      <c r="BB908" s="94"/>
      <c r="BC908" s="94"/>
      <c r="BD908" s="94"/>
      <c r="BE908" s="94"/>
      <c r="BF908" s="94"/>
    </row>
    <row r="909" spans="1:58" x14ac:dyDescent="0.35">
      <c r="A909" s="107" t="s">
        <v>2709</v>
      </c>
      <c r="B909" s="108" t="s">
        <v>0</v>
      </c>
      <c r="C909" s="109">
        <v>7</v>
      </c>
      <c r="D909" s="107" t="s">
        <v>1040</v>
      </c>
      <c r="E909" s="109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4"/>
      <c r="BA909" s="94"/>
      <c r="BB909" s="94"/>
      <c r="BC909" s="94"/>
      <c r="BD909" s="94"/>
      <c r="BE909" s="94"/>
      <c r="BF909" s="94"/>
    </row>
    <row r="910" spans="1:58" x14ac:dyDescent="0.35">
      <c r="A910" s="107" t="s">
        <v>2710</v>
      </c>
      <c r="B910" s="108" t="s">
        <v>0</v>
      </c>
      <c r="C910" s="109">
        <v>7</v>
      </c>
      <c r="D910" s="107" t="s">
        <v>1041</v>
      </c>
      <c r="E910" s="109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4"/>
      <c r="BA910" s="94"/>
      <c r="BB910" s="94"/>
      <c r="BC910" s="94"/>
      <c r="BD910" s="94"/>
      <c r="BE910" s="94"/>
      <c r="BF910" s="94"/>
    </row>
    <row r="911" spans="1:58" x14ac:dyDescent="0.35">
      <c r="A911" s="107" t="s">
        <v>2711</v>
      </c>
      <c r="B911" s="108" t="s">
        <v>0</v>
      </c>
      <c r="C911" s="109">
        <v>7</v>
      </c>
      <c r="D911" s="107" t="s">
        <v>1042</v>
      </c>
      <c r="E911" s="109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4"/>
      <c r="BA911" s="94"/>
      <c r="BB911" s="94"/>
      <c r="BC911" s="94"/>
      <c r="BD911" s="94"/>
      <c r="BE911" s="94"/>
      <c r="BF911" s="94"/>
    </row>
    <row r="912" spans="1:58" x14ac:dyDescent="0.35">
      <c r="A912" s="107" t="s">
        <v>2712</v>
      </c>
      <c r="B912" s="108" t="s">
        <v>0</v>
      </c>
      <c r="C912" s="109">
        <v>7</v>
      </c>
      <c r="D912" s="107" t="s">
        <v>1043</v>
      </c>
      <c r="E912" s="109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4"/>
      <c r="BA912" s="94"/>
      <c r="BB912" s="94"/>
      <c r="BC912" s="94"/>
      <c r="BD912" s="94"/>
      <c r="BE912" s="94"/>
      <c r="BF912" s="94"/>
    </row>
    <row r="913" spans="1:58" x14ac:dyDescent="0.35">
      <c r="A913" s="104" t="s">
        <v>2713</v>
      </c>
      <c r="B913" s="105" t="s">
        <v>0</v>
      </c>
      <c r="C913" s="106">
        <v>6</v>
      </c>
      <c r="D913" s="104" t="s">
        <v>16</v>
      </c>
      <c r="E913" s="106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4"/>
      <c r="BA913" s="94"/>
      <c r="BB913" s="94"/>
      <c r="BC913" s="94"/>
      <c r="BD913" s="94"/>
      <c r="BE913" s="94"/>
      <c r="BF913" s="94"/>
    </row>
    <row r="914" spans="1:58" x14ac:dyDescent="0.35">
      <c r="A914" s="107" t="s">
        <v>2714</v>
      </c>
      <c r="B914" s="108" t="s">
        <v>0</v>
      </c>
      <c r="C914" s="109">
        <v>7</v>
      </c>
      <c r="D914" s="107" t="s">
        <v>1044</v>
      </c>
      <c r="E914" s="109" t="s">
        <v>196</v>
      </c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4"/>
      <c r="BA914" s="94"/>
      <c r="BB914" s="94"/>
      <c r="BC914" s="94"/>
      <c r="BD914" s="94"/>
      <c r="BE914" s="94"/>
      <c r="BF914" s="94"/>
    </row>
    <row r="915" spans="1:58" x14ac:dyDescent="0.35">
      <c r="A915" s="104" t="s">
        <v>2715</v>
      </c>
      <c r="B915" s="105" t="s">
        <v>0</v>
      </c>
      <c r="C915" s="106">
        <v>6</v>
      </c>
      <c r="D915" s="104" t="s">
        <v>30</v>
      </c>
      <c r="E915" s="106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4"/>
      <c r="BA915" s="94"/>
      <c r="BB915" s="94"/>
      <c r="BC915" s="94"/>
      <c r="BD915" s="94"/>
      <c r="BE915" s="94"/>
      <c r="BF915" s="94"/>
    </row>
    <row r="916" spans="1:58" x14ac:dyDescent="0.35">
      <c r="A916" s="107" t="s">
        <v>2716</v>
      </c>
      <c r="B916" s="108" t="s">
        <v>0</v>
      </c>
      <c r="C916" s="109">
        <v>7</v>
      </c>
      <c r="D916" s="107" t="s">
        <v>1656</v>
      </c>
      <c r="E916" s="109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4"/>
      <c r="BA916" s="94"/>
      <c r="BB916" s="94"/>
      <c r="BC916" s="94"/>
      <c r="BD916" s="94"/>
      <c r="BE916" s="94"/>
      <c r="BF916" s="94"/>
    </row>
    <row r="917" spans="1:58" x14ac:dyDescent="0.35">
      <c r="A917" s="107" t="s">
        <v>2717</v>
      </c>
      <c r="B917" s="108" t="s">
        <v>0</v>
      </c>
      <c r="C917" s="109">
        <v>7</v>
      </c>
      <c r="D917" s="107" t="s">
        <v>1659</v>
      </c>
      <c r="E917" s="109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4"/>
      <c r="BA917" s="94"/>
      <c r="BB917" s="94"/>
      <c r="BC917" s="94"/>
      <c r="BD917" s="94"/>
      <c r="BE917" s="94"/>
      <c r="BF917" s="94"/>
    </row>
    <row r="918" spans="1:58" x14ac:dyDescent="0.35">
      <c r="A918" s="107" t="s">
        <v>2718</v>
      </c>
      <c r="B918" s="108" t="s">
        <v>0</v>
      </c>
      <c r="C918" s="109">
        <v>7</v>
      </c>
      <c r="D918" s="107" t="s">
        <v>1657</v>
      </c>
      <c r="E918" s="109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4"/>
      <c r="BA918" s="94"/>
      <c r="BB918" s="94"/>
      <c r="BC918" s="94"/>
      <c r="BD918" s="94"/>
      <c r="BE918" s="94"/>
      <c r="BF918" s="94"/>
    </row>
    <row r="919" spans="1:58" x14ac:dyDescent="0.35">
      <c r="A919" s="107" t="s">
        <v>2719</v>
      </c>
      <c r="B919" s="108" t="s">
        <v>0</v>
      </c>
      <c r="C919" s="109">
        <v>7</v>
      </c>
      <c r="D919" s="107" t="s">
        <v>1658</v>
      </c>
      <c r="E919" s="109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4"/>
      <c r="BA919" s="94"/>
      <c r="BB919" s="94"/>
      <c r="BC919" s="94"/>
      <c r="BD919" s="94"/>
      <c r="BE919" s="94"/>
      <c r="BF919" s="94"/>
    </row>
    <row r="920" spans="1:58" x14ac:dyDescent="0.35">
      <c r="A920" s="104" t="s">
        <v>2720</v>
      </c>
      <c r="B920" s="105" t="s">
        <v>0</v>
      </c>
      <c r="C920" s="106">
        <v>6</v>
      </c>
      <c r="D920" s="104" t="s">
        <v>123</v>
      </c>
      <c r="E920" s="106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4"/>
      <c r="BA920" s="94"/>
      <c r="BB920" s="94"/>
      <c r="BC920" s="94"/>
      <c r="BD920" s="94"/>
      <c r="BE920" s="94"/>
      <c r="BF920" s="94"/>
    </row>
    <row r="921" spans="1:58" x14ac:dyDescent="0.35">
      <c r="A921" s="107" t="s">
        <v>2721</v>
      </c>
      <c r="B921" s="108" t="s">
        <v>0</v>
      </c>
      <c r="C921" s="109">
        <v>7</v>
      </c>
      <c r="D921" s="107" t="s">
        <v>1654</v>
      </c>
      <c r="E921" s="109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4"/>
      <c r="BA921" s="94"/>
      <c r="BB921" s="94"/>
      <c r="BC921" s="94"/>
      <c r="BD921" s="94"/>
      <c r="BE921" s="94"/>
      <c r="BF921" s="94"/>
    </row>
    <row r="922" spans="1:58" x14ac:dyDescent="0.35">
      <c r="A922" s="101" t="s">
        <v>2722</v>
      </c>
      <c r="B922" s="102" t="s">
        <v>0</v>
      </c>
      <c r="C922" s="103">
        <v>5</v>
      </c>
      <c r="D922" s="101" t="s">
        <v>453</v>
      </c>
      <c r="E922" s="103" t="s">
        <v>197</v>
      </c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4"/>
      <c r="BA922" s="94"/>
      <c r="BB922" s="94"/>
      <c r="BC922" s="94"/>
      <c r="BD922" s="94"/>
      <c r="BE922" s="94"/>
      <c r="BF922" s="94"/>
    </row>
    <row r="923" spans="1:58" x14ac:dyDescent="0.35">
      <c r="A923" s="104" t="s">
        <v>2723</v>
      </c>
      <c r="B923" s="105" t="s">
        <v>0</v>
      </c>
      <c r="C923" s="106">
        <v>6</v>
      </c>
      <c r="D923" s="104" t="s">
        <v>564</v>
      </c>
      <c r="E923" s="106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4"/>
      <c r="BA923" s="94"/>
      <c r="BB923" s="94"/>
      <c r="BC923" s="94"/>
      <c r="BD923" s="94"/>
      <c r="BE923" s="94"/>
      <c r="BF923" s="94"/>
    </row>
    <row r="924" spans="1:58" x14ac:dyDescent="0.35">
      <c r="A924" s="107" t="s">
        <v>2724</v>
      </c>
      <c r="B924" s="108" t="s">
        <v>0</v>
      </c>
      <c r="C924" s="109">
        <v>7</v>
      </c>
      <c r="D924" s="107" t="s">
        <v>1046</v>
      </c>
      <c r="E924" s="109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4"/>
      <c r="BA924" s="94"/>
      <c r="BB924" s="94"/>
      <c r="BC924" s="94"/>
      <c r="BD924" s="94"/>
      <c r="BE924" s="94"/>
      <c r="BF924" s="94"/>
    </row>
    <row r="925" spans="1:58" x14ac:dyDescent="0.35">
      <c r="A925" s="107" t="s">
        <v>2725</v>
      </c>
      <c r="B925" s="108" t="s">
        <v>0</v>
      </c>
      <c r="C925" s="109">
        <v>7</v>
      </c>
      <c r="D925" s="107" t="s">
        <v>1047</v>
      </c>
      <c r="E925" s="109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4"/>
      <c r="BA925" s="94"/>
      <c r="BB925" s="94"/>
      <c r="BC925" s="94"/>
      <c r="BD925" s="94"/>
      <c r="BE925" s="94"/>
      <c r="BF925" s="94"/>
    </row>
    <row r="926" spans="1:58" x14ac:dyDescent="0.35">
      <c r="A926" s="107" t="s">
        <v>2726</v>
      </c>
      <c r="B926" s="108" t="s">
        <v>0</v>
      </c>
      <c r="C926" s="109">
        <v>7</v>
      </c>
      <c r="D926" s="107" t="s">
        <v>1045</v>
      </c>
      <c r="E926" s="109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4"/>
      <c r="BA926" s="94"/>
      <c r="BB926" s="94"/>
      <c r="BC926" s="94"/>
      <c r="BD926" s="94"/>
      <c r="BE926" s="94"/>
      <c r="BF926" s="94"/>
    </row>
    <row r="927" spans="1:58" x14ac:dyDescent="0.35">
      <c r="A927" s="107" t="s">
        <v>2727</v>
      </c>
      <c r="B927" s="108" t="s">
        <v>0</v>
      </c>
      <c r="C927" s="109">
        <v>7</v>
      </c>
      <c r="D927" s="107" t="s">
        <v>1048</v>
      </c>
      <c r="E927" s="109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4"/>
      <c r="BA927" s="94"/>
      <c r="BB927" s="94"/>
      <c r="BC927" s="94"/>
      <c r="BD927" s="94"/>
      <c r="BE927" s="94"/>
      <c r="BF927" s="94"/>
    </row>
    <row r="928" spans="1:58" x14ac:dyDescent="0.35">
      <c r="A928" s="107" t="s">
        <v>2728</v>
      </c>
      <c r="B928" s="108" t="s">
        <v>0</v>
      </c>
      <c r="C928" s="109">
        <v>7</v>
      </c>
      <c r="D928" s="107" t="s">
        <v>1049</v>
      </c>
      <c r="E928" s="109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4"/>
      <c r="BA928" s="94"/>
      <c r="BB928" s="94"/>
      <c r="BC928" s="94"/>
      <c r="BD928" s="94"/>
      <c r="BE928" s="94"/>
      <c r="BF928" s="94"/>
    </row>
    <row r="929" spans="1:58" x14ac:dyDescent="0.35">
      <c r="A929" s="107" t="s">
        <v>2729</v>
      </c>
      <c r="B929" s="108" t="s">
        <v>0</v>
      </c>
      <c r="C929" s="109">
        <v>7</v>
      </c>
      <c r="D929" s="107" t="s">
        <v>1655</v>
      </c>
      <c r="E929" s="109" t="s">
        <v>0</v>
      </c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4"/>
      <c r="BA929" s="94"/>
      <c r="BB929" s="94"/>
      <c r="BC929" s="94"/>
      <c r="BD929" s="94"/>
      <c r="BE929" s="94"/>
      <c r="BF929" s="94"/>
    </row>
    <row r="930" spans="1:58" x14ac:dyDescent="0.35">
      <c r="A930" s="104" t="s">
        <v>2730</v>
      </c>
      <c r="B930" s="105" t="s">
        <v>0</v>
      </c>
      <c r="C930" s="106">
        <v>6</v>
      </c>
      <c r="D930" s="104" t="s">
        <v>26</v>
      </c>
      <c r="E930" s="106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4"/>
      <c r="BA930" s="94"/>
      <c r="BB930" s="94"/>
      <c r="BC930" s="94"/>
      <c r="BD930" s="94"/>
      <c r="BE930" s="94"/>
      <c r="BF930" s="94"/>
    </row>
    <row r="931" spans="1:58" x14ac:dyDescent="0.35">
      <c r="A931" s="107" t="s">
        <v>2731</v>
      </c>
      <c r="B931" s="108" t="s">
        <v>0</v>
      </c>
      <c r="C931" s="109">
        <v>7</v>
      </c>
      <c r="D931" s="107" t="s">
        <v>1050</v>
      </c>
      <c r="E931" s="109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4"/>
      <c r="BA931" s="94"/>
      <c r="BB931" s="94"/>
      <c r="BC931" s="94"/>
      <c r="BD931" s="94"/>
      <c r="BE931" s="94"/>
      <c r="BF931" s="94"/>
    </row>
    <row r="932" spans="1:58" x14ac:dyDescent="0.35">
      <c r="A932" s="107" t="s">
        <v>2732</v>
      </c>
      <c r="B932" s="108" t="s">
        <v>0</v>
      </c>
      <c r="C932" s="109">
        <v>7</v>
      </c>
      <c r="D932" s="107" t="s">
        <v>1051</v>
      </c>
      <c r="E932" s="109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4"/>
      <c r="BA932" s="94"/>
      <c r="BB932" s="94"/>
      <c r="BC932" s="94"/>
      <c r="BD932" s="94"/>
      <c r="BE932" s="94"/>
      <c r="BF932" s="94"/>
    </row>
    <row r="933" spans="1:58" x14ac:dyDescent="0.35">
      <c r="A933" s="107" t="s">
        <v>2733</v>
      </c>
      <c r="B933" s="108" t="s">
        <v>0</v>
      </c>
      <c r="C933" s="109">
        <v>7</v>
      </c>
      <c r="D933" s="107" t="s">
        <v>1052</v>
      </c>
      <c r="E933" s="109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4"/>
      <c r="BA933" s="94"/>
      <c r="BB933" s="94"/>
      <c r="BC933" s="94"/>
      <c r="BD933" s="94"/>
      <c r="BE933" s="94"/>
      <c r="BF933" s="94"/>
    </row>
    <row r="934" spans="1:58" x14ac:dyDescent="0.35">
      <c r="A934" s="107" t="s">
        <v>2734</v>
      </c>
      <c r="B934" s="108" t="s">
        <v>0</v>
      </c>
      <c r="C934" s="109">
        <v>7</v>
      </c>
      <c r="D934" s="107" t="s">
        <v>1053</v>
      </c>
      <c r="E934" s="109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4"/>
      <c r="BA934" s="94"/>
      <c r="BB934" s="94"/>
      <c r="BC934" s="94"/>
      <c r="BD934" s="94"/>
      <c r="BE934" s="94"/>
      <c r="BF934" s="94"/>
    </row>
    <row r="935" spans="1:58" x14ac:dyDescent="0.35">
      <c r="A935" s="104" t="s">
        <v>2735</v>
      </c>
      <c r="B935" s="105" t="s">
        <v>0</v>
      </c>
      <c r="C935" s="106">
        <v>6</v>
      </c>
      <c r="D935" s="104" t="s">
        <v>16</v>
      </c>
      <c r="E935" s="106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4"/>
      <c r="BA935" s="94"/>
      <c r="BB935" s="94"/>
      <c r="BC935" s="94"/>
      <c r="BD935" s="94"/>
      <c r="BE935" s="94"/>
      <c r="BF935" s="94"/>
    </row>
    <row r="936" spans="1:58" x14ac:dyDescent="0.35">
      <c r="A936" s="107" t="s">
        <v>2736</v>
      </c>
      <c r="B936" s="108" t="s">
        <v>0</v>
      </c>
      <c r="C936" s="109">
        <v>7</v>
      </c>
      <c r="D936" s="107" t="s">
        <v>1054</v>
      </c>
      <c r="E936" s="109" t="s">
        <v>198</v>
      </c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4"/>
      <c r="BA936" s="94"/>
      <c r="BB936" s="94"/>
      <c r="BC936" s="94"/>
      <c r="BD936" s="94"/>
      <c r="BE936" s="94"/>
      <c r="BF936" s="94"/>
    </row>
    <row r="937" spans="1:58" x14ac:dyDescent="0.35">
      <c r="A937" s="104" t="s">
        <v>2737</v>
      </c>
      <c r="B937" s="105" t="s">
        <v>0</v>
      </c>
      <c r="C937" s="106">
        <v>6</v>
      </c>
      <c r="D937" s="104" t="s">
        <v>30</v>
      </c>
      <c r="E937" s="106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4"/>
      <c r="BA937" s="94"/>
      <c r="BB937" s="94"/>
      <c r="BC937" s="94"/>
      <c r="BD937" s="94"/>
      <c r="BE937" s="94"/>
      <c r="BF937" s="94"/>
    </row>
    <row r="938" spans="1:58" x14ac:dyDescent="0.35">
      <c r="A938" s="107" t="s">
        <v>2738</v>
      </c>
      <c r="B938" s="108" t="s">
        <v>0</v>
      </c>
      <c r="C938" s="109">
        <v>7</v>
      </c>
      <c r="D938" s="107" t="s">
        <v>1656</v>
      </c>
      <c r="E938" s="109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4"/>
      <c r="BA938" s="94"/>
      <c r="BB938" s="94"/>
      <c r="BC938" s="94"/>
      <c r="BD938" s="94"/>
      <c r="BE938" s="94"/>
      <c r="BF938" s="94"/>
    </row>
    <row r="939" spans="1:58" x14ac:dyDescent="0.35">
      <c r="A939" s="107" t="s">
        <v>2739</v>
      </c>
      <c r="B939" s="108" t="s">
        <v>0</v>
      </c>
      <c r="C939" s="109">
        <v>7</v>
      </c>
      <c r="D939" s="107" t="s">
        <v>1659</v>
      </c>
      <c r="E939" s="109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4"/>
      <c r="BA939" s="94"/>
      <c r="BB939" s="94"/>
      <c r="BC939" s="94"/>
      <c r="BD939" s="94"/>
      <c r="BE939" s="94"/>
      <c r="BF939" s="94"/>
    </row>
    <row r="940" spans="1:58" x14ac:dyDescent="0.35">
      <c r="A940" s="107" t="s">
        <v>2740</v>
      </c>
      <c r="B940" s="108" t="s">
        <v>0</v>
      </c>
      <c r="C940" s="109">
        <v>7</v>
      </c>
      <c r="D940" s="107" t="s">
        <v>1657</v>
      </c>
      <c r="E940" s="109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4"/>
      <c r="BA940" s="94"/>
      <c r="BB940" s="94"/>
      <c r="BC940" s="94"/>
      <c r="BD940" s="94"/>
      <c r="BE940" s="94"/>
      <c r="BF940" s="94"/>
    </row>
    <row r="941" spans="1:58" x14ac:dyDescent="0.35">
      <c r="A941" s="107" t="s">
        <v>2741</v>
      </c>
      <c r="B941" s="108" t="s">
        <v>0</v>
      </c>
      <c r="C941" s="109">
        <v>7</v>
      </c>
      <c r="D941" s="107" t="s">
        <v>1658</v>
      </c>
      <c r="E941" s="109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4"/>
      <c r="BA941" s="94"/>
      <c r="BB941" s="94"/>
      <c r="BC941" s="94"/>
      <c r="BD941" s="94"/>
      <c r="BE941" s="94"/>
      <c r="BF941" s="94"/>
    </row>
    <row r="942" spans="1:58" x14ac:dyDescent="0.35">
      <c r="A942" s="104" t="s">
        <v>2742</v>
      </c>
      <c r="B942" s="105" t="s">
        <v>0</v>
      </c>
      <c r="C942" s="106">
        <v>6</v>
      </c>
      <c r="D942" s="104" t="s">
        <v>123</v>
      </c>
      <c r="E942" s="106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4"/>
      <c r="BA942" s="94"/>
      <c r="BB942" s="94"/>
      <c r="BC942" s="94"/>
      <c r="BD942" s="94"/>
      <c r="BE942" s="94"/>
      <c r="BF942" s="94"/>
    </row>
    <row r="943" spans="1:58" x14ac:dyDescent="0.35">
      <c r="A943" s="107" t="s">
        <v>2743</v>
      </c>
      <c r="B943" s="108" t="s">
        <v>0</v>
      </c>
      <c r="C943" s="109">
        <v>7</v>
      </c>
      <c r="D943" s="107" t="s">
        <v>1654</v>
      </c>
      <c r="E943" s="109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4"/>
      <c r="BA943" s="94"/>
      <c r="BB943" s="94"/>
      <c r="BC943" s="94"/>
      <c r="BD943" s="94"/>
      <c r="BE943" s="94"/>
      <c r="BF943" s="94"/>
    </row>
    <row r="944" spans="1:58" x14ac:dyDescent="0.35">
      <c r="A944" s="101" t="s">
        <v>2744</v>
      </c>
      <c r="B944" s="102" t="s">
        <v>0</v>
      </c>
      <c r="C944" s="103">
        <v>5</v>
      </c>
      <c r="D944" s="101" t="s">
        <v>454</v>
      </c>
      <c r="E944" s="103" t="s">
        <v>199</v>
      </c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4"/>
      <c r="BA944" s="94"/>
      <c r="BB944" s="94"/>
      <c r="BC944" s="94"/>
      <c r="BD944" s="94"/>
      <c r="BE944" s="94"/>
      <c r="BF944" s="94"/>
    </row>
    <row r="945" spans="1:58" x14ac:dyDescent="0.35">
      <c r="A945" s="104" t="s">
        <v>2745</v>
      </c>
      <c r="B945" s="105" t="s">
        <v>0</v>
      </c>
      <c r="C945" s="106">
        <v>6</v>
      </c>
      <c r="D945" s="104" t="s">
        <v>564</v>
      </c>
      <c r="E945" s="106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4"/>
      <c r="BA945" s="94"/>
      <c r="BB945" s="94"/>
      <c r="BC945" s="94"/>
      <c r="BD945" s="94"/>
      <c r="BE945" s="94"/>
      <c r="BF945" s="94"/>
    </row>
    <row r="946" spans="1:58" x14ac:dyDescent="0.35">
      <c r="A946" s="107" t="s">
        <v>2746</v>
      </c>
      <c r="B946" s="108" t="s">
        <v>0</v>
      </c>
      <c r="C946" s="109">
        <v>7</v>
      </c>
      <c r="D946" s="107" t="s">
        <v>1056</v>
      </c>
      <c r="E946" s="109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4"/>
      <c r="BA946" s="94"/>
      <c r="BB946" s="94"/>
      <c r="BC946" s="94"/>
      <c r="BD946" s="94"/>
      <c r="BE946" s="94"/>
      <c r="BF946" s="94"/>
    </row>
    <row r="947" spans="1:58" x14ac:dyDescent="0.35">
      <c r="A947" s="107" t="s">
        <v>2747</v>
      </c>
      <c r="B947" s="108" t="s">
        <v>0</v>
      </c>
      <c r="C947" s="109">
        <v>7</v>
      </c>
      <c r="D947" s="107" t="s">
        <v>1057</v>
      </c>
      <c r="E947" s="109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4"/>
      <c r="BA947" s="94"/>
      <c r="BB947" s="94"/>
      <c r="BC947" s="94"/>
      <c r="BD947" s="94"/>
      <c r="BE947" s="94"/>
      <c r="BF947" s="94"/>
    </row>
    <row r="948" spans="1:58" x14ac:dyDescent="0.35">
      <c r="A948" s="107" t="s">
        <v>2748</v>
      </c>
      <c r="B948" s="108" t="s">
        <v>0</v>
      </c>
      <c r="C948" s="109">
        <v>7</v>
      </c>
      <c r="D948" s="107" t="s">
        <v>1055</v>
      </c>
      <c r="E948" s="109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4"/>
      <c r="BA948" s="94"/>
      <c r="BB948" s="94"/>
      <c r="BC948" s="94"/>
      <c r="BD948" s="94"/>
      <c r="BE948" s="94"/>
      <c r="BF948" s="94"/>
    </row>
    <row r="949" spans="1:58" x14ac:dyDescent="0.35">
      <c r="A949" s="107" t="s">
        <v>2749</v>
      </c>
      <c r="B949" s="108" t="s">
        <v>0</v>
      </c>
      <c r="C949" s="109">
        <v>7</v>
      </c>
      <c r="D949" s="107" t="s">
        <v>1058</v>
      </c>
      <c r="E949" s="109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4"/>
      <c r="BA949" s="94"/>
      <c r="BB949" s="94"/>
      <c r="BC949" s="94"/>
      <c r="BD949" s="94"/>
      <c r="BE949" s="94"/>
      <c r="BF949" s="94"/>
    </row>
    <row r="950" spans="1:58" x14ac:dyDescent="0.35">
      <c r="A950" s="107" t="s">
        <v>2750</v>
      </c>
      <c r="B950" s="108" t="s">
        <v>0</v>
      </c>
      <c r="C950" s="109">
        <v>7</v>
      </c>
      <c r="D950" s="107" t="s">
        <v>1059</v>
      </c>
      <c r="E950" s="109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4"/>
      <c r="BA950" s="94"/>
      <c r="BB950" s="94"/>
      <c r="BC950" s="94"/>
      <c r="BD950" s="94"/>
      <c r="BE950" s="94"/>
      <c r="BF950" s="94"/>
    </row>
    <row r="951" spans="1:58" x14ac:dyDescent="0.35">
      <c r="A951" s="107" t="s">
        <v>2751</v>
      </c>
      <c r="B951" s="108" t="s">
        <v>0</v>
      </c>
      <c r="C951" s="109">
        <v>7</v>
      </c>
      <c r="D951" s="107" t="s">
        <v>1655</v>
      </c>
      <c r="E951" s="109" t="s">
        <v>0</v>
      </c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4"/>
      <c r="BA951" s="94"/>
      <c r="BB951" s="94"/>
      <c r="BC951" s="94"/>
      <c r="BD951" s="94"/>
      <c r="BE951" s="94"/>
      <c r="BF951" s="94"/>
    </row>
    <row r="952" spans="1:58" x14ac:dyDescent="0.35">
      <c r="A952" s="104" t="s">
        <v>2752</v>
      </c>
      <c r="B952" s="105" t="s">
        <v>0</v>
      </c>
      <c r="C952" s="106">
        <v>6</v>
      </c>
      <c r="D952" s="104" t="s">
        <v>26</v>
      </c>
      <c r="E952" s="106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4"/>
      <c r="BA952" s="94"/>
      <c r="BB952" s="94"/>
      <c r="BC952" s="94"/>
      <c r="BD952" s="94"/>
      <c r="BE952" s="94"/>
      <c r="BF952" s="94"/>
    </row>
    <row r="953" spans="1:58" x14ac:dyDescent="0.35">
      <c r="A953" s="107" t="s">
        <v>2753</v>
      </c>
      <c r="B953" s="108" t="s">
        <v>0</v>
      </c>
      <c r="C953" s="109">
        <v>7</v>
      </c>
      <c r="D953" s="107" t="s">
        <v>1060</v>
      </c>
      <c r="E953" s="109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4"/>
      <c r="BA953" s="94"/>
      <c r="BB953" s="94"/>
      <c r="BC953" s="94"/>
      <c r="BD953" s="94"/>
      <c r="BE953" s="94"/>
      <c r="BF953" s="94"/>
    </row>
    <row r="954" spans="1:58" x14ac:dyDescent="0.35">
      <c r="A954" s="107" t="s">
        <v>2754</v>
      </c>
      <c r="B954" s="108" t="s">
        <v>0</v>
      </c>
      <c r="C954" s="109">
        <v>7</v>
      </c>
      <c r="D954" s="107" t="s">
        <v>1061</v>
      </c>
      <c r="E954" s="109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4"/>
      <c r="BA954" s="94"/>
      <c r="BB954" s="94"/>
      <c r="BC954" s="94"/>
      <c r="BD954" s="94"/>
      <c r="BE954" s="94"/>
      <c r="BF954" s="94"/>
    </row>
    <row r="955" spans="1:58" x14ac:dyDescent="0.35">
      <c r="A955" s="107" t="s">
        <v>2755</v>
      </c>
      <c r="B955" s="108" t="s">
        <v>0</v>
      </c>
      <c r="C955" s="109">
        <v>7</v>
      </c>
      <c r="D955" s="107" t="s">
        <v>1062</v>
      </c>
      <c r="E955" s="109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4"/>
      <c r="BA955" s="94"/>
      <c r="BB955" s="94"/>
      <c r="BC955" s="94"/>
      <c r="BD955" s="94"/>
      <c r="BE955" s="94"/>
      <c r="BF955" s="94"/>
    </row>
    <row r="956" spans="1:58" x14ac:dyDescent="0.35">
      <c r="A956" s="107" t="s">
        <v>2756</v>
      </c>
      <c r="B956" s="108" t="s">
        <v>0</v>
      </c>
      <c r="C956" s="109">
        <v>7</v>
      </c>
      <c r="D956" s="107" t="s">
        <v>1063</v>
      </c>
      <c r="E956" s="109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4"/>
      <c r="BA956" s="94"/>
      <c r="BB956" s="94"/>
      <c r="BC956" s="94"/>
      <c r="BD956" s="94"/>
      <c r="BE956" s="94"/>
      <c r="BF956" s="94"/>
    </row>
    <row r="957" spans="1:58" x14ac:dyDescent="0.35">
      <c r="A957" s="104" t="s">
        <v>2757</v>
      </c>
      <c r="B957" s="105" t="s">
        <v>0</v>
      </c>
      <c r="C957" s="106">
        <v>6</v>
      </c>
      <c r="D957" s="104" t="s">
        <v>16</v>
      </c>
      <c r="E957" s="106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4"/>
      <c r="BA957" s="94"/>
      <c r="BB957" s="94"/>
      <c r="BC957" s="94"/>
      <c r="BD957" s="94"/>
      <c r="BE957" s="94"/>
      <c r="BF957" s="94"/>
    </row>
    <row r="958" spans="1:58" x14ac:dyDescent="0.35">
      <c r="A958" s="107" t="s">
        <v>2758</v>
      </c>
      <c r="B958" s="108" t="s">
        <v>0</v>
      </c>
      <c r="C958" s="109">
        <v>7</v>
      </c>
      <c r="D958" s="107" t="s">
        <v>1064</v>
      </c>
      <c r="E958" s="109" t="s">
        <v>200</v>
      </c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4"/>
      <c r="BA958" s="94"/>
      <c r="BB958" s="94"/>
      <c r="BC958" s="94"/>
      <c r="BD958" s="94"/>
      <c r="BE958" s="94"/>
      <c r="BF958" s="94"/>
    </row>
    <row r="959" spans="1:58" x14ac:dyDescent="0.35">
      <c r="A959" s="104" t="s">
        <v>2759</v>
      </c>
      <c r="B959" s="105" t="s">
        <v>0</v>
      </c>
      <c r="C959" s="106">
        <v>6</v>
      </c>
      <c r="D959" s="104" t="s">
        <v>30</v>
      </c>
      <c r="E959" s="106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4"/>
      <c r="BA959" s="94"/>
      <c r="BB959" s="94"/>
      <c r="BC959" s="94"/>
      <c r="BD959" s="94"/>
      <c r="BE959" s="94"/>
      <c r="BF959" s="94"/>
    </row>
    <row r="960" spans="1:58" x14ac:dyDescent="0.35">
      <c r="A960" s="107" t="s">
        <v>2760</v>
      </c>
      <c r="B960" s="108" t="s">
        <v>0</v>
      </c>
      <c r="C960" s="109">
        <v>7</v>
      </c>
      <c r="D960" s="107" t="s">
        <v>1656</v>
      </c>
      <c r="E960" s="109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4"/>
      <c r="BA960" s="94"/>
      <c r="BB960" s="94"/>
      <c r="BC960" s="94"/>
      <c r="BD960" s="94"/>
      <c r="BE960" s="94"/>
      <c r="BF960" s="94"/>
    </row>
    <row r="961" spans="1:58" x14ac:dyDescent="0.35">
      <c r="A961" s="107" t="s">
        <v>2761</v>
      </c>
      <c r="B961" s="108" t="s">
        <v>0</v>
      </c>
      <c r="C961" s="109">
        <v>7</v>
      </c>
      <c r="D961" s="107" t="s">
        <v>1659</v>
      </c>
      <c r="E961" s="109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4"/>
      <c r="BA961" s="94"/>
      <c r="BB961" s="94"/>
      <c r="BC961" s="94"/>
      <c r="BD961" s="94"/>
      <c r="BE961" s="94"/>
      <c r="BF961" s="94"/>
    </row>
    <row r="962" spans="1:58" x14ac:dyDescent="0.35">
      <c r="A962" s="107" t="s">
        <v>2762</v>
      </c>
      <c r="B962" s="108" t="s">
        <v>0</v>
      </c>
      <c r="C962" s="109">
        <v>7</v>
      </c>
      <c r="D962" s="107" t="s">
        <v>1657</v>
      </c>
      <c r="E962" s="109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4"/>
      <c r="BA962" s="94"/>
      <c r="BB962" s="94"/>
      <c r="BC962" s="94"/>
      <c r="BD962" s="94"/>
      <c r="BE962" s="94"/>
      <c r="BF962" s="94"/>
    </row>
    <row r="963" spans="1:58" x14ac:dyDescent="0.35">
      <c r="A963" s="107" t="s">
        <v>2763</v>
      </c>
      <c r="B963" s="108" t="s">
        <v>0</v>
      </c>
      <c r="C963" s="109">
        <v>7</v>
      </c>
      <c r="D963" s="107" t="s">
        <v>1658</v>
      </c>
      <c r="E963" s="109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4"/>
      <c r="BA963" s="94"/>
      <c r="BB963" s="94"/>
      <c r="BC963" s="94"/>
      <c r="BD963" s="94"/>
      <c r="BE963" s="94"/>
      <c r="BF963" s="94"/>
    </row>
    <row r="964" spans="1:58" x14ac:dyDescent="0.35">
      <c r="A964" s="104" t="s">
        <v>2764</v>
      </c>
      <c r="B964" s="105" t="s">
        <v>0</v>
      </c>
      <c r="C964" s="106">
        <v>6</v>
      </c>
      <c r="D964" s="104" t="s">
        <v>123</v>
      </c>
      <c r="E964" s="106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4"/>
      <c r="BA964" s="94"/>
      <c r="BB964" s="94"/>
      <c r="BC964" s="94"/>
      <c r="BD964" s="94"/>
      <c r="BE964" s="94"/>
      <c r="BF964" s="94"/>
    </row>
    <row r="965" spans="1:58" x14ac:dyDescent="0.35">
      <c r="A965" s="107" t="s">
        <v>2765</v>
      </c>
      <c r="B965" s="108" t="s">
        <v>0</v>
      </c>
      <c r="C965" s="109">
        <v>7</v>
      </c>
      <c r="D965" s="107" t="s">
        <v>1654</v>
      </c>
      <c r="E965" s="109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4"/>
      <c r="BA965" s="94"/>
      <c r="BB965" s="94"/>
      <c r="BC965" s="94"/>
      <c r="BD965" s="94"/>
      <c r="BE965" s="94"/>
      <c r="BF965" s="94"/>
    </row>
    <row r="966" spans="1:58" x14ac:dyDescent="0.35">
      <c r="A966" s="101" t="s">
        <v>2766</v>
      </c>
      <c r="B966" s="102" t="s">
        <v>0</v>
      </c>
      <c r="C966" s="103">
        <v>5</v>
      </c>
      <c r="D966" s="101" t="s">
        <v>455</v>
      </c>
      <c r="E966" s="103" t="s">
        <v>201</v>
      </c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4"/>
      <c r="BA966" s="94"/>
      <c r="BB966" s="94"/>
      <c r="BC966" s="94"/>
      <c r="BD966" s="94"/>
      <c r="BE966" s="94"/>
      <c r="BF966" s="94"/>
    </row>
    <row r="967" spans="1:58" x14ac:dyDescent="0.35">
      <c r="A967" s="104" t="s">
        <v>2767</v>
      </c>
      <c r="B967" s="105" t="s">
        <v>0</v>
      </c>
      <c r="C967" s="106">
        <v>6</v>
      </c>
      <c r="D967" s="104" t="s">
        <v>564</v>
      </c>
      <c r="E967" s="106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4"/>
      <c r="BA967" s="94"/>
      <c r="BB967" s="94"/>
      <c r="BC967" s="94"/>
      <c r="BD967" s="94"/>
      <c r="BE967" s="94"/>
      <c r="BF967" s="94"/>
    </row>
    <row r="968" spans="1:58" x14ac:dyDescent="0.35">
      <c r="A968" s="107" t="s">
        <v>2768</v>
      </c>
      <c r="B968" s="108" t="s">
        <v>0</v>
      </c>
      <c r="C968" s="109">
        <v>7</v>
      </c>
      <c r="D968" s="107" t="s">
        <v>1066</v>
      </c>
      <c r="E968" s="109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4"/>
      <c r="BA968" s="94"/>
      <c r="BB968" s="94"/>
      <c r="BC968" s="94"/>
      <c r="BD968" s="94"/>
      <c r="BE968" s="94"/>
      <c r="BF968" s="94"/>
    </row>
    <row r="969" spans="1:58" x14ac:dyDescent="0.35">
      <c r="A969" s="107" t="s">
        <v>2769</v>
      </c>
      <c r="B969" s="108" t="s">
        <v>0</v>
      </c>
      <c r="C969" s="109">
        <v>7</v>
      </c>
      <c r="D969" s="107" t="s">
        <v>1067</v>
      </c>
      <c r="E969" s="109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4"/>
      <c r="BA969" s="94"/>
      <c r="BB969" s="94"/>
      <c r="BC969" s="94"/>
      <c r="BD969" s="94"/>
      <c r="BE969" s="94"/>
      <c r="BF969" s="94"/>
    </row>
    <row r="970" spans="1:58" x14ac:dyDescent="0.35">
      <c r="A970" s="107" t="s">
        <v>2770</v>
      </c>
      <c r="B970" s="108" t="s">
        <v>0</v>
      </c>
      <c r="C970" s="109">
        <v>7</v>
      </c>
      <c r="D970" s="107" t="s">
        <v>1065</v>
      </c>
      <c r="E970" s="109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4"/>
      <c r="BA970" s="94"/>
      <c r="BB970" s="94"/>
      <c r="BC970" s="94"/>
      <c r="BD970" s="94"/>
      <c r="BE970" s="94"/>
      <c r="BF970" s="94"/>
    </row>
    <row r="971" spans="1:58" x14ac:dyDescent="0.35">
      <c r="A971" s="107" t="s">
        <v>2771</v>
      </c>
      <c r="B971" s="108" t="s">
        <v>0</v>
      </c>
      <c r="C971" s="109">
        <v>7</v>
      </c>
      <c r="D971" s="107" t="s">
        <v>1068</v>
      </c>
      <c r="E971" s="109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4"/>
      <c r="BA971" s="94"/>
      <c r="BB971" s="94"/>
      <c r="BC971" s="94"/>
      <c r="BD971" s="94"/>
      <c r="BE971" s="94"/>
      <c r="BF971" s="94"/>
    </row>
    <row r="972" spans="1:58" x14ac:dyDescent="0.35">
      <c r="A972" s="107" t="s">
        <v>2772</v>
      </c>
      <c r="B972" s="108" t="s">
        <v>0</v>
      </c>
      <c r="C972" s="109">
        <v>7</v>
      </c>
      <c r="D972" s="107" t="s">
        <v>1069</v>
      </c>
      <c r="E972" s="109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4"/>
      <c r="BA972" s="94"/>
      <c r="BB972" s="94"/>
      <c r="BC972" s="94"/>
      <c r="BD972" s="94"/>
      <c r="BE972" s="94"/>
      <c r="BF972" s="94"/>
    </row>
    <row r="973" spans="1:58" x14ac:dyDescent="0.35">
      <c r="A973" s="107" t="s">
        <v>2773</v>
      </c>
      <c r="B973" s="108" t="s">
        <v>0</v>
      </c>
      <c r="C973" s="109">
        <v>7</v>
      </c>
      <c r="D973" s="107" t="s">
        <v>1655</v>
      </c>
      <c r="E973" s="109" t="s">
        <v>0</v>
      </c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4"/>
      <c r="BA973" s="94"/>
      <c r="BB973" s="94"/>
      <c r="BC973" s="94"/>
      <c r="BD973" s="94"/>
      <c r="BE973" s="94"/>
      <c r="BF973" s="94"/>
    </row>
    <row r="974" spans="1:58" x14ac:dyDescent="0.35">
      <c r="A974" s="104" t="s">
        <v>2774</v>
      </c>
      <c r="B974" s="105" t="s">
        <v>0</v>
      </c>
      <c r="C974" s="106">
        <v>6</v>
      </c>
      <c r="D974" s="104" t="s">
        <v>26</v>
      </c>
      <c r="E974" s="106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4"/>
      <c r="BA974" s="94"/>
      <c r="BB974" s="94"/>
      <c r="BC974" s="94"/>
      <c r="BD974" s="94"/>
      <c r="BE974" s="94"/>
      <c r="BF974" s="94"/>
    </row>
    <row r="975" spans="1:58" x14ac:dyDescent="0.35">
      <c r="A975" s="107" t="s">
        <v>2775</v>
      </c>
      <c r="B975" s="108" t="s">
        <v>0</v>
      </c>
      <c r="C975" s="109">
        <v>7</v>
      </c>
      <c r="D975" s="107" t="s">
        <v>1070</v>
      </c>
      <c r="E975" s="109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4"/>
      <c r="BA975" s="94"/>
      <c r="BB975" s="94"/>
      <c r="BC975" s="94"/>
      <c r="BD975" s="94"/>
      <c r="BE975" s="94"/>
      <c r="BF975" s="94"/>
    </row>
    <row r="976" spans="1:58" x14ac:dyDescent="0.35">
      <c r="A976" s="107" t="s">
        <v>2776</v>
      </c>
      <c r="B976" s="108" t="s">
        <v>0</v>
      </c>
      <c r="C976" s="109">
        <v>7</v>
      </c>
      <c r="D976" s="107" t="s">
        <v>1071</v>
      </c>
      <c r="E976" s="109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4"/>
      <c r="BA976" s="94"/>
      <c r="BB976" s="94"/>
      <c r="BC976" s="94"/>
      <c r="BD976" s="94"/>
      <c r="BE976" s="94"/>
      <c r="BF976" s="94"/>
    </row>
    <row r="977" spans="1:58" x14ac:dyDescent="0.35">
      <c r="A977" s="107" t="s">
        <v>2777</v>
      </c>
      <c r="B977" s="108" t="s">
        <v>0</v>
      </c>
      <c r="C977" s="109">
        <v>7</v>
      </c>
      <c r="D977" s="107" t="s">
        <v>1072</v>
      </c>
      <c r="E977" s="109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4"/>
      <c r="BA977" s="94"/>
      <c r="BB977" s="94"/>
      <c r="BC977" s="94"/>
      <c r="BD977" s="94"/>
      <c r="BE977" s="94"/>
      <c r="BF977" s="94"/>
    </row>
    <row r="978" spans="1:58" x14ac:dyDescent="0.35">
      <c r="A978" s="107" t="s">
        <v>2778</v>
      </c>
      <c r="B978" s="108" t="s">
        <v>0</v>
      </c>
      <c r="C978" s="109">
        <v>7</v>
      </c>
      <c r="D978" s="107" t="s">
        <v>1073</v>
      </c>
      <c r="E978" s="109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4"/>
      <c r="BA978" s="94"/>
      <c r="BB978" s="94"/>
      <c r="BC978" s="94"/>
      <c r="BD978" s="94"/>
      <c r="BE978" s="94"/>
      <c r="BF978" s="94"/>
    </row>
    <row r="979" spans="1:58" x14ac:dyDescent="0.35">
      <c r="A979" s="104" t="s">
        <v>2779</v>
      </c>
      <c r="B979" s="105" t="s">
        <v>0</v>
      </c>
      <c r="C979" s="106">
        <v>6</v>
      </c>
      <c r="D979" s="104" t="s">
        <v>16</v>
      </c>
      <c r="E979" s="106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4"/>
      <c r="BA979" s="94"/>
      <c r="BB979" s="94"/>
      <c r="BC979" s="94"/>
      <c r="BD979" s="94"/>
      <c r="BE979" s="94"/>
      <c r="BF979" s="94"/>
    </row>
    <row r="980" spans="1:58" x14ac:dyDescent="0.35">
      <c r="A980" s="107" t="s">
        <v>2780</v>
      </c>
      <c r="B980" s="108" t="s">
        <v>0</v>
      </c>
      <c r="C980" s="109">
        <v>7</v>
      </c>
      <c r="D980" s="107" t="s">
        <v>1074</v>
      </c>
      <c r="E980" s="109" t="s">
        <v>202</v>
      </c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4"/>
      <c r="BA980" s="94"/>
      <c r="BB980" s="94"/>
      <c r="BC980" s="94"/>
      <c r="BD980" s="94"/>
      <c r="BE980" s="94"/>
      <c r="BF980" s="94"/>
    </row>
    <row r="981" spans="1:58" x14ac:dyDescent="0.35">
      <c r="A981" s="104" t="s">
        <v>2781</v>
      </c>
      <c r="B981" s="105" t="s">
        <v>0</v>
      </c>
      <c r="C981" s="106">
        <v>6</v>
      </c>
      <c r="D981" s="104" t="s">
        <v>30</v>
      </c>
      <c r="E981" s="106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4"/>
      <c r="BA981" s="94"/>
      <c r="BB981" s="94"/>
      <c r="BC981" s="94"/>
      <c r="BD981" s="94"/>
      <c r="BE981" s="94"/>
      <c r="BF981" s="94"/>
    </row>
    <row r="982" spans="1:58" x14ac:dyDescent="0.35">
      <c r="A982" s="107" t="s">
        <v>2782</v>
      </c>
      <c r="B982" s="108" t="s">
        <v>0</v>
      </c>
      <c r="C982" s="109">
        <v>7</v>
      </c>
      <c r="D982" s="107" t="s">
        <v>1656</v>
      </c>
      <c r="E982" s="109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4"/>
      <c r="BA982" s="94"/>
      <c r="BB982" s="94"/>
      <c r="BC982" s="94"/>
      <c r="BD982" s="94"/>
      <c r="BE982" s="94"/>
      <c r="BF982" s="94"/>
    </row>
    <row r="983" spans="1:58" x14ac:dyDescent="0.35">
      <c r="A983" s="107" t="s">
        <v>2783</v>
      </c>
      <c r="B983" s="108" t="s">
        <v>0</v>
      </c>
      <c r="C983" s="109">
        <v>7</v>
      </c>
      <c r="D983" s="107" t="s">
        <v>1659</v>
      </c>
      <c r="E983" s="109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4"/>
      <c r="BA983" s="94"/>
      <c r="BB983" s="94"/>
      <c r="BC983" s="94"/>
      <c r="BD983" s="94"/>
      <c r="BE983" s="94"/>
      <c r="BF983" s="94"/>
    </row>
    <row r="984" spans="1:58" x14ac:dyDescent="0.35">
      <c r="A984" s="107" t="s">
        <v>2784</v>
      </c>
      <c r="B984" s="108" t="s">
        <v>0</v>
      </c>
      <c r="C984" s="109">
        <v>7</v>
      </c>
      <c r="D984" s="107" t="s">
        <v>1657</v>
      </c>
      <c r="E984" s="109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4"/>
      <c r="BA984" s="94"/>
      <c r="BB984" s="94"/>
      <c r="BC984" s="94"/>
      <c r="BD984" s="94"/>
      <c r="BE984" s="94"/>
      <c r="BF984" s="94"/>
    </row>
    <row r="985" spans="1:58" x14ac:dyDescent="0.35">
      <c r="A985" s="107" t="s">
        <v>2785</v>
      </c>
      <c r="B985" s="108" t="s">
        <v>0</v>
      </c>
      <c r="C985" s="109">
        <v>7</v>
      </c>
      <c r="D985" s="107" t="s">
        <v>1658</v>
      </c>
      <c r="E985" s="109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4"/>
      <c r="BA985" s="94"/>
      <c r="BB985" s="94"/>
      <c r="BC985" s="94"/>
      <c r="BD985" s="94"/>
      <c r="BE985" s="94"/>
      <c r="BF985" s="94"/>
    </row>
    <row r="986" spans="1:58" x14ac:dyDescent="0.35">
      <c r="A986" s="104" t="s">
        <v>2786</v>
      </c>
      <c r="B986" s="105" t="s">
        <v>0</v>
      </c>
      <c r="C986" s="106">
        <v>6</v>
      </c>
      <c r="D986" s="104" t="s">
        <v>123</v>
      </c>
      <c r="E986" s="106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4"/>
      <c r="BA986" s="94"/>
      <c r="BB986" s="94"/>
      <c r="BC986" s="94"/>
      <c r="BD986" s="94"/>
      <c r="BE986" s="94"/>
      <c r="BF986" s="94"/>
    </row>
    <row r="987" spans="1:58" x14ac:dyDescent="0.35">
      <c r="A987" s="107" t="s">
        <v>2787</v>
      </c>
      <c r="B987" s="108" t="s">
        <v>0</v>
      </c>
      <c r="C987" s="109">
        <v>7</v>
      </c>
      <c r="D987" s="107" t="s">
        <v>1654</v>
      </c>
      <c r="E987" s="109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4"/>
      <c r="BA987" s="94"/>
      <c r="BB987" s="94"/>
      <c r="BC987" s="94"/>
      <c r="BD987" s="94"/>
      <c r="BE987" s="94"/>
      <c r="BF987" s="94"/>
    </row>
    <row r="988" spans="1:58" x14ac:dyDescent="0.35">
      <c r="A988" s="101" t="s">
        <v>2788</v>
      </c>
      <c r="B988" s="102" t="s">
        <v>0</v>
      </c>
      <c r="C988" s="103">
        <v>5</v>
      </c>
      <c r="D988" s="101" t="s">
        <v>456</v>
      </c>
      <c r="E988" s="103" t="s">
        <v>203</v>
      </c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4"/>
      <c r="BA988" s="94"/>
      <c r="BB988" s="94"/>
      <c r="BC988" s="94"/>
      <c r="BD988" s="94"/>
      <c r="BE988" s="94"/>
      <c r="BF988" s="94"/>
    </row>
    <row r="989" spans="1:58" x14ac:dyDescent="0.35">
      <c r="A989" s="104" t="s">
        <v>2789</v>
      </c>
      <c r="B989" s="105" t="s">
        <v>0</v>
      </c>
      <c r="C989" s="106">
        <v>6</v>
      </c>
      <c r="D989" s="104" t="s">
        <v>564</v>
      </c>
      <c r="E989" s="106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4"/>
      <c r="BA989" s="94"/>
      <c r="BB989" s="94"/>
      <c r="BC989" s="94"/>
      <c r="BD989" s="94"/>
      <c r="BE989" s="94"/>
      <c r="BF989" s="94"/>
    </row>
    <row r="990" spans="1:58" x14ac:dyDescent="0.35">
      <c r="A990" s="107" t="s">
        <v>2790</v>
      </c>
      <c r="B990" s="108" t="s">
        <v>0</v>
      </c>
      <c r="C990" s="109">
        <v>7</v>
      </c>
      <c r="D990" s="107" t="s">
        <v>1076</v>
      </c>
      <c r="E990" s="109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4"/>
      <c r="BA990" s="94"/>
      <c r="BB990" s="94"/>
      <c r="BC990" s="94"/>
      <c r="BD990" s="94"/>
      <c r="BE990" s="94"/>
      <c r="BF990" s="94"/>
    </row>
    <row r="991" spans="1:58" x14ac:dyDescent="0.35">
      <c r="A991" s="107" t="s">
        <v>2791</v>
      </c>
      <c r="B991" s="108" t="s">
        <v>0</v>
      </c>
      <c r="C991" s="109">
        <v>7</v>
      </c>
      <c r="D991" s="107" t="s">
        <v>1077</v>
      </c>
      <c r="E991" s="109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4"/>
      <c r="BA991" s="94"/>
      <c r="BB991" s="94"/>
      <c r="BC991" s="94"/>
      <c r="BD991" s="94"/>
      <c r="BE991" s="94"/>
      <c r="BF991" s="94"/>
    </row>
    <row r="992" spans="1:58" x14ac:dyDescent="0.35">
      <c r="A992" s="107" t="s">
        <v>2792</v>
      </c>
      <c r="B992" s="108" t="s">
        <v>0</v>
      </c>
      <c r="C992" s="109">
        <v>7</v>
      </c>
      <c r="D992" s="107" t="s">
        <v>1075</v>
      </c>
      <c r="E992" s="109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4"/>
      <c r="BA992" s="94"/>
      <c r="BB992" s="94"/>
      <c r="BC992" s="94"/>
      <c r="BD992" s="94"/>
      <c r="BE992" s="94"/>
      <c r="BF992" s="94"/>
    </row>
    <row r="993" spans="1:58" x14ac:dyDescent="0.35">
      <c r="A993" s="107" t="s">
        <v>2793</v>
      </c>
      <c r="B993" s="108" t="s">
        <v>0</v>
      </c>
      <c r="C993" s="109">
        <v>7</v>
      </c>
      <c r="D993" s="107" t="s">
        <v>1078</v>
      </c>
      <c r="E993" s="109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4"/>
      <c r="BA993" s="94"/>
      <c r="BB993" s="94"/>
      <c r="BC993" s="94"/>
      <c r="BD993" s="94"/>
      <c r="BE993" s="94"/>
      <c r="BF993" s="94"/>
    </row>
    <row r="994" spans="1:58" x14ac:dyDescent="0.35">
      <c r="A994" s="107" t="s">
        <v>2794</v>
      </c>
      <c r="B994" s="108" t="s">
        <v>0</v>
      </c>
      <c r="C994" s="109">
        <v>7</v>
      </c>
      <c r="D994" s="107" t="s">
        <v>1080</v>
      </c>
      <c r="E994" s="109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4"/>
      <c r="BA994" s="94"/>
      <c r="BB994" s="94"/>
      <c r="BC994" s="94"/>
      <c r="BD994" s="94"/>
      <c r="BE994" s="94"/>
      <c r="BF994" s="94"/>
    </row>
    <row r="995" spans="1:58" x14ac:dyDescent="0.35">
      <c r="A995" s="107" t="s">
        <v>2795</v>
      </c>
      <c r="B995" s="108" t="s">
        <v>0</v>
      </c>
      <c r="C995" s="109">
        <v>7</v>
      </c>
      <c r="D995" s="107" t="s">
        <v>1655</v>
      </c>
      <c r="E995" s="109" t="s">
        <v>0</v>
      </c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4"/>
      <c r="BA995" s="94"/>
      <c r="BB995" s="94"/>
      <c r="BC995" s="94"/>
      <c r="BD995" s="94"/>
      <c r="BE995" s="94"/>
      <c r="BF995" s="94"/>
    </row>
    <row r="996" spans="1:58" x14ac:dyDescent="0.35">
      <c r="A996" s="104" t="s">
        <v>2796</v>
      </c>
      <c r="B996" s="105" t="s">
        <v>0</v>
      </c>
      <c r="C996" s="106">
        <v>6</v>
      </c>
      <c r="D996" s="104" t="s">
        <v>26</v>
      </c>
      <c r="E996" s="106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4"/>
      <c r="BA996" s="94"/>
      <c r="BB996" s="94"/>
      <c r="BC996" s="94"/>
      <c r="BD996" s="94"/>
      <c r="BE996" s="94"/>
      <c r="BF996" s="94"/>
    </row>
    <row r="997" spans="1:58" x14ac:dyDescent="0.35">
      <c r="A997" s="107" t="s">
        <v>2797</v>
      </c>
      <c r="B997" s="108" t="s">
        <v>0</v>
      </c>
      <c r="C997" s="109">
        <v>7</v>
      </c>
      <c r="D997" s="107" t="s">
        <v>1079</v>
      </c>
      <c r="E997" s="109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4"/>
      <c r="BA997" s="94"/>
      <c r="BB997" s="94"/>
      <c r="BC997" s="94"/>
      <c r="BD997" s="94"/>
      <c r="BE997" s="94"/>
      <c r="BF997" s="94"/>
    </row>
    <row r="998" spans="1:58" x14ac:dyDescent="0.35">
      <c r="A998" s="107" t="s">
        <v>2798</v>
      </c>
      <c r="B998" s="108" t="s">
        <v>0</v>
      </c>
      <c r="C998" s="109">
        <v>7</v>
      </c>
      <c r="D998" s="107" t="s">
        <v>1081</v>
      </c>
      <c r="E998" s="109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4"/>
      <c r="BA998" s="94"/>
      <c r="BB998" s="94"/>
      <c r="BC998" s="94"/>
      <c r="BD998" s="94"/>
      <c r="BE998" s="94"/>
      <c r="BF998" s="94"/>
    </row>
    <row r="999" spans="1:58" x14ac:dyDescent="0.35">
      <c r="A999" s="107" t="s">
        <v>2799</v>
      </c>
      <c r="B999" s="108" t="s">
        <v>0</v>
      </c>
      <c r="C999" s="109">
        <v>7</v>
      </c>
      <c r="D999" s="107" t="s">
        <v>1082</v>
      </c>
      <c r="E999" s="109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4"/>
      <c r="BA999" s="94"/>
      <c r="BB999" s="94"/>
      <c r="BC999" s="94"/>
      <c r="BD999" s="94"/>
      <c r="BE999" s="94"/>
      <c r="BF999" s="94"/>
    </row>
    <row r="1000" spans="1:58" x14ac:dyDescent="0.35">
      <c r="A1000" s="107" t="s">
        <v>2800</v>
      </c>
      <c r="B1000" s="108" t="s">
        <v>0</v>
      </c>
      <c r="C1000" s="109">
        <v>7</v>
      </c>
      <c r="D1000" s="107" t="s">
        <v>1083</v>
      </c>
      <c r="E1000" s="109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4"/>
      <c r="BA1000" s="94"/>
      <c r="BB1000" s="94"/>
      <c r="BC1000" s="94"/>
      <c r="BD1000" s="94"/>
      <c r="BE1000" s="94"/>
      <c r="BF1000" s="94"/>
    </row>
    <row r="1001" spans="1:58" x14ac:dyDescent="0.35">
      <c r="A1001" s="104" t="s">
        <v>2801</v>
      </c>
      <c r="B1001" s="105" t="s">
        <v>0</v>
      </c>
      <c r="C1001" s="106">
        <v>6</v>
      </c>
      <c r="D1001" s="104" t="s">
        <v>16</v>
      </c>
      <c r="E1001" s="106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4"/>
      <c r="BA1001" s="94"/>
      <c r="BB1001" s="94"/>
      <c r="BC1001" s="94"/>
      <c r="BD1001" s="94"/>
      <c r="BE1001" s="94"/>
      <c r="BF1001" s="94"/>
    </row>
    <row r="1002" spans="1:58" x14ac:dyDescent="0.35">
      <c r="A1002" s="107" t="s">
        <v>2802</v>
      </c>
      <c r="B1002" s="108" t="s">
        <v>0</v>
      </c>
      <c r="C1002" s="109">
        <v>7</v>
      </c>
      <c r="D1002" s="107" t="s">
        <v>1084</v>
      </c>
      <c r="E1002" s="109" t="s">
        <v>204</v>
      </c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4"/>
      <c r="BA1002" s="94"/>
      <c r="BB1002" s="94"/>
      <c r="BC1002" s="94"/>
      <c r="BD1002" s="94"/>
      <c r="BE1002" s="94"/>
      <c r="BF1002" s="94"/>
    </row>
    <row r="1003" spans="1:58" x14ac:dyDescent="0.35">
      <c r="A1003" s="104" t="s">
        <v>2803</v>
      </c>
      <c r="B1003" s="105" t="s">
        <v>0</v>
      </c>
      <c r="C1003" s="106">
        <v>6</v>
      </c>
      <c r="D1003" s="104" t="s">
        <v>30</v>
      </c>
      <c r="E1003" s="106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4"/>
      <c r="BA1003" s="94"/>
      <c r="BB1003" s="94"/>
      <c r="BC1003" s="94"/>
      <c r="BD1003" s="94"/>
      <c r="BE1003" s="94"/>
      <c r="BF1003" s="94"/>
    </row>
    <row r="1004" spans="1:58" x14ac:dyDescent="0.35">
      <c r="A1004" s="107" t="s">
        <v>2804</v>
      </c>
      <c r="B1004" s="108" t="s">
        <v>0</v>
      </c>
      <c r="C1004" s="109">
        <v>7</v>
      </c>
      <c r="D1004" s="107" t="s">
        <v>1656</v>
      </c>
      <c r="E1004" s="109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4"/>
      <c r="BA1004" s="94"/>
      <c r="BB1004" s="94"/>
      <c r="BC1004" s="94"/>
      <c r="BD1004" s="94"/>
      <c r="BE1004" s="94"/>
      <c r="BF1004" s="94"/>
    </row>
    <row r="1005" spans="1:58" x14ac:dyDescent="0.35">
      <c r="A1005" s="107" t="s">
        <v>2805</v>
      </c>
      <c r="B1005" s="108" t="s">
        <v>0</v>
      </c>
      <c r="C1005" s="109">
        <v>7</v>
      </c>
      <c r="D1005" s="107" t="s">
        <v>1659</v>
      </c>
      <c r="E1005" s="109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4"/>
      <c r="BA1005" s="94"/>
      <c r="BB1005" s="94"/>
      <c r="BC1005" s="94"/>
      <c r="BD1005" s="94"/>
      <c r="BE1005" s="94"/>
      <c r="BF1005" s="94"/>
    </row>
    <row r="1006" spans="1:58" x14ac:dyDescent="0.35">
      <c r="A1006" s="107" t="s">
        <v>2806</v>
      </c>
      <c r="B1006" s="108" t="s">
        <v>0</v>
      </c>
      <c r="C1006" s="109">
        <v>7</v>
      </c>
      <c r="D1006" s="107" t="s">
        <v>1657</v>
      </c>
      <c r="E1006" s="109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4"/>
      <c r="BA1006" s="94"/>
      <c r="BB1006" s="94"/>
      <c r="BC1006" s="94"/>
      <c r="BD1006" s="94"/>
      <c r="BE1006" s="94"/>
      <c r="BF1006" s="94"/>
    </row>
    <row r="1007" spans="1:58" x14ac:dyDescent="0.35">
      <c r="A1007" s="107" t="s">
        <v>2807</v>
      </c>
      <c r="B1007" s="108" t="s">
        <v>0</v>
      </c>
      <c r="C1007" s="109">
        <v>7</v>
      </c>
      <c r="D1007" s="107" t="s">
        <v>1658</v>
      </c>
      <c r="E1007" s="109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  <c r="AG1007" s="94"/>
      <c r="AH1007" s="94"/>
      <c r="AI1007" s="94"/>
      <c r="AJ1007" s="94"/>
      <c r="AK1007" s="94"/>
      <c r="AL1007" s="94"/>
      <c r="AM1007" s="94"/>
      <c r="AN1007" s="94"/>
      <c r="AO1007" s="94"/>
      <c r="AP1007" s="94"/>
      <c r="AQ1007" s="94"/>
      <c r="AR1007" s="94"/>
      <c r="AS1007" s="94"/>
      <c r="AT1007" s="94"/>
      <c r="AU1007" s="94"/>
      <c r="AV1007" s="94"/>
      <c r="AW1007" s="94"/>
      <c r="AX1007" s="94"/>
      <c r="AY1007" s="94"/>
      <c r="AZ1007" s="94"/>
      <c r="BA1007" s="94"/>
      <c r="BB1007" s="94"/>
      <c r="BC1007" s="94"/>
      <c r="BD1007" s="94"/>
      <c r="BE1007" s="94"/>
      <c r="BF1007" s="94"/>
    </row>
    <row r="1008" spans="1:58" x14ac:dyDescent="0.35">
      <c r="A1008" s="104" t="s">
        <v>2808</v>
      </c>
      <c r="B1008" s="105" t="s">
        <v>0</v>
      </c>
      <c r="C1008" s="106">
        <v>6</v>
      </c>
      <c r="D1008" s="104" t="s">
        <v>123</v>
      </c>
      <c r="E1008" s="106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  <c r="AG1008" s="94"/>
      <c r="AH1008" s="94"/>
      <c r="AI1008" s="94"/>
      <c r="AJ1008" s="94"/>
      <c r="AK1008" s="94"/>
      <c r="AL1008" s="94"/>
      <c r="AM1008" s="94"/>
      <c r="AN1008" s="94"/>
      <c r="AO1008" s="94"/>
      <c r="AP1008" s="94"/>
      <c r="AQ1008" s="94"/>
      <c r="AR1008" s="94"/>
      <c r="AS1008" s="94"/>
      <c r="AT1008" s="94"/>
      <c r="AU1008" s="94"/>
      <c r="AV1008" s="94"/>
      <c r="AW1008" s="94"/>
      <c r="AX1008" s="94"/>
      <c r="AY1008" s="94"/>
      <c r="AZ1008" s="94"/>
      <c r="BA1008" s="94"/>
      <c r="BB1008" s="94"/>
      <c r="BC1008" s="94"/>
      <c r="BD1008" s="94"/>
      <c r="BE1008" s="94"/>
      <c r="BF1008" s="94"/>
    </row>
    <row r="1009" spans="1:58" x14ac:dyDescent="0.35">
      <c r="A1009" s="107" t="s">
        <v>2809</v>
      </c>
      <c r="B1009" s="108" t="s">
        <v>0</v>
      </c>
      <c r="C1009" s="109">
        <v>7</v>
      </c>
      <c r="D1009" s="107" t="s">
        <v>1654</v>
      </c>
      <c r="E1009" s="109"/>
      <c r="F1009" s="94"/>
      <c r="G1009" s="94"/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  <c r="AA1009" s="94"/>
      <c r="AB1009" s="94"/>
      <c r="AC1009" s="94"/>
      <c r="AD1009" s="94"/>
      <c r="AE1009" s="94"/>
      <c r="AF1009" s="94"/>
      <c r="AG1009" s="94"/>
      <c r="AH1009" s="94"/>
      <c r="AI1009" s="94"/>
      <c r="AJ1009" s="94"/>
      <c r="AK1009" s="94"/>
      <c r="AL1009" s="94"/>
      <c r="AM1009" s="94"/>
      <c r="AN1009" s="94"/>
      <c r="AO1009" s="94"/>
      <c r="AP1009" s="94"/>
      <c r="AQ1009" s="94"/>
      <c r="AR1009" s="94"/>
      <c r="AS1009" s="94"/>
      <c r="AT1009" s="94"/>
      <c r="AU1009" s="94"/>
      <c r="AV1009" s="94"/>
      <c r="AW1009" s="94"/>
      <c r="AX1009" s="94"/>
      <c r="AY1009" s="94"/>
      <c r="AZ1009" s="94"/>
      <c r="BA1009" s="94"/>
      <c r="BB1009" s="94"/>
      <c r="BC1009" s="94"/>
      <c r="BD1009" s="94"/>
      <c r="BE1009" s="94"/>
      <c r="BF1009" s="94"/>
    </row>
    <row r="1010" spans="1:58" x14ac:dyDescent="0.35">
      <c r="A1010" s="101" t="s">
        <v>2810</v>
      </c>
      <c r="B1010" s="102" t="s">
        <v>0</v>
      </c>
      <c r="C1010" s="103">
        <v>5</v>
      </c>
      <c r="D1010" s="101" t="s">
        <v>457</v>
      </c>
      <c r="E1010" s="103" t="s">
        <v>205</v>
      </c>
      <c r="F1010" s="94"/>
      <c r="G1010" s="94"/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  <c r="AA1010" s="94"/>
      <c r="AB1010" s="94"/>
      <c r="AC1010" s="94"/>
      <c r="AD1010" s="94"/>
      <c r="AE1010" s="94"/>
      <c r="AF1010" s="94"/>
      <c r="AG1010" s="94"/>
      <c r="AH1010" s="94"/>
      <c r="AI1010" s="94"/>
      <c r="AJ1010" s="94"/>
      <c r="AK1010" s="94"/>
      <c r="AL1010" s="94"/>
      <c r="AM1010" s="94"/>
      <c r="AN1010" s="94"/>
      <c r="AO1010" s="94"/>
      <c r="AP1010" s="94"/>
      <c r="AQ1010" s="94"/>
      <c r="AR1010" s="94"/>
      <c r="AS1010" s="94"/>
      <c r="AT1010" s="94"/>
      <c r="AU1010" s="94"/>
      <c r="AV1010" s="94"/>
      <c r="AW1010" s="94"/>
      <c r="AX1010" s="94"/>
      <c r="AY1010" s="94"/>
      <c r="AZ1010" s="94"/>
      <c r="BA1010" s="94"/>
      <c r="BB1010" s="94"/>
      <c r="BC1010" s="94"/>
      <c r="BD1010" s="94"/>
      <c r="BE1010" s="94"/>
      <c r="BF1010" s="94"/>
    </row>
    <row r="1011" spans="1:58" x14ac:dyDescent="0.35">
      <c r="A1011" s="104" t="s">
        <v>2811</v>
      </c>
      <c r="B1011" s="105" t="s">
        <v>0</v>
      </c>
      <c r="C1011" s="106">
        <v>6</v>
      </c>
      <c r="D1011" s="104" t="s">
        <v>564</v>
      </c>
      <c r="E1011" s="106"/>
      <c r="F1011" s="94"/>
      <c r="G1011" s="94"/>
      <c r="H1011" s="94"/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  <c r="W1011" s="94"/>
      <c r="X1011" s="94"/>
      <c r="Y1011" s="94"/>
      <c r="Z1011" s="94"/>
      <c r="AA1011" s="94"/>
      <c r="AB1011" s="94"/>
      <c r="AC1011" s="94"/>
      <c r="AD1011" s="94"/>
      <c r="AE1011" s="94"/>
      <c r="AF1011" s="94"/>
      <c r="AG1011" s="94"/>
      <c r="AH1011" s="94"/>
      <c r="AI1011" s="94"/>
      <c r="AJ1011" s="94"/>
      <c r="AK1011" s="94"/>
      <c r="AL1011" s="94"/>
      <c r="AM1011" s="94"/>
      <c r="AN1011" s="94"/>
      <c r="AO1011" s="94"/>
      <c r="AP1011" s="94"/>
      <c r="AQ1011" s="94"/>
      <c r="AR1011" s="94"/>
      <c r="AS1011" s="94"/>
      <c r="AT1011" s="94"/>
      <c r="AU1011" s="94"/>
      <c r="AV1011" s="94"/>
      <c r="AW1011" s="94"/>
      <c r="AX1011" s="94"/>
      <c r="AY1011" s="94"/>
      <c r="AZ1011" s="94"/>
      <c r="BA1011" s="94"/>
      <c r="BB1011" s="94"/>
      <c r="BC1011" s="94"/>
      <c r="BD1011" s="94"/>
      <c r="BE1011" s="94"/>
      <c r="BF1011" s="94"/>
    </row>
    <row r="1012" spans="1:58" x14ac:dyDescent="0.35">
      <c r="A1012" s="107" t="s">
        <v>2812</v>
      </c>
      <c r="B1012" s="108" t="s">
        <v>0</v>
      </c>
      <c r="C1012" s="109">
        <v>7</v>
      </c>
      <c r="D1012" s="107" t="s">
        <v>1086</v>
      </c>
      <c r="E1012" s="109"/>
      <c r="F1012" s="94"/>
      <c r="G1012" s="94"/>
      <c r="H1012" s="94"/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  <c r="W1012" s="94"/>
      <c r="X1012" s="94"/>
      <c r="Y1012" s="94"/>
      <c r="Z1012" s="94"/>
      <c r="AA1012" s="94"/>
      <c r="AB1012" s="94"/>
      <c r="AC1012" s="94"/>
      <c r="AD1012" s="94"/>
      <c r="AE1012" s="94"/>
      <c r="AF1012" s="94"/>
      <c r="AG1012" s="94"/>
      <c r="AH1012" s="94"/>
      <c r="AI1012" s="94"/>
      <c r="AJ1012" s="94"/>
      <c r="AK1012" s="94"/>
      <c r="AL1012" s="94"/>
      <c r="AM1012" s="94"/>
      <c r="AN1012" s="94"/>
      <c r="AO1012" s="94"/>
      <c r="AP1012" s="94"/>
      <c r="AQ1012" s="94"/>
      <c r="AR1012" s="94"/>
      <c r="AS1012" s="94"/>
      <c r="AT1012" s="94"/>
      <c r="AU1012" s="94"/>
      <c r="AV1012" s="94"/>
      <c r="AW1012" s="94"/>
      <c r="AX1012" s="94"/>
      <c r="AY1012" s="94"/>
      <c r="AZ1012" s="94"/>
      <c r="BA1012" s="94"/>
      <c r="BB1012" s="94"/>
      <c r="BC1012" s="94"/>
      <c r="BD1012" s="94"/>
      <c r="BE1012" s="94"/>
      <c r="BF1012" s="94"/>
    </row>
    <row r="1013" spans="1:58" x14ac:dyDescent="0.35">
      <c r="A1013" s="107" t="s">
        <v>2813</v>
      </c>
      <c r="B1013" s="108" t="s">
        <v>0</v>
      </c>
      <c r="C1013" s="109">
        <v>7</v>
      </c>
      <c r="D1013" s="107" t="s">
        <v>1087</v>
      </c>
      <c r="E1013" s="109"/>
      <c r="F1013" s="94"/>
      <c r="G1013" s="94"/>
      <c r="H1013" s="94"/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  <c r="W1013" s="94"/>
      <c r="X1013" s="94"/>
      <c r="Y1013" s="94"/>
      <c r="Z1013" s="94"/>
      <c r="AA1013" s="94"/>
      <c r="AB1013" s="94"/>
      <c r="AC1013" s="94"/>
      <c r="AD1013" s="94"/>
      <c r="AE1013" s="94"/>
      <c r="AF1013" s="94"/>
      <c r="AG1013" s="94"/>
      <c r="AH1013" s="94"/>
      <c r="AI1013" s="94"/>
      <c r="AJ1013" s="94"/>
      <c r="AK1013" s="94"/>
      <c r="AL1013" s="94"/>
      <c r="AM1013" s="94"/>
      <c r="AN1013" s="94"/>
      <c r="AO1013" s="94"/>
      <c r="AP1013" s="94"/>
      <c r="AQ1013" s="94"/>
      <c r="AR1013" s="94"/>
      <c r="AS1013" s="94"/>
      <c r="AT1013" s="94"/>
      <c r="AU1013" s="94"/>
      <c r="AV1013" s="94"/>
      <c r="AW1013" s="94"/>
      <c r="AX1013" s="94"/>
      <c r="AY1013" s="94"/>
      <c r="AZ1013" s="94"/>
      <c r="BA1013" s="94"/>
      <c r="BB1013" s="94"/>
      <c r="BC1013" s="94"/>
      <c r="BD1013" s="94"/>
      <c r="BE1013" s="94"/>
      <c r="BF1013" s="94"/>
    </row>
    <row r="1014" spans="1:58" x14ac:dyDescent="0.35">
      <c r="A1014" s="107" t="s">
        <v>2814</v>
      </c>
      <c r="B1014" s="108" t="s">
        <v>0</v>
      </c>
      <c r="C1014" s="109">
        <v>7</v>
      </c>
      <c r="D1014" s="107" t="s">
        <v>1085</v>
      </c>
      <c r="E1014" s="109"/>
      <c r="F1014" s="94"/>
      <c r="G1014" s="94"/>
      <c r="H1014" s="94"/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  <c r="W1014" s="94"/>
      <c r="X1014" s="94"/>
      <c r="Y1014" s="94"/>
      <c r="Z1014" s="94"/>
      <c r="AA1014" s="94"/>
      <c r="AB1014" s="94"/>
      <c r="AC1014" s="94"/>
      <c r="AD1014" s="94"/>
      <c r="AE1014" s="94"/>
      <c r="AF1014" s="94"/>
      <c r="AG1014" s="94"/>
      <c r="AH1014" s="94"/>
      <c r="AI1014" s="94"/>
      <c r="AJ1014" s="94"/>
      <c r="AK1014" s="94"/>
      <c r="AL1014" s="94"/>
      <c r="AM1014" s="94"/>
      <c r="AN1014" s="94"/>
      <c r="AO1014" s="94"/>
      <c r="AP1014" s="94"/>
      <c r="AQ1014" s="94"/>
      <c r="AR1014" s="94"/>
      <c r="AS1014" s="94"/>
      <c r="AT1014" s="94"/>
      <c r="AU1014" s="94"/>
      <c r="AV1014" s="94"/>
      <c r="AW1014" s="94"/>
      <c r="AX1014" s="94"/>
      <c r="AY1014" s="94"/>
      <c r="AZ1014" s="94"/>
      <c r="BA1014" s="94"/>
      <c r="BB1014" s="94"/>
      <c r="BC1014" s="94"/>
      <c r="BD1014" s="94"/>
      <c r="BE1014" s="94"/>
      <c r="BF1014" s="94"/>
    </row>
    <row r="1015" spans="1:58" x14ac:dyDescent="0.35">
      <c r="A1015" s="107" t="s">
        <v>2815</v>
      </c>
      <c r="B1015" s="108" t="s">
        <v>0</v>
      </c>
      <c r="C1015" s="109">
        <v>7</v>
      </c>
      <c r="D1015" s="107" t="s">
        <v>1088</v>
      </c>
      <c r="E1015" s="109"/>
      <c r="F1015" s="94"/>
      <c r="G1015" s="94"/>
      <c r="H1015" s="94"/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  <c r="AA1015" s="94"/>
      <c r="AB1015" s="94"/>
      <c r="AC1015" s="94"/>
      <c r="AD1015" s="94"/>
      <c r="AE1015" s="94"/>
      <c r="AF1015" s="94"/>
      <c r="AG1015" s="94"/>
      <c r="AH1015" s="94"/>
      <c r="AI1015" s="94"/>
      <c r="AJ1015" s="94"/>
      <c r="AK1015" s="94"/>
      <c r="AL1015" s="94"/>
      <c r="AM1015" s="94"/>
      <c r="AN1015" s="94"/>
      <c r="AO1015" s="94"/>
      <c r="AP1015" s="94"/>
      <c r="AQ1015" s="94"/>
      <c r="AR1015" s="94"/>
      <c r="AS1015" s="94"/>
      <c r="AT1015" s="94"/>
      <c r="AU1015" s="94"/>
      <c r="AV1015" s="94"/>
      <c r="AW1015" s="94"/>
      <c r="AX1015" s="94"/>
      <c r="AY1015" s="94"/>
      <c r="AZ1015" s="94"/>
      <c r="BA1015" s="94"/>
      <c r="BB1015" s="94"/>
      <c r="BC1015" s="94"/>
      <c r="BD1015" s="94"/>
      <c r="BE1015" s="94"/>
      <c r="BF1015" s="94"/>
    </row>
    <row r="1016" spans="1:58" x14ac:dyDescent="0.35">
      <c r="A1016" s="107" t="s">
        <v>2816</v>
      </c>
      <c r="B1016" s="108" t="s">
        <v>0</v>
      </c>
      <c r="C1016" s="109">
        <v>7</v>
      </c>
      <c r="D1016" s="107" t="s">
        <v>1089</v>
      </c>
      <c r="E1016" s="109"/>
      <c r="F1016" s="94"/>
      <c r="G1016" s="94"/>
      <c r="H1016" s="94"/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  <c r="AA1016" s="94"/>
      <c r="AB1016" s="94"/>
      <c r="AC1016" s="94"/>
      <c r="AD1016" s="94"/>
      <c r="AE1016" s="94"/>
      <c r="AF1016" s="94"/>
      <c r="AG1016" s="94"/>
      <c r="AH1016" s="94"/>
      <c r="AI1016" s="94"/>
      <c r="AJ1016" s="94"/>
      <c r="AK1016" s="94"/>
      <c r="AL1016" s="94"/>
      <c r="AM1016" s="94"/>
      <c r="AN1016" s="94"/>
      <c r="AO1016" s="94"/>
      <c r="AP1016" s="94"/>
      <c r="AQ1016" s="94"/>
      <c r="AR1016" s="94"/>
      <c r="AS1016" s="94"/>
      <c r="AT1016" s="94"/>
      <c r="AU1016" s="94"/>
      <c r="AV1016" s="94"/>
      <c r="AW1016" s="94"/>
      <c r="AX1016" s="94"/>
      <c r="AY1016" s="94"/>
      <c r="AZ1016" s="94"/>
      <c r="BA1016" s="94"/>
      <c r="BB1016" s="94"/>
      <c r="BC1016" s="94"/>
      <c r="BD1016" s="94"/>
      <c r="BE1016" s="94"/>
      <c r="BF1016" s="94"/>
    </row>
    <row r="1017" spans="1:58" x14ac:dyDescent="0.35">
      <c r="A1017" s="107" t="s">
        <v>2817</v>
      </c>
      <c r="B1017" s="108" t="s">
        <v>0</v>
      </c>
      <c r="C1017" s="109">
        <v>7</v>
      </c>
      <c r="D1017" s="107" t="s">
        <v>1655</v>
      </c>
      <c r="E1017" s="109" t="s">
        <v>0</v>
      </c>
      <c r="F1017" s="94"/>
      <c r="G1017" s="94"/>
      <c r="H1017" s="94"/>
      <c r="I1017" s="94"/>
      <c r="J1017" s="94"/>
      <c r="K1017" s="94"/>
      <c r="L1017" s="94"/>
      <c r="M1017" s="94"/>
      <c r="N1017" s="94"/>
      <c r="O1017" s="94"/>
      <c r="P1017" s="94"/>
      <c r="Q1017" s="94"/>
      <c r="R1017" s="94"/>
      <c r="S1017" s="94"/>
      <c r="T1017" s="94"/>
      <c r="U1017" s="94"/>
      <c r="V1017" s="94"/>
      <c r="W1017" s="94"/>
      <c r="X1017" s="94"/>
      <c r="Y1017" s="94"/>
      <c r="Z1017" s="94"/>
      <c r="AA1017" s="94"/>
      <c r="AB1017" s="94"/>
      <c r="AC1017" s="94"/>
      <c r="AD1017" s="94"/>
      <c r="AE1017" s="94"/>
      <c r="AF1017" s="94"/>
      <c r="AG1017" s="94"/>
      <c r="AH1017" s="94"/>
      <c r="AI1017" s="94"/>
      <c r="AJ1017" s="94"/>
      <c r="AK1017" s="94"/>
      <c r="AL1017" s="94"/>
      <c r="AM1017" s="94"/>
      <c r="AN1017" s="94"/>
      <c r="AO1017" s="94"/>
      <c r="AP1017" s="94"/>
      <c r="AQ1017" s="94"/>
      <c r="AR1017" s="94"/>
      <c r="AS1017" s="94"/>
      <c r="AT1017" s="94"/>
      <c r="AU1017" s="94"/>
      <c r="AV1017" s="94"/>
      <c r="AW1017" s="94"/>
      <c r="AX1017" s="94"/>
      <c r="AY1017" s="94"/>
      <c r="AZ1017" s="94"/>
      <c r="BA1017" s="94"/>
      <c r="BB1017" s="94"/>
      <c r="BC1017" s="94"/>
      <c r="BD1017" s="94"/>
      <c r="BE1017" s="94"/>
      <c r="BF1017" s="94"/>
    </row>
    <row r="1018" spans="1:58" x14ac:dyDescent="0.35">
      <c r="A1018" s="104" t="s">
        <v>2818</v>
      </c>
      <c r="B1018" s="105" t="s">
        <v>0</v>
      </c>
      <c r="C1018" s="106">
        <v>6</v>
      </c>
      <c r="D1018" s="104" t="s">
        <v>26</v>
      </c>
      <c r="E1018" s="106"/>
      <c r="F1018" s="94"/>
      <c r="G1018" s="94"/>
      <c r="H1018" s="94"/>
      <c r="I1018" s="94"/>
      <c r="J1018" s="94"/>
      <c r="K1018" s="94"/>
      <c r="L1018" s="94"/>
      <c r="M1018" s="94"/>
      <c r="N1018" s="94"/>
      <c r="O1018" s="94"/>
      <c r="P1018" s="94"/>
      <c r="Q1018" s="94"/>
      <c r="R1018" s="94"/>
      <c r="S1018" s="94"/>
      <c r="T1018" s="94"/>
      <c r="U1018" s="94"/>
      <c r="V1018" s="94"/>
      <c r="W1018" s="94"/>
      <c r="X1018" s="94"/>
      <c r="Y1018" s="94"/>
      <c r="Z1018" s="94"/>
      <c r="AA1018" s="94"/>
      <c r="AB1018" s="94"/>
      <c r="AC1018" s="94"/>
      <c r="AD1018" s="94"/>
      <c r="AE1018" s="94"/>
      <c r="AF1018" s="94"/>
      <c r="AG1018" s="94"/>
      <c r="AH1018" s="94"/>
      <c r="AI1018" s="94"/>
      <c r="AJ1018" s="94"/>
      <c r="AK1018" s="94"/>
      <c r="AL1018" s="94"/>
      <c r="AM1018" s="94"/>
      <c r="AN1018" s="94"/>
      <c r="AO1018" s="94"/>
      <c r="AP1018" s="94"/>
      <c r="AQ1018" s="94"/>
      <c r="AR1018" s="94"/>
      <c r="AS1018" s="94"/>
      <c r="AT1018" s="94"/>
      <c r="AU1018" s="94"/>
      <c r="AV1018" s="94"/>
      <c r="AW1018" s="94"/>
      <c r="AX1018" s="94"/>
      <c r="AY1018" s="94"/>
      <c r="AZ1018" s="94"/>
      <c r="BA1018" s="94"/>
      <c r="BB1018" s="94"/>
      <c r="BC1018" s="94"/>
      <c r="BD1018" s="94"/>
      <c r="BE1018" s="94"/>
      <c r="BF1018" s="94"/>
    </row>
    <row r="1019" spans="1:58" x14ac:dyDescent="0.35">
      <c r="A1019" s="107" t="s">
        <v>2819</v>
      </c>
      <c r="B1019" s="108" t="s">
        <v>0</v>
      </c>
      <c r="C1019" s="109">
        <v>7</v>
      </c>
      <c r="D1019" s="107" t="s">
        <v>1090</v>
      </c>
      <c r="E1019" s="109"/>
      <c r="F1019" s="94"/>
      <c r="G1019" s="94"/>
      <c r="H1019" s="94"/>
      <c r="I1019" s="94"/>
      <c r="J1019" s="94"/>
      <c r="K1019" s="94"/>
      <c r="L1019" s="94"/>
      <c r="M1019" s="94"/>
      <c r="N1019" s="94"/>
      <c r="O1019" s="94"/>
      <c r="P1019" s="94"/>
      <c r="Q1019" s="94"/>
      <c r="R1019" s="94"/>
      <c r="S1019" s="94"/>
      <c r="T1019" s="94"/>
      <c r="U1019" s="94"/>
      <c r="V1019" s="94"/>
      <c r="W1019" s="94"/>
      <c r="X1019" s="94"/>
      <c r="Y1019" s="94"/>
      <c r="Z1019" s="94"/>
      <c r="AA1019" s="94"/>
      <c r="AB1019" s="94"/>
      <c r="AC1019" s="94"/>
      <c r="AD1019" s="94"/>
      <c r="AE1019" s="94"/>
      <c r="AF1019" s="94"/>
      <c r="AG1019" s="94"/>
      <c r="AH1019" s="94"/>
      <c r="AI1019" s="94"/>
      <c r="AJ1019" s="94"/>
      <c r="AK1019" s="94"/>
      <c r="AL1019" s="94"/>
      <c r="AM1019" s="94"/>
      <c r="AN1019" s="94"/>
      <c r="AO1019" s="94"/>
      <c r="AP1019" s="94"/>
      <c r="AQ1019" s="94"/>
      <c r="AR1019" s="94"/>
      <c r="AS1019" s="94"/>
      <c r="AT1019" s="94"/>
      <c r="AU1019" s="94"/>
      <c r="AV1019" s="94"/>
      <c r="AW1019" s="94"/>
      <c r="AX1019" s="94"/>
      <c r="AY1019" s="94"/>
      <c r="AZ1019" s="94"/>
      <c r="BA1019" s="94"/>
      <c r="BB1019" s="94"/>
      <c r="BC1019" s="94"/>
      <c r="BD1019" s="94"/>
      <c r="BE1019" s="94"/>
      <c r="BF1019" s="94"/>
    </row>
    <row r="1020" spans="1:58" x14ac:dyDescent="0.35">
      <c r="A1020" s="107" t="s">
        <v>2820</v>
      </c>
      <c r="B1020" s="108" t="s">
        <v>0</v>
      </c>
      <c r="C1020" s="109">
        <v>7</v>
      </c>
      <c r="D1020" s="107" t="s">
        <v>1091</v>
      </c>
      <c r="E1020" s="109"/>
      <c r="F1020" s="94"/>
      <c r="G1020" s="94"/>
      <c r="H1020" s="94"/>
      <c r="I1020" s="94"/>
      <c r="J1020" s="94"/>
      <c r="K1020" s="94"/>
      <c r="L1020" s="94"/>
      <c r="M1020" s="94"/>
      <c r="N1020" s="94"/>
      <c r="O1020" s="94"/>
      <c r="P1020" s="94"/>
      <c r="Q1020" s="94"/>
      <c r="R1020" s="94"/>
      <c r="S1020" s="94"/>
      <c r="T1020" s="94"/>
      <c r="U1020" s="94"/>
      <c r="V1020" s="94"/>
      <c r="W1020" s="94"/>
      <c r="X1020" s="94"/>
      <c r="Y1020" s="94"/>
      <c r="Z1020" s="94"/>
      <c r="AA1020" s="94"/>
      <c r="AB1020" s="94"/>
      <c r="AC1020" s="94"/>
      <c r="AD1020" s="94"/>
      <c r="AE1020" s="94"/>
      <c r="AF1020" s="94"/>
      <c r="AG1020" s="94"/>
      <c r="AH1020" s="94"/>
      <c r="AI1020" s="94"/>
      <c r="AJ1020" s="94"/>
      <c r="AK1020" s="94"/>
      <c r="AL1020" s="94"/>
      <c r="AM1020" s="94"/>
      <c r="AN1020" s="94"/>
      <c r="AO1020" s="94"/>
      <c r="AP1020" s="94"/>
      <c r="AQ1020" s="94"/>
      <c r="AR1020" s="94"/>
      <c r="AS1020" s="94"/>
      <c r="AT1020" s="94"/>
      <c r="AU1020" s="94"/>
      <c r="AV1020" s="94"/>
      <c r="AW1020" s="94"/>
      <c r="AX1020" s="94"/>
      <c r="AY1020" s="94"/>
      <c r="AZ1020" s="94"/>
      <c r="BA1020" s="94"/>
      <c r="BB1020" s="94"/>
      <c r="BC1020" s="94"/>
      <c r="BD1020" s="94"/>
      <c r="BE1020" s="94"/>
      <c r="BF1020" s="94"/>
    </row>
    <row r="1021" spans="1:58" x14ac:dyDescent="0.35">
      <c r="A1021" s="107" t="s">
        <v>2821</v>
      </c>
      <c r="B1021" s="108" t="s">
        <v>0</v>
      </c>
      <c r="C1021" s="109">
        <v>7</v>
      </c>
      <c r="D1021" s="107" t="s">
        <v>1092</v>
      </c>
      <c r="E1021" s="109"/>
      <c r="F1021" s="94"/>
      <c r="G1021" s="94"/>
      <c r="H1021" s="94"/>
      <c r="I1021" s="94"/>
      <c r="J1021" s="94"/>
      <c r="K1021" s="94"/>
      <c r="L1021" s="94"/>
      <c r="M1021" s="94"/>
      <c r="N1021" s="94"/>
      <c r="O1021" s="94"/>
      <c r="P1021" s="94"/>
      <c r="Q1021" s="94"/>
      <c r="R1021" s="94"/>
      <c r="S1021" s="94"/>
      <c r="T1021" s="94"/>
      <c r="U1021" s="94"/>
      <c r="V1021" s="94"/>
      <c r="W1021" s="94"/>
      <c r="X1021" s="94"/>
      <c r="Y1021" s="94"/>
      <c r="Z1021" s="94"/>
      <c r="AA1021" s="94"/>
      <c r="AB1021" s="94"/>
      <c r="AC1021" s="94"/>
      <c r="AD1021" s="94"/>
      <c r="AE1021" s="94"/>
      <c r="AF1021" s="94"/>
      <c r="AG1021" s="94"/>
      <c r="AH1021" s="94"/>
      <c r="AI1021" s="94"/>
      <c r="AJ1021" s="94"/>
      <c r="AK1021" s="94"/>
      <c r="AL1021" s="94"/>
      <c r="AM1021" s="94"/>
      <c r="AN1021" s="94"/>
      <c r="AO1021" s="94"/>
      <c r="AP1021" s="94"/>
      <c r="AQ1021" s="94"/>
      <c r="AR1021" s="94"/>
      <c r="AS1021" s="94"/>
      <c r="AT1021" s="94"/>
      <c r="AU1021" s="94"/>
      <c r="AV1021" s="94"/>
      <c r="AW1021" s="94"/>
      <c r="AX1021" s="94"/>
      <c r="AY1021" s="94"/>
      <c r="AZ1021" s="94"/>
      <c r="BA1021" s="94"/>
      <c r="BB1021" s="94"/>
      <c r="BC1021" s="94"/>
      <c r="BD1021" s="94"/>
      <c r="BE1021" s="94"/>
      <c r="BF1021" s="94"/>
    </row>
    <row r="1022" spans="1:58" x14ac:dyDescent="0.35">
      <c r="A1022" s="107" t="s">
        <v>2822</v>
      </c>
      <c r="B1022" s="108" t="s">
        <v>0</v>
      </c>
      <c r="C1022" s="109">
        <v>7</v>
      </c>
      <c r="D1022" s="107" t="s">
        <v>1093</v>
      </c>
      <c r="E1022" s="109"/>
      <c r="F1022" s="94"/>
      <c r="G1022" s="94"/>
      <c r="H1022" s="94"/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4"/>
      <c r="U1022" s="94"/>
      <c r="V1022" s="94"/>
      <c r="W1022" s="94"/>
      <c r="X1022" s="94"/>
      <c r="Y1022" s="94"/>
      <c r="Z1022" s="94"/>
      <c r="AA1022" s="94"/>
      <c r="AB1022" s="94"/>
      <c r="AC1022" s="94"/>
      <c r="AD1022" s="94"/>
      <c r="AE1022" s="94"/>
      <c r="AF1022" s="94"/>
      <c r="AG1022" s="94"/>
      <c r="AH1022" s="94"/>
      <c r="AI1022" s="94"/>
      <c r="AJ1022" s="94"/>
      <c r="AK1022" s="94"/>
      <c r="AL1022" s="94"/>
      <c r="AM1022" s="94"/>
      <c r="AN1022" s="94"/>
      <c r="AO1022" s="94"/>
      <c r="AP1022" s="94"/>
      <c r="AQ1022" s="94"/>
      <c r="AR1022" s="94"/>
      <c r="AS1022" s="94"/>
      <c r="AT1022" s="94"/>
      <c r="AU1022" s="94"/>
      <c r="AV1022" s="94"/>
      <c r="AW1022" s="94"/>
      <c r="AX1022" s="94"/>
      <c r="AY1022" s="94"/>
      <c r="AZ1022" s="94"/>
      <c r="BA1022" s="94"/>
      <c r="BB1022" s="94"/>
      <c r="BC1022" s="94"/>
      <c r="BD1022" s="94"/>
      <c r="BE1022" s="94"/>
      <c r="BF1022" s="94"/>
    </row>
    <row r="1023" spans="1:58" x14ac:dyDescent="0.35">
      <c r="A1023" s="104" t="s">
        <v>2823</v>
      </c>
      <c r="B1023" s="105" t="s">
        <v>0</v>
      </c>
      <c r="C1023" s="106">
        <v>6</v>
      </c>
      <c r="D1023" s="104" t="s">
        <v>16</v>
      </c>
      <c r="E1023" s="106"/>
      <c r="F1023" s="94"/>
      <c r="G1023" s="94"/>
      <c r="H1023" s="94"/>
      <c r="I1023" s="94"/>
      <c r="J1023" s="94"/>
      <c r="K1023" s="94"/>
      <c r="L1023" s="94"/>
      <c r="M1023" s="94"/>
      <c r="N1023" s="94"/>
      <c r="O1023" s="94"/>
      <c r="P1023" s="94"/>
      <c r="Q1023" s="94"/>
      <c r="R1023" s="94"/>
      <c r="S1023" s="94"/>
      <c r="T1023" s="94"/>
      <c r="U1023" s="94"/>
      <c r="V1023" s="94"/>
      <c r="W1023" s="94"/>
      <c r="X1023" s="94"/>
      <c r="Y1023" s="94"/>
      <c r="Z1023" s="94"/>
      <c r="AA1023" s="94"/>
      <c r="AB1023" s="94"/>
      <c r="AC1023" s="94"/>
      <c r="AD1023" s="94"/>
      <c r="AE1023" s="94"/>
      <c r="AF1023" s="94"/>
      <c r="AG1023" s="94"/>
      <c r="AH1023" s="94"/>
      <c r="AI1023" s="94"/>
      <c r="AJ1023" s="94"/>
      <c r="AK1023" s="94"/>
      <c r="AL1023" s="94"/>
      <c r="AM1023" s="94"/>
      <c r="AN1023" s="94"/>
      <c r="AO1023" s="94"/>
      <c r="AP1023" s="94"/>
      <c r="AQ1023" s="94"/>
      <c r="AR1023" s="94"/>
      <c r="AS1023" s="94"/>
      <c r="AT1023" s="94"/>
      <c r="AU1023" s="94"/>
      <c r="AV1023" s="94"/>
      <c r="AW1023" s="94"/>
      <c r="AX1023" s="94"/>
      <c r="AY1023" s="94"/>
      <c r="AZ1023" s="94"/>
      <c r="BA1023" s="94"/>
      <c r="BB1023" s="94"/>
      <c r="BC1023" s="94"/>
      <c r="BD1023" s="94"/>
      <c r="BE1023" s="94"/>
      <c r="BF1023" s="94"/>
    </row>
    <row r="1024" spans="1:58" x14ac:dyDescent="0.35">
      <c r="A1024" s="107" t="s">
        <v>2824</v>
      </c>
      <c r="B1024" s="108" t="s">
        <v>0</v>
      </c>
      <c r="C1024" s="109">
        <v>7</v>
      </c>
      <c r="D1024" s="107" t="s">
        <v>1094</v>
      </c>
      <c r="E1024" s="109" t="s">
        <v>206</v>
      </c>
      <c r="F1024" s="94"/>
      <c r="G1024" s="94"/>
      <c r="H1024" s="94"/>
      <c r="I1024" s="94"/>
      <c r="J1024" s="94"/>
      <c r="K1024" s="94"/>
      <c r="L1024" s="94"/>
      <c r="M1024" s="94"/>
      <c r="N1024" s="94"/>
      <c r="O1024" s="94"/>
      <c r="P1024" s="94"/>
      <c r="Q1024" s="94"/>
      <c r="R1024" s="94"/>
      <c r="S1024" s="94"/>
      <c r="T1024" s="94"/>
      <c r="U1024" s="94"/>
      <c r="V1024" s="94"/>
      <c r="W1024" s="94"/>
      <c r="X1024" s="94"/>
      <c r="Y1024" s="94"/>
      <c r="Z1024" s="94"/>
      <c r="AA1024" s="94"/>
      <c r="AB1024" s="94"/>
      <c r="AC1024" s="94"/>
      <c r="AD1024" s="94"/>
      <c r="AE1024" s="94"/>
      <c r="AF1024" s="94"/>
      <c r="AG1024" s="94"/>
      <c r="AH1024" s="94"/>
      <c r="AI1024" s="94"/>
      <c r="AJ1024" s="94"/>
      <c r="AK1024" s="94"/>
      <c r="AL1024" s="94"/>
      <c r="AM1024" s="94"/>
      <c r="AN1024" s="94"/>
      <c r="AO1024" s="94"/>
      <c r="AP1024" s="94"/>
      <c r="AQ1024" s="94"/>
      <c r="AR1024" s="94"/>
      <c r="AS1024" s="94"/>
      <c r="AT1024" s="94"/>
      <c r="AU1024" s="94"/>
      <c r="AV1024" s="94"/>
      <c r="AW1024" s="94"/>
      <c r="AX1024" s="94"/>
      <c r="AY1024" s="94"/>
      <c r="AZ1024" s="94"/>
      <c r="BA1024" s="94"/>
      <c r="BB1024" s="94"/>
      <c r="BC1024" s="94"/>
      <c r="BD1024" s="94"/>
      <c r="BE1024" s="94"/>
      <c r="BF1024" s="94"/>
    </row>
    <row r="1025" spans="1:58" x14ac:dyDescent="0.35">
      <c r="A1025" s="104" t="s">
        <v>2825</v>
      </c>
      <c r="B1025" s="105" t="s">
        <v>0</v>
      </c>
      <c r="C1025" s="106">
        <v>6</v>
      </c>
      <c r="D1025" s="104" t="s">
        <v>30</v>
      </c>
      <c r="E1025" s="106"/>
      <c r="F1025" s="94"/>
      <c r="G1025" s="94"/>
      <c r="H1025" s="94"/>
      <c r="I1025" s="94"/>
      <c r="J1025" s="94"/>
      <c r="K1025" s="94"/>
      <c r="L1025" s="94"/>
      <c r="M1025" s="94"/>
      <c r="N1025" s="94"/>
      <c r="O1025" s="94"/>
      <c r="P1025" s="94"/>
      <c r="Q1025" s="94"/>
      <c r="R1025" s="94"/>
      <c r="S1025" s="94"/>
      <c r="T1025" s="94"/>
      <c r="U1025" s="94"/>
      <c r="V1025" s="94"/>
      <c r="W1025" s="94"/>
      <c r="X1025" s="94"/>
      <c r="Y1025" s="94"/>
      <c r="Z1025" s="94"/>
      <c r="AA1025" s="94"/>
      <c r="AB1025" s="94"/>
      <c r="AC1025" s="94"/>
      <c r="AD1025" s="94"/>
      <c r="AE1025" s="94"/>
      <c r="AF1025" s="94"/>
      <c r="AG1025" s="94"/>
      <c r="AH1025" s="94"/>
      <c r="AI1025" s="94"/>
      <c r="AJ1025" s="94"/>
      <c r="AK1025" s="94"/>
      <c r="AL1025" s="94"/>
      <c r="AM1025" s="94"/>
      <c r="AN1025" s="94"/>
      <c r="AO1025" s="94"/>
      <c r="AP1025" s="94"/>
      <c r="AQ1025" s="94"/>
      <c r="AR1025" s="94"/>
      <c r="AS1025" s="94"/>
      <c r="AT1025" s="94"/>
      <c r="AU1025" s="94"/>
      <c r="AV1025" s="94"/>
      <c r="AW1025" s="94"/>
      <c r="AX1025" s="94"/>
      <c r="AY1025" s="94"/>
      <c r="AZ1025" s="94"/>
      <c r="BA1025" s="94"/>
      <c r="BB1025" s="94"/>
      <c r="BC1025" s="94"/>
      <c r="BD1025" s="94"/>
      <c r="BE1025" s="94"/>
      <c r="BF1025" s="94"/>
    </row>
    <row r="1026" spans="1:58" x14ac:dyDescent="0.35">
      <c r="A1026" s="107" t="s">
        <v>2826</v>
      </c>
      <c r="B1026" s="108" t="s">
        <v>0</v>
      </c>
      <c r="C1026" s="109">
        <v>7</v>
      </c>
      <c r="D1026" s="107" t="s">
        <v>1656</v>
      </c>
      <c r="E1026" s="109"/>
      <c r="F1026" s="94"/>
      <c r="G1026" s="94"/>
      <c r="H1026" s="94"/>
      <c r="I1026" s="94"/>
      <c r="J1026" s="94"/>
      <c r="K1026" s="94"/>
      <c r="L1026" s="94"/>
      <c r="M1026" s="94"/>
      <c r="N1026" s="94"/>
      <c r="O1026" s="94"/>
      <c r="P1026" s="94"/>
      <c r="Q1026" s="94"/>
      <c r="R1026" s="94"/>
      <c r="S1026" s="94"/>
      <c r="T1026" s="94"/>
      <c r="U1026" s="94"/>
      <c r="V1026" s="94"/>
      <c r="W1026" s="94"/>
      <c r="X1026" s="94"/>
      <c r="Y1026" s="94"/>
      <c r="Z1026" s="94"/>
      <c r="AA1026" s="94"/>
      <c r="AB1026" s="94"/>
      <c r="AC1026" s="94"/>
      <c r="AD1026" s="94"/>
      <c r="AE1026" s="94"/>
      <c r="AF1026" s="94"/>
      <c r="AG1026" s="94"/>
      <c r="AH1026" s="94"/>
      <c r="AI1026" s="94"/>
      <c r="AJ1026" s="94"/>
      <c r="AK1026" s="94"/>
      <c r="AL1026" s="94"/>
      <c r="AM1026" s="94"/>
      <c r="AN1026" s="94"/>
      <c r="AO1026" s="94"/>
      <c r="AP1026" s="94"/>
      <c r="AQ1026" s="94"/>
      <c r="AR1026" s="94"/>
      <c r="AS1026" s="94"/>
      <c r="AT1026" s="94"/>
      <c r="AU1026" s="94"/>
      <c r="AV1026" s="94"/>
      <c r="AW1026" s="94"/>
      <c r="AX1026" s="94"/>
      <c r="AY1026" s="94"/>
      <c r="AZ1026" s="94"/>
      <c r="BA1026" s="94"/>
      <c r="BB1026" s="94"/>
      <c r="BC1026" s="94"/>
      <c r="BD1026" s="94"/>
      <c r="BE1026" s="94"/>
      <c r="BF1026" s="94"/>
    </row>
    <row r="1027" spans="1:58" x14ac:dyDescent="0.35">
      <c r="A1027" s="107" t="s">
        <v>2827</v>
      </c>
      <c r="B1027" s="108" t="s">
        <v>0</v>
      </c>
      <c r="C1027" s="109">
        <v>7</v>
      </c>
      <c r="D1027" s="107" t="s">
        <v>1659</v>
      </c>
      <c r="E1027" s="109"/>
      <c r="F1027" s="94"/>
      <c r="G1027" s="94"/>
      <c r="H1027" s="94"/>
      <c r="I1027" s="94"/>
      <c r="J1027" s="94"/>
      <c r="K1027" s="94"/>
      <c r="L1027" s="94"/>
      <c r="M1027" s="94"/>
      <c r="N1027" s="94"/>
      <c r="O1027" s="94"/>
      <c r="P1027" s="94"/>
      <c r="Q1027" s="94"/>
      <c r="R1027" s="94"/>
      <c r="S1027" s="94"/>
      <c r="T1027" s="94"/>
      <c r="U1027" s="94"/>
      <c r="V1027" s="94"/>
      <c r="W1027" s="94"/>
      <c r="X1027" s="94"/>
      <c r="Y1027" s="94"/>
      <c r="Z1027" s="94"/>
      <c r="AA1027" s="94"/>
      <c r="AB1027" s="94"/>
      <c r="AC1027" s="94"/>
      <c r="AD1027" s="94"/>
      <c r="AE1027" s="94"/>
      <c r="AF1027" s="94"/>
      <c r="AG1027" s="94"/>
      <c r="AH1027" s="94"/>
      <c r="AI1027" s="94"/>
      <c r="AJ1027" s="94"/>
      <c r="AK1027" s="94"/>
      <c r="AL1027" s="94"/>
      <c r="AM1027" s="94"/>
      <c r="AN1027" s="94"/>
      <c r="AO1027" s="94"/>
      <c r="AP1027" s="94"/>
      <c r="AQ1027" s="94"/>
      <c r="AR1027" s="94"/>
      <c r="AS1027" s="94"/>
      <c r="AT1027" s="94"/>
      <c r="AU1027" s="94"/>
      <c r="AV1027" s="94"/>
      <c r="AW1027" s="94"/>
      <c r="AX1027" s="94"/>
      <c r="AY1027" s="94"/>
      <c r="AZ1027" s="94"/>
      <c r="BA1027" s="94"/>
      <c r="BB1027" s="94"/>
      <c r="BC1027" s="94"/>
      <c r="BD1027" s="94"/>
      <c r="BE1027" s="94"/>
      <c r="BF1027" s="94"/>
    </row>
    <row r="1028" spans="1:58" x14ac:dyDescent="0.35">
      <c r="A1028" s="107" t="s">
        <v>2828</v>
      </c>
      <c r="B1028" s="108" t="s">
        <v>0</v>
      </c>
      <c r="C1028" s="109">
        <v>7</v>
      </c>
      <c r="D1028" s="107" t="s">
        <v>1657</v>
      </c>
      <c r="E1028" s="109"/>
      <c r="F1028" s="94"/>
      <c r="G1028" s="94"/>
      <c r="H1028" s="94"/>
      <c r="I1028" s="94"/>
      <c r="J1028" s="94"/>
      <c r="K1028" s="94"/>
      <c r="L1028" s="94"/>
      <c r="M1028" s="94"/>
      <c r="N1028" s="94"/>
      <c r="O1028" s="94"/>
      <c r="P1028" s="94"/>
      <c r="Q1028" s="94"/>
      <c r="R1028" s="94"/>
      <c r="S1028" s="94"/>
      <c r="T1028" s="94"/>
      <c r="U1028" s="94"/>
      <c r="V1028" s="94"/>
      <c r="W1028" s="94"/>
      <c r="X1028" s="94"/>
      <c r="Y1028" s="94"/>
      <c r="Z1028" s="94"/>
      <c r="AA1028" s="94"/>
      <c r="AB1028" s="94"/>
      <c r="AC1028" s="94"/>
      <c r="AD1028" s="94"/>
      <c r="AE1028" s="94"/>
      <c r="AF1028" s="94"/>
      <c r="AG1028" s="94"/>
      <c r="AH1028" s="94"/>
      <c r="AI1028" s="94"/>
      <c r="AJ1028" s="94"/>
      <c r="AK1028" s="94"/>
      <c r="AL1028" s="94"/>
      <c r="AM1028" s="94"/>
      <c r="AN1028" s="94"/>
      <c r="AO1028" s="94"/>
      <c r="AP1028" s="94"/>
      <c r="AQ1028" s="94"/>
      <c r="AR1028" s="94"/>
      <c r="AS1028" s="94"/>
      <c r="AT1028" s="94"/>
      <c r="AU1028" s="94"/>
      <c r="AV1028" s="94"/>
      <c r="AW1028" s="94"/>
      <c r="AX1028" s="94"/>
      <c r="AY1028" s="94"/>
      <c r="AZ1028" s="94"/>
      <c r="BA1028" s="94"/>
      <c r="BB1028" s="94"/>
      <c r="BC1028" s="94"/>
      <c r="BD1028" s="94"/>
      <c r="BE1028" s="94"/>
      <c r="BF1028" s="94"/>
    </row>
    <row r="1029" spans="1:58" x14ac:dyDescent="0.35">
      <c r="A1029" s="107" t="s">
        <v>2829</v>
      </c>
      <c r="B1029" s="108" t="s">
        <v>0</v>
      </c>
      <c r="C1029" s="109">
        <v>7</v>
      </c>
      <c r="D1029" s="107" t="s">
        <v>1658</v>
      </c>
      <c r="E1029" s="109"/>
      <c r="F1029" s="94"/>
      <c r="G1029" s="94"/>
      <c r="H1029" s="94"/>
      <c r="I1029" s="94"/>
      <c r="J1029" s="94"/>
      <c r="K1029" s="94"/>
      <c r="L1029" s="94"/>
      <c r="M1029" s="94"/>
      <c r="N1029" s="94"/>
      <c r="O1029" s="94"/>
      <c r="P1029" s="94"/>
      <c r="Q1029" s="94"/>
      <c r="R1029" s="94"/>
      <c r="S1029" s="94"/>
      <c r="T1029" s="94"/>
      <c r="U1029" s="94"/>
      <c r="V1029" s="94"/>
      <c r="W1029" s="94"/>
      <c r="X1029" s="94"/>
      <c r="Y1029" s="94"/>
      <c r="Z1029" s="94"/>
      <c r="AA1029" s="94"/>
      <c r="AB1029" s="94"/>
      <c r="AC1029" s="94"/>
      <c r="AD1029" s="94"/>
      <c r="AE1029" s="94"/>
      <c r="AF1029" s="94"/>
      <c r="AG1029" s="94"/>
      <c r="AH1029" s="94"/>
      <c r="AI1029" s="94"/>
      <c r="AJ1029" s="94"/>
      <c r="AK1029" s="94"/>
      <c r="AL1029" s="94"/>
      <c r="AM1029" s="94"/>
      <c r="AN1029" s="94"/>
      <c r="AO1029" s="94"/>
      <c r="AP1029" s="94"/>
      <c r="AQ1029" s="94"/>
      <c r="AR1029" s="94"/>
      <c r="AS1029" s="94"/>
      <c r="AT1029" s="94"/>
      <c r="AU1029" s="94"/>
      <c r="AV1029" s="94"/>
      <c r="AW1029" s="94"/>
      <c r="AX1029" s="94"/>
      <c r="AY1029" s="94"/>
      <c r="AZ1029" s="94"/>
      <c r="BA1029" s="94"/>
      <c r="BB1029" s="94"/>
      <c r="BC1029" s="94"/>
      <c r="BD1029" s="94"/>
      <c r="BE1029" s="94"/>
      <c r="BF1029" s="94"/>
    </row>
    <row r="1030" spans="1:58" x14ac:dyDescent="0.35">
      <c r="A1030" s="104" t="s">
        <v>2830</v>
      </c>
      <c r="B1030" s="105" t="s">
        <v>0</v>
      </c>
      <c r="C1030" s="106">
        <v>6</v>
      </c>
      <c r="D1030" s="104" t="s">
        <v>123</v>
      </c>
      <c r="E1030" s="106"/>
      <c r="F1030" s="94"/>
      <c r="G1030" s="94"/>
      <c r="H1030" s="94"/>
      <c r="I1030" s="94"/>
      <c r="J1030" s="94"/>
      <c r="K1030" s="94"/>
      <c r="L1030" s="94"/>
      <c r="M1030" s="94"/>
      <c r="N1030" s="94"/>
      <c r="O1030" s="94"/>
      <c r="P1030" s="94"/>
      <c r="Q1030" s="94"/>
      <c r="R1030" s="94"/>
      <c r="S1030" s="94"/>
      <c r="T1030" s="94"/>
      <c r="U1030" s="94"/>
      <c r="V1030" s="94"/>
      <c r="W1030" s="94"/>
      <c r="X1030" s="94"/>
      <c r="Y1030" s="94"/>
      <c r="Z1030" s="94"/>
      <c r="AA1030" s="94"/>
      <c r="AB1030" s="94"/>
      <c r="AC1030" s="94"/>
      <c r="AD1030" s="94"/>
      <c r="AE1030" s="94"/>
      <c r="AF1030" s="94"/>
      <c r="AG1030" s="94"/>
      <c r="AH1030" s="94"/>
      <c r="AI1030" s="94"/>
      <c r="AJ1030" s="94"/>
      <c r="AK1030" s="94"/>
      <c r="AL1030" s="94"/>
      <c r="AM1030" s="94"/>
      <c r="AN1030" s="94"/>
      <c r="AO1030" s="94"/>
      <c r="AP1030" s="94"/>
      <c r="AQ1030" s="94"/>
      <c r="AR1030" s="94"/>
      <c r="AS1030" s="94"/>
      <c r="AT1030" s="94"/>
      <c r="AU1030" s="94"/>
      <c r="AV1030" s="94"/>
      <c r="AW1030" s="94"/>
      <c r="AX1030" s="94"/>
      <c r="AY1030" s="94"/>
      <c r="AZ1030" s="94"/>
      <c r="BA1030" s="94"/>
      <c r="BB1030" s="94"/>
      <c r="BC1030" s="94"/>
      <c r="BD1030" s="94"/>
      <c r="BE1030" s="94"/>
      <c r="BF1030" s="94"/>
    </row>
    <row r="1031" spans="1:58" x14ac:dyDescent="0.35">
      <c r="A1031" s="107" t="s">
        <v>2831</v>
      </c>
      <c r="B1031" s="108" t="s">
        <v>0</v>
      </c>
      <c r="C1031" s="109">
        <v>7</v>
      </c>
      <c r="D1031" s="107" t="s">
        <v>1654</v>
      </c>
      <c r="E1031" s="109"/>
      <c r="F1031" s="94"/>
      <c r="G1031" s="94"/>
      <c r="H1031" s="94"/>
      <c r="I1031" s="94"/>
      <c r="J1031" s="94"/>
      <c r="K1031" s="94"/>
      <c r="L1031" s="94"/>
      <c r="M1031" s="94"/>
      <c r="N1031" s="94"/>
      <c r="O1031" s="94"/>
      <c r="P1031" s="94"/>
      <c r="Q1031" s="94"/>
      <c r="R1031" s="94"/>
      <c r="S1031" s="94"/>
      <c r="T1031" s="94"/>
      <c r="U1031" s="94"/>
      <c r="V1031" s="94"/>
      <c r="W1031" s="94"/>
      <c r="X1031" s="94"/>
      <c r="Y1031" s="94"/>
      <c r="Z1031" s="94"/>
      <c r="AA1031" s="94"/>
      <c r="AB1031" s="94"/>
      <c r="AC1031" s="94"/>
      <c r="AD1031" s="94"/>
      <c r="AE1031" s="94"/>
      <c r="AF1031" s="94"/>
      <c r="AG1031" s="94"/>
      <c r="AH1031" s="94"/>
      <c r="AI1031" s="94"/>
      <c r="AJ1031" s="94"/>
      <c r="AK1031" s="94"/>
      <c r="AL1031" s="94"/>
      <c r="AM1031" s="94"/>
      <c r="AN1031" s="94"/>
      <c r="AO1031" s="94"/>
      <c r="AP1031" s="94"/>
      <c r="AQ1031" s="94"/>
      <c r="AR1031" s="94"/>
      <c r="AS1031" s="94"/>
      <c r="AT1031" s="94"/>
      <c r="AU1031" s="94"/>
      <c r="AV1031" s="94"/>
      <c r="AW1031" s="94"/>
      <c r="AX1031" s="94"/>
      <c r="AY1031" s="94"/>
      <c r="AZ1031" s="94"/>
      <c r="BA1031" s="94"/>
      <c r="BB1031" s="94"/>
      <c r="BC1031" s="94"/>
      <c r="BD1031" s="94"/>
      <c r="BE1031" s="94"/>
      <c r="BF1031" s="94"/>
    </row>
    <row r="1032" spans="1:58" x14ac:dyDescent="0.35">
      <c r="A1032" s="95" t="s">
        <v>2832</v>
      </c>
      <c r="B1032" s="96" t="s">
        <v>0</v>
      </c>
      <c r="C1032" s="97">
        <v>4</v>
      </c>
      <c r="D1032" s="95" t="s">
        <v>1613</v>
      </c>
      <c r="E1032" s="97"/>
      <c r="F1032" s="94"/>
      <c r="G1032" s="94"/>
      <c r="H1032" s="94"/>
      <c r="I1032" s="94"/>
      <c r="J1032" s="94"/>
      <c r="K1032" s="94"/>
      <c r="L1032" s="94"/>
      <c r="M1032" s="94"/>
      <c r="N1032" s="94"/>
      <c r="O1032" s="94"/>
      <c r="P1032" s="94"/>
      <c r="Q1032" s="94"/>
      <c r="R1032" s="94"/>
      <c r="S1032" s="94"/>
      <c r="T1032" s="94"/>
      <c r="U1032" s="94"/>
      <c r="V1032" s="94"/>
      <c r="W1032" s="94"/>
      <c r="X1032" s="94"/>
      <c r="Y1032" s="94"/>
      <c r="Z1032" s="94"/>
      <c r="AA1032" s="94"/>
      <c r="AB1032" s="94"/>
      <c r="AC1032" s="94"/>
      <c r="AD1032" s="94"/>
      <c r="AE1032" s="94"/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94"/>
      <c r="AU1032" s="94"/>
      <c r="AV1032" s="94"/>
      <c r="AW1032" s="94"/>
      <c r="AX1032" s="94"/>
      <c r="AY1032" s="94"/>
      <c r="AZ1032" s="94"/>
      <c r="BA1032" s="94"/>
      <c r="BB1032" s="94"/>
      <c r="BC1032" s="94"/>
      <c r="BD1032" s="94"/>
      <c r="BE1032" s="94"/>
      <c r="BF1032" s="94"/>
    </row>
    <row r="1033" spans="1:58" x14ac:dyDescent="0.35">
      <c r="A1033" s="101" t="s">
        <v>2833</v>
      </c>
      <c r="B1033" s="102" t="s">
        <v>0</v>
      </c>
      <c r="C1033" s="103">
        <v>5</v>
      </c>
      <c r="D1033" s="101" t="s">
        <v>458</v>
      </c>
      <c r="E1033" s="103" t="s">
        <v>207</v>
      </c>
      <c r="F1033" s="94"/>
      <c r="G1033" s="94"/>
      <c r="H1033" s="94"/>
      <c r="I1033" s="94"/>
      <c r="J1033" s="94"/>
      <c r="K1033" s="94"/>
      <c r="L1033" s="94"/>
      <c r="M1033" s="94"/>
      <c r="N1033" s="94"/>
      <c r="O1033" s="94"/>
      <c r="P1033" s="94"/>
      <c r="Q1033" s="94"/>
      <c r="R1033" s="94"/>
      <c r="S1033" s="94"/>
      <c r="T1033" s="94"/>
      <c r="U1033" s="94"/>
      <c r="V1033" s="94"/>
      <c r="W1033" s="94"/>
      <c r="X1033" s="94"/>
      <c r="Y1033" s="94"/>
      <c r="Z1033" s="94"/>
      <c r="AA1033" s="94"/>
      <c r="AB1033" s="94"/>
      <c r="AC1033" s="94"/>
      <c r="AD1033" s="94"/>
      <c r="AE1033" s="94"/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94"/>
      <c r="AU1033" s="94"/>
      <c r="AV1033" s="94"/>
      <c r="AW1033" s="94"/>
      <c r="AX1033" s="94"/>
      <c r="AY1033" s="94"/>
      <c r="AZ1033" s="94"/>
      <c r="BA1033" s="94"/>
      <c r="BB1033" s="94"/>
      <c r="BC1033" s="94"/>
      <c r="BD1033" s="94"/>
      <c r="BE1033" s="94"/>
      <c r="BF1033" s="94"/>
    </row>
    <row r="1034" spans="1:58" x14ac:dyDescent="0.35">
      <c r="A1034" s="104" t="s">
        <v>2834</v>
      </c>
      <c r="B1034" s="105" t="s">
        <v>0</v>
      </c>
      <c r="C1034" s="106">
        <v>6</v>
      </c>
      <c r="D1034" s="104" t="s">
        <v>564</v>
      </c>
      <c r="E1034" s="106"/>
      <c r="F1034" s="94"/>
      <c r="G1034" s="94"/>
      <c r="H1034" s="94"/>
      <c r="I1034" s="94"/>
      <c r="J1034" s="94"/>
      <c r="K1034" s="94"/>
      <c r="L1034" s="94"/>
      <c r="M1034" s="94"/>
      <c r="N1034" s="94"/>
      <c r="O1034" s="94"/>
      <c r="P1034" s="94"/>
      <c r="Q1034" s="94"/>
      <c r="R1034" s="94"/>
      <c r="S1034" s="94"/>
      <c r="T1034" s="94"/>
      <c r="U1034" s="94"/>
      <c r="V1034" s="94"/>
      <c r="W1034" s="94"/>
      <c r="X1034" s="94"/>
      <c r="Y1034" s="94"/>
      <c r="Z1034" s="94"/>
      <c r="AA1034" s="94"/>
      <c r="AB1034" s="94"/>
      <c r="AC1034" s="94"/>
      <c r="AD1034" s="94"/>
      <c r="AE1034" s="94"/>
      <c r="AF1034" s="94"/>
      <c r="AG1034" s="94"/>
      <c r="AH1034" s="94"/>
      <c r="AI1034" s="94"/>
      <c r="AJ1034" s="94"/>
      <c r="AK1034" s="94"/>
      <c r="AL1034" s="94"/>
      <c r="AM1034" s="94"/>
      <c r="AN1034" s="94"/>
      <c r="AO1034" s="94"/>
      <c r="AP1034" s="94"/>
      <c r="AQ1034" s="94"/>
      <c r="AR1034" s="94"/>
      <c r="AS1034" s="94"/>
      <c r="AT1034" s="94"/>
      <c r="AU1034" s="94"/>
      <c r="AV1034" s="94"/>
      <c r="AW1034" s="94"/>
      <c r="AX1034" s="94"/>
      <c r="AY1034" s="94"/>
      <c r="AZ1034" s="94"/>
      <c r="BA1034" s="94"/>
      <c r="BB1034" s="94"/>
      <c r="BC1034" s="94"/>
      <c r="BD1034" s="94"/>
      <c r="BE1034" s="94"/>
      <c r="BF1034" s="94"/>
    </row>
    <row r="1035" spans="1:58" x14ac:dyDescent="0.35">
      <c r="A1035" s="107" t="s">
        <v>2835</v>
      </c>
      <c r="B1035" s="108" t="s">
        <v>0</v>
      </c>
      <c r="C1035" s="109">
        <v>7</v>
      </c>
      <c r="D1035" s="107" t="s">
        <v>1095</v>
      </c>
      <c r="E1035" s="109"/>
      <c r="F1035" s="94"/>
      <c r="G1035" s="94"/>
      <c r="H1035" s="94"/>
      <c r="I1035" s="94"/>
      <c r="J1035" s="94"/>
      <c r="K1035" s="94"/>
      <c r="L1035" s="94"/>
      <c r="M1035" s="94"/>
      <c r="N1035" s="94"/>
      <c r="O1035" s="94"/>
      <c r="P1035" s="94"/>
      <c r="Q1035" s="94"/>
      <c r="R1035" s="94"/>
      <c r="S1035" s="94"/>
      <c r="T1035" s="94"/>
      <c r="U1035" s="94"/>
      <c r="V1035" s="94"/>
      <c r="W1035" s="94"/>
      <c r="X1035" s="94"/>
      <c r="Y1035" s="94"/>
      <c r="Z1035" s="94"/>
      <c r="AA1035" s="94"/>
      <c r="AB1035" s="94"/>
      <c r="AC1035" s="94"/>
      <c r="AD1035" s="94"/>
      <c r="AE1035" s="94"/>
      <c r="AF1035" s="94"/>
      <c r="AG1035" s="94"/>
      <c r="AH1035" s="94"/>
      <c r="AI1035" s="94"/>
      <c r="AJ1035" s="94"/>
      <c r="AK1035" s="94"/>
      <c r="AL1035" s="94"/>
      <c r="AM1035" s="94"/>
      <c r="AN1035" s="94"/>
      <c r="AO1035" s="94"/>
      <c r="AP1035" s="94"/>
      <c r="AQ1035" s="94"/>
      <c r="AR1035" s="94"/>
      <c r="AS1035" s="94"/>
      <c r="AT1035" s="94"/>
      <c r="AU1035" s="94"/>
      <c r="AV1035" s="94"/>
      <c r="AW1035" s="94"/>
      <c r="AX1035" s="94"/>
      <c r="AY1035" s="94"/>
      <c r="AZ1035" s="94"/>
      <c r="BA1035" s="94"/>
      <c r="BB1035" s="94"/>
      <c r="BC1035" s="94"/>
      <c r="BD1035" s="94"/>
      <c r="BE1035" s="94"/>
      <c r="BF1035" s="94"/>
    </row>
    <row r="1036" spans="1:58" x14ac:dyDescent="0.35">
      <c r="A1036" s="107" t="s">
        <v>2836</v>
      </c>
      <c r="B1036" s="108" t="s">
        <v>0</v>
      </c>
      <c r="C1036" s="109">
        <v>7</v>
      </c>
      <c r="D1036" s="107" t="s">
        <v>1096</v>
      </c>
      <c r="E1036" s="109"/>
      <c r="F1036" s="94"/>
      <c r="G1036" s="94"/>
      <c r="H1036" s="94"/>
      <c r="I1036" s="94"/>
      <c r="J1036" s="94"/>
      <c r="K1036" s="94"/>
      <c r="L1036" s="94"/>
      <c r="M1036" s="94"/>
      <c r="N1036" s="94"/>
      <c r="O1036" s="94"/>
      <c r="P1036" s="94"/>
      <c r="Q1036" s="94"/>
      <c r="R1036" s="94"/>
      <c r="S1036" s="94"/>
      <c r="T1036" s="94"/>
      <c r="U1036" s="94"/>
      <c r="V1036" s="94"/>
      <c r="W1036" s="94"/>
      <c r="X1036" s="94"/>
      <c r="Y1036" s="94"/>
      <c r="Z1036" s="94"/>
      <c r="AA1036" s="94"/>
      <c r="AB1036" s="94"/>
      <c r="AC1036" s="94"/>
      <c r="AD1036" s="94"/>
      <c r="AE1036" s="94"/>
      <c r="AF1036" s="94"/>
      <c r="AG1036" s="94"/>
      <c r="AH1036" s="94"/>
      <c r="AI1036" s="94"/>
      <c r="AJ1036" s="94"/>
      <c r="AK1036" s="94"/>
      <c r="AL1036" s="94"/>
      <c r="AM1036" s="94"/>
      <c r="AN1036" s="94"/>
      <c r="AO1036" s="94"/>
      <c r="AP1036" s="94"/>
      <c r="AQ1036" s="94"/>
      <c r="AR1036" s="94"/>
      <c r="AS1036" s="94"/>
      <c r="AT1036" s="94"/>
      <c r="AU1036" s="94"/>
      <c r="AV1036" s="94"/>
      <c r="AW1036" s="94"/>
      <c r="AX1036" s="94"/>
      <c r="AY1036" s="94"/>
      <c r="AZ1036" s="94"/>
      <c r="BA1036" s="94"/>
      <c r="BB1036" s="94"/>
      <c r="BC1036" s="94"/>
      <c r="BD1036" s="94"/>
      <c r="BE1036" s="94"/>
      <c r="BF1036" s="94"/>
    </row>
    <row r="1037" spans="1:58" x14ac:dyDescent="0.35">
      <c r="A1037" s="107" t="s">
        <v>2837</v>
      </c>
      <c r="B1037" s="108" t="s">
        <v>0</v>
      </c>
      <c r="C1037" s="109">
        <v>7</v>
      </c>
      <c r="D1037" s="107" t="s">
        <v>1097</v>
      </c>
      <c r="E1037" s="109"/>
      <c r="F1037" s="94"/>
      <c r="G1037" s="94"/>
      <c r="H1037" s="94"/>
      <c r="I1037" s="94"/>
      <c r="J1037" s="94"/>
      <c r="K1037" s="94"/>
      <c r="L1037" s="94"/>
      <c r="M1037" s="94"/>
      <c r="N1037" s="94"/>
      <c r="O1037" s="94"/>
      <c r="P1037" s="94"/>
      <c r="Q1037" s="94"/>
      <c r="R1037" s="94"/>
      <c r="S1037" s="94"/>
      <c r="T1037" s="94"/>
      <c r="U1037" s="94"/>
      <c r="V1037" s="94"/>
      <c r="W1037" s="94"/>
      <c r="X1037" s="94"/>
      <c r="Y1037" s="94"/>
      <c r="Z1037" s="94"/>
      <c r="AA1037" s="94"/>
      <c r="AB1037" s="94"/>
      <c r="AC1037" s="94"/>
      <c r="AD1037" s="94"/>
      <c r="AE1037" s="94"/>
      <c r="AF1037" s="94"/>
      <c r="AG1037" s="94"/>
      <c r="AH1037" s="94"/>
      <c r="AI1037" s="94"/>
      <c r="AJ1037" s="94"/>
      <c r="AK1037" s="94"/>
      <c r="AL1037" s="94"/>
      <c r="AM1037" s="94"/>
      <c r="AN1037" s="94"/>
      <c r="AO1037" s="94"/>
      <c r="AP1037" s="94"/>
      <c r="AQ1037" s="94"/>
      <c r="AR1037" s="94"/>
      <c r="AS1037" s="94"/>
      <c r="AT1037" s="94"/>
      <c r="AU1037" s="94"/>
      <c r="AV1037" s="94"/>
      <c r="AW1037" s="94"/>
      <c r="AX1037" s="94"/>
      <c r="AY1037" s="94"/>
      <c r="AZ1037" s="94"/>
      <c r="BA1037" s="94"/>
      <c r="BB1037" s="94"/>
      <c r="BC1037" s="94"/>
      <c r="BD1037" s="94"/>
      <c r="BE1037" s="94"/>
      <c r="BF1037" s="94"/>
    </row>
    <row r="1038" spans="1:58" x14ac:dyDescent="0.35">
      <c r="A1038" s="107" t="s">
        <v>2838</v>
      </c>
      <c r="B1038" s="108" t="s">
        <v>0</v>
      </c>
      <c r="C1038" s="109">
        <v>7</v>
      </c>
      <c r="D1038" s="107" t="s">
        <v>1098</v>
      </c>
      <c r="E1038" s="109"/>
      <c r="F1038" s="94"/>
      <c r="G1038" s="94"/>
      <c r="H1038" s="94"/>
      <c r="I1038" s="94"/>
      <c r="J1038" s="94"/>
      <c r="K1038" s="94"/>
      <c r="L1038" s="94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  <c r="W1038" s="94"/>
      <c r="X1038" s="94"/>
      <c r="Y1038" s="94"/>
      <c r="Z1038" s="94"/>
      <c r="AA1038" s="94"/>
      <c r="AB1038" s="94"/>
      <c r="AC1038" s="94"/>
      <c r="AD1038" s="94"/>
      <c r="AE1038" s="94"/>
      <c r="AF1038" s="94"/>
      <c r="AG1038" s="94"/>
      <c r="AH1038" s="94"/>
      <c r="AI1038" s="94"/>
      <c r="AJ1038" s="94"/>
      <c r="AK1038" s="94"/>
      <c r="AL1038" s="94"/>
      <c r="AM1038" s="94"/>
      <c r="AN1038" s="94"/>
      <c r="AO1038" s="94"/>
      <c r="AP1038" s="94"/>
      <c r="AQ1038" s="94"/>
      <c r="AR1038" s="94"/>
      <c r="AS1038" s="94"/>
      <c r="AT1038" s="94"/>
      <c r="AU1038" s="94"/>
      <c r="AV1038" s="94"/>
      <c r="AW1038" s="94"/>
      <c r="AX1038" s="94"/>
      <c r="AY1038" s="94"/>
      <c r="AZ1038" s="94"/>
      <c r="BA1038" s="94"/>
      <c r="BB1038" s="94"/>
      <c r="BC1038" s="94"/>
      <c r="BD1038" s="94"/>
      <c r="BE1038" s="94"/>
      <c r="BF1038" s="94"/>
    </row>
    <row r="1039" spans="1:58" x14ac:dyDescent="0.35">
      <c r="A1039" s="107" t="s">
        <v>2839</v>
      </c>
      <c r="B1039" s="108" t="s">
        <v>0</v>
      </c>
      <c r="C1039" s="109">
        <v>7</v>
      </c>
      <c r="D1039" s="107" t="s">
        <v>1099</v>
      </c>
      <c r="E1039" s="109"/>
      <c r="F1039" s="94"/>
      <c r="G1039" s="94"/>
      <c r="H1039" s="94"/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  <c r="W1039" s="94"/>
      <c r="X1039" s="94"/>
      <c r="Y1039" s="94"/>
      <c r="Z1039" s="94"/>
      <c r="AA1039" s="94"/>
      <c r="AB1039" s="94"/>
      <c r="AC1039" s="94"/>
      <c r="AD1039" s="94"/>
      <c r="AE1039" s="94"/>
      <c r="AF1039" s="94"/>
      <c r="AG1039" s="94"/>
      <c r="AH1039" s="94"/>
      <c r="AI1039" s="94"/>
      <c r="AJ1039" s="94"/>
      <c r="AK1039" s="94"/>
      <c r="AL1039" s="94"/>
      <c r="AM1039" s="94"/>
      <c r="AN1039" s="94"/>
      <c r="AO1039" s="94"/>
      <c r="AP1039" s="94"/>
      <c r="AQ1039" s="94"/>
      <c r="AR1039" s="94"/>
      <c r="AS1039" s="94"/>
      <c r="AT1039" s="94"/>
      <c r="AU1039" s="94"/>
      <c r="AV1039" s="94"/>
      <c r="AW1039" s="94"/>
      <c r="AX1039" s="94"/>
      <c r="AY1039" s="94"/>
      <c r="AZ1039" s="94"/>
      <c r="BA1039" s="94"/>
      <c r="BB1039" s="94"/>
      <c r="BC1039" s="94"/>
      <c r="BD1039" s="94"/>
      <c r="BE1039" s="94"/>
      <c r="BF1039" s="94"/>
    </row>
    <row r="1040" spans="1:58" x14ac:dyDescent="0.35">
      <c r="A1040" s="107" t="s">
        <v>2840</v>
      </c>
      <c r="B1040" s="108" t="s">
        <v>0</v>
      </c>
      <c r="C1040" s="109">
        <v>7</v>
      </c>
      <c r="D1040" s="107" t="s">
        <v>1655</v>
      </c>
      <c r="E1040" s="109" t="s">
        <v>0</v>
      </c>
      <c r="F1040" s="94"/>
      <c r="G1040" s="94"/>
      <c r="H1040" s="94"/>
      <c r="I1040" s="94"/>
      <c r="J1040" s="94"/>
      <c r="K1040" s="94"/>
      <c r="L1040" s="94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  <c r="W1040" s="94"/>
      <c r="X1040" s="94"/>
      <c r="Y1040" s="94"/>
      <c r="Z1040" s="94"/>
      <c r="AA1040" s="94"/>
      <c r="AB1040" s="94"/>
      <c r="AC1040" s="94"/>
      <c r="AD1040" s="94"/>
      <c r="AE1040" s="94"/>
      <c r="AF1040" s="94"/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94"/>
      <c r="AU1040" s="94"/>
      <c r="AV1040" s="94"/>
      <c r="AW1040" s="94"/>
      <c r="AX1040" s="94"/>
      <c r="AY1040" s="94"/>
      <c r="AZ1040" s="94"/>
      <c r="BA1040" s="94"/>
      <c r="BB1040" s="94"/>
      <c r="BC1040" s="94"/>
      <c r="BD1040" s="94"/>
      <c r="BE1040" s="94"/>
      <c r="BF1040" s="94"/>
    </row>
    <row r="1041" spans="1:58" x14ac:dyDescent="0.35">
      <c r="A1041" s="104" t="s">
        <v>2841</v>
      </c>
      <c r="B1041" s="105" t="s">
        <v>0</v>
      </c>
      <c r="C1041" s="106">
        <v>6</v>
      </c>
      <c r="D1041" s="104" t="s">
        <v>26</v>
      </c>
      <c r="E1041" s="106"/>
      <c r="F1041" s="94"/>
      <c r="G1041" s="94"/>
      <c r="H1041" s="94"/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  <c r="W1041" s="94"/>
      <c r="X1041" s="94"/>
      <c r="Y1041" s="94"/>
      <c r="Z1041" s="94"/>
      <c r="AA1041" s="94"/>
      <c r="AB1041" s="94"/>
      <c r="AC1041" s="94"/>
      <c r="AD1041" s="94"/>
      <c r="AE1041" s="94"/>
      <c r="AF1041" s="94"/>
      <c r="AG1041" s="94"/>
      <c r="AH1041" s="94"/>
      <c r="AI1041" s="94"/>
      <c r="AJ1041" s="94"/>
      <c r="AK1041" s="94"/>
      <c r="AL1041" s="94"/>
      <c r="AM1041" s="94"/>
      <c r="AN1041" s="94"/>
      <c r="AO1041" s="94"/>
      <c r="AP1041" s="94"/>
      <c r="AQ1041" s="94"/>
      <c r="AR1041" s="94"/>
      <c r="AS1041" s="94"/>
      <c r="AT1041" s="94"/>
      <c r="AU1041" s="94"/>
      <c r="AV1041" s="94"/>
      <c r="AW1041" s="94"/>
      <c r="AX1041" s="94"/>
      <c r="AY1041" s="94"/>
      <c r="AZ1041" s="94"/>
      <c r="BA1041" s="94"/>
      <c r="BB1041" s="94"/>
      <c r="BC1041" s="94"/>
      <c r="BD1041" s="94"/>
      <c r="BE1041" s="94"/>
      <c r="BF1041" s="94"/>
    </row>
    <row r="1042" spans="1:58" x14ac:dyDescent="0.35">
      <c r="A1042" s="107" t="s">
        <v>2842</v>
      </c>
      <c r="B1042" s="108" t="s">
        <v>0</v>
      </c>
      <c r="C1042" s="109">
        <v>7</v>
      </c>
      <c r="D1042" s="107" t="s">
        <v>1100</v>
      </c>
      <c r="E1042" s="109"/>
      <c r="F1042" s="94"/>
      <c r="G1042" s="94"/>
      <c r="H1042" s="94"/>
      <c r="I1042" s="94"/>
      <c r="J1042" s="94"/>
      <c r="K1042" s="94"/>
      <c r="L1042" s="94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  <c r="W1042" s="94"/>
      <c r="X1042" s="94"/>
      <c r="Y1042" s="94"/>
      <c r="Z1042" s="94"/>
      <c r="AA1042" s="94"/>
      <c r="AB1042" s="94"/>
      <c r="AC1042" s="94"/>
      <c r="AD1042" s="94"/>
      <c r="AE1042" s="94"/>
      <c r="AF1042" s="94"/>
      <c r="AG1042" s="94"/>
      <c r="AH1042" s="94"/>
      <c r="AI1042" s="94"/>
      <c r="AJ1042" s="94"/>
      <c r="AK1042" s="94"/>
      <c r="AL1042" s="94"/>
      <c r="AM1042" s="94"/>
      <c r="AN1042" s="94"/>
      <c r="AO1042" s="94"/>
      <c r="AP1042" s="94"/>
      <c r="AQ1042" s="94"/>
      <c r="AR1042" s="94"/>
      <c r="AS1042" s="94"/>
      <c r="AT1042" s="94"/>
      <c r="AU1042" s="94"/>
      <c r="AV1042" s="94"/>
      <c r="AW1042" s="94"/>
      <c r="AX1042" s="94"/>
      <c r="AY1042" s="94"/>
      <c r="AZ1042" s="94"/>
      <c r="BA1042" s="94"/>
      <c r="BB1042" s="94"/>
      <c r="BC1042" s="94"/>
      <c r="BD1042" s="94"/>
      <c r="BE1042" s="94"/>
      <c r="BF1042" s="94"/>
    </row>
    <row r="1043" spans="1:58" x14ac:dyDescent="0.35">
      <c r="A1043" s="107" t="s">
        <v>2843</v>
      </c>
      <c r="B1043" s="108" t="s">
        <v>0</v>
      </c>
      <c r="C1043" s="109">
        <v>7</v>
      </c>
      <c r="D1043" s="107" t="s">
        <v>1101</v>
      </c>
      <c r="E1043" s="109"/>
      <c r="F1043" s="94"/>
      <c r="G1043" s="94"/>
      <c r="H1043" s="94"/>
      <c r="I1043" s="94"/>
      <c r="J1043" s="94"/>
      <c r="K1043" s="94"/>
      <c r="L1043" s="94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  <c r="W1043" s="94"/>
      <c r="X1043" s="94"/>
      <c r="Y1043" s="94"/>
      <c r="Z1043" s="94"/>
      <c r="AA1043" s="94"/>
      <c r="AB1043" s="94"/>
      <c r="AC1043" s="94"/>
      <c r="AD1043" s="94"/>
      <c r="AE1043" s="94"/>
      <c r="AF1043" s="94"/>
      <c r="AG1043" s="94"/>
      <c r="AH1043" s="94"/>
      <c r="AI1043" s="94"/>
      <c r="AJ1043" s="94"/>
      <c r="AK1043" s="94"/>
      <c r="AL1043" s="94"/>
      <c r="AM1043" s="94"/>
      <c r="AN1043" s="94"/>
      <c r="AO1043" s="94"/>
      <c r="AP1043" s="94"/>
      <c r="AQ1043" s="94"/>
      <c r="AR1043" s="94"/>
      <c r="AS1043" s="94"/>
      <c r="AT1043" s="94"/>
      <c r="AU1043" s="94"/>
      <c r="AV1043" s="94"/>
      <c r="AW1043" s="94"/>
      <c r="AX1043" s="94"/>
      <c r="AY1043" s="94"/>
      <c r="AZ1043" s="94"/>
      <c r="BA1043" s="94"/>
      <c r="BB1043" s="94"/>
      <c r="BC1043" s="94"/>
      <c r="BD1043" s="94"/>
      <c r="BE1043" s="94"/>
      <c r="BF1043" s="94"/>
    </row>
    <row r="1044" spans="1:58" x14ac:dyDescent="0.35">
      <c r="A1044" s="107" t="s">
        <v>2844</v>
      </c>
      <c r="B1044" s="108" t="s">
        <v>0</v>
      </c>
      <c r="C1044" s="109">
        <v>7</v>
      </c>
      <c r="D1044" s="107" t="s">
        <v>1102</v>
      </c>
      <c r="E1044" s="109"/>
      <c r="F1044" s="94"/>
      <c r="G1044" s="94"/>
      <c r="H1044" s="94"/>
      <c r="I1044" s="94"/>
      <c r="J1044" s="94"/>
      <c r="K1044" s="94"/>
      <c r="L1044" s="94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  <c r="W1044" s="94"/>
      <c r="X1044" s="94"/>
      <c r="Y1044" s="94"/>
      <c r="Z1044" s="94"/>
      <c r="AA1044" s="94"/>
      <c r="AB1044" s="94"/>
      <c r="AC1044" s="94"/>
      <c r="AD1044" s="94"/>
      <c r="AE1044" s="94"/>
      <c r="AF1044" s="94"/>
      <c r="AG1044" s="94"/>
      <c r="AH1044" s="94"/>
      <c r="AI1044" s="94"/>
      <c r="AJ1044" s="94"/>
      <c r="AK1044" s="94"/>
      <c r="AL1044" s="94"/>
      <c r="AM1044" s="94"/>
      <c r="AN1044" s="94"/>
      <c r="AO1044" s="94"/>
      <c r="AP1044" s="94"/>
      <c r="AQ1044" s="94"/>
      <c r="AR1044" s="94"/>
      <c r="AS1044" s="94"/>
      <c r="AT1044" s="94"/>
      <c r="AU1044" s="94"/>
      <c r="AV1044" s="94"/>
      <c r="AW1044" s="94"/>
      <c r="AX1044" s="94"/>
      <c r="AY1044" s="94"/>
      <c r="AZ1044" s="94"/>
      <c r="BA1044" s="94"/>
      <c r="BB1044" s="94"/>
      <c r="BC1044" s="94"/>
      <c r="BD1044" s="94"/>
      <c r="BE1044" s="94"/>
      <c r="BF1044" s="94"/>
    </row>
    <row r="1045" spans="1:58" x14ac:dyDescent="0.35">
      <c r="A1045" s="107" t="s">
        <v>2845</v>
      </c>
      <c r="B1045" s="108" t="s">
        <v>0</v>
      </c>
      <c r="C1045" s="109">
        <v>7</v>
      </c>
      <c r="D1045" s="107" t="s">
        <v>1103</v>
      </c>
      <c r="E1045" s="109"/>
      <c r="F1045" s="94"/>
      <c r="G1045" s="94"/>
      <c r="H1045" s="94"/>
      <c r="I1045" s="94"/>
      <c r="J1045" s="94"/>
      <c r="K1045" s="94"/>
      <c r="L1045" s="94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  <c r="W1045" s="94"/>
      <c r="X1045" s="94"/>
      <c r="Y1045" s="94"/>
      <c r="Z1045" s="94"/>
      <c r="AA1045" s="94"/>
      <c r="AB1045" s="94"/>
      <c r="AC1045" s="94"/>
      <c r="AD1045" s="94"/>
      <c r="AE1045" s="94"/>
      <c r="AF1045" s="94"/>
      <c r="AG1045" s="94"/>
      <c r="AH1045" s="94"/>
      <c r="AI1045" s="94"/>
      <c r="AJ1045" s="94"/>
      <c r="AK1045" s="94"/>
      <c r="AL1045" s="94"/>
      <c r="AM1045" s="94"/>
      <c r="AN1045" s="94"/>
      <c r="AO1045" s="94"/>
      <c r="AP1045" s="94"/>
      <c r="AQ1045" s="94"/>
      <c r="AR1045" s="94"/>
      <c r="AS1045" s="94"/>
      <c r="AT1045" s="94"/>
      <c r="AU1045" s="94"/>
      <c r="AV1045" s="94"/>
      <c r="AW1045" s="94"/>
      <c r="AX1045" s="94"/>
      <c r="AY1045" s="94"/>
      <c r="AZ1045" s="94"/>
      <c r="BA1045" s="94"/>
      <c r="BB1045" s="94"/>
      <c r="BC1045" s="94"/>
      <c r="BD1045" s="94"/>
      <c r="BE1045" s="94"/>
      <c r="BF1045" s="94"/>
    </row>
    <row r="1046" spans="1:58" x14ac:dyDescent="0.35">
      <c r="A1046" s="104" t="s">
        <v>2846</v>
      </c>
      <c r="B1046" s="105" t="s">
        <v>0</v>
      </c>
      <c r="C1046" s="106">
        <v>6</v>
      </c>
      <c r="D1046" s="104" t="s">
        <v>16</v>
      </c>
      <c r="E1046" s="106"/>
      <c r="F1046" s="94"/>
      <c r="G1046" s="94"/>
      <c r="H1046" s="94"/>
      <c r="I1046" s="94"/>
      <c r="J1046" s="94"/>
      <c r="K1046" s="94"/>
      <c r="L1046" s="94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  <c r="W1046" s="94"/>
      <c r="X1046" s="94"/>
      <c r="Y1046" s="94"/>
      <c r="Z1046" s="94"/>
      <c r="AA1046" s="94"/>
      <c r="AB1046" s="94"/>
      <c r="AC1046" s="94"/>
      <c r="AD1046" s="94"/>
      <c r="AE1046" s="94"/>
      <c r="AF1046" s="94"/>
      <c r="AG1046" s="94"/>
      <c r="AH1046" s="94"/>
      <c r="AI1046" s="94"/>
      <c r="AJ1046" s="94"/>
      <c r="AK1046" s="94"/>
      <c r="AL1046" s="94"/>
      <c r="AM1046" s="94"/>
      <c r="AN1046" s="94"/>
      <c r="AO1046" s="94"/>
      <c r="AP1046" s="94"/>
      <c r="AQ1046" s="94"/>
      <c r="AR1046" s="94"/>
      <c r="AS1046" s="94"/>
      <c r="AT1046" s="94"/>
      <c r="AU1046" s="94"/>
      <c r="AV1046" s="94"/>
      <c r="AW1046" s="94"/>
      <c r="AX1046" s="94"/>
      <c r="AY1046" s="94"/>
      <c r="AZ1046" s="94"/>
      <c r="BA1046" s="94"/>
      <c r="BB1046" s="94"/>
      <c r="BC1046" s="94"/>
      <c r="BD1046" s="94"/>
      <c r="BE1046" s="94"/>
      <c r="BF1046" s="94"/>
    </row>
    <row r="1047" spans="1:58" x14ac:dyDescent="0.35">
      <c r="A1047" s="107" t="s">
        <v>2847</v>
      </c>
      <c r="B1047" s="108" t="s">
        <v>0</v>
      </c>
      <c r="C1047" s="109">
        <v>7</v>
      </c>
      <c r="D1047" s="107" t="s">
        <v>1104</v>
      </c>
      <c r="E1047" s="109" t="s">
        <v>208</v>
      </c>
      <c r="F1047" s="94"/>
      <c r="G1047" s="94"/>
      <c r="H1047" s="94"/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4"/>
      <c r="Z1047" s="94"/>
      <c r="AA1047" s="94"/>
      <c r="AB1047" s="94"/>
      <c r="AC1047" s="94"/>
      <c r="AD1047" s="94"/>
      <c r="AE1047" s="94"/>
      <c r="AF1047" s="94"/>
      <c r="AG1047" s="94"/>
      <c r="AH1047" s="94"/>
      <c r="AI1047" s="94"/>
      <c r="AJ1047" s="94"/>
      <c r="AK1047" s="94"/>
      <c r="AL1047" s="94"/>
      <c r="AM1047" s="94"/>
      <c r="AN1047" s="94"/>
      <c r="AO1047" s="94"/>
      <c r="AP1047" s="94"/>
      <c r="AQ1047" s="94"/>
      <c r="AR1047" s="94"/>
      <c r="AS1047" s="94"/>
      <c r="AT1047" s="94"/>
      <c r="AU1047" s="94"/>
      <c r="AV1047" s="94"/>
      <c r="AW1047" s="94"/>
      <c r="AX1047" s="94"/>
      <c r="AY1047" s="94"/>
      <c r="AZ1047" s="94"/>
      <c r="BA1047" s="94"/>
      <c r="BB1047" s="94"/>
      <c r="BC1047" s="94"/>
      <c r="BD1047" s="94"/>
      <c r="BE1047" s="94"/>
      <c r="BF1047" s="94"/>
    </row>
    <row r="1048" spans="1:58" x14ac:dyDescent="0.35">
      <c r="A1048" s="104" t="s">
        <v>2848</v>
      </c>
      <c r="B1048" s="105" t="s">
        <v>0</v>
      </c>
      <c r="C1048" s="106">
        <v>6</v>
      </c>
      <c r="D1048" s="104" t="s">
        <v>30</v>
      </c>
      <c r="E1048" s="106"/>
      <c r="F1048" s="94"/>
      <c r="G1048" s="94"/>
      <c r="H1048" s="94"/>
      <c r="I1048" s="94"/>
      <c r="J1048" s="94"/>
      <c r="K1048" s="94"/>
      <c r="L1048" s="94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  <c r="W1048" s="94"/>
      <c r="X1048" s="94"/>
      <c r="Y1048" s="94"/>
      <c r="Z1048" s="94"/>
      <c r="AA1048" s="94"/>
      <c r="AB1048" s="94"/>
      <c r="AC1048" s="94"/>
      <c r="AD1048" s="94"/>
      <c r="AE1048" s="94"/>
      <c r="AF1048" s="94"/>
      <c r="AG1048" s="94"/>
      <c r="AH1048" s="94"/>
      <c r="AI1048" s="94"/>
      <c r="AJ1048" s="94"/>
      <c r="AK1048" s="94"/>
      <c r="AL1048" s="94"/>
      <c r="AM1048" s="94"/>
      <c r="AN1048" s="94"/>
      <c r="AO1048" s="94"/>
      <c r="AP1048" s="94"/>
      <c r="AQ1048" s="94"/>
      <c r="AR1048" s="94"/>
      <c r="AS1048" s="94"/>
      <c r="AT1048" s="94"/>
      <c r="AU1048" s="94"/>
      <c r="AV1048" s="94"/>
      <c r="AW1048" s="94"/>
      <c r="AX1048" s="94"/>
      <c r="AY1048" s="94"/>
      <c r="AZ1048" s="94"/>
      <c r="BA1048" s="94"/>
      <c r="BB1048" s="94"/>
      <c r="BC1048" s="94"/>
      <c r="BD1048" s="94"/>
      <c r="BE1048" s="94"/>
      <c r="BF1048" s="94"/>
    </row>
    <row r="1049" spans="1:58" x14ac:dyDescent="0.35">
      <c r="A1049" s="107" t="s">
        <v>2849</v>
      </c>
      <c r="B1049" s="108" t="s">
        <v>0</v>
      </c>
      <c r="C1049" s="109">
        <v>7</v>
      </c>
      <c r="D1049" s="107" t="s">
        <v>1656</v>
      </c>
      <c r="E1049" s="109"/>
      <c r="F1049" s="94"/>
      <c r="G1049" s="94"/>
      <c r="H1049" s="94"/>
      <c r="I1049" s="94"/>
      <c r="J1049" s="94"/>
      <c r="K1049" s="94"/>
      <c r="L1049" s="94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  <c r="W1049" s="94"/>
      <c r="X1049" s="94"/>
      <c r="Y1049" s="94"/>
      <c r="Z1049" s="94"/>
      <c r="AA1049" s="94"/>
      <c r="AB1049" s="94"/>
      <c r="AC1049" s="94"/>
      <c r="AD1049" s="94"/>
      <c r="AE1049" s="94"/>
      <c r="AF1049" s="94"/>
      <c r="AG1049" s="94"/>
      <c r="AH1049" s="94"/>
      <c r="AI1049" s="94"/>
      <c r="AJ1049" s="94"/>
      <c r="AK1049" s="94"/>
      <c r="AL1049" s="94"/>
      <c r="AM1049" s="94"/>
      <c r="AN1049" s="94"/>
      <c r="AO1049" s="94"/>
      <c r="AP1049" s="94"/>
      <c r="AQ1049" s="94"/>
      <c r="AR1049" s="94"/>
      <c r="AS1049" s="94"/>
      <c r="AT1049" s="94"/>
      <c r="AU1049" s="94"/>
      <c r="AV1049" s="94"/>
      <c r="AW1049" s="94"/>
      <c r="AX1049" s="94"/>
      <c r="AY1049" s="94"/>
      <c r="AZ1049" s="94"/>
      <c r="BA1049" s="94"/>
      <c r="BB1049" s="94"/>
      <c r="BC1049" s="94"/>
      <c r="BD1049" s="94"/>
      <c r="BE1049" s="94"/>
      <c r="BF1049" s="94"/>
    </row>
    <row r="1050" spans="1:58" x14ac:dyDescent="0.35">
      <c r="A1050" s="107" t="s">
        <v>2850</v>
      </c>
      <c r="B1050" s="108" t="s">
        <v>0</v>
      </c>
      <c r="C1050" s="109">
        <v>7</v>
      </c>
      <c r="D1050" s="107" t="s">
        <v>1659</v>
      </c>
      <c r="E1050" s="109"/>
      <c r="F1050" s="94"/>
      <c r="G1050" s="94"/>
      <c r="H1050" s="94"/>
      <c r="I1050" s="94"/>
      <c r="J1050" s="94"/>
      <c r="K1050" s="94"/>
      <c r="L1050" s="94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  <c r="W1050" s="94"/>
      <c r="X1050" s="94"/>
      <c r="Y1050" s="94"/>
      <c r="Z1050" s="94"/>
      <c r="AA1050" s="94"/>
      <c r="AB1050" s="94"/>
      <c r="AC1050" s="94"/>
      <c r="AD1050" s="94"/>
      <c r="AE1050" s="94"/>
      <c r="AF1050" s="94"/>
      <c r="AG1050" s="94"/>
      <c r="AH1050" s="94"/>
      <c r="AI1050" s="94"/>
      <c r="AJ1050" s="94"/>
      <c r="AK1050" s="94"/>
      <c r="AL1050" s="94"/>
      <c r="AM1050" s="94"/>
      <c r="AN1050" s="94"/>
      <c r="AO1050" s="94"/>
      <c r="AP1050" s="94"/>
      <c r="AQ1050" s="94"/>
      <c r="AR1050" s="94"/>
      <c r="AS1050" s="94"/>
      <c r="AT1050" s="94"/>
      <c r="AU1050" s="94"/>
      <c r="AV1050" s="94"/>
      <c r="AW1050" s="94"/>
      <c r="AX1050" s="94"/>
      <c r="AY1050" s="94"/>
      <c r="AZ1050" s="94"/>
      <c r="BA1050" s="94"/>
      <c r="BB1050" s="94"/>
      <c r="BC1050" s="94"/>
      <c r="BD1050" s="94"/>
      <c r="BE1050" s="94"/>
      <c r="BF1050" s="94"/>
    </row>
    <row r="1051" spans="1:58" x14ac:dyDescent="0.35">
      <c r="A1051" s="107" t="s">
        <v>2851</v>
      </c>
      <c r="B1051" s="108" t="s">
        <v>0</v>
      </c>
      <c r="C1051" s="109">
        <v>7</v>
      </c>
      <c r="D1051" s="107" t="s">
        <v>1657</v>
      </c>
      <c r="E1051" s="109"/>
      <c r="F1051" s="94"/>
      <c r="G1051" s="94"/>
      <c r="H1051" s="94"/>
      <c r="I1051" s="94"/>
      <c r="J1051" s="94"/>
      <c r="K1051" s="94"/>
      <c r="L1051" s="94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4"/>
      <c r="Z1051" s="94"/>
      <c r="AA1051" s="94"/>
      <c r="AB1051" s="94"/>
      <c r="AC1051" s="94"/>
      <c r="AD1051" s="94"/>
      <c r="AE1051" s="94"/>
      <c r="AF1051" s="94"/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/>
      <c r="AX1051" s="94"/>
      <c r="AY1051" s="94"/>
      <c r="AZ1051" s="94"/>
      <c r="BA1051" s="94"/>
      <c r="BB1051" s="94"/>
      <c r="BC1051" s="94"/>
      <c r="BD1051" s="94"/>
      <c r="BE1051" s="94"/>
      <c r="BF1051" s="94"/>
    </row>
    <row r="1052" spans="1:58" x14ac:dyDescent="0.35">
      <c r="A1052" s="107" t="s">
        <v>2852</v>
      </c>
      <c r="B1052" s="108" t="s">
        <v>0</v>
      </c>
      <c r="C1052" s="109">
        <v>7</v>
      </c>
      <c r="D1052" s="107" t="s">
        <v>1658</v>
      </c>
      <c r="E1052" s="109"/>
      <c r="F1052" s="94"/>
      <c r="G1052" s="94"/>
      <c r="H1052" s="94"/>
      <c r="I1052" s="94"/>
      <c r="J1052" s="94"/>
      <c r="K1052" s="94"/>
      <c r="L1052" s="94"/>
      <c r="M1052" s="94"/>
      <c r="N1052" s="94"/>
      <c r="O1052" s="94"/>
      <c r="P1052" s="94"/>
      <c r="Q1052" s="94"/>
      <c r="R1052" s="94"/>
      <c r="S1052" s="94"/>
      <c r="T1052" s="94"/>
      <c r="U1052" s="94"/>
      <c r="V1052" s="94"/>
      <c r="W1052" s="94"/>
      <c r="X1052" s="94"/>
      <c r="Y1052" s="94"/>
      <c r="Z1052" s="94"/>
      <c r="AA1052" s="94"/>
      <c r="AB1052" s="94"/>
      <c r="AC1052" s="94"/>
      <c r="AD1052" s="94"/>
      <c r="AE1052" s="94"/>
      <c r="AF1052" s="94"/>
      <c r="AG1052" s="94"/>
      <c r="AH1052" s="94"/>
      <c r="AI1052" s="94"/>
      <c r="AJ1052" s="94"/>
      <c r="AK1052" s="94"/>
      <c r="AL1052" s="94"/>
      <c r="AM1052" s="94"/>
      <c r="AN1052" s="94"/>
      <c r="AO1052" s="94"/>
      <c r="AP1052" s="94"/>
      <c r="AQ1052" s="94"/>
      <c r="AR1052" s="94"/>
      <c r="AS1052" s="94"/>
      <c r="AT1052" s="94"/>
      <c r="AU1052" s="94"/>
      <c r="AV1052" s="94"/>
      <c r="AW1052" s="94"/>
      <c r="AX1052" s="94"/>
      <c r="AY1052" s="94"/>
      <c r="AZ1052" s="94"/>
      <c r="BA1052" s="94"/>
      <c r="BB1052" s="94"/>
      <c r="BC1052" s="94"/>
      <c r="BD1052" s="94"/>
      <c r="BE1052" s="94"/>
      <c r="BF1052" s="94"/>
    </row>
    <row r="1053" spans="1:58" x14ac:dyDescent="0.35">
      <c r="A1053" s="104" t="s">
        <v>2853</v>
      </c>
      <c r="B1053" s="105" t="s">
        <v>0</v>
      </c>
      <c r="C1053" s="106">
        <v>6</v>
      </c>
      <c r="D1053" s="104" t="s">
        <v>123</v>
      </c>
      <c r="E1053" s="106"/>
      <c r="F1053" s="94"/>
      <c r="G1053" s="94"/>
      <c r="H1053" s="94"/>
      <c r="I1053" s="94"/>
      <c r="J1053" s="94"/>
      <c r="K1053" s="94"/>
      <c r="L1053" s="94"/>
      <c r="M1053" s="94"/>
      <c r="N1053" s="94"/>
      <c r="O1053" s="94"/>
      <c r="P1053" s="94"/>
      <c r="Q1053" s="94"/>
      <c r="R1053" s="94"/>
      <c r="S1053" s="94"/>
      <c r="T1053" s="94"/>
      <c r="U1053" s="94"/>
      <c r="V1053" s="94"/>
      <c r="W1053" s="94"/>
      <c r="X1053" s="94"/>
      <c r="Y1053" s="94"/>
      <c r="Z1053" s="94"/>
      <c r="AA1053" s="94"/>
      <c r="AB1053" s="94"/>
      <c r="AC1053" s="94"/>
      <c r="AD1053" s="94"/>
      <c r="AE1053" s="94"/>
      <c r="AF1053" s="94"/>
      <c r="AG1053" s="94"/>
      <c r="AH1053" s="94"/>
      <c r="AI1053" s="94"/>
      <c r="AJ1053" s="94"/>
      <c r="AK1053" s="94"/>
      <c r="AL1053" s="94"/>
      <c r="AM1053" s="94"/>
      <c r="AN1053" s="94"/>
      <c r="AO1053" s="94"/>
      <c r="AP1053" s="94"/>
      <c r="AQ1053" s="94"/>
      <c r="AR1053" s="94"/>
      <c r="AS1053" s="94"/>
      <c r="AT1053" s="94"/>
      <c r="AU1053" s="94"/>
      <c r="AV1053" s="94"/>
      <c r="AW1053" s="94"/>
      <c r="AX1053" s="94"/>
      <c r="AY1053" s="94"/>
      <c r="AZ1053" s="94"/>
      <c r="BA1053" s="94"/>
      <c r="BB1053" s="94"/>
      <c r="BC1053" s="94"/>
      <c r="BD1053" s="94"/>
      <c r="BE1053" s="94"/>
      <c r="BF1053" s="94"/>
    </row>
    <row r="1054" spans="1:58" x14ac:dyDescent="0.35">
      <c r="A1054" s="107" t="s">
        <v>2854</v>
      </c>
      <c r="B1054" s="108" t="s">
        <v>0</v>
      </c>
      <c r="C1054" s="109">
        <v>7</v>
      </c>
      <c r="D1054" s="107" t="s">
        <v>1654</v>
      </c>
      <c r="E1054" s="109"/>
      <c r="F1054" s="94"/>
      <c r="G1054" s="94"/>
      <c r="H1054" s="94"/>
      <c r="I1054" s="94"/>
      <c r="J1054" s="94"/>
      <c r="K1054" s="94"/>
      <c r="L1054" s="94"/>
      <c r="M1054" s="94"/>
      <c r="N1054" s="94"/>
      <c r="O1054" s="94"/>
      <c r="P1054" s="94"/>
      <c r="Q1054" s="94"/>
      <c r="R1054" s="94"/>
      <c r="S1054" s="94"/>
      <c r="T1054" s="94"/>
      <c r="U1054" s="94"/>
      <c r="V1054" s="94"/>
      <c r="W1054" s="94"/>
      <c r="X1054" s="94"/>
      <c r="Y1054" s="94"/>
      <c r="Z1054" s="94"/>
      <c r="AA1054" s="94"/>
      <c r="AB1054" s="94"/>
      <c r="AC1054" s="94"/>
      <c r="AD1054" s="94"/>
      <c r="AE1054" s="94"/>
      <c r="AF1054" s="94"/>
      <c r="AG1054" s="94"/>
      <c r="AH1054" s="94"/>
      <c r="AI1054" s="94"/>
      <c r="AJ1054" s="94"/>
      <c r="AK1054" s="94"/>
      <c r="AL1054" s="94"/>
      <c r="AM1054" s="94"/>
      <c r="AN1054" s="94"/>
      <c r="AO1054" s="94"/>
      <c r="AP1054" s="94"/>
      <c r="AQ1054" s="94"/>
      <c r="AR1054" s="94"/>
      <c r="AS1054" s="94"/>
      <c r="AT1054" s="94"/>
      <c r="AU1054" s="94"/>
      <c r="AV1054" s="94"/>
      <c r="AW1054" s="94"/>
      <c r="AX1054" s="94"/>
      <c r="AY1054" s="94"/>
      <c r="AZ1054" s="94"/>
      <c r="BA1054" s="94"/>
      <c r="BB1054" s="94"/>
      <c r="BC1054" s="94"/>
      <c r="BD1054" s="94"/>
      <c r="BE1054" s="94"/>
      <c r="BF1054" s="94"/>
    </row>
    <row r="1055" spans="1:58" x14ac:dyDescent="0.35">
      <c r="A1055" s="101" t="s">
        <v>2855</v>
      </c>
      <c r="B1055" s="102" t="s">
        <v>0</v>
      </c>
      <c r="C1055" s="103">
        <v>5</v>
      </c>
      <c r="D1055" s="101" t="s">
        <v>459</v>
      </c>
      <c r="E1055" s="103" t="s">
        <v>209</v>
      </c>
      <c r="F1055" s="94"/>
      <c r="G1055" s="94"/>
      <c r="H1055" s="94"/>
      <c r="I1055" s="94"/>
      <c r="J1055" s="94"/>
      <c r="K1055" s="94"/>
      <c r="L1055" s="94"/>
      <c r="M1055" s="94"/>
      <c r="N1055" s="94"/>
      <c r="O1055" s="94"/>
      <c r="P1055" s="94"/>
      <c r="Q1055" s="94"/>
      <c r="R1055" s="94"/>
      <c r="S1055" s="94"/>
      <c r="T1055" s="94"/>
      <c r="U1055" s="94"/>
      <c r="V1055" s="94"/>
      <c r="W1055" s="94"/>
      <c r="X1055" s="94"/>
      <c r="Y1055" s="94"/>
      <c r="Z1055" s="94"/>
      <c r="AA1055" s="94"/>
      <c r="AB1055" s="94"/>
      <c r="AC1055" s="94"/>
      <c r="AD1055" s="94"/>
      <c r="AE1055" s="94"/>
      <c r="AF1055" s="94"/>
      <c r="AG1055" s="94"/>
      <c r="AH1055" s="94"/>
      <c r="AI1055" s="94"/>
      <c r="AJ1055" s="94"/>
      <c r="AK1055" s="94"/>
      <c r="AL1055" s="94"/>
      <c r="AM1055" s="94"/>
      <c r="AN1055" s="94"/>
      <c r="AO1055" s="94"/>
      <c r="AP1055" s="94"/>
      <c r="AQ1055" s="94"/>
      <c r="AR1055" s="94"/>
      <c r="AS1055" s="94"/>
      <c r="AT1055" s="94"/>
      <c r="AU1055" s="94"/>
      <c r="AV1055" s="94"/>
      <c r="AW1055" s="94"/>
      <c r="AX1055" s="94"/>
      <c r="AY1055" s="94"/>
      <c r="AZ1055" s="94"/>
      <c r="BA1055" s="94"/>
      <c r="BB1055" s="94"/>
      <c r="BC1055" s="94"/>
      <c r="BD1055" s="94"/>
      <c r="BE1055" s="94"/>
      <c r="BF1055" s="94"/>
    </row>
    <row r="1056" spans="1:58" x14ac:dyDescent="0.35">
      <c r="A1056" s="104" t="s">
        <v>2856</v>
      </c>
      <c r="B1056" s="105" t="s">
        <v>0</v>
      </c>
      <c r="C1056" s="106">
        <v>6</v>
      </c>
      <c r="D1056" s="104" t="s">
        <v>564</v>
      </c>
      <c r="E1056" s="106"/>
      <c r="F1056" s="94"/>
      <c r="G1056" s="94"/>
      <c r="H1056" s="94"/>
      <c r="I1056" s="94"/>
      <c r="J1056" s="94"/>
      <c r="K1056" s="94"/>
      <c r="L1056" s="94"/>
      <c r="M1056" s="94"/>
      <c r="N1056" s="94"/>
      <c r="O1056" s="94"/>
      <c r="P1056" s="94"/>
      <c r="Q1056" s="94"/>
      <c r="R1056" s="94"/>
      <c r="S1056" s="94"/>
      <c r="T1056" s="94"/>
      <c r="U1056" s="94"/>
      <c r="V1056" s="94"/>
      <c r="W1056" s="94"/>
      <c r="X1056" s="94"/>
      <c r="Y1056" s="94"/>
      <c r="Z1056" s="94"/>
      <c r="AA1056" s="94"/>
      <c r="AB1056" s="94"/>
      <c r="AC1056" s="94"/>
      <c r="AD1056" s="94"/>
      <c r="AE1056" s="94"/>
      <c r="AF1056" s="94"/>
      <c r="AG1056" s="94"/>
      <c r="AH1056" s="94"/>
      <c r="AI1056" s="94"/>
      <c r="AJ1056" s="94"/>
      <c r="AK1056" s="94"/>
      <c r="AL1056" s="94"/>
      <c r="AM1056" s="94"/>
      <c r="AN1056" s="94"/>
      <c r="AO1056" s="94"/>
      <c r="AP1056" s="94"/>
      <c r="AQ1056" s="94"/>
      <c r="AR1056" s="94"/>
      <c r="AS1056" s="94"/>
      <c r="AT1056" s="94"/>
      <c r="AU1056" s="94"/>
      <c r="AV1056" s="94"/>
      <c r="AW1056" s="94"/>
      <c r="AX1056" s="94"/>
      <c r="AY1056" s="94"/>
      <c r="AZ1056" s="94"/>
      <c r="BA1056" s="94"/>
      <c r="BB1056" s="94"/>
      <c r="BC1056" s="94"/>
      <c r="BD1056" s="94"/>
      <c r="BE1056" s="94"/>
      <c r="BF1056" s="94"/>
    </row>
    <row r="1057" spans="1:58" x14ac:dyDescent="0.35">
      <c r="A1057" s="107" t="s">
        <v>2857</v>
      </c>
      <c r="B1057" s="108" t="s">
        <v>0</v>
      </c>
      <c r="C1057" s="109">
        <v>7</v>
      </c>
      <c r="D1057" s="107" t="s">
        <v>1106</v>
      </c>
      <c r="E1057" s="109"/>
      <c r="F1057" s="94"/>
      <c r="G1057" s="94"/>
      <c r="H1057" s="94"/>
      <c r="I1057" s="94"/>
      <c r="J1057" s="94"/>
      <c r="K1057" s="94"/>
      <c r="L1057" s="94"/>
      <c r="M1057" s="94"/>
      <c r="N1057" s="94"/>
      <c r="O1057" s="94"/>
      <c r="P1057" s="94"/>
      <c r="Q1057" s="94"/>
      <c r="R1057" s="94"/>
      <c r="S1057" s="94"/>
      <c r="T1057" s="94"/>
      <c r="U1057" s="94"/>
      <c r="V1057" s="94"/>
      <c r="W1057" s="94"/>
      <c r="X1057" s="94"/>
      <c r="Y1057" s="94"/>
      <c r="Z1057" s="94"/>
      <c r="AA1057" s="94"/>
      <c r="AB1057" s="94"/>
      <c r="AC1057" s="94"/>
      <c r="AD1057" s="94"/>
      <c r="AE1057" s="94"/>
      <c r="AF1057" s="94"/>
      <c r="AG1057" s="94"/>
      <c r="AH1057" s="94"/>
      <c r="AI1057" s="94"/>
      <c r="AJ1057" s="94"/>
      <c r="AK1057" s="94"/>
      <c r="AL1057" s="94"/>
      <c r="AM1057" s="94"/>
      <c r="AN1057" s="94"/>
      <c r="AO1057" s="94"/>
      <c r="AP1057" s="94"/>
      <c r="AQ1057" s="94"/>
      <c r="AR1057" s="94"/>
      <c r="AS1057" s="94"/>
      <c r="AT1057" s="94"/>
      <c r="AU1057" s="94"/>
      <c r="AV1057" s="94"/>
      <c r="AW1057" s="94"/>
      <c r="AX1057" s="94"/>
      <c r="AY1057" s="94"/>
      <c r="AZ1057" s="94"/>
      <c r="BA1057" s="94"/>
      <c r="BB1057" s="94"/>
      <c r="BC1057" s="94"/>
      <c r="BD1057" s="94"/>
      <c r="BE1057" s="94"/>
      <c r="BF1057" s="94"/>
    </row>
    <row r="1058" spans="1:58" x14ac:dyDescent="0.35">
      <c r="A1058" s="107" t="s">
        <v>2858</v>
      </c>
      <c r="B1058" s="108" t="s">
        <v>0</v>
      </c>
      <c r="C1058" s="109">
        <v>7</v>
      </c>
      <c r="D1058" s="107" t="s">
        <v>1107</v>
      </c>
      <c r="E1058" s="109"/>
      <c r="F1058" s="94"/>
      <c r="G1058" s="94"/>
      <c r="H1058" s="94"/>
      <c r="I1058" s="94"/>
      <c r="J1058" s="94"/>
      <c r="K1058" s="94"/>
      <c r="L1058" s="94"/>
      <c r="M1058" s="94"/>
      <c r="N1058" s="94"/>
      <c r="O1058" s="94"/>
      <c r="P1058" s="94"/>
      <c r="Q1058" s="94"/>
      <c r="R1058" s="94"/>
      <c r="S1058" s="94"/>
      <c r="T1058" s="94"/>
      <c r="U1058" s="94"/>
      <c r="V1058" s="94"/>
      <c r="W1058" s="94"/>
      <c r="X1058" s="94"/>
      <c r="Y1058" s="94"/>
      <c r="Z1058" s="94"/>
      <c r="AA1058" s="94"/>
      <c r="AB1058" s="94"/>
      <c r="AC1058" s="94"/>
      <c r="AD1058" s="94"/>
      <c r="AE1058" s="94"/>
      <c r="AF1058" s="94"/>
      <c r="AG1058" s="94"/>
      <c r="AH1058" s="94"/>
      <c r="AI1058" s="94"/>
      <c r="AJ1058" s="94"/>
      <c r="AK1058" s="94"/>
      <c r="AL1058" s="94"/>
      <c r="AM1058" s="94"/>
      <c r="AN1058" s="94"/>
      <c r="AO1058" s="94"/>
      <c r="AP1058" s="94"/>
      <c r="AQ1058" s="94"/>
      <c r="AR1058" s="94"/>
      <c r="AS1058" s="94"/>
      <c r="AT1058" s="94"/>
      <c r="AU1058" s="94"/>
      <c r="AV1058" s="94"/>
      <c r="AW1058" s="94"/>
      <c r="AX1058" s="94"/>
      <c r="AY1058" s="94"/>
      <c r="AZ1058" s="94"/>
      <c r="BA1058" s="94"/>
      <c r="BB1058" s="94"/>
      <c r="BC1058" s="94"/>
      <c r="BD1058" s="94"/>
      <c r="BE1058" s="94"/>
      <c r="BF1058" s="94"/>
    </row>
    <row r="1059" spans="1:58" x14ac:dyDescent="0.35">
      <c r="A1059" s="107" t="s">
        <v>2859</v>
      </c>
      <c r="B1059" s="108" t="s">
        <v>0</v>
      </c>
      <c r="C1059" s="109">
        <v>7</v>
      </c>
      <c r="D1059" s="107" t="s">
        <v>1105</v>
      </c>
      <c r="E1059" s="109"/>
      <c r="F1059" s="94"/>
      <c r="G1059" s="94"/>
      <c r="H1059" s="94"/>
      <c r="I1059" s="94"/>
      <c r="J1059" s="94"/>
      <c r="K1059" s="94"/>
      <c r="L1059" s="94"/>
      <c r="M1059" s="94"/>
      <c r="N1059" s="94"/>
      <c r="O1059" s="94"/>
      <c r="P1059" s="94"/>
      <c r="Q1059" s="94"/>
      <c r="R1059" s="94"/>
      <c r="S1059" s="94"/>
      <c r="T1059" s="94"/>
      <c r="U1059" s="94"/>
      <c r="V1059" s="94"/>
      <c r="W1059" s="94"/>
      <c r="X1059" s="94"/>
      <c r="Y1059" s="94"/>
      <c r="Z1059" s="94"/>
      <c r="AA1059" s="94"/>
      <c r="AB1059" s="94"/>
      <c r="AC1059" s="94"/>
      <c r="AD1059" s="94"/>
      <c r="AE1059" s="94"/>
      <c r="AF1059" s="94"/>
      <c r="AG1059" s="94"/>
      <c r="AH1059" s="94"/>
      <c r="AI1059" s="94"/>
      <c r="AJ1059" s="94"/>
      <c r="AK1059" s="94"/>
      <c r="AL1059" s="94"/>
      <c r="AM1059" s="94"/>
      <c r="AN1059" s="94"/>
      <c r="AO1059" s="94"/>
      <c r="AP1059" s="94"/>
      <c r="AQ1059" s="94"/>
      <c r="AR1059" s="94"/>
      <c r="AS1059" s="94"/>
      <c r="AT1059" s="94"/>
      <c r="AU1059" s="94"/>
      <c r="AV1059" s="94"/>
      <c r="AW1059" s="94"/>
      <c r="AX1059" s="94"/>
      <c r="AY1059" s="94"/>
      <c r="AZ1059" s="94"/>
      <c r="BA1059" s="94"/>
      <c r="BB1059" s="94"/>
      <c r="BC1059" s="94"/>
      <c r="BD1059" s="94"/>
      <c r="BE1059" s="94"/>
      <c r="BF1059" s="94"/>
    </row>
    <row r="1060" spans="1:58" x14ac:dyDescent="0.35">
      <c r="A1060" s="107" t="s">
        <v>2860</v>
      </c>
      <c r="B1060" s="108" t="s">
        <v>0</v>
      </c>
      <c r="C1060" s="109">
        <v>7</v>
      </c>
      <c r="D1060" s="107" t="s">
        <v>1108</v>
      </c>
      <c r="E1060" s="109"/>
      <c r="F1060" s="94"/>
      <c r="G1060" s="94"/>
      <c r="H1060" s="94"/>
      <c r="I1060" s="94"/>
      <c r="J1060" s="94"/>
      <c r="K1060" s="94"/>
      <c r="L1060" s="94"/>
      <c r="M1060" s="94"/>
      <c r="N1060" s="94"/>
      <c r="O1060" s="94"/>
      <c r="P1060" s="94"/>
      <c r="Q1060" s="94"/>
      <c r="R1060" s="94"/>
      <c r="S1060" s="94"/>
      <c r="T1060" s="94"/>
      <c r="U1060" s="94"/>
      <c r="V1060" s="94"/>
      <c r="W1060" s="94"/>
      <c r="X1060" s="94"/>
      <c r="Y1060" s="94"/>
      <c r="Z1060" s="94"/>
      <c r="AA1060" s="94"/>
      <c r="AB1060" s="94"/>
      <c r="AC1060" s="94"/>
      <c r="AD1060" s="94"/>
      <c r="AE1060" s="94"/>
      <c r="AF1060" s="94"/>
      <c r="AG1060" s="94"/>
      <c r="AH1060" s="94"/>
      <c r="AI1060" s="94"/>
      <c r="AJ1060" s="94"/>
      <c r="AK1060" s="94"/>
      <c r="AL1060" s="94"/>
      <c r="AM1060" s="94"/>
      <c r="AN1060" s="94"/>
      <c r="AO1060" s="94"/>
      <c r="AP1060" s="94"/>
      <c r="AQ1060" s="94"/>
      <c r="AR1060" s="94"/>
      <c r="AS1060" s="94"/>
      <c r="AT1060" s="94"/>
      <c r="AU1060" s="94"/>
      <c r="AV1060" s="94"/>
      <c r="AW1060" s="94"/>
      <c r="AX1060" s="94"/>
      <c r="AY1060" s="94"/>
      <c r="AZ1060" s="94"/>
      <c r="BA1060" s="94"/>
      <c r="BB1060" s="94"/>
      <c r="BC1060" s="94"/>
      <c r="BD1060" s="94"/>
      <c r="BE1060" s="94"/>
      <c r="BF1060" s="94"/>
    </row>
    <row r="1061" spans="1:58" x14ac:dyDescent="0.35">
      <c r="A1061" s="107" t="s">
        <v>2861</v>
      </c>
      <c r="B1061" s="108" t="s">
        <v>0</v>
      </c>
      <c r="C1061" s="109">
        <v>7</v>
      </c>
      <c r="D1061" s="107" t="s">
        <v>1109</v>
      </c>
      <c r="E1061" s="109"/>
      <c r="F1061" s="94"/>
      <c r="G1061" s="94"/>
      <c r="H1061" s="94"/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4"/>
      <c r="U1061" s="94"/>
      <c r="V1061" s="94"/>
      <c r="W1061" s="94"/>
      <c r="X1061" s="94"/>
      <c r="Y1061" s="94"/>
      <c r="Z1061" s="94"/>
      <c r="AA1061" s="94"/>
      <c r="AB1061" s="94"/>
      <c r="AC1061" s="94"/>
      <c r="AD1061" s="94"/>
      <c r="AE1061" s="94"/>
      <c r="AF1061" s="94"/>
      <c r="AG1061" s="94"/>
      <c r="AH1061" s="94"/>
      <c r="AI1061" s="94"/>
      <c r="AJ1061" s="94"/>
      <c r="AK1061" s="94"/>
      <c r="AL1061" s="94"/>
      <c r="AM1061" s="94"/>
      <c r="AN1061" s="94"/>
      <c r="AO1061" s="94"/>
      <c r="AP1061" s="94"/>
      <c r="AQ1061" s="94"/>
      <c r="AR1061" s="94"/>
      <c r="AS1061" s="94"/>
      <c r="AT1061" s="94"/>
      <c r="AU1061" s="94"/>
      <c r="AV1061" s="94"/>
      <c r="AW1061" s="94"/>
      <c r="AX1061" s="94"/>
      <c r="AY1061" s="94"/>
      <c r="AZ1061" s="94"/>
      <c r="BA1061" s="94"/>
      <c r="BB1061" s="94"/>
      <c r="BC1061" s="94"/>
      <c r="BD1061" s="94"/>
      <c r="BE1061" s="94"/>
      <c r="BF1061" s="94"/>
    </row>
    <row r="1062" spans="1:58" x14ac:dyDescent="0.35">
      <c r="A1062" s="107" t="s">
        <v>2862</v>
      </c>
      <c r="B1062" s="108" t="s">
        <v>0</v>
      </c>
      <c r="C1062" s="109">
        <v>7</v>
      </c>
      <c r="D1062" s="107" t="s">
        <v>1655</v>
      </c>
      <c r="E1062" s="109" t="s">
        <v>0</v>
      </c>
      <c r="F1062" s="94"/>
      <c r="G1062" s="94"/>
      <c r="H1062" s="94"/>
      <c r="I1062" s="94"/>
      <c r="J1062" s="94"/>
      <c r="K1062" s="94"/>
      <c r="L1062" s="94"/>
      <c r="M1062" s="94"/>
      <c r="N1062" s="94"/>
      <c r="O1062" s="94"/>
      <c r="P1062" s="94"/>
      <c r="Q1062" s="94"/>
      <c r="R1062" s="94"/>
      <c r="S1062" s="94"/>
      <c r="T1062" s="94"/>
      <c r="U1062" s="94"/>
      <c r="V1062" s="94"/>
      <c r="W1062" s="94"/>
      <c r="X1062" s="94"/>
      <c r="Y1062" s="94"/>
      <c r="Z1062" s="94"/>
      <c r="AA1062" s="94"/>
      <c r="AB1062" s="94"/>
      <c r="AC1062" s="94"/>
      <c r="AD1062" s="94"/>
      <c r="AE1062" s="94"/>
      <c r="AF1062" s="94"/>
      <c r="AG1062" s="94"/>
      <c r="AH1062" s="94"/>
      <c r="AI1062" s="94"/>
      <c r="AJ1062" s="94"/>
      <c r="AK1062" s="94"/>
      <c r="AL1062" s="94"/>
      <c r="AM1062" s="94"/>
      <c r="AN1062" s="94"/>
      <c r="AO1062" s="94"/>
      <c r="AP1062" s="94"/>
      <c r="AQ1062" s="94"/>
      <c r="AR1062" s="94"/>
      <c r="AS1062" s="94"/>
      <c r="AT1062" s="94"/>
      <c r="AU1062" s="94"/>
      <c r="AV1062" s="94"/>
      <c r="AW1062" s="94"/>
      <c r="AX1062" s="94"/>
      <c r="AY1062" s="94"/>
      <c r="AZ1062" s="94"/>
      <c r="BA1062" s="94"/>
      <c r="BB1062" s="94"/>
      <c r="BC1062" s="94"/>
      <c r="BD1062" s="94"/>
      <c r="BE1062" s="94"/>
      <c r="BF1062" s="94"/>
    </row>
    <row r="1063" spans="1:58" x14ac:dyDescent="0.35">
      <c r="A1063" s="104" t="s">
        <v>2863</v>
      </c>
      <c r="B1063" s="105" t="s">
        <v>0</v>
      </c>
      <c r="C1063" s="106">
        <v>6</v>
      </c>
      <c r="D1063" s="104" t="s">
        <v>26</v>
      </c>
      <c r="E1063" s="106"/>
      <c r="F1063" s="94"/>
      <c r="G1063" s="94"/>
      <c r="H1063" s="94"/>
      <c r="I1063" s="94"/>
      <c r="J1063" s="94"/>
      <c r="K1063" s="94"/>
      <c r="L1063" s="94"/>
      <c r="M1063" s="94"/>
      <c r="N1063" s="94"/>
      <c r="O1063" s="94"/>
      <c r="P1063" s="94"/>
      <c r="Q1063" s="94"/>
      <c r="R1063" s="94"/>
      <c r="S1063" s="94"/>
      <c r="T1063" s="94"/>
      <c r="U1063" s="94"/>
      <c r="V1063" s="94"/>
      <c r="W1063" s="94"/>
      <c r="X1063" s="94"/>
      <c r="Y1063" s="94"/>
      <c r="Z1063" s="94"/>
      <c r="AA1063" s="94"/>
      <c r="AB1063" s="94"/>
      <c r="AC1063" s="94"/>
      <c r="AD1063" s="94"/>
      <c r="AE1063" s="94"/>
      <c r="AF1063" s="94"/>
      <c r="AG1063" s="94"/>
      <c r="AH1063" s="94"/>
      <c r="AI1063" s="94"/>
      <c r="AJ1063" s="94"/>
      <c r="AK1063" s="94"/>
      <c r="AL1063" s="94"/>
      <c r="AM1063" s="94"/>
      <c r="AN1063" s="94"/>
      <c r="AO1063" s="94"/>
      <c r="AP1063" s="94"/>
      <c r="AQ1063" s="94"/>
      <c r="AR1063" s="94"/>
      <c r="AS1063" s="94"/>
      <c r="AT1063" s="94"/>
      <c r="AU1063" s="94"/>
      <c r="AV1063" s="94"/>
      <c r="AW1063" s="94"/>
      <c r="AX1063" s="94"/>
      <c r="AY1063" s="94"/>
      <c r="AZ1063" s="94"/>
      <c r="BA1063" s="94"/>
      <c r="BB1063" s="94"/>
      <c r="BC1063" s="94"/>
      <c r="BD1063" s="94"/>
      <c r="BE1063" s="94"/>
      <c r="BF1063" s="94"/>
    </row>
    <row r="1064" spans="1:58" x14ac:dyDescent="0.35">
      <c r="A1064" s="107" t="s">
        <v>2864</v>
      </c>
      <c r="B1064" s="108" t="s">
        <v>0</v>
      </c>
      <c r="C1064" s="109">
        <v>7</v>
      </c>
      <c r="D1064" s="107" t="s">
        <v>1110</v>
      </c>
      <c r="E1064" s="109"/>
      <c r="F1064" s="94"/>
      <c r="G1064" s="94"/>
      <c r="H1064" s="94"/>
      <c r="I1064" s="94"/>
      <c r="J1064" s="94"/>
      <c r="K1064" s="94"/>
      <c r="L1064" s="94"/>
      <c r="M1064" s="94"/>
      <c r="N1064" s="94"/>
      <c r="O1064" s="94"/>
      <c r="P1064" s="94"/>
      <c r="Q1064" s="94"/>
      <c r="R1064" s="94"/>
      <c r="S1064" s="94"/>
      <c r="T1064" s="94"/>
      <c r="U1064" s="94"/>
      <c r="V1064" s="94"/>
      <c r="W1064" s="94"/>
      <c r="X1064" s="94"/>
      <c r="Y1064" s="94"/>
      <c r="Z1064" s="94"/>
      <c r="AA1064" s="94"/>
      <c r="AB1064" s="94"/>
      <c r="AC1064" s="94"/>
      <c r="AD1064" s="94"/>
      <c r="AE1064" s="94"/>
      <c r="AF1064" s="94"/>
      <c r="AG1064" s="94"/>
      <c r="AH1064" s="94"/>
      <c r="AI1064" s="94"/>
      <c r="AJ1064" s="94"/>
      <c r="AK1064" s="94"/>
      <c r="AL1064" s="94"/>
      <c r="AM1064" s="94"/>
      <c r="AN1064" s="94"/>
      <c r="AO1064" s="94"/>
      <c r="AP1064" s="94"/>
      <c r="AQ1064" s="94"/>
      <c r="AR1064" s="94"/>
      <c r="AS1064" s="94"/>
      <c r="AT1064" s="94"/>
      <c r="AU1064" s="94"/>
      <c r="AV1064" s="94"/>
      <c r="AW1064" s="94"/>
      <c r="AX1064" s="94"/>
      <c r="AY1064" s="94"/>
      <c r="AZ1064" s="94"/>
      <c r="BA1064" s="94"/>
      <c r="BB1064" s="94"/>
      <c r="BC1064" s="94"/>
      <c r="BD1064" s="94"/>
      <c r="BE1064" s="94"/>
      <c r="BF1064" s="94"/>
    </row>
    <row r="1065" spans="1:58" x14ac:dyDescent="0.35">
      <c r="A1065" s="107" t="s">
        <v>2865</v>
      </c>
      <c r="B1065" s="108" t="s">
        <v>0</v>
      </c>
      <c r="C1065" s="109">
        <v>7</v>
      </c>
      <c r="D1065" s="107" t="s">
        <v>1111</v>
      </c>
      <c r="E1065" s="109"/>
      <c r="F1065" s="94"/>
      <c r="G1065" s="94"/>
      <c r="H1065" s="94"/>
      <c r="I1065" s="94"/>
      <c r="J1065" s="94"/>
      <c r="K1065" s="94"/>
      <c r="L1065" s="94"/>
      <c r="M1065" s="94"/>
      <c r="N1065" s="94"/>
      <c r="O1065" s="94"/>
      <c r="P1065" s="94"/>
      <c r="Q1065" s="94"/>
      <c r="R1065" s="94"/>
      <c r="S1065" s="94"/>
      <c r="T1065" s="94"/>
      <c r="U1065" s="94"/>
      <c r="V1065" s="94"/>
      <c r="W1065" s="94"/>
      <c r="X1065" s="94"/>
      <c r="Y1065" s="94"/>
      <c r="Z1065" s="94"/>
      <c r="AA1065" s="94"/>
      <c r="AB1065" s="94"/>
      <c r="AC1065" s="94"/>
      <c r="AD1065" s="94"/>
      <c r="AE1065" s="94"/>
      <c r="AF1065" s="94"/>
      <c r="AG1065" s="94"/>
      <c r="AH1065" s="94"/>
      <c r="AI1065" s="94"/>
      <c r="AJ1065" s="94"/>
      <c r="AK1065" s="94"/>
      <c r="AL1065" s="94"/>
      <c r="AM1065" s="94"/>
      <c r="AN1065" s="94"/>
      <c r="AO1065" s="94"/>
      <c r="AP1065" s="94"/>
      <c r="AQ1065" s="94"/>
      <c r="AR1065" s="94"/>
      <c r="AS1065" s="94"/>
      <c r="AT1065" s="94"/>
      <c r="AU1065" s="94"/>
      <c r="AV1065" s="94"/>
      <c r="AW1065" s="94"/>
      <c r="AX1065" s="94"/>
      <c r="AY1065" s="94"/>
      <c r="AZ1065" s="94"/>
      <c r="BA1065" s="94"/>
      <c r="BB1065" s="94"/>
      <c r="BC1065" s="94"/>
      <c r="BD1065" s="94"/>
      <c r="BE1065" s="94"/>
      <c r="BF1065" s="94"/>
    </row>
    <row r="1066" spans="1:58" x14ac:dyDescent="0.35">
      <c r="A1066" s="107" t="s">
        <v>2866</v>
      </c>
      <c r="B1066" s="108" t="s">
        <v>0</v>
      </c>
      <c r="C1066" s="109">
        <v>7</v>
      </c>
      <c r="D1066" s="107" t="s">
        <v>1112</v>
      </c>
      <c r="E1066" s="109"/>
      <c r="F1066" s="94"/>
      <c r="G1066" s="94"/>
      <c r="H1066" s="94"/>
      <c r="I1066" s="94"/>
      <c r="J1066" s="94"/>
      <c r="K1066" s="94"/>
      <c r="L1066" s="94"/>
      <c r="M1066" s="94"/>
      <c r="N1066" s="94"/>
      <c r="O1066" s="94"/>
      <c r="P1066" s="94"/>
      <c r="Q1066" s="94"/>
      <c r="R1066" s="94"/>
      <c r="S1066" s="94"/>
      <c r="T1066" s="94"/>
      <c r="U1066" s="94"/>
      <c r="V1066" s="94"/>
      <c r="W1066" s="94"/>
      <c r="X1066" s="94"/>
      <c r="Y1066" s="94"/>
      <c r="Z1066" s="94"/>
      <c r="AA1066" s="94"/>
      <c r="AB1066" s="94"/>
      <c r="AC1066" s="94"/>
      <c r="AD1066" s="94"/>
      <c r="AE1066" s="94"/>
      <c r="AF1066" s="94"/>
      <c r="AG1066" s="94"/>
      <c r="AH1066" s="94"/>
      <c r="AI1066" s="94"/>
      <c r="AJ1066" s="94"/>
      <c r="AK1066" s="94"/>
      <c r="AL1066" s="94"/>
      <c r="AM1066" s="94"/>
      <c r="AN1066" s="94"/>
      <c r="AO1066" s="94"/>
      <c r="AP1066" s="94"/>
      <c r="AQ1066" s="94"/>
      <c r="AR1066" s="94"/>
      <c r="AS1066" s="94"/>
      <c r="AT1066" s="94"/>
      <c r="AU1066" s="94"/>
      <c r="AV1066" s="94"/>
      <c r="AW1066" s="94"/>
      <c r="AX1066" s="94"/>
      <c r="AY1066" s="94"/>
      <c r="AZ1066" s="94"/>
      <c r="BA1066" s="94"/>
      <c r="BB1066" s="94"/>
      <c r="BC1066" s="94"/>
      <c r="BD1066" s="94"/>
      <c r="BE1066" s="94"/>
      <c r="BF1066" s="94"/>
    </row>
    <row r="1067" spans="1:58" x14ac:dyDescent="0.35">
      <c r="A1067" s="107" t="s">
        <v>2867</v>
      </c>
      <c r="B1067" s="108" t="s">
        <v>0</v>
      </c>
      <c r="C1067" s="109">
        <v>7</v>
      </c>
      <c r="D1067" s="107" t="s">
        <v>1113</v>
      </c>
      <c r="E1067" s="109"/>
      <c r="F1067" s="94"/>
      <c r="G1067" s="94"/>
      <c r="H1067" s="94"/>
      <c r="I1067" s="94"/>
      <c r="J1067" s="94"/>
      <c r="K1067" s="94"/>
      <c r="L1067" s="94"/>
      <c r="M1067" s="94"/>
      <c r="N1067" s="94"/>
      <c r="O1067" s="94"/>
      <c r="P1067" s="94"/>
      <c r="Q1067" s="94"/>
      <c r="R1067" s="94"/>
      <c r="S1067" s="94"/>
      <c r="T1067" s="94"/>
      <c r="U1067" s="94"/>
      <c r="V1067" s="94"/>
      <c r="W1067" s="94"/>
      <c r="X1067" s="94"/>
      <c r="Y1067" s="94"/>
      <c r="Z1067" s="94"/>
      <c r="AA1067" s="94"/>
      <c r="AB1067" s="94"/>
      <c r="AC1067" s="94"/>
      <c r="AD1067" s="94"/>
      <c r="AE1067" s="94"/>
      <c r="AF1067" s="94"/>
      <c r="AG1067" s="94"/>
      <c r="AH1067" s="94"/>
      <c r="AI1067" s="94"/>
      <c r="AJ1067" s="94"/>
      <c r="AK1067" s="94"/>
      <c r="AL1067" s="94"/>
      <c r="AM1067" s="94"/>
      <c r="AN1067" s="94"/>
      <c r="AO1067" s="94"/>
      <c r="AP1067" s="94"/>
      <c r="AQ1067" s="94"/>
      <c r="AR1067" s="94"/>
      <c r="AS1067" s="94"/>
      <c r="AT1067" s="94"/>
      <c r="AU1067" s="94"/>
      <c r="AV1067" s="94"/>
      <c r="AW1067" s="94"/>
      <c r="AX1067" s="94"/>
      <c r="AY1067" s="94"/>
      <c r="AZ1067" s="94"/>
      <c r="BA1067" s="94"/>
      <c r="BB1067" s="94"/>
      <c r="BC1067" s="94"/>
      <c r="BD1067" s="94"/>
      <c r="BE1067" s="94"/>
      <c r="BF1067" s="94"/>
    </row>
    <row r="1068" spans="1:58" x14ac:dyDescent="0.35">
      <c r="A1068" s="104" t="s">
        <v>2868</v>
      </c>
      <c r="B1068" s="105" t="s">
        <v>0</v>
      </c>
      <c r="C1068" s="106">
        <v>6</v>
      </c>
      <c r="D1068" s="104" t="s">
        <v>16</v>
      </c>
      <c r="E1068" s="106"/>
      <c r="F1068" s="94"/>
      <c r="G1068" s="94"/>
      <c r="H1068" s="94"/>
      <c r="I1068" s="94"/>
      <c r="J1068" s="94"/>
      <c r="K1068" s="94"/>
      <c r="L1068" s="94"/>
      <c r="M1068" s="94"/>
      <c r="N1068" s="94"/>
      <c r="O1068" s="94"/>
      <c r="P1068" s="94"/>
      <c r="Q1068" s="94"/>
      <c r="R1068" s="94"/>
      <c r="S1068" s="94"/>
      <c r="T1068" s="94"/>
      <c r="U1068" s="94"/>
      <c r="V1068" s="94"/>
      <c r="W1068" s="94"/>
      <c r="X1068" s="94"/>
      <c r="Y1068" s="94"/>
      <c r="Z1068" s="94"/>
      <c r="AA1068" s="94"/>
      <c r="AB1068" s="94"/>
      <c r="AC1068" s="94"/>
      <c r="AD1068" s="94"/>
      <c r="AE1068" s="94"/>
      <c r="AF1068" s="94"/>
      <c r="AG1068" s="94"/>
      <c r="AH1068" s="94"/>
      <c r="AI1068" s="94"/>
      <c r="AJ1068" s="94"/>
      <c r="AK1068" s="94"/>
      <c r="AL1068" s="94"/>
      <c r="AM1068" s="94"/>
      <c r="AN1068" s="94"/>
      <c r="AO1068" s="94"/>
      <c r="AP1068" s="94"/>
      <c r="AQ1068" s="94"/>
      <c r="AR1068" s="94"/>
      <c r="AS1068" s="94"/>
      <c r="AT1068" s="94"/>
      <c r="AU1068" s="94"/>
      <c r="AV1068" s="94"/>
      <c r="AW1068" s="94"/>
      <c r="AX1068" s="94"/>
      <c r="AY1068" s="94"/>
      <c r="AZ1068" s="94"/>
      <c r="BA1068" s="94"/>
      <c r="BB1068" s="94"/>
      <c r="BC1068" s="94"/>
      <c r="BD1068" s="94"/>
      <c r="BE1068" s="94"/>
      <c r="BF1068" s="94"/>
    </row>
    <row r="1069" spans="1:58" x14ac:dyDescent="0.35">
      <c r="A1069" s="107" t="s">
        <v>2869</v>
      </c>
      <c r="B1069" s="108" t="s">
        <v>0</v>
      </c>
      <c r="C1069" s="109">
        <v>7</v>
      </c>
      <c r="D1069" s="107" t="s">
        <v>1114</v>
      </c>
      <c r="E1069" s="109" t="s">
        <v>210</v>
      </c>
      <c r="F1069" s="94"/>
      <c r="G1069" s="94"/>
      <c r="H1069" s="94"/>
      <c r="I1069" s="94"/>
      <c r="J1069" s="94"/>
      <c r="K1069" s="94"/>
      <c r="L1069" s="94"/>
      <c r="M1069" s="94"/>
      <c r="N1069" s="94"/>
      <c r="O1069" s="94"/>
      <c r="P1069" s="94"/>
      <c r="Q1069" s="94"/>
      <c r="R1069" s="94"/>
      <c r="S1069" s="94"/>
      <c r="T1069" s="94"/>
      <c r="U1069" s="94"/>
      <c r="V1069" s="94"/>
      <c r="W1069" s="94"/>
      <c r="X1069" s="94"/>
      <c r="Y1069" s="94"/>
      <c r="Z1069" s="94"/>
      <c r="AA1069" s="94"/>
      <c r="AB1069" s="94"/>
      <c r="AC1069" s="94"/>
      <c r="AD1069" s="94"/>
      <c r="AE1069" s="94"/>
      <c r="AF1069" s="94"/>
      <c r="AG1069" s="94"/>
      <c r="AH1069" s="94"/>
      <c r="AI1069" s="94"/>
      <c r="AJ1069" s="94"/>
      <c r="AK1069" s="94"/>
      <c r="AL1069" s="94"/>
      <c r="AM1069" s="94"/>
      <c r="AN1069" s="94"/>
      <c r="AO1069" s="94"/>
      <c r="AP1069" s="94"/>
      <c r="AQ1069" s="94"/>
      <c r="AR1069" s="94"/>
      <c r="AS1069" s="94"/>
      <c r="AT1069" s="94"/>
      <c r="AU1069" s="94"/>
      <c r="AV1069" s="94"/>
      <c r="AW1069" s="94"/>
      <c r="AX1069" s="94"/>
      <c r="AY1069" s="94"/>
      <c r="AZ1069" s="94"/>
      <c r="BA1069" s="94"/>
      <c r="BB1069" s="94"/>
      <c r="BC1069" s="94"/>
      <c r="BD1069" s="94"/>
      <c r="BE1069" s="94"/>
      <c r="BF1069" s="94"/>
    </row>
    <row r="1070" spans="1:58" x14ac:dyDescent="0.35">
      <c r="A1070" s="104" t="s">
        <v>2870</v>
      </c>
      <c r="B1070" s="105" t="s">
        <v>0</v>
      </c>
      <c r="C1070" s="106">
        <v>6</v>
      </c>
      <c r="D1070" s="104" t="s">
        <v>30</v>
      </c>
      <c r="E1070" s="106"/>
      <c r="F1070" s="94"/>
      <c r="G1070" s="94"/>
      <c r="H1070" s="94"/>
      <c r="I1070" s="94"/>
      <c r="J1070" s="94"/>
      <c r="K1070" s="94"/>
      <c r="L1070" s="94"/>
      <c r="M1070" s="94"/>
      <c r="N1070" s="94"/>
      <c r="O1070" s="94"/>
      <c r="P1070" s="94"/>
      <c r="Q1070" s="94"/>
      <c r="R1070" s="94"/>
      <c r="S1070" s="94"/>
      <c r="T1070" s="94"/>
      <c r="U1070" s="94"/>
      <c r="V1070" s="94"/>
      <c r="W1070" s="94"/>
      <c r="X1070" s="94"/>
      <c r="Y1070" s="94"/>
      <c r="Z1070" s="94"/>
      <c r="AA1070" s="94"/>
      <c r="AB1070" s="94"/>
      <c r="AC1070" s="94"/>
      <c r="AD1070" s="94"/>
      <c r="AE1070" s="94"/>
      <c r="AF1070" s="94"/>
      <c r="AG1070" s="94"/>
      <c r="AH1070" s="94"/>
      <c r="AI1070" s="94"/>
      <c r="AJ1070" s="94"/>
      <c r="AK1070" s="94"/>
      <c r="AL1070" s="94"/>
      <c r="AM1070" s="94"/>
      <c r="AN1070" s="94"/>
      <c r="AO1070" s="94"/>
      <c r="AP1070" s="94"/>
      <c r="AQ1070" s="94"/>
      <c r="AR1070" s="94"/>
      <c r="AS1070" s="94"/>
      <c r="AT1070" s="94"/>
      <c r="AU1070" s="94"/>
      <c r="AV1070" s="94"/>
      <c r="AW1070" s="94"/>
      <c r="AX1070" s="94"/>
      <c r="AY1070" s="94"/>
      <c r="AZ1070" s="94"/>
      <c r="BA1070" s="94"/>
      <c r="BB1070" s="94"/>
      <c r="BC1070" s="94"/>
      <c r="BD1070" s="94"/>
      <c r="BE1070" s="94"/>
      <c r="BF1070" s="94"/>
    </row>
    <row r="1071" spans="1:58" x14ac:dyDescent="0.35">
      <c r="A1071" s="107" t="s">
        <v>2871</v>
      </c>
      <c r="B1071" s="108" t="s">
        <v>0</v>
      </c>
      <c r="C1071" s="109">
        <v>7</v>
      </c>
      <c r="D1071" s="107" t="s">
        <v>1656</v>
      </c>
      <c r="E1071" s="109"/>
      <c r="F1071" s="94"/>
      <c r="G1071" s="94"/>
      <c r="H1071" s="94"/>
      <c r="I1071" s="94"/>
      <c r="J1071" s="94"/>
      <c r="K1071" s="94"/>
      <c r="L1071" s="94"/>
      <c r="M1071" s="94"/>
      <c r="N1071" s="94"/>
      <c r="O1071" s="94"/>
      <c r="P1071" s="94"/>
      <c r="Q1071" s="94"/>
      <c r="R1071" s="94"/>
      <c r="S1071" s="94"/>
      <c r="T1071" s="94"/>
      <c r="U1071" s="94"/>
      <c r="V1071" s="94"/>
      <c r="W1071" s="94"/>
      <c r="X1071" s="94"/>
      <c r="Y1071" s="94"/>
      <c r="Z1071" s="94"/>
      <c r="AA1071" s="94"/>
      <c r="AB1071" s="94"/>
      <c r="AC1071" s="94"/>
      <c r="AD1071" s="94"/>
      <c r="AE1071" s="94"/>
      <c r="AF1071" s="94"/>
      <c r="AG1071" s="94"/>
      <c r="AH1071" s="94"/>
      <c r="AI1071" s="94"/>
      <c r="AJ1071" s="94"/>
      <c r="AK1071" s="94"/>
      <c r="AL1071" s="94"/>
      <c r="AM1071" s="94"/>
      <c r="AN1071" s="94"/>
      <c r="AO1071" s="94"/>
      <c r="AP1071" s="94"/>
      <c r="AQ1071" s="94"/>
      <c r="AR1071" s="94"/>
      <c r="AS1071" s="94"/>
      <c r="AT1071" s="94"/>
      <c r="AU1071" s="94"/>
      <c r="AV1071" s="94"/>
      <c r="AW1071" s="94"/>
      <c r="AX1071" s="94"/>
      <c r="AY1071" s="94"/>
      <c r="AZ1071" s="94"/>
      <c r="BA1071" s="94"/>
      <c r="BB1071" s="94"/>
      <c r="BC1071" s="94"/>
      <c r="BD1071" s="94"/>
      <c r="BE1071" s="94"/>
      <c r="BF1071" s="94"/>
    </row>
    <row r="1072" spans="1:58" x14ac:dyDescent="0.35">
      <c r="A1072" s="107" t="s">
        <v>2872</v>
      </c>
      <c r="B1072" s="108" t="s">
        <v>0</v>
      </c>
      <c r="C1072" s="109">
        <v>7</v>
      </c>
      <c r="D1072" s="107" t="s">
        <v>1659</v>
      </c>
      <c r="E1072" s="109"/>
      <c r="F1072" s="94"/>
      <c r="G1072" s="94"/>
      <c r="H1072" s="94"/>
      <c r="I1072" s="94"/>
      <c r="J1072" s="94"/>
      <c r="K1072" s="94"/>
      <c r="L1072" s="94"/>
      <c r="M1072" s="94"/>
      <c r="N1072" s="94"/>
      <c r="O1072" s="94"/>
      <c r="P1072" s="94"/>
      <c r="Q1072" s="94"/>
      <c r="R1072" s="94"/>
      <c r="S1072" s="94"/>
      <c r="T1072" s="94"/>
      <c r="U1072" s="94"/>
      <c r="V1072" s="94"/>
      <c r="W1072" s="94"/>
      <c r="X1072" s="94"/>
      <c r="Y1072" s="94"/>
      <c r="Z1072" s="94"/>
      <c r="AA1072" s="94"/>
      <c r="AB1072" s="94"/>
      <c r="AC1072" s="94"/>
      <c r="AD1072" s="94"/>
      <c r="AE1072" s="94"/>
      <c r="AF1072" s="94"/>
      <c r="AG1072" s="94"/>
      <c r="AH1072" s="94"/>
      <c r="AI1072" s="94"/>
      <c r="AJ1072" s="94"/>
      <c r="AK1072" s="94"/>
      <c r="AL1072" s="94"/>
      <c r="AM1072" s="94"/>
      <c r="AN1072" s="94"/>
      <c r="AO1072" s="94"/>
      <c r="AP1072" s="94"/>
      <c r="AQ1072" s="94"/>
      <c r="AR1072" s="94"/>
      <c r="AS1072" s="94"/>
      <c r="AT1072" s="94"/>
      <c r="AU1072" s="94"/>
      <c r="AV1072" s="94"/>
      <c r="AW1072" s="94"/>
      <c r="AX1072" s="94"/>
      <c r="AY1072" s="94"/>
      <c r="AZ1072" s="94"/>
      <c r="BA1072" s="94"/>
      <c r="BB1072" s="94"/>
      <c r="BC1072" s="94"/>
      <c r="BD1072" s="94"/>
      <c r="BE1072" s="94"/>
      <c r="BF1072" s="94"/>
    </row>
    <row r="1073" spans="1:58" x14ac:dyDescent="0.35">
      <c r="A1073" s="107" t="s">
        <v>2873</v>
      </c>
      <c r="B1073" s="108" t="s">
        <v>0</v>
      </c>
      <c r="C1073" s="109">
        <v>7</v>
      </c>
      <c r="D1073" s="107" t="s">
        <v>1657</v>
      </c>
      <c r="E1073" s="109"/>
      <c r="F1073" s="94"/>
      <c r="G1073" s="94"/>
      <c r="H1073" s="94"/>
      <c r="I1073" s="94"/>
      <c r="J1073" s="94"/>
      <c r="K1073" s="94"/>
      <c r="L1073" s="94"/>
      <c r="M1073" s="94"/>
      <c r="N1073" s="94"/>
      <c r="O1073" s="94"/>
      <c r="P1073" s="94"/>
      <c r="Q1073" s="94"/>
      <c r="R1073" s="94"/>
      <c r="S1073" s="94"/>
      <c r="T1073" s="94"/>
      <c r="U1073" s="94"/>
      <c r="V1073" s="94"/>
      <c r="W1073" s="94"/>
      <c r="X1073" s="94"/>
      <c r="Y1073" s="94"/>
      <c r="Z1073" s="94"/>
      <c r="AA1073" s="94"/>
      <c r="AB1073" s="94"/>
      <c r="AC1073" s="94"/>
      <c r="AD1073" s="94"/>
      <c r="AE1073" s="94"/>
      <c r="AF1073" s="94"/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/>
      <c r="AX1073" s="94"/>
      <c r="AY1073" s="94"/>
      <c r="AZ1073" s="94"/>
      <c r="BA1073" s="94"/>
      <c r="BB1073" s="94"/>
      <c r="BC1073" s="94"/>
      <c r="BD1073" s="94"/>
      <c r="BE1073" s="94"/>
      <c r="BF1073" s="94"/>
    </row>
    <row r="1074" spans="1:58" x14ac:dyDescent="0.35">
      <c r="A1074" s="107" t="s">
        <v>2874</v>
      </c>
      <c r="B1074" s="108" t="s">
        <v>0</v>
      </c>
      <c r="C1074" s="109">
        <v>7</v>
      </c>
      <c r="D1074" s="107" t="s">
        <v>1658</v>
      </c>
      <c r="E1074" s="109"/>
      <c r="F1074" s="94"/>
      <c r="G1074" s="94"/>
      <c r="H1074" s="94"/>
      <c r="I1074" s="94"/>
      <c r="J1074" s="94"/>
      <c r="K1074" s="94"/>
      <c r="L1074" s="94"/>
      <c r="M1074" s="94"/>
      <c r="N1074" s="94"/>
      <c r="O1074" s="94"/>
      <c r="P1074" s="94"/>
      <c r="Q1074" s="94"/>
      <c r="R1074" s="94"/>
      <c r="S1074" s="94"/>
      <c r="T1074" s="94"/>
      <c r="U1074" s="94"/>
      <c r="V1074" s="94"/>
      <c r="W1074" s="94"/>
      <c r="X1074" s="94"/>
      <c r="Y1074" s="94"/>
      <c r="Z1074" s="94"/>
      <c r="AA1074" s="94"/>
      <c r="AB1074" s="94"/>
      <c r="AC1074" s="94"/>
      <c r="AD1074" s="94"/>
      <c r="AE1074" s="94"/>
      <c r="AF1074" s="94"/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/>
      <c r="AX1074" s="94"/>
      <c r="AY1074" s="94"/>
      <c r="AZ1074" s="94"/>
      <c r="BA1074" s="94"/>
      <c r="BB1074" s="94"/>
      <c r="BC1074" s="94"/>
      <c r="BD1074" s="94"/>
      <c r="BE1074" s="94"/>
      <c r="BF1074" s="94"/>
    </row>
    <row r="1075" spans="1:58" x14ac:dyDescent="0.35">
      <c r="A1075" s="104" t="s">
        <v>2875</v>
      </c>
      <c r="B1075" s="105" t="s">
        <v>0</v>
      </c>
      <c r="C1075" s="106">
        <v>6</v>
      </c>
      <c r="D1075" s="104" t="s">
        <v>123</v>
      </c>
      <c r="E1075" s="106"/>
      <c r="F1075" s="94"/>
      <c r="G1075" s="94"/>
      <c r="H1075" s="94"/>
      <c r="I1075" s="94"/>
      <c r="J1075" s="94"/>
      <c r="K1075" s="94"/>
      <c r="L1075" s="94"/>
      <c r="M1075" s="94"/>
      <c r="N1075" s="94"/>
      <c r="O1075" s="94"/>
      <c r="P1075" s="94"/>
      <c r="Q1075" s="94"/>
      <c r="R1075" s="94"/>
      <c r="S1075" s="94"/>
      <c r="T1075" s="94"/>
      <c r="U1075" s="94"/>
      <c r="V1075" s="94"/>
      <c r="W1075" s="94"/>
      <c r="X1075" s="94"/>
      <c r="Y1075" s="94"/>
      <c r="Z1075" s="94"/>
      <c r="AA1075" s="94"/>
      <c r="AB1075" s="94"/>
      <c r="AC1075" s="94"/>
      <c r="AD1075" s="94"/>
      <c r="AE1075" s="94"/>
      <c r="AF1075" s="94"/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/>
      <c r="AX1075" s="94"/>
      <c r="AY1075" s="94"/>
      <c r="AZ1075" s="94"/>
      <c r="BA1075" s="94"/>
      <c r="BB1075" s="94"/>
      <c r="BC1075" s="94"/>
      <c r="BD1075" s="94"/>
      <c r="BE1075" s="94"/>
      <c r="BF1075" s="94"/>
    </row>
    <row r="1076" spans="1:58" x14ac:dyDescent="0.35">
      <c r="A1076" s="107" t="s">
        <v>2876</v>
      </c>
      <c r="B1076" s="108" t="s">
        <v>0</v>
      </c>
      <c r="C1076" s="109">
        <v>7</v>
      </c>
      <c r="D1076" s="107" t="s">
        <v>1654</v>
      </c>
      <c r="E1076" s="109"/>
      <c r="F1076" s="94"/>
      <c r="G1076" s="94"/>
      <c r="H1076" s="94"/>
      <c r="I1076" s="94"/>
      <c r="J1076" s="94"/>
      <c r="K1076" s="94"/>
      <c r="L1076" s="94"/>
      <c r="M1076" s="94"/>
      <c r="N1076" s="94"/>
      <c r="O1076" s="94"/>
      <c r="P1076" s="94"/>
      <c r="Q1076" s="94"/>
      <c r="R1076" s="94"/>
      <c r="S1076" s="94"/>
      <c r="T1076" s="94"/>
      <c r="U1076" s="94"/>
      <c r="V1076" s="94"/>
      <c r="W1076" s="94"/>
      <c r="X1076" s="94"/>
      <c r="Y1076" s="94"/>
      <c r="Z1076" s="94"/>
      <c r="AA1076" s="94"/>
      <c r="AB1076" s="94"/>
      <c r="AC1076" s="94"/>
      <c r="AD1076" s="94"/>
      <c r="AE1076" s="94"/>
      <c r="AF1076" s="94"/>
      <c r="AG1076" s="94"/>
      <c r="AH1076" s="94"/>
      <c r="AI1076" s="94"/>
      <c r="AJ1076" s="94"/>
      <c r="AK1076" s="94"/>
      <c r="AL1076" s="94"/>
      <c r="AM1076" s="94"/>
      <c r="AN1076" s="94"/>
      <c r="AO1076" s="94"/>
      <c r="AP1076" s="94"/>
      <c r="AQ1076" s="94"/>
      <c r="AR1076" s="94"/>
      <c r="AS1076" s="94"/>
      <c r="AT1076" s="94"/>
      <c r="AU1076" s="94"/>
      <c r="AV1076" s="94"/>
      <c r="AW1076" s="94"/>
      <c r="AX1076" s="94"/>
      <c r="AY1076" s="94"/>
      <c r="AZ1076" s="94"/>
      <c r="BA1076" s="94"/>
      <c r="BB1076" s="94"/>
      <c r="BC1076" s="94"/>
      <c r="BD1076" s="94"/>
      <c r="BE1076" s="94"/>
      <c r="BF1076" s="94"/>
    </row>
    <row r="1077" spans="1:58" x14ac:dyDescent="0.35">
      <c r="A1077" s="101" t="s">
        <v>2877</v>
      </c>
      <c r="B1077" s="102" t="s">
        <v>0</v>
      </c>
      <c r="C1077" s="103">
        <v>5</v>
      </c>
      <c r="D1077" s="101" t="s">
        <v>460</v>
      </c>
      <c r="E1077" s="103" t="s">
        <v>211</v>
      </c>
      <c r="F1077" s="94"/>
      <c r="G1077" s="94"/>
      <c r="H1077" s="94"/>
      <c r="I1077" s="94"/>
      <c r="J1077" s="94"/>
      <c r="K1077" s="94"/>
      <c r="L1077" s="94"/>
      <c r="M1077" s="94"/>
      <c r="N1077" s="94"/>
      <c r="O1077" s="94"/>
      <c r="P1077" s="94"/>
      <c r="Q1077" s="94"/>
      <c r="R1077" s="94"/>
      <c r="S1077" s="94"/>
      <c r="T1077" s="94"/>
      <c r="U1077" s="94"/>
      <c r="V1077" s="94"/>
      <c r="W1077" s="94"/>
      <c r="X1077" s="94"/>
      <c r="Y1077" s="94"/>
      <c r="Z1077" s="94"/>
      <c r="AA1077" s="94"/>
      <c r="AB1077" s="94"/>
      <c r="AC1077" s="94"/>
      <c r="AD1077" s="94"/>
      <c r="AE1077" s="94"/>
      <c r="AF1077" s="94"/>
      <c r="AG1077" s="94"/>
      <c r="AH1077" s="94"/>
      <c r="AI1077" s="94"/>
      <c r="AJ1077" s="94"/>
      <c r="AK1077" s="94"/>
      <c r="AL1077" s="94"/>
      <c r="AM1077" s="94"/>
      <c r="AN1077" s="94"/>
      <c r="AO1077" s="94"/>
      <c r="AP1077" s="94"/>
      <c r="AQ1077" s="94"/>
      <c r="AR1077" s="94"/>
      <c r="AS1077" s="94"/>
      <c r="AT1077" s="94"/>
      <c r="AU1077" s="94"/>
      <c r="AV1077" s="94"/>
      <c r="AW1077" s="94"/>
      <c r="AX1077" s="94"/>
      <c r="AY1077" s="94"/>
      <c r="AZ1077" s="94"/>
      <c r="BA1077" s="94"/>
      <c r="BB1077" s="94"/>
      <c r="BC1077" s="94"/>
      <c r="BD1077" s="94"/>
      <c r="BE1077" s="94"/>
      <c r="BF1077" s="94"/>
    </row>
    <row r="1078" spans="1:58" x14ac:dyDescent="0.35">
      <c r="A1078" s="104" t="s">
        <v>2878</v>
      </c>
      <c r="B1078" s="105" t="s">
        <v>0</v>
      </c>
      <c r="C1078" s="106">
        <v>6</v>
      </c>
      <c r="D1078" s="104" t="s">
        <v>564</v>
      </c>
      <c r="E1078" s="106"/>
      <c r="F1078" s="94"/>
      <c r="G1078" s="94"/>
      <c r="H1078" s="94"/>
      <c r="I1078" s="94"/>
      <c r="J1078" s="94"/>
      <c r="K1078" s="94"/>
      <c r="L1078" s="94"/>
      <c r="M1078" s="94"/>
      <c r="N1078" s="94"/>
      <c r="O1078" s="94"/>
      <c r="P1078" s="94"/>
      <c r="Q1078" s="94"/>
      <c r="R1078" s="94"/>
      <c r="S1078" s="94"/>
      <c r="T1078" s="94"/>
      <c r="U1078" s="94"/>
      <c r="V1078" s="94"/>
      <c r="W1078" s="94"/>
      <c r="X1078" s="94"/>
      <c r="Y1078" s="94"/>
      <c r="Z1078" s="94"/>
      <c r="AA1078" s="94"/>
      <c r="AB1078" s="94"/>
      <c r="AC1078" s="94"/>
      <c r="AD1078" s="94"/>
      <c r="AE1078" s="94"/>
      <c r="AF1078" s="94"/>
      <c r="AG1078" s="94"/>
      <c r="AH1078" s="94"/>
      <c r="AI1078" s="94"/>
      <c r="AJ1078" s="94"/>
      <c r="AK1078" s="94"/>
      <c r="AL1078" s="94"/>
      <c r="AM1078" s="94"/>
      <c r="AN1078" s="94"/>
      <c r="AO1078" s="94"/>
      <c r="AP1078" s="94"/>
      <c r="AQ1078" s="94"/>
      <c r="AR1078" s="94"/>
      <c r="AS1078" s="94"/>
      <c r="AT1078" s="94"/>
      <c r="AU1078" s="94"/>
      <c r="AV1078" s="94"/>
      <c r="AW1078" s="94"/>
      <c r="AX1078" s="94"/>
      <c r="AY1078" s="94"/>
      <c r="AZ1078" s="94"/>
      <c r="BA1078" s="94"/>
      <c r="BB1078" s="94"/>
      <c r="BC1078" s="94"/>
      <c r="BD1078" s="94"/>
      <c r="BE1078" s="94"/>
      <c r="BF1078" s="94"/>
    </row>
    <row r="1079" spans="1:58" x14ac:dyDescent="0.35">
      <c r="A1079" s="107" t="s">
        <v>2879</v>
      </c>
      <c r="B1079" s="108" t="s">
        <v>0</v>
      </c>
      <c r="C1079" s="109">
        <v>7</v>
      </c>
      <c r="D1079" s="107" t="s">
        <v>1116</v>
      </c>
      <c r="E1079" s="109"/>
      <c r="F1079" s="94"/>
      <c r="G1079" s="94"/>
      <c r="H1079" s="94"/>
      <c r="I1079" s="94"/>
      <c r="J1079" s="94"/>
      <c r="K1079" s="94"/>
      <c r="L1079" s="94"/>
      <c r="M1079" s="94"/>
      <c r="N1079" s="94"/>
      <c r="O1079" s="94"/>
      <c r="P1079" s="94"/>
      <c r="Q1079" s="94"/>
      <c r="R1079" s="94"/>
      <c r="S1079" s="94"/>
      <c r="T1079" s="94"/>
      <c r="U1079" s="94"/>
      <c r="V1079" s="94"/>
      <c r="W1079" s="94"/>
      <c r="X1079" s="94"/>
      <c r="Y1079" s="94"/>
      <c r="Z1079" s="94"/>
      <c r="AA1079" s="94"/>
      <c r="AB1079" s="94"/>
      <c r="AC1079" s="94"/>
      <c r="AD1079" s="94"/>
      <c r="AE1079" s="94"/>
      <c r="AF1079" s="94"/>
      <c r="AG1079" s="94"/>
      <c r="AH1079" s="94"/>
      <c r="AI1079" s="94"/>
      <c r="AJ1079" s="94"/>
      <c r="AK1079" s="94"/>
      <c r="AL1079" s="94"/>
      <c r="AM1079" s="94"/>
      <c r="AN1079" s="94"/>
      <c r="AO1079" s="94"/>
      <c r="AP1079" s="94"/>
      <c r="AQ1079" s="94"/>
      <c r="AR1079" s="94"/>
      <c r="AS1079" s="94"/>
      <c r="AT1079" s="94"/>
      <c r="AU1079" s="94"/>
      <c r="AV1079" s="94"/>
      <c r="AW1079" s="94"/>
      <c r="AX1079" s="94"/>
      <c r="AY1079" s="94"/>
      <c r="AZ1079" s="94"/>
      <c r="BA1079" s="94"/>
      <c r="BB1079" s="94"/>
      <c r="BC1079" s="94"/>
      <c r="BD1079" s="94"/>
      <c r="BE1079" s="94"/>
      <c r="BF1079" s="94"/>
    </row>
    <row r="1080" spans="1:58" x14ac:dyDescent="0.35">
      <c r="A1080" s="107" t="s">
        <v>2880</v>
      </c>
      <c r="B1080" s="108" t="s">
        <v>0</v>
      </c>
      <c r="C1080" s="109">
        <v>7</v>
      </c>
      <c r="D1080" s="107" t="s">
        <v>1117</v>
      </c>
      <c r="E1080" s="109"/>
      <c r="F1080" s="94"/>
      <c r="G1080" s="94"/>
      <c r="H1080" s="94"/>
      <c r="I1080" s="94"/>
      <c r="J1080" s="94"/>
      <c r="K1080" s="94"/>
      <c r="L1080" s="94"/>
      <c r="M1080" s="94"/>
      <c r="N1080" s="94"/>
      <c r="O1080" s="94"/>
      <c r="P1080" s="94"/>
      <c r="Q1080" s="94"/>
      <c r="R1080" s="94"/>
      <c r="S1080" s="94"/>
      <c r="T1080" s="94"/>
      <c r="U1080" s="94"/>
      <c r="V1080" s="94"/>
      <c r="W1080" s="94"/>
      <c r="X1080" s="94"/>
      <c r="Y1080" s="94"/>
      <c r="Z1080" s="94"/>
      <c r="AA1080" s="94"/>
      <c r="AB1080" s="94"/>
      <c r="AC1080" s="94"/>
      <c r="AD1080" s="94"/>
      <c r="AE1080" s="94"/>
      <c r="AF1080" s="94"/>
      <c r="AG1080" s="94"/>
      <c r="AH1080" s="94"/>
      <c r="AI1080" s="94"/>
      <c r="AJ1080" s="94"/>
      <c r="AK1080" s="94"/>
      <c r="AL1080" s="94"/>
      <c r="AM1080" s="94"/>
      <c r="AN1080" s="94"/>
      <c r="AO1080" s="94"/>
      <c r="AP1080" s="94"/>
      <c r="AQ1080" s="94"/>
      <c r="AR1080" s="94"/>
      <c r="AS1080" s="94"/>
      <c r="AT1080" s="94"/>
      <c r="AU1080" s="94"/>
      <c r="AV1080" s="94"/>
      <c r="AW1080" s="94"/>
      <c r="AX1080" s="94"/>
      <c r="AY1080" s="94"/>
      <c r="AZ1080" s="94"/>
      <c r="BA1080" s="94"/>
      <c r="BB1080" s="94"/>
      <c r="BC1080" s="94"/>
      <c r="BD1080" s="94"/>
      <c r="BE1080" s="94"/>
      <c r="BF1080" s="94"/>
    </row>
    <row r="1081" spans="1:58" x14ac:dyDescent="0.35">
      <c r="A1081" s="107" t="s">
        <v>2881</v>
      </c>
      <c r="B1081" s="108" t="s">
        <v>0</v>
      </c>
      <c r="C1081" s="109">
        <v>7</v>
      </c>
      <c r="D1081" s="107" t="s">
        <v>1115</v>
      </c>
      <c r="E1081" s="109"/>
      <c r="F1081" s="94"/>
      <c r="G1081" s="94"/>
      <c r="H1081" s="94"/>
      <c r="I1081" s="94"/>
      <c r="J1081" s="94"/>
      <c r="K1081" s="94"/>
      <c r="L1081" s="94"/>
      <c r="M1081" s="94"/>
      <c r="N1081" s="94"/>
      <c r="O1081" s="94"/>
      <c r="P1081" s="94"/>
      <c r="Q1081" s="94"/>
      <c r="R1081" s="94"/>
      <c r="S1081" s="94"/>
      <c r="T1081" s="94"/>
      <c r="U1081" s="94"/>
      <c r="V1081" s="94"/>
      <c r="W1081" s="94"/>
      <c r="X1081" s="94"/>
      <c r="Y1081" s="94"/>
      <c r="Z1081" s="94"/>
      <c r="AA1081" s="94"/>
      <c r="AB1081" s="94"/>
      <c r="AC1081" s="94"/>
      <c r="AD1081" s="94"/>
      <c r="AE1081" s="94"/>
      <c r="AF1081" s="94"/>
      <c r="AG1081" s="94"/>
      <c r="AH1081" s="94"/>
      <c r="AI1081" s="94"/>
      <c r="AJ1081" s="94"/>
      <c r="AK1081" s="94"/>
      <c r="AL1081" s="94"/>
      <c r="AM1081" s="94"/>
      <c r="AN1081" s="94"/>
      <c r="AO1081" s="94"/>
      <c r="AP1081" s="94"/>
      <c r="AQ1081" s="94"/>
      <c r="AR1081" s="94"/>
      <c r="AS1081" s="94"/>
      <c r="AT1081" s="94"/>
      <c r="AU1081" s="94"/>
      <c r="AV1081" s="94"/>
      <c r="AW1081" s="94"/>
      <c r="AX1081" s="94"/>
      <c r="AY1081" s="94"/>
      <c r="AZ1081" s="94"/>
      <c r="BA1081" s="94"/>
      <c r="BB1081" s="94"/>
      <c r="BC1081" s="94"/>
      <c r="BD1081" s="94"/>
      <c r="BE1081" s="94"/>
      <c r="BF1081" s="94"/>
    </row>
    <row r="1082" spans="1:58" x14ac:dyDescent="0.35">
      <c r="A1082" s="107" t="s">
        <v>2882</v>
      </c>
      <c r="B1082" s="108" t="s">
        <v>0</v>
      </c>
      <c r="C1082" s="109">
        <v>7</v>
      </c>
      <c r="D1082" s="107" t="s">
        <v>1118</v>
      </c>
      <c r="E1082" s="109"/>
      <c r="F1082" s="94"/>
      <c r="G1082" s="94"/>
      <c r="H1082" s="94"/>
      <c r="I1082" s="94"/>
      <c r="J1082" s="94"/>
      <c r="K1082" s="94"/>
      <c r="L1082" s="94"/>
      <c r="M1082" s="94"/>
      <c r="N1082" s="94"/>
      <c r="O1082" s="94"/>
      <c r="P1082" s="94"/>
      <c r="Q1082" s="94"/>
      <c r="R1082" s="94"/>
      <c r="S1082" s="94"/>
      <c r="T1082" s="94"/>
      <c r="U1082" s="94"/>
      <c r="V1082" s="94"/>
      <c r="W1082" s="94"/>
      <c r="X1082" s="94"/>
      <c r="Y1082" s="94"/>
      <c r="Z1082" s="94"/>
      <c r="AA1082" s="94"/>
      <c r="AB1082" s="94"/>
      <c r="AC1082" s="94"/>
      <c r="AD1082" s="94"/>
      <c r="AE1082" s="94"/>
      <c r="AF1082" s="94"/>
      <c r="AG1082" s="94"/>
      <c r="AH1082" s="94"/>
      <c r="AI1082" s="94"/>
      <c r="AJ1082" s="94"/>
      <c r="AK1082" s="94"/>
      <c r="AL1082" s="94"/>
      <c r="AM1082" s="94"/>
      <c r="AN1082" s="94"/>
      <c r="AO1082" s="94"/>
      <c r="AP1082" s="94"/>
      <c r="AQ1082" s="94"/>
      <c r="AR1082" s="94"/>
      <c r="AS1082" s="94"/>
      <c r="AT1082" s="94"/>
      <c r="AU1082" s="94"/>
      <c r="AV1082" s="94"/>
      <c r="AW1082" s="94"/>
      <c r="AX1082" s="94"/>
      <c r="AY1082" s="94"/>
      <c r="AZ1082" s="94"/>
      <c r="BA1082" s="94"/>
      <c r="BB1082" s="94"/>
      <c r="BC1082" s="94"/>
      <c r="BD1082" s="94"/>
      <c r="BE1082" s="94"/>
      <c r="BF1082" s="94"/>
    </row>
    <row r="1083" spans="1:58" x14ac:dyDescent="0.35">
      <c r="A1083" s="107" t="s">
        <v>2883</v>
      </c>
      <c r="B1083" s="108" t="s">
        <v>0</v>
      </c>
      <c r="C1083" s="109">
        <v>7</v>
      </c>
      <c r="D1083" s="107" t="s">
        <v>1119</v>
      </c>
      <c r="E1083" s="109"/>
      <c r="F1083" s="94"/>
      <c r="G1083" s="94"/>
      <c r="H1083" s="94"/>
      <c r="I1083" s="94"/>
      <c r="J1083" s="94"/>
      <c r="K1083" s="94"/>
      <c r="L1083" s="94"/>
      <c r="M1083" s="94"/>
      <c r="N1083" s="94"/>
      <c r="O1083" s="94"/>
      <c r="P1083" s="94"/>
      <c r="Q1083" s="94"/>
      <c r="R1083" s="94"/>
      <c r="S1083" s="94"/>
      <c r="T1083" s="94"/>
      <c r="U1083" s="94"/>
      <c r="V1083" s="94"/>
      <c r="W1083" s="94"/>
      <c r="X1083" s="94"/>
      <c r="Y1083" s="94"/>
      <c r="Z1083" s="94"/>
      <c r="AA1083" s="94"/>
      <c r="AB1083" s="94"/>
      <c r="AC1083" s="94"/>
      <c r="AD1083" s="94"/>
      <c r="AE1083" s="94"/>
      <c r="AF1083" s="94"/>
      <c r="AG1083" s="94"/>
      <c r="AH1083" s="94"/>
      <c r="AI1083" s="94"/>
      <c r="AJ1083" s="94"/>
      <c r="AK1083" s="94"/>
      <c r="AL1083" s="94"/>
      <c r="AM1083" s="94"/>
      <c r="AN1083" s="94"/>
      <c r="AO1083" s="94"/>
      <c r="AP1083" s="94"/>
      <c r="AQ1083" s="94"/>
      <c r="AR1083" s="94"/>
      <c r="AS1083" s="94"/>
      <c r="AT1083" s="94"/>
      <c r="AU1083" s="94"/>
      <c r="AV1083" s="94"/>
      <c r="AW1083" s="94"/>
      <c r="AX1083" s="94"/>
      <c r="AY1083" s="94"/>
      <c r="AZ1083" s="94"/>
      <c r="BA1083" s="94"/>
      <c r="BB1083" s="94"/>
      <c r="BC1083" s="94"/>
      <c r="BD1083" s="94"/>
      <c r="BE1083" s="94"/>
      <c r="BF1083" s="94"/>
    </row>
    <row r="1084" spans="1:58" x14ac:dyDescent="0.35">
      <c r="A1084" s="107" t="s">
        <v>2884</v>
      </c>
      <c r="B1084" s="108" t="s">
        <v>0</v>
      </c>
      <c r="C1084" s="109">
        <v>7</v>
      </c>
      <c r="D1084" s="107" t="s">
        <v>1655</v>
      </c>
      <c r="E1084" s="109" t="s">
        <v>0</v>
      </c>
      <c r="F1084" s="94"/>
      <c r="G1084" s="94"/>
      <c r="H1084" s="94"/>
      <c r="I1084" s="94"/>
      <c r="J1084" s="94"/>
      <c r="K1084" s="94"/>
      <c r="L1084" s="94"/>
      <c r="M1084" s="94"/>
      <c r="N1084" s="94"/>
      <c r="O1084" s="94"/>
      <c r="P1084" s="94"/>
      <c r="Q1084" s="94"/>
      <c r="R1084" s="94"/>
      <c r="S1084" s="94"/>
      <c r="T1084" s="94"/>
      <c r="U1084" s="94"/>
      <c r="V1084" s="94"/>
      <c r="W1084" s="94"/>
      <c r="X1084" s="94"/>
      <c r="Y1084" s="94"/>
      <c r="Z1084" s="94"/>
      <c r="AA1084" s="94"/>
      <c r="AB1084" s="94"/>
      <c r="AC1084" s="94"/>
      <c r="AD1084" s="94"/>
      <c r="AE1084" s="94"/>
      <c r="AF1084" s="94"/>
      <c r="AG1084" s="94"/>
      <c r="AH1084" s="94"/>
      <c r="AI1084" s="94"/>
      <c r="AJ1084" s="94"/>
      <c r="AK1084" s="94"/>
      <c r="AL1084" s="94"/>
      <c r="AM1084" s="94"/>
      <c r="AN1084" s="94"/>
      <c r="AO1084" s="94"/>
      <c r="AP1084" s="94"/>
      <c r="AQ1084" s="94"/>
      <c r="AR1084" s="94"/>
      <c r="AS1084" s="94"/>
      <c r="AT1084" s="94"/>
      <c r="AU1084" s="94"/>
      <c r="AV1084" s="94"/>
      <c r="AW1084" s="94"/>
      <c r="AX1084" s="94"/>
      <c r="AY1084" s="94"/>
      <c r="AZ1084" s="94"/>
      <c r="BA1084" s="94"/>
      <c r="BB1084" s="94"/>
      <c r="BC1084" s="94"/>
      <c r="BD1084" s="94"/>
      <c r="BE1084" s="94"/>
      <c r="BF1084" s="94"/>
    </row>
    <row r="1085" spans="1:58" x14ac:dyDescent="0.35">
      <c r="A1085" s="104" t="s">
        <v>2885</v>
      </c>
      <c r="B1085" s="105" t="s">
        <v>0</v>
      </c>
      <c r="C1085" s="106">
        <v>6</v>
      </c>
      <c r="D1085" s="104" t="s">
        <v>26</v>
      </c>
      <c r="E1085" s="106"/>
      <c r="F1085" s="94"/>
      <c r="G1085" s="94"/>
      <c r="H1085" s="94"/>
      <c r="I1085" s="94"/>
      <c r="J1085" s="94"/>
      <c r="K1085" s="94"/>
      <c r="L1085" s="94"/>
      <c r="M1085" s="94"/>
      <c r="N1085" s="94"/>
      <c r="O1085" s="94"/>
      <c r="P1085" s="94"/>
      <c r="Q1085" s="94"/>
      <c r="R1085" s="94"/>
      <c r="S1085" s="94"/>
      <c r="T1085" s="94"/>
      <c r="U1085" s="94"/>
      <c r="V1085" s="94"/>
      <c r="W1085" s="94"/>
      <c r="X1085" s="94"/>
      <c r="Y1085" s="94"/>
      <c r="Z1085" s="94"/>
      <c r="AA1085" s="94"/>
      <c r="AB1085" s="94"/>
      <c r="AC1085" s="94"/>
      <c r="AD1085" s="94"/>
      <c r="AE1085" s="94"/>
      <c r="AF1085" s="94"/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  <c r="AY1085" s="94"/>
      <c r="AZ1085" s="94"/>
      <c r="BA1085" s="94"/>
      <c r="BB1085" s="94"/>
      <c r="BC1085" s="94"/>
      <c r="BD1085" s="94"/>
      <c r="BE1085" s="94"/>
      <c r="BF1085" s="94"/>
    </row>
    <row r="1086" spans="1:58" x14ac:dyDescent="0.35">
      <c r="A1086" s="107" t="s">
        <v>2886</v>
      </c>
      <c r="B1086" s="108" t="s">
        <v>0</v>
      </c>
      <c r="C1086" s="109">
        <v>7</v>
      </c>
      <c r="D1086" s="107" t="s">
        <v>1120</v>
      </c>
      <c r="E1086" s="109"/>
      <c r="F1086" s="94"/>
      <c r="G1086" s="94"/>
      <c r="H1086" s="94"/>
      <c r="I1086" s="94"/>
      <c r="J1086" s="94"/>
      <c r="K1086" s="94"/>
      <c r="L1086" s="94"/>
      <c r="M1086" s="94"/>
      <c r="N1086" s="94"/>
      <c r="O1086" s="94"/>
      <c r="P1086" s="94"/>
      <c r="Q1086" s="94"/>
      <c r="R1086" s="94"/>
      <c r="S1086" s="94"/>
      <c r="T1086" s="94"/>
      <c r="U1086" s="94"/>
      <c r="V1086" s="94"/>
      <c r="W1086" s="94"/>
      <c r="X1086" s="94"/>
      <c r="Y1086" s="94"/>
      <c r="Z1086" s="94"/>
      <c r="AA1086" s="94"/>
      <c r="AB1086" s="94"/>
      <c r="AC1086" s="94"/>
      <c r="AD1086" s="94"/>
      <c r="AE1086" s="94"/>
      <c r="AF1086" s="94"/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  <c r="AY1086" s="94"/>
      <c r="AZ1086" s="94"/>
      <c r="BA1086" s="94"/>
      <c r="BB1086" s="94"/>
      <c r="BC1086" s="94"/>
      <c r="BD1086" s="94"/>
      <c r="BE1086" s="94"/>
      <c r="BF1086" s="94"/>
    </row>
    <row r="1087" spans="1:58" x14ac:dyDescent="0.35">
      <c r="A1087" s="107" t="s">
        <v>2887</v>
      </c>
      <c r="B1087" s="108" t="s">
        <v>0</v>
      </c>
      <c r="C1087" s="109">
        <v>7</v>
      </c>
      <c r="D1087" s="107" t="s">
        <v>1121</v>
      </c>
      <c r="E1087" s="109"/>
      <c r="F1087" s="94"/>
      <c r="G1087" s="94"/>
      <c r="H1087" s="94"/>
      <c r="I1087" s="94"/>
      <c r="J1087" s="94"/>
      <c r="K1087" s="94"/>
      <c r="L1087" s="94"/>
      <c r="M1087" s="94"/>
      <c r="N1087" s="94"/>
      <c r="O1087" s="94"/>
      <c r="P1087" s="94"/>
      <c r="Q1087" s="94"/>
      <c r="R1087" s="94"/>
      <c r="S1087" s="94"/>
      <c r="T1087" s="94"/>
      <c r="U1087" s="94"/>
      <c r="V1087" s="94"/>
      <c r="W1087" s="94"/>
      <c r="X1087" s="94"/>
      <c r="Y1087" s="94"/>
      <c r="Z1087" s="94"/>
      <c r="AA1087" s="94"/>
      <c r="AB1087" s="94"/>
      <c r="AC1087" s="94"/>
      <c r="AD1087" s="94"/>
      <c r="AE1087" s="94"/>
      <c r="AF1087" s="94"/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  <c r="AY1087" s="94"/>
      <c r="AZ1087" s="94"/>
      <c r="BA1087" s="94"/>
      <c r="BB1087" s="94"/>
      <c r="BC1087" s="94"/>
      <c r="BD1087" s="94"/>
      <c r="BE1087" s="94"/>
      <c r="BF1087" s="94"/>
    </row>
    <row r="1088" spans="1:58" x14ac:dyDescent="0.35">
      <c r="A1088" s="107" t="s">
        <v>2888</v>
      </c>
      <c r="B1088" s="108" t="s">
        <v>0</v>
      </c>
      <c r="C1088" s="109">
        <v>7</v>
      </c>
      <c r="D1088" s="107" t="s">
        <v>1122</v>
      </c>
      <c r="E1088" s="109"/>
      <c r="F1088" s="94"/>
      <c r="G1088" s="94"/>
      <c r="H1088" s="94"/>
      <c r="I1088" s="94"/>
      <c r="J1088" s="94"/>
      <c r="K1088" s="94"/>
      <c r="L1088" s="94"/>
      <c r="M1088" s="94"/>
      <c r="N1088" s="94"/>
      <c r="O1088" s="94"/>
      <c r="P1088" s="94"/>
      <c r="Q1088" s="94"/>
      <c r="R1088" s="94"/>
      <c r="S1088" s="94"/>
      <c r="T1088" s="94"/>
      <c r="U1088" s="94"/>
      <c r="V1088" s="94"/>
      <c r="W1088" s="94"/>
      <c r="X1088" s="94"/>
      <c r="Y1088" s="94"/>
      <c r="Z1088" s="94"/>
      <c r="AA1088" s="94"/>
      <c r="AB1088" s="94"/>
      <c r="AC1088" s="94"/>
      <c r="AD1088" s="94"/>
      <c r="AE1088" s="94"/>
      <c r="AF1088" s="94"/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  <c r="AY1088" s="94"/>
      <c r="AZ1088" s="94"/>
      <c r="BA1088" s="94"/>
      <c r="BB1088" s="94"/>
      <c r="BC1088" s="94"/>
      <c r="BD1088" s="94"/>
      <c r="BE1088" s="94"/>
      <c r="BF1088" s="94"/>
    </row>
    <row r="1089" spans="1:58" x14ac:dyDescent="0.35">
      <c r="A1089" s="107" t="s">
        <v>2889</v>
      </c>
      <c r="B1089" s="108" t="s">
        <v>0</v>
      </c>
      <c r="C1089" s="109">
        <v>7</v>
      </c>
      <c r="D1089" s="107" t="s">
        <v>1123</v>
      </c>
      <c r="E1089" s="109"/>
      <c r="F1089" s="94"/>
      <c r="G1089" s="94"/>
      <c r="H1089" s="94"/>
      <c r="I1089" s="94"/>
      <c r="J1089" s="94"/>
      <c r="K1089" s="94"/>
      <c r="L1089" s="94"/>
      <c r="M1089" s="94"/>
      <c r="N1089" s="94"/>
      <c r="O1089" s="94"/>
      <c r="P1089" s="94"/>
      <c r="Q1089" s="94"/>
      <c r="R1089" s="94"/>
      <c r="S1089" s="94"/>
      <c r="T1089" s="94"/>
      <c r="U1089" s="94"/>
      <c r="V1089" s="94"/>
      <c r="W1089" s="94"/>
      <c r="X1089" s="94"/>
      <c r="Y1089" s="94"/>
      <c r="Z1089" s="94"/>
      <c r="AA1089" s="94"/>
      <c r="AB1089" s="94"/>
      <c r="AC1089" s="94"/>
      <c r="AD1089" s="94"/>
      <c r="AE1089" s="94"/>
      <c r="AF1089" s="94"/>
      <c r="AG1089" s="94"/>
      <c r="AH1089" s="94"/>
      <c r="AI1089" s="94"/>
      <c r="AJ1089" s="94"/>
      <c r="AK1089" s="94"/>
      <c r="AL1089" s="94"/>
      <c r="AM1089" s="94"/>
      <c r="AN1089" s="94"/>
      <c r="AO1089" s="94"/>
      <c r="AP1089" s="94"/>
      <c r="AQ1089" s="94"/>
      <c r="AR1089" s="94"/>
      <c r="AS1089" s="94"/>
      <c r="AT1089" s="94"/>
      <c r="AU1089" s="94"/>
      <c r="AV1089" s="94"/>
      <c r="AW1089" s="94"/>
      <c r="AX1089" s="94"/>
      <c r="AY1089" s="94"/>
      <c r="AZ1089" s="94"/>
      <c r="BA1089" s="94"/>
      <c r="BB1089" s="94"/>
      <c r="BC1089" s="94"/>
      <c r="BD1089" s="94"/>
      <c r="BE1089" s="94"/>
      <c r="BF1089" s="94"/>
    </row>
    <row r="1090" spans="1:58" x14ac:dyDescent="0.35">
      <c r="A1090" s="104" t="s">
        <v>2890</v>
      </c>
      <c r="B1090" s="105" t="s">
        <v>0</v>
      </c>
      <c r="C1090" s="106">
        <v>6</v>
      </c>
      <c r="D1090" s="104" t="s">
        <v>16</v>
      </c>
      <c r="E1090" s="106"/>
      <c r="F1090" s="94"/>
      <c r="G1090" s="94"/>
      <c r="H1090" s="94"/>
      <c r="I1090" s="94"/>
      <c r="J1090" s="94"/>
      <c r="K1090" s="94"/>
      <c r="L1090" s="94"/>
      <c r="M1090" s="94"/>
      <c r="N1090" s="94"/>
      <c r="O1090" s="94"/>
      <c r="P1090" s="94"/>
      <c r="Q1090" s="94"/>
      <c r="R1090" s="94"/>
      <c r="S1090" s="94"/>
      <c r="T1090" s="94"/>
      <c r="U1090" s="94"/>
      <c r="V1090" s="94"/>
      <c r="W1090" s="94"/>
      <c r="X1090" s="94"/>
      <c r="Y1090" s="94"/>
      <c r="Z1090" s="94"/>
      <c r="AA1090" s="94"/>
      <c r="AB1090" s="94"/>
      <c r="AC1090" s="94"/>
      <c r="AD1090" s="94"/>
      <c r="AE1090" s="94"/>
      <c r="AF1090" s="94"/>
      <c r="AG1090" s="94"/>
      <c r="AH1090" s="94"/>
      <c r="AI1090" s="94"/>
      <c r="AJ1090" s="94"/>
      <c r="AK1090" s="94"/>
      <c r="AL1090" s="94"/>
      <c r="AM1090" s="94"/>
      <c r="AN1090" s="94"/>
      <c r="AO1090" s="94"/>
      <c r="AP1090" s="94"/>
      <c r="AQ1090" s="94"/>
      <c r="AR1090" s="94"/>
      <c r="AS1090" s="94"/>
      <c r="AT1090" s="94"/>
      <c r="AU1090" s="94"/>
      <c r="AV1090" s="94"/>
      <c r="AW1090" s="94"/>
      <c r="AX1090" s="94"/>
      <c r="AY1090" s="94"/>
      <c r="AZ1090" s="94"/>
      <c r="BA1090" s="94"/>
      <c r="BB1090" s="94"/>
      <c r="BC1090" s="94"/>
      <c r="BD1090" s="94"/>
      <c r="BE1090" s="94"/>
      <c r="BF1090" s="94"/>
    </row>
    <row r="1091" spans="1:58" x14ac:dyDescent="0.35">
      <c r="A1091" s="107" t="s">
        <v>2891</v>
      </c>
      <c r="B1091" s="108" t="s">
        <v>0</v>
      </c>
      <c r="C1091" s="109">
        <v>7</v>
      </c>
      <c r="D1091" s="107" t="s">
        <v>1124</v>
      </c>
      <c r="E1091" s="109" t="s">
        <v>212</v>
      </c>
      <c r="F1091" s="94"/>
      <c r="G1091" s="94"/>
      <c r="H1091" s="94"/>
      <c r="I1091" s="94"/>
      <c r="J1091" s="94"/>
      <c r="K1091" s="94"/>
      <c r="L1091" s="94"/>
      <c r="M1091" s="94"/>
      <c r="N1091" s="94"/>
      <c r="O1091" s="94"/>
      <c r="P1091" s="94"/>
      <c r="Q1091" s="94"/>
      <c r="R1091" s="94"/>
      <c r="S1091" s="94"/>
      <c r="T1091" s="94"/>
      <c r="U1091" s="94"/>
      <c r="V1091" s="94"/>
      <c r="W1091" s="94"/>
      <c r="X1091" s="94"/>
      <c r="Y1091" s="94"/>
      <c r="Z1091" s="94"/>
      <c r="AA1091" s="94"/>
      <c r="AB1091" s="94"/>
      <c r="AC1091" s="94"/>
      <c r="AD1091" s="94"/>
      <c r="AE1091" s="94"/>
      <c r="AF1091" s="94"/>
      <c r="AG1091" s="94"/>
      <c r="AH1091" s="94"/>
      <c r="AI1091" s="94"/>
      <c r="AJ1091" s="94"/>
      <c r="AK1091" s="94"/>
      <c r="AL1091" s="94"/>
      <c r="AM1091" s="94"/>
      <c r="AN1091" s="94"/>
      <c r="AO1091" s="94"/>
      <c r="AP1091" s="94"/>
      <c r="AQ1091" s="94"/>
      <c r="AR1091" s="94"/>
      <c r="AS1091" s="94"/>
      <c r="AT1091" s="94"/>
      <c r="AU1091" s="94"/>
      <c r="AV1091" s="94"/>
      <c r="AW1091" s="94"/>
      <c r="AX1091" s="94"/>
      <c r="AY1091" s="94"/>
      <c r="AZ1091" s="94"/>
      <c r="BA1091" s="94"/>
      <c r="BB1091" s="94"/>
      <c r="BC1091" s="94"/>
      <c r="BD1091" s="94"/>
      <c r="BE1091" s="94"/>
      <c r="BF1091" s="94"/>
    </row>
    <row r="1092" spans="1:58" x14ac:dyDescent="0.35">
      <c r="A1092" s="104" t="s">
        <v>2892</v>
      </c>
      <c r="B1092" s="105" t="s">
        <v>0</v>
      </c>
      <c r="C1092" s="106">
        <v>6</v>
      </c>
      <c r="D1092" s="104" t="s">
        <v>30</v>
      </c>
      <c r="E1092" s="106"/>
      <c r="F1092" s="94"/>
      <c r="G1092" s="94"/>
      <c r="H1092" s="94"/>
      <c r="I1092" s="94"/>
      <c r="J1092" s="94"/>
      <c r="K1092" s="94"/>
      <c r="L1092" s="94"/>
      <c r="M1092" s="94"/>
      <c r="N1092" s="94"/>
      <c r="O1092" s="94"/>
      <c r="P1092" s="94"/>
      <c r="Q1092" s="94"/>
      <c r="R1092" s="94"/>
      <c r="S1092" s="94"/>
      <c r="T1092" s="94"/>
      <c r="U1092" s="94"/>
      <c r="V1092" s="94"/>
      <c r="W1092" s="94"/>
      <c r="X1092" s="94"/>
      <c r="Y1092" s="94"/>
      <c r="Z1092" s="94"/>
      <c r="AA1092" s="94"/>
      <c r="AB1092" s="94"/>
      <c r="AC1092" s="94"/>
      <c r="AD1092" s="94"/>
      <c r="AE1092" s="94"/>
      <c r="AF1092" s="94"/>
      <c r="AG1092" s="94"/>
      <c r="AH1092" s="94"/>
      <c r="AI1092" s="94"/>
      <c r="AJ1092" s="94"/>
      <c r="AK1092" s="94"/>
      <c r="AL1092" s="94"/>
      <c r="AM1092" s="94"/>
      <c r="AN1092" s="94"/>
      <c r="AO1092" s="94"/>
      <c r="AP1092" s="94"/>
      <c r="AQ1092" s="94"/>
      <c r="AR1092" s="94"/>
      <c r="AS1092" s="94"/>
      <c r="AT1092" s="94"/>
      <c r="AU1092" s="94"/>
      <c r="AV1092" s="94"/>
      <c r="AW1092" s="94"/>
      <c r="AX1092" s="94"/>
      <c r="AY1092" s="94"/>
      <c r="AZ1092" s="94"/>
      <c r="BA1092" s="94"/>
      <c r="BB1092" s="94"/>
      <c r="BC1092" s="94"/>
      <c r="BD1092" s="94"/>
      <c r="BE1092" s="94"/>
      <c r="BF1092" s="94"/>
    </row>
    <row r="1093" spans="1:58" x14ac:dyDescent="0.35">
      <c r="A1093" s="107" t="s">
        <v>2893</v>
      </c>
      <c r="B1093" s="108" t="s">
        <v>0</v>
      </c>
      <c r="C1093" s="109">
        <v>7</v>
      </c>
      <c r="D1093" s="107" t="s">
        <v>1656</v>
      </c>
      <c r="E1093" s="109"/>
      <c r="F1093" s="94"/>
      <c r="G1093" s="94"/>
      <c r="H1093" s="94"/>
      <c r="I1093" s="94"/>
      <c r="J1093" s="94"/>
      <c r="K1093" s="94"/>
      <c r="L1093" s="94"/>
      <c r="M1093" s="94"/>
      <c r="N1093" s="94"/>
      <c r="O1093" s="94"/>
      <c r="P1093" s="94"/>
      <c r="Q1093" s="94"/>
      <c r="R1093" s="94"/>
      <c r="S1093" s="94"/>
      <c r="T1093" s="94"/>
      <c r="U1093" s="94"/>
      <c r="V1093" s="94"/>
      <c r="W1093" s="94"/>
      <c r="X1093" s="94"/>
      <c r="Y1093" s="94"/>
      <c r="Z1093" s="94"/>
      <c r="AA1093" s="94"/>
      <c r="AB1093" s="94"/>
      <c r="AC1093" s="94"/>
      <c r="AD1093" s="94"/>
      <c r="AE1093" s="94"/>
      <c r="AF1093" s="94"/>
      <c r="AG1093" s="94"/>
      <c r="AH1093" s="94"/>
      <c r="AI1093" s="94"/>
      <c r="AJ1093" s="94"/>
      <c r="AK1093" s="94"/>
      <c r="AL1093" s="94"/>
      <c r="AM1093" s="94"/>
      <c r="AN1093" s="94"/>
      <c r="AO1093" s="94"/>
      <c r="AP1093" s="94"/>
      <c r="AQ1093" s="94"/>
      <c r="AR1093" s="94"/>
      <c r="AS1093" s="94"/>
      <c r="AT1093" s="94"/>
      <c r="AU1093" s="94"/>
      <c r="AV1093" s="94"/>
      <c r="AW1093" s="94"/>
      <c r="AX1093" s="94"/>
      <c r="AY1093" s="94"/>
      <c r="AZ1093" s="94"/>
      <c r="BA1093" s="94"/>
      <c r="BB1093" s="94"/>
      <c r="BC1093" s="94"/>
      <c r="BD1093" s="94"/>
      <c r="BE1093" s="94"/>
      <c r="BF1093" s="94"/>
    </row>
    <row r="1094" spans="1:58" x14ac:dyDescent="0.35">
      <c r="A1094" s="107" t="s">
        <v>2894</v>
      </c>
      <c r="B1094" s="108" t="s">
        <v>0</v>
      </c>
      <c r="C1094" s="109">
        <v>7</v>
      </c>
      <c r="D1094" s="107" t="s">
        <v>1659</v>
      </c>
      <c r="E1094" s="109"/>
      <c r="F1094" s="94"/>
      <c r="G1094" s="94"/>
      <c r="H1094" s="94"/>
      <c r="I1094" s="94"/>
      <c r="J1094" s="94"/>
      <c r="K1094" s="94"/>
      <c r="L1094" s="94"/>
      <c r="M1094" s="94"/>
      <c r="N1094" s="94"/>
      <c r="O1094" s="94"/>
      <c r="P1094" s="94"/>
      <c r="Q1094" s="94"/>
      <c r="R1094" s="94"/>
      <c r="S1094" s="94"/>
      <c r="T1094" s="94"/>
      <c r="U1094" s="94"/>
      <c r="V1094" s="94"/>
      <c r="W1094" s="94"/>
      <c r="X1094" s="94"/>
      <c r="Y1094" s="94"/>
      <c r="Z1094" s="94"/>
      <c r="AA1094" s="94"/>
      <c r="AB1094" s="94"/>
      <c r="AC1094" s="94"/>
      <c r="AD1094" s="94"/>
      <c r="AE1094" s="94"/>
      <c r="AF1094" s="94"/>
      <c r="AG1094" s="94"/>
      <c r="AH1094" s="94"/>
      <c r="AI1094" s="94"/>
      <c r="AJ1094" s="94"/>
      <c r="AK1094" s="94"/>
      <c r="AL1094" s="94"/>
      <c r="AM1094" s="94"/>
      <c r="AN1094" s="94"/>
      <c r="AO1094" s="94"/>
      <c r="AP1094" s="94"/>
      <c r="AQ1094" s="94"/>
      <c r="AR1094" s="94"/>
      <c r="AS1094" s="94"/>
      <c r="AT1094" s="94"/>
      <c r="AU1094" s="94"/>
      <c r="AV1094" s="94"/>
      <c r="AW1094" s="94"/>
      <c r="AX1094" s="94"/>
      <c r="AY1094" s="94"/>
      <c r="AZ1094" s="94"/>
      <c r="BA1094" s="94"/>
      <c r="BB1094" s="94"/>
      <c r="BC1094" s="94"/>
      <c r="BD1094" s="94"/>
      <c r="BE1094" s="94"/>
      <c r="BF1094" s="94"/>
    </row>
    <row r="1095" spans="1:58" x14ac:dyDescent="0.35">
      <c r="A1095" s="107" t="s">
        <v>2895</v>
      </c>
      <c r="B1095" s="108" t="s">
        <v>0</v>
      </c>
      <c r="C1095" s="109">
        <v>7</v>
      </c>
      <c r="D1095" s="107" t="s">
        <v>1657</v>
      </c>
      <c r="E1095" s="109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  <c r="AG1095" s="94"/>
      <c r="AH1095" s="94"/>
      <c r="AI1095" s="94"/>
      <c r="AJ1095" s="94"/>
      <c r="AK1095" s="94"/>
      <c r="AL1095" s="94"/>
      <c r="AM1095" s="94"/>
      <c r="AN1095" s="94"/>
      <c r="AO1095" s="94"/>
      <c r="AP1095" s="94"/>
      <c r="AQ1095" s="94"/>
      <c r="AR1095" s="94"/>
      <c r="AS1095" s="94"/>
      <c r="AT1095" s="94"/>
      <c r="AU1095" s="94"/>
      <c r="AV1095" s="94"/>
      <c r="AW1095" s="94"/>
      <c r="AX1095" s="94"/>
      <c r="AY1095" s="94"/>
      <c r="AZ1095" s="94"/>
      <c r="BA1095" s="94"/>
      <c r="BB1095" s="94"/>
      <c r="BC1095" s="94"/>
      <c r="BD1095" s="94"/>
      <c r="BE1095" s="94"/>
      <c r="BF1095" s="94"/>
    </row>
    <row r="1096" spans="1:58" x14ac:dyDescent="0.35">
      <c r="A1096" s="107" t="s">
        <v>2896</v>
      </c>
      <c r="B1096" s="108" t="s">
        <v>0</v>
      </c>
      <c r="C1096" s="109">
        <v>7</v>
      </c>
      <c r="D1096" s="107" t="s">
        <v>1658</v>
      </c>
      <c r="E1096" s="109"/>
      <c r="F1096" s="94"/>
      <c r="G1096" s="94"/>
      <c r="H1096" s="94"/>
      <c r="I1096" s="94"/>
      <c r="J1096" s="94"/>
      <c r="K1096" s="94"/>
      <c r="L1096" s="94"/>
      <c r="M1096" s="94"/>
      <c r="N1096" s="94"/>
      <c r="O1096" s="94"/>
      <c r="P1096" s="94"/>
      <c r="Q1096" s="94"/>
      <c r="R1096" s="94"/>
      <c r="S1096" s="94"/>
      <c r="T1096" s="94"/>
      <c r="U1096" s="94"/>
      <c r="V1096" s="94"/>
      <c r="W1096" s="94"/>
      <c r="X1096" s="94"/>
      <c r="Y1096" s="94"/>
      <c r="Z1096" s="94"/>
      <c r="AA1096" s="94"/>
      <c r="AB1096" s="94"/>
      <c r="AC1096" s="94"/>
      <c r="AD1096" s="94"/>
      <c r="AE1096" s="94"/>
      <c r="AF1096" s="94"/>
      <c r="AG1096" s="94"/>
      <c r="AH1096" s="94"/>
      <c r="AI1096" s="94"/>
      <c r="AJ1096" s="94"/>
      <c r="AK1096" s="94"/>
      <c r="AL1096" s="94"/>
      <c r="AM1096" s="94"/>
      <c r="AN1096" s="94"/>
      <c r="AO1096" s="94"/>
      <c r="AP1096" s="94"/>
      <c r="AQ1096" s="94"/>
      <c r="AR1096" s="94"/>
      <c r="AS1096" s="94"/>
      <c r="AT1096" s="94"/>
      <c r="AU1096" s="94"/>
      <c r="AV1096" s="94"/>
      <c r="AW1096" s="94"/>
      <c r="AX1096" s="94"/>
      <c r="AY1096" s="94"/>
      <c r="AZ1096" s="94"/>
      <c r="BA1096" s="94"/>
      <c r="BB1096" s="94"/>
      <c r="BC1096" s="94"/>
      <c r="BD1096" s="94"/>
      <c r="BE1096" s="94"/>
      <c r="BF1096" s="94"/>
    </row>
    <row r="1097" spans="1:58" x14ac:dyDescent="0.35">
      <c r="A1097" s="104" t="s">
        <v>2897</v>
      </c>
      <c r="B1097" s="105" t="s">
        <v>0</v>
      </c>
      <c r="C1097" s="106">
        <v>6</v>
      </c>
      <c r="D1097" s="104" t="s">
        <v>123</v>
      </c>
      <c r="E1097" s="106"/>
      <c r="F1097" s="94"/>
      <c r="G1097" s="94"/>
      <c r="H1097" s="94"/>
      <c r="I1097" s="94"/>
      <c r="J1097" s="94"/>
      <c r="K1097" s="94"/>
      <c r="L1097" s="94"/>
      <c r="M1097" s="94"/>
      <c r="N1097" s="94"/>
      <c r="O1097" s="94"/>
      <c r="P1097" s="94"/>
      <c r="Q1097" s="94"/>
      <c r="R1097" s="94"/>
      <c r="S1097" s="94"/>
      <c r="T1097" s="94"/>
      <c r="U1097" s="94"/>
      <c r="V1097" s="94"/>
      <c r="W1097" s="94"/>
      <c r="X1097" s="94"/>
      <c r="Y1097" s="94"/>
      <c r="Z1097" s="94"/>
      <c r="AA1097" s="94"/>
      <c r="AB1097" s="94"/>
      <c r="AC1097" s="94"/>
      <c r="AD1097" s="94"/>
      <c r="AE1097" s="94"/>
      <c r="AF1097" s="94"/>
      <c r="AG1097" s="94"/>
      <c r="AH1097" s="94"/>
      <c r="AI1097" s="94"/>
      <c r="AJ1097" s="94"/>
      <c r="AK1097" s="94"/>
      <c r="AL1097" s="94"/>
      <c r="AM1097" s="94"/>
      <c r="AN1097" s="94"/>
      <c r="AO1097" s="94"/>
      <c r="AP1097" s="94"/>
      <c r="AQ1097" s="94"/>
      <c r="AR1097" s="94"/>
      <c r="AS1097" s="94"/>
      <c r="AT1097" s="94"/>
      <c r="AU1097" s="94"/>
      <c r="AV1097" s="94"/>
      <c r="AW1097" s="94"/>
      <c r="AX1097" s="94"/>
      <c r="AY1097" s="94"/>
      <c r="AZ1097" s="94"/>
      <c r="BA1097" s="94"/>
      <c r="BB1097" s="94"/>
      <c r="BC1097" s="94"/>
      <c r="BD1097" s="94"/>
      <c r="BE1097" s="94"/>
      <c r="BF1097" s="94"/>
    </row>
    <row r="1098" spans="1:58" x14ac:dyDescent="0.35">
      <c r="A1098" s="107" t="s">
        <v>2898</v>
      </c>
      <c r="B1098" s="108" t="s">
        <v>0</v>
      </c>
      <c r="C1098" s="109">
        <v>7</v>
      </c>
      <c r="D1098" s="107" t="s">
        <v>1654</v>
      </c>
      <c r="E1098" s="109"/>
      <c r="F1098" s="94"/>
      <c r="G1098" s="94"/>
      <c r="H1098" s="94"/>
      <c r="I1098" s="94"/>
      <c r="J1098" s="94"/>
      <c r="K1098" s="94"/>
      <c r="L1098" s="94"/>
      <c r="M1098" s="94"/>
      <c r="N1098" s="94"/>
      <c r="O1098" s="94"/>
      <c r="P1098" s="94"/>
      <c r="Q1098" s="94"/>
      <c r="R1098" s="94"/>
      <c r="S1098" s="94"/>
      <c r="T1098" s="94"/>
      <c r="U1098" s="94"/>
      <c r="V1098" s="94"/>
      <c r="W1098" s="94"/>
      <c r="X1098" s="94"/>
      <c r="Y1098" s="94"/>
      <c r="Z1098" s="94"/>
      <c r="AA1098" s="94"/>
      <c r="AB1098" s="94"/>
      <c r="AC1098" s="94"/>
      <c r="AD1098" s="94"/>
      <c r="AE1098" s="94"/>
      <c r="AF1098" s="94"/>
      <c r="AG1098" s="94"/>
      <c r="AH1098" s="94"/>
      <c r="AI1098" s="94"/>
      <c r="AJ1098" s="94"/>
      <c r="AK1098" s="94"/>
      <c r="AL1098" s="94"/>
      <c r="AM1098" s="94"/>
      <c r="AN1098" s="94"/>
      <c r="AO1098" s="94"/>
      <c r="AP1098" s="94"/>
      <c r="AQ1098" s="94"/>
      <c r="AR1098" s="94"/>
      <c r="AS1098" s="94"/>
      <c r="AT1098" s="94"/>
      <c r="AU1098" s="94"/>
      <c r="AV1098" s="94"/>
      <c r="AW1098" s="94"/>
      <c r="AX1098" s="94"/>
      <c r="AY1098" s="94"/>
      <c r="AZ1098" s="94"/>
      <c r="BA1098" s="94"/>
      <c r="BB1098" s="94"/>
      <c r="BC1098" s="94"/>
      <c r="BD1098" s="94"/>
      <c r="BE1098" s="94"/>
      <c r="BF1098" s="94"/>
    </row>
    <row r="1099" spans="1:58" x14ac:dyDescent="0.35">
      <c r="A1099" s="101" t="s">
        <v>2899</v>
      </c>
      <c r="B1099" s="102" t="s">
        <v>0</v>
      </c>
      <c r="C1099" s="103">
        <v>5</v>
      </c>
      <c r="D1099" s="101" t="s">
        <v>461</v>
      </c>
      <c r="E1099" s="103" t="s">
        <v>213</v>
      </c>
      <c r="F1099" s="94"/>
      <c r="G1099" s="94"/>
      <c r="H1099" s="94"/>
      <c r="I1099" s="94"/>
      <c r="J1099" s="94"/>
      <c r="K1099" s="94"/>
      <c r="L1099" s="94"/>
      <c r="M1099" s="94"/>
      <c r="N1099" s="94"/>
      <c r="O1099" s="94"/>
      <c r="P1099" s="94"/>
      <c r="Q1099" s="94"/>
      <c r="R1099" s="94"/>
      <c r="S1099" s="94"/>
      <c r="T1099" s="94"/>
      <c r="U1099" s="94"/>
      <c r="V1099" s="94"/>
      <c r="W1099" s="94"/>
      <c r="X1099" s="94"/>
      <c r="Y1099" s="94"/>
      <c r="Z1099" s="94"/>
      <c r="AA1099" s="94"/>
      <c r="AB1099" s="94"/>
      <c r="AC1099" s="94"/>
      <c r="AD1099" s="94"/>
      <c r="AE1099" s="94"/>
      <c r="AF1099" s="94"/>
      <c r="AG1099" s="94"/>
      <c r="AH1099" s="94"/>
      <c r="AI1099" s="94"/>
      <c r="AJ1099" s="94"/>
      <c r="AK1099" s="94"/>
      <c r="AL1099" s="94"/>
      <c r="AM1099" s="94"/>
      <c r="AN1099" s="94"/>
      <c r="AO1099" s="94"/>
      <c r="AP1099" s="94"/>
      <c r="AQ1099" s="94"/>
      <c r="AR1099" s="94"/>
      <c r="AS1099" s="94"/>
      <c r="AT1099" s="94"/>
      <c r="AU1099" s="94"/>
      <c r="AV1099" s="94"/>
      <c r="AW1099" s="94"/>
      <c r="AX1099" s="94"/>
      <c r="AY1099" s="94"/>
      <c r="AZ1099" s="94"/>
      <c r="BA1099" s="94"/>
      <c r="BB1099" s="94"/>
      <c r="BC1099" s="94"/>
      <c r="BD1099" s="94"/>
      <c r="BE1099" s="94"/>
      <c r="BF1099" s="94"/>
    </row>
    <row r="1100" spans="1:58" x14ac:dyDescent="0.35">
      <c r="A1100" s="104" t="s">
        <v>2900</v>
      </c>
      <c r="B1100" s="105" t="s">
        <v>0</v>
      </c>
      <c r="C1100" s="106">
        <v>6</v>
      </c>
      <c r="D1100" s="104" t="s">
        <v>564</v>
      </c>
      <c r="E1100" s="106"/>
      <c r="F1100" s="94"/>
      <c r="G1100" s="94"/>
      <c r="H1100" s="94"/>
      <c r="I1100" s="94"/>
      <c r="J1100" s="94"/>
      <c r="K1100" s="94"/>
      <c r="L1100" s="94"/>
      <c r="M1100" s="94"/>
      <c r="N1100" s="94"/>
      <c r="O1100" s="94"/>
      <c r="P1100" s="94"/>
      <c r="Q1100" s="94"/>
      <c r="R1100" s="94"/>
      <c r="S1100" s="94"/>
      <c r="T1100" s="94"/>
      <c r="U1100" s="94"/>
      <c r="V1100" s="94"/>
      <c r="W1100" s="94"/>
      <c r="X1100" s="94"/>
      <c r="Y1100" s="94"/>
      <c r="Z1100" s="94"/>
      <c r="AA1100" s="94"/>
      <c r="AB1100" s="94"/>
      <c r="AC1100" s="94"/>
      <c r="AD1100" s="94"/>
      <c r="AE1100" s="94"/>
      <c r="AF1100" s="94"/>
      <c r="AG1100" s="94"/>
      <c r="AH1100" s="94"/>
      <c r="AI1100" s="94"/>
      <c r="AJ1100" s="94"/>
      <c r="AK1100" s="94"/>
      <c r="AL1100" s="94"/>
      <c r="AM1100" s="94"/>
      <c r="AN1100" s="94"/>
      <c r="AO1100" s="94"/>
      <c r="AP1100" s="94"/>
      <c r="AQ1100" s="94"/>
      <c r="AR1100" s="94"/>
      <c r="AS1100" s="94"/>
      <c r="AT1100" s="94"/>
      <c r="AU1100" s="94"/>
      <c r="AV1100" s="94"/>
      <c r="AW1100" s="94"/>
      <c r="AX1100" s="94"/>
      <c r="AY1100" s="94"/>
      <c r="AZ1100" s="94"/>
      <c r="BA1100" s="94"/>
      <c r="BB1100" s="94"/>
      <c r="BC1100" s="94"/>
      <c r="BD1100" s="94"/>
      <c r="BE1100" s="94"/>
      <c r="BF1100" s="94"/>
    </row>
    <row r="1101" spans="1:58" x14ac:dyDescent="0.35">
      <c r="A1101" s="107" t="s">
        <v>2901</v>
      </c>
      <c r="B1101" s="108" t="s">
        <v>0</v>
      </c>
      <c r="C1101" s="109">
        <v>7</v>
      </c>
      <c r="D1101" s="107" t="s">
        <v>1126</v>
      </c>
      <c r="E1101" s="109"/>
      <c r="F1101" s="94"/>
      <c r="G1101" s="94"/>
      <c r="H1101" s="94"/>
      <c r="I1101" s="94"/>
      <c r="J1101" s="94"/>
      <c r="K1101" s="94"/>
      <c r="L1101" s="94"/>
      <c r="M1101" s="94"/>
      <c r="N1101" s="94"/>
      <c r="O1101" s="94"/>
      <c r="P1101" s="94"/>
      <c r="Q1101" s="94"/>
      <c r="R1101" s="94"/>
      <c r="S1101" s="94"/>
      <c r="T1101" s="94"/>
      <c r="U1101" s="94"/>
      <c r="V1101" s="94"/>
      <c r="W1101" s="94"/>
      <c r="X1101" s="94"/>
      <c r="Y1101" s="94"/>
      <c r="Z1101" s="94"/>
      <c r="AA1101" s="94"/>
      <c r="AB1101" s="94"/>
      <c r="AC1101" s="94"/>
      <c r="AD1101" s="94"/>
      <c r="AE1101" s="94"/>
      <c r="AF1101" s="94"/>
      <c r="AG1101" s="94"/>
      <c r="AH1101" s="94"/>
      <c r="AI1101" s="94"/>
      <c r="AJ1101" s="94"/>
      <c r="AK1101" s="94"/>
      <c r="AL1101" s="94"/>
      <c r="AM1101" s="94"/>
      <c r="AN1101" s="94"/>
      <c r="AO1101" s="94"/>
      <c r="AP1101" s="94"/>
      <c r="AQ1101" s="94"/>
      <c r="AR1101" s="94"/>
      <c r="AS1101" s="94"/>
      <c r="AT1101" s="94"/>
      <c r="AU1101" s="94"/>
      <c r="AV1101" s="94"/>
      <c r="AW1101" s="94"/>
      <c r="AX1101" s="94"/>
      <c r="AY1101" s="94"/>
      <c r="AZ1101" s="94"/>
      <c r="BA1101" s="94"/>
      <c r="BB1101" s="94"/>
      <c r="BC1101" s="94"/>
      <c r="BD1101" s="94"/>
      <c r="BE1101" s="94"/>
      <c r="BF1101" s="94"/>
    </row>
    <row r="1102" spans="1:58" x14ac:dyDescent="0.35">
      <c r="A1102" s="107" t="s">
        <v>2902</v>
      </c>
      <c r="B1102" s="108" t="s">
        <v>0</v>
      </c>
      <c r="C1102" s="109">
        <v>7</v>
      </c>
      <c r="D1102" s="107" t="s">
        <v>1127</v>
      </c>
      <c r="E1102" s="109"/>
      <c r="F1102" s="94"/>
      <c r="G1102" s="94"/>
      <c r="H1102" s="94"/>
      <c r="I1102" s="94"/>
      <c r="J1102" s="94"/>
      <c r="K1102" s="94"/>
      <c r="L1102" s="94"/>
      <c r="M1102" s="94"/>
      <c r="N1102" s="94"/>
      <c r="O1102" s="94"/>
      <c r="P1102" s="94"/>
      <c r="Q1102" s="94"/>
      <c r="R1102" s="94"/>
      <c r="S1102" s="94"/>
      <c r="T1102" s="94"/>
      <c r="U1102" s="94"/>
      <c r="V1102" s="94"/>
      <c r="W1102" s="94"/>
      <c r="X1102" s="94"/>
      <c r="Y1102" s="94"/>
      <c r="Z1102" s="94"/>
      <c r="AA1102" s="94"/>
      <c r="AB1102" s="94"/>
      <c r="AC1102" s="94"/>
      <c r="AD1102" s="94"/>
      <c r="AE1102" s="94"/>
      <c r="AF1102" s="94"/>
      <c r="AG1102" s="94"/>
      <c r="AH1102" s="94"/>
      <c r="AI1102" s="94"/>
      <c r="AJ1102" s="94"/>
      <c r="AK1102" s="94"/>
      <c r="AL1102" s="94"/>
      <c r="AM1102" s="94"/>
      <c r="AN1102" s="94"/>
      <c r="AO1102" s="94"/>
      <c r="AP1102" s="94"/>
      <c r="AQ1102" s="94"/>
      <c r="AR1102" s="94"/>
      <c r="AS1102" s="94"/>
      <c r="AT1102" s="94"/>
      <c r="AU1102" s="94"/>
      <c r="AV1102" s="94"/>
      <c r="AW1102" s="94"/>
      <c r="AX1102" s="94"/>
      <c r="AY1102" s="94"/>
      <c r="AZ1102" s="94"/>
      <c r="BA1102" s="94"/>
      <c r="BB1102" s="94"/>
      <c r="BC1102" s="94"/>
      <c r="BD1102" s="94"/>
      <c r="BE1102" s="94"/>
      <c r="BF1102" s="94"/>
    </row>
    <row r="1103" spans="1:58" x14ac:dyDescent="0.35">
      <c r="A1103" s="107" t="s">
        <v>2903</v>
      </c>
      <c r="B1103" s="108" t="s">
        <v>0</v>
      </c>
      <c r="C1103" s="109">
        <v>7</v>
      </c>
      <c r="D1103" s="107" t="s">
        <v>1125</v>
      </c>
      <c r="E1103" s="109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  <c r="AG1103" s="94"/>
      <c r="AH1103" s="94"/>
      <c r="AI1103" s="94"/>
      <c r="AJ1103" s="94"/>
      <c r="AK1103" s="94"/>
      <c r="AL1103" s="94"/>
      <c r="AM1103" s="94"/>
      <c r="AN1103" s="94"/>
      <c r="AO1103" s="94"/>
      <c r="AP1103" s="94"/>
      <c r="AQ1103" s="94"/>
      <c r="AR1103" s="94"/>
      <c r="AS1103" s="94"/>
      <c r="AT1103" s="94"/>
      <c r="AU1103" s="94"/>
      <c r="AV1103" s="94"/>
      <c r="AW1103" s="94"/>
      <c r="AX1103" s="94"/>
      <c r="AY1103" s="94"/>
      <c r="AZ1103" s="94"/>
      <c r="BA1103" s="94"/>
      <c r="BB1103" s="94"/>
      <c r="BC1103" s="94"/>
      <c r="BD1103" s="94"/>
      <c r="BE1103" s="94"/>
      <c r="BF1103" s="94"/>
    </row>
    <row r="1104" spans="1:58" x14ac:dyDescent="0.35">
      <c r="A1104" s="107" t="s">
        <v>2904</v>
      </c>
      <c r="B1104" s="108" t="s">
        <v>0</v>
      </c>
      <c r="C1104" s="109">
        <v>7</v>
      </c>
      <c r="D1104" s="107" t="s">
        <v>1128</v>
      </c>
      <c r="E1104" s="109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  <c r="AG1104" s="94"/>
      <c r="AH1104" s="94"/>
      <c r="AI1104" s="94"/>
      <c r="AJ1104" s="94"/>
      <c r="AK1104" s="94"/>
      <c r="AL1104" s="94"/>
      <c r="AM1104" s="94"/>
      <c r="AN1104" s="94"/>
      <c r="AO1104" s="94"/>
      <c r="AP1104" s="94"/>
      <c r="AQ1104" s="94"/>
      <c r="AR1104" s="94"/>
      <c r="AS1104" s="94"/>
      <c r="AT1104" s="94"/>
      <c r="AU1104" s="94"/>
      <c r="AV1104" s="94"/>
      <c r="AW1104" s="94"/>
      <c r="AX1104" s="94"/>
      <c r="AY1104" s="94"/>
      <c r="AZ1104" s="94"/>
      <c r="BA1104" s="94"/>
      <c r="BB1104" s="94"/>
      <c r="BC1104" s="94"/>
      <c r="BD1104" s="94"/>
      <c r="BE1104" s="94"/>
      <c r="BF1104" s="94"/>
    </row>
    <row r="1105" spans="1:58" x14ac:dyDescent="0.35">
      <c r="A1105" s="107" t="s">
        <v>2905</v>
      </c>
      <c r="B1105" s="108" t="s">
        <v>0</v>
      </c>
      <c r="C1105" s="109">
        <v>7</v>
      </c>
      <c r="D1105" s="107" t="s">
        <v>1129</v>
      </c>
      <c r="E1105" s="109"/>
      <c r="F1105" s="94"/>
      <c r="G1105" s="94"/>
      <c r="H1105" s="94"/>
      <c r="I1105" s="94"/>
      <c r="J1105" s="94"/>
      <c r="K1105" s="94"/>
      <c r="L1105" s="94"/>
      <c r="M1105" s="94"/>
      <c r="N1105" s="94"/>
      <c r="O1105" s="94"/>
      <c r="P1105" s="94"/>
      <c r="Q1105" s="94"/>
      <c r="R1105" s="94"/>
      <c r="S1105" s="94"/>
      <c r="T1105" s="94"/>
      <c r="U1105" s="94"/>
      <c r="V1105" s="94"/>
      <c r="W1105" s="94"/>
      <c r="X1105" s="94"/>
      <c r="Y1105" s="94"/>
      <c r="Z1105" s="94"/>
      <c r="AA1105" s="94"/>
      <c r="AB1105" s="94"/>
      <c r="AC1105" s="94"/>
      <c r="AD1105" s="94"/>
      <c r="AE1105" s="94"/>
      <c r="AF1105" s="94"/>
      <c r="AG1105" s="94"/>
      <c r="AH1105" s="94"/>
      <c r="AI1105" s="94"/>
      <c r="AJ1105" s="94"/>
      <c r="AK1105" s="94"/>
      <c r="AL1105" s="94"/>
      <c r="AM1105" s="94"/>
      <c r="AN1105" s="94"/>
      <c r="AO1105" s="94"/>
      <c r="AP1105" s="94"/>
      <c r="AQ1105" s="94"/>
      <c r="AR1105" s="94"/>
      <c r="AS1105" s="94"/>
      <c r="AT1105" s="94"/>
      <c r="AU1105" s="94"/>
      <c r="AV1105" s="94"/>
      <c r="AW1105" s="94"/>
      <c r="AX1105" s="94"/>
      <c r="AY1105" s="94"/>
      <c r="AZ1105" s="94"/>
      <c r="BA1105" s="94"/>
      <c r="BB1105" s="94"/>
      <c r="BC1105" s="94"/>
      <c r="BD1105" s="94"/>
      <c r="BE1105" s="94"/>
      <c r="BF1105" s="94"/>
    </row>
    <row r="1106" spans="1:58" x14ac:dyDescent="0.35">
      <c r="A1106" s="107" t="s">
        <v>2906</v>
      </c>
      <c r="B1106" s="108" t="s">
        <v>0</v>
      </c>
      <c r="C1106" s="109">
        <v>7</v>
      </c>
      <c r="D1106" s="107" t="s">
        <v>1655</v>
      </c>
      <c r="E1106" s="109" t="s">
        <v>0</v>
      </c>
      <c r="F1106" s="94"/>
      <c r="G1106" s="94"/>
      <c r="H1106" s="94"/>
      <c r="I1106" s="94"/>
      <c r="J1106" s="94"/>
      <c r="K1106" s="94"/>
      <c r="L1106" s="94"/>
      <c r="M1106" s="94"/>
      <c r="N1106" s="94"/>
      <c r="O1106" s="94"/>
      <c r="P1106" s="94"/>
      <c r="Q1106" s="94"/>
      <c r="R1106" s="94"/>
      <c r="S1106" s="94"/>
      <c r="T1106" s="94"/>
      <c r="U1106" s="94"/>
      <c r="V1106" s="94"/>
      <c r="W1106" s="94"/>
      <c r="X1106" s="94"/>
      <c r="Y1106" s="94"/>
      <c r="Z1106" s="94"/>
      <c r="AA1106" s="94"/>
      <c r="AB1106" s="94"/>
      <c r="AC1106" s="94"/>
      <c r="AD1106" s="94"/>
      <c r="AE1106" s="94"/>
      <c r="AF1106" s="94"/>
      <c r="AG1106" s="94"/>
      <c r="AH1106" s="94"/>
      <c r="AI1106" s="94"/>
      <c r="AJ1106" s="94"/>
      <c r="AK1106" s="94"/>
      <c r="AL1106" s="94"/>
      <c r="AM1106" s="94"/>
      <c r="AN1106" s="94"/>
      <c r="AO1106" s="94"/>
      <c r="AP1106" s="94"/>
      <c r="AQ1106" s="94"/>
      <c r="AR1106" s="94"/>
      <c r="AS1106" s="94"/>
      <c r="AT1106" s="94"/>
      <c r="AU1106" s="94"/>
      <c r="AV1106" s="94"/>
      <c r="AW1106" s="94"/>
      <c r="AX1106" s="94"/>
      <c r="AY1106" s="94"/>
      <c r="AZ1106" s="94"/>
      <c r="BA1106" s="94"/>
      <c r="BB1106" s="94"/>
      <c r="BC1106" s="94"/>
      <c r="BD1106" s="94"/>
      <c r="BE1106" s="94"/>
      <c r="BF1106" s="94"/>
    </row>
    <row r="1107" spans="1:58" x14ac:dyDescent="0.35">
      <c r="A1107" s="104" t="s">
        <v>2907</v>
      </c>
      <c r="B1107" s="105" t="s">
        <v>0</v>
      </c>
      <c r="C1107" s="106">
        <v>6</v>
      </c>
      <c r="D1107" s="104" t="s">
        <v>26</v>
      </c>
      <c r="E1107" s="106"/>
      <c r="F1107" s="94"/>
      <c r="G1107" s="94"/>
      <c r="H1107" s="94"/>
      <c r="I1107" s="94"/>
      <c r="J1107" s="94"/>
      <c r="K1107" s="94"/>
      <c r="L1107" s="94"/>
      <c r="M1107" s="94"/>
      <c r="N1107" s="94"/>
      <c r="O1107" s="94"/>
      <c r="P1107" s="94"/>
      <c r="Q1107" s="94"/>
      <c r="R1107" s="94"/>
      <c r="S1107" s="94"/>
      <c r="T1107" s="94"/>
      <c r="U1107" s="94"/>
      <c r="V1107" s="94"/>
      <c r="W1107" s="94"/>
      <c r="X1107" s="94"/>
      <c r="Y1107" s="94"/>
      <c r="Z1107" s="94"/>
      <c r="AA1107" s="94"/>
      <c r="AB1107" s="94"/>
      <c r="AC1107" s="94"/>
      <c r="AD1107" s="94"/>
      <c r="AE1107" s="94"/>
      <c r="AF1107" s="94"/>
      <c r="AG1107" s="94"/>
      <c r="AH1107" s="94"/>
      <c r="AI1107" s="94"/>
      <c r="AJ1107" s="94"/>
      <c r="AK1107" s="94"/>
      <c r="AL1107" s="94"/>
      <c r="AM1107" s="94"/>
      <c r="AN1107" s="94"/>
      <c r="AO1107" s="94"/>
      <c r="AP1107" s="94"/>
      <c r="AQ1107" s="94"/>
      <c r="AR1107" s="94"/>
      <c r="AS1107" s="94"/>
      <c r="AT1107" s="94"/>
      <c r="AU1107" s="94"/>
      <c r="AV1107" s="94"/>
      <c r="AW1107" s="94"/>
      <c r="AX1107" s="94"/>
      <c r="AY1107" s="94"/>
      <c r="AZ1107" s="94"/>
      <c r="BA1107" s="94"/>
      <c r="BB1107" s="94"/>
      <c r="BC1107" s="94"/>
      <c r="BD1107" s="94"/>
      <c r="BE1107" s="94"/>
      <c r="BF1107" s="94"/>
    </row>
    <row r="1108" spans="1:58" x14ac:dyDescent="0.35">
      <c r="A1108" s="107" t="s">
        <v>2908</v>
      </c>
      <c r="B1108" s="108" t="s">
        <v>0</v>
      </c>
      <c r="C1108" s="109">
        <v>7</v>
      </c>
      <c r="D1108" s="107" t="s">
        <v>1130</v>
      </c>
      <c r="E1108" s="109"/>
      <c r="F1108" s="94"/>
      <c r="G1108" s="94"/>
      <c r="H1108" s="94"/>
      <c r="I1108" s="94"/>
      <c r="J1108" s="94"/>
      <c r="K1108" s="94"/>
      <c r="L1108" s="94"/>
      <c r="M1108" s="94"/>
      <c r="N1108" s="94"/>
      <c r="O1108" s="94"/>
      <c r="P1108" s="94"/>
      <c r="Q1108" s="94"/>
      <c r="R1108" s="94"/>
      <c r="S1108" s="94"/>
      <c r="T1108" s="94"/>
      <c r="U1108" s="94"/>
      <c r="V1108" s="94"/>
      <c r="W1108" s="94"/>
      <c r="X1108" s="94"/>
      <c r="Y1108" s="94"/>
      <c r="Z1108" s="94"/>
      <c r="AA1108" s="94"/>
      <c r="AB1108" s="94"/>
      <c r="AC1108" s="94"/>
      <c r="AD1108" s="94"/>
      <c r="AE1108" s="94"/>
      <c r="AF1108" s="94"/>
      <c r="AG1108" s="94"/>
      <c r="AH1108" s="94"/>
      <c r="AI1108" s="94"/>
      <c r="AJ1108" s="94"/>
      <c r="AK1108" s="94"/>
      <c r="AL1108" s="94"/>
      <c r="AM1108" s="94"/>
      <c r="AN1108" s="94"/>
      <c r="AO1108" s="94"/>
      <c r="AP1108" s="94"/>
      <c r="AQ1108" s="94"/>
      <c r="AR1108" s="94"/>
      <c r="AS1108" s="94"/>
      <c r="AT1108" s="94"/>
      <c r="AU1108" s="94"/>
      <c r="AV1108" s="94"/>
      <c r="AW1108" s="94"/>
      <c r="AX1108" s="94"/>
      <c r="AY1108" s="94"/>
      <c r="AZ1108" s="94"/>
      <c r="BA1108" s="94"/>
      <c r="BB1108" s="94"/>
      <c r="BC1108" s="94"/>
      <c r="BD1108" s="94"/>
      <c r="BE1108" s="94"/>
      <c r="BF1108" s="94"/>
    </row>
    <row r="1109" spans="1:58" x14ac:dyDescent="0.35">
      <c r="A1109" s="107" t="s">
        <v>2909</v>
      </c>
      <c r="B1109" s="108" t="s">
        <v>0</v>
      </c>
      <c r="C1109" s="109">
        <v>7</v>
      </c>
      <c r="D1109" s="107" t="s">
        <v>1131</v>
      </c>
      <c r="E1109" s="109"/>
      <c r="F1109" s="94"/>
      <c r="G1109" s="94"/>
      <c r="H1109" s="94"/>
      <c r="I1109" s="94"/>
      <c r="J1109" s="94"/>
      <c r="K1109" s="94"/>
      <c r="L1109" s="94"/>
      <c r="M1109" s="94"/>
      <c r="N1109" s="94"/>
      <c r="O1109" s="94"/>
      <c r="P1109" s="94"/>
      <c r="Q1109" s="94"/>
      <c r="R1109" s="94"/>
      <c r="S1109" s="94"/>
      <c r="T1109" s="94"/>
      <c r="U1109" s="94"/>
      <c r="V1109" s="94"/>
      <c r="W1109" s="94"/>
      <c r="X1109" s="94"/>
      <c r="Y1109" s="94"/>
      <c r="Z1109" s="94"/>
      <c r="AA1109" s="94"/>
      <c r="AB1109" s="94"/>
      <c r="AC1109" s="94"/>
      <c r="AD1109" s="94"/>
      <c r="AE1109" s="94"/>
      <c r="AF1109" s="94"/>
      <c r="AG1109" s="94"/>
      <c r="AH1109" s="94"/>
      <c r="AI1109" s="94"/>
      <c r="AJ1109" s="94"/>
      <c r="AK1109" s="94"/>
      <c r="AL1109" s="94"/>
      <c r="AM1109" s="94"/>
      <c r="AN1109" s="94"/>
      <c r="AO1109" s="94"/>
      <c r="AP1109" s="94"/>
      <c r="AQ1109" s="94"/>
      <c r="AR1109" s="94"/>
      <c r="AS1109" s="94"/>
      <c r="AT1109" s="94"/>
      <c r="AU1109" s="94"/>
      <c r="AV1109" s="94"/>
      <c r="AW1109" s="94"/>
      <c r="AX1109" s="94"/>
      <c r="AY1109" s="94"/>
      <c r="AZ1109" s="94"/>
      <c r="BA1109" s="94"/>
      <c r="BB1109" s="94"/>
      <c r="BC1109" s="94"/>
      <c r="BD1109" s="94"/>
      <c r="BE1109" s="94"/>
      <c r="BF1109" s="94"/>
    </row>
    <row r="1110" spans="1:58" x14ac:dyDescent="0.35">
      <c r="A1110" s="107" t="s">
        <v>2910</v>
      </c>
      <c r="B1110" s="108" t="s">
        <v>0</v>
      </c>
      <c r="C1110" s="109">
        <v>7</v>
      </c>
      <c r="D1110" s="107" t="s">
        <v>1132</v>
      </c>
      <c r="E1110" s="109"/>
      <c r="F1110" s="94"/>
      <c r="G1110" s="94"/>
      <c r="H1110" s="94"/>
      <c r="I1110" s="94"/>
      <c r="J1110" s="94"/>
      <c r="K1110" s="94"/>
      <c r="L1110" s="94"/>
      <c r="M1110" s="94"/>
      <c r="N1110" s="94"/>
      <c r="O1110" s="94"/>
      <c r="P1110" s="94"/>
      <c r="Q1110" s="94"/>
      <c r="R1110" s="94"/>
      <c r="S1110" s="94"/>
      <c r="T1110" s="94"/>
      <c r="U1110" s="94"/>
      <c r="V1110" s="94"/>
      <c r="W1110" s="94"/>
      <c r="X1110" s="94"/>
      <c r="Y1110" s="94"/>
      <c r="Z1110" s="94"/>
      <c r="AA1110" s="94"/>
      <c r="AB1110" s="94"/>
      <c r="AC1110" s="94"/>
      <c r="AD1110" s="94"/>
      <c r="AE1110" s="94"/>
      <c r="AF1110" s="94"/>
      <c r="AG1110" s="94"/>
      <c r="AH1110" s="94"/>
      <c r="AI1110" s="94"/>
      <c r="AJ1110" s="94"/>
      <c r="AK1110" s="94"/>
      <c r="AL1110" s="94"/>
      <c r="AM1110" s="94"/>
      <c r="AN1110" s="94"/>
      <c r="AO1110" s="94"/>
      <c r="AP1110" s="94"/>
      <c r="AQ1110" s="94"/>
      <c r="AR1110" s="94"/>
      <c r="AS1110" s="94"/>
      <c r="AT1110" s="94"/>
      <c r="AU1110" s="94"/>
      <c r="AV1110" s="94"/>
      <c r="AW1110" s="94"/>
      <c r="AX1110" s="94"/>
      <c r="AY1110" s="94"/>
      <c r="AZ1110" s="94"/>
      <c r="BA1110" s="94"/>
      <c r="BB1110" s="94"/>
      <c r="BC1110" s="94"/>
      <c r="BD1110" s="94"/>
      <c r="BE1110" s="94"/>
      <c r="BF1110" s="94"/>
    </row>
    <row r="1111" spans="1:58" x14ac:dyDescent="0.35">
      <c r="A1111" s="107" t="s">
        <v>2911</v>
      </c>
      <c r="B1111" s="108" t="s">
        <v>0</v>
      </c>
      <c r="C1111" s="109">
        <v>7</v>
      </c>
      <c r="D1111" s="107" t="s">
        <v>1133</v>
      </c>
      <c r="E1111" s="109"/>
      <c r="F1111" s="94"/>
      <c r="G1111" s="94"/>
      <c r="H1111" s="94"/>
      <c r="I1111" s="94"/>
      <c r="J1111" s="94"/>
      <c r="K1111" s="94"/>
      <c r="L1111" s="94"/>
      <c r="M1111" s="94"/>
      <c r="N1111" s="94"/>
      <c r="O1111" s="94"/>
      <c r="P1111" s="94"/>
      <c r="Q1111" s="94"/>
      <c r="R1111" s="94"/>
      <c r="S1111" s="94"/>
      <c r="T1111" s="94"/>
      <c r="U1111" s="94"/>
      <c r="V1111" s="94"/>
      <c r="W1111" s="94"/>
      <c r="X1111" s="94"/>
      <c r="Y1111" s="94"/>
      <c r="Z1111" s="94"/>
      <c r="AA1111" s="94"/>
      <c r="AB1111" s="94"/>
      <c r="AC1111" s="94"/>
      <c r="AD1111" s="94"/>
      <c r="AE1111" s="94"/>
      <c r="AF1111" s="94"/>
      <c r="AG1111" s="94"/>
      <c r="AH1111" s="94"/>
      <c r="AI1111" s="94"/>
      <c r="AJ1111" s="94"/>
      <c r="AK1111" s="94"/>
      <c r="AL1111" s="94"/>
      <c r="AM1111" s="94"/>
      <c r="AN1111" s="94"/>
      <c r="AO1111" s="94"/>
      <c r="AP1111" s="94"/>
      <c r="AQ1111" s="94"/>
      <c r="AR1111" s="94"/>
      <c r="AS1111" s="94"/>
      <c r="AT1111" s="94"/>
      <c r="AU1111" s="94"/>
      <c r="AV1111" s="94"/>
      <c r="AW1111" s="94"/>
      <c r="AX1111" s="94"/>
      <c r="AY1111" s="94"/>
      <c r="AZ1111" s="94"/>
      <c r="BA1111" s="94"/>
      <c r="BB1111" s="94"/>
      <c r="BC1111" s="94"/>
      <c r="BD1111" s="94"/>
      <c r="BE1111" s="94"/>
      <c r="BF1111" s="94"/>
    </row>
    <row r="1112" spans="1:58" x14ac:dyDescent="0.35">
      <c r="A1112" s="104" t="s">
        <v>2912</v>
      </c>
      <c r="B1112" s="105" t="s">
        <v>0</v>
      </c>
      <c r="C1112" s="106">
        <v>6</v>
      </c>
      <c r="D1112" s="104" t="s">
        <v>16</v>
      </c>
      <c r="E1112" s="106"/>
      <c r="F1112" s="94"/>
      <c r="G1112" s="94"/>
      <c r="H1112" s="94"/>
      <c r="I1112" s="94"/>
      <c r="J1112" s="94"/>
      <c r="K1112" s="94"/>
      <c r="L1112" s="94"/>
      <c r="M1112" s="94"/>
      <c r="N1112" s="94"/>
      <c r="O1112" s="94"/>
      <c r="P1112" s="94"/>
      <c r="Q1112" s="94"/>
      <c r="R1112" s="94"/>
      <c r="S1112" s="94"/>
      <c r="T1112" s="94"/>
      <c r="U1112" s="94"/>
      <c r="V1112" s="94"/>
      <c r="W1112" s="94"/>
      <c r="X1112" s="94"/>
      <c r="Y1112" s="94"/>
      <c r="Z1112" s="94"/>
      <c r="AA1112" s="94"/>
      <c r="AB1112" s="94"/>
      <c r="AC1112" s="94"/>
      <c r="AD1112" s="94"/>
      <c r="AE1112" s="94"/>
      <c r="AF1112" s="94"/>
      <c r="AG1112" s="94"/>
      <c r="AH1112" s="94"/>
      <c r="AI1112" s="94"/>
      <c r="AJ1112" s="94"/>
      <c r="AK1112" s="94"/>
      <c r="AL1112" s="94"/>
      <c r="AM1112" s="94"/>
      <c r="AN1112" s="94"/>
      <c r="AO1112" s="94"/>
      <c r="AP1112" s="94"/>
      <c r="AQ1112" s="94"/>
      <c r="AR1112" s="94"/>
      <c r="AS1112" s="94"/>
      <c r="AT1112" s="94"/>
      <c r="AU1112" s="94"/>
      <c r="AV1112" s="94"/>
      <c r="AW1112" s="94"/>
      <c r="AX1112" s="94"/>
      <c r="AY1112" s="94"/>
      <c r="AZ1112" s="94"/>
      <c r="BA1112" s="94"/>
      <c r="BB1112" s="94"/>
      <c r="BC1112" s="94"/>
      <c r="BD1112" s="94"/>
      <c r="BE1112" s="94"/>
      <c r="BF1112" s="94"/>
    </row>
    <row r="1113" spans="1:58" x14ac:dyDescent="0.35">
      <c r="A1113" s="107" t="s">
        <v>2913</v>
      </c>
      <c r="B1113" s="108" t="s">
        <v>0</v>
      </c>
      <c r="C1113" s="109">
        <v>7</v>
      </c>
      <c r="D1113" s="107" t="s">
        <v>1134</v>
      </c>
      <c r="E1113" s="109" t="s">
        <v>214</v>
      </c>
      <c r="F1113" s="94"/>
      <c r="G1113" s="94"/>
      <c r="H1113" s="94"/>
      <c r="I1113" s="94"/>
      <c r="J1113" s="94"/>
      <c r="K1113" s="94"/>
      <c r="L1113" s="94"/>
      <c r="M1113" s="94"/>
      <c r="N1113" s="94"/>
      <c r="O1113" s="94"/>
      <c r="P1113" s="94"/>
      <c r="Q1113" s="94"/>
      <c r="R1113" s="94"/>
      <c r="S1113" s="94"/>
      <c r="T1113" s="94"/>
      <c r="U1113" s="94"/>
      <c r="V1113" s="94"/>
      <c r="W1113" s="94"/>
      <c r="X1113" s="94"/>
      <c r="Y1113" s="94"/>
      <c r="Z1113" s="94"/>
      <c r="AA1113" s="94"/>
      <c r="AB1113" s="94"/>
      <c r="AC1113" s="94"/>
      <c r="AD1113" s="94"/>
      <c r="AE1113" s="94"/>
      <c r="AF1113" s="94"/>
      <c r="AG1113" s="94"/>
      <c r="AH1113" s="94"/>
      <c r="AI1113" s="94"/>
      <c r="AJ1113" s="94"/>
      <c r="AK1113" s="94"/>
      <c r="AL1113" s="94"/>
      <c r="AM1113" s="94"/>
      <c r="AN1113" s="94"/>
      <c r="AO1113" s="94"/>
      <c r="AP1113" s="94"/>
      <c r="AQ1113" s="94"/>
      <c r="AR1113" s="94"/>
      <c r="AS1113" s="94"/>
      <c r="AT1113" s="94"/>
      <c r="AU1113" s="94"/>
      <c r="AV1113" s="94"/>
      <c r="AW1113" s="94"/>
      <c r="AX1113" s="94"/>
      <c r="AY1113" s="94"/>
      <c r="AZ1113" s="94"/>
      <c r="BA1113" s="94"/>
      <c r="BB1113" s="94"/>
      <c r="BC1113" s="94"/>
      <c r="BD1113" s="94"/>
      <c r="BE1113" s="94"/>
      <c r="BF1113" s="94"/>
    </row>
    <row r="1114" spans="1:58" x14ac:dyDescent="0.35">
      <c r="A1114" s="104" t="s">
        <v>2914</v>
      </c>
      <c r="B1114" s="105" t="s">
        <v>0</v>
      </c>
      <c r="C1114" s="106">
        <v>6</v>
      </c>
      <c r="D1114" s="104" t="s">
        <v>30</v>
      </c>
      <c r="E1114" s="106"/>
      <c r="F1114" s="94"/>
      <c r="G1114" s="94"/>
      <c r="H1114" s="94"/>
      <c r="I1114" s="94"/>
      <c r="J1114" s="94"/>
      <c r="K1114" s="94"/>
      <c r="L1114" s="94"/>
      <c r="M1114" s="94"/>
      <c r="N1114" s="94"/>
      <c r="O1114" s="94"/>
      <c r="P1114" s="94"/>
      <c r="Q1114" s="94"/>
      <c r="R1114" s="94"/>
      <c r="S1114" s="94"/>
      <c r="T1114" s="94"/>
      <c r="U1114" s="94"/>
      <c r="V1114" s="94"/>
      <c r="W1114" s="94"/>
      <c r="X1114" s="94"/>
      <c r="Y1114" s="94"/>
      <c r="Z1114" s="94"/>
      <c r="AA1114" s="94"/>
      <c r="AB1114" s="94"/>
      <c r="AC1114" s="94"/>
      <c r="AD1114" s="94"/>
      <c r="AE1114" s="94"/>
      <c r="AF1114" s="94"/>
      <c r="AG1114" s="94"/>
      <c r="AH1114" s="94"/>
      <c r="AI1114" s="94"/>
      <c r="AJ1114" s="94"/>
      <c r="AK1114" s="94"/>
      <c r="AL1114" s="94"/>
      <c r="AM1114" s="94"/>
      <c r="AN1114" s="94"/>
      <c r="AO1114" s="94"/>
      <c r="AP1114" s="94"/>
      <c r="AQ1114" s="94"/>
      <c r="AR1114" s="94"/>
      <c r="AS1114" s="94"/>
      <c r="AT1114" s="94"/>
      <c r="AU1114" s="94"/>
      <c r="AV1114" s="94"/>
      <c r="AW1114" s="94"/>
      <c r="AX1114" s="94"/>
      <c r="AY1114" s="94"/>
      <c r="AZ1114" s="94"/>
      <c r="BA1114" s="94"/>
      <c r="BB1114" s="94"/>
      <c r="BC1114" s="94"/>
      <c r="BD1114" s="94"/>
      <c r="BE1114" s="94"/>
      <c r="BF1114" s="94"/>
    </row>
    <row r="1115" spans="1:58" x14ac:dyDescent="0.35">
      <c r="A1115" s="107" t="s">
        <v>2915</v>
      </c>
      <c r="B1115" s="108" t="s">
        <v>0</v>
      </c>
      <c r="C1115" s="109">
        <v>7</v>
      </c>
      <c r="D1115" s="107" t="s">
        <v>1656</v>
      </c>
      <c r="E1115" s="109"/>
      <c r="F1115" s="94"/>
      <c r="G1115" s="94"/>
      <c r="H1115" s="94"/>
      <c r="I1115" s="94"/>
      <c r="J1115" s="94"/>
      <c r="K1115" s="94"/>
      <c r="L1115" s="94"/>
      <c r="M1115" s="94"/>
      <c r="N1115" s="94"/>
      <c r="O1115" s="94"/>
      <c r="P1115" s="94"/>
      <c r="Q1115" s="94"/>
      <c r="R1115" s="94"/>
      <c r="S1115" s="94"/>
      <c r="T1115" s="94"/>
      <c r="U1115" s="94"/>
      <c r="V1115" s="94"/>
      <c r="W1115" s="94"/>
      <c r="X1115" s="94"/>
      <c r="Y1115" s="94"/>
      <c r="Z1115" s="94"/>
      <c r="AA1115" s="94"/>
      <c r="AB1115" s="94"/>
      <c r="AC1115" s="94"/>
      <c r="AD1115" s="94"/>
      <c r="AE1115" s="94"/>
      <c r="AF1115" s="94"/>
      <c r="AG1115" s="94"/>
      <c r="AH1115" s="94"/>
      <c r="AI1115" s="94"/>
      <c r="AJ1115" s="94"/>
      <c r="AK1115" s="94"/>
      <c r="AL1115" s="94"/>
      <c r="AM1115" s="94"/>
      <c r="AN1115" s="94"/>
      <c r="AO1115" s="94"/>
      <c r="AP1115" s="94"/>
      <c r="AQ1115" s="94"/>
      <c r="AR1115" s="94"/>
      <c r="AS1115" s="94"/>
      <c r="AT1115" s="94"/>
      <c r="AU1115" s="94"/>
      <c r="AV1115" s="94"/>
      <c r="AW1115" s="94"/>
      <c r="AX1115" s="94"/>
      <c r="AY1115" s="94"/>
      <c r="AZ1115" s="94"/>
      <c r="BA1115" s="94"/>
      <c r="BB1115" s="94"/>
      <c r="BC1115" s="94"/>
      <c r="BD1115" s="94"/>
      <c r="BE1115" s="94"/>
      <c r="BF1115" s="94"/>
    </row>
    <row r="1116" spans="1:58" x14ac:dyDescent="0.35">
      <c r="A1116" s="107" t="s">
        <v>2916</v>
      </c>
      <c r="B1116" s="108" t="s">
        <v>0</v>
      </c>
      <c r="C1116" s="109">
        <v>7</v>
      </c>
      <c r="D1116" s="107" t="s">
        <v>1659</v>
      </c>
      <c r="E1116" s="109"/>
      <c r="F1116" s="94"/>
      <c r="G1116" s="94"/>
      <c r="H1116" s="94"/>
      <c r="I1116" s="94"/>
      <c r="J1116" s="94"/>
      <c r="K1116" s="94"/>
      <c r="L1116" s="94"/>
      <c r="M1116" s="94"/>
      <c r="N1116" s="94"/>
      <c r="O1116" s="94"/>
      <c r="P1116" s="94"/>
      <c r="Q1116" s="94"/>
      <c r="R1116" s="94"/>
      <c r="S1116" s="94"/>
      <c r="T1116" s="94"/>
      <c r="U1116" s="94"/>
      <c r="V1116" s="94"/>
      <c r="W1116" s="94"/>
      <c r="X1116" s="94"/>
      <c r="Y1116" s="94"/>
      <c r="Z1116" s="94"/>
      <c r="AA1116" s="94"/>
      <c r="AB1116" s="94"/>
      <c r="AC1116" s="94"/>
      <c r="AD1116" s="94"/>
      <c r="AE1116" s="94"/>
      <c r="AF1116" s="94"/>
      <c r="AG1116" s="94"/>
      <c r="AH1116" s="94"/>
      <c r="AI1116" s="94"/>
      <c r="AJ1116" s="94"/>
      <c r="AK1116" s="94"/>
      <c r="AL1116" s="94"/>
      <c r="AM1116" s="94"/>
      <c r="AN1116" s="94"/>
      <c r="AO1116" s="94"/>
      <c r="AP1116" s="94"/>
      <c r="AQ1116" s="94"/>
      <c r="AR1116" s="94"/>
      <c r="AS1116" s="94"/>
      <c r="AT1116" s="94"/>
      <c r="AU1116" s="94"/>
      <c r="AV1116" s="94"/>
      <c r="AW1116" s="94"/>
      <c r="AX1116" s="94"/>
      <c r="AY1116" s="94"/>
      <c r="AZ1116" s="94"/>
      <c r="BA1116" s="94"/>
      <c r="BB1116" s="94"/>
      <c r="BC1116" s="94"/>
      <c r="BD1116" s="94"/>
      <c r="BE1116" s="94"/>
      <c r="BF1116" s="94"/>
    </row>
    <row r="1117" spans="1:58" x14ac:dyDescent="0.35">
      <c r="A1117" s="107" t="s">
        <v>2917</v>
      </c>
      <c r="B1117" s="108" t="s">
        <v>0</v>
      </c>
      <c r="C1117" s="109">
        <v>7</v>
      </c>
      <c r="D1117" s="107" t="s">
        <v>1657</v>
      </c>
      <c r="E1117" s="109"/>
      <c r="F1117" s="94"/>
      <c r="G1117" s="94"/>
      <c r="H1117" s="94"/>
      <c r="I1117" s="94"/>
      <c r="J1117" s="94"/>
      <c r="K1117" s="94"/>
      <c r="L1117" s="94"/>
      <c r="M1117" s="94"/>
      <c r="N1117" s="94"/>
      <c r="O1117" s="94"/>
      <c r="P1117" s="94"/>
      <c r="Q1117" s="94"/>
      <c r="R1117" s="94"/>
      <c r="S1117" s="94"/>
      <c r="T1117" s="94"/>
      <c r="U1117" s="94"/>
      <c r="V1117" s="94"/>
      <c r="W1117" s="94"/>
      <c r="X1117" s="94"/>
      <c r="Y1117" s="94"/>
      <c r="Z1117" s="94"/>
      <c r="AA1117" s="94"/>
      <c r="AB1117" s="94"/>
      <c r="AC1117" s="94"/>
      <c r="AD1117" s="94"/>
      <c r="AE1117" s="94"/>
      <c r="AF1117" s="94"/>
      <c r="AG1117" s="94"/>
      <c r="AH1117" s="94"/>
      <c r="AI1117" s="94"/>
      <c r="AJ1117" s="94"/>
      <c r="AK1117" s="94"/>
      <c r="AL1117" s="94"/>
      <c r="AM1117" s="94"/>
      <c r="AN1117" s="94"/>
      <c r="AO1117" s="94"/>
      <c r="AP1117" s="94"/>
      <c r="AQ1117" s="94"/>
      <c r="AR1117" s="94"/>
      <c r="AS1117" s="94"/>
      <c r="AT1117" s="94"/>
      <c r="AU1117" s="94"/>
      <c r="AV1117" s="94"/>
      <c r="AW1117" s="94"/>
      <c r="AX1117" s="94"/>
      <c r="AY1117" s="94"/>
      <c r="AZ1117" s="94"/>
      <c r="BA1117" s="94"/>
      <c r="BB1117" s="94"/>
      <c r="BC1117" s="94"/>
      <c r="BD1117" s="94"/>
      <c r="BE1117" s="94"/>
      <c r="BF1117" s="94"/>
    </row>
    <row r="1118" spans="1:58" x14ac:dyDescent="0.35">
      <c r="A1118" s="107" t="s">
        <v>2918</v>
      </c>
      <c r="B1118" s="108" t="s">
        <v>0</v>
      </c>
      <c r="C1118" s="109">
        <v>7</v>
      </c>
      <c r="D1118" s="107" t="s">
        <v>1658</v>
      </c>
      <c r="E1118" s="109"/>
      <c r="F1118" s="94"/>
      <c r="G1118" s="94"/>
      <c r="H1118" s="94"/>
      <c r="I1118" s="94"/>
      <c r="J1118" s="94"/>
      <c r="K1118" s="94"/>
      <c r="L1118" s="94"/>
      <c r="M1118" s="94"/>
      <c r="N1118" s="94"/>
      <c r="O1118" s="94"/>
      <c r="P1118" s="94"/>
      <c r="Q1118" s="94"/>
      <c r="R1118" s="94"/>
      <c r="S1118" s="94"/>
      <c r="T1118" s="94"/>
      <c r="U1118" s="94"/>
      <c r="V1118" s="94"/>
      <c r="W1118" s="94"/>
      <c r="X1118" s="94"/>
      <c r="Y1118" s="94"/>
      <c r="Z1118" s="94"/>
      <c r="AA1118" s="94"/>
      <c r="AB1118" s="94"/>
      <c r="AC1118" s="94"/>
      <c r="AD1118" s="94"/>
      <c r="AE1118" s="94"/>
      <c r="AF1118" s="94"/>
      <c r="AG1118" s="94"/>
      <c r="AH1118" s="94"/>
      <c r="AI1118" s="94"/>
      <c r="AJ1118" s="94"/>
      <c r="AK1118" s="94"/>
      <c r="AL1118" s="94"/>
      <c r="AM1118" s="94"/>
      <c r="AN1118" s="94"/>
      <c r="AO1118" s="94"/>
      <c r="AP1118" s="94"/>
      <c r="AQ1118" s="94"/>
      <c r="AR1118" s="94"/>
      <c r="AS1118" s="94"/>
      <c r="AT1118" s="94"/>
      <c r="AU1118" s="94"/>
      <c r="AV1118" s="94"/>
      <c r="AW1118" s="94"/>
      <c r="AX1118" s="94"/>
      <c r="AY1118" s="94"/>
      <c r="AZ1118" s="94"/>
      <c r="BA1118" s="94"/>
      <c r="BB1118" s="94"/>
      <c r="BC1118" s="94"/>
      <c r="BD1118" s="94"/>
      <c r="BE1118" s="94"/>
      <c r="BF1118" s="94"/>
    </row>
    <row r="1119" spans="1:58" x14ac:dyDescent="0.35">
      <c r="A1119" s="104" t="s">
        <v>2919</v>
      </c>
      <c r="B1119" s="105" t="s">
        <v>0</v>
      </c>
      <c r="C1119" s="106">
        <v>6</v>
      </c>
      <c r="D1119" s="104" t="s">
        <v>123</v>
      </c>
      <c r="E1119" s="106"/>
      <c r="F1119" s="94"/>
      <c r="G1119" s="94"/>
      <c r="H1119" s="94"/>
      <c r="I1119" s="94"/>
      <c r="J1119" s="94"/>
      <c r="K1119" s="94"/>
      <c r="L1119" s="94"/>
      <c r="M1119" s="94"/>
      <c r="N1119" s="94"/>
      <c r="O1119" s="94"/>
      <c r="P1119" s="94"/>
      <c r="Q1119" s="94"/>
      <c r="R1119" s="94"/>
      <c r="S1119" s="94"/>
      <c r="T1119" s="94"/>
      <c r="U1119" s="94"/>
      <c r="V1119" s="94"/>
      <c r="W1119" s="94"/>
      <c r="X1119" s="94"/>
      <c r="Y1119" s="94"/>
      <c r="Z1119" s="94"/>
      <c r="AA1119" s="94"/>
      <c r="AB1119" s="94"/>
      <c r="AC1119" s="94"/>
      <c r="AD1119" s="94"/>
      <c r="AE1119" s="94"/>
      <c r="AF1119" s="94"/>
      <c r="AG1119" s="94"/>
      <c r="AH1119" s="94"/>
      <c r="AI1119" s="94"/>
      <c r="AJ1119" s="94"/>
      <c r="AK1119" s="94"/>
      <c r="AL1119" s="94"/>
      <c r="AM1119" s="94"/>
      <c r="AN1119" s="94"/>
      <c r="AO1119" s="94"/>
      <c r="AP1119" s="94"/>
      <c r="AQ1119" s="94"/>
      <c r="AR1119" s="94"/>
      <c r="AS1119" s="94"/>
      <c r="AT1119" s="94"/>
      <c r="AU1119" s="94"/>
      <c r="AV1119" s="94"/>
      <c r="AW1119" s="94"/>
      <c r="AX1119" s="94"/>
      <c r="AY1119" s="94"/>
      <c r="AZ1119" s="94"/>
      <c r="BA1119" s="94"/>
      <c r="BB1119" s="94"/>
      <c r="BC1119" s="94"/>
      <c r="BD1119" s="94"/>
      <c r="BE1119" s="94"/>
      <c r="BF1119" s="94"/>
    </row>
    <row r="1120" spans="1:58" x14ac:dyDescent="0.35">
      <c r="A1120" s="107" t="s">
        <v>2920</v>
      </c>
      <c r="B1120" s="108" t="s">
        <v>0</v>
      </c>
      <c r="C1120" s="109">
        <v>7</v>
      </c>
      <c r="D1120" s="107" t="s">
        <v>1654</v>
      </c>
      <c r="E1120" s="109"/>
      <c r="F1120" s="94"/>
      <c r="G1120" s="94"/>
      <c r="H1120" s="94"/>
      <c r="I1120" s="94"/>
      <c r="J1120" s="94"/>
      <c r="K1120" s="94"/>
      <c r="L1120" s="94"/>
      <c r="M1120" s="94"/>
      <c r="N1120" s="94"/>
      <c r="O1120" s="94"/>
      <c r="P1120" s="94"/>
      <c r="Q1120" s="94"/>
      <c r="R1120" s="94"/>
      <c r="S1120" s="94"/>
      <c r="T1120" s="94"/>
      <c r="U1120" s="94"/>
      <c r="V1120" s="94"/>
      <c r="W1120" s="94"/>
      <c r="X1120" s="94"/>
      <c r="Y1120" s="94"/>
      <c r="Z1120" s="94"/>
      <c r="AA1120" s="94"/>
      <c r="AB1120" s="94"/>
      <c r="AC1120" s="94"/>
      <c r="AD1120" s="94"/>
      <c r="AE1120" s="94"/>
      <c r="AF1120" s="94"/>
      <c r="AG1120" s="94"/>
      <c r="AH1120" s="94"/>
      <c r="AI1120" s="94"/>
      <c r="AJ1120" s="94"/>
      <c r="AK1120" s="94"/>
      <c r="AL1120" s="94"/>
      <c r="AM1120" s="94"/>
      <c r="AN1120" s="94"/>
      <c r="AO1120" s="94"/>
      <c r="AP1120" s="94"/>
      <c r="AQ1120" s="94"/>
      <c r="AR1120" s="94"/>
      <c r="AS1120" s="94"/>
      <c r="AT1120" s="94"/>
      <c r="AU1120" s="94"/>
      <c r="AV1120" s="94"/>
      <c r="AW1120" s="94"/>
      <c r="AX1120" s="94"/>
      <c r="AY1120" s="94"/>
      <c r="AZ1120" s="94"/>
      <c r="BA1120" s="94"/>
      <c r="BB1120" s="94"/>
      <c r="BC1120" s="94"/>
      <c r="BD1120" s="94"/>
      <c r="BE1120" s="94"/>
      <c r="BF1120" s="94"/>
    </row>
    <row r="1121" spans="1:58" x14ac:dyDescent="0.35">
      <c r="A1121" s="101" t="s">
        <v>2921</v>
      </c>
      <c r="B1121" s="102" t="s">
        <v>0</v>
      </c>
      <c r="C1121" s="103">
        <v>5</v>
      </c>
      <c r="D1121" s="101" t="s">
        <v>462</v>
      </c>
      <c r="E1121" s="103" t="s">
        <v>215</v>
      </c>
      <c r="F1121" s="94"/>
      <c r="G1121" s="94"/>
      <c r="H1121" s="94"/>
      <c r="I1121" s="94"/>
      <c r="J1121" s="94"/>
      <c r="K1121" s="94"/>
      <c r="L1121" s="94"/>
      <c r="M1121" s="94"/>
      <c r="N1121" s="94"/>
      <c r="O1121" s="94"/>
      <c r="P1121" s="94"/>
      <c r="Q1121" s="94"/>
      <c r="R1121" s="94"/>
      <c r="S1121" s="94"/>
      <c r="T1121" s="94"/>
      <c r="U1121" s="94"/>
      <c r="V1121" s="94"/>
      <c r="W1121" s="94"/>
      <c r="X1121" s="94"/>
      <c r="Y1121" s="94"/>
      <c r="Z1121" s="94"/>
      <c r="AA1121" s="94"/>
      <c r="AB1121" s="94"/>
      <c r="AC1121" s="94"/>
      <c r="AD1121" s="94"/>
      <c r="AE1121" s="94"/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94"/>
      <c r="AU1121" s="94"/>
      <c r="AV1121" s="94"/>
      <c r="AW1121" s="94"/>
      <c r="AX1121" s="94"/>
      <c r="AY1121" s="94"/>
      <c r="AZ1121" s="94"/>
      <c r="BA1121" s="94"/>
      <c r="BB1121" s="94"/>
      <c r="BC1121" s="94"/>
      <c r="BD1121" s="94"/>
      <c r="BE1121" s="94"/>
      <c r="BF1121" s="94"/>
    </row>
    <row r="1122" spans="1:58" x14ac:dyDescent="0.35">
      <c r="A1122" s="104" t="s">
        <v>2922</v>
      </c>
      <c r="B1122" s="105" t="s">
        <v>0</v>
      </c>
      <c r="C1122" s="106">
        <v>6</v>
      </c>
      <c r="D1122" s="104" t="s">
        <v>564</v>
      </c>
      <c r="E1122" s="106"/>
      <c r="F1122" s="94"/>
      <c r="G1122" s="94"/>
      <c r="H1122" s="94"/>
      <c r="I1122" s="94"/>
      <c r="J1122" s="94"/>
      <c r="K1122" s="94"/>
      <c r="L1122" s="94"/>
      <c r="M1122" s="94"/>
      <c r="N1122" s="94"/>
      <c r="O1122" s="94"/>
      <c r="P1122" s="94"/>
      <c r="Q1122" s="94"/>
      <c r="R1122" s="94"/>
      <c r="S1122" s="94"/>
      <c r="T1122" s="94"/>
      <c r="U1122" s="94"/>
      <c r="V1122" s="94"/>
      <c r="W1122" s="94"/>
      <c r="X1122" s="94"/>
      <c r="Y1122" s="94"/>
      <c r="Z1122" s="94"/>
      <c r="AA1122" s="94"/>
      <c r="AB1122" s="94"/>
      <c r="AC1122" s="94"/>
      <c r="AD1122" s="94"/>
      <c r="AE1122" s="94"/>
      <c r="AF1122" s="94"/>
      <c r="AG1122" s="94"/>
      <c r="AH1122" s="94"/>
      <c r="AI1122" s="94"/>
      <c r="AJ1122" s="94"/>
      <c r="AK1122" s="94"/>
      <c r="AL1122" s="94"/>
      <c r="AM1122" s="94"/>
      <c r="AN1122" s="94"/>
      <c r="AO1122" s="94"/>
      <c r="AP1122" s="94"/>
      <c r="AQ1122" s="94"/>
      <c r="AR1122" s="94"/>
      <c r="AS1122" s="94"/>
      <c r="AT1122" s="94"/>
      <c r="AU1122" s="94"/>
      <c r="AV1122" s="94"/>
      <c r="AW1122" s="94"/>
      <c r="AX1122" s="94"/>
      <c r="AY1122" s="94"/>
      <c r="AZ1122" s="94"/>
      <c r="BA1122" s="94"/>
      <c r="BB1122" s="94"/>
      <c r="BC1122" s="94"/>
      <c r="BD1122" s="94"/>
      <c r="BE1122" s="94"/>
      <c r="BF1122" s="94"/>
    </row>
    <row r="1123" spans="1:58" x14ac:dyDescent="0.35">
      <c r="A1123" s="107" t="s">
        <v>2923</v>
      </c>
      <c r="B1123" s="108" t="s">
        <v>0</v>
      </c>
      <c r="C1123" s="109">
        <v>7</v>
      </c>
      <c r="D1123" s="107" t="s">
        <v>1136</v>
      </c>
      <c r="E1123" s="109"/>
      <c r="F1123" s="94"/>
      <c r="G1123" s="94"/>
      <c r="H1123" s="94"/>
      <c r="I1123" s="94"/>
      <c r="J1123" s="94"/>
      <c r="K1123" s="94"/>
      <c r="L1123" s="94"/>
      <c r="M1123" s="94"/>
      <c r="N1123" s="94"/>
      <c r="O1123" s="94"/>
      <c r="P1123" s="94"/>
      <c r="Q1123" s="94"/>
      <c r="R1123" s="94"/>
      <c r="S1123" s="94"/>
      <c r="T1123" s="94"/>
      <c r="U1123" s="94"/>
      <c r="V1123" s="94"/>
      <c r="W1123" s="94"/>
      <c r="X1123" s="94"/>
      <c r="Y1123" s="94"/>
      <c r="Z1123" s="94"/>
      <c r="AA1123" s="94"/>
      <c r="AB1123" s="94"/>
      <c r="AC1123" s="94"/>
      <c r="AD1123" s="94"/>
      <c r="AE1123" s="94"/>
      <c r="AF1123" s="94"/>
      <c r="AG1123" s="94"/>
      <c r="AH1123" s="94"/>
      <c r="AI1123" s="94"/>
      <c r="AJ1123" s="94"/>
      <c r="AK1123" s="94"/>
      <c r="AL1123" s="94"/>
      <c r="AM1123" s="94"/>
      <c r="AN1123" s="94"/>
      <c r="AO1123" s="94"/>
      <c r="AP1123" s="94"/>
      <c r="AQ1123" s="94"/>
      <c r="AR1123" s="94"/>
      <c r="AS1123" s="94"/>
      <c r="AT1123" s="94"/>
      <c r="AU1123" s="94"/>
      <c r="AV1123" s="94"/>
      <c r="AW1123" s="94"/>
      <c r="AX1123" s="94"/>
      <c r="AY1123" s="94"/>
      <c r="AZ1123" s="94"/>
      <c r="BA1123" s="94"/>
      <c r="BB1123" s="94"/>
      <c r="BC1123" s="94"/>
      <c r="BD1123" s="94"/>
      <c r="BE1123" s="94"/>
      <c r="BF1123" s="94"/>
    </row>
    <row r="1124" spans="1:58" x14ac:dyDescent="0.35">
      <c r="A1124" s="107" t="s">
        <v>2924</v>
      </c>
      <c r="B1124" s="108" t="s">
        <v>0</v>
      </c>
      <c r="C1124" s="109">
        <v>7</v>
      </c>
      <c r="D1124" s="107" t="s">
        <v>1137</v>
      </c>
      <c r="E1124" s="109"/>
      <c r="F1124" s="94"/>
      <c r="G1124" s="94"/>
      <c r="H1124" s="94"/>
      <c r="I1124" s="94"/>
      <c r="J1124" s="94"/>
      <c r="K1124" s="94"/>
      <c r="L1124" s="94"/>
      <c r="M1124" s="94"/>
      <c r="N1124" s="94"/>
      <c r="O1124" s="94"/>
      <c r="P1124" s="94"/>
      <c r="Q1124" s="94"/>
      <c r="R1124" s="94"/>
      <c r="S1124" s="94"/>
      <c r="T1124" s="94"/>
      <c r="U1124" s="94"/>
      <c r="V1124" s="94"/>
      <c r="W1124" s="94"/>
      <c r="X1124" s="94"/>
      <c r="Y1124" s="94"/>
      <c r="Z1124" s="94"/>
      <c r="AA1124" s="94"/>
      <c r="AB1124" s="94"/>
      <c r="AC1124" s="94"/>
      <c r="AD1124" s="94"/>
      <c r="AE1124" s="94"/>
      <c r="AF1124" s="94"/>
      <c r="AG1124" s="94"/>
      <c r="AH1124" s="94"/>
      <c r="AI1124" s="94"/>
      <c r="AJ1124" s="94"/>
      <c r="AK1124" s="94"/>
      <c r="AL1124" s="94"/>
      <c r="AM1124" s="94"/>
      <c r="AN1124" s="94"/>
      <c r="AO1124" s="94"/>
      <c r="AP1124" s="94"/>
      <c r="AQ1124" s="94"/>
      <c r="AR1124" s="94"/>
      <c r="AS1124" s="94"/>
      <c r="AT1124" s="94"/>
      <c r="AU1124" s="94"/>
      <c r="AV1124" s="94"/>
      <c r="AW1124" s="94"/>
      <c r="AX1124" s="94"/>
      <c r="AY1124" s="94"/>
      <c r="AZ1124" s="94"/>
      <c r="BA1124" s="94"/>
      <c r="BB1124" s="94"/>
      <c r="BC1124" s="94"/>
      <c r="BD1124" s="94"/>
      <c r="BE1124" s="94"/>
      <c r="BF1124" s="94"/>
    </row>
    <row r="1125" spans="1:58" x14ac:dyDescent="0.35">
      <c r="A1125" s="107" t="s">
        <v>2925</v>
      </c>
      <c r="B1125" s="108" t="s">
        <v>0</v>
      </c>
      <c r="C1125" s="109">
        <v>7</v>
      </c>
      <c r="D1125" s="107" t="s">
        <v>1135</v>
      </c>
      <c r="E1125" s="109"/>
      <c r="F1125" s="94"/>
      <c r="G1125" s="94"/>
      <c r="H1125" s="94"/>
      <c r="I1125" s="94"/>
      <c r="J1125" s="94"/>
      <c r="K1125" s="94"/>
      <c r="L1125" s="94"/>
      <c r="M1125" s="94"/>
      <c r="N1125" s="94"/>
      <c r="O1125" s="94"/>
      <c r="P1125" s="94"/>
      <c r="Q1125" s="94"/>
      <c r="R1125" s="94"/>
      <c r="S1125" s="94"/>
      <c r="T1125" s="94"/>
      <c r="U1125" s="94"/>
      <c r="V1125" s="94"/>
      <c r="W1125" s="94"/>
      <c r="X1125" s="94"/>
      <c r="Y1125" s="94"/>
      <c r="Z1125" s="94"/>
      <c r="AA1125" s="94"/>
      <c r="AB1125" s="94"/>
      <c r="AC1125" s="94"/>
      <c r="AD1125" s="94"/>
      <c r="AE1125" s="94"/>
      <c r="AF1125" s="94"/>
      <c r="AG1125" s="94"/>
      <c r="AH1125" s="94"/>
      <c r="AI1125" s="94"/>
      <c r="AJ1125" s="94"/>
      <c r="AK1125" s="94"/>
      <c r="AL1125" s="94"/>
      <c r="AM1125" s="94"/>
      <c r="AN1125" s="94"/>
      <c r="AO1125" s="94"/>
      <c r="AP1125" s="94"/>
      <c r="AQ1125" s="94"/>
      <c r="AR1125" s="94"/>
      <c r="AS1125" s="94"/>
      <c r="AT1125" s="94"/>
      <c r="AU1125" s="94"/>
      <c r="AV1125" s="94"/>
      <c r="AW1125" s="94"/>
      <c r="AX1125" s="94"/>
      <c r="AY1125" s="94"/>
      <c r="AZ1125" s="94"/>
      <c r="BA1125" s="94"/>
      <c r="BB1125" s="94"/>
      <c r="BC1125" s="94"/>
      <c r="BD1125" s="94"/>
      <c r="BE1125" s="94"/>
      <c r="BF1125" s="94"/>
    </row>
    <row r="1126" spans="1:58" x14ac:dyDescent="0.35">
      <c r="A1126" s="107" t="s">
        <v>2926</v>
      </c>
      <c r="B1126" s="108" t="s">
        <v>0</v>
      </c>
      <c r="C1126" s="109">
        <v>7</v>
      </c>
      <c r="D1126" s="107" t="s">
        <v>1138</v>
      </c>
      <c r="E1126" s="109"/>
      <c r="F1126" s="94"/>
      <c r="G1126" s="94"/>
      <c r="H1126" s="94"/>
      <c r="I1126" s="94"/>
      <c r="J1126" s="94"/>
      <c r="K1126" s="94"/>
      <c r="L1126" s="94"/>
      <c r="M1126" s="94"/>
      <c r="N1126" s="94"/>
      <c r="O1126" s="94"/>
      <c r="P1126" s="94"/>
      <c r="Q1126" s="94"/>
      <c r="R1126" s="94"/>
      <c r="S1126" s="94"/>
      <c r="T1126" s="94"/>
      <c r="U1126" s="94"/>
      <c r="V1126" s="94"/>
      <c r="W1126" s="94"/>
      <c r="X1126" s="94"/>
      <c r="Y1126" s="94"/>
      <c r="Z1126" s="94"/>
      <c r="AA1126" s="94"/>
      <c r="AB1126" s="94"/>
      <c r="AC1126" s="94"/>
      <c r="AD1126" s="94"/>
      <c r="AE1126" s="94"/>
      <c r="AF1126" s="94"/>
      <c r="AG1126" s="94"/>
      <c r="AH1126" s="94"/>
      <c r="AI1126" s="94"/>
      <c r="AJ1126" s="94"/>
      <c r="AK1126" s="94"/>
      <c r="AL1126" s="94"/>
      <c r="AM1126" s="94"/>
      <c r="AN1126" s="94"/>
      <c r="AO1126" s="94"/>
      <c r="AP1126" s="94"/>
      <c r="AQ1126" s="94"/>
      <c r="AR1126" s="94"/>
      <c r="AS1126" s="94"/>
      <c r="AT1126" s="94"/>
      <c r="AU1126" s="94"/>
      <c r="AV1126" s="94"/>
      <c r="AW1126" s="94"/>
      <c r="AX1126" s="94"/>
      <c r="AY1126" s="94"/>
      <c r="AZ1126" s="94"/>
      <c r="BA1126" s="94"/>
      <c r="BB1126" s="94"/>
      <c r="BC1126" s="94"/>
      <c r="BD1126" s="94"/>
      <c r="BE1126" s="94"/>
      <c r="BF1126" s="94"/>
    </row>
    <row r="1127" spans="1:58" x14ac:dyDescent="0.35">
      <c r="A1127" s="107" t="s">
        <v>2927</v>
      </c>
      <c r="B1127" s="108" t="s">
        <v>0</v>
      </c>
      <c r="C1127" s="109">
        <v>7</v>
      </c>
      <c r="D1127" s="107" t="s">
        <v>1139</v>
      </c>
      <c r="E1127" s="109"/>
      <c r="F1127" s="94"/>
      <c r="G1127" s="94"/>
      <c r="H1127" s="94"/>
      <c r="I1127" s="94"/>
      <c r="J1127" s="94"/>
      <c r="K1127" s="94"/>
      <c r="L1127" s="94"/>
      <c r="M1127" s="94"/>
      <c r="N1127" s="94"/>
      <c r="O1127" s="94"/>
      <c r="P1127" s="94"/>
      <c r="Q1127" s="94"/>
      <c r="R1127" s="94"/>
      <c r="S1127" s="94"/>
      <c r="T1127" s="94"/>
      <c r="U1127" s="94"/>
      <c r="V1127" s="94"/>
      <c r="W1127" s="94"/>
      <c r="X1127" s="94"/>
      <c r="Y1127" s="94"/>
      <c r="Z1127" s="94"/>
      <c r="AA1127" s="94"/>
      <c r="AB1127" s="94"/>
      <c r="AC1127" s="94"/>
      <c r="AD1127" s="94"/>
      <c r="AE1127" s="94"/>
      <c r="AF1127" s="94"/>
      <c r="AG1127" s="94"/>
      <c r="AH1127" s="94"/>
      <c r="AI1127" s="94"/>
      <c r="AJ1127" s="94"/>
      <c r="AK1127" s="94"/>
      <c r="AL1127" s="94"/>
      <c r="AM1127" s="94"/>
      <c r="AN1127" s="94"/>
      <c r="AO1127" s="94"/>
      <c r="AP1127" s="94"/>
      <c r="AQ1127" s="94"/>
      <c r="AR1127" s="94"/>
      <c r="AS1127" s="94"/>
      <c r="AT1127" s="94"/>
      <c r="AU1127" s="94"/>
      <c r="AV1127" s="94"/>
      <c r="AW1127" s="94"/>
      <c r="AX1127" s="94"/>
      <c r="AY1127" s="94"/>
      <c r="AZ1127" s="94"/>
      <c r="BA1127" s="94"/>
      <c r="BB1127" s="94"/>
      <c r="BC1127" s="94"/>
      <c r="BD1127" s="94"/>
      <c r="BE1127" s="94"/>
      <c r="BF1127" s="94"/>
    </row>
    <row r="1128" spans="1:58" x14ac:dyDescent="0.35">
      <c r="A1128" s="107" t="s">
        <v>2928</v>
      </c>
      <c r="B1128" s="108" t="s">
        <v>0</v>
      </c>
      <c r="C1128" s="109">
        <v>7</v>
      </c>
      <c r="D1128" s="107" t="s">
        <v>1655</v>
      </c>
      <c r="E1128" s="109" t="s">
        <v>0</v>
      </c>
      <c r="F1128" s="94"/>
      <c r="G1128" s="94"/>
      <c r="H1128" s="94"/>
      <c r="I1128" s="94"/>
      <c r="J1128" s="94"/>
      <c r="K1128" s="94"/>
      <c r="L1128" s="94"/>
      <c r="M1128" s="94"/>
      <c r="N1128" s="94"/>
      <c r="O1128" s="94"/>
      <c r="P1128" s="94"/>
      <c r="Q1128" s="94"/>
      <c r="R1128" s="94"/>
      <c r="S1128" s="94"/>
      <c r="T1128" s="94"/>
      <c r="U1128" s="94"/>
      <c r="V1128" s="94"/>
      <c r="W1128" s="94"/>
      <c r="X1128" s="94"/>
      <c r="Y1128" s="94"/>
      <c r="Z1128" s="94"/>
      <c r="AA1128" s="94"/>
      <c r="AB1128" s="94"/>
      <c r="AC1128" s="94"/>
      <c r="AD1128" s="94"/>
      <c r="AE1128" s="94"/>
      <c r="AF1128" s="94"/>
      <c r="AG1128" s="94"/>
      <c r="AH1128" s="94"/>
      <c r="AI1128" s="94"/>
      <c r="AJ1128" s="94"/>
      <c r="AK1128" s="94"/>
      <c r="AL1128" s="94"/>
      <c r="AM1128" s="94"/>
      <c r="AN1128" s="94"/>
      <c r="AO1128" s="94"/>
      <c r="AP1128" s="94"/>
      <c r="AQ1128" s="94"/>
      <c r="AR1128" s="94"/>
      <c r="AS1128" s="94"/>
      <c r="AT1128" s="94"/>
      <c r="AU1128" s="94"/>
      <c r="AV1128" s="94"/>
      <c r="AW1128" s="94"/>
      <c r="AX1128" s="94"/>
      <c r="AY1128" s="94"/>
      <c r="AZ1128" s="94"/>
      <c r="BA1128" s="94"/>
      <c r="BB1128" s="94"/>
      <c r="BC1128" s="94"/>
      <c r="BD1128" s="94"/>
      <c r="BE1128" s="94"/>
      <c r="BF1128" s="94"/>
    </row>
    <row r="1129" spans="1:58" x14ac:dyDescent="0.35">
      <c r="A1129" s="104" t="s">
        <v>2929</v>
      </c>
      <c r="B1129" s="105" t="s">
        <v>0</v>
      </c>
      <c r="C1129" s="106">
        <v>6</v>
      </c>
      <c r="D1129" s="104" t="s">
        <v>26</v>
      </c>
      <c r="E1129" s="106"/>
      <c r="F1129" s="94"/>
      <c r="G1129" s="94"/>
      <c r="H1129" s="94"/>
      <c r="I1129" s="94"/>
      <c r="J1129" s="94"/>
      <c r="K1129" s="94"/>
      <c r="L1129" s="94"/>
      <c r="M1129" s="94"/>
      <c r="N1129" s="94"/>
      <c r="O1129" s="94"/>
      <c r="P1129" s="94"/>
      <c r="Q1129" s="94"/>
      <c r="R1129" s="94"/>
      <c r="S1129" s="94"/>
      <c r="T1129" s="94"/>
      <c r="U1129" s="94"/>
      <c r="V1129" s="94"/>
      <c r="W1129" s="94"/>
      <c r="X1129" s="94"/>
      <c r="Y1129" s="94"/>
      <c r="Z1129" s="94"/>
      <c r="AA1129" s="94"/>
      <c r="AB1129" s="94"/>
      <c r="AC1129" s="94"/>
      <c r="AD1129" s="94"/>
      <c r="AE1129" s="94"/>
      <c r="AF1129" s="94"/>
      <c r="AG1129" s="94"/>
      <c r="AH1129" s="94"/>
      <c r="AI1129" s="94"/>
      <c r="AJ1129" s="94"/>
      <c r="AK1129" s="94"/>
      <c r="AL1129" s="94"/>
      <c r="AM1129" s="94"/>
      <c r="AN1129" s="94"/>
      <c r="AO1129" s="94"/>
      <c r="AP1129" s="94"/>
      <c r="AQ1129" s="94"/>
      <c r="AR1129" s="94"/>
      <c r="AS1129" s="94"/>
      <c r="AT1129" s="94"/>
      <c r="AU1129" s="94"/>
      <c r="AV1129" s="94"/>
      <c r="AW1129" s="94"/>
      <c r="AX1129" s="94"/>
      <c r="AY1129" s="94"/>
      <c r="AZ1129" s="94"/>
      <c r="BA1129" s="94"/>
      <c r="BB1129" s="94"/>
      <c r="BC1129" s="94"/>
      <c r="BD1129" s="94"/>
      <c r="BE1129" s="94"/>
      <c r="BF1129" s="94"/>
    </row>
    <row r="1130" spans="1:58" x14ac:dyDescent="0.35">
      <c r="A1130" s="107" t="s">
        <v>2930</v>
      </c>
      <c r="B1130" s="108" t="s">
        <v>0</v>
      </c>
      <c r="C1130" s="109">
        <v>7</v>
      </c>
      <c r="D1130" s="107" t="s">
        <v>1140</v>
      </c>
      <c r="E1130" s="109"/>
      <c r="F1130" s="94"/>
      <c r="G1130" s="94"/>
      <c r="H1130" s="94"/>
      <c r="I1130" s="94"/>
      <c r="J1130" s="94"/>
      <c r="K1130" s="94"/>
      <c r="L1130" s="94"/>
      <c r="M1130" s="94"/>
      <c r="N1130" s="94"/>
      <c r="O1130" s="94"/>
      <c r="P1130" s="94"/>
      <c r="Q1130" s="94"/>
      <c r="R1130" s="94"/>
      <c r="S1130" s="94"/>
      <c r="T1130" s="94"/>
      <c r="U1130" s="94"/>
      <c r="V1130" s="94"/>
      <c r="W1130" s="94"/>
      <c r="X1130" s="94"/>
      <c r="Y1130" s="94"/>
      <c r="Z1130" s="94"/>
      <c r="AA1130" s="94"/>
      <c r="AB1130" s="94"/>
      <c r="AC1130" s="94"/>
      <c r="AD1130" s="94"/>
      <c r="AE1130" s="94"/>
      <c r="AF1130" s="94"/>
      <c r="AG1130" s="94"/>
      <c r="AH1130" s="94"/>
      <c r="AI1130" s="94"/>
      <c r="AJ1130" s="94"/>
      <c r="AK1130" s="94"/>
      <c r="AL1130" s="94"/>
      <c r="AM1130" s="94"/>
      <c r="AN1130" s="94"/>
      <c r="AO1130" s="94"/>
      <c r="AP1130" s="94"/>
      <c r="AQ1130" s="94"/>
      <c r="AR1130" s="94"/>
      <c r="AS1130" s="94"/>
      <c r="AT1130" s="94"/>
      <c r="AU1130" s="94"/>
      <c r="AV1130" s="94"/>
      <c r="AW1130" s="94"/>
      <c r="AX1130" s="94"/>
      <c r="AY1130" s="94"/>
      <c r="AZ1130" s="94"/>
      <c r="BA1130" s="94"/>
      <c r="BB1130" s="94"/>
      <c r="BC1130" s="94"/>
      <c r="BD1130" s="94"/>
      <c r="BE1130" s="94"/>
      <c r="BF1130" s="94"/>
    </row>
    <row r="1131" spans="1:58" x14ac:dyDescent="0.35">
      <c r="A1131" s="107" t="s">
        <v>2931</v>
      </c>
      <c r="B1131" s="108" t="s">
        <v>0</v>
      </c>
      <c r="C1131" s="109">
        <v>7</v>
      </c>
      <c r="D1131" s="107" t="s">
        <v>1141</v>
      </c>
      <c r="E1131" s="109"/>
      <c r="F1131" s="94"/>
      <c r="G1131" s="94"/>
      <c r="H1131" s="94"/>
      <c r="I1131" s="94"/>
      <c r="J1131" s="94"/>
      <c r="K1131" s="94"/>
      <c r="L1131" s="94"/>
      <c r="M1131" s="94"/>
      <c r="N1131" s="94"/>
      <c r="O1131" s="94"/>
      <c r="P1131" s="94"/>
      <c r="Q1131" s="94"/>
      <c r="R1131" s="94"/>
      <c r="S1131" s="94"/>
      <c r="T1131" s="94"/>
      <c r="U1131" s="94"/>
      <c r="V1131" s="94"/>
      <c r="W1131" s="94"/>
      <c r="X1131" s="94"/>
      <c r="Y1131" s="94"/>
      <c r="Z1131" s="94"/>
      <c r="AA1131" s="94"/>
      <c r="AB1131" s="94"/>
      <c r="AC1131" s="94"/>
      <c r="AD1131" s="94"/>
      <c r="AE1131" s="94"/>
      <c r="AF1131" s="94"/>
      <c r="AG1131" s="94"/>
      <c r="AH1131" s="94"/>
      <c r="AI1131" s="94"/>
      <c r="AJ1131" s="94"/>
      <c r="AK1131" s="94"/>
      <c r="AL1131" s="94"/>
      <c r="AM1131" s="94"/>
      <c r="AN1131" s="94"/>
      <c r="AO1131" s="94"/>
      <c r="AP1131" s="94"/>
      <c r="AQ1131" s="94"/>
      <c r="AR1131" s="94"/>
      <c r="AS1131" s="94"/>
      <c r="AT1131" s="94"/>
      <c r="AU1131" s="94"/>
      <c r="AV1131" s="94"/>
      <c r="AW1131" s="94"/>
      <c r="AX1131" s="94"/>
      <c r="AY1131" s="94"/>
      <c r="AZ1131" s="94"/>
      <c r="BA1131" s="94"/>
      <c r="BB1131" s="94"/>
      <c r="BC1131" s="94"/>
      <c r="BD1131" s="94"/>
      <c r="BE1131" s="94"/>
      <c r="BF1131" s="94"/>
    </row>
    <row r="1132" spans="1:58" x14ac:dyDescent="0.35">
      <c r="A1132" s="107" t="s">
        <v>2932</v>
      </c>
      <c r="B1132" s="108" t="s">
        <v>0</v>
      </c>
      <c r="C1132" s="109">
        <v>7</v>
      </c>
      <c r="D1132" s="107" t="s">
        <v>1142</v>
      </c>
      <c r="E1132" s="109"/>
      <c r="F1132" s="94"/>
      <c r="G1132" s="94"/>
      <c r="H1132" s="94"/>
      <c r="I1132" s="94"/>
      <c r="J1132" s="94"/>
      <c r="K1132" s="94"/>
      <c r="L1132" s="94"/>
      <c r="M1132" s="94"/>
      <c r="N1132" s="94"/>
      <c r="O1132" s="94"/>
      <c r="P1132" s="94"/>
      <c r="Q1132" s="94"/>
      <c r="R1132" s="94"/>
      <c r="S1132" s="94"/>
      <c r="T1132" s="94"/>
      <c r="U1132" s="94"/>
      <c r="V1132" s="94"/>
      <c r="W1132" s="94"/>
      <c r="X1132" s="94"/>
      <c r="Y1132" s="94"/>
      <c r="Z1132" s="94"/>
      <c r="AA1132" s="94"/>
      <c r="AB1132" s="94"/>
      <c r="AC1132" s="94"/>
      <c r="AD1132" s="94"/>
      <c r="AE1132" s="94"/>
      <c r="AF1132" s="94"/>
      <c r="AG1132" s="94"/>
      <c r="AH1132" s="94"/>
      <c r="AI1132" s="94"/>
      <c r="AJ1132" s="94"/>
      <c r="AK1132" s="94"/>
      <c r="AL1132" s="94"/>
      <c r="AM1132" s="94"/>
      <c r="AN1132" s="94"/>
      <c r="AO1132" s="94"/>
      <c r="AP1132" s="94"/>
      <c r="AQ1132" s="94"/>
      <c r="AR1132" s="94"/>
      <c r="AS1132" s="94"/>
      <c r="AT1132" s="94"/>
      <c r="AU1132" s="94"/>
      <c r="AV1132" s="94"/>
      <c r="AW1132" s="94"/>
      <c r="AX1132" s="94"/>
      <c r="AY1132" s="94"/>
      <c r="AZ1132" s="94"/>
      <c r="BA1132" s="94"/>
      <c r="BB1132" s="94"/>
      <c r="BC1132" s="94"/>
      <c r="BD1132" s="94"/>
      <c r="BE1132" s="94"/>
      <c r="BF1132" s="94"/>
    </row>
    <row r="1133" spans="1:58" x14ac:dyDescent="0.35">
      <c r="A1133" s="107" t="s">
        <v>2933</v>
      </c>
      <c r="B1133" s="108" t="s">
        <v>0</v>
      </c>
      <c r="C1133" s="109">
        <v>7</v>
      </c>
      <c r="D1133" s="107" t="s">
        <v>1143</v>
      </c>
      <c r="E1133" s="109"/>
      <c r="F1133" s="94"/>
      <c r="G1133" s="94"/>
      <c r="H1133" s="94"/>
      <c r="I1133" s="94"/>
      <c r="J1133" s="94"/>
      <c r="K1133" s="94"/>
      <c r="L1133" s="94"/>
      <c r="M1133" s="94"/>
      <c r="N1133" s="94"/>
      <c r="O1133" s="94"/>
      <c r="P1133" s="94"/>
      <c r="Q1133" s="94"/>
      <c r="R1133" s="94"/>
      <c r="S1133" s="94"/>
      <c r="T1133" s="94"/>
      <c r="U1133" s="94"/>
      <c r="V1133" s="94"/>
      <c r="W1133" s="94"/>
      <c r="X1133" s="94"/>
      <c r="Y1133" s="94"/>
      <c r="Z1133" s="94"/>
      <c r="AA1133" s="94"/>
      <c r="AB1133" s="94"/>
      <c r="AC1133" s="94"/>
      <c r="AD1133" s="94"/>
      <c r="AE1133" s="94"/>
      <c r="AF1133" s="94"/>
      <c r="AG1133" s="94"/>
      <c r="AH1133" s="94"/>
      <c r="AI1133" s="94"/>
      <c r="AJ1133" s="94"/>
      <c r="AK1133" s="94"/>
      <c r="AL1133" s="94"/>
      <c r="AM1133" s="94"/>
      <c r="AN1133" s="94"/>
      <c r="AO1133" s="94"/>
      <c r="AP1133" s="94"/>
      <c r="AQ1133" s="94"/>
      <c r="AR1133" s="94"/>
      <c r="AS1133" s="94"/>
      <c r="AT1133" s="94"/>
      <c r="AU1133" s="94"/>
      <c r="AV1133" s="94"/>
      <c r="AW1133" s="94"/>
      <c r="AX1133" s="94"/>
      <c r="AY1133" s="94"/>
      <c r="AZ1133" s="94"/>
      <c r="BA1133" s="94"/>
      <c r="BB1133" s="94"/>
      <c r="BC1133" s="94"/>
      <c r="BD1133" s="94"/>
      <c r="BE1133" s="94"/>
      <c r="BF1133" s="94"/>
    </row>
    <row r="1134" spans="1:58" x14ac:dyDescent="0.35">
      <c r="A1134" s="104" t="s">
        <v>2934</v>
      </c>
      <c r="B1134" s="105" t="s">
        <v>0</v>
      </c>
      <c r="C1134" s="106">
        <v>6</v>
      </c>
      <c r="D1134" s="104" t="s">
        <v>16</v>
      </c>
      <c r="E1134" s="106"/>
      <c r="F1134" s="94"/>
      <c r="G1134" s="94"/>
      <c r="H1134" s="94"/>
      <c r="I1134" s="94"/>
      <c r="J1134" s="94"/>
      <c r="K1134" s="94"/>
      <c r="L1134" s="94"/>
      <c r="M1134" s="94"/>
      <c r="N1134" s="94"/>
      <c r="O1134" s="94"/>
      <c r="P1134" s="94"/>
      <c r="Q1134" s="94"/>
      <c r="R1134" s="94"/>
      <c r="S1134" s="94"/>
      <c r="T1134" s="94"/>
      <c r="U1134" s="94"/>
      <c r="V1134" s="94"/>
      <c r="W1134" s="94"/>
      <c r="X1134" s="94"/>
      <c r="Y1134" s="94"/>
      <c r="Z1134" s="94"/>
      <c r="AA1134" s="94"/>
      <c r="AB1134" s="94"/>
      <c r="AC1134" s="94"/>
      <c r="AD1134" s="94"/>
      <c r="AE1134" s="94"/>
      <c r="AF1134" s="94"/>
      <c r="AG1134" s="94"/>
      <c r="AH1134" s="94"/>
      <c r="AI1134" s="94"/>
      <c r="AJ1134" s="94"/>
      <c r="AK1134" s="94"/>
      <c r="AL1134" s="94"/>
      <c r="AM1134" s="94"/>
      <c r="AN1134" s="94"/>
      <c r="AO1134" s="94"/>
      <c r="AP1134" s="94"/>
      <c r="AQ1134" s="94"/>
      <c r="AR1134" s="94"/>
      <c r="AS1134" s="94"/>
      <c r="AT1134" s="94"/>
      <c r="AU1134" s="94"/>
      <c r="AV1134" s="94"/>
      <c r="AW1134" s="94"/>
      <c r="AX1134" s="94"/>
      <c r="AY1134" s="94"/>
      <c r="AZ1134" s="94"/>
      <c r="BA1134" s="94"/>
      <c r="BB1134" s="94"/>
      <c r="BC1134" s="94"/>
      <c r="BD1134" s="94"/>
      <c r="BE1134" s="94"/>
      <c r="BF1134" s="94"/>
    </row>
    <row r="1135" spans="1:58" x14ac:dyDescent="0.35">
      <c r="A1135" s="107" t="s">
        <v>2935</v>
      </c>
      <c r="B1135" s="108" t="s">
        <v>0</v>
      </c>
      <c r="C1135" s="109">
        <v>7</v>
      </c>
      <c r="D1135" s="107" t="s">
        <v>1144</v>
      </c>
      <c r="E1135" s="109" t="s">
        <v>216</v>
      </c>
      <c r="F1135" s="94"/>
      <c r="G1135" s="94"/>
      <c r="H1135" s="94"/>
      <c r="I1135" s="94"/>
      <c r="J1135" s="94"/>
      <c r="K1135" s="94"/>
      <c r="L1135" s="94"/>
      <c r="M1135" s="94"/>
      <c r="N1135" s="94"/>
      <c r="O1135" s="94"/>
      <c r="P1135" s="94"/>
      <c r="Q1135" s="94"/>
      <c r="R1135" s="94"/>
      <c r="S1135" s="94"/>
      <c r="T1135" s="94"/>
      <c r="U1135" s="94"/>
      <c r="V1135" s="94"/>
      <c r="W1135" s="94"/>
      <c r="X1135" s="94"/>
      <c r="Y1135" s="94"/>
      <c r="Z1135" s="94"/>
      <c r="AA1135" s="94"/>
      <c r="AB1135" s="94"/>
      <c r="AC1135" s="94"/>
      <c r="AD1135" s="94"/>
      <c r="AE1135" s="94"/>
      <c r="AF1135" s="94"/>
      <c r="AG1135" s="94"/>
      <c r="AH1135" s="94"/>
      <c r="AI1135" s="94"/>
      <c r="AJ1135" s="94"/>
      <c r="AK1135" s="94"/>
      <c r="AL1135" s="94"/>
      <c r="AM1135" s="94"/>
      <c r="AN1135" s="94"/>
      <c r="AO1135" s="94"/>
      <c r="AP1135" s="94"/>
      <c r="AQ1135" s="94"/>
      <c r="AR1135" s="94"/>
      <c r="AS1135" s="94"/>
      <c r="AT1135" s="94"/>
      <c r="AU1135" s="94"/>
      <c r="AV1135" s="94"/>
      <c r="AW1135" s="94"/>
      <c r="AX1135" s="94"/>
      <c r="AY1135" s="94"/>
      <c r="AZ1135" s="94"/>
      <c r="BA1135" s="94"/>
      <c r="BB1135" s="94"/>
      <c r="BC1135" s="94"/>
      <c r="BD1135" s="94"/>
      <c r="BE1135" s="94"/>
      <c r="BF1135" s="94"/>
    </row>
    <row r="1136" spans="1:58" x14ac:dyDescent="0.35">
      <c r="A1136" s="104" t="s">
        <v>2936</v>
      </c>
      <c r="B1136" s="105" t="s">
        <v>0</v>
      </c>
      <c r="C1136" s="106">
        <v>6</v>
      </c>
      <c r="D1136" s="104" t="s">
        <v>30</v>
      </c>
      <c r="E1136" s="106"/>
      <c r="F1136" s="94"/>
      <c r="G1136" s="94"/>
      <c r="H1136" s="94"/>
      <c r="I1136" s="94"/>
      <c r="J1136" s="94"/>
      <c r="K1136" s="94"/>
      <c r="L1136" s="94"/>
      <c r="M1136" s="94"/>
      <c r="N1136" s="94"/>
      <c r="O1136" s="94"/>
      <c r="P1136" s="94"/>
      <c r="Q1136" s="94"/>
      <c r="R1136" s="94"/>
      <c r="S1136" s="94"/>
      <c r="T1136" s="94"/>
      <c r="U1136" s="94"/>
      <c r="V1136" s="94"/>
      <c r="W1136" s="94"/>
      <c r="X1136" s="94"/>
      <c r="Y1136" s="94"/>
      <c r="Z1136" s="94"/>
      <c r="AA1136" s="94"/>
      <c r="AB1136" s="94"/>
      <c r="AC1136" s="94"/>
      <c r="AD1136" s="94"/>
      <c r="AE1136" s="94"/>
      <c r="AF1136" s="94"/>
      <c r="AG1136" s="94"/>
      <c r="AH1136" s="94"/>
      <c r="AI1136" s="94"/>
      <c r="AJ1136" s="94"/>
      <c r="AK1136" s="94"/>
      <c r="AL1136" s="94"/>
      <c r="AM1136" s="94"/>
      <c r="AN1136" s="94"/>
      <c r="AO1136" s="94"/>
      <c r="AP1136" s="94"/>
      <c r="AQ1136" s="94"/>
      <c r="AR1136" s="94"/>
      <c r="AS1136" s="94"/>
      <c r="AT1136" s="94"/>
      <c r="AU1136" s="94"/>
      <c r="AV1136" s="94"/>
      <c r="AW1136" s="94"/>
      <c r="AX1136" s="94"/>
      <c r="AY1136" s="94"/>
      <c r="AZ1136" s="94"/>
      <c r="BA1136" s="94"/>
      <c r="BB1136" s="94"/>
      <c r="BC1136" s="94"/>
      <c r="BD1136" s="94"/>
      <c r="BE1136" s="94"/>
      <c r="BF1136" s="94"/>
    </row>
    <row r="1137" spans="1:58" x14ac:dyDescent="0.35">
      <c r="A1137" s="107" t="s">
        <v>2937</v>
      </c>
      <c r="B1137" s="108" t="s">
        <v>0</v>
      </c>
      <c r="C1137" s="109">
        <v>7</v>
      </c>
      <c r="D1137" s="107" t="s">
        <v>1656</v>
      </c>
      <c r="E1137" s="109"/>
      <c r="F1137" s="94"/>
      <c r="G1137" s="94"/>
      <c r="H1137" s="94"/>
      <c r="I1137" s="94"/>
      <c r="J1137" s="94"/>
      <c r="K1137" s="94"/>
      <c r="L1137" s="94"/>
      <c r="M1137" s="94"/>
      <c r="N1137" s="94"/>
      <c r="O1137" s="94"/>
      <c r="P1137" s="94"/>
      <c r="Q1137" s="94"/>
      <c r="R1137" s="94"/>
      <c r="S1137" s="94"/>
      <c r="T1137" s="94"/>
      <c r="U1137" s="94"/>
      <c r="V1137" s="94"/>
      <c r="W1137" s="94"/>
      <c r="X1137" s="94"/>
      <c r="Y1137" s="94"/>
      <c r="Z1137" s="94"/>
      <c r="AA1137" s="94"/>
      <c r="AB1137" s="94"/>
      <c r="AC1137" s="94"/>
      <c r="AD1137" s="94"/>
      <c r="AE1137" s="94"/>
      <c r="AF1137" s="94"/>
      <c r="AG1137" s="94"/>
      <c r="AH1137" s="94"/>
      <c r="AI1137" s="94"/>
      <c r="AJ1137" s="94"/>
      <c r="AK1137" s="94"/>
      <c r="AL1137" s="94"/>
      <c r="AM1137" s="94"/>
      <c r="AN1137" s="94"/>
      <c r="AO1137" s="94"/>
      <c r="AP1137" s="94"/>
      <c r="AQ1137" s="94"/>
      <c r="AR1137" s="94"/>
      <c r="AS1137" s="94"/>
      <c r="AT1137" s="94"/>
      <c r="AU1137" s="94"/>
      <c r="AV1137" s="94"/>
      <c r="AW1137" s="94"/>
      <c r="AX1137" s="94"/>
      <c r="AY1137" s="94"/>
      <c r="AZ1137" s="94"/>
      <c r="BA1137" s="94"/>
      <c r="BB1137" s="94"/>
      <c r="BC1137" s="94"/>
      <c r="BD1137" s="94"/>
      <c r="BE1137" s="94"/>
      <c r="BF1137" s="94"/>
    </row>
    <row r="1138" spans="1:58" x14ac:dyDescent="0.35">
      <c r="A1138" s="107" t="s">
        <v>2938</v>
      </c>
      <c r="B1138" s="108" t="s">
        <v>0</v>
      </c>
      <c r="C1138" s="109">
        <v>7</v>
      </c>
      <c r="D1138" s="107" t="s">
        <v>1659</v>
      </c>
      <c r="E1138" s="109"/>
      <c r="F1138" s="94"/>
      <c r="G1138" s="94"/>
      <c r="H1138" s="94"/>
      <c r="I1138" s="94"/>
      <c r="J1138" s="94"/>
      <c r="K1138" s="94"/>
      <c r="L1138" s="94"/>
      <c r="M1138" s="94"/>
      <c r="N1138" s="94"/>
      <c r="O1138" s="94"/>
      <c r="P1138" s="94"/>
      <c r="Q1138" s="94"/>
      <c r="R1138" s="94"/>
      <c r="S1138" s="94"/>
      <c r="T1138" s="94"/>
      <c r="U1138" s="94"/>
      <c r="V1138" s="94"/>
      <c r="W1138" s="94"/>
      <c r="X1138" s="94"/>
      <c r="Y1138" s="94"/>
      <c r="Z1138" s="94"/>
      <c r="AA1138" s="94"/>
      <c r="AB1138" s="94"/>
      <c r="AC1138" s="94"/>
      <c r="AD1138" s="94"/>
      <c r="AE1138" s="94"/>
      <c r="AF1138" s="94"/>
      <c r="AG1138" s="94"/>
      <c r="AH1138" s="94"/>
      <c r="AI1138" s="94"/>
      <c r="AJ1138" s="94"/>
      <c r="AK1138" s="94"/>
      <c r="AL1138" s="94"/>
      <c r="AM1138" s="94"/>
      <c r="AN1138" s="94"/>
      <c r="AO1138" s="94"/>
      <c r="AP1138" s="94"/>
      <c r="AQ1138" s="94"/>
      <c r="AR1138" s="94"/>
      <c r="AS1138" s="94"/>
      <c r="AT1138" s="94"/>
      <c r="AU1138" s="94"/>
      <c r="AV1138" s="94"/>
      <c r="AW1138" s="94"/>
      <c r="AX1138" s="94"/>
      <c r="AY1138" s="94"/>
      <c r="AZ1138" s="94"/>
      <c r="BA1138" s="94"/>
      <c r="BB1138" s="94"/>
      <c r="BC1138" s="94"/>
      <c r="BD1138" s="94"/>
      <c r="BE1138" s="94"/>
      <c r="BF1138" s="94"/>
    </row>
    <row r="1139" spans="1:58" x14ac:dyDescent="0.35">
      <c r="A1139" s="107" t="s">
        <v>2939</v>
      </c>
      <c r="B1139" s="108" t="s">
        <v>0</v>
      </c>
      <c r="C1139" s="109">
        <v>7</v>
      </c>
      <c r="D1139" s="107" t="s">
        <v>1657</v>
      </c>
      <c r="E1139" s="109"/>
      <c r="F1139" s="94"/>
      <c r="G1139" s="94"/>
      <c r="H1139" s="94"/>
      <c r="I1139" s="94"/>
      <c r="J1139" s="94"/>
      <c r="K1139" s="94"/>
      <c r="L1139" s="94"/>
      <c r="M1139" s="94"/>
      <c r="N1139" s="94"/>
      <c r="O1139" s="94"/>
      <c r="P1139" s="94"/>
      <c r="Q1139" s="94"/>
      <c r="R1139" s="94"/>
      <c r="S1139" s="94"/>
      <c r="T1139" s="94"/>
      <c r="U1139" s="94"/>
      <c r="V1139" s="94"/>
      <c r="W1139" s="94"/>
      <c r="X1139" s="94"/>
      <c r="Y1139" s="94"/>
      <c r="Z1139" s="94"/>
      <c r="AA1139" s="94"/>
      <c r="AB1139" s="94"/>
      <c r="AC1139" s="94"/>
      <c r="AD1139" s="94"/>
      <c r="AE1139" s="94"/>
      <c r="AF1139" s="94"/>
      <c r="AG1139" s="94"/>
      <c r="AH1139" s="94"/>
      <c r="AI1139" s="94"/>
      <c r="AJ1139" s="94"/>
      <c r="AK1139" s="94"/>
      <c r="AL1139" s="94"/>
      <c r="AM1139" s="94"/>
      <c r="AN1139" s="94"/>
      <c r="AO1139" s="94"/>
      <c r="AP1139" s="94"/>
      <c r="AQ1139" s="94"/>
      <c r="AR1139" s="94"/>
      <c r="AS1139" s="94"/>
      <c r="AT1139" s="94"/>
      <c r="AU1139" s="94"/>
      <c r="AV1139" s="94"/>
      <c r="AW1139" s="94"/>
      <c r="AX1139" s="94"/>
      <c r="AY1139" s="94"/>
      <c r="AZ1139" s="94"/>
      <c r="BA1139" s="94"/>
      <c r="BB1139" s="94"/>
      <c r="BC1139" s="94"/>
      <c r="BD1139" s="94"/>
      <c r="BE1139" s="94"/>
      <c r="BF1139" s="94"/>
    </row>
    <row r="1140" spans="1:58" x14ac:dyDescent="0.35">
      <c r="A1140" s="107" t="s">
        <v>2940</v>
      </c>
      <c r="B1140" s="108" t="s">
        <v>0</v>
      </c>
      <c r="C1140" s="109">
        <v>7</v>
      </c>
      <c r="D1140" s="107" t="s">
        <v>1658</v>
      </c>
      <c r="E1140" s="109"/>
      <c r="F1140" s="94"/>
      <c r="G1140" s="94"/>
      <c r="H1140" s="94"/>
      <c r="I1140" s="94"/>
      <c r="J1140" s="94"/>
      <c r="K1140" s="94"/>
      <c r="L1140" s="94"/>
      <c r="M1140" s="94"/>
      <c r="N1140" s="94"/>
      <c r="O1140" s="94"/>
      <c r="P1140" s="94"/>
      <c r="Q1140" s="94"/>
      <c r="R1140" s="94"/>
      <c r="S1140" s="94"/>
      <c r="T1140" s="94"/>
      <c r="U1140" s="94"/>
      <c r="V1140" s="94"/>
      <c r="W1140" s="94"/>
      <c r="X1140" s="94"/>
      <c r="Y1140" s="94"/>
      <c r="Z1140" s="94"/>
      <c r="AA1140" s="94"/>
      <c r="AB1140" s="94"/>
      <c r="AC1140" s="94"/>
      <c r="AD1140" s="94"/>
      <c r="AE1140" s="94"/>
      <c r="AF1140" s="94"/>
      <c r="AG1140" s="94"/>
      <c r="AH1140" s="94"/>
      <c r="AI1140" s="94"/>
      <c r="AJ1140" s="94"/>
      <c r="AK1140" s="94"/>
      <c r="AL1140" s="94"/>
      <c r="AM1140" s="94"/>
      <c r="AN1140" s="94"/>
      <c r="AO1140" s="94"/>
      <c r="AP1140" s="94"/>
      <c r="AQ1140" s="94"/>
      <c r="AR1140" s="94"/>
      <c r="AS1140" s="94"/>
      <c r="AT1140" s="94"/>
      <c r="AU1140" s="94"/>
      <c r="AV1140" s="94"/>
      <c r="AW1140" s="94"/>
      <c r="AX1140" s="94"/>
      <c r="AY1140" s="94"/>
      <c r="AZ1140" s="94"/>
      <c r="BA1140" s="94"/>
      <c r="BB1140" s="94"/>
      <c r="BC1140" s="94"/>
      <c r="BD1140" s="94"/>
      <c r="BE1140" s="94"/>
      <c r="BF1140" s="94"/>
    </row>
    <row r="1141" spans="1:58" x14ac:dyDescent="0.35">
      <c r="A1141" s="104" t="s">
        <v>2941</v>
      </c>
      <c r="B1141" s="105" t="s">
        <v>0</v>
      </c>
      <c r="C1141" s="106">
        <v>6</v>
      </c>
      <c r="D1141" s="104" t="s">
        <v>123</v>
      </c>
      <c r="E1141" s="106"/>
      <c r="F1141" s="94"/>
      <c r="G1141" s="94"/>
      <c r="H1141" s="94"/>
      <c r="I1141" s="94"/>
      <c r="J1141" s="94"/>
      <c r="K1141" s="94"/>
      <c r="L1141" s="94"/>
      <c r="M1141" s="94"/>
      <c r="N1141" s="94"/>
      <c r="O1141" s="94"/>
      <c r="P1141" s="94"/>
      <c r="Q1141" s="94"/>
      <c r="R1141" s="94"/>
      <c r="S1141" s="94"/>
      <c r="T1141" s="94"/>
      <c r="U1141" s="94"/>
      <c r="V1141" s="94"/>
      <c r="W1141" s="94"/>
      <c r="X1141" s="94"/>
      <c r="Y1141" s="94"/>
      <c r="Z1141" s="94"/>
      <c r="AA1141" s="94"/>
      <c r="AB1141" s="94"/>
      <c r="AC1141" s="94"/>
      <c r="AD1141" s="94"/>
      <c r="AE1141" s="94"/>
      <c r="AF1141" s="94"/>
      <c r="AG1141" s="94"/>
      <c r="AH1141" s="94"/>
      <c r="AI1141" s="94"/>
      <c r="AJ1141" s="94"/>
      <c r="AK1141" s="94"/>
      <c r="AL1141" s="94"/>
      <c r="AM1141" s="94"/>
      <c r="AN1141" s="94"/>
      <c r="AO1141" s="94"/>
      <c r="AP1141" s="94"/>
      <c r="AQ1141" s="94"/>
      <c r="AR1141" s="94"/>
      <c r="AS1141" s="94"/>
      <c r="AT1141" s="94"/>
      <c r="AU1141" s="94"/>
      <c r="AV1141" s="94"/>
      <c r="AW1141" s="94"/>
      <c r="AX1141" s="94"/>
      <c r="AY1141" s="94"/>
      <c r="AZ1141" s="94"/>
      <c r="BA1141" s="94"/>
      <c r="BB1141" s="94"/>
      <c r="BC1141" s="94"/>
      <c r="BD1141" s="94"/>
      <c r="BE1141" s="94"/>
      <c r="BF1141" s="94"/>
    </row>
    <row r="1142" spans="1:58" x14ac:dyDescent="0.35">
      <c r="A1142" s="107" t="s">
        <v>2942</v>
      </c>
      <c r="B1142" s="108" t="s">
        <v>0</v>
      </c>
      <c r="C1142" s="109">
        <v>7</v>
      </c>
      <c r="D1142" s="107" t="s">
        <v>1654</v>
      </c>
      <c r="E1142" s="109"/>
      <c r="F1142" s="94"/>
      <c r="G1142" s="94"/>
      <c r="H1142" s="94"/>
      <c r="I1142" s="94"/>
      <c r="J1142" s="94"/>
      <c r="K1142" s="94"/>
      <c r="L1142" s="94"/>
      <c r="M1142" s="94"/>
      <c r="N1142" s="94"/>
      <c r="O1142" s="94"/>
      <c r="P1142" s="94"/>
      <c r="Q1142" s="94"/>
      <c r="R1142" s="94"/>
      <c r="S1142" s="94"/>
      <c r="T1142" s="94"/>
      <c r="U1142" s="94"/>
      <c r="V1142" s="94"/>
      <c r="W1142" s="94"/>
      <c r="X1142" s="94"/>
      <c r="Y1142" s="94"/>
      <c r="Z1142" s="94"/>
      <c r="AA1142" s="94"/>
      <c r="AB1142" s="94"/>
      <c r="AC1142" s="94"/>
      <c r="AD1142" s="94"/>
      <c r="AE1142" s="94"/>
      <c r="AF1142" s="94"/>
      <c r="AG1142" s="94"/>
      <c r="AH1142" s="94"/>
      <c r="AI1142" s="94"/>
      <c r="AJ1142" s="94"/>
      <c r="AK1142" s="94"/>
      <c r="AL1142" s="94"/>
      <c r="AM1142" s="94"/>
      <c r="AN1142" s="94"/>
      <c r="AO1142" s="94"/>
      <c r="AP1142" s="94"/>
      <c r="AQ1142" s="94"/>
      <c r="AR1142" s="94"/>
      <c r="AS1142" s="94"/>
      <c r="AT1142" s="94"/>
      <c r="AU1142" s="94"/>
      <c r="AV1142" s="94"/>
      <c r="AW1142" s="94"/>
      <c r="AX1142" s="94"/>
      <c r="AY1142" s="94"/>
      <c r="AZ1142" s="94"/>
      <c r="BA1142" s="94"/>
      <c r="BB1142" s="94"/>
      <c r="BC1142" s="94"/>
      <c r="BD1142" s="94"/>
      <c r="BE1142" s="94"/>
      <c r="BF1142" s="94"/>
    </row>
    <row r="1143" spans="1:58" x14ac:dyDescent="0.35">
      <c r="A1143" s="101" t="s">
        <v>2943</v>
      </c>
      <c r="B1143" s="102" t="s">
        <v>0</v>
      </c>
      <c r="C1143" s="103">
        <v>5</v>
      </c>
      <c r="D1143" s="101" t="s">
        <v>463</v>
      </c>
      <c r="E1143" s="103" t="s">
        <v>217</v>
      </c>
      <c r="F1143" s="94"/>
      <c r="G1143" s="94"/>
      <c r="H1143" s="94"/>
      <c r="I1143" s="94"/>
      <c r="J1143" s="94"/>
      <c r="K1143" s="94"/>
      <c r="L1143" s="94"/>
      <c r="M1143" s="94"/>
      <c r="N1143" s="94"/>
      <c r="O1143" s="94"/>
      <c r="P1143" s="94"/>
      <c r="Q1143" s="94"/>
      <c r="R1143" s="94"/>
      <c r="S1143" s="94"/>
      <c r="T1143" s="94"/>
      <c r="U1143" s="94"/>
      <c r="V1143" s="94"/>
      <c r="W1143" s="94"/>
      <c r="X1143" s="94"/>
      <c r="Y1143" s="94"/>
      <c r="Z1143" s="94"/>
      <c r="AA1143" s="94"/>
      <c r="AB1143" s="94"/>
      <c r="AC1143" s="94"/>
      <c r="AD1143" s="94"/>
      <c r="AE1143" s="94"/>
      <c r="AF1143" s="94"/>
      <c r="AG1143" s="94"/>
      <c r="AH1143" s="94"/>
      <c r="AI1143" s="94"/>
      <c r="AJ1143" s="94"/>
      <c r="AK1143" s="94"/>
      <c r="AL1143" s="94"/>
      <c r="AM1143" s="94"/>
      <c r="AN1143" s="94"/>
      <c r="AO1143" s="94"/>
      <c r="AP1143" s="94"/>
      <c r="AQ1143" s="94"/>
      <c r="AR1143" s="94"/>
      <c r="AS1143" s="94"/>
      <c r="AT1143" s="94"/>
      <c r="AU1143" s="94"/>
      <c r="AV1143" s="94"/>
      <c r="AW1143" s="94"/>
      <c r="AX1143" s="94"/>
      <c r="AY1143" s="94"/>
      <c r="AZ1143" s="94"/>
      <c r="BA1143" s="94"/>
      <c r="BB1143" s="94"/>
      <c r="BC1143" s="94"/>
      <c r="BD1143" s="94"/>
      <c r="BE1143" s="94"/>
      <c r="BF1143" s="94"/>
    </row>
    <row r="1144" spans="1:58" x14ac:dyDescent="0.35">
      <c r="A1144" s="104" t="s">
        <v>2944</v>
      </c>
      <c r="B1144" s="105" t="s">
        <v>0</v>
      </c>
      <c r="C1144" s="106">
        <v>6</v>
      </c>
      <c r="D1144" s="104" t="s">
        <v>564</v>
      </c>
      <c r="E1144" s="106"/>
      <c r="F1144" s="94"/>
      <c r="G1144" s="94"/>
      <c r="H1144" s="94"/>
      <c r="I1144" s="94"/>
      <c r="J1144" s="94"/>
      <c r="K1144" s="94"/>
      <c r="L1144" s="94"/>
      <c r="M1144" s="94"/>
      <c r="N1144" s="94"/>
      <c r="O1144" s="94"/>
      <c r="P1144" s="94"/>
      <c r="Q1144" s="94"/>
      <c r="R1144" s="94"/>
      <c r="S1144" s="94"/>
      <c r="T1144" s="94"/>
      <c r="U1144" s="94"/>
      <c r="V1144" s="94"/>
      <c r="W1144" s="94"/>
      <c r="X1144" s="94"/>
      <c r="Y1144" s="94"/>
      <c r="Z1144" s="94"/>
      <c r="AA1144" s="94"/>
      <c r="AB1144" s="94"/>
      <c r="AC1144" s="94"/>
      <c r="AD1144" s="94"/>
      <c r="AE1144" s="94"/>
      <c r="AF1144" s="94"/>
      <c r="AG1144" s="94"/>
      <c r="AH1144" s="94"/>
      <c r="AI1144" s="94"/>
      <c r="AJ1144" s="94"/>
      <c r="AK1144" s="94"/>
      <c r="AL1144" s="94"/>
      <c r="AM1144" s="94"/>
      <c r="AN1144" s="94"/>
      <c r="AO1144" s="94"/>
      <c r="AP1144" s="94"/>
      <c r="AQ1144" s="94"/>
      <c r="AR1144" s="94"/>
      <c r="AS1144" s="94"/>
      <c r="AT1144" s="94"/>
      <c r="AU1144" s="94"/>
      <c r="AV1144" s="94"/>
      <c r="AW1144" s="94"/>
      <c r="AX1144" s="94"/>
      <c r="AY1144" s="94"/>
      <c r="AZ1144" s="94"/>
      <c r="BA1144" s="94"/>
      <c r="BB1144" s="94"/>
      <c r="BC1144" s="94"/>
      <c r="BD1144" s="94"/>
      <c r="BE1144" s="94"/>
      <c r="BF1144" s="94"/>
    </row>
    <row r="1145" spans="1:58" x14ac:dyDescent="0.35">
      <c r="A1145" s="107" t="s">
        <v>2945</v>
      </c>
      <c r="B1145" s="108" t="s">
        <v>0</v>
      </c>
      <c r="C1145" s="109">
        <v>7</v>
      </c>
      <c r="D1145" s="107" t="s">
        <v>1146</v>
      </c>
      <c r="E1145" s="109"/>
      <c r="F1145" s="94"/>
      <c r="G1145" s="94"/>
      <c r="H1145" s="94"/>
      <c r="I1145" s="94"/>
      <c r="J1145" s="94"/>
      <c r="K1145" s="94"/>
      <c r="L1145" s="94"/>
      <c r="M1145" s="94"/>
      <c r="N1145" s="94"/>
      <c r="O1145" s="94"/>
      <c r="P1145" s="94"/>
      <c r="Q1145" s="94"/>
      <c r="R1145" s="94"/>
      <c r="S1145" s="94"/>
      <c r="T1145" s="94"/>
      <c r="U1145" s="94"/>
      <c r="V1145" s="94"/>
      <c r="W1145" s="94"/>
      <c r="X1145" s="94"/>
      <c r="Y1145" s="94"/>
      <c r="Z1145" s="94"/>
      <c r="AA1145" s="94"/>
      <c r="AB1145" s="94"/>
      <c r="AC1145" s="94"/>
      <c r="AD1145" s="94"/>
      <c r="AE1145" s="94"/>
      <c r="AF1145" s="94"/>
      <c r="AG1145" s="94"/>
      <c r="AH1145" s="94"/>
      <c r="AI1145" s="94"/>
      <c r="AJ1145" s="94"/>
      <c r="AK1145" s="94"/>
      <c r="AL1145" s="94"/>
      <c r="AM1145" s="94"/>
      <c r="AN1145" s="94"/>
      <c r="AO1145" s="94"/>
      <c r="AP1145" s="94"/>
      <c r="AQ1145" s="94"/>
      <c r="AR1145" s="94"/>
      <c r="AS1145" s="94"/>
      <c r="AT1145" s="94"/>
      <c r="AU1145" s="94"/>
      <c r="AV1145" s="94"/>
      <c r="AW1145" s="94"/>
      <c r="AX1145" s="94"/>
      <c r="AY1145" s="94"/>
      <c r="AZ1145" s="94"/>
      <c r="BA1145" s="94"/>
      <c r="BB1145" s="94"/>
      <c r="BC1145" s="94"/>
      <c r="BD1145" s="94"/>
      <c r="BE1145" s="94"/>
      <c r="BF1145" s="94"/>
    </row>
    <row r="1146" spans="1:58" x14ac:dyDescent="0.35">
      <c r="A1146" s="107" t="s">
        <v>2946</v>
      </c>
      <c r="B1146" s="108" t="s">
        <v>0</v>
      </c>
      <c r="C1146" s="109">
        <v>7</v>
      </c>
      <c r="D1146" s="107" t="s">
        <v>1147</v>
      </c>
      <c r="E1146" s="109"/>
      <c r="F1146" s="94"/>
      <c r="G1146" s="94"/>
      <c r="H1146" s="94"/>
      <c r="I1146" s="94"/>
      <c r="J1146" s="94"/>
      <c r="K1146" s="94"/>
      <c r="L1146" s="94"/>
      <c r="M1146" s="94"/>
      <c r="N1146" s="94"/>
      <c r="O1146" s="94"/>
      <c r="P1146" s="94"/>
      <c r="Q1146" s="94"/>
      <c r="R1146" s="94"/>
      <c r="S1146" s="94"/>
      <c r="T1146" s="94"/>
      <c r="U1146" s="94"/>
      <c r="V1146" s="94"/>
      <c r="W1146" s="94"/>
      <c r="X1146" s="94"/>
      <c r="Y1146" s="94"/>
      <c r="Z1146" s="94"/>
      <c r="AA1146" s="94"/>
      <c r="AB1146" s="94"/>
      <c r="AC1146" s="94"/>
      <c r="AD1146" s="94"/>
      <c r="AE1146" s="94"/>
      <c r="AF1146" s="94"/>
      <c r="AG1146" s="94"/>
      <c r="AH1146" s="94"/>
      <c r="AI1146" s="94"/>
      <c r="AJ1146" s="94"/>
      <c r="AK1146" s="94"/>
      <c r="AL1146" s="94"/>
      <c r="AM1146" s="94"/>
      <c r="AN1146" s="94"/>
      <c r="AO1146" s="94"/>
      <c r="AP1146" s="94"/>
      <c r="AQ1146" s="94"/>
      <c r="AR1146" s="94"/>
      <c r="AS1146" s="94"/>
      <c r="AT1146" s="94"/>
      <c r="AU1146" s="94"/>
      <c r="AV1146" s="94"/>
      <c r="AW1146" s="94"/>
      <c r="AX1146" s="94"/>
      <c r="AY1146" s="94"/>
      <c r="AZ1146" s="94"/>
      <c r="BA1146" s="94"/>
      <c r="BB1146" s="94"/>
      <c r="BC1146" s="94"/>
      <c r="BD1146" s="94"/>
      <c r="BE1146" s="94"/>
      <c r="BF1146" s="94"/>
    </row>
    <row r="1147" spans="1:58" x14ac:dyDescent="0.35">
      <c r="A1147" s="107" t="s">
        <v>2947</v>
      </c>
      <c r="B1147" s="108" t="s">
        <v>0</v>
      </c>
      <c r="C1147" s="109">
        <v>7</v>
      </c>
      <c r="D1147" s="107" t="s">
        <v>1145</v>
      </c>
      <c r="E1147" s="109"/>
      <c r="F1147" s="94"/>
      <c r="G1147" s="94"/>
      <c r="H1147" s="94"/>
      <c r="I1147" s="94"/>
      <c r="J1147" s="94"/>
      <c r="K1147" s="94"/>
      <c r="L1147" s="94"/>
      <c r="M1147" s="94"/>
      <c r="N1147" s="94"/>
      <c r="O1147" s="94"/>
      <c r="P1147" s="94"/>
      <c r="Q1147" s="94"/>
      <c r="R1147" s="94"/>
      <c r="S1147" s="94"/>
      <c r="T1147" s="94"/>
      <c r="U1147" s="94"/>
      <c r="V1147" s="94"/>
      <c r="W1147" s="94"/>
      <c r="X1147" s="94"/>
      <c r="Y1147" s="94"/>
      <c r="Z1147" s="94"/>
      <c r="AA1147" s="94"/>
      <c r="AB1147" s="94"/>
      <c r="AC1147" s="94"/>
      <c r="AD1147" s="94"/>
      <c r="AE1147" s="94"/>
      <c r="AF1147" s="94"/>
      <c r="AG1147" s="94"/>
      <c r="AH1147" s="94"/>
      <c r="AI1147" s="94"/>
      <c r="AJ1147" s="94"/>
      <c r="AK1147" s="94"/>
      <c r="AL1147" s="94"/>
      <c r="AM1147" s="94"/>
      <c r="AN1147" s="94"/>
      <c r="AO1147" s="94"/>
      <c r="AP1147" s="94"/>
      <c r="AQ1147" s="94"/>
      <c r="AR1147" s="94"/>
      <c r="AS1147" s="94"/>
      <c r="AT1147" s="94"/>
      <c r="AU1147" s="94"/>
      <c r="AV1147" s="94"/>
      <c r="AW1147" s="94"/>
      <c r="AX1147" s="94"/>
      <c r="AY1147" s="94"/>
      <c r="AZ1147" s="94"/>
      <c r="BA1147" s="94"/>
      <c r="BB1147" s="94"/>
      <c r="BC1147" s="94"/>
      <c r="BD1147" s="94"/>
      <c r="BE1147" s="94"/>
      <c r="BF1147" s="94"/>
    </row>
    <row r="1148" spans="1:58" x14ac:dyDescent="0.35">
      <c r="A1148" s="107" t="s">
        <v>2948</v>
      </c>
      <c r="B1148" s="108" t="s">
        <v>0</v>
      </c>
      <c r="C1148" s="109">
        <v>7</v>
      </c>
      <c r="D1148" s="107" t="s">
        <v>1148</v>
      </c>
      <c r="E1148" s="109"/>
      <c r="F1148" s="94"/>
      <c r="G1148" s="94"/>
      <c r="H1148" s="94"/>
      <c r="I1148" s="94"/>
      <c r="J1148" s="94"/>
      <c r="K1148" s="94"/>
      <c r="L1148" s="94"/>
      <c r="M1148" s="94"/>
      <c r="N1148" s="94"/>
      <c r="O1148" s="94"/>
      <c r="P1148" s="94"/>
      <c r="Q1148" s="94"/>
      <c r="R1148" s="94"/>
      <c r="S1148" s="94"/>
      <c r="T1148" s="94"/>
      <c r="U1148" s="94"/>
      <c r="V1148" s="94"/>
      <c r="W1148" s="94"/>
      <c r="X1148" s="94"/>
      <c r="Y1148" s="94"/>
      <c r="Z1148" s="94"/>
      <c r="AA1148" s="94"/>
      <c r="AB1148" s="94"/>
      <c r="AC1148" s="94"/>
      <c r="AD1148" s="94"/>
      <c r="AE1148" s="94"/>
      <c r="AF1148" s="94"/>
      <c r="AG1148" s="94"/>
      <c r="AH1148" s="94"/>
      <c r="AI1148" s="94"/>
      <c r="AJ1148" s="94"/>
      <c r="AK1148" s="94"/>
      <c r="AL1148" s="94"/>
      <c r="AM1148" s="94"/>
      <c r="AN1148" s="94"/>
      <c r="AO1148" s="94"/>
      <c r="AP1148" s="94"/>
      <c r="AQ1148" s="94"/>
      <c r="AR1148" s="94"/>
      <c r="AS1148" s="94"/>
      <c r="AT1148" s="94"/>
      <c r="AU1148" s="94"/>
      <c r="AV1148" s="94"/>
      <c r="AW1148" s="94"/>
      <c r="AX1148" s="94"/>
      <c r="AY1148" s="94"/>
      <c r="AZ1148" s="94"/>
      <c r="BA1148" s="94"/>
      <c r="BB1148" s="94"/>
      <c r="BC1148" s="94"/>
      <c r="BD1148" s="94"/>
      <c r="BE1148" s="94"/>
      <c r="BF1148" s="94"/>
    </row>
    <row r="1149" spans="1:58" x14ac:dyDescent="0.35">
      <c r="A1149" s="107" t="s">
        <v>2949</v>
      </c>
      <c r="B1149" s="108" t="s">
        <v>0</v>
      </c>
      <c r="C1149" s="109">
        <v>7</v>
      </c>
      <c r="D1149" s="107" t="s">
        <v>1149</v>
      </c>
      <c r="E1149" s="109"/>
      <c r="F1149" s="94"/>
      <c r="G1149" s="94"/>
      <c r="H1149" s="94"/>
      <c r="I1149" s="94"/>
      <c r="J1149" s="94"/>
      <c r="K1149" s="94"/>
      <c r="L1149" s="94"/>
      <c r="M1149" s="94"/>
      <c r="N1149" s="94"/>
      <c r="O1149" s="94"/>
      <c r="P1149" s="94"/>
      <c r="Q1149" s="94"/>
      <c r="R1149" s="94"/>
      <c r="S1149" s="94"/>
      <c r="T1149" s="94"/>
      <c r="U1149" s="94"/>
      <c r="V1149" s="94"/>
      <c r="W1149" s="94"/>
      <c r="X1149" s="94"/>
      <c r="Y1149" s="94"/>
      <c r="Z1149" s="94"/>
      <c r="AA1149" s="94"/>
      <c r="AB1149" s="94"/>
      <c r="AC1149" s="94"/>
      <c r="AD1149" s="94"/>
      <c r="AE1149" s="94"/>
      <c r="AF1149" s="94"/>
      <c r="AG1149" s="94"/>
      <c r="AH1149" s="94"/>
      <c r="AI1149" s="94"/>
      <c r="AJ1149" s="94"/>
      <c r="AK1149" s="94"/>
      <c r="AL1149" s="94"/>
      <c r="AM1149" s="94"/>
      <c r="AN1149" s="94"/>
      <c r="AO1149" s="94"/>
      <c r="AP1149" s="94"/>
      <c r="AQ1149" s="94"/>
      <c r="AR1149" s="94"/>
      <c r="AS1149" s="94"/>
      <c r="AT1149" s="94"/>
      <c r="AU1149" s="94"/>
      <c r="AV1149" s="94"/>
      <c r="AW1149" s="94"/>
      <c r="AX1149" s="94"/>
      <c r="AY1149" s="94"/>
      <c r="AZ1149" s="94"/>
      <c r="BA1149" s="94"/>
      <c r="BB1149" s="94"/>
      <c r="BC1149" s="94"/>
      <c r="BD1149" s="94"/>
      <c r="BE1149" s="94"/>
      <c r="BF1149" s="94"/>
    </row>
    <row r="1150" spans="1:58" x14ac:dyDescent="0.35">
      <c r="A1150" s="107" t="s">
        <v>2950</v>
      </c>
      <c r="B1150" s="108" t="s">
        <v>0</v>
      </c>
      <c r="C1150" s="109">
        <v>7</v>
      </c>
      <c r="D1150" s="107" t="s">
        <v>1655</v>
      </c>
      <c r="E1150" s="109" t="s">
        <v>0</v>
      </c>
      <c r="F1150" s="94"/>
      <c r="G1150" s="94"/>
      <c r="H1150" s="94"/>
      <c r="I1150" s="94"/>
      <c r="J1150" s="94"/>
      <c r="K1150" s="94"/>
      <c r="L1150" s="94"/>
      <c r="M1150" s="94"/>
      <c r="N1150" s="94"/>
      <c r="O1150" s="94"/>
      <c r="P1150" s="94"/>
      <c r="Q1150" s="94"/>
      <c r="R1150" s="94"/>
      <c r="S1150" s="94"/>
      <c r="T1150" s="94"/>
      <c r="U1150" s="94"/>
      <c r="V1150" s="94"/>
      <c r="W1150" s="94"/>
      <c r="X1150" s="94"/>
      <c r="Y1150" s="94"/>
      <c r="Z1150" s="94"/>
      <c r="AA1150" s="94"/>
      <c r="AB1150" s="94"/>
      <c r="AC1150" s="94"/>
      <c r="AD1150" s="94"/>
      <c r="AE1150" s="94"/>
      <c r="AF1150" s="94"/>
      <c r="AG1150" s="94"/>
      <c r="AH1150" s="94"/>
      <c r="AI1150" s="94"/>
      <c r="AJ1150" s="94"/>
      <c r="AK1150" s="94"/>
      <c r="AL1150" s="94"/>
      <c r="AM1150" s="94"/>
      <c r="AN1150" s="94"/>
      <c r="AO1150" s="94"/>
      <c r="AP1150" s="94"/>
      <c r="AQ1150" s="94"/>
      <c r="AR1150" s="94"/>
      <c r="AS1150" s="94"/>
      <c r="AT1150" s="94"/>
      <c r="AU1150" s="94"/>
      <c r="AV1150" s="94"/>
      <c r="AW1150" s="94"/>
      <c r="AX1150" s="94"/>
      <c r="AY1150" s="94"/>
      <c r="AZ1150" s="94"/>
      <c r="BA1150" s="94"/>
      <c r="BB1150" s="94"/>
      <c r="BC1150" s="94"/>
      <c r="BD1150" s="94"/>
      <c r="BE1150" s="94"/>
      <c r="BF1150" s="94"/>
    </row>
    <row r="1151" spans="1:58" x14ac:dyDescent="0.35">
      <c r="A1151" s="104" t="s">
        <v>2951</v>
      </c>
      <c r="B1151" s="105" t="s">
        <v>0</v>
      </c>
      <c r="C1151" s="106">
        <v>6</v>
      </c>
      <c r="D1151" s="104" t="s">
        <v>26</v>
      </c>
      <c r="E1151" s="106"/>
      <c r="F1151" s="94"/>
      <c r="G1151" s="94"/>
      <c r="H1151" s="94"/>
      <c r="I1151" s="94"/>
      <c r="J1151" s="94"/>
      <c r="K1151" s="94"/>
      <c r="L1151" s="94"/>
      <c r="M1151" s="94"/>
      <c r="N1151" s="94"/>
      <c r="O1151" s="94"/>
      <c r="P1151" s="94"/>
      <c r="Q1151" s="94"/>
      <c r="R1151" s="94"/>
      <c r="S1151" s="94"/>
      <c r="T1151" s="94"/>
      <c r="U1151" s="94"/>
      <c r="V1151" s="94"/>
      <c r="W1151" s="94"/>
      <c r="X1151" s="94"/>
      <c r="Y1151" s="94"/>
      <c r="Z1151" s="94"/>
      <c r="AA1151" s="94"/>
      <c r="AB1151" s="94"/>
      <c r="AC1151" s="94"/>
      <c r="AD1151" s="94"/>
      <c r="AE1151" s="94"/>
      <c r="AF1151" s="94"/>
      <c r="AG1151" s="94"/>
      <c r="AH1151" s="94"/>
      <c r="AI1151" s="94"/>
      <c r="AJ1151" s="94"/>
      <c r="AK1151" s="94"/>
      <c r="AL1151" s="94"/>
      <c r="AM1151" s="94"/>
      <c r="AN1151" s="94"/>
      <c r="AO1151" s="94"/>
      <c r="AP1151" s="94"/>
      <c r="AQ1151" s="94"/>
      <c r="AR1151" s="94"/>
      <c r="AS1151" s="94"/>
      <c r="AT1151" s="94"/>
      <c r="AU1151" s="94"/>
      <c r="AV1151" s="94"/>
      <c r="AW1151" s="94"/>
      <c r="AX1151" s="94"/>
      <c r="AY1151" s="94"/>
      <c r="AZ1151" s="94"/>
      <c r="BA1151" s="94"/>
      <c r="BB1151" s="94"/>
      <c r="BC1151" s="94"/>
      <c r="BD1151" s="94"/>
      <c r="BE1151" s="94"/>
      <c r="BF1151" s="94"/>
    </row>
    <row r="1152" spans="1:58" x14ac:dyDescent="0.35">
      <c r="A1152" s="107" t="s">
        <v>2952</v>
      </c>
      <c r="B1152" s="108" t="s">
        <v>0</v>
      </c>
      <c r="C1152" s="109">
        <v>7</v>
      </c>
      <c r="D1152" s="107" t="s">
        <v>1150</v>
      </c>
      <c r="E1152" s="109"/>
      <c r="F1152" s="94"/>
      <c r="G1152" s="94"/>
      <c r="H1152" s="94"/>
      <c r="I1152" s="94"/>
      <c r="J1152" s="94"/>
      <c r="K1152" s="94"/>
      <c r="L1152" s="94"/>
      <c r="M1152" s="94"/>
      <c r="N1152" s="94"/>
      <c r="O1152" s="94"/>
      <c r="P1152" s="94"/>
      <c r="Q1152" s="94"/>
      <c r="R1152" s="94"/>
      <c r="S1152" s="94"/>
      <c r="T1152" s="94"/>
      <c r="U1152" s="94"/>
      <c r="V1152" s="94"/>
      <c r="W1152" s="94"/>
      <c r="X1152" s="94"/>
      <c r="Y1152" s="94"/>
      <c r="Z1152" s="94"/>
      <c r="AA1152" s="94"/>
      <c r="AB1152" s="94"/>
      <c r="AC1152" s="94"/>
      <c r="AD1152" s="94"/>
      <c r="AE1152" s="94"/>
      <c r="AF1152" s="94"/>
      <c r="AG1152" s="94"/>
      <c r="AH1152" s="94"/>
      <c r="AI1152" s="94"/>
      <c r="AJ1152" s="94"/>
      <c r="AK1152" s="94"/>
      <c r="AL1152" s="94"/>
      <c r="AM1152" s="94"/>
      <c r="AN1152" s="94"/>
      <c r="AO1152" s="94"/>
      <c r="AP1152" s="94"/>
      <c r="AQ1152" s="94"/>
      <c r="AR1152" s="94"/>
      <c r="AS1152" s="94"/>
      <c r="AT1152" s="94"/>
      <c r="AU1152" s="94"/>
      <c r="AV1152" s="94"/>
      <c r="AW1152" s="94"/>
      <c r="AX1152" s="94"/>
      <c r="AY1152" s="94"/>
      <c r="AZ1152" s="94"/>
      <c r="BA1152" s="94"/>
      <c r="BB1152" s="94"/>
      <c r="BC1152" s="94"/>
      <c r="BD1152" s="94"/>
      <c r="BE1152" s="94"/>
      <c r="BF1152" s="94"/>
    </row>
    <row r="1153" spans="1:58" x14ac:dyDescent="0.35">
      <c r="A1153" s="107" t="s">
        <v>2953</v>
      </c>
      <c r="B1153" s="108" t="s">
        <v>0</v>
      </c>
      <c r="C1153" s="109">
        <v>7</v>
      </c>
      <c r="D1153" s="107" t="s">
        <v>1151</v>
      </c>
      <c r="E1153" s="109"/>
      <c r="F1153" s="94"/>
      <c r="G1153" s="94"/>
      <c r="H1153" s="94"/>
      <c r="I1153" s="94"/>
      <c r="J1153" s="94"/>
      <c r="K1153" s="94"/>
      <c r="L1153" s="94"/>
      <c r="M1153" s="94"/>
      <c r="N1153" s="94"/>
      <c r="O1153" s="94"/>
      <c r="P1153" s="94"/>
      <c r="Q1153" s="94"/>
      <c r="R1153" s="94"/>
      <c r="S1153" s="94"/>
      <c r="T1153" s="94"/>
      <c r="U1153" s="94"/>
      <c r="V1153" s="94"/>
      <c r="W1153" s="94"/>
      <c r="X1153" s="94"/>
      <c r="Y1153" s="94"/>
      <c r="Z1153" s="94"/>
      <c r="AA1153" s="94"/>
      <c r="AB1153" s="94"/>
      <c r="AC1153" s="94"/>
      <c r="AD1153" s="94"/>
      <c r="AE1153" s="94"/>
      <c r="AF1153" s="94"/>
      <c r="AG1153" s="94"/>
      <c r="AH1153" s="94"/>
      <c r="AI1153" s="94"/>
      <c r="AJ1153" s="94"/>
      <c r="AK1153" s="94"/>
      <c r="AL1153" s="94"/>
      <c r="AM1153" s="94"/>
      <c r="AN1153" s="94"/>
      <c r="AO1153" s="94"/>
      <c r="AP1153" s="94"/>
      <c r="AQ1153" s="94"/>
      <c r="AR1153" s="94"/>
      <c r="AS1153" s="94"/>
      <c r="AT1153" s="94"/>
      <c r="AU1153" s="94"/>
      <c r="AV1153" s="94"/>
      <c r="AW1153" s="94"/>
      <c r="AX1153" s="94"/>
      <c r="AY1153" s="94"/>
      <c r="AZ1153" s="94"/>
      <c r="BA1153" s="94"/>
      <c r="BB1153" s="94"/>
      <c r="BC1153" s="94"/>
      <c r="BD1153" s="94"/>
      <c r="BE1153" s="94"/>
      <c r="BF1153" s="94"/>
    </row>
    <row r="1154" spans="1:58" x14ac:dyDescent="0.35">
      <c r="A1154" s="107" t="s">
        <v>2954</v>
      </c>
      <c r="B1154" s="108" t="s">
        <v>0</v>
      </c>
      <c r="C1154" s="109">
        <v>7</v>
      </c>
      <c r="D1154" s="107" t="s">
        <v>1152</v>
      </c>
      <c r="E1154" s="109"/>
      <c r="F1154" s="94"/>
      <c r="G1154" s="94"/>
      <c r="H1154" s="94"/>
      <c r="I1154" s="94"/>
      <c r="J1154" s="94"/>
      <c r="K1154" s="94"/>
      <c r="L1154" s="94"/>
      <c r="M1154" s="94"/>
      <c r="N1154" s="94"/>
      <c r="O1154" s="94"/>
      <c r="P1154" s="94"/>
      <c r="Q1154" s="94"/>
      <c r="R1154" s="94"/>
      <c r="S1154" s="94"/>
      <c r="T1154" s="94"/>
      <c r="U1154" s="94"/>
      <c r="V1154" s="94"/>
      <c r="W1154" s="94"/>
      <c r="X1154" s="94"/>
      <c r="Y1154" s="94"/>
      <c r="Z1154" s="94"/>
      <c r="AA1154" s="94"/>
      <c r="AB1154" s="94"/>
      <c r="AC1154" s="94"/>
      <c r="AD1154" s="94"/>
      <c r="AE1154" s="94"/>
      <c r="AF1154" s="94"/>
      <c r="AG1154" s="94"/>
      <c r="AH1154" s="94"/>
      <c r="AI1154" s="94"/>
      <c r="AJ1154" s="94"/>
      <c r="AK1154" s="94"/>
      <c r="AL1154" s="94"/>
      <c r="AM1154" s="94"/>
      <c r="AN1154" s="94"/>
      <c r="AO1154" s="94"/>
      <c r="AP1154" s="94"/>
      <c r="AQ1154" s="94"/>
      <c r="AR1154" s="94"/>
      <c r="AS1154" s="94"/>
      <c r="AT1154" s="94"/>
      <c r="AU1154" s="94"/>
      <c r="AV1154" s="94"/>
      <c r="AW1154" s="94"/>
      <c r="AX1154" s="94"/>
      <c r="AY1154" s="94"/>
      <c r="AZ1154" s="94"/>
      <c r="BA1154" s="94"/>
      <c r="BB1154" s="94"/>
      <c r="BC1154" s="94"/>
      <c r="BD1154" s="94"/>
      <c r="BE1154" s="94"/>
      <c r="BF1154" s="94"/>
    </row>
    <row r="1155" spans="1:58" x14ac:dyDescent="0.35">
      <c r="A1155" s="107" t="s">
        <v>2955</v>
      </c>
      <c r="B1155" s="108" t="s">
        <v>0</v>
      </c>
      <c r="C1155" s="109">
        <v>7</v>
      </c>
      <c r="D1155" s="107" t="s">
        <v>1153</v>
      </c>
      <c r="E1155" s="109"/>
      <c r="F1155" s="94"/>
      <c r="G1155" s="94"/>
      <c r="H1155" s="94"/>
      <c r="I1155" s="94"/>
      <c r="J1155" s="94"/>
      <c r="K1155" s="94"/>
      <c r="L1155" s="94"/>
      <c r="M1155" s="94"/>
      <c r="N1155" s="94"/>
      <c r="O1155" s="94"/>
      <c r="P1155" s="94"/>
      <c r="Q1155" s="94"/>
      <c r="R1155" s="94"/>
      <c r="S1155" s="94"/>
      <c r="T1155" s="94"/>
      <c r="U1155" s="94"/>
      <c r="V1155" s="94"/>
      <c r="W1155" s="94"/>
      <c r="X1155" s="94"/>
      <c r="Y1155" s="94"/>
      <c r="Z1155" s="94"/>
      <c r="AA1155" s="94"/>
      <c r="AB1155" s="94"/>
      <c r="AC1155" s="94"/>
      <c r="AD1155" s="94"/>
      <c r="AE1155" s="94"/>
      <c r="AF1155" s="94"/>
      <c r="AG1155" s="94"/>
      <c r="AH1155" s="94"/>
      <c r="AI1155" s="94"/>
      <c r="AJ1155" s="94"/>
      <c r="AK1155" s="94"/>
      <c r="AL1155" s="94"/>
      <c r="AM1155" s="94"/>
      <c r="AN1155" s="94"/>
      <c r="AO1155" s="94"/>
      <c r="AP1155" s="94"/>
      <c r="AQ1155" s="94"/>
      <c r="AR1155" s="94"/>
      <c r="AS1155" s="94"/>
      <c r="AT1155" s="94"/>
      <c r="AU1155" s="94"/>
      <c r="AV1155" s="94"/>
      <c r="AW1155" s="94"/>
      <c r="AX1155" s="94"/>
      <c r="AY1155" s="94"/>
      <c r="AZ1155" s="94"/>
      <c r="BA1155" s="94"/>
      <c r="BB1155" s="94"/>
      <c r="BC1155" s="94"/>
      <c r="BD1155" s="94"/>
      <c r="BE1155" s="94"/>
      <c r="BF1155" s="94"/>
    </row>
    <row r="1156" spans="1:58" x14ac:dyDescent="0.35">
      <c r="A1156" s="104" t="s">
        <v>2956</v>
      </c>
      <c r="B1156" s="105" t="s">
        <v>0</v>
      </c>
      <c r="C1156" s="106">
        <v>6</v>
      </c>
      <c r="D1156" s="104" t="s">
        <v>16</v>
      </c>
      <c r="E1156" s="106"/>
      <c r="F1156" s="94"/>
      <c r="G1156" s="94"/>
      <c r="H1156" s="94"/>
      <c r="I1156" s="94"/>
      <c r="J1156" s="94"/>
      <c r="K1156" s="94"/>
      <c r="L1156" s="94"/>
      <c r="M1156" s="94"/>
      <c r="N1156" s="94"/>
      <c r="O1156" s="94"/>
      <c r="P1156" s="94"/>
      <c r="Q1156" s="94"/>
      <c r="R1156" s="94"/>
      <c r="S1156" s="94"/>
      <c r="T1156" s="94"/>
      <c r="U1156" s="94"/>
      <c r="V1156" s="94"/>
      <c r="W1156" s="94"/>
      <c r="X1156" s="94"/>
      <c r="Y1156" s="94"/>
      <c r="Z1156" s="94"/>
      <c r="AA1156" s="94"/>
      <c r="AB1156" s="94"/>
      <c r="AC1156" s="94"/>
      <c r="AD1156" s="94"/>
      <c r="AE1156" s="94"/>
      <c r="AF1156" s="94"/>
      <c r="AG1156" s="94"/>
      <c r="AH1156" s="94"/>
      <c r="AI1156" s="94"/>
      <c r="AJ1156" s="94"/>
      <c r="AK1156" s="94"/>
      <c r="AL1156" s="94"/>
      <c r="AM1156" s="94"/>
      <c r="AN1156" s="94"/>
      <c r="AO1156" s="94"/>
      <c r="AP1156" s="94"/>
      <c r="AQ1156" s="94"/>
      <c r="AR1156" s="94"/>
      <c r="AS1156" s="94"/>
      <c r="AT1156" s="94"/>
      <c r="AU1156" s="94"/>
      <c r="AV1156" s="94"/>
      <c r="AW1156" s="94"/>
      <c r="AX1156" s="94"/>
      <c r="AY1156" s="94"/>
      <c r="AZ1156" s="94"/>
      <c r="BA1156" s="94"/>
      <c r="BB1156" s="94"/>
      <c r="BC1156" s="94"/>
      <c r="BD1156" s="94"/>
      <c r="BE1156" s="94"/>
      <c r="BF1156" s="94"/>
    </row>
    <row r="1157" spans="1:58" x14ac:dyDescent="0.35">
      <c r="A1157" s="107" t="s">
        <v>2957</v>
      </c>
      <c r="B1157" s="108" t="s">
        <v>0</v>
      </c>
      <c r="C1157" s="109">
        <v>7</v>
      </c>
      <c r="D1157" s="107" t="s">
        <v>1154</v>
      </c>
      <c r="E1157" s="109" t="s">
        <v>218</v>
      </c>
      <c r="F1157" s="94"/>
      <c r="G1157" s="94"/>
      <c r="H1157" s="94"/>
      <c r="I1157" s="94"/>
      <c r="J1157" s="94"/>
      <c r="K1157" s="94"/>
      <c r="L1157" s="94"/>
      <c r="M1157" s="94"/>
      <c r="N1157" s="94"/>
      <c r="O1157" s="94"/>
      <c r="P1157" s="94"/>
      <c r="Q1157" s="94"/>
      <c r="R1157" s="94"/>
      <c r="S1157" s="94"/>
      <c r="T1157" s="94"/>
      <c r="U1157" s="94"/>
      <c r="V1157" s="94"/>
      <c r="W1157" s="94"/>
      <c r="X1157" s="94"/>
      <c r="Y1157" s="94"/>
      <c r="Z1157" s="94"/>
      <c r="AA1157" s="94"/>
      <c r="AB1157" s="94"/>
      <c r="AC1157" s="94"/>
      <c r="AD1157" s="94"/>
      <c r="AE1157" s="94"/>
      <c r="AF1157" s="94"/>
      <c r="AG1157" s="94"/>
      <c r="AH1157" s="94"/>
      <c r="AI1157" s="94"/>
      <c r="AJ1157" s="94"/>
      <c r="AK1157" s="94"/>
      <c r="AL1157" s="94"/>
      <c r="AM1157" s="94"/>
      <c r="AN1157" s="94"/>
      <c r="AO1157" s="94"/>
      <c r="AP1157" s="94"/>
      <c r="AQ1157" s="94"/>
      <c r="AR1157" s="94"/>
      <c r="AS1157" s="94"/>
      <c r="AT1157" s="94"/>
      <c r="AU1157" s="94"/>
      <c r="AV1157" s="94"/>
      <c r="AW1157" s="94"/>
      <c r="AX1157" s="94"/>
      <c r="AY1157" s="94"/>
      <c r="AZ1157" s="94"/>
      <c r="BA1157" s="94"/>
      <c r="BB1157" s="94"/>
      <c r="BC1157" s="94"/>
      <c r="BD1157" s="94"/>
      <c r="BE1157" s="94"/>
      <c r="BF1157" s="94"/>
    </row>
    <row r="1158" spans="1:58" x14ac:dyDescent="0.35">
      <c r="A1158" s="104" t="s">
        <v>2958</v>
      </c>
      <c r="B1158" s="105" t="s">
        <v>0</v>
      </c>
      <c r="C1158" s="106">
        <v>6</v>
      </c>
      <c r="D1158" s="104" t="s">
        <v>30</v>
      </c>
      <c r="E1158" s="106"/>
      <c r="F1158" s="94"/>
      <c r="G1158" s="94"/>
      <c r="H1158" s="94"/>
      <c r="I1158" s="94"/>
      <c r="J1158" s="94"/>
      <c r="K1158" s="94"/>
      <c r="L1158" s="94"/>
      <c r="M1158" s="94"/>
      <c r="N1158" s="94"/>
      <c r="O1158" s="94"/>
      <c r="P1158" s="94"/>
      <c r="Q1158" s="94"/>
      <c r="R1158" s="94"/>
      <c r="S1158" s="94"/>
      <c r="T1158" s="94"/>
      <c r="U1158" s="94"/>
      <c r="V1158" s="94"/>
      <c r="W1158" s="94"/>
      <c r="X1158" s="94"/>
      <c r="Y1158" s="94"/>
      <c r="Z1158" s="94"/>
      <c r="AA1158" s="94"/>
      <c r="AB1158" s="94"/>
      <c r="AC1158" s="94"/>
      <c r="AD1158" s="94"/>
      <c r="AE1158" s="94"/>
      <c r="AF1158" s="94"/>
      <c r="AG1158" s="94"/>
      <c r="AH1158" s="94"/>
      <c r="AI1158" s="94"/>
      <c r="AJ1158" s="94"/>
      <c r="AK1158" s="94"/>
      <c r="AL1158" s="94"/>
      <c r="AM1158" s="94"/>
      <c r="AN1158" s="94"/>
      <c r="AO1158" s="94"/>
      <c r="AP1158" s="94"/>
      <c r="AQ1158" s="94"/>
      <c r="AR1158" s="94"/>
      <c r="AS1158" s="94"/>
      <c r="AT1158" s="94"/>
      <c r="AU1158" s="94"/>
      <c r="AV1158" s="94"/>
      <c r="AW1158" s="94"/>
      <c r="AX1158" s="94"/>
      <c r="AY1158" s="94"/>
      <c r="AZ1158" s="94"/>
      <c r="BA1158" s="94"/>
      <c r="BB1158" s="94"/>
      <c r="BC1158" s="94"/>
      <c r="BD1158" s="94"/>
      <c r="BE1158" s="94"/>
      <c r="BF1158" s="94"/>
    </row>
    <row r="1159" spans="1:58" x14ac:dyDescent="0.35">
      <c r="A1159" s="107" t="s">
        <v>2959</v>
      </c>
      <c r="B1159" s="108" t="s">
        <v>0</v>
      </c>
      <c r="C1159" s="109">
        <v>7</v>
      </c>
      <c r="D1159" s="107" t="s">
        <v>1656</v>
      </c>
      <c r="E1159" s="109"/>
      <c r="F1159" s="94"/>
      <c r="G1159" s="94"/>
      <c r="H1159" s="94"/>
      <c r="I1159" s="94"/>
      <c r="J1159" s="94"/>
      <c r="K1159" s="94"/>
      <c r="L1159" s="94"/>
      <c r="M1159" s="94"/>
      <c r="N1159" s="94"/>
      <c r="O1159" s="94"/>
      <c r="P1159" s="94"/>
      <c r="Q1159" s="94"/>
      <c r="R1159" s="94"/>
      <c r="S1159" s="94"/>
      <c r="T1159" s="94"/>
      <c r="U1159" s="94"/>
      <c r="V1159" s="94"/>
      <c r="W1159" s="94"/>
      <c r="X1159" s="94"/>
      <c r="Y1159" s="94"/>
      <c r="Z1159" s="94"/>
      <c r="AA1159" s="94"/>
      <c r="AB1159" s="94"/>
      <c r="AC1159" s="94"/>
      <c r="AD1159" s="94"/>
      <c r="AE1159" s="94"/>
      <c r="AF1159" s="94"/>
      <c r="AG1159" s="94"/>
      <c r="AH1159" s="94"/>
      <c r="AI1159" s="94"/>
      <c r="AJ1159" s="94"/>
      <c r="AK1159" s="94"/>
      <c r="AL1159" s="94"/>
      <c r="AM1159" s="94"/>
      <c r="AN1159" s="94"/>
      <c r="AO1159" s="94"/>
      <c r="AP1159" s="94"/>
      <c r="AQ1159" s="94"/>
      <c r="AR1159" s="94"/>
      <c r="AS1159" s="94"/>
      <c r="AT1159" s="94"/>
      <c r="AU1159" s="94"/>
      <c r="AV1159" s="94"/>
      <c r="AW1159" s="94"/>
      <c r="AX1159" s="94"/>
      <c r="AY1159" s="94"/>
      <c r="AZ1159" s="94"/>
      <c r="BA1159" s="94"/>
      <c r="BB1159" s="94"/>
      <c r="BC1159" s="94"/>
      <c r="BD1159" s="94"/>
      <c r="BE1159" s="94"/>
      <c r="BF1159" s="94"/>
    </row>
    <row r="1160" spans="1:58" x14ac:dyDescent="0.35">
      <c r="A1160" s="107" t="s">
        <v>2960</v>
      </c>
      <c r="B1160" s="108" t="s">
        <v>0</v>
      </c>
      <c r="C1160" s="109">
        <v>7</v>
      </c>
      <c r="D1160" s="107" t="s">
        <v>1659</v>
      </c>
      <c r="E1160" s="109"/>
      <c r="F1160" s="94"/>
      <c r="G1160" s="94"/>
      <c r="H1160" s="94"/>
      <c r="I1160" s="94"/>
      <c r="J1160" s="94"/>
      <c r="K1160" s="94"/>
      <c r="L1160" s="94"/>
      <c r="M1160" s="94"/>
      <c r="N1160" s="94"/>
      <c r="O1160" s="94"/>
      <c r="P1160" s="94"/>
      <c r="Q1160" s="94"/>
      <c r="R1160" s="94"/>
      <c r="S1160" s="94"/>
      <c r="T1160" s="94"/>
      <c r="U1160" s="94"/>
      <c r="V1160" s="94"/>
      <c r="W1160" s="94"/>
      <c r="X1160" s="94"/>
      <c r="Y1160" s="94"/>
      <c r="Z1160" s="94"/>
      <c r="AA1160" s="94"/>
      <c r="AB1160" s="94"/>
      <c r="AC1160" s="94"/>
      <c r="AD1160" s="94"/>
      <c r="AE1160" s="94"/>
      <c r="AF1160" s="94"/>
      <c r="AG1160" s="94"/>
      <c r="AH1160" s="94"/>
      <c r="AI1160" s="94"/>
      <c r="AJ1160" s="94"/>
      <c r="AK1160" s="94"/>
      <c r="AL1160" s="94"/>
      <c r="AM1160" s="94"/>
      <c r="AN1160" s="94"/>
      <c r="AO1160" s="94"/>
      <c r="AP1160" s="94"/>
      <c r="AQ1160" s="94"/>
      <c r="AR1160" s="94"/>
      <c r="AS1160" s="94"/>
      <c r="AT1160" s="94"/>
      <c r="AU1160" s="94"/>
      <c r="AV1160" s="94"/>
      <c r="AW1160" s="94"/>
      <c r="AX1160" s="94"/>
      <c r="AY1160" s="94"/>
      <c r="AZ1160" s="94"/>
      <c r="BA1160" s="94"/>
      <c r="BB1160" s="94"/>
      <c r="BC1160" s="94"/>
      <c r="BD1160" s="94"/>
      <c r="BE1160" s="94"/>
      <c r="BF1160" s="94"/>
    </row>
    <row r="1161" spans="1:58" x14ac:dyDescent="0.35">
      <c r="A1161" s="107" t="s">
        <v>2961</v>
      </c>
      <c r="B1161" s="108" t="s">
        <v>0</v>
      </c>
      <c r="C1161" s="109">
        <v>7</v>
      </c>
      <c r="D1161" s="107" t="s">
        <v>1657</v>
      </c>
      <c r="E1161" s="109"/>
      <c r="F1161" s="94"/>
      <c r="G1161" s="94"/>
      <c r="H1161" s="94"/>
      <c r="I1161" s="94"/>
      <c r="J1161" s="94"/>
      <c r="K1161" s="94"/>
      <c r="L1161" s="94"/>
      <c r="M1161" s="94"/>
      <c r="N1161" s="94"/>
      <c r="O1161" s="94"/>
      <c r="P1161" s="94"/>
      <c r="Q1161" s="94"/>
      <c r="R1161" s="94"/>
      <c r="S1161" s="94"/>
      <c r="T1161" s="94"/>
      <c r="U1161" s="94"/>
      <c r="V1161" s="94"/>
      <c r="W1161" s="94"/>
      <c r="X1161" s="94"/>
      <c r="Y1161" s="94"/>
      <c r="Z1161" s="94"/>
      <c r="AA1161" s="94"/>
      <c r="AB1161" s="94"/>
      <c r="AC1161" s="94"/>
      <c r="AD1161" s="94"/>
      <c r="AE1161" s="94"/>
      <c r="AF1161" s="94"/>
      <c r="AG1161" s="94"/>
      <c r="AH1161" s="94"/>
      <c r="AI1161" s="94"/>
      <c r="AJ1161" s="94"/>
      <c r="AK1161" s="94"/>
      <c r="AL1161" s="94"/>
      <c r="AM1161" s="94"/>
      <c r="AN1161" s="94"/>
      <c r="AO1161" s="94"/>
      <c r="AP1161" s="94"/>
      <c r="AQ1161" s="94"/>
      <c r="AR1161" s="94"/>
      <c r="AS1161" s="94"/>
      <c r="AT1161" s="94"/>
      <c r="AU1161" s="94"/>
      <c r="AV1161" s="94"/>
      <c r="AW1161" s="94"/>
      <c r="AX1161" s="94"/>
      <c r="AY1161" s="94"/>
      <c r="AZ1161" s="94"/>
      <c r="BA1161" s="94"/>
      <c r="BB1161" s="94"/>
      <c r="BC1161" s="94"/>
      <c r="BD1161" s="94"/>
      <c r="BE1161" s="94"/>
      <c r="BF1161" s="94"/>
    </row>
    <row r="1162" spans="1:58" x14ac:dyDescent="0.35">
      <c r="A1162" s="107" t="s">
        <v>2962</v>
      </c>
      <c r="B1162" s="108" t="s">
        <v>0</v>
      </c>
      <c r="C1162" s="109">
        <v>7</v>
      </c>
      <c r="D1162" s="107" t="s">
        <v>1658</v>
      </c>
      <c r="E1162" s="109"/>
      <c r="F1162" s="94"/>
      <c r="G1162" s="94"/>
      <c r="H1162" s="94"/>
      <c r="I1162" s="94"/>
      <c r="J1162" s="94"/>
      <c r="K1162" s="94"/>
      <c r="L1162" s="94"/>
      <c r="M1162" s="94"/>
      <c r="N1162" s="94"/>
      <c r="O1162" s="94"/>
      <c r="P1162" s="94"/>
      <c r="Q1162" s="94"/>
      <c r="R1162" s="94"/>
      <c r="S1162" s="94"/>
      <c r="T1162" s="94"/>
      <c r="U1162" s="94"/>
      <c r="V1162" s="94"/>
      <c r="W1162" s="94"/>
      <c r="X1162" s="94"/>
      <c r="Y1162" s="94"/>
      <c r="Z1162" s="94"/>
      <c r="AA1162" s="94"/>
      <c r="AB1162" s="94"/>
      <c r="AC1162" s="94"/>
      <c r="AD1162" s="94"/>
      <c r="AE1162" s="94"/>
      <c r="AF1162" s="94"/>
      <c r="AG1162" s="94"/>
      <c r="AH1162" s="94"/>
      <c r="AI1162" s="94"/>
      <c r="AJ1162" s="94"/>
      <c r="AK1162" s="94"/>
      <c r="AL1162" s="94"/>
      <c r="AM1162" s="94"/>
      <c r="AN1162" s="94"/>
      <c r="AO1162" s="94"/>
      <c r="AP1162" s="94"/>
      <c r="AQ1162" s="94"/>
      <c r="AR1162" s="94"/>
      <c r="AS1162" s="94"/>
      <c r="AT1162" s="94"/>
      <c r="AU1162" s="94"/>
      <c r="AV1162" s="94"/>
      <c r="AW1162" s="94"/>
      <c r="AX1162" s="94"/>
      <c r="AY1162" s="94"/>
      <c r="AZ1162" s="94"/>
      <c r="BA1162" s="94"/>
      <c r="BB1162" s="94"/>
      <c r="BC1162" s="94"/>
      <c r="BD1162" s="94"/>
      <c r="BE1162" s="94"/>
      <c r="BF1162" s="94"/>
    </row>
    <row r="1163" spans="1:58" x14ac:dyDescent="0.35">
      <c r="A1163" s="104" t="s">
        <v>2963</v>
      </c>
      <c r="B1163" s="105" t="s">
        <v>0</v>
      </c>
      <c r="C1163" s="106">
        <v>6</v>
      </c>
      <c r="D1163" s="104" t="s">
        <v>123</v>
      </c>
      <c r="E1163" s="106"/>
      <c r="F1163" s="94"/>
      <c r="G1163" s="94"/>
      <c r="H1163" s="94"/>
      <c r="I1163" s="94"/>
      <c r="J1163" s="94"/>
      <c r="K1163" s="94"/>
      <c r="L1163" s="94"/>
      <c r="M1163" s="94"/>
      <c r="N1163" s="94"/>
      <c r="O1163" s="94"/>
      <c r="P1163" s="94"/>
      <c r="Q1163" s="94"/>
      <c r="R1163" s="94"/>
      <c r="S1163" s="94"/>
      <c r="T1163" s="94"/>
      <c r="U1163" s="94"/>
      <c r="V1163" s="94"/>
      <c r="W1163" s="94"/>
      <c r="X1163" s="94"/>
      <c r="Y1163" s="94"/>
      <c r="Z1163" s="94"/>
      <c r="AA1163" s="94"/>
      <c r="AB1163" s="94"/>
      <c r="AC1163" s="94"/>
      <c r="AD1163" s="94"/>
      <c r="AE1163" s="94"/>
      <c r="AF1163" s="94"/>
      <c r="AG1163" s="94"/>
      <c r="AH1163" s="94"/>
      <c r="AI1163" s="94"/>
      <c r="AJ1163" s="94"/>
      <c r="AK1163" s="94"/>
      <c r="AL1163" s="94"/>
      <c r="AM1163" s="94"/>
      <c r="AN1163" s="94"/>
      <c r="AO1163" s="94"/>
      <c r="AP1163" s="94"/>
      <c r="AQ1163" s="94"/>
      <c r="AR1163" s="94"/>
      <c r="AS1163" s="94"/>
      <c r="AT1163" s="94"/>
      <c r="AU1163" s="94"/>
      <c r="AV1163" s="94"/>
      <c r="AW1163" s="94"/>
      <c r="AX1163" s="94"/>
      <c r="AY1163" s="94"/>
      <c r="AZ1163" s="94"/>
      <c r="BA1163" s="94"/>
      <c r="BB1163" s="94"/>
      <c r="BC1163" s="94"/>
      <c r="BD1163" s="94"/>
      <c r="BE1163" s="94"/>
      <c r="BF1163" s="94"/>
    </row>
    <row r="1164" spans="1:58" x14ac:dyDescent="0.35">
      <c r="A1164" s="107" t="s">
        <v>2964</v>
      </c>
      <c r="B1164" s="108" t="s">
        <v>0</v>
      </c>
      <c r="C1164" s="109">
        <v>7</v>
      </c>
      <c r="D1164" s="107" t="s">
        <v>1654</v>
      </c>
      <c r="E1164" s="109"/>
      <c r="F1164" s="94"/>
      <c r="G1164" s="94"/>
      <c r="H1164" s="94"/>
      <c r="I1164" s="94"/>
      <c r="J1164" s="94"/>
      <c r="K1164" s="94"/>
      <c r="L1164" s="94"/>
      <c r="M1164" s="94"/>
      <c r="N1164" s="94"/>
      <c r="O1164" s="94"/>
      <c r="P1164" s="94"/>
      <c r="Q1164" s="94"/>
      <c r="R1164" s="94"/>
      <c r="S1164" s="94"/>
      <c r="T1164" s="94"/>
      <c r="U1164" s="94"/>
      <c r="V1164" s="94"/>
      <c r="W1164" s="94"/>
      <c r="X1164" s="94"/>
      <c r="Y1164" s="94"/>
      <c r="Z1164" s="94"/>
      <c r="AA1164" s="94"/>
      <c r="AB1164" s="94"/>
      <c r="AC1164" s="94"/>
      <c r="AD1164" s="94"/>
      <c r="AE1164" s="94"/>
      <c r="AF1164" s="94"/>
      <c r="AG1164" s="94"/>
      <c r="AH1164" s="94"/>
      <c r="AI1164" s="94"/>
      <c r="AJ1164" s="94"/>
      <c r="AK1164" s="94"/>
      <c r="AL1164" s="94"/>
      <c r="AM1164" s="94"/>
      <c r="AN1164" s="94"/>
      <c r="AO1164" s="94"/>
      <c r="AP1164" s="94"/>
      <c r="AQ1164" s="94"/>
      <c r="AR1164" s="94"/>
      <c r="AS1164" s="94"/>
      <c r="AT1164" s="94"/>
      <c r="AU1164" s="94"/>
      <c r="AV1164" s="94"/>
      <c r="AW1164" s="94"/>
      <c r="AX1164" s="94"/>
      <c r="AY1164" s="94"/>
      <c r="AZ1164" s="94"/>
      <c r="BA1164" s="94"/>
      <c r="BB1164" s="94"/>
      <c r="BC1164" s="94"/>
      <c r="BD1164" s="94"/>
      <c r="BE1164" s="94"/>
      <c r="BF1164" s="94"/>
    </row>
    <row r="1165" spans="1:58" x14ac:dyDescent="0.35">
      <c r="A1165" s="101" t="s">
        <v>2965</v>
      </c>
      <c r="B1165" s="102" t="s">
        <v>0</v>
      </c>
      <c r="C1165" s="103">
        <v>5</v>
      </c>
      <c r="D1165" s="101" t="s">
        <v>464</v>
      </c>
      <c r="E1165" s="103" t="s">
        <v>219</v>
      </c>
      <c r="F1165" s="94"/>
      <c r="G1165" s="94"/>
      <c r="H1165" s="94"/>
      <c r="I1165" s="94"/>
      <c r="J1165" s="94"/>
      <c r="K1165" s="94"/>
      <c r="L1165" s="94"/>
      <c r="M1165" s="94"/>
      <c r="N1165" s="94"/>
      <c r="O1165" s="94"/>
      <c r="P1165" s="94"/>
      <c r="Q1165" s="94"/>
      <c r="R1165" s="94"/>
      <c r="S1165" s="94"/>
      <c r="T1165" s="94"/>
      <c r="U1165" s="94"/>
      <c r="V1165" s="94"/>
      <c r="W1165" s="94"/>
      <c r="X1165" s="94"/>
      <c r="Y1165" s="94"/>
      <c r="Z1165" s="94"/>
      <c r="AA1165" s="94"/>
      <c r="AB1165" s="94"/>
      <c r="AC1165" s="94"/>
      <c r="AD1165" s="94"/>
      <c r="AE1165" s="94"/>
      <c r="AF1165" s="94"/>
      <c r="AG1165" s="94"/>
      <c r="AH1165" s="94"/>
      <c r="AI1165" s="94"/>
      <c r="AJ1165" s="94"/>
      <c r="AK1165" s="94"/>
      <c r="AL1165" s="94"/>
      <c r="AM1165" s="94"/>
      <c r="AN1165" s="94"/>
      <c r="AO1165" s="94"/>
      <c r="AP1165" s="94"/>
      <c r="AQ1165" s="94"/>
      <c r="AR1165" s="94"/>
      <c r="AS1165" s="94"/>
      <c r="AT1165" s="94"/>
      <c r="AU1165" s="94"/>
      <c r="AV1165" s="94"/>
      <c r="AW1165" s="94"/>
      <c r="AX1165" s="94"/>
      <c r="AY1165" s="94"/>
      <c r="AZ1165" s="94"/>
      <c r="BA1165" s="94"/>
      <c r="BB1165" s="94"/>
      <c r="BC1165" s="94"/>
      <c r="BD1165" s="94"/>
      <c r="BE1165" s="94"/>
      <c r="BF1165" s="94"/>
    </row>
    <row r="1166" spans="1:58" x14ac:dyDescent="0.35">
      <c r="A1166" s="104" t="s">
        <v>2966</v>
      </c>
      <c r="B1166" s="105" t="s">
        <v>0</v>
      </c>
      <c r="C1166" s="106">
        <v>6</v>
      </c>
      <c r="D1166" s="104" t="s">
        <v>564</v>
      </c>
      <c r="E1166" s="106"/>
      <c r="F1166" s="94"/>
      <c r="G1166" s="94"/>
      <c r="H1166" s="94"/>
      <c r="I1166" s="94"/>
      <c r="J1166" s="94"/>
      <c r="K1166" s="94"/>
      <c r="L1166" s="94"/>
      <c r="M1166" s="94"/>
      <c r="N1166" s="94"/>
      <c r="O1166" s="94"/>
      <c r="P1166" s="94"/>
      <c r="Q1166" s="94"/>
      <c r="R1166" s="94"/>
      <c r="S1166" s="94"/>
      <c r="T1166" s="94"/>
      <c r="U1166" s="94"/>
      <c r="V1166" s="94"/>
      <c r="W1166" s="94"/>
      <c r="X1166" s="94"/>
      <c r="Y1166" s="94"/>
      <c r="Z1166" s="94"/>
      <c r="AA1166" s="94"/>
      <c r="AB1166" s="94"/>
      <c r="AC1166" s="94"/>
      <c r="AD1166" s="94"/>
      <c r="AE1166" s="94"/>
      <c r="AF1166" s="94"/>
      <c r="AG1166" s="94"/>
      <c r="AH1166" s="94"/>
      <c r="AI1166" s="94"/>
      <c r="AJ1166" s="94"/>
      <c r="AK1166" s="94"/>
      <c r="AL1166" s="94"/>
      <c r="AM1166" s="94"/>
      <c r="AN1166" s="94"/>
      <c r="AO1166" s="94"/>
      <c r="AP1166" s="94"/>
      <c r="AQ1166" s="94"/>
      <c r="AR1166" s="94"/>
      <c r="AS1166" s="94"/>
      <c r="AT1166" s="94"/>
      <c r="AU1166" s="94"/>
      <c r="AV1166" s="94"/>
      <c r="AW1166" s="94"/>
      <c r="AX1166" s="94"/>
      <c r="AY1166" s="94"/>
      <c r="AZ1166" s="94"/>
      <c r="BA1166" s="94"/>
      <c r="BB1166" s="94"/>
      <c r="BC1166" s="94"/>
      <c r="BD1166" s="94"/>
      <c r="BE1166" s="94"/>
      <c r="BF1166" s="94"/>
    </row>
    <row r="1167" spans="1:58" x14ac:dyDescent="0.35">
      <c r="A1167" s="107" t="s">
        <v>2967</v>
      </c>
      <c r="B1167" s="108" t="s">
        <v>0</v>
      </c>
      <c r="C1167" s="109">
        <v>7</v>
      </c>
      <c r="D1167" s="107" t="s">
        <v>1156</v>
      </c>
      <c r="E1167" s="109"/>
      <c r="F1167" s="94"/>
      <c r="G1167" s="94"/>
      <c r="H1167" s="94"/>
      <c r="I1167" s="94"/>
      <c r="J1167" s="94"/>
      <c r="K1167" s="94"/>
      <c r="L1167" s="94"/>
      <c r="M1167" s="94"/>
      <c r="N1167" s="94"/>
      <c r="O1167" s="94"/>
      <c r="P1167" s="94"/>
      <c r="Q1167" s="94"/>
      <c r="R1167" s="94"/>
      <c r="S1167" s="94"/>
      <c r="T1167" s="94"/>
      <c r="U1167" s="94"/>
      <c r="V1167" s="94"/>
      <c r="W1167" s="94"/>
      <c r="X1167" s="94"/>
      <c r="Y1167" s="94"/>
      <c r="Z1167" s="94"/>
      <c r="AA1167" s="94"/>
      <c r="AB1167" s="94"/>
      <c r="AC1167" s="94"/>
      <c r="AD1167" s="94"/>
      <c r="AE1167" s="94"/>
      <c r="AF1167" s="94"/>
      <c r="AG1167" s="94"/>
      <c r="AH1167" s="94"/>
      <c r="AI1167" s="94"/>
      <c r="AJ1167" s="94"/>
      <c r="AK1167" s="94"/>
      <c r="AL1167" s="94"/>
      <c r="AM1167" s="94"/>
      <c r="AN1167" s="94"/>
      <c r="AO1167" s="94"/>
      <c r="AP1167" s="94"/>
      <c r="AQ1167" s="94"/>
      <c r="AR1167" s="94"/>
      <c r="AS1167" s="94"/>
      <c r="AT1167" s="94"/>
      <c r="AU1167" s="94"/>
      <c r="AV1167" s="94"/>
      <c r="AW1167" s="94"/>
      <c r="AX1167" s="94"/>
      <c r="AY1167" s="94"/>
      <c r="AZ1167" s="94"/>
      <c r="BA1167" s="94"/>
      <c r="BB1167" s="94"/>
      <c r="BC1167" s="94"/>
      <c r="BD1167" s="94"/>
      <c r="BE1167" s="94"/>
      <c r="BF1167" s="94"/>
    </row>
    <row r="1168" spans="1:58" x14ac:dyDescent="0.35">
      <c r="A1168" s="107" t="s">
        <v>2968</v>
      </c>
      <c r="B1168" s="108" t="s">
        <v>0</v>
      </c>
      <c r="C1168" s="109">
        <v>7</v>
      </c>
      <c r="D1168" s="107" t="s">
        <v>1157</v>
      </c>
      <c r="E1168" s="109"/>
      <c r="F1168" s="94"/>
      <c r="G1168" s="94"/>
      <c r="H1168" s="94"/>
      <c r="I1168" s="94"/>
      <c r="J1168" s="94"/>
      <c r="K1168" s="94"/>
      <c r="L1168" s="94"/>
      <c r="M1168" s="94"/>
      <c r="N1168" s="94"/>
      <c r="O1168" s="94"/>
      <c r="P1168" s="94"/>
      <c r="Q1168" s="94"/>
      <c r="R1168" s="94"/>
      <c r="S1168" s="94"/>
      <c r="T1168" s="94"/>
      <c r="U1168" s="94"/>
      <c r="V1168" s="94"/>
      <c r="W1168" s="94"/>
      <c r="X1168" s="94"/>
      <c r="Y1168" s="94"/>
      <c r="Z1168" s="94"/>
      <c r="AA1168" s="94"/>
      <c r="AB1168" s="94"/>
      <c r="AC1168" s="94"/>
      <c r="AD1168" s="94"/>
      <c r="AE1168" s="94"/>
      <c r="AF1168" s="94"/>
      <c r="AG1168" s="94"/>
      <c r="AH1168" s="94"/>
      <c r="AI1168" s="94"/>
      <c r="AJ1168" s="94"/>
      <c r="AK1168" s="94"/>
      <c r="AL1168" s="94"/>
      <c r="AM1168" s="94"/>
      <c r="AN1168" s="94"/>
      <c r="AO1168" s="94"/>
      <c r="AP1168" s="94"/>
      <c r="AQ1168" s="94"/>
      <c r="AR1168" s="94"/>
      <c r="AS1168" s="94"/>
      <c r="AT1168" s="94"/>
      <c r="AU1168" s="94"/>
      <c r="AV1168" s="94"/>
      <c r="AW1168" s="94"/>
      <c r="AX1168" s="94"/>
      <c r="AY1168" s="94"/>
      <c r="AZ1168" s="94"/>
      <c r="BA1168" s="94"/>
      <c r="BB1168" s="94"/>
      <c r="BC1168" s="94"/>
      <c r="BD1168" s="94"/>
      <c r="BE1168" s="94"/>
      <c r="BF1168" s="94"/>
    </row>
    <row r="1169" spans="1:58" x14ac:dyDescent="0.35">
      <c r="A1169" s="107" t="s">
        <v>2969</v>
      </c>
      <c r="B1169" s="108" t="s">
        <v>0</v>
      </c>
      <c r="C1169" s="109">
        <v>7</v>
      </c>
      <c r="D1169" s="107" t="s">
        <v>1155</v>
      </c>
      <c r="E1169" s="109"/>
      <c r="F1169" s="94"/>
      <c r="G1169" s="94"/>
      <c r="H1169" s="94"/>
      <c r="I1169" s="94"/>
      <c r="J1169" s="94"/>
      <c r="K1169" s="94"/>
      <c r="L1169" s="94"/>
      <c r="M1169" s="94"/>
      <c r="N1169" s="94"/>
      <c r="O1169" s="94"/>
      <c r="P1169" s="94"/>
      <c r="Q1169" s="94"/>
      <c r="R1169" s="94"/>
      <c r="S1169" s="94"/>
      <c r="T1169" s="94"/>
      <c r="U1169" s="94"/>
      <c r="V1169" s="94"/>
      <c r="W1169" s="94"/>
      <c r="X1169" s="94"/>
      <c r="Y1169" s="94"/>
      <c r="Z1169" s="94"/>
      <c r="AA1169" s="94"/>
      <c r="AB1169" s="94"/>
      <c r="AC1169" s="94"/>
      <c r="AD1169" s="94"/>
      <c r="AE1169" s="94"/>
      <c r="AF1169" s="94"/>
      <c r="AG1169" s="94"/>
      <c r="AH1169" s="94"/>
      <c r="AI1169" s="94"/>
      <c r="AJ1169" s="94"/>
      <c r="AK1169" s="94"/>
      <c r="AL1169" s="94"/>
      <c r="AM1169" s="94"/>
      <c r="AN1169" s="94"/>
      <c r="AO1169" s="94"/>
      <c r="AP1169" s="94"/>
      <c r="AQ1169" s="94"/>
      <c r="AR1169" s="94"/>
      <c r="AS1169" s="94"/>
      <c r="AT1169" s="94"/>
      <c r="AU1169" s="94"/>
      <c r="AV1169" s="94"/>
      <c r="AW1169" s="94"/>
      <c r="AX1169" s="94"/>
      <c r="AY1169" s="94"/>
      <c r="AZ1169" s="94"/>
      <c r="BA1169" s="94"/>
      <c r="BB1169" s="94"/>
      <c r="BC1169" s="94"/>
      <c r="BD1169" s="94"/>
      <c r="BE1169" s="94"/>
      <c r="BF1169" s="94"/>
    </row>
    <row r="1170" spans="1:58" x14ac:dyDescent="0.35">
      <c r="A1170" s="107" t="s">
        <v>2970</v>
      </c>
      <c r="B1170" s="108" t="s">
        <v>0</v>
      </c>
      <c r="C1170" s="109">
        <v>7</v>
      </c>
      <c r="D1170" s="107" t="s">
        <v>1158</v>
      </c>
      <c r="E1170" s="109"/>
      <c r="F1170" s="94"/>
      <c r="G1170" s="94"/>
      <c r="H1170" s="94"/>
      <c r="I1170" s="94"/>
      <c r="J1170" s="94"/>
      <c r="K1170" s="94"/>
      <c r="L1170" s="94"/>
      <c r="M1170" s="94"/>
      <c r="N1170" s="94"/>
      <c r="O1170" s="94"/>
      <c r="P1170" s="94"/>
      <c r="Q1170" s="94"/>
      <c r="R1170" s="94"/>
      <c r="S1170" s="94"/>
      <c r="T1170" s="94"/>
      <c r="U1170" s="94"/>
      <c r="V1170" s="94"/>
      <c r="W1170" s="94"/>
      <c r="X1170" s="94"/>
      <c r="Y1170" s="94"/>
      <c r="Z1170" s="94"/>
      <c r="AA1170" s="94"/>
      <c r="AB1170" s="94"/>
      <c r="AC1170" s="94"/>
      <c r="AD1170" s="94"/>
      <c r="AE1170" s="94"/>
      <c r="AF1170" s="94"/>
      <c r="AG1170" s="94"/>
      <c r="AH1170" s="94"/>
      <c r="AI1170" s="94"/>
      <c r="AJ1170" s="94"/>
      <c r="AK1170" s="94"/>
      <c r="AL1170" s="94"/>
      <c r="AM1170" s="94"/>
      <c r="AN1170" s="94"/>
      <c r="AO1170" s="94"/>
      <c r="AP1170" s="94"/>
      <c r="AQ1170" s="94"/>
      <c r="AR1170" s="94"/>
      <c r="AS1170" s="94"/>
      <c r="AT1170" s="94"/>
      <c r="AU1170" s="94"/>
      <c r="AV1170" s="94"/>
      <c r="AW1170" s="94"/>
      <c r="AX1170" s="94"/>
      <c r="AY1170" s="94"/>
      <c r="AZ1170" s="94"/>
      <c r="BA1170" s="94"/>
      <c r="BB1170" s="94"/>
      <c r="BC1170" s="94"/>
      <c r="BD1170" s="94"/>
      <c r="BE1170" s="94"/>
      <c r="BF1170" s="94"/>
    </row>
    <row r="1171" spans="1:58" x14ac:dyDescent="0.35">
      <c r="A1171" s="107" t="s">
        <v>2971</v>
      </c>
      <c r="B1171" s="108" t="s">
        <v>0</v>
      </c>
      <c r="C1171" s="109">
        <v>7</v>
      </c>
      <c r="D1171" s="107" t="s">
        <v>1159</v>
      </c>
      <c r="E1171" s="109"/>
      <c r="F1171" s="94"/>
      <c r="G1171" s="94"/>
      <c r="H1171" s="94"/>
      <c r="I1171" s="94"/>
      <c r="J1171" s="94"/>
      <c r="K1171" s="94"/>
      <c r="L1171" s="94"/>
      <c r="M1171" s="94"/>
      <c r="N1171" s="94"/>
      <c r="O1171" s="94"/>
      <c r="P1171" s="94"/>
      <c r="Q1171" s="94"/>
      <c r="R1171" s="94"/>
      <c r="S1171" s="94"/>
      <c r="T1171" s="94"/>
      <c r="U1171" s="94"/>
      <c r="V1171" s="94"/>
      <c r="W1171" s="94"/>
      <c r="X1171" s="94"/>
      <c r="Y1171" s="94"/>
      <c r="Z1171" s="94"/>
      <c r="AA1171" s="94"/>
      <c r="AB1171" s="94"/>
      <c r="AC1171" s="94"/>
      <c r="AD1171" s="94"/>
      <c r="AE1171" s="94"/>
      <c r="AF1171" s="94"/>
      <c r="AG1171" s="94"/>
      <c r="AH1171" s="94"/>
      <c r="AI1171" s="94"/>
      <c r="AJ1171" s="94"/>
      <c r="AK1171" s="94"/>
      <c r="AL1171" s="94"/>
      <c r="AM1171" s="94"/>
      <c r="AN1171" s="94"/>
      <c r="AO1171" s="94"/>
      <c r="AP1171" s="94"/>
      <c r="AQ1171" s="94"/>
      <c r="AR1171" s="94"/>
      <c r="AS1171" s="94"/>
      <c r="AT1171" s="94"/>
      <c r="AU1171" s="94"/>
      <c r="AV1171" s="94"/>
      <c r="AW1171" s="94"/>
      <c r="AX1171" s="94"/>
      <c r="AY1171" s="94"/>
      <c r="AZ1171" s="94"/>
      <c r="BA1171" s="94"/>
      <c r="BB1171" s="94"/>
      <c r="BC1171" s="94"/>
      <c r="BD1171" s="94"/>
      <c r="BE1171" s="94"/>
      <c r="BF1171" s="94"/>
    </row>
    <row r="1172" spans="1:58" x14ac:dyDescent="0.35">
      <c r="A1172" s="107" t="s">
        <v>2972</v>
      </c>
      <c r="B1172" s="108" t="s">
        <v>0</v>
      </c>
      <c r="C1172" s="109">
        <v>7</v>
      </c>
      <c r="D1172" s="107" t="s">
        <v>1655</v>
      </c>
      <c r="E1172" s="109" t="s">
        <v>0</v>
      </c>
      <c r="F1172" s="94"/>
      <c r="G1172" s="94"/>
      <c r="H1172" s="94"/>
      <c r="I1172" s="94"/>
      <c r="J1172" s="94"/>
      <c r="K1172" s="94"/>
      <c r="L1172" s="94"/>
      <c r="M1172" s="94"/>
      <c r="N1172" s="94"/>
      <c r="O1172" s="94"/>
      <c r="P1172" s="94"/>
      <c r="Q1172" s="94"/>
      <c r="R1172" s="94"/>
      <c r="S1172" s="94"/>
      <c r="T1172" s="94"/>
      <c r="U1172" s="94"/>
      <c r="V1172" s="94"/>
      <c r="W1172" s="94"/>
      <c r="X1172" s="94"/>
      <c r="Y1172" s="94"/>
      <c r="Z1172" s="94"/>
      <c r="AA1172" s="94"/>
      <c r="AB1172" s="94"/>
      <c r="AC1172" s="94"/>
      <c r="AD1172" s="94"/>
      <c r="AE1172" s="94"/>
      <c r="AF1172" s="94"/>
      <c r="AG1172" s="94"/>
      <c r="AH1172" s="94"/>
      <c r="AI1172" s="94"/>
      <c r="AJ1172" s="94"/>
      <c r="AK1172" s="94"/>
      <c r="AL1172" s="94"/>
      <c r="AM1172" s="94"/>
      <c r="AN1172" s="94"/>
      <c r="AO1172" s="94"/>
      <c r="AP1172" s="94"/>
      <c r="AQ1172" s="94"/>
      <c r="AR1172" s="94"/>
      <c r="AS1172" s="94"/>
      <c r="AT1172" s="94"/>
      <c r="AU1172" s="94"/>
      <c r="AV1172" s="94"/>
      <c r="AW1172" s="94"/>
      <c r="AX1172" s="94"/>
      <c r="AY1172" s="94"/>
      <c r="AZ1172" s="94"/>
      <c r="BA1172" s="94"/>
      <c r="BB1172" s="94"/>
      <c r="BC1172" s="94"/>
      <c r="BD1172" s="94"/>
      <c r="BE1172" s="94"/>
      <c r="BF1172" s="94"/>
    </row>
    <row r="1173" spans="1:58" x14ac:dyDescent="0.35">
      <c r="A1173" s="104" t="s">
        <v>2973</v>
      </c>
      <c r="B1173" s="105" t="s">
        <v>0</v>
      </c>
      <c r="C1173" s="106">
        <v>6</v>
      </c>
      <c r="D1173" s="104" t="s">
        <v>26</v>
      </c>
      <c r="E1173" s="106"/>
      <c r="F1173" s="94"/>
      <c r="G1173" s="94"/>
      <c r="H1173" s="94"/>
      <c r="I1173" s="94"/>
      <c r="J1173" s="94"/>
      <c r="K1173" s="94"/>
      <c r="L1173" s="94"/>
      <c r="M1173" s="94"/>
      <c r="N1173" s="94"/>
      <c r="O1173" s="94"/>
      <c r="P1173" s="94"/>
      <c r="Q1173" s="94"/>
      <c r="R1173" s="94"/>
      <c r="S1173" s="94"/>
      <c r="T1173" s="94"/>
      <c r="U1173" s="94"/>
      <c r="V1173" s="94"/>
      <c r="W1173" s="94"/>
      <c r="X1173" s="94"/>
      <c r="Y1173" s="94"/>
      <c r="Z1173" s="94"/>
      <c r="AA1173" s="94"/>
      <c r="AB1173" s="94"/>
      <c r="AC1173" s="94"/>
      <c r="AD1173" s="94"/>
      <c r="AE1173" s="94"/>
      <c r="AF1173" s="94"/>
      <c r="AG1173" s="94"/>
      <c r="AH1173" s="94"/>
      <c r="AI1173" s="94"/>
      <c r="AJ1173" s="94"/>
      <c r="AK1173" s="94"/>
      <c r="AL1173" s="94"/>
      <c r="AM1173" s="94"/>
      <c r="AN1173" s="94"/>
      <c r="AO1173" s="94"/>
      <c r="AP1173" s="94"/>
      <c r="AQ1173" s="94"/>
      <c r="AR1173" s="94"/>
      <c r="AS1173" s="94"/>
      <c r="AT1173" s="94"/>
      <c r="AU1173" s="94"/>
      <c r="AV1173" s="94"/>
      <c r="AW1173" s="94"/>
      <c r="AX1173" s="94"/>
      <c r="AY1173" s="94"/>
      <c r="AZ1173" s="94"/>
      <c r="BA1173" s="94"/>
      <c r="BB1173" s="94"/>
      <c r="BC1173" s="94"/>
      <c r="BD1173" s="94"/>
      <c r="BE1173" s="94"/>
      <c r="BF1173" s="94"/>
    </row>
    <row r="1174" spans="1:58" x14ac:dyDescent="0.35">
      <c r="A1174" s="107" t="s">
        <v>2974</v>
      </c>
      <c r="B1174" s="108" t="s">
        <v>0</v>
      </c>
      <c r="C1174" s="109">
        <v>7</v>
      </c>
      <c r="D1174" s="107" t="s">
        <v>1160</v>
      </c>
      <c r="E1174" s="109"/>
      <c r="F1174" s="94"/>
      <c r="G1174" s="94"/>
      <c r="H1174" s="94"/>
      <c r="I1174" s="94"/>
      <c r="J1174" s="94"/>
      <c r="K1174" s="94"/>
      <c r="L1174" s="94"/>
      <c r="M1174" s="94"/>
      <c r="N1174" s="94"/>
      <c r="O1174" s="94"/>
      <c r="P1174" s="94"/>
      <c r="Q1174" s="94"/>
      <c r="R1174" s="94"/>
      <c r="S1174" s="94"/>
      <c r="T1174" s="94"/>
      <c r="U1174" s="94"/>
      <c r="V1174" s="94"/>
      <c r="W1174" s="94"/>
      <c r="X1174" s="94"/>
      <c r="Y1174" s="94"/>
      <c r="Z1174" s="94"/>
      <c r="AA1174" s="94"/>
      <c r="AB1174" s="94"/>
      <c r="AC1174" s="94"/>
      <c r="AD1174" s="94"/>
      <c r="AE1174" s="94"/>
      <c r="AF1174" s="94"/>
      <c r="AG1174" s="94"/>
      <c r="AH1174" s="94"/>
      <c r="AI1174" s="94"/>
      <c r="AJ1174" s="94"/>
      <c r="AK1174" s="94"/>
      <c r="AL1174" s="94"/>
      <c r="AM1174" s="94"/>
      <c r="AN1174" s="94"/>
      <c r="AO1174" s="94"/>
      <c r="AP1174" s="94"/>
      <c r="AQ1174" s="94"/>
      <c r="AR1174" s="94"/>
      <c r="AS1174" s="94"/>
      <c r="AT1174" s="94"/>
      <c r="AU1174" s="94"/>
      <c r="AV1174" s="94"/>
      <c r="AW1174" s="94"/>
      <c r="AX1174" s="94"/>
      <c r="AY1174" s="94"/>
      <c r="AZ1174" s="94"/>
      <c r="BA1174" s="94"/>
      <c r="BB1174" s="94"/>
      <c r="BC1174" s="94"/>
      <c r="BD1174" s="94"/>
      <c r="BE1174" s="94"/>
      <c r="BF1174" s="94"/>
    </row>
    <row r="1175" spans="1:58" x14ac:dyDescent="0.35">
      <c r="A1175" s="107" t="s">
        <v>2975</v>
      </c>
      <c r="B1175" s="108" t="s">
        <v>0</v>
      </c>
      <c r="C1175" s="109">
        <v>7</v>
      </c>
      <c r="D1175" s="107" t="s">
        <v>1161</v>
      </c>
      <c r="E1175" s="109"/>
      <c r="F1175" s="94"/>
      <c r="G1175" s="94"/>
      <c r="H1175" s="94"/>
      <c r="I1175" s="94"/>
      <c r="J1175" s="94"/>
      <c r="K1175" s="94"/>
      <c r="L1175" s="94"/>
      <c r="M1175" s="94"/>
      <c r="N1175" s="94"/>
      <c r="O1175" s="94"/>
      <c r="P1175" s="94"/>
      <c r="Q1175" s="94"/>
      <c r="R1175" s="94"/>
      <c r="S1175" s="94"/>
      <c r="T1175" s="94"/>
      <c r="U1175" s="94"/>
      <c r="V1175" s="94"/>
      <c r="W1175" s="94"/>
      <c r="X1175" s="94"/>
      <c r="Y1175" s="94"/>
      <c r="Z1175" s="94"/>
      <c r="AA1175" s="94"/>
      <c r="AB1175" s="94"/>
      <c r="AC1175" s="94"/>
      <c r="AD1175" s="94"/>
      <c r="AE1175" s="94"/>
      <c r="AF1175" s="94"/>
      <c r="AG1175" s="94"/>
      <c r="AH1175" s="94"/>
      <c r="AI1175" s="94"/>
      <c r="AJ1175" s="94"/>
      <c r="AK1175" s="94"/>
      <c r="AL1175" s="94"/>
      <c r="AM1175" s="94"/>
      <c r="AN1175" s="94"/>
      <c r="AO1175" s="94"/>
      <c r="AP1175" s="94"/>
      <c r="AQ1175" s="94"/>
      <c r="AR1175" s="94"/>
      <c r="AS1175" s="94"/>
      <c r="AT1175" s="94"/>
      <c r="AU1175" s="94"/>
      <c r="AV1175" s="94"/>
      <c r="AW1175" s="94"/>
      <c r="AX1175" s="94"/>
      <c r="AY1175" s="94"/>
      <c r="AZ1175" s="94"/>
      <c r="BA1175" s="94"/>
      <c r="BB1175" s="94"/>
      <c r="BC1175" s="94"/>
      <c r="BD1175" s="94"/>
      <c r="BE1175" s="94"/>
      <c r="BF1175" s="94"/>
    </row>
    <row r="1176" spans="1:58" x14ac:dyDescent="0.35">
      <c r="A1176" s="107" t="s">
        <v>2976</v>
      </c>
      <c r="B1176" s="108" t="s">
        <v>0</v>
      </c>
      <c r="C1176" s="109">
        <v>7</v>
      </c>
      <c r="D1176" s="107" t="s">
        <v>1162</v>
      </c>
      <c r="E1176" s="109"/>
      <c r="F1176" s="94"/>
      <c r="G1176" s="94"/>
      <c r="H1176" s="94"/>
      <c r="I1176" s="94"/>
      <c r="J1176" s="94"/>
      <c r="K1176" s="94"/>
      <c r="L1176" s="94"/>
      <c r="M1176" s="94"/>
      <c r="N1176" s="94"/>
      <c r="O1176" s="94"/>
      <c r="P1176" s="94"/>
      <c r="Q1176" s="94"/>
      <c r="R1176" s="94"/>
      <c r="S1176" s="94"/>
      <c r="T1176" s="94"/>
      <c r="U1176" s="94"/>
      <c r="V1176" s="94"/>
      <c r="W1176" s="94"/>
      <c r="X1176" s="94"/>
      <c r="Y1176" s="94"/>
      <c r="Z1176" s="94"/>
      <c r="AA1176" s="94"/>
      <c r="AB1176" s="94"/>
      <c r="AC1176" s="94"/>
      <c r="AD1176" s="94"/>
      <c r="AE1176" s="94"/>
      <c r="AF1176" s="94"/>
      <c r="AG1176" s="94"/>
      <c r="AH1176" s="94"/>
      <c r="AI1176" s="94"/>
      <c r="AJ1176" s="94"/>
      <c r="AK1176" s="94"/>
      <c r="AL1176" s="94"/>
      <c r="AM1176" s="94"/>
      <c r="AN1176" s="94"/>
      <c r="AO1176" s="94"/>
      <c r="AP1176" s="94"/>
      <c r="AQ1176" s="94"/>
      <c r="AR1176" s="94"/>
      <c r="AS1176" s="94"/>
      <c r="AT1176" s="94"/>
      <c r="AU1176" s="94"/>
      <c r="AV1176" s="94"/>
      <c r="AW1176" s="94"/>
      <c r="AX1176" s="94"/>
      <c r="AY1176" s="94"/>
      <c r="AZ1176" s="94"/>
      <c r="BA1176" s="94"/>
      <c r="BB1176" s="94"/>
      <c r="BC1176" s="94"/>
      <c r="BD1176" s="94"/>
      <c r="BE1176" s="94"/>
      <c r="BF1176" s="94"/>
    </row>
    <row r="1177" spans="1:58" x14ac:dyDescent="0.35">
      <c r="A1177" s="107" t="s">
        <v>2977</v>
      </c>
      <c r="B1177" s="108" t="s">
        <v>0</v>
      </c>
      <c r="C1177" s="109">
        <v>7</v>
      </c>
      <c r="D1177" s="107" t="s">
        <v>1163</v>
      </c>
      <c r="E1177" s="109"/>
      <c r="F1177" s="94"/>
      <c r="G1177" s="94"/>
      <c r="H1177" s="94"/>
      <c r="I1177" s="94"/>
      <c r="J1177" s="94"/>
      <c r="K1177" s="94"/>
      <c r="L1177" s="94"/>
      <c r="M1177" s="94"/>
      <c r="N1177" s="94"/>
      <c r="O1177" s="94"/>
      <c r="P1177" s="94"/>
      <c r="Q1177" s="94"/>
      <c r="R1177" s="94"/>
      <c r="S1177" s="94"/>
      <c r="T1177" s="94"/>
      <c r="U1177" s="94"/>
      <c r="V1177" s="94"/>
      <c r="W1177" s="94"/>
      <c r="X1177" s="94"/>
      <c r="Y1177" s="94"/>
      <c r="Z1177" s="94"/>
      <c r="AA1177" s="94"/>
      <c r="AB1177" s="94"/>
      <c r="AC1177" s="94"/>
      <c r="AD1177" s="94"/>
      <c r="AE1177" s="94"/>
      <c r="AF1177" s="94"/>
      <c r="AG1177" s="94"/>
      <c r="AH1177" s="94"/>
      <c r="AI1177" s="94"/>
      <c r="AJ1177" s="94"/>
      <c r="AK1177" s="94"/>
      <c r="AL1177" s="94"/>
      <c r="AM1177" s="94"/>
      <c r="AN1177" s="94"/>
      <c r="AO1177" s="94"/>
      <c r="AP1177" s="94"/>
      <c r="AQ1177" s="94"/>
      <c r="AR1177" s="94"/>
      <c r="AS1177" s="94"/>
      <c r="AT1177" s="94"/>
      <c r="AU1177" s="94"/>
      <c r="AV1177" s="94"/>
      <c r="AW1177" s="94"/>
      <c r="AX1177" s="94"/>
      <c r="AY1177" s="94"/>
      <c r="AZ1177" s="94"/>
      <c r="BA1177" s="94"/>
      <c r="BB1177" s="94"/>
      <c r="BC1177" s="94"/>
      <c r="BD1177" s="94"/>
      <c r="BE1177" s="94"/>
      <c r="BF1177" s="94"/>
    </row>
    <row r="1178" spans="1:58" x14ac:dyDescent="0.35">
      <c r="A1178" s="104" t="s">
        <v>2978</v>
      </c>
      <c r="B1178" s="105" t="s">
        <v>0</v>
      </c>
      <c r="C1178" s="106">
        <v>6</v>
      </c>
      <c r="D1178" s="104" t="s">
        <v>16</v>
      </c>
      <c r="E1178" s="106"/>
      <c r="F1178" s="94"/>
      <c r="G1178" s="94"/>
      <c r="H1178" s="94"/>
      <c r="I1178" s="94"/>
      <c r="J1178" s="94"/>
      <c r="K1178" s="94"/>
      <c r="L1178" s="94"/>
      <c r="M1178" s="94"/>
      <c r="N1178" s="94"/>
      <c r="O1178" s="94"/>
      <c r="P1178" s="94"/>
      <c r="Q1178" s="94"/>
      <c r="R1178" s="94"/>
      <c r="S1178" s="94"/>
      <c r="T1178" s="94"/>
      <c r="U1178" s="94"/>
      <c r="V1178" s="94"/>
      <c r="W1178" s="94"/>
      <c r="X1178" s="94"/>
      <c r="Y1178" s="94"/>
      <c r="Z1178" s="94"/>
      <c r="AA1178" s="94"/>
      <c r="AB1178" s="94"/>
      <c r="AC1178" s="94"/>
      <c r="AD1178" s="94"/>
      <c r="AE1178" s="94"/>
      <c r="AF1178" s="94"/>
      <c r="AG1178" s="94"/>
      <c r="AH1178" s="94"/>
      <c r="AI1178" s="94"/>
      <c r="AJ1178" s="94"/>
      <c r="AK1178" s="94"/>
      <c r="AL1178" s="94"/>
      <c r="AM1178" s="94"/>
      <c r="AN1178" s="94"/>
      <c r="AO1178" s="94"/>
      <c r="AP1178" s="94"/>
      <c r="AQ1178" s="94"/>
      <c r="AR1178" s="94"/>
      <c r="AS1178" s="94"/>
      <c r="AT1178" s="94"/>
      <c r="AU1178" s="94"/>
      <c r="AV1178" s="94"/>
      <c r="AW1178" s="94"/>
      <c r="AX1178" s="94"/>
      <c r="AY1178" s="94"/>
      <c r="AZ1178" s="94"/>
      <c r="BA1178" s="94"/>
      <c r="BB1178" s="94"/>
      <c r="BC1178" s="94"/>
      <c r="BD1178" s="94"/>
      <c r="BE1178" s="94"/>
      <c r="BF1178" s="94"/>
    </row>
    <row r="1179" spans="1:58" x14ac:dyDescent="0.35">
      <c r="A1179" s="107" t="s">
        <v>2979</v>
      </c>
      <c r="B1179" s="108" t="s">
        <v>0</v>
      </c>
      <c r="C1179" s="109">
        <v>7</v>
      </c>
      <c r="D1179" s="107" t="s">
        <v>1164</v>
      </c>
      <c r="E1179" s="109" t="s">
        <v>220</v>
      </c>
      <c r="F1179" s="94"/>
      <c r="G1179" s="94"/>
      <c r="H1179" s="94"/>
      <c r="I1179" s="94"/>
      <c r="J1179" s="94"/>
      <c r="K1179" s="94"/>
      <c r="L1179" s="94"/>
      <c r="M1179" s="94"/>
      <c r="N1179" s="94"/>
      <c r="O1179" s="94"/>
      <c r="P1179" s="94"/>
      <c r="Q1179" s="94"/>
      <c r="R1179" s="94"/>
      <c r="S1179" s="94"/>
      <c r="T1179" s="94"/>
      <c r="U1179" s="94"/>
      <c r="V1179" s="94"/>
      <c r="W1179" s="94"/>
      <c r="X1179" s="94"/>
      <c r="Y1179" s="94"/>
      <c r="Z1179" s="94"/>
      <c r="AA1179" s="94"/>
      <c r="AB1179" s="94"/>
      <c r="AC1179" s="94"/>
      <c r="AD1179" s="94"/>
      <c r="AE1179" s="94"/>
      <c r="AF1179" s="94"/>
      <c r="AG1179" s="94"/>
      <c r="AH1179" s="94"/>
      <c r="AI1179" s="94"/>
      <c r="AJ1179" s="94"/>
      <c r="AK1179" s="94"/>
      <c r="AL1179" s="94"/>
      <c r="AM1179" s="94"/>
      <c r="AN1179" s="94"/>
      <c r="AO1179" s="94"/>
      <c r="AP1179" s="94"/>
      <c r="AQ1179" s="94"/>
      <c r="AR1179" s="94"/>
      <c r="AS1179" s="94"/>
      <c r="AT1179" s="94"/>
      <c r="AU1179" s="94"/>
      <c r="AV1179" s="94"/>
      <c r="AW1179" s="94"/>
      <c r="AX1179" s="94"/>
      <c r="AY1179" s="94"/>
      <c r="AZ1179" s="94"/>
      <c r="BA1179" s="94"/>
      <c r="BB1179" s="94"/>
      <c r="BC1179" s="94"/>
      <c r="BD1179" s="94"/>
      <c r="BE1179" s="94"/>
      <c r="BF1179" s="94"/>
    </row>
    <row r="1180" spans="1:58" x14ac:dyDescent="0.35">
      <c r="A1180" s="104" t="s">
        <v>2980</v>
      </c>
      <c r="B1180" s="105" t="s">
        <v>0</v>
      </c>
      <c r="C1180" s="106">
        <v>6</v>
      </c>
      <c r="D1180" s="104" t="s">
        <v>30</v>
      </c>
      <c r="E1180" s="106"/>
      <c r="F1180" s="94"/>
      <c r="G1180" s="94"/>
      <c r="H1180" s="94"/>
      <c r="I1180" s="94"/>
      <c r="J1180" s="94"/>
      <c r="K1180" s="94"/>
      <c r="L1180" s="94"/>
      <c r="M1180" s="94"/>
      <c r="N1180" s="94"/>
      <c r="O1180" s="94"/>
      <c r="P1180" s="94"/>
      <c r="Q1180" s="94"/>
      <c r="R1180" s="94"/>
      <c r="S1180" s="94"/>
      <c r="T1180" s="94"/>
      <c r="U1180" s="94"/>
      <c r="V1180" s="94"/>
      <c r="W1180" s="94"/>
      <c r="X1180" s="94"/>
      <c r="Y1180" s="94"/>
      <c r="Z1180" s="94"/>
      <c r="AA1180" s="94"/>
      <c r="AB1180" s="94"/>
      <c r="AC1180" s="94"/>
      <c r="AD1180" s="94"/>
      <c r="AE1180" s="94"/>
      <c r="AF1180" s="94"/>
      <c r="AG1180" s="94"/>
      <c r="AH1180" s="94"/>
      <c r="AI1180" s="94"/>
      <c r="AJ1180" s="94"/>
      <c r="AK1180" s="94"/>
      <c r="AL1180" s="94"/>
      <c r="AM1180" s="94"/>
      <c r="AN1180" s="94"/>
      <c r="AO1180" s="94"/>
      <c r="AP1180" s="94"/>
      <c r="AQ1180" s="94"/>
      <c r="AR1180" s="94"/>
      <c r="AS1180" s="94"/>
      <c r="AT1180" s="94"/>
      <c r="AU1180" s="94"/>
      <c r="AV1180" s="94"/>
      <c r="AW1180" s="94"/>
      <c r="AX1180" s="94"/>
      <c r="AY1180" s="94"/>
      <c r="AZ1180" s="94"/>
      <c r="BA1180" s="94"/>
      <c r="BB1180" s="94"/>
      <c r="BC1180" s="94"/>
      <c r="BD1180" s="94"/>
      <c r="BE1180" s="94"/>
      <c r="BF1180" s="94"/>
    </row>
    <row r="1181" spans="1:58" x14ac:dyDescent="0.35">
      <c r="A1181" s="107" t="s">
        <v>2981</v>
      </c>
      <c r="B1181" s="108" t="s">
        <v>0</v>
      </c>
      <c r="C1181" s="109">
        <v>7</v>
      </c>
      <c r="D1181" s="107" t="s">
        <v>1656</v>
      </c>
      <c r="E1181" s="109"/>
      <c r="F1181" s="94"/>
      <c r="G1181" s="94"/>
      <c r="H1181" s="94"/>
      <c r="I1181" s="94"/>
      <c r="J1181" s="94"/>
      <c r="K1181" s="94"/>
      <c r="L1181" s="94"/>
      <c r="M1181" s="94"/>
      <c r="N1181" s="94"/>
      <c r="O1181" s="94"/>
      <c r="P1181" s="94"/>
      <c r="Q1181" s="94"/>
      <c r="R1181" s="94"/>
      <c r="S1181" s="94"/>
      <c r="T1181" s="94"/>
      <c r="U1181" s="94"/>
      <c r="V1181" s="94"/>
      <c r="W1181" s="94"/>
      <c r="X1181" s="94"/>
      <c r="Y1181" s="94"/>
      <c r="Z1181" s="94"/>
      <c r="AA1181" s="94"/>
      <c r="AB1181" s="94"/>
      <c r="AC1181" s="94"/>
      <c r="AD1181" s="94"/>
      <c r="AE1181" s="94"/>
      <c r="AF1181" s="94"/>
      <c r="AG1181" s="94"/>
      <c r="AH1181" s="94"/>
      <c r="AI1181" s="94"/>
      <c r="AJ1181" s="94"/>
      <c r="AK1181" s="94"/>
      <c r="AL1181" s="94"/>
      <c r="AM1181" s="94"/>
      <c r="AN1181" s="94"/>
      <c r="AO1181" s="94"/>
      <c r="AP1181" s="94"/>
      <c r="AQ1181" s="94"/>
      <c r="AR1181" s="94"/>
      <c r="AS1181" s="94"/>
      <c r="AT1181" s="94"/>
      <c r="AU1181" s="94"/>
      <c r="AV1181" s="94"/>
      <c r="AW1181" s="94"/>
      <c r="AX1181" s="94"/>
      <c r="AY1181" s="94"/>
      <c r="AZ1181" s="94"/>
      <c r="BA1181" s="94"/>
      <c r="BB1181" s="94"/>
      <c r="BC1181" s="94"/>
      <c r="BD1181" s="94"/>
      <c r="BE1181" s="94"/>
      <c r="BF1181" s="94"/>
    </row>
    <row r="1182" spans="1:58" x14ac:dyDescent="0.35">
      <c r="A1182" s="107" t="s">
        <v>2982</v>
      </c>
      <c r="B1182" s="108" t="s">
        <v>0</v>
      </c>
      <c r="C1182" s="109">
        <v>7</v>
      </c>
      <c r="D1182" s="107" t="s">
        <v>1659</v>
      </c>
      <c r="E1182" s="109"/>
      <c r="F1182" s="94"/>
      <c r="G1182" s="94"/>
      <c r="H1182" s="94"/>
      <c r="I1182" s="94"/>
      <c r="J1182" s="94"/>
      <c r="K1182" s="94"/>
      <c r="L1182" s="94"/>
      <c r="M1182" s="94"/>
      <c r="N1182" s="94"/>
      <c r="O1182" s="94"/>
      <c r="P1182" s="94"/>
      <c r="Q1182" s="94"/>
      <c r="R1182" s="94"/>
      <c r="S1182" s="94"/>
      <c r="T1182" s="94"/>
      <c r="U1182" s="94"/>
      <c r="V1182" s="94"/>
      <c r="W1182" s="94"/>
      <c r="X1182" s="94"/>
      <c r="Y1182" s="94"/>
      <c r="Z1182" s="94"/>
      <c r="AA1182" s="94"/>
      <c r="AB1182" s="94"/>
      <c r="AC1182" s="94"/>
      <c r="AD1182" s="94"/>
      <c r="AE1182" s="94"/>
      <c r="AF1182" s="94"/>
      <c r="AG1182" s="94"/>
      <c r="AH1182" s="94"/>
      <c r="AI1182" s="94"/>
      <c r="AJ1182" s="94"/>
      <c r="AK1182" s="94"/>
      <c r="AL1182" s="94"/>
      <c r="AM1182" s="94"/>
      <c r="AN1182" s="94"/>
      <c r="AO1182" s="94"/>
      <c r="AP1182" s="94"/>
      <c r="AQ1182" s="94"/>
      <c r="AR1182" s="94"/>
      <c r="AS1182" s="94"/>
      <c r="AT1182" s="94"/>
      <c r="AU1182" s="94"/>
      <c r="AV1182" s="94"/>
      <c r="AW1182" s="94"/>
      <c r="AX1182" s="94"/>
      <c r="AY1182" s="94"/>
      <c r="AZ1182" s="94"/>
      <c r="BA1182" s="94"/>
      <c r="BB1182" s="94"/>
      <c r="BC1182" s="94"/>
      <c r="BD1182" s="94"/>
      <c r="BE1182" s="94"/>
      <c r="BF1182" s="94"/>
    </row>
    <row r="1183" spans="1:58" x14ac:dyDescent="0.35">
      <c r="A1183" s="107" t="s">
        <v>2983</v>
      </c>
      <c r="B1183" s="108" t="s">
        <v>0</v>
      </c>
      <c r="C1183" s="109">
        <v>7</v>
      </c>
      <c r="D1183" s="107" t="s">
        <v>1657</v>
      </c>
      <c r="E1183" s="109"/>
      <c r="F1183" s="94"/>
      <c r="G1183" s="94"/>
      <c r="H1183" s="94"/>
      <c r="I1183" s="94"/>
      <c r="J1183" s="94"/>
      <c r="K1183" s="94"/>
      <c r="L1183" s="94"/>
      <c r="M1183" s="94"/>
      <c r="N1183" s="94"/>
      <c r="O1183" s="94"/>
      <c r="P1183" s="94"/>
      <c r="Q1183" s="94"/>
      <c r="R1183" s="94"/>
      <c r="S1183" s="94"/>
      <c r="T1183" s="94"/>
      <c r="U1183" s="94"/>
      <c r="V1183" s="94"/>
      <c r="W1183" s="94"/>
      <c r="X1183" s="94"/>
      <c r="Y1183" s="94"/>
      <c r="Z1183" s="94"/>
      <c r="AA1183" s="94"/>
      <c r="AB1183" s="94"/>
      <c r="AC1183" s="94"/>
      <c r="AD1183" s="94"/>
      <c r="AE1183" s="94"/>
      <c r="AF1183" s="94"/>
      <c r="AG1183" s="94"/>
      <c r="AH1183" s="94"/>
      <c r="AI1183" s="94"/>
      <c r="AJ1183" s="94"/>
      <c r="AK1183" s="94"/>
      <c r="AL1183" s="94"/>
      <c r="AM1183" s="94"/>
      <c r="AN1183" s="94"/>
      <c r="AO1183" s="94"/>
      <c r="AP1183" s="94"/>
      <c r="AQ1183" s="94"/>
      <c r="AR1183" s="94"/>
      <c r="AS1183" s="94"/>
      <c r="AT1183" s="94"/>
      <c r="AU1183" s="94"/>
      <c r="AV1183" s="94"/>
      <c r="AW1183" s="94"/>
      <c r="AX1183" s="94"/>
      <c r="AY1183" s="94"/>
      <c r="AZ1183" s="94"/>
      <c r="BA1183" s="94"/>
      <c r="BB1183" s="94"/>
      <c r="BC1183" s="94"/>
      <c r="BD1183" s="94"/>
      <c r="BE1183" s="94"/>
      <c r="BF1183" s="94"/>
    </row>
    <row r="1184" spans="1:58" x14ac:dyDescent="0.35">
      <c r="A1184" s="107" t="s">
        <v>2984</v>
      </c>
      <c r="B1184" s="108" t="s">
        <v>0</v>
      </c>
      <c r="C1184" s="109">
        <v>7</v>
      </c>
      <c r="D1184" s="107" t="s">
        <v>1658</v>
      </c>
      <c r="E1184" s="109"/>
      <c r="F1184" s="94"/>
      <c r="G1184" s="94"/>
      <c r="H1184" s="94"/>
      <c r="I1184" s="94"/>
      <c r="J1184" s="94"/>
      <c r="K1184" s="94"/>
      <c r="L1184" s="94"/>
      <c r="M1184" s="94"/>
      <c r="N1184" s="94"/>
      <c r="O1184" s="94"/>
      <c r="P1184" s="94"/>
      <c r="Q1184" s="94"/>
      <c r="R1184" s="94"/>
      <c r="S1184" s="94"/>
      <c r="T1184" s="94"/>
      <c r="U1184" s="94"/>
      <c r="V1184" s="94"/>
      <c r="W1184" s="94"/>
      <c r="X1184" s="94"/>
      <c r="Y1184" s="94"/>
      <c r="Z1184" s="94"/>
      <c r="AA1184" s="94"/>
      <c r="AB1184" s="94"/>
      <c r="AC1184" s="94"/>
      <c r="AD1184" s="94"/>
      <c r="AE1184" s="94"/>
      <c r="AF1184" s="94"/>
      <c r="AG1184" s="94"/>
      <c r="AH1184" s="94"/>
      <c r="AI1184" s="94"/>
      <c r="AJ1184" s="94"/>
      <c r="AK1184" s="94"/>
      <c r="AL1184" s="94"/>
      <c r="AM1184" s="94"/>
      <c r="AN1184" s="94"/>
      <c r="AO1184" s="94"/>
      <c r="AP1184" s="94"/>
      <c r="AQ1184" s="94"/>
      <c r="AR1184" s="94"/>
      <c r="AS1184" s="94"/>
      <c r="AT1184" s="94"/>
      <c r="AU1184" s="94"/>
      <c r="AV1184" s="94"/>
      <c r="AW1184" s="94"/>
      <c r="AX1184" s="94"/>
      <c r="AY1184" s="94"/>
      <c r="AZ1184" s="94"/>
      <c r="BA1184" s="94"/>
      <c r="BB1184" s="94"/>
      <c r="BC1184" s="94"/>
      <c r="BD1184" s="94"/>
      <c r="BE1184" s="94"/>
      <c r="BF1184" s="94"/>
    </row>
    <row r="1185" spans="1:58" x14ac:dyDescent="0.35">
      <c r="A1185" s="104" t="s">
        <v>2985</v>
      </c>
      <c r="B1185" s="105" t="s">
        <v>0</v>
      </c>
      <c r="C1185" s="106">
        <v>6</v>
      </c>
      <c r="D1185" s="104" t="s">
        <v>123</v>
      </c>
      <c r="E1185" s="106"/>
      <c r="F1185" s="94"/>
      <c r="G1185" s="94"/>
      <c r="H1185" s="94"/>
      <c r="I1185" s="94"/>
      <c r="J1185" s="94"/>
      <c r="K1185" s="94"/>
      <c r="L1185" s="94"/>
      <c r="M1185" s="94"/>
      <c r="N1185" s="94"/>
      <c r="O1185" s="94"/>
      <c r="P1185" s="94"/>
      <c r="Q1185" s="94"/>
      <c r="R1185" s="94"/>
      <c r="S1185" s="94"/>
      <c r="T1185" s="94"/>
      <c r="U1185" s="94"/>
      <c r="V1185" s="94"/>
      <c r="W1185" s="94"/>
      <c r="X1185" s="94"/>
      <c r="Y1185" s="94"/>
      <c r="Z1185" s="94"/>
      <c r="AA1185" s="94"/>
      <c r="AB1185" s="94"/>
      <c r="AC1185" s="94"/>
      <c r="AD1185" s="94"/>
      <c r="AE1185" s="94"/>
      <c r="AF1185" s="94"/>
      <c r="AG1185" s="94"/>
      <c r="AH1185" s="94"/>
      <c r="AI1185" s="94"/>
      <c r="AJ1185" s="94"/>
      <c r="AK1185" s="94"/>
      <c r="AL1185" s="94"/>
      <c r="AM1185" s="94"/>
      <c r="AN1185" s="94"/>
      <c r="AO1185" s="94"/>
      <c r="AP1185" s="94"/>
      <c r="AQ1185" s="94"/>
      <c r="AR1185" s="94"/>
      <c r="AS1185" s="94"/>
      <c r="AT1185" s="94"/>
      <c r="AU1185" s="94"/>
      <c r="AV1185" s="94"/>
      <c r="AW1185" s="94"/>
      <c r="AX1185" s="94"/>
      <c r="AY1185" s="94"/>
      <c r="AZ1185" s="94"/>
      <c r="BA1185" s="94"/>
      <c r="BB1185" s="94"/>
      <c r="BC1185" s="94"/>
      <c r="BD1185" s="94"/>
      <c r="BE1185" s="94"/>
      <c r="BF1185" s="94"/>
    </row>
    <row r="1186" spans="1:58" x14ac:dyDescent="0.35">
      <c r="A1186" s="107" t="s">
        <v>2986</v>
      </c>
      <c r="B1186" s="108" t="s">
        <v>0</v>
      </c>
      <c r="C1186" s="109">
        <v>7</v>
      </c>
      <c r="D1186" s="107" t="s">
        <v>1654</v>
      </c>
      <c r="E1186" s="109"/>
      <c r="F1186" s="94"/>
      <c r="G1186" s="94"/>
      <c r="H1186" s="94"/>
      <c r="I1186" s="94"/>
      <c r="J1186" s="94"/>
      <c r="K1186" s="94"/>
      <c r="L1186" s="94"/>
      <c r="M1186" s="94"/>
      <c r="N1186" s="94"/>
      <c r="O1186" s="94"/>
      <c r="P1186" s="94"/>
      <c r="Q1186" s="94"/>
      <c r="R1186" s="94"/>
      <c r="S1186" s="94"/>
      <c r="T1186" s="94"/>
      <c r="U1186" s="94"/>
      <c r="V1186" s="94"/>
      <c r="W1186" s="94"/>
      <c r="X1186" s="94"/>
      <c r="Y1186" s="94"/>
      <c r="Z1186" s="94"/>
      <c r="AA1186" s="94"/>
      <c r="AB1186" s="94"/>
      <c r="AC1186" s="94"/>
      <c r="AD1186" s="94"/>
      <c r="AE1186" s="94"/>
      <c r="AF1186" s="94"/>
      <c r="AG1186" s="94"/>
      <c r="AH1186" s="94"/>
      <c r="AI1186" s="94"/>
      <c r="AJ1186" s="94"/>
      <c r="AK1186" s="94"/>
      <c r="AL1186" s="94"/>
      <c r="AM1186" s="94"/>
      <c r="AN1186" s="94"/>
      <c r="AO1186" s="94"/>
      <c r="AP1186" s="94"/>
      <c r="AQ1186" s="94"/>
      <c r="AR1186" s="94"/>
      <c r="AS1186" s="94"/>
      <c r="AT1186" s="94"/>
      <c r="AU1186" s="94"/>
      <c r="AV1186" s="94"/>
      <c r="AW1186" s="94"/>
      <c r="AX1186" s="94"/>
      <c r="AY1186" s="94"/>
      <c r="AZ1186" s="94"/>
      <c r="BA1186" s="94"/>
      <c r="BB1186" s="94"/>
      <c r="BC1186" s="94"/>
      <c r="BD1186" s="94"/>
      <c r="BE1186" s="94"/>
      <c r="BF1186" s="94"/>
    </row>
    <row r="1187" spans="1:58" x14ac:dyDescent="0.35">
      <c r="A1187" s="101" t="s">
        <v>2987</v>
      </c>
      <c r="B1187" s="102" t="s">
        <v>0</v>
      </c>
      <c r="C1187" s="103">
        <v>5</v>
      </c>
      <c r="D1187" s="101" t="s">
        <v>465</v>
      </c>
      <c r="E1187" s="103" t="s">
        <v>221</v>
      </c>
      <c r="F1187" s="94"/>
      <c r="G1187" s="94"/>
      <c r="H1187" s="94"/>
      <c r="I1187" s="94"/>
      <c r="J1187" s="94"/>
      <c r="K1187" s="94"/>
      <c r="L1187" s="94"/>
      <c r="M1187" s="94"/>
      <c r="N1187" s="94"/>
      <c r="O1187" s="94"/>
      <c r="P1187" s="94"/>
      <c r="Q1187" s="94"/>
      <c r="R1187" s="94"/>
      <c r="S1187" s="94"/>
      <c r="T1187" s="94"/>
      <c r="U1187" s="94"/>
      <c r="V1187" s="94"/>
      <c r="W1187" s="94"/>
      <c r="X1187" s="94"/>
      <c r="Y1187" s="94"/>
      <c r="Z1187" s="94"/>
      <c r="AA1187" s="94"/>
      <c r="AB1187" s="94"/>
      <c r="AC1187" s="94"/>
      <c r="AD1187" s="94"/>
      <c r="AE1187" s="94"/>
      <c r="AF1187" s="94"/>
      <c r="AG1187" s="94"/>
      <c r="AH1187" s="94"/>
      <c r="AI1187" s="94"/>
      <c r="AJ1187" s="94"/>
      <c r="AK1187" s="94"/>
      <c r="AL1187" s="94"/>
      <c r="AM1187" s="94"/>
      <c r="AN1187" s="94"/>
      <c r="AO1187" s="94"/>
      <c r="AP1187" s="94"/>
      <c r="AQ1187" s="94"/>
      <c r="AR1187" s="94"/>
      <c r="AS1187" s="94"/>
      <c r="AT1187" s="94"/>
      <c r="AU1187" s="94"/>
      <c r="AV1187" s="94"/>
      <c r="AW1187" s="94"/>
      <c r="AX1187" s="94"/>
      <c r="AY1187" s="94"/>
      <c r="AZ1187" s="94"/>
      <c r="BA1187" s="94"/>
      <c r="BB1187" s="94"/>
      <c r="BC1187" s="94"/>
      <c r="BD1187" s="94"/>
      <c r="BE1187" s="94"/>
      <c r="BF1187" s="94"/>
    </row>
    <row r="1188" spans="1:58" x14ac:dyDescent="0.35">
      <c r="A1188" s="104" t="s">
        <v>2988</v>
      </c>
      <c r="B1188" s="105" t="s">
        <v>0</v>
      </c>
      <c r="C1188" s="106">
        <v>6</v>
      </c>
      <c r="D1188" s="104" t="s">
        <v>564</v>
      </c>
      <c r="E1188" s="106"/>
      <c r="F1188" s="94"/>
      <c r="G1188" s="94"/>
      <c r="H1188" s="94"/>
      <c r="I1188" s="94"/>
      <c r="J1188" s="94"/>
      <c r="K1188" s="94"/>
      <c r="L1188" s="94"/>
      <c r="M1188" s="94"/>
      <c r="N1188" s="94"/>
      <c r="O1188" s="94"/>
      <c r="P1188" s="94"/>
      <c r="Q1188" s="94"/>
      <c r="R1188" s="94"/>
      <c r="S1188" s="94"/>
      <c r="T1188" s="94"/>
      <c r="U1188" s="94"/>
      <c r="V1188" s="94"/>
      <c r="W1188" s="94"/>
      <c r="X1188" s="94"/>
      <c r="Y1188" s="94"/>
      <c r="Z1188" s="94"/>
      <c r="AA1188" s="94"/>
      <c r="AB1188" s="94"/>
      <c r="AC1188" s="94"/>
      <c r="AD1188" s="94"/>
      <c r="AE1188" s="94"/>
      <c r="AF1188" s="94"/>
      <c r="AG1188" s="94"/>
      <c r="AH1188" s="94"/>
      <c r="AI1188" s="94"/>
      <c r="AJ1188" s="94"/>
      <c r="AK1188" s="94"/>
      <c r="AL1188" s="94"/>
      <c r="AM1188" s="94"/>
      <c r="AN1188" s="94"/>
      <c r="AO1188" s="94"/>
      <c r="AP1188" s="94"/>
      <c r="AQ1188" s="94"/>
      <c r="AR1188" s="94"/>
      <c r="AS1188" s="94"/>
      <c r="AT1188" s="94"/>
      <c r="AU1188" s="94"/>
      <c r="AV1188" s="94"/>
      <c r="AW1188" s="94"/>
      <c r="AX1188" s="94"/>
      <c r="AY1188" s="94"/>
      <c r="AZ1188" s="94"/>
      <c r="BA1188" s="94"/>
      <c r="BB1188" s="94"/>
      <c r="BC1188" s="94"/>
      <c r="BD1188" s="94"/>
      <c r="BE1188" s="94"/>
      <c r="BF1188" s="94"/>
    </row>
    <row r="1189" spans="1:58" x14ac:dyDescent="0.35">
      <c r="A1189" s="107" t="s">
        <v>2989</v>
      </c>
      <c r="B1189" s="108" t="s">
        <v>0</v>
      </c>
      <c r="C1189" s="109">
        <v>7</v>
      </c>
      <c r="D1189" s="107" t="s">
        <v>1166</v>
      </c>
      <c r="E1189" s="109"/>
      <c r="F1189" s="94"/>
      <c r="G1189" s="94"/>
      <c r="H1189" s="94"/>
      <c r="I1189" s="94"/>
      <c r="J1189" s="94"/>
      <c r="K1189" s="94"/>
      <c r="L1189" s="94"/>
      <c r="M1189" s="94"/>
      <c r="N1189" s="94"/>
      <c r="O1189" s="94"/>
      <c r="P1189" s="94"/>
      <c r="Q1189" s="94"/>
      <c r="R1189" s="94"/>
      <c r="S1189" s="94"/>
      <c r="T1189" s="94"/>
      <c r="U1189" s="94"/>
      <c r="V1189" s="94"/>
      <c r="W1189" s="94"/>
      <c r="X1189" s="94"/>
      <c r="Y1189" s="94"/>
      <c r="Z1189" s="94"/>
      <c r="AA1189" s="94"/>
      <c r="AB1189" s="94"/>
      <c r="AC1189" s="94"/>
      <c r="AD1189" s="94"/>
      <c r="AE1189" s="94"/>
      <c r="AF1189" s="94"/>
      <c r="AG1189" s="94"/>
      <c r="AH1189" s="94"/>
      <c r="AI1189" s="94"/>
      <c r="AJ1189" s="94"/>
      <c r="AK1189" s="94"/>
      <c r="AL1189" s="94"/>
      <c r="AM1189" s="94"/>
      <c r="AN1189" s="94"/>
      <c r="AO1189" s="94"/>
      <c r="AP1189" s="94"/>
      <c r="AQ1189" s="94"/>
      <c r="AR1189" s="94"/>
      <c r="AS1189" s="94"/>
      <c r="AT1189" s="94"/>
      <c r="AU1189" s="94"/>
      <c r="AV1189" s="94"/>
      <c r="AW1189" s="94"/>
      <c r="AX1189" s="94"/>
      <c r="AY1189" s="94"/>
      <c r="AZ1189" s="94"/>
      <c r="BA1189" s="94"/>
      <c r="BB1189" s="94"/>
      <c r="BC1189" s="94"/>
      <c r="BD1189" s="94"/>
      <c r="BE1189" s="94"/>
      <c r="BF1189" s="94"/>
    </row>
    <row r="1190" spans="1:58" x14ac:dyDescent="0.35">
      <c r="A1190" s="107" t="s">
        <v>2990</v>
      </c>
      <c r="B1190" s="108" t="s">
        <v>0</v>
      </c>
      <c r="C1190" s="109">
        <v>7</v>
      </c>
      <c r="D1190" s="107" t="s">
        <v>1167</v>
      </c>
      <c r="E1190" s="109"/>
      <c r="F1190" s="94"/>
      <c r="G1190" s="94"/>
      <c r="H1190" s="94"/>
      <c r="I1190" s="94"/>
      <c r="J1190" s="94"/>
      <c r="K1190" s="94"/>
      <c r="L1190" s="94"/>
      <c r="M1190" s="94"/>
      <c r="N1190" s="94"/>
      <c r="O1190" s="94"/>
      <c r="P1190" s="94"/>
      <c r="Q1190" s="94"/>
      <c r="R1190" s="94"/>
      <c r="S1190" s="94"/>
      <c r="T1190" s="94"/>
      <c r="U1190" s="94"/>
      <c r="V1190" s="94"/>
      <c r="W1190" s="94"/>
      <c r="X1190" s="94"/>
      <c r="Y1190" s="94"/>
      <c r="Z1190" s="94"/>
      <c r="AA1190" s="94"/>
      <c r="AB1190" s="94"/>
      <c r="AC1190" s="94"/>
      <c r="AD1190" s="94"/>
      <c r="AE1190" s="94"/>
      <c r="AF1190" s="94"/>
      <c r="AG1190" s="94"/>
      <c r="AH1190" s="94"/>
      <c r="AI1190" s="94"/>
      <c r="AJ1190" s="94"/>
      <c r="AK1190" s="94"/>
      <c r="AL1190" s="94"/>
      <c r="AM1190" s="94"/>
      <c r="AN1190" s="94"/>
      <c r="AO1190" s="94"/>
      <c r="AP1190" s="94"/>
      <c r="AQ1190" s="94"/>
      <c r="AR1190" s="94"/>
      <c r="AS1190" s="94"/>
      <c r="AT1190" s="94"/>
      <c r="AU1190" s="94"/>
      <c r="AV1190" s="94"/>
      <c r="AW1190" s="94"/>
      <c r="AX1190" s="94"/>
      <c r="AY1190" s="94"/>
      <c r="AZ1190" s="94"/>
      <c r="BA1190" s="94"/>
      <c r="BB1190" s="94"/>
      <c r="BC1190" s="94"/>
      <c r="BD1190" s="94"/>
      <c r="BE1190" s="94"/>
      <c r="BF1190" s="94"/>
    </row>
    <row r="1191" spans="1:58" x14ac:dyDescent="0.35">
      <c r="A1191" s="107" t="s">
        <v>2991</v>
      </c>
      <c r="B1191" s="108" t="s">
        <v>0</v>
      </c>
      <c r="C1191" s="109">
        <v>7</v>
      </c>
      <c r="D1191" s="107" t="s">
        <v>1165</v>
      </c>
      <c r="E1191" s="109"/>
      <c r="F1191" s="94"/>
      <c r="G1191" s="94"/>
      <c r="H1191" s="94"/>
      <c r="I1191" s="94"/>
      <c r="J1191" s="94"/>
      <c r="K1191" s="94"/>
      <c r="L1191" s="94"/>
      <c r="M1191" s="94"/>
      <c r="N1191" s="94"/>
      <c r="O1191" s="94"/>
      <c r="P1191" s="94"/>
      <c r="Q1191" s="94"/>
      <c r="R1191" s="94"/>
      <c r="S1191" s="94"/>
      <c r="T1191" s="94"/>
      <c r="U1191" s="94"/>
      <c r="V1191" s="94"/>
      <c r="W1191" s="94"/>
      <c r="X1191" s="94"/>
      <c r="Y1191" s="94"/>
      <c r="Z1191" s="94"/>
      <c r="AA1191" s="94"/>
      <c r="AB1191" s="94"/>
      <c r="AC1191" s="94"/>
      <c r="AD1191" s="94"/>
      <c r="AE1191" s="94"/>
      <c r="AF1191" s="94"/>
      <c r="AG1191" s="94"/>
      <c r="AH1191" s="94"/>
      <c r="AI1191" s="94"/>
      <c r="AJ1191" s="94"/>
      <c r="AK1191" s="94"/>
      <c r="AL1191" s="94"/>
      <c r="AM1191" s="94"/>
      <c r="AN1191" s="94"/>
      <c r="AO1191" s="94"/>
      <c r="AP1191" s="94"/>
      <c r="AQ1191" s="94"/>
      <c r="AR1191" s="94"/>
      <c r="AS1191" s="94"/>
      <c r="AT1191" s="94"/>
      <c r="AU1191" s="94"/>
      <c r="AV1191" s="94"/>
      <c r="AW1191" s="94"/>
      <c r="AX1191" s="94"/>
      <c r="AY1191" s="94"/>
      <c r="AZ1191" s="94"/>
      <c r="BA1191" s="94"/>
      <c r="BB1191" s="94"/>
      <c r="BC1191" s="94"/>
      <c r="BD1191" s="94"/>
      <c r="BE1191" s="94"/>
      <c r="BF1191" s="94"/>
    </row>
    <row r="1192" spans="1:58" x14ac:dyDescent="0.35">
      <c r="A1192" s="107" t="s">
        <v>2992</v>
      </c>
      <c r="B1192" s="108" t="s">
        <v>0</v>
      </c>
      <c r="C1192" s="109">
        <v>7</v>
      </c>
      <c r="D1192" s="107" t="s">
        <v>1168</v>
      </c>
      <c r="E1192" s="109"/>
      <c r="F1192" s="94"/>
      <c r="G1192" s="94"/>
      <c r="H1192" s="94"/>
      <c r="I1192" s="94"/>
      <c r="J1192" s="94"/>
      <c r="K1192" s="94"/>
      <c r="L1192" s="94"/>
      <c r="M1192" s="94"/>
      <c r="N1192" s="94"/>
      <c r="O1192" s="94"/>
      <c r="P1192" s="94"/>
      <c r="Q1192" s="94"/>
      <c r="R1192" s="94"/>
      <c r="S1192" s="94"/>
      <c r="T1192" s="94"/>
      <c r="U1192" s="94"/>
      <c r="V1192" s="94"/>
      <c r="W1192" s="94"/>
      <c r="X1192" s="94"/>
      <c r="Y1192" s="94"/>
      <c r="Z1192" s="94"/>
      <c r="AA1192" s="94"/>
      <c r="AB1192" s="94"/>
      <c r="AC1192" s="94"/>
      <c r="AD1192" s="94"/>
      <c r="AE1192" s="94"/>
      <c r="AF1192" s="94"/>
      <c r="AG1192" s="94"/>
      <c r="AH1192" s="94"/>
      <c r="AI1192" s="94"/>
      <c r="AJ1192" s="94"/>
      <c r="AK1192" s="94"/>
      <c r="AL1192" s="94"/>
      <c r="AM1192" s="94"/>
      <c r="AN1192" s="94"/>
      <c r="AO1192" s="94"/>
      <c r="AP1192" s="94"/>
      <c r="AQ1192" s="94"/>
      <c r="AR1192" s="94"/>
      <c r="AS1192" s="94"/>
      <c r="AT1192" s="94"/>
      <c r="AU1192" s="94"/>
      <c r="AV1192" s="94"/>
      <c r="AW1192" s="94"/>
      <c r="AX1192" s="94"/>
      <c r="AY1192" s="94"/>
      <c r="AZ1192" s="94"/>
      <c r="BA1192" s="94"/>
      <c r="BB1192" s="94"/>
      <c r="BC1192" s="94"/>
      <c r="BD1192" s="94"/>
      <c r="BE1192" s="94"/>
      <c r="BF1192" s="94"/>
    </row>
    <row r="1193" spans="1:58" x14ac:dyDescent="0.35">
      <c r="A1193" s="107" t="s">
        <v>2993</v>
      </c>
      <c r="B1193" s="108" t="s">
        <v>0</v>
      </c>
      <c r="C1193" s="109">
        <v>7</v>
      </c>
      <c r="D1193" s="107" t="s">
        <v>1169</v>
      </c>
      <c r="E1193" s="109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  <c r="AG1193" s="94"/>
      <c r="AH1193" s="94"/>
      <c r="AI1193" s="94"/>
      <c r="AJ1193" s="94"/>
      <c r="AK1193" s="94"/>
      <c r="AL1193" s="94"/>
      <c r="AM1193" s="94"/>
      <c r="AN1193" s="94"/>
      <c r="AO1193" s="94"/>
      <c r="AP1193" s="94"/>
      <c r="AQ1193" s="94"/>
      <c r="AR1193" s="94"/>
      <c r="AS1193" s="94"/>
      <c r="AT1193" s="94"/>
      <c r="AU1193" s="94"/>
      <c r="AV1193" s="94"/>
      <c r="AW1193" s="94"/>
      <c r="AX1193" s="94"/>
      <c r="AY1193" s="94"/>
      <c r="AZ1193" s="94"/>
      <c r="BA1193" s="94"/>
      <c r="BB1193" s="94"/>
      <c r="BC1193" s="94"/>
      <c r="BD1193" s="94"/>
      <c r="BE1193" s="94"/>
      <c r="BF1193" s="94"/>
    </row>
    <row r="1194" spans="1:58" x14ac:dyDescent="0.35">
      <c r="A1194" s="107" t="s">
        <v>2994</v>
      </c>
      <c r="B1194" s="108" t="s">
        <v>0</v>
      </c>
      <c r="C1194" s="109">
        <v>7</v>
      </c>
      <c r="D1194" s="107" t="s">
        <v>1655</v>
      </c>
      <c r="E1194" s="109"/>
      <c r="F1194" s="94"/>
      <c r="G1194" s="94"/>
      <c r="H1194" s="94"/>
      <c r="I1194" s="94"/>
      <c r="J1194" s="94"/>
      <c r="K1194" s="94"/>
      <c r="L1194" s="94"/>
      <c r="M1194" s="94"/>
      <c r="N1194" s="94"/>
      <c r="O1194" s="94"/>
      <c r="P1194" s="94"/>
      <c r="Q1194" s="94"/>
      <c r="R1194" s="94"/>
      <c r="S1194" s="94"/>
      <c r="T1194" s="94"/>
      <c r="U1194" s="94"/>
      <c r="V1194" s="94"/>
      <c r="W1194" s="94"/>
      <c r="X1194" s="94"/>
      <c r="Y1194" s="94"/>
      <c r="Z1194" s="94"/>
      <c r="AA1194" s="94"/>
      <c r="AB1194" s="94"/>
      <c r="AC1194" s="94"/>
      <c r="AD1194" s="94"/>
      <c r="AE1194" s="94"/>
      <c r="AF1194" s="94"/>
      <c r="AG1194" s="94"/>
      <c r="AH1194" s="94"/>
      <c r="AI1194" s="94"/>
      <c r="AJ1194" s="94"/>
      <c r="AK1194" s="94"/>
      <c r="AL1194" s="94"/>
      <c r="AM1194" s="94"/>
      <c r="AN1194" s="94"/>
      <c r="AO1194" s="94"/>
      <c r="AP1194" s="94"/>
      <c r="AQ1194" s="94"/>
      <c r="AR1194" s="94"/>
      <c r="AS1194" s="94"/>
      <c r="AT1194" s="94"/>
      <c r="AU1194" s="94"/>
      <c r="AV1194" s="94"/>
      <c r="AW1194" s="94"/>
      <c r="AX1194" s="94"/>
      <c r="AY1194" s="94"/>
      <c r="AZ1194" s="94"/>
      <c r="BA1194" s="94"/>
      <c r="BB1194" s="94"/>
      <c r="BC1194" s="94"/>
      <c r="BD1194" s="94"/>
      <c r="BE1194" s="94"/>
      <c r="BF1194" s="94"/>
    </row>
    <row r="1195" spans="1:58" x14ac:dyDescent="0.35">
      <c r="A1195" s="104" t="s">
        <v>2995</v>
      </c>
      <c r="B1195" s="105" t="s">
        <v>0</v>
      </c>
      <c r="C1195" s="106">
        <v>6</v>
      </c>
      <c r="D1195" s="104" t="s">
        <v>26</v>
      </c>
      <c r="E1195" s="106"/>
      <c r="F1195" s="94"/>
      <c r="G1195" s="94"/>
      <c r="H1195" s="94"/>
      <c r="I1195" s="94"/>
      <c r="J1195" s="94"/>
      <c r="K1195" s="94"/>
      <c r="L1195" s="94"/>
      <c r="M1195" s="94"/>
      <c r="N1195" s="94"/>
      <c r="O1195" s="94"/>
      <c r="P1195" s="94"/>
      <c r="Q1195" s="94"/>
      <c r="R1195" s="94"/>
      <c r="S1195" s="94"/>
      <c r="T1195" s="94"/>
      <c r="U1195" s="94"/>
      <c r="V1195" s="94"/>
      <c r="W1195" s="94"/>
      <c r="X1195" s="94"/>
      <c r="Y1195" s="94"/>
      <c r="Z1195" s="94"/>
      <c r="AA1195" s="94"/>
      <c r="AB1195" s="94"/>
      <c r="AC1195" s="94"/>
      <c r="AD1195" s="94"/>
      <c r="AE1195" s="94"/>
      <c r="AF1195" s="94"/>
      <c r="AG1195" s="94"/>
      <c r="AH1195" s="94"/>
      <c r="AI1195" s="94"/>
      <c r="AJ1195" s="94"/>
      <c r="AK1195" s="94"/>
      <c r="AL1195" s="94"/>
      <c r="AM1195" s="94"/>
      <c r="AN1195" s="94"/>
      <c r="AO1195" s="94"/>
      <c r="AP1195" s="94"/>
      <c r="AQ1195" s="94"/>
      <c r="AR1195" s="94"/>
      <c r="AS1195" s="94"/>
      <c r="AT1195" s="94"/>
      <c r="AU1195" s="94"/>
      <c r="AV1195" s="94"/>
      <c r="AW1195" s="94"/>
      <c r="AX1195" s="94"/>
      <c r="AY1195" s="94"/>
      <c r="AZ1195" s="94"/>
      <c r="BA1195" s="94"/>
      <c r="BB1195" s="94"/>
      <c r="BC1195" s="94"/>
      <c r="BD1195" s="94"/>
      <c r="BE1195" s="94"/>
      <c r="BF1195" s="94"/>
    </row>
    <row r="1196" spans="1:58" x14ac:dyDescent="0.35">
      <c r="A1196" s="107" t="s">
        <v>2996</v>
      </c>
      <c r="B1196" s="108" t="s">
        <v>0</v>
      </c>
      <c r="C1196" s="109">
        <v>7</v>
      </c>
      <c r="D1196" s="107" t="s">
        <v>1170</v>
      </c>
      <c r="E1196" s="109"/>
      <c r="F1196" s="94"/>
      <c r="G1196" s="94"/>
      <c r="H1196" s="94"/>
      <c r="I1196" s="94"/>
      <c r="J1196" s="94"/>
      <c r="K1196" s="94"/>
      <c r="L1196" s="94"/>
      <c r="M1196" s="94"/>
      <c r="N1196" s="94"/>
      <c r="O1196" s="94"/>
      <c r="P1196" s="94"/>
      <c r="Q1196" s="94"/>
      <c r="R1196" s="94"/>
      <c r="S1196" s="94"/>
      <c r="T1196" s="94"/>
      <c r="U1196" s="94"/>
      <c r="V1196" s="94"/>
      <c r="W1196" s="94"/>
      <c r="X1196" s="94"/>
      <c r="Y1196" s="94"/>
      <c r="Z1196" s="94"/>
      <c r="AA1196" s="94"/>
      <c r="AB1196" s="94"/>
      <c r="AC1196" s="94"/>
      <c r="AD1196" s="94"/>
      <c r="AE1196" s="94"/>
      <c r="AF1196" s="94"/>
      <c r="AG1196" s="94"/>
      <c r="AH1196" s="94"/>
      <c r="AI1196" s="94"/>
      <c r="AJ1196" s="94"/>
      <c r="AK1196" s="94"/>
      <c r="AL1196" s="94"/>
      <c r="AM1196" s="94"/>
      <c r="AN1196" s="94"/>
      <c r="AO1196" s="94"/>
      <c r="AP1196" s="94"/>
      <c r="AQ1196" s="94"/>
      <c r="AR1196" s="94"/>
      <c r="AS1196" s="94"/>
      <c r="AT1196" s="94"/>
      <c r="AU1196" s="94"/>
      <c r="AV1196" s="94"/>
      <c r="AW1196" s="94"/>
      <c r="AX1196" s="94"/>
      <c r="AY1196" s="94"/>
      <c r="AZ1196" s="94"/>
      <c r="BA1196" s="94"/>
      <c r="BB1196" s="94"/>
      <c r="BC1196" s="94"/>
      <c r="BD1196" s="94"/>
      <c r="BE1196" s="94"/>
      <c r="BF1196" s="94"/>
    </row>
    <row r="1197" spans="1:58" x14ac:dyDescent="0.35">
      <c r="A1197" s="107" t="s">
        <v>2997</v>
      </c>
      <c r="B1197" s="108" t="s">
        <v>0</v>
      </c>
      <c r="C1197" s="109">
        <v>7</v>
      </c>
      <c r="D1197" s="107" t="s">
        <v>1171</v>
      </c>
      <c r="E1197" s="109"/>
      <c r="F1197" s="94"/>
      <c r="G1197" s="94"/>
      <c r="H1197" s="94"/>
      <c r="I1197" s="94"/>
      <c r="J1197" s="94"/>
      <c r="K1197" s="94"/>
      <c r="L1197" s="94"/>
      <c r="M1197" s="94"/>
      <c r="N1197" s="94"/>
      <c r="O1197" s="94"/>
      <c r="P1197" s="94"/>
      <c r="Q1197" s="94"/>
      <c r="R1197" s="94"/>
      <c r="S1197" s="94"/>
      <c r="T1197" s="94"/>
      <c r="U1197" s="94"/>
      <c r="V1197" s="94"/>
      <c r="W1197" s="94"/>
      <c r="X1197" s="94"/>
      <c r="Y1197" s="94"/>
      <c r="Z1197" s="94"/>
      <c r="AA1197" s="94"/>
      <c r="AB1197" s="94"/>
      <c r="AC1197" s="94"/>
      <c r="AD1197" s="94"/>
      <c r="AE1197" s="94"/>
      <c r="AF1197" s="94"/>
      <c r="AG1197" s="94"/>
      <c r="AH1197" s="94"/>
      <c r="AI1197" s="94"/>
      <c r="AJ1197" s="94"/>
      <c r="AK1197" s="94"/>
      <c r="AL1197" s="94"/>
      <c r="AM1197" s="94"/>
      <c r="AN1197" s="94"/>
      <c r="AO1197" s="94"/>
      <c r="AP1197" s="94"/>
      <c r="AQ1197" s="94"/>
      <c r="AR1197" s="94"/>
      <c r="AS1197" s="94"/>
      <c r="AT1197" s="94"/>
      <c r="AU1197" s="94"/>
      <c r="AV1197" s="94"/>
      <c r="AW1197" s="94"/>
      <c r="AX1197" s="94"/>
      <c r="AY1197" s="94"/>
      <c r="AZ1197" s="94"/>
      <c r="BA1197" s="94"/>
      <c r="BB1197" s="94"/>
      <c r="BC1197" s="94"/>
      <c r="BD1197" s="94"/>
      <c r="BE1197" s="94"/>
      <c r="BF1197" s="94"/>
    </row>
    <row r="1198" spans="1:58" x14ac:dyDescent="0.35">
      <c r="A1198" s="107" t="s">
        <v>2998</v>
      </c>
      <c r="B1198" s="108" t="s">
        <v>0</v>
      </c>
      <c r="C1198" s="109">
        <v>7</v>
      </c>
      <c r="D1198" s="107" t="s">
        <v>1172</v>
      </c>
      <c r="E1198" s="109"/>
      <c r="F1198" s="94"/>
      <c r="G1198" s="94"/>
      <c r="H1198" s="94"/>
      <c r="I1198" s="94"/>
      <c r="J1198" s="94"/>
      <c r="K1198" s="94"/>
      <c r="L1198" s="94"/>
      <c r="M1198" s="94"/>
      <c r="N1198" s="94"/>
      <c r="O1198" s="94"/>
      <c r="P1198" s="94"/>
      <c r="Q1198" s="94"/>
      <c r="R1198" s="94"/>
      <c r="S1198" s="94"/>
      <c r="T1198" s="94"/>
      <c r="U1198" s="94"/>
      <c r="V1198" s="94"/>
      <c r="W1198" s="94"/>
      <c r="X1198" s="94"/>
      <c r="Y1198" s="94"/>
      <c r="Z1198" s="94"/>
      <c r="AA1198" s="94"/>
      <c r="AB1198" s="94"/>
      <c r="AC1198" s="94"/>
      <c r="AD1198" s="94"/>
      <c r="AE1198" s="94"/>
      <c r="AF1198" s="94"/>
      <c r="AG1198" s="94"/>
      <c r="AH1198" s="94"/>
      <c r="AI1198" s="94"/>
      <c r="AJ1198" s="94"/>
      <c r="AK1198" s="94"/>
      <c r="AL1198" s="94"/>
      <c r="AM1198" s="94"/>
      <c r="AN1198" s="94"/>
      <c r="AO1198" s="94"/>
      <c r="AP1198" s="94"/>
      <c r="AQ1198" s="94"/>
      <c r="AR1198" s="94"/>
      <c r="AS1198" s="94"/>
      <c r="AT1198" s="94"/>
      <c r="AU1198" s="94"/>
      <c r="AV1198" s="94"/>
      <c r="AW1198" s="94"/>
      <c r="AX1198" s="94"/>
      <c r="AY1198" s="94"/>
      <c r="AZ1198" s="94"/>
      <c r="BA1198" s="94"/>
      <c r="BB1198" s="94"/>
      <c r="BC1198" s="94"/>
      <c r="BD1198" s="94"/>
      <c r="BE1198" s="94"/>
      <c r="BF1198" s="94"/>
    </row>
    <row r="1199" spans="1:58" x14ac:dyDescent="0.35">
      <c r="A1199" s="107" t="s">
        <v>2999</v>
      </c>
      <c r="B1199" s="108" t="s">
        <v>0</v>
      </c>
      <c r="C1199" s="109">
        <v>7</v>
      </c>
      <c r="D1199" s="107" t="s">
        <v>1173</v>
      </c>
      <c r="E1199" s="109"/>
      <c r="F1199" s="94"/>
      <c r="G1199" s="94"/>
      <c r="H1199" s="94"/>
      <c r="I1199" s="94"/>
      <c r="J1199" s="94"/>
      <c r="K1199" s="94"/>
      <c r="L1199" s="94"/>
      <c r="M1199" s="94"/>
      <c r="N1199" s="94"/>
      <c r="O1199" s="94"/>
      <c r="P1199" s="94"/>
      <c r="Q1199" s="94"/>
      <c r="R1199" s="94"/>
      <c r="S1199" s="94"/>
      <c r="T1199" s="94"/>
      <c r="U1199" s="94"/>
      <c r="V1199" s="94"/>
      <c r="W1199" s="94"/>
      <c r="X1199" s="94"/>
      <c r="Y1199" s="94"/>
      <c r="Z1199" s="94"/>
      <c r="AA1199" s="94"/>
      <c r="AB1199" s="94"/>
      <c r="AC1199" s="94"/>
      <c r="AD1199" s="94"/>
      <c r="AE1199" s="94"/>
      <c r="AF1199" s="94"/>
      <c r="AG1199" s="94"/>
      <c r="AH1199" s="94"/>
      <c r="AI1199" s="94"/>
      <c r="AJ1199" s="94"/>
      <c r="AK1199" s="94"/>
      <c r="AL1199" s="94"/>
      <c r="AM1199" s="94"/>
      <c r="AN1199" s="94"/>
      <c r="AO1199" s="94"/>
      <c r="AP1199" s="94"/>
      <c r="AQ1199" s="94"/>
      <c r="AR1199" s="94"/>
      <c r="AS1199" s="94"/>
      <c r="AT1199" s="94"/>
      <c r="AU1199" s="94"/>
      <c r="AV1199" s="94"/>
      <c r="AW1199" s="94"/>
      <c r="AX1199" s="94"/>
      <c r="AY1199" s="94"/>
      <c r="AZ1199" s="94"/>
      <c r="BA1199" s="94"/>
      <c r="BB1199" s="94"/>
      <c r="BC1199" s="94"/>
      <c r="BD1199" s="94"/>
      <c r="BE1199" s="94"/>
      <c r="BF1199" s="94"/>
    </row>
    <row r="1200" spans="1:58" x14ac:dyDescent="0.35">
      <c r="A1200" s="104" t="s">
        <v>3000</v>
      </c>
      <c r="B1200" s="105" t="s">
        <v>0</v>
      </c>
      <c r="C1200" s="106">
        <v>6</v>
      </c>
      <c r="D1200" s="104" t="s">
        <v>16</v>
      </c>
      <c r="E1200" s="106"/>
      <c r="F1200" s="94"/>
      <c r="G1200" s="94"/>
      <c r="H1200" s="94"/>
      <c r="I1200" s="94"/>
      <c r="J1200" s="94"/>
      <c r="K1200" s="94"/>
      <c r="L1200" s="94"/>
      <c r="M1200" s="94"/>
      <c r="N1200" s="94"/>
      <c r="O1200" s="94"/>
      <c r="P1200" s="94"/>
      <c r="Q1200" s="94"/>
      <c r="R1200" s="94"/>
      <c r="S1200" s="94"/>
      <c r="T1200" s="94"/>
      <c r="U1200" s="94"/>
      <c r="V1200" s="94"/>
      <c r="W1200" s="94"/>
      <c r="X1200" s="94"/>
      <c r="Y1200" s="94"/>
      <c r="Z1200" s="94"/>
      <c r="AA1200" s="94"/>
      <c r="AB1200" s="94"/>
      <c r="AC1200" s="94"/>
      <c r="AD1200" s="94"/>
      <c r="AE1200" s="94"/>
      <c r="AF1200" s="94"/>
      <c r="AG1200" s="94"/>
      <c r="AH1200" s="94"/>
      <c r="AI1200" s="94"/>
      <c r="AJ1200" s="94"/>
      <c r="AK1200" s="94"/>
      <c r="AL1200" s="94"/>
      <c r="AM1200" s="94"/>
      <c r="AN1200" s="94"/>
      <c r="AO1200" s="94"/>
      <c r="AP1200" s="94"/>
      <c r="AQ1200" s="94"/>
      <c r="AR1200" s="94"/>
      <c r="AS1200" s="94"/>
      <c r="AT1200" s="94"/>
      <c r="AU1200" s="94"/>
      <c r="AV1200" s="94"/>
      <c r="AW1200" s="94"/>
      <c r="AX1200" s="94"/>
      <c r="AY1200" s="94"/>
      <c r="AZ1200" s="94"/>
      <c r="BA1200" s="94"/>
      <c r="BB1200" s="94"/>
      <c r="BC1200" s="94"/>
      <c r="BD1200" s="94"/>
      <c r="BE1200" s="94"/>
      <c r="BF1200" s="94"/>
    </row>
    <row r="1201" spans="1:58" x14ac:dyDescent="0.35">
      <c r="A1201" s="107" t="s">
        <v>3001</v>
      </c>
      <c r="B1201" s="108" t="s">
        <v>0</v>
      </c>
      <c r="C1201" s="109">
        <v>7</v>
      </c>
      <c r="D1201" s="107" t="s">
        <v>1174</v>
      </c>
      <c r="E1201" s="109" t="s">
        <v>222</v>
      </c>
      <c r="F1201" s="94"/>
      <c r="G1201" s="94"/>
      <c r="H1201" s="94"/>
      <c r="I1201" s="94"/>
      <c r="J1201" s="94"/>
      <c r="K1201" s="94"/>
      <c r="L1201" s="94"/>
      <c r="M1201" s="94"/>
      <c r="N1201" s="94"/>
      <c r="O1201" s="94"/>
      <c r="P1201" s="94"/>
      <c r="Q1201" s="94"/>
      <c r="R1201" s="94"/>
      <c r="S1201" s="94"/>
      <c r="T1201" s="94"/>
      <c r="U1201" s="94"/>
      <c r="V1201" s="94"/>
      <c r="W1201" s="94"/>
      <c r="X1201" s="94"/>
      <c r="Y1201" s="94"/>
      <c r="Z1201" s="94"/>
      <c r="AA1201" s="94"/>
      <c r="AB1201" s="94"/>
      <c r="AC1201" s="94"/>
      <c r="AD1201" s="94"/>
      <c r="AE1201" s="94"/>
      <c r="AF1201" s="94"/>
      <c r="AG1201" s="94"/>
      <c r="AH1201" s="94"/>
      <c r="AI1201" s="94"/>
      <c r="AJ1201" s="94"/>
      <c r="AK1201" s="94"/>
      <c r="AL1201" s="94"/>
      <c r="AM1201" s="94"/>
      <c r="AN1201" s="94"/>
      <c r="AO1201" s="94"/>
      <c r="AP1201" s="94"/>
      <c r="AQ1201" s="94"/>
      <c r="AR1201" s="94"/>
      <c r="AS1201" s="94"/>
      <c r="AT1201" s="94"/>
      <c r="AU1201" s="94"/>
      <c r="AV1201" s="94"/>
      <c r="AW1201" s="94"/>
      <c r="AX1201" s="94"/>
      <c r="AY1201" s="94"/>
      <c r="AZ1201" s="94"/>
      <c r="BA1201" s="94"/>
      <c r="BB1201" s="94"/>
      <c r="BC1201" s="94"/>
      <c r="BD1201" s="94"/>
      <c r="BE1201" s="94"/>
      <c r="BF1201" s="94"/>
    </row>
    <row r="1202" spans="1:58" x14ac:dyDescent="0.35">
      <c r="A1202" s="104" t="s">
        <v>3002</v>
      </c>
      <c r="B1202" s="105" t="s">
        <v>0</v>
      </c>
      <c r="C1202" s="106">
        <v>6</v>
      </c>
      <c r="D1202" s="104" t="s">
        <v>30</v>
      </c>
      <c r="E1202" s="106"/>
      <c r="F1202" s="94"/>
      <c r="G1202" s="94"/>
      <c r="H1202" s="94"/>
      <c r="I1202" s="94"/>
      <c r="J1202" s="94"/>
      <c r="K1202" s="94"/>
      <c r="L1202" s="94"/>
      <c r="M1202" s="94"/>
      <c r="N1202" s="94"/>
      <c r="O1202" s="94"/>
      <c r="P1202" s="94"/>
      <c r="Q1202" s="94"/>
      <c r="R1202" s="94"/>
      <c r="S1202" s="94"/>
      <c r="T1202" s="94"/>
      <c r="U1202" s="94"/>
      <c r="V1202" s="94"/>
      <c r="W1202" s="94"/>
      <c r="X1202" s="94"/>
      <c r="Y1202" s="94"/>
      <c r="Z1202" s="94"/>
      <c r="AA1202" s="94"/>
      <c r="AB1202" s="94"/>
      <c r="AC1202" s="94"/>
      <c r="AD1202" s="94"/>
      <c r="AE1202" s="94"/>
      <c r="AF1202" s="94"/>
      <c r="AG1202" s="94"/>
      <c r="AH1202" s="94"/>
      <c r="AI1202" s="94"/>
      <c r="AJ1202" s="94"/>
      <c r="AK1202" s="94"/>
      <c r="AL1202" s="94"/>
      <c r="AM1202" s="94"/>
      <c r="AN1202" s="94"/>
      <c r="AO1202" s="94"/>
      <c r="AP1202" s="94"/>
      <c r="AQ1202" s="94"/>
      <c r="AR1202" s="94"/>
      <c r="AS1202" s="94"/>
      <c r="AT1202" s="94"/>
      <c r="AU1202" s="94"/>
      <c r="AV1202" s="94"/>
      <c r="AW1202" s="94"/>
      <c r="AX1202" s="94"/>
      <c r="AY1202" s="94"/>
      <c r="AZ1202" s="94"/>
      <c r="BA1202" s="94"/>
      <c r="BB1202" s="94"/>
      <c r="BC1202" s="94"/>
      <c r="BD1202" s="94"/>
      <c r="BE1202" s="94"/>
      <c r="BF1202" s="94"/>
    </row>
    <row r="1203" spans="1:58" x14ac:dyDescent="0.35">
      <c r="A1203" s="107" t="s">
        <v>4001</v>
      </c>
      <c r="B1203" s="108" t="s">
        <v>0</v>
      </c>
      <c r="C1203" s="109">
        <v>7</v>
      </c>
      <c r="D1203" s="107" t="s">
        <v>1656</v>
      </c>
      <c r="E1203" s="109"/>
      <c r="F1203" s="94"/>
      <c r="G1203" s="94"/>
      <c r="H1203" s="94"/>
      <c r="I1203" s="94"/>
      <c r="J1203" s="94"/>
      <c r="K1203" s="94"/>
      <c r="L1203" s="94"/>
      <c r="M1203" s="94"/>
      <c r="N1203" s="94"/>
      <c r="O1203" s="94"/>
      <c r="P1203" s="94"/>
      <c r="Q1203" s="94"/>
      <c r="R1203" s="94"/>
      <c r="S1203" s="94"/>
      <c r="T1203" s="94"/>
      <c r="U1203" s="94"/>
      <c r="V1203" s="94"/>
      <c r="W1203" s="94"/>
      <c r="X1203" s="94"/>
      <c r="Y1203" s="94"/>
      <c r="Z1203" s="94"/>
      <c r="AA1203" s="94"/>
      <c r="AB1203" s="94"/>
      <c r="AC1203" s="94"/>
      <c r="AD1203" s="94"/>
      <c r="AE1203" s="94"/>
      <c r="AF1203" s="94"/>
      <c r="AG1203" s="94"/>
      <c r="AH1203" s="94"/>
      <c r="AI1203" s="94"/>
      <c r="AJ1203" s="94"/>
      <c r="AK1203" s="94"/>
      <c r="AL1203" s="94"/>
      <c r="AM1203" s="94"/>
      <c r="AN1203" s="94"/>
      <c r="AO1203" s="94"/>
      <c r="AP1203" s="94"/>
      <c r="AQ1203" s="94"/>
      <c r="AR1203" s="94"/>
      <c r="AS1203" s="94"/>
      <c r="AT1203" s="94"/>
      <c r="AU1203" s="94"/>
      <c r="AV1203" s="94"/>
      <c r="AW1203" s="94"/>
      <c r="AX1203" s="94"/>
      <c r="AY1203" s="94"/>
      <c r="AZ1203" s="94"/>
      <c r="BA1203" s="94"/>
      <c r="BB1203" s="94"/>
      <c r="BC1203" s="94"/>
      <c r="BD1203" s="94"/>
      <c r="BE1203" s="94"/>
      <c r="BF1203" s="94"/>
    </row>
    <row r="1204" spans="1:58" x14ac:dyDescent="0.35">
      <c r="A1204" s="107" t="s">
        <v>3004</v>
      </c>
      <c r="B1204" s="108" t="s">
        <v>0</v>
      </c>
      <c r="C1204" s="109">
        <v>7</v>
      </c>
      <c r="D1204" s="107" t="s">
        <v>1659</v>
      </c>
      <c r="E1204" s="109"/>
      <c r="F1204" s="94"/>
      <c r="G1204" s="94"/>
      <c r="H1204" s="94"/>
      <c r="I1204" s="94"/>
      <c r="J1204" s="94"/>
      <c r="K1204" s="94"/>
      <c r="L1204" s="94"/>
      <c r="M1204" s="94"/>
      <c r="N1204" s="94"/>
      <c r="O1204" s="94"/>
      <c r="P1204" s="94"/>
      <c r="Q1204" s="94"/>
      <c r="R1204" s="94"/>
      <c r="S1204" s="94"/>
      <c r="T1204" s="94"/>
      <c r="U1204" s="94"/>
      <c r="V1204" s="94"/>
      <c r="W1204" s="94"/>
      <c r="X1204" s="94"/>
      <c r="Y1204" s="94"/>
      <c r="Z1204" s="94"/>
      <c r="AA1204" s="94"/>
      <c r="AB1204" s="94"/>
      <c r="AC1204" s="94"/>
      <c r="AD1204" s="94"/>
      <c r="AE1204" s="94"/>
      <c r="AF1204" s="94"/>
      <c r="AG1204" s="94"/>
      <c r="AH1204" s="94"/>
      <c r="AI1204" s="94"/>
      <c r="AJ1204" s="94"/>
      <c r="AK1204" s="94"/>
      <c r="AL1204" s="94"/>
      <c r="AM1204" s="94"/>
      <c r="AN1204" s="94"/>
      <c r="AO1204" s="94"/>
      <c r="AP1204" s="94"/>
      <c r="AQ1204" s="94"/>
      <c r="AR1204" s="94"/>
      <c r="AS1204" s="94"/>
      <c r="AT1204" s="94"/>
      <c r="AU1204" s="94"/>
      <c r="AV1204" s="94"/>
      <c r="AW1204" s="94"/>
      <c r="AX1204" s="94"/>
      <c r="AY1204" s="94"/>
      <c r="AZ1204" s="94"/>
      <c r="BA1204" s="94"/>
      <c r="BB1204" s="94"/>
      <c r="BC1204" s="94"/>
      <c r="BD1204" s="94"/>
      <c r="BE1204" s="94"/>
      <c r="BF1204" s="94"/>
    </row>
    <row r="1205" spans="1:58" x14ac:dyDescent="0.35">
      <c r="A1205" s="107" t="s">
        <v>3005</v>
      </c>
      <c r="B1205" s="108" t="s">
        <v>0</v>
      </c>
      <c r="C1205" s="109">
        <v>7</v>
      </c>
      <c r="D1205" s="107" t="s">
        <v>1657</v>
      </c>
      <c r="E1205" s="109"/>
      <c r="F1205" s="94"/>
      <c r="G1205" s="94"/>
      <c r="H1205" s="94"/>
      <c r="I1205" s="94"/>
      <c r="J1205" s="94"/>
      <c r="K1205" s="94"/>
      <c r="L1205" s="94"/>
      <c r="M1205" s="94"/>
      <c r="N1205" s="94"/>
      <c r="O1205" s="94"/>
      <c r="P1205" s="94"/>
      <c r="Q1205" s="94"/>
      <c r="R1205" s="94"/>
      <c r="S1205" s="94"/>
      <c r="T1205" s="94"/>
      <c r="U1205" s="94"/>
      <c r="V1205" s="94"/>
      <c r="W1205" s="94"/>
      <c r="X1205" s="94"/>
      <c r="Y1205" s="94"/>
      <c r="Z1205" s="94"/>
      <c r="AA1205" s="94"/>
      <c r="AB1205" s="94"/>
      <c r="AC1205" s="94"/>
      <c r="AD1205" s="94"/>
      <c r="AE1205" s="94"/>
      <c r="AF1205" s="94"/>
      <c r="AG1205" s="94"/>
      <c r="AH1205" s="94"/>
      <c r="AI1205" s="94"/>
      <c r="AJ1205" s="94"/>
      <c r="AK1205" s="94"/>
      <c r="AL1205" s="94"/>
      <c r="AM1205" s="94"/>
      <c r="AN1205" s="94"/>
      <c r="AO1205" s="94"/>
      <c r="AP1205" s="94"/>
      <c r="AQ1205" s="94"/>
      <c r="AR1205" s="94"/>
      <c r="AS1205" s="94"/>
      <c r="AT1205" s="94"/>
      <c r="AU1205" s="94"/>
      <c r="AV1205" s="94"/>
      <c r="AW1205" s="94"/>
      <c r="AX1205" s="94"/>
      <c r="AY1205" s="94"/>
      <c r="AZ1205" s="94"/>
      <c r="BA1205" s="94"/>
      <c r="BB1205" s="94"/>
      <c r="BC1205" s="94"/>
      <c r="BD1205" s="94"/>
      <c r="BE1205" s="94"/>
      <c r="BF1205" s="94"/>
    </row>
    <row r="1206" spans="1:58" x14ac:dyDescent="0.35">
      <c r="A1206" s="107" t="s">
        <v>3006</v>
      </c>
      <c r="B1206" s="108" t="s">
        <v>0</v>
      </c>
      <c r="C1206" s="109">
        <v>7</v>
      </c>
      <c r="D1206" s="107" t="s">
        <v>1658</v>
      </c>
      <c r="E1206" s="109"/>
      <c r="F1206" s="94"/>
      <c r="G1206" s="94"/>
      <c r="H1206" s="94"/>
      <c r="I1206" s="94"/>
      <c r="J1206" s="94"/>
      <c r="K1206" s="94"/>
      <c r="L1206" s="94"/>
      <c r="M1206" s="94"/>
      <c r="N1206" s="94"/>
      <c r="O1206" s="94"/>
      <c r="P1206" s="94"/>
      <c r="Q1206" s="94"/>
      <c r="R1206" s="94"/>
      <c r="S1206" s="94"/>
      <c r="T1206" s="94"/>
      <c r="U1206" s="94"/>
      <c r="V1206" s="94"/>
      <c r="W1206" s="94"/>
      <c r="X1206" s="94"/>
      <c r="Y1206" s="94"/>
      <c r="Z1206" s="94"/>
      <c r="AA1206" s="94"/>
      <c r="AB1206" s="94"/>
      <c r="AC1206" s="94"/>
      <c r="AD1206" s="94"/>
      <c r="AE1206" s="94"/>
      <c r="AF1206" s="94"/>
      <c r="AG1206" s="94"/>
      <c r="AH1206" s="94"/>
      <c r="AI1206" s="94"/>
      <c r="AJ1206" s="94"/>
      <c r="AK1206" s="94"/>
      <c r="AL1206" s="94"/>
      <c r="AM1206" s="94"/>
      <c r="AN1206" s="94"/>
      <c r="AO1206" s="94"/>
      <c r="AP1206" s="94"/>
      <c r="AQ1206" s="94"/>
      <c r="AR1206" s="94"/>
      <c r="AS1206" s="94"/>
      <c r="AT1206" s="94"/>
      <c r="AU1206" s="94"/>
      <c r="AV1206" s="94"/>
      <c r="AW1206" s="94"/>
      <c r="AX1206" s="94"/>
      <c r="AY1206" s="94"/>
      <c r="AZ1206" s="94"/>
      <c r="BA1206" s="94"/>
      <c r="BB1206" s="94"/>
      <c r="BC1206" s="94"/>
      <c r="BD1206" s="94"/>
      <c r="BE1206" s="94"/>
      <c r="BF1206" s="94"/>
    </row>
    <row r="1207" spans="1:58" x14ac:dyDescent="0.35">
      <c r="A1207" s="104" t="s">
        <v>3007</v>
      </c>
      <c r="B1207" s="105" t="s">
        <v>0</v>
      </c>
      <c r="C1207" s="106">
        <v>6</v>
      </c>
      <c r="D1207" s="104" t="s">
        <v>123</v>
      </c>
      <c r="E1207" s="106"/>
      <c r="F1207" s="94"/>
      <c r="G1207" s="94"/>
      <c r="H1207" s="94"/>
      <c r="I1207" s="94"/>
      <c r="J1207" s="94"/>
      <c r="K1207" s="94"/>
      <c r="L1207" s="94"/>
      <c r="M1207" s="94"/>
      <c r="N1207" s="94"/>
      <c r="O1207" s="94"/>
      <c r="P1207" s="94"/>
      <c r="Q1207" s="94"/>
      <c r="R1207" s="94"/>
      <c r="S1207" s="94"/>
      <c r="T1207" s="94"/>
      <c r="U1207" s="94"/>
      <c r="V1207" s="94"/>
      <c r="W1207" s="94"/>
      <c r="X1207" s="94"/>
      <c r="Y1207" s="94"/>
      <c r="Z1207" s="94"/>
      <c r="AA1207" s="94"/>
      <c r="AB1207" s="94"/>
      <c r="AC1207" s="94"/>
      <c r="AD1207" s="94"/>
      <c r="AE1207" s="94"/>
      <c r="AF1207" s="94"/>
      <c r="AG1207" s="94"/>
      <c r="AH1207" s="94"/>
      <c r="AI1207" s="94"/>
      <c r="AJ1207" s="94"/>
      <c r="AK1207" s="94"/>
      <c r="AL1207" s="94"/>
      <c r="AM1207" s="94"/>
      <c r="AN1207" s="94"/>
      <c r="AO1207" s="94"/>
      <c r="AP1207" s="94"/>
      <c r="AQ1207" s="94"/>
      <c r="AR1207" s="94"/>
      <c r="AS1207" s="94"/>
      <c r="AT1207" s="94"/>
      <c r="AU1207" s="94"/>
      <c r="AV1207" s="94"/>
      <c r="AW1207" s="94"/>
      <c r="AX1207" s="94"/>
      <c r="AY1207" s="94"/>
      <c r="AZ1207" s="94"/>
      <c r="BA1207" s="94"/>
      <c r="BB1207" s="94"/>
      <c r="BC1207" s="94"/>
      <c r="BD1207" s="94"/>
      <c r="BE1207" s="94"/>
      <c r="BF1207" s="94"/>
    </row>
    <row r="1208" spans="1:58" x14ac:dyDescent="0.35">
      <c r="A1208" s="107" t="s">
        <v>3008</v>
      </c>
      <c r="B1208" s="108" t="s">
        <v>0</v>
      </c>
      <c r="C1208" s="109">
        <v>7</v>
      </c>
      <c r="D1208" s="107" t="s">
        <v>1654</v>
      </c>
      <c r="E1208" s="109"/>
      <c r="F1208" s="94"/>
      <c r="G1208" s="94"/>
      <c r="H1208" s="94"/>
      <c r="I1208" s="94"/>
      <c r="J1208" s="94"/>
      <c r="K1208" s="94"/>
      <c r="L1208" s="94"/>
      <c r="M1208" s="94"/>
      <c r="N1208" s="94"/>
      <c r="O1208" s="94"/>
      <c r="P1208" s="94"/>
      <c r="Q1208" s="94"/>
      <c r="R1208" s="94"/>
      <c r="S1208" s="94"/>
      <c r="T1208" s="94"/>
      <c r="U1208" s="94"/>
      <c r="V1208" s="94"/>
      <c r="W1208" s="94"/>
      <c r="X1208" s="94"/>
      <c r="Y1208" s="94"/>
      <c r="Z1208" s="94"/>
      <c r="AA1208" s="94"/>
      <c r="AB1208" s="94"/>
      <c r="AC1208" s="94"/>
      <c r="AD1208" s="94"/>
      <c r="AE1208" s="94"/>
      <c r="AF1208" s="94"/>
      <c r="AG1208" s="94"/>
      <c r="AH1208" s="94"/>
      <c r="AI1208" s="94"/>
      <c r="AJ1208" s="94"/>
      <c r="AK1208" s="94"/>
      <c r="AL1208" s="94"/>
      <c r="AM1208" s="94"/>
      <c r="AN1208" s="94"/>
      <c r="AO1208" s="94"/>
      <c r="AP1208" s="94"/>
      <c r="AQ1208" s="94"/>
      <c r="AR1208" s="94"/>
      <c r="AS1208" s="94"/>
      <c r="AT1208" s="94"/>
      <c r="AU1208" s="94"/>
      <c r="AV1208" s="94"/>
      <c r="AW1208" s="94"/>
      <c r="AX1208" s="94"/>
      <c r="AY1208" s="94"/>
      <c r="AZ1208" s="94"/>
      <c r="BA1208" s="94"/>
      <c r="BB1208" s="94"/>
      <c r="BC1208" s="94"/>
      <c r="BD1208" s="94"/>
      <c r="BE1208" s="94"/>
      <c r="BF1208" s="94"/>
    </row>
    <row r="1209" spans="1:58" x14ac:dyDescent="0.35">
      <c r="A1209" s="95" t="s">
        <v>3009</v>
      </c>
      <c r="B1209" s="96" t="s">
        <v>0</v>
      </c>
      <c r="C1209" s="97">
        <v>4</v>
      </c>
      <c r="D1209" s="95" t="s">
        <v>1631</v>
      </c>
      <c r="E1209" s="97"/>
      <c r="F1209" s="94"/>
      <c r="G1209" s="94"/>
      <c r="H1209" s="94"/>
      <c r="I1209" s="94"/>
      <c r="J1209" s="94"/>
      <c r="K1209" s="94"/>
      <c r="L1209" s="94"/>
      <c r="M1209" s="94"/>
      <c r="N1209" s="94"/>
      <c r="O1209" s="94"/>
      <c r="P1209" s="94"/>
      <c r="Q1209" s="94"/>
      <c r="R1209" s="94"/>
      <c r="S1209" s="94"/>
      <c r="T1209" s="94"/>
      <c r="U1209" s="94"/>
      <c r="V1209" s="94"/>
      <c r="W1209" s="94"/>
      <c r="X1209" s="94"/>
      <c r="Y1209" s="94"/>
      <c r="Z1209" s="94"/>
      <c r="AA1209" s="94"/>
      <c r="AB1209" s="94"/>
      <c r="AC1209" s="94"/>
      <c r="AD1209" s="94"/>
      <c r="AE1209" s="94"/>
      <c r="AF1209" s="94"/>
      <c r="AG1209" s="94"/>
      <c r="AH1209" s="94"/>
      <c r="AI1209" s="94"/>
      <c r="AJ1209" s="94"/>
      <c r="AK1209" s="94"/>
      <c r="AL1209" s="94"/>
      <c r="AM1209" s="94"/>
      <c r="AN1209" s="94"/>
      <c r="AO1209" s="94"/>
      <c r="AP1209" s="94"/>
      <c r="AQ1209" s="94"/>
      <c r="AR1209" s="94"/>
      <c r="AS1209" s="94"/>
      <c r="AT1209" s="94"/>
      <c r="AU1209" s="94"/>
      <c r="AV1209" s="94"/>
      <c r="AW1209" s="94"/>
      <c r="AX1209" s="94"/>
      <c r="AY1209" s="94"/>
      <c r="AZ1209" s="94"/>
      <c r="BA1209" s="94"/>
      <c r="BB1209" s="94"/>
      <c r="BC1209" s="94"/>
      <c r="BD1209" s="94"/>
      <c r="BE1209" s="94"/>
      <c r="BF1209" s="94"/>
    </row>
    <row r="1210" spans="1:58" x14ac:dyDescent="0.35">
      <c r="A1210" s="101" t="s">
        <v>3010</v>
      </c>
      <c r="B1210" s="102" t="s">
        <v>0</v>
      </c>
      <c r="C1210" s="103">
        <v>5</v>
      </c>
      <c r="D1210" s="101" t="s">
        <v>466</v>
      </c>
      <c r="E1210" s="103" t="s">
        <v>223</v>
      </c>
      <c r="F1210" s="94"/>
      <c r="G1210" s="94"/>
      <c r="H1210" s="94"/>
      <c r="I1210" s="94"/>
      <c r="J1210" s="94"/>
      <c r="K1210" s="94"/>
      <c r="L1210" s="94"/>
      <c r="M1210" s="94"/>
      <c r="N1210" s="94"/>
      <c r="O1210" s="94"/>
      <c r="P1210" s="94"/>
      <c r="Q1210" s="94"/>
      <c r="R1210" s="94"/>
      <c r="S1210" s="94"/>
      <c r="T1210" s="94"/>
      <c r="U1210" s="94"/>
      <c r="V1210" s="94"/>
      <c r="W1210" s="94"/>
      <c r="X1210" s="94"/>
      <c r="Y1210" s="94"/>
      <c r="Z1210" s="94"/>
      <c r="AA1210" s="94"/>
      <c r="AB1210" s="94"/>
      <c r="AC1210" s="94"/>
      <c r="AD1210" s="94"/>
      <c r="AE1210" s="94"/>
      <c r="AF1210" s="94"/>
      <c r="AG1210" s="94"/>
      <c r="AH1210" s="94"/>
      <c r="AI1210" s="94"/>
      <c r="AJ1210" s="94"/>
      <c r="AK1210" s="94"/>
      <c r="AL1210" s="94"/>
      <c r="AM1210" s="94"/>
      <c r="AN1210" s="94"/>
      <c r="AO1210" s="94"/>
      <c r="AP1210" s="94"/>
      <c r="AQ1210" s="94"/>
      <c r="AR1210" s="94"/>
      <c r="AS1210" s="94"/>
      <c r="AT1210" s="94"/>
      <c r="AU1210" s="94"/>
      <c r="AV1210" s="94"/>
      <c r="AW1210" s="94"/>
      <c r="AX1210" s="94"/>
      <c r="AY1210" s="94"/>
      <c r="AZ1210" s="94"/>
      <c r="BA1210" s="94"/>
      <c r="BB1210" s="94"/>
      <c r="BC1210" s="94"/>
      <c r="BD1210" s="94"/>
      <c r="BE1210" s="94"/>
      <c r="BF1210" s="94"/>
    </row>
    <row r="1211" spans="1:58" x14ac:dyDescent="0.35">
      <c r="A1211" s="104" t="s">
        <v>3011</v>
      </c>
      <c r="B1211" s="105" t="s">
        <v>0</v>
      </c>
      <c r="C1211" s="106">
        <v>6</v>
      </c>
      <c r="D1211" s="104" t="s">
        <v>26</v>
      </c>
      <c r="E1211" s="106"/>
      <c r="F1211" s="94"/>
      <c r="G1211" s="94"/>
      <c r="H1211" s="94"/>
      <c r="I1211" s="94"/>
      <c r="J1211" s="94"/>
      <c r="K1211" s="94"/>
      <c r="L1211" s="94"/>
      <c r="M1211" s="94"/>
      <c r="N1211" s="94"/>
      <c r="O1211" s="94"/>
      <c r="P1211" s="94"/>
      <c r="Q1211" s="94"/>
      <c r="R1211" s="94"/>
      <c r="S1211" s="94"/>
      <c r="T1211" s="94"/>
      <c r="U1211" s="94"/>
      <c r="V1211" s="94"/>
      <c r="W1211" s="94"/>
      <c r="X1211" s="94"/>
      <c r="Y1211" s="94"/>
      <c r="Z1211" s="94"/>
      <c r="AA1211" s="94"/>
      <c r="AB1211" s="94"/>
      <c r="AC1211" s="94"/>
      <c r="AD1211" s="94"/>
      <c r="AE1211" s="94"/>
      <c r="AF1211" s="94"/>
      <c r="AG1211" s="94"/>
      <c r="AH1211" s="94"/>
      <c r="AI1211" s="94"/>
      <c r="AJ1211" s="94"/>
      <c r="AK1211" s="94"/>
      <c r="AL1211" s="94"/>
      <c r="AM1211" s="94"/>
      <c r="AN1211" s="94"/>
      <c r="AO1211" s="94"/>
      <c r="AP1211" s="94"/>
      <c r="AQ1211" s="94"/>
      <c r="AR1211" s="94"/>
      <c r="AS1211" s="94"/>
      <c r="AT1211" s="94"/>
      <c r="AU1211" s="94"/>
      <c r="AV1211" s="94"/>
      <c r="AW1211" s="94"/>
      <c r="AX1211" s="94"/>
      <c r="AY1211" s="94"/>
      <c r="AZ1211" s="94"/>
      <c r="BA1211" s="94"/>
      <c r="BB1211" s="94"/>
      <c r="BC1211" s="94"/>
      <c r="BD1211" s="94"/>
      <c r="BE1211" s="94"/>
      <c r="BF1211" s="94"/>
    </row>
    <row r="1212" spans="1:58" x14ac:dyDescent="0.35">
      <c r="A1212" s="107" t="s">
        <v>3012</v>
      </c>
      <c r="B1212" s="108" t="s">
        <v>0</v>
      </c>
      <c r="C1212" s="109">
        <v>7</v>
      </c>
      <c r="D1212" s="107" t="s">
        <v>1175</v>
      </c>
      <c r="E1212" s="109"/>
      <c r="F1212" s="94"/>
      <c r="G1212" s="94"/>
      <c r="H1212" s="94"/>
      <c r="I1212" s="94"/>
      <c r="J1212" s="94"/>
      <c r="K1212" s="94"/>
      <c r="L1212" s="94"/>
      <c r="M1212" s="94"/>
      <c r="N1212" s="94"/>
      <c r="O1212" s="94"/>
      <c r="P1212" s="94"/>
      <c r="Q1212" s="94"/>
      <c r="R1212" s="94"/>
      <c r="S1212" s="94"/>
      <c r="T1212" s="94"/>
      <c r="U1212" s="94"/>
      <c r="V1212" s="94"/>
      <c r="W1212" s="94"/>
      <c r="X1212" s="94"/>
      <c r="Y1212" s="94"/>
      <c r="Z1212" s="94"/>
      <c r="AA1212" s="94"/>
      <c r="AB1212" s="94"/>
      <c r="AC1212" s="94"/>
      <c r="AD1212" s="94"/>
      <c r="AE1212" s="94"/>
      <c r="AF1212" s="94"/>
      <c r="AG1212" s="94"/>
      <c r="AH1212" s="94"/>
      <c r="AI1212" s="94"/>
      <c r="AJ1212" s="94"/>
      <c r="AK1212" s="94"/>
      <c r="AL1212" s="94"/>
      <c r="AM1212" s="94"/>
      <c r="AN1212" s="94"/>
      <c r="AO1212" s="94"/>
      <c r="AP1212" s="94"/>
      <c r="AQ1212" s="94"/>
      <c r="AR1212" s="94"/>
      <c r="AS1212" s="94"/>
      <c r="AT1212" s="94"/>
      <c r="AU1212" s="94"/>
      <c r="AV1212" s="94"/>
      <c r="AW1212" s="94"/>
      <c r="AX1212" s="94"/>
      <c r="AY1212" s="94"/>
      <c r="AZ1212" s="94"/>
      <c r="BA1212" s="94"/>
      <c r="BB1212" s="94"/>
      <c r="BC1212" s="94"/>
      <c r="BD1212" s="94"/>
      <c r="BE1212" s="94"/>
      <c r="BF1212" s="94"/>
    </row>
    <row r="1213" spans="1:58" x14ac:dyDescent="0.35">
      <c r="A1213" s="104" t="s">
        <v>3013</v>
      </c>
      <c r="B1213" s="105" t="s">
        <v>0</v>
      </c>
      <c r="C1213" s="106">
        <v>6</v>
      </c>
      <c r="D1213" s="104" t="s">
        <v>30</v>
      </c>
      <c r="E1213" s="106"/>
      <c r="F1213" s="94"/>
      <c r="G1213" s="94"/>
      <c r="H1213" s="94"/>
      <c r="I1213" s="94"/>
      <c r="J1213" s="94"/>
      <c r="K1213" s="94"/>
      <c r="L1213" s="94"/>
      <c r="M1213" s="94"/>
      <c r="N1213" s="94"/>
      <c r="O1213" s="94"/>
      <c r="P1213" s="94"/>
      <c r="Q1213" s="94"/>
      <c r="R1213" s="94"/>
      <c r="S1213" s="94"/>
      <c r="T1213" s="94"/>
      <c r="U1213" s="94"/>
      <c r="V1213" s="94"/>
      <c r="W1213" s="94"/>
      <c r="X1213" s="94"/>
      <c r="Y1213" s="94"/>
      <c r="Z1213" s="94"/>
      <c r="AA1213" s="94"/>
      <c r="AB1213" s="94"/>
      <c r="AC1213" s="94"/>
      <c r="AD1213" s="94"/>
      <c r="AE1213" s="94"/>
      <c r="AF1213" s="94"/>
      <c r="AG1213" s="94"/>
      <c r="AH1213" s="94"/>
      <c r="AI1213" s="94"/>
      <c r="AJ1213" s="94"/>
      <c r="AK1213" s="94"/>
      <c r="AL1213" s="94"/>
      <c r="AM1213" s="94"/>
      <c r="AN1213" s="94"/>
      <c r="AO1213" s="94"/>
      <c r="AP1213" s="94"/>
      <c r="AQ1213" s="94"/>
      <c r="AR1213" s="94"/>
      <c r="AS1213" s="94"/>
      <c r="AT1213" s="94"/>
      <c r="AU1213" s="94"/>
      <c r="AV1213" s="94"/>
      <c r="AW1213" s="94"/>
      <c r="AX1213" s="94"/>
      <c r="AY1213" s="94"/>
      <c r="AZ1213" s="94"/>
      <c r="BA1213" s="94"/>
      <c r="BB1213" s="94"/>
      <c r="BC1213" s="94"/>
      <c r="BD1213" s="94"/>
      <c r="BE1213" s="94"/>
      <c r="BF1213" s="94"/>
    </row>
    <row r="1214" spans="1:58" x14ac:dyDescent="0.35">
      <c r="A1214" s="107" t="s">
        <v>3014</v>
      </c>
      <c r="B1214" s="108" t="s">
        <v>0</v>
      </c>
      <c r="C1214" s="109">
        <v>7</v>
      </c>
      <c r="D1214" s="107" t="s">
        <v>1651</v>
      </c>
      <c r="E1214" s="109" t="s">
        <v>1653</v>
      </c>
      <c r="F1214" s="94"/>
      <c r="G1214" s="94"/>
      <c r="H1214" s="94"/>
      <c r="I1214" s="94"/>
      <c r="J1214" s="94"/>
      <c r="K1214" s="94"/>
      <c r="L1214" s="94"/>
      <c r="M1214" s="94"/>
      <c r="N1214" s="94"/>
      <c r="O1214" s="94"/>
      <c r="P1214" s="94"/>
      <c r="Q1214" s="94"/>
      <c r="R1214" s="94"/>
      <c r="S1214" s="94"/>
      <c r="T1214" s="94"/>
      <c r="U1214" s="94"/>
      <c r="V1214" s="94"/>
      <c r="W1214" s="94"/>
      <c r="X1214" s="94"/>
      <c r="Y1214" s="94"/>
      <c r="Z1214" s="94"/>
      <c r="AA1214" s="94"/>
      <c r="AB1214" s="94"/>
      <c r="AC1214" s="94"/>
      <c r="AD1214" s="94"/>
      <c r="AE1214" s="94"/>
      <c r="AF1214" s="94"/>
      <c r="AG1214" s="94"/>
      <c r="AH1214" s="94"/>
      <c r="AI1214" s="94"/>
      <c r="AJ1214" s="94"/>
      <c r="AK1214" s="94"/>
      <c r="AL1214" s="94"/>
      <c r="AM1214" s="94"/>
      <c r="AN1214" s="94"/>
      <c r="AO1214" s="94"/>
      <c r="AP1214" s="94"/>
      <c r="AQ1214" s="94"/>
      <c r="AR1214" s="94"/>
      <c r="AS1214" s="94"/>
      <c r="AT1214" s="94"/>
      <c r="AU1214" s="94"/>
      <c r="AV1214" s="94"/>
      <c r="AW1214" s="94"/>
      <c r="AX1214" s="94"/>
      <c r="AY1214" s="94"/>
      <c r="AZ1214" s="94"/>
      <c r="BA1214" s="94"/>
      <c r="BB1214" s="94"/>
      <c r="BC1214" s="94"/>
      <c r="BD1214" s="94"/>
      <c r="BE1214" s="94"/>
      <c r="BF1214" s="94"/>
    </row>
    <row r="1215" spans="1:58" x14ac:dyDescent="0.35">
      <c r="A1215" s="101" t="s">
        <v>3015</v>
      </c>
      <c r="B1215" s="102" t="s">
        <v>0</v>
      </c>
      <c r="C1215" s="103">
        <v>5</v>
      </c>
      <c r="D1215" s="101" t="s">
        <v>608</v>
      </c>
      <c r="E1215" s="103" t="s">
        <v>224</v>
      </c>
      <c r="F1215" s="94"/>
      <c r="G1215" s="94"/>
      <c r="H1215" s="94"/>
      <c r="I1215" s="94"/>
      <c r="J1215" s="94"/>
      <c r="K1215" s="94"/>
      <c r="L1215" s="94"/>
      <c r="M1215" s="94"/>
      <c r="N1215" s="94"/>
      <c r="O1215" s="94"/>
      <c r="P1215" s="94"/>
      <c r="Q1215" s="94"/>
      <c r="R1215" s="94"/>
      <c r="S1215" s="94"/>
      <c r="T1215" s="94"/>
      <c r="U1215" s="94"/>
      <c r="V1215" s="94"/>
      <c r="W1215" s="94"/>
      <c r="X1215" s="94"/>
      <c r="Y1215" s="94"/>
      <c r="Z1215" s="94"/>
      <c r="AA1215" s="94"/>
      <c r="AB1215" s="94"/>
      <c r="AC1215" s="94"/>
      <c r="AD1215" s="94"/>
      <c r="AE1215" s="94"/>
      <c r="AF1215" s="94"/>
      <c r="AG1215" s="94"/>
      <c r="AH1215" s="94"/>
      <c r="AI1215" s="94"/>
      <c r="AJ1215" s="94"/>
      <c r="AK1215" s="94"/>
      <c r="AL1215" s="94"/>
      <c r="AM1215" s="94"/>
      <c r="AN1215" s="94"/>
      <c r="AO1215" s="94"/>
      <c r="AP1215" s="94"/>
      <c r="AQ1215" s="94"/>
      <c r="AR1215" s="94"/>
      <c r="AS1215" s="94"/>
      <c r="AT1215" s="94"/>
      <c r="AU1215" s="94"/>
      <c r="AV1215" s="94"/>
      <c r="AW1215" s="94"/>
      <c r="AX1215" s="94"/>
      <c r="AY1215" s="94"/>
      <c r="AZ1215" s="94"/>
      <c r="BA1215" s="94"/>
      <c r="BB1215" s="94"/>
      <c r="BC1215" s="94"/>
      <c r="BD1215" s="94"/>
      <c r="BE1215" s="94"/>
      <c r="BF1215" s="94"/>
    </row>
    <row r="1216" spans="1:58" x14ac:dyDescent="0.35">
      <c r="A1216" s="104" t="s">
        <v>3016</v>
      </c>
      <c r="B1216" s="105" t="s">
        <v>0</v>
      </c>
      <c r="C1216" s="106">
        <v>6</v>
      </c>
      <c r="D1216" s="104" t="s">
        <v>16</v>
      </c>
      <c r="E1216" s="106"/>
      <c r="F1216" s="94"/>
      <c r="G1216" s="94"/>
      <c r="H1216" s="94"/>
      <c r="I1216" s="94"/>
      <c r="J1216" s="94"/>
      <c r="K1216" s="94"/>
      <c r="L1216" s="94"/>
      <c r="M1216" s="94"/>
      <c r="N1216" s="94"/>
      <c r="O1216" s="94"/>
      <c r="P1216" s="94"/>
      <c r="Q1216" s="94"/>
      <c r="R1216" s="94"/>
      <c r="S1216" s="94"/>
      <c r="T1216" s="94"/>
      <c r="U1216" s="94"/>
      <c r="V1216" s="94"/>
      <c r="W1216" s="94"/>
      <c r="X1216" s="94"/>
      <c r="Y1216" s="94"/>
      <c r="Z1216" s="94"/>
      <c r="AA1216" s="94"/>
      <c r="AB1216" s="94"/>
      <c r="AC1216" s="94"/>
      <c r="AD1216" s="94"/>
      <c r="AE1216" s="94"/>
      <c r="AF1216" s="94"/>
      <c r="AG1216" s="94"/>
      <c r="AH1216" s="94"/>
      <c r="AI1216" s="94"/>
      <c r="AJ1216" s="94"/>
      <c r="AK1216" s="94"/>
      <c r="AL1216" s="94"/>
      <c r="AM1216" s="94"/>
      <c r="AN1216" s="94"/>
      <c r="AO1216" s="94"/>
      <c r="AP1216" s="94"/>
      <c r="AQ1216" s="94"/>
      <c r="AR1216" s="94"/>
      <c r="AS1216" s="94"/>
      <c r="AT1216" s="94"/>
      <c r="AU1216" s="94"/>
      <c r="AV1216" s="94"/>
      <c r="AW1216" s="94"/>
      <c r="AX1216" s="94"/>
      <c r="AY1216" s="94"/>
      <c r="AZ1216" s="94"/>
      <c r="BA1216" s="94"/>
      <c r="BB1216" s="94"/>
      <c r="BC1216" s="94"/>
      <c r="BD1216" s="94"/>
      <c r="BE1216" s="94"/>
      <c r="BF1216" s="94"/>
    </row>
    <row r="1217" spans="1:58" x14ac:dyDescent="0.35">
      <c r="A1217" s="107" t="s">
        <v>3017</v>
      </c>
      <c r="B1217" s="108" t="s">
        <v>0</v>
      </c>
      <c r="C1217" s="109">
        <v>7</v>
      </c>
      <c r="D1217" s="107" t="s">
        <v>1176</v>
      </c>
      <c r="E1217" s="109" t="s">
        <v>225</v>
      </c>
      <c r="F1217" s="94"/>
      <c r="G1217" s="94"/>
      <c r="H1217" s="94"/>
      <c r="I1217" s="94"/>
      <c r="J1217" s="94"/>
      <c r="K1217" s="94"/>
      <c r="L1217" s="94"/>
      <c r="M1217" s="94"/>
      <c r="N1217" s="94"/>
      <c r="O1217" s="94"/>
      <c r="P1217" s="94"/>
      <c r="Q1217" s="94"/>
      <c r="R1217" s="94"/>
      <c r="S1217" s="94"/>
      <c r="T1217" s="94"/>
      <c r="U1217" s="94"/>
      <c r="V1217" s="94"/>
      <c r="W1217" s="94"/>
      <c r="X1217" s="94"/>
      <c r="Y1217" s="94"/>
      <c r="Z1217" s="94"/>
      <c r="AA1217" s="94"/>
      <c r="AB1217" s="94"/>
      <c r="AC1217" s="94"/>
      <c r="AD1217" s="94"/>
      <c r="AE1217" s="94"/>
      <c r="AF1217" s="94"/>
      <c r="AG1217" s="94"/>
      <c r="AH1217" s="94"/>
      <c r="AI1217" s="94"/>
      <c r="AJ1217" s="94"/>
      <c r="AK1217" s="94"/>
      <c r="AL1217" s="94"/>
      <c r="AM1217" s="94"/>
      <c r="AN1217" s="94"/>
      <c r="AO1217" s="94"/>
      <c r="AP1217" s="94"/>
      <c r="AQ1217" s="94"/>
      <c r="AR1217" s="94"/>
      <c r="AS1217" s="94"/>
      <c r="AT1217" s="94"/>
      <c r="AU1217" s="94"/>
      <c r="AV1217" s="94"/>
      <c r="AW1217" s="94"/>
      <c r="AX1217" s="94"/>
      <c r="AY1217" s="94"/>
      <c r="AZ1217" s="94"/>
      <c r="BA1217" s="94"/>
      <c r="BB1217" s="94"/>
      <c r="BC1217" s="94"/>
      <c r="BD1217" s="94"/>
      <c r="BE1217" s="94"/>
      <c r="BF1217" s="94"/>
    </row>
    <row r="1218" spans="1:58" x14ac:dyDescent="0.35">
      <c r="A1218" s="104" t="s">
        <v>3018</v>
      </c>
      <c r="B1218" s="105" t="s">
        <v>0</v>
      </c>
      <c r="C1218" s="106">
        <v>6</v>
      </c>
      <c r="D1218" s="104" t="s">
        <v>30</v>
      </c>
      <c r="E1218" s="106"/>
      <c r="F1218" s="94"/>
      <c r="G1218" s="94"/>
      <c r="H1218" s="94"/>
      <c r="I1218" s="94"/>
      <c r="J1218" s="94"/>
      <c r="K1218" s="94"/>
      <c r="L1218" s="94"/>
      <c r="M1218" s="94"/>
      <c r="N1218" s="94"/>
      <c r="O1218" s="94"/>
      <c r="P1218" s="94"/>
      <c r="Q1218" s="94"/>
      <c r="R1218" s="94"/>
      <c r="S1218" s="94"/>
      <c r="T1218" s="94"/>
      <c r="U1218" s="94"/>
      <c r="V1218" s="94"/>
      <c r="W1218" s="94"/>
      <c r="X1218" s="94"/>
      <c r="Y1218" s="94"/>
      <c r="Z1218" s="94"/>
      <c r="AA1218" s="94"/>
      <c r="AB1218" s="94"/>
      <c r="AC1218" s="94"/>
      <c r="AD1218" s="94"/>
      <c r="AE1218" s="94"/>
      <c r="AF1218" s="94"/>
      <c r="AG1218" s="94"/>
      <c r="AH1218" s="94"/>
      <c r="AI1218" s="94"/>
      <c r="AJ1218" s="94"/>
      <c r="AK1218" s="94"/>
      <c r="AL1218" s="94"/>
      <c r="AM1218" s="94"/>
      <c r="AN1218" s="94"/>
      <c r="AO1218" s="94"/>
      <c r="AP1218" s="94"/>
      <c r="AQ1218" s="94"/>
      <c r="AR1218" s="94"/>
      <c r="AS1218" s="94"/>
      <c r="AT1218" s="94"/>
      <c r="AU1218" s="94"/>
      <c r="AV1218" s="94"/>
      <c r="AW1218" s="94"/>
      <c r="AX1218" s="94"/>
      <c r="AY1218" s="94"/>
      <c r="AZ1218" s="94"/>
      <c r="BA1218" s="94"/>
      <c r="BB1218" s="94"/>
      <c r="BC1218" s="94"/>
      <c r="BD1218" s="94"/>
      <c r="BE1218" s="94"/>
      <c r="BF1218" s="94"/>
    </row>
    <row r="1219" spans="1:58" x14ac:dyDescent="0.35">
      <c r="A1219" s="107" t="s">
        <v>3019</v>
      </c>
      <c r="B1219" s="108" t="s">
        <v>0</v>
      </c>
      <c r="C1219" s="109">
        <v>7</v>
      </c>
      <c r="D1219" s="107" t="s">
        <v>1660</v>
      </c>
      <c r="E1219" s="109" t="s">
        <v>1661</v>
      </c>
      <c r="F1219" s="94"/>
      <c r="G1219" s="94"/>
      <c r="H1219" s="94"/>
      <c r="I1219" s="94"/>
      <c r="J1219" s="94"/>
      <c r="K1219" s="94"/>
      <c r="L1219" s="94"/>
      <c r="M1219" s="94"/>
      <c r="N1219" s="94"/>
      <c r="O1219" s="94"/>
      <c r="P1219" s="94"/>
      <c r="Q1219" s="94"/>
      <c r="R1219" s="94"/>
      <c r="S1219" s="94"/>
      <c r="T1219" s="94"/>
      <c r="U1219" s="94"/>
      <c r="V1219" s="94"/>
      <c r="W1219" s="94"/>
      <c r="X1219" s="94"/>
      <c r="Y1219" s="94"/>
      <c r="Z1219" s="94"/>
      <c r="AA1219" s="94"/>
      <c r="AB1219" s="94"/>
      <c r="AC1219" s="94"/>
      <c r="AD1219" s="94"/>
      <c r="AE1219" s="94"/>
      <c r="AF1219" s="94"/>
      <c r="AG1219" s="94"/>
      <c r="AH1219" s="94"/>
      <c r="AI1219" s="94"/>
      <c r="AJ1219" s="94"/>
      <c r="AK1219" s="94"/>
      <c r="AL1219" s="94"/>
      <c r="AM1219" s="94"/>
      <c r="AN1219" s="94"/>
      <c r="AO1219" s="94"/>
      <c r="AP1219" s="94"/>
      <c r="AQ1219" s="94"/>
      <c r="AR1219" s="94"/>
      <c r="AS1219" s="94"/>
      <c r="AT1219" s="94"/>
      <c r="AU1219" s="94"/>
      <c r="AV1219" s="94"/>
      <c r="AW1219" s="94"/>
      <c r="AX1219" s="94"/>
      <c r="AY1219" s="94"/>
      <c r="AZ1219" s="94"/>
      <c r="BA1219" s="94"/>
      <c r="BB1219" s="94"/>
      <c r="BC1219" s="94"/>
      <c r="BD1219" s="94"/>
      <c r="BE1219" s="94"/>
      <c r="BF1219" s="94"/>
    </row>
    <row r="1220" spans="1:58" x14ac:dyDescent="0.35">
      <c r="A1220" s="104" t="s">
        <v>3020</v>
      </c>
      <c r="B1220" s="105" t="s">
        <v>0</v>
      </c>
      <c r="C1220" s="106">
        <v>6</v>
      </c>
      <c r="D1220" s="104" t="s">
        <v>123</v>
      </c>
      <c r="E1220" s="106"/>
      <c r="F1220" s="94"/>
      <c r="G1220" s="94"/>
      <c r="H1220" s="94"/>
      <c r="I1220" s="94"/>
      <c r="J1220" s="94"/>
      <c r="K1220" s="94"/>
      <c r="L1220" s="94"/>
      <c r="M1220" s="94"/>
      <c r="N1220" s="94"/>
      <c r="O1220" s="94"/>
      <c r="P1220" s="94"/>
      <c r="Q1220" s="94"/>
      <c r="R1220" s="94"/>
      <c r="S1220" s="94"/>
      <c r="T1220" s="94"/>
      <c r="U1220" s="94"/>
      <c r="V1220" s="94"/>
      <c r="W1220" s="94"/>
      <c r="X1220" s="94"/>
      <c r="Y1220" s="94"/>
      <c r="Z1220" s="94"/>
      <c r="AA1220" s="94"/>
      <c r="AB1220" s="94"/>
      <c r="AC1220" s="94"/>
      <c r="AD1220" s="94"/>
      <c r="AE1220" s="94"/>
      <c r="AF1220" s="94"/>
      <c r="AG1220" s="94"/>
      <c r="AH1220" s="94"/>
      <c r="AI1220" s="94"/>
      <c r="AJ1220" s="94"/>
      <c r="AK1220" s="94"/>
      <c r="AL1220" s="94"/>
      <c r="AM1220" s="94"/>
      <c r="AN1220" s="94"/>
      <c r="AO1220" s="94"/>
      <c r="AP1220" s="94"/>
      <c r="AQ1220" s="94"/>
      <c r="AR1220" s="94"/>
      <c r="AS1220" s="94"/>
      <c r="AT1220" s="94"/>
      <c r="AU1220" s="94"/>
      <c r="AV1220" s="94"/>
      <c r="AW1220" s="94"/>
      <c r="AX1220" s="94"/>
      <c r="AY1220" s="94"/>
      <c r="AZ1220" s="94"/>
      <c r="BA1220" s="94"/>
      <c r="BB1220" s="94"/>
      <c r="BC1220" s="94"/>
      <c r="BD1220" s="94"/>
      <c r="BE1220" s="94"/>
      <c r="BF1220" s="94"/>
    </row>
    <row r="1221" spans="1:58" x14ac:dyDescent="0.35">
      <c r="A1221" s="107" t="s">
        <v>3776</v>
      </c>
      <c r="B1221" s="108" t="s">
        <v>0</v>
      </c>
      <c r="C1221" s="109">
        <v>7</v>
      </c>
      <c r="D1221" s="107" t="s">
        <v>1654</v>
      </c>
      <c r="E1221" s="109"/>
      <c r="F1221" s="94"/>
      <c r="G1221" s="94"/>
      <c r="H1221" s="94"/>
      <c r="I1221" s="94"/>
      <c r="J1221" s="94"/>
      <c r="K1221" s="94"/>
      <c r="L1221" s="94"/>
      <c r="M1221" s="94"/>
      <c r="N1221" s="94"/>
      <c r="O1221" s="94"/>
      <c r="P1221" s="94"/>
      <c r="Q1221" s="94"/>
      <c r="R1221" s="94"/>
      <c r="S1221" s="94"/>
      <c r="T1221" s="94"/>
      <c r="U1221" s="94"/>
      <c r="V1221" s="94"/>
      <c r="W1221" s="94"/>
      <c r="X1221" s="94"/>
      <c r="Y1221" s="94"/>
      <c r="Z1221" s="94"/>
      <c r="AA1221" s="94"/>
      <c r="AB1221" s="94"/>
      <c r="AC1221" s="94"/>
      <c r="AD1221" s="94"/>
      <c r="AE1221" s="94"/>
      <c r="AF1221" s="94"/>
      <c r="AG1221" s="94"/>
      <c r="AH1221" s="94"/>
      <c r="AI1221" s="94"/>
      <c r="AJ1221" s="94"/>
      <c r="AK1221" s="94"/>
      <c r="AL1221" s="94"/>
      <c r="AM1221" s="94"/>
      <c r="AN1221" s="94"/>
      <c r="AO1221" s="94"/>
      <c r="AP1221" s="94"/>
      <c r="AQ1221" s="94"/>
      <c r="AR1221" s="94"/>
      <c r="AS1221" s="94"/>
      <c r="AT1221" s="94"/>
      <c r="AU1221" s="94"/>
      <c r="AV1221" s="94"/>
      <c r="AW1221" s="94"/>
      <c r="AX1221" s="94"/>
      <c r="AY1221" s="94"/>
      <c r="AZ1221" s="94"/>
      <c r="BA1221" s="94"/>
      <c r="BB1221" s="94"/>
      <c r="BC1221" s="94"/>
      <c r="BD1221" s="94"/>
      <c r="BE1221" s="94"/>
      <c r="BF1221" s="94"/>
    </row>
    <row r="1222" spans="1:58" x14ac:dyDescent="0.35">
      <c r="A1222" s="101" t="s">
        <v>3021</v>
      </c>
      <c r="B1222" s="102" t="s">
        <v>0</v>
      </c>
      <c r="C1222" s="103">
        <v>5</v>
      </c>
      <c r="D1222" s="101" t="s">
        <v>608</v>
      </c>
      <c r="E1222" s="103" t="s">
        <v>226</v>
      </c>
      <c r="F1222" s="94"/>
      <c r="G1222" s="94"/>
      <c r="H1222" s="94"/>
      <c r="I1222" s="94"/>
      <c r="J1222" s="94"/>
      <c r="K1222" s="94"/>
      <c r="L1222" s="94"/>
      <c r="M1222" s="94"/>
      <c r="N1222" s="94"/>
      <c r="O1222" s="94"/>
      <c r="P1222" s="94"/>
      <c r="Q1222" s="94"/>
      <c r="R1222" s="94"/>
      <c r="S1222" s="94"/>
      <c r="T1222" s="94"/>
      <c r="U1222" s="94"/>
      <c r="V1222" s="94"/>
      <c r="W1222" s="94"/>
      <c r="X1222" s="94"/>
      <c r="Y1222" s="94"/>
      <c r="Z1222" s="94"/>
      <c r="AA1222" s="94"/>
      <c r="AB1222" s="94"/>
      <c r="AC1222" s="94"/>
      <c r="AD1222" s="94"/>
      <c r="AE1222" s="94"/>
      <c r="AF1222" s="94"/>
      <c r="AG1222" s="94"/>
      <c r="AH1222" s="94"/>
      <c r="AI1222" s="94"/>
      <c r="AJ1222" s="94"/>
      <c r="AK1222" s="94"/>
      <c r="AL1222" s="94"/>
      <c r="AM1222" s="94"/>
      <c r="AN1222" s="94"/>
      <c r="AO1222" s="94"/>
      <c r="AP1222" s="94"/>
      <c r="AQ1222" s="94"/>
      <c r="AR1222" s="94"/>
      <c r="AS1222" s="94"/>
      <c r="AT1222" s="94"/>
      <c r="AU1222" s="94"/>
      <c r="AV1222" s="94"/>
      <c r="AW1222" s="94"/>
      <c r="AX1222" s="94"/>
      <c r="AY1222" s="94"/>
      <c r="AZ1222" s="94"/>
      <c r="BA1222" s="94"/>
      <c r="BB1222" s="94"/>
      <c r="BC1222" s="94"/>
      <c r="BD1222" s="94"/>
      <c r="BE1222" s="94"/>
      <c r="BF1222" s="94"/>
    </row>
    <row r="1223" spans="1:58" x14ac:dyDescent="0.35">
      <c r="A1223" s="104" t="s">
        <v>3022</v>
      </c>
      <c r="B1223" s="105" t="s">
        <v>0</v>
      </c>
      <c r="C1223" s="106">
        <v>6</v>
      </c>
      <c r="D1223" s="104" t="s">
        <v>16</v>
      </c>
      <c r="E1223" s="106"/>
      <c r="F1223" s="94"/>
      <c r="G1223" s="94"/>
      <c r="H1223" s="94"/>
      <c r="I1223" s="94"/>
      <c r="J1223" s="94"/>
      <c r="K1223" s="94"/>
      <c r="L1223" s="94"/>
      <c r="M1223" s="94"/>
      <c r="N1223" s="94"/>
      <c r="O1223" s="94"/>
      <c r="P1223" s="94"/>
      <c r="Q1223" s="94"/>
      <c r="R1223" s="94"/>
      <c r="S1223" s="94"/>
      <c r="T1223" s="94"/>
      <c r="U1223" s="94"/>
      <c r="V1223" s="94"/>
      <c r="W1223" s="94"/>
      <c r="X1223" s="94"/>
      <c r="Y1223" s="94"/>
      <c r="Z1223" s="94"/>
      <c r="AA1223" s="94"/>
      <c r="AB1223" s="94"/>
      <c r="AC1223" s="94"/>
      <c r="AD1223" s="94"/>
      <c r="AE1223" s="94"/>
      <c r="AF1223" s="94"/>
      <c r="AG1223" s="94"/>
      <c r="AH1223" s="94"/>
      <c r="AI1223" s="94"/>
      <c r="AJ1223" s="94"/>
      <c r="AK1223" s="94"/>
      <c r="AL1223" s="94"/>
      <c r="AM1223" s="94"/>
      <c r="AN1223" s="94"/>
      <c r="AO1223" s="94"/>
      <c r="AP1223" s="94"/>
      <c r="AQ1223" s="94"/>
      <c r="AR1223" s="94"/>
      <c r="AS1223" s="94"/>
      <c r="AT1223" s="94"/>
      <c r="AU1223" s="94"/>
      <c r="AV1223" s="94"/>
      <c r="AW1223" s="94"/>
      <c r="AX1223" s="94"/>
      <c r="AY1223" s="94"/>
      <c r="AZ1223" s="94"/>
      <c r="BA1223" s="94"/>
      <c r="BB1223" s="94"/>
      <c r="BC1223" s="94"/>
      <c r="BD1223" s="94"/>
      <c r="BE1223" s="94"/>
      <c r="BF1223" s="94"/>
    </row>
    <row r="1224" spans="1:58" x14ac:dyDescent="0.35">
      <c r="A1224" s="107" t="s">
        <v>3023</v>
      </c>
      <c r="B1224" s="108" t="s">
        <v>0</v>
      </c>
      <c r="C1224" s="109">
        <v>7</v>
      </c>
      <c r="D1224" s="107" t="s">
        <v>1176</v>
      </c>
      <c r="E1224" s="109" t="s">
        <v>227</v>
      </c>
      <c r="F1224" s="94"/>
      <c r="G1224" s="94"/>
      <c r="H1224" s="94"/>
      <c r="I1224" s="94"/>
      <c r="J1224" s="94"/>
      <c r="K1224" s="94"/>
      <c r="L1224" s="94"/>
      <c r="M1224" s="94"/>
      <c r="N1224" s="94"/>
      <c r="O1224" s="94"/>
      <c r="P1224" s="94"/>
      <c r="Q1224" s="94"/>
      <c r="R1224" s="94"/>
      <c r="S1224" s="94"/>
      <c r="T1224" s="94"/>
      <c r="U1224" s="94"/>
      <c r="V1224" s="94"/>
      <c r="W1224" s="94"/>
      <c r="X1224" s="94"/>
      <c r="Y1224" s="94"/>
      <c r="Z1224" s="94"/>
      <c r="AA1224" s="94"/>
      <c r="AB1224" s="94"/>
      <c r="AC1224" s="94"/>
      <c r="AD1224" s="94"/>
      <c r="AE1224" s="94"/>
      <c r="AF1224" s="94"/>
      <c r="AG1224" s="94"/>
      <c r="AH1224" s="94"/>
      <c r="AI1224" s="94"/>
      <c r="AJ1224" s="94"/>
      <c r="AK1224" s="94"/>
      <c r="AL1224" s="94"/>
      <c r="AM1224" s="94"/>
      <c r="AN1224" s="94"/>
      <c r="AO1224" s="94"/>
      <c r="AP1224" s="94"/>
      <c r="AQ1224" s="94"/>
      <c r="AR1224" s="94"/>
      <c r="AS1224" s="94"/>
      <c r="AT1224" s="94"/>
      <c r="AU1224" s="94"/>
      <c r="AV1224" s="94"/>
      <c r="AW1224" s="94"/>
      <c r="AX1224" s="94"/>
      <c r="AY1224" s="94"/>
      <c r="AZ1224" s="94"/>
      <c r="BA1224" s="94"/>
      <c r="BB1224" s="94"/>
      <c r="BC1224" s="94"/>
      <c r="BD1224" s="94"/>
      <c r="BE1224" s="94"/>
      <c r="BF1224" s="94"/>
    </row>
    <row r="1225" spans="1:58" x14ac:dyDescent="0.35">
      <c r="A1225" s="104" t="s">
        <v>3024</v>
      </c>
      <c r="B1225" s="105" t="s">
        <v>0</v>
      </c>
      <c r="C1225" s="106">
        <v>6</v>
      </c>
      <c r="D1225" s="104" t="s">
        <v>30</v>
      </c>
      <c r="E1225" s="106"/>
      <c r="F1225" s="94"/>
      <c r="G1225" s="94"/>
      <c r="H1225" s="94"/>
      <c r="I1225" s="94"/>
      <c r="J1225" s="94"/>
      <c r="K1225" s="94"/>
      <c r="L1225" s="94"/>
      <c r="M1225" s="94"/>
      <c r="N1225" s="94"/>
      <c r="O1225" s="94"/>
      <c r="P1225" s="94"/>
      <c r="Q1225" s="94"/>
      <c r="R1225" s="94"/>
      <c r="S1225" s="94"/>
      <c r="T1225" s="94"/>
      <c r="U1225" s="94"/>
      <c r="V1225" s="94"/>
      <c r="W1225" s="94"/>
      <c r="X1225" s="94"/>
      <c r="Y1225" s="94"/>
      <c r="Z1225" s="94"/>
      <c r="AA1225" s="94"/>
      <c r="AB1225" s="94"/>
      <c r="AC1225" s="94"/>
      <c r="AD1225" s="94"/>
      <c r="AE1225" s="94"/>
      <c r="AF1225" s="94"/>
      <c r="AG1225" s="94"/>
      <c r="AH1225" s="94"/>
      <c r="AI1225" s="94"/>
      <c r="AJ1225" s="94"/>
      <c r="AK1225" s="94"/>
      <c r="AL1225" s="94"/>
      <c r="AM1225" s="94"/>
      <c r="AN1225" s="94"/>
      <c r="AO1225" s="94"/>
      <c r="AP1225" s="94"/>
      <c r="AQ1225" s="94"/>
      <c r="AR1225" s="94"/>
      <c r="AS1225" s="94"/>
      <c r="AT1225" s="94"/>
      <c r="AU1225" s="94"/>
      <c r="AV1225" s="94"/>
      <c r="AW1225" s="94"/>
      <c r="AX1225" s="94"/>
      <c r="AY1225" s="94"/>
      <c r="AZ1225" s="94"/>
      <c r="BA1225" s="94"/>
      <c r="BB1225" s="94"/>
      <c r="BC1225" s="94"/>
      <c r="BD1225" s="94"/>
      <c r="BE1225" s="94"/>
      <c r="BF1225" s="94"/>
    </row>
    <row r="1226" spans="1:58" x14ac:dyDescent="0.35">
      <c r="A1226" s="107" t="s">
        <v>3025</v>
      </c>
      <c r="B1226" s="108" t="s">
        <v>0</v>
      </c>
      <c r="C1226" s="109">
        <v>7</v>
      </c>
      <c r="D1226" s="107" t="s">
        <v>1660</v>
      </c>
      <c r="E1226" s="109" t="s">
        <v>1662</v>
      </c>
      <c r="F1226" s="94"/>
      <c r="G1226" s="94"/>
      <c r="H1226" s="94"/>
      <c r="I1226" s="94"/>
      <c r="J1226" s="94"/>
      <c r="K1226" s="94"/>
      <c r="L1226" s="94"/>
      <c r="M1226" s="94"/>
      <c r="N1226" s="94"/>
      <c r="O1226" s="94"/>
      <c r="P1226" s="94"/>
      <c r="Q1226" s="94"/>
      <c r="R1226" s="94"/>
      <c r="S1226" s="94"/>
      <c r="T1226" s="94"/>
      <c r="U1226" s="94"/>
      <c r="V1226" s="94"/>
      <c r="W1226" s="94"/>
      <c r="X1226" s="94"/>
      <c r="Y1226" s="94"/>
      <c r="Z1226" s="94"/>
      <c r="AA1226" s="94"/>
      <c r="AB1226" s="94"/>
      <c r="AC1226" s="94"/>
      <c r="AD1226" s="94"/>
      <c r="AE1226" s="94"/>
      <c r="AF1226" s="94"/>
      <c r="AG1226" s="94"/>
      <c r="AH1226" s="94"/>
      <c r="AI1226" s="94"/>
      <c r="AJ1226" s="94"/>
      <c r="AK1226" s="94"/>
      <c r="AL1226" s="94"/>
      <c r="AM1226" s="94"/>
      <c r="AN1226" s="94"/>
      <c r="AO1226" s="94"/>
      <c r="AP1226" s="94"/>
      <c r="AQ1226" s="94"/>
      <c r="AR1226" s="94"/>
      <c r="AS1226" s="94"/>
      <c r="AT1226" s="94"/>
      <c r="AU1226" s="94"/>
      <c r="AV1226" s="94"/>
      <c r="AW1226" s="94"/>
      <c r="AX1226" s="94"/>
      <c r="AY1226" s="94"/>
      <c r="AZ1226" s="94"/>
      <c r="BA1226" s="94"/>
      <c r="BB1226" s="94"/>
      <c r="BC1226" s="94"/>
      <c r="BD1226" s="94"/>
      <c r="BE1226" s="94"/>
      <c r="BF1226" s="94"/>
    </row>
    <row r="1227" spans="1:58" x14ac:dyDescent="0.35">
      <c r="A1227" s="104" t="s">
        <v>3026</v>
      </c>
      <c r="B1227" s="105" t="s">
        <v>0</v>
      </c>
      <c r="C1227" s="106">
        <v>6</v>
      </c>
      <c r="D1227" s="104" t="s">
        <v>123</v>
      </c>
      <c r="E1227" s="106"/>
      <c r="F1227" s="94"/>
      <c r="G1227" s="94"/>
      <c r="H1227" s="94"/>
      <c r="I1227" s="94"/>
      <c r="J1227" s="94"/>
      <c r="K1227" s="94"/>
      <c r="L1227" s="94"/>
      <c r="M1227" s="94"/>
      <c r="N1227" s="94"/>
      <c r="O1227" s="94"/>
      <c r="P1227" s="94"/>
      <c r="Q1227" s="94"/>
      <c r="R1227" s="94"/>
      <c r="S1227" s="94"/>
      <c r="T1227" s="94"/>
      <c r="U1227" s="94"/>
      <c r="V1227" s="94"/>
      <c r="W1227" s="94"/>
      <c r="X1227" s="94"/>
      <c r="Y1227" s="94"/>
      <c r="Z1227" s="94"/>
      <c r="AA1227" s="94"/>
      <c r="AB1227" s="94"/>
      <c r="AC1227" s="94"/>
      <c r="AD1227" s="94"/>
      <c r="AE1227" s="94"/>
      <c r="AF1227" s="94"/>
      <c r="AG1227" s="94"/>
      <c r="AH1227" s="94"/>
      <c r="AI1227" s="94"/>
      <c r="AJ1227" s="94"/>
      <c r="AK1227" s="94"/>
      <c r="AL1227" s="94"/>
      <c r="AM1227" s="94"/>
      <c r="AN1227" s="94"/>
      <c r="AO1227" s="94"/>
      <c r="AP1227" s="94"/>
      <c r="AQ1227" s="94"/>
      <c r="AR1227" s="94"/>
      <c r="AS1227" s="94"/>
      <c r="AT1227" s="94"/>
      <c r="AU1227" s="94"/>
      <c r="AV1227" s="94"/>
      <c r="AW1227" s="94"/>
      <c r="AX1227" s="94"/>
      <c r="AY1227" s="94"/>
      <c r="AZ1227" s="94"/>
      <c r="BA1227" s="94"/>
      <c r="BB1227" s="94"/>
      <c r="BC1227" s="94"/>
      <c r="BD1227" s="94"/>
      <c r="BE1227" s="94"/>
      <c r="BF1227" s="94"/>
    </row>
    <row r="1228" spans="1:58" x14ac:dyDescent="0.35">
      <c r="A1228" s="107" t="s">
        <v>3775</v>
      </c>
      <c r="B1228" s="108" t="s">
        <v>0</v>
      </c>
      <c r="C1228" s="109">
        <v>7</v>
      </c>
      <c r="D1228" s="107" t="s">
        <v>1654</v>
      </c>
      <c r="E1228" s="109"/>
      <c r="F1228" s="94"/>
      <c r="G1228" s="94"/>
      <c r="H1228" s="94"/>
      <c r="I1228" s="94"/>
      <c r="J1228" s="94"/>
      <c r="K1228" s="94"/>
      <c r="L1228" s="94"/>
      <c r="M1228" s="94"/>
      <c r="N1228" s="94"/>
      <c r="O1228" s="94"/>
      <c r="P1228" s="94"/>
      <c r="Q1228" s="94"/>
      <c r="R1228" s="94"/>
      <c r="S1228" s="94"/>
      <c r="T1228" s="94"/>
      <c r="U1228" s="94"/>
      <c r="V1228" s="94"/>
      <c r="W1228" s="94"/>
      <c r="X1228" s="94"/>
      <c r="Y1228" s="94"/>
      <c r="Z1228" s="94"/>
      <c r="AA1228" s="94"/>
      <c r="AB1228" s="94"/>
      <c r="AC1228" s="94"/>
      <c r="AD1228" s="94"/>
      <c r="AE1228" s="94"/>
      <c r="AF1228" s="94"/>
      <c r="AG1228" s="94"/>
      <c r="AH1228" s="94"/>
      <c r="AI1228" s="94"/>
      <c r="AJ1228" s="94"/>
      <c r="AK1228" s="94"/>
      <c r="AL1228" s="94"/>
      <c r="AM1228" s="94"/>
      <c r="AN1228" s="94"/>
      <c r="AO1228" s="94"/>
      <c r="AP1228" s="94"/>
      <c r="AQ1228" s="94"/>
      <c r="AR1228" s="94"/>
      <c r="AS1228" s="94"/>
      <c r="AT1228" s="94"/>
      <c r="AU1228" s="94"/>
      <c r="AV1228" s="94"/>
      <c r="AW1228" s="94"/>
      <c r="AX1228" s="94"/>
      <c r="AY1228" s="94"/>
      <c r="AZ1228" s="94"/>
      <c r="BA1228" s="94"/>
      <c r="BB1228" s="94"/>
      <c r="BC1228" s="94"/>
      <c r="BD1228" s="94"/>
      <c r="BE1228" s="94"/>
      <c r="BF1228" s="94"/>
    </row>
    <row r="1229" spans="1:58" x14ac:dyDescent="0.35">
      <c r="A1229" s="101" t="s">
        <v>3027</v>
      </c>
      <c r="B1229" s="102" t="s">
        <v>0</v>
      </c>
      <c r="C1229" s="103">
        <v>5</v>
      </c>
      <c r="D1229" s="101" t="s">
        <v>617</v>
      </c>
      <c r="E1229" s="103" t="s">
        <v>228</v>
      </c>
      <c r="F1229" s="94"/>
      <c r="G1229" s="94"/>
      <c r="H1229" s="94"/>
      <c r="I1229" s="94"/>
      <c r="J1229" s="94"/>
      <c r="K1229" s="94"/>
      <c r="L1229" s="94"/>
      <c r="M1229" s="94"/>
      <c r="N1229" s="94"/>
      <c r="O1229" s="94"/>
      <c r="P1229" s="94"/>
      <c r="Q1229" s="94"/>
      <c r="R1229" s="94"/>
      <c r="S1229" s="94"/>
      <c r="T1229" s="94"/>
      <c r="U1229" s="94"/>
      <c r="V1229" s="94"/>
      <c r="W1229" s="94"/>
      <c r="X1229" s="94"/>
      <c r="Y1229" s="94"/>
      <c r="Z1229" s="94"/>
      <c r="AA1229" s="94"/>
      <c r="AB1229" s="94"/>
      <c r="AC1229" s="94"/>
      <c r="AD1229" s="94"/>
      <c r="AE1229" s="94"/>
      <c r="AF1229" s="94"/>
      <c r="AG1229" s="94"/>
      <c r="AH1229" s="94"/>
      <c r="AI1229" s="94"/>
      <c r="AJ1229" s="94"/>
      <c r="AK1229" s="94"/>
      <c r="AL1229" s="94"/>
      <c r="AM1229" s="94"/>
      <c r="AN1229" s="94"/>
      <c r="AO1229" s="94"/>
      <c r="AP1229" s="94"/>
      <c r="AQ1229" s="94"/>
      <c r="AR1229" s="94"/>
      <c r="AS1229" s="94"/>
      <c r="AT1229" s="94"/>
      <c r="AU1229" s="94"/>
      <c r="AV1229" s="94"/>
      <c r="AW1229" s="94"/>
      <c r="AX1229" s="94"/>
      <c r="AY1229" s="94"/>
      <c r="AZ1229" s="94"/>
      <c r="BA1229" s="94"/>
      <c r="BB1229" s="94"/>
      <c r="BC1229" s="94"/>
      <c r="BD1229" s="94"/>
      <c r="BE1229" s="94"/>
      <c r="BF1229" s="94"/>
    </row>
    <row r="1230" spans="1:58" x14ac:dyDescent="0.35">
      <c r="A1230" s="104" t="s">
        <v>3028</v>
      </c>
      <c r="B1230" s="105" t="s">
        <v>0</v>
      </c>
      <c r="C1230" s="106">
        <v>6</v>
      </c>
      <c r="D1230" s="104" t="s">
        <v>8</v>
      </c>
      <c r="E1230" s="106"/>
      <c r="F1230" s="94"/>
      <c r="G1230" s="94"/>
      <c r="H1230" s="94"/>
      <c r="I1230" s="94"/>
      <c r="J1230" s="94"/>
      <c r="K1230" s="94"/>
      <c r="L1230" s="94"/>
      <c r="M1230" s="94"/>
      <c r="N1230" s="94"/>
      <c r="O1230" s="94"/>
      <c r="P1230" s="94"/>
      <c r="Q1230" s="94"/>
      <c r="R1230" s="94"/>
      <c r="S1230" s="94"/>
      <c r="T1230" s="94"/>
      <c r="U1230" s="94"/>
      <c r="V1230" s="94"/>
      <c r="W1230" s="94"/>
      <c r="X1230" s="94"/>
      <c r="Y1230" s="94"/>
      <c r="Z1230" s="94"/>
      <c r="AA1230" s="94"/>
      <c r="AB1230" s="94"/>
      <c r="AC1230" s="94"/>
      <c r="AD1230" s="94"/>
      <c r="AE1230" s="94"/>
      <c r="AF1230" s="94"/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S1230" s="94"/>
      <c r="AT1230" s="94"/>
      <c r="AU1230" s="94"/>
      <c r="AV1230" s="94"/>
      <c r="AW1230" s="94"/>
      <c r="AX1230" s="94"/>
      <c r="AY1230" s="94"/>
      <c r="AZ1230" s="94"/>
      <c r="BA1230" s="94"/>
      <c r="BB1230" s="94"/>
      <c r="BC1230" s="94"/>
      <c r="BD1230" s="94"/>
      <c r="BE1230" s="94"/>
      <c r="BF1230" s="94"/>
    </row>
    <row r="1231" spans="1:58" x14ac:dyDescent="0.35">
      <c r="A1231" s="107" t="s">
        <v>3029</v>
      </c>
      <c r="B1231" s="108" t="s">
        <v>0</v>
      </c>
      <c r="C1231" s="109">
        <v>7</v>
      </c>
      <c r="D1231" s="107" t="s">
        <v>1327</v>
      </c>
      <c r="E1231" s="109" t="s">
        <v>229</v>
      </c>
      <c r="F1231" s="94"/>
      <c r="G1231" s="94"/>
      <c r="H1231" s="94"/>
      <c r="I1231" s="94"/>
      <c r="J1231" s="94"/>
      <c r="K1231" s="94"/>
      <c r="L1231" s="94"/>
      <c r="M1231" s="94"/>
      <c r="N1231" s="94"/>
      <c r="O1231" s="94"/>
      <c r="P1231" s="94"/>
      <c r="Q1231" s="94"/>
      <c r="R1231" s="94"/>
      <c r="S1231" s="94"/>
      <c r="T1231" s="94"/>
      <c r="U1231" s="94"/>
      <c r="V1231" s="94"/>
      <c r="W1231" s="94"/>
      <c r="X1231" s="94"/>
      <c r="Y1231" s="94"/>
      <c r="Z1231" s="94"/>
      <c r="AA1231" s="94"/>
      <c r="AB1231" s="94"/>
      <c r="AC1231" s="94"/>
      <c r="AD1231" s="94"/>
      <c r="AE1231" s="94"/>
      <c r="AF1231" s="94"/>
      <c r="AG1231" s="94"/>
      <c r="AH1231" s="94"/>
      <c r="AI1231" s="94"/>
      <c r="AJ1231" s="94"/>
      <c r="AK1231" s="94"/>
      <c r="AL1231" s="94"/>
      <c r="AM1231" s="94"/>
      <c r="AN1231" s="94"/>
      <c r="AO1231" s="94"/>
      <c r="AP1231" s="94"/>
      <c r="AQ1231" s="94"/>
      <c r="AR1231" s="94"/>
      <c r="AS1231" s="94"/>
      <c r="AT1231" s="94"/>
      <c r="AU1231" s="94"/>
      <c r="AV1231" s="94"/>
      <c r="AW1231" s="94"/>
      <c r="AX1231" s="94"/>
      <c r="AY1231" s="94"/>
      <c r="AZ1231" s="94"/>
      <c r="BA1231" s="94"/>
      <c r="BB1231" s="94"/>
      <c r="BC1231" s="94"/>
      <c r="BD1231" s="94"/>
      <c r="BE1231" s="94"/>
      <c r="BF1231" s="94"/>
    </row>
    <row r="1232" spans="1:58" x14ac:dyDescent="0.35">
      <c r="A1232" s="107" t="s">
        <v>3030</v>
      </c>
      <c r="B1232" s="108" t="s">
        <v>0</v>
      </c>
      <c r="C1232" s="109">
        <v>7</v>
      </c>
      <c r="D1232" s="107" t="s">
        <v>1328</v>
      </c>
      <c r="E1232" s="109" t="s">
        <v>230</v>
      </c>
      <c r="F1232" s="94"/>
      <c r="G1232" s="94"/>
      <c r="H1232" s="94"/>
      <c r="I1232" s="94"/>
      <c r="J1232" s="94"/>
      <c r="K1232" s="94"/>
      <c r="L1232" s="94"/>
      <c r="M1232" s="94"/>
      <c r="N1232" s="94"/>
      <c r="O1232" s="94"/>
      <c r="P1232" s="94"/>
      <c r="Q1232" s="94"/>
      <c r="R1232" s="94"/>
      <c r="S1232" s="94"/>
      <c r="T1232" s="94"/>
      <c r="U1232" s="94"/>
      <c r="V1232" s="94"/>
      <c r="W1232" s="94"/>
      <c r="X1232" s="94"/>
      <c r="Y1232" s="94"/>
      <c r="Z1232" s="94"/>
      <c r="AA1232" s="94"/>
      <c r="AB1232" s="94"/>
      <c r="AC1232" s="94"/>
      <c r="AD1232" s="94"/>
      <c r="AE1232" s="94"/>
      <c r="AF1232" s="94"/>
      <c r="AG1232" s="94"/>
      <c r="AH1232" s="94"/>
      <c r="AI1232" s="94"/>
      <c r="AJ1232" s="94"/>
      <c r="AK1232" s="94"/>
      <c r="AL1232" s="94"/>
      <c r="AM1232" s="94"/>
      <c r="AN1232" s="94"/>
      <c r="AO1232" s="94"/>
      <c r="AP1232" s="94"/>
      <c r="AQ1232" s="94"/>
      <c r="AR1232" s="94"/>
      <c r="AS1232" s="94"/>
      <c r="AT1232" s="94"/>
      <c r="AU1232" s="94"/>
      <c r="AV1232" s="94"/>
      <c r="AW1232" s="94"/>
      <c r="AX1232" s="94"/>
      <c r="AY1232" s="94"/>
      <c r="AZ1232" s="94"/>
      <c r="BA1232" s="94"/>
      <c r="BB1232" s="94"/>
      <c r="BC1232" s="94"/>
      <c r="BD1232" s="94"/>
      <c r="BE1232" s="94"/>
      <c r="BF1232" s="94"/>
    </row>
    <row r="1233" spans="1:58" x14ac:dyDescent="0.35">
      <c r="A1233" s="104" t="s">
        <v>3031</v>
      </c>
      <c r="B1233" s="105" t="s">
        <v>0</v>
      </c>
      <c r="C1233" s="106">
        <v>6</v>
      </c>
      <c r="D1233" s="104" t="s">
        <v>30</v>
      </c>
      <c r="E1233" s="106"/>
      <c r="F1233" s="94"/>
      <c r="G1233" s="94"/>
      <c r="H1233" s="94"/>
      <c r="I1233" s="94"/>
      <c r="J1233" s="94"/>
      <c r="K1233" s="94"/>
      <c r="L1233" s="94"/>
      <c r="M1233" s="94"/>
      <c r="N1233" s="94"/>
      <c r="O1233" s="94"/>
      <c r="P1233" s="94"/>
      <c r="Q1233" s="94"/>
      <c r="R1233" s="94"/>
      <c r="S1233" s="94"/>
      <c r="T1233" s="94"/>
      <c r="U1233" s="94"/>
      <c r="V1233" s="94"/>
      <c r="W1233" s="94"/>
      <c r="X1233" s="94"/>
      <c r="Y1233" s="94"/>
      <c r="Z1233" s="94"/>
      <c r="AA1233" s="94"/>
      <c r="AB1233" s="94"/>
      <c r="AC1233" s="94"/>
      <c r="AD1233" s="94"/>
      <c r="AE1233" s="94"/>
      <c r="AF1233" s="94"/>
      <c r="AG1233" s="94"/>
      <c r="AH1233" s="94"/>
      <c r="AI1233" s="94"/>
      <c r="AJ1233" s="94"/>
      <c r="AK1233" s="94"/>
      <c r="AL1233" s="94"/>
      <c r="AM1233" s="94"/>
      <c r="AN1233" s="94"/>
      <c r="AO1233" s="94"/>
      <c r="AP1233" s="94"/>
      <c r="AQ1233" s="94"/>
      <c r="AR1233" s="94"/>
      <c r="AS1233" s="94"/>
      <c r="AT1233" s="94"/>
      <c r="AU1233" s="94"/>
      <c r="AV1233" s="94"/>
      <c r="AW1233" s="94"/>
      <c r="AX1233" s="94"/>
      <c r="AY1233" s="94"/>
      <c r="AZ1233" s="94"/>
      <c r="BA1233" s="94"/>
      <c r="BB1233" s="94"/>
      <c r="BC1233" s="94"/>
      <c r="BD1233" s="94"/>
      <c r="BE1233" s="94"/>
      <c r="BF1233" s="94"/>
    </row>
    <row r="1234" spans="1:58" x14ac:dyDescent="0.35">
      <c r="A1234" s="107" t="s">
        <v>3032</v>
      </c>
      <c r="B1234" s="108" t="s">
        <v>0</v>
      </c>
      <c r="C1234" s="109">
        <v>7</v>
      </c>
      <c r="D1234" s="107" t="s">
        <v>1651</v>
      </c>
      <c r="E1234" s="109" t="s">
        <v>1663</v>
      </c>
      <c r="F1234" s="94"/>
      <c r="G1234" s="94"/>
      <c r="H1234" s="94"/>
      <c r="I1234" s="94"/>
      <c r="J1234" s="94"/>
      <c r="K1234" s="94"/>
      <c r="L1234" s="94"/>
      <c r="M1234" s="94"/>
      <c r="N1234" s="94"/>
      <c r="O1234" s="94"/>
      <c r="P1234" s="94"/>
      <c r="Q1234" s="94"/>
      <c r="R1234" s="94"/>
      <c r="S1234" s="94"/>
      <c r="T1234" s="94"/>
      <c r="U1234" s="94"/>
      <c r="V1234" s="94"/>
      <c r="W1234" s="94"/>
      <c r="X1234" s="94"/>
      <c r="Y1234" s="94"/>
      <c r="Z1234" s="94"/>
      <c r="AA1234" s="94"/>
      <c r="AB1234" s="94"/>
      <c r="AC1234" s="94"/>
      <c r="AD1234" s="94"/>
      <c r="AE1234" s="94"/>
      <c r="AF1234" s="94"/>
      <c r="AG1234" s="94"/>
      <c r="AH1234" s="94"/>
      <c r="AI1234" s="94"/>
      <c r="AJ1234" s="94"/>
      <c r="AK1234" s="94"/>
      <c r="AL1234" s="94"/>
      <c r="AM1234" s="94"/>
      <c r="AN1234" s="94"/>
      <c r="AO1234" s="94"/>
      <c r="AP1234" s="94"/>
      <c r="AQ1234" s="94"/>
      <c r="AR1234" s="94"/>
      <c r="AS1234" s="94"/>
      <c r="AT1234" s="94"/>
      <c r="AU1234" s="94"/>
      <c r="AV1234" s="94"/>
      <c r="AW1234" s="94"/>
      <c r="AX1234" s="94"/>
      <c r="AY1234" s="94"/>
      <c r="AZ1234" s="94"/>
      <c r="BA1234" s="94"/>
      <c r="BB1234" s="94"/>
      <c r="BC1234" s="94"/>
      <c r="BD1234" s="94"/>
      <c r="BE1234" s="94"/>
      <c r="BF1234" s="94"/>
    </row>
    <row r="1235" spans="1:58" x14ac:dyDescent="0.35">
      <c r="A1235" s="101" t="s">
        <v>3033</v>
      </c>
      <c r="B1235" s="102" t="s">
        <v>0</v>
      </c>
      <c r="C1235" s="103">
        <v>5</v>
      </c>
      <c r="D1235" s="101" t="s">
        <v>905</v>
      </c>
      <c r="E1235" s="103" t="s">
        <v>231</v>
      </c>
      <c r="F1235" s="94"/>
      <c r="G1235" s="94"/>
      <c r="H1235" s="94"/>
      <c r="I1235" s="94"/>
      <c r="J1235" s="94"/>
      <c r="K1235" s="94"/>
      <c r="L1235" s="94"/>
      <c r="M1235" s="94"/>
      <c r="N1235" s="94"/>
      <c r="O1235" s="94"/>
      <c r="P1235" s="94"/>
      <c r="Q1235" s="94"/>
      <c r="R1235" s="94"/>
      <c r="S1235" s="94"/>
      <c r="T1235" s="94"/>
      <c r="U1235" s="94"/>
      <c r="V1235" s="94"/>
      <c r="W1235" s="94"/>
      <c r="X1235" s="94"/>
      <c r="Y1235" s="94"/>
      <c r="Z1235" s="94"/>
      <c r="AA1235" s="94"/>
      <c r="AB1235" s="94"/>
      <c r="AC1235" s="94"/>
      <c r="AD1235" s="94"/>
      <c r="AE1235" s="94"/>
      <c r="AF1235" s="94"/>
      <c r="AG1235" s="94"/>
      <c r="AH1235" s="94"/>
      <c r="AI1235" s="94"/>
      <c r="AJ1235" s="94"/>
      <c r="AK1235" s="94"/>
      <c r="AL1235" s="94"/>
      <c r="AM1235" s="94"/>
      <c r="AN1235" s="94"/>
      <c r="AO1235" s="94"/>
      <c r="AP1235" s="94"/>
      <c r="AQ1235" s="94"/>
      <c r="AR1235" s="94"/>
      <c r="AS1235" s="94"/>
      <c r="AT1235" s="94"/>
      <c r="AU1235" s="94"/>
      <c r="AV1235" s="94"/>
      <c r="AW1235" s="94"/>
      <c r="AX1235" s="94"/>
      <c r="AY1235" s="94"/>
      <c r="AZ1235" s="94"/>
      <c r="BA1235" s="94"/>
      <c r="BB1235" s="94"/>
      <c r="BC1235" s="94"/>
      <c r="BD1235" s="94"/>
      <c r="BE1235" s="94"/>
      <c r="BF1235" s="94"/>
    </row>
    <row r="1236" spans="1:58" x14ac:dyDescent="0.35">
      <c r="A1236" s="104" t="s">
        <v>3034</v>
      </c>
      <c r="B1236" s="105" t="s">
        <v>0</v>
      </c>
      <c r="C1236" s="106">
        <v>6</v>
      </c>
      <c r="D1236" s="104" t="s">
        <v>565</v>
      </c>
      <c r="E1236" s="106"/>
      <c r="F1236" s="94"/>
      <c r="G1236" s="94"/>
      <c r="H1236" s="94"/>
      <c r="I1236" s="94"/>
      <c r="J1236" s="94"/>
      <c r="K1236" s="94"/>
      <c r="L1236" s="94"/>
      <c r="M1236" s="94"/>
      <c r="N1236" s="94"/>
      <c r="O1236" s="94"/>
      <c r="P1236" s="94"/>
      <c r="Q1236" s="94"/>
      <c r="R1236" s="94"/>
      <c r="S1236" s="94"/>
      <c r="T1236" s="94"/>
      <c r="U1236" s="94"/>
      <c r="V1236" s="94"/>
      <c r="W1236" s="94"/>
      <c r="X1236" s="94"/>
      <c r="Y1236" s="94"/>
      <c r="Z1236" s="94"/>
      <c r="AA1236" s="94"/>
      <c r="AB1236" s="94"/>
      <c r="AC1236" s="94"/>
      <c r="AD1236" s="94"/>
      <c r="AE1236" s="94"/>
      <c r="AF1236" s="94"/>
      <c r="AG1236" s="94"/>
      <c r="AH1236" s="94"/>
      <c r="AI1236" s="94"/>
      <c r="AJ1236" s="94"/>
      <c r="AK1236" s="94"/>
      <c r="AL1236" s="94"/>
      <c r="AM1236" s="94"/>
      <c r="AN1236" s="94"/>
      <c r="AO1236" s="94"/>
      <c r="AP1236" s="94"/>
      <c r="AQ1236" s="94"/>
      <c r="AR1236" s="94"/>
      <c r="AS1236" s="94"/>
      <c r="AT1236" s="94"/>
      <c r="AU1236" s="94"/>
      <c r="AV1236" s="94"/>
      <c r="AW1236" s="94"/>
      <c r="AX1236" s="94"/>
      <c r="AY1236" s="94"/>
      <c r="AZ1236" s="94"/>
      <c r="BA1236" s="94"/>
      <c r="BB1236" s="94"/>
      <c r="BC1236" s="94"/>
      <c r="BD1236" s="94"/>
      <c r="BE1236" s="94"/>
      <c r="BF1236" s="94"/>
    </row>
    <row r="1237" spans="1:58" x14ac:dyDescent="0.35">
      <c r="A1237" s="107" t="s">
        <v>3035</v>
      </c>
      <c r="B1237" s="108" t="s">
        <v>0</v>
      </c>
      <c r="C1237" s="109">
        <v>7</v>
      </c>
      <c r="D1237" s="107" t="s">
        <v>1178</v>
      </c>
      <c r="E1237" s="109"/>
      <c r="F1237" s="94"/>
      <c r="G1237" s="94"/>
      <c r="H1237" s="94"/>
      <c r="I1237" s="94"/>
      <c r="J1237" s="94"/>
      <c r="K1237" s="94"/>
      <c r="L1237" s="94"/>
      <c r="M1237" s="94"/>
      <c r="N1237" s="94"/>
      <c r="O1237" s="94"/>
      <c r="P1237" s="94"/>
      <c r="Q1237" s="94"/>
      <c r="R1237" s="94"/>
      <c r="S1237" s="94"/>
      <c r="T1237" s="94"/>
      <c r="U1237" s="94"/>
      <c r="V1237" s="94"/>
      <c r="W1237" s="94"/>
      <c r="X1237" s="94"/>
      <c r="Y1237" s="94"/>
      <c r="Z1237" s="94"/>
      <c r="AA1237" s="94"/>
      <c r="AB1237" s="94"/>
      <c r="AC1237" s="94"/>
      <c r="AD1237" s="94"/>
      <c r="AE1237" s="94"/>
      <c r="AF1237" s="94"/>
      <c r="AG1237" s="94"/>
      <c r="AH1237" s="94"/>
      <c r="AI1237" s="94"/>
      <c r="AJ1237" s="94"/>
      <c r="AK1237" s="94"/>
      <c r="AL1237" s="94"/>
      <c r="AM1237" s="94"/>
      <c r="AN1237" s="94"/>
      <c r="AO1237" s="94"/>
      <c r="AP1237" s="94"/>
      <c r="AQ1237" s="94"/>
      <c r="AR1237" s="94"/>
      <c r="AS1237" s="94"/>
      <c r="AT1237" s="94"/>
      <c r="AU1237" s="94"/>
      <c r="AV1237" s="94"/>
      <c r="AW1237" s="94"/>
      <c r="AX1237" s="94"/>
      <c r="AY1237" s="94"/>
      <c r="AZ1237" s="94"/>
      <c r="BA1237" s="94"/>
      <c r="BB1237" s="94"/>
      <c r="BC1237" s="94"/>
      <c r="BD1237" s="94"/>
      <c r="BE1237" s="94"/>
      <c r="BF1237" s="94"/>
    </row>
    <row r="1238" spans="1:58" x14ac:dyDescent="0.35">
      <c r="A1238" s="107" t="s">
        <v>3036</v>
      </c>
      <c r="B1238" s="108" t="s">
        <v>0</v>
      </c>
      <c r="C1238" s="109">
        <v>7</v>
      </c>
      <c r="D1238" s="107" t="s">
        <v>1179</v>
      </c>
      <c r="E1238" s="109"/>
      <c r="F1238" s="94"/>
      <c r="G1238" s="94"/>
      <c r="H1238" s="94"/>
      <c r="I1238" s="94"/>
      <c r="J1238" s="94"/>
      <c r="K1238" s="94"/>
      <c r="L1238" s="94"/>
      <c r="M1238" s="94"/>
      <c r="N1238" s="94"/>
      <c r="O1238" s="94"/>
      <c r="P1238" s="94"/>
      <c r="Q1238" s="94"/>
      <c r="R1238" s="94"/>
      <c r="S1238" s="94"/>
      <c r="T1238" s="94"/>
      <c r="U1238" s="94"/>
      <c r="V1238" s="94"/>
      <c r="W1238" s="94"/>
      <c r="X1238" s="94"/>
      <c r="Y1238" s="94"/>
      <c r="Z1238" s="94"/>
      <c r="AA1238" s="94"/>
      <c r="AB1238" s="94"/>
      <c r="AC1238" s="94"/>
      <c r="AD1238" s="94"/>
      <c r="AE1238" s="94"/>
      <c r="AF1238" s="94"/>
      <c r="AG1238" s="94"/>
      <c r="AH1238" s="94"/>
      <c r="AI1238" s="94"/>
      <c r="AJ1238" s="94"/>
      <c r="AK1238" s="94"/>
      <c r="AL1238" s="94"/>
      <c r="AM1238" s="94"/>
      <c r="AN1238" s="94"/>
      <c r="AO1238" s="94"/>
      <c r="AP1238" s="94"/>
      <c r="AQ1238" s="94"/>
      <c r="AR1238" s="94"/>
      <c r="AS1238" s="94"/>
      <c r="AT1238" s="94"/>
      <c r="AU1238" s="94"/>
      <c r="AV1238" s="94"/>
      <c r="AW1238" s="94"/>
      <c r="AX1238" s="94"/>
      <c r="AY1238" s="94"/>
      <c r="AZ1238" s="94"/>
      <c r="BA1238" s="94"/>
      <c r="BB1238" s="94"/>
      <c r="BC1238" s="94"/>
      <c r="BD1238" s="94"/>
      <c r="BE1238" s="94"/>
      <c r="BF1238" s="94"/>
    </row>
    <row r="1239" spans="1:58" x14ac:dyDescent="0.35">
      <c r="A1239" s="107" t="s">
        <v>3037</v>
      </c>
      <c r="B1239" s="108" t="s">
        <v>0</v>
      </c>
      <c r="C1239" s="109">
        <v>7</v>
      </c>
      <c r="D1239" s="107" t="s">
        <v>1180</v>
      </c>
      <c r="E1239" s="109"/>
      <c r="F1239" s="94"/>
      <c r="G1239" s="94"/>
      <c r="H1239" s="94"/>
      <c r="I1239" s="94"/>
      <c r="J1239" s="94"/>
      <c r="K1239" s="94"/>
      <c r="L1239" s="94"/>
      <c r="M1239" s="94"/>
      <c r="N1239" s="94"/>
      <c r="O1239" s="94"/>
      <c r="P1239" s="94"/>
      <c r="Q1239" s="94"/>
      <c r="R1239" s="94"/>
      <c r="S1239" s="94"/>
      <c r="T1239" s="94"/>
      <c r="U1239" s="94"/>
      <c r="V1239" s="94"/>
      <c r="W1239" s="94"/>
      <c r="X1239" s="94"/>
      <c r="Y1239" s="94"/>
      <c r="Z1239" s="94"/>
      <c r="AA1239" s="94"/>
      <c r="AB1239" s="94"/>
      <c r="AC1239" s="94"/>
      <c r="AD1239" s="94"/>
      <c r="AE1239" s="94"/>
      <c r="AF1239" s="94"/>
      <c r="AG1239" s="94"/>
      <c r="AH1239" s="94"/>
      <c r="AI1239" s="94"/>
      <c r="AJ1239" s="94"/>
      <c r="AK1239" s="94"/>
      <c r="AL1239" s="94"/>
      <c r="AM1239" s="94"/>
      <c r="AN1239" s="94"/>
      <c r="AO1239" s="94"/>
      <c r="AP1239" s="94"/>
      <c r="AQ1239" s="94"/>
      <c r="AR1239" s="94"/>
      <c r="AS1239" s="94"/>
      <c r="AT1239" s="94"/>
      <c r="AU1239" s="94"/>
      <c r="AV1239" s="94"/>
      <c r="AW1239" s="94"/>
      <c r="AX1239" s="94"/>
      <c r="AY1239" s="94"/>
      <c r="AZ1239" s="94"/>
      <c r="BA1239" s="94"/>
      <c r="BB1239" s="94"/>
      <c r="BC1239" s="94"/>
      <c r="BD1239" s="94"/>
      <c r="BE1239" s="94"/>
      <c r="BF1239" s="94"/>
    </row>
    <row r="1240" spans="1:58" x14ac:dyDescent="0.35">
      <c r="A1240" s="104" t="s">
        <v>3038</v>
      </c>
      <c r="B1240" s="105" t="s">
        <v>0</v>
      </c>
      <c r="C1240" s="106">
        <v>6</v>
      </c>
      <c r="D1240" s="104" t="s">
        <v>16</v>
      </c>
      <c r="E1240" s="106"/>
      <c r="F1240" s="94"/>
      <c r="G1240" s="94"/>
      <c r="H1240" s="94"/>
      <c r="I1240" s="94"/>
      <c r="J1240" s="94"/>
      <c r="K1240" s="94"/>
      <c r="L1240" s="94"/>
      <c r="M1240" s="94"/>
      <c r="N1240" s="94"/>
      <c r="O1240" s="94"/>
      <c r="P1240" s="94"/>
      <c r="Q1240" s="94"/>
      <c r="R1240" s="94"/>
      <c r="S1240" s="94"/>
      <c r="T1240" s="94"/>
      <c r="U1240" s="94"/>
      <c r="V1240" s="94"/>
      <c r="W1240" s="94"/>
      <c r="X1240" s="94"/>
      <c r="Y1240" s="94"/>
      <c r="Z1240" s="94"/>
      <c r="AA1240" s="94"/>
      <c r="AB1240" s="94"/>
      <c r="AC1240" s="94"/>
      <c r="AD1240" s="94"/>
      <c r="AE1240" s="94"/>
      <c r="AF1240" s="94"/>
      <c r="AG1240" s="94"/>
      <c r="AH1240" s="94"/>
      <c r="AI1240" s="94"/>
      <c r="AJ1240" s="94"/>
      <c r="AK1240" s="94"/>
      <c r="AL1240" s="94"/>
      <c r="AM1240" s="94"/>
      <c r="AN1240" s="94"/>
      <c r="AO1240" s="94"/>
      <c r="AP1240" s="94"/>
      <c r="AQ1240" s="94"/>
      <c r="AR1240" s="94"/>
      <c r="AS1240" s="94"/>
      <c r="AT1240" s="94"/>
      <c r="AU1240" s="94"/>
      <c r="AV1240" s="94"/>
      <c r="AW1240" s="94"/>
      <c r="AX1240" s="94"/>
      <c r="AY1240" s="94"/>
      <c r="AZ1240" s="94"/>
      <c r="BA1240" s="94"/>
      <c r="BB1240" s="94"/>
      <c r="BC1240" s="94"/>
      <c r="BD1240" s="94"/>
      <c r="BE1240" s="94"/>
      <c r="BF1240" s="94"/>
    </row>
    <row r="1241" spans="1:58" x14ac:dyDescent="0.35">
      <c r="A1241" s="107" t="s">
        <v>3039</v>
      </c>
      <c r="B1241" s="108" t="s">
        <v>0</v>
      </c>
      <c r="C1241" s="109">
        <v>7</v>
      </c>
      <c r="D1241" s="107" t="s">
        <v>1177</v>
      </c>
      <c r="E1241" s="109" t="s">
        <v>232</v>
      </c>
      <c r="F1241" s="94"/>
      <c r="G1241" s="94"/>
      <c r="H1241" s="94"/>
      <c r="I1241" s="94"/>
      <c r="J1241" s="94"/>
      <c r="K1241" s="94"/>
      <c r="L1241" s="94"/>
      <c r="M1241" s="94"/>
      <c r="N1241" s="94"/>
      <c r="O1241" s="94"/>
      <c r="P1241" s="94"/>
      <c r="Q1241" s="94"/>
      <c r="R1241" s="94"/>
      <c r="S1241" s="94"/>
      <c r="T1241" s="94"/>
      <c r="U1241" s="94"/>
      <c r="V1241" s="94"/>
      <c r="W1241" s="94"/>
      <c r="X1241" s="94"/>
      <c r="Y1241" s="94"/>
      <c r="Z1241" s="94"/>
      <c r="AA1241" s="94"/>
      <c r="AB1241" s="94"/>
      <c r="AC1241" s="94"/>
      <c r="AD1241" s="94"/>
      <c r="AE1241" s="94"/>
      <c r="AF1241" s="94"/>
      <c r="AG1241" s="94"/>
      <c r="AH1241" s="94"/>
      <c r="AI1241" s="94"/>
      <c r="AJ1241" s="94"/>
      <c r="AK1241" s="94"/>
      <c r="AL1241" s="94"/>
      <c r="AM1241" s="94"/>
      <c r="AN1241" s="94"/>
      <c r="AO1241" s="94"/>
      <c r="AP1241" s="94"/>
      <c r="AQ1241" s="94"/>
      <c r="AR1241" s="94"/>
      <c r="AS1241" s="94"/>
      <c r="AT1241" s="94"/>
      <c r="AU1241" s="94"/>
      <c r="AV1241" s="94"/>
      <c r="AW1241" s="94"/>
      <c r="AX1241" s="94"/>
      <c r="AY1241" s="94"/>
      <c r="AZ1241" s="94"/>
      <c r="BA1241" s="94"/>
      <c r="BB1241" s="94"/>
      <c r="BC1241" s="94"/>
      <c r="BD1241" s="94"/>
      <c r="BE1241" s="94"/>
      <c r="BF1241" s="94"/>
    </row>
    <row r="1242" spans="1:58" x14ac:dyDescent="0.35">
      <c r="A1242" s="104" t="s">
        <v>3040</v>
      </c>
      <c r="B1242" s="105" t="s">
        <v>0</v>
      </c>
      <c r="C1242" s="106">
        <v>6</v>
      </c>
      <c r="D1242" s="104" t="s">
        <v>123</v>
      </c>
      <c r="E1242" s="106"/>
      <c r="F1242" s="94"/>
      <c r="G1242" s="94"/>
      <c r="H1242" s="94"/>
      <c r="I1242" s="94"/>
      <c r="J1242" s="94"/>
      <c r="K1242" s="94"/>
      <c r="L1242" s="94"/>
      <c r="M1242" s="94"/>
      <c r="N1242" s="94"/>
      <c r="O1242" s="94"/>
      <c r="P1242" s="94"/>
      <c r="Q1242" s="94"/>
      <c r="R1242" s="94"/>
      <c r="S1242" s="94"/>
      <c r="T1242" s="94"/>
      <c r="U1242" s="94"/>
      <c r="V1242" s="94"/>
      <c r="W1242" s="94"/>
      <c r="X1242" s="94"/>
      <c r="Y1242" s="94"/>
      <c r="Z1242" s="94"/>
      <c r="AA1242" s="94"/>
      <c r="AB1242" s="94"/>
      <c r="AC1242" s="94"/>
      <c r="AD1242" s="94"/>
      <c r="AE1242" s="94"/>
      <c r="AF1242" s="94"/>
      <c r="AG1242" s="94"/>
      <c r="AH1242" s="94"/>
      <c r="AI1242" s="94"/>
      <c r="AJ1242" s="94"/>
      <c r="AK1242" s="94"/>
      <c r="AL1242" s="94"/>
      <c r="AM1242" s="94"/>
      <c r="AN1242" s="94"/>
      <c r="AO1242" s="94"/>
      <c r="AP1242" s="94"/>
      <c r="AQ1242" s="94"/>
      <c r="AR1242" s="94"/>
      <c r="AS1242" s="94"/>
      <c r="AT1242" s="94"/>
      <c r="AU1242" s="94"/>
      <c r="AV1242" s="94"/>
      <c r="AW1242" s="94"/>
      <c r="AX1242" s="94"/>
      <c r="AY1242" s="94"/>
      <c r="AZ1242" s="94"/>
      <c r="BA1242" s="94"/>
      <c r="BB1242" s="94"/>
      <c r="BC1242" s="94"/>
      <c r="BD1242" s="94"/>
      <c r="BE1242" s="94"/>
      <c r="BF1242" s="94"/>
    </row>
    <row r="1243" spans="1:58" x14ac:dyDescent="0.35">
      <c r="A1243" s="107" t="s">
        <v>3041</v>
      </c>
      <c r="B1243" s="108" t="s">
        <v>0</v>
      </c>
      <c r="C1243" s="109">
        <v>7</v>
      </c>
      <c r="D1243" s="107" t="s">
        <v>1654</v>
      </c>
      <c r="E1243" s="109"/>
      <c r="F1243" s="94"/>
      <c r="G1243" s="94"/>
      <c r="H1243" s="94"/>
      <c r="I1243" s="94"/>
      <c r="J1243" s="94"/>
      <c r="K1243" s="94"/>
      <c r="L1243" s="94"/>
      <c r="M1243" s="94"/>
      <c r="N1243" s="94"/>
      <c r="O1243" s="94"/>
      <c r="P1243" s="94"/>
      <c r="Q1243" s="94"/>
      <c r="R1243" s="94"/>
      <c r="S1243" s="94"/>
      <c r="T1243" s="94"/>
      <c r="U1243" s="94"/>
      <c r="V1243" s="94"/>
      <c r="W1243" s="94"/>
      <c r="X1243" s="94"/>
      <c r="Y1243" s="94"/>
      <c r="Z1243" s="94"/>
      <c r="AA1243" s="94"/>
      <c r="AB1243" s="94"/>
      <c r="AC1243" s="94"/>
      <c r="AD1243" s="94"/>
      <c r="AE1243" s="94"/>
      <c r="AF1243" s="94"/>
      <c r="AG1243" s="94"/>
      <c r="AH1243" s="94"/>
      <c r="AI1243" s="94"/>
      <c r="AJ1243" s="94"/>
      <c r="AK1243" s="94"/>
      <c r="AL1243" s="94"/>
      <c r="AM1243" s="94"/>
      <c r="AN1243" s="94"/>
      <c r="AO1243" s="94"/>
      <c r="AP1243" s="94"/>
      <c r="AQ1243" s="94"/>
      <c r="AR1243" s="94"/>
      <c r="AS1243" s="94"/>
      <c r="AT1243" s="94"/>
      <c r="AU1243" s="94"/>
      <c r="AV1243" s="94"/>
      <c r="AW1243" s="94"/>
      <c r="AX1243" s="94"/>
      <c r="AY1243" s="94"/>
      <c r="AZ1243" s="94"/>
      <c r="BA1243" s="94"/>
      <c r="BB1243" s="94"/>
      <c r="BC1243" s="94"/>
      <c r="BD1243" s="94"/>
      <c r="BE1243" s="94"/>
      <c r="BF1243" s="94"/>
    </row>
    <row r="1244" spans="1:58" x14ac:dyDescent="0.35">
      <c r="A1244" s="107" t="s">
        <v>3042</v>
      </c>
      <c r="B1244" s="108" t="s">
        <v>0</v>
      </c>
      <c r="C1244" s="109">
        <v>7</v>
      </c>
      <c r="D1244" s="107" t="s">
        <v>1673</v>
      </c>
      <c r="E1244" s="109"/>
      <c r="F1244" s="94"/>
      <c r="G1244" s="94"/>
      <c r="H1244" s="94"/>
      <c r="I1244" s="94"/>
      <c r="J1244" s="94"/>
      <c r="K1244" s="94"/>
      <c r="L1244" s="94"/>
      <c r="M1244" s="94"/>
      <c r="N1244" s="94"/>
      <c r="O1244" s="94"/>
      <c r="P1244" s="94"/>
      <c r="Q1244" s="94"/>
      <c r="R1244" s="94"/>
      <c r="S1244" s="94"/>
      <c r="T1244" s="94"/>
      <c r="U1244" s="94"/>
      <c r="V1244" s="94"/>
      <c r="W1244" s="94"/>
      <c r="X1244" s="94"/>
      <c r="Y1244" s="94"/>
      <c r="Z1244" s="94"/>
      <c r="AA1244" s="94"/>
      <c r="AB1244" s="94"/>
      <c r="AC1244" s="94"/>
      <c r="AD1244" s="94"/>
      <c r="AE1244" s="94"/>
      <c r="AF1244" s="94"/>
      <c r="AG1244" s="94"/>
      <c r="AH1244" s="94"/>
      <c r="AI1244" s="94"/>
      <c r="AJ1244" s="94"/>
      <c r="AK1244" s="94"/>
      <c r="AL1244" s="94"/>
      <c r="AM1244" s="94"/>
      <c r="AN1244" s="94"/>
      <c r="AO1244" s="94"/>
      <c r="AP1244" s="94"/>
      <c r="AQ1244" s="94"/>
      <c r="AR1244" s="94"/>
      <c r="AS1244" s="94"/>
      <c r="AT1244" s="94"/>
      <c r="AU1244" s="94"/>
      <c r="AV1244" s="94"/>
      <c r="AW1244" s="94"/>
      <c r="AX1244" s="94"/>
      <c r="AY1244" s="94"/>
      <c r="AZ1244" s="94"/>
      <c r="BA1244" s="94"/>
      <c r="BB1244" s="94"/>
      <c r="BC1244" s="94"/>
      <c r="BD1244" s="94"/>
      <c r="BE1244" s="94"/>
      <c r="BF1244" s="94"/>
    </row>
    <row r="1245" spans="1:58" x14ac:dyDescent="0.35">
      <c r="A1245" s="101" t="s">
        <v>3043</v>
      </c>
      <c r="B1245" s="102" t="s">
        <v>0</v>
      </c>
      <c r="C1245" s="103">
        <v>5</v>
      </c>
      <c r="D1245" s="101" t="s">
        <v>438</v>
      </c>
      <c r="E1245" s="103" t="s">
        <v>233</v>
      </c>
      <c r="F1245" s="94"/>
      <c r="G1245" s="94"/>
      <c r="H1245" s="94"/>
      <c r="I1245" s="94"/>
      <c r="J1245" s="94"/>
      <c r="K1245" s="94"/>
      <c r="L1245" s="94"/>
      <c r="M1245" s="94"/>
      <c r="N1245" s="94"/>
      <c r="O1245" s="94"/>
      <c r="P1245" s="94"/>
      <c r="Q1245" s="94"/>
      <c r="R1245" s="94"/>
      <c r="S1245" s="94"/>
      <c r="T1245" s="94"/>
      <c r="U1245" s="94"/>
      <c r="V1245" s="94"/>
      <c r="W1245" s="94"/>
      <c r="X1245" s="94"/>
      <c r="Y1245" s="94"/>
      <c r="Z1245" s="94"/>
      <c r="AA1245" s="94"/>
      <c r="AB1245" s="94"/>
      <c r="AC1245" s="94"/>
      <c r="AD1245" s="94"/>
      <c r="AE1245" s="94"/>
      <c r="AF1245" s="94"/>
      <c r="AG1245" s="94"/>
      <c r="AH1245" s="94"/>
      <c r="AI1245" s="94"/>
      <c r="AJ1245" s="94"/>
      <c r="AK1245" s="94"/>
      <c r="AL1245" s="94"/>
      <c r="AM1245" s="94"/>
      <c r="AN1245" s="94"/>
      <c r="AO1245" s="94"/>
      <c r="AP1245" s="94"/>
      <c r="AQ1245" s="94"/>
      <c r="AR1245" s="94"/>
      <c r="AS1245" s="94"/>
      <c r="AT1245" s="94"/>
      <c r="AU1245" s="94"/>
      <c r="AV1245" s="94"/>
      <c r="AW1245" s="94"/>
      <c r="AX1245" s="94"/>
      <c r="AY1245" s="94"/>
      <c r="AZ1245" s="94"/>
      <c r="BA1245" s="94"/>
      <c r="BB1245" s="94"/>
      <c r="BC1245" s="94"/>
      <c r="BD1245" s="94"/>
      <c r="BE1245" s="94"/>
      <c r="BF1245" s="94"/>
    </row>
    <row r="1246" spans="1:58" x14ac:dyDescent="0.35">
      <c r="A1246" s="104" t="s">
        <v>3044</v>
      </c>
      <c r="B1246" s="105" t="s">
        <v>0</v>
      </c>
      <c r="C1246" s="106">
        <v>6</v>
      </c>
      <c r="D1246" s="104" t="s">
        <v>16</v>
      </c>
      <c r="E1246" s="106"/>
      <c r="F1246" s="94"/>
      <c r="G1246" s="94"/>
      <c r="H1246" s="94"/>
      <c r="I1246" s="94"/>
      <c r="J1246" s="94"/>
      <c r="K1246" s="94"/>
      <c r="L1246" s="94"/>
      <c r="M1246" s="94"/>
      <c r="N1246" s="94"/>
      <c r="O1246" s="94"/>
      <c r="P1246" s="94"/>
      <c r="Q1246" s="94"/>
      <c r="R1246" s="94"/>
      <c r="S1246" s="94"/>
      <c r="T1246" s="94"/>
      <c r="U1246" s="94"/>
      <c r="V1246" s="94"/>
      <c r="W1246" s="94"/>
      <c r="X1246" s="94"/>
      <c r="Y1246" s="94"/>
      <c r="Z1246" s="94"/>
      <c r="AA1246" s="94"/>
      <c r="AB1246" s="94"/>
      <c r="AC1246" s="94"/>
      <c r="AD1246" s="94"/>
      <c r="AE1246" s="94"/>
      <c r="AF1246" s="94"/>
      <c r="AG1246" s="94"/>
      <c r="AH1246" s="94"/>
      <c r="AI1246" s="94"/>
      <c r="AJ1246" s="94"/>
      <c r="AK1246" s="94"/>
      <c r="AL1246" s="94"/>
      <c r="AM1246" s="94"/>
      <c r="AN1246" s="94"/>
      <c r="AO1246" s="94"/>
      <c r="AP1246" s="94"/>
      <c r="AQ1246" s="94"/>
      <c r="AR1246" s="94"/>
      <c r="AS1246" s="94"/>
      <c r="AT1246" s="94"/>
      <c r="AU1246" s="94"/>
      <c r="AV1246" s="94"/>
      <c r="AW1246" s="94"/>
      <c r="AX1246" s="94"/>
      <c r="AY1246" s="94"/>
      <c r="AZ1246" s="94"/>
      <c r="BA1246" s="94"/>
      <c r="BB1246" s="94"/>
      <c r="BC1246" s="94"/>
      <c r="BD1246" s="94"/>
      <c r="BE1246" s="94"/>
      <c r="BF1246" s="94"/>
    </row>
    <row r="1247" spans="1:58" x14ac:dyDescent="0.35">
      <c r="A1247" s="107" t="s">
        <v>3045</v>
      </c>
      <c r="B1247" s="108" t="s">
        <v>0</v>
      </c>
      <c r="C1247" s="109">
        <v>7</v>
      </c>
      <c r="D1247" s="107" t="s">
        <v>628</v>
      </c>
      <c r="E1247" s="109" t="s">
        <v>234</v>
      </c>
      <c r="F1247" s="94"/>
      <c r="G1247" s="94"/>
      <c r="H1247" s="94"/>
      <c r="I1247" s="94"/>
      <c r="J1247" s="94"/>
      <c r="K1247" s="94"/>
      <c r="L1247" s="94"/>
      <c r="M1247" s="94"/>
      <c r="N1247" s="94"/>
      <c r="O1247" s="94"/>
      <c r="P1247" s="94"/>
      <c r="Q1247" s="94"/>
      <c r="R1247" s="94"/>
      <c r="S1247" s="94"/>
      <c r="T1247" s="94"/>
      <c r="U1247" s="94"/>
      <c r="V1247" s="94"/>
      <c r="W1247" s="94"/>
      <c r="X1247" s="94"/>
      <c r="Y1247" s="94"/>
      <c r="Z1247" s="94"/>
      <c r="AA1247" s="94"/>
      <c r="AB1247" s="94"/>
      <c r="AC1247" s="94"/>
      <c r="AD1247" s="94"/>
      <c r="AE1247" s="94"/>
      <c r="AF1247" s="94"/>
      <c r="AG1247" s="94"/>
      <c r="AH1247" s="94"/>
      <c r="AI1247" s="94"/>
      <c r="AJ1247" s="94"/>
      <c r="AK1247" s="94"/>
      <c r="AL1247" s="94"/>
      <c r="AM1247" s="94"/>
      <c r="AN1247" s="94"/>
      <c r="AO1247" s="94"/>
      <c r="AP1247" s="94"/>
      <c r="AQ1247" s="94"/>
      <c r="AR1247" s="94"/>
      <c r="AS1247" s="94"/>
      <c r="AT1247" s="94"/>
      <c r="AU1247" s="94"/>
      <c r="AV1247" s="94"/>
      <c r="AW1247" s="94"/>
      <c r="AX1247" s="94"/>
      <c r="AY1247" s="94"/>
      <c r="AZ1247" s="94"/>
      <c r="BA1247" s="94"/>
      <c r="BB1247" s="94"/>
      <c r="BC1247" s="94"/>
      <c r="BD1247" s="94"/>
      <c r="BE1247" s="94"/>
      <c r="BF1247" s="94"/>
    </row>
    <row r="1248" spans="1:58" x14ac:dyDescent="0.35">
      <c r="A1248" s="104" t="s">
        <v>3046</v>
      </c>
      <c r="B1248" s="105" t="s">
        <v>0</v>
      </c>
      <c r="C1248" s="106">
        <v>6</v>
      </c>
      <c r="D1248" s="104" t="s">
        <v>123</v>
      </c>
      <c r="E1248" s="106"/>
      <c r="F1248" s="94"/>
      <c r="G1248" s="94"/>
      <c r="H1248" s="94"/>
      <c r="I1248" s="94"/>
      <c r="J1248" s="94"/>
      <c r="K1248" s="94"/>
      <c r="L1248" s="94"/>
      <c r="M1248" s="94"/>
      <c r="N1248" s="94"/>
      <c r="O1248" s="94"/>
      <c r="P1248" s="94"/>
      <c r="Q1248" s="94"/>
      <c r="R1248" s="94"/>
      <c r="S1248" s="94"/>
      <c r="T1248" s="94"/>
      <c r="U1248" s="94"/>
      <c r="V1248" s="94"/>
      <c r="W1248" s="94"/>
      <c r="X1248" s="94"/>
      <c r="Y1248" s="94"/>
      <c r="Z1248" s="94"/>
      <c r="AA1248" s="94"/>
      <c r="AB1248" s="94"/>
      <c r="AC1248" s="94"/>
      <c r="AD1248" s="94"/>
      <c r="AE1248" s="94"/>
      <c r="AF1248" s="94"/>
      <c r="AG1248" s="94"/>
      <c r="AH1248" s="94"/>
      <c r="AI1248" s="94"/>
      <c r="AJ1248" s="94"/>
      <c r="AK1248" s="94"/>
      <c r="AL1248" s="94"/>
      <c r="AM1248" s="94"/>
      <c r="AN1248" s="94"/>
      <c r="AO1248" s="94"/>
      <c r="AP1248" s="94"/>
      <c r="AQ1248" s="94"/>
      <c r="AR1248" s="94"/>
      <c r="AS1248" s="94"/>
      <c r="AT1248" s="94"/>
      <c r="AU1248" s="94"/>
      <c r="AV1248" s="94"/>
      <c r="AW1248" s="94"/>
      <c r="AX1248" s="94"/>
      <c r="AY1248" s="94"/>
      <c r="AZ1248" s="94"/>
      <c r="BA1248" s="94"/>
      <c r="BB1248" s="94"/>
      <c r="BC1248" s="94"/>
      <c r="BD1248" s="94"/>
      <c r="BE1248" s="94"/>
      <c r="BF1248" s="94"/>
    </row>
    <row r="1249" spans="1:58" x14ac:dyDescent="0.35">
      <c r="A1249" s="107" t="s">
        <v>3047</v>
      </c>
      <c r="B1249" s="108" t="s">
        <v>0</v>
      </c>
      <c r="C1249" s="109">
        <v>7</v>
      </c>
      <c r="D1249" s="107" t="s">
        <v>1664</v>
      </c>
      <c r="E1249" s="109"/>
      <c r="F1249" s="94"/>
      <c r="G1249" s="94"/>
      <c r="H1249" s="94"/>
      <c r="I1249" s="94"/>
      <c r="J1249" s="94"/>
      <c r="K1249" s="94"/>
      <c r="L1249" s="94"/>
      <c r="M1249" s="94"/>
      <c r="N1249" s="94"/>
      <c r="O1249" s="94"/>
      <c r="P1249" s="94"/>
      <c r="Q1249" s="94"/>
      <c r="R1249" s="94"/>
      <c r="S1249" s="94"/>
      <c r="T1249" s="94"/>
      <c r="U1249" s="94"/>
      <c r="V1249" s="94"/>
      <c r="W1249" s="94"/>
      <c r="X1249" s="94"/>
      <c r="Y1249" s="94"/>
      <c r="Z1249" s="94"/>
      <c r="AA1249" s="94"/>
      <c r="AB1249" s="94"/>
      <c r="AC1249" s="94"/>
      <c r="AD1249" s="94"/>
      <c r="AE1249" s="94"/>
      <c r="AF1249" s="94"/>
      <c r="AG1249" s="94"/>
      <c r="AH1249" s="94"/>
      <c r="AI1249" s="94"/>
      <c r="AJ1249" s="94"/>
      <c r="AK1249" s="94"/>
      <c r="AL1249" s="94"/>
      <c r="AM1249" s="94"/>
      <c r="AN1249" s="94"/>
      <c r="AO1249" s="94"/>
      <c r="AP1249" s="94"/>
      <c r="AQ1249" s="94"/>
      <c r="AR1249" s="94"/>
      <c r="AS1249" s="94"/>
      <c r="AT1249" s="94"/>
      <c r="AU1249" s="94"/>
      <c r="AV1249" s="94"/>
      <c r="AW1249" s="94"/>
      <c r="AX1249" s="94"/>
      <c r="AY1249" s="94"/>
      <c r="AZ1249" s="94"/>
      <c r="BA1249" s="94"/>
      <c r="BB1249" s="94"/>
      <c r="BC1249" s="94"/>
      <c r="BD1249" s="94"/>
      <c r="BE1249" s="94"/>
      <c r="BF1249" s="94"/>
    </row>
    <row r="1250" spans="1:58" x14ac:dyDescent="0.35">
      <c r="A1250" s="101" t="s">
        <v>3048</v>
      </c>
      <c r="B1250" s="102" t="s">
        <v>0</v>
      </c>
      <c r="C1250" s="103">
        <v>5</v>
      </c>
      <c r="D1250" s="101" t="s">
        <v>439</v>
      </c>
      <c r="E1250" s="103" t="s">
        <v>235</v>
      </c>
      <c r="F1250" s="94"/>
      <c r="G1250" s="94"/>
      <c r="H1250" s="94"/>
      <c r="I1250" s="94"/>
      <c r="J1250" s="94"/>
      <c r="K1250" s="94"/>
      <c r="L1250" s="94"/>
      <c r="M1250" s="94"/>
      <c r="N1250" s="94"/>
      <c r="O1250" s="94"/>
      <c r="P1250" s="94"/>
      <c r="Q1250" s="94"/>
      <c r="R1250" s="94"/>
      <c r="S1250" s="94"/>
      <c r="T1250" s="94"/>
      <c r="U1250" s="94"/>
      <c r="V1250" s="94"/>
      <c r="W1250" s="94"/>
      <c r="X1250" s="94"/>
      <c r="Y1250" s="94"/>
      <c r="Z1250" s="94"/>
      <c r="AA1250" s="94"/>
      <c r="AB1250" s="94"/>
      <c r="AC1250" s="94"/>
      <c r="AD1250" s="94"/>
      <c r="AE1250" s="94"/>
      <c r="AF1250" s="94"/>
      <c r="AG1250" s="94"/>
      <c r="AH1250" s="94"/>
      <c r="AI1250" s="94"/>
      <c r="AJ1250" s="94"/>
      <c r="AK1250" s="94"/>
      <c r="AL1250" s="94"/>
      <c r="AM1250" s="94"/>
      <c r="AN1250" s="94"/>
      <c r="AO1250" s="94"/>
      <c r="AP1250" s="94"/>
      <c r="AQ1250" s="94"/>
      <c r="AR1250" s="94"/>
      <c r="AS1250" s="94"/>
      <c r="AT1250" s="94"/>
      <c r="AU1250" s="94"/>
      <c r="AV1250" s="94"/>
      <c r="AW1250" s="94"/>
      <c r="AX1250" s="94"/>
      <c r="AY1250" s="94"/>
      <c r="AZ1250" s="94"/>
      <c r="BA1250" s="94"/>
      <c r="BB1250" s="94"/>
      <c r="BC1250" s="94"/>
      <c r="BD1250" s="94"/>
      <c r="BE1250" s="94"/>
      <c r="BF1250" s="94"/>
    </row>
    <row r="1251" spans="1:58" x14ac:dyDescent="0.35">
      <c r="A1251" s="104" t="s">
        <v>3049</v>
      </c>
      <c r="B1251" s="105" t="s">
        <v>0</v>
      </c>
      <c r="C1251" s="106">
        <v>6</v>
      </c>
      <c r="D1251" s="104" t="s">
        <v>123</v>
      </c>
      <c r="E1251" s="106"/>
      <c r="F1251" s="94"/>
      <c r="G1251" s="94"/>
      <c r="H1251" s="94"/>
      <c r="I1251" s="94"/>
      <c r="J1251" s="94"/>
      <c r="K1251" s="94"/>
      <c r="L1251" s="94"/>
      <c r="M1251" s="94"/>
      <c r="N1251" s="94"/>
      <c r="O1251" s="94"/>
      <c r="P1251" s="94"/>
      <c r="Q1251" s="94"/>
      <c r="R1251" s="94"/>
      <c r="S1251" s="94"/>
      <c r="T1251" s="94"/>
      <c r="U1251" s="94"/>
      <c r="V1251" s="94"/>
      <c r="W1251" s="94"/>
      <c r="X1251" s="94"/>
      <c r="Y1251" s="94"/>
      <c r="Z1251" s="94"/>
      <c r="AA1251" s="94"/>
      <c r="AB1251" s="94"/>
      <c r="AC1251" s="94"/>
      <c r="AD1251" s="94"/>
      <c r="AE1251" s="94"/>
      <c r="AF1251" s="94"/>
      <c r="AG1251" s="94"/>
      <c r="AH1251" s="94"/>
      <c r="AI1251" s="94"/>
      <c r="AJ1251" s="94"/>
      <c r="AK1251" s="94"/>
      <c r="AL1251" s="94"/>
      <c r="AM1251" s="94"/>
      <c r="AN1251" s="94"/>
      <c r="AO1251" s="94"/>
      <c r="AP1251" s="94"/>
      <c r="AQ1251" s="94"/>
      <c r="AR1251" s="94"/>
      <c r="AS1251" s="94"/>
      <c r="AT1251" s="94"/>
      <c r="AU1251" s="94"/>
      <c r="AV1251" s="94"/>
      <c r="AW1251" s="94"/>
      <c r="AX1251" s="94"/>
      <c r="AY1251" s="94"/>
      <c r="AZ1251" s="94"/>
      <c r="BA1251" s="94"/>
      <c r="BB1251" s="94"/>
      <c r="BC1251" s="94"/>
      <c r="BD1251" s="94"/>
      <c r="BE1251" s="94"/>
      <c r="BF1251" s="94"/>
    </row>
    <row r="1252" spans="1:58" x14ac:dyDescent="0.35">
      <c r="A1252" s="107" t="s">
        <v>3050</v>
      </c>
      <c r="B1252" s="108" t="s">
        <v>0</v>
      </c>
      <c r="C1252" s="109">
        <v>7</v>
      </c>
      <c r="D1252" s="107" t="s">
        <v>1654</v>
      </c>
      <c r="E1252" s="109"/>
      <c r="F1252" s="94"/>
      <c r="G1252" s="94"/>
      <c r="H1252" s="94"/>
      <c r="I1252" s="94"/>
      <c r="J1252" s="94"/>
      <c r="K1252" s="94"/>
      <c r="L1252" s="94"/>
      <c r="M1252" s="94"/>
      <c r="N1252" s="94"/>
      <c r="O1252" s="94"/>
      <c r="P1252" s="94"/>
      <c r="Q1252" s="94"/>
      <c r="R1252" s="94"/>
      <c r="S1252" s="94"/>
      <c r="T1252" s="94"/>
      <c r="U1252" s="94"/>
      <c r="V1252" s="94"/>
      <c r="W1252" s="94"/>
      <c r="X1252" s="94"/>
      <c r="Y1252" s="94"/>
      <c r="Z1252" s="94"/>
      <c r="AA1252" s="94"/>
      <c r="AB1252" s="94"/>
      <c r="AC1252" s="94"/>
      <c r="AD1252" s="94"/>
      <c r="AE1252" s="94"/>
      <c r="AF1252" s="94"/>
      <c r="AG1252" s="94"/>
      <c r="AH1252" s="94"/>
      <c r="AI1252" s="94"/>
      <c r="AJ1252" s="94"/>
      <c r="AK1252" s="94"/>
      <c r="AL1252" s="94"/>
      <c r="AM1252" s="94"/>
      <c r="AN1252" s="94"/>
      <c r="AO1252" s="94"/>
      <c r="AP1252" s="94"/>
      <c r="AQ1252" s="94"/>
      <c r="AR1252" s="94"/>
      <c r="AS1252" s="94"/>
      <c r="AT1252" s="94"/>
      <c r="AU1252" s="94"/>
      <c r="AV1252" s="94"/>
      <c r="AW1252" s="94"/>
      <c r="AX1252" s="94"/>
      <c r="AY1252" s="94"/>
      <c r="AZ1252" s="94"/>
      <c r="BA1252" s="94"/>
      <c r="BB1252" s="94"/>
      <c r="BC1252" s="94"/>
      <c r="BD1252" s="94"/>
      <c r="BE1252" s="94"/>
      <c r="BF1252" s="94"/>
    </row>
    <row r="1253" spans="1:58" x14ac:dyDescent="0.35">
      <c r="A1253" s="95" t="s">
        <v>3051</v>
      </c>
      <c r="B1253" s="96" t="s">
        <v>0</v>
      </c>
      <c r="C1253" s="97">
        <v>4</v>
      </c>
      <c r="D1253" s="95" t="s">
        <v>1632</v>
      </c>
      <c r="E1253" s="97"/>
      <c r="F1253" s="94"/>
      <c r="G1253" s="94"/>
      <c r="H1253" s="94"/>
      <c r="I1253" s="94"/>
      <c r="J1253" s="94"/>
      <c r="K1253" s="94"/>
      <c r="L1253" s="94"/>
      <c r="M1253" s="94"/>
      <c r="N1253" s="94"/>
      <c r="O1253" s="94"/>
      <c r="P1253" s="94"/>
      <c r="Q1253" s="94"/>
      <c r="R1253" s="94"/>
      <c r="S1253" s="94"/>
      <c r="T1253" s="94"/>
      <c r="U1253" s="94"/>
      <c r="V1253" s="94"/>
      <c r="W1253" s="94"/>
      <c r="X1253" s="94"/>
      <c r="Y1253" s="94"/>
      <c r="Z1253" s="94"/>
      <c r="AA1253" s="94"/>
      <c r="AB1253" s="94"/>
      <c r="AC1253" s="94"/>
      <c r="AD1253" s="94"/>
      <c r="AE1253" s="94"/>
      <c r="AF1253" s="94"/>
      <c r="AG1253" s="94"/>
      <c r="AH1253" s="94"/>
      <c r="AI1253" s="94"/>
      <c r="AJ1253" s="94"/>
      <c r="AK1253" s="94"/>
      <c r="AL1253" s="94"/>
      <c r="AM1253" s="94"/>
      <c r="AN1253" s="94"/>
      <c r="AO1253" s="94"/>
      <c r="AP1253" s="94"/>
      <c r="AQ1253" s="94"/>
      <c r="AR1253" s="94"/>
      <c r="AS1253" s="94"/>
      <c r="AT1253" s="94"/>
      <c r="AU1253" s="94"/>
      <c r="AV1253" s="94"/>
      <c r="AW1253" s="94"/>
      <c r="AX1253" s="94"/>
      <c r="AY1253" s="94"/>
      <c r="AZ1253" s="94"/>
      <c r="BA1253" s="94"/>
      <c r="BB1253" s="94"/>
      <c r="BC1253" s="94"/>
      <c r="BD1253" s="94"/>
      <c r="BE1253" s="94"/>
      <c r="BF1253" s="94"/>
    </row>
    <row r="1254" spans="1:58" x14ac:dyDescent="0.35">
      <c r="A1254" s="101" t="s">
        <v>3052</v>
      </c>
      <c r="B1254" s="102" t="s">
        <v>0</v>
      </c>
      <c r="C1254" s="103">
        <v>5</v>
      </c>
      <c r="D1254" s="101" t="s">
        <v>1181</v>
      </c>
      <c r="E1254" s="103" t="s">
        <v>572</v>
      </c>
      <c r="F1254" s="94"/>
      <c r="G1254" s="94"/>
      <c r="H1254" s="94"/>
      <c r="I1254" s="94"/>
      <c r="J1254" s="94"/>
      <c r="K1254" s="94"/>
      <c r="L1254" s="94"/>
      <c r="M1254" s="94"/>
      <c r="N1254" s="94"/>
      <c r="O1254" s="94"/>
      <c r="P1254" s="94"/>
      <c r="Q1254" s="94"/>
      <c r="R1254" s="94"/>
      <c r="S1254" s="94"/>
      <c r="T1254" s="94"/>
      <c r="U1254" s="94"/>
      <c r="V1254" s="94"/>
      <c r="W1254" s="94"/>
      <c r="X1254" s="94"/>
      <c r="Y1254" s="94"/>
      <c r="Z1254" s="94"/>
      <c r="AA1254" s="94"/>
      <c r="AB1254" s="94"/>
      <c r="AC1254" s="94"/>
      <c r="AD1254" s="94"/>
      <c r="AE1254" s="94"/>
      <c r="AF1254" s="94"/>
      <c r="AG1254" s="94"/>
      <c r="AH1254" s="94"/>
      <c r="AI1254" s="94"/>
      <c r="AJ1254" s="94"/>
      <c r="AK1254" s="94"/>
      <c r="AL1254" s="94"/>
      <c r="AM1254" s="94"/>
      <c r="AN1254" s="94"/>
      <c r="AO1254" s="94"/>
      <c r="AP1254" s="94"/>
      <c r="AQ1254" s="94"/>
      <c r="AR1254" s="94"/>
      <c r="AS1254" s="94"/>
      <c r="AT1254" s="94"/>
      <c r="AU1254" s="94"/>
      <c r="AV1254" s="94"/>
      <c r="AW1254" s="94"/>
      <c r="AX1254" s="94"/>
      <c r="AY1254" s="94"/>
      <c r="AZ1254" s="94"/>
      <c r="BA1254" s="94"/>
      <c r="BB1254" s="94"/>
      <c r="BC1254" s="94"/>
      <c r="BD1254" s="94"/>
      <c r="BE1254" s="94"/>
      <c r="BF1254" s="94"/>
    </row>
    <row r="1255" spans="1:58" x14ac:dyDescent="0.35">
      <c r="A1255" s="104" t="s">
        <v>3053</v>
      </c>
      <c r="B1255" s="105" t="s">
        <v>0</v>
      </c>
      <c r="C1255" s="106">
        <v>6</v>
      </c>
      <c r="D1255" s="104" t="s">
        <v>8</v>
      </c>
      <c r="E1255" s="106"/>
      <c r="F1255" s="94"/>
      <c r="G1255" s="94"/>
      <c r="H1255" s="94"/>
      <c r="I1255" s="94"/>
      <c r="J1255" s="94"/>
      <c r="K1255" s="94"/>
      <c r="L1255" s="94"/>
      <c r="M1255" s="94"/>
      <c r="N1255" s="94"/>
      <c r="O1255" s="94"/>
      <c r="P1255" s="94"/>
      <c r="Q1255" s="94"/>
      <c r="R1255" s="94"/>
      <c r="S1255" s="94"/>
      <c r="T1255" s="94"/>
      <c r="U1255" s="94"/>
      <c r="V1255" s="94"/>
      <c r="W1255" s="94"/>
      <c r="X1255" s="94"/>
      <c r="Y1255" s="94"/>
      <c r="Z1255" s="94"/>
      <c r="AA1255" s="94"/>
      <c r="AB1255" s="94"/>
      <c r="AC1255" s="94"/>
      <c r="AD1255" s="94"/>
      <c r="AE1255" s="94"/>
      <c r="AF1255" s="94"/>
      <c r="AG1255" s="94"/>
      <c r="AH1255" s="94"/>
      <c r="AI1255" s="94"/>
      <c r="AJ1255" s="94"/>
      <c r="AK1255" s="94"/>
      <c r="AL1255" s="94"/>
      <c r="AM1255" s="94"/>
      <c r="AN1255" s="94"/>
      <c r="AO1255" s="94"/>
      <c r="AP1255" s="94"/>
      <c r="AQ1255" s="94"/>
      <c r="AR1255" s="94"/>
      <c r="AS1255" s="94"/>
      <c r="AT1255" s="94"/>
      <c r="AU1255" s="94"/>
      <c r="AV1255" s="94"/>
      <c r="AW1255" s="94"/>
      <c r="AX1255" s="94"/>
      <c r="AY1255" s="94"/>
      <c r="AZ1255" s="94"/>
      <c r="BA1255" s="94"/>
      <c r="BB1255" s="94"/>
      <c r="BC1255" s="94"/>
      <c r="BD1255" s="94"/>
      <c r="BE1255" s="94"/>
      <c r="BF1255" s="94"/>
    </row>
    <row r="1256" spans="1:58" x14ac:dyDescent="0.35">
      <c r="A1256" s="107" t="s">
        <v>3054</v>
      </c>
      <c r="B1256" s="108" t="s">
        <v>0</v>
      </c>
      <c r="C1256" s="109">
        <v>7</v>
      </c>
      <c r="D1256" s="107" t="s">
        <v>1182</v>
      </c>
      <c r="E1256" s="109" t="s">
        <v>236</v>
      </c>
      <c r="F1256" s="94"/>
      <c r="G1256" s="94"/>
      <c r="H1256" s="94"/>
      <c r="I1256" s="94"/>
      <c r="J1256" s="94"/>
      <c r="K1256" s="94"/>
      <c r="L1256" s="94"/>
      <c r="M1256" s="94"/>
      <c r="N1256" s="94"/>
      <c r="O1256" s="94"/>
      <c r="P1256" s="94"/>
      <c r="Q1256" s="94"/>
      <c r="R1256" s="94"/>
      <c r="S1256" s="94"/>
      <c r="T1256" s="94"/>
      <c r="U1256" s="94"/>
      <c r="V1256" s="94"/>
      <c r="W1256" s="94"/>
      <c r="X1256" s="94"/>
      <c r="Y1256" s="94"/>
      <c r="Z1256" s="94"/>
      <c r="AA1256" s="94"/>
      <c r="AB1256" s="94"/>
      <c r="AC1256" s="94"/>
      <c r="AD1256" s="94"/>
      <c r="AE1256" s="94"/>
      <c r="AF1256" s="94"/>
      <c r="AG1256" s="94"/>
      <c r="AH1256" s="94"/>
      <c r="AI1256" s="94"/>
      <c r="AJ1256" s="94"/>
      <c r="AK1256" s="94"/>
      <c r="AL1256" s="94"/>
      <c r="AM1256" s="94"/>
      <c r="AN1256" s="94"/>
      <c r="AO1256" s="94"/>
      <c r="AP1256" s="94"/>
      <c r="AQ1256" s="94"/>
      <c r="AR1256" s="94"/>
      <c r="AS1256" s="94"/>
      <c r="AT1256" s="94"/>
      <c r="AU1256" s="94"/>
      <c r="AV1256" s="94"/>
      <c r="AW1256" s="94"/>
      <c r="AX1256" s="94"/>
      <c r="AY1256" s="94"/>
      <c r="AZ1256" s="94"/>
      <c r="BA1256" s="94"/>
      <c r="BB1256" s="94"/>
      <c r="BC1256" s="94"/>
      <c r="BD1256" s="94"/>
      <c r="BE1256" s="94"/>
      <c r="BF1256" s="94"/>
    </row>
    <row r="1257" spans="1:58" x14ac:dyDescent="0.35">
      <c r="A1257" s="104" t="s">
        <v>3055</v>
      </c>
      <c r="B1257" s="105" t="s">
        <v>0</v>
      </c>
      <c r="C1257" s="106">
        <v>6</v>
      </c>
      <c r="D1257" s="104" t="s">
        <v>16</v>
      </c>
      <c r="E1257" s="106"/>
      <c r="F1257" s="94"/>
      <c r="G1257" s="94"/>
      <c r="H1257" s="94"/>
      <c r="I1257" s="94"/>
      <c r="J1257" s="94"/>
      <c r="K1257" s="94"/>
      <c r="L1257" s="94"/>
      <c r="M1257" s="94"/>
      <c r="N1257" s="94"/>
      <c r="O1257" s="94"/>
      <c r="P1257" s="94"/>
      <c r="Q1257" s="94"/>
      <c r="R1257" s="94"/>
      <c r="S1257" s="94"/>
      <c r="T1257" s="94"/>
      <c r="U1257" s="94"/>
      <c r="V1257" s="94"/>
      <c r="W1257" s="94"/>
      <c r="X1257" s="94"/>
      <c r="Y1257" s="94"/>
      <c r="Z1257" s="94"/>
      <c r="AA1257" s="94"/>
      <c r="AB1257" s="94"/>
      <c r="AC1257" s="94"/>
      <c r="AD1257" s="94"/>
      <c r="AE1257" s="94"/>
      <c r="AF1257" s="94"/>
      <c r="AG1257" s="94"/>
      <c r="AH1257" s="94"/>
      <c r="AI1257" s="94"/>
      <c r="AJ1257" s="94"/>
      <c r="AK1257" s="94"/>
      <c r="AL1257" s="94"/>
      <c r="AM1257" s="94"/>
      <c r="AN1257" s="94"/>
      <c r="AO1257" s="94"/>
      <c r="AP1257" s="94"/>
      <c r="AQ1257" s="94"/>
      <c r="AR1257" s="94"/>
      <c r="AS1257" s="94"/>
      <c r="AT1257" s="94"/>
      <c r="AU1257" s="94"/>
      <c r="AV1257" s="94"/>
      <c r="AW1257" s="94"/>
      <c r="AX1257" s="94"/>
      <c r="AY1257" s="94"/>
      <c r="AZ1257" s="94"/>
      <c r="BA1257" s="94"/>
      <c r="BB1257" s="94"/>
      <c r="BC1257" s="94"/>
      <c r="BD1257" s="94"/>
      <c r="BE1257" s="94"/>
      <c r="BF1257" s="94"/>
    </row>
    <row r="1258" spans="1:58" x14ac:dyDescent="0.35">
      <c r="A1258" s="107" t="s">
        <v>3056</v>
      </c>
      <c r="B1258" s="108" t="s">
        <v>0</v>
      </c>
      <c r="C1258" s="109">
        <v>7</v>
      </c>
      <c r="D1258" s="107" t="s">
        <v>1183</v>
      </c>
      <c r="E1258" s="109" t="s">
        <v>237</v>
      </c>
      <c r="F1258" s="94"/>
      <c r="G1258" s="94"/>
      <c r="H1258" s="94"/>
      <c r="I1258" s="94"/>
      <c r="J1258" s="94"/>
      <c r="K1258" s="94"/>
      <c r="L1258" s="94"/>
      <c r="M1258" s="94"/>
      <c r="N1258" s="94"/>
      <c r="O1258" s="94"/>
      <c r="P1258" s="94"/>
      <c r="Q1258" s="94"/>
      <c r="R1258" s="94"/>
      <c r="S1258" s="94"/>
      <c r="T1258" s="94"/>
      <c r="U1258" s="94"/>
      <c r="V1258" s="94"/>
      <c r="W1258" s="94"/>
      <c r="X1258" s="94"/>
      <c r="Y1258" s="94"/>
      <c r="Z1258" s="94"/>
      <c r="AA1258" s="94"/>
      <c r="AB1258" s="94"/>
      <c r="AC1258" s="94"/>
      <c r="AD1258" s="94"/>
      <c r="AE1258" s="94"/>
      <c r="AF1258" s="94"/>
      <c r="AG1258" s="94"/>
      <c r="AH1258" s="94"/>
      <c r="AI1258" s="94"/>
      <c r="AJ1258" s="94"/>
      <c r="AK1258" s="94"/>
      <c r="AL1258" s="94"/>
      <c r="AM1258" s="94"/>
      <c r="AN1258" s="94"/>
      <c r="AO1258" s="94"/>
      <c r="AP1258" s="94"/>
      <c r="AQ1258" s="94"/>
      <c r="AR1258" s="94"/>
      <c r="AS1258" s="94"/>
      <c r="AT1258" s="94"/>
      <c r="AU1258" s="94"/>
      <c r="AV1258" s="94"/>
      <c r="AW1258" s="94"/>
      <c r="AX1258" s="94"/>
      <c r="AY1258" s="94"/>
      <c r="AZ1258" s="94"/>
      <c r="BA1258" s="94"/>
      <c r="BB1258" s="94"/>
      <c r="BC1258" s="94"/>
      <c r="BD1258" s="94"/>
      <c r="BE1258" s="94"/>
      <c r="BF1258" s="94"/>
    </row>
    <row r="1259" spans="1:58" x14ac:dyDescent="0.35">
      <c r="A1259" s="104" t="s">
        <v>3057</v>
      </c>
      <c r="B1259" s="105" t="s">
        <v>0</v>
      </c>
      <c r="C1259" s="106">
        <v>6</v>
      </c>
      <c r="D1259" s="104" t="s">
        <v>123</v>
      </c>
      <c r="E1259" s="106"/>
      <c r="F1259" s="94"/>
      <c r="G1259" s="94"/>
      <c r="H1259" s="94"/>
      <c r="I1259" s="94"/>
      <c r="J1259" s="94"/>
      <c r="K1259" s="94"/>
      <c r="L1259" s="94"/>
      <c r="M1259" s="94"/>
      <c r="N1259" s="94"/>
      <c r="O1259" s="94"/>
      <c r="P1259" s="94"/>
      <c r="Q1259" s="94"/>
      <c r="R1259" s="94"/>
      <c r="S1259" s="94"/>
      <c r="T1259" s="94"/>
      <c r="U1259" s="94"/>
      <c r="V1259" s="94"/>
      <c r="W1259" s="94"/>
      <c r="X1259" s="94"/>
      <c r="Y1259" s="94"/>
      <c r="Z1259" s="94"/>
      <c r="AA1259" s="94"/>
      <c r="AB1259" s="94"/>
      <c r="AC1259" s="94"/>
      <c r="AD1259" s="94"/>
      <c r="AE1259" s="94"/>
      <c r="AF1259" s="94"/>
      <c r="AG1259" s="94"/>
      <c r="AH1259" s="94"/>
      <c r="AI1259" s="94"/>
      <c r="AJ1259" s="94"/>
      <c r="AK1259" s="94"/>
      <c r="AL1259" s="94"/>
      <c r="AM1259" s="94"/>
      <c r="AN1259" s="94"/>
      <c r="AO1259" s="94"/>
      <c r="AP1259" s="94"/>
      <c r="AQ1259" s="94"/>
      <c r="AR1259" s="94"/>
      <c r="AS1259" s="94"/>
      <c r="AT1259" s="94"/>
      <c r="AU1259" s="94"/>
      <c r="AV1259" s="94"/>
      <c r="AW1259" s="94"/>
      <c r="AX1259" s="94"/>
      <c r="AY1259" s="94"/>
      <c r="AZ1259" s="94"/>
      <c r="BA1259" s="94"/>
      <c r="BB1259" s="94"/>
      <c r="BC1259" s="94"/>
      <c r="BD1259" s="94"/>
      <c r="BE1259" s="94"/>
      <c r="BF1259" s="94"/>
    </row>
    <row r="1260" spans="1:58" x14ac:dyDescent="0.35">
      <c r="A1260" s="101" t="s">
        <v>3058</v>
      </c>
      <c r="B1260" s="102" t="s">
        <v>0</v>
      </c>
      <c r="C1260" s="103">
        <v>5</v>
      </c>
      <c r="D1260" s="101" t="s">
        <v>619</v>
      </c>
      <c r="E1260" s="103" t="s">
        <v>566</v>
      </c>
      <c r="F1260" s="94"/>
      <c r="G1260" s="94"/>
      <c r="H1260" s="94"/>
      <c r="I1260" s="94"/>
      <c r="J1260" s="94"/>
      <c r="K1260" s="94"/>
      <c r="L1260" s="94"/>
      <c r="M1260" s="94"/>
      <c r="N1260" s="94"/>
      <c r="O1260" s="94"/>
      <c r="P1260" s="94"/>
      <c r="Q1260" s="94"/>
      <c r="R1260" s="94"/>
      <c r="S1260" s="94"/>
      <c r="T1260" s="94"/>
      <c r="U1260" s="94"/>
      <c r="V1260" s="94"/>
      <c r="W1260" s="94"/>
      <c r="X1260" s="94"/>
      <c r="Y1260" s="94"/>
      <c r="Z1260" s="94"/>
      <c r="AA1260" s="94"/>
      <c r="AB1260" s="94"/>
      <c r="AC1260" s="94"/>
      <c r="AD1260" s="94"/>
      <c r="AE1260" s="94"/>
      <c r="AF1260" s="94"/>
      <c r="AG1260" s="94"/>
      <c r="AH1260" s="94"/>
      <c r="AI1260" s="94"/>
      <c r="AJ1260" s="94"/>
      <c r="AK1260" s="94"/>
      <c r="AL1260" s="94"/>
      <c r="AM1260" s="94"/>
      <c r="AN1260" s="94"/>
      <c r="AO1260" s="94"/>
      <c r="AP1260" s="94"/>
      <c r="AQ1260" s="94"/>
      <c r="AR1260" s="94"/>
      <c r="AS1260" s="94"/>
      <c r="AT1260" s="94"/>
      <c r="AU1260" s="94"/>
      <c r="AV1260" s="94"/>
      <c r="AW1260" s="94"/>
      <c r="AX1260" s="94"/>
      <c r="AY1260" s="94"/>
      <c r="AZ1260" s="94"/>
      <c r="BA1260" s="94"/>
      <c r="BB1260" s="94"/>
      <c r="BC1260" s="94"/>
      <c r="BD1260" s="94"/>
      <c r="BE1260" s="94"/>
      <c r="BF1260" s="94"/>
    </row>
    <row r="1261" spans="1:58" x14ac:dyDescent="0.35">
      <c r="A1261" s="104" t="s">
        <v>3059</v>
      </c>
      <c r="B1261" s="105" t="s">
        <v>0</v>
      </c>
      <c r="C1261" s="106">
        <v>6</v>
      </c>
      <c r="D1261" s="104" t="s">
        <v>8</v>
      </c>
      <c r="E1261" s="106"/>
      <c r="F1261" s="94"/>
      <c r="G1261" s="94"/>
      <c r="H1261" s="94"/>
      <c r="I1261" s="94"/>
      <c r="J1261" s="94"/>
      <c r="K1261" s="94"/>
      <c r="L1261" s="94"/>
      <c r="M1261" s="94"/>
      <c r="N1261" s="94"/>
      <c r="O1261" s="94"/>
      <c r="P1261" s="94"/>
      <c r="Q1261" s="94"/>
      <c r="R1261" s="94"/>
      <c r="S1261" s="94"/>
      <c r="T1261" s="94"/>
      <c r="U1261" s="94"/>
      <c r="V1261" s="94"/>
      <c r="W1261" s="94"/>
      <c r="X1261" s="94"/>
      <c r="Y1261" s="94"/>
      <c r="Z1261" s="94"/>
      <c r="AA1261" s="94"/>
      <c r="AB1261" s="94"/>
      <c r="AC1261" s="94"/>
      <c r="AD1261" s="94"/>
      <c r="AE1261" s="94"/>
      <c r="AF1261" s="94"/>
      <c r="AG1261" s="94"/>
      <c r="AH1261" s="94"/>
      <c r="AI1261" s="94"/>
      <c r="AJ1261" s="94"/>
      <c r="AK1261" s="94"/>
      <c r="AL1261" s="94"/>
      <c r="AM1261" s="94"/>
      <c r="AN1261" s="94"/>
      <c r="AO1261" s="94"/>
      <c r="AP1261" s="94"/>
      <c r="AQ1261" s="94"/>
      <c r="AR1261" s="94"/>
      <c r="AS1261" s="94"/>
      <c r="AT1261" s="94"/>
      <c r="AU1261" s="94"/>
      <c r="AV1261" s="94"/>
      <c r="AW1261" s="94"/>
      <c r="AX1261" s="94"/>
      <c r="AY1261" s="94"/>
      <c r="AZ1261" s="94"/>
      <c r="BA1261" s="94"/>
      <c r="BB1261" s="94"/>
      <c r="BC1261" s="94"/>
      <c r="BD1261" s="94"/>
      <c r="BE1261" s="94"/>
      <c r="BF1261" s="94"/>
    </row>
    <row r="1262" spans="1:58" x14ac:dyDescent="0.35">
      <c r="A1262" s="107" t="s">
        <v>3060</v>
      </c>
      <c r="B1262" s="108" t="s">
        <v>0</v>
      </c>
      <c r="C1262" s="109">
        <v>7</v>
      </c>
      <c r="D1262" s="107" t="s">
        <v>1506</v>
      </c>
      <c r="E1262" s="109" t="s">
        <v>567</v>
      </c>
      <c r="F1262" s="94"/>
      <c r="G1262" s="94"/>
      <c r="H1262" s="94"/>
      <c r="I1262" s="94"/>
      <c r="J1262" s="94"/>
      <c r="K1262" s="94"/>
      <c r="L1262" s="94"/>
      <c r="M1262" s="94"/>
      <c r="N1262" s="94"/>
      <c r="O1262" s="94"/>
      <c r="P1262" s="94"/>
      <c r="Q1262" s="94"/>
      <c r="R1262" s="94"/>
      <c r="S1262" s="94"/>
      <c r="T1262" s="94"/>
      <c r="U1262" s="94"/>
      <c r="V1262" s="94"/>
      <c r="W1262" s="94"/>
      <c r="X1262" s="94"/>
      <c r="Y1262" s="94"/>
      <c r="Z1262" s="94"/>
      <c r="AA1262" s="94"/>
      <c r="AB1262" s="94"/>
      <c r="AC1262" s="94"/>
      <c r="AD1262" s="94"/>
      <c r="AE1262" s="94"/>
      <c r="AF1262" s="94"/>
      <c r="AG1262" s="94"/>
      <c r="AH1262" s="94"/>
      <c r="AI1262" s="94"/>
      <c r="AJ1262" s="94"/>
      <c r="AK1262" s="94"/>
      <c r="AL1262" s="94"/>
      <c r="AM1262" s="94"/>
      <c r="AN1262" s="94"/>
      <c r="AO1262" s="94"/>
      <c r="AP1262" s="94"/>
      <c r="AQ1262" s="94"/>
      <c r="AR1262" s="94"/>
      <c r="AS1262" s="94"/>
      <c r="AT1262" s="94"/>
      <c r="AU1262" s="94"/>
      <c r="AV1262" s="94"/>
      <c r="AW1262" s="94"/>
      <c r="AX1262" s="94"/>
      <c r="AY1262" s="94"/>
      <c r="AZ1262" s="94"/>
      <c r="BA1262" s="94"/>
      <c r="BB1262" s="94"/>
      <c r="BC1262" s="94"/>
      <c r="BD1262" s="94"/>
      <c r="BE1262" s="94"/>
      <c r="BF1262" s="94"/>
    </row>
    <row r="1263" spans="1:58" x14ac:dyDescent="0.35">
      <c r="A1263" s="104" t="s">
        <v>3061</v>
      </c>
      <c r="B1263" s="105" t="s">
        <v>0</v>
      </c>
      <c r="C1263" s="106">
        <v>6</v>
      </c>
      <c r="D1263" s="104" t="s">
        <v>16</v>
      </c>
      <c r="E1263" s="106"/>
      <c r="F1263" s="94"/>
      <c r="G1263" s="94"/>
      <c r="H1263" s="94"/>
      <c r="I1263" s="94"/>
      <c r="J1263" s="94"/>
      <c r="K1263" s="94"/>
      <c r="L1263" s="94"/>
      <c r="M1263" s="94"/>
      <c r="N1263" s="94"/>
      <c r="O1263" s="94"/>
      <c r="P1263" s="94"/>
      <c r="Q1263" s="94"/>
      <c r="R1263" s="94"/>
      <c r="S1263" s="94"/>
      <c r="T1263" s="94"/>
      <c r="U1263" s="94"/>
      <c r="V1263" s="94"/>
      <c r="W1263" s="94"/>
      <c r="X1263" s="94"/>
      <c r="Y1263" s="94"/>
      <c r="Z1263" s="94"/>
      <c r="AA1263" s="94"/>
      <c r="AB1263" s="94"/>
      <c r="AC1263" s="94"/>
      <c r="AD1263" s="94"/>
      <c r="AE1263" s="94"/>
      <c r="AF1263" s="94"/>
      <c r="AG1263" s="94"/>
      <c r="AH1263" s="94"/>
      <c r="AI1263" s="94"/>
      <c r="AJ1263" s="94"/>
      <c r="AK1263" s="94"/>
      <c r="AL1263" s="94"/>
      <c r="AM1263" s="94"/>
      <c r="AN1263" s="94"/>
      <c r="AO1263" s="94"/>
      <c r="AP1263" s="94"/>
      <c r="AQ1263" s="94"/>
      <c r="AR1263" s="94"/>
      <c r="AS1263" s="94"/>
      <c r="AT1263" s="94"/>
      <c r="AU1263" s="94"/>
      <c r="AV1263" s="94"/>
      <c r="AW1263" s="94"/>
      <c r="AX1263" s="94"/>
      <c r="AY1263" s="94"/>
      <c r="AZ1263" s="94"/>
      <c r="BA1263" s="94"/>
      <c r="BB1263" s="94"/>
      <c r="BC1263" s="94"/>
      <c r="BD1263" s="94"/>
      <c r="BE1263" s="94"/>
      <c r="BF1263" s="94"/>
    </row>
    <row r="1264" spans="1:58" x14ac:dyDescent="0.35">
      <c r="A1264" s="107" t="s">
        <v>3062</v>
      </c>
      <c r="B1264" s="108" t="s">
        <v>0</v>
      </c>
      <c r="C1264" s="109">
        <v>7</v>
      </c>
      <c r="D1264" s="107" t="s">
        <v>1184</v>
      </c>
      <c r="E1264" s="109" t="s">
        <v>238</v>
      </c>
      <c r="F1264" s="94"/>
      <c r="G1264" s="94"/>
      <c r="H1264" s="94"/>
      <c r="I1264" s="94"/>
      <c r="J1264" s="94"/>
      <c r="K1264" s="94"/>
      <c r="L1264" s="94"/>
      <c r="M1264" s="94"/>
      <c r="N1264" s="94"/>
      <c r="O1264" s="94"/>
      <c r="P1264" s="94"/>
      <c r="Q1264" s="94"/>
      <c r="R1264" s="94"/>
      <c r="S1264" s="94"/>
      <c r="T1264" s="94"/>
      <c r="U1264" s="94"/>
      <c r="V1264" s="94"/>
      <c r="W1264" s="94"/>
      <c r="X1264" s="94"/>
      <c r="Y1264" s="94"/>
      <c r="Z1264" s="94"/>
      <c r="AA1264" s="94"/>
      <c r="AB1264" s="94"/>
      <c r="AC1264" s="94"/>
      <c r="AD1264" s="94"/>
      <c r="AE1264" s="94"/>
      <c r="AF1264" s="94"/>
      <c r="AG1264" s="94"/>
      <c r="AH1264" s="94"/>
      <c r="AI1264" s="94"/>
      <c r="AJ1264" s="94"/>
      <c r="AK1264" s="94"/>
      <c r="AL1264" s="94"/>
      <c r="AM1264" s="94"/>
      <c r="AN1264" s="94"/>
      <c r="AO1264" s="94"/>
      <c r="AP1264" s="94"/>
      <c r="AQ1264" s="94"/>
      <c r="AR1264" s="94"/>
      <c r="AS1264" s="94"/>
      <c r="AT1264" s="94"/>
      <c r="AU1264" s="94"/>
      <c r="AV1264" s="94"/>
      <c r="AW1264" s="94"/>
      <c r="AX1264" s="94"/>
      <c r="AY1264" s="94"/>
      <c r="AZ1264" s="94"/>
      <c r="BA1264" s="94"/>
      <c r="BB1264" s="94"/>
      <c r="BC1264" s="94"/>
      <c r="BD1264" s="94"/>
      <c r="BE1264" s="94"/>
      <c r="BF1264" s="94"/>
    </row>
    <row r="1265" spans="1:58" x14ac:dyDescent="0.35">
      <c r="A1265" s="104" t="s">
        <v>3063</v>
      </c>
      <c r="B1265" s="105" t="s">
        <v>0</v>
      </c>
      <c r="C1265" s="106">
        <v>6</v>
      </c>
      <c r="D1265" s="104" t="s">
        <v>123</v>
      </c>
      <c r="E1265" s="106"/>
      <c r="F1265" s="94"/>
      <c r="G1265" s="94"/>
      <c r="H1265" s="94"/>
      <c r="I1265" s="94"/>
      <c r="J1265" s="94"/>
      <c r="K1265" s="94"/>
      <c r="L1265" s="94"/>
      <c r="M1265" s="94"/>
      <c r="N1265" s="94"/>
      <c r="O1265" s="94"/>
      <c r="P1265" s="94"/>
      <c r="Q1265" s="94"/>
      <c r="R1265" s="94"/>
      <c r="S1265" s="94"/>
      <c r="T1265" s="94"/>
      <c r="U1265" s="94"/>
      <c r="V1265" s="94"/>
      <c r="W1265" s="94"/>
      <c r="X1265" s="94"/>
      <c r="Y1265" s="94"/>
      <c r="Z1265" s="94"/>
      <c r="AA1265" s="94"/>
      <c r="AB1265" s="94"/>
      <c r="AC1265" s="94"/>
      <c r="AD1265" s="94"/>
      <c r="AE1265" s="94"/>
      <c r="AF1265" s="94"/>
      <c r="AG1265" s="94"/>
      <c r="AH1265" s="94"/>
      <c r="AI1265" s="94"/>
      <c r="AJ1265" s="94"/>
      <c r="AK1265" s="94"/>
      <c r="AL1265" s="94"/>
      <c r="AM1265" s="94"/>
      <c r="AN1265" s="94"/>
      <c r="AO1265" s="94"/>
      <c r="AP1265" s="94"/>
      <c r="AQ1265" s="94"/>
      <c r="AR1265" s="94"/>
      <c r="AS1265" s="94"/>
      <c r="AT1265" s="94"/>
      <c r="AU1265" s="94"/>
      <c r="AV1265" s="94"/>
      <c r="AW1265" s="94"/>
      <c r="AX1265" s="94"/>
      <c r="AY1265" s="94"/>
      <c r="AZ1265" s="94"/>
      <c r="BA1265" s="94"/>
      <c r="BB1265" s="94"/>
      <c r="BC1265" s="94"/>
      <c r="BD1265" s="94"/>
      <c r="BE1265" s="94"/>
      <c r="BF1265" s="94"/>
    </row>
    <row r="1266" spans="1:58" x14ac:dyDescent="0.35">
      <c r="A1266" s="101" t="s">
        <v>3064</v>
      </c>
      <c r="B1266" s="102" t="s">
        <v>0</v>
      </c>
      <c r="C1266" s="103">
        <v>5</v>
      </c>
      <c r="D1266" s="101" t="s">
        <v>620</v>
      </c>
      <c r="E1266" s="103" t="s">
        <v>570</v>
      </c>
      <c r="F1266" s="94"/>
      <c r="G1266" s="94"/>
      <c r="H1266" s="94"/>
      <c r="I1266" s="94"/>
      <c r="J1266" s="94"/>
      <c r="K1266" s="94"/>
      <c r="L1266" s="94"/>
      <c r="M1266" s="94"/>
      <c r="N1266" s="94"/>
      <c r="O1266" s="94"/>
      <c r="P1266" s="94"/>
      <c r="Q1266" s="94"/>
      <c r="R1266" s="94"/>
      <c r="S1266" s="94"/>
      <c r="T1266" s="94"/>
      <c r="U1266" s="94"/>
      <c r="V1266" s="94"/>
      <c r="W1266" s="94"/>
      <c r="X1266" s="94"/>
      <c r="Y1266" s="94"/>
      <c r="Z1266" s="94"/>
      <c r="AA1266" s="94"/>
      <c r="AB1266" s="94"/>
      <c r="AC1266" s="94"/>
      <c r="AD1266" s="94"/>
      <c r="AE1266" s="94"/>
      <c r="AF1266" s="94"/>
      <c r="AG1266" s="94"/>
      <c r="AH1266" s="94"/>
      <c r="AI1266" s="94"/>
      <c r="AJ1266" s="94"/>
      <c r="AK1266" s="94"/>
      <c r="AL1266" s="94"/>
      <c r="AM1266" s="94"/>
      <c r="AN1266" s="94"/>
      <c r="AO1266" s="94"/>
      <c r="AP1266" s="94"/>
      <c r="AQ1266" s="94"/>
      <c r="AR1266" s="94"/>
      <c r="AS1266" s="94"/>
      <c r="AT1266" s="94"/>
      <c r="AU1266" s="94"/>
      <c r="AV1266" s="94"/>
      <c r="AW1266" s="94"/>
      <c r="AX1266" s="94"/>
      <c r="AY1266" s="94"/>
      <c r="AZ1266" s="94"/>
      <c r="BA1266" s="94"/>
      <c r="BB1266" s="94"/>
      <c r="BC1266" s="94"/>
      <c r="BD1266" s="94"/>
      <c r="BE1266" s="94"/>
      <c r="BF1266" s="94"/>
    </row>
    <row r="1267" spans="1:58" x14ac:dyDescent="0.35">
      <c r="A1267" s="104" t="s">
        <v>3065</v>
      </c>
      <c r="B1267" s="105" t="s">
        <v>0</v>
      </c>
      <c r="C1267" s="106">
        <v>6</v>
      </c>
      <c r="D1267" s="104" t="s">
        <v>8</v>
      </c>
      <c r="E1267" s="106"/>
      <c r="F1267" s="94"/>
      <c r="G1267" s="94"/>
      <c r="H1267" s="94"/>
      <c r="I1267" s="94"/>
      <c r="J1267" s="94"/>
      <c r="K1267" s="94"/>
      <c r="L1267" s="94"/>
      <c r="M1267" s="94"/>
      <c r="N1267" s="94"/>
      <c r="O1267" s="94"/>
      <c r="P1267" s="94"/>
      <c r="Q1267" s="94"/>
      <c r="R1267" s="94"/>
      <c r="S1267" s="94"/>
      <c r="T1267" s="94"/>
      <c r="U1267" s="94"/>
      <c r="V1267" s="94"/>
      <c r="W1267" s="94"/>
      <c r="X1267" s="94"/>
      <c r="Y1267" s="94"/>
      <c r="Z1267" s="94"/>
      <c r="AA1267" s="94"/>
      <c r="AB1267" s="94"/>
      <c r="AC1267" s="94"/>
      <c r="AD1267" s="94"/>
      <c r="AE1267" s="94"/>
      <c r="AF1267" s="94"/>
      <c r="AG1267" s="94"/>
      <c r="AH1267" s="94"/>
      <c r="AI1267" s="94"/>
      <c r="AJ1267" s="94"/>
      <c r="AK1267" s="94"/>
      <c r="AL1267" s="94"/>
      <c r="AM1267" s="94"/>
      <c r="AN1267" s="94"/>
      <c r="AO1267" s="94"/>
      <c r="AP1267" s="94"/>
      <c r="AQ1267" s="94"/>
      <c r="AR1267" s="94"/>
      <c r="AS1267" s="94"/>
      <c r="AT1267" s="94"/>
      <c r="AU1267" s="94"/>
      <c r="AV1267" s="94"/>
      <c r="AW1267" s="94"/>
      <c r="AX1267" s="94"/>
      <c r="AY1267" s="94"/>
      <c r="AZ1267" s="94"/>
      <c r="BA1267" s="94"/>
      <c r="BB1267" s="94"/>
      <c r="BC1267" s="94"/>
      <c r="BD1267" s="94"/>
      <c r="BE1267" s="94"/>
      <c r="BF1267" s="94"/>
    </row>
    <row r="1268" spans="1:58" x14ac:dyDescent="0.35">
      <c r="A1268" s="107" t="s">
        <v>3066</v>
      </c>
      <c r="B1268" s="108" t="s">
        <v>0</v>
      </c>
      <c r="C1268" s="109">
        <v>7</v>
      </c>
      <c r="D1268" s="107" t="s">
        <v>1507</v>
      </c>
      <c r="E1268" s="109" t="s">
        <v>568</v>
      </c>
      <c r="F1268" s="94"/>
      <c r="G1268" s="94"/>
      <c r="H1268" s="94"/>
      <c r="I1268" s="94"/>
      <c r="J1268" s="94"/>
      <c r="K1268" s="94"/>
      <c r="L1268" s="94"/>
      <c r="M1268" s="94"/>
      <c r="N1268" s="94"/>
      <c r="O1268" s="94"/>
      <c r="P1268" s="94"/>
      <c r="Q1268" s="94"/>
      <c r="R1268" s="94"/>
      <c r="S1268" s="94"/>
      <c r="T1268" s="94"/>
      <c r="U1268" s="94"/>
      <c r="V1268" s="94"/>
      <c r="W1268" s="94"/>
      <c r="X1268" s="94"/>
      <c r="Y1268" s="94"/>
      <c r="Z1268" s="94"/>
      <c r="AA1268" s="94"/>
      <c r="AB1268" s="94"/>
      <c r="AC1268" s="94"/>
      <c r="AD1268" s="94"/>
      <c r="AE1268" s="94"/>
      <c r="AF1268" s="94"/>
      <c r="AG1268" s="94"/>
      <c r="AH1268" s="94"/>
      <c r="AI1268" s="94"/>
      <c r="AJ1268" s="94"/>
      <c r="AK1268" s="94"/>
      <c r="AL1268" s="94"/>
      <c r="AM1268" s="94"/>
      <c r="AN1268" s="94"/>
      <c r="AO1268" s="94"/>
      <c r="AP1268" s="94"/>
      <c r="AQ1268" s="94"/>
      <c r="AR1268" s="94"/>
      <c r="AS1268" s="94"/>
      <c r="AT1268" s="94"/>
      <c r="AU1268" s="94"/>
      <c r="AV1268" s="94"/>
      <c r="AW1268" s="94"/>
      <c r="AX1268" s="94"/>
      <c r="AY1268" s="94"/>
      <c r="AZ1268" s="94"/>
      <c r="BA1268" s="94"/>
      <c r="BB1268" s="94"/>
      <c r="BC1268" s="94"/>
      <c r="BD1268" s="94"/>
      <c r="BE1268" s="94"/>
      <c r="BF1268" s="94"/>
    </row>
    <row r="1269" spans="1:58" x14ac:dyDescent="0.35">
      <c r="A1269" s="104" t="s">
        <v>3067</v>
      </c>
      <c r="B1269" s="105" t="s">
        <v>0</v>
      </c>
      <c r="C1269" s="106">
        <v>6</v>
      </c>
      <c r="D1269" s="104" t="s">
        <v>16</v>
      </c>
      <c r="E1269" s="106"/>
      <c r="F1269" s="94"/>
      <c r="G1269" s="94"/>
      <c r="H1269" s="94"/>
      <c r="I1269" s="94"/>
      <c r="J1269" s="94"/>
      <c r="K1269" s="94"/>
      <c r="L1269" s="94"/>
      <c r="M1269" s="94"/>
      <c r="N1269" s="94"/>
      <c r="O1269" s="94"/>
      <c r="P1269" s="94"/>
      <c r="Q1269" s="94"/>
      <c r="R1269" s="94"/>
      <c r="S1269" s="94"/>
      <c r="T1269" s="94"/>
      <c r="U1269" s="94"/>
      <c r="V1269" s="94"/>
      <c r="W1269" s="94"/>
      <c r="X1269" s="94"/>
      <c r="Y1269" s="94"/>
      <c r="Z1269" s="94"/>
      <c r="AA1269" s="94"/>
      <c r="AB1269" s="94"/>
      <c r="AC1269" s="94"/>
      <c r="AD1269" s="94"/>
      <c r="AE1269" s="94"/>
      <c r="AF1269" s="94"/>
      <c r="AG1269" s="94"/>
      <c r="AH1269" s="94"/>
      <c r="AI1269" s="94"/>
      <c r="AJ1269" s="94"/>
      <c r="AK1269" s="94"/>
      <c r="AL1269" s="94"/>
      <c r="AM1269" s="94"/>
      <c r="AN1269" s="94"/>
      <c r="AO1269" s="94"/>
      <c r="AP1269" s="94"/>
      <c r="AQ1269" s="94"/>
      <c r="AR1269" s="94"/>
      <c r="AS1269" s="94"/>
      <c r="AT1269" s="94"/>
      <c r="AU1269" s="94"/>
      <c r="AV1269" s="94"/>
      <c r="AW1269" s="94"/>
      <c r="AX1269" s="94"/>
      <c r="AY1269" s="94"/>
      <c r="AZ1269" s="94"/>
      <c r="BA1269" s="94"/>
      <c r="BB1269" s="94"/>
      <c r="BC1269" s="94"/>
      <c r="BD1269" s="94"/>
      <c r="BE1269" s="94"/>
      <c r="BF1269" s="94"/>
    </row>
    <row r="1270" spans="1:58" x14ac:dyDescent="0.35">
      <c r="A1270" s="107" t="s">
        <v>3068</v>
      </c>
      <c r="B1270" s="108" t="s">
        <v>0</v>
      </c>
      <c r="C1270" s="109">
        <v>7</v>
      </c>
      <c r="D1270" s="107" t="s">
        <v>1185</v>
      </c>
      <c r="E1270" s="109" t="s">
        <v>239</v>
      </c>
      <c r="F1270" s="94"/>
      <c r="G1270" s="94"/>
      <c r="H1270" s="94"/>
      <c r="I1270" s="94"/>
      <c r="J1270" s="94"/>
      <c r="K1270" s="94"/>
      <c r="L1270" s="94"/>
      <c r="M1270" s="94"/>
      <c r="N1270" s="94"/>
      <c r="O1270" s="94"/>
      <c r="P1270" s="94"/>
      <c r="Q1270" s="94"/>
      <c r="R1270" s="94"/>
      <c r="S1270" s="94"/>
      <c r="T1270" s="94"/>
      <c r="U1270" s="94"/>
      <c r="V1270" s="94"/>
      <c r="W1270" s="94"/>
      <c r="X1270" s="94"/>
      <c r="Y1270" s="94"/>
      <c r="Z1270" s="94"/>
      <c r="AA1270" s="94"/>
      <c r="AB1270" s="94"/>
      <c r="AC1270" s="94"/>
      <c r="AD1270" s="94"/>
      <c r="AE1270" s="94"/>
      <c r="AF1270" s="94"/>
      <c r="AG1270" s="94"/>
      <c r="AH1270" s="94"/>
      <c r="AI1270" s="94"/>
      <c r="AJ1270" s="94"/>
      <c r="AK1270" s="94"/>
      <c r="AL1270" s="94"/>
      <c r="AM1270" s="94"/>
      <c r="AN1270" s="94"/>
      <c r="AO1270" s="94"/>
      <c r="AP1270" s="94"/>
      <c r="AQ1270" s="94"/>
      <c r="AR1270" s="94"/>
      <c r="AS1270" s="94"/>
      <c r="AT1270" s="94"/>
      <c r="AU1270" s="94"/>
      <c r="AV1270" s="94"/>
      <c r="AW1270" s="94"/>
      <c r="AX1270" s="94"/>
      <c r="AY1270" s="94"/>
      <c r="AZ1270" s="94"/>
      <c r="BA1270" s="94"/>
      <c r="BB1270" s="94"/>
      <c r="BC1270" s="94"/>
      <c r="BD1270" s="94"/>
      <c r="BE1270" s="94"/>
      <c r="BF1270" s="94"/>
    </row>
    <row r="1271" spans="1:58" x14ac:dyDescent="0.35">
      <c r="A1271" s="104" t="s">
        <v>3069</v>
      </c>
      <c r="B1271" s="105" t="s">
        <v>0</v>
      </c>
      <c r="C1271" s="106">
        <v>6</v>
      </c>
      <c r="D1271" s="104" t="s">
        <v>123</v>
      </c>
      <c r="E1271" s="106"/>
      <c r="F1271" s="94"/>
      <c r="G1271" s="94"/>
      <c r="H1271" s="94"/>
      <c r="I1271" s="94"/>
      <c r="J1271" s="94"/>
      <c r="K1271" s="94"/>
      <c r="L1271" s="94"/>
      <c r="M1271" s="94"/>
      <c r="N1271" s="94"/>
      <c r="O1271" s="94"/>
      <c r="P1271" s="94"/>
      <c r="Q1271" s="94"/>
      <c r="R1271" s="94"/>
      <c r="S1271" s="94"/>
      <c r="T1271" s="94"/>
      <c r="U1271" s="94"/>
      <c r="V1271" s="94"/>
      <c r="W1271" s="94"/>
      <c r="X1271" s="94"/>
      <c r="Y1271" s="94"/>
      <c r="Z1271" s="94"/>
      <c r="AA1271" s="94"/>
      <c r="AB1271" s="94"/>
      <c r="AC1271" s="94"/>
      <c r="AD1271" s="94"/>
      <c r="AE1271" s="94"/>
      <c r="AF1271" s="94"/>
      <c r="AG1271" s="94"/>
      <c r="AH1271" s="94"/>
      <c r="AI1271" s="94"/>
      <c r="AJ1271" s="94"/>
      <c r="AK1271" s="94"/>
      <c r="AL1271" s="94"/>
      <c r="AM1271" s="94"/>
      <c r="AN1271" s="94"/>
      <c r="AO1271" s="94"/>
      <c r="AP1271" s="94"/>
      <c r="AQ1271" s="94"/>
      <c r="AR1271" s="94"/>
      <c r="AS1271" s="94"/>
      <c r="AT1271" s="94"/>
      <c r="AU1271" s="94"/>
      <c r="AV1271" s="94"/>
      <c r="AW1271" s="94"/>
      <c r="AX1271" s="94"/>
      <c r="AY1271" s="94"/>
      <c r="AZ1271" s="94"/>
      <c r="BA1271" s="94"/>
      <c r="BB1271" s="94"/>
      <c r="BC1271" s="94"/>
      <c r="BD1271" s="94"/>
      <c r="BE1271" s="94"/>
      <c r="BF1271" s="94"/>
    </row>
    <row r="1272" spans="1:58" x14ac:dyDescent="0.35">
      <c r="A1272" s="101" t="s">
        <v>3070</v>
      </c>
      <c r="B1272" s="102" t="s">
        <v>0</v>
      </c>
      <c r="C1272" s="103">
        <v>5</v>
      </c>
      <c r="D1272" s="101" t="s">
        <v>606</v>
      </c>
      <c r="E1272" s="103" t="s">
        <v>571</v>
      </c>
      <c r="F1272" s="94"/>
      <c r="G1272" s="94"/>
      <c r="H1272" s="94"/>
      <c r="I1272" s="94"/>
      <c r="J1272" s="94"/>
      <c r="K1272" s="94"/>
      <c r="L1272" s="94"/>
      <c r="M1272" s="94"/>
      <c r="N1272" s="94"/>
      <c r="O1272" s="94"/>
      <c r="P1272" s="94"/>
      <c r="Q1272" s="94"/>
      <c r="R1272" s="94"/>
      <c r="S1272" s="94"/>
      <c r="T1272" s="94"/>
      <c r="U1272" s="94"/>
      <c r="V1272" s="94"/>
      <c r="W1272" s="94"/>
      <c r="X1272" s="94"/>
      <c r="Y1272" s="94"/>
      <c r="Z1272" s="94"/>
      <c r="AA1272" s="94"/>
      <c r="AB1272" s="94"/>
      <c r="AC1272" s="94"/>
      <c r="AD1272" s="94"/>
      <c r="AE1272" s="94"/>
      <c r="AF1272" s="94"/>
      <c r="AG1272" s="94"/>
      <c r="AH1272" s="94"/>
      <c r="AI1272" s="94"/>
      <c r="AJ1272" s="94"/>
      <c r="AK1272" s="94"/>
      <c r="AL1272" s="94"/>
      <c r="AM1272" s="94"/>
      <c r="AN1272" s="94"/>
      <c r="AO1272" s="94"/>
      <c r="AP1272" s="94"/>
      <c r="AQ1272" s="94"/>
      <c r="AR1272" s="94"/>
      <c r="AS1272" s="94"/>
      <c r="AT1272" s="94"/>
      <c r="AU1272" s="94"/>
      <c r="AV1272" s="94"/>
      <c r="AW1272" s="94"/>
      <c r="AX1272" s="94"/>
      <c r="AY1272" s="94"/>
      <c r="AZ1272" s="94"/>
      <c r="BA1272" s="94"/>
      <c r="BB1272" s="94"/>
      <c r="BC1272" s="94"/>
      <c r="BD1272" s="94"/>
      <c r="BE1272" s="94"/>
      <c r="BF1272" s="94"/>
    </row>
    <row r="1273" spans="1:58" x14ac:dyDescent="0.35">
      <c r="A1273" s="104" t="s">
        <v>3071</v>
      </c>
      <c r="B1273" s="105" t="s">
        <v>0</v>
      </c>
      <c r="C1273" s="106">
        <v>6</v>
      </c>
      <c r="D1273" s="104" t="s">
        <v>8</v>
      </c>
      <c r="E1273" s="106"/>
      <c r="F1273" s="94"/>
      <c r="G1273" s="94"/>
      <c r="H1273" s="94"/>
      <c r="I1273" s="94"/>
      <c r="J1273" s="94"/>
      <c r="K1273" s="94"/>
      <c r="L1273" s="94"/>
      <c r="M1273" s="94"/>
      <c r="N1273" s="94"/>
      <c r="O1273" s="94"/>
      <c r="P1273" s="94"/>
      <c r="Q1273" s="94"/>
      <c r="R1273" s="94"/>
      <c r="S1273" s="94"/>
      <c r="T1273" s="94"/>
      <c r="U1273" s="94"/>
      <c r="V1273" s="94"/>
      <c r="W1273" s="94"/>
      <c r="X1273" s="94"/>
      <c r="Y1273" s="94"/>
      <c r="Z1273" s="94"/>
      <c r="AA1273" s="94"/>
      <c r="AB1273" s="94"/>
      <c r="AC1273" s="94"/>
      <c r="AD1273" s="94"/>
      <c r="AE1273" s="94"/>
      <c r="AF1273" s="94"/>
      <c r="AG1273" s="94"/>
      <c r="AH1273" s="94"/>
      <c r="AI1273" s="94"/>
      <c r="AJ1273" s="94"/>
      <c r="AK1273" s="94"/>
      <c r="AL1273" s="94"/>
      <c r="AM1273" s="94"/>
      <c r="AN1273" s="94"/>
      <c r="AO1273" s="94"/>
      <c r="AP1273" s="94"/>
      <c r="AQ1273" s="94"/>
      <c r="AR1273" s="94"/>
      <c r="AS1273" s="94"/>
      <c r="AT1273" s="94"/>
      <c r="AU1273" s="94"/>
      <c r="AV1273" s="94"/>
      <c r="AW1273" s="94"/>
      <c r="AX1273" s="94"/>
      <c r="AY1273" s="94"/>
      <c r="AZ1273" s="94"/>
      <c r="BA1273" s="94"/>
      <c r="BB1273" s="94"/>
      <c r="BC1273" s="94"/>
      <c r="BD1273" s="94"/>
      <c r="BE1273" s="94"/>
      <c r="BF1273" s="94"/>
    </row>
    <row r="1274" spans="1:58" x14ac:dyDescent="0.35">
      <c r="A1274" s="107" t="s">
        <v>3072</v>
      </c>
      <c r="B1274" s="108" t="s">
        <v>0</v>
      </c>
      <c r="C1274" s="109">
        <v>7</v>
      </c>
      <c r="D1274" s="107" t="s">
        <v>1508</v>
      </c>
      <c r="E1274" s="109" t="s">
        <v>569</v>
      </c>
      <c r="F1274" s="94"/>
      <c r="G1274" s="94"/>
      <c r="H1274" s="94"/>
      <c r="I1274" s="94"/>
      <c r="J1274" s="94"/>
      <c r="K1274" s="94"/>
      <c r="L1274" s="94"/>
      <c r="M1274" s="94"/>
      <c r="N1274" s="94"/>
      <c r="O1274" s="94"/>
      <c r="P1274" s="94"/>
      <c r="Q1274" s="94"/>
      <c r="R1274" s="94"/>
      <c r="S1274" s="94"/>
      <c r="T1274" s="94"/>
      <c r="U1274" s="94"/>
      <c r="V1274" s="94"/>
      <c r="W1274" s="94"/>
      <c r="X1274" s="94"/>
      <c r="Y1274" s="94"/>
      <c r="Z1274" s="94"/>
      <c r="AA1274" s="94"/>
      <c r="AB1274" s="94"/>
      <c r="AC1274" s="94"/>
      <c r="AD1274" s="94"/>
      <c r="AE1274" s="94"/>
      <c r="AF1274" s="94"/>
      <c r="AG1274" s="94"/>
      <c r="AH1274" s="94"/>
      <c r="AI1274" s="94"/>
      <c r="AJ1274" s="94"/>
      <c r="AK1274" s="94"/>
      <c r="AL1274" s="94"/>
      <c r="AM1274" s="94"/>
      <c r="AN1274" s="94"/>
      <c r="AO1274" s="94"/>
      <c r="AP1274" s="94"/>
      <c r="AQ1274" s="94"/>
      <c r="AR1274" s="94"/>
      <c r="AS1274" s="94"/>
      <c r="AT1274" s="94"/>
      <c r="AU1274" s="94"/>
      <c r="AV1274" s="94"/>
      <c r="AW1274" s="94"/>
      <c r="AX1274" s="94"/>
      <c r="AY1274" s="94"/>
      <c r="AZ1274" s="94"/>
      <c r="BA1274" s="94"/>
      <c r="BB1274" s="94"/>
      <c r="BC1274" s="94"/>
      <c r="BD1274" s="94"/>
      <c r="BE1274" s="94"/>
      <c r="BF1274" s="94"/>
    </row>
    <row r="1275" spans="1:58" x14ac:dyDescent="0.35">
      <c r="A1275" s="104" t="s">
        <v>3073</v>
      </c>
      <c r="B1275" s="105" t="s">
        <v>0</v>
      </c>
      <c r="C1275" s="106">
        <v>6</v>
      </c>
      <c r="D1275" s="104" t="s">
        <v>16</v>
      </c>
      <c r="E1275" s="106"/>
      <c r="F1275" s="94"/>
      <c r="G1275" s="94"/>
      <c r="H1275" s="94"/>
      <c r="I1275" s="94"/>
      <c r="J1275" s="94"/>
      <c r="K1275" s="94"/>
      <c r="L1275" s="94"/>
      <c r="M1275" s="94"/>
      <c r="N1275" s="94"/>
      <c r="O1275" s="94"/>
      <c r="P1275" s="94"/>
      <c r="Q1275" s="94"/>
      <c r="R1275" s="94"/>
      <c r="S1275" s="94"/>
      <c r="T1275" s="94"/>
      <c r="U1275" s="94"/>
      <c r="V1275" s="94"/>
      <c r="W1275" s="94"/>
      <c r="X1275" s="94"/>
      <c r="Y1275" s="94"/>
      <c r="Z1275" s="94"/>
      <c r="AA1275" s="94"/>
      <c r="AB1275" s="94"/>
      <c r="AC1275" s="94"/>
      <c r="AD1275" s="94"/>
      <c r="AE1275" s="94"/>
      <c r="AF1275" s="94"/>
      <c r="AG1275" s="94"/>
      <c r="AH1275" s="94"/>
      <c r="AI1275" s="94"/>
      <c r="AJ1275" s="94"/>
      <c r="AK1275" s="94"/>
      <c r="AL1275" s="94"/>
      <c r="AM1275" s="94"/>
      <c r="AN1275" s="94"/>
      <c r="AO1275" s="94"/>
      <c r="AP1275" s="94"/>
      <c r="AQ1275" s="94"/>
      <c r="AR1275" s="94"/>
      <c r="AS1275" s="94"/>
      <c r="AT1275" s="94"/>
      <c r="AU1275" s="94"/>
      <c r="AV1275" s="94"/>
      <c r="AW1275" s="94"/>
      <c r="AX1275" s="94"/>
      <c r="AY1275" s="94"/>
      <c r="AZ1275" s="94"/>
      <c r="BA1275" s="94"/>
      <c r="BB1275" s="94"/>
      <c r="BC1275" s="94"/>
      <c r="BD1275" s="94"/>
      <c r="BE1275" s="94"/>
      <c r="BF1275" s="94"/>
    </row>
    <row r="1276" spans="1:58" x14ac:dyDescent="0.35">
      <c r="A1276" s="107" t="s">
        <v>3074</v>
      </c>
      <c r="B1276" s="108" t="s">
        <v>0</v>
      </c>
      <c r="C1276" s="109">
        <v>7</v>
      </c>
      <c r="D1276" s="107" t="s">
        <v>1186</v>
      </c>
      <c r="E1276" s="109" t="s">
        <v>240</v>
      </c>
      <c r="F1276" s="94"/>
      <c r="G1276" s="94"/>
      <c r="H1276" s="94"/>
      <c r="I1276" s="94"/>
      <c r="J1276" s="94"/>
      <c r="K1276" s="94"/>
      <c r="L1276" s="94"/>
      <c r="M1276" s="94"/>
      <c r="N1276" s="94"/>
      <c r="O1276" s="94"/>
      <c r="P1276" s="94"/>
      <c r="Q1276" s="94"/>
      <c r="R1276" s="94"/>
      <c r="S1276" s="94"/>
      <c r="T1276" s="94"/>
      <c r="U1276" s="94"/>
      <c r="V1276" s="94"/>
      <c r="W1276" s="94"/>
      <c r="X1276" s="94"/>
      <c r="Y1276" s="94"/>
      <c r="Z1276" s="94"/>
      <c r="AA1276" s="94"/>
      <c r="AB1276" s="94"/>
      <c r="AC1276" s="94"/>
      <c r="AD1276" s="94"/>
      <c r="AE1276" s="94"/>
      <c r="AF1276" s="94"/>
      <c r="AG1276" s="94"/>
      <c r="AH1276" s="94"/>
      <c r="AI1276" s="94"/>
      <c r="AJ1276" s="94"/>
      <c r="AK1276" s="94"/>
      <c r="AL1276" s="94"/>
      <c r="AM1276" s="94"/>
      <c r="AN1276" s="94"/>
      <c r="AO1276" s="94"/>
      <c r="AP1276" s="94"/>
      <c r="AQ1276" s="94"/>
      <c r="AR1276" s="94"/>
      <c r="AS1276" s="94"/>
      <c r="AT1276" s="94"/>
      <c r="AU1276" s="94"/>
      <c r="AV1276" s="94"/>
      <c r="AW1276" s="94"/>
      <c r="AX1276" s="94"/>
      <c r="AY1276" s="94"/>
      <c r="AZ1276" s="94"/>
      <c r="BA1276" s="94"/>
      <c r="BB1276" s="94"/>
      <c r="BC1276" s="94"/>
      <c r="BD1276" s="94"/>
      <c r="BE1276" s="94"/>
      <c r="BF1276" s="94"/>
    </row>
    <row r="1277" spans="1:58" x14ac:dyDescent="0.35">
      <c r="A1277" s="104" t="s">
        <v>3075</v>
      </c>
      <c r="B1277" s="105" t="s">
        <v>0</v>
      </c>
      <c r="C1277" s="106">
        <v>6</v>
      </c>
      <c r="D1277" s="104" t="s">
        <v>123</v>
      </c>
      <c r="E1277" s="106"/>
      <c r="F1277" s="94"/>
      <c r="G1277" s="94"/>
      <c r="H1277" s="94"/>
      <c r="I1277" s="94"/>
      <c r="J1277" s="94"/>
      <c r="K1277" s="94"/>
      <c r="L1277" s="94"/>
      <c r="M1277" s="94"/>
      <c r="N1277" s="94"/>
      <c r="O1277" s="94"/>
      <c r="P1277" s="94"/>
      <c r="Q1277" s="94"/>
      <c r="R1277" s="94"/>
      <c r="S1277" s="94"/>
      <c r="T1277" s="94"/>
      <c r="U1277" s="94"/>
      <c r="V1277" s="94"/>
      <c r="W1277" s="94"/>
      <c r="X1277" s="94"/>
      <c r="Y1277" s="94"/>
      <c r="Z1277" s="94"/>
      <c r="AA1277" s="94"/>
      <c r="AB1277" s="94"/>
      <c r="AC1277" s="94"/>
      <c r="AD1277" s="94"/>
      <c r="AE1277" s="94"/>
      <c r="AF1277" s="94"/>
      <c r="AG1277" s="94"/>
      <c r="AH1277" s="94"/>
      <c r="AI1277" s="94"/>
      <c r="AJ1277" s="94"/>
      <c r="AK1277" s="94"/>
      <c r="AL1277" s="94"/>
      <c r="AM1277" s="94"/>
      <c r="AN1277" s="94"/>
      <c r="AO1277" s="94"/>
      <c r="AP1277" s="94"/>
      <c r="AQ1277" s="94"/>
      <c r="AR1277" s="94"/>
      <c r="AS1277" s="94"/>
      <c r="AT1277" s="94"/>
      <c r="AU1277" s="94"/>
      <c r="AV1277" s="94"/>
      <c r="AW1277" s="94"/>
      <c r="AX1277" s="94"/>
      <c r="AY1277" s="94"/>
      <c r="AZ1277" s="94"/>
      <c r="BA1277" s="94"/>
      <c r="BB1277" s="94"/>
      <c r="BC1277" s="94"/>
      <c r="BD1277" s="94"/>
      <c r="BE1277" s="94"/>
      <c r="BF1277" s="94"/>
    </row>
    <row r="1278" spans="1:58" x14ac:dyDescent="0.35">
      <c r="A1278" s="101" t="s">
        <v>3076</v>
      </c>
      <c r="B1278" s="102" t="s">
        <v>0</v>
      </c>
      <c r="C1278" s="103">
        <v>5</v>
      </c>
      <c r="D1278" s="101" t="s">
        <v>607</v>
      </c>
      <c r="E1278" s="103" t="s">
        <v>571</v>
      </c>
      <c r="F1278" s="94"/>
      <c r="G1278" s="94"/>
      <c r="H1278" s="94"/>
      <c r="I1278" s="94"/>
      <c r="J1278" s="94"/>
      <c r="K1278" s="94"/>
      <c r="L1278" s="94"/>
      <c r="M1278" s="94"/>
      <c r="N1278" s="94"/>
      <c r="O1278" s="94"/>
      <c r="P1278" s="94"/>
      <c r="Q1278" s="94"/>
      <c r="R1278" s="94"/>
      <c r="S1278" s="94"/>
      <c r="T1278" s="94"/>
      <c r="U1278" s="94"/>
      <c r="V1278" s="94"/>
      <c r="W1278" s="94"/>
      <c r="X1278" s="94"/>
      <c r="Y1278" s="94"/>
      <c r="Z1278" s="94"/>
      <c r="AA1278" s="94"/>
      <c r="AB1278" s="94"/>
      <c r="AC1278" s="94"/>
      <c r="AD1278" s="94"/>
      <c r="AE1278" s="94"/>
      <c r="AF1278" s="94"/>
      <c r="AG1278" s="94"/>
      <c r="AH1278" s="94"/>
      <c r="AI1278" s="94"/>
      <c r="AJ1278" s="94"/>
      <c r="AK1278" s="94"/>
      <c r="AL1278" s="94"/>
      <c r="AM1278" s="94"/>
      <c r="AN1278" s="94"/>
      <c r="AO1278" s="94"/>
      <c r="AP1278" s="94"/>
      <c r="AQ1278" s="94"/>
      <c r="AR1278" s="94"/>
      <c r="AS1278" s="94"/>
      <c r="AT1278" s="94"/>
      <c r="AU1278" s="94"/>
      <c r="AV1278" s="94"/>
      <c r="AW1278" s="94"/>
      <c r="AX1278" s="94"/>
      <c r="AY1278" s="94"/>
      <c r="AZ1278" s="94"/>
      <c r="BA1278" s="94"/>
      <c r="BB1278" s="94"/>
      <c r="BC1278" s="94"/>
      <c r="BD1278" s="94"/>
      <c r="BE1278" s="94"/>
      <c r="BF1278" s="94"/>
    </row>
    <row r="1279" spans="1:58" x14ac:dyDescent="0.35">
      <c r="A1279" s="104" t="s">
        <v>3077</v>
      </c>
      <c r="B1279" s="105" t="s">
        <v>0</v>
      </c>
      <c r="C1279" s="106">
        <v>6</v>
      </c>
      <c r="D1279" s="104" t="s">
        <v>8</v>
      </c>
      <c r="E1279" s="106"/>
      <c r="F1279" s="94"/>
      <c r="G1279" s="94"/>
      <c r="H1279" s="94"/>
      <c r="I1279" s="94"/>
      <c r="J1279" s="94"/>
      <c r="K1279" s="94"/>
      <c r="L1279" s="94"/>
      <c r="M1279" s="94"/>
      <c r="N1279" s="94"/>
      <c r="O1279" s="94"/>
      <c r="P1279" s="94"/>
      <c r="Q1279" s="94"/>
      <c r="R1279" s="94"/>
      <c r="S1279" s="94"/>
      <c r="T1279" s="94"/>
      <c r="U1279" s="94"/>
      <c r="V1279" s="94"/>
      <c r="W1279" s="94"/>
      <c r="X1279" s="94"/>
      <c r="Y1279" s="94"/>
      <c r="Z1279" s="94"/>
      <c r="AA1279" s="94"/>
      <c r="AB1279" s="94"/>
      <c r="AC1279" s="94"/>
      <c r="AD1279" s="94"/>
      <c r="AE1279" s="94"/>
      <c r="AF1279" s="94"/>
      <c r="AG1279" s="94"/>
      <c r="AH1279" s="94"/>
      <c r="AI1279" s="94"/>
      <c r="AJ1279" s="94"/>
      <c r="AK1279" s="94"/>
      <c r="AL1279" s="94"/>
      <c r="AM1279" s="94"/>
      <c r="AN1279" s="94"/>
      <c r="AO1279" s="94"/>
      <c r="AP1279" s="94"/>
      <c r="AQ1279" s="94"/>
      <c r="AR1279" s="94"/>
      <c r="AS1279" s="94"/>
      <c r="AT1279" s="94"/>
      <c r="AU1279" s="94"/>
      <c r="AV1279" s="94"/>
      <c r="AW1279" s="94"/>
      <c r="AX1279" s="94"/>
      <c r="AY1279" s="94"/>
      <c r="AZ1279" s="94"/>
      <c r="BA1279" s="94"/>
      <c r="BB1279" s="94"/>
      <c r="BC1279" s="94"/>
      <c r="BD1279" s="94"/>
      <c r="BE1279" s="94"/>
      <c r="BF1279" s="94"/>
    </row>
    <row r="1280" spans="1:58" x14ac:dyDescent="0.35">
      <c r="A1280" s="107" t="s">
        <v>3078</v>
      </c>
      <c r="B1280" s="108" t="s">
        <v>0</v>
      </c>
      <c r="C1280" s="109">
        <v>7</v>
      </c>
      <c r="D1280" s="107" t="s">
        <v>614</v>
      </c>
      <c r="E1280" s="109" t="s">
        <v>241</v>
      </c>
      <c r="F1280" s="94"/>
      <c r="G1280" s="94"/>
      <c r="H1280" s="94"/>
      <c r="I1280" s="94"/>
      <c r="J1280" s="94"/>
      <c r="K1280" s="94"/>
      <c r="L1280" s="94"/>
      <c r="M1280" s="94"/>
      <c r="N1280" s="94"/>
      <c r="O1280" s="94"/>
      <c r="P1280" s="94"/>
      <c r="Q1280" s="94"/>
      <c r="R1280" s="94"/>
      <c r="S1280" s="94"/>
      <c r="T1280" s="94"/>
      <c r="U1280" s="94"/>
      <c r="V1280" s="94"/>
      <c r="W1280" s="94"/>
      <c r="X1280" s="94"/>
      <c r="Y1280" s="94"/>
      <c r="Z1280" s="94"/>
      <c r="AA1280" s="94"/>
      <c r="AB1280" s="94"/>
      <c r="AC1280" s="94"/>
      <c r="AD1280" s="94"/>
      <c r="AE1280" s="94"/>
      <c r="AF1280" s="94"/>
      <c r="AG1280" s="94"/>
      <c r="AH1280" s="94"/>
      <c r="AI1280" s="94"/>
      <c r="AJ1280" s="94"/>
      <c r="AK1280" s="94"/>
      <c r="AL1280" s="94"/>
      <c r="AM1280" s="94"/>
      <c r="AN1280" s="94"/>
      <c r="AO1280" s="94"/>
      <c r="AP1280" s="94"/>
      <c r="AQ1280" s="94"/>
      <c r="AR1280" s="94"/>
      <c r="AS1280" s="94"/>
      <c r="AT1280" s="94"/>
      <c r="AU1280" s="94"/>
      <c r="AV1280" s="94"/>
      <c r="AW1280" s="94"/>
      <c r="AX1280" s="94"/>
      <c r="AY1280" s="94"/>
      <c r="AZ1280" s="94"/>
      <c r="BA1280" s="94"/>
      <c r="BB1280" s="94"/>
      <c r="BC1280" s="94"/>
      <c r="BD1280" s="94"/>
      <c r="BE1280" s="94"/>
      <c r="BF1280" s="94"/>
    </row>
    <row r="1281" spans="1:58" x14ac:dyDescent="0.35">
      <c r="A1281" s="104" t="s">
        <v>3079</v>
      </c>
      <c r="B1281" s="105" t="s">
        <v>0</v>
      </c>
      <c r="C1281" s="106">
        <v>6</v>
      </c>
      <c r="D1281" s="104" t="s">
        <v>16</v>
      </c>
      <c r="E1281" s="106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  <c r="AG1281" s="94"/>
      <c r="AH1281" s="94"/>
      <c r="AI1281" s="94"/>
      <c r="AJ1281" s="94"/>
      <c r="AK1281" s="94"/>
      <c r="AL1281" s="94"/>
      <c r="AM1281" s="94"/>
      <c r="AN1281" s="94"/>
      <c r="AO1281" s="94"/>
      <c r="AP1281" s="94"/>
      <c r="AQ1281" s="94"/>
      <c r="AR1281" s="94"/>
      <c r="AS1281" s="94"/>
      <c r="AT1281" s="94"/>
      <c r="AU1281" s="94"/>
      <c r="AV1281" s="94"/>
      <c r="AW1281" s="94"/>
      <c r="AX1281" s="94"/>
      <c r="AY1281" s="94"/>
      <c r="AZ1281" s="94"/>
      <c r="BA1281" s="94"/>
      <c r="BB1281" s="94"/>
      <c r="BC1281" s="94"/>
      <c r="BD1281" s="94"/>
      <c r="BE1281" s="94"/>
      <c r="BF1281" s="94"/>
    </row>
    <row r="1282" spans="1:58" x14ac:dyDescent="0.35">
      <c r="A1282" s="107" t="s">
        <v>3080</v>
      </c>
      <c r="B1282" s="108" t="s">
        <v>0</v>
      </c>
      <c r="C1282" s="109">
        <v>7</v>
      </c>
      <c r="D1282" s="107" t="s">
        <v>1187</v>
      </c>
      <c r="E1282" s="109" t="s">
        <v>242</v>
      </c>
      <c r="F1282" s="94"/>
      <c r="G1282" s="94"/>
      <c r="H1282" s="94"/>
      <c r="I1282" s="94"/>
      <c r="J1282" s="94"/>
      <c r="K1282" s="94"/>
      <c r="L1282" s="94"/>
      <c r="M1282" s="94"/>
      <c r="N1282" s="94"/>
      <c r="O1282" s="94"/>
      <c r="P1282" s="94"/>
      <c r="Q1282" s="94"/>
      <c r="R1282" s="94"/>
      <c r="S1282" s="94"/>
      <c r="T1282" s="94"/>
      <c r="U1282" s="94"/>
      <c r="V1282" s="94"/>
      <c r="W1282" s="94"/>
      <c r="X1282" s="94"/>
      <c r="Y1282" s="94"/>
      <c r="Z1282" s="94"/>
      <c r="AA1282" s="94"/>
      <c r="AB1282" s="94"/>
      <c r="AC1282" s="94"/>
      <c r="AD1282" s="94"/>
      <c r="AE1282" s="94"/>
      <c r="AF1282" s="94"/>
      <c r="AG1282" s="94"/>
      <c r="AH1282" s="94"/>
      <c r="AI1282" s="94"/>
      <c r="AJ1282" s="94"/>
      <c r="AK1282" s="94"/>
      <c r="AL1282" s="94"/>
      <c r="AM1282" s="94"/>
      <c r="AN1282" s="94"/>
      <c r="AO1282" s="94"/>
      <c r="AP1282" s="94"/>
      <c r="AQ1282" s="94"/>
      <c r="AR1282" s="94"/>
      <c r="AS1282" s="94"/>
      <c r="AT1282" s="94"/>
      <c r="AU1282" s="94"/>
      <c r="AV1282" s="94"/>
      <c r="AW1282" s="94"/>
      <c r="AX1282" s="94"/>
      <c r="AY1282" s="94"/>
      <c r="AZ1282" s="94"/>
      <c r="BA1282" s="94"/>
      <c r="BB1282" s="94"/>
      <c r="BC1282" s="94"/>
      <c r="BD1282" s="94"/>
      <c r="BE1282" s="94"/>
      <c r="BF1282" s="94"/>
    </row>
    <row r="1283" spans="1:58" x14ac:dyDescent="0.35">
      <c r="A1283" s="104" t="s">
        <v>3081</v>
      </c>
      <c r="B1283" s="105" t="s">
        <v>0</v>
      </c>
      <c r="C1283" s="106">
        <v>6</v>
      </c>
      <c r="D1283" s="104" t="s">
        <v>123</v>
      </c>
      <c r="E1283" s="106"/>
      <c r="F1283" s="94"/>
      <c r="G1283" s="94"/>
      <c r="H1283" s="94"/>
      <c r="I1283" s="94"/>
      <c r="J1283" s="94"/>
      <c r="K1283" s="94"/>
      <c r="L1283" s="94"/>
      <c r="M1283" s="94"/>
      <c r="N1283" s="94"/>
      <c r="O1283" s="94"/>
      <c r="P1283" s="94"/>
      <c r="Q1283" s="94"/>
      <c r="R1283" s="94"/>
      <c r="S1283" s="94"/>
      <c r="T1283" s="94"/>
      <c r="U1283" s="94"/>
      <c r="V1283" s="94"/>
      <c r="W1283" s="94"/>
      <c r="X1283" s="94"/>
      <c r="Y1283" s="94"/>
      <c r="Z1283" s="94"/>
      <c r="AA1283" s="94"/>
      <c r="AB1283" s="94"/>
      <c r="AC1283" s="94"/>
      <c r="AD1283" s="94"/>
      <c r="AE1283" s="94"/>
      <c r="AF1283" s="94"/>
      <c r="AG1283" s="94"/>
      <c r="AH1283" s="94"/>
      <c r="AI1283" s="94"/>
      <c r="AJ1283" s="94"/>
      <c r="AK1283" s="94"/>
      <c r="AL1283" s="94"/>
      <c r="AM1283" s="94"/>
      <c r="AN1283" s="94"/>
      <c r="AO1283" s="94"/>
      <c r="AP1283" s="94"/>
      <c r="AQ1283" s="94"/>
      <c r="AR1283" s="94"/>
      <c r="AS1283" s="94"/>
      <c r="AT1283" s="94"/>
      <c r="AU1283" s="94"/>
      <c r="AV1283" s="94"/>
      <c r="AW1283" s="94"/>
      <c r="AX1283" s="94"/>
      <c r="AY1283" s="94"/>
      <c r="AZ1283" s="94"/>
      <c r="BA1283" s="94"/>
      <c r="BB1283" s="94"/>
      <c r="BC1283" s="94"/>
      <c r="BD1283" s="94"/>
      <c r="BE1283" s="94"/>
      <c r="BF1283" s="94"/>
    </row>
    <row r="1284" spans="1:58" x14ac:dyDescent="0.35">
      <c r="A1284" s="95" t="s">
        <v>3082</v>
      </c>
      <c r="B1284" s="96" t="s">
        <v>0</v>
      </c>
      <c r="C1284" s="97">
        <v>4</v>
      </c>
      <c r="D1284" s="95" t="s">
        <v>1633</v>
      </c>
      <c r="E1284" s="97"/>
      <c r="F1284" s="94"/>
      <c r="G1284" s="94"/>
      <c r="H1284" s="94"/>
      <c r="I1284" s="94"/>
      <c r="J1284" s="94"/>
      <c r="K1284" s="94"/>
      <c r="L1284" s="94"/>
      <c r="M1284" s="94"/>
      <c r="N1284" s="94"/>
      <c r="O1284" s="94"/>
      <c r="P1284" s="94"/>
      <c r="Q1284" s="94"/>
      <c r="R1284" s="94"/>
      <c r="S1284" s="94"/>
      <c r="T1284" s="94"/>
      <c r="U1284" s="94"/>
      <c r="V1284" s="94"/>
      <c r="W1284" s="94"/>
      <c r="X1284" s="94"/>
      <c r="Y1284" s="94"/>
      <c r="Z1284" s="94"/>
      <c r="AA1284" s="94"/>
      <c r="AB1284" s="94"/>
      <c r="AC1284" s="94"/>
      <c r="AD1284" s="94"/>
      <c r="AE1284" s="94"/>
      <c r="AF1284" s="94"/>
      <c r="AG1284" s="94"/>
      <c r="AH1284" s="94"/>
      <c r="AI1284" s="94"/>
      <c r="AJ1284" s="94"/>
      <c r="AK1284" s="94"/>
      <c r="AL1284" s="94"/>
      <c r="AM1284" s="94"/>
      <c r="AN1284" s="94"/>
      <c r="AO1284" s="94"/>
      <c r="AP1284" s="94"/>
      <c r="AQ1284" s="94"/>
      <c r="AR1284" s="94"/>
      <c r="AS1284" s="94"/>
      <c r="AT1284" s="94"/>
      <c r="AU1284" s="94"/>
      <c r="AV1284" s="94"/>
      <c r="AW1284" s="94"/>
      <c r="AX1284" s="94"/>
      <c r="AY1284" s="94"/>
      <c r="AZ1284" s="94"/>
      <c r="BA1284" s="94"/>
      <c r="BB1284" s="94"/>
      <c r="BC1284" s="94"/>
      <c r="BD1284" s="94"/>
      <c r="BE1284" s="94"/>
      <c r="BF1284" s="94"/>
    </row>
    <row r="1285" spans="1:58" x14ac:dyDescent="0.35">
      <c r="A1285" s="101" t="s">
        <v>3083</v>
      </c>
      <c r="B1285" s="102" t="s">
        <v>0</v>
      </c>
      <c r="C1285" s="103">
        <v>5</v>
      </c>
      <c r="D1285" s="101" t="s">
        <v>573</v>
      </c>
      <c r="E1285" s="103" t="s">
        <v>574</v>
      </c>
      <c r="F1285" s="94"/>
      <c r="G1285" s="94"/>
      <c r="H1285" s="94"/>
      <c r="I1285" s="94"/>
      <c r="J1285" s="94"/>
      <c r="K1285" s="94"/>
      <c r="L1285" s="94"/>
      <c r="M1285" s="94"/>
      <c r="N1285" s="94"/>
      <c r="O1285" s="94"/>
      <c r="P1285" s="94"/>
      <c r="Q1285" s="94"/>
      <c r="R1285" s="94"/>
      <c r="S1285" s="94"/>
      <c r="T1285" s="94"/>
      <c r="U1285" s="94"/>
      <c r="V1285" s="94"/>
      <c r="W1285" s="94"/>
      <c r="X1285" s="94"/>
      <c r="Y1285" s="94"/>
      <c r="Z1285" s="94"/>
      <c r="AA1285" s="94"/>
      <c r="AB1285" s="94"/>
      <c r="AC1285" s="94"/>
      <c r="AD1285" s="94"/>
      <c r="AE1285" s="94"/>
      <c r="AF1285" s="94"/>
      <c r="AG1285" s="94"/>
      <c r="AH1285" s="94"/>
      <c r="AI1285" s="94"/>
      <c r="AJ1285" s="94"/>
      <c r="AK1285" s="94"/>
      <c r="AL1285" s="94"/>
      <c r="AM1285" s="94"/>
      <c r="AN1285" s="94"/>
      <c r="AO1285" s="94"/>
      <c r="AP1285" s="94"/>
      <c r="AQ1285" s="94"/>
      <c r="AR1285" s="94"/>
      <c r="AS1285" s="94"/>
      <c r="AT1285" s="94"/>
      <c r="AU1285" s="94"/>
      <c r="AV1285" s="94"/>
      <c r="AW1285" s="94"/>
      <c r="AX1285" s="94"/>
      <c r="AY1285" s="94"/>
      <c r="AZ1285" s="94"/>
      <c r="BA1285" s="94"/>
      <c r="BB1285" s="94"/>
      <c r="BC1285" s="94"/>
      <c r="BD1285" s="94"/>
      <c r="BE1285" s="94"/>
      <c r="BF1285" s="94"/>
    </row>
    <row r="1286" spans="1:58" x14ac:dyDescent="0.35">
      <c r="A1286" s="104" t="s">
        <v>3084</v>
      </c>
      <c r="B1286" s="105" t="s">
        <v>0</v>
      </c>
      <c r="C1286" s="106">
        <v>6</v>
      </c>
      <c r="D1286" s="104" t="s">
        <v>153</v>
      </c>
      <c r="E1286" s="106"/>
      <c r="F1286" s="94"/>
      <c r="G1286" s="94"/>
      <c r="H1286" s="94"/>
      <c r="I1286" s="94"/>
      <c r="J1286" s="94"/>
      <c r="K1286" s="94"/>
      <c r="L1286" s="94"/>
      <c r="M1286" s="94"/>
      <c r="N1286" s="94"/>
      <c r="O1286" s="94"/>
      <c r="P1286" s="94"/>
      <c r="Q1286" s="94"/>
      <c r="R1286" s="94"/>
      <c r="S1286" s="94"/>
      <c r="T1286" s="94"/>
      <c r="U1286" s="94"/>
      <c r="V1286" s="94"/>
      <c r="W1286" s="94"/>
      <c r="X1286" s="94"/>
      <c r="Y1286" s="94"/>
      <c r="Z1286" s="94"/>
      <c r="AA1286" s="94"/>
      <c r="AB1286" s="94"/>
      <c r="AC1286" s="94"/>
      <c r="AD1286" s="94"/>
      <c r="AE1286" s="94"/>
      <c r="AF1286" s="94"/>
      <c r="AG1286" s="94"/>
      <c r="AH1286" s="94"/>
      <c r="AI1286" s="94"/>
      <c r="AJ1286" s="94"/>
      <c r="AK1286" s="94"/>
      <c r="AL1286" s="94"/>
      <c r="AM1286" s="94"/>
      <c r="AN1286" s="94"/>
      <c r="AO1286" s="94"/>
      <c r="AP1286" s="94"/>
      <c r="AQ1286" s="94"/>
      <c r="AR1286" s="94"/>
      <c r="AS1286" s="94"/>
      <c r="AT1286" s="94"/>
      <c r="AU1286" s="94"/>
      <c r="AV1286" s="94"/>
      <c r="AW1286" s="94"/>
      <c r="AX1286" s="94"/>
      <c r="AY1286" s="94"/>
      <c r="AZ1286" s="94"/>
      <c r="BA1286" s="94"/>
      <c r="BB1286" s="94"/>
      <c r="BC1286" s="94"/>
      <c r="BD1286" s="94"/>
      <c r="BE1286" s="94"/>
      <c r="BF1286" s="94"/>
    </row>
    <row r="1287" spans="1:58" x14ac:dyDescent="0.35">
      <c r="A1287" s="107" t="s">
        <v>3085</v>
      </c>
      <c r="B1287" s="108" t="s">
        <v>0</v>
      </c>
      <c r="C1287" s="109">
        <v>7</v>
      </c>
      <c r="D1287" s="107" t="s">
        <v>1188</v>
      </c>
      <c r="E1287" s="109" t="s">
        <v>575</v>
      </c>
      <c r="F1287" s="94"/>
      <c r="G1287" s="94"/>
      <c r="H1287" s="94"/>
      <c r="I1287" s="94"/>
      <c r="J1287" s="94"/>
      <c r="K1287" s="94"/>
      <c r="L1287" s="94"/>
      <c r="M1287" s="94"/>
      <c r="N1287" s="94"/>
      <c r="O1287" s="94"/>
      <c r="P1287" s="94"/>
      <c r="Q1287" s="94"/>
      <c r="R1287" s="94"/>
      <c r="S1287" s="94"/>
      <c r="T1287" s="94"/>
      <c r="U1287" s="94"/>
      <c r="V1287" s="94"/>
      <c r="W1287" s="94"/>
      <c r="X1287" s="94"/>
      <c r="Y1287" s="94"/>
      <c r="Z1287" s="94"/>
      <c r="AA1287" s="94"/>
      <c r="AB1287" s="94"/>
      <c r="AC1287" s="94"/>
      <c r="AD1287" s="94"/>
      <c r="AE1287" s="94"/>
      <c r="AF1287" s="94"/>
      <c r="AG1287" s="94"/>
      <c r="AH1287" s="94"/>
      <c r="AI1287" s="94"/>
      <c r="AJ1287" s="94"/>
      <c r="AK1287" s="94"/>
      <c r="AL1287" s="94"/>
      <c r="AM1287" s="94"/>
      <c r="AN1287" s="94"/>
      <c r="AO1287" s="94"/>
      <c r="AP1287" s="94"/>
      <c r="AQ1287" s="94"/>
      <c r="AR1287" s="94"/>
      <c r="AS1287" s="94"/>
      <c r="AT1287" s="94"/>
      <c r="AU1287" s="94"/>
      <c r="AV1287" s="94"/>
      <c r="AW1287" s="94"/>
      <c r="AX1287" s="94"/>
      <c r="AY1287" s="94"/>
      <c r="AZ1287" s="94"/>
      <c r="BA1287" s="94"/>
      <c r="BB1287" s="94"/>
      <c r="BC1287" s="94"/>
      <c r="BD1287" s="94"/>
      <c r="BE1287" s="94"/>
      <c r="BF1287" s="94"/>
    </row>
    <row r="1288" spans="1:58" x14ac:dyDescent="0.35">
      <c r="A1288" s="107" t="s">
        <v>3086</v>
      </c>
      <c r="B1288" s="108" t="s">
        <v>0</v>
      </c>
      <c r="C1288" s="109">
        <v>7</v>
      </c>
      <c r="D1288" s="107" t="s">
        <v>1470</v>
      </c>
      <c r="E1288" s="109" t="s">
        <v>577</v>
      </c>
      <c r="F1288" s="94"/>
      <c r="G1288" s="94"/>
      <c r="H1288" s="94"/>
      <c r="I1288" s="94"/>
      <c r="J1288" s="94"/>
      <c r="K1288" s="94"/>
      <c r="L1288" s="94"/>
      <c r="M1288" s="94"/>
      <c r="N1288" s="94"/>
      <c r="O1288" s="94"/>
      <c r="P1288" s="94"/>
      <c r="Q1288" s="94"/>
      <c r="R1288" s="94"/>
      <c r="S1288" s="94"/>
      <c r="T1288" s="94"/>
      <c r="U1288" s="94"/>
      <c r="V1288" s="94"/>
      <c r="W1288" s="94"/>
      <c r="X1288" s="94"/>
      <c r="Y1288" s="94"/>
      <c r="Z1288" s="94"/>
      <c r="AA1288" s="94"/>
      <c r="AB1288" s="94"/>
      <c r="AC1288" s="94"/>
      <c r="AD1288" s="94"/>
      <c r="AE1288" s="94"/>
      <c r="AF1288" s="94"/>
      <c r="AG1288" s="94"/>
      <c r="AH1288" s="94"/>
      <c r="AI1288" s="94"/>
      <c r="AJ1288" s="94"/>
      <c r="AK1288" s="94"/>
      <c r="AL1288" s="94"/>
      <c r="AM1288" s="94"/>
      <c r="AN1288" s="94"/>
      <c r="AO1288" s="94"/>
      <c r="AP1288" s="94"/>
      <c r="AQ1288" s="94"/>
      <c r="AR1288" s="94"/>
      <c r="AS1288" s="94"/>
      <c r="AT1288" s="94"/>
      <c r="AU1288" s="94"/>
      <c r="AV1288" s="94"/>
      <c r="AW1288" s="94"/>
      <c r="AX1288" s="94"/>
      <c r="AY1288" s="94"/>
      <c r="AZ1288" s="94"/>
      <c r="BA1288" s="94"/>
      <c r="BB1288" s="94"/>
      <c r="BC1288" s="94"/>
      <c r="BD1288" s="94"/>
      <c r="BE1288" s="94"/>
      <c r="BF1288" s="94"/>
    </row>
    <row r="1289" spans="1:58" x14ac:dyDescent="0.35">
      <c r="A1289" s="107" t="s">
        <v>3087</v>
      </c>
      <c r="B1289" s="108" t="s">
        <v>0</v>
      </c>
      <c r="C1289" s="109">
        <v>7</v>
      </c>
      <c r="D1289" s="107" t="s">
        <v>1189</v>
      </c>
      <c r="E1289" s="109" t="s">
        <v>576</v>
      </c>
      <c r="F1289" s="94"/>
      <c r="G1289" s="94"/>
      <c r="H1289" s="94"/>
      <c r="I1289" s="94"/>
      <c r="J1289" s="94"/>
      <c r="K1289" s="94"/>
      <c r="L1289" s="94"/>
      <c r="M1289" s="94"/>
      <c r="N1289" s="94"/>
      <c r="O1289" s="94"/>
      <c r="P1289" s="94"/>
      <c r="Q1289" s="94"/>
      <c r="R1289" s="94"/>
      <c r="S1289" s="94"/>
      <c r="T1289" s="94"/>
      <c r="U1289" s="94"/>
      <c r="V1289" s="94"/>
      <c r="W1289" s="94"/>
      <c r="X1289" s="94"/>
      <c r="Y1289" s="94"/>
      <c r="Z1289" s="94"/>
      <c r="AA1289" s="94"/>
      <c r="AB1289" s="94"/>
      <c r="AC1289" s="94"/>
      <c r="AD1289" s="94"/>
      <c r="AE1289" s="94"/>
      <c r="AF1289" s="94"/>
      <c r="AG1289" s="94"/>
      <c r="AH1289" s="94"/>
      <c r="AI1289" s="94"/>
      <c r="AJ1289" s="94"/>
      <c r="AK1289" s="94"/>
      <c r="AL1289" s="94"/>
      <c r="AM1289" s="94"/>
      <c r="AN1289" s="94"/>
      <c r="AO1289" s="94"/>
      <c r="AP1289" s="94"/>
      <c r="AQ1289" s="94"/>
      <c r="AR1289" s="94"/>
      <c r="AS1289" s="94"/>
      <c r="AT1289" s="94"/>
      <c r="AU1289" s="94"/>
      <c r="AV1289" s="94"/>
      <c r="AW1289" s="94"/>
      <c r="AX1289" s="94"/>
      <c r="AY1289" s="94"/>
      <c r="AZ1289" s="94"/>
      <c r="BA1289" s="94"/>
      <c r="BB1289" s="94"/>
      <c r="BC1289" s="94"/>
      <c r="BD1289" s="94"/>
      <c r="BE1289" s="94"/>
      <c r="BF1289" s="94"/>
    </row>
    <row r="1290" spans="1:58" x14ac:dyDescent="0.35">
      <c r="A1290" s="107" t="s">
        <v>3088</v>
      </c>
      <c r="B1290" s="108" t="s">
        <v>0</v>
      </c>
      <c r="C1290" s="109">
        <v>7</v>
      </c>
      <c r="D1290" s="107" t="s">
        <v>1192</v>
      </c>
      <c r="E1290" s="109" t="s">
        <v>578</v>
      </c>
      <c r="F1290" s="94"/>
      <c r="G1290" s="94"/>
      <c r="H1290" s="94"/>
      <c r="I1290" s="94"/>
      <c r="J1290" s="94"/>
      <c r="K1290" s="94"/>
      <c r="L1290" s="94"/>
      <c r="M1290" s="94"/>
      <c r="N1290" s="94"/>
      <c r="O1290" s="94"/>
      <c r="P1290" s="94"/>
      <c r="Q1290" s="94"/>
      <c r="R1290" s="94"/>
      <c r="S1290" s="94"/>
      <c r="T1290" s="94"/>
      <c r="U1290" s="94"/>
      <c r="V1290" s="94"/>
      <c r="W1290" s="94"/>
      <c r="X1290" s="94"/>
      <c r="Y1290" s="94"/>
      <c r="Z1290" s="94"/>
      <c r="AA1290" s="94"/>
      <c r="AB1290" s="94"/>
      <c r="AC1290" s="94"/>
      <c r="AD1290" s="94"/>
      <c r="AE1290" s="94"/>
      <c r="AF1290" s="94"/>
      <c r="AG1290" s="94"/>
      <c r="AH1290" s="94"/>
      <c r="AI1290" s="94"/>
      <c r="AJ1290" s="94"/>
      <c r="AK1290" s="94"/>
      <c r="AL1290" s="94"/>
      <c r="AM1290" s="94"/>
      <c r="AN1290" s="94"/>
      <c r="AO1290" s="94"/>
      <c r="AP1290" s="94"/>
      <c r="AQ1290" s="94"/>
      <c r="AR1290" s="94"/>
      <c r="AS1290" s="94"/>
      <c r="AT1290" s="94"/>
      <c r="AU1290" s="94"/>
      <c r="AV1290" s="94"/>
      <c r="AW1290" s="94"/>
      <c r="AX1290" s="94"/>
      <c r="AY1290" s="94"/>
      <c r="AZ1290" s="94"/>
      <c r="BA1290" s="94"/>
      <c r="BB1290" s="94"/>
      <c r="BC1290" s="94"/>
      <c r="BD1290" s="94"/>
      <c r="BE1290" s="94"/>
      <c r="BF1290" s="94"/>
    </row>
    <row r="1291" spans="1:58" x14ac:dyDescent="0.35">
      <c r="A1291" s="107" t="s">
        <v>3089</v>
      </c>
      <c r="B1291" s="108" t="s">
        <v>0</v>
      </c>
      <c r="C1291" s="109">
        <v>7</v>
      </c>
      <c r="D1291" s="107" t="s">
        <v>1190</v>
      </c>
      <c r="E1291" s="109" t="s">
        <v>579</v>
      </c>
      <c r="F1291" s="94"/>
      <c r="G1291" s="94"/>
      <c r="H1291" s="94"/>
      <c r="I1291" s="94"/>
      <c r="J1291" s="94"/>
      <c r="K1291" s="94"/>
      <c r="L1291" s="94"/>
      <c r="M1291" s="94"/>
      <c r="N1291" s="94"/>
      <c r="O1291" s="94"/>
      <c r="P1291" s="94"/>
      <c r="Q1291" s="94"/>
      <c r="R1291" s="94"/>
      <c r="S1291" s="94"/>
      <c r="T1291" s="94"/>
      <c r="U1291" s="94"/>
      <c r="V1291" s="94"/>
      <c r="W1291" s="94"/>
      <c r="X1291" s="94"/>
      <c r="Y1291" s="94"/>
      <c r="Z1291" s="94"/>
      <c r="AA1291" s="94"/>
      <c r="AB1291" s="94"/>
      <c r="AC1291" s="94"/>
      <c r="AD1291" s="94"/>
      <c r="AE1291" s="94"/>
      <c r="AF1291" s="94"/>
      <c r="AG1291" s="94"/>
      <c r="AH1291" s="94"/>
      <c r="AI1291" s="94"/>
      <c r="AJ1291" s="94"/>
      <c r="AK1291" s="94"/>
      <c r="AL1291" s="94"/>
      <c r="AM1291" s="94"/>
      <c r="AN1291" s="94"/>
      <c r="AO1291" s="94"/>
      <c r="AP1291" s="94"/>
      <c r="AQ1291" s="94"/>
      <c r="AR1291" s="94"/>
      <c r="AS1291" s="94"/>
      <c r="AT1291" s="94"/>
      <c r="AU1291" s="94"/>
      <c r="AV1291" s="94"/>
      <c r="AW1291" s="94"/>
      <c r="AX1291" s="94"/>
      <c r="AY1291" s="94"/>
      <c r="AZ1291" s="94"/>
      <c r="BA1291" s="94"/>
      <c r="BB1291" s="94"/>
      <c r="BC1291" s="94"/>
      <c r="BD1291" s="94"/>
      <c r="BE1291" s="94"/>
      <c r="BF1291" s="94"/>
    </row>
    <row r="1292" spans="1:58" x14ac:dyDescent="0.35">
      <c r="A1292" s="107" t="s">
        <v>3090</v>
      </c>
      <c r="B1292" s="108" t="s">
        <v>0</v>
      </c>
      <c r="C1292" s="109">
        <v>7</v>
      </c>
      <c r="D1292" s="107" t="s">
        <v>1191</v>
      </c>
      <c r="E1292" s="109" t="s">
        <v>580</v>
      </c>
      <c r="F1292" s="94"/>
      <c r="G1292" s="94"/>
      <c r="H1292" s="94"/>
      <c r="I1292" s="94"/>
      <c r="J1292" s="94"/>
      <c r="K1292" s="94"/>
      <c r="L1292" s="94"/>
      <c r="M1292" s="94"/>
      <c r="N1292" s="94"/>
      <c r="O1292" s="94"/>
      <c r="P1292" s="94"/>
      <c r="Q1292" s="94"/>
      <c r="R1292" s="94"/>
      <c r="S1292" s="94"/>
      <c r="T1292" s="94"/>
      <c r="U1292" s="94"/>
      <c r="V1292" s="94"/>
      <c r="W1292" s="94"/>
      <c r="X1292" s="94"/>
      <c r="Y1292" s="94"/>
      <c r="Z1292" s="94"/>
      <c r="AA1292" s="94"/>
      <c r="AB1292" s="94"/>
      <c r="AC1292" s="94"/>
      <c r="AD1292" s="94"/>
      <c r="AE1292" s="94"/>
      <c r="AF1292" s="94"/>
      <c r="AG1292" s="94"/>
      <c r="AH1292" s="94"/>
      <c r="AI1292" s="94"/>
      <c r="AJ1292" s="94"/>
      <c r="AK1292" s="94"/>
      <c r="AL1292" s="94"/>
      <c r="AM1292" s="94"/>
      <c r="AN1292" s="94"/>
      <c r="AO1292" s="94"/>
      <c r="AP1292" s="94"/>
      <c r="AQ1292" s="94"/>
      <c r="AR1292" s="94"/>
      <c r="AS1292" s="94"/>
      <c r="AT1292" s="94"/>
      <c r="AU1292" s="94"/>
      <c r="AV1292" s="94"/>
      <c r="AW1292" s="94"/>
      <c r="AX1292" s="94"/>
      <c r="AY1292" s="94"/>
      <c r="AZ1292" s="94"/>
      <c r="BA1292" s="94"/>
      <c r="BB1292" s="94"/>
      <c r="BC1292" s="94"/>
      <c r="BD1292" s="94"/>
      <c r="BE1292" s="94"/>
      <c r="BF1292" s="94"/>
    </row>
    <row r="1293" spans="1:58" x14ac:dyDescent="0.35">
      <c r="A1293" s="104" t="s">
        <v>3091</v>
      </c>
      <c r="B1293" s="105" t="s">
        <v>0</v>
      </c>
      <c r="C1293" s="106">
        <v>6</v>
      </c>
      <c r="D1293" s="104" t="s">
        <v>123</v>
      </c>
      <c r="E1293" s="106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  <c r="AG1293" s="94"/>
      <c r="AH1293" s="94"/>
      <c r="AI1293" s="94"/>
      <c r="AJ1293" s="94"/>
      <c r="AK1293" s="94"/>
      <c r="AL1293" s="94"/>
      <c r="AM1293" s="94"/>
      <c r="AN1293" s="94"/>
      <c r="AO1293" s="94"/>
      <c r="AP1293" s="94"/>
      <c r="AQ1293" s="94"/>
      <c r="AR1293" s="94"/>
      <c r="AS1293" s="94"/>
      <c r="AT1293" s="94"/>
      <c r="AU1293" s="94"/>
      <c r="AV1293" s="94"/>
      <c r="AW1293" s="94"/>
      <c r="AX1293" s="94"/>
      <c r="AY1293" s="94"/>
      <c r="AZ1293" s="94"/>
      <c r="BA1293" s="94"/>
      <c r="BB1293" s="94"/>
      <c r="BC1293" s="94"/>
      <c r="BD1293" s="94"/>
      <c r="BE1293" s="94"/>
      <c r="BF1293" s="94"/>
    </row>
    <row r="1294" spans="1:58" x14ac:dyDescent="0.35">
      <c r="A1294" s="95" t="s">
        <v>3092</v>
      </c>
      <c r="B1294" s="96" t="s">
        <v>0</v>
      </c>
      <c r="C1294" s="97">
        <v>4</v>
      </c>
      <c r="D1294" s="95" t="s">
        <v>1794</v>
      </c>
      <c r="E1294" s="97"/>
      <c r="F1294" s="94"/>
      <c r="G1294" s="94"/>
      <c r="H1294" s="94"/>
      <c r="I1294" s="94"/>
      <c r="J1294" s="94"/>
      <c r="K1294" s="94"/>
      <c r="L1294" s="94"/>
      <c r="M1294" s="94"/>
      <c r="N1294" s="94"/>
      <c r="O1294" s="94"/>
      <c r="P1294" s="94"/>
      <c r="Q1294" s="94"/>
      <c r="R1294" s="94"/>
      <c r="S1294" s="94"/>
      <c r="T1294" s="94"/>
      <c r="U1294" s="94"/>
      <c r="V1294" s="94"/>
      <c r="W1294" s="94"/>
      <c r="X1294" s="94"/>
      <c r="Y1294" s="94"/>
      <c r="Z1294" s="94"/>
      <c r="AA1294" s="94"/>
      <c r="AB1294" s="94"/>
      <c r="AC1294" s="94"/>
      <c r="AD1294" s="94"/>
      <c r="AE1294" s="94"/>
      <c r="AF1294" s="94"/>
      <c r="AG1294" s="94"/>
      <c r="AH1294" s="94"/>
      <c r="AI1294" s="94"/>
      <c r="AJ1294" s="94"/>
      <c r="AK1294" s="94"/>
      <c r="AL1294" s="94"/>
      <c r="AM1294" s="94"/>
      <c r="AN1294" s="94"/>
      <c r="AO1294" s="94"/>
      <c r="AP1294" s="94"/>
      <c r="AQ1294" s="94"/>
      <c r="AR1294" s="94"/>
      <c r="AS1294" s="94"/>
      <c r="AT1294" s="94"/>
      <c r="AU1294" s="94"/>
      <c r="AV1294" s="94"/>
      <c r="AW1294" s="94"/>
      <c r="AX1294" s="94"/>
      <c r="AY1294" s="94"/>
      <c r="AZ1294" s="94"/>
      <c r="BA1294" s="94"/>
      <c r="BB1294" s="94"/>
      <c r="BC1294" s="94"/>
      <c r="BD1294" s="94"/>
      <c r="BE1294" s="94"/>
      <c r="BF1294" s="94"/>
    </row>
    <row r="1295" spans="1:58" x14ac:dyDescent="0.35">
      <c r="A1295" s="101" t="s">
        <v>3093</v>
      </c>
      <c r="B1295" s="102" t="s">
        <v>0</v>
      </c>
      <c r="C1295" s="103">
        <v>5</v>
      </c>
      <c r="D1295" s="101" t="s">
        <v>485</v>
      </c>
      <c r="E1295" s="103" t="s">
        <v>1797</v>
      </c>
      <c r="F1295" s="94"/>
      <c r="G1295" s="94"/>
      <c r="H1295" s="94"/>
      <c r="I1295" s="94"/>
      <c r="J1295" s="94"/>
      <c r="K1295" s="94"/>
      <c r="L1295" s="94"/>
      <c r="M1295" s="94"/>
      <c r="N1295" s="94"/>
      <c r="O1295" s="94"/>
      <c r="P1295" s="94"/>
      <c r="Q1295" s="94"/>
      <c r="R1295" s="94"/>
      <c r="S1295" s="94"/>
      <c r="T1295" s="94"/>
      <c r="U1295" s="94"/>
      <c r="V1295" s="94"/>
      <c r="W1295" s="94"/>
      <c r="X1295" s="94"/>
      <c r="Y1295" s="94"/>
      <c r="Z1295" s="94"/>
      <c r="AA1295" s="94"/>
      <c r="AB1295" s="94"/>
      <c r="AC1295" s="94"/>
      <c r="AD1295" s="94"/>
      <c r="AE1295" s="94"/>
      <c r="AF1295" s="94"/>
      <c r="AG1295" s="94"/>
      <c r="AH1295" s="94"/>
      <c r="AI1295" s="94"/>
      <c r="AJ1295" s="94"/>
      <c r="AK1295" s="94"/>
      <c r="AL1295" s="94"/>
      <c r="AM1295" s="94"/>
      <c r="AN1295" s="94"/>
      <c r="AO1295" s="94"/>
      <c r="AP1295" s="94"/>
      <c r="AQ1295" s="94"/>
      <c r="AR1295" s="94"/>
      <c r="AS1295" s="94"/>
      <c r="AT1295" s="94"/>
      <c r="AU1295" s="94"/>
      <c r="AV1295" s="94"/>
      <c r="AW1295" s="94"/>
      <c r="AX1295" s="94"/>
      <c r="AY1295" s="94"/>
      <c r="AZ1295" s="94"/>
      <c r="BA1295" s="94"/>
      <c r="BB1295" s="94"/>
      <c r="BC1295" s="94"/>
      <c r="BD1295" s="94"/>
      <c r="BE1295" s="94"/>
      <c r="BF1295" s="94"/>
    </row>
    <row r="1296" spans="1:58" x14ac:dyDescent="0.35">
      <c r="A1296" s="104" t="s">
        <v>3094</v>
      </c>
      <c r="B1296" s="105" t="s">
        <v>0</v>
      </c>
      <c r="C1296" s="106">
        <v>6</v>
      </c>
      <c r="D1296" s="104" t="s">
        <v>123</v>
      </c>
      <c r="E1296" s="106"/>
      <c r="F1296" s="94"/>
      <c r="G1296" s="94"/>
      <c r="H1296" s="94"/>
      <c r="I1296" s="94"/>
      <c r="J1296" s="94"/>
      <c r="K1296" s="94"/>
      <c r="L1296" s="94"/>
      <c r="M1296" s="94"/>
      <c r="N1296" s="94"/>
      <c r="O1296" s="94"/>
      <c r="P1296" s="94"/>
      <c r="Q1296" s="94"/>
      <c r="R1296" s="94"/>
      <c r="S1296" s="94"/>
      <c r="T1296" s="94"/>
      <c r="U1296" s="94"/>
      <c r="V1296" s="94"/>
      <c r="W1296" s="94"/>
      <c r="X1296" s="94"/>
      <c r="Y1296" s="94"/>
      <c r="Z1296" s="94"/>
      <c r="AA1296" s="94"/>
      <c r="AB1296" s="94"/>
      <c r="AC1296" s="94"/>
      <c r="AD1296" s="94"/>
      <c r="AE1296" s="94"/>
      <c r="AF1296" s="94"/>
      <c r="AG1296" s="94"/>
      <c r="AH1296" s="94"/>
      <c r="AI1296" s="94"/>
      <c r="AJ1296" s="94"/>
      <c r="AK1296" s="94"/>
      <c r="AL1296" s="94"/>
      <c r="AM1296" s="94"/>
      <c r="AN1296" s="94"/>
      <c r="AO1296" s="94"/>
      <c r="AP1296" s="94"/>
      <c r="AQ1296" s="94"/>
      <c r="AR1296" s="94"/>
      <c r="AS1296" s="94"/>
      <c r="AT1296" s="94"/>
      <c r="AU1296" s="94"/>
      <c r="AV1296" s="94"/>
      <c r="AW1296" s="94"/>
      <c r="AX1296" s="94"/>
      <c r="AY1296" s="94"/>
      <c r="AZ1296" s="94"/>
      <c r="BA1296" s="94"/>
      <c r="BB1296" s="94"/>
      <c r="BC1296" s="94"/>
      <c r="BD1296" s="94"/>
      <c r="BE1296" s="94"/>
      <c r="BF1296" s="94"/>
    </row>
    <row r="1297" spans="1:58" x14ac:dyDescent="0.35">
      <c r="A1297" s="107" t="s">
        <v>3095</v>
      </c>
      <c r="B1297" s="108" t="s">
        <v>0</v>
      </c>
      <c r="C1297" s="109">
        <v>7</v>
      </c>
      <c r="D1297" s="107" t="s">
        <v>1261</v>
      </c>
      <c r="E1297" s="109" t="s">
        <v>366</v>
      </c>
      <c r="F1297" s="94"/>
      <c r="G1297" s="94"/>
      <c r="H1297" s="94"/>
      <c r="I1297" s="94"/>
      <c r="J1297" s="94"/>
      <c r="K1297" s="94"/>
      <c r="L1297" s="94"/>
      <c r="M1297" s="94"/>
      <c r="N1297" s="94"/>
      <c r="O1297" s="94"/>
      <c r="P1297" s="94"/>
      <c r="Q1297" s="94"/>
      <c r="R1297" s="94"/>
      <c r="S1297" s="94"/>
      <c r="T1297" s="94"/>
      <c r="U1297" s="94"/>
      <c r="V1297" s="94"/>
      <c r="W1297" s="94"/>
      <c r="X1297" s="94"/>
      <c r="Y1297" s="94"/>
      <c r="Z1297" s="94"/>
      <c r="AA1297" s="94"/>
      <c r="AB1297" s="94"/>
      <c r="AC1297" s="94"/>
      <c r="AD1297" s="94"/>
      <c r="AE1297" s="94"/>
      <c r="AF1297" s="94"/>
      <c r="AG1297" s="94"/>
      <c r="AH1297" s="94"/>
      <c r="AI1297" s="94"/>
      <c r="AJ1297" s="94"/>
      <c r="AK1297" s="94"/>
      <c r="AL1297" s="94"/>
      <c r="AM1297" s="94"/>
      <c r="AN1297" s="94"/>
      <c r="AO1297" s="94"/>
      <c r="AP1297" s="94"/>
      <c r="AQ1297" s="94"/>
      <c r="AR1297" s="94"/>
      <c r="AS1297" s="94"/>
      <c r="AT1297" s="94"/>
      <c r="AU1297" s="94"/>
      <c r="AV1297" s="94"/>
      <c r="AW1297" s="94"/>
      <c r="AX1297" s="94"/>
      <c r="AY1297" s="94"/>
      <c r="AZ1297" s="94"/>
      <c r="BA1297" s="94"/>
      <c r="BB1297" s="94"/>
      <c r="BC1297" s="94"/>
      <c r="BD1297" s="94"/>
      <c r="BE1297" s="94"/>
      <c r="BF1297" s="94"/>
    </row>
    <row r="1298" spans="1:58" x14ac:dyDescent="0.35">
      <c r="A1298" s="107" t="s">
        <v>3096</v>
      </c>
      <c r="B1298" s="108" t="s">
        <v>0</v>
      </c>
      <c r="C1298" s="109">
        <v>7</v>
      </c>
      <c r="D1298" s="107" t="s">
        <v>1312</v>
      </c>
      <c r="E1298" s="109" t="s">
        <v>367</v>
      </c>
      <c r="F1298" s="94"/>
      <c r="G1298" s="94"/>
      <c r="H1298" s="94"/>
      <c r="I1298" s="94"/>
      <c r="J1298" s="94"/>
      <c r="K1298" s="94"/>
      <c r="L1298" s="94"/>
      <c r="M1298" s="94"/>
      <c r="N1298" s="94"/>
      <c r="O1298" s="94"/>
      <c r="P1298" s="94"/>
      <c r="Q1298" s="94"/>
      <c r="R1298" s="94"/>
      <c r="S1298" s="94"/>
      <c r="T1298" s="94"/>
      <c r="U1298" s="94"/>
      <c r="V1298" s="94"/>
      <c r="W1298" s="94"/>
      <c r="X1298" s="94"/>
      <c r="Y1298" s="94"/>
      <c r="Z1298" s="94"/>
      <c r="AA1298" s="94"/>
      <c r="AB1298" s="94"/>
      <c r="AC1298" s="94"/>
      <c r="AD1298" s="94"/>
      <c r="AE1298" s="94"/>
      <c r="AF1298" s="94"/>
      <c r="AG1298" s="94"/>
      <c r="AH1298" s="94"/>
      <c r="AI1298" s="94"/>
      <c r="AJ1298" s="94"/>
      <c r="AK1298" s="94"/>
      <c r="AL1298" s="94"/>
      <c r="AM1298" s="94"/>
      <c r="AN1298" s="94"/>
      <c r="AO1298" s="94"/>
      <c r="AP1298" s="94"/>
      <c r="AQ1298" s="94"/>
      <c r="AR1298" s="94"/>
      <c r="AS1298" s="94"/>
      <c r="AT1298" s="94"/>
      <c r="AU1298" s="94"/>
      <c r="AV1298" s="94"/>
      <c r="AW1298" s="94"/>
      <c r="AX1298" s="94"/>
      <c r="AY1298" s="94"/>
      <c r="AZ1298" s="94"/>
      <c r="BA1298" s="94"/>
      <c r="BB1298" s="94"/>
      <c r="BC1298" s="94"/>
      <c r="BD1298" s="94"/>
      <c r="BE1298" s="94"/>
      <c r="BF1298" s="94"/>
    </row>
    <row r="1299" spans="1:58" x14ac:dyDescent="0.35">
      <c r="A1299" s="107" t="s">
        <v>3097</v>
      </c>
      <c r="B1299" s="108" t="s">
        <v>0</v>
      </c>
      <c r="C1299" s="109">
        <v>7</v>
      </c>
      <c r="D1299" s="107" t="s">
        <v>1313</v>
      </c>
      <c r="E1299" s="109" t="s">
        <v>368</v>
      </c>
      <c r="F1299" s="94"/>
      <c r="G1299" s="94"/>
      <c r="H1299" s="94"/>
      <c r="I1299" s="94"/>
      <c r="J1299" s="94"/>
      <c r="K1299" s="94"/>
      <c r="L1299" s="94"/>
      <c r="M1299" s="94"/>
      <c r="N1299" s="94"/>
      <c r="O1299" s="94"/>
      <c r="P1299" s="94"/>
      <c r="Q1299" s="94"/>
      <c r="R1299" s="94"/>
      <c r="S1299" s="94"/>
      <c r="T1299" s="94"/>
      <c r="U1299" s="94"/>
      <c r="V1299" s="94"/>
      <c r="W1299" s="94"/>
      <c r="X1299" s="94"/>
      <c r="Y1299" s="94"/>
      <c r="Z1299" s="94"/>
      <c r="AA1299" s="94"/>
      <c r="AB1299" s="94"/>
      <c r="AC1299" s="94"/>
      <c r="AD1299" s="94"/>
      <c r="AE1299" s="94"/>
      <c r="AF1299" s="94"/>
      <c r="AG1299" s="94"/>
      <c r="AH1299" s="94"/>
      <c r="AI1299" s="94"/>
      <c r="AJ1299" s="94"/>
      <c r="AK1299" s="94"/>
      <c r="AL1299" s="94"/>
      <c r="AM1299" s="94"/>
      <c r="AN1299" s="94"/>
      <c r="AO1299" s="94"/>
      <c r="AP1299" s="94"/>
      <c r="AQ1299" s="94"/>
      <c r="AR1299" s="94"/>
      <c r="AS1299" s="94"/>
      <c r="AT1299" s="94"/>
      <c r="AU1299" s="94"/>
      <c r="AV1299" s="94"/>
      <c r="AW1299" s="94"/>
      <c r="AX1299" s="94"/>
      <c r="AY1299" s="94"/>
      <c r="AZ1299" s="94"/>
      <c r="BA1299" s="94"/>
      <c r="BB1299" s="94"/>
      <c r="BC1299" s="94"/>
      <c r="BD1299" s="94"/>
      <c r="BE1299" s="94"/>
      <c r="BF1299" s="94"/>
    </row>
    <row r="1300" spans="1:58" x14ac:dyDescent="0.35">
      <c r="A1300" s="107" t="s">
        <v>3098</v>
      </c>
      <c r="B1300" s="108" t="s">
        <v>0</v>
      </c>
      <c r="C1300" s="109">
        <v>7</v>
      </c>
      <c r="D1300" s="107" t="s">
        <v>1314</v>
      </c>
      <c r="E1300" s="109" t="s">
        <v>369</v>
      </c>
      <c r="F1300" s="94"/>
      <c r="G1300" s="94"/>
      <c r="H1300" s="94"/>
      <c r="I1300" s="94"/>
      <c r="J1300" s="94"/>
      <c r="K1300" s="94"/>
      <c r="L1300" s="94"/>
      <c r="M1300" s="94"/>
      <c r="N1300" s="94"/>
      <c r="O1300" s="94"/>
      <c r="P1300" s="94"/>
      <c r="Q1300" s="94"/>
      <c r="R1300" s="94"/>
      <c r="S1300" s="94"/>
      <c r="T1300" s="94"/>
      <c r="U1300" s="94"/>
      <c r="V1300" s="94"/>
      <c r="W1300" s="94"/>
      <c r="X1300" s="94"/>
      <c r="Y1300" s="94"/>
      <c r="Z1300" s="94"/>
      <c r="AA1300" s="94"/>
      <c r="AB1300" s="94"/>
      <c r="AC1300" s="94"/>
      <c r="AD1300" s="94"/>
      <c r="AE1300" s="94"/>
      <c r="AF1300" s="94"/>
      <c r="AG1300" s="94"/>
      <c r="AH1300" s="94"/>
      <c r="AI1300" s="94"/>
      <c r="AJ1300" s="94"/>
      <c r="AK1300" s="94"/>
      <c r="AL1300" s="94"/>
      <c r="AM1300" s="94"/>
      <c r="AN1300" s="94"/>
      <c r="AO1300" s="94"/>
      <c r="AP1300" s="94"/>
      <c r="AQ1300" s="94"/>
      <c r="AR1300" s="94"/>
      <c r="AS1300" s="94"/>
      <c r="AT1300" s="94"/>
      <c r="AU1300" s="94"/>
      <c r="AV1300" s="94"/>
      <c r="AW1300" s="94"/>
      <c r="AX1300" s="94"/>
      <c r="AY1300" s="94"/>
      <c r="AZ1300" s="94"/>
      <c r="BA1300" s="94"/>
      <c r="BB1300" s="94"/>
      <c r="BC1300" s="94"/>
      <c r="BD1300" s="94"/>
      <c r="BE1300" s="94"/>
      <c r="BF1300" s="94"/>
    </row>
    <row r="1301" spans="1:58" x14ac:dyDescent="0.35">
      <c r="A1301" s="107" t="s">
        <v>3099</v>
      </c>
      <c r="B1301" s="108" t="s">
        <v>0</v>
      </c>
      <c r="C1301" s="109">
        <v>7</v>
      </c>
      <c r="D1301" s="107" t="s">
        <v>1315</v>
      </c>
      <c r="E1301" s="109" t="s">
        <v>370</v>
      </c>
      <c r="F1301" s="94"/>
      <c r="G1301" s="94"/>
      <c r="H1301" s="94"/>
      <c r="I1301" s="94"/>
      <c r="J1301" s="94"/>
      <c r="K1301" s="94"/>
      <c r="L1301" s="94"/>
      <c r="M1301" s="94"/>
      <c r="N1301" s="94"/>
      <c r="O1301" s="94"/>
      <c r="P1301" s="94"/>
      <c r="Q1301" s="94"/>
      <c r="R1301" s="94"/>
      <c r="S1301" s="94"/>
      <c r="T1301" s="94"/>
      <c r="U1301" s="94"/>
      <c r="V1301" s="94"/>
      <c r="W1301" s="94"/>
      <c r="X1301" s="94"/>
      <c r="Y1301" s="94"/>
      <c r="Z1301" s="94"/>
      <c r="AA1301" s="94"/>
      <c r="AB1301" s="94"/>
      <c r="AC1301" s="94"/>
      <c r="AD1301" s="94"/>
      <c r="AE1301" s="94"/>
      <c r="AF1301" s="94"/>
      <c r="AG1301" s="94"/>
      <c r="AH1301" s="94"/>
      <c r="AI1301" s="94"/>
      <c r="AJ1301" s="94"/>
      <c r="AK1301" s="94"/>
      <c r="AL1301" s="94"/>
      <c r="AM1301" s="94"/>
      <c r="AN1301" s="94"/>
      <c r="AO1301" s="94"/>
      <c r="AP1301" s="94"/>
      <c r="AQ1301" s="94"/>
      <c r="AR1301" s="94"/>
      <c r="AS1301" s="94"/>
      <c r="AT1301" s="94"/>
      <c r="AU1301" s="94"/>
      <c r="AV1301" s="94"/>
      <c r="AW1301" s="94"/>
      <c r="AX1301" s="94"/>
      <c r="AY1301" s="94"/>
      <c r="AZ1301" s="94"/>
      <c r="BA1301" s="94"/>
      <c r="BB1301" s="94"/>
      <c r="BC1301" s="94"/>
      <c r="BD1301" s="94"/>
      <c r="BE1301" s="94"/>
      <c r="BF1301" s="94"/>
    </row>
    <row r="1302" spans="1:58" x14ac:dyDescent="0.35">
      <c r="A1302" s="107" t="s">
        <v>3100</v>
      </c>
      <c r="B1302" s="108" t="s">
        <v>0</v>
      </c>
      <c r="C1302" s="109">
        <v>7</v>
      </c>
      <c r="D1302" s="107" t="s">
        <v>1316</v>
      </c>
      <c r="E1302" s="109" t="s">
        <v>371</v>
      </c>
      <c r="F1302" s="94"/>
      <c r="G1302" s="94"/>
      <c r="H1302" s="94"/>
      <c r="I1302" s="94"/>
      <c r="J1302" s="94"/>
      <c r="K1302" s="94"/>
      <c r="L1302" s="94"/>
      <c r="M1302" s="94"/>
      <c r="N1302" s="94"/>
      <c r="O1302" s="94"/>
      <c r="P1302" s="94"/>
      <c r="Q1302" s="94"/>
      <c r="R1302" s="94"/>
      <c r="S1302" s="94"/>
      <c r="T1302" s="94"/>
      <c r="U1302" s="94"/>
      <c r="V1302" s="94"/>
      <c r="W1302" s="94"/>
      <c r="X1302" s="94"/>
      <c r="Y1302" s="94"/>
      <c r="Z1302" s="94"/>
      <c r="AA1302" s="94"/>
      <c r="AB1302" s="94"/>
      <c r="AC1302" s="94"/>
      <c r="AD1302" s="94"/>
      <c r="AE1302" s="94"/>
      <c r="AF1302" s="94"/>
      <c r="AG1302" s="94"/>
      <c r="AH1302" s="94"/>
      <c r="AI1302" s="94"/>
      <c r="AJ1302" s="94"/>
      <c r="AK1302" s="94"/>
      <c r="AL1302" s="94"/>
      <c r="AM1302" s="94"/>
      <c r="AN1302" s="94"/>
      <c r="AO1302" s="94"/>
      <c r="AP1302" s="94"/>
      <c r="AQ1302" s="94"/>
      <c r="AR1302" s="94"/>
      <c r="AS1302" s="94"/>
      <c r="AT1302" s="94"/>
      <c r="AU1302" s="94"/>
      <c r="AV1302" s="94"/>
      <c r="AW1302" s="94"/>
      <c r="AX1302" s="94"/>
      <c r="AY1302" s="94"/>
      <c r="AZ1302" s="94"/>
      <c r="BA1302" s="94"/>
      <c r="BB1302" s="94"/>
      <c r="BC1302" s="94"/>
      <c r="BD1302" s="94"/>
      <c r="BE1302" s="94"/>
      <c r="BF1302" s="94"/>
    </row>
    <row r="1303" spans="1:58" x14ac:dyDescent="0.35">
      <c r="A1303" s="107" t="s">
        <v>3101</v>
      </c>
      <c r="B1303" s="108" t="s">
        <v>0</v>
      </c>
      <c r="C1303" s="109">
        <v>7</v>
      </c>
      <c r="D1303" s="107" t="s">
        <v>1262</v>
      </c>
      <c r="E1303" s="109" t="s">
        <v>372</v>
      </c>
      <c r="F1303" s="94"/>
      <c r="G1303" s="94"/>
      <c r="H1303" s="94"/>
      <c r="I1303" s="94"/>
      <c r="J1303" s="94"/>
      <c r="K1303" s="94"/>
      <c r="L1303" s="94"/>
      <c r="M1303" s="94"/>
      <c r="N1303" s="94"/>
      <c r="O1303" s="94"/>
      <c r="P1303" s="94"/>
      <c r="Q1303" s="94"/>
      <c r="R1303" s="94"/>
      <c r="S1303" s="94"/>
      <c r="T1303" s="94"/>
      <c r="U1303" s="94"/>
      <c r="V1303" s="94"/>
      <c r="W1303" s="94"/>
      <c r="X1303" s="94"/>
      <c r="Y1303" s="94"/>
      <c r="Z1303" s="94"/>
      <c r="AA1303" s="94"/>
      <c r="AB1303" s="94"/>
      <c r="AC1303" s="94"/>
      <c r="AD1303" s="94"/>
      <c r="AE1303" s="94"/>
      <c r="AF1303" s="94"/>
      <c r="AG1303" s="94"/>
      <c r="AH1303" s="94"/>
      <c r="AI1303" s="94"/>
      <c r="AJ1303" s="94"/>
      <c r="AK1303" s="94"/>
      <c r="AL1303" s="94"/>
      <c r="AM1303" s="94"/>
      <c r="AN1303" s="94"/>
      <c r="AO1303" s="94"/>
      <c r="AP1303" s="94"/>
      <c r="AQ1303" s="94"/>
      <c r="AR1303" s="94"/>
      <c r="AS1303" s="94"/>
      <c r="AT1303" s="94"/>
      <c r="AU1303" s="94"/>
      <c r="AV1303" s="94"/>
      <c r="AW1303" s="94"/>
      <c r="AX1303" s="94"/>
      <c r="AY1303" s="94"/>
      <c r="AZ1303" s="94"/>
      <c r="BA1303" s="94"/>
      <c r="BB1303" s="94"/>
      <c r="BC1303" s="94"/>
      <c r="BD1303" s="94"/>
      <c r="BE1303" s="94"/>
      <c r="BF1303" s="94"/>
    </row>
    <row r="1304" spans="1:58" x14ac:dyDescent="0.35">
      <c r="A1304" s="107" t="s">
        <v>3102</v>
      </c>
      <c r="B1304" s="108" t="s">
        <v>0</v>
      </c>
      <c r="C1304" s="109">
        <v>7</v>
      </c>
      <c r="D1304" s="107" t="s">
        <v>1259</v>
      </c>
      <c r="E1304" s="109" t="s">
        <v>373</v>
      </c>
      <c r="F1304" s="94"/>
      <c r="G1304" s="94"/>
      <c r="H1304" s="94"/>
      <c r="I1304" s="94"/>
      <c r="J1304" s="94"/>
      <c r="K1304" s="94"/>
      <c r="L1304" s="94"/>
      <c r="M1304" s="94"/>
      <c r="N1304" s="94"/>
      <c r="O1304" s="94"/>
      <c r="P1304" s="94"/>
      <c r="Q1304" s="94"/>
      <c r="R1304" s="94"/>
      <c r="S1304" s="94"/>
      <c r="T1304" s="94"/>
      <c r="U1304" s="94"/>
      <c r="V1304" s="94"/>
      <c r="W1304" s="94"/>
      <c r="X1304" s="94"/>
      <c r="Y1304" s="94"/>
      <c r="Z1304" s="94"/>
      <c r="AA1304" s="94"/>
      <c r="AB1304" s="94"/>
      <c r="AC1304" s="94"/>
      <c r="AD1304" s="94"/>
      <c r="AE1304" s="94"/>
      <c r="AF1304" s="94"/>
      <c r="AG1304" s="94"/>
      <c r="AH1304" s="94"/>
      <c r="AI1304" s="94"/>
      <c r="AJ1304" s="94"/>
      <c r="AK1304" s="94"/>
      <c r="AL1304" s="94"/>
      <c r="AM1304" s="94"/>
      <c r="AN1304" s="94"/>
      <c r="AO1304" s="94"/>
      <c r="AP1304" s="94"/>
      <c r="AQ1304" s="94"/>
      <c r="AR1304" s="94"/>
      <c r="AS1304" s="94"/>
      <c r="AT1304" s="94"/>
      <c r="AU1304" s="94"/>
      <c r="AV1304" s="94"/>
      <c r="AW1304" s="94"/>
      <c r="AX1304" s="94"/>
      <c r="AY1304" s="94"/>
      <c r="AZ1304" s="94"/>
      <c r="BA1304" s="94"/>
      <c r="BB1304" s="94"/>
      <c r="BC1304" s="94"/>
      <c r="BD1304" s="94"/>
      <c r="BE1304" s="94"/>
      <c r="BF1304" s="94"/>
    </row>
    <row r="1305" spans="1:58" x14ac:dyDescent="0.35">
      <c r="A1305" s="107" t="s">
        <v>3103</v>
      </c>
      <c r="B1305" s="108" t="s">
        <v>0</v>
      </c>
      <c r="C1305" s="109">
        <v>7</v>
      </c>
      <c r="D1305" s="107" t="s">
        <v>1260</v>
      </c>
      <c r="E1305" s="109" t="s">
        <v>374</v>
      </c>
      <c r="F1305" s="94"/>
      <c r="G1305" s="94"/>
      <c r="H1305" s="94"/>
      <c r="I1305" s="94"/>
      <c r="J1305" s="94"/>
      <c r="K1305" s="94"/>
      <c r="L1305" s="94"/>
      <c r="M1305" s="94"/>
      <c r="N1305" s="94"/>
      <c r="O1305" s="94"/>
      <c r="P1305" s="94"/>
      <c r="Q1305" s="94"/>
      <c r="R1305" s="94"/>
      <c r="S1305" s="94"/>
      <c r="T1305" s="94"/>
      <c r="U1305" s="94"/>
      <c r="V1305" s="94"/>
      <c r="W1305" s="94"/>
      <c r="X1305" s="94"/>
      <c r="Y1305" s="94"/>
      <c r="Z1305" s="94"/>
      <c r="AA1305" s="94"/>
      <c r="AB1305" s="94"/>
      <c r="AC1305" s="94"/>
      <c r="AD1305" s="94"/>
      <c r="AE1305" s="94"/>
      <c r="AF1305" s="94"/>
      <c r="AG1305" s="94"/>
      <c r="AH1305" s="94"/>
      <c r="AI1305" s="94"/>
      <c r="AJ1305" s="94"/>
      <c r="AK1305" s="94"/>
      <c r="AL1305" s="94"/>
      <c r="AM1305" s="94"/>
      <c r="AN1305" s="94"/>
      <c r="AO1305" s="94"/>
      <c r="AP1305" s="94"/>
      <c r="AQ1305" s="94"/>
      <c r="AR1305" s="94"/>
      <c r="AS1305" s="94"/>
      <c r="AT1305" s="94"/>
      <c r="AU1305" s="94"/>
      <c r="AV1305" s="94"/>
      <c r="AW1305" s="94"/>
      <c r="AX1305" s="94"/>
      <c r="AY1305" s="94"/>
      <c r="AZ1305" s="94"/>
      <c r="BA1305" s="94"/>
      <c r="BB1305" s="94"/>
      <c r="BC1305" s="94"/>
      <c r="BD1305" s="94"/>
      <c r="BE1305" s="94"/>
      <c r="BF1305" s="94"/>
    </row>
    <row r="1306" spans="1:58" x14ac:dyDescent="0.35">
      <c r="A1306" s="107" t="s">
        <v>3104</v>
      </c>
      <c r="B1306" s="108" t="s">
        <v>0</v>
      </c>
      <c r="C1306" s="109">
        <v>7</v>
      </c>
      <c r="D1306" s="107" t="s">
        <v>1263</v>
      </c>
      <c r="E1306" s="109" t="s">
        <v>375</v>
      </c>
      <c r="F1306" s="94"/>
      <c r="G1306" s="94"/>
      <c r="H1306" s="94"/>
      <c r="I1306" s="94"/>
      <c r="J1306" s="94"/>
      <c r="K1306" s="94"/>
      <c r="L1306" s="94"/>
      <c r="M1306" s="94"/>
      <c r="N1306" s="94"/>
      <c r="O1306" s="94"/>
      <c r="P1306" s="94"/>
      <c r="Q1306" s="94"/>
      <c r="R1306" s="94"/>
      <c r="S1306" s="94"/>
      <c r="T1306" s="94"/>
      <c r="U1306" s="94"/>
      <c r="V1306" s="94"/>
      <c r="W1306" s="94"/>
      <c r="X1306" s="94"/>
      <c r="Y1306" s="94"/>
      <c r="Z1306" s="94"/>
      <c r="AA1306" s="94"/>
      <c r="AB1306" s="94"/>
      <c r="AC1306" s="94"/>
      <c r="AD1306" s="94"/>
      <c r="AE1306" s="94"/>
      <c r="AF1306" s="94"/>
      <c r="AG1306" s="94"/>
      <c r="AH1306" s="94"/>
      <c r="AI1306" s="94"/>
      <c r="AJ1306" s="94"/>
      <c r="AK1306" s="94"/>
      <c r="AL1306" s="94"/>
      <c r="AM1306" s="94"/>
      <c r="AN1306" s="94"/>
      <c r="AO1306" s="94"/>
      <c r="AP1306" s="94"/>
      <c r="AQ1306" s="94"/>
      <c r="AR1306" s="94"/>
      <c r="AS1306" s="94"/>
      <c r="AT1306" s="94"/>
      <c r="AU1306" s="94"/>
      <c r="AV1306" s="94"/>
      <c r="AW1306" s="94"/>
      <c r="AX1306" s="94"/>
      <c r="AY1306" s="94"/>
      <c r="AZ1306" s="94"/>
      <c r="BA1306" s="94"/>
      <c r="BB1306" s="94"/>
      <c r="BC1306" s="94"/>
      <c r="BD1306" s="94"/>
      <c r="BE1306" s="94"/>
      <c r="BF1306" s="94"/>
    </row>
    <row r="1307" spans="1:58" x14ac:dyDescent="0.35">
      <c r="A1307" s="107" t="s">
        <v>3105</v>
      </c>
      <c r="B1307" s="108" t="s">
        <v>0</v>
      </c>
      <c r="C1307" s="109">
        <v>7</v>
      </c>
      <c r="D1307" s="107" t="s">
        <v>623</v>
      </c>
      <c r="E1307" s="109" t="s">
        <v>376</v>
      </c>
      <c r="F1307" s="94"/>
      <c r="G1307" s="94"/>
      <c r="H1307" s="94"/>
      <c r="I1307" s="94"/>
      <c r="J1307" s="94"/>
      <c r="K1307" s="94"/>
      <c r="L1307" s="94"/>
      <c r="M1307" s="94"/>
      <c r="N1307" s="94"/>
      <c r="O1307" s="94"/>
      <c r="P1307" s="94"/>
      <c r="Q1307" s="94"/>
      <c r="R1307" s="94"/>
      <c r="S1307" s="94"/>
      <c r="T1307" s="94"/>
      <c r="U1307" s="94"/>
      <c r="V1307" s="94"/>
      <c r="W1307" s="94"/>
      <c r="X1307" s="94"/>
      <c r="Y1307" s="94"/>
      <c r="Z1307" s="94"/>
      <c r="AA1307" s="94"/>
      <c r="AB1307" s="94"/>
      <c r="AC1307" s="94"/>
      <c r="AD1307" s="94"/>
      <c r="AE1307" s="94"/>
      <c r="AF1307" s="94"/>
      <c r="AG1307" s="94"/>
      <c r="AH1307" s="94"/>
      <c r="AI1307" s="94"/>
      <c r="AJ1307" s="94"/>
      <c r="AK1307" s="94"/>
      <c r="AL1307" s="94"/>
      <c r="AM1307" s="94"/>
      <c r="AN1307" s="94"/>
      <c r="AO1307" s="94"/>
      <c r="AP1307" s="94"/>
      <c r="AQ1307" s="94"/>
      <c r="AR1307" s="94"/>
      <c r="AS1307" s="94"/>
      <c r="AT1307" s="94"/>
      <c r="AU1307" s="94"/>
      <c r="AV1307" s="94"/>
      <c r="AW1307" s="94"/>
      <c r="AX1307" s="94"/>
      <c r="AY1307" s="94"/>
      <c r="AZ1307" s="94"/>
      <c r="BA1307" s="94"/>
      <c r="BB1307" s="94"/>
      <c r="BC1307" s="94"/>
      <c r="BD1307" s="94"/>
      <c r="BE1307" s="94"/>
      <c r="BF1307" s="94"/>
    </row>
    <row r="1308" spans="1:58" x14ac:dyDescent="0.35">
      <c r="A1308" s="107" t="s">
        <v>3106</v>
      </c>
      <c r="B1308" s="108" t="s">
        <v>0</v>
      </c>
      <c r="C1308" s="109">
        <v>7</v>
      </c>
      <c r="D1308" s="107" t="s">
        <v>1264</v>
      </c>
      <c r="E1308" s="109" t="s">
        <v>377</v>
      </c>
      <c r="F1308" s="94"/>
      <c r="G1308" s="94"/>
      <c r="H1308" s="94"/>
      <c r="I1308" s="94"/>
      <c r="J1308" s="94"/>
      <c r="K1308" s="94"/>
      <c r="L1308" s="94"/>
      <c r="M1308" s="94"/>
      <c r="N1308" s="94"/>
      <c r="O1308" s="94"/>
      <c r="P1308" s="94"/>
      <c r="Q1308" s="94"/>
      <c r="R1308" s="94"/>
      <c r="S1308" s="94"/>
      <c r="T1308" s="94"/>
      <c r="U1308" s="94"/>
      <c r="V1308" s="94"/>
      <c r="W1308" s="94"/>
      <c r="X1308" s="94"/>
      <c r="Y1308" s="94"/>
      <c r="Z1308" s="94"/>
      <c r="AA1308" s="94"/>
      <c r="AB1308" s="94"/>
      <c r="AC1308" s="94"/>
      <c r="AD1308" s="94"/>
      <c r="AE1308" s="94"/>
      <c r="AF1308" s="94"/>
      <c r="AG1308" s="94"/>
      <c r="AH1308" s="94"/>
      <c r="AI1308" s="94"/>
      <c r="AJ1308" s="94"/>
      <c r="AK1308" s="94"/>
      <c r="AL1308" s="94"/>
      <c r="AM1308" s="94"/>
      <c r="AN1308" s="94"/>
      <c r="AO1308" s="94"/>
      <c r="AP1308" s="94"/>
      <c r="AQ1308" s="94"/>
      <c r="AR1308" s="94"/>
      <c r="AS1308" s="94"/>
      <c r="AT1308" s="94"/>
      <c r="AU1308" s="94"/>
      <c r="AV1308" s="94"/>
      <c r="AW1308" s="94"/>
      <c r="AX1308" s="94"/>
      <c r="AY1308" s="94"/>
      <c r="AZ1308" s="94"/>
      <c r="BA1308" s="94"/>
      <c r="BB1308" s="94"/>
      <c r="BC1308" s="94"/>
      <c r="BD1308" s="94"/>
      <c r="BE1308" s="94"/>
      <c r="BF1308" s="94"/>
    </row>
    <row r="1309" spans="1:58" x14ac:dyDescent="0.35">
      <c r="A1309" s="107" t="s">
        <v>3107</v>
      </c>
      <c r="B1309" s="108" t="s">
        <v>0</v>
      </c>
      <c r="C1309" s="109">
        <v>7</v>
      </c>
      <c r="D1309" s="107" t="s">
        <v>1265</v>
      </c>
      <c r="E1309" s="109" t="s">
        <v>378</v>
      </c>
      <c r="F1309" s="94"/>
      <c r="G1309" s="94"/>
      <c r="H1309" s="94"/>
      <c r="I1309" s="94"/>
      <c r="J1309" s="94"/>
      <c r="K1309" s="94"/>
      <c r="L1309" s="94"/>
      <c r="M1309" s="94"/>
      <c r="N1309" s="94"/>
      <c r="O1309" s="94"/>
      <c r="P1309" s="94"/>
      <c r="Q1309" s="94"/>
      <c r="R1309" s="94"/>
      <c r="S1309" s="94"/>
      <c r="T1309" s="94"/>
      <c r="U1309" s="94"/>
      <c r="V1309" s="94"/>
      <c r="W1309" s="94"/>
      <c r="X1309" s="94"/>
      <c r="Y1309" s="94"/>
      <c r="Z1309" s="94"/>
      <c r="AA1309" s="94"/>
      <c r="AB1309" s="94"/>
      <c r="AC1309" s="94"/>
      <c r="AD1309" s="94"/>
      <c r="AE1309" s="94"/>
      <c r="AF1309" s="94"/>
      <c r="AG1309" s="94"/>
      <c r="AH1309" s="94"/>
      <c r="AI1309" s="94"/>
      <c r="AJ1309" s="94"/>
      <c r="AK1309" s="94"/>
      <c r="AL1309" s="94"/>
      <c r="AM1309" s="94"/>
      <c r="AN1309" s="94"/>
      <c r="AO1309" s="94"/>
      <c r="AP1309" s="94"/>
      <c r="AQ1309" s="94"/>
      <c r="AR1309" s="94"/>
      <c r="AS1309" s="94"/>
      <c r="AT1309" s="94"/>
      <c r="AU1309" s="94"/>
      <c r="AV1309" s="94"/>
      <c r="AW1309" s="94"/>
      <c r="AX1309" s="94"/>
      <c r="AY1309" s="94"/>
      <c r="AZ1309" s="94"/>
      <c r="BA1309" s="94"/>
      <c r="BB1309" s="94"/>
      <c r="BC1309" s="94"/>
      <c r="BD1309" s="94"/>
      <c r="BE1309" s="94"/>
      <c r="BF1309" s="94"/>
    </row>
    <row r="1310" spans="1:58" x14ac:dyDescent="0.35">
      <c r="A1310" s="107" t="s">
        <v>3108</v>
      </c>
      <c r="B1310" s="108" t="s">
        <v>0</v>
      </c>
      <c r="C1310" s="109">
        <v>7</v>
      </c>
      <c r="D1310" s="107" t="s">
        <v>1270</v>
      </c>
      <c r="E1310" s="109" t="s">
        <v>379</v>
      </c>
      <c r="F1310" s="94"/>
      <c r="G1310" s="94"/>
      <c r="H1310" s="94"/>
      <c r="I1310" s="94"/>
      <c r="J1310" s="94"/>
      <c r="K1310" s="94"/>
      <c r="L1310" s="94"/>
      <c r="M1310" s="94"/>
      <c r="N1310" s="94"/>
      <c r="O1310" s="94"/>
      <c r="P1310" s="94"/>
      <c r="Q1310" s="94"/>
      <c r="R1310" s="94"/>
      <c r="S1310" s="94"/>
      <c r="T1310" s="94"/>
      <c r="U1310" s="94"/>
      <c r="V1310" s="94"/>
      <c r="W1310" s="94"/>
      <c r="X1310" s="94"/>
      <c r="Y1310" s="94"/>
      <c r="Z1310" s="94"/>
      <c r="AA1310" s="94"/>
      <c r="AB1310" s="94"/>
      <c r="AC1310" s="94"/>
      <c r="AD1310" s="94"/>
      <c r="AE1310" s="94"/>
      <c r="AF1310" s="94"/>
      <c r="AG1310" s="94"/>
      <c r="AH1310" s="94"/>
      <c r="AI1310" s="94"/>
      <c r="AJ1310" s="94"/>
      <c r="AK1310" s="94"/>
      <c r="AL1310" s="94"/>
      <c r="AM1310" s="94"/>
      <c r="AN1310" s="94"/>
      <c r="AO1310" s="94"/>
      <c r="AP1310" s="94"/>
      <c r="AQ1310" s="94"/>
      <c r="AR1310" s="94"/>
      <c r="AS1310" s="94"/>
      <c r="AT1310" s="94"/>
      <c r="AU1310" s="94"/>
      <c r="AV1310" s="94"/>
      <c r="AW1310" s="94"/>
      <c r="AX1310" s="94"/>
      <c r="AY1310" s="94"/>
      <c r="AZ1310" s="94"/>
      <c r="BA1310" s="94"/>
      <c r="BB1310" s="94"/>
      <c r="BC1310" s="94"/>
      <c r="BD1310" s="94"/>
      <c r="BE1310" s="94"/>
      <c r="BF1310" s="94"/>
    </row>
    <row r="1311" spans="1:58" x14ac:dyDescent="0.35">
      <c r="A1311" s="107" t="s">
        <v>3109</v>
      </c>
      <c r="B1311" s="108" t="s">
        <v>0</v>
      </c>
      <c r="C1311" s="109">
        <v>7</v>
      </c>
      <c r="D1311" s="107" t="s">
        <v>1271</v>
      </c>
      <c r="E1311" s="109" t="s">
        <v>380</v>
      </c>
      <c r="F1311" s="94"/>
      <c r="G1311" s="94"/>
      <c r="H1311" s="94"/>
      <c r="I1311" s="94"/>
      <c r="J1311" s="94"/>
      <c r="K1311" s="94"/>
      <c r="L1311" s="94"/>
      <c r="M1311" s="94"/>
      <c r="N1311" s="94"/>
      <c r="O1311" s="94"/>
      <c r="P1311" s="94"/>
      <c r="Q1311" s="94"/>
      <c r="R1311" s="94"/>
      <c r="S1311" s="94"/>
      <c r="T1311" s="94"/>
      <c r="U1311" s="94"/>
      <c r="V1311" s="94"/>
      <c r="W1311" s="94"/>
      <c r="X1311" s="94"/>
      <c r="Y1311" s="94"/>
      <c r="Z1311" s="94"/>
      <c r="AA1311" s="94"/>
      <c r="AB1311" s="94"/>
      <c r="AC1311" s="94"/>
      <c r="AD1311" s="94"/>
      <c r="AE1311" s="94"/>
      <c r="AF1311" s="94"/>
      <c r="AG1311" s="94"/>
      <c r="AH1311" s="94"/>
      <c r="AI1311" s="94"/>
      <c r="AJ1311" s="94"/>
      <c r="AK1311" s="94"/>
      <c r="AL1311" s="94"/>
      <c r="AM1311" s="94"/>
      <c r="AN1311" s="94"/>
      <c r="AO1311" s="94"/>
      <c r="AP1311" s="94"/>
      <c r="AQ1311" s="94"/>
      <c r="AR1311" s="94"/>
      <c r="AS1311" s="94"/>
      <c r="AT1311" s="94"/>
      <c r="AU1311" s="94"/>
      <c r="AV1311" s="94"/>
      <c r="AW1311" s="94"/>
      <c r="AX1311" s="94"/>
      <c r="AY1311" s="94"/>
      <c r="AZ1311" s="94"/>
      <c r="BA1311" s="94"/>
      <c r="BB1311" s="94"/>
      <c r="BC1311" s="94"/>
      <c r="BD1311" s="94"/>
      <c r="BE1311" s="94"/>
      <c r="BF1311" s="94"/>
    </row>
    <row r="1312" spans="1:58" x14ac:dyDescent="0.35">
      <c r="A1312" s="107" t="s">
        <v>3110</v>
      </c>
      <c r="B1312" s="108" t="s">
        <v>0</v>
      </c>
      <c r="C1312" s="109">
        <v>7</v>
      </c>
      <c r="D1312" s="107" t="s">
        <v>1802</v>
      </c>
      <c r="E1312" s="109" t="s">
        <v>381</v>
      </c>
      <c r="F1312" s="94"/>
      <c r="G1312" s="94"/>
      <c r="H1312" s="94"/>
      <c r="I1312" s="94"/>
      <c r="J1312" s="94"/>
      <c r="K1312" s="94"/>
      <c r="L1312" s="94"/>
      <c r="M1312" s="94"/>
      <c r="N1312" s="94"/>
      <c r="O1312" s="94"/>
      <c r="P1312" s="94"/>
      <c r="Q1312" s="94"/>
      <c r="R1312" s="94"/>
      <c r="S1312" s="94"/>
      <c r="T1312" s="94"/>
      <c r="U1312" s="94"/>
      <c r="V1312" s="94"/>
      <c r="W1312" s="94"/>
      <c r="X1312" s="94"/>
      <c r="Y1312" s="94"/>
      <c r="Z1312" s="94"/>
      <c r="AA1312" s="94"/>
      <c r="AB1312" s="94"/>
      <c r="AC1312" s="94"/>
      <c r="AD1312" s="94"/>
      <c r="AE1312" s="94"/>
      <c r="AF1312" s="94"/>
      <c r="AG1312" s="94"/>
      <c r="AH1312" s="94"/>
      <c r="AI1312" s="94"/>
      <c r="AJ1312" s="94"/>
      <c r="AK1312" s="94"/>
      <c r="AL1312" s="94"/>
      <c r="AM1312" s="94"/>
      <c r="AN1312" s="94"/>
      <c r="AO1312" s="94"/>
      <c r="AP1312" s="94"/>
      <c r="AQ1312" s="94"/>
      <c r="AR1312" s="94"/>
      <c r="AS1312" s="94"/>
      <c r="AT1312" s="94"/>
      <c r="AU1312" s="94"/>
      <c r="AV1312" s="94"/>
      <c r="AW1312" s="94"/>
      <c r="AX1312" s="94"/>
      <c r="AY1312" s="94"/>
      <c r="AZ1312" s="94"/>
      <c r="BA1312" s="94"/>
      <c r="BB1312" s="94"/>
      <c r="BC1312" s="94"/>
      <c r="BD1312" s="94"/>
      <c r="BE1312" s="94"/>
      <c r="BF1312" s="94"/>
    </row>
    <row r="1313" spans="1:58" x14ac:dyDescent="0.35">
      <c r="A1313" s="107" t="s">
        <v>3111</v>
      </c>
      <c r="B1313" s="108" t="s">
        <v>0</v>
      </c>
      <c r="C1313" s="109">
        <v>7</v>
      </c>
      <c r="D1313" s="107" t="s">
        <v>1266</v>
      </c>
      <c r="E1313" s="109" t="s">
        <v>382</v>
      </c>
      <c r="F1313" s="94"/>
      <c r="G1313" s="94"/>
      <c r="H1313" s="94"/>
      <c r="I1313" s="94"/>
      <c r="J1313" s="94"/>
      <c r="K1313" s="94"/>
      <c r="L1313" s="94"/>
      <c r="M1313" s="94"/>
      <c r="N1313" s="94"/>
      <c r="O1313" s="94"/>
      <c r="P1313" s="94"/>
      <c r="Q1313" s="94"/>
      <c r="R1313" s="94"/>
      <c r="S1313" s="94"/>
      <c r="T1313" s="94"/>
      <c r="U1313" s="94"/>
      <c r="V1313" s="94"/>
      <c r="W1313" s="94"/>
      <c r="X1313" s="94"/>
      <c r="Y1313" s="94"/>
      <c r="Z1313" s="94"/>
      <c r="AA1313" s="94"/>
      <c r="AB1313" s="94"/>
      <c r="AC1313" s="94"/>
      <c r="AD1313" s="94"/>
      <c r="AE1313" s="94"/>
      <c r="AF1313" s="94"/>
      <c r="AG1313" s="94"/>
      <c r="AH1313" s="94"/>
      <c r="AI1313" s="94"/>
      <c r="AJ1313" s="94"/>
      <c r="AK1313" s="94"/>
      <c r="AL1313" s="94"/>
      <c r="AM1313" s="94"/>
      <c r="AN1313" s="94"/>
      <c r="AO1313" s="94"/>
      <c r="AP1313" s="94"/>
      <c r="AQ1313" s="94"/>
      <c r="AR1313" s="94"/>
      <c r="AS1313" s="94"/>
      <c r="AT1313" s="94"/>
      <c r="AU1313" s="94"/>
      <c r="AV1313" s="94"/>
      <c r="AW1313" s="94"/>
      <c r="AX1313" s="94"/>
      <c r="AY1313" s="94"/>
      <c r="AZ1313" s="94"/>
      <c r="BA1313" s="94"/>
      <c r="BB1313" s="94"/>
      <c r="BC1313" s="94"/>
      <c r="BD1313" s="94"/>
      <c r="BE1313" s="94"/>
      <c r="BF1313" s="94"/>
    </row>
    <row r="1314" spans="1:58" x14ac:dyDescent="0.35">
      <c r="A1314" s="107" t="s">
        <v>3112</v>
      </c>
      <c r="B1314" s="108" t="s">
        <v>0</v>
      </c>
      <c r="C1314" s="109">
        <v>7</v>
      </c>
      <c r="D1314" s="107" t="s">
        <v>1267</v>
      </c>
      <c r="E1314" s="109" t="s">
        <v>383</v>
      </c>
      <c r="F1314" s="94"/>
      <c r="G1314" s="94"/>
      <c r="H1314" s="94"/>
      <c r="I1314" s="94"/>
      <c r="J1314" s="94"/>
      <c r="K1314" s="94"/>
      <c r="L1314" s="94"/>
      <c r="M1314" s="94"/>
      <c r="N1314" s="94"/>
      <c r="O1314" s="94"/>
      <c r="P1314" s="94"/>
      <c r="Q1314" s="94"/>
      <c r="R1314" s="94"/>
      <c r="S1314" s="94"/>
      <c r="T1314" s="94"/>
      <c r="U1314" s="94"/>
      <c r="V1314" s="94"/>
      <c r="W1314" s="94"/>
      <c r="X1314" s="94"/>
      <c r="Y1314" s="94"/>
      <c r="Z1314" s="94"/>
      <c r="AA1314" s="94"/>
      <c r="AB1314" s="94"/>
      <c r="AC1314" s="94"/>
      <c r="AD1314" s="94"/>
      <c r="AE1314" s="94"/>
      <c r="AF1314" s="94"/>
      <c r="AG1314" s="94"/>
      <c r="AH1314" s="94"/>
      <c r="AI1314" s="94"/>
      <c r="AJ1314" s="94"/>
      <c r="AK1314" s="94"/>
      <c r="AL1314" s="94"/>
      <c r="AM1314" s="94"/>
      <c r="AN1314" s="94"/>
      <c r="AO1314" s="94"/>
      <c r="AP1314" s="94"/>
      <c r="AQ1314" s="94"/>
      <c r="AR1314" s="94"/>
      <c r="AS1314" s="94"/>
      <c r="AT1314" s="94"/>
      <c r="AU1314" s="94"/>
      <c r="AV1314" s="94"/>
      <c r="AW1314" s="94"/>
      <c r="AX1314" s="94"/>
      <c r="AY1314" s="94"/>
      <c r="AZ1314" s="94"/>
      <c r="BA1314" s="94"/>
      <c r="BB1314" s="94"/>
      <c r="BC1314" s="94"/>
      <c r="BD1314" s="94"/>
      <c r="BE1314" s="94"/>
      <c r="BF1314" s="94"/>
    </row>
    <row r="1315" spans="1:58" x14ac:dyDescent="0.35">
      <c r="A1315" s="107" t="s">
        <v>3113</v>
      </c>
      <c r="B1315" s="108" t="s">
        <v>0</v>
      </c>
      <c r="C1315" s="109">
        <v>7</v>
      </c>
      <c r="D1315" s="107" t="s">
        <v>1268</v>
      </c>
      <c r="E1315" s="109" t="s">
        <v>384</v>
      </c>
      <c r="F1315" s="94"/>
      <c r="G1315" s="94"/>
      <c r="H1315" s="94"/>
      <c r="I1315" s="94"/>
      <c r="J1315" s="94"/>
      <c r="K1315" s="94"/>
      <c r="L1315" s="94"/>
      <c r="M1315" s="94"/>
      <c r="N1315" s="94"/>
      <c r="O1315" s="94"/>
      <c r="P1315" s="94"/>
      <c r="Q1315" s="94"/>
      <c r="R1315" s="94"/>
      <c r="S1315" s="94"/>
      <c r="T1315" s="94"/>
      <c r="U1315" s="94"/>
      <c r="V1315" s="94"/>
      <c r="W1315" s="94"/>
      <c r="X1315" s="94"/>
      <c r="Y1315" s="94"/>
      <c r="Z1315" s="94"/>
      <c r="AA1315" s="94"/>
      <c r="AB1315" s="94"/>
      <c r="AC1315" s="94"/>
      <c r="AD1315" s="94"/>
      <c r="AE1315" s="94"/>
      <c r="AF1315" s="94"/>
      <c r="AG1315" s="94"/>
      <c r="AH1315" s="94"/>
      <c r="AI1315" s="94"/>
      <c r="AJ1315" s="94"/>
      <c r="AK1315" s="94"/>
      <c r="AL1315" s="94"/>
      <c r="AM1315" s="94"/>
      <c r="AN1315" s="94"/>
      <c r="AO1315" s="94"/>
      <c r="AP1315" s="94"/>
      <c r="AQ1315" s="94"/>
      <c r="AR1315" s="94"/>
      <c r="AS1315" s="94"/>
      <c r="AT1315" s="94"/>
      <c r="AU1315" s="94"/>
      <c r="AV1315" s="94"/>
      <c r="AW1315" s="94"/>
      <c r="AX1315" s="94"/>
      <c r="AY1315" s="94"/>
      <c r="AZ1315" s="94"/>
      <c r="BA1315" s="94"/>
      <c r="BB1315" s="94"/>
      <c r="BC1315" s="94"/>
      <c r="BD1315" s="94"/>
      <c r="BE1315" s="94"/>
      <c r="BF1315" s="94"/>
    </row>
    <row r="1316" spans="1:58" x14ac:dyDescent="0.35">
      <c r="A1316" s="107" t="s">
        <v>3114</v>
      </c>
      <c r="B1316" s="108" t="s">
        <v>0</v>
      </c>
      <c r="C1316" s="109">
        <v>7</v>
      </c>
      <c r="D1316" s="107" t="s">
        <v>1317</v>
      </c>
      <c r="E1316" s="109" t="s">
        <v>385</v>
      </c>
      <c r="F1316" s="94"/>
      <c r="G1316" s="94"/>
      <c r="H1316" s="94"/>
      <c r="I1316" s="94"/>
      <c r="J1316" s="94"/>
      <c r="K1316" s="94"/>
      <c r="L1316" s="94"/>
      <c r="M1316" s="94"/>
      <c r="N1316" s="94"/>
      <c r="O1316" s="94"/>
      <c r="P1316" s="94"/>
      <c r="Q1316" s="94"/>
      <c r="R1316" s="94"/>
      <c r="S1316" s="94"/>
      <c r="T1316" s="94"/>
      <c r="U1316" s="94"/>
      <c r="V1316" s="94"/>
      <c r="W1316" s="94"/>
      <c r="X1316" s="94"/>
      <c r="Y1316" s="94"/>
      <c r="Z1316" s="94"/>
      <c r="AA1316" s="94"/>
      <c r="AB1316" s="94"/>
      <c r="AC1316" s="94"/>
      <c r="AD1316" s="94"/>
      <c r="AE1316" s="94"/>
      <c r="AF1316" s="94"/>
      <c r="AG1316" s="94"/>
      <c r="AH1316" s="94"/>
      <c r="AI1316" s="94"/>
      <c r="AJ1316" s="94"/>
      <c r="AK1316" s="94"/>
      <c r="AL1316" s="94"/>
      <c r="AM1316" s="94"/>
      <c r="AN1316" s="94"/>
      <c r="AO1316" s="94"/>
      <c r="AP1316" s="94"/>
      <c r="AQ1316" s="94"/>
      <c r="AR1316" s="94"/>
      <c r="AS1316" s="94"/>
      <c r="AT1316" s="94"/>
      <c r="AU1316" s="94"/>
      <c r="AV1316" s="94"/>
      <c r="AW1316" s="94"/>
      <c r="AX1316" s="94"/>
      <c r="AY1316" s="94"/>
      <c r="AZ1316" s="94"/>
      <c r="BA1316" s="94"/>
      <c r="BB1316" s="94"/>
      <c r="BC1316" s="94"/>
      <c r="BD1316" s="94"/>
      <c r="BE1316" s="94"/>
      <c r="BF1316" s="94"/>
    </row>
    <row r="1317" spans="1:58" x14ac:dyDescent="0.35">
      <c r="A1317" s="107" t="s">
        <v>3115</v>
      </c>
      <c r="B1317" s="108" t="s">
        <v>0</v>
      </c>
      <c r="C1317" s="109">
        <v>7</v>
      </c>
      <c r="D1317" s="107" t="s">
        <v>1318</v>
      </c>
      <c r="E1317" s="109" t="s">
        <v>386</v>
      </c>
      <c r="F1317" s="94"/>
      <c r="G1317" s="94"/>
      <c r="H1317" s="94"/>
      <c r="I1317" s="94"/>
      <c r="J1317" s="94"/>
      <c r="K1317" s="94"/>
      <c r="L1317" s="94"/>
      <c r="M1317" s="94"/>
      <c r="N1317" s="94"/>
      <c r="O1317" s="94"/>
      <c r="P1317" s="94"/>
      <c r="Q1317" s="94"/>
      <c r="R1317" s="94"/>
      <c r="S1317" s="94"/>
      <c r="T1317" s="94"/>
      <c r="U1317" s="94"/>
      <c r="V1317" s="94"/>
      <c r="W1317" s="94"/>
      <c r="X1317" s="94"/>
      <c r="Y1317" s="94"/>
      <c r="Z1317" s="94"/>
      <c r="AA1317" s="94"/>
      <c r="AB1317" s="94"/>
      <c r="AC1317" s="94"/>
      <c r="AD1317" s="94"/>
      <c r="AE1317" s="94"/>
      <c r="AF1317" s="94"/>
      <c r="AG1317" s="94"/>
      <c r="AH1317" s="94"/>
      <c r="AI1317" s="94"/>
      <c r="AJ1317" s="94"/>
      <c r="AK1317" s="94"/>
      <c r="AL1317" s="94"/>
      <c r="AM1317" s="94"/>
      <c r="AN1317" s="94"/>
      <c r="AO1317" s="94"/>
      <c r="AP1317" s="94"/>
      <c r="AQ1317" s="94"/>
      <c r="AR1317" s="94"/>
      <c r="AS1317" s="94"/>
      <c r="AT1317" s="94"/>
      <c r="AU1317" s="94"/>
      <c r="AV1317" s="94"/>
      <c r="AW1317" s="94"/>
      <c r="AX1317" s="94"/>
      <c r="AY1317" s="94"/>
      <c r="AZ1317" s="94"/>
      <c r="BA1317" s="94"/>
      <c r="BB1317" s="94"/>
      <c r="BC1317" s="94"/>
      <c r="BD1317" s="94"/>
      <c r="BE1317" s="94"/>
      <c r="BF1317" s="94"/>
    </row>
    <row r="1318" spans="1:58" x14ac:dyDescent="0.35">
      <c r="A1318" s="107" t="s">
        <v>3116</v>
      </c>
      <c r="B1318" s="108" t="s">
        <v>0</v>
      </c>
      <c r="C1318" s="109">
        <v>7</v>
      </c>
      <c r="D1318" s="107" t="s">
        <v>1269</v>
      </c>
      <c r="E1318" s="109" t="s">
        <v>387</v>
      </c>
      <c r="F1318" s="94"/>
      <c r="G1318" s="94"/>
      <c r="H1318" s="94"/>
      <c r="I1318" s="94"/>
      <c r="J1318" s="94"/>
      <c r="K1318" s="94"/>
      <c r="L1318" s="94"/>
      <c r="M1318" s="94"/>
      <c r="N1318" s="94"/>
      <c r="O1318" s="94"/>
      <c r="P1318" s="94"/>
      <c r="Q1318" s="94"/>
      <c r="R1318" s="94"/>
      <c r="S1318" s="94"/>
      <c r="T1318" s="94"/>
      <c r="U1318" s="94"/>
      <c r="V1318" s="94"/>
      <c r="W1318" s="94"/>
      <c r="X1318" s="94"/>
      <c r="Y1318" s="94"/>
      <c r="Z1318" s="94"/>
      <c r="AA1318" s="94"/>
      <c r="AB1318" s="94"/>
      <c r="AC1318" s="94"/>
      <c r="AD1318" s="94"/>
      <c r="AE1318" s="94"/>
      <c r="AF1318" s="94"/>
      <c r="AG1318" s="94"/>
      <c r="AH1318" s="94"/>
      <c r="AI1318" s="94"/>
      <c r="AJ1318" s="94"/>
      <c r="AK1318" s="94"/>
      <c r="AL1318" s="94"/>
      <c r="AM1318" s="94"/>
      <c r="AN1318" s="94"/>
      <c r="AO1318" s="94"/>
      <c r="AP1318" s="94"/>
      <c r="AQ1318" s="94"/>
      <c r="AR1318" s="94"/>
      <c r="AS1318" s="94"/>
      <c r="AT1318" s="94"/>
      <c r="AU1318" s="94"/>
      <c r="AV1318" s="94"/>
      <c r="AW1318" s="94"/>
      <c r="AX1318" s="94"/>
      <c r="AY1318" s="94"/>
      <c r="AZ1318" s="94"/>
      <c r="BA1318" s="94"/>
      <c r="BB1318" s="94"/>
      <c r="BC1318" s="94"/>
      <c r="BD1318" s="94"/>
      <c r="BE1318" s="94"/>
      <c r="BF1318" s="94"/>
    </row>
    <row r="1319" spans="1:58" x14ac:dyDescent="0.35">
      <c r="A1319" s="107" t="s">
        <v>3117</v>
      </c>
      <c r="B1319" s="108" t="s">
        <v>0</v>
      </c>
      <c r="C1319" s="109">
        <v>7</v>
      </c>
      <c r="D1319" s="107" t="s">
        <v>1319</v>
      </c>
      <c r="E1319" s="109" t="s">
        <v>388</v>
      </c>
      <c r="F1319" s="94"/>
      <c r="G1319" s="94"/>
      <c r="H1319" s="94"/>
      <c r="I1319" s="94"/>
      <c r="J1319" s="94"/>
      <c r="K1319" s="94"/>
      <c r="L1319" s="94"/>
      <c r="M1319" s="94"/>
      <c r="N1319" s="94"/>
      <c r="O1319" s="94"/>
      <c r="P1319" s="94"/>
      <c r="Q1319" s="94"/>
      <c r="R1319" s="94"/>
      <c r="S1319" s="94"/>
      <c r="T1319" s="94"/>
      <c r="U1319" s="94"/>
      <c r="V1319" s="94"/>
      <c r="W1319" s="94"/>
      <c r="X1319" s="94"/>
      <c r="Y1319" s="94"/>
      <c r="Z1319" s="94"/>
      <c r="AA1319" s="94"/>
      <c r="AB1319" s="94"/>
      <c r="AC1319" s="94"/>
      <c r="AD1319" s="94"/>
      <c r="AE1319" s="94"/>
      <c r="AF1319" s="94"/>
      <c r="AG1319" s="94"/>
      <c r="AH1319" s="94"/>
      <c r="AI1319" s="94"/>
      <c r="AJ1319" s="94"/>
      <c r="AK1319" s="94"/>
      <c r="AL1319" s="94"/>
      <c r="AM1319" s="94"/>
      <c r="AN1319" s="94"/>
      <c r="AO1319" s="94"/>
      <c r="AP1319" s="94"/>
      <c r="AQ1319" s="94"/>
      <c r="AR1319" s="94"/>
      <c r="AS1319" s="94"/>
      <c r="AT1319" s="94"/>
      <c r="AU1319" s="94"/>
      <c r="AV1319" s="94"/>
      <c r="AW1319" s="94"/>
      <c r="AX1319" s="94"/>
      <c r="AY1319" s="94"/>
      <c r="AZ1319" s="94"/>
      <c r="BA1319" s="94"/>
      <c r="BB1319" s="94"/>
      <c r="BC1319" s="94"/>
      <c r="BD1319" s="94"/>
      <c r="BE1319" s="94"/>
      <c r="BF1319" s="94"/>
    </row>
    <row r="1320" spans="1:58" x14ac:dyDescent="0.35">
      <c r="A1320" s="107" t="s">
        <v>3118</v>
      </c>
      <c r="B1320" s="108" t="s">
        <v>0</v>
      </c>
      <c r="C1320" s="109">
        <v>7</v>
      </c>
      <c r="D1320" s="107" t="s">
        <v>1320</v>
      </c>
      <c r="E1320" s="109" t="s">
        <v>389</v>
      </c>
      <c r="F1320" s="94"/>
      <c r="G1320" s="94"/>
      <c r="H1320" s="94"/>
      <c r="I1320" s="94"/>
      <c r="J1320" s="94"/>
      <c r="K1320" s="94"/>
      <c r="L1320" s="94"/>
      <c r="M1320" s="94"/>
      <c r="N1320" s="94"/>
      <c r="O1320" s="94"/>
      <c r="P1320" s="94"/>
      <c r="Q1320" s="94"/>
      <c r="R1320" s="94"/>
      <c r="S1320" s="94"/>
      <c r="T1320" s="94"/>
      <c r="U1320" s="94"/>
      <c r="V1320" s="94"/>
      <c r="W1320" s="94"/>
      <c r="X1320" s="94"/>
      <c r="Y1320" s="94"/>
      <c r="Z1320" s="94"/>
      <c r="AA1320" s="94"/>
      <c r="AB1320" s="94"/>
      <c r="AC1320" s="94"/>
      <c r="AD1320" s="94"/>
      <c r="AE1320" s="94"/>
      <c r="AF1320" s="94"/>
      <c r="AG1320" s="94"/>
      <c r="AH1320" s="94"/>
      <c r="AI1320" s="94"/>
      <c r="AJ1320" s="94"/>
      <c r="AK1320" s="94"/>
      <c r="AL1320" s="94"/>
      <c r="AM1320" s="94"/>
      <c r="AN1320" s="94"/>
      <c r="AO1320" s="94"/>
      <c r="AP1320" s="94"/>
      <c r="AQ1320" s="94"/>
      <c r="AR1320" s="94"/>
      <c r="AS1320" s="94"/>
      <c r="AT1320" s="94"/>
      <c r="AU1320" s="94"/>
      <c r="AV1320" s="94"/>
      <c r="AW1320" s="94"/>
      <c r="AX1320" s="94"/>
      <c r="AY1320" s="94"/>
      <c r="AZ1320" s="94"/>
      <c r="BA1320" s="94"/>
      <c r="BB1320" s="94"/>
      <c r="BC1320" s="94"/>
      <c r="BD1320" s="94"/>
      <c r="BE1320" s="94"/>
      <c r="BF1320" s="94"/>
    </row>
    <row r="1321" spans="1:58" x14ac:dyDescent="0.35">
      <c r="A1321" s="107" t="s">
        <v>3119</v>
      </c>
      <c r="B1321" s="108" t="s">
        <v>0</v>
      </c>
      <c r="C1321" s="109">
        <v>7</v>
      </c>
      <c r="D1321" s="107" t="s">
        <v>1321</v>
      </c>
      <c r="E1321" s="109" t="s">
        <v>390</v>
      </c>
      <c r="F1321" s="94"/>
      <c r="G1321" s="94"/>
      <c r="H1321" s="94"/>
      <c r="I1321" s="94"/>
      <c r="J1321" s="94"/>
      <c r="K1321" s="94"/>
      <c r="L1321" s="94"/>
      <c r="M1321" s="94"/>
      <c r="N1321" s="94"/>
      <c r="O1321" s="94"/>
      <c r="P1321" s="94"/>
      <c r="Q1321" s="94"/>
      <c r="R1321" s="94"/>
      <c r="S1321" s="94"/>
      <c r="T1321" s="94"/>
      <c r="U1321" s="94"/>
      <c r="V1321" s="94"/>
      <c r="W1321" s="94"/>
      <c r="X1321" s="94"/>
      <c r="Y1321" s="94"/>
      <c r="Z1321" s="94"/>
      <c r="AA1321" s="94"/>
      <c r="AB1321" s="94"/>
      <c r="AC1321" s="94"/>
      <c r="AD1321" s="94"/>
      <c r="AE1321" s="94"/>
      <c r="AF1321" s="94"/>
      <c r="AG1321" s="94"/>
      <c r="AH1321" s="94"/>
      <c r="AI1321" s="94"/>
      <c r="AJ1321" s="94"/>
      <c r="AK1321" s="94"/>
      <c r="AL1321" s="94"/>
      <c r="AM1321" s="94"/>
      <c r="AN1321" s="94"/>
      <c r="AO1321" s="94"/>
      <c r="AP1321" s="94"/>
      <c r="AQ1321" s="94"/>
      <c r="AR1321" s="94"/>
      <c r="AS1321" s="94"/>
      <c r="AT1321" s="94"/>
      <c r="AU1321" s="94"/>
      <c r="AV1321" s="94"/>
      <c r="AW1321" s="94"/>
      <c r="AX1321" s="94"/>
      <c r="AY1321" s="94"/>
      <c r="AZ1321" s="94"/>
      <c r="BA1321" s="94"/>
      <c r="BB1321" s="94"/>
      <c r="BC1321" s="94"/>
      <c r="BD1321" s="94"/>
      <c r="BE1321" s="94"/>
      <c r="BF1321" s="94"/>
    </row>
    <row r="1322" spans="1:58" x14ac:dyDescent="0.35">
      <c r="A1322" s="107" t="s">
        <v>3120</v>
      </c>
      <c r="B1322" s="108" t="s">
        <v>0</v>
      </c>
      <c r="C1322" s="109">
        <v>7</v>
      </c>
      <c r="D1322" s="107" t="s">
        <v>1322</v>
      </c>
      <c r="E1322" s="109" t="s">
        <v>391</v>
      </c>
      <c r="F1322" s="94"/>
      <c r="G1322" s="94"/>
      <c r="H1322" s="94"/>
      <c r="I1322" s="94"/>
      <c r="J1322" s="94"/>
      <c r="K1322" s="94"/>
      <c r="L1322" s="94"/>
      <c r="M1322" s="94"/>
      <c r="N1322" s="94"/>
      <c r="O1322" s="94"/>
      <c r="P1322" s="94"/>
      <c r="Q1322" s="94"/>
      <c r="R1322" s="94"/>
      <c r="S1322" s="94"/>
      <c r="T1322" s="94"/>
      <c r="U1322" s="94"/>
      <c r="V1322" s="94"/>
      <c r="W1322" s="94"/>
      <c r="X1322" s="94"/>
      <c r="Y1322" s="94"/>
      <c r="Z1322" s="94"/>
      <c r="AA1322" s="94"/>
      <c r="AB1322" s="94"/>
      <c r="AC1322" s="94"/>
      <c r="AD1322" s="94"/>
      <c r="AE1322" s="94"/>
      <c r="AF1322" s="94"/>
      <c r="AG1322" s="94"/>
      <c r="AH1322" s="94"/>
      <c r="AI1322" s="94"/>
      <c r="AJ1322" s="94"/>
      <c r="AK1322" s="94"/>
      <c r="AL1322" s="94"/>
      <c r="AM1322" s="94"/>
      <c r="AN1322" s="94"/>
      <c r="AO1322" s="94"/>
      <c r="AP1322" s="94"/>
      <c r="AQ1322" s="94"/>
      <c r="AR1322" s="94"/>
      <c r="AS1322" s="94"/>
      <c r="AT1322" s="94"/>
      <c r="AU1322" s="94"/>
      <c r="AV1322" s="94"/>
      <c r="AW1322" s="94"/>
      <c r="AX1322" s="94"/>
      <c r="AY1322" s="94"/>
      <c r="AZ1322" s="94"/>
      <c r="BA1322" s="94"/>
      <c r="BB1322" s="94"/>
      <c r="BC1322" s="94"/>
      <c r="BD1322" s="94"/>
      <c r="BE1322" s="94"/>
      <c r="BF1322" s="94"/>
    </row>
    <row r="1323" spans="1:58" x14ac:dyDescent="0.35">
      <c r="A1323" s="107" t="s">
        <v>3121</v>
      </c>
      <c r="B1323" s="108" t="s">
        <v>0</v>
      </c>
      <c r="C1323" s="109">
        <v>7</v>
      </c>
      <c r="D1323" s="107" t="s">
        <v>1323</v>
      </c>
      <c r="E1323" s="109" t="s">
        <v>392</v>
      </c>
      <c r="F1323" s="94"/>
      <c r="G1323" s="94"/>
      <c r="H1323" s="94"/>
      <c r="I1323" s="94"/>
      <c r="J1323" s="94"/>
      <c r="K1323" s="94"/>
      <c r="L1323" s="94"/>
      <c r="M1323" s="94"/>
      <c r="N1323" s="94"/>
      <c r="O1323" s="94"/>
      <c r="P1323" s="94"/>
      <c r="Q1323" s="94"/>
      <c r="R1323" s="94"/>
      <c r="S1323" s="94"/>
      <c r="T1323" s="94"/>
      <c r="U1323" s="94"/>
      <c r="V1323" s="94"/>
      <c r="W1323" s="94"/>
      <c r="X1323" s="94"/>
      <c r="Y1323" s="94"/>
      <c r="Z1323" s="94"/>
      <c r="AA1323" s="94"/>
      <c r="AB1323" s="94"/>
      <c r="AC1323" s="94"/>
      <c r="AD1323" s="94"/>
      <c r="AE1323" s="94"/>
      <c r="AF1323" s="94"/>
      <c r="AG1323" s="94"/>
      <c r="AH1323" s="94"/>
      <c r="AI1323" s="94"/>
      <c r="AJ1323" s="94"/>
      <c r="AK1323" s="94"/>
      <c r="AL1323" s="94"/>
      <c r="AM1323" s="94"/>
      <c r="AN1323" s="94"/>
      <c r="AO1323" s="94"/>
      <c r="AP1323" s="94"/>
      <c r="AQ1323" s="94"/>
      <c r="AR1323" s="94"/>
      <c r="AS1323" s="94"/>
      <c r="AT1323" s="94"/>
      <c r="AU1323" s="94"/>
      <c r="AV1323" s="94"/>
      <c r="AW1323" s="94"/>
      <c r="AX1323" s="94"/>
      <c r="AY1323" s="94"/>
      <c r="AZ1323" s="94"/>
      <c r="BA1323" s="94"/>
      <c r="BB1323" s="94"/>
      <c r="BC1323" s="94"/>
      <c r="BD1323" s="94"/>
      <c r="BE1323" s="94"/>
      <c r="BF1323" s="94"/>
    </row>
    <row r="1324" spans="1:58" x14ac:dyDescent="0.35">
      <c r="A1324" s="107" t="s">
        <v>3122</v>
      </c>
      <c r="B1324" s="108" t="s">
        <v>0</v>
      </c>
      <c r="C1324" s="109">
        <v>7</v>
      </c>
      <c r="D1324" s="107" t="s">
        <v>1324</v>
      </c>
      <c r="E1324" s="109" t="s">
        <v>393</v>
      </c>
      <c r="F1324" s="94"/>
      <c r="G1324" s="94"/>
      <c r="H1324" s="94"/>
      <c r="I1324" s="94"/>
      <c r="J1324" s="94"/>
      <c r="K1324" s="94"/>
      <c r="L1324" s="94"/>
      <c r="M1324" s="94"/>
      <c r="N1324" s="94"/>
      <c r="O1324" s="94"/>
      <c r="P1324" s="94"/>
      <c r="Q1324" s="94"/>
      <c r="R1324" s="94"/>
      <c r="S1324" s="94"/>
      <c r="T1324" s="94"/>
      <c r="U1324" s="94"/>
      <c r="V1324" s="94"/>
      <c r="W1324" s="94"/>
      <c r="X1324" s="94"/>
      <c r="Y1324" s="94"/>
      <c r="Z1324" s="94"/>
      <c r="AA1324" s="94"/>
      <c r="AB1324" s="94"/>
      <c r="AC1324" s="94"/>
      <c r="AD1324" s="94"/>
      <c r="AE1324" s="94"/>
      <c r="AF1324" s="94"/>
      <c r="AG1324" s="94"/>
      <c r="AH1324" s="94"/>
      <c r="AI1324" s="94"/>
      <c r="AJ1324" s="94"/>
      <c r="AK1324" s="94"/>
      <c r="AL1324" s="94"/>
      <c r="AM1324" s="94"/>
      <c r="AN1324" s="94"/>
      <c r="AO1324" s="94"/>
      <c r="AP1324" s="94"/>
      <c r="AQ1324" s="94"/>
      <c r="AR1324" s="94"/>
      <c r="AS1324" s="94"/>
      <c r="AT1324" s="94"/>
      <c r="AU1324" s="94"/>
      <c r="AV1324" s="94"/>
      <c r="AW1324" s="94"/>
      <c r="AX1324" s="94"/>
      <c r="AY1324" s="94"/>
      <c r="AZ1324" s="94"/>
      <c r="BA1324" s="94"/>
      <c r="BB1324" s="94"/>
      <c r="BC1324" s="94"/>
      <c r="BD1324" s="94"/>
      <c r="BE1324" s="94"/>
      <c r="BF1324" s="94"/>
    </row>
    <row r="1325" spans="1:58" x14ac:dyDescent="0.35">
      <c r="A1325" s="107" t="s">
        <v>3123</v>
      </c>
      <c r="B1325" s="108" t="s">
        <v>0</v>
      </c>
      <c r="C1325" s="109">
        <v>7</v>
      </c>
      <c r="D1325" s="107" t="s">
        <v>1272</v>
      </c>
      <c r="E1325" s="109" t="s">
        <v>394</v>
      </c>
      <c r="F1325" s="94"/>
      <c r="G1325" s="94"/>
      <c r="H1325" s="94"/>
      <c r="I1325" s="94"/>
      <c r="J1325" s="94"/>
      <c r="K1325" s="94"/>
      <c r="L1325" s="94"/>
      <c r="M1325" s="94"/>
      <c r="N1325" s="94"/>
      <c r="O1325" s="94"/>
      <c r="P1325" s="94"/>
      <c r="Q1325" s="94"/>
      <c r="R1325" s="94"/>
      <c r="S1325" s="94"/>
      <c r="T1325" s="94"/>
      <c r="U1325" s="94"/>
      <c r="V1325" s="94"/>
      <c r="W1325" s="94"/>
      <c r="X1325" s="94"/>
      <c r="Y1325" s="94"/>
      <c r="Z1325" s="94"/>
      <c r="AA1325" s="94"/>
      <c r="AB1325" s="94"/>
      <c r="AC1325" s="94"/>
      <c r="AD1325" s="94"/>
      <c r="AE1325" s="94"/>
      <c r="AF1325" s="94"/>
      <c r="AG1325" s="94"/>
      <c r="AH1325" s="94"/>
      <c r="AI1325" s="94"/>
      <c r="AJ1325" s="94"/>
      <c r="AK1325" s="94"/>
      <c r="AL1325" s="94"/>
      <c r="AM1325" s="94"/>
      <c r="AN1325" s="94"/>
      <c r="AO1325" s="94"/>
      <c r="AP1325" s="94"/>
      <c r="AQ1325" s="94"/>
      <c r="AR1325" s="94"/>
      <c r="AS1325" s="94"/>
      <c r="AT1325" s="94"/>
      <c r="AU1325" s="94"/>
      <c r="AV1325" s="94"/>
      <c r="AW1325" s="94"/>
      <c r="AX1325" s="94"/>
      <c r="AY1325" s="94"/>
      <c r="AZ1325" s="94"/>
      <c r="BA1325" s="94"/>
      <c r="BB1325" s="94"/>
      <c r="BC1325" s="94"/>
      <c r="BD1325" s="94"/>
      <c r="BE1325" s="94"/>
      <c r="BF1325" s="94"/>
    </row>
    <row r="1326" spans="1:58" x14ac:dyDescent="0.35">
      <c r="A1326" s="107" t="s">
        <v>3124</v>
      </c>
      <c r="B1326" s="108" t="s">
        <v>0</v>
      </c>
      <c r="C1326" s="109">
        <v>7</v>
      </c>
      <c r="D1326" s="107" t="s">
        <v>1273</v>
      </c>
      <c r="E1326" s="109" t="s">
        <v>395</v>
      </c>
      <c r="F1326" s="94"/>
      <c r="G1326" s="94"/>
      <c r="H1326" s="94"/>
      <c r="I1326" s="94"/>
      <c r="J1326" s="94"/>
      <c r="K1326" s="94"/>
      <c r="L1326" s="94"/>
      <c r="M1326" s="94"/>
      <c r="N1326" s="94"/>
      <c r="O1326" s="94"/>
      <c r="P1326" s="94"/>
      <c r="Q1326" s="94"/>
      <c r="R1326" s="94"/>
      <c r="S1326" s="94"/>
      <c r="T1326" s="94"/>
      <c r="U1326" s="94"/>
      <c r="V1326" s="94"/>
      <c r="W1326" s="94"/>
      <c r="X1326" s="94"/>
      <c r="Y1326" s="94"/>
      <c r="Z1326" s="94"/>
      <c r="AA1326" s="94"/>
      <c r="AB1326" s="94"/>
      <c r="AC1326" s="94"/>
      <c r="AD1326" s="94"/>
      <c r="AE1326" s="94"/>
      <c r="AF1326" s="94"/>
      <c r="AG1326" s="94"/>
      <c r="AH1326" s="94"/>
      <c r="AI1326" s="94"/>
      <c r="AJ1326" s="94"/>
      <c r="AK1326" s="94"/>
      <c r="AL1326" s="94"/>
      <c r="AM1326" s="94"/>
      <c r="AN1326" s="94"/>
      <c r="AO1326" s="94"/>
      <c r="AP1326" s="94"/>
      <c r="AQ1326" s="94"/>
      <c r="AR1326" s="94"/>
      <c r="AS1326" s="94"/>
      <c r="AT1326" s="94"/>
      <c r="AU1326" s="94"/>
      <c r="AV1326" s="94"/>
      <c r="AW1326" s="94"/>
      <c r="AX1326" s="94"/>
      <c r="AY1326" s="94"/>
      <c r="AZ1326" s="94"/>
      <c r="BA1326" s="94"/>
      <c r="BB1326" s="94"/>
      <c r="BC1326" s="94"/>
      <c r="BD1326" s="94"/>
      <c r="BE1326" s="94"/>
      <c r="BF1326" s="94"/>
    </row>
    <row r="1327" spans="1:58" x14ac:dyDescent="0.35">
      <c r="A1327" s="107" t="s">
        <v>3125</v>
      </c>
      <c r="B1327" s="108" t="s">
        <v>0</v>
      </c>
      <c r="C1327" s="109">
        <v>7</v>
      </c>
      <c r="D1327" s="107" t="s">
        <v>1266</v>
      </c>
      <c r="E1327" s="109" t="s">
        <v>396</v>
      </c>
      <c r="F1327" s="94"/>
      <c r="G1327" s="94"/>
      <c r="H1327" s="94"/>
      <c r="I1327" s="94"/>
      <c r="J1327" s="94"/>
      <c r="K1327" s="94"/>
      <c r="L1327" s="94"/>
      <c r="M1327" s="94"/>
      <c r="N1327" s="94"/>
      <c r="O1327" s="94"/>
      <c r="P1327" s="94"/>
      <c r="Q1327" s="94"/>
      <c r="R1327" s="94"/>
      <c r="S1327" s="94"/>
      <c r="T1327" s="94"/>
      <c r="U1327" s="94"/>
      <c r="V1327" s="94"/>
      <c r="W1327" s="94"/>
      <c r="X1327" s="94"/>
      <c r="Y1327" s="94"/>
      <c r="Z1327" s="94"/>
      <c r="AA1327" s="94"/>
      <c r="AB1327" s="94"/>
      <c r="AC1327" s="94"/>
      <c r="AD1327" s="94"/>
      <c r="AE1327" s="94"/>
      <c r="AF1327" s="94"/>
      <c r="AG1327" s="94"/>
      <c r="AH1327" s="94"/>
      <c r="AI1327" s="94"/>
      <c r="AJ1327" s="94"/>
      <c r="AK1327" s="94"/>
      <c r="AL1327" s="94"/>
      <c r="AM1327" s="94"/>
      <c r="AN1327" s="94"/>
      <c r="AO1327" s="94"/>
      <c r="AP1327" s="94"/>
      <c r="AQ1327" s="94"/>
      <c r="AR1327" s="94"/>
      <c r="AS1327" s="94"/>
      <c r="AT1327" s="94"/>
      <c r="AU1327" s="94"/>
      <c r="AV1327" s="94"/>
      <c r="AW1327" s="94"/>
      <c r="AX1327" s="94"/>
      <c r="AY1327" s="94"/>
      <c r="AZ1327" s="94"/>
      <c r="BA1327" s="94"/>
      <c r="BB1327" s="94"/>
      <c r="BC1327" s="94"/>
      <c r="BD1327" s="94"/>
      <c r="BE1327" s="94"/>
      <c r="BF1327" s="94"/>
    </row>
    <row r="1328" spans="1:58" x14ac:dyDescent="0.35">
      <c r="A1328" s="107" t="s">
        <v>3126</v>
      </c>
      <c r="B1328" s="108" t="s">
        <v>0</v>
      </c>
      <c r="C1328" s="109">
        <v>7</v>
      </c>
      <c r="D1328" s="107" t="s">
        <v>1478</v>
      </c>
      <c r="E1328" s="109" t="s">
        <v>1427</v>
      </c>
      <c r="F1328" s="94"/>
      <c r="G1328" s="94"/>
      <c r="H1328" s="94"/>
      <c r="I1328" s="94"/>
      <c r="J1328" s="94"/>
      <c r="K1328" s="94"/>
      <c r="L1328" s="94"/>
      <c r="M1328" s="94"/>
      <c r="N1328" s="94"/>
      <c r="O1328" s="94"/>
      <c r="P1328" s="94"/>
      <c r="Q1328" s="94"/>
      <c r="R1328" s="94"/>
      <c r="S1328" s="94"/>
      <c r="T1328" s="94"/>
      <c r="U1328" s="94"/>
      <c r="V1328" s="94"/>
      <c r="W1328" s="94"/>
      <c r="X1328" s="94"/>
      <c r="Y1328" s="94"/>
      <c r="Z1328" s="94"/>
      <c r="AA1328" s="94"/>
      <c r="AB1328" s="94"/>
      <c r="AC1328" s="94"/>
      <c r="AD1328" s="94"/>
      <c r="AE1328" s="94"/>
      <c r="AF1328" s="94"/>
      <c r="AG1328" s="94"/>
      <c r="AH1328" s="94"/>
      <c r="AI1328" s="94"/>
      <c r="AJ1328" s="94"/>
      <c r="AK1328" s="94"/>
      <c r="AL1328" s="94"/>
      <c r="AM1328" s="94"/>
      <c r="AN1328" s="94"/>
      <c r="AO1328" s="94"/>
      <c r="AP1328" s="94"/>
      <c r="AQ1328" s="94"/>
      <c r="AR1328" s="94"/>
      <c r="AS1328" s="94"/>
      <c r="AT1328" s="94"/>
      <c r="AU1328" s="94"/>
      <c r="AV1328" s="94"/>
      <c r="AW1328" s="94"/>
      <c r="AX1328" s="94"/>
      <c r="AY1328" s="94"/>
      <c r="AZ1328" s="94"/>
      <c r="BA1328" s="94"/>
      <c r="BB1328" s="94"/>
      <c r="BC1328" s="94"/>
      <c r="BD1328" s="94"/>
      <c r="BE1328" s="94"/>
      <c r="BF1328" s="94"/>
    </row>
    <row r="1329" spans="1:58" x14ac:dyDescent="0.35">
      <c r="A1329" s="107" t="s">
        <v>3127</v>
      </c>
      <c r="B1329" s="108" t="s">
        <v>0</v>
      </c>
      <c r="C1329" s="109">
        <v>7</v>
      </c>
      <c r="D1329" s="107" t="s">
        <v>1615</v>
      </c>
      <c r="E1329" s="109" t="s">
        <v>1428</v>
      </c>
      <c r="F1329" s="94"/>
      <c r="G1329" s="94"/>
      <c r="H1329" s="94"/>
      <c r="I1329" s="94"/>
      <c r="J1329" s="94"/>
      <c r="K1329" s="94"/>
      <c r="L1329" s="94"/>
      <c r="M1329" s="94"/>
      <c r="N1329" s="94"/>
      <c r="O1329" s="94"/>
      <c r="P1329" s="94"/>
      <c r="Q1329" s="94"/>
      <c r="R1329" s="94"/>
      <c r="S1329" s="94"/>
      <c r="T1329" s="94"/>
      <c r="U1329" s="94"/>
      <c r="V1329" s="94"/>
      <c r="W1329" s="94"/>
      <c r="X1329" s="94"/>
      <c r="Y1329" s="94"/>
      <c r="Z1329" s="94"/>
      <c r="AA1329" s="94"/>
      <c r="AB1329" s="94"/>
      <c r="AC1329" s="94"/>
      <c r="AD1329" s="94"/>
      <c r="AE1329" s="94"/>
      <c r="AF1329" s="94"/>
      <c r="AG1329" s="94"/>
      <c r="AH1329" s="94"/>
      <c r="AI1329" s="94"/>
      <c r="AJ1329" s="94"/>
      <c r="AK1329" s="94"/>
      <c r="AL1329" s="94"/>
      <c r="AM1329" s="94"/>
      <c r="AN1329" s="94"/>
      <c r="AO1329" s="94"/>
      <c r="AP1329" s="94"/>
      <c r="AQ1329" s="94"/>
      <c r="AR1329" s="94"/>
      <c r="AS1329" s="94"/>
      <c r="AT1329" s="94"/>
      <c r="AU1329" s="94"/>
      <c r="AV1329" s="94"/>
      <c r="AW1329" s="94"/>
      <c r="AX1329" s="94"/>
      <c r="AY1329" s="94"/>
      <c r="AZ1329" s="94"/>
      <c r="BA1329" s="94"/>
      <c r="BB1329" s="94"/>
      <c r="BC1329" s="94"/>
      <c r="BD1329" s="94"/>
      <c r="BE1329" s="94"/>
      <c r="BF1329" s="94"/>
    </row>
    <row r="1330" spans="1:58" x14ac:dyDescent="0.35">
      <c r="A1330" s="107" t="s">
        <v>3128</v>
      </c>
      <c r="B1330" s="108" t="s">
        <v>0</v>
      </c>
      <c r="C1330" s="109">
        <v>7</v>
      </c>
      <c r="D1330" s="107" t="s">
        <v>1429</v>
      </c>
      <c r="E1330" s="109" t="s">
        <v>1430</v>
      </c>
      <c r="F1330" s="94"/>
      <c r="G1330" s="94"/>
      <c r="H1330" s="94"/>
      <c r="I1330" s="94"/>
      <c r="J1330" s="94"/>
      <c r="K1330" s="94"/>
      <c r="L1330" s="94"/>
      <c r="M1330" s="94"/>
      <c r="N1330" s="94"/>
      <c r="O1330" s="94"/>
      <c r="P1330" s="94"/>
      <c r="Q1330" s="94"/>
      <c r="R1330" s="94"/>
      <c r="S1330" s="94"/>
      <c r="T1330" s="94"/>
      <c r="U1330" s="94"/>
      <c r="V1330" s="94"/>
      <c r="W1330" s="94"/>
      <c r="X1330" s="94"/>
      <c r="Y1330" s="94"/>
      <c r="Z1330" s="94"/>
      <c r="AA1330" s="94"/>
      <c r="AB1330" s="94"/>
      <c r="AC1330" s="94"/>
      <c r="AD1330" s="94"/>
      <c r="AE1330" s="94"/>
      <c r="AF1330" s="94"/>
      <c r="AG1330" s="94"/>
      <c r="AH1330" s="94"/>
      <c r="AI1330" s="94"/>
      <c r="AJ1330" s="94"/>
      <c r="AK1330" s="94"/>
      <c r="AL1330" s="94"/>
      <c r="AM1330" s="94"/>
      <c r="AN1330" s="94"/>
      <c r="AO1330" s="94"/>
      <c r="AP1330" s="94"/>
      <c r="AQ1330" s="94"/>
      <c r="AR1330" s="94"/>
      <c r="AS1330" s="94"/>
      <c r="AT1330" s="94"/>
      <c r="AU1330" s="94"/>
      <c r="AV1330" s="94"/>
      <c r="AW1330" s="94"/>
      <c r="AX1330" s="94"/>
      <c r="AY1330" s="94"/>
      <c r="AZ1330" s="94"/>
      <c r="BA1330" s="94"/>
      <c r="BB1330" s="94"/>
      <c r="BC1330" s="94"/>
      <c r="BD1330" s="94"/>
      <c r="BE1330" s="94"/>
      <c r="BF1330" s="94"/>
    </row>
    <row r="1331" spans="1:58" x14ac:dyDescent="0.35">
      <c r="A1331" s="107" t="s">
        <v>3129</v>
      </c>
      <c r="B1331" s="108" t="s">
        <v>0</v>
      </c>
      <c r="C1331" s="109">
        <v>7</v>
      </c>
      <c r="D1331" s="107" t="s">
        <v>1429</v>
      </c>
      <c r="E1331" s="109" t="s">
        <v>1431</v>
      </c>
      <c r="F1331" s="94"/>
      <c r="G1331" s="94"/>
      <c r="H1331" s="94"/>
      <c r="I1331" s="94"/>
      <c r="J1331" s="94"/>
      <c r="K1331" s="94"/>
      <c r="L1331" s="94"/>
      <c r="M1331" s="94"/>
      <c r="N1331" s="94"/>
      <c r="O1331" s="94"/>
      <c r="P1331" s="94"/>
      <c r="Q1331" s="94"/>
      <c r="R1331" s="94"/>
      <c r="S1331" s="94"/>
      <c r="T1331" s="94"/>
      <c r="U1331" s="94"/>
      <c r="V1331" s="94"/>
      <c r="W1331" s="94"/>
      <c r="X1331" s="94"/>
      <c r="Y1331" s="94"/>
      <c r="Z1331" s="94"/>
      <c r="AA1331" s="94"/>
      <c r="AB1331" s="94"/>
      <c r="AC1331" s="94"/>
      <c r="AD1331" s="94"/>
      <c r="AE1331" s="94"/>
      <c r="AF1331" s="94"/>
      <c r="AG1331" s="94"/>
      <c r="AH1331" s="94"/>
      <c r="AI1331" s="94"/>
      <c r="AJ1331" s="94"/>
      <c r="AK1331" s="94"/>
      <c r="AL1331" s="94"/>
      <c r="AM1331" s="94"/>
      <c r="AN1331" s="94"/>
      <c r="AO1331" s="94"/>
      <c r="AP1331" s="94"/>
      <c r="AQ1331" s="94"/>
      <c r="AR1331" s="94"/>
      <c r="AS1331" s="94"/>
      <c r="AT1331" s="94"/>
      <c r="AU1331" s="94"/>
      <c r="AV1331" s="94"/>
      <c r="AW1331" s="94"/>
      <c r="AX1331" s="94"/>
      <c r="AY1331" s="94"/>
      <c r="AZ1331" s="94"/>
      <c r="BA1331" s="94"/>
      <c r="BB1331" s="94"/>
      <c r="BC1331" s="94"/>
      <c r="BD1331" s="94"/>
      <c r="BE1331" s="94"/>
      <c r="BF1331" s="94"/>
    </row>
    <row r="1332" spans="1:58" x14ac:dyDescent="0.35">
      <c r="A1332" s="107" t="s">
        <v>3130</v>
      </c>
      <c r="B1332" s="108" t="s">
        <v>0</v>
      </c>
      <c r="C1332" s="109">
        <v>7</v>
      </c>
      <c r="D1332" s="107" t="s">
        <v>1432</v>
      </c>
      <c r="E1332" s="109" t="s">
        <v>1433</v>
      </c>
      <c r="F1332" s="94"/>
      <c r="G1332" s="94"/>
      <c r="H1332" s="94"/>
      <c r="I1332" s="94"/>
      <c r="J1332" s="94"/>
      <c r="K1332" s="94"/>
      <c r="L1332" s="94"/>
      <c r="M1332" s="94"/>
      <c r="N1332" s="94"/>
      <c r="O1332" s="94"/>
      <c r="P1332" s="94"/>
      <c r="Q1332" s="94"/>
      <c r="R1332" s="94"/>
      <c r="S1332" s="94"/>
      <c r="T1332" s="94"/>
      <c r="U1332" s="94"/>
      <c r="V1332" s="94"/>
      <c r="W1332" s="94"/>
      <c r="X1332" s="94"/>
      <c r="Y1332" s="94"/>
      <c r="Z1332" s="94"/>
      <c r="AA1332" s="94"/>
      <c r="AB1332" s="94"/>
      <c r="AC1332" s="94"/>
      <c r="AD1332" s="94"/>
      <c r="AE1332" s="94"/>
      <c r="AF1332" s="94"/>
      <c r="AG1332" s="94"/>
      <c r="AH1332" s="94"/>
      <c r="AI1332" s="94"/>
      <c r="AJ1332" s="94"/>
      <c r="AK1332" s="94"/>
      <c r="AL1332" s="94"/>
      <c r="AM1332" s="94"/>
      <c r="AN1332" s="94"/>
      <c r="AO1332" s="94"/>
      <c r="AP1332" s="94"/>
      <c r="AQ1332" s="94"/>
      <c r="AR1332" s="94"/>
      <c r="AS1332" s="94"/>
      <c r="AT1332" s="94"/>
      <c r="AU1332" s="94"/>
      <c r="AV1332" s="94"/>
      <c r="AW1332" s="94"/>
      <c r="AX1332" s="94"/>
      <c r="AY1332" s="94"/>
      <c r="AZ1332" s="94"/>
      <c r="BA1332" s="94"/>
      <c r="BB1332" s="94"/>
      <c r="BC1332" s="94"/>
      <c r="BD1332" s="94"/>
      <c r="BE1332" s="94"/>
      <c r="BF1332" s="94"/>
    </row>
    <row r="1333" spans="1:58" x14ac:dyDescent="0.35">
      <c r="A1333" s="107" t="s">
        <v>3131</v>
      </c>
      <c r="B1333" s="108" t="s">
        <v>0</v>
      </c>
      <c r="C1333" s="109">
        <v>7</v>
      </c>
      <c r="D1333" s="107" t="s">
        <v>1432</v>
      </c>
      <c r="E1333" s="109" t="s">
        <v>1434</v>
      </c>
      <c r="F1333" s="94"/>
      <c r="G1333" s="94"/>
      <c r="H1333" s="94"/>
      <c r="I1333" s="94"/>
      <c r="J1333" s="94"/>
      <c r="K1333" s="94"/>
      <c r="L1333" s="94"/>
      <c r="M1333" s="94"/>
      <c r="N1333" s="94"/>
      <c r="O1333" s="94"/>
      <c r="P1333" s="94"/>
      <c r="Q1333" s="94"/>
      <c r="R1333" s="94"/>
      <c r="S1333" s="94"/>
      <c r="T1333" s="94"/>
      <c r="U1333" s="94"/>
      <c r="V1333" s="94"/>
      <c r="W1333" s="94"/>
      <c r="X1333" s="94"/>
      <c r="Y1333" s="94"/>
      <c r="Z1333" s="94"/>
      <c r="AA1333" s="94"/>
      <c r="AB1333" s="94"/>
      <c r="AC1333" s="94"/>
      <c r="AD1333" s="94"/>
      <c r="AE1333" s="94"/>
      <c r="AF1333" s="94"/>
      <c r="AG1333" s="94"/>
      <c r="AH1333" s="94"/>
      <c r="AI1333" s="94"/>
      <c r="AJ1333" s="94"/>
      <c r="AK1333" s="94"/>
      <c r="AL1333" s="94"/>
      <c r="AM1333" s="94"/>
      <c r="AN1333" s="94"/>
      <c r="AO1333" s="94"/>
      <c r="AP1333" s="94"/>
      <c r="AQ1333" s="94"/>
      <c r="AR1333" s="94"/>
      <c r="AS1333" s="94"/>
      <c r="AT1333" s="94"/>
      <c r="AU1333" s="94"/>
      <c r="AV1333" s="94"/>
      <c r="AW1333" s="94"/>
      <c r="AX1333" s="94"/>
      <c r="AY1333" s="94"/>
      <c r="AZ1333" s="94"/>
      <c r="BA1333" s="94"/>
      <c r="BB1333" s="94"/>
      <c r="BC1333" s="94"/>
      <c r="BD1333" s="94"/>
      <c r="BE1333" s="94"/>
      <c r="BF1333" s="94"/>
    </row>
    <row r="1334" spans="1:58" x14ac:dyDescent="0.35">
      <c r="A1334" s="107" t="s">
        <v>3132</v>
      </c>
      <c r="B1334" s="108" t="s">
        <v>0</v>
      </c>
      <c r="C1334" s="109">
        <v>7</v>
      </c>
      <c r="D1334" s="107" t="s">
        <v>1429</v>
      </c>
      <c r="E1334" s="109" t="s">
        <v>1435</v>
      </c>
      <c r="F1334" s="94"/>
      <c r="G1334" s="94"/>
      <c r="H1334" s="94"/>
      <c r="I1334" s="94"/>
      <c r="J1334" s="94"/>
      <c r="K1334" s="94"/>
      <c r="L1334" s="94"/>
      <c r="M1334" s="94"/>
      <c r="N1334" s="94"/>
      <c r="O1334" s="94"/>
      <c r="P1334" s="94"/>
      <c r="Q1334" s="94"/>
      <c r="R1334" s="94"/>
      <c r="S1334" s="94"/>
      <c r="T1334" s="94"/>
      <c r="U1334" s="94"/>
      <c r="V1334" s="94"/>
      <c r="W1334" s="94"/>
      <c r="X1334" s="94"/>
      <c r="Y1334" s="94"/>
      <c r="Z1334" s="94"/>
      <c r="AA1334" s="94"/>
      <c r="AB1334" s="94"/>
      <c r="AC1334" s="94"/>
      <c r="AD1334" s="94"/>
      <c r="AE1334" s="94"/>
      <c r="AF1334" s="94"/>
      <c r="AG1334" s="94"/>
      <c r="AH1334" s="94"/>
      <c r="AI1334" s="94"/>
      <c r="AJ1334" s="94"/>
      <c r="AK1334" s="94"/>
      <c r="AL1334" s="94"/>
      <c r="AM1334" s="94"/>
      <c r="AN1334" s="94"/>
      <c r="AO1334" s="94"/>
      <c r="AP1334" s="94"/>
      <c r="AQ1334" s="94"/>
      <c r="AR1334" s="94"/>
      <c r="AS1334" s="94"/>
      <c r="AT1334" s="94"/>
      <c r="AU1334" s="94"/>
      <c r="AV1334" s="94"/>
      <c r="AW1334" s="94"/>
      <c r="AX1334" s="94"/>
      <c r="AY1334" s="94"/>
      <c r="AZ1334" s="94"/>
      <c r="BA1334" s="94"/>
      <c r="BB1334" s="94"/>
      <c r="BC1334" s="94"/>
      <c r="BD1334" s="94"/>
      <c r="BE1334" s="94"/>
      <c r="BF1334" s="94"/>
    </row>
    <row r="1335" spans="1:58" x14ac:dyDescent="0.35">
      <c r="A1335" s="107" t="s">
        <v>3133</v>
      </c>
      <c r="B1335" s="108" t="s">
        <v>0</v>
      </c>
      <c r="C1335" s="109">
        <v>7</v>
      </c>
      <c r="D1335" s="107" t="s">
        <v>1429</v>
      </c>
      <c r="E1335" s="109" t="s">
        <v>1436</v>
      </c>
      <c r="F1335" s="94"/>
      <c r="G1335" s="94"/>
      <c r="H1335" s="94"/>
      <c r="I1335" s="94"/>
      <c r="J1335" s="94"/>
      <c r="K1335" s="94"/>
      <c r="L1335" s="94"/>
      <c r="M1335" s="94"/>
      <c r="N1335" s="94"/>
      <c r="O1335" s="94"/>
      <c r="P1335" s="94"/>
      <c r="Q1335" s="94"/>
      <c r="R1335" s="94"/>
      <c r="S1335" s="94"/>
      <c r="T1335" s="94"/>
      <c r="U1335" s="94"/>
      <c r="V1335" s="94"/>
      <c r="W1335" s="94"/>
      <c r="X1335" s="94"/>
      <c r="Y1335" s="94"/>
      <c r="Z1335" s="94"/>
      <c r="AA1335" s="94"/>
      <c r="AB1335" s="94"/>
      <c r="AC1335" s="94"/>
      <c r="AD1335" s="94"/>
      <c r="AE1335" s="94"/>
      <c r="AF1335" s="94"/>
      <c r="AG1335" s="94"/>
      <c r="AH1335" s="94"/>
      <c r="AI1335" s="94"/>
      <c r="AJ1335" s="94"/>
      <c r="AK1335" s="94"/>
      <c r="AL1335" s="94"/>
      <c r="AM1335" s="94"/>
      <c r="AN1335" s="94"/>
      <c r="AO1335" s="94"/>
      <c r="AP1335" s="94"/>
      <c r="AQ1335" s="94"/>
      <c r="AR1335" s="94"/>
      <c r="AS1335" s="94"/>
      <c r="AT1335" s="94"/>
      <c r="AU1335" s="94"/>
      <c r="AV1335" s="94"/>
      <c r="AW1335" s="94"/>
      <c r="AX1335" s="94"/>
      <c r="AY1335" s="94"/>
      <c r="AZ1335" s="94"/>
      <c r="BA1335" s="94"/>
      <c r="BB1335" s="94"/>
      <c r="BC1335" s="94"/>
      <c r="BD1335" s="94"/>
      <c r="BE1335" s="94"/>
      <c r="BF1335" s="94"/>
    </row>
    <row r="1336" spans="1:58" x14ac:dyDescent="0.35">
      <c r="A1336" s="107" t="s">
        <v>3134</v>
      </c>
      <c r="B1336" s="108" t="s">
        <v>0</v>
      </c>
      <c r="C1336" s="109">
        <v>7</v>
      </c>
      <c r="D1336" s="107" t="s">
        <v>1485</v>
      </c>
      <c r="E1336" s="109" t="s">
        <v>1437</v>
      </c>
      <c r="F1336" s="94"/>
      <c r="G1336" s="94"/>
      <c r="H1336" s="94"/>
      <c r="I1336" s="94"/>
      <c r="J1336" s="94"/>
      <c r="K1336" s="94"/>
      <c r="L1336" s="94"/>
      <c r="M1336" s="94"/>
      <c r="N1336" s="94"/>
      <c r="O1336" s="94"/>
      <c r="P1336" s="94"/>
      <c r="Q1336" s="94"/>
      <c r="R1336" s="94"/>
      <c r="S1336" s="94"/>
      <c r="T1336" s="94"/>
      <c r="U1336" s="94"/>
      <c r="V1336" s="94"/>
      <c r="W1336" s="94"/>
      <c r="X1336" s="94"/>
      <c r="Y1336" s="94"/>
      <c r="Z1336" s="94"/>
      <c r="AA1336" s="94"/>
      <c r="AB1336" s="94"/>
      <c r="AC1336" s="94"/>
      <c r="AD1336" s="94"/>
      <c r="AE1336" s="94"/>
      <c r="AF1336" s="94"/>
      <c r="AG1336" s="94"/>
      <c r="AH1336" s="94"/>
      <c r="AI1336" s="94"/>
      <c r="AJ1336" s="94"/>
      <c r="AK1336" s="94"/>
      <c r="AL1336" s="94"/>
      <c r="AM1336" s="94"/>
      <c r="AN1336" s="94"/>
      <c r="AO1336" s="94"/>
      <c r="AP1336" s="94"/>
      <c r="AQ1336" s="94"/>
      <c r="AR1336" s="94"/>
      <c r="AS1336" s="94"/>
      <c r="AT1336" s="94"/>
      <c r="AU1336" s="94"/>
      <c r="AV1336" s="94"/>
      <c r="AW1336" s="94"/>
      <c r="AX1336" s="94"/>
      <c r="AY1336" s="94"/>
      <c r="AZ1336" s="94"/>
      <c r="BA1336" s="94"/>
      <c r="BB1336" s="94"/>
      <c r="BC1336" s="94"/>
      <c r="BD1336" s="94"/>
      <c r="BE1336" s="94"/>
      <c r="BF1336" s="94"/>
    </row>
    <row r="1337" spans="1:58" x14ac:dyDescent="0.35">
      <c r="A1337" s="107" t="s">
        <v>3135</v>
      </c>
      <c r="B1337" s="108" t="s">
        <v>0</v>
      </c>
      <c r="C1337" s="109">
        <v>7</v>
      </c>
      <c r="D1337" s="107" t="s">
        <v>1479</v>
      </c>
      <c r="E1337" s="109" t="s">
        <v>1438</v>
      </c>
      <c r="F1337" s="94"/>
      <c r="G1337" s="94"/>
      <c r="H1337" s="94"/>
      <c r="I1337" s="94"/>
      <c r="J1337" s="94"/>
      <c r="K1337" s="94"/>
      <c r="L1337" s="94"/>
      <c r="M1337" s="94"/>
      <c r="N1337" s="94"/>
      <c r="O1337" s="94"/>
      <c r="P1337" s="94"/>
      <c r="Q1337" s="94"/>
      <c r="R1337" s="94"/>
      <c r="S1337" s="94"/>
      <c r="T1337" s="94"/>
      <c r="U1337" s="94"/>
      <c r="V1337" s="94"/>
      <c r="W1337" s="94"/>
      <c r="X1337" s="94"/>
      <c r="Y1337" s="94"/>
      <c r="Z1337" s="94"/>
      <c r="AA1337" s="94"/>
      <c r="AB1337" s="94"/>
      <c r="AC1337" s="94"/>
      <c r="AD1337" s="94"/>
      <c r="AE1337" s="94"/>
      <c r="AF1337" s="94"/>
      <c r="AG1337" s="94"/>
      <c r="AH1337" s="94"/>
      <c r="AI1337" s="94"/>
      <c r="AJ1337" s="94"/>
      <c r="AK1337" s="94"/>
      <c r="AL1337" s="94"/>
      <c r="AM1337" s="94"/>
      <c r="AN1337" s="94"/>
      <c r="AO1337" s="94"/>
      <c r="AP1337" s="94"/>
      <c r="AQ1337" s="94"/>
      <c r="AR1337" s="94"/>
      <c r="AS1337" s="94"/>
      <c r="AT1337" s="94"/>
      <c r="AU1337" s="94"/>
      <c r="AV1337" s="94"/>
      <c r="AW1337" s="94"/>
      <c r="AX1337" s="94"/>
      <c r="AY1337" s="94"/>
      <c r="AZ1337" s="94"/>
      <c r="BA1337" s="94"/>
      <c r="BB1337" s="94"/>
      <c r="BC1337" s="94"/>
      <c r="BD1337" s="94"/>
      <c r="BE1337" s="94"/>
      <c r="BF1337" s="94"/>
    </row>
    <row r="1338" spans="1:58" x14ac:dyDescent="0.35">
      <c r="A1338" s="107" t="s">
        <v>3136</v>
      </c>
      <c r="B1338" s="108" t="s">
        <v>0</v>
      </c>
      <c r="C1338" s="109">
        <v>7</v>
      </c>
      <c r="D1338" s="107" t="s">
        <v>1480</v>
      </c>
      <c r="E1338" s="109" t="s">
        <v>1439</v>
      </c>
      <c r="F1338" s="94"/>
      <c r="G1338" s="94"/>
      <c r="H1338" s="94"/>
      <c r="I1338" s="94"/>
      <c r="J1338" s="94"/>
      <c r="K1338" s="94"/>
      <c r="L1338" s="94"/>
      <c r="M1338" s="94"/>
      <c r="N1338" s="94"/>
      <c r="O1338" s="94"/>
      <c r="P1338" s="94"/>
      <c r="Q1338" s="94"/>
      <c r="R1338" s="94"/>
      <c r="S1338" s="94"/>
      <c r="T1338" s="94"/>
      <c r="U1338" s="94"/>
      <c r="V1338" s="94"/>
      <c r="W1338" s="94"/>
      <c r="X1338" s="94"/>
      <c r="Y1338" s="94"/>
      <c r="Z1338" s="94"/>
      <c r="AA1338" s="94"/>
      <c r="AB1338" s="94"/>
      <c r="AC1338" s="94"/>
      <c r="AD1338" s="94"/>
      <c r="AE1338" s="94"/>
      <c r="AF1338" s="94"/>
      <c r="AG1338" s="94"/>
      <c r="AH1338" s="94"/>
      <c r="AI1338" s="94"/>
      <c r="AJ1338" s="94"/>
      <c r="AK1338" s="94"/>
      <c r="AL1338" s="94"/>
      <c r="AM1338" s="94"/>
      <c r="AN1338" s="94"/>
      <c r="AO1338" s="94"/>
      <c r="AP1338" s="94"/>
      <c r="AQ1338" s="94"/>
      <c r="AR1338" s="94"/>
      <c r="AS1338" s="94"/>
      <c r="AT1338" s="94"/>
      <c r="AU1338" s="94"/>
      <c r="AV1338" s="94"/>
      <c r="AW1338" s="94"/>
      <c r="AX1338" s="94"/>
      <c r="AY1338" s="94"/>
      <c r="AZ1338" s="94"/>
      <c r="BA1338" s="94"/>
      <c r="BB1338" s="94"/>
      <c r="BC1338" s="94"/>
      <c r="BD1338" s="94"/>
      <c r="BE1338" s="94"/>
      <c r="BF1338" s="94"/>
    </row>
    <row r="1339" spans="1:58" x14ac:dyDescent="0.35">
      <c r="A1339" s="107" t="s">
        <v>3137</v>
      </c>
      <c r="B1339" s="108" t="s">
        <v>0</v>
      </c>
      <c r="C1339" s="109">
        <v>7</v>
      </c>
      <c r="D1339" s="107" t="s">
        <v>1481</v>
      </c>
      <c r="E1339" s="109" t="s">
        <v>1440</v>
      </c>
      <c r="F1339" s="94"/>
      <c r="G1339" s="94"/>
      <c r="H1339" s="94"/>
      <c r="I1339" s="94"/>
      <c r="J1339" s="94"/>
      <c r="K1339" s="94"/>
      <c r="L1339" s="94"/>
      <c r="M1339" s="94"/>
      <c r="N1339" s="94"/>
      <c r="O1339" s="94"/>
      <c r="P1339" s="94"/>
      <c r="Q1339" s="94"/>
      <c r="R1339" s="94"/>
      <c r="S1339" s="94"/>
      <c r="T1339" s="94"/>
      <c r="U1339" s="94"/>
      <c r="V1339" s="94"/>
      <c r="W1339" s="94"/>
      <c r="X1339" s="94"/>
      <c r="Y1339" s="94"/>
      <c r="Z1339" s="94"/>
      <c r="AA1339" s="94"/>
      <c r="AB1339" s="94"/>
      <c r="AC1339" s="94"/>
      <c r="AD1339" s="94"/>
      <c r="AE1339" s="94"/>
      <c r="AF1339" s="94"/>
      <c r="AG1339" s="94"/>
      <c r="AH1339" s="94"/>
      <c r="AI1339" s="94"/>
      <c r="AJ1339" s="94"/>
      <c r="AK1339" s="94"/>
      <c r="AL1339" s="94"/>
      <c r="AM1339" s="94"/>
      <c r="AN1339" s="94"/>
      <c r="AO1339" s="94"/>
      <c r="AP1339" s="94"/>
      <c r="AQ1339" s="94"/>
      <c r="AR1339" s="94"/>
      <c r="AS1339" s="94"/>
      <c r="AT1339" s="94"/>
      <c r="AU1339" s="94"/>
      <c r="AV1339" s="94"/>
      <c r="AW1339" s="94"/>
      <c r="AX1339" s="94"/>
      <c r="AY1339" s="94"/>
      <c r="AZ1339" s="94"/>
      <c r="BA1339" s="94"/>
      <c r="BB1339" s="94"/>
      <c r="BC1339" s="94"/>
      <c r="BD1339" s="94"/>
      <c r="BE1339" s="94"/>
      <c r="BF1339" s="94"/>
    </row>
    <row r="1340" spans="1:58" x14ac:dyDescent="0.35">
      <c r="A1340" s="107" t="s">
        <v>3138</v>
      </c>
      <c r="B1340" s="108" t="s">
        <v>0</v>
      </c>
      <c r="C1340" s="109">
        <v>7</v>
      </c>
      <c r="D1340" s="107" t="s">
        <v>1482</v>
      </c>
      <c r="E1340" s="109" t="s">
        <v>1441</v>
      </c>
      <c r="F1340" s="94"/>
      <c r="G1340" s="94"/>
      <c r="H1340" s="94"/>
      <c r="I1340" s="94"/>
      <c r="J1340" s="94"/>
      <c r="K1340" s="94"/>
      <c r="L1340" s="94"/>
      <c r="M1340" s="94"/>
      <c r="N1340" s="94"/>
      <c r="O1340" s="94"/>
      <c r="P1340" s="94"/>
      <c r="Q1340" s="94"/>
      <c r="R1340" s="94"/>
      <c r="S1340" s="94"/>
      <c r="T1340" s="94"/>
      <c r="U1340" s="94"/>
      <c r="V1340" s="94"/>
      <c r="W1340" s="94"/>
      <c r="X1340" s="94"/>
      <c r="Y1340" s="94"/>
      <c r="Z1340" s="94"/>
      <c r="AA1340" s="94"/>
      <c r="AB1340" s="94"/>
      <c r="AC1340" s="94"/>
      <c r="AD1340" s="94"/>
      <c r="AE1340" s="94"/>
      <c r="AF1340" s="94"/>
      <c r="AG1340" s="94"/>
      <c r="AH1340" s="94"/>
      <c r="AI1340" s="94"/>
      <c r="AJ1340" s="94"/>
      <c r="AK1340" s="94"/>
      <c r="AL1340" s="94"/>
      <c r="AM1340" s="94"/>
      <c r="AN1340" s="94"/>
      <c r="AO1340" s="94"/>
      <c r="AP1340" s="94"/>
      <c r="AQ1340" s="94"/>
      <c r="AR1340" s="94"/>
      <c r="AS1340" s="94"/>
      <c r="AT1340" s="94"/>
      <c r="AU1340" s="94"/>
      <c r="AV1340" s="94"/>
      <c r="AW1340" s="94"/>
      <c r="AX1340" s="94"/>
      <c r="AY1340" s="94"/>
      <c r="AZ1340" s="94"/>
      <c r="BA1340" s="94"/>
      <c r="BB1340" s="94"/>
      <c r="BC1340" s="94"/>
      <c r="BD1340" s="94"/>
      <c r="BE1340" s="94"/>
      <c r="BF1340" s="94"/>
    </row>
    <row r="1341" spans="1:58" x14ac:dyDescent="0.35">
      <c r="A1341" s="107" t="s">
        <v>3139</v>
      </c>
      <c r="B1341" s="108" t="s">
        <v>0</v>
      </c>
      <c r="C1341" s="109">
        <v>7</v>
      </c>
      <c r="D1341" s="107" t="s">
        <v>1483</v>
      </c>
      <c r="E1341" s="109" t="s">
        <v>1442</v>
      </c>
      <c r="F1341" s="94"/>
      <c r="G1341" s="94"/>
      <c r="H1341" s="94"/>
      <c r="I1341" s="94"/>
      <c r="J1341" s="94"/>
      <c r="K1341" s="94"/>
      <c r="L1341" s="94"/>
      <c r="M1341" s="94"/>
      <c r="N1341" s="94"/>
      <c r="O1341" s="94"/>
      <c r="P1341" s="94"/>
      <c r="Q1341" s="94"/>
      <c r="R1341" s="94"/>
      <c r="S1341" s="94"/>
      <c r="T1341" s="94"/>
      <c r="U1341" s="94"/>
      <c r="V1341" s="94"/>
      <c r="W1341" s="94"/>
      <c r="X1341" s="94"/>
      <c r="Y1341" s="94"/>
      <c r="Z1341" s="94"/>
      <c r="AA1341" s="94"/>
      <c r="AB1341" s="94"/>
      <c r="AC1341" s="94"/>
      <c r="AD1341" s="94"/>
      <c r="AE1341" s="94"/>
      <c r="AF1341" s="94"/>
      <c r="AG1341" s="94"/>
      <c r="AH1341" s="94"/>
      <c r="AI1341" s="94"/>
      <c r="AJ1341" s="94"/>
      <c r="AK1341" s="94"/>
      <c r="AL1341" s="94"/>
      <c r="AM1341" s="94"/>
      <c r="AN1341" s="94"/>
      <c r="AO1341" s="94"/>
      <c r="AP1341" s="94"/>
      <c r="AQ1341" s="94"/>
      <c r="AR1341" s="94"/>
      <c r="AS1341" s="94"/>
      <c r="AT1341" s="94"/>
      <c r="AU1341" s="94"/>
      <c r="AV1341" s="94"/>
      <c r="AW1341" s="94"/>
      <c r="AX1341" s="94"/>
      <c r="AY1341" s="94"/>
      <c r="AZ1341" s="94"/>
      <c r="BA1341" s="94"/>
      <c r="BB1341" s="94"/>
      <c r="BC1341" s="94"/>
      <c r="BD1341" s="94"/>
      <c r="BE1341" s="94"/>
      <c r="BF1341" s="94"/>
    </row>
    <row r="1342" spans="1:58" x14ac:dyDescent="0.35">
      <c r="A1342" s="107" t="s">
        <v>3140</v>
      </c>
      <c r="B1342" s="108" t="s">
        <v>0</v>
      </c>
      <c r="C1342" s="109">
        <v>7</v>
      </c>
      <c r="D1342" s="107" t="s">
        <v>1484</v>
      </c>
      <c r="E1342" s="109" t="s">
        <v>1443</v>
      </c>
      <c r="F1342" s="94"/>
      <c r="G1342" s="94"/>
      <c r="H1342" s="94"/>
      <c r="I1342" s="94"/>
      <c r="J1342" s="94"/>
      <c r="K1342" s="94"/>
      <c r="L1342" s="94"/>
      <c r="M1342" s="94"/>
      <c r="N1342" s="94"/>
      <c r="O1342" s="94"/>
      <c r="P1342" s="94"/>
      <c r="Q1342" s="94"/>
      <c r="R1342" s="94"/>
      <c r="S1342" s="94"/>
      <c r="T1342" s="94"/>
      <c r="U1342" s="94"/>
      <c r="V1342" s="94"/>
      <c r="W1342" s="94"/>
      <c r="X1342" s="94"/>
      <c r="Y1342" s="94"/>
      <c r="Z1342" s="94"/>
      <c r="AA1342" s="94"/>
      <c r="AB1342" s="94"/>
      <c r="AC1342" s="94"/>
      <c r="AD1342" s="94"/>
      <c r="AE1342" s="94"/>
      <c r="AF1342" s="94"/>
      <c r="AG1342" s="94"/>
      <c r="AH1342" s="94"/>
      <c r="AI1342" s="94"/>
      <c r="AJ1342" s="94"/>
      <c r="AK1342" s="94"/>
      <c r="AL1342" s="94"/>
      <c r="AM1342" s="94"/>
      <c r="AN1342" s="94"/>
      <c r="AO1342" s="94"/>
      <c r="AP1342" s="94"/>
      <c r="AQ1342" s="94"/>
      <c r="AR1342" s="94"/>
      <c r="AS1342" s="94"/>
      <c r="AT1342" s="94"/>
      <c r="AU1342" s="94"/>
      <c r="AV1342" s="94"/>
      <c r="AW1342" s="94"/>
      <c r="AX1342" s="94"/>
      <c r="AY1342" s="94"/>
      <c r="AZ1342" s="94"/>
      <c r="BA1342" s="94"/>
      <c r="BB1342" s="94"/>
      <c r="BC1342" s="94"/>
      <c r="BD1342" s="94"/>
      <c r="BE1342" s="94"/>
      <c r="BF1342" s="94"/>
    </row>
    <row r="1343" spans="1:58" x14ac:dyDescent="0.35">
      <c r="A1343" s="107" t="s">
        <v>3141</v>
      </c>
      <c r="B1343" s="108" t="s">
        <v>0</v>
      </c>
      <c r="C1343" s="109">
        <v>7</v>
      </c>
      <c r="D1343" s="107" t="s">
        <v>1490</v>
      </c>
      <c r="E1343" s="109" t="s">
        <v>1444</v>
      </c>
      <c r="F1343" s="94"/>
      <c r="G1343" s="94"/>
      <c r="H1343" s="94"/>
      <c r="I1343" s="94"/>
      <c r="J1343" s="94"/>
      <c r="K1343" s="94"/>
      <c r="L1343" s="94"/>
      <c r="M1343" s="94"/>
      <c r="N1343" s="94"/>
      <c r="O1343" s="94"/>
      <c r="P1343" s="94"/>
      <c r="Q1343" s="94"/>
      <c r="R1343" s="94"/>
      <c r="S1343" s="94"/>
      <c r="T1343" s="94"/>
      <c r="U1343" s="94"/>
      <c r="V1343" s="94"/>
      <c r="W1343" s="94"/>
      <c r="X1343" s="94"/>
      <c r="Y1343" s="94"/>
      <c r="Z1343" s="94"/>
      <c r="AA1343" s="94"/>
      <c r="AB1343" s="94"/>
      <c r="AC1343" s="94"/>
      <c r="AD1343" s="94"/>
      <c r="AE1343" s="94"/>
      <c r="AF1343" s="94"/>
      <c r="AG1343" s="94"/>
      <c r="AH1343" s="94"/>
      <c r="AI1343" s="94"/>
      <c r="AJ1343" s="94"/>
      <c r="AK1343" s="94"/>
      <c r="AL1343" s="94"/>
      <c r="AM1343" s="94"/>
      <c r="AN1343" s="94"/>
      <c r="AO1343" s="94"/>
      <c r="AP1343" s="94"/>
      <c r="AQ1343" s="94"/>
      <c r="AR1343" s="94"/>
      <c r="AS1343" s="94"/>
      <c r="AT1343" s="94"/>
      <c r="AU1343" s="94"/>
      <c r="AV1343" s="94"/>
      <c r="AW1343" s="94"/>
      <c r="AX1343" s="94"/>
      <c r="AY1343" s="94"/>
      <c r="AZ1343" s="94"/>
      <c r="BA1343" s="94"/>
      <c r="BB1343" s="94"/>
      <c r="BC1343" s="94"/>
      <c r="BD1343" s="94"/>
      <c r="BE1343" s="94"/>
      <c r="BF1343" s="94"/>
    </row>
    <row r="1344" spans="1:58" x14ac:dyDescent="0.35">
      <c r="A1344" s="107" t="s">
        <v>3142</v>
      </c>
      <c r="B1344" s="108" t="s">
        <v>0</v>
      </c>
      <c r="C1344" s="109">
        <v>7</v>
      </c>
      <c r="D1344" s="107" t="s">
        <v>1616</v>
      </c>
      <c r="E1344" s="109" t="s">
        <v>1445</v>
      </c>
      <c r="F1344" s="94"/>
      <c r="G1344" s="94"/>
      <c r="H1344" s="94"/>
      <c r="I1344" s="94"/>
      <c r="J1344" s="94"/>
      <c r="K1344" s="94"/>
      <c r="L1344" s="94"/>
      <c r="M1344" s="94"/>
      <c r="N1344" s="94"/>
      <c r="O1344" s="94"/>
      <c r="P1344" s="94"/>
      <c r="Q1344" s="94"/>
      <c r="R1344" s="94"/>
      <c r="S1344" s="94"/>
      <c r="T1344" s="94"/>
      <c r="U1344" s="94"/>
      <c r="V1344" s="94"/>
      <c r="W1344" s="94"/>
      <c r="X1344" s="94"/>
      <c r="Y1344" s="94"/>
      <c r="Z1344" s="94"/>
      <c r="AA1344" s="94"/>
      <c r="AB1344" s="94"/>
      <c r="AC1344" s="94"/>
      <c r="AD1344" s="94"/>
      <c r="AE1344" s="94"/>
      <c r="AF1344" s="94"/>
      <c r="AG1344" s="94"/>
      <c r="AH1344" s="94"/>
      <c r="AI1344" s="94"/>
      <c r="AJ1344" s="94"/>
      <c r="AK1344" s="94"/>
      <c r="AL1344" s="94"/>
      <c r="AM1344" s="94"/>
      <c r="AN1344" s="94"/>
      <c r="AO1344" s="94"/>
      <c r="AP1344" s="94"/>
      <c r="AQ1344" s="94"/>
      <c r="AR1344" s="94"/>
      <c r="AS1344" s="94"/>
      <c r="AT1344" s="94"/>
      <c r="AU1344" s="94"/>
      <c r="AV1344" s="94"/>
      <c r="AW1344" s="94"/>
      <c r="AX1344" s="94"/>
      <c r="AY1344" s="94"/>
      <c r="AZ1344" s="94"/>
      <c r="BA1344" s="94"/>
      <c r="BB1344" s="94"/>
      <c r="BC1344" s="94"/>
      <c r="BD1344" s="94"/>
      <c r="BE1344" s="94"/>
      <c r="BF1344" s="94"/>
    </row>
    <row r="1345" spans="1:58" x14ac:dyDescent="0.35">
      <c r="A1345" s="98" t="s">
        <v>3143</v>
      </c>
      <c r="B1345" s="99" t="s">
        <v>0</v>
      </c>
      <c r="C1345" s="100">
        <v>3</v>
      </c>
      <c r="D1345" s="98" t="s">
        <v>561</v>
      </c>
      <c r="E1345" s="100"/>
      <c r="F1345" s="94"/>
      <c r="G1345" s="94"/>
      <c r="H1345" s="94"/>
      <c r="I1345" s="94"/>
      <c r="J1345" s="94"/>
      <c r="K1345" s="94"/>
      <c r="L1345" s="94"/>
      <c r="M1345" s="94"/>
      <c r="N1345" s="94"/>
      <c r="O1345" s="94"/>
      <c r="P1345" s="94"/>
      <c r="Q1345" s="94"/>
      <c r="R1345" s="94"/>
      <c r="S1345" s="94"/>
      <c r="T1345" s="94"/>
      <c r="U1345" s="94"/>
      <c r="V1345" s="94"/>
      <c r="W1345" s="94"/>
      <c r="X1345" s="94"/>
      <c r="Y1345" s="94"/>
      <c r="Z1345" s="94"/>
      <c r="AA1345" s="94"/>
      <c r="AB1345" s="94"/>
      <c r="AC1345" s="94"/>
      <c r="AD1345" s="94"/>
      <c r="AE1345" s="94"/>
      <c r="AF1345" s="94"/>
      <c r="AG1345" s="94"/>
      <c r="AH1345" s="94"/>
      <c r="AI1345" s="94"/>
      <c r="AJ1345" s="94"/>
      <c r="AK1345" s="94"/>
      <c r="AL1345" s="94"/>
      <c r="AM1345" s="94"/>
      <c r="AN1345" s="94"/>
      <c r="AO1345" s="94"/>
      <c r="AP1345" s="94"/>
      <c r="AQ1345" s="94"/>
      <c r="AR1345" s="94"/>
      <c r="AS1345" s="94"/>
      <c r="AT1345" s="94"/>
      <c r="AU1345" s="94"/>
      <c r="AV1345" s="94"/>
      <c r="AW1345" s="94"/>
      <c r="AX1345" s="94"/>
      <c r="AY1345" s="94"/>
      <c r="AZ1345" s="94"/>
      <c r="BA1345" s="94"/>
      <c r="BB1345" s="94"/>
      <c r="BC1345" s="94"/>
      <c r="BD1345" s="94"/>
      <c r="BE1345" s="94"/>
      <c r="BF1345" s="94"/>
    </row>
    <row r="1346" spans="1:58" x14ac:dyDescent="0.35">
      <c r="A1346" s="95" t="s">
        <v>3144</v>
      </c>
      <c r="B1346" s="96" t="s">
        <v>0</v>
      </c>
      <c r="C1346" s="97">
        <v>4</v>
      </c>
      <c r="D1346" s="95" t="s">
        <v>243</v>
      </c>
      <c r="E1346" s="97"/>
      <c r="F1346" s="94"/>
      <c r="G1346" s="94"/>
      <c r="H1346" s="94"/>
      <c r="I1346" s="94"/>
      <c r="J1346" s="94"/>
      <c r="K1346" s="94"/>
      <c r="L1346" s="94"/>
      <c r="M1346" s="94"/>
      <c r="N1346" s="94"/>
      <c r="O1346" s="94"/>
      <c r="P1346" s="94"/>
      <c r="Q1346" s="94"/>
      <c r="R1346" s="94"/>
      <c r="S1346" s="94"/>
      <c r="T1346" s="94"/>
      <c r="U1346" s="94"/>
      <c r="V1346" s="94"/>
      <c r="W1346" s="94"/>
      <c r="X1346" s="94"/>
      <c r="Y1346" s="94"/>
      <c r="Z1346" s="94"/>
      <c r="AA1346" s="94"/>
      <c r="AB1346" s="94"/>
      <c r="AC1346" s="94"/>
      <c r="AD1346" s="94"/>
      <c r="AE1346" s="94"/>
      <c r="AF1346" s="94"/>
      <c r="AG1346" s="94"/>
      <c r="AH1346" s="94"/>
      <c r="AI1346" s="94"/>
      <c r="AJ1346" s="94"/>
      <c r="AK1346" s="94"/>
      <c r="AL1346" s="94"/>
      <c r="AM1346" s="94"/>
      <c r="AN1346" s="94"/>
      <c r="AO1346" s="94"/>
      <c r="AP1346" s="94"/>
      <c r="AQ1346" s="94"/>
      <c r="AR1346" s="94"/>
      <c r="AS1346" s="94"/>
      <c r="AT1346" s="94"/>
      <c r="AU1346" s="94"/>
      <c r="AV1346" s="94"/>
      <c r="AW1346" s="94"/>
      <c r="AX1346" s="94"/>
      <c r="AY1346" s="94"/>
      <c r="AZ1346" s="94"/>
      <c r="BA1346" s="94"/>
      <c r="BB1346" s="94"/>
      <c r="BC1346" s="94"/>
      <c r="BD1346" s="94"/>
      <c r="BE1346" s="94"/>
      <c r="BF1346" s="94"/>
    </row>
    <row r="1347" spans="1:58" x14ac:dyDescent="0.35">
      <c r="A1347" s="101" t="s">
        <v>3145</v>
      </c>
      <c r="B1347" s="102" t="s">
        <v>0</v>
      </c>
      <c r="C1347" s="103">
        <v>5</v>
      </c>
      <c r="D1347" s="101" t="s">
        <v>467</v>
      </c>
      <c r="E1347" s="103" t="s">
        <v>245</v>
      </c>
      <c r="F1347" s="94"/>
      <c r="G1347" s="94"/>
      <c r="H1347" s="94"/>
      <c r="I1347" s="94"/>
      <c r="J1347" s="94"/>
      <c r="K1347" s="94"/>
      <c r="L1347" s="94"/>
      <c r="M1347" s="94"/>
      <c r="N1347" s="94"/>
      <c r="O1347" s="94"/>
      <c r="P1347" s="94"/>
      <c r="Q1347" s="94"/>
      <c r="R1347" s="94"/>
      <c r="S1347" s="94"/>
      <c r="T1347" s="94"/>
      <c r="U1347" s="94"/>
      <c r="V1347" s="94"/>
      <c r="W1347" s="94"/>
      <c r="X1347" s="94"/>
      <c r="Y1347" s="94"/>
      <c r="Z1347" s="94"/>
      <c r="AA1347" s="94"/>
      <c r="AB1347" s="94"/>
      <c r="AC1347" s="94"/>
      <c r="AD1347" s="94"/>
      <c r="AE1347" s="94"/>
      <c r="AF1347" s="94"/>
      <c r="AG1347" s="94"/>
      <c r="AH1347" s="94"/>
      <c r="AI1347" s="94"/>
      <c r="AJ1347" s="94"/>
      <c r="AK1347" s="94"/>
      <c r="AL1347" s="94"/>
      <c r="AM1347" s="94"/>
      <c r="AN1347" s="94"/>
      <c r="AO1347" s="94"/>
      <c r="AP1347" s="94"/>
      <c r="AQ1347" s="94"/>
      <c r="AR1347" s="94"/>
      <c r="AS1347" s="94"/>
      <c r="AT1347" s="94"/>
      <c r="AU1347" s="94"/>
      <c r="AV1347" s="94"/>
      <c r="AW1347" s="94"/>
      <c r="AX1347" s="94"/>
      <c r="AY1347" s="94"/>
      <c r="AZ1347" s="94"/>
      <c r="BA1347" s="94"/>
      <c r="BB1347" s="94"/>
      <c r="BC1347" s="94"/>
      <c r="BD1347" s="94"/>
      <c r="BE1347" s="94"/>
      <c r="BF1347" s="94"/>
    </row>
    <row r="1348" spans="1:58" x14ac:dyDescent="0.35">
      <c r="A1348" s="104" t="s">
        <v>3146</v>
      </c>
      <c r="B1348" s="105" t="s">
        <v>0</v>
      </c>
      <c r="C1348" s="106">
        <v>6</v>
      </c>
      <c r="D1348" s="104" t="s">
        <v>26</v>
      </c>
      <c r="E1348" s="106"/>
      <c r="F1348" s="94"/>
      <c r="G1348" s="94"/>
      <c r="H1348" s="94"/>
      <c r="I1348" s="94"/>
      <c r="J1348" s="94"/>
      <c r="K1348" s="94"/>
      <c r="L1348" s="94"/>
      <c r="M1348" s="94"/>
      <c r="N1348" s="94"/>
      <c r="O1348" s="94"/>
      <c r="P1348" s="94"/>
      <c r="Q1348" s="94"/>
      <c r="R1348" s="94"/>
      <c r="S1348" s="94"/>
      <c r="T1348" s="94"/>
      <c r="U1348" s="94"/>
      <c r="V1348" s="94"/>
      <c r="W1348" s="94"/>
      <c r="X1348" s="94"/>
      <c r="Y1348" s="94"/>
      <c r="Z1348" s="94"/>
      <c r="AA1348" s="94"/>
      <c r="AB1348" s="94"/>
      <c r="AC1348" s="94"/>
      <c r="AD1348" s="94"/>
      <c r="AE1348" s="94"/>
      <c r="AF1348" s="94"/>
      <c r="AG1348" s="94"/>
      <c r="AH1348" s="94"/>
      <c r="AI1348" s="94"/>
      <c r="AJ1348" s="94"/>
      <c r="AK1348" s="94"/>
      <c r="AL1348" s="94"/>
      <c r="AM1348" s="94"/>
      <c r="AN1348" s="94"/>
      <c r="AO1348" s="94"/>
      <c r="AP1348" s="94"/>
      <c r="AQ1348" s="94"/>
      <c r="AR1348" s="94"/>
      <c r="AS1348" s="94"/>
      <c r="AT1348" s="94"/>
      <c r="AU1348" s="94"/>
      <c r="AV1348" s="94"/>
      <c r="AW1348" s="94"/>
      <c r="AX1348" s="94"/>
      <c r="AY1348" s="94"/>
      <c r="AZ1348" s="94"/>
      <c r="BA1348" s="94"/>
      <c r="BB1348" s="94"/>
      <c r="BC1348" s="94"/>
      <c r="BD1348" s="94"/>
      <c r="BE1348" s="94"/>
      <c r="BF1348" s="94"/>
    </row>
    <row r="1349" spans="1:58" x14ac:dyDescent="0.35">
      <c r="A1349" s="107" t="s">
        <v>3147</v>
      </c>
      <c r="B1349" s="108" t="s">
        <v>0</v>
      </c>
      <c r="C1349" s="109">
        <v>7</v>
      </c>
      <c r="D1349" s="107" t="s">
        <v>1193</v>
      </c>
      <c r="E1349" s="109"/>
      <c r="F1349" s="94"/>
      <c r="G1349" s="94"/>
      <c r="H1349" s="94"/>
      <c r="I1349" s="94"/>
      <c r="J1349" s="94"/>
      <c r="K1349" s="94"/>
      <c r="L1349" s="94"/>
      <c r="M1349" s="94"/>
      <c r="N1349" s="94"/>
      <c r="O1349" s="94"/>
      <c r="P1349" s="94"/>
      <c r="Q1349" s="94"/>
      <c r="R1349" s="94"/>
      <c r="S1349" s="94"/>
      <c r="T1349" s="94"/>
      <c r="U1349" s="94"/>
      <c r="V1349" s="94"/>
      <c r="W1349" s="94"/>
      <c r="X1349" s="94"/>
      <c r="Y1349" s="94"/>
      <c r="Z1349" s="94"/>
      <c r="AA1349" s="94"/>
      <c r="AB1349" s="94"/>
      <c r="AC1349" s="94"/>
      <c r="AD1349" s="94"/>
      <c r="AE1349" s="94"/>
      <c r="AF1349" s="94"/>
      <c r="AG1349" s="94"/>
      <c r="AH1349" s="94"/>
      <c r="AI1349" s="94"/>
      <c r="AJ1349" s="94"/>
      <c r="AK1349" s="94"/>
      <c r="AL1349" s="94"/>
      <c r="AM1349" s="94"/>
      <c r="AN1349" s="94"/>
      <c r="AO1349" s="94"/>
      <c r="AP1349" s="94"/>
      <c r="AQ1349" s="94"/>
      <c r="AR1349" s="94"/>
      <c r="AS1349" s="94"/>
      <c r="AT1349" s="94"/>
      <c r="AU1349" s="94"/>
      <c r="AV1349" s="94"/>
      <c r="AW1349" s="94"/>
      <c r="AX1349" s="94"/>
      <c r="AY1349" s="94"/>
      <c r="AZ1349" s="94"/>
      <c r="BA1349" s="94"/>
      <c r="BB1349" s="94"/>
      <c r="BC1349" s="94"/>
      <c r="BD1349" s="94"/>
      <c r="BE1349" s="94"/>
      <c r="BF1349" s="94"/>
    </row>
    <row r="1350" spans="1:58" x14ac:dyDescent="0.35">
      <c r="A1350" s="104" t="s">
        <v>3148</v>
      </c>
      <c r="B1350" s="105" t="s">
        <v>0</v>
      </c>
      <c r="C1350" s="106">
        <v>6</v>
      </c>
      <c r="D1350" s="104" t="s">
        <v>1665</v>
      </c>
      <c r="E1350" s="106"/>
      <c r="F1350" s="94"/>
      <c r="G1350" s="94"/>
      <c r="H1350" s="94"/>
      <c r="I1350" s="94"/>
      <c r="J1350" s="94"/>
      <c r="K1350" s="94"/>
      <c r="L1350" s="94"/>
      <c r="M1350" s="94"/>
      <c r="N1350" s="94"/>
      <c r="O1350" s="94"/>
      <c r="P1350" s="94"/>
      <c r="Q1350" s="94"/>
      <c r="R1350" s="94"/>
      <c r="S1350" s="94"/>
      <c r="T1350" s="94"/>
      <c r="U1350" s="94"/>
      <c r="V1350" s="94"/>
      <c r="W1350" s="94"/>
      <c r="X1350" s="94"/>
      <c r="Y1350" s="94"/>
      <c r="Z1350" s="94"/>
      <c r="AA1350" s="94"/>
      <c r="AB1350" s="94"/>
      <c r="AC1350" s="94"/>
      <c r="AD1350" s="94"/>
      <c r="AE1350" s="94"/>
      <c r="AF1350" s="94"/>
      <c r="AG1350" s="94"/>
      <c r="AH1350" s="94"/>
      <c r="AI1350" s="94"/>
      <c r="AJ1350" s="94"/>
      <c r="AK1350" s="94"/>
      <c r="AL1350" s="94"/>
      <c r="AM1350" s="94"/>
      <c r="AN1350" s="94"/>
      <c r="AO1350" s="94"/>
      <c r="AP1350" s="94"/>
      <c r="AQ1350" s="94"/>
      <c r="AR1350" s="94"/>
      <c r="AS1350" s="94"/>
      <c r="AT1350" s="94"/>
      <c r="AU1350" s="94"/>
      <c r="AV1350" s="94"/>
      <c r="AW1350" s="94"/>
      <c r="AX1350" s="94"/>
      <c r="AY1350" s="94"/>
      <c r="AZ1350" s="94"/>
      <c r="BA1350" s="94"/>
      <c r="BB1350" s="94"/>
      <c r="BC1350" s="94"/>
      <c r="BD1350" s="94"/>
      <c r="BE1350" s="94"/>
      <c r="BF1350" s="94"/>
    </row>
    <row r="1351" spans="1:58" x14ac:dyDescent="0.35">
      <c r="A1351" s="107" t="s">
        <v>3149</v>
      </c>
      <c r="B1351" s="108" t="s">
        <v>0</v>
      </c>
      <c r="C1351" s="109">
        <v>7</v>
      </c>
      <c r="D1351" s="107" t="s">
        <v>1651</v>
      </c>
      <c r="E1351" s="109"/>
      <c r="F1351" s="94"/>
      <c r="G1351" s="94"/>
      <c r="H1351" s="94"/>
      <c r="I1351" s="94"/>
      <c r="J1351" s="94"/>
      <c r="K1351" s="94"/>
      <c r="L1351" s="94"/>
      <c r="M1351" s="94"/>
      <c r="N1351" s="94"/>
      <c r="O1351" s="94"/>
      <c r="P1351" s="94"/>
      <c r="Q1351" s="94"/>
      <c r="R1351" s="94"/>
      <c r="S1351" s="94"/>
      <c r="T1351" s="94"/>
      <c r="U1351" s="94"/>
      <c r="V1351" s="94"/>
      <c r="W1351" s="94"/>
      <c r="X1351" s="94"/>
      <c r="Y1351" s="94"/>
      <c r="Z1351" s="94"/>
      <c r="AA1351" s="94"/>
      <c r="AB1351" s="94"/>
      <c r="AC1351" s="94"/>
      <c r="AD1351" s="94"/>
      <c r="AE1351" s="94"/>
      <c r="AF1351" s="94"/>
      <c r="AG1351" s="94"/>
      <c r="AH1351" s="94"/>
      <c r="AI1351" s="94"/>
      <c r="AJ1351" s="94"/>
      <c r="AK1351" s="94"/>
      <c r="AL1351" s="94"/>
      <c r="AM1351" s="94"/>
      <c r="AN1351" s="94"/>
      <c r="AO1351" s="94"/>
      <c r="AP1351" s="94"/>
      <c r="AQ1351" s="94"/>
      <c r="AR1351" s="94"/>
      <c r="AS1351" s="94"/>
      <c r="AT1351" s="94"/>
      <c r="AU1351" s="94"/>
      <c r="AV1351" s="94"/>
      <c r="AW1351" s="94"/>
      <c r="AX1351" s="94"/>
      <c r="AY1351" s="94"/>
      <c r="AZ1351" s="94"/>
      <c r="BA1351" s="94"/>
      <c r="BB1351" s="94"/>
      <c r="BC1351" s="94"/>
      <c r="BD1351" s="94"/>
      <c r="BE1351" s="94"/>
      <c r="BF1351" s="94"/>
    </row>
    <row r="1352" spans="1:58" x14ac:dyDescent="0.35">
      <c r="A1352" s="101" t="s">
        <v>3150</v>
      </c>
      <c r="B1352" s="102" t="s">
        <v>0</v>
      </c>
      <c r="C1352" s="103">
        <v>5</v>
      </c>
      <c r="D1352" s="101" t="s">
        <v>618</v>
      </c>
      <c r="E1352" s="103" t="s">
        <v>246</v>
      </c>
      <c r="F1352" s="94"/>
      <c r="G1352" s="94"/>
      <c r="H1352" s="94"/>
      <c r="I1352" s="94"/>
      <c r="J1352" s="94"/>
      <c r="K1352" s="94"/>
      <c r="L1352" s="94"/>
      <c r="M1352" s="94"/>
      <c r="N1352" s="94"/>
      <c r="O1352" s="94"/>
      <c r="P1352" s="94"/>
      <c r="Q1352" s="94"/>
      <c r="R1352" s="94"/>
      <c r="S1352" s="94"/>
      <c r="T1352" s="94"/>
      <c r="U1352" s="94"/>
      <c r="V1352" s="94"/>
      <c r="W1352" s="94"/>
      <c r="X1352" s="94"/>
      <c r="Y1352" s="94"/>
      <c r="Z1352" s="94"/>
      <c r="AA1352" s="94"/>
      <c r="AB1352" s="94"/>
      <c r="AC1352" s="94"/>
      <c r="AD1352" s="94"/>
      <c r="AE1352" s="94"/>
      <c r="AF1352" s="94"/>
      <c r="AG1352" s="94"/>
      <c r="AH1352" s="94"/>
      <c r="AI1352" s="94"/>
      <c r="AJ1352" s="94"/>
      <c r="AK1352" s="94"/>
      <c r="AL1352" s="94"/>
      <c r="AM1352" s="94"/>
      <c r="AN1352" s="94"/>
      <c r="AO1352" s="94"/>
      <c r="AP1352" s="94"/>
      <c r="AQ1352" s="94"/>
      <c r="AR1352" s="94"/>
      <c r="AS1352" s="94"/>
      <c r="AT1352" s="94"/>
      <c r="AU1352" s="94"/>
      <c r="AV1352" s="94"/>
      <c r="AW1352" s="94"/>
      <c r="AX1352" s="94"/>
      <c r="AY1352" s="94"/>
      <c r="AZ1352" s="94"/>
      <c r="BA1352" s="94"/>
      <c r="BB1352" s="94"/>
      <c r="BC1352" s="94"/>
      <c r="BD1352" s="94"/>
      <c r="BE1352" s="94"/>
      <c r="BF1352" s="94"/>
    </row>
    <row r="1353" spans="1:58" x14ac:dyDescent="0.35">
      <c r="A1353" s="104" t="s">
        <v>3151</v>
      </c>
      <c r="B1353" s="105" t="s">
        <v>0</v>
      </c>
      <c r="C1353" s="106">
        <v>6</v>
      </c>
      <c r="D1353" s="104" t="s">
        <v>26</v>
      </c>
      <c r="E1353" s="106"/>
      <c r="F1353" s="94"/>
      <c r="G1353" s="94"/>
      <c r="H1353" s="94"/>
      <c r="I1353" s="94"/>
      <c r="J1353" s="94"/>
      <c r="K1353" s="94"/>
      <c r="L1353" s="94"/>
      <c r="M1353" s="94"/>
      <c r="N1353" s="94"/>
      <c r="O1353" s="94"/>
      <c r="P1353" s="94"/>
      <c r="Q1353" s="94"/>
      <c r="R1353" s="94"/>
      <c r="S1353" s="94"/>
      <c r="T1353" s="94"/>
      <c r="U1353" s="94"/>
      <c r="V1353" s="94"/>
      <c r="W1353" s="94"/>
      <c r="X1353" s="94"/>
      <c r="Y1353" s="94"/>
      <c r="Z1353" s="94"/>
      <c r="AA1353" s="94"/>
      <c r="AB1353" s="94"/>
      <c r="AC1353" s="94"/>
      <c r="AD1353" s="94"/>
      <c r="AE1353" s="94"/>
      <c r="AF1353" s="94"/>
      <c r="AG1353" s="94"/>
      <c r="AH1353" s="94"/>
      <c r="AI1353" s="94"/>
      <c r="AJ1353" s="94"/>
      <c r="AK1353" s="94"/>
      <c r="AL1353" s="94"/>
      <c r="AM1353" s="94"/>
      <c r="AN1353" s="94"/>
      <c r="AO1353" s="94"/>
      <c r="AP1353" s="94"/>
      <c r="AQ1353" s="94"/>
      <c r="AR1353" s="94"/>
      <c r="AS1353" s="94"/>
      <c r="AT1353" s="94"/>
      <c r="AU1353" s="94"/>
      <c r="AV1353" s="94"/>
      <c r="AW1353" s="94"/>
      <c r="AX1353" s="94"/>
      <c r="AY1353" s="94"/>
      <c r="AZ1353" s="94"/>
      <c r="BA1353" s="94"/>
      <c r="BB1353" s="94"/>
      <c r="BC1353" s="94"/>
      <c r="BD1353" s="94"/>
      <c r="BE1353" s="94"/>
      <c r="BF1353" s="94"/>
    </row>
    <row r="1354" spans="1:58" x14ac:dyDescent="0.35">
      <c r="A1354" s="107" t="s">
        <v>3152</v>
      </c>
      <c r="B1354" s="108" t="s">
        <v>0</v>
      </c>
      <c r="C1354" s="109">
        <v>7</v>
      </c>
      <c r="D1354" s="107" t="s">
        <v>1194</v>
      </c>
      <c r="E1354" s="109"/>
      <c r="F1354" s="94"/>
      <c r="G1354" s="94"/>
      <c r="H1354" s="94"/>
      <c r="I1354" s="94"/>
      <c r="J1354" s="94"/>
      <c r="K1354" s="94"/>
      <c r="L1354" s="94"/>
      <c r="M1354" s="94"/>
      <c r="N1354" s="94"/>
      <c r="O1354" s="94"/>
      <c r="P1354" s="94"/>
      <c r="Q1354" s="94"/>
      <c r="R1354" s="94"/>
      <c r="S1354" s="94"/>
      <c r="T1354" s="94"/>
      <c r="U1354" s="94"/>
      <c r="V1354" s="94"/>
      <c r="W1354" s="94"/>
      <c r="X1354" s="94"/>
      <c r="Y1354" s="94"/>
      <c r="Z1354" s="94"/>
      <c r="AA1354" s="94"/>
      <c r="AB1354" s="94"/>
      <c r="AC1354" s="94"/>
      <c r="AD1354" s="94"/>
      <c r="AE1354" s="94"/>
      <c r="AF1354" s="94"/>
      <c r="AG1354" s="94"/>
      <c r="AH1354" s="94"/>
      <c r="AI1354" s="94"/>
      <c r="AJ1354" s="94"/>
      <c r="AK1354" s="94"/>
      <c r="AL1354" s="94"/>
      <c r="AM1354" s="94"/>
      <c r="AN1354" s="94"/>
      <c r="AO1354" s="94"/>
      <c r="AP1354" s="94"/>
      <c r="AQ1354" s="94"/>
      <c r="AR1354" s="94"/>
      <c r="AS1354" s="94"/>
      <c r="AT1354" s="94"/>
      <c r="AU1354" s="94"/>
      <c r="AV1354" s="94"/>
      <c r="AW1354" s="94"/>
      <c r="AX1354" s="94"/>
      <c r="AY1354" s="94"/>
      <c r="AZ1354" s="94"/>
      <c r="BA1354" s="94"/>
      <c r="BB1354" s="94"/>
      <c r="BC1354" s="94"/>
      <c r="BD1354" s="94"/>
      <c r="BE1354" s="94"/>
      <c r="BF1354" s="94"/>
    </row>
    <row r="1355" spans="1:58" x14ac:dyDescent="0.35">
      <c r="A1355" s="104" t="s">
        <v>3153</v>
      </c>
      <c r="B1355" s="105" t="s">
        <v>0</v>
      </c>
      <c r="C1355" s="106">
        <v>6</v>
      </c>
      <c r="D1355" s="104" t="s">
        <v>1665</v>
      </c>
      <c r="E1355" s="106"/>
      <c r="F1355" s="94"/>
      <c r="G1355" s="94"/>
      <c r="H1355" s="94"/>
      <c r="I1355" s="94"/>
      <c r="J1355" s="94"/>
      <c r="K1355" s="94"/>
      <c r="L1355" s="94"/>
      <c r="M1355" s="94"/>
      <c r="N1355" s="94"/>
      <c r="O1355" s="94"/>
      <c r="P1355" s="94"/>
      <c r="Q1355" s="94"/>
      <c r="R1355" s="94"/>
      <c r="S1355" s="94"/>
      <c r="T1355" s="94"/>
      <c r="U1355" s="94"/>
      <c r="V1355" s="94"/>
      <c r="W1355" s="94"/>
      <c r="X1355" s="94"/>
      <c r="Y1355" s="94"/>
      <c r="Z1355" s="94"/>
      <c r="AA1355" s="94"/>
      <c r="AB1355" s="94"/>
      <c r="AC1355" s="94"/>
      <c r="AD1355" s="94"/>
      <c r="AE1355" s="94"/>
      <c r="AF1355" s="94"/>
      <c r="AG1355" s="94"/>
      <c r="AH1355" s="94"/>
      <c r="AI1355" s="94"/>
      <c r="AJ1355" s="94"/>
      <c r="AK1355" s="94"/>
      <c r="AL1355" s="94"/>
      <c r="AM1355" s="94"/>
      <c r="AN1355" s="94"/>
      <c r="AO1355" s="94"/>
      <c r="AP1355" s="94"/>
      <c r="AQ1355" s="94"/>
      <c r="AR1355" s="94"/>
      <c r="AS1355" s="94"/>
      <c r="AT1355" s="94"/>
      <c r="AU1355" s="94"/>
      <c r="AV1355" s="94"/>
      <c r="AW1355" s="94"/>
      <c r="AX1355" s="94"/>
      <c r="AY1355" s="94"/>
      <c r="AZ1355" s="94"/>
      <c r="BA1355" s="94"/>
      <c r="BB1355" s="94"/>
      <c r="BC1355" s="94"/>
      <c r="BD1355" s="94"/>
      <c r="BE1355" s="94"/>
      <c r="BF1355" s="94"/>
    </row>
    <row r="1356" spans="1:58" x14ac:dyDescent="0.35">
      <c r="A1356" s="107" t="s">
        <v>3154</v>
      </c>
      <c r="B1356" s="108" t="s">
        <v>0</v>
      </c>
      <c r="C1356" s="109">
        <v>7</v>
      </c>
      <c r="D1356" s="107" t="s">
        <v>1651</v>
      </c>
      <c r="E1356" s="109"/>
      <c r="F1356" s="94"/>
      <c r="G1356" s="94"/>
      <c r="H1356" s="94"/>
      <c r="I1356" s="94"/>
      <c r="J1356" s="94"/>
      <c r="K1356" s="94"/>
      <c r="L1356" s="94"/>
      <c r="M1356" s="94"/>
      <c r="N1356" s="94"/>
      <c r="O1356" s="94"/>
      <c r="P1356" s="94"/>
      <c r="Q1356" s="94"/>
      <c r="R1356" s="94"/>
      <c r="S1356" s="94"/>
      <c r="T1356" s="94"/>
      <c r="U1356" s="94"/>
      <c r="V1356" s="94"/>
      <c r="W1356" s="94"/>
      <c r="X1356" s="94"/>
      <c r="Y1356" s="94"/>
      <c r="Z1356" s="94"/>
      <c r="AA1356" s="94"/>
      <c r="AB1356" s="94"/>
      <c r="AC1356" s="94"/>
      <c r="AD1356" s="94"/>
      <c r="AE1356" s="94"/>
      <c r="AF1356" s="94"/>
      <c r="AG1356" s="94"/>
      <c r="AH1356" s="94"/>
      <c r="AI1356" s="94"/>
      <c r="AJ1356" s="94"/>
      <c r="AK1356" s="94"/>
      <c r="AL1356" s="94"/>
      <c r="AM1356" s="94"/>
      <c r="AN1356" s="94"/>
      <c r="AO1356" s="94"/>
      <c r="AP1356" s="94"/>
      <c r="AQ1356" s="94"/>
      <c r="AR1356" s="94"/>
      <c r="AS1356" s="94"/>
      <c r="AT1356" s="94"/>
      <c r="AU1356" s="94"/>
      <c r="AV1356" s="94"/>
      <c r="AW1356" s="94"/>
      <c r="AX1356" s="94"/>
      <c r="AY1356" s="94"/>
      <c r="AZ1356" s="94"/>
      <c r="BA1356" s="94"/>
      <c r="BB1356" s="94"/>
      <c r="BC1356" s="94"/>
      <c r="BD1356" s="94"/>
      <c r="BE1356" s="94"/>
      <c r="BF1356" s="94"/>
    </row>
    <row r="1357" spans="1:58" x14ac:dyDescent="0.35">
      <c r="A1357" s="101" t="s">
        <v>3155</v>
      </c>
      <c r="B1357" s="102" t="s">
        <v>0</v>
      </c>
      <c r="C1357" s="103">
        <v>5</v>
      </c>
      <c r="D1357" s="101" t="s">
        <v>247</v>
      </c>
      <c r="E1357" s="103" t="s">
        <v>248</v>
      </c>
      <c r="F1357" s="94"/>
      <c r="G1357" s="94"/>
      <c r="H1357" s="94"/>
      <c r="I1357" s="94"/>
      <c r="J1357" s="94"/>
      <c r="K1357" s="94"/>
      <c r="L1357" s="94"/>
      <c r="M1357" s="94"/>
      <c r="N1357" s="94"/>
      <c r="O1357" s="94"/>
      <c r="P1357" s="94"/>
      <c r="Q1357" s="94"/>
      <c r="R1357" s="94"/>
      <c r="S1357" s="94"/>
      <c r="T1357" s="94"/>
      <c r="U1357" s="94"/>
      <c r="V1357" s="94"/>
      <c r="W1357" s="94"/>
      <c r="X1357" s="94"/>
      <c r="Y1357" s="94"/>
      <c r="Z1357" s="94"/>
      <c r="AA1357" s="94"/>
      <c r="AB1357" s="94"/>
      <c r="AC1357" s="94"/>
      <c r="AD1357" s="94"/>
      <c r="AE1357" s="94"/>
      <c r="AF1357" s="94"/>
      <c r="AG1357" s="94"/>
      <c r="AH1357" s="94"/>
      <c r="AI1357" s="94"/>
      <c r="AJ1357" s="94"/>
      <c r="AK1357" s="94"/>
      <c r="AL1357" s="94"/>
      <c r="AM1357" s="94"/>
      <c r="AN1357" s="94"/>
      <c r="AO1357" s="94"/>
      <c r="AP1357" s="94"/>
      <c r="AQ1357" s="94"/>
      <c r="AR1357" s="94"/>
      <c r="AS1357" s="94"/>
      <c r="AT1357" s="94"/>
      <c r="AU1357" s="94"/>
      <c r="AV1357" s="94"/>
      <c r="AW1357" s="94"/>
      <c r="AX1357" s="94"/>
      <c r="AY1357" s="94"/>
      <c r="AZ1357" s="94"/>
      <c r="BA1357" s="94"/>
      <c r="BB1357" s="94"/>
      <c r="BC1357" s="94"/>
      <c r="BD1357" s="94"/>
      <c r="BE1357" s="94"/>
      <c r="BF1357" s="94"/>
    </row>
    <row r="1358" spans="1:58" x14ac:dyDescent="0.35">
      <c r="A1358" s="101" t="s">
        <v>3156</v>
      </c>
      <c r="B1358" s="102" t="s">
        <v>0</v>
      </c>
      <c r="C1358" s="103">
        <v>5</v>
      </c>
      <c r="D1358" s="101" t="s">
        <v>602</v>
      </c>
      <c r="E1358" s="103" t="s">
        <v>249</v>
      </c>
      <c r="F1358" s="94"/>
      <c r="G1358" s="94"/>
      <c r="H1358" s="94"/>
      <c r="I1358" s="94"/>
      <c r="J1358" s="94"/>
      <c r="K1358" s="94"/>
      <c r="L1358" s="94"/>
      <c r="M1358" s="94"/>
      <c r="N1358" s="94"/>
      <c r="O1358" s="94"/>
      <c r="P1358" s="94"/>
      <c r="Q1358" s="94"/>
      <c r="R1358" s="94"/>
      <c r="S1358" s="94"/>
      <c r="T1358" s="94"/>
      <c r="U1358" s="94"/>
      <c r="V1358" s="94"/>
      <c r="W1358" s="94"/>
      <c r="X1358" s="94"/>
      <c r="Y1358" s="94"/>
      <c r="Z1358" s="94"/>
      <c r="AA1358" s="94"/>
      <c r="AB1358" s="94"/>
      <c r="AC1358" s="94"/>
      <c r="AD1358" s="94"/>
      <c r="AE1358" s="94"/>
      <c r="AF1358" s="94"/>
      <c r="AG1358" s="94"/>
      <c r="AH1358" s="94"/>
      <c r="AI1358" s="94"/>
      <c r="AJ1358" s="94"/>
      <c r="AK1358" s="94"/>
      <c r="AL1358" s="94"/>
      <c r="AM1358" s="94"/>
      <c r="AN1358" s="94"/>
      <c r="AO1358" s="94"/>
      <c r="AP1358" s="94"/>
      <c r="AQ1358" s="94"/>
      <c r="AR1358" s="94"/>
      <c r="AS1358" s="94"/>
      <c r="AT1358" s="94"/>
      <c r="AU1358" s="94"/>
      <c r="AV1358" s="94"/>
      <c r="AW1358" s="94"/>
      <c r="AX1358" s="94"/>
      <c r="AY1358" s="94"/>
      <c r="AZ1358" s="94"/>
      <c r="BA1358" s="94"/>
      <c r="BB1358" s="94"/>
      <c r="BC1358" s="94"/>
      <c r="BD1358" s="94"/>
      <c r="BE1358" s="94"/>
      <c r="BF1358" s="94"/>
    </row>
    <row r="1359" spans="1:58" x14ac:dyDescent="0.35">
      <c r="A1359" s="104" t="s">
        <v>3157</v>
      </c>
      <c r="B1359" s="105" t="s">
        <v>0</v>
      </c>
      <c r="C1359" s="106">
        <v>6</v>
      </c>
      <c r="D1359" s="104" t="s">
        <v>16</v>
      </c>
      <c r="E1359" s="106"/>
      <c r="F1359" s="94"/>
      <c r="G1359" s="94"/>
      <c r="H1359" s="94"/>
      <c r="I1359" s="94"/>
      <c r="J1359" s="94"/>
      <c r="K1359" s="94"/>
      <c r="L1359" s="94"/>
      <c r="M1359" s="94"/>
      <c r="N1359" s="94"/>
      <c r="O1359" s="94"/>
      <c r="P1359" s="94"/>
      <c r="Q1359" s="94"/>
      <c r="R1359" s="94"/>
      <c r="S1359" s="94"/>
      <c r="T1359" s="94"/>
      <c r="U1359" s="94"/>
      <c r="V1359" s="94"/>
      <c r="W1359" s="94"/>
      <c r="X1359" s="94"/>
      <c r="Y1359" s="94"/>
      <c r="Z1359" s="94"/>
      <c r="AA1359" s="94"/>
      <c r="AB1359" s="94"/>
      <c r="AC1359" s="94"/>
      <c r="AD1359" s="94"/>
      <c r="AE1359" s="94"/>
      <c r="AF1359" s="94"/>
      <c r="AG1359" s="94"/>
      <c r="AH1359" s="94"/>
      <c r="AI1359" s="94"/>
      <c r="AJ1359" s="94"/>
      <c r="AK1359" s="94"/>
      <c r="AL1359" s="94"/>
      <c r="AM1359" s="94"/>
      <c r="AN1359" s="94"/>
      <c r="AO1359" s="94"/>
      <c r="AP1359" s="94"/>
      <c r="AQ1359" s="94"/>
      <c r="AR1359" s="94"/>
      <c r="AS1359" s="94"/>
      <c r="AT1359" s="94"/>
      <c r="AU1359" s="94"/>
      <c r="AV1359" s="94"/>
      <c r="AW1359" s="94"/>
      <c r="AX1359" s="94"/>
      <c r="AY1359" s="94"/>
      <c r="AZ1359" s="94"/>
      <c r="BA1359" s="94"/>
      <c r="BB1359" s="94"/>
      <c r="BC1359" s="94"/>
      <c r="BD1359" s="94"/>
      <c r="BE1359" s="94"/>
      <c r="BF1359" s="94"/>
    </row>
    <row r="1360" spans="1:58" x14ac:dyDescent="0.35">
      <c r="A1360" s="107" t="s">
        <v>3158</v>
      </c>
      <c r="B1360" s="108" t="s">
        <v>0</v>
      </c>
      <c r="C1360" s="109">
        <v>7</v>
      </c>
      <c r="D1360" s="107" t="s">
        <v>1195</v>
      </c>
      <c r="E1360" s="109" t="s">
        <v>250</v>
      </c>
      <c r="F1360" s="94"/>
      <c r="G1360" s="94"/>
      <c r="H1360" s="94"/>
      <c r="I1360" s="94"/>
      <c r="J1360" s="94"/>
      <c r="K1360" s="94"/>
      <c r="L1360" s="94"/>
      <c r="M1360" s="94"/>
      <c r="N1360" s="94"/>
      <c r="O1360" s="94"/>
      <c r="P1360" s="94"/>
      <c r="Q1360" s="94"/>
      <c r="R1360" s="94"/>
      <c r="S1360" s="94"/>
      <c r="T1360" s="94"/>
      <c r="U1360" s="94"/>
      <c r="V1360" s="94"/>
      <c r="W1360" s="94"/>
      <c r="X1360" s="94"/>
      <c r="Y1360" s="94"/>
      <c r="Z1360" s="94"/>
      <c r="AA1360" s="94"/>
      <c r="AB1360" s="94"/>
      <c r="AC1360" s="94"/>
      <c r="AD1360" s="94"/>
      <c r="AE1360" s="94"/>
      <c r="AF1360" s="94"/>
      <c r="AG1360" s="94"/>
      <c r="AH1360" s="94"/>
      <c r="AI1360" s="94"/>
      <c r="AJ1360" s="94"/>
      <c r="AK1360" s="94"/>
      <c r="AL1360" s="94"/>
      <c r="AM1360" s="94"/>
      <c r="AN1360" s="94"/>
      <c r="AO1360" s="94"/>
      <c r="AP1360" s="94"/>
      <c r="AQ1360" s="94"/>
      <c r="AR1360" s="94"/>
      <c r="AS1360" s="94"/>
      <c r="AT1360" s="94"/>
      <c r="AU1360" s="94"/>
      <c r="AV1360" s="94"/>
      <c r="AW1360" s="94"/>
      <c r="AX1360" s="94"/>
      <c r="AY1360" s="94"/>
      <c r="AZ1360" s="94"/>
      <c r="BA1360" s="94"/>
      <c r="BB1360" s="94"/>
      <c r="BC1360" s="94"/>
      <c r="BD1360" s="94"/>
      <c r="BE1360" s="94"/>
      <c r="BF1360" s="94"/>
    </row>
    <row r="1361" spans="1:58" x14ac:dyDescent="0.35">
      <c r="A1361" s="104" t="s">
        <v>3159</v>
      </c>
      <c r="B1361" s="105" t="s">
        <v>0</v>
      </c>
      <c r="C1361" s="106">
        <v>6</v>
      </c>
      <c r="D1361" s="104" t="s">
        <v>123</v>
      </c>
      <c r="E1361" s="106"/>
      <c r="F1361" s="94"/>
      <c r="G1361" s="94"/>
      <c r="H1361" s="94"/>
      <c r="I1361" s="94"/>
      <c r="J1361" s="94"/>
      <c r="K1361" s="94"/>
      <c r="L1361" s="94"/>
      <c r="M1361" s="94"/>
      <c r="N1361" s="94"/>
      <c r="O1361" s="94"/>
      <c r="P1361" s="94"/>
      <c r="Q1361" s="94"/>
      <c r="R1361" s="94"/>
      <c r="S1361" s="94"/>
      <c r="T1361" s="94"/>
      <c r="U1361" s="94"/>
      <c r="V1361" s="94"/>
      <c r="W1361" s="94"/>
      <c r="X1361" s="94"/>
      <c r="Y1361" s="94"/>
      <c r="Z1361" s="94"/>
      <c r="AA1361" s="94"/>
      <c r="AB1361" s="94"/>
      <c r="AC1361" s="94"/>
      <c r="AD1361" s="94"/>
      <c r="AE1361" s="94"/>
      <c r="AF1361" s="94"/>
      <c r="AG1361" s="94"/>
      <c r="AH1361" s="94"/>
      <c r="AI1361" s="94"/>
      <c r="AJ1361" s="94"/>
      <c r="AK1361" s="94"/>
      <c r="AL1361" s="94"/>
      <c r="AM1361" s="94"/>
      <c r="AN1361" s="94"/>
      <c r="AO1361" s="94"/>
      <c r="AP1361" s="94"/>
      <c r="AQ1361" s="94"/>
      <c r="AR1361" s="94"/>
      <c r="AS1361" s="94"/>
      <c r="AT1361" s="94"/>
      <c r="AU1361" s="94"/>
      <c r="AV1361" s="94"/>
      <c r="AW1361" s="94"/>
      <c r="AX1361" s="94"/>
      <c r="AY1361" s="94"/>
      <c r="AZ1361" s="94"/>
      <c r="BA1361" s="94"/>
      <c r="BB1361" s="94"/>
      <c r="BC1361" s="94"/>
      <c r="BD1361" s="94"/>
      <c r="BE1361" s="94"/>
      <c r="BF1361" s="94"/>
    </row>
    <row r="1362" spans="1:58" x14ac:dyDescent="0.35">
      <c r="A1362" s="107" t="s">
        <v>3777</v>
      </c>
      <c r="B1362" s="108" t="s">
        <v>0</v>
      </c>
      <c r="C1362" s="109">
        <v>7</v>
      </c>
      <c r="D1362" s="107" t="s">
        <v>1654</v>
      </c>
      <c r="E1362" s="109"/>
      <c r="F1362" s="94"/>
      <c r="G1362" s="94"/>
      <c r="H1362" s="94"/>
      <c r="I1362" s="94"/>
      <c r="J1362" s="94"/>
      <c r="K1362" s="94"/>
      <c r="L1362" s="94"/>
      <c r="M1362" s="94"/>
      <c r="N1362" s="94"/>
      <c r="O1362" s="94"/>
      <c r="P1362" s="94"/>
      <c r="Q1362" s="94"/>
      <c r="R1362" s="94"/>
      <c r="S1362" s="94"/>
      <c r="T1362" s="94"/>
      <c r="U1362" s="94"/>
      <c r="V1362" s="94"/>
      <c r="W1362" s="94"/>
      <c r="X1362" s="94"/>
      <c r="Y1362" s="94"/>
      <c r="Z1362" s="94"/>
      <c r="AA1362" s="94"/>
      <c r="AB1362" s="94"/>
      <c r="AC1362" s="94"/>
      <c r="AD1362" s="94"/>
      <c r="AE1362" s="94"/>
      <c r="AF1362" s="94"/>
      <c r="AG1362" s="94"/>
      <c r="AH1362" s="94"/>
      <c r="AI1362" s="94"/>
      <c r="AJ1362" s="94"/>
      <c r="AK1362" s="94"/>
      <c r="AL1362" s="94"/>
      <c r="AM1362" s="94"/>
      <c r="AN1362" s="94"/>
      <c r="AO1362" s="94"/>
      <c r="AP1362" s="94"/>
      <c r="AQ1362" s="94"/>
      <c r="AR1362" s="94"/>
      <c r="AS1362" s="94"/>
      <c r="AT1362" s="94"/>
      <c r="AU1362" s="94"/>
      <c r="AV1362" s="94"/>
      <c r="AW1362" s="94"/>
      <c r="AX1362" s="94"/>
      <c r="AY1362" s="94"/>
      <c r="AZ1362" s="94"/>
      <c r="BA1362" s="94"/>
      <c r="BB1362" s="94"/>
      <c r="BC1362" s="94"/>
      <c r="BD1362" s="94"/>
      <c r="BE1362" s="94"/>
      <c r="BF1362" s="94"/>
    </row>
    <row r="1363" spans="1:58" x14ac:dyDescent="0.35">
      <c r="A1363" s="104" t="s">
        <v>3764</v>
      </c>
      <c r="B1363" s="105" t="s">
        <v>0</v>
      </c>
      <c r="C1363" s="106">
        <v>6</v>
      </c>
      <c r="D1363" s="104" t="s">
        <v>1665</v>
      </c>
      <c r="E1363" s="106"/>
      <c r="F1363" s="94"/>
      <c r="G1363" s="94"/>
      <c r="H1363" s="94"/>
      <c r="I1363" s="94"/>
      <c r="J1363" s="94"/>
      <c r="K1363" s="94"/>
      <c r="L1363" s="94"/>
      <c r="M1363" s="94"/>
      <c r="N1363" s="94"/>
      <c r="O1363" s="94"/>
      <c r="P1363" s="94"/>
      <c r="Q1363" s="94"/>
      <c r="R1363" s="94"/>
      <c r="S1363" s="94"/>
      <c r="T1363" s="94"/>
      <c r="U1363" s="94"/>
      <c r="V1363" s="94"/>
      <c r="W1363" s="94"/>
      <c r="X1363" s="94"/>
      <c r="Y1363" s="94"/>
      <c r="Z1363" s="94"/>
      <c r="AA1363" s="94"/>
      <c r="AB1363" s="94"/>
      <c r="AC1363" s="94"/>
      <c r="AD1363" s="94"/>
      <c r="AE1363" s="94"/>
      <c r="AF1363" s="94"/>
      <c r="AG1363" s="94"/>
      <c r="AH1363" s="94"/>
      <c r="AI1363" s="94"/>
      <c r="AJ1363" s="94"/>
      <c r="AK1363" s="94"/>
      <c r="AL1363" s="94"/>
      <c r="AM1363" s="94"/>
      <c r="AN1363" s="94"/>
      <c r="AO1363" s="94"/>
      <c r="AP1363" s="94"/>
      <c r="AQ1363" s="94"/>
      <c r="AR1363" s="94"/>
      <c r="AS1363" s="94"/>
      <c r="AT1363" s="94"/>
      <c r="AU1363" s="94"/>
      <c r="AV1363" s="94"/>
      <c r="AW1363" s="94"/>
      <c r="AX1363" s="94"/>
      <c r="AY1363" s="94"/>
      <c r="AZ1363" s="94"/>
      <c r="BA1363" s="94"/>
      <c r="BB1363" s="94"/>
      <c r="BC1363" s="94"/>
      <c r="BD1363" s="94"/>
      <c r="BE1363" s="94"/>
      <c r="BF1363" s="94"/>
    </row>
    <row r="1364" spans="1:58" x14ac:dyDescent="0.35">
      <c r="A1364" s="107" t="s">
        <v>3160</v>
      </c>
      <c r="B1364" s="108" t="s">
        <v>0</v>
      </c>
      <c r="C1364" s="109">
        <v>7</v>
      </c>
      <c r="D1364" s="107" t="s">
        <v>1660</v>
      </c>
      <c r="E1364" s="109" t="s">
        <v>1666</v>
      </c>
      <c r="F1364" s="94"/>
      <c r="G1364" s="94"/>
      <c r="H1364" s="94"/>
      <c r="I1364" s="94"/>
      <c r="J1364" s="94"/>
      <c r="K1364" s="94"/>
      <c r="L1364" s="94"/>
      <c r="M1364" s="94"/>
      <c r="N1364" s="94"/>
      <c r="O1364" s="94"/>
      <c r="P1364" s="94"/>
      <c r="Q1364" s="94"/>
      <c r="R1364" s="94"/>
      <c r="S1364" s="94"/>
      <c r="T1364" s="94"/>
      <c r="U1364" s="94"/>
      <c r="V1364" s="94"/>
      <c r="W1364" s="94"/>
      <c r="X1364" s="94"/>
      <c r="Y1364" s="94"/>
      <c r="Z1364" s="94"/>
      <c r="AA1364" s="94"/>
      <c r="AB1364" s="94"/>
      <c r="AC1364" s="94"/>
      <c r="AD1364" s="94"/>
      <c r="AE1364" s="94"/>
      <c r="AF1364" s="94"/>
      <c r="AG1364" s="94"/>
      <c r="AH1364" s="94"/>
      <c r="AI1364" s="94"/>
      <c r="AJ1364" s="94"/>
      <c r="AK1364" s="94"/>
      <c r="AL1364" s="94"/>
      <c r="AM1364" s="94"/>
      <c r="AN1364" s="94"/>
      <c r="AO1364" s="94"/>
      <c r="AP1364" s="94"/>
      <c r="AQ1364" s="94"/>
      <c r="AR1364" s="94"/>
      <c r="AS1364" s="94"/>
      <c r="AT1364" s="94"/>
      <c r="AU1364" s="94"/>
      <c r="AV1364" s="94"/>
      <c r="AW1364" s="94"/>
      <c r="AX1364" s="94"/>
      <c r="AY1364" s="94"/>
      <c r="AZ1364" s="94"/>
      <c r="BA1364" s="94"/>
      <c r="BB1364" s="94"/>
      <c r="BC1364" s="94"/>
      <c r="BD1364" s="94"/>
      <c r="BE1364" s="94"/>
      <c r="BF1364" s="94"/>
    </row>
    <row r="1365" spans="1:58" x14ac:dyDescent="0.35">
      <c r="A1365" s="101" t="s">
        <v>3161</v>
      </c>
      <c r="B1365" s="102" t="s">
        <v>0</v>
      </c>
      <c r="C1365" s="103">
        <v>5</v>
      </c>
      <c r="D1365" s="101" t="s">
        <v>602</v>
      </c>
      <c r="E1365" s="103" t="s">
        <v>251</v>
      </c>
      <c r="F1365" s="94"/>
      <c r="G1365" s="94"/>
      <c r="H1365" s="94"/>
      <c r="I1365" s="94"/>
      <c r="J1365" s="94"/>
      <c r="K1365" s="94"/>
      <c r="L1365" s="94"/>
      <c r="M1365" s="94"/>
      <c r="N1365" s="94"/>
      <c r="O1365" s="94"/>
      <c r="P1365" s="94"/>
      <c r="Q1365" s="94"/>
      <c r="R1365" s="94"/>
      <c r="S1365" s="94"/>
      <c r="T1365" s="94"/>
      <c r="U1365" s="94"/>
      <c r="V1365" s="94"/>
      <c r="W1365" s="94"/>
      <c r="X1365" s="94"/>
      <c r="Y1365" s="94"/>
      <c r="Z1365" s="94"/>
      <c r="AA1365" s="94"/>
      <c r="AB1365" s="94"/>
      <c r="AC1365" s="94"/>
      <c r="AD1365" s="94"/>
      <c r="AE1365" s="94"/>
      <c r="AF1365" s="94"/>
      <c r="AG1365" s="94"/>
      <c r="AH1365" s="94"/>
      <c r="AI1365" s="94"/>
      <c r="AJ1365" s="94"/>
      <c r="AK1365" s="94"/>
      <c r="AL1365" s="94"/>
      <c r="AM1365" s="94"/>
      <c r="AN1365" s="94"/>
      <c r="AO1365" s="94"/>
      <c r="AP1365" s="94"/>
      <c r="AQ1365" s="94"/>
      <c r="AR1365" s="94"/>
      <c r="AS1365" s="94"/>
      <c r="AT1365" s="94"/>
      <c r="AU1365" s="94"/>
      <c r="AV1365" s="94"/>
      <c r="AW1365" s="94"/>
      <c r="AX1365" s="94"/>
      <c r="AY1365" s="94"/>
      <c r="AZ1365" s="94"/>
      <c r="BA1365" s="94"/>
      <c r="BB1365" s="94"/>
      <c r="BC1365" s="94"/>
      <c r="BD1365" s="94"/>
      <c r="BE1365" s="94"/>
      <c r="BF1365" s="94"/>
    </row>
    <row r="1366" spans="1:58" x14ac:dyDescent="0.35">
      <c r="A1366" s="104" t="s">
        <v>3162</v>
      </c>
      <c r="B1366" s="105" t="s">
        <v>0</v>
      </c>
      <c r="C1366" s="106">
        <v>6</v>
      </c>
      <c r="D1366" s="104" t="s">
        <v>16</v>
      </c>
      <c r="E1366" s="106"/>
      <c r="F1366" s="94"/>
      <c r="G1366" s="94"/>
      <c r="H1366" s="94"/>
      <c r="I1366" s="94"/>
      <c r="J1366" s="94"/>
      <c r="K1366" s="94"/>
      <c r="L1366" s="94"/>
      <c r="M1366" s="94"/>
      <c r="N1366" s="94"/>
      <c r="O1366" s="94"/>
      <c r="P1366" s="94"/>
      <c r="Q1366" s="94"/>
      <c r="R1366" s="94"/>
      <c r="S1366" s="94"/>
      <c r="T1366" s="94"/>
      <c r="U1366" s="94"/>
      <c r="V1366" s="94"/>
      <c r="W1366" s="94"/>
      <c r="X1366" s="94"/>
      <c r="Y1366" s="94"/>
      <c r="Z1366" s="94"/>
      <c r="AA1366" s="94"/>
      <c r="AB1366" s="94"/>
      <c r="AC1366" s="94"/>
      <c r="AD1366" s="94"/>
      <c r="AE1366" s="94"/>
      <c r="AF1366" s="94"/>
      <c r="AG1366" s="94"/>
      <c r="AH1366" s="94"/>
      <c r="AI1366" s="94"/>
      <c r="AJ1366" s="94"/>
      <c r="AK1366" s="94"/>
      <c r="AL1366" s="94"/>
      <c r="AM1366" s="94"/>
      <c r="AN1366" s="94"/>
      <c r="AO1366" s="94"/>
      <c r="AP1366" s="94"/>
      <c r="AQ1366" s="94"/>
      <c r="AR1366" s="94"/>
      <c r="AS1366" s="94"/>
      <c r="AT1366" s="94"/>
      <c r="AU1366" s="94"/>
      <c r="AV1366" s="94"/>
      <c r="AW1366" s="94"/>
      <c r="AX1366" s="94"/>
      <c r="AY1366" s="94"/>
      <c r="AZ1366" s="94"/>
      <c r="BA1366" s="94"/>
      <c r="BB1366" s="94"/>
      <c r="BC1366" s="94"/>
      <c r="BD1366" s="94"/>
      <c r="BE1366" s="94"/>
      <c r="BF1366" s="94"/>
    </row>
    <row r="1367" spans="1:58" x14ac:dyDescent="0.35">
      <c r="A1367" s="107" t="s">
        <v>3163</v>
      </c>
      <c r="B1367" s="108" t="s">
        <v>0</v>
      </c>
      <c r="C1367" s="109">
        <v>7</v>
      </c>
      <c r="D1367" s="107" t="s">
        <v>1196</v>
      </c>
      <c r="E1367" s="109" t="s">
        <v>252</v>
      </c>
      <c r="F1367" s="94"/>
      <c r="G1367" s="94"/>
      <c r="H1367" s="94"/>
      <c r="I1367" s="94"/>
      <c r="J1367" s="94"/>
      <c r="K1367" s="94"/>
      <c r="L1367" s="94"/>
      <c r="M1367" s="94"/>
      <c r="N1367" s="94"/>
      <c r="O1367" s="94"/>
      <c r="P1367" s="94"/>
      <c r="Q1367" s="94"/>
      <c r="R1367" s="94"/>
      <c r="S1367" s="94"/>
      <c r="T1367" s="94"/>
      <c r="U1367" s="94"/>
      <c r="V1367" s="94"/>
      <c r="W1367" s="94"/>
      <c r="X1367" s="94"/>
      <c r="Y1367" s="94"/>
      <c r="Z1367" s="94"/>
      <c r="AA1367" s="94"/>
      <c r="AB1367" s="94"/>
      <c r="AC1367" s="94"/>
      <c r="AD1367" s="94"/>
      <c r="AE1367" s="94"/>
      <c r="AF1367" s="94"/>
      <c r="AG1367" s="94"/>
      <c r="AH1367" s="94"/>
      <c r="AI1367" s="94"/>
      <c r="AJ1367" s="94"/>
      <c r="AK1367" s="94"/>
      <c r="AL1367" s="94"/>
      <c r="AM1367" s="94"/>
      <c r="AN1367" s="94"/>
      <c r="AO1367" s="94"/>
      <c r="AP1367" s="94"/>
      <c r="AQ1367" s="94"/>
      <c r="AR1367" s="94"/>
      <c r="AS1367" s="94"/>
      <c r="AT1367" s="94"/>
      <c r="AU1367" s="94"/>
      <c r="AV1367" s="94"/>
      <c r="AW1367" s="94"/>
      <c r="AX1367" s="94"/>
      <c r="AY1367" s="94"/>
      <c r="AZ1367" s="94"/>
      <c r="BA1367" s="94"/>
      <c r="BB1367" s="94"/>
      <c r="BC1367" s="94"/>
      <c r="BD1367" s="94"/>
      <c r="BE1367" s="94"/>
      <c r="BF1367" s="94"/>
    </row>
    <row r="1368" spans="1:58" x14ac:dyDescent="0.35">
      <c r="A1368" s="104" t="s">
        <v>3164</v>
      </c>
      <c r="B1368" s="105" t="s">
        <v>0</v>
      </c>
      <c r="C1368" s="106">
        <v>6</v>
      </c>
      <c r="D1368" s="104" t="s">
        <v>123</v>
      </c>
      <c r="E1368" s="106"/>
      <c r="F1368" s="94"/>
      <c r="G1368" s="94"/>
      <c r="H1368" s="94"/>
      <c r="I1368" s="94"/>
      <c r="J1368" s="94"/>
      <c r="K1368" s="94"/>
      <c r="L1368" s="94"/>
      <c r="M1368" s="94"/>
      <c r="N1368" s="94"/>
      <c r="O1368" s="94"/>
      <c r="P1368" s="94"/>
      <c r="Q1368" s="94"/>
      <c r="R1368" s="94"/>
      <c r="S1368" s="94"/>
      <c r="T1368" s="94"/>
      <c r="U1368" s="94"/>
      <c r="V1368" s="94"/>
      <c r="W1368" s="94"/>
      <c r="X1368" s="94"/>
      <c r="Y1368" s="94"/>
      <c r="Z1368" s="94"/>
      <c r="AA1368" s="94"/>
      <c r="AB1368" s="94"/>
      <c r="AC1368" s="94"/>
      <c r="AD1368" s="94"/>
      <c r="AE1368" s="94"/>
      <c r="AF1368" s="94"/>
      <c r="AG1368" s="94"/>
      <c r="AH1368" s="94"/>
      <c r="AI1368" s="94"/>
      <c r="AJ1368" s="94"/>
      <c r="AK1368" s="94"/>
      <c r="AL1368" s="94"/>
      <c r="AM1368" s="94"/>
      <c r="AN1368" s="94"/>
      <c r="AO1368" s="94"/>
      <c r="AP1368" s="94"/>
      <c r="AQ1368" s="94"/>
      <c r="AR1368" s="94"/>
      <c r="AS1368" s="94"/>
      <c r="AT1368" s="94"/>
      <c r="AU1368" s="94"/>
      <c r="AV1368" s="94"/>
      <c r="AW1368" s="94"/>
      <c r="AX1368" s="94"/>
      <c r="AY1368" s="94"/>
      <c r="AZ1368" s="94"/>
      <c r="BA1368" s="94"/>
      <c r="BB1368" s="94"/>
      <c r="BC1368" s="94"/>
      <c r="BD1368" s="94"/>
      <c r="BE1368" s="94"/>
      <c r="BF1368" s="94"/>
    </row>
    <row r="1369" spans="1:58" x14ac:dyDescent="0.35">
      <c r="A1369" s="107" t="s">
        <v>3778</v>
      </c>
      <c r="B1369" s="108" t="s">
        <v>0</v>
      </c>
      <c r="C1369" s="109">
        <v>7</v>
      </c>
      <c r="D1369" s="107" t="s">
        <v>1654</v>
      </c>
      <c r="E1369" s="109"/>
      <c r="F1369" s="94"/>
      <c r="G1369" s="94"/>
      <c r="H1369" s="94"/>
      <c r="I1369" s="94"/>
      <c r="J1369" s="94"/>
      <c r="K1369" s="94"/>
      <c r="L1369" s="94"/>
      <c r="M1369" s="94"/>
      <c r="N1369" s="94"/>
      <c r="O1369" s="94"/>
      <c r="P1369" s="94"/>
      <c r="Q1369" s="94"/>
      <c r="R1369" s="94"/>
      <c r="S1369" s="94"/>
      <c r="T1369" s="94"/>
      <c r="U1369" s="94"/>
      <c r="V1369" s="94"/>
      <c r="W1369" s="94"/>
      <c r="X1369" s="94"/>
      <c r="Y1369" s="94"/>
      <c r="Z1369" s="94"/>
      <c r="AA1369" s="94"/>
      <c r="AB1369" s="94"/>
      <c r="AC1369" s="94"/>
      <c r="AD1369" s="94"/>
      <c r="AE1369" s="94"/>
      <c r="AF1369" s="94"/>
      <c r="AG1369" s="94"/>
      <c r="AH1369" s="94"/>
      <c r="AI1369" s="94"/>
      <c r="AJ1369" s="94"/>
      <c r="AK1369" s="94"/>
      <c r="AL1369" s="94"/>
      <c r="AM1369" s="94"/>
      <c r="AN1369" s="94"/>
      <c r="AO1369" s="94"/>
      <c r="AP1369" s="94"/>
      <c r="AQ1369" s="94"/>
      <c r="AR1369" s="94"/>
      <c r="AS1369" s="94"/>
      <c r="AT1369" s="94"/>
      <c r="AU1369" s="94"/>
      <c r="AV1369" s="94"/>
      <c r="AW1369" s="94"/>
      <c r="AX1369" s="94"/>
      <c r="AY1369" s="94"/>
      <c r="AZ1369" s="94"/>
      <c r="BA1369" s="94"/>
      <c r="BB1369" s="94"/>
      <c r="BC1369" s="94"/>
      <c r="BD1369" s="94"/>
      <c r="BE1369" s="94"/>
      <c r="BF1369" s="94"/>
    </row>
    <row r="1370" spans="1:58" x14ac:dyDescent="0.35">
      <c r="A1370" s="104" t="s">
        <v>3765</v>
      </c>
      <c r="B1370" s="105" t="s">
        <v>0</v>
      </c>
      <c r="C1370" s="106">
        <v>6</v>
      </c>
      <c r="D1370" s="104" t="s">
        <v>1665</v>
      </c>
      <c r="E1370" s="106"/>
      <c r="F1370" s="94"/>
      <c r="G1370" s="94"/>
      <c r="H1370" s="94"/>
      <c r="I1370" s="94"/>
      <c r="J1370" s="94"/>
      <c r="K1370" s="94"/>
      <c r="L1370" s="94"/>
      <c r="M1370" s="94"/>
      <c r="N1370" s="94"/>
      <c r="O1370" s="94"/>
      <c r="P1370" s="94"/>
      <c r="Q1370" s="94"/>
      <c r="R1370" s="94"/>
      <c r="S1370" s="94"/>
      <c r="T1370" s="94"/>
      <c r="U1370" s="94"/>
      <c r="V1370" s="94"/>
      <c r="W1370" s="94"/>
      <c r="X1370" s="94"/>
      <c r="Y1370" s="94"/>
      <c r="Z1370" s="94"/>
      <c r="AA1370" s="94"/>
      <c r="AB1370" s="94"/>
      <c r="AC1370" s="94"/>
      <c r="AD1370" s="94"/>
      <c r="AE1370" s="94"/>
      <c r="AF1370" s="94"/>
      <c r="AG1370" s="94"/>
      <c r="AH1370" s="94"/>
      <c r="AI1370" s="94"/>
      <c r="AJ1370" s="94"/>
      <c r="AK1370" s="94"/>
      <c r="AL1370" s="94"/>
      <c r="AM1370" s="94"/>
      <c r="AN1370" s="94"/>
      <c r="AO1370" s="94"/>
      <c r="AP1370" s="94"/>
      <c r="AQ1370" s="94"/>
      <c r="AR1370" s="94"/>
      <c r="AS1370" s="94"/>
      <c r="AT1370" s="94"/>
      <c r="AU1370" s="94"/>
      <c r="AV1370" s="94"/>
      <c r="AW1370" s="94"/>
      <c r="AX1370" s="94"/>
      <c r="AY1370" s="94"/>
      <c r="AZ1370" s="94"/>
      <c r="BA1370" s="94"/>
      <c r="BB1370" s="94"/>
      <c r="BC1370" s="94"/>
      <c r="BD1370" s="94"/>
      <c r="BE1370" s="94"/>
      <c r="BF1370" s="94"/>
    </row>
    <row r="1371" spans="1:58" x14ac:dyDescent="0.35">
      <c r="A1371" s="107" t="s">
        <v>3165</v>
      </c>
      <c r="B1371" s="108" t="s">
        <v>0</v>
      </c>
      <c r="C1371" s="109">
        <v>7</v>
      </c>
      <c r="D1371" s="107" t="s">
        <v>1660</v>
      </c>
      <c r="E1371" s="109" t="s">
        <v>1667</v>
      </c>
      <c r="F1371" s="94"/>
      <c r="G1371" s="94"/>
      <c r="H1371" s="94"/>
      <c r="I1371" s="94"/>
      <c r="J1371" s="94"/>
      <c r="K1371" s="94"/>
      <c r="L1371" s="94"/>
      <c r="M1371" s="94"/>
      <c r="N1371" s="94"/>
      <c r="O1371" s="94"/>
      <c r="P1371" s="94"/>
      <c r="Q1371" s="94"/>
      <c r="R1371" s="94"/>
      <c r="S1371" s="94"/>
      <c r="T1371" s="94"/>
      <c r="U1371" s="94"/>
      <c r="V1371" s="94"/>
      <c r="W1371" s="94"/>
      <c r="X1371" s="94"/>
      <c r="Y1371" s="94"/>
      <c r="Z1371" s="94"/>
      <c r="AA1371" s="94"/>
      <c r="AB1371" s="94"/>
      <c r="AC1371" s="94"/>
      <c r="AD1371" s="94"/>
      <c r="AE1371" s="94"/>
      <c r="AF1371" s="94"/>
      <c r="AG1371" s="94"/>
      <c r="AH1371" s="94"/>
      <c r="AI1371" s="94"/>
      <c r="AJ1371" s="94"/>
      <c r="AK1371" s="94"/>
      <c r="AL1371" s="94"/>
      <c r="AM1371" s="94"/>
      <c r="AN1371" s="94"/>
      <c r="AO1371" s="94"/>
      <c r="AP1371" s="94"/>
      <c r="AQ1371" s="94"/>
      <c r="AR1371" s="94"/>
      <c r="AS1371" s="94"/>
      <c r="AT1371" s="94"/>
      <c r="AU1371" s="94"/>
      <c r="AV1371" s="94"/>
      <c r="AW1371" s="94"/>
      <c r="AX1371" s="94"/>
      <c r="AY1371" s="94"/>
      <c r="AZ1371" s="94"/>
      <c r="BA1371" s="94"/>
      <c r="BB1371" s="94"/>
      <c r="BC1371" s="94"/>
      <c r="BD1371" s="94"/>
      <c r="BE1371" s="94"/>
      <c r="BF1371" s="94"/>
    </row>
    <row r="1372" spans="1:58" x14ac:dyDescent="0.35">
      <c r="A1372" s="101" t="s">
        <v>3166</v>
      </c>
      <c r="B1372" s="102" t="s">
        <v>0</v>
      </c>
      <c r="C1372" s="103">
        <v>5</v>
      </c>
      <c r="D1372" s="101" t="s">
        <v>244</v>
      </c>
      <c r="E1372" s="103" t="s">
        <v>255</v>
      </c>
      <c r="F1372" s="94"/>
      <c r="G1372" s="94"/>
      <c r="H1372" s="94"/>
      <c r="I1372" s="94"/>
      <c r="J1372" s="94"/>
      <c r="K1372" s="94"/>
      <c r="L1372" s="94"/>
      <c r="M1372" s="94"/>
      <c r="N1372" s="94"/>
      <c r="O1372" s="94"/>
      <c r="P1372" s="94"/>
      <c r="Q1372" s="94"/>
      <c r="R1372" s="94"/>
      <c r="S1372" s="94"/>
      <c r="T1372" s="94"/>
      <c r="U1372" s="94"/>
      <c r="V1372" s="94"/>
      <c r="W1372" s="94"/>
      <c r="X1372" s="94"/>
      <c r="Y1372" s="94"/>
      <c r="Z1372" s="94"/>
      <c r="AA1372" s="94"/>
      <c r="AB1372" s="94"/>
      <c r="AC1372" s="94"/>
      <c r="AD1372" s="94"/>
      <c r="AE1372" s="94"/>
      <c r="AF1372" s="94"/>
      <c r="AG1372" s="94"/>
      <c r="AH1372" s="94"/>
      <c r="AI1372" s="94"/>
      <c r="AJ1372" s="94"/>
      <c r="AK1372" s="94"/>
      <c r="AL1372" s="94"/>
      <c r="AM1372" s="94"/>
      <c r="AN1372" s="94"/>
      <c r="AO1372" s="94"/>
      <c r="AP1372" s="94"/>
      <c r="AQ1372" s="94"/>
      <c r="AR1372" s="94"/>
      <c r="AS1372" s="94"/>
      <c r="AT1372" s="94"/>
      <c r="AU1372" s="94"/>
      <c r="AV1372" s="94"/>
      <c r="AW1372" s="94"/>
      <c r="AX1372" s="94"/>
      <c r="AY1372" s="94"/>
      <c r="AZ1372" s="94"/>
      <c r="BA1372" s="94"/>
      <c r="BB1372" s="94"/>
      <c r="BC1372" s="94"/>
      <c r="BD1372" s="94"/>
      <c r="BE1372" s="94"/>
      <c r="BF1372" s="94"/>
    </row>
    <row r="1373" spans="1:58" x14ac:dyDescent="0.35">
      <c r="A1373" s="104" t="s">
        <v>3167</v>
      </c>
      <c r="B1373" s="105" t="s">
        <v>0</v>
      </c>
      <c r="C1373" s="106">
        <v>6</v>
      </c>
      <c r="D1373" s="104" t="s">
        <v>26</v>
      </c>
      <c r="E1373" s="106"/>
      <c r="F1373" s="94"/>
      <c r="G1373" s="94"/>
      <c r="H1373" s="94"/>
      <c r="I1373" s="94"/>
      <c r="J1373" s="94"/>
      <c r="K1373" s="94"/>
      <c r="L1373" s="94"/>
      <c r="M1373" s="94"/>
      <c r="N1373" s="94"/>
      <c r="O1373" s="94"/>
      <c r="P1373" s="94"/>
      <c r="Q1373" s="94"/>
      <c r="R1373" s="94"/>
      <c r="S1373" s="94"/>
      <c r="T1373" s="94"/>
      <c r="U1373" s="94"/>
      <c r="V1373" s="94"/>
      <c r="W1373" s="94"/>
      <c r="X1373" s="94"/>
      <c r="Y1373" s="94"/>
      <c r="Z1373" s="94"/>
      <c r="AA1373" s="94"/>
      <c r="AB1373" s="94"/>
      <c r="AC1373" s="94"/>
      <c r="AD1373" s="94"/>
      <c r="AE1373" s="94"/>
      <c r="AF1373" s="94"/>
      <c r="AG1373" s="94"/>
      <c r="AH1373" s="94"/>
      <c r="AI1373" s="94"/>
      <c r="AJ1373" s="94"/>
      <c r="AK1373" s="94"/>
      <c r="AL1373" s="94"/>
      <c r="AM1373" s="94"/>
      <c r="AN1373" s="94"/>
      <c r="AO1373" s="94"/>
      <c r="AP1373" s="94"/>
      <c r="AQ1373" s="94"/>
      <c r="AR1373" s="94"/>
      <c r="AS1373" s="94"/>
      <c r="AT1373" s="94"/>
      <c r="AU1373" s="94"/>
      <c r="AV1373" s="94"/>
      <c r="AW1373" s="94"/>
      <c r="AX1373" s="94"/>
      <c r="AY1373" s="94"/>
      <c r="AZ1373" s="94"/>
      <c r="BA1373" s="94"/>
      <c r="BB1373" s="94"/>
      <c r="BC1373" s="94"/>
      <c r="BD1373" s="94"/>
      <c r="BE1373" s="94"/>
      <c r="BF1373" s="94"/>
    </row>
    <row r="1374" spans="1:58" x14ac:dyDescent="0.35">
      <c r="A1374" s="107" t="s">
        <v>3168</v>
      </c>
      <c r="B1374" s="108" t="s">
        <v>0</v>
      </c>
      <c r="C1374" s="109">
        <v>7</v>
      </c>
      <c r="D1374" s="107" t="s">
        <v>1200</v>
      </c>
      <c r="E1374" s="109"/>
      <c r="F1374" s="94"/>
      <c r="G1374" s="94"/>
      <c r="H1374" s="94"/>
      <c r="I1374" s="94"/>
      <c r="J1374" s="94"/>
      <c r="K1374" s="94"/>
      <c r="L1374" s="94"/>
      <c r="M1374" s="94"/>
      <c r="N1374" s="94"/>
      <c r="O1374" s="94"/>
      <c r="P1374" s="94"/>
      <c r="Q1374" s="94"/>
      <c r="R1374" s="94"/>
      <c r="S1374" s="94"/>
      <c r="T1374" s="94"/>
      <c r="U1374" s="94"/>
      <c r="V1374" s="94"/>
      <c r="W1374" s="94"/>
      <c r="X1374" s="94"/>
      <c r="Y1374" s="94"/>
      <c r="Z1374" s="94"/>
      <c r="AA1374" s="94"/>
      <c r="AB1374" s="94"/>
      <c r="AC1374" s="94"/>
      <c r="AD1374" s="94"/>
      <c r="AE1374" s="94"/>
      <c r="AF1374" s="94"/>
      <c r="AG1374" s="94"/>
      <c r="AH1374" s="94"/>
      <c r="AI1374" s="94"/>
      <c r="AJ1374" s="94"/>
      <c r="AK1374" s="94"/>
      <c r="AL1374" s="94"/>
      <c r="AM1374" s="94"/>
      <c r="AN1374" s="94"/>
      <c r="AO1374" s="94"/>
      <c r="AP1374" s="94"/>
      <c r="AQ1374" s="94"/>
      <c r="AR1374" s="94"/>
      <c r="AS1374" s="94"/>
      <c r="AT1374" s="94"/>
      <c r="AU1374" s="94"/>
      <c r="AV1374" s="94"/>
      <c r="AW1374" s="94"/>
      <c r="AX1374" s="94"/>
      <c r="AY1374" s="94"/>
      <c r="AZ1374" s="94"/>
      <c r="BA1374" s="94"/>
      <c r="BB1374" s="94"/>
      <c r="BC1374" s="94"/>
      <c r="BD1374" s="94"/>
      <c r="BE1374" s="94"/>
      <c r="BF1374" s="94"/>
    </row>
    <row r="1375" spans="1:58" x14ac:dyDescent="0.35">
      <c r="A1375" s="107" t="s">
        <v>3169</v>
      </c>
      <c r="B1375" s="108" t="s">
        <v>0</v>
      </c>
      <c r="C1375" s="109">
        <v>7</v>
      </c>
      <c r="D1375" s="107" t="s">
        <v>1197</v>
      </c>
      <c r="E1375" s="109"/>
      <c r="F1375" s="94"/>
      <c r="G1375" s="94"/>
      <c r="H1375" s="94"/>
      <c r="I1375" s="94"/>
      <c r="J1375" s="94"/>
      <c r="K1375" s="94"/>
      <c r="L1375" s="94"/>
      <c r="M1375" s="94"/>
      <c r="N1375" s="94"/>
      <c r="O1375" s="94"/>
      <c r="P1375" s="94"/>
      <c r="Q1375" s="94"/>
      <c r="R1375" s="94"/>
      <c r="S1375" s="94"/>
      <c r="T1375" s="94"/>
      <c r="U1375" s="94"/>
      <c r="V1375" s="94"/>
      <c r="W1375" s="94"/>
      <c r="X1375" s="94"/>
      <c r="Y1375" s="94"/>
      <c r="Z1375" s="94"/>
      <c r="AA1375" s="94"/>
      <c r="AB1375" s="94"/>
      <c r="AC1375" s="94"/>
      <c r="AD1375" s="94"/>
      <c r="AE1375" s="94"/>
      <c r="AF1375" s="94"/>
      <c r="AG1375" s="94"/>
      <c r="AH1375" s="94"/>
      <c r="AI1375" s="94"/>
      <c r="AJ1375" s="94"/>
      <c r="AK1375" s="94"/>
      <c r="AL1375" s="94"/>
      <c r="AM1375" s="94"/>
      <c r="AN1375" s="94"/>
      <c r="AO1375" s="94"/>
      <c r="AP1375" s="94"/>
      <c r="AQ1375" s="94"/>
      <c r="AR1375" s="94"/>
      <c r="AS1375" s="94"/>
      <c r="AT1375" s="94"/>
      <c r="AU1375" s="94"/>
      <c r="AV1375" s="94"/>
      <c r="AW1375" s="94"/>
      <c r="AX1375" s="94"/>
      <c r="AY1375" s="94"/>
      <c r="AZ1375" s="94"/>
      <c r="BA1375" s="94"/>
      <c r="BB1375" s="94"/>
      <c r="BC1375" s="94"/>
      <c r="BD1375" s="94"/>
      <c r="BE1375" s="94"/>
      <c r="BF1375" s="94"/>
    </row>
    <row r="1376" spans="1:58" x14ac:dyDescent="0.35">
      <c r="A1376" s="107" t="s">
        <v>3170</v>
      </c>
      <c r="B1376" s="108" t="s">
        <v>0</v>
      </c>
      <c r="C1376" s="109">
        <v>7</v>
      </c>
      <c r="D1376" s="107" t="s">
        <v>1198</v>
      </c>
      <c r="E1376" s="109"/>
      <c r="F1376" s="94"/>
      <c r="G1376" s="94"/>
      <c r="H1376" s="94"/>
      <c r="I1376" s="94"/>
      <c r="J1376" s="94"/>
      <c r="K1376" s="94"/>
      <c r="L1376" s="94"/>
      <c r="M1376" s="94"/>
      <c r="N1376" s="94"/>
      <c r="O1376" s="94"/>
      <c r="P1376" s="94"/>
      <c r="Q1376" s="94"/>
      <c r="R1376" s="94"/>
      <c r="S1376" s="94"/>
      <c r="T1376" s="94"/>
      <c r="U1376" s="94"/>
      <c r="V1376" s="94"/>
      <c r="W1376" s="94"/>
      <c r="X1376" s="94"/>
      <c r="Y1376" s="94"/>
      <c r="Z1376" s="94"/>
      <c r="AA1376" s="94"/>
      <c r="AB1376" s="94"/>
      <c r="AC1376" s="94"/>
      <c r="AD1376" s="94"/>
      <c r="AE1376" s="94"/>
      <c r="AF1376" s="94"/>
      <c r="AG1376" s="94"/>
      <c r="AH1376" s="94"/>
      <c r="AI1376" s="94"/>
      <c r="AJ1376" s="94"/>
      <c r="AK1376" s="94"/>
      <c r="AL1376" s="94"/>
      <c r="AM1376" s="94"/>
      <c r="AN1376" s="94"/>
      <c r="AO1376" s="94"/>
      <c r="AP1376" s="94"/>
      <c r="AQ1376" s="94"/>
      <c r="AR1376" s="94"/>
      <c r="AS1376" s="94"/>
      <c r="AT1376" s="94"/>
      <c r="AU1376" s="94"/>
      <c r="AV1376" s="94"/>
      <c r="AW1376" s="94"/>
      <c r="AX1376" s="94"/>
      <c r="AY1376" s="94"/>
      <c r="AZ1376" s="94"/>
      <c r="BA1376" s="94"/>
      <c r="BB1376" s="94"/>
      <c r="BC1376" s="94"/>
      <c r="BD1376" s="94"/>
      <c r="BE1376" s="94"/>
      <c r="BF1376" s="94"/>
    </row>
    <row r="1377" spans="1:58" x14ac:dyDescent="0.35">
      <c r="A1377" s="107" t="s">
        <v>3171</v>
      </c>
      <c r="B1377" s="108" t="s">
        <v>0</v>
      </c>
      <c r="C1377" s="109">
        <v>7</v>
      </c>
      <c r="D1377" s="107" t="s">
        <v>1201</v>
      </c>
      <c r="E1377" s="109"/>
      <c r="F1377" s="94"/>
      <c r="G1377" s="94"/>
      <c r="H1377" s="94"/>
      <c r="I1377" s="94"/>
      <c r="J1377" s="94"/>
      <c r="K1377" s="94"/>
      <c r="L1377" s="94"/>
      <c r="M1377" s="94"/>
      <c r="N1377" s="94"/>
      <c r="O1377" s="94"/>
      <c r="P1377" s="94"/>
      <c r="Q1377" s="94"/>
      <c r="R1377" s="94"/>
      <c r="S1377" s="94"/>
      <c r="T1377" s="94"/>
      <c r="U1377" s="94"/>
      <c r="V1377" s="94"/>
      <c r="W1377" s="94"/>
      <c r="X1377" s="94"/>
      <c r="Y1377" s="94"/>
      <c r="Z1377" s="94"/>
      <c r="AA1377" s="94"/>
      <c r="AB1377" s="94"/>
      <c r="AC1377" s="94"/>
      <c r="AD1377" s="94"/>
      <c r="AE1377" s="94"/>
      <c r="AF1377" s="94"/>
      <c r="AG1377" s="94"/>
      <c r="AH1377" s="94"/>
      <c r="AI1377" s="94"/>
      <c r="AJ1377" s="94"/>
      <c r="AK1377" s="94"/>
      <c r="AL1377" s="94"/>
      <c r="AM1377" s="94"/>
      <c r="AN1377" s="94"/>
      <c r="AO1377" s="94"/>
      <c r="AP1377" s="94"/>
      <c r="AQ1377" s="94"/>
      <c r="AR1377" s="94"/>
      <c r="AS1377" s="94"/>
      <c r="AT1377" s="94"/>
      <c r="AU1377" s="94"/>
      <c r="AV1377" s="94"/>
      <c r="AW1377" s="94"/>
      <c r="AX1377" s="94"/>
      <c r="AY1377" s="94"/>
      <c r="AZ1377" s="94"/>
      <c r="BA1377" s="94"/>
      <c r="BB1377" s="94"/>
      <c r="BC1377" s="94"/>
      <c r="BD1377" s="94"/>
      <c r="BE1377" s="94"/>
      <c r="BF1377" s="94"/>
    </row>
    <row r="1378" spans="1:58" x14ac:dyDescent="0.35">
      <c r="A1378" s="104" t="s">
        <v>3172</v>
      </c>
      <c r="B1378" s="105" t="s">
        <v>0</v>
      </c>
      <c r="C1378" s="106">
        <v>6</v>
      </c>
      <c r="D1378" s="104" t="s">
        <v>1626</v>
      </c>
      <c r="E1378" s="106"/>
      <c r="F1378" s="94"/>
      <c r="G1378" s="94"/>
      <c r="H1378" s="94"/>
      <c r="I1378" s="94"/>
      <c r="J1378" s="94"/>
      <c r="K1378" s="94"/>
      <c r="L1378" s="94"/>
      <c r="M1378" s="94"/>
      <c r="N1378" s="94"/>
      <c r="O1378" s="94"/>
      <c r="P1378" s="94"/>
      <c r="Q1378" s="94"/>
      <c r="R1378" s="94"/>
      <c r="S1378" s="94"/>
      <c r="T1378" s="94"/>
      <c r="U1378" s="94"/>
      <c r="V1378" s="94"/>
      <c r="W1378" s="94"/>
      <c r="X1378" s="94"/>
      <c r="Y1378" s="94"/>
      <c r="Z1378" s="94"/>
      <c r="AA1378" s="94"/>
      <c r="AB1378" s="94"/>
      <c r="AC1378" s="94"/>
      <c r="AD1378" s="94"/>
      <c r="AE1378" s="94"/>
      <c r="AF1378" s="94"/>
      <c r="AG1378" s="94"/>
      <c r="AH1378" s="94"/>
      <c r="AI1378" s="94"/>
      <c r="AJ1378" s="94"/>
      <c r="AK1378" s="94"/>
      <c r="AL1378" s="94"/>
      <c r="AM1378" s="94"/>
      <c r="AN1378" s="94"/>
      <c r="AO1378" s="94"/>
      <c r="AP1378" s="94"/>
      <c r="AQ1378" s="94"/>
      <c r="AR1378" s="94"/>
      <c r="AS1378" s="94"/>
      <c r="AT1378" s="94"/>
      <c r="AU1378" s="94"/>
      <c r="AV1378" s="94"/>
      <c r="AW1378" s="94"/>
      <c r="AX1378" s="94"/>
      <c r="AY1378" s="94"/>
      <c r="AZ1378" s="94"/>
      <c r="BA1378" s="94"/>
      <c r="BB1378" s="94"/>
      <c r="BC1378" s="94"/>
      <c r="BD1378" s="94"/>
      <c r="BE1378" s="94"/>
      <c r="BF1378" s="94"/>
    </row>
    <row r="1379" spans="1:58" x14ac:dyDescent="0.35">
      <c r="A1379" s="107" t="s">
        <v>3173</v>
      </c>
      <c r="B1379" s="108" t="s">
        <v>0</v>
      </c>
      <c r="C1379" s="109">
        <v>7</v>
      </c>
      <c r="D1379" s="107" t="s">
        <v>1202</v>
      </c>
      <c r="E1379" s="109"/>
      <c r="F1379" s="94"/>
      <c r="G1379" s="94"/>
      <c r="H1379" s="94"/>
      <c r="I1379" s="94"/>
      <c r="J1379" s="94"/>
      <c r="K1379" s="94"/>
      <c r="L1379" s="94"/>
      <c r="M1379" s="94"/>
      <c r="N1379" s="94"/>
      <c r="O1379" s="94"/>
      <c r="P1379" s="94"/>
      <c r="Q1379" s="94"/>
      <c r="R1379" s="94"/>
      <c r="S1379" s="94"/>
      <c r="T1379" s="94"/>
      <c r="U1379" s="94"/>
      <c r="V1379" s="94"/>
      <c r="W1379" s="94"/>
      <c r="X1379" s="94"/>
      <c r="Y1379" s="94"/>
      <c r="Z1379" s="94"/>
      <c r="AA1379" s="94"/>
      <c r="AB1379" s="94"/>
      <c r="AC1379" s="94"/>
      <c r="AD1379" s="94"/>
      <c r="AE1379" s="94"/>
      <c r="AF1379" s="94"/>
      <c r="AG1379" s="94"/>
      <c r="AH1379" s="94"/>
      <c r="AI1379" s="94"/>
      <c r="AJ1379" s="94"/>
      <c r="AK1379" s="94"/>
      <c r="AL1379" s="94"/>
      <c r="AM1379" s="94"/>
      <c r="AN1379" s="94"/>
      <c r="AO1379" s="94"/>
      <c r="AP1379" s="94"/>
      <c r="AQ1379" s="94"/>
      <c r="AR1379" s="94"/>
      <c r="AS1379" s="94"/>
      <c r="AT1379" s="94"/>
      <c r="AU1379" s="94"/>
      <c r="AV1379" s="94"/>
      <c r="AW1379" s="94"/>
      <c r="AX1379" s="94"/>
      <c r="AY1379" s="94"/>
      <c r="AZ1379" s="94"/>
      <c r="BA1379" s="94"/>
      <c r="BB1379" s="94"/>
      <c r="BC1379" s="94"/>
      <c r="BD1379" s="94"/>
      <c r="BE1379" s="94"/>
      <c r="BF1379" s="94"/>
    </row>
    <row r="1380" spans="1:58" x14ac:dyDescent="0.35">
      <c r="A1380" s="107" t="s">
        <v>3174</v>
      </c>
      <c r="B1380" s="108" t="s">
        <v>0</v>
      </c>
      <c r="C1380" s="109">
        <v>7</v>
      </c>
      <c r="D1380" s="107" t="s">
        <v>1199</v>
      </c>
      <c r="E1380" s="109"/>
      <c r="F1380" s="94"/>
      <c r="G1380" s="94"/>
      <c r="H1380" s="94"/>
      <c r="I1380" s="94"/>
      <c r="J1380" s="94"/>
      <c r="K1380" s="94"/>
      <c r="L1380" s="94"/>
      <c r="M1380" s="94"/>
      <c r="N1380" s="94"/>
      <c r="O1380" s="94"/>
      <c r="P1380" s="94"/>
      <c r="Q1380" s="94"/>
      <c r="R1380" s="94"/>
      <c r="S1380" s="94"/>
      <c r="T1380" s="94"/>
      <c r="U1380" s="94"/>
      <c r="V1380" s="94"/>
      <c r="W1380" s="94"/>
      <c r="X1380" s="94"/>
      <c r="Y1380" s="94"/>
      <c r="Z1380" s="94"/>
      <c r="AA1380" s="94"/>
      <c r="AB1380" s="94"/>
      <c r="AC1380" s="94"/>
      <c r="AD1380" s="94"/>
      <c r="AE1380" s="94"/>
      <c r="AF1380" s="94"/>
      <c r="AG1380" s="94"/>
      <c r="AH1380" s="94"/>
      <c r="AI1380" s="94"/>
      <c r="AJ1380" s="94"/>
      <c r="AK1380" s="94"/>
      <c r="AL1380" s="94"/>
      <c r="AM1380" s="94"/>
      <c r="AN1380" s="94"/>
      <c r="AO1380" s="94"/>
      <c r="AP1380" s="94"/>
      <c r="AQ1380" s="94"/>
      <c r="AR1380" s="94"/>
      <c r="AS1380" s="94"/>
      <c r="AT1380" s="94"/>
      <c r="AU1380" s="94"/>
      <c r="AV1380" s="94"/>
      <c r="AW1380" s="94"/>
      <c r="AX1380" s="94"/>
      <c r="AY1380" s="94"/>
      <c r="AZ1380" s="94"/>
      <c r="BA1380" s="94"/>
      <c r="BB1380" s="94"/>
      <c r="BC1380" s="94"/>
      <c r="BD1380" s="94"/>
      <c r="BE1380" s="94"/>
      <c r="BF1380" s="94"/>
    </row>
    <row r="1381" spans="1:58" x14ac:dyDescent="0.35">
      <c r="A1381" s="107" t="s">
        <v>3175</v>
      </c>
      <c r="B1381" s="108" t="s">
        <v>0</v>
      </c>
      <c r="C1381" s="109">
        <v>7</v>
      </c>
      <c r="D1381" s="107" t="s">
        <v>9</v>
      </c>
      <c r="E1381" s="109"/>
      <c r="F1381" s="94"/>
      <c r="G1381" s="94"/>
      <c r="H1381" s="94"/>
      <c r="I1381" s="94"/>
      <c r="J1381" s="94"/>
      <c r="K1381" s="94"/>
      <c r="L1381" s="94"/>
      <c r="M1381" s="94"/>
      <c r="N1381" s="94"/>
      <c r="O1381" s="94"/>
      <c r="P1381" s="94"/>
      <c r="Q1381" s="94"/>
      <c r="R1381" s="94"/>
      <c r="S1381" s="94"/>
      <c r="T1381" s="94"/>
      <c r="U1381" s="94"/>
      <c r="V1381" s="94"/>
      <c r="W1381" s="94"/>
      <c r="X1381" s="94"/>
      <c r="Y1381" s="94"/>
      <c r="Z1381" s="94"/>
      <c r="AA1381" s="94"/>
      <c r="AB1381" s="94"/>
      <c r="AC1381" s="94"/>
      <c r="AD1381" s="94"/>
      <c r="AE1381" s="94"/>
      <c r="AF1381" s="94"/>
      <c r="AG1381" s="94"/>
      <c r="AH1381" s="94"/>
      <c r="AI1381" s="94"/>
      <c r="AJ1381" s="94"/>
      <c r="AK1381" s="94"/>
      <c r="AL1381" s="94"/>
      <c r="AM1381" s="94"/>
      <c r="AN1381" s="94"/>
      <c r="AO1381" s="94"/>
      <c r="AP1381" s="94"/>
      <c r="AQ1381" s="94"/>
      <c r="AR1381" s="94"/>
      <c r="AS1381" s="94"/>
      <c r="AT1381" s="94"/>
      <c r="AU1381" s="94"/>
      <c r="AV1381" s="94"/>
      <c r="AW1381" s="94"/>
      <c r="AX1381" s="94"/>
      <c r="AY1381" s="94"/>
      <c r="AZ1381" s="94"/>
      <c r="BA1381" s="94"/>
      <c r="BB1381" s="94"/>
      <c r="BC1381" s="94"/>
      <c r="BD1381" s="94"/>
      <c r="BE1381" s="94"/>
      <c r="BF1381" s="94"/>
    </row>
    <row r="1382" spans="1:58" x14ac:dyDescent="0.35">
      <c r="A1382" s="104" t="s">
        <v>3176</v>
      </c>
      <c r="B1382" s="105" t="s">
        <v>0</v>
      </c>
      <c r="C1382" s="106">
        <v>6</v>
      </c>
      <c r="D1382" s="104" t="s">
        <v>581</v>
      </c>
      <c r="E1382" s="106"/>
      <c r="F1382" s="94"/>
      <c r="G1382" s="94"/>
      <c r="H1382" s="94"/>
      <c r="I1382" s="94"/>
      <c r="J1382" s="94"/>
      <c r="K1382" s="94"/>
      <c r="L1382" s="94"/>
      <c r="M1382" s="94"/>
      <c r="N1382" s="94"/>
      <c r="O1382" s="94"/>
      <c r="P1382" s="94"/>
      <c r="Q1382" s="94"/>
      <c r="R1382" s="94"/>
      <c r="S1382" s="94"/>
      <c r="T1382" s="94"/>
      <c r="U1382" s="94"/>
      <c r="V1382" s="94"/>
      <c r="W1382" s="94"/>
      <c r="X1382" s="94"/>
      <c r="Y1382" s="94"/>
      <c r="Z1382" s="94"/>
      <c r="AA1382" s="94"/>
      <c r="AB1382" s="94"/>
      <c r="AC1382" s="94"/>
      <c r="AD1382" s="94"/>
      <c r="AE1382" s="94"/>
      <c r="AF1382" s="94"/>
      <c r="AG1382" s="94"/>
      <c r="AH1382" s="94"/>
      <c r="AI1382" s="94"/>
      <c r="AJ1382" s="94"/>
      <c r="AK1382" s="94"/>
      <c r="AL1382" s="94"/>
      <c r="AM1382" s="94"/>
      <c r="AN1382" s="94"/>
      <c r="AO1382" s="94"/>
      <c r="AP1382" s="94"/>
      <c r="AQ1382" s="94"/>
      <c r="AR1382" s="94"/>
      <c r="AS1382" s="94"/>
      <c r="AT1382" s="94"/>
      <c r="AU1382" s="94"/>
      <c r="AV1382" s="94"/>
      <c r="AW1382" s="94"/>
      <c r="AX1382" s="94"/>
      <c r="AY1382" s="94"/>
      <c r="AZ1382" s="94"/>
      <c r="BA1382" s="94"/>
      <c r="BB1382" s="94"/>
      <c r="BC1382" s="94"/>
      <c r="BD1382" s="94"/>
      <c r="BE1382" s="94"/>
      <c r="BF1382" s="94"/>
    </row>
    <row r="1383" spans="1:58" x14ac:dyDescent="0.35">
      <c r="A1383" s="107" t="s">
        <v>3177</v>
      </c>
      <c r="B1383" s="108" t="s">
        <v>0</v>
      </c>
      <c r="C1383" s="109">
        <v>7</v>
      </c>
      <c r="D1383" s="107" t="s">
        <v>1203</v>
      </c>
      <c r="E1383" s="109"/>
      <c r="F1383" s="94"/>
      <c r="G1383" s="94"/>
      <c r="H1383" s="94"/>
      <c r="I1383" s="94"/>
      <c r="J1383" s="94"/>
      <c r="K1383" s="94"/>
      <c r="L1383" s="94"/>
      <c r="M1383" s="94"/>
      <c r="N1383" s="94"/>
      <c r="O1383" s="94"/>
      <c r="P1383" s="94"/>
      <c r="Q1383" s="94"/>
      <c r="R1383" s="94"/>
      <c r="S1383" s="94"/>
      <c r="T1383" s="94"/>
      <c r="U1383" s="94"/>
      <c r="V1383" s="94"/>
      <c r="W1383" s="94"/>
      <c r="X1383" s="94"/>
      <c r="Y1383" s="94"/>
      <c r="Z1383" s="94"/>
      <c r="AA1383" s="94"/>
      <c r="AB1383" s="94"/>
      <c r="AC1383" s="94"/>
      <c r="AD1383" s="94"/>
      <c r="AE1383" s="94"/>
      <c r="AF1383" s="94"/>
      <c r="AG1383" s="94"/>
      <c r="AH1383" s="94"/>
      <c r="AI1383" s="94"/>
      <c r="AJ1383" s="94"/>
      <c r="AK1383" s="94"/>
      <c r="AL1383" s="94"/>
      <c r="AM1383" s="94"/>
      <c r="AN1383" s="94"/>
      <c r="AO1383" s="94"/>
      <c r="AP1383" s="94"/>
      <c r="AQ1383" s="94"/>
      <c r="AR1383" s="94"/>
      <c r="AS1383" s="94"/>
      <c r="AT1383" s="94"/>
      <c r="AU1383" s="94"/>
      <c r="AV1383" s="94"/>
      <c r="AW1383" s="94"/>
      <c r="AX1383" s="94"/>
      <c r="AY1383" s="94"/>
      <c r="AZ1383" s="94"/>
      <c r="BA1383" s="94"/>
      <c r="BB1383" s="94"/>
      <c r="BC1383" s="94"/>
      <c r="BD1383" s="94"/>
      <c r="BE1383" s="94"/>
      <c r="BF1383" s="94"/>
    </row>
    <row r="1384" spans="1:58" x14ac:dyDescent="0.35">
      <c r="A1384" s="104" t="s">
        <v>3766</v>
      </c>
      <c r="B1384" s="105" t="s">
        <v>0</v>
      </c>
      <c r="C1384" s="106">
        <v>6</v>
      </c>
      <c r="D1384" s="104" t="s">
        <v>1665</v>
      </c>
      <c r="E1384" s="106"/>
      <c r="F1384" s="94"/>
      <c r="G1384" s="94"/>
      <c r="H1384" s="94"/>
      <c r="I1384" s="94"/>
      <c r="J1384" s="94"/>
      <c r="K1384" s="94"/>
      <c r="L1384" s="94"/>
      <c r="M1384" s="94"/>
      <c r="N1384" s="94"/>
      <c r="O1384" s="94"/>
      <c r="P1384" s="94"/>
      <c r="Q1384" s="94"/>
      <c r="R1384" s="94"/>
      <c r="S1384" s="94"/>
      <c r="T1384" s="94"/>
      <c r="U1384" s="94"/>
      <c r="V1384" s="94"/>
      <c r="W1384" s="94"/>
      <c r="X1384" s="94"/>
      <c r="Y1384" s="94"/>
      <c r="Z1384" s="94"/>
      <c r="AA1384" s="94"/>
      <c r="AB1384" s="94"/>
      <c r="AC1384" s="94"/>
      <c r="AD1384" s="94"/>
      <c r="AE1384" s="94"/>
      <c r="AF1384" s="94"/>
      <c r="AG1384" s="94"/>
      <c r="AH1384" s="94"/>
      <c r="AI1384" s="94"/>
      <c r="AJ1384" s="94"/>
      <c r="AK1384" s="94"/>
      <c r="AL1384" s="94"/>
      <c r="AM1384" s="94"/>
      <c r="AN1384" s="94"/>
      <c r="AO1384" s="94"/>
      <c r="AP1384" s="94"/>
      <c r="AQ1384" s="94"/>
      <c r="AR1384" s="94"/>
      <c r="AS1384" s="94"/>
      <c r="AT1384" s="94"/>
      <c r="AU1384" s="94"/>
      <c r="AV1384" s="94"/>
      <c r="AW1384" s="94"/>
      <c r="AX1384" s="94"/>
      <c r="AY1384" s="94"/>
      <c r="AZ1384" s="94"/>
      <c r="BA1384" s="94"/>
      <c r="BB1384" s="94"/>
      <c r="BC1384" s="94"/>
      <c r="BD1384" s="94"/>
      <c r="BE1384" s="94"/>
      <c r="BF1384" s="94"/>
    </row>
    <row r="1385" spans="1:58" x14ac:dyDescent="0.35">
      <c r="A1385" s="107" t="s">
        <v>3178</v>
      </c>
      <c r="B1385" s="108" t="s">
        <v>0</v>
      </c>
      <c r="C1385" s="109">
        <v>7</v>
      </c>
      <c r="D1385" s="107" t="s">
        <v>1668</v>
      </c>
      <c r="E1385" s="109"/>
      <c r="F1385" s="94"/>
      <c r="G1385" s="94"/>
      <c r="H1385" s="94"/>
      <c r="I1385" s="94"/>
      <c r="J1385" s="94"/>
      <c r="K1385" s="94"/>
      <c r="L1385" s="94"/>
      <c r="M1385" s="94"/>
      <c r="N1385" s="94"/>
      <c r="O1385" s="94"/>
      <c r="P1385" s="94"/>
      <c r="Q1385" s="94"/>
      <c r="R1385" s="94"/>
      <c r="S1385" s="94"/>
      <c r="T1385" s="94"/>
      <c r="U1385" s="94"/>
      <c r="V1385" s="94"/>
      <c r="W1385" s="94"/>
      <c r="X1385" s="94"/>
      <c r="Y1385" s="94"/>
      <c r="Z1385" s="94"/>
      <c r="AA1385" s="94"/>
      <c r="AB1385" s="94"/>
      <c r="AC1385" s="94"/>
      <c r="AD1385" s="94"/>
      <c r="AE1385" s="94"/>
      <c r="AF1385" s="94"/>
      <c r="AG1385" s="94"/>
      <c r="AH1385" s="94"/>
      <c r="AI1385" s="94"/>
      <c r="AJ1385" s="94"/>
      <c r="AK1385" s="94"/>
      <c r="AL1385" s="94"/>
      <c r="AM1385" s="94"/>
      <c r="AN1385" s="94"/>
      <c r="AO1385" s="94"/>
      <c r="AP1385" s="94"/>
      <c r="AQ1385" s="94"/>
      <c r="AR1385" s="94"/>
      <c r="AS1385" s="94"/>
      <c r="AT1385" s="94"/>
      <c r="AU1385" s="94"/>
      <c r="AV1385" s="94"/>
      <c r="AW1385" s="94"/>
      <c r="AX1385" s="94"/>
      <c r="AY1385" s="94"/>
      <c r="AZ1385" s="94"/>
      <c r="BA1385" s="94"/>
      <c r="BB1385" s="94"/>
      <c r="BC1385" s="94"/>
      <c r="BD1385" s="94"/>
      <c r="BE1385" s="94"/>
      <c r="BF1385" s="94"/>
    </row>
    <row r="1386" spans="1:58" x14ac:dyDescent="0.35">
      <c r="A1386" s="107" t="s">
        <v>3179</v>
      </c>
      <c r="B1386" s="108" t="s">
        <v>0</v>
      </c>
      <c r="C1386" s="109">
        <v>7</v>
      </c>
      <c r="D1386" s="107" t="s">
        <v>1669</v>
      </c>
      <c r="E1386" s="109"/>
      <c r="F1386" s="94"/>
      <c r="G1386" s="94"/>
      <c r="H1386" s="94"/>
      <c r="I1386" s="94"/>
      <c r="J1386" s="94"/>
      <c r="K1386" s="94"/>
      <c r="L1386" s="94"/>
      <c r="M1386" s="94"/>
      <c r="N1386" s="94"/>
      <c r="O1386" s="94"/>
      <c r="P1386" s="94"/>
      <c r="Q1386" s="94"/>
      <c r="R1386" s="94"/>
      <c r="S1386" s="94"/>
      <c r="T1386" s="94"/>
      <c r="U1386" s="94"/>
      <c r="V1386" s="94"/>
      <c r="W1386" s="94"/>
      <c r="X1386" s="94"/>
      <c r="Y1386" s="94"/>
      <c r="Z1386" s="94"/>
      <c r="AA1386" s="94"/>
      <c r="AB1386" s="94"/>
      <c r="AC1386" s="94"/>
      <c r="AD1386" s="94"/>
      <c r="AE1386" s="94"/>
      <c r="AF1386" s="94"/>
      <c r="AG1386" s="94"/>
      <c r="AH1386" s="94"/>
      <c r="AI1386" s="94"/>
      <c r="AJ1386" s="94"/>
      <c r="AK1386" s="94"/>
      <c r="AL1386" s="94"/>
      <c r="AM1386" s="94"/>
      <c r="AN1386" s="94"/>
      <c r="AO1386" s="94"/>
      <c r="AP1386" s="94"/>
      <c r="AQ1386" s="94"/>
      <c r="AR1386" s="94"/>
      <c r="AS1386" s="94"/>
      <c r="AT1386" s="94"/>
      <c r="AU1386" s="94"/>
      <c r="AV1386" s="94"/>
      <c r="AW1386" s="94"/>
      <c r="AX1386" s="94"/>
      <c r="AY1386" s="94"/>
      <c r="AZ1386" s="94"/>
      <c r="BA1386" s="94"/>
      <c r="BB1386" s="94"/>
      <c r="BC1386" s="94"/>
      <c r="BD1386" s="94"/>
      <c r="BE1386" s="94"/>
      <c r="BF1386" s="94"/>
    </row>
    <row r="1387" spans="1:58" x14ac:dyDescent="0.35">
      <c r="A1387" s="107" t="s">
        <v>3180</v>
      </c>
      <c r="B1387" s="108" t="s">
        <v>0</v>
      </c>
      <c r="C1387" s="109">
        <v>7</v>
      </c>
      <c r="D1387" s="107" t="s">
        <v>1670</v>
      </c>
      <c r="E1387" s="109"/>
      <c r="F1387" s="94"/>
      <c r="G1387" s="94"/>
      <c r="H1387" s="94"/>
      <c r="I1387" s="94"/>
      <c r="J1387" s="94"/>
      <c r="K1387" s="94"/>
      <c r="L1387" s="94"/>
      <c r="M1387" s="94"/>
      <c r="N1387" s="94"/>
      <c r="O1387" s="94"/>
      <c r="P1387" s="94"/>
      <c r="Q1387" s="94"/>
      <c r="R1387" s="94"/>
      <c r="S1387" s="94"/>
      <c r="T1387" s="94"/>
      <c r="U1387" s="94"/>
      <c r="V1387" s="94"/>
      <c r="W1387" s="94"/>
      <c r="X1387" s="94"/>
      <c r="Y1387" s="94"/>
      <c r="Z1387" s="94"/>
      <c r="AA1387" s="94"/>
      <c r="AB1387" s="94"/>
      <c r="AC1387" s="94"/>
      <c r="AD1387" s="94"/>
      <c r="AE1387" s="94"/>
      <c r="AF1387" s="94"/>
      <c r="AG1387" s="94"/>
      <c r="AH1387" s="94"/>
      <c r="AI1387" s="94"/>
      <c r="AJ1387" s="94"/>
      <c r="AK1387" s="94"/>
      <c r="AL1387" s="94"/>
      <c r="AM1387" s="94"/>
      <c r="AN1387" s="94"/>
      <c r="AO1387" s="94"/>
      <c r="AP1387" s="94"/>
      <c r="AQ1387" s="94"/>
      <c r="AR1387" s="94"/>
      <c r="AS1387" s="94"/>
      <c r="AT1387" s="94"/>
      <c r="AU1387" s="94"/>
      <c r="AV1387" s="94"/>
      <c r="AW1387" s="94"/>
      <c r="AX1387" s="94"/>
      <c r="AY1387" s="94"/>
      <c r="AZ1387" s="94"/>
      <c r="BA1387" s="94"/>
      <c r="BB1387" s="94"/>
      <c r="BC1387" s="94"/>
      <c r="BD1387" s="94"/>
      <c r="BE1387" s="94"/>
      <c r="BF1387" s="94"/>
    </row>
    <row r="1388" spans="1:58" x14ac:dyDescent="0.35">
      <c r="A1388" s="107" t="s">
        <v>3181</v>
      </c>
      <c r="B1388" s="108" t="s">
        <v>0</v>
      </c>
      <c r="C1388" s="109">
        <v>7</v>
      </c>
      <c r="D1388" s="107" t="s">
        <v>1671</v>
      </c>
      <c r="E1388" s="109"/>
      <c r="F1388" s="94"/>
      <c r="G1388" s="94"/>
      <c r="H1388" s="94"/>
      <c r="I1388" s="94"/>
      <c r="J1388" s="94"/>
      <c r="K1388" s="94"/>
      <c r="L1388" s="94"/>
      <c r="M1388" s="94"/>
      <c r="N1388" s="94"/>
      <c r="O1388" s="94"/>
      <c r="P1388" s="94"/>
      <c r="Q1388" s="94"/>
      <c r="R1388" s="94"/>
      <c r="S1388" s="94"/>
      <c r="T1388" s="94"/>
      <c r="U1388" s="94"/>
      <c r="V1388" s="94"/>
      <c r="W1388" s="94"/>
      <c r="X1388" s="94"/>
      <c r="Y1388" s="94"/>
      <c r="Z1388" s="94"/>
      <c r="AA1388" s="94"/>
      <c r="AB1388" s="94"/>
      <c r="AC1388" s="94"/>
      <c r="AD1388" s="94"/>
      <c r="AE1388" s="94"/>
      <c r="AF1388" s="94"/>
      <c r="AG1388" s="94"/>
      <c r="AH1388" s="94"/>
      <c r="AI1388" s="94"/>
      <c r="AJ1388" s="94"/>
      <c r="AK1388" s="94"/>
      <c r="AL1388" s="94"/>
      <c r="AM1388" s="94"/>
      <c r="AN1388" s="94"/>
      <c r="AO1388" s="94"/>
      <c r="AP1388" s="94"/>
      <c r="AQ1388" s="94"/>
      <c r="AR1388" s="94"/>
      <c r="AS1388" s="94"/>
      <c r="AT1388" s="94"/>
      <c r="AU1388" s="94"/>
      <c r="AV1388" s="94"/>
      <c r="AW1388" s="94"/>
      <c r="AX1388" s="94"/>
      <c r="AY1388" s="94"/>
      <c r="AZ1388" s="94"/>
      <c r="BA1388" s="94"/>
      <c r="BB1388" s="94"/>
      <c r="BC1388" s="94"/>
      <c r="BD1388" s="94"/>
      <c r="BE1388" s="94"/>
      <c r="BF1388" s="94"/>
    </row>
    <row r="1389" spans="1:58" x14ac:dyDescent="0.35">
      <c r="A1389" s="107" t="s">
        <v>3182</v>
      </c>
      <c r="B1389" s="108" t="s">
        <v>0</v>
      </c>
      <c r="C1389" s="109">
        <v>7</v>
      </c>
      <c r="D1389" s="107" t="s">
        <v>1672</v>
      </c>
      <c r="E1389" s="109"/>
      <c r="F1389" s="94"/>
      <c r="G1389" s="94"/>
      <c r="H1389" s="94"/>
      <c r="I1389" s="94"/>
      <c r="J1389" s="94"/>
      <c r="K1389" s="94"/>
      <c r="L1389" s="94"/>
      <c r="M1389" s="94"/>
      <c r="N1389" s="94"/>
      <c r="O1389" s="94"/>
      <c r="P1389" s="94"/>
      <c r="Q1389" s="94"/>
      <c r="R1389" s="94"/>
      <c r="S1389" s="94"/>
      <c r="T1389" s="94"/>
      <c r="U1389" s="94"/>
      <c r="V1389" s="94"/>
      <c r="W1389" s="94"/>
      <c r="X1389" s="94"/>
      <c r="Y1389" s="94"/>
      <c r="Z1389" s="94"/>
      <c r="AA1389" s="94"/>
      <c r="AB1389" s="94"/>
      <c r="AC1389" s="94"/>
      <c r="AD1389" s="94"/>
      <c r="AE1389" s="94"/>
      <c r="AF1389" s="94"/>
      <c r="AG1389" s="94"/>
      <c r="AH1389" s="94"/>
      <c r="AI1389" s="94"/>
      <c r="AJ1389" s="94"/>
      <c r="AK1389" s="94"/>
      <c r="AL1389" s="94"/>
      <c r="AM1389" s="94"/>
      <c r="AN1389" s="94"/>
      <c r="AO1389" s="94"/>
      <c r="AP1389" s="94"/>
      <c r="AQ1389" s="94"/>
      <c r="AR1389" s="94"/>
      <c r="AS1389" s="94"/>
      <c r="AT1389" s="94"/>
      <c r="AU1389" s="94"/>
      <c r="AV1389" s="94"/>
      <c r="AW1389" s="94"/>
      <c r="AX1389" s="94"/>
      <c r="AY1389" s="94"/>
      <c r="AZ1389" s="94"/>
      <c r="BA1389" s="94"/>
      <c r="BB1389" s="94"/>
      <c r="BC1389" s="94"/>
      <c r="BD1389" s="94"/>
      <c r="BE1389" s="94"/>
      <c r="BF1389" s="94"/>
    </row>
    <row r="1390" spans="1:58" x14ac:dyDescent="0.35">
      <c r="A1390" s="107" t="s">
        <v>3183</v>
      </c>
      <c r="B1390" s="108" t="s">
        <v>0</v>
      </c>
      <c r="C1390" s="109">
        <v>7</v>
      </c>
      <c r="D1390" s="107" t="s">
        <v>1673</v>
      </c>
      <c r="E1390" s="109"/>
      <c r="F1390" s="94"/>
      <c r="G1390" s="94"/>
      <c r="H1390" s="94"/>
      <c r="I1390" s="94"/>
      <c r="J1390" s="94"/>
      <c r="K1390" s="94"/>
      <c r="L1390" s="94"/>
      <c r="M1390" s="94"/>
      <c r="N1390" s="94"/>
      <c r="O1390" s="94"/>
      <c r="P1390" s="94"/>
      <c r="Q1390" s="94"/>
      <c r="R1390" s="94"/>
      <c r="S1390" s="94"/>
      <c r="T1390" s="94"/>
      <c r="U1390" s="94"/>
      <c r="V1390" s="94"/>
      <c r="W1390" s="94"/>
      <c r="X1390" s="94"/>
      <c r="Y1390" s="94"/>
      <c r="Z1390" s="94"/>
      <c r="AA1390" s="94"/>
      <c r="AB1390" s="94"/>
      <c r="AC1390" s="94"/>
      <c r="AD1390" s="94"/>
      <c r="AE1390" s="94"/>
      <c r="AF1390" s="94"/>
      <c r="AG1390" s="94"/>
      <c r="AH1390" s="94"/>
      <c r="AI1390" s="94"/>
      <c r="AJ1390" s="94"/>
      <c r="AK1390" s="94"/>
      <c r="AL1390" s="94"/>
      <c r="AM1390" s="94"/>
      <c r="AN1390" s="94"/>
      <c r="AO1390" s="94"/>
      <c r="AP1390" s="94"/>
      <c r="AQ1390" s="94"/>
      <c r="AR1390" s="94"/>
      <c r="AS1390" s="94"/>
      <c r="AT1390" s="94"/>
      <c r="AU1390" s="94"/>
      <c r="AV1390" s="94"/>
      <c r="AW1390" s="94"/>
      <c r="AX1390" s="94"/>
      <c r="AY1390" s="94"/>
      <c r="AZ1390" s="94"/>
      <c r="BA1390" s="94"/>
      <c r="BB1390" s="94"/>
      <c r="BC1390" s="94"/>
      <c r="BD1390" s="94"/>
      <c r="BE1390" s="94"/>
      <c r="BF1390" s="94"/>
    </row>
    <row r="1391" spans="1:58" x14ac:dyDescent="0.35">
      <c r="A1391" s="101" t="s">
        <v>3184</v>
      </c>
      <c r="B1391" s="102" t="s">
        <v>0</v>
      </c>
      <c r="C1391" s="103">
        <v>5</v>
      </c>
      <c r="D1391" s="101" t="s">
        <v>1674</v>
      </c>
      <c r="E1391" s="103" t="s">
        <v>582</v>
      </c>
      <c r="F1391" s="94"/>
      <c r="G1391" s="94"/>
      <c r="H1391" s="94"/>
      <c r="I1391" s="94"/>
      <c r="J1391" s="94"/>
      <c r="K1391" s="94"/>
      <c r="L1391" s="94"/>
      <c r="M1391" s="94"/>
      <c r="N1391" s="94"/>
      <c r="O1391" s="94"/>
      <c r="P1391" s="94"/>
      <c r="Q1391" s="94"/>
      <c r="R1391" s="94"/>
      <c r="S1391" s="94"/>
      <c r="T1391" s="94"/>
      <c r="U1391" s="94"/>
      <c r="V1391" s="94"/>
      <c r="W1391" s="94"/>
      <c r="X1391" s="94"/>
      <c r="Y1391" s="94"/>
      <c r="Z1391" s="94"/>
      <c r="AA1391" s="94"/>
      <c r="AB1391" s="94"/>
      <c r="AC1391" s="94"/>
      <c r="AD1391" s="94"/>
      <c r="AE1391" s="94"/>
      <c r="AF1391" s="94"/>
      <c r="AG1391" s="94"/>
      <c r="AH1391" s="94"/>
      <c r="AI1391" s="94"/>
      <c r="AJ1391" s="94"/>
      <c r="AK1391" s="94"/>
      <c r="AL1391" s="94"/>
      <c r="AM1391" s="94"/>
      <c r="AN1391" s="94"/>
      <c r="AO1391" s="94"/>
      <c r="AP1391" s="94"/>
      <c r="AQ1391" s="94"/>
      <c r="AR1391" s="94"/>
      <c r="AS1391" s="94"/>
      <c r="AT1391" s="94"/>
      <c r="AU1391" s="94"/>
      <c r="AV1391" s="94"/>
      <c r="AW1391" s="94"/>
      <c r="AX1391" s="94"/>
      <c r="AY1391" s="94"/>
      <c r="AZ1391" s="94"/>
      <c r="BA1391" s="94"/>
      <c r="BB1391" s="94"/>
      <c r="BC1391" s="94"/>
      <c r="BD1391" s="94"/>
      <c r="BE1391" s="94"/>
      <c r="BF1391" s="94"/>
    </row>
    <row r="1392" spans="1:58" x14ac:dyDescent="0.35">
      <c r="A1392" s="104" t="s">
        <v>3185</v>
      </c>
      <c r="B1392" s="105" t="s">
        <v>0</v>
      </c>
      <c r="C1392" s="106">
        <v>6</v>
      </c>
      <c r="D1392" s="104" t="s">
        <v>565</v>
      </c>
      <c r="E1392" s="106"/>
      <c r="F1392" s="94"/>
      <c r="G1392" s="94"/>
      <c r="H1392" s="94"/>
      <c r="I1392" s="94"/>
      <c r="J1392" s="94"/>
      <c r="K1392" s="94"/>
      <c r="L1392" s="94"/>
      <c r="M1392" s="94"/>
      <c r="N1392" s="94"/>
      <c r="O1392" s="94"/>
      <c r="P1392" s="94"/>
      <c r="Q1392" s="94"/>
      <c r="R1392" s="94"/>
      <c r="S1392" s="94"/>
      <c r="T1392" s="94"/>
      <c r="U1392" s="94"/>
      <c r="V1392" s="94"/>
      <c r="W1392" s="94"/>
      <c r="X1392" s="94"/>
      <c r="Y1392" s="94"/>
      <c r="Z1392" s="94"/>
      <c r="AA1392" s="94"/>
      <c r="AB1392" s="94"/>
      <c r="AC1392" s="94"/>
      <c r="AD1392" s="94"/>
      <c r="AE1392" s="94"/>
      <c r="AF1392" s="94"/>
      <c r="AG1392" s="94"/>
      <c r="AH1392" s="94"/>
      <c r="AI1392" s="94"/>
      <c r="AJ1392" s="94"/>
      <c r="AK1392" s="94"/>
      <c r="AL1392" s="94"/>
      <c r="AM1392" s="94"/>
      <c r="AN1392" s="94"/>
      <c r="AO1392" s="94"/>
      <c r="AP1392" s="94"/>
      <c r="AQ1392" s="94"/>
      <c r="AR1392" s="94"/>
      <c r="AS1392" s="94"/>
      <c r="AT1392" s="94"/>
      <c r="AU1392" s="94"/>
      <c r="AV1392" s="94"/>
      <c r="AW1392" s="94"/>
      <c r="AX1392" s="94"/>
      <c r="AY1392" s="94"/>
      <c r="AZ1392" s="94"/>
      <c r="BA1392" s="94"/>
      <c r="BB1392" s="94"/>
      <c r="BC1392" s="94"/>
      <c r="BD1392" s="94"/>
      <c r="BE1392" s="94"/>
      <c r="BF1392" s="94"/>
    </row>
    <row r="1393" spans="1:58" x14ac:dyDescent="0.35">
      <c r="A1393" s="107" t="s">
        <v>3186</v>
      </c>
      <c r="B1393" s="108" t="s">
        <v>0</v>
      </c>
      <c r="C1393" s="109">
        <v>7</v>
      </c>
      <c r="D1393" s="107" t="s">
        <v>1204</v>
      </c>
      <c r="E1393" s="109"/>
      <c r="F1393" s="94"/>
      <c r="G1393" s="94"/>
      <c r="H1393" s="94"/>
      <c r="I1393" s="94"/>
      <c r="J1393" s="94"/>
      <c r="K1393" s="94"/>
      <c r="L1393" s="94"/>
      <c r="M1393" s="94"/>
      <c r="N1393" s="94"/>
      <c r="O1393" s="94"/>
      <c r="P1393" s="94"/>
      <c r="Q1393" s="94"/>
      <c r="R1393" s="94"/>
      <c r="S1393" s="94"/>
      <c r="T1393" s="94"/>
      <c r="U1393" s="94"/>
      <c r="V1393" s="94"/>
      <c r="W1393" s="94"/>
      <c r="X1393" s="94"/>
      <c r="Y1393" s="94"/>
      <c r="Z1393" s="94"/>
      <c r="AA1393" s="94"/>
      <c r="AB1393" s="94"/>
      <c r="AC1393" s="94"/>
      <c r="AD1393" s="94"/>
      <c r="AE1393" s="94"/>
      <c r="AF1393" s="94"/>
      <c r="AG1393" s="94"/>
      <c r="AH1393" s="94"/>
      <c r="AI1393" s="94"/>
      <c r="AJ1393" s="94"/>
      <c r="AK1393" s="94"/>
      <c r="AL1393" s="94"/>
      <c r="AM1393" s="94"/>
      <c r="AN1393" s="94"/>
      <c r="AO1393" s="94"/>
      <c r="AP1393" s="94"/>
      <c r="AQ1393" s="94"/>
      <c r="AR1393" s="94"/>
      <c r="AS1393" s="94"/>
      <c r="AT1393" s="94"/>
      <c r="AU1393" s="94"/>
      <c r="AV1393" s="94"/>
      <c r="AW1393" s="94"/>
      <c r="AX1393" s="94"/>
      <c r="AY1393" s="94"/>
      <c r="AZ1393" s="94"/>
      <c r="BA1393" s="94"/>
      <c r="BB1393" s="94"/>
      <c r="BC1393" s="94"/>
      <c r="BD1393" s="94"/>
      <c r="BE1393" s="94"/>
      <c r="BF1393" s="94"/>
    </row>
    <row r="1394" spans="1:58" x14ac:dyDescent="0.35">
      <c r="A1394" s="107" t="s">
        <v>3187</v>
      </c>
      <c r="B1394" s="108" t="s">
        <v>0</v>
      </c>
      <c r="C1394" s="109">
        <v>7</v>
      </c>
      <c r="D1394" s="107" t="s">
        <v>1205</v>
      </c>
      <c r="E1394" s="109"/>
      <c r="F1394" s="94"/>
      <c r="G1394" s="94"/>
      <c r="H1394" s="94"/>
      <c r="I1394" s="94"/>
      <c r="J1394" s="94"/>
      <c r="K1394" s="94"/>
      <c r="L1394" s="94"/>
      <c r="M1394" s="94"/>
      <c r="N1394" s="94"/>
      <c r="O1394" s="94"/>
      <c r="P1394" s="94"/>
      <c r="Q1394" s="94"/>
      <c r="R1394" s="94"/>
      <c r="S1394" s="94"/>
      <c r="T1394" s="94"/>
      <c r="U1394" s="94"/>
      <c r="V1394" s="94"/>
      <c r="W1394" s="94"/>
      <c r="X1394" s="94"/>
      <c r="Y1394" s="94"/>
      <c r="Z1394" s="94"/>
      <c r="AA1394" s="94"/>
      <c r="AB1394" s="94"/>
      <c r="AC1394" s="94"/>
      <c r="AD1394" s="94"/>
      <c r="AE1394" s="94"/>
      <c r="AF1394" s="94"/>
      <c r="AG1394" s="94"/>
      <c r="AH1394" s="94"/>
      <c r="AI1394" s="94"/>
      <c r="AJ1394" s="94"/>
      <c r="AK1394" s="94"/>
      <c r="AL1394" s="94"/>
      <c r="AM1394" s="94"/>
      <c r="AN1394" s="94"/>
      <c r="AO1394" s="94"/>
      <c r="AP1394" s="94"/>
      <c r="AQ1394" s="94"/>
      <c r="AR1394" s="94"/>
      <c r="AS1394" s="94"/>
      <c r="AT1394" s="94"/>
      <c r="AU1394" s="94"/>
      <c r="AV1394" s="94"/>
      <c r="AW1394" s="94"/>
      <c r="AX1394" s="94"/>
      <c r="AY1394" s="94"/>
      <c r="AZ1394" s="94"/>
      <c r="BA1394" s="94"/>
      <c r="BB1394" s="94"/>
      <c r="BC1394" s="94"/>
      <c r="BD1394" s="94"/>
      <c r="BE1394" s="94"/>
      <c r="BF1394" s="94"/>
    </row>
    <row r="1395" spans="1:58" x14ac:dyDescent="0.35">
      <c r="A1395" s="107" t="s">
        <v>3188</v>
      </c>
      <c r="B1395" s="108" t="s">
        <v>0</v>
      </c>
      <c r="C1395" s="109">
        <v>7</v>
      </c>
      <c r="D1395" s="107" t="s">
        <v>1206</v>
      </c>
      <c r="E1395" s="109"/>
      <c r="F1395" s="94"/>
      <c r="G1395" s="94"/>
      <c r="H1395" s="94"/>
      <c r="I1395" s="94"/>
      <c r="J1395" s="94"/>
      <c r="K1395" s="94"/>
      <c r="L1395" s="94"/>
      <c r="M1395" s="94"/>
      <c r="N1395" s="94"/>
      <c r="O1395" s="94"/>
      <c r="P1395" s="94"/>
      <c r="Q1395" s="94"/>
      <c r="R1395" s="94"/>
      <c r="S1395" s="94"/>
      <c r="T1395" s="94"/>
      <c r="U1395" s="94"/>
      <c r="V1395" s="94"/>
      <c r="W1395" s="94"/>
      <c r="X1395" s="94"/>
      <c r="Y1395" s="94"/>
      <c r="Z1395" s="94"/>
      <c r="AA1395" s="94"/>
      <c r="AB1395" s="94"/>
      <c r="AC1395" s="94"/>
      <c r="AD1395" s="94"/>
      <c r="AE1395" s="94"/>
      <c r="AF1395" s="94"/>
      <c r="AG1395" s="94"/>
      <c r="AH1395" s="94"/>
      <c r="AI1395" s="94"/>
      <c r="AJ1395" s="94"/>
      <c r="AK1395" s="94"/>
      <c r="AL1395" s="94"/>
      <c r="AM1395" s="94"/>
      <c r="AN1395" s="94"/>
      <c r="AO1395" s="94"/>
      <c r="AP1395" s="94"/>
      <c r="AQ1395" s="94"/>
      <c r="AR1395" s="94"/>
      <c r="AS1395" s="94"/>
      <c r="AT1395" s="94"/>
      <c r="AU1395" s="94"/>
      <c r="AV1395" s="94"/>
      <c r="AW1395" s="94"/>
      <c r="AX1395" s="94"/>
      <c r="AY1395" s="94"/>
      <c r="AZ1395" s="94"/>
      <c r="BA1395" s="94"/>
      <c r="BB1395" s="94"/>
      <c r="BC1395" s="94"/>
      <c r="BD1395" s="94"/>
      <c r="BE1395" s="94"/>
      <c r="BF1395" s="94"/>
    </row>
    <row r="1396" spans="1:58" x14ac:dyDescent="0.35">
      <c r="A1396" s="104" t="s">
        <v>3189</v>
      </c>
      <c r="B1396" s="105" t="s">
        <v>0</v>
      </c>
      <c r="C1396" s="106">
        <v>6</v>
      </c>
      <c r="D1396" s="104" t="s">
        <v>16</v>
      </c>
      <c r="E1396" s="106"/>
      <c r="F1396" s="94"/>
      <c r="G1396" s="94"/>
      <c r="H1396" s="94"/>
      <c r="I1396" s="94"/>
      <c r="J1396" s="94"/>
      <c r="K1396" s="94"/>
      <c r="L1396" s="94"/>
      <c r="M1396" s="94"/>
      <c r="N1396" s="94"/>
      <c r="O1396" s="94"/>
      <c r="P1396" s="94"/>
      <c r="Q1396" s="94"/>
      <c r="R1396" s="94"/>
      <c r="S1396" s="94"/>
      <c r="T1396" s="94"/>
      <c r="U1396" s="94"/>
      <c r="V1396" s="94"/>
      <c r="W1396" s="94"/>
      <c r="X1396" s="94"/>
      <c r="Y1396" s="94"/>
      <c r="Z1396" s="94"/>
      <c r="AA1396" s="94"/>
      <c r="AB1396" s="94"/>
      <c r="AC1396" s="94"/>
      <c r="AD1396" s="94"/>
      <c r="AE1396" s="94"/>
      <c r="AF1396" s="94"/>
      <c r="AG1396" s="94"/>
      <c r="AH1396" s="94"/>
      <c r="AI1396" s="94"/>
      <c r="AJ1396" s="94"/>
      <c r="AK1396" s="94"/>
      <c r="AL1396" s="94"/>
      <c r="AM1396" s="94"/>
      <c r="AN1396" s="94"/>
      <c r="AO1396" s="94"/>
      <c r="AP1396" s="94"/>
      <c r="AQ1396" s="94"/>
      <c r="AR1396" s="94"/>
      <c r="AS1396" s="94"/>
      <c r="AT1396" s="94"/>
      <c r="AU1396" s="94"/>
      <c r="AV1396" s="94"/>
      <c r="AW1396" s="94"/>
      <c r="AX1396" s="94"/>
      <c r="AY1396" s="94"/>
      <c r="AZ1396" s="94"/>
      <c r="BA1396" s="94"/>
      <c r="BB1396" s="94"/>
      <c r="BC1396" s="94"/>
      <c r="BD1396" s="94"/>
      <c r="BE1396" s="94"/>
      <c r="BF1396" s="94"/>
    </row>
    <row r="1397" spans="1:58" x14ac:dyDescent="0.35">
      <c r="A1397" s="107" t="s">
        <v>3190</v>
      </c>
      <c r="B1397" s="108" t="s">
        <v>0</v>
      </c>
      <c r="C1397" s="109">
        <v>7</v>
      </c>
      <c r="D1397" s="107" t="s">
        <v>1225</v>
      </c>
      <c r="E1397" s="109"/>
      <c r="F1397" s="94"/>
      <c r="G1397" s="94"/>
      <c r="H1397" s="94"/>
      <c r="I1397" s="94"/>
      <c r="J1397" s="94"/>
      <c r="K1397" s="94"/>
      <c r="L1397" s="94"/>
      <c r="M1397" s="94"/>
      <c r="N1397" s="94"/>
      <c r="O1397" s="94"/>
      <c r="P1397" s="94"/>
      <c r="Q1397" s="94"/>
      <c r="R1397" s="94"/>
      <c r="S1397" s="94"/>
      <c r="T1397" s="94"/>
      <c r="U1397" s="94"/>
      <c r="V1397" s="94"/>
      <c r="W1397" s="94"/>
      <c r="X1397" s="94"/>
      <c r="Y1397" s="94"/>
      <c r="Z1397" s="94"/>
      <c r="AA1397" s="94"/>
      <c r="AB1397" s="94"/>
      <c r="AC1397" s="94"/>
      <c r="AD1397" s="94"/>
      <c r="AE1397" s="94"/>
      <c r="AF1397" s="94"/>
      <c r="AG1397" s="94"/>
      <c r="AH1397" s="94"/>
      <c r="AI1397" s="94"/>
      <c r="AJ1397" s="94"/>
      <c r="AK1397" s="94"/>
      <c r="AL1397" s="94"/>
      <c r="AM1397" s="94"/>
      <c r="AN1397" s="94"/>
      <c r="AO1397" s="94"/>
      <c r="AP1397" s="94"/>
      <c r="AQ1397" s="94"/>
      <c r="AR1397" s="94"/>
      <c r="AS1397" s="94"/>
      <c r="AT1397" s="94"/>
      <c r="AU1397" s="94"/>
      <c r="AV1397" s="94"/>
      <c r="AW1397" s="94"/>
      <c r="AX1397" s="94"/>
      <c r="AY1397" s="94"/>
      <c r="AZ1397" s="94"/>
      <c r="BA1397" s="94"/>
      <c r="BB1397" s="94"/>
      <c r="BC1397" s="94"/>
      <c r="BD1397" s="94"/>
      <c r="BE1397" s="94"/>
      <c r="BF1397" s="94"/>
    </row>
    <row r="1398" spans="1:58" x14ac:dyDescent="0.35">
      <c r="A1398" s="104" t="s">
        <v>3191</v>
      </c>
      <c r="B1398" s="105" t="s">
        <v>0</v>
      </c>
      <c r="C1398" s="106">
        <v>6</v>
      </c>
      <c r="D1398" s="104" t="s">
        <v>122</v>
      </c>
      <c r="E1398" s="106"/>
      <c r="F1398" s="94"/>
      <c r="G1398" s="94"/>
      <c r="H1398" s="94"/>
      <c r="I1398" s="94"/>
      <c r="J1398" s="94"/>
      <c r="K1398" s="94"/>
      <c r="L1398" s="94"/>
      <c r="M1398" s="94"/>
      <c r="N1398" s="94"/>
      <c r="O1398" s="94"/>
      <c r="P1398" s="94"/>
      <c r="Q1398" s="94"/>
      <c r="R1398" s="94"/>
      <c r="S1398" s="94"/>
      <c r="T1398" s="94"/>
      <c r="U1398" s="94"/>
      <c r="V1398" s="94"/>
      <c r="W1398" s="94"/>
      <c r="X1398" s="94"/>
      <c r="Y1398" s="94"/>
      <c r="Z1398" s="94"/>
      <c r="AA1398" s="94"/>
      <c r="AB1398" s="94"/>
      <c r="AC1398" s="94"/>
      <c r="AD1398" s="94"/>
      <c r="AE1398" s="94"/>
      <c r="AF1398" s="94"/>
      <c r="AG1398" s="94"/>
      <c r="AH1398" s="94"/>
      <c r="AI1398" s="94"/>
      <c r="AJ1398" s="94"/>
      <c r="AK1398" s="94"/>
      <c r="AL1398" s="94"/>
      <c r="AM1398" s="94"/>
      <c r="AN1398" s="94"/>
      <c r="AO1398" s="94"/>
      <c r="AP1398" s="94"/>
      <c r="AQ1398" s="94"/>
      <c r="AR1398" s="94"/>
      <c r="AS1398" s="94"/>
      <c r="AT1398" s="94"/>
      <c r="AU1398" s="94"/>
      <c r="AV1398" s="94"/>
      <c r="AW1398" s="94"/>
      <c r="AX1398" s="94"/>
      <c r="AY1398" s="94"/>
      <c r="AZ1398" s="94"/>
      <c r="BA1398" s="94"/>
      <c r="BB1398" s="94"/>
      <c r="BC1398" s="94"/>
      <c r="BD1398" s="94"/>
      <c r="BE1398" s="94"/>
      <c r="BF1398" s="94"/>
    </row>
    <row r="1399" spans="1:58" x14ac:dyDescent="0.35">
      <c r="A1399" s="107" t="s">
        <v>3192</v>
      </c>
      <c r="B1399" s="108" t="s">
        <v>0</v>
      </c>
      <c r="C1399" s="109">
        <v>7</v>
      </c>
      <c r="D1399" s="107" t="s">
        <v>1207</v>
      </c>
      <c r="E1399" s="109"/>
      <c r="F1399" s="94"/>
      <c r="G1399" s="94"/>
      <c r="H1399" s="94"/>
      <c r="I1399" s="94"/>
      <c r="J1399" s="94"/>
      <c r="K1399" s="94"/>
      <c r="L1399" s="94"/>
      <c r="M1399" s="94"/>
      <c r="N1399" s="94"/>
      <c r="O1399" s="94"/>
      <c r="P1399" s="94"/>
      <c r="Q1399" s="94"/>
      <c r="R1399" s="94"/>
      <c r="S1399" s="94"/>
      <c r="T1399" s="94"/>
      <c r="U1399" s="94"/>
      <c r="V1399" s="94"/>
      <c r="W1399" s="94"/>
      <c r="X1399" s="94"/>
      <c r="Y1399" s="94"/>
      <c r="Z1399" s="94"/>
      <c r="AA1399" s="94"/>
      <c r="AB1399" s="94"/>
      <c r="AC1399" s="94"/>
      <c r="AD1399" s="94"/>
      <c r="AE1399" s="94"/>
      <c r="AF1399" s="94"/>
      <c r="AG1399" s="94"/>
      <c r="AH1399" s="94"/>
      <c r="AI1399" s="94"/>
      <c r="AJ1399" s="94"/>
      <c r="AK1399" s="94"/>
      <c r="AL1399" s="94"/>
      <c r="AM1399" s="94"/>
      <c r="AN1399" s="94"/>
      <c r="AO1399" s="94"/>
      <c r="AP1399" s="94"/>
      <c r="AQ1399" s="94"/>
      <c r="AR1399" s="94"/>
      <c r="AS1399" s="94"/>
      <c r="AT1399" s="94"/>
      <c r="AU1399" s="94"/>
      <c r="AV1399" s="94"/>
      <c r="AW1399" s="94"/>
      <c r="AX1399" s="94"/>
      <c r="AY1399" s="94"/>
      <c r="AZ1399" s="94"/>
      <c r="BA1399" s="94"/>
      <c r="BB1399" s="94"/>
      <c r="BC1399" s="94"/>
      <c r="BD1399" s="94"/>
      <c r="BE1399" s="94"/>
      <c r="BF1399" s="94"/>
    </row>
    <row r="1400" spans="1:58" x14ac:dyDescent="0.35">
      <c r="A1400" s="107" t="s">
        <v>3193</v>
      </c>
      <c r="B1400" s="108" t="s">
        <v>0</v>
      </c>
      <c r="C1400" s="109">
        <v>7</v>
      </c>
      <c r="D1400" s="107" t="s">
        <v>1208</v>
      </c>
      <c r="E1400" s="109"/>
      <c r="F1400" s="94"/>
      <c r="G1400" s="94"/>
      <c r="H1400" s="94"/>
      <c r="I1400" s="94"/>
      <c r="J1400" s="94"/>
      <c r="K1400" s="94"/>
      <c r="L1400" s="94"/>
      <c r="M1400" s="94"/>
      <c r="N1400" s="94"/>
      <c r="O1400" s="94"/>
      <c r="P1400" s="94"/>
      <c r="Q1400" s="94"/>
      <c r="R1400" s="94"/>
      <c r="S1400" s="94"/>
      <c r="T1400" s="94"/>
      <c r="U1400" s="94"/>
      <c r="V1400" s="94"/>
      <c r="W1400" s="94"/>
      <c r="X1400" s="94"/>
      <c r="Y1400" s="94"/>
      <c r="Z1400" s="94"/>
      <c r="AA1400" s="94"/>
      <c r="AB1400" s="94"/>
      <c r="AC1400" s="94"/>
      <c r="AD1400" s="94"/>
      <c r="AE1400" s="94"/>
      <c r="AF1400" s="94"/>
      <c r="AG1400" s="94"/>
      <c r="AH1400" s="94"/>
      <c r="AI1400" s="94"/>
      <c r="AJ1400" s="94"/>
      <c r="AK1400" s="94"/>
      <c r="AL1400" s="94"/>
      <c r="AM1400" s="94"/>
      <c r="AN1400" s="94"/>
      <c r="AO1400" s="94"/>
      <c r="AP1400" s="94"/>
      <c r="AQ1400" s="94"/>
      <c r="AR1400" s="94"/>
      <c r="AS1400" s="94"/>
      <c r="AT1400" s="94"/>
      <c r="AU1400" s="94"/>
      <c r="AV1400" s="94"/>
      <c r="AW1400" s="94"/>
      <c r="AX1400" s="94"/>
      <c r="AY1400" s="94"/>
      <c r="AZ1400" s="94"/>
      <c r="BA1400" s="94"/>
      <c r="BB1400" s="94"/>
      <c r="BC1400" s="94"/>
      <c r="BD1400" s="94"/>
      <c r="BE1400" s="94"/>
      <c r="BF1400" s="94"/>
    </row>
    <row r="1401" spans="1:58" x14ac:dyDescent="0.35">
      <c r="A1401" s="107" t="s">
        <v>3194</v>
      </c>
      <c r="B1401" s="108" t="s">
        <v>0</v>
      </c>
      <c r="C1401" s="109">
        <v>7</v>
      </c>
      <c r="D1401" s="107" t="s">
        <v>1209</v>
      </c>
      <c r="E1401" s="109"/>
      <c r="F1401" s="94"/>
      <c r="G1401" s="94"/>
      <c r="H1401" s="94"/>
      <c r="I1401" s="94"/>
      <c r="J1401" s="94"/>
      <c r="K1401" s="94"/>
      <c r="L1401" s="94"/>
      <c r="M1401" s="94"/>
      <c r="N1401" s="94"/>
      <c r="O1401" s="94"/>
      <c r="P1401" s="94"/>
      <c r="Q1401" s="94"/>
      <c r="R1401" s="94"/>
      <c r="S1401" s="94"/>
      <c r="T1401" s="94"/>
      <c r="U1401" s="94"/>
      <c r="V1401" s="94"/>
      <c r="W1401" s="94"/>
      <c r="X1401" s="94"/>
      <c r="Y1401" s="94"/>
      <c r="Z1401" s="94"/>
      <c r="AA1401" s="94"/>
      <c r="AB1401" s="94"/>
      <c r="AC1401" s="94"/>
      <c r="AD1401" s="94"/>
      <c r="AE1401" s="94"/>
      <c r="AF1401" s="94"/>
      <c r="AG1401" s="94"/>
      <c r="AH1401" s="94"/>
      <c r="AI1401" s="94"/>
      <c r="AJ1401" s="94"/>
      <c r="AK1401" s="94"/>
      <c r="AL1401" s="94"/>
      <c r="AM1401" s="94"/>
      <c r="AN1401" s="94"/>
      <c r="AO1401" s="94"/>
      <c r="AP1401" s="94"/>
      <c r="AQ1401" s="94"/>
      <c r="AR1401" s="94"/>
      <c r="AS1401" s="94"/>
      <c r="AT1401" s="94"/>
      <c r="AU1401" s="94"/>
      <c r="AV1401" s="94"/>
      <c r="AW1401" s="94"/>
      <c r="AX1401" s="94"/>
      <c r="AY1401" s="94"/>
      <c r="AZ1401" s="94"/>
      <c r="BA1401" s="94"/>
      <c r="BB1401" s="94"/>
      <c r="BC1401" s="94"/>
      <c r="BD1401" s="94"/>
      <c r="BE1401" s="94"/>
      <c r="BF1401" s="94"/>
    </row>
    <row r="1402" spans="1:58" x14ac:dyDescent="0.35">
      <c r="A1402" s="101" t="s">
        <v>3195</v>
      </c>
      <c r="B1402" s="102" t="s">
        <v>0</v>
      </c>
      <c r="C1402" s="103">
        <v>5</v>
      </c>
      <c r="D1402" s="101" t="s">
        <v>1675</v>
      </c>
      <c r="E1402" s="103" t="s">
        <v>583</v>
      </c>
      <c r="F1402" s="94"/>
      <c r="G1402" s="94"/>
      <c r="H1402" s="94"/>
      <c r="I1402" s="94"/>
      <c r="J1402" s="94"/>
      <c r="K1402" s="94"/>
      <c r="L1402" s="94"/>
      <c r="M1402" s="94"/>
      <c r="N1402" s="94"/>
      <c r="O1402" s="94"/>
      <c r="P1402" s="94"/>
      <c r="Q1402" s="94"/>
      <c r="R1402" s="94"/>
      <c r="S1402" s="94"/>
      <c r="T1402" s="94"/>
      <c r="U1402" s="94"/>
      <c r="V1402" s="94"/>
      <c r="W1402" s="94"/>
      <c r="X1402" s="94"/>
      <c r="Y1402" s="94"/>
      <c r="Z1402" s="94"/>
      <c r="AA1402" s="94"/>
      <c r="AB1402" s="94"/>
      <c r="AC1402" s="94"/>
      <c r="AD1402" s="94"/>
      <c r="AE1402" s="94"/>
      <c r="AF1402" s="94"/>
      <c r="AG1402" s="94"/>
      <c r="AH1402" s="94"/>
      <c r="AI1402" s="94"/>
      <c r="AJ1402" s="94"/>
      <c r="AK1402" s="94"/>
      <c r="AL1402" s="94"/>
      <c r="AM1402" s="94"/>
      <c r="AN1402" s="94"/>
      <c r="AO1402" s="94"/>
      <c r="AP1402" s="94"/>
      <c r="AQ1402" s="94"/>
      <c r="AR1402" s="94"/>
      <c r="AS1402" s="94"/>
      <c r="AT1402" s="94"/>
      <c r="AU1402" s="94"/>
      <c r="AV1402" s="94"/>
      <c r="AW1402" s="94"/>
      <c r="AX1402" s="94"/>
      <c r="AY1402" s="94"/>
      <c r="AZ1402" s="94"/>
      <c r="BA1402" s="94"/>
      <c r="BB1402" s="94"/>
      <c r="BC1402" s="94"/>
      <c r="BD1402" s="94"/>
      <c r="BE1402" s="94"/>
      <c r="BF1402" s="94"/>
    </row>
    <row r="1403" spans="1:58" x14ac:dyDescent="0.35">
      <c r="A1403" s="104" t="s">
        <v>3196</v>
      </c>
      <c r="B1403" s="105" t="s">
        <v>0</v>
      </c>
      <c r="C1403" s="106">
        <v>6</v>
      </c>
      <c r="D1403" s="104" t="s">
        <v>565</v>
      </c>
      <c r="E1403" s="106"/>
      <c r="F1403" s="94"/>
      <c r="G1403" s="94"/>
      <c r="H1403" s="94"/>
      <c r="I1403" s="94"/>
      <c r="J1403" s="94"/>
      <c r="K1403" s="94"/>
      <c r="L1403" s="94"/>
      <c r="M1403" s="94"/>
      <c r="N1403" s="94"/>
      <c r="O1403" s="94"/>
      <c r="P1403" s="94"/>
      <c r="Q1403" s="94"/>
      <c r="R1403" s="94"/>
      <c r="S1403" s="94"/>
      <c r="T1403" s="94"/>
      <c r="U1403" s="94"/>
      <c r="V1403" s="94"/>
      <c r="W1403" s="94"/>
      <c r="X1403" s="94"/>
      <c r="Y1403" s="94"/>
      <c r="Z1403" s="94"/>
      <c r="AA1403" s="94"/>
      <c r="AB1403" s="94"/>
      <c r="AC1403" s="94"/>
      <c r="AD1403" s="94"/>
      <c r="AE1403" s="94"/>
      <c r="AF1403" s="94"/>
      <c r="AG1403" s="94"/>
      <c r="AH1403" s="94"/>
      <c r="AI1403" s="94"/>
      <c r="AJ1403" s="94"/>
      <c r="AK1403" s="94"/>
      <c r="AL1403" s="94"/>
      <c r="AM1403" s="94"/>
      <c r="AN1403" s="94"/>
      <c r="AO1403" s="94"/>
      <c r="AP1403" s="94"/>
      <c r="AQ1403" s="94"/>
      <c r="AR1403" s="94"/>
      <c r="AS1403" s="94"/>
      <c r="AT1403" s="94"/>
      <c r="AU1403" s="94"/>
      <c r="AV1403" s="94"/>
      <c r="AW1403" s="94"/>
      <c r="AX1403" s="94"/>
      <c r="AY1403" s="94"/>
      <c r="AZ1403" s="94"/>
      <c r="BA1403" s="94"/>
      <c r="BB1403" s="94"/>
      <c r="BC1403" s="94"/>
      <c r="BD1403" s="94"/>
      <c r="BE1403" s="94"/>
      <c r="BF1403" s="94"/>
    </row>
    <row r="1404" spans="1:58" x14ac:dyDescent="0.35">
      <c r="A1404" s="107" t="s">
        <v>3197</v>
      </c>
      <c r="B1404" s="108" t="s">
        <v>0</v>
      </c>
      <c r="C1404" s="109">
        <v>7</v>
      </c>
      <c r="D1404" s="107" t="s">
        <v>1210</v>
      </c>
      <c r="E1404" s="109"/>
      <c r="F1404" s="94"/>
      <c r="G1404" s="94"/>
      <c r="H1404" s="94"/>
      <c r="I1404" s="94"/>
      <c r="J1404" s="94"/>
      <c r="K1404" s="94"/>
      <c r="L1404" s="94"/>
      <c r="M1404" s="94"/>
      <c r="N1404" s="94"/>
      <c r="O1404" s="94"/>
      <c r="P1404" s="94"/>
      <c r="Q1404" s="94"/>
      <c r="R1404" s="94"/>
      <c r="S1404" s="94"/>
      <c r="T1404" s="94"/>
      <c r="U1404" s="94"/>
      <c r="V1404" s="94"/>
      <c r="W1404" s="94"/>
      <c r="X1404" s="94"/>
      <c r="Y1404" s="94"/>
      <c r="Z1404" s="94"/>
      <c r="AA1404" s="94"/>
      <c r="AB1404" s="94"/>
      <c r="AC1404" s="94"/>
      <c r="AD1404" s="94"/>
      <c r="AE1404" s="94"/>
      <c r="AF1404" s="94"/>
      <c r="AG1404" s="94"/>
      <c r="AH1404" s="94"/>
      <c r="AI1404" s="94"/>
      <c r="AJ1404" s="94"/>
      <c r="AK1404" s="94"/>
      <c r="AL1404" s="94"/>
      <c r="AM1404" s="94"/>
      <c r="AN1404" s="94"/>
      <c r="AO1404" s="94"/>
      <c r="AP1404" s="94"/>
      <c r="AQ1404" s="94"/>
      <c r="AR1404" s="94"/>
      <c r="AS1404" s="94"/>
      <c r="AT1404" s="94"/>
      <c r="AU1404" s="94"/>
      <c r="AV1404" s="94"/>
      <c r="AW1404" s="94"/>
      <c r="AX1404" s="94"/>
      <c r="AY1404" s="94"/>
      <c r="AZ1404" s="94"/>
      <c r="BA1404" s="94"/>
      <c r="BB1404" s="94"/>
      <c r="BC1404" s="94"/>
      <c r="BD1404" s="94"/>
      <c r="BE1404" s="94"/>
      <c r="BF1404" s="94"/>
    </row>
    <row r="1405" spans="1:58" x14ac:dyDescent="0.35">
      <c r="A1405" s="107" t="s">
        <v>3198</v>
      </c>
      <c r="B1405" s="108" t="s">
        <v>0</v>
      </c>
      <c r="C1405" s="109">
        <v>7</v>
      </c>
      <c r="D1405" s="107" t="s">
        <v>1211</v>
      </c>
      <c r="E1405" s="109"/>
      <c r="F1405" s="94"/>
      <c r="G1405" s="94"/>
      <c r="H1405" s="94"/>
      <c r="I1405" s="94"/>
      <c r="J1405" s="94"/>
      <c r="K1405" s="94"/>
      <c r="L1405" s="94"/>
      <c r="M1405" s="94"/>
      <c r="N1405" s="94"/>
      <c r="O1405" s="94"/>
      <c r="P1405" s="94"/>
      <c r="Q1405" s="94"/>
      <c r="R1405" s="94"/>
      <c r="S1405" s="94"/>
      <c r="T1405" s="94"/>
      <c r="U1405" s="94"/>
      <c r="V1405" s="94"/>
      <c r="W1405" s="94"/>
      <c r="X1405" s="94"/>
      <c r="Y1405" s="94"/>
      <c r="Z1405" s="94"/>
      <c r="AA1405" s="94"/>
      <c r="AB1405" s="94"/>
      <c r="AC1405" s="94"/>
      <c r="AD1405" s="94"/>
      <c r="AE1405" s="94"/>
      <c r="AF1405" s="94"/>
      <c r="AG1405" s="94"/>
      <c r="AH1405" s="94"/>
      <c r="AI1405" s="94"/>
      <c r="AJ1405" s="94"/>
      <c r="AK1405" s="94"/>
      <c r="AL1405" s="94"/>
      <c r="AM1405" s="94"/>
      <c r="AN1405" s="94"/>
      <c r="AO1405" s="94"/>
      <c r="AP1405" s="94"/>
      <c r="AQ1405" s="94"/>
      <c r="AR1405" s="94"/>
      <c r="AS1405" s="94"/>
      <c r="AT1405" s="94"/>
      <c r="AU1405" s="94"/>
      <c r="AV1405" s="94"/>
      <c r="AW1405" s="94"/>
      <c r="AX1405" s="94"/>
      <c r="AY1405" s="94"/>
      <c r="AZ1405" s="94"/>
      <c r="BA1405" s="94"/>
      <c r="BB1405" s="94"/>
      <c r="BC1405" s="94"/>
      <c r="BD1405" s="94"/>
      <c r="BE1405" s="94"/>
      <c r="BF1405" s="94"/>
    </row>
    <row r="1406" spans="1:58" x14ac:dyDescent="0.35">
      <c r="A1406" s="107" t="s">
        <v>3199</v>
      </c>
      <c r="B1406" s="108" t="s">
        <v>0</v>
      </c>
      <c r="C1406" s="109">
        <v>7</v>
      </c>
      <c r="D1406" s="107" t="s">
        <v>1212</v>
      </c>
      <c r="E1406" s="109"/>
      <c r="F1406" s="94"/>
      <c r="G1406" s="94"/>
      <c r="H1406" s="94"/>
      <c r="I1406" s="94"/>
      <c r="J1406" s="94"/>
      <c r="K1406" s="94"/>
      <c r="L1406" s="94"/>
      <c r="M1406" s="94"/>
      <c r="N1406" s="94"/>
      <c r="O1406" s="94"/>
      <c r="P1406" s="94"/>
      <c r="Q1406" s="94"/>
      <c r="R1406" s="94"/>
      <c r="S1406" s="94"/>
      <c r="T1406" s="94"/>
      <c r="U1406" s="94"/>
      <c r="V1406" s="94"/>
      <c r="W1406" s="94"/>
      <c r="X1406" s="94"/>
      <c r="Y1406" s="94"/>
      <c r="Z1406" s="94"/>
      <c r="AA1406" s="94"/>
      <c r="AB1406" s="94"/>
      <c r="AC1406" s="94"/>
      <c r="AD1406" s="94"/>
      <c r="AE1406" s="94"/>
      <c r="AF1406" s="94"/>
      <c r="AG1406" s="94"/>
      <c r="AH1406" s="94"/>
      <c r="AI1406" s="94"/>
      <c r="AJ1406" s="94"/>
      <c r="AK1406" s="94"/>
      <c r="AL1406" s="94"/>
      <c r="AM1406" s="94"/>
      <c r="AN1406" s="94"/>
      <c r="AO1406" s="94"/>
      <c r="AP1406" s="94"/>
      <c r="AQ1406" s="94"/>
      <c r="AR1406" s="94"/>
      <c r="AS1406" s="94"/>
      <c r="AT1406" s="94"/>
      <c r="AU1406" s="94"/>
      <c r="AV1406" s="94"/>
      <c r="AW1406" s="94"/>
      <c r="AX1406" s="94"/>
      <c r="AY1406" s="94"/>
      <c r="AZ1406" s="94"/>
      <c r="BA1406" s="94"/>
      <c r="BB1406" s="94"/>
      <c r="BC1406" s="94"/>
      <c r="BD1406" s="94"/>
      <c r="BE1406" s="94"/>
      <c r="BF1406" s="94"/>
    </row>
    <row r="1407" spans="1:58" x14ac:dyDescent="0.35">
      <c r="A1407" s="104" t="s">
        <v>3200</v>
      </c>
      <c r="B1407" s="105" t="s">
        <v>0</v>
      </c>
      <c r="C1407" s="106">
        <v>6</v>
      </c>
      <c r="D1407" s="104" t="s">
        <v>16</v>
      </c>
      <c r="E1407" s="106"/>
      <c r="F1407" s="94"/>
      <c r="G1407" s="94"/>
      <c r="H1407" s="94"/>
      <c r="I1407" s="94"/>
      <c r="J1407" s="94"/>
      <c r="K1407" s="94"/>
      <c r="L1407" s="94"/>
      <c r="M1407" s="94"/>
      <c r="N1407" s="94"/>
      <c r="O1407" s="94"/>
      <c r="P1407" s="94"/>
      <c r="Q1407" s="94"/>
      <c r="R1407" s="94"/>
      <c r="S1407" s="94"/>
      <c r="T1407" s="94"/>
      <c r="U1407" s="94"/>
      <c r="V1407" s="94"/>
      <c r="W1407" s="94"/>
      <c r="X1407" s="94"/>
      <c r="Y1407" s="94"/>
      <c r="Z1407" s="94"/>
      <c r="AA1407" s="94"/>
      <c r="AB1407" s="94"/>
      <c r="AC1407" s="94"/>
      <c r="AD1407" s="94"/>
      <c r="AE1407" s="94"/>
      <c r="AF1407" s="94"/>
      <c r="AG1407" s="94"/>
      <c r="AH1407" s="94"/>
      <c r="AI1407" s="94"/>
      <c r="AJ1407" s="94"/>
      <c r="AK1407" s="94"/>
      <c r="AL1407" s="94"/>
      <c r="AM1407" s="94"/>
      <c r="AN1407" s="94"/>
      <c r="AO1407" s="94"/>
      <c r="AP1407" s="94"/>
      <c r="AQ1407" s="94"/>
      <c r="AR1407" s="94"/>
      <c r="AS1407" s="94"/>
      <c r="AT1407" s="94"/>
      <c r="AU1407" s="94"/>
      <c r="AV1407" s="94"/>
      <c r="AW1407" s="94"/>
      <c r="AX1407" s="94"/>
      <c r="AY1407" s="94"/>
      <c r="AZ1407" s="94"/>
      <c r="BA1407" s="94"/>
      <c r="BB1407" s="94"/>
      <c r="BC1407" s="94"/>
      <c r="BD1407" s="94"/>
      <c r="BE1407" s="94"/>
      <c r="BF1407" s="94"/>
    </row>
    <row r="1408" spans="1:58" x14ac:dyDescent="0.35">
      <c r="A1408" s="107" t="s">
        <v>3201</v>
      </c>
      <c r="B1408" s="108" t="s">
        <v>0</v>
      </c>
      <c r="C1408" s="109">
        <v>7</v>
      </c>
      <c r="D1408" s="107" t="s">
        <v>1226</v>
      </c>
      <c r="E1408" s="109"/>
      <c r="F1408" s="94"/>
      <c r="G1408" s="94"/>
      <c r="H1408" s="94"/>
      <c r="I1408" s="94"/>
      <c r="J1408" s="94"/>
      <c r="K1408" s="94"/>
      <c r="L1408" s="94"/>
      <c r="M1408" s="94"/>
      <c r="N1408" s="94"/>
      <c r="O1408" s="94"/>
      <c r="P1408" s="94"/>
      <c r="Q1408" s="94"/>
      <c r="R1408" s="94"/>
      <c r="S1408" s="94"/>
      <c r="T1408" s="94"/>
      <c r="U1408" s="94"/>
      <c r="V1408" s="94"/>
      <c r="W1408" s="94"/>
      <c r="X1408" s="94"/>
      <c r="Y1408" s="94"/>
      <c r="Z1408" s="94"/>
      <c r="AA1408" s="94"/>
      <c r="AB1408" s="94"/>
      <c r="AC1408" s="94"/>
      <c r="AD1408" s="94"/>
      <c r="AE1408" s="94"/>
      <c r="AF1408" s="94"/>
      <c r="AG1408" s="94"/>
      <c r="AH1408" s="94"/>
      <c r="AI1408" s="94"/>
      <c r="AJ1408" s="94"/>
      <c r="AK1408" s="94"/>
      <c r="AL1408" s="94"/>
      <c r="AM1408" s="94"/>
      <c r="AN1408" s="94"/>
      <c r="AO1408" s="94"/>
      <c r="AP1408" s="94"/>
      <c r="AQ1408" s="94"/>
      <c r="AR1408" s="94"/>
      <c r="AS1408" s="94"/>
      <c r="AT1408" s="94"/>
      <c r="AU1408" s="94"/>
      <c r="AV1408" s="94"/>
      <c r="AW1408" s="94"/>
      <c r="AX1408" s="94"/>
      <c r="AY1408" s="94"/>
      <c r="AZ1408" s="94"/>
      <c r="BA1408" s="94"/>
      <c r="BB1408" s="94"/>
      <c r="BC1408" s="94"/>
      <c r="BD1408" s="94"/>
      <c r="BE1408" s="94"/>
      <c r="BF1408" s="94"/>
    </row>
    <row r="1409" spans="1:58" x14ac:dyDescent="0.35">
      <c r="A1409" s="104" t="s">
        <v>3202</v>
      </c>
      <c r="B1409" s="105" t="s">
        <v>0</v>
      </c>
      <c r="C1409" s="106">
        <v>6</v>
      </c>
      <c r="D1409" s="104" t="s">
        <v>122</v>
      </c>
      <c r="E1409" s="106"/>
      <c r="F1409" s="94"/>
      <c r="G1409" s="94"/>
      <c r="H1409" s="94"/>
      <c r="I1409" s="94"/>
      <c r="J1409" s="94"/>
      <c r="K1409" s="94"/>
      <c r="L1409" s="94"/>
      <c r="M1409" s="94"/>
      <c r="N1409" s="94"/>
      <c r="O1409" s="94"/>
      <c r="P1409" s="94"/>
      <c r="Q1409" s="94"/>
      <c r="R1409" s="94"/>
      <c r="S1409" s="94"/>
      <c r="T1409" s="94"/>
      <c r="U1409" s="94"/>
      <c r="V1409" s="94"/>
      <c r="W1409" s="94"/>
      <c r="X1409" s="94"/>
      <c r="Y1409" s="94"/>
      <c r="Z1409" s="94"/>
      <c r="AA1409" s="94"/>
      <c r="AB1409" s="94"/>
      <c r="AC1409" s="94"/>
      <c r="AD1409" s="94"/>
      <c r="AE1409" s="94"/>
      <c r="AF1409" s="94"/>
      <c r="AG1409" s="94"/>
      <c r="AH1409" s="94"/>
      <c r="AI1409" s="94"/>
      <c r="AJ1409" s="94"/>
      <c r="AK1409" s="94"/>
      <c r="AL1409" s="94"/>
      <c r="AM1409" s="94"/>
      <c r="AN1409" s="94"/>
      <c r="AO1409" s="94"/>
      <c r="AP1409" s="94"/>
      <c r="AQ1409" s="94"/>
      <c r="AR1409" s="94"/>
      <c r="AS1409" s="94"/>
      <c r="AT1409" s="94"/>
      <c r="AU1409" s="94"/>
      <c r="AV1409" s="94"/>
      <c r="AW1409" s="94"/>
      <c r="AX1409" s="94"/>
      <c r="AY1409" s="94"/>
      <c r="AZ1409" s="94"/>
      <c r="BA1409" s="94"/>
      <c r="BB1409" s="94"/>
      <c r="BC1409" s="94"/>
      <c r="BD1409" s="94"/>
      <c r="BE1409" s="94"/>
      <c r="BF1409" s="94"/>
    </row>
    <row r="1410" spans="1:58" x14ac:dyDescent="0.35">
      <c r="A1410" s="107" t="s">
        <v>3203</v>
      </c>
      <c r="B1410" s="108" t="s">
        <v>0</v>
      </c>
      <c r="C1410" s="109">
        <v>7</v>
      </c>
      <c r="D1410" s="107" t="s">
        <v>1213</v>
      </c>
      <c r="E1410" s="109"/>
      <c r="F1410" s="94"/>
      <c r="G1410" s="94"/>
      <c r="H1410" s="94"/>
      <c r="I1410" s="94"/>
      <c r="J1410" s="94"/>
      <c r="K1410" s="94"/>
      <c r="L1410" s="94"/>
      <c r="M1410" s="94"/>
      <c r="N1410" s="94"/>
      <c r="O1410" s="94"/>
      <c r="P1410" s="94"/>
      <c r="Q1410" s="94"/>
      <c r="R1410" s="94"/>
      <c r="S1410" s="94"/>
      <c r="T1410" s="94"/>
      <c r="U1410" s="94"/>
      <c r="V1410" s="94"/>
      <c r="W1410" s="94"/>
      <c r="X1410" s="94"/>
      <c r="Y1410" s="94"/>
      <c r="Z1410" s="94"/>
      <c r="AA1410" s="94"/>
      <c r="AB1410" s="94"/>
      <c r="AC1410" s="94"/>
      <c r="AD1410" s="94"/>
      <c r="AE1410" s="94"/>
      <c r="AF1410" s="94"/>
      <c r="AG1410" s="94"/>
      <c r="AH1410" s="94"/>
      <c r="AI1410" s="94"/>
      <c r="AJ1410" s="94"/>
      <c r="AK1410" s="94"/>
      <c r="AL1410" s="94"/>
      <c r="AM1410" s="94"/>
      <c r="AN1410" s="94"/>
      <c r="AO1410" s="94"/>
      <c r="AP1410" s="94"/>
      <c r="AQ1410" s="94"/>
      <c r="AR1410" s="94"/>
      <c r="AS1410" s="94"/>
      <c r="AT1410" s="94"/>
      <c r="AU1410" s="94"/>
      <c r="AV1410" s="94"/>
      <c r="AW1410" s="94"/>
      <c r="AX1410" s="94"/>
      <c r="AY1410" s="94"/>
      <c r="AZ1410" s="94"/>
      <c r="BA1410" s="94"/>
      <c r="BB1410" s="94"/>
      <c r="BC1410" s="94"/>
      <c r="BD1410" s="94"/>
      <c r="BE1410" s="94"/>
      <c r="BF1410" s="94"/>
    </row>
    <row r="1411" spans="1:58" x14ac:dyDescent="0.35">
      <c r="A1411" s="107" t="s">
        <v>3204</v>
      </c>
      <c r="B1411" s="108" t="s">
        <v>0</v>
      </c>
      <c r="C1411" s="109">
        <v>7</v>
      </c>
      <c r="D1411" s="107" t="s">
        <v>1214</v>
      </c>
      <c r="E1411" s="109"/>
      <c r="F1411" s="94"/>
      <c r="G1411" s="94"/>
      <c r="H1411" s="94"/>
      <c r="I1411" s="94"/>
      <c r="J1411" s="94"/>
      <c r="K1411" s="94"/>
      <c r="L1411" s="94"/>
      <c r="M1411" s="94"/>
      <c r="N1411" s="94"/>
      <c r="O1411" s="94"/>
      <c r="P1411" s="94"/>
      <c r="Q1411" s="94"/>
      <c r="R1411" s="94"/>
      <c r="S1411" s="94"/>
      <c r="T1411" s="94"/>
      <c r="U1411" s="94"/>
      <c r="V1411" s="94"/>
      <c r="W1411" s="94"/>
      <c r="X1411" s="94"/>
      <c r="Y1411" s="94"/>
      <c r="Z1411" s="94"/>
      <c r="AA1411" s="94"/>
      <c r="AB1411" s="94"/>
      <c r="AC1411" s="94"/>
      <c r="AD1411" s="94"/>
      <c r="AE1411" s="94"/>
      <c r="AF1411" s="94"/>
      <c r="AG1411" s="94"/>
      <c r="AH1411" s="94"/>
      <c r="AI1411" s="94"/>
      <c r="AJ1411" s="94"/>
      <c r="AK1411" s="94"/>
      <c r="AL1411" s="94"/>
      <c r="AM1411" s="94"/>
      <c r="AN1411" s="94"/>
      <c r="AO1411" s="94"/>
      <c r="AP1411" s="94"/>
      <c r="AQ1411" s="94"/>
      <c r="AR1411" s="94"/>
      <c r="AS1411" s="94"/>
      <c r="AT1411" s="94"/>
      <c r="AU1411" s="94"/>
      <c r="AV1411" s="94"/>
      <c r="AW1411" s="94"/>
      <c r="AX1411" s="94"/>
      <c r="AY1411" s="94"/>
      <c r="AZ1411" s="94"/>
      <c r="BA1411" s="94"/>
      <c r="BB1411" s="94"/>
      <c r="BC1411" s="94"/>
      <c r="BD1411" s="94"/>
      <c r="BE1411" s="94"/>
      <c r="BF1411" s="94"/>
    </row>
    <row r="1412" spans="1:58" x14ac:dyDescent="0.35">
      <c r="A1412" s="107" t="s">
        <v>3205</v>
      </c>
      <c r="B1412" s="108" t="s">
        <v>0</v>
      </c>
      <c r="C1412" s="109">
        <v>7</v>
      </c>
      <c r="D1412" s="107" t="s">
        <v>1215</v>
      </c>
      <c r="E1412" s="109"/>
      <c r="F1412" s="94"/>
      <c r="G1412" s="94"/>
      <c r="H1412" s="94"/>
      <c r="I1412" s="94"/>
      <c r="J1412" s="94"/>
      <c r="K1412" s="94"/>
      <c r="L1412" s="94"/>
      <c r="M1412" s="94"/>
      <c r="N1412" s="94"/>
      <c r="O1412" s="94"/>
      <c r="P1412" s="94"/>
      <c r="Q1412" s="94"/>
      <c r="R1412" s="94"/>
      <c r="S1412" s="94"/>
      <c r="T1412" s="94"/>
      <c r="U1412" s="94"/>
      <c r="V1412" s="94"/>
      <c r="W1412" s="94"/>
      <c r="X1412" s="94"/>
      <c r="Y1412" s="94"/>
      <c r="Z1412" s="94"/>
      <c r="AA1412" s="94"/>
      <c r="AB1412" s="94"/>
      <c r="AC1412" s="94"/>
      <c r="AD1412" s="94"/>
      <c r="AE1412" s="94"/>
      <c r="AF1412" s="94"/>
      <c r="AG1412" s="94"/>
      <c r="AH1412" s="94"/>
      <c r="AI1412" s="94"/>
      <c r="AJ1412" s="94"/>
      <c r="AK1412" s="94"/>
      <c r="AL1412" s="94"/>
      <c r="AM1412" s="94"/>
      <c r="AN1412" s="94"/>
      <c r="AO1412" s="94"/>
      <c r="AP1412" s="94"/>
      <c r="AQ1412" s="94"/>
      <c r="AR1412" s="94"/>
      <c r="AS1412" s="94"/>
      <c r="AT1412" s="94"/>
      <c r="AU1412" s="94"/>
      <c r="AV1412" s="94"/>
      <c r="AW1412" s="94"/>
      <c r="AX1412" s="94"/>
      <c r="AY1412" s="94"/>
      <c r="AZ1412" s="94"/>
      <c r="BA1412" s="94"/>
      <c r="BB1412" s="94"/>
      <c r="BC1412" s="94"/>
      <c r="BD1412" s="94"/>
      <c r="BE1412" s="94"/>
      <c r="BF1412" s="94"/>
    </row>
    <row r="1413" spans="1:58" x14ac:dyDescent="0.35">
      <c r="A1413" s="101" t="s">
        <v>3206</v>
      </c>
      <c r="B1413" s="102" t="s">
        <v>0</v>
      </c>
      <c r="C1413" s="103">
        <v>5</v>
      </c>
      <c r="D1413" s="101" t="s">
        <v>1676</v>
      </c>
      <c r="E1413" s="103" t="s">
        <v>584</v>
      </c>
      <c r="F1413" s="94"/>
      <c r="G1413" s="94"/>
      <c r="H1413" s="94"/>
      <c r="I1413" s="94"/>
      <c r="J1413" s="94"/>
      <c r="K1413" s="94"/>
      <c r="L1413" s="94"/>
      <c r="M1413" s="94"/>
      <c r="N1413" s="94"/>
      <c r="O1413" s="94"/>
      <c r="P1413" s="94"/>
      <c r="Q1413" s="94"/>
      <c r="R1413" s="94"/>
      <c r="S1413" s="94"/>
      <c r="T1413" s="94"/>
      <c r="U1413" s="94"/>
      <c r="V1413" s="94"/>
      <c r="W1413" s="94"/>
      <c r="X1413" s="94"/>
      <c r="Y1413" s="94"/>
      <c r="Z1413" s="94"/>
      <c r="AA1413" s="94"/>
      <c r="AB1413" s="94"/>
      <c r="AC1413" s="94"/>
      <c r="AD1413" s="94"/>
      <c r="AE1413" s="94"/>
      <c r="AF1413" s="94"/>
      <c r="AG1413" s="94"/>
      <c r="AH1413" s="94"/>
      <c r="AI1413" s="94"/>
      <c r="AJ1413" s="94"/>
      <c r="AK1413" s="94"/>
      <c r="AL1413" s="94"/>
      <c r="AM1413" s="94"/>
      <c r="AN1413" s="94"/>
      <c r="AO1413" s="94"/>
      <c r="AP1413" s="94"/>
      <c r="AQ1413" s="94"/>
      <c r="AR1413" s="94"/>
      <c r="AS1413" s="94"/>
      <c r="AT1413" s="94"/>
      <c r="AU1413" s="94"/>
      <c r="AV1413" s="94"/>
      <c r="AW1413" s="94"/>
      <c r="AX1413" s="94"/>
      <c r="AY1413" s="94"/>
      <c r="AZ1413" s="94"/>
      <c r="BA1413" s="94"/>
      <c r="BB1413" s="94"/>
      <c r="BC1413" s="94"/>
      <c r="BD1413" s="94"/>
      <c r="BE1413" s="94"/>
      <c r="BF1413" s="94"/>
    </row>
    <row r="1414" spans="1:58" x14ac:dyDescent="0.35">
      <c r="A1414" s="104" t="s">
        <v>3207</v>
      </c>
      <c r="B1414" s="105" t="s">
        <v>0</v>
      </c>
      <c r="C1414" s="106">
        <v>6</v>
      </c>
      <c r="D1414" s="104" t="s">
        <v>565</v>
      </c>
      <c r="E1414" s="106"/>
      <c r="F1414" s="94"/>
      <c r="G1414" s="94"/>
      <c r="H1414" s="94"/>
      <c r="I1414" s="94"/>
      <c r="J1414" s="94"/>
      <c r="K1414" s="94"/>
      <c r="L1414" s="94"/>
      <c r="M1414" s="94"/>
      <c r="N1414" s="94"/>
      <c r="O1414" s="94"/>
      <c r="P1414" s="94"/>
      <c r="Q1414" s="94"/>
      <c r="R1414" s="94"/>
      <c r="S1414" s="94"/>
      <c r="T1414" s="94"/>
      <c r="U1414" s="94"/>
      <c r="V1414" s="94"/>
      <c r="W1414" s="94"/>
      <c r="X1414" s="94"/>
      <c r="Y1414" s="94"/>
      <c r="Z1414" s="94"/>
      <c r="AA1414" s="94"/>
      <c r="AB1414" s="94"/>
      <c r="AC1414" s="94"/>
      <c r="AD1414" s="94"/>
      <c r="AE1414" s="94"/>
      <c r="AF1414" s="94"/>
      <c r="AG1414" s="94"/>
      <c r="AH1414" s="94"/>
      <c r="AI1414" s="94"/>
      <c r="AJ1414" s="94"/>
      <c r="AK1414" s="94"/>
      <c r="AL1414" s="94"/>
      <c r="AM1414" s="94"/>
      <c r="AN1414" s="94"/>
      <c r="AO1414" s="94"/>
      <c r="AP1414" s="94"/>
      <c r="AQ1414" s="94"/>
      <c r="AR1414" s="94"/>
      <c r="AS1414" s="94"/>
      <c r="AT1414" s="94"/>
      <c r="AU1414" s="94"/>
      <c r="AV1414" s="94"/>
      <c r="AW1414" s="94"/>
      <c r="AX1414" s="94"/>
      <c r="AY1414" s="94"/>
      <c r="AZ1414" s="94"/>
      <c r="BA1414" s="94"/>
      <c r="BB1414" s="94"/>
      <c r="BC1414" s="94"/>
      <c r="BD1414" s="94"/>
      <c r="BE1414" s="94"/>
      <c r="BF1414" s="94"/>
    </row>
    <row r="1415" spans="1:58" x14ac:dyDescent="0.35">
      <c r="A1415" s="107" t="s">
        <v>3208</v>
      </c>
      <c r="B1415" s="108" t="s">
        <v>0</v>
      </c>
      <c r="C1415" s="109">
        <v>7</v>
      </c>
      <c r="D1415" s="107" t="s">
        <v>1217</v>
      </c>
      <c r="E1415" s="109"/>
      <c r="F1415" s="94"/>
      <c r="G1415" s="94"/>
      <c r="H1415" s="94"/>
      <c r="I1415" s="94"/>
      <c r="J1415" s="94"/>
      <c r="K1415" s="94"/>
      <c r="L1415" s="94"/>
      <c r="M1415" s="94"/>
      <c r="N1415" s="94"/>
      <c r="O1415" s="94"/>
      <c r="P1415" s="94"/>
      <c r="Q1415" s="94"/>
      <c r="R1415" s="94"/>
      <c r="S1415" s="94"/>
      <c r="T1415" s="94"/>
      <c r="U1415" s="94"/>
      <c r="V1415" s="94"/>
      <c r="W1415" s="94"/>
      <c r="X1415" s="94"/>
      <c r="Y1415" s="94"/>
      <c r="Z1415" s="94"/>
      <c r="AA1415" s="94"/>
      <c r="AB1415" s="94"/>
      <c r="AC1415" s="94"/>
      <c r="AD1415" s="94"/>
      <c r="AE1415" s="94"/>
      <c r="AF1415" s="94"/>
      <c r="AG1415" s="94"/>
      <c r="AH1415" s="94"/>
      <c r="AI1415" s="94"/>
      <c r="AJ1415" s="94"/>
      <c r="AK1415" s="94"/>
      <c r="AL1415" s="94"/>
      <c r="AM1415" s="94"/>
      <c r="AN1415" s="94"/>
      <c r="AO1415" s="94"/>
      <c r="AP1415" s="94"/>
      <c r="AQ1415" s="94"/>
      <c r="AR1415" s="94"/>
      <c r="AS1415" s="94"/>
      <c r="AT1415" s="94"/>
      <c r="AU1415" s="94"/>
      <c r="AV1415" s="94"/>
      <c r="AW1415" s="94"/>
      <c r="AX1415" s="94"/>
      <c r="AY1415" s="94"/>
      <c r="AZ1415" s="94"/>
      <c r="BA1415" s="94"/>
      <c r="BB1415" s="94"/>
      <c r="BC1415" s="94"/>
      <c r="BD1415" s="94"/>
      <c r="BE1415" s="94"/>
      <c r="BF1415" s="94"/>
    </row>
    <row r="1416" spans="1:58" x14ac:dyDescent="0.35">
      <c r="A1416" s="107" t="s">
        <v>3209</v>
      </c>
      <c r="B1416" s="108" t="s">
        <v>0</v>
      </c>
      <c r="C1416" s="109">
        <v>7</v>
      </c>
      <c r="D1416" s="107" t="s">
        <v>1218</v>
      </c>
      <c r="E1416" s="109"/>
      <c r="F1416" s="94"/>
      <c r="G1416" s="94"/>
      <c r="H1416" s="94"/>
      <c r="I1416" s="94"/>
      <c r="J1416" s="94"/>
      <c r="K1416" s="94"/>
      <c r="L1416" s="94"/>
      <c r="M1416" s="94"/>
      <c r="N1416" s="94"/>
      <c r="O1416" s="94"/>
      <c r="P1416" s="94"/>
      <c r="Q1416" s="94"/>
      <c r="R1416" s="94"/>
      <c r="S1416" s="94"/>
      <c r="T1416" s="94"/>
      <c r="U1416" s="94"/>
      <c r="V1416" s="94"/>
      <c r="W1416" s="94"/>
      <c r="X1416" s="94"/>
      <c r="Y1416" s="94"/>
      <c r="Z1416" s="94"/>
      <c r="AA1416" s="94"/>
      <c r="AB1416" s="94"/>
      <c r="AC1416" s="94"/>
      <c r="AD1416" s="94"/>
      <c r="AE1416" s="94"/>
      <c r="AF1416" s="94"/>
      <c r="AG1416" s="94"/>
      <c r="AH1416" s="94"/>
      <c r="AI1416" s="94"/>
      <c r="AJ1416" s="94"/>
      <c r="AK1416" s="94"/>
      <c r="AL1416" s="94"/>
      <c r="AM1416" s="94"/>
      <c r="AN1416" s="94"/>
      <c r="AO1416" s="94"/>
      <c r="AP1416" s="94"/>
      <c r="AQ1416" s="94"/>
      <c r="AR1416" s="94"/>
      <c r="AS1416" s="94"/>
      <c r="AT1416" s="94"/>
      <c r="AU1416" s="94"/>
      <c r="AV1416" s="94"/>
      <c r="AW1416" s="94"/>
      <c r="AX1416" s="94"/>
      <c r="AY1416" s="94"/>
      <c r="AZ1416" s="94"/>
      <c r="BA1416" s="94"/>
      <c r="BB1416" s="94"/>
      <c r="BC1416" s="94"/>
      <c r="BD1416" s="94"/>
      <c r="BE1416" s="94"/>
      <c r="BF1416" s="94"/>
    </row>
    <row r="1417" spans="1:58" x14ac:dyDescent="0.35">
      <c r="A1417" s="107" t="s">
        <v>3210</v>
      </c>
      <c r="B1417" s="108" t="s">
        <v>0</v>
      </c>
      <c r="C1417" s="109">
        <v>7</v>
      </c>
      <c r="D1417" s="107" t="s">
        <v>1219</v>
      </c>
      <c r="E1417" s="109"/>
      <c r="F1417" s="94"/>
      <c r="G1417" s="94"/>
      <c r="H1417" s="94"/>
      <c r="I1417" s="94"/>
      <c r="J1417" s="94"/>
      <c r="K1417" s="94"/>
      <c r="L1417" s="94"/>
      <c r="M1417" s="94"/>
      <c r="N1417" s="94"/>
      <c r="O1417" s="94"/>
      <c r="P1417" s="94"/>
      <c r="Q1417" s="94"/>
      <c r="R1417" s="94"/>
      <c r="S1417" s="94"/>
      <c r="T1417" s="94"/>
      <c r="U1417" s="94"/>
      <c r="V1417" s="94"/>
      <c r="W1417" s="94"/>
      <c r="X1417" s="94"/>
      <c r="Y1417" s="94"/>
      <c r="Z1417" s="94"/>
      <c r="AA1417" s="94"/>
      <c r="AB1417" s="94"/>
      <c r="AC1417" s="94"/>
      <c r="AD1417" s="94"/>
      <c r="AE1417" s="94"/>
      <c r="AF1417" s="94"/>
      <c r="AG1417" s="94"/>
      <c r="AH1417" s="94"/>
      <c r="AI1417" s="94"/>
      <c r="AJ1417" s="94"/>
      <c r="AK1417" s="94"/>
      <c r="AL1417" s="94"/>
      <c r="AM1417" s="94"/>
      <c r="AN1417" s="94"/>
      <c r="AO1417" s="94"/>
      <c r="AP1417" s="94"/>
      <c r="AQ1417" s="94"/>
      <c r="AR1417" s="94"/>
      <c r="AS1417" s="94"/>
      <c r="AT1417" s="94"/>
      <c r="AU1417" s="94"/>
      <c r="AV1417" s="94"/>
      <c r="AW1417" s="94"/>
      <c r="AX1417" s="94"/>
      <c r="AY1417" s="94"/>
      <c r="AZ1417" s="94"/>
      <c r="BA1417" s="94"/>
      <c r="BB1417" s="94"/>
      <c r="BC1417" s="94"/>
      <c r="BD1417" s="94"/>
      <c r="BE1417" s="94"/>
      <c r="BF1417" s="94"/>
    </row>
    <row r="1418" spans="1:58" x14ac:dyDescent="0.35">
      <c r="A1418" s="104" t="s">
        <v>3211</v>
      </c>
      <c r="B1418" s="105" t="s">
        <v>0</v>
      </c>
      <c r="C1418" s="106">
        <v>6</v>
      </c>
      <c r="D1418" s="104" t="s">
        <v>16</v>
      </c>
      <c r="E1418" s="106"/>
      <c r="F1418" s="94"/>
      <c r="G1418" s="94"/>
      <c r="H1418" s="94"/>
      <c r="I1418" s="94"/>
      <c r="J1418" s="94"/>
      <c r="K1418" s="94"/>
      <c r="L1418" s="94"/>
      <c r="M1418" s="94"/>
      <c r="N1418" s="94"/>
      <c r="O1418" s="94"/>
      <c r="P1418" s="94"/>
      <c r="Q1418" s="94"/>
      <c r="R1418" s="94"/>
      <c r="S1418" s="94"/>
      <c r="T1418" s="94"/>
      <c r="U1418" s="94"/>
      <c r="V1418" s="94"/>
      <c r="W1418" s="94"/>
      <c r="X1418" s="94"/>
      <c r="Y1418" s="94"/>
      <c r="Z1418" s="94"/>
      <c r="AA1418" s="94"/>
      <c r="AB1418" s="94"/>
      <c r="AC1418" s="94"/>
      <c r="AD1418" s="94"/>
      <c r="AE1418" s="94"/>
      <c r="AF1418" s="94"/>
      <c r="AG1418" s="94"/>
      <c r="AH1418" s="94"/>
      <c r="AI1418" s="94"/>
      <c r="AJ1418" s="94"/>
      <c r="AK1418" s="94"/>
      <c r="AL1418" s="94"/>
      <c r="AM1418" s="94"/>
      <c r="AN1418" s="94"/>
      <c r="AO1418" s="94"/>
      <c r="AP1418" s="94"/>
      <c r="AQ1418" s="94"/>
      <c r="AR1418" s="94"/>
      <c r="AS1418" s="94"/>
      <c r="AT1418" s="94"/>
      <c r="AU1418" s="94"/>
      <c r="AV1418" s="94"/>
      <c r="AW1418" s="94"/>
      <c r="AX1418" s="94"/>
      <c r="AY1418" s="94"/>
      <c r="AZ1418" s="94"/>
      <c r="BA1418" s="94"/>
      <c r="BB1418" s="94"/>
      <c r="BC1418" s="94"/>
      <c r="BD1418" s="94"/>
      <c r="BE1418" s="94"/>
      <c r="BF1418" s="94"/>
    </row>
    <row r="1419" spans="1:58" x14ac:dyDescent="0.35">
      <c r="A1419" s="107" t="s">
        <v>3212</v>
      </c>
      <c r="B1419" s="108" t="s">
        <v>0</v>
      </c>
      <c r="C1419" s="109">
        <v>7</v>
      </c>
      <c r="D1419" s="107" t="s">
        <v>1227</v>
      </c>
      <c r="E1419" s="109"/>
      <c r="F1419" s="94"/>
      <c r="G1419" s="94"/>
      <c r="H1419" s="94"/>
      <c r="I1419" s="94"/>
      <c r="J1419" s="94"/>
      <c r="K1419" s="94"/>
      <c r="L1419" s="94"/>
      <c r="M1419" s="94"/>
      <c r="N1419" s="94"/>
      <c r="O1419" s="94"/>
      <c r="P1419" s="94"/>
      <c r="Q1419" s="94"/>
      <c r="R1419" s="94"/>
      <c r="S1419" s="94"/>
      <c r="T1419" s="94"/>
      <c r="U1419" s="94"/>
      <c r="V1419" s="94"/>
      <c r="W1419" s="94"/>
      <c r="X1419" s="94"/>
      <c r="Y1419" s="94"/>
      <c r="Z1419" s="94"/>
      <c r="AA1419" s="94"/>
      <c r="AB1419" s="94"/>
      <c r="AC1419" s="94"/>
      <c r="AD1419" s="94"/>
      <c r="AE1419" s="94"/>
      <c r="AF1419" s="94"/>
      <c r="AG1419" s="94"/>
      <c r="AH1419" s="94"/>
      <c r="AI1419" s="94"/>
      <c r="AJ1419" s="94"/>
      <c r="AK1419" s="94"/>
      <c r="AL1419" s="94"/>
      <c r="AM1419" s="94"/>
      <c r="AN1419" s="94"/>
      <c r="AO1419" s="94"/>
      <c r="AP1419" s="94"/>
      <c r="AQ1419" s="94"/>
      <c r="AR1419" s="94"/>
      <c r="AS1419" s="94"/>
      <c r="AT1419" s="94"/>
      <c r="AU1419" s="94"/>
      <c r="AV1419" s="94"/>
      <c r="AW1419" s="94"/>
      <c r="AX1419" s="94"/>
      <c r="AY1419" s="94"/>
      <c r="AZ1419" s="94"/>
      <c r="BA1419" s="94"/>
      <c r="BB1419" s="94"/>
      <c r="BC1419" s="94"/>
      <c r="BD1419" s="94"/>
      <c r="BE1419" s="94"/>
      <c r="BF1419" s="94"/>
    </row>
    <row r="1420" spans="1:58" x14ac:dyDescent="0.35">
      <c r="A1420" s="104" t="s">
        <v>3213</v>
      </c>
      <c r="B1420" s="105" t="s">
        <v>0</v>
      </c>
      <c r="C1420" s="106">
        <v>6</v>
      </c>
      <c r="D1420" s="104" t="s">
        <v>122</v>
      </c>
      <c r="E1420" s="106"/>
      <c r="F1420" s="94"/>
      <c r="G1420" s="94"/>
      <c r="H1420" s="94"/>
      <c r="I1420" s="94"/>
      <c r="J1420" s="94"/>
      <c r="K1420" s="94"/>
      <c r="L1420" s="94"/>
      <c r="M1420" s="94"/>
      <c r="N1420" s="94"/>
      <c r="O1420" s="94"/>
      <c r="P1420" s="94"/>
      <c r="Q1420" s="94"/>
      <c r="R1420" s="94"/>
      <c r="S1420" s="94"/>
      <c r="T1420" s="94"/>
      <c r="U1420" s="94"/>
      <c r="V1420" s="94"/>
      <c r="W1420" s="94"/>
      <c r="X1420" s="94"/>
      <c r="Y1420" s="94"/>
      <c r="Z1420" s="94"/>
      <c r="AA1420" s="94"/>
      <c r="AB1420" s="94"/>
      <c r="AC1420" s="94"/>
      <c r="AD1420" s="94"/>
      <c r="AE1420" s="94"/>
      <c r="AF1420" s="94"/>
      <c r="AG1420" s="94"/>
      <c r="AH1420" s="94"/>
      <c r="AI1420" s="94"/>
      <c r="AJ1420" s="94"/>
      <c r="AK1420" s="94"/>
      <c r="AL1420" s="94"/>
      <c r="AM1420" s="94"/>
      <c r="AN1420" s="94"/>
      <c r="AO1420" s="94"/>
      <c r="AP1420" s="94"/>
      <c r="AQ1420" s="94"/>
      <c r="AR1420" s="94"/>
      <c r="AS1420" s="94"/>
      <c r="AT1420" s="94"/>
      <c r="AU1420" s="94"/>
      <c r="AV1420" s="94"/>
      <c r="AW1420" s="94"/>
      <c r="AX1420" s="94"/>
      <c r="AY1420" s="94"/>
      <c r="AZ1420" s="94"/>
      <c r="BA1420" s="94"/>
      <c r="BB1420" s="94"/>
      <c r="BC1420" s="94"/>
      <c r="BD1420" s="94"/>
      <c r="BE1420" s="94"/>
      <c r="BF1420" s="94"/>
    </row>
    <row r="1421" spans="1:58" x14ac:dyDescent="0.35">
      <c r="A1421" s="107" t="s">
        <v>3214</v>
      </c>
      <c r="B1421" s="108" t="s">
        <v>0</v>
      </c>
      <c r="C1421" s="109">
        <v>7</v>
      </c>
      <c r="D1421" s="107" t="s">
        <v>1220</v>
      </c>
      <c r="E1421" s="109"/>
      <c r="F1421" s="94"/>
      <c r="G1421" s="94"/>
      <c r="H1421" s="94"/>
      <c r="I1421" s="94"/>
      <c r="J1421" s="94"/>
      <c r="K1421" s="94"/>
      <c r="L1421" s="94"/>
      <c r="M1421" s="94"/>
      <c r="N1421" s="94"/>
      <c r="O1421" s="94"/>
      <c r="P1421" s="94"/>
      <c r="Q1421" s="94"/>
      <c r="R1421" s="94"/>
      <c r="S1421" s="94"/>
      <c r="T1421" s="94"/>
      <c r="U1421" s="94"/>
      <c r="V1421" s="94"/>
      <c r="W1421" s="94"/>
      <c r="X1421" s="94"/>
      <c r="Y1421" s="94"/>
      <c r="Z1421" s="94"/>
      <c r="AA1421" s="94"/>
      <c r="AB1421" s="94"/>
      <c r="AC1421" s="94"/>
      <c r="AD1421" s="94"/>
      <c r="AE1421" s="94"/>
      <c r="AF1421" s="94"/>
      <c r="AG1421" s="94"/>
      <c r="AH1421" s="94"/>
      <c r="AI1421" s="94"/>
      <c r="AJ1421" s="94"/>
      <c r="AK1421" s="94"/>
      <c r="AL1421" s="94"/>
      <c r="AM1421" s="94"/>
      <c r="AN1421" s="94"/>
      <c r="AO1421" s="94"/>
      <c r="AP1421" s="94"/>
      <c r="AQ1421" s="94"/>
      <c r="AR1421" s="94"/>
      <c r="AS1421" s="94"/>
      <c r="AT1421" s="94"/>
      <c r="AU1421" s="94"/>
      <c r="AV1421" s="94"/>
      <c r="AW1421" s="94"/>
      <c r="AX1421" s="94"/>
      <c r="AY1421" s="94"/>
      <c r="AZ1421" s="94"/>
      <c r="BA1421" s="94"/>
      <c r="BB1421" s="94"/>
      <c r="BC1421" s="94"/>
      <c r="BD1421" s="94"/>
      <c r="BE1421" s="94"/>
      <c r="BF1421" s="94"/>
    </row>
    <row r="1422" spans="1:58" x14ac:dyDescent="0.35">
      <c r="A1422" s="107" t="s">
        <v>3215</v>
      </c>
      <c r="B1422" s="108" t="s">
        <v>0</v>
      </c>
      <c r="C1422" s="109">
        <v>7</v>
      </c>
      <c r="D1422" s="107" t="s">
        <v>1221</v>
      </c>
      <c r="E1422" s="109"/>
      <c r="F1422" s="94"/>
      <c r="G1422" s="94"/>
      <c r="H1422" s="94"/>
      <c r="I1422" s="94"/>
      <c r="J1422" s="94"/>
      <c r="K1422" s="94"/>
      <c r="L1422" s="94"/>
      <c r="M1422" s="94"/>
      <c r="N1422" s="94"/>
      <c r="O1422" s="94"/>
      <c r="P1422" s="94"/>
      <c r="Q1422" s="94"/>
      <c r="R1422" s="94"/>
      <c r="S1422" s="94"/>
      <c r="T1422" s="94"/>
      <c r="U1422" s="94"/>
      <c r="V1422" s="94"/>
      <c r="W1422" s="94"/>
      <c r="X1422" s="94"/>
      <c r="Y1422" s="94"/>
      <c r="Z1422" s="94"/>
      <c r="AA1422" s="94"/>
      <c r="AB1422" s="94"/>
      <c r="AC1422" s="94"/>
      <c r="AD1422" s="94"/>
      <c r="AE1422" s="94"/>
      <c r="AF1422" s="94"/>
      <c r="AG1422" s="94"/>
      <c r="AH1422" s="94"/>
      <c r="AI1422" s="94"/>
      <c r="AJ1422" s="94"/>
      <c r="AK1422" s="94"/>
      <c r="AL1422" s="94"/>
      <c r="AM1422" s="94"/>
      <c r="AN1422" s="94"/>
      <c r="AO1422" s="94"/>
      <c r="AP1422" s="94"/>
      <c r="AQ1422" s="94"/>
      <c r="AR1422" s="94"/>
      <c r="AS1422" s="94"/>
      <c r="AT1422" s="94"/>
      <c r="AU1422" s="94"/>
      <c r="AV1422" s="94"/>
      <c r="AW1422" s="94"/>
      <c r="AX1422" s="94"/>
      <c r="AY1422" s="94"/>
      <c r="AZ1422" s="94"/>
      <c r="BA1422" s="94"/>
      <c r="BB1422" s="94"/>
      <c r="BC1422" s="94"/>
      <c r="BD1422" s="94"/>
      <c r="BE1422" s="94"/>
      <c r="BF1422" s="94"/>
    </row>
    <row r="1423" spans="1:58" x14ac:dyDescent="0.35">
      <c r="A1423" s="107" t="s">
        <v>3216</v>
      </c>
      <c r="B1423" s="108" t="s">
        <v>0</v>
      </c>
      <c r="C1423" s="109">
        <v>7</v>
      </c>
      <c r="D1423" s="107" t="s">
        <v>1216</v>
      </c>
      <c r="E1423" s="109"/>
      <c r="F1423" s="94"/>
      <c r="G1423" s="94"/>
      <c r="H1423" s="94"/>
      <c r="I1423" s="94"/>
      <c r="J1423" s="94"/>
      <c r="K1423" s="94"/>
      <c r="L1423" s="94"/>
      <c r="M1423" s="94"/>
      <c r="N1423" s="94"/>
      <c r="O1423" s="94"/>
      <c r="P1423" s="94"/>
      <c r="Q1423" s="94"/>
      <c r="R1423" s="94"/>
      <c r="S1423" s="94"/>
      <c r="T1423" s="94"/>
      <c r="U1423" s="94"/>
      <c r="V1423" s="94"/>
      <c r="W1423" s="94"/>
      <c r="X1423" s="94"/>
      <c r="Y1423" s="94"/>
      <c r="Z1423" s="94"/>
      <c r="AA1423" s="94"/>
      <c r="AB1423" s="94"/>
      <c r="AC1423" s="94"/>
      <c r="AD1423" s="94"/>
      <c r="AE1423" s="94"/>
      <c r="AF1423" s="94"/>
      <c r="AG1423" s="94"/>
      <c r="AH1423" s="94"/>
      <c r="AI1423" s="94"/>
      <c r="AJ1423" s="94"/>
      <c r="AK1423" s="94"/>
      <c r="AL1423" s="94"/>
      <c r="AM1423" s="94"/>
      <c r="AN1423" s="94"/>
      <c r="AO1423" s="94"/>
      <c r="AP1423" s="94"/>
      <c r="AQ1423" s="94"/>
      <c r="AR1423" s="94"/>
      <c r="AS1423" s="94"/>
      <c r="AT1423" s="94"/>
      <c r="AU1423" s="94"/>
      <c r="AV1423" s="94"/>
      <c r="AW1423" s="94"/>
      <c r="AX1423" s="94"/>
      <c r="AY1423" s="94"/>
      <c r="AZ1423" s="94"/>
      <c r="BA1423" s="94"/>
      <c r="BB1423" s="94"/>
      <c r="BC1423" s="94"/>
      <c r="BD1423" s="94"/>
      <c r="BE1423" s="94"/>
      <c r="BF1423" s="94"/>
    </row>
    <row r="1424" spans="1:58" x14ac:dyDescent="0.35">
      <c r="A1424" s="101" t="s">
        <v>3217</v>
      </c>
      <c r="B1424" s="102" t="s">
        <v>0</v>
      </c>
      <c r="C1424" s="103">
        <v>5</v>
      </c>
      <c r="D1424" s="101" t="s">
        <v>1677</v>
      </c>
      <c r="E1424" s="103" t="s">
        <v>585</v>
      </c>
      <c r="F1424" s="94"/>
      <c r="G1424" s="94"/>
      <c r="H1424" s="94"/>
      <c r="I1424" s="94"/>
      <c r="J1424" s="94"/>
      <c r="K1424" s="94"/>
      <c r="L1424" s="94"/>
      <c r="M1424" s="94"/>
      <c r="N1424" s="94"/>
      <c r="O1424" s="94"/>
      <c r="P1424" s="94"/>
      <c r="Q1424" s="94"/>
      <c r="R1424" s="94"/>
      <c r="S1424" s="94"/>
      <c r="T1424" s="94"/>
      <c r="U1424" s="94"/>
      <c r="V1424" s="94"/>
      <c r="W1424" s="94"/>
      <c r="X1424" s="94"/>
      <c r="Y1424" s="94"/>
      <c r="Z1424" s="94"/>
      <c r="AA1424" s="94"/>
      <c r="AB1424" s="94"/>
      <c r="AC1424" s="94"/>
      <c r="AD1424" s="94"/>
      <c r="AE1424" s="94"/>
      <c r="AF1424" s="94"/>
      <c r="AG1424" s="94"/>
      <c r="AH1424" s="94"/>
      <c r="AI1424" s="94"/>
      <c r="AJ1424" s="94"/>
      <c r="AK1424" s="94"/>
      <c r="AL1424" s="94"/>
      <c r="AM1424" s="94"/>
      <c r="AN1424" s="94"/>
      <c r="AO1424" s="94"/>
      <c r="AP1424" s="94"/>
      <c r="AQ1424" s="94"/>
      <c r="AR1424" s="94"/>
      <c r="AS1424" s="94"/>
      <c r="AT1424" s="94"/>
      <c r="AU1424" s="94"/>
      <c r="AV1424" s="94"/>
      <c r="AW1424" s="94"/>
      <c r="AX1424" s="94"/>
      <c r="AY1424" s="94"/>
      <c r="AZ1424" s="94"/>
      <c r="BA1424" s="94"/>
      <c r="BB1424" s="94"/>
      <c r="BC1424" s="94"/>
      <c r="BD1424" s="94"/>
      <c r="BE1424" s="94"/>
      <c r="BF1424" s="94"/>
    </row>
    <row r="1425" spans="1:58" x14ac:dyDescent="0.35">
      <c r="A1425" s="104" t="s">
        <v>3218</v>
      </c>
      <c r="B1425" s="105" t="s">
        <v>0</v>
      </c>
      <c r="C1425" s="106">
        <v>6</v>
      </c>
      <c r="D1425" s="104" t="s">
        <v>565</v>
      </c>
      <c r="E1425" s="106"/>
      <c r="F1425" s="94"/>
      <c r="G1425" s="94"/>
      <c r="H1425" s="94"/>
      <c r="I1425" s="94"/>
      <c r="J1425" s="94"/>
      <c r="K1425" s="94"/>
      <c r="L1425" s="94"/>
      <c r="M1425" s="94"/>
      <c r="N1425" s="94"/>
      <c r="O1425" s="94"/>
      <c r="P1425" s="94"/>
      <c r="Q1425" s="94"/>
      <c r="R1425" s="94"/>
      <c r="S1425" s="94"/>
      <c r="T1425" s="94"/>
      <c r="U1425" s="94"/>
      <c r="V1425" s="94"/>
      <c r="W1425" s="94"/>
      <c r="X1425" s="94"/>
      <c r="Y1425" s="94"/>
      <c r="Z1425" s="94"/>
      <c r="AA1425" s="94"/>
      <c r="AB1425" s="94"/>
      <c r="AC1425" s="94"/>
      <c r="AD1425" s="94"/>
      <c r="AE1425" s="94"/>
      <c r="AF1425" s="94"/>
      <c r="AG1425" s="94"/>
      <c r="AH1425" s="94"/>
      <c r="AI1425" s="94"/>
      <c r="AJ1425" s="94"/>
      <c r="AK1425" s="94"/>
      <c r="AL1425" s="94"/>
      <c r="AM1425" s="94"/>
      <c r="AN1425" s="94"/>
      <c r="AO1425" s="94"/>
      <c r="AP1425" s="94"/>
      <c r="AQ1425" s="94"/>
      <c r="AR1425" s="94"/>
      <c r="AS1425" s="94"/>
      <c r="AT1425" s="94"/>
      <c r="AU1425" s="94"/>
      <c r="AV1425" s="94"/>
      <c r="AW1425" s="94"/>
      <c r="AX1425" s="94"/>
      <c r="AY1425" s="94"/>
      <c r="AZ1425" s="94"/>
      <c r="BA1425" s="94"/>
      <c r="BB1425" s="94"/>
      <c r="BC1425" s="94"/>
      <c r="BD1425" s="94"/>
      <c r="BE1425" s="94"/>
      <c r="BF1425" s="94"/>
    </row>
    <row r="1426" spans="1:58" x14ac:dyDescent="0.35">
      <c r="A1426" s="107" t="s">
        <v>3219</v>
      </c>
      <c r="B1426" s="108" t="s">
        <v>0</v>
      </c>
      <c r="C1426" s="109">
        <v>7</v>
      </c>
      <c r="D1426" s="107" t="s">
        <v>1222</v>
      </c>
      <c r="E1426" s="109"/>
      <c r="F1426" s="94"/>
      <c r="G1426" s="94"/>
      <c r="H1426" s="94"/>
      <c r="I1426" s="94"/>
      <c r="J1426" s="94"/>
      <c r="K1426" s="94"/>
      <c r="L1426" s="94"/>
      <c r="M1426" s="94"/>
      <c r="N1426" s="94"/>
      <c r="O1426" s="94"/>
      <c r="P1426" s="94"/>
      <c r="Q1426" s="94"/>
      <c r="R1426" s="94"/>
      <c r="S1426" s="94"/>
      <c r="T1426" s="94"/>
      <c r="U1426" s="94"/>
      <c r="V1426" s="94"/>
      <c r="W1426" s="94"/>
      <c r="X1426" s="94"/>
      <c r="Y1426" s="94"/>
      <c r="Z1426" s="94"/>
      <c r="AA1426" s="94"/>
      <c r="AB1426" s="94"/>
      <c r="AC1426" s="94"/>
      <c r="AD1426" s="94"/>
      <c r="AE1426" s="94"/>
      <c r="AF1426" s="94"/>
      <c r="AG1426" s="94"/>
      <c r="AH1426" s="94"/>
      <c r="AI1426" s="94"/>
      <c r="AJ1426" s="94"/>
      <c r="AK1426" s="94"/>
      <c r="AL1426" s="94"/>
      <c r="AM1426" s="94"/>
      <c r="AN1426" s="94"/>
      <c r="AO1426" s="94"/>
      <c r="AP1426" s="94"/>
      <c r="AQ1426" s="94"/>
      <c r="AR1426" s="94"/>
      <c r="AS1426" s="94"/>
      <c r="AT1426" s="94"/>
      <c r="AU1426" s="94"/>
      <c r="AV1426" s="94"/>
      <c r="AW1426" s="94"/>
      <c r="AX1426" s="94"/>
      <c r="AY1426" s="94"/>
      <c r="AZ1426" s="94"/>
      <c r="BA1426" s="94"/>
      <c r="BB1426" s="94"/>
      <c r="BC1426" s="94"/>
      <c r="BD1426" s="94"/>
      <c r="BE1426" s="94"/>
      <c r="BF1426" s="94"/>
    </row>
    <row r="1427" spans="1:58" x14ac:dyDescent="0.35">
      <c r="A1427" s="107" t="s">
        <v>3220</v>
      </c>
      <c r="B1427" s="108" t="s">
        <v>0</v>
      </c>
      <c r="C1427" s="109">
        <v>7</v>
      </c>
      <c r="D1427" s="107" t="s">
        <v>1223</v>
      </c>
      <c r="E1427" s="109"/>
      <c r="F1427" s="94"/>
      <c r="G1427" s="94"/>
      <c r="H1427" s="94"/>
      <c r="I1427" s="94"/>
      <c r="J1427" s="94"/>
      <c r="K1427" s="94"/>
      <c r="L1427" s="94"/>
      <c r="M1427" s="94"/>
      <c r="N1427" s="94"/>
      <c r="O1427" s="94"/>
      <c r="P1427" s="94"/>
      <c r="Q1427" s="94"/>
      <c r="R1427" s="94"/>
      <c r="S1427" s="94"/>
      <c r="T1427" s="94"/>
      <c r="U1427" s="94"/>
      <c r="V1427" s="94"/>
      <c r="W1427" s="94"/>
      <c r="X1427" s="94"/>
      <c r="Y1427" s="94"/>
      <c r="Z1427" s="94"/>
      <c r="AA1427" s="94"/>
      <c r="AB1427" s="94"/>
      <c r="AC1427" s="94"/>
      <c r="AD1427" s="94"/>
      <c r="AE1427" s="94"/>
      <c r="AF1427" s="94"/>
      <c r="AG1427" s="94"/>
      <c r="AH1427" s="94"/>
      <c r="AI1427" s="94"/>
      <c r="AJ1427" s="94"/>
      <c r="AK1427" s="94"/>
      <c r="AL1427" s="94"/>
      <c r="AM1427" s="94"/>
      <c r="AN1427" s="94"/>
      <c r="AO1427" s="94"/>
      <c r="AP1427" s="94"/>
      <c r="AQ1427" s="94"/>
      <c r="AR1427" s="94"/>
      <c r="AS1427" s="94"/>
      <c r="AT1427" s="94"/>
      <c r="AU1427" s="94"/>
      <c r="AV1427" s="94"/>
      <c r="AW1427" s="94"/>
      <c r="AX1427" s="94"/>
      <c r="AY1427" s="94"/>
      <c r="AZ1427" s="94"/>
      <c r="BA1427" s="94"/>
      <c r="BB1427" s="94"/>
      <c r="BC1427" s="94"/>
      <c r="BD1427" s="94"/>
      <c r="BE1427" s="94"/>
      <c r="BF1427" s="94"/>
    </row>
    <row r="1428" spans="1:58" x14ac:dyDescent="0.35">
      <c r="A1428" s="107" t="s">
        <v>3221</v>
      </c>
      <c r="B1428" s="108" t="s">
        <v>0</v>
      </c>
      <c r="C1428" s="109">
        <v>7</v>
      </c>
      <c r="D1428" s="107" t="s">
        <v>1224</v>
      </c>
      <c r="E1428" s="109"/>
      <c r="F1428" s="94"/>
      <c r="G1428" s="94"/>
      <c r="H1428" s="94"/>
      <c r="I1428" s="94"/>
      <c r="J1428" s="94"/>
      <c r="K1428" s="94"/>
      <c r="L1428" s="94"/>
      <c r="M1428" s="94"/>
      <c r="N1428" s="94"/>
      <c r="O1428" s="94"/>
      <c r="P1428" s="94"/>
      <c r="Q1428" s="94"/>
      <c r="R1428" s="94"/>
      <c r="S1428" s="94"/>
      <c r="T1428" s="94"/>
      <c r="U1428" s="94"/>
      <c r="V1428" s="94"/>
      <c r="W1428" s="94"/>
      <c r="X1428" s="94"/>
      <c r="Y1428" s="94"/>
      <c r="Z1428" s="94"/>
      <c r="AA1428" s="94"/>
      <c r="AB1428" s="94"/>
      <c r="AC1428" s="94"/>
      <c r="AD1428" s="94"/>
      <c r="AE1428" s="94"/>
      <c r="AF1428" s="94"/>
      <c r="AG1428" s="94"/>
      <c r="AH1428" s="94"/>
      <c r="AI1428" s="94"/>
      <c r="AJ1428" s="94"/>
      <c r="AK1428" s="94"/>
      <c r="AL1428" s="94"/>
      <c r="AM1428" s="94"/>
      <c r="AN1428" s="94"/>
      <c r="AO1428" s="94"/>
      <c r="AP1428" s="94"/>
      <c r="AQ1428" s="94"/>
      <c r="AR1428" s="94"/>
      <c r="AS1428" s="94"/>
      <c r="AT1428" s="94"/>
      <c r="AU1428" s="94"/>
      <c r="AV1428" s="94"/>
      <c r="AW1428" s="94"/>
      <c r="AX1428" s="94"/>
      <c r="AY1428" s="94"/>
      <c r="AZ1428" s="94"/>
      <c r="BA1428" s="94"/>
      <c r="BB1428" s="94"/>
      <c r="BC1428" s="94"/>
      <c r="BD1428" s="94"/>
      <c r="BE1428" s="94"/>
      <c r="BF1428" s="94"/>
    </row>
    <row r="1429" spans="1:58" x14ac:dyDescent="0.35">
      <c r="A1429" s="104" t="s">
        <v>3222</v>
      </c>
      <c r="B1429" s="105" t="s">
        <v>0</v>
      </c>
      <c r="C1429" s="106">
        <v>6</v>
      </c>
      <c r="D1429" s="104" t="s">
        <v>16</v>
      </c>
      <c r="E1429" s="106"/>
      <c r="F1429" s="94"/>
      <c r="G1429" s="94"/>
      <c r="H1429" s="94"/>
      <c r="I1429" s="94"/>
      <c r="J1429" s="94"/>
      <c r="K1429" s="94"/>
      <c r="L1429" s="94"/>
      <c r="M1429" s="94"/>
      <c r="N1429" s="94"/>
      <c r="O1429" s="94"/>
      <c r="P1429" s="94"/>
      <c r="Q1429" s="94"/>
      <c r="R1429" s="94"/>
      <c r="S1429" s="94"/>
      <c r="T1429" s="94"/>
      <c r="U1429" s="94"/>
      <c r="V1429" s="94"/>
      <c r="W1429" s="94"/>
      <c r="X1429" s="94"/>
      <c r="Y1429" s="94"/>
      <c r="Z1429" s="94"/>
      <c r="AA1429" s="94"/>
      <c r="AB1429" s="94"/>
      <c r="AC1429" s="94"/>
      <c r="AD1429" s="94"/>
      <c r="AE1429" s="94"/>
      <c r="AF1429" s="94"/>
      <c r="AG1429" s="94"/>
      <c r="AH1429" s="94"/>
      <c r="AI1429" s="94"/>
      <c r="AJ1429" s="94"/>
      <c r="AK1429" s="94"/>
      <c r="AL1429" s="94"/>
      <c r="AM1429" s="94"/>
      <c r="AN1429" s="94"/>
      <c r="AO1429" s="94"/>
      <c r="AP1429" s="94"/>
      <c r="AQ1429" s="94"/>
      <c r="AR1429" s="94"/>
      <c r="AS1429" s="94"/>
      <c r="AT1429" s="94"/>
      <c r="AU1429" s="94"/>
      <c r="AV1429" s="94"/>
      <c r="AW1429" s="94"/>
      <c r="AX1429" s="94"/>
      <c r="AY1429" s="94"/>
      <c r="AZ1429" s="94"/>
      <c r="BA1429" s="94"/>
      <c r="BB1429" s="94"/>
      <c r="BC1429" s="94"/>
      <c r="BD1429" s="94"/>
      <c r="BE1429" s="94"/>
      <c r="BF1429" s="94"/>
    </row>
    <row r="1430" spans="1:58" x14ac:dyDescent="0.35">
      <c r="A1430" s="107" t="s">
        <v>3223</v>
      </c>
      <c r="B1430" s="108" t="s">
        <v>0</v>
      </c>
      <c r="C1430" s="109">
        <v>7</v>
      </c>
      <c r="D1430" s="107" t="s">
        <v>1228</v>
      </c>
      <c r="E1430" s="109"/>
      <c r="F1430" s="94"/>
      <c r="G1430" s="94"/>
      <c r="H1430" s="94"/>
      <c r="I1430" s="94"/>
      <c r="J1430" s="94"/>
      <c r="K1430" s="94"/>
      <c r="L1430" s="94"/>
      <c r="M1430" s="94"/>
      <c r="N1430" s="94"/>
      <c r="O1430" s="94"/>
      <c r="P1430" s="94"/>
      <c r="Q1430" s="94"/>
      <c r="R1430" s="94"/>
      <c r="S1430" s="94"/>
      <c r="T1430" s="94"/>
      <c r="U1430" s="94"/>
      <c r="V1430" s="94"/>
      <c r="W1430" s="94"/>
      <c r="X1430" s="94"/>
      <c r="Y1430" s="94"/>
      <c r="Z1430" s="94"/>
      <c r="AA1430" s="94"/>
      <c r="AB1430" s="94"/>
      <c r="AC1430" s="94"/>
      <c r="AD1430" s="94"/>
      <c r="AE1430" s="94"/>
      <c r="AF1430" s="94"/>
      <c r="AG1430" s="94"/>
      <c r="AH1430" s="94"/>
      <c r="AI1430" s="94"/>
      <c r="AJ1430" s="94"/>
      <c r="AK1430" s="94"/>
      <c r="AL1430" s="94"/>
      <c r="AM1430" s="94"/>
      <c r="AN1430" s="94"/>
      <c r="AO1430" s="94"/>
      <c r="AP1430" s="94"/>
      <c r="AQ1430" s="94"/>
      <c r="AR1430" s="94"/>
      <c r="AS1430" s="94"/>
      <c r="AT1430" s="94"/>
      <c r="AU1430" s="94"/>
      <c r="AV1430" s="94"/>
      <c r="AW1430" s="94"/>
      <c r="AX1430" s="94"/>
      <c r="AY1430" s="94"/>
      <c r="AZ1430" s="94"/>
      <c r="BA1430" s="94"/>
      <c r="BB1430" s="94"/>
      <c r="BC1430" s="94"/>
      <c r="BD1430" s="94"/>
      <c r="BE1430" s="94"/>
      <c r="BF1430" s="94"/>
    </row>
    <row r="1431" spans="1:58" x14ac:dyDescent="0.35">
      <c r="A1431" s="104" t="s">
        <v>3224</v>
      </c>
      <c r="B1431" s="105" t="s">
        <v>0</v>
      </c>
      <c r="C1431" s="106">
        <v>6</v>
      </c>
      <c r="D1431" s="104" t="s">
        <v>122</v>
      </c>
      <c r="E1431" s="106"/>
      <c r="F1431" s="94"/>
      <c r="G1431" s="94"/>
      <c r="H1431" s="94"/>
      <c r="I1431" s="94"/>
      <c r="J1431" s="94"/>
      <c r="K1431" s="94"/>
      <c r="L1431" s="94"/>
      <c r="M1431" s="94"/>
      <c r="N1431" s="94"/>
      <c r="O1431" s="94"/>
      <c r="P1431" s="94"/>
      <c r="Q1431" s="94"/>
      <c r="R1431" s="94"/>
      <c r="S1431" s="94"/>
      <c r="T1431" s="94"/>
      <c r="U1431" s="94"/>
      <c r="V1431" s="94"/>
      <c r="W1431" s="94"/>
      <c r="X1431" s="94"/>
      <c r="Y1431" s="94"/>
      <c r="Z1431" s="94"/>
      <c r="AA1431" s="94"/>
      <c r="AB1431" s="94"/>
      <c r="AC1431" s="94"/>
      <c r="AD1431" s="94"/>
      <c r="AE1431" s="94"/>
      <c r="AF1431" s="94"/>
      <c r="AG1431" s="94"/>
      <c r="AH1431" s="94"/>
      <c r="AI1431" s="94"/>
      <c r="AJ1431" s="94"/>
      <c r="AK1431" s="94"/>
      <c r="AL1431" s="94"/>
      <c r="AM1431" s="94"/>
      <c r="AN1431" s="94"/>
      <c r="AO1431" s="94"/>
      <c r="AP1431" s="94"/>
      <c r="AQ1431" s="94"/>
      <c r="AR1431" s="94"/>
      <c r="AS1431" s="94"/>
      <c r="AT1431" s="94"/>
      <c r="AU1431" s="94"/>
      <c r="AV1431" s="94"/>
      <c r="AW1431" s="94"/>
      <c r="AX1431" s="94"/>
      <c r="AY1431" s="94"/>
      <c r="AZ1431" s="94"/>
      <c r="BA1431" s="94"/>
      <c r="BB1431" s="94"/>
      <c r="BC1431" s="94"/>
      <c r="BD1431" s="94"/>
      <c r="BE1431" s="94"/>
      <c r="BF1431" s="94"/>
    </row>
    <row r="1432" spans="1:58" x14ac:dyDescent="0.35">
      <c r="A1432" s="107" t="s">
        <v>3225</v>
      </c>
      <c r="B1432" s="108" t="s">
        <v>0</v>
      </c>
      <c r="C1432" s="109">
        <v>7</v>
      </c>
      <c r="D1432" s="107" t="s">
        <v>1222</v>
      </c>
      <c r="E1432" s="109"/>
      <c r="F1432" s="94"/>
      <c r="G1432" s="94"/>
      <c r="H1432" s="94"/>
      <c r="I1432" s="94"/>
      <c r="J1432" s="94"/>
      <c r="K1432" s="94"/>
      <c r="L1432" s="94"/>
      <c r="M1432" s="94"/>
      <c r="N1432" s="94"/>
      <c r="O1432" s="94"/>
      <c r="P1432" s="94"/>
      <c r="Q1432" s="94"/>
      <c r="R1432" s="94"/>
      <c r="S1432" s="94"/>
      <c r="T1432" s="94"/>
      <c r="U1432" s="94"/>
      <c r="V1432" s="94"/>
      <c r="W1432" s="94"/>
      <c r="X1432" s="94"/>
      <c r="Y1432" s="94"/>
      <c r="Z1432" s="94"/>
      <c r="AA1432" s="94"/>
      <c r="AB1432" s="94"/>
      <c r="AC1432" s="94"/>
      <c r="AD1432" s="94"/>
      <c r="AE1432" s="94"/>
      <c r="AF1432" s="94"/>
      <c r="AG1432" s="94"/>
      <c r="AH1432" s="94"/>
      <c r="AI1432" s="94"/>
      <c r="AJ1432" s="94"/>
      <c r="AK1432" s="94"/>
      <c r="AL1432" s="94"/>
      <c r="AM1432" s="94"/>
      <c r="AN1432" s="94"/>
      <c r="AO1432" s="94"/>
      <c r="AP1432" s="94"/>
      <c r="AQ1432" s="94"/>
      <c r="AR1432" s="94"/>
      <c r="AS1432" s="94"/>
      <c r="AT1432" s="94"/>
      <c r="AU1432" s="94"/>
      <c r="AV1432" s="94"/>
      <c r="AW1432" s="94"/>
      <c r="AX1432" s="94"/>
      <c r="AY1432" s="94"/>
      <c r="AZ1432" s="94"/>
      <c r="BA1432" s="94"/>
      <c r="BB1432" s="94"/>
      <c r="BC1432" s="94"/>
      <c r="BD1432" s="94"/>
      <c r="BE1432" s="94"/>
      <c r="BF1432" s="94"/>
    </row>
    <row r="1433" spans="1:58" x14ac:dyDescent="0.35">
      <c r="A1433" s="107" t="s">
        <v>3226</v>
      </c>
      <c r="B1433" s="108" t="s">
        <v>0</v>
      </c>
      <c r="C1433" s="109">
        <v>7</v>
      </c>
      <c r="D1433" s="107" t="s">
        <v>1229</v>
      </c>
      <c r="E1433" s="109"/>
      <c r="F1433" s="94"/>
      <c r="G1433" s="94"/>
      <c r="H1433" s="94"/>
      <c r="I1433" s="94"/>
      <c r="J1433" s="94"/>
      <c r="K1433" s="94"/>
      <c r="L1433" s="94"/>
      <c r="M1433" s="94"/>
      <c r="N1433" s="94"/>
      <c r="O1433" s="94"/>
      <c r="P1433" s="94"/>
      <c r="Q1433" s="94"/>
      <c r="R1433" s="94"/>
      <c r="S1433" s="94"/>
      <c r="T1433" s="94"/>
      <c r="U1433" s="94"/>
      <c r="V1433" s="94"/>
      <c r="W1433" s="94"/>
      <c r="X1433" s="94"/>
      <c r="Y1433" s="94"/>
      <c r="Z1433" s="94"/>
      <c r="AA1433" s="94"/>
      <c r="AB1433" s="94"/>
      <c r="AC1433" s="94"/>
      <c r="AD1433" s="94"/>
      <c r="AE1433" s="94"/>
      <c r="AF1433" s="94"/>
      <c r="AG1433" s="94"/>
      <c r="AH1433" s="94"/>
      <c r="AI1433" s="94"/>
      <c r="AJ1433" s="94"/>
      <c r="AK1433" s="94"/>
      <c r="AL1433" s="94"/>
      <c r="AM1433" s="94"/>
      <c r="AN1433" s="94"/>
      <c r="AO1433" s="94"/>
      <c r="AP1433" s="94"/>
      <c r="AQ1433" s="94"/>
      <c r="AR1433" s="94"/>
      <c r="AS1433" s="94"/>
      <c r="AT1433" s="94"/>
      <c r="AU1433" s="94"/>
      <c r="AV1433" s="94"/>
      <c r="AW1433" s="94"/>
      <c r="AX1433" s="94"/>
      <c r="AY1433" s="94"/>
      <c r="AZ1433" s="94"/>
      <c r="BA1433" s="94"/>
      <c r="BB1433" s="94"/>
      <c r="BC1433" s="94"/>
      <c r="BD1433" s="94"/>
      <c r="BE1433" s="94"/>
      <c r="BF1433" s="94"/>
    </row>
    <row r="1434" spans="1:58" x14ac:dyDescent="0.35">
      <c r="A1434" s="107" t="s">
        <v>3227</v>
      </c>
      <c r="B1434" s="108" t="s">
        <v>0</v>
      </c>
      <c r="C1434" s="109">
        <v>7</v>
      </c>
      <c r="D1434" s="107" t="s">
        <v>1230</v>
      </c>
      <c r="E1434" s="109"/>
      <c r="F1434" s="94"/>
      <c r="G1434" s="94"/>
      <c r="H1434" s="94"/>
      <c r="I1434" s="94"/>
      <c r="J1434" s="94"/>
      <c r="K1434" s="94"/>
      <c r="L1434" s="94"/>
      <c r="M1434" s="94"/>
      <c r="N1434" s="94"/>
      <c r="O1434" s="94"/>
      <c r="P1434" s="94"/>
      <c r="Q1434" s="94"/>
      <c r="R1434" s="94"/>
      <c r="S1434" s="94"/>
      <c r="T1434" s="94"/>
      <c r="U1434" s="94"/>
      <c r="V1434" s="94"/>
      <c r="W1434" s="94"/>
      <c r="X1434" s="94"/>
      <c r="Y1434" s="94"/>
      <c r="Z1434" s="94"/>
      <c r="AA1434" s="94"/>
      <c r="AB1434" s="94"/>
      <c r="AC1434" s="94"/>
      <c r="AD1434" s="94"/>
      <c r="AE1434" s="94"/>
      <c r="AF1434" s="94"/>
      <c r="AG1434" s="94"/>
      <c r="AH1434" s="94"/>
      <c r="AI1434" s="94"/>
      <c r="AJ1434" s="94"/>
      <c r="AK1434" s="94"/>
      <c r="AL1434" s="94"/>
      <c r="AM1434" s="94"/>
      <c r="AN1434" s="94"/>
      <c r="AO1434" s="94"/>
      <c r="AP1434" s="94"/>
      <c r="AQ1434" s="94"/>
      <c r="AR1434" s="94"/>
      <c r="AS1434" s="94"/>
      <c r="AT1434" s="94"/>
      <c r="AU1434" s="94"/>
      <c r="AV1434" s="94"/>
      <c r="AW1434" s="94"/>
      <c r="AX1434" s="94"/>
      <c r="AY1434" s="94"/>
      <c r="AZ1434" s="94"/>
      <c r="BA1434" s="94"/>
      <c r="BB1434" s="94"/>
      <c r="BC1434" s="94"/>
      <c r="BD1434" s="94"/>
      <c r="BE1434" s="94"/>
      <c r="BF1434" s="94"/>
    </row>
    <row r="1435" spans="1:58" x14ac:dyDescent="0.35">
      <c r="A1435" s="101" t="s">
        <v>3228</v>
      </c>
      <c r="B1435" s="102" t="s">
        <v>0</v>
      </c>
      <c r="C1435" s="103">
        <v>5</v>
      </c>
      <c r="D1435" s="101" t="s">
        <v>609</v>
      </c>
      <c r="E1435" s="103" t="s">
        <v>256</v>
      </c>
      <c r="F1435" s="94"/>
      <c r="G1435" s="94"/>
      <c r="H1435" s="94"/>
      <c r="I1435" s="94"/>
      <c r="J1435" s="94"/>
      <c r="K1435" s="94"/>
      <c r="L1435" s="94"/>
      <c r="M1435" s="94"/>
      <c r="N1435" s="94"/>
      <c r="O1435" s="94"/>
      <c r="P1435" s="94"/>
      <c r="Q1435" s="94"/>
      <c r="R1435" s="94"/>
      <c r="S1435" s="94"/>
      <c r="T1435" s="94"/>
      <c r="U1435" s="94"/>
      <c r="V1435" s="94"/>
      <c r="W1435" s="94"/>
      <c r="X1435" s="94"/>
      <c r="Y1435" s="94"/>
      <c r="Z1435" s="94"/>
      <c r="AA1435" s="94"/>
      <c r="AB1435" s="94"/>
      <c r="AC1435" s="94"/>
      <c r="AD1435" s="94"/>
      <c r="AE1435" s="94"/>
      <c r="AF1435" s="94"/>
      <c r="AG1435" s="94"/>
      <c r="AH1435" s="94"/>
      <c r="AI1435" s="94"/>
      <c r="AJ1435" s="94"/>
      <c r="AK1435" s="94"/>
      <c r="AL1435" s="94"/>
      <c r="AM1435" s="94"/>
      <c r="AN1435" s="94"/>
      <c r="AO1435" s="94"/>
      <c r="AP1435" s="94"/>
      <c r="AQ1435" s="94"/>
      <c r="AR1435" s="94"/>
      <c r="AS1435" s="94"/>
      <c r="AT1435" s="94"/>
      <c r="AU1435" s="94"/>
      <c r="AV1435" s="94"/>
      <c r="AW1435" s="94"/>
      <c r="AX1435" s="94"/>
      <c r="AY1435" s="94"/>
      <c r="AZ1435" s="94"/>
      <c r="BA1435" s="94"/>
      <c r="BB1435" s="94"/>
      <c r="BC1435" s="94"/>
      <c r="BD1435" s="94"/>
      <c r="BE1435" s="94"/>
      <c r="BF1435" s="94"/>
    </row>
    <row r="1436" spans="1:58" x14ac:dyDescent="0.35">
      <c r="A1436" s="104" t="s">
        <v>3229</v>
      </c>
      <c r="B1436" s="105" t="s">
        <v>0</v>
      </c>
      <c r="C1436" s="106">
        <v>6</v>
      </c>
      <c r="D1436" s="104" t="s">
        <v>123</v>
      </c>
      <c r="E1436" s="106"/>
      <c r="F1436" s="94"/>
      <c r="G1436" s="94"/>
      <c r="H1436" s="94"/>
      <c r="I1436" s="94"/>
      <c r="J1436" s="94"/>
      <c r="K1436" s="94"/>
      <c r="L1436" s="94"/>
      <c r="M1436" s="94"/>
      <c r="N1436" s="94"/>
      <c r="O1436" s="94"/>
      <c r="P1436" s="94"/>
      <c r="Q1436" s="94"/>
      <c r="R1436" s="94"/>
      <c r="S1436" s="94"/>
      <c r="T1436" s="94"/>
      <c r="U1436" s="94"/>
      <c r="V1436" s="94"/>
      <c r="W1436" s="94"/>
      <c r="X1436" s="94"/>
      <c r="Y1436" s="94"/>
      <c r="Z1436" s="94"/>
      <c r="AA1436" s="94"/>
      <c r="AB1436" s="94"/>
      <c r="AC1436" s="94"/>
      <c r="AD1436" s="94"/>
      <c r="AE1436" s="94"/>
      <c r="AF1436" s="94"/>
      <c r="AG1436" s="94"/>
      <c r="AH1436" s="94"/>
      <c r="AI1436" s="94"/>
      <c r="AJ1436" s="94"/>
      <c r="AK1436" s="94"/>
      <c r="AL1436" s="94"/>
      <c r="AM1436" s="94"/>
      <c r="AN1436" s="94"/>
      <c r="AO1436" s="94"/>
      <c r="AP1436" s="94"/>
      <c r="AQ1436" s="94"/>
      <c r="AR1436" s="94"/>
      <c r="AS1436" s="94"/>
      <c r="AT1436" s="94"/>
      <c r="AU1436" s="94"/>
      <c r="AV1436" s="94"/>
      <c r="AW1436" s="94"/>
      <c r="AX1436" s="94"/>
      <c r="AY1436" s="94"/>
      <c r="AZ1436" s="94"/>
      <c r="BA1436" s="94"/>
      <c r="BB1436" s="94"/>
      <c r="BC1436" s="94"/>
      <c r="BD1436" s="94"/>
      <c r="BE1436" s="94"/>
      <c r="BF1436" s="94"/>
    </row>
    <row r="1437" spans="1:58" x14ac:dyDescent="0.35">
      <c r="A1437" s="107" t="s">
        <v>3230</v>
      </c>
      <c r="B1437" s="108" t="s">
        <v>0</v>
      </c>
      <c r="C1437" s="109">
        <v>7</v>
      </c>
      <c r="D1437" s="107" t="s">
        <v>1664</v>
      </c>
      <c r="E1437" s="109"/>
      <c r="F1437" s="94"/>
      <c r="G1437" s="94"/>
      <c r="H1437" s="94"/>
      <c r="I1437" s="94"/>
      <c r="J1437" s="94"/>
      <c r="K1437" s="94"/>
      <c r="L1437" s="94"/>
      <c r="M1437" s="94"/>
      <c r="N1437" s="94"/>
      <c r="O1437" s="94"/>
      <c r="P1437" s="94"/>
      <c r="Q1437" s="94"/>
      <c r="R1437" s="94"/>
      <c r="S1437" s="94"/>
      <c r="T1437" s="94"/>
      <c r="U1437" s="94"/>
      <c r="V1437" s="94"/>
      <c r="W1437" s="94"/>
      <c r="X1437" s="94"/>
      <c r="Y1437" s="94"/>
      <c r="Z1437" s="94"/>
      <c r="AA1437" s="94"/>
      <c r="AB1437" s="94"/>
      <c r="AC1437" s="94"/>
      <c r="AD1437" s="94"/>
      <c r="AE1437" s="94"/>
      <c r="AF1437" s="94"/>
      <c r="AG1437" s="94"/>
      <c r="AH1437" s="94"/>
      <c r="AI1437" s="94"/>
      <c r="AJ1437" s="94"/>
      <c r="AK1437" s="94"/>
      <c r="AL1437" s="94"/>
      <c r="AM1437" s="94"/>
      <c r="AN1437" s="94"/>
      <c r="AO1437" s="94"/>
      <c r="AP1437" s="94"/>
      <c r="AQ1437" s="94"/>
      <c r="AR1437" s="94"/>
      <c r="AS1437" s="94"/>
      <c r="AT1437" s="94"/>
      <c r="AU1437" s="94"/>
      <c r="AV1437" s="94"/>
      <c r="AW1437" s="94"/>
      <c r="AX1437" s="94"/>
      <c r="AY1437" s="94"/>
      <c r="AZ1437" s="94"/>
      <c r="BA1437" s="94"/>
      <c r="BB1437" s="94"/>
      <c r="BC1437" s="94"/>
      <c r="BD1437" s="94"/>
      <c r="BE1437" s="94"/>
      <c r="BF1437" s="94"/>
    </row>
    <row r="1438" spans="1:58" x14ac:dyDescent="0.35">
      <c r="A1438" s="101" t="s">
        <v>3231</v>
      </c>
      <c r="B1438" s="102" t="s">
        <v>0</v>
      </c>
      <c r="C1438" s="103">
        <v>5</v>
      </c>
      <c r="D1438" s="101" t="s">
        <v>603</v>
      </c>
      <c r="E1438" s="103" t="s">
        <v>257</v>
      </c>
      <c r="F1438" s="94"/>
      <c r="G1438" s="94"/>
      <c r="H1438" s="94"/>
      <c r="I1438" s="94"/>
      <c r="J1438" s="94"/>
      <c r="K1438" s="94"/>
      <c r="L1438" s="94"/>
      <c r="M1438" s="94"/>
      <c r="N1438" s="94"/>
      <c r="O1438" s="94"/>
      <c r="P1438" s="94"/>
      <c r="Q1438" s="94"/>
      <c r="R1438" s="94"/>
      <c r="S1438" s="94"/>
      <c r="T1438" s="94"/>
      <c r="U1438" s="94"/>
      <c r="V1438" s="94"/>
      <c r="W1438" s="94"/>
      <c r="X1438" s="94"/>
      <c r="Y1438" s="94"/>
      <c r="Z1438" s="94"/>
      <c r="AA1438" s="94"/>
      <c r="AB1438" s="94"/>
      <c r="AC1438" s="94"/>
      <c r="AD1438" s="94"/>
      <c r="AE1438" s="94"/>
      <c r="AF1438" s="94"/>
      <c r="AG1438" s="94"/>
      <c r="AH1438" s="94"/>
      <c r="AI1438" s="94"/>
      <c r="AJ1438" s="94"/>
      <c r="AK1438" s="94"/>
      <c r="AL1438" s="94"/>
      <c r="AM1438" s="94"/>
      <c r="AN1438" s="94"/>
      <c r="AO1438" s="94"/>
      <c r="AP1438" s="94"/>
      <c r="AQ1438" s="94"/>
      <c r="AR1438" s="94"/>
      <c r="AS1438" s="94"/>
      <c r="AT1438" s="94"/>
      <c r="AU1438" s="94"/>
      <c r="AV1438" s="94"/>
      <c r="AW1438" s="94"/>
      <c r="AX1438" s="94"/>
      <c r="AY1438" s="94"/>
      <c r="AZ1438" s="94"/>
      <c r="BA1438" s="94"/>
      <c r="BB1438" s="94"/>
      <c r="BC1438" s="94"/>
      <c r="BD1438" s="94"/>
      <c r="BE1438" s="94"/>
      <c r="BF1438" s="94"/>
    </row>
    <row r="1439" spans="1:58" x14ac:dyDescent="0.35">
      <c r="A1439" s="104" t="s">
        <v>3232</v>
      </c>
      <c r="B1439" s="105" t="s">
        <v>0</v>
      </c>
      <c r="C1439" s="106">
        <v>6</v>
      </c>
      <c r="D1439" s="104" t="s">
        <v>16</v>
      </c>
      <c r="E1439" s="106"/>
      <c r="F1439" s="94"/>
      <c r="G1439" s="94"/>
      <c r="H1439" s="94"/>
      <c r="I1439" s="94"/>
      <c r="J1439" s="94"/>
      <c r="K1439" s="94"/>
      <c r="L1439" s="94"/>
      <c r="M1439" s="94"/>
      <c r="N1439" s="94"/>
      <c r="O1439" s="94"/>
      <c r="P1439" s="94"/>
      <c r="Q1439" s="94"/>
      <c r="R1439" s="94"/>
      <c r="S1439" s="94"/>
      <c r="T1439" s="94"/>
      <c r="U1439" s="94"/>
      <c r="V1439" s="94"/>
      <c r="W1439" s="94"/>
      <c r="X1439" s="94"/>
      <c r="Y1439" s="94"/>
      <c r="Z1439" s="94"/>
      <c r="AA1439" s="94"/>
      <c r="AB1439" s="94"/>
      <c r="AC1439" s="94"/>
      <c r="AD1439" s="94"/>
      <c r="AE1439" s="94"/>
      <c r="AF1439" s="94"/>
      <c r="AG1439" s="94"/>
      <c r="AH1439" s="94"/>
      <c r="AI1439" s="94"/>
      <c r="AJ1439" s="94"/>
      <c r="AK1439" s="94"/>
      <c r="AL1439" s="94"/>
      <c r="AM1439" s="94"/>
      <c r="AN1439" s="94"/>
      <c r="AO1439" s="94"/>
      <c r="AP1439" s="94"/>
      <c r="AQ1439" s="94"/>
      <c r="AR1439" s="94"/>
      <c r="AS1439" s="94"/>
      <c r="AT1439" s="94"/>
      <c r="AU1439" s="94"/>
      <c r="AV1439" s="94"/>
      <c r="AW1439" s="94"/>
      <c r="AX1439" s="94"/>
      <c r="AY1439" s="94"/>
      <c r="AZ1439" s="94"/>
      <c r="BA1439" s="94"/>
      <c r="BB1439" s="94"/>
      <c r="BC1439" s="94"/>
      <c r="BD1439" s="94"/>
      <c r="BE1439" s="94"/>
      <c r="BF1439" s="94"/>
    </row>
    <row r="1440" spans="1:58" x14ac:dyDescent="0.35">
      <c r="A1440" s="107" t="s">
        <v>3233</v>
      </c>
      <c r="B1440" s="108" t="s">
        <v>0</v>
      </c>
      <c r="C1440" s="109">
        <v>7</v>
      </c>
      <c r="D1440" s="107" t="s">
        <v>629</v>
      </c>
      <c r="E1440" s="109" t="s">
        <v>258</v>
      </c>
      <c r="F1440" s="94"/>
      <c r="G1440" s="94"/>
      <c r="H1440" s="94"/>
      <c r="I1440" s="94"/>
      <c r="J1440" s="94"/>
      <c r="K1440" s="94"/>
      <c r="L1440" s="94"/>
      <c r="M1440" s="94"/>
      <c r="N1440" s="94"/>
      <c r="O1440" s="94"/>
      <c r="P1440" s="94"/>
      <c r="Q1440" s="94"/>
      <c r="R1440" s="94"/>
      <c r="S1440" s="94"/>
      <c r="T1440" s="94"/>
      <c r="U1440" s="94"/>
      <c r="V1440" s="94"/>
      <c r="W1440" s="94"/>
      <c r="X1440" s="94"/>
      <c r="Y1440" s="94"/>
      <c r="Z1440" s="94"/>
      <c r="AA1440" s="94"/>
      <c r="AB1440" s="94"/>
      <c r="AC1440" s="94"/>
      <c r="AD1440" s="94"/>
      <c r="AE1440" s="94"/>
      <c r="AF1440" s="94"/>
      <c r="AG1440" s="94"/>
      <c r="AH1440" s="94"/>
      <c r="AI1440" s="94"/>
      <c r="AJ1440" s="94"/>
      <c r="AK1440" s="94"/>
      <c r="AL1440" s="94"/>
      <c r="AM1440" s="94"/>
      <c r="AN1440" s="94"/>
      <c r="AO1440" s="94"/>
      <c r="AP1440" s="94"/>
      <c r="AQ1440" s="94"/>
      <c r="AR1440" s="94"/>
      <c r="AS1440" s="94"/>
      <c r="AT1440" s="94"/>
      <c r="AU1440" s="94"/>
      <c r="AV1440" s="94"/>
      <c r="AW1440" s="94"/>
      <c r="AX1440" s="94"/>
      <c r="AY1440" s="94"/>
      <c r="AZ1440" s="94"/>
      <c r="BA1440" s="94"/>
      <c r="BB1440" s="94"/>
      <c r="BC1440" s="94"/>
      <c r="BD1440" s="94"/>
      <c r="BE1440" s="94"/>
      <c r="BF1440" s="94"/>
    </row>
    <row r="1441" spans="1:58" x14ac:dyDescent="0.35">
      <c r="A1441" s="104" t="s">
        <v>3234</v>
      </c>
      <c r="B1441" s="105" t="s">
        <v>0</v>
      </c>
      <c r="C1441" s="106">
        <v>6</v>
      </c>
      <c r="D1441" s="104" t="s">
        <v>123</v>
      </c>
      <c r="E1441" s="106"/>
      <c r="F1441" s="94"/>
      <c r="G1441" s="94"/>
      <c r="H1441" s="94"/>
      <c r="I1441" s="94"/>
      <c r="J1441" s="94"/>
      <c r="K1441" s="94"/>
      <c r="L1441" s="94"/>
      <c r="M1441" s="94"/>
      <c r="N1441" s="94"/>
      <c r="O1441" s="94"/>
      <c r="P1441" s="94"/>
      <c r="Q1441" s="94"/>
      <c r="R1441" s="94"/>
      <c r="S1441" s="94"/>
      <c r="T1441" s="94"/>
      <c r="U1441" s="94"/>
      <c r="V1441" s="94"/>
      <c r="W1441" s="94"/>
      <c r="X1441" s="94"/>
      <c r="Y1441" s="94"/>
      <c r="Z1441" s="94"/>
      <c r="AA1441" s="94"/>
      <c r="AB1441" s="94"/>
      <c r="AC1441" s="94"/>
      <c r="AD1441" s="94"/>
      <c r="AE1441" s="94"/>
      <c r="AF1441" s="94"/>
      <c r="AG1441" s="94"/>
      <c r="AH1441" s="94"/>
      <c r="AI1441" s="94"/>
      <c r="AJ1441" s="94"/>
      <c r="AK1441" s="94"/>
      <c r="AL1441" s="94"/>
      <c r="AM1441" s="94"/>
      <c r="AN1441" s="94"/>
      <c r="AO1441" s="94"/>
      <c r="AP1441" s="94"/>
      <c r="AQ1441" s="94"/>
      <c r="AR1441" s="94"/>
      <c r="AS1441" s="94"/>
      <c r="AT1441" s="94"/>
      <c r="AU1441" s="94"/>
      <c r="AV1441" s="94"/>
      <c r="AW1441" s="94"/>
      <c r="AX1441" s="94"/>
      <c r="AY1441" s="94"/>
      <c r="AZ1441" s="94"/>
      <c r="BA1441" s="94"/>
      <c r="BB1441" s="94"/>
      <c r="BC1441" s="94"/>
      <c r="BD1441" s="94"/>
      <c r="BE1441" s="94"/>
      <c r="BF1441" s="94"/>
    </row>
    <row r="1442" spans="1:58" x14ac:dyDescent="0.35">
      <c r="A1442" s="107" t="s">
        <v>3779</v>
      </c>
      <c r="B1442" s="108" t="s">
        <v>0</v>
      </c>
      <c r="C1442" s="109">
        <v>7</v>
      </c>
      <c r="D1442" s="107" t="s">
        <v>1654</v>
      </c>
      <c r="E1442" s="109"/>
      <c r="F1442" s="94"/>
      <c r="G1442" s="94"/>
      <c r="H1442" s="94"/>
      <c r="I1442" s="94"/>
      <c r="J1442" s="94"/>
      <c r="K1442" s="94"/>
      <c r="L1442" s="94"/>
      <c r="M1442" s="94"/>
      <c r="N1442" s="94"/>
      <c r="O1442" s="94"/>
      <c r="P1442" s="94"/>
      <c r="Q1442" s="94"/>
      <c r="R1442" s="94"/>
      <c r="S1442" s="94"/>
      <c r="T1442" s="94"/>
      <c r="U1442" s="94"/>
      <c r="V1442" s="94"/>
      <c r="W1442" s="94"/>
      <c r="X1442" s="94"/>
      <c r="Y1442" s="94"/>
      <c r="Z1442" s="94"/>
      <c r="AA1442" s="94"/>
      <c r="AB1442" s="94"/>
      <c r="AC1442" s="94"/>
      <c r="AD1442" s="94"/>
      <c r="AE1442" s="94"/>
      <c r="AF1442" s="94"/>
      <c r="AG1442" s="94"/>
      <c r="AH1442" s="94"/>
      <c r="AI1442" s="94"/>
      <c r="AJ1442" s="94"/>
      <c r="AK1442" s="94"/>
      <c r="AL1442" s="94"/>
      <c r="AM1442" s="94"/>
      <c r="AN1442" s="94"/>
      <c r="AO1442" s="94"/>
      <c r="AP1442" s="94"/>
      <c r="AQ1442" s="94"/>
      <c r="AR1442" s="94"/>
      <c r="AS1442" s="94"/>
      <c r="AT1442" s="94"/>
      <c r="AU1442" s="94"/>
      <c r="AV1442" s="94"/>
      <c r="AW1442" s="94"/>
      <c r="AX1442" s="94"/>
      <c r="AY1442" s="94"/>
      <c r="AZ1442" s="94"/>
      <c r="BA1442" s="94"/>
      <c r="BB1442" s="94"/>
      <c r="BC1442" s="94"/>
      <c r="BD1442" s="94"/>
      <c r="BE1442" s="94"/>
      <c r="BF1442" s="94"/>
    </row>
    <row r="1443" spans="1:58" x14ac:dyDescent="0.35">
      <c r="A1443" s="104" t="s">
        <v>3767</v>
      </c>
      <c r="B1443" s="105" t="s">
        <v>0</v>
      </c>
      <c r="C1443" s="106">
        <v>6</v>
      </c>
      <c r="D1443" s="104" t="s">
        <v>1665</v>
      </c>
      <c r="E1443" s="106"/>
      <c r="F1443" s="94"/>
      <c r="G1443" s="94"/>
      <c r="H1443" s="94"/>
      <c r="I1443" s="94"/>
      <c r="J1443" s="94"/>
      <c r="K1443" s="94"/>
      <c r="L1443" s="94"/>
      <c r="M1443" s="94"/>
      <c r="N1443" s="94"/>
      <c r="O1443" s="94"/>
      <c r="P1443" s="94"/>
      <c r="Q1443" s="94"/>
      <c r="R1443" s="94"/>
      <c r="S1443" s="94"/>
      <c r="T1443" s="94"/>
      <c r="U1443" s="94"/>
      <c r="V1443" s="94"/>
      <c r="W1443" s="94"/>
      <c r="X1443" s="94"/>
      <c r="Y1443" s="94"/>
      <c r="Z1443" s="94"/>
      <c r="AA1443" s="94"/>
      <c r="AB1443" s="94"/>
      <c r="AC1443" s="94"/>
      <c r="AD1443" s="94"/>
      <c r="AE1443" s="94"/>
      <c r="AF1443" s="94"/>
      <c r="AG1443" s="94"/>
      <c r="AH1443" s="94"/>
      <c r="AI1443" s="94"/>
      <c r="AJ1443" s="94"/>
      <c r="AK1443" s="94"/>
      <c r="AL1443" s="94"/>
      <c r="AM1443" s="94"/>
      <c r="AN1443" s="94"/>
      <c r="AO1443" s="94"/>
      <c r="AP1443" s="94"/>
      <c r="AQ1443" s="94"/>
      <c r="AR1443" s="94"/>
      <c r="AS1443" s="94"/>
      <c r="AT1443" s="94"/>
      <c r="AU1443" s="94"/>
      <c r="AV1443" s="94"/>
      <c r="AW1443" s="94"/>
      <c r="AX1443" s="94"/>
      <c r="AY1443" s="94"/>
      <c r="AZ1443" s="94"/>
      <c r="BA1443" s="94"/>
      <c r="BB1443" s="94"/>
      <c r="BC1443" s="94"/>
      <c r="BD1443" s="94"/>
      <c r="BE1443" s="94"/>
      <c r="BF1443" s="94"/>
    </row>
    <row r="1444" spans="1:58" x14ac:dyDescent="0.35">
      <c r="A1444" s="107" t="s">
        <v>3235</v>
      </c>
      <c r="B1444" s="108" t="s">
        <v>0</v>
      </c>
      <c r="C1444" s="109">
        <v>7</v>
      </c>
      <c r="D1444" s="107" t="s">
        <v>1660</v>
      </c>
      <c r="E1444" s="109" t="s">
        <v>1666</v>
      </c>
      <c r="F1444" s="94"/>
      <c r="G1444" s="94"/>
      <c r="H1444" s="94"/>
      <c r="I1444" s="94"/>
      <c r="J1444" s="94"/>
      <c r="K1444" s="94"/>
      <c r="L1444" s="94"/>
      <c r="M1444" s="94"/>
      <c r="N1444" s="94"/>
      <c r="O1444" s="94"/>
      <c r="P1444" s="94"/>
      <c r="Q1444" s="94"/>
      <c r="R1444" s="94"/>
      <c r="S1444" s="94"/>
      <c r="T1444" s="94"/>
      <c r="U1444" s="94"/>
      <c r="V1444" s="94"/>
      <c r="W1444" s="94"/>
      <c r="X1444" s="94"/>
      <c r="Y1444" s="94"/>
      <c r="Z1444" s="94"/>
      <c r="AA1444" s="94"/>
      <c r="AB1444" s="94"/>
      <c r="AC1444" s="94"/>
      <c r="AD1444" s="94"/>
      <c r="AE1444" s="94"/>
      <c r="AF1444" s="94"/>
      <c r="AG1444" s="94"/>
      <c r="AH1444" s="94"/>
      <c r="AI1444" s="94"/>
      <c r="AJ1444" s="94"/>
      <c r="AK1444" s="94"/>
      <c r="AL1444" s="94"/>
      <c r="AM1444" s="94"/>
      <c r="AN1444" s="94"/>
      <c r="AO1444" s="94"/>
      <c r="AP1444" s="94"/>
      <c r="AQ1444" s="94"/>
      <c r="AR1444" s="94"/>
      <c r="AS1444" s="94"/>
      <c r="AT1444" s="94"/>
      <c r="AU1444" s="94"/>
      <c r="AV1444" s="94"/>
      <c r="AW1444" s="94"/>
      <c r="AX1444" s="94"/>
      <c r="AY1444" s="94"/>
      <c r="AZ1444" s="94"/>
      <c r="BA1444" s="94"/>
      <c r="BB1444" s="94"/>
      <c r="BC1444" s="94"/>
      <c r="BD1444" s="94"/>
      <c r="BE1444" s="94"/>
      <c r="BF1444" s="94"/>
    </row>
    <row r="1445" spans="1:58" x14ac:dyDescent="0.35">
      <c r="A1445" s="101" t="s">
        <v>3236</v>
      </c>
      <c r="B1445" s="102" t="s">
        <v>0</v>
      </c>
      <c r="C1445" s="103">
        <v>5</v>
      </c>
      <c r="D1445" s="101" t="s">
        <v>603</v>
      </c>
      <c r="E1445" s="103" t="s">
        <v>259</v>
      </c>
      <c r="F1445" s="94"/>
      <c r="G1445" s="94"/>
      <c r="H1445" s="94"/>
      <c r="I1445" s="94"/>
      <c r="J1445" s="94"/>
      <c r="K1445" s="94"/>
      <c r="L1445" s="94"/>
      <c r="M1445" s="94"/>
      <c r="N1445" s="94"/>
      <c r="O1445" s="94"/>
      <c r="P1445" s="94"/>
      <c r="Q1445" s="94"/>
      <c r="R1445" s="94"/>
      <c r="S1445" s="94"/>
      <c r="T1445" s="94"/>
      <c r="U1445" s="94"/>
      <c r="V1445" s="94"/>
      <c r="W1445" s="94"/>
      <c r="X1445" s="94"/>
      <c r="Y1445" s="94"/>
      <c r="Z1445" s="94"/>
      <c r="AA1445" s="94"/>
      <c r="AB1445" s="94"/>
      <c r="AC1445" s="94"/>
      <c r="AD1445" s="94"/>
      <c r="AE1445" s="94"/>
      <c r="AF1445" s="94"/>
      <c r="AG1445" s="94"/>
      <c r="AH1445" s="94"/>
      <c r="AI1445" s="94"/>
      <c r="AJ1445" s="94"/>
      <c r="AK1445" s="94"/>
      <c r="AL1445" s="94"/>
      <c r="AM1445" s="94"/>
      <c r="AN1445" s="94"/>
      <c r="AO1445" s="94"/>
      <c r="AP1445" s="94"/>
      <c r="AQ1445" s="94"/>
      <c r="AR1445" s="94"/>
      <c r="AS1445" s="94"/>
      <c r="AT1445" s="94"/>
      <c r="AU1445" s="94"/>
      <c r="AV1445" s="94"/>
      <c r="AW1445" s="94"/>
      <c r="AX1445" s="94"/>
      <c r="AY1445" s="94"/>
      <c r="AZ1445" s="94"/>
      <c r="BA1445" s="94"/>
      <c r="BB1445" s="94"/>
      <c r="BC1445" s="94"/>
      <c r="BD1445" s="94"/>
      <c r="BE1445" s="94"/>
      <c r="BF1445" s="94"/>
    </row>
    <row r="1446" spans="1:58" x14ac:dyDescent="0.35">
      <c r="A1446" s="104" t="s">
        <v>3237</v>
      </c>
      <c r="B1446" s="105" t="s">
        <v>0</v>
      </c>
      <c r="C1446" s="106">
        <v>6</v>
      </c>
      <c r="D1446" s="104" t="s">
        <v>16</v>
      </c>
      <c r="E1446" s="106"/>
      <c r="F1446" s="94"/>
      <c r="G1446" s="94"/>
      <c r="H1446" s="94"/>
      <c r="I1446" s="94"/>
      <c r="J1446" s="94"/>
      <c r="K1446" s="94"/>
      <c r="L1446" s="94"/>
      <c r="M1446" s="94"/>
      <c r="N1446" s="94"/>
      <c r="O1446" s="94"/>
      <c r="P1446" s="94"/>
      <c r="Q1446" s="94"/>
      <c r="R1446" s="94"/>
      <c r="S1446" s="94"/>
      <c r="T1446" s="94"/>
      <c r="U1446" s="94"/>
      <c r="V1446" s="94"/>
      <c r="W1446" s="94"/>
      <c r="X1446" s="94"/>
      <c r="Y1446" s="94"/>
      <c r="Z1446" s="94"/>
      <c r="AA1446" s="94"/>
      <c r="AB1446" s="94"/>
      <c r="AC1446" s="94"/>
      <c r="AD1446" s="94"/>
      <c r="AE1446" s="94"/>
      <c r="AF1446" s="94"/>
      <c r="AG1446" s="94"/>
      <c r="AH1446" s="94"/>
      <c r="AI1446" s="94"/>
      <c r="AJ1446" s="94"/>
      <c r="AK1446" s="94"/>
      <c r="AL1446" s="94"/>
      <c r="AM1446" s="94"/>
      <c r="AN1446" s="94"/>
      <c r="AO1446" s="94"/>
      <c r="AP1446" s="94"/>
      <c r="AQ1446" s="94"/>
      <c r="AR1446" s="94"/>
      <c r="AS1446" s="94"/>
      <c r="AT1446" s="94"/>
      <c r="AU1446" s="94"/>
      <c r="AV1446" s="94"/>
      <c r="AW1446" s="94"/>
      <c r="AX1446" s="94"/>
      <c r="AY1446" s="94"/>
      <c r="AZ1446" s="94"/>
      <c r="BA1446" s="94"/>
      <c r="BB1446" s="94"/>
      <c r="BC1446" s="94"/>
      <c r="BD1446" s="94"/>
      <c r="BE1446" s="94"/>
      <c r="BF1446" s="94"/>
    </row>
    <row r="1447" spans="1:58" x14ac:dyDescent="0.35">
      <c r="A1447" s="107" t="s">
        <v>3238</v>
      </c>
      <c r="B1447" s="108" t="s">
        <v>0</v>
      </c>
      <c r="C1447" s="109">
        <v>7</v>
      </c>
      <c r="D1447" s="107" t="s">
        <v>629</v>
      </c>
      <c r="E1447" s="109" t="s">
        <v>260</v>
      </c>
      <c r="F1447" s="94"/>
      <c r="G1447" s="94"/>
      <c r="H1447" s="94"/>
      <c r="I1447" s="94"/>
      <c r="J1447" s="94"/>
      <c r="K1447" s="94"/>
      <c r="L1447" s="94"/>
      <c r="M1447" s="94"/>
      <c r="N1447" s="94"/>
      <c r="O1447" s="94"/>
      <c r="P1447" s="94"/>
      <c r="Q1447" s="94"/>
      <c r="R1447" s="94"/>
      <c r="S1447" s="94"/>
      <c r="T1447" s="94"/>
      <c r="U1447" s="94"/>
      <c r="V1447" s="94"/>
      <c r="W1447" s="94"/>
      <c r="X1447" s="94"/>
      <c r="Y1447" s="94"/>
      <c r="Z1447" s="94"/>
      <c r="AA1447" s="94"/>
      <c r="AB1447" s="94"/>
      <c r="AC1447" s="94"/>
      <c r="AD1447" s="94"/>
      <c r="AE1447" s="94"/>
      <c r="AF1447" s="94"/>
      <c r="AG1447" s="94"/>
      <c r="AH1447" s="94"/>
      <c r="AI1447" s="94"/>
      <c r="AJ1447" s="94"/>
      <c r="AK1447" s="94"/>
      <c r="AL1447" s="94"/>
      <c r="AM1447" s="94"/>
      <c r="AN1447" s="94"/>
      <c r="AO1447" s="94"/>
      <c r="AP1447" s="94"/>
      <c r="AQ1447" s="94"/>
      <c r="AR1447" s="94"/>
      <c r="AS1447" s="94"/>
      <c r="AT1447" s="94"/>
      <c r="AU1447" s="94"/>
      <c r="AV1447" s="94"/>
      <c r="AW1447" s="94"/>
      <c r="AX1447" s="94"/>
      <c r="AY1447" s="94"/>
      <c r="AZ1447" s="94"/>
      <c r="BA1447" s="94"/>
      <c r="BB1447" s="94"/>
      <c r="BC1447" s="94"/>
      <c r="BD1447" s="94"/>
      <c r="BE1447" s="94"/>
      <c r="BF1447" s="94"/>
    </row>
    <row r="1448" spans="1:58" x14ac:dyDescent="0.35">
      <c r="A1448" s="104" t="s">
        <v>3239</v>
      </c>
      <c r="B1448" s="105" t="s">
        <v>0</v>
      </c>
      <c r="C1448" s="106">
        <v>6</v>
      </c>
      <c r="D1448" s="104" t="s">
        <v>123</v>
      </c>
      <c r="E1448" s="106"/>
      <c r="F1448" s="94"/>
      <c r="G1448" s="94"/>
      <c r="H1448" s="94"/>
      <c r="I1448" s="94"/>
      <c r="J1448" s="94"/>
      <c r="K1448" s="94"/>
      <c r="L1448" s="94"/>
      <c r="M1448" s="94"/>
      <c r="N1448" s="94"/>
      <c r="O1448" s="94"/>
      <c r="P1448" s="94"/>
      <c r="Q1448" s="94"/>
      <c r="R1448" s="94"/>
      <c r="S1448" s="94"/>
      <c r="T1448" s="94"/>
      <c r="U1448" s="94"/>
      <c r="V1448" s="94"/>
      <c r="W1448" s="94"/>
      <c r="X1448" s="94"/>
      <c r="Y1448" s="94"/>
      <c r="Z1448" s="94"/>
      <c r="AA1448" s="94"/>
      <c r="AB1448" s="94"/>
      <c r="AC1448" s="94"/>
      <c r="AD1448" s="94"/>
      <c r="AE1448" s="94"/>
      <c r="AF1448" s="94"/>
      <c r="AG1448" s="94"/>
      <c r="AH1448" s="94"/>
      <c r="AI1448" s="94"/>
      <c r="AJ1448" s="94"/>
      <c r="AK1448" s="94"/>
      <c r="AL1448" s="94"/>
      <c r="AM1448" s="94"/>
      <c r="AN1448" s="94"/>
      <c r="AO1448" s="94"/>
      <c r="AP1448" s="94"/>
      <c r="AQ1448" s="94"/>
      <c r="AR1448" s="94"/>
      <c r="AS1448" s="94"/>
      <c r="AT1448" s="94"/>
      <c r="AU1448" s="94"/>
      <c r="AV1448" s="94"/>
      <c r="AW1448" s="94"/>
      <c r="AX1448" s="94"/>
      <c r="AY1448" s="94"/>
      <c r="AZ1448" s="94"/>
      <c r="BA1448" s="94"/>
      <c r="BB1448" s="94"/>
      <c r="BC1448" s="94"/>
      <c r="BD1448" s="94"/>
      <c r="BE1448" s="94"/>
      <c r="BF1448" s="94"/>
    </row>
    <row r="1449" spans="1:58" x14ac:dyDescent="0.35">
      <c r="A1449" s="107" t="s">
        <v>3780</v>
      </c>
      <c r="B1449" s="108" t="s">
        <v>0</v>
      </c>
      <c r="C1449" s="109">
        <v>7</v>
      </c>
      <c r="D1449" s="107" t="s">
        <v>1654</v>
      </c>
      <c r="E1449" s="109"/>
      <c r="F1449" s="94"/>
      <c r="G1449" s="94"/>
      <c r="H1449" s="94"/>
      <c r="I1449" s="94"/>
      <c r="J1449" s="94"/>
      <c r="K1449" s="94"/>
      <c r="L1449" s="94"/>
      <c r="M1449" s="94"/>
      <c r="N1449" s="94"/>
      <c r="O1449" s="94"/>
      <c r="P1449" s="94"/>
      <c r="Q1449" s="94"/>
      <c r="R1449" s="94"/>
      <c r="S1449" s="94"/>
      <c r="T1449" s="94"/>
      <c r="U1449" s="94"/>
      <c r="V1449" s="94"/>
      <c r="W1449" s="94"/>
      <c r="X1449" s="94"/>
      <c r="Y1449" s="94"/>
      <c r="Z1449" s="94"/>
      <c r="AA1449" s="94"/>
      <c r="AB1449" s="94"/>
      <c r="AC1449" s="94"/>
      <c r="AD1449" s="94"/>
      <c r="AE1449" s="94"/>
      <c r="AF1449" s="94"/>
      <c r="AG1449" s="94"/>
      <c r="AH1449" s="94"/>
      <c r="AI1449" s="94"/>
      <c r="AJ1449" s="94"/>
      <c r="AK1449" s="94"/>
      <c r="AL1449" s="94"/>
      <c r="AM1449" s="94"/>
      <c r="AN1449" s="94"/>
      <c r="AO1449" s="94"/>
      <c r="AP1449" s="94"/>
      <c r="AQ1449" s="94"/>
      <c r="AR1449" s="94"/>
      <c r="AS1449" s="94"/>
      <c r="AT1449" s="94"/>
      <c r="AU1449" s="94"/>
      <c r="AV1449" s="94"/>
      <c r="AW1449" s="94"/>
      <c r="AX1449" s="94"/>
      <c r="AY1449" s="94"/>
      <c r="AZ1449" s="94"/>
      <c r="BA1449" s="94"/>
      <c r="BB1449" s="94"/>
      <c r="BC1449" s="94"/>
      <c r="BD1449" s="94"/>
      <c r="BE1449" s="94"/>
      <c r="BF1449" s="94"/>
    </row>
    <row r="1450" spans="1:58" x14ac:dyDescent="0.35">
      <c r="A1450" s="104" t="s">
        <v>3768</v>
      </c>
      <c r="B1450" s="105" t="s">
        <v>0</v>
      </c>
      <c r="C1450" s="106">
        <v>6</v>
      </c>
      <c r="D1450" s="104" t="s">
        <v>1665</v>
      </c>
      <c r="E1450" s="106"/>
      <c r="F1450" s="94"/>
      <c r="G1450" s="94"/>
      <c r="H1450" s="94"/>
      <c r="I1450" s="94"/>
      <c r="J1450" s="94"/>
      <c r="K1450" s="94"/>
      <c r="L1450" s="94"/>
      <c r="M1450" s="94"/>
      <c r="N1450" s="94"/>
      <c r="O1450" s="94"/>
      <c r="P1450" s="94"/>
      <c r="Q1450" s="94"/>
      <c r="R1450" s="94"/>
      <c r="S1450" s="94"/>
      <c r="T1450" s="94"/>
      <c r="U1450" s="94"/>
      <c r="V1450" s="94"/>
      <c r="W1450" s="94"/>
      <c r="X1450" s="94"/>
      <c r="Y1450" s="94"/>
      <c r="Z1450" s="94"/>
      <c r="AA1450" s="94"/>
      <c r="AB1450" s="94"/>
      <c r="AC1450" s="94"/>
      <c r="AD1450" s="94"/>
      <c r="AE1450" s="94"/>
      <c r="AF1450" s="94"/>
      <c r="AG1450" s="94"/>
      <c r="AH1450" s="94"/>
      <c r="AI1450" s="94"/>
      <c r="AJ1450" s="94"/>
      <c r="AK1450" s="94"/>
      <c r="AL1450" s="94"/>
      <c r="AM1450" s="94"/>
      <c r="AN1450" s="94"/>
      <c r="AO1450" s="94"/>
      <c r="AP1450" s="94"/>
      <c r="AQ1450" s="94"/>
      <c r="AR1450" s="94"/>
      <c r="AS1450" s="94"/>
      <c r="AT1450" s="94"/>
      <c r="AU1450" s="94"/>
      <c r="AV1450" s="94"/>
      <c r="AW1450" s="94"/>
      <c r="AX1450" s="94"/>
      <c r="AY1450" s="94"/>
      <c r="AZ1450" s="94"/>
      <c r="BA1450" s="94"/>
      <c r="BB1450" s="94"/>
      <c r="BC1450" s="94"/>
      <c r="BD1450" s="94"/>
      <c r="BE1450" s="94"/>
      <c r="BF1450" s="94"/>
    </row>
    <row r="1451" spans="1:58" x14ac:dyDescent="0.35">
      <c r="A1451" s="107" t="s">
        <v>3240</v>
      </c>
      <c r="B1451" s="108" t="s">
        <v>0</v>
      </c>
      <c r="C1451" s="109">
        <v>7</v>
      </c>
      <c r="D1451" s="107" t="s">
        <v>1660</v>
      </c>
      <c r="E1451" s="109" t="s">
        <v>1667</v>
      </c>
      <c r="F1451" s="94"/>
      <c r="G1451" s="94"/>
      <c r="H1451" s="94"/>
      <c r="I1451" s="94"/>
      <c r="J1451" s="94"/>
      <c r="K1451" s="94"/>
      <c r="L1451" s="94"/>
      <c r="M1451" s="94"/>
      <c r="N1451" s="94"/>
      <c r="O1451" s="94"/>
      <c r="P1451" s="94"/>
      <c r="Q1451" s="94"/>
      <c r="R1451" s="94"/>
      <c r="S1451" s="94"/>
      <c r="T1451" s="94"/>
      <c r="U1451" s="94"/>
      <c r="V1451" s="94"/>
      <c r="W1451" s="94"/>
      <c r="X1451" s="94"/>
      <c r="Y1451" s="94"/>
      <c r="Z1451" s="94"/>
      <c r="AA1451" s="94"/>
      <c r="AB1451" s="94"/>
      <c r="AC1451" s="94"/>
      <c r="AD1451" s="94"/>
      <c r="AE1451" s="94"/>
      <c r="AF1451" s="94"/>
      <c r="AG1451" s="94"/>
      <c r="AH1451" s="94"/>
      <c r="AI1451" s="94"/>
      <c r="AJ1451" s="94"/>
      <c r="AK1451" s="94"/>
      <c r="AL1451" s="94"/>
      <c r="AM1451" s="94"/>
      <c r="AN1451" s="94"/>
      <c r="AO1451" s="94"/>
      <c r="AP1451" s="94"/>
      <c r="AQ1451" s="94"/>
      <c r="AR1451" s="94"/>
      <c r="AS1451" s="94"/>
      <c r="AT1451" s="94"/>
      <c r="AU1451" s="94"/>
      <c r="AV1451" s="94"/>
      <c r="AW1451" s="94"/>
      <c r="AX1451" s="94"/>
      <c r="AY1451" s="94"/>
      <c r="AZ1451" s="94"/>
      <c r="BA1451" s="94"/>
      <c r="BB1451" s="94"/>
      <c r="BC1451" s="94"/>
      <c r="BD1451" s="94"/>
      <c r="BE1451" s="94"/>
      <c r="BF1451" s="94"/>
    </row>
    <row r="1452" spans="1:58" x14ac:dyDescent="0.35">
      <c r="A1452" s="101" t="s">
        <v>3241</v>
      </c>
      <c r="B1452" s="102" t="s">
        <v>0</v>
      </c>
      <c r="C1452" s="103">
        <v>5</v>
      </c>
      <c r="D1452" s="101" t="s">
        <v>604</v>
      </c>
      <c r="E1452" s="103" t="s">
        <v>261</v>
      </c>
      <c r="F1452" s="94"/>
      <c r="G1452" s="94"/>
      <c r="H1452" s="94"/>
      <c r="I1452" s="94"/>
      <c r="J1452" s="94"/>
      <c r="K1452" s="94"/>
      <c r="L1452" s="94"/>
      <c r="M1452" s="94"/>
      <c r="N1452" s="94"/>
      <c r="O1452" s="94"/>
      <c r="P1452" s="94"/>
      <c r="Q1452" s="94"/>
      <c r="R1452" s="94"/>
      <c r="S1452" s="94"/>
      <c r="T1452" s="94"/>
      <c r="U1452" s="94"/>
      <c r="V1452" s="94"/>
      <c r="W1452" s="94"/>
      <c r="X1452" s="94"/>
      <c r="Y1452" s="94"/>
      <c r="Z1452" s="94"/>
      <c r="AA1452" s="94"/>
      <c r="AB1452" s="94"/>
      <c r="AC1452" s="94"/>
      <c r="AD1452" s="94"/>
      <c r="AE1452" s="94"/>
      <c r="AF1452" s="94"/>
      <c r="AG1452" s="94"/>
      <c r="AH1452" s="94"/>
      <c r="AI1452" s="94"/>
      <c r="AJ1452" s="94"/>
      <c r="AK1452" s="94"/>
      <c r="AL1452" s="94"/>
      <c r="AM1452" s="94"/>
      <c r="AN1452" s="94"/>
      <c r="AO1452" s="94"/>
      <c r="AP1452" s="94"/>
      <c r="AQ1452" s="94"/>
      <c r="AR1452" s="94"/>
      <c r="AS1452" s="94"/>
      <c r="AT1452" s="94"/>
      <c r="AU1452" s="94"/>
      <c r="AV1452" s="94"/>
      <c r="AW1452" s="94"/>
      <c r="AX1452" s="94"/>
      <c r="AY1452" s="94"/>
      <c r="AZ1452" s="94"/>
      <c r="BA1452" s="94"/>
      <c r="BB1452" s="94"/>
      <c r="BC1452" s="94"/>
      <c r="BD1452" s="94"/>
      <c r="BE1452" s="94"/>
      <c r="BF1452" s="94"/>
    </row>
    <row r="1453" spans="1:58" x14ac:dyDescent="0.35">
      <c r="A1453" s="104" t="s">
        <v>3242</v>
      </c>
      <c r="B1453" s="105" t="s">
        <v>0</v>
      </c>
      <c r="C1453" s="106">
        <v>6</v>
      </c>
      <c r="D1453" s="104" t="s">
        <v>123</v>
      </c>
      <c r="E1453" s="106" t="s">
        <v>0</v>
      </c>
      <c r="F1453" s="94"/>
      <c r="G1453" s="94"/>
      <c r="H1453" s="94"/>
      <c r="I1453" s="94"/>
      <c r="J1453" s="94"/>
      <c r="K1453" s="94"/>
      <c r="L1453" s="94"/>
      <c r="M1453" s="94"/>
      <c r="N1453" s="94"/>
      <c r="O1453" s="94"/>
      <c r="P1453" s="94"/>
      <c r="Q1453" s="94"/>
      <c r="R1453" s="94"/>
      <c r="S1453" s="94"/>
      <c r="T1453" s="94"/>
      <c r="U1453" s="94"/>
      <c r="V1453" s="94"/>
      <c r="W1453" s="94"/>
      <c r="X1453" s="94"/>
      <c r="Y1453" s="94"/>
      <c r="Z1453" s="94"/>
      <c r="AA1453" s="94"/>
      <c r="AB1453" s="94"/>
      <c r="AC1453" s="94"/>
      <c r="AD1453" s="94"/>
      <c r="AE1453" s="94"/>
      <c r="AF1453" s="94"/>
      <c r="AG1453" s="94"/>
      <c r="AH1453" s="94"/>
      <c r="AI1453" s="94"/>
      <c r="AJ1453" s="94"/>
      <c r="AK1453" s="94"/>
      <c r="AL1453" s="94"/>
      <c r="AM1453" s="94"/>
      <c r="AN1453" s="94"/>
      <c r="AO1453" s="94"/>
      <c r="AP1453" s="94"/>
      <c r="AQ1453" s="94"/>
      <c r="AR1453" s="94"/>
      <c r="AS1453" s="94"/>
      <c r="AT1453" s="94"/>
      <c r="AU1453" s="94"/>
      <c r="AV1453" s="94"/>
      <c r="AW1453" s="94"/>
      <c r="AX1453" s="94"/>
      <c r="AY1453" s="94"/>
      <c r="AZ1453" s="94"/>
      <c r="BA1453" s="94"/>
      <c r="BB1453" s="94"/>
      <c r="BC1453" s="94"/>
      <c r="BD1453" s="94"/>
      <c r="BE1453" s="94"/>
      <c r="BF1453" s="94"/>
    </row>
    <row r="1454" spans="1:58" x14ac:dyDescent="0.35">
      <c r="A1454" s="107" t="s">
        <v>3243</v>
      </c>
      <c r="B1454" s="108" t="s">
        <v>0</v>
      </c>
      <c r="C1454" s="109">
        <v>7</v>
      </c>
      <c r="D1454" s="107" t="s">
        <v>1664</v>
      </c>
      <c r="E1454" s="109"/>
      <c r="F1454" s="94"/>
      <c r="G1454" s="94"/>
      <c r="H1454" s="94"/>
      <c r="I1454" s="94"/>
      <c r="J1454" s="94"/>
      <c r="K1454" s="94"/>
      <c r="L1454" s="94"/>
      <c r="M1454" s="94"/>
      <c r="N1454" s="94"/>
      <c r="O1454" s="94"/>
      <c r="P1454" s="94"/>
      <c r="Q1454" s="94"/>
      <c r="R1454" s="94"/>
      <c r="S1454" s="94"/>
      <c r="T1454" s="94"/>
      <c r="U1454" s="94"/>
      <c r="V1454" s="94"/>
      <c r="W1454" s="94"/>
      <c r="X1454" s="94"/>
      <c r="Y1454" s="94"/>
      <c r="Z1454" s="94"/>
      <c r="AA1454" s="94"/>
      <c r="AB1454" s="94"/>
      <c r="AC1454" s="94"/>
      <c r="AD1454" s="94"/>
      <c r="AE1454" s="94"/>
      <c r="AF1454" s="94"/>
      <c r="AG1454" s="94"/>
      <c r="AH1454" s="94"/>
      <c r="AI1454" s="94"/>
      <c r="AJ1454" s="94"/>
      <c r="AK1454" s="94"/>
      <c r="AL1454" s="94"/>
      <c r="AM1454" s="94"/>
      <c r="AN1454" s="94"/>
      <c r="AO1454" s="94"/>
      <c r="AP1454" s="94"/>
      <c r="AQ1454" s="94"/>
      <c r="AR1454" s="94"/>
      <c r="AS1454" s="94"/>
      <c r="AT1454" s="94"/>
      <c r="AU1454" s="94"/>
      <c r="AV1454" s="94"/>
      <c r="AW1454" s="94"/>
      <c r="AX1454" s="94"/>
      <c r="AY1454" s="94"/>
      <c r="AZ1454" s="94"/>
      <c r="BA1454" s="94"/>
      <c r="BB1454" s="94"/>
      <c r="BC1454" s="94"/>
      <c r="BD1454" s="94"/>
      <c r="BE1454" s="94"/>
      <c r="BF1454" s="94"/>
    </row>
    <row r="1455" spans="1:58" x14ac:dyDescent="0.35">
      <c r="A1455" s="101" t="s">
        <v>3244</v>
      </c>
      <c r="B1455" s="102" t="s">
        <v>0</v>
      </c>
      <c r="C1455" s="103">
        <v>5</v>
      </c>
      <c r="D1455" s="101" t="s">
        <v>605</v>
      </c>
      <c r="E1455" s="103" t="s">
        <v>262</v>
      </c>
      <c r="F1455" s="94"/>
      <c r="G1455" s="94"/>
      <c r="H1455" s="94"/>
      <c r="I1455" s="94"/>
      <c r="J1455" s="94"/>
      <c r="K1455" s="94"/>
      <c r="L1455" s="94"/>
      <c r="M1455" s="94"/>
      <c r="N1455" s="94"/>
      <c r="O1455" s="94"/>
      <c r="P1455" s="94"/>
      <c r="Q1455" s="94"/>
      <c r="R1455" s="94"/>
      <c r="S1455" s="94"/>
      <c r="T1455" s="94"/>
      <c r="U1455" s="94"/>
      <c r="V1455" s="94"/>
      <c r="W1455" s="94"/>
      <c r="X1455" s="94"/>
      <c r="Y1455" s="94"/>
      <c r="Z1455" s="94"/>
      <c r="AA1455" s="94"/>
      <c r="AB1455" s="94"/>
      <c r="AC1455" s="94"/>
      <c r="AD1455" s="94"/>
      <c r="AE1455" s="94"/>
      <c r="AF1455" s="94"/>
      <c r="AG1455" s="94"/>
      <c r="AH1455" s="94"/>
      <c r="AI1455" s="94"/>
      <c r="AJ1455" s="94"/>
      <c r="AK1455" s="94"/>
      <c r="AL1455" s="94"/>
      <c r="AM1455" s="94"/>
      <c r="AN1455" s="94"/>
      <c r="AO1455" s="94"/>
      <c r="AP1455" s="94"/>
      <c r="AQ1455" s="94"/>
      <c r="AR1455" s="94"/>
      <c r="AS1455" s="94"/>
      <c r="AT1455" s="94"/>
      <c r="AU1455" s="94"/>
      <c r="AV1455" s="94"/>
      <c r="AW1455" s="94"/>
      <c r="AX1455" s="94"/>
      <c r="AY1455" s="94"/>
      <c r="AZ1455" s="94"/>
      <c r="BA1455" s="94"/>
      <c r="BB1455" s="94"/>
      <c r="BC1455" s="94"/>
      <c r="BD1455" s="94"/>
      <c r="BE1455" s="94"/>
      <c r="BF1455" s="94"/>
    </row>
    <row r="1456" spans="1:58" x14ac:dyDescent="0.35">
      <c r="A1456" s="104" t="s">
        <v>3245</v>
      </c>
      <c r="B1456" s="105" t="s">
        <v>0</v>
      </c>
      <c r="C1456" s="106">
        <v>6</v>
      </c>
      <c r="D1456" s="104" t="s">
        <v>123</v>
      </c>
      <c r="E1456" s="106" t="s">
        <v>0</v>
      </c>
      <c r="F1456" s="94"/>
      <c r="G1456" s="94"/>
      <c r="H1456" s="94"/>
      <c r="I1456" s="94"/>
      <c r="J1456" s="94"/>
      <c r="K1456" s="94"/>
      <c r="L1456" s="94"/>
      <c r="M1456" s="94"/>
      <c r="N1456" s="94"/>
      <c r="O1456" s="94"/>
      <c r="P1456" s="94"/>
      <c r="Q1456" s="94"/>
      <c r="R1456" s="94"/>
      <c r="S1456" s="94"/>
      <c r="T1456" s="94"/>
      <c r="U1456" s="94"/>
      <c r="V1456" s="94"/>
      <c r="W1456" s="94"/>
      <c r="X1456" s="94"/>
      <c r="Y1456" s="94"/>
      <c r="Z1456" s="94"/>
      <c r="AA1456" s="94"/>
      <c r="AB1456" s="94"/>
      <c r="AC1456" s="94"/>
      <c r="AD1456" s="94"/>
      <c r="AE1456" s="94"/>
      <c r="AF1456" s="94"/>
      <c r="AG1456" s="94"/>
      <c r="AH1456" s="94"/>
      <c r="AI1456" s="94"/>
      <c r="AJ1456" s="94"/>
      <c r="AK1456" s="94"/>
      <c r="AL1456" s="94"/>
      <c r="AM1456" s="94"/>
      <c r="AN1456" s="94"/>
      <c r="AO1456" s="94"/>
      <c r="AP1456" s="94"/>
      <c r="AQ1456" s="94"/>
      <c r="AR1456" s="94"/>
      <c r="AS1456" s="94"/>
      <c r="AT1456" s="94"/>
      <c r="AU1456" s="94"/>
      <c r="AV1456" s="94"/>
      <c r="AW1456" s="94"/>
      <c r="AX1456" s="94"/>
      <c r="AY1456" s="94"/>
      <c r="AZ1456" s="94"/>
      <c r="BA1456" s="94"/>
      <c r="BB1456" s="94"/>
      <c r="BC1456" s="94"/>
      <c r="BD1456" s="94"/>
      <c r="BE1456" s="94"/>
      <c r="BF1456" s="94"/>
    </row>
    <row r="1457" spans="1:58" x14ac:dyDescent="0.35">
      <c r="A1457" s="107" t="s">
        <v>3246</v>
      </c>
      <c r="B1457" s="108" t="s">
        <v>0</v>
      </c>
      <c r="C1457" s="109">
        <v>7</v>
      </c>
      <c r="D1457" s="107" t="s">
        <v>1664</v>
      </c>
      <c r="E1457" s="109"/>
      <c r="F1457" s="94"/>
      <c r="G1457" s="94"/>
      <c r="H1457" s="94"/>
      <c r="I1457" s="94"/>
      <c r="J1457" s="94"/>
      <c r="K1457" s="94"/>
      <c r="L1457" s="94"/>
      <c r="M1457" s="94"/>
      <c r="N1457" s="94"/>
      <c r="O1457" s="94"/>
      <c r="P1457" s="94"/>
      <c r="Q1457" s="94"/>
      <c r="R1457" s="94"/>
      <c r="S1457" s="94"/>
      <c r="T1457" s="94"/>
      <c r="U1457" s="94"/>
      <c r="V1457" s="94"/>
      <c r="W1457" s="94"/>
      <c r="X1457" s="94"/>
      <c r="Y1457" s="94"/>
      <c r="Z1457" s="94"/>
      <c r="AA1457" s="94"/>
      <c r="AB1457" s="94"/>
      <c r="AC1457" s="94"/>
      <c r="AD1457" s="94"/>
      <c r="AE1457" s="94"/>
      <c r="AF1457" s="94"/>
      <c r="AG1457" s="94"/>
      <c r="AH1457" s="94"/>
      <c r="AI1457" s="94"/>
      <c r="AJ1457" s="94"/>
      <c r="AK1457" s="94"/>
      <c r="AL1457" s="94"/>
      <c r="AM1457" s="94"/>
      <c r="AN1457" s="94"/>
      <c r="AO1457" s="94"/>
      <c r="AP1457" s="94"/>
      <c r="AQ1457" s="94"/>
      <c r="AR1457" s="94"/>
      <c r="AS1457" s="94"/>
      <c r="AT1457" s="94"/>
      <c r="AU1457" s="94"/>
      <c r="AV1457" s="94"/>
      <c r="AW1457" s="94"/>
      <c r="AX1457" s="94"/>
      <c r="AY1457" s="94"/>
      <c r="AZ1457" s="94"/>
      <c r="BA1457" s="94"/>
      <c r="BB1457" s="94"/>
      <c r="BC1457" s="94"/>
      <c r="BD1457" s="94"/>
      <c r="BE1457" s="94"/>
      <c r="BF1457" s="94"/>
    </row>
    <row r="1458" spans="1:58" x14ac:dyDescent="0.35">
      <c r="A1458" s="101" t="s">
        <v>3247</v>
      </c>
      <c r="B1458" s="102" t="s">
        <v>0</v>
      </c>
      <c r="C1458" s="103">
        <v>5</v>
      </c>
      <c r="D1458" s="101" t="s">
        <v>169</v>
      </c>
      <c r="E1458" s="103" t="s">
        <v>263</v>
      </c>
      <c r="F1458" s="94"/>
      <c r="G1458" s="94"/>
      <c r="H1458" s="94"/>
      <c r="I1458" s="94"/>
      <c r="J1458" s="94"/>
      <c r="K1458" s="94"/>
      <c r="L1458" s="94"/>
      <c r="M1458" s="94"/>
      <c r="N1458" s="94"/>
      <c r="O1458" s="94"/>
      <c r="P1458" s="94"/>
      <c r="Q1458" s="94"/>
      <c r="R1458" s="94"/>
      <c r="S1458" s="94"/>
      <c r="T1458" s="94"/>
      <c r="U1458" s="94"/>
      <c r="V1458" s="94"/>
      <c r="W1458" s="94"/>
      <c r="X1458" s="94"/>
      <c r="Y1458" s="94"/>
      <c r="Z1458" s="94"/>
      <c r="AA1458" s="94"/>
      <c r="AB1458" s="94"/>
      <c r="AC1458" s="94"/>
      <c r="AD1458" s="94"/>
      <c r="AE1458" s="94"/>
      <c r="AF1458" s="94"/>
      <c r="AG1458" s="94"/>
      <c r="AH1458" s="94"/>
      <c r="AI1458" s="94"/>
      <c r="AJ1458" s="94"/>
      <c r="AK1458" s="94"/>
      <c r="AL1458" s="94"/>
      <c r="AM1458" s="94"/>
      <c r="AN1458" s="94"/>
      <c r="AO1458" s="94"/>
      <c r="AP1458" s="94"/>
      <c r="AQ1458" s="94"/>
      <c r="AR1458" s="94"/>
      <c r="AS1458" s="94"/>
      <c r="AT1458" s="94"/>
      <c r="AU1458" s="94"/>
      <c r="AV1458" s="94"/>
      <c r="AW1458" s="94"/>
      <c r="AX1458" s="94"/>
      <c r="AY1458" s="94"/>
      <c r="AZ1458" s="94"/>
      <c r="BA1458" s="94"/>
      <c r="BB1458" s="94"/>
      <c r="BC1458" s="94"/>
      <c r="BD1458" s="94"/>
      <c r="BE1458" s="94"/>
      <c r="BF1458" s="94"/>
    </row>
    <row r="1459" spans="1:58" x14ac:dyDescent="0.35">
      <c r="A1459" s="95" t="s">
        <v>3248</v>
      </c>
      <c r="B1459" s="96" t="s">
        <v>0</v>
      </c>
      <c r="C1459" s="97">
        <v>4</v>
      </c>
      <c r="D1459" s="95" t="s">
        <v>1601</v>
      </c>
      <c r="E1459" s="97"/>
      <c r="F1459" s="94"/>
      <c r="G1459" s="94"/>
      <c r="H1459" s="94"/>
      <c r="I1459" s="94"/>
      <c r="J1459" s="94"/>
      <c r="K1459" s="94"/>
      <c r="L1459" s="94"/>
      <c r="M1459" s="94"/>
      <c r="N1459" s="94"/>
      <c r="O1459" s="94"/>
      <c r="P1459" s="94"/>
      <c r="Q1459" s="94"/>
      <c r="R1459" s="94"/>
      <c r="S1459" s="94"/>
      <c r="T1459" s="94"/>
      <c r="U1459" s="94"/>
      <c r="V1459" s="94"/>
      <c r="W1459" s="94"/>
      <c r="X1459" s="94"/>
      <c r="Y1459" s="94"/>
      <c r="Z1459" s="94"/>
      <c r="AA1459" s="94"/>
      <c r="AB1459" s="94"/>
      <c r="AC1459" s="94"/>
      <c r="AD1459" s="94"/>
      <c r="AE1459" s="94"/>
      <c r="AF1459" s="94"/>
      <c r="AG1459" s="94"/>
      <c r="AH1459" s="94"/>
      <c r="AI1459" s="94"/>
      <c r="AJ1459" s="94"/>
      <c r="AK1459" s="94"/>
      <c r="AL1459" s="94"/>
      <c r="AM1459" s="94"/>
      <c r="AN1459" s="94"/>
      <c r="AO1459" s="94"/>
      <c r="AP1459" s="94"/>
      <c r="AQ1459" s="94"/>
      <c r="AR1459" s="94"/>
      <c r="AS1459" s="94"/>
      <c r="AT1459" s="94"/>
      <c r="AU1459" s="94"/>
      <c r="AV1459" s="94"/>
      <c r="AW1459" s="94"/>
      <c r="AX1459" s="94"/>
      <c r="AY1459" s="94"/>
      <c r="AZ1459" s="94"/>
      <c r="BA1459" s="94"/>
      <c r="BB1459" s="94"/>
      <c r="BC1459" s="94"/>
      <c r="BD1459" s="94"/>
      <c r="BE1459" s="94"/>
      <c r="BF1459" s="94"/>
    </row>
    <row r="1460" spans="1:58" x14ac:dyDescent="0.35">
      <c r="A1460" s="101" t="s">
        <v>3249</v>
      </c>
      <c r="B1460" s="102" t="s">
        <v>0</v>
      </c>
      <c r="C1460" s="103">
        <v>5</v>
      </c>
      <c r="D1460" s="101" t="s">
        <v>253</v>
      </c>
      <c r="E1460" s="103" t="s">
        <v>254</v>
      </c>
      <c r="F1460" s="94"/>
      <c r="G1460" s="94"/>
      <c r="H1460" s="94"/>
      <c r="I1460" s="94"/>
      <c r="J1460" s="94"/>
      <c r="K1460" s="94"/>
      <c r="L1460" s="94"/>
      <c r="M1460" s="94"/>
      <c r="N1460" s="94"/>
      <c r="O1460" s="94"/>
      <c r="P1460" s="94"/>
      <c r="Q1460" s="94"/>
      <c r="R1460" s="94"/>
      <c r="S1460" s="94"/>
      <c r="T1460" s="94"/>
      <c r="U1460" s="94"/>
      <c r="V1460" s="94"/>
      <c r="W1460" s="94"/>
      <c r="X1460" s="94"/>
      <c r="Y1460" s="94"/>
      <c r="Z1460" s="94"/>
      <c r="AA1460" s="94"/>
      <c r="AB1460" s="94"/>
      <c r="AC1460" s="94"/>
      <c r="AD1460" s="94"/>
      <c r="AE1460" s="94"/>
      <c r="AF1460" s="94"/>
      <c r="AG1460" s="94"/>
      <c r="AH1460" s="94"/>
      <c r="AI1460" s="94"/>
      <c r="AJ1460" s="94"/>
      <c r="AK1460" s="94"/>
      <c r="AL1460" s="94"/>
      <c r="AM1460" s="94"/>
      <c r="AN1460" s="94"/>
      <c r="AO1460" s="94"/>
      <c r="AP1460" s="94"/>
      <c r="AQ1460" s="94"/>
      <c r="AR1460" s="94"/>
      <c r="AS1460" s="94"/>
      <c r="AT1460" s="94"/>
      <c r="AU1460" s="94"/>
      <c r="AV1460" s="94"/>
      <c r="AW1460" s="94"/>
      <c r="AX1460" s="94"/>
      <c r="AY1460" s="94"/>
      <c r="AZ1460" s="94"/>
      <c r="BA1460" s="94"/>
      <c r="BB1460" s="94"/>
      <c r="BC1460" s="94"/>
      <c r="BD1460" s="94"/>
      <c r="BE1460" s="94"/>
      <c r="BF1460" s="94"/>
    </row>
    <row r="1461" spans="1:58" x14ac:dyDescent="0.35">
      <c r="A1461" s="95" t="s">
        <v>3250</v>
      </c>
      <c r="B1461" s="96" t="s">
        <v>0</v>
      </c>
      <c r="C1461" s="97">
        <v>4</v>
      </c>
      <c r="D1461" s="95" t="s">
        <v>1602</v>
      </c>
      <c r="E1461" s="97"/>
      <c r="F1461" s="94"/>
      <c r="G1461" s="94"/>
      <c r="H1461" s="94"/>
      <c r="I1461" s="94"/>
      <c r="J1461" s="94"/>
      <c r="K1461" s="94"/>
      <c r="L1461" s="94"/>
      <c r="M1461" s="94"/>
      <c r="N1461" s="94"/>
      <c r="O1461" s="94"/>
      <c r="P1461" s="94"/>
      <c r="Q1461" s="94"/>
      <c r="R1461" s="94"/>
      <c r="S1461" s="94"/>
      <c r="T1461" s="94"/>
      <c r="U1461" s="94"/>
      <c r="V1461" s="94"/>
      <c r="W1461" s="94"/>
      <c r="X1461" s="94"/>
      <c r="Y1461" s="94"/>
      <c r="Z1461" s="94"/>
      <c r="AA1461" s="94"/>
      <c r="AB1461" s="94"/>
      <c r="AC1461" s="94"/>
      <c r="AD1461" s="94"/>
      <c r="AE1461" s="94"/>
      <c r="AF1461" s="94"/>
      <c r="AG1461" s="94"/>
      <c r="AH1461" s="94"/>
      <c r="AI1461" s="94"/>
      <c r="AJ1461" s="94"/>
      <c r="AK1461" s="94"/>
      <c r="AL1461" s="94"/>
      <c r="AM1461" s="94"/>
      <c r="AN1461" s="94"/>
      <c r="AO1461" s="94"/>
      <c r="AP1461" s="94"/>
      <c r="AQ1461" s="94"/>
      <c r="AR1461" s="94"/>
      <c r="AS1461" s="94"/>
      <c r="AT1461" s="94"/>
      <c r="AU1461" s="94"/>
      <c r="AV1461" s="94"/>
      <c r="AW1461" s="94"/>
      <c r="AX1461" s="94"/>
      <c r="AY1461" s="94"/>
      <c r="AZ1461" s="94"/>
      <c r="BA1461" s="94"/>
      <c r="BB1461" s="94"/>
      <c r="BC1461" s="94"/>
      <c r="BD1461" s="94"/>
      <c r="BE1461" s="94"/>
      <c r="BF1461" s="94"/>
    </row>
    <row r="1462" spans="1:58" x14ac:dyDescent="0.35">
      <c r="A1462" s="101" t="s">
        <v>3251</v>
      </c>
      <c r="B1462" s="102" t="s">
        <v>0</v>
      </c>
      <c r="C1462" s="103">
        <v>5</v>
      </c>
      <c r="D1462" s="101" t="s">
        <v>468</v>
      </c>
      <c r="E1462" s="103" t="s">
        <v>264</v>
      </c>
      <c r="F1462" s="94"/>
      <c r="G1462" s="94"/>
      <c r="H1462" s="94"/>
      <c r="I1462" s="94"/>
      <c r="J1462" s="94"/>
      <c r="K1462" s="94"/>
      <c r="L1462" s="94"/>
      <c r="M1462" s="94"/>
      <c r="N1462" s="94"/>
      <c r="O1462" s="94"/>
      <c r="P1462" s="94"/>
      <c r="Q1462" s="94"/>
      <c r="R1462" s="94"/>
      <c r="S1462" s="94"/>
      <c r="T1462" s="94"/>
      <c r="U1462" s="94"/>
      <c r="V1462" s="94"/>
      <c r="W1462" s="94"/>
      <c r="X1462" s="94"/>
      <c r="Y1462" s="94"/>
      <c r="Z1462" s="94"/>
      <c r="AA1462" s="94"/>
      <c r="AB1462" s="94"/>
      <c r="AC1462" s="94"/>
      <c r="AD1462" s="94"/>
      <c r="AE1462" s="94"/>
      <c r="AF1462" s="94"/>
      <c r="AG1462" s="94"/>
      <c r="AH1462" s="94"/>
      <c r="AI1462" s="94"/>
      <c r="AJ1462" s="94"/>
      <c r="AK1462" s="94"/>
      <c r="AL1462" s="94"/>
      <c r="AM1462" s="94"/>
      <c r="AN1462" s="94"/>
      <c r="AO1462" s="94"/>
      <c r="AP1462" s="94"/>
      <c r="AQ1462" s="94"/>
      <c r="AR1462" s="94"/>
      <c r="AS1462" s="94"/>
      <c r="AT1462" s="94"/>
      <c r="AU1462" s="94"/>
      <c r="AV1462" s="94"/>
      <c r="AW1462" s="94"/>
      <c r="AX1462" s="94"/>
      <c r="AY1462" s="94"/>
      <c r="AZ1462" s="94"/>
      <c r="BA1462" s="94"/>
      <c r="BB1462" s="94"/>
      <c r="BC1462" s="94"/>
      <c r="BD1462" s="94"/>
      <c r="BE1462" s="94"/>
      <c r="BF1462" s="94"/>
    </row>
    <row r="1463" spans="1:58" x14ac:dyDescent="0.35">
      <c r="A1463" s="104" t="s">
        <v>3769</v>
      </c>
      <c r="B1463" s="105" t="s">
        <v>0</v>
      </c>
      <c r="C1463" s="106">
        <v>6</v>
      </c>
      <c r="D1463" s="104" t="s">
        <v>1665</v>
      </c>
      <c r="E1463" s="106"/>
      <c r="F1463" s="94"/>
      <c r="G1463" s="94"/>
      <c r="H1463" s="94"/>
      <c r="I1463" s="94"/>
      <c r="J1463" s="94"/>
      <c r="K1463" s="94"/>
      <c r="L1463" s="94"/>
      <c r="M1463" s="94"/>
      <c r="N1463" s="94"/>
      <c r="O1463" s="94"/>
      <c r="P1463" s="94"/>
      <c r="Q1463" s="94"/>
      <c r="R1463" s="94"/>
      <c r="S1463" s="94"/>
      <c r="T1463" s="94"/>
      <c r="U1463" s="94"/>
      <c r="V1463" s="94"/>
      <c r="W1463" s="94"/>
      <c r="X1463" s="94"/>
      <c r="Y1463" s="94"/>
      <c r="Z1463" s="94"/>
      <c r="AA1463" s="94"/>
      <c r="AB1463" s="94"/>
      <c r="AC1463" s="94"/>
      <c r="AD1463" s="94"/>
      <c r="AE1463" s="94"/>
      <c r="AF1463" s="94"/>
      <c r="AG1463" s="94"/>
      <c r="AH1463" s="94"/>
      <c r="AI1463" s="94"/>
      <c r="AJ1463" s="94"/>
      <c r="AK1463" s="94"/>
      <c r="AL1463" s="94"/>
      <c r="AM1463" s="94"/>
      <c r="AN1463" s="94"/>
      <c r="AO1463" s="94"/>
      <c r="AP1463" s="94"/>
      <c r="AQ1463" s="94"/>
      <c r="AR1463" s="94"/>
      <c r="AS1463" s="94"/>
      <c r="AT1463" s="94"/>
      <c r="AU1463" s="94"/>
      <c r="AV1463" s="94"/>
      <c r="AW1463" s="94"/>
      <c r="AX1463" s="94"/>
      <c r="AY1463" s="94"/>
      <c r="AZ1463" s="94"/>
      <c r="BA1463" s="94"/>
      <c r="BB1463" s="94"/>
      <c r="BC1463" s="94"/>
      <c r="BD1463" s="94"/>
      <c r="BE1463" s="94"/>
      <c r="BF1463" s="94"/>
    </row>
    <row r="1464" spans="1:58" x14ac:dyDescent="0.35">
      <c r="A1464" s="107" t="s">
        <v>3252</v>
      </c>
      <c r="B1464" s="108" t="s">
        <v>0</v>
      </c>
      <c r="C1464" s="109">
        <v>7</v>
      </c>
      <c r="D1464" s="107" t="s">
        <v>1652</v>
      </c>
      <c r="E1464" s="109" t="s">
        <v>1678</v>
      </c>
      <c r="F1464" s="94"/>
      <c r="G1464" s="94"/>
      <c r="H1464" s="94"/>
      <c r="I1464" s="94"/>
      <c r="J1464" s="94"/>
      <c r="K1464" s="94"/>
      <c r="L1464" s="94"/>
      <c r="M1464" s="94"/>
      <c r="N1464" s="94"/>
      <c r="O1464" s="94"/>
      <c r="P1464" s="94"/>
      <c r="Q1464" s="94"/>
      <c r="R1464" s="94"/>
      <c r="S1464" s="94"/>
      <c r="T1464" s="94"/>
      <c r="U1464" s="94"/>
      <c r="V1464" s="94"/>
      <c r="W1464" s="94"/>
      <c r="X1464" s="94"/>
      <c r="Y1464" s="94"/>
      <c r="Z1464" s="94"/>
      <c r="AA1464" s="94"/>
      <c r="AB1464" s="94"/>
      <c r="AC1464" s="94"/>
      <c r="AD1464" s="94"/>
      <c r="AE1464" s="94"/>
      <c r="AF1464" s="94"/>
      <c r="AG1464" s="94"/>
      <c r="AH1464" s="94"/>
      <c r="AI1464" s="94"/>
      <c r="AJ1464" s="94"/>
      <c r="AK1464" s="94"/>
      <c r="AL1464" s="94"/>
      <c r="AM1464" s="94"/>
      <c r="AN1464" s="94"/>
      <c r="AO1464" s="94"/>
      <c r="AP1464" s="94"/>
      <c r="AQ1464" s="94"/>
      <c r="AR1464" s="94"/>
      <c r="AS1464" s="94"/>
      <c r="AT1464" s="94"/>
      <c r="AU1464" s="94"/>
      <c r="AV1464" s="94"/>
      <c r="AW1464" s="94"/>
      <c r="AX1464" s="94"/>
      <c r="AY1464" s="94"/>
      <c r="AZ1464" s="94"/>
      <c r="BA1464" s="94"/>
      <c r="BB1464" s="94"/>
      <c r="BC1464" s="94"/>
      <c r="BD1464" s="94"/>
      <c r="BE1464" s="94"/>
      <c r="BF1464" s="94"/>
    </row>
    <row r="1465" spans="1:58" x14ac:dyDescent="0.35">
      <c r="A1465" s="101" t="s">
        <v>3253</v>
      </c>
      <c r="B1465" s="102" t="s">
        <v>0</v>
      </c>
      <c r="C1465" s="103">
        <v>5</v>
      </c>
      <c r="D1465" s="101" t="s">
        <v>469</v>
      </c>
      <c r="E1465" s="103" t="s">
        <v>265</v>
      </c>
      <c r="F1465" s="94"/>
      <c r="G1465" s="94"/>
      <c r="H1465" s="94"/>
      <c r="I1465" s="94"/>
      <c r="J1465" s="94"/>
      <c r="K1465" s="94"/>
      <c r="L1465" s="94"/>
      <c r="M1465" s="94"/>
      <c r="N1465" s="94"/>
      <c r="O1465" s="94"/>
      <c r="P1465" s="94"/>
      <c r="Q1465" s="94"/>
      <c r="R1465" s="94"/>
      <c r="S1465" s="94"/>
      <c r="T1465" s="94"/>
      <c r="U1465" s="94"/>
      <c r="V1465" s="94"/>
      <c r="W1465" s="94"/>
      <c r="X1465" s="94"/>
      <c r="Y1465" s="94"/>
      <c r="Z1465" s="94"/>
      <c r="AA1465" s="94"/>
      <c r="AB1465" s="94"/>
      <c r="AC1465" s="94"/>
      <c r="AD1465" s="94"/>
      <c r="AE1465" s="94"/>
      <c r="AF1465" s="94"/>
      <c r="AG1465" s="94"/>
      <c r="AH1465" s="94"/>
      <c r="AI1465" s="94"/>
      <c r="AJ1465" s="94"/>
      <c r="AK1465" s="94"/>
      <c r="AL1465" s="94"/>
      <c r="AM1465" s="94"/>
      <c r="AN1465" s="94"/>
      <c r="AO1465" s="94"/>
      <c r="AP1465" s="94"/>
      <c r="AQ1465" s="94"/>
      <c r="AR1465" s="94"/>
      <c r="AS1465" s="94"/>
      <c r="AT1465" s="94"/>
      <c r="AU1465" s="94"/>
      <c r="AV1465" s="94"/>
      <c r="AW1465" s="94"/>
      <c r="AX1465" s="94"/>
      <c r="AY1465" s="94"/>
      <c r="AZ1465" s="94"/>
      <c r="BA1465" s="94"/>
      <c r="BB1465" s="94"/>
      <c r="BC1465" s="94"/>
      <c r="BD1465" s="94"/>
      <c r="BE1465" s="94"/>
      <c r="BF1465" s="94"/>
    </row>
    <row r="1466" spans="1:58" x14ac:dyDescent="0.35">
      <c r="A1466" s="104" t="s">
        <v>3254</v>
      </c>
      <c r="B1466" s="105" t="s">
        <v>0</v>
      </c>
      <c r="C1466" s="106">
        <v>6</v>
      </c>
      <c r="D1466" s="104" t="s">
        <v>16</v>
      </c>
      <c r="E1466" s="106"/>
      <c r="F1466" s="94"/>
      <c r="G1466" s="94"/>
      <c r="H1466" s="94"/>
      <c r="I1466" s="94"/>
      <c r="J1466" s="94"/>
      <c r="K1466" s="94"/>
      <c r="L1466" s="94"/>
      <c r="M1466" s="94"/>
      <c r="N1466" s="94"/>
      <c r="O1466" s="94"/>
      <c r="P1466" s="94"/>
      <c r="Q1466" s="94"/>
      <c r="R1466" s="94"/>
      <c r="S1466" s="94"/>
      <c r="T1466" s="94"/>
      <c r="U1466" s="94"/>
      <c r="V1466" s="94"/>
      <c r="W1466" s="94"/>
      <c r="X1466" s="94"/>
      <c r="Y1466" s="94"/>
      <c r="Z1466" s="94"/>
      <c r="AA1466" s="94"/>
      <c r="AB1466" s="94"/>
      <c r="AC1466" s="94"/>
      <c r="AD1466" s="94"/>
      <c r="AE1466" s="94"/>
      <c r="AF1466" s="94"/>
      <c r="AG1466" s="94"/>
      <c r="AH1466" s="94"/>
      <c r="AI1466" s="94"/>
      <c r="AJ1466" s="94"/>
      <c r="AK1466" s="94"/>
      <c r="AL1466" s="94"/>
      <c r="AM1466" s="94"/>
      <c r="AN1466" s="94"/>
      <c r="AO1466" s="94"/>
      <c r="AP1466" s="94"/>
      <c r="AQ1466" s="94"/>
      <c r="AR1466" s="94"/>
      <c r="AS1466" s="94"/>
      <c r="AT1466" s="94"/>
      <c r="AU1466" s="94"/>
      <c r="AV1466" s="94"/>
      <c r="AW1466" s="94"/>
      <c r="AX1466" s="94"/>
      <c r="AY1466" s="94"/>
      <c r="AZ1466" s="94"/>
      <c r="BA1466" s="94"/>
      <c r="BB1466" s="94"/>
      <c r="BC1466" s="94"/>
      <c r="BD1466" s="94"/>
      <c r="BE1466" s="94"/>
      <c r="BF1466" s="94"/>
    </row>
    <row r="1467" spans="1:58" x14ac:dyDescent="0.35">
      <c r="A1467" s="107" t="s">
        <v>3255</v>
      </c>
      <c r="B1467" s="108" t="s">
        <v>0</v>
      </c>
      <c r="C1467" s="109">
        <v>7</v>
      </c>
      <c r="D1467" s="107" t="s">
        <v>1679</v>
      </c>
      <c r="E1467" s="109" t="s">
        <v>1680</v>
      </c>
      <c r="F1467" s="94"/>
      <c r="G1467" s="94"/>
      <c r="H1467" s="94"/>
      <c r="I1467" s="94"/>
      <c r="J1467" s="94"/>
      <c r="K1467" s="94"/>
      <c r="L1467" s="94"/>
      <c r="M1467" s="94"/>
      <c r="N1467" s="94"/>
      <c r="O1467" s="94"/>
      <c r="P1467" s="94"/>
      <c r="Q1467" s="94"/>
      <c r="R1467" s="94"/>
      <c r="S1467" s="94"/>
      <c r="T1467" s="94"/>
      <c r="U1467" s="94"/>
      <c r="V1467" s="94"/>
      <c r="W1467" s="94"/>
      <c r="X1467" s="94"/>
      <c r="Y1467" s="94"/>
      <c r="Z1467" s="94"/>
      <c r="AA1467" s="94"/>
      <c r="AB1467" s="94"/>
      <c r="AC1467" s="94"/>
      <c r="AD1467" s="94"/>
      <c r="AE1467" s="94"/>
      <c r="AF1467" s="94"/>
      <c r="AG1467" s="94"/>
      <c r="AH1467" s="94"/>
      <c r="AI1467" s="94"/>
      <c r="AJ1467" s="94"/>
      <c r="AK1467" s="94"/>
      <c r="AL1467" s="94"/>
      <c r="AM1467" s="94"/>
      <c r="AN1467" s="94"/>
      <c r="AO1467" s="94"/>
      <c r="AP1467" s="94"/>
      <c r="AQ1467" s="94"/>
      <c r="AR1467" s="94"/>
      <c r="AS1467" s="94"/>
      <c r="AT1467" s="94"/>
      <c r="AU1467" s="94"/>
      <c r="AV1467" s="94"/>
      <c r="AW1467" s="94"/>
      <c r="AX1467" s="94"/>
      <c r="AY1467" s="94"/>
      <c r="AZ1467" s="94"/>
      <c r="BA1467" s="94"/>
      <c r="BB1467" s="94"/>
      <c r="BC1467" s="94"/>
      <c r="BD1467" s="94"/>
      <c r="BE1467" s="94"/>
      <c r="BF1467" s="94"/>
    </row>
    <row r="1468" spans="1:58" x14ac:dyDescent="0.35">
      <c r="A1468" s="107" t="s">
        <v>3256</v>
      </c>
      <c r="B1468" s="108" t="s">
        <v>0</v>
      </c>
      <c r="C1468" s="109">
        <v>7</v>
      </c>
      <c r="D1468" s="107" t="s">
        <v>1649</v>
      </c>
      <c r="E1468" s="109" t="s">
        <v>1680</v>
      </c>
      <c r="F1468" s="94"/>
      <c r="G1468" s="94"/>
      <c r="H1468" s="94"/>
      <c r="I1468" s="94"/>
      <c r="J1468" s="94"/>
      <c r="K1468" s="94"/>
      <c r="L1468" s="94"/>
      <c r="M1468" s="94"/>
      <c r="N1468" s="94"/>
      <c r="O1468" s="94"/>
      <c r="P1468" s="94"/>
      <c r="Q1468" s="94"/>
      <c r="R1468" s="94"/>
      <c r="S1468" s="94"/>
      <c r="T1468" s="94"/>
      <c r="U1468" s="94"/>
      <c r="V1468" s="94"/>
      <c r="W1468" s="94"/>
      <c r="X1468" s="94"/>
      <c r="Y1468" s="94"/>
      <c r="Z1468" s="94"/>
      <c r="AA1468" s="94"/>
      <c r="AB1468" s="94"/>
      <c r="AC1468" s="94"/>
      <c r="AD1468" s="94"/>
      <c r="AE1468" s="94"/>
      <c r="AF1468" s="94"/>
      <c r="AG1468" s="94"/>
      <c r="AH1468" s="94"/>
      <c r="AI1468" s="94"/>
      <c r="AJ1468" s="94"/>
      <c r="AK1468" s="94"/>
      <c r="AL1468" s="94"/>
      <c r="AM1468" s="94"/>
      <c r="AN1468" s="94"/>
      <c r="AO1468" s="94"/>
      <c r="AP1468" s="94"/>
      <c r="AQ1468" s="94"/>
      <c r="AR1468" s="94"/>
      <c r="AS1468" s="94"/>
      <c r="AT1468" s="94"/>
      <c r="AU1468" s="94"/>
      <c r="AV1468" s="94"/>
      <c r="AW1468" s="94"/>
      <c r="AX1468" s="94"/>
      <c r="AY1468" s="94"/>
      <c r="AZ1468" s="94"/>
      <c r="BA1468" s="94"/>
      <c r="BB1468" s="94"/>
      <c r="BC1468" s="94"/>
      <c r="BD1468" s="94"/>
      <c r="BE1468" s="94"/>
      <c r="BF1468" s="94"/>
    </row>
    <row r="1469" spans="1:58" x14ac:dyDescent="0.35">
      <c r="A1469" s="104" t="s">
        <v>3257</v>
      </c>
      <c r="B1469" s="105" t="s">
        <v>0</v>
      </c>
      <c r="C1469" s="106">
        <v>6</v>
      </c>
      <c r="D1469" s="104" t="s">
        <v>123</v>
      </c>
      <c r="E1469" s="106"/>
      <c r="F1469" s="94"/>
      <c r="G1469" s="94"/>
      <c r="H1469" s="94"/>
      <c r="I1469" s="94"/>
      <c r="J1469" s="94"/>
      <c r="K1469" s="94"/>
      <c r="L1469" s="94"/>
      <c r="M1469" s="94"/>
      <c r="N1469" s="94"/>
      <c r="O1469" s="94"/>
      <c r="P1469" s="94"/>
      <c r="Q1469" s="94"/>
      <c r="R1469" s="94"/>
      <c r="S1469" s="94"/>
      <c r="T1469" s="94"/>
      <c r="U1469" s="94"/>
      <c r="V1469" s="94"/>
      <c r="W1469" s="94"/>
      <c r="X1469" s="94"/>
      <c r="Y1469" s="94"/>
      <c r="Z1469" s="94"/>
      <c r="AA1469" s="94"/>
      <c r="AB1469" s="94"/>
      <c r="AC1469" s="94"/>
      <c r="AD1469" s="94"/>
      <c r="AE1469" s="94"/>
      <c r="AF1469" s="94"/>
      <c r="AG1469" s="94"/>
      <c r="AH1469" s="94"/>
      <c r="AI1469" s="94"/>
      <c r="AJ1469" s="94"/>
      <c r="AK1469" s="94"/>
      <c r="AL1469" s="94"/>
      <c r="AM1469" s="94"/>
      <c r="AN1469" s="94"/>
      <c r="AO1469" s="94"/>
      <c r="AP1469" s="94"/>
      <c r="AQ1469" s="94"/>
      <c r="AR1469" s="94"/>
      <c r="AS1469" s="94"/>
      <c r="AT1469" s="94"/>
      <c r="AU1469" s="94"/>
      <c r="AV1469" s="94"/>
      <c r="AW1469" s="94"/>
      <c r="AX1469" s="94"/>
      <c r="AY1469" s="94"/>
      <c r="AZ1469" s="94"/>
      <c r="BA1469" s="94"/>
      <c r="BB1469" s="94"/>
      <c r="BC1469" s="94"/>
      <c r="BD1469" s="94"/>
      <c r="BE1469" s="94"/>
      <c r="BF1469" s="94"/>
    </row>
    <row r="1470" spans="1:58" x14ac:dyDescent="0.35">
      <c r="A1470" s="107" t="s">
        <v>3781</v>
      </c>
      <c r="B1470" s="108" t="s">
        <v>0</v>
      </c>
      <c r="C1470" s="109">
        <v>7</v>
      </c>
      <c r="D1470" s="107" t="s">
        <v>1654</v>
      </c>
      <c r="E1470" s="109"/>
      <c r="F1470" s="94"/>
      <c r="G1470" s="94"/>
      <c r="H1470" s="94"/>
      <c r="I1470" s="94"/>
      <c r="J1470" s="94"/>
      <c r="K1470" s="94"/>
      <c r="L1470" s="94"/>
      <c r="M1470" s="94"/>
      <c r="N1470" s="94"/>
      <c r="O1470" s="94"/>
      <c r="P1470" s="94"/>
      <c r="Q1470" s="94"/>
      <c r="R1470" s="94"/>
      <c r="S1470" s="94"/>
      <c r="T1470" s="94"/>
      <c r="U1470" s="94"/>
      <c r="V1470" s="94"/>
      <c r="W1470" s="94"/>
      <c r="X1470" s="94"/>
      <c r="Y1470" s="94"/>
      <c r="Z1470" s="94"/>
      <c r="AA1470" s="94"/>
      <c r="AB1470" s="94"/>
      <c r="AC1470" s="94"/>
      <c r="AD1470" s="94"/>
      <c r="AE1470" s="94"/>
      <c r="AF1470" s="94"/>
      <c r="AG1470" s="94"/>
      <c r="AH1470" s="94"/>
      <c r="AI1470" s="94"/>
      <c r="AJ1470" s="94"/>
      <c r="AK1470" s="94"/>
      <c r="AL1470" s="94"/>
      <c r="AM1470" s="94"/>
      <c r="AN1470" s="94"/>
      <c r="AO1470" s="94"/>
      <c r="AP1470" s="94"/>
      <c r="AQ1470" s="94"/>
      <c r="AR1470" s="94"/>
      <c r="AS1470" s="94"/>
      <c r="AT1470" s="94"/>
      <c r="AU1470" s="94"/>
      <c r="AV1470" s="94"/>
      <c r="AW1470" s="94"/>
      <c r="AX1470" s="94"/>
      <c r="AY1470" s="94"/>
      <c r="AZ1470" s="94"/>
      <c r="BA1470" s="94"/>
      <c r="BB1470" s="94"/>
      <c r="BC1470" s="94"/>
      <c r="BD1470" s="94"/>
      <c r="BE1470" s="94"/>
      <c r="BF1470" s="94"/>
    </row>
    <row r="1471" spans="1:58" x14ac:dyDescent="0.35">
      <c r="A1471" s="101" t="s">
        <v>3258</v>
      </c>
      <c r="B1471" s="102" t="s">
        <v>0</v>
      </c>
      <c r="C1471" s="103">
        <v>5</v>
      </c>
      <c r="D1471" s="101" t="s">
        <v>1231</v>
      </c>
      <c r="E1471" s="103" t="s">
        <v>266</v>
      </c>
      <c r="F1471" s="94"/>
      <c r="G1471" s="94"/>
      <c r="H1471" s="94"/>
      <c r="I1471" s="94"/>
      <c r="J1471" s="94"/>
      <c r="K1471" s="94"/>
      <c r="L1471" s="94"/>
      <c r="M1471" s="94"/>
      <c r="N1471" s="94"/>
      <c r="O1471" s="94"/>
      <c r="P1471" s="94"/>
      <c r="Q1471" s="94"/>
      <c r="R1471" s="94"/>
      <c r="S1471" s="94"/>
      <c r="T1471" s="94"/>
      <c r="U1471" s="94"/>
      <c r="V1471" s="94"/>
      <c r="W1471" s="94"/>
      <c r="X1471" s="94"/>
      <c r="Y1471" s="94"/>
      <c r="Z1471" s="94"/>
      <c r="AA1471" s="94"/>
      <c r="AB1471" s="94"/>
      <c r="AC1471" s="94"/>
      <c r="AD1471" s="94"/>
      <c r="AE1471" s="94"/>
      <c r="AF1471" s="94"/>
      <c r="AG1471" s="94"/>
      <c r="AH1471" s="94"/>
      <c r="AI1471" s="94"/>
      <c r="AJ1471" s="94"/>
      <c r="AK1471" s="94"/>
      <c r="AL1471" s="94"/>
      <c r="AM1471" s="94"/>
      <c r="AN1471" s="94"/>
      <c r="AO1471" s="94"/>
      <c r="AP1471" s="94"/>
      <c r="AQ1471" s="94"/>
      <c r="AR1471" s="94"/>
      <c r="AS1471" s="94"/>
      <c r="AT1471" s="94"/>
      <c r="AU1471" s="94"/>
      <c r="AV1471" s="94"/>
      <c r="AW1471" s="94"/>
      <c r="AX1471" s="94"/>
      <c r="AY1471" s="94"/>
      <c r="AZ1471" s="94"/>
      <c r="BA1471" s="94"/>
      <c r="BB1471" s="94"/>
      <c r="BC1471" s="94"/>
      <c r="BD1471" s="94"/>
      <c r="BE1471" s="94"/>
      <c r="BF1471" s="94"/>
    </row>
    <row r="1472" spans="1:58" x14ac:dyDescent="0.35">
      <c r="A1472" s="104" t="s">
        <v>3259</v>
      </c>
      <c r="B1472" s="105" t="s">
        <v>0</v>
      </c>
      <c r="C1472" s="106">
        <v>6</v>
      </c>
      <c r="D1472" s="104" t="s">
        <v>16</v>
      </c>
      <c r="E1472" s="106"/>
      <c r="F1472" s="94"/>
      <c r="G1472" s="94"/>
      <c r="H1472" s="94"/>
      <c r="I1472" s="94"/>
      <c r="J1472" s="94"/>
      <c r="K1472" s="94"/>
      <c r="L1472" s="94"/>
      <c r="M1472" s="94"/>
      <c r="N1472" s="94"/>
      <c r="O1472" s="94"/>
      <c r="P1472" s="94"/>
      <c r="Q1472" s="94"/>
      <c r="R1472" s="94"/>
      <c r="S1472" s="94"/>
      <c r="T1472" s="94"/>
      <c r="U1472" s="94"/>
      <c r="V1472" s="94"/>
      <c r="W1472" s="94"/>
      <c r="X1472" s="94"/>
      <c r="Y1472" s="94"/>
      <c r="Z1472" s="94"/>
      <c r="AA1472" s="94"/>
      <c r="AB1472" s="94"/>
      <c r="AC1472" s="94"/>
      <c r="AD1472" s="94"/>
      <c r="AE1472" s="94"/>
      <c r="AF1472" s="94"/>
      <c r="AG1472" s="94"/>
      <c r="AH1472" s="94"/>
      <c r="AI1472" s="94"/>
      <c r="AJ1472" s="94"/>
      <c r="AK1472" s="94"/>
      <c r="AL1472" s="94"/>
      <c r="AM1472" s="94"/>
      <c r="AN1472" s="94"/>
      <c r="AO1472" s="94"/>
      <c r="AP1472" s="94"/>
      <c r="AQ1472" s="94"/>
      <c r="AR1472" s="94"/>
      <c r="AS1472" s="94"/>
      <c r="AT1472" s="94"/>
      <c r="AU1472" s="94"/>
      <c r="AV1472" s="94"/>
      <c r="AW1472" s="94"/>
      <c r="AX1472" s="94"/>
      <c r="AY1472" s="94"/>
      <c r="AZ1472" s="94"/>
      <c r="BA1472" s="94"/>
      <c r="BB1472" s="94"/>
      <c r="BC1472" s="94"/>
      <c r="BD1472" s="94"/>
      <c r="BE1472" s="94"/>
      <c r="BF1472" s="94"/>
    </row>
    <row r="1473" spans="1:58" x14ac:dyDescent="0.35">
      <c r="A1473" s="107" t="s">
        <v>3260</v>
      </c>
      <c r="B1473" s="108" t="s">
        <v>0</v>
      </c>
      <c r="C1473" s="109">
        <v>7</v>
      </c>
      <c r="D1473" s="107" t="s">
        <v>1234</v>
      </c>
      <c r="E1473" s="109" t="s">
        <v>267</v>
      </c>
      <c r="F1473" s="94"/>
      <c r="G1473" s="94"/>
      <c r="H1473" s="94"/>
      <c r="I1473" s="94"/>
      <c r="J1473" s="94"/>
      <c r="K1473" s="94"/>
      <c r="L1473" s="94"/>
      <c r="M1473" s="94"/>
      <c r="N1473" s="94"/>
      <c r="O1473" s="94"/>
      <c r="P1473" s="94"/>
      <c r="Q1473" s="94"/>
      <c r="R1473" s="94"/>
      <c r="S1473" s="94"/>
      <c r="T1473" s="94"/>
      <c r="U1473" s="94"/>
      <c r="V1473" s="94"/>
      <c r="W1473" s="94"/>
      <c r="X1473" s="94"/>
      <c r="Y1473" s="94"/>
      <c r="Z1473" s="94"/>
      <c r="AA1473" s="94"/>
      <c r="AB1473" s="94"/>
      <c r="AC1473" s="94"/>
      <c r="AD1473" s="94"/>
      <c r="AE1473" s="94"/>
      <c r="AF1473" s="94"/>
      <c r="AG1473" s="94"/>
      <c r="AH1473" s="94"/>
      <c r="AI1473" s="94"/>
      <c r="AJ1473" s="94"/>
      <c r="AK1473" s="94"/>
      <c r="AL1473" s="94"/>
      <c r="AM1473" s="94"/>
      <c r="AN1473" s="94"/>
      <c r="AO1473" s="94"/>
      <c r="AP1473" s="94"/>
      <c r="AQ1473" s="94"/>
      <c r="AR1473" s="94"/>
      <c r="AS1473" s="94"/>
      <c r="AT1473" s="94"/>
      <c r="AU1473" s="94"/>
      <c r="AV1473" s="94"/>
      <c r="AW1473" s="94"/>
      <c r="AX1473" s="94"/>
      <c r="AY1473" s="94"/>
      <c r="AZ1473" s="94"/>
      <c r="BA1473" s="94"/>
      <c r="BB1473" s="94"/>
      <c r="BC1473" s="94"/>
      <c r="BD1473" s="94"/>
      <c r="BE1473" s="94"/>
      <c r="BF1473" s="94"/>
    </row>
    <row r="1474" spans="1:58" x14ac:dyDescent="0.35">
      <c r="A1474" s="104" t="s">
        <v>3261</v>
      </c>
      <c r="B1474" s="105" t="s">
        <v>0</v>
      </c>
      <c r="C1474" s="106">
        <v>6</v>
      </c>
      <c r="D1474" s="104" t="s">
        <v>123</v>
      </c>
      <c r="E1474" s="106"/>
      <c r="F1474" s="94"/>
      <c r="G1474" s="94"/>
      <c r="H1474" s="94"/>
      <c r="I1474" s="94"/>
      <c r="J1474" s="94"/>
      <c r="K1474" s="94"/>
      <c r="L1474" s="94"/>
      <c r="M1474" s="94"/>
      <c r="N1474" s="94"/>
      <c r="O1474" s="94"/>
      <c r="P1474" s="94"/>
      <c r="Q1474" s="94"/>
      <c r="R1474" s="94"/>
      <c r="S1474" s="94"/>
      <c r="T1474" s="94"/>
      <c r="U1474" s="94"/>
      <c r="V1474" s="94"/>
      <c r="W1474" s="94"/>
      <c r="X1474" s="94"/>
      <c r="Y1474" s="94"/>
      <c r="Z1474" s="94"/>
      <c r="AA1474" s="94"/>
      <c r="AB1474" s="94"/>
      <c r="AC1474" s="94"/>
      <c r="AD1474" s="94"/>
      <c r="AE1474" s="94"/>
      <c r="AF1474" s="94"/>
      <c r="AG1474" s="94"/>
      <c r="AH1474" s="94"/>
      <c r="AI1474" s="94"/>
      <c r="AJ1474" s="94"/>
      <c r="AK1474" s="94"/>
      <c r="AL1474" s="94"/>
      <c r="AM1474" s="94"/>
      <c r="AN1474" s="94"/>
      <c r="AO1474" s="94"/>
      <c r="AP1474" s="94"/>
      <c r="AQ1474" s="94"/>
      <c r="AR1474" s="94"/>
      <c r="AS1474" s="94"/>
      <c r="AT1474" s="94"/>
      <c r="AU1474" s="94"/>
      <c r="AV1474" s="94"/>
      <c r="AW1474" s="94"/>
      <c r="AX1474" s="94"/>
      <c r="AY1474" s="94"/>
      <c r="AZ1474" s="94"/>
      <c r="BA1474" s="94"/>
      <c r="BB1474" s="94"/>
      <c r="BC1474" s="94"/>
      <c r="BD1474" s="94"/>
      <c r="BE1474" s="94"/>
      <c r="BF1474" s="94"/>
    </row>
    <row r="1475" spans="1:58" x14ac:dyDescent="0.35">
      <c r="A1475" s="107" t="s">
        <v>3782</v>
      </c>
      <c r="B1475" s="108" t="s">
        <v>0</v>
      </c>
      <c r="C1475" s="109">
        <v>7</v>
      </c>
      <c r="D1475" s="107" t="s">
        <v>1654</v>
      </c>
      <c r="E1475" s="109"/>
      <c r="F1475" s="94"/>
      <c r="G1475" s="94"/>
      <c r="H1475" s="94"/>
      <c r="I1475" s="94"/>
      <c r="J1475" s="94"/>
      <c r="K1475" s="94"/>
      <c r="L1475" s="94"/>
      <c r="M1475" s="94"/>
      <c r="N1475" s="94"/>
      <c r="O1475" s="94"/>
      <c r="P1475" s="94"/>
      <c r="Q1475" s="94"/>
      <c r="R1475" s="94"/>
      <c r="S1475" s="94"/>
      <c r="T1475" s="94"/>
      <c r="U1475" s="94"/>
      <c r="V1475" s="94"/>
      <c r="W1475" s="94"/>
      <c r="X1475" s="94"/>
      <c r="Y1475" s="94"/>
      <c r="Z1475" s="94"/>
      <c r="AA1475" s="94"/>
      <c r="AB1475" s="94"/>
      <c r="AC1475" s="94"/>
      <c r="AD1475" s="94"/>
      <c r="AE1475" s="94"/>
      <c r="AF1475" s="94"/>
      <c r="AG1475" s="94"/>
      <c r="AH1475" s="94"/>
      <c r="AI1475" s="94"/>
      <c r="AJ1475" s="94"/>
      <c r="AK1475" s="94"/>
      <c r="AL1475" s="94"/>
      <c r="AM1475" s="94"/>
      <c r="AN1475" s="94"/>
      <c r="AO1475" s="94"/>
      <c r="AP1475" s="94"/>
      <c r="AQ1475" s="94"/>
      <c r="AR1475" s="94"/>
      <c r="AS1475" s="94"/>
      <c r="AT1475" s="94"/>
      <c r="AU1475" s="94"/>
      <c r="AV1475" s="94"/>
      <c r="AW1475" s="94"/>
      <c r="AX1475" s="94"/>
      <c r="AY1475" s="94"/>
      <c r="AZ1475" s="94"/>
      <c r="BA1475" s="94"/>
      <c r="BB1475" s="94"/>
      <c r="BC1475" s="94"/>
      <c r="BD1475" s="94"/>
      <c r="BE1475" s="94"/>
      <c r="BF1475" s="94"/>
    </row>
    <row r="1476" spans="1:58" x14ac:dyDescent="0.35">
      <c r="A1476" s="104" t="s">
        <v>3262</v>
      </c>
      <c r="B1476" s="105" t="s">
        <v>0</v>
      </c>
      <c r="C1476" s="106">
        <v>6</v>
      </c>
      <c r="D1476" s="104" t="s">
        <v>1665</v>
      </c>
      <c r="E1476" s="106"/>
      <c r="F1476" s="94"/>
      <c r="G1476" s="94"/>
      <c r="H1476" s="94"/>
      <c r="I1476" s="94"/>
      <c r="J1476" s="94"/>
      <c r="K1476" s="94"/>
      <c r="L1476" s="94"/>
      <c r="M1476" s="94"/>
      <c r="N1476" s="94"/>
      <c r="O1476" s="94"/>
      <c r="P1476" s="94"/>
      <c r="Q1476" s="94"/>
      <c r="R1476" s="94"/>
      <c r="S1476" s="94"/>
      <c r="T1476" s="94"/>
      <c r="U1476" s="94"/>
      <c r="V1476" s="94"/>
      <c r="W1476" s="94"/>
      <c r="X1476" s="94"/>
      <c r="Y1476" s="94"/>
      <c r="Z1476" s="94"/>
      <c r="AA1476" s="94"/>
      <c r="AB1476" s="94"/>
      <c r="AC1476" s="94"/>
      <c r="AD1476" s="94"/>
      <c r="AE1476" s="94"/>
      <c r="AF1476" s="94"/>
      <c r="AG1476" s="94"/>
      <c r="AH1476" s="94"/>
      <c r="AI1476" s="94"/>
      <c r="AJ1476" s="94"/>
      <c r="AK1476" s="94"/>
      <c r="AL1476" s="94"/>
      <c r="AM1476" s="94"/>
      <c r="AN1476" s="94"/>
      <c r="AO1476" s="94"/>
      <c r="AP1476" s="94"/>
      <c r="AQ1476" s="94"/>
      <c r="AR1476" s="94"/>
      <c r="AS1476" s="94"/>
      <c r="AT1476" s="94"/>
      <c r="AU1476" s="94"/>
      <c r="AV1476" s="94"/>
      <c r="AW1476" s="94"/>
      <c r="AX1476" s="94"/>
      <c r="AY1476" s="94"/>
      <c r="AZ1476" s="94"/>
      <c r="BA1476" s="94"/>
      <c r="BB1476" s="94"/>
      <c r="BC1476" s="94"/>
      <c r="BD1476" s="94"/>
      <c r="BE1476" s="94"/>
      <c r="BF1476" s="94"/>
    </row>
    <row r="1477" spans="1:58" x14ac:dyDescent="0.35">
      <c r="A1477" s="107" t="s">
        <v>3263</v>
      </c>
      <c r="B1477" s="108" t="s">
        <v>0</v>
      </c>
      <c r="C1477" s="109">
        <v>7</v>
      </c>
      <c r="D1477" s="107" t="s">
        <v>1660</v>
      </c>
      <c r="E1477" s="109" t="s">
        <v>1682</v>
      </c>
      <c r="F1477" s="94"/>
      <c r="G1477" s="94"/>
      <c r="H1477" s="94"/>
      <c r="I1477" s="94"/>
      <c r="J1477" s="94"/>
      <c r="K1477" s="94"/>
      <c r="L1477" s="94"/>
      <c r="M1477" s="94"/>
      <c r="N1477" s="94"/>
      <c r="O1477" s="94"/>
      <c r="P1477" s="94"/>
      <c r="Q1477" s="94"/>
      <c r="R1477" s="94"/>
      <c r="S1477" s="94"/>
      <c r="T1477" s="94"/>
      <c r="U1477" s="94"/>
      <c r="V1477" s="94"/>
      <c r="W1477" s="94"/>
      <c r="X1477" s="94"/>
      <c r="Y1477" s="94"/>
      <c r="Z1477" s="94"/>
      <c r="AA1477" s="94"/>
      <c r="AB1477" s="94"/>
      <c r="AC1477" s="94"/>
      <c r="AD1477" s="94"/>
      <c r="AE1477" s="94"/>
      <c r="AF1477" s="94"/>
      <c r="AG1477" s="94"/>
      <c r="AH1477" s="94"/>
      <c r="AI1477" s="94"/>
      <c r="AJ1477" s="94"/>
      <c r="AK1477" s="94"/>
      <c r="AL1477" s="94"/>
      <c r="AM1477" s="94"/>
      <c r="AN1477" s="94"/>
      <c r="AO1477" s="94"/>
      <c r="AP1477" s="94"/>
      <c r="AQ1477" s="94"/>
      <c r="AR1477" s="94"/>
      <c r="AS1477" s="94"/>
      <c r="AT1477" s="94"/>
      <c r="AU1477" s="94"/>
      <c r="AV1477" s="94"/>
      <c r="AW1477" s="94"/>
      <c r="AX1477" s="94"/>
      <c r="AY1477" s="94"/>
      <c r="AZ1477" s="94"/>
      <c r="BA1477" s="94"/>
      <c r="BB1477" s="94"/>
      <c r="BC1477" s="94"/>
      <c r="BD1477" s="94"/>
      <c r="BE1477" s="94"/>
      <c r="BF1477" s="94"/>
    </row>
    <row r="1478" spans="1:58" x14ac:dyDescent="0.35">
      <c r="A1478" s="101" t="s">
        <v>3264</v>
      </c>
      <c r="B1478" s="102" t="s">
        <v>0</v>
      </c>
      <c r="C1478" s="103">
        <v>5</v>
      </c>
      <c r="D1478" s="101" t="s">
        <v>1232</v>
      </c>
      <c r="E1478" s="103" t="s">
        <v>268</v>
      </c>
      <c r="F1478" s="94"/>
      <c r="G1478" s="94"/>
      <c r="H1478" s="94"/>
      <c r="I1478" s="94"/>
      <c r="J1478" s="94"/>
      <c r="K1478" s="94"/>
      <c r="L1478" s="94"/>
      <c r="M1478" s="94"/>
      <c r="N1478" s="94"/>
      <c r="O1478" s="94"/>
      <c r="P1478" s="94"/>
      <c r="Q1478" s="94"/>
      <c r="R1478" s="94"/>
      <c r="S1478" s="94"/>
      <c r="T1478" s="94"/>
      <c r="U1478" s="94"/>
      <c r="V1478" s="94"/>
      <c r="W1478" s="94"/>
      <c r="X1478" s="94"/>
      <c r="Y1478" s="94"/>
      <c r="Z1478" s="94"/>
      <c r="AA1478" s="94"/>
      <c r="AB1478" s="94"/>
      <c r="AC1478" s="94"/>
      <c r="AD1478" s="94"/>
      <c r="AE1478" s="94"/>
      <c r="AF1478" s="94"/>
      <c r="AG1478" s="94"/>
      <c r="AH1478" s="94"/>
      <c r="AI1478" s="94"/>
      <c r="AJ1478" s="94"/>
      <c r="AK1478" s="94"/>
      <c r="AL1478" s="94"/>
      <c r="AM1478" s="94"/>
      <c r="AN1478" s="94"/>
      <c r="AO1478" s="94"/>
      <c r="AP1478" s="94"/>
      <c r="AQ1478" s="94"/>
      <c r="AR1478" s="94"/>
      <c r="AS1478" s="94"/>
      <c r="AT1478" s="94"/>
      <c r="AU1478" s="94"/>
      <c r="AV1478" s="94"/>
      <c r="AW1478" s="94"/>
      <c r="AX1478" s="94"/>
      <c r="AY1478" s="94"/>
      <c r="AZ1478" s="94"/>
      <c r="BA1478" s="94"/>
      <c r="BB1478" s="94"/>
      <c r="BC1478" s="94"/>
      <c r="BD1478" s="94"/>
      <c r="BE1478" s="94"/>
      <c r="BF1478" s="94"/>
    </row>
    <row r="1479" spans="1:58" x14ac:dyDescent="0.35">
      <c r="A1479" s="104" t="s">
        <v>3265</v>
      </c>
      <c r="B1479" s="105" t="s">
        <v>0</v>
      </c>
      <c r="C1479" s="106">
        <v>6</v>
      </c>
      <c r="D1479" s="104" t="s">
        <v>16</v>
      </c>
      <c r="E1479" s="106"/>
      <c r="F1479" s="94"/>
      <c r="G1479" s="94"/>
      <c r="H1479" s="94"/>
      <c r="I1479" s="94"/>
      <c r="J1479" s="94"/>
      <c r="K1479" s="94"/>
      <c r="L1479" s="94"/>
      <c r="M1479" s="94"/>
      <c r="N1479" s="94"/>
      <c r="O1479" s="94"/>
      <c r="P1479" s="94"/>
      <c r="Q1479" s="94"/>
      <c r="R1479" s="94"/>
      <c r="S1479" s="94"/>
      <c r="T1479" s="94"/>
      <c r="U1479" s="94"/>
      <c r="V1479" s="94"/>
      <c r="W1479" s="94"/>
      <c r="X1479" s="94"/>
      <c r="Y1479" s="94"/>
      <c r="Z1479" s="94"/>
      <c r="AA1479" s="94"/>
      <c r="AB1479" s="94"/>
      <c r="AC1479" s="94"/>
      <c r="AD1479" s="94"/>
      <c r="AE1479" s="94"/>
      <c r="AF1479" s="94"/>
      <c r="AG1479" s="94"/>
      <c r="AH1479" s="94"/>
      <c r="AI1479" s="94"/>
      <c r="AJ1479" s="94"/>
      <c r="AK1479" s="94"/>
      <c r="AL1479" s="94"/>
      <c r="AM1479" s="94"/>
      <c r="AN1479" s="94"/>
      <c r="AO1479" s="94"/>
      <c r="AP1479" s="94"/>
      <c r="AQ1479" s="94"/>
      <c r="AR1479" s="94"/>
      <c r="AS1479" s="94"/>
      <c r="AT1479" s="94"/>
      <c r="AU1479" s="94"/>
      <c r="AV1479" s="94"/>
      <c r="AW1479" s="94"/>
      <c r="AX1479" s="94"/>
      <c r="AY1479" s="94"/>
      <c r="AZ1479" s="94"/>
      <c r="BA1479" s="94"/>
      <c r="BB1479" s="94"/>
      <c r="BC1479" s="94"/>
      <c r="BD1479" s="94"/>
      <c r="BE1479" s="94"/>
      <c r="BF1479" s="94"/>
    </row>
    <row r="1480" spans="1:58" x14ac:dyDescent="0.35">
      <c r="A1480" s="107" t="s">
        <v>3266</v>
      </c>
      <c r="B1480" s="108" t="s">
        <v>0</v>
      </c>
      <c r="C1480" s="109">
        <v>7</v>
      </c>
      <c r="D1480" s="107" t="s">
        <v>1233</v>
      </c>
      <c r="E1480" s="109" t="s">
        <v>269</v>
      </c>
      <c r="F1480" s="94"/>
      <c r="G1480" s="94"/>
      <c r="H1480" s="94"/>
      <c r="I1480" s="94"/>
      <c r="J1480" s="94"/>
      <c r="K1480" s="94"/>
      <c r="L1480" s="94"/>
      <c r="M1480" s="94"/>
      <c r="N1480" s="94"/>
      <c r="O1480" s="94"/>
      <c r="P1480" s="94"/>
      <c r="Q1480" s="94"/>
      <c r="R1480" s="94"/>
      <c r="S1480" s="94"/>
      <c r="T1480" s="94"/>
      <c r="U1480" s="94"/>
      <c r="V1480" s="94"/>
      <c r="W1480" s="94"/>
      <c r="X1480" s="94"/>
      <c r="Y1480" s="94"/>
      <c r="Z1480" s="94"/>
      <c r="AA1480" s="94"/>
      <c r="AB1480" s="94"/>
      <c r="AC1480" s="94"/>
      <c r="AD1480" s="94"/>
      <c r="AE1480" s="94"/>
      <c r="AF1480" s="94"/>
      <c r="AG1480" s="94"/>
      <c r="AH1480" s="94"/>
      <c r="AI1480" s="94"/>
      <c r="AJ1480" s="94"/>
      <c r="AK1480" s="94"/>
      <c r="AL1480" s="94"/>
      <c r="AM1480" s="94"/>
      <c r="AN1480" s="94"/>
      <c r="AO1480" s="94"/>
      <c r="AP1480" s="94"/>
      <c r="AQ1480" s="94"/>
      <c r="AR1480" s="94"/>
      <c r="AS1480" s="94"/>
      <c r="AT1480" s="94"/>
      <c r="AU1480" s="94"/>
      <c r="AV1480" s="94"/>
      <c r="AW1480" s="94"/>
      <c r="AX1480" s="94"/>
      <c r="AY1480" s="94"/>
      <c r="AZ1480" s="94"/>
      <c r="BA1480" s="94"/>
      <c r="BB1480" s="94"/>
      <c r="BC1480" s="94"/>
      <c r="BD1480" s="94"/>
      <c r="BE1480" s="94"/>
      <c r="BF1480" s="94"/>
    </row>
    <row r="1481" spans="1:58" x14ac:dyDescent="0.35">
      <c r="A1481" s="104" t="s">
        <v>3267</v>
      </c>
      <c r="B1481" s="105" t="s">
        <v>0</v>
      </c>
      <c r="C1481" s="106">
        <v>6</v>
      </c>
      <c r="D1481" s="104" t="s">
        <v>123</v>
      </c>
      <c r="E1481" s="106"/>
      <c r="F1481" s="94"/>
      <c r="G1481" s="94"/>
      <c r="H1481" s="94"/>
      <c r="I1481" s="94"/>
      <c r="J1481" s="94"/>
      <c r="K1481" s="94"/>
      <c r="L1481" s="94"/>
      <c r="M1481" s="94"/>
      <c r="N1481" s="94"/>
      <c r="O1481" s="94"/>
      <c r="P1481" s="94"/>
      <c r="Q1481" s="94"/>
      <c r="R1481" s="94"/>
      <c r="S1481" s="94"/>
      <c r="T1481" s="94"/>
      <c r="U1481" s="94"/>
      <c r="V1481" s="94"/>
      <c r="W1481" s="94"/>
      <c r="X1481" s="94"/>
      <c r="Y1481" s="94"/>
      <c r="Z1481" s="94"/>
      <c r="AA1481" s="94"/>
      <c r="AB1481" s="94"/>
      <c r="AC1481" s="94"/>
      <c r="AD1481" s="94"/>
      <c r="AE1481" s="94"/>
      <c r="AF1481" s="94"/>
      <c r="AG1481" s="94"/>
      <c r="AH1481" s="94"/>
      <c r="AI1481" s="94"/>
      <c r="AJ1481" s="94"/>
      <c r="AK1481" s="94"/>
      <c r="AL1481" s="94"/>
      <c r="AM1481" s="94"/>
      <c r="AN1481" s="94"/>
      <c r="AO1481" s="94"/>
      <c r="AP1481" s="94"/>
      <c r="AQ1481" s="94"/>
      <c r="AR1481" s="94"/>
      <c r="AS1481" s="94"/>
      <c r="AT1481" s="94"/>
      <c r="AU1481" s="94"/>
      <c r="AV1481" s="94"/>
      <c r="AW1481" s="94"/>
      <c r="AX1481" s="94"/>
      <c r="AY1481" s="94"/>
      <c r="AZ1481" s="94"/>
      <c r="BA1481" s="94"/>
      <c r="BB1481" s="94"/>
      <c r="BC1481" s="94"/>
      <c r="BD1481" s="94"/>
      <c r="BE1481" s="94"/>
      <c r="BF1481" s="94"/>
    </row>
    <row r="1482" spans="1:58" x14ac:dyDescent="0.35">
      <c r="A1482" s="107" t="s">
        <v>3267</v>
      </c>
      <c r="B1482" s="108" t="s">
        <v>0</v>
      </c>
      <c r="C1482" s="109">
        <v>7</v>
      </c>
      <c r="D1482" s="107" t="s">
        <v>1654</v>
      </c>
      <c r="E1482" s="109"/>
      <c r="F1482" s="94"/>
      <c r="G1482" s="94"/>
      <c r="H1482" s="94"/>
      <c r="I1482" s="94"/>
      <c r="J1482" s="94"/>
      <c r="K1482" s="94"/>
      <c r="L1482" s="94"/>
      <c r="M1482" s="94"/>
      <c r="N1482" s="94"/>
      <c r="O1482" s="94"/>
      <c r="P1482" s="94"/>
      <c r="Q1482" s="94"/>
      <c r="R1482" s="94"/>
      <c r="S1482" s="94"/>
      <c r="T1482" s="94"/>
      <c r="U1482" s="94"/>
      <c r="V1482" s="94"/>
      <c r="W1482" s="94"/>
      <c r="X1482" s="94"/>
      <c r="Y1482" s="94"/>
      <c r="Z1482" s="94"/>
      <c r="AA1482" s="94"/>
      <c r="AB1482" s="94"/>
      <c r="AC1482" s="94"/>
      <c r="AD1482" s="94"/>
      <c r="AE1482" s="94"/>
      <c r="AF1482" s="94"/>
      <c r="AG1482" s="94"/>
      <c r="AH1482" s="94"/>
      <c r="AI1482" s="94"/>
      <c r="AJ1482" s="94"/>
      <c r="AK1482" s="94"/>
      <c r="AL1482" s="94"/>
      <c r="AM1482" s="94"/>
      <c r="AN1482" s="94"/>
      <c r="AO1482" s="94"/>
      <c r="AP1482" s="94"/>
      <c r="AQ1482" s="94"/>
      <c r="AR1482" s="94"/>
      <c r="AS1482" s="94"/>
      <c r="AT1482" s="94"/>
      <c r="AU1482" s="94"/>
      <c r="AV1482" s="94"/>
      <c r="AW1482" s="94"/>
      <c r="AX1482" s="94"/>
      <c r="AY1482" s="94"/>
      <c r="AZ1482" s="94"/>
      <c r="BA1482" s="94"/>
      <c r="BB1482" s="94"/>
      <c r="BC1482" s="94"/>
      <c r="BD1482" s="94"/>
      <c r="BE1482" s="94"/>
      <c r="BF1482" s="94"/>
    </row>
    <row r="1483" spans="1:58" x14ac:dyDescent="0.35">
      <c r="A1483" s="104" t="s">
        <v>3268</v>
      </c>
      <c r="B1483" s="105" t="s">
        <v>0</v>
      </c>
      <c r="C1483" s="106">
        <v>6</v>
      </c>
      <c r="D1483" s="104" t="s">
        <v>1665</v>
      </c>
      <c r="E1483" s="106"/>
      <c r="F1483" s="94"/>
      <c r="G1483" s="94"/>
      <c r="H1483" s="94"/>
      <c r="I1483" s="94"/>
      <c r="J1483" s="94"/>
      <c r="K1483" s="94"/>
      <c r="L1483" s="94"/>
      <c r="M1483" s="94"/>
      <c r="N1483" s="94"/>
      <c r="O1483" s="94"/>
      <c r="P1483" s="94"/>
      <c r="Q1483" s="94"/>
      <c r="R1483" s="94"/>
      <c r="S1483" s="94"/>
      <c r="T1483" s="94"/>
      <c r="U1483" s="94"/>
      <c r="V1483" s="94"/>
      <c r="W1483" s="94"/>
      <c r="X1483" s="94"/>
      <c r="Y1483" s="94"/>
      <c r="Z1483" s="94"/>
      <c r="AA1483" s="94"/>
      <c r="AB1483" s="94"/>
      <c r="AC1483" s="94"/>
      <c r="AD1483" s="94"/>
      <c r="AE1483" s="94"/>
      <c r="AF1483" s="94"/>
      <c r="AG1483" s="94"/>
      <c r="AH1483" s="94"/>
      <c r="AI1483" s="94"/>
      <c r="AJ1483" s="94"/>
      <c r="AK1483" s="94"/>
      <c r="AL1483" s="94"/>
      <c r="AM1483" s="94"/>
      <c r="AN1483" s="94"/>
      <c r="AO1483" s="94"/>
      <c r="AP1483" s="94"/>
      <c r="AQ1483" s="94"/>
      <c r="AR1483" s="94"/>
      <c r="AS1483" s="94"/>
      <c r="AT1483" s="94"/>
      <c r="AU1483" s="94"/>
      <c r="AV1483" s="94"/>
      <c r="AW1483" s="94"/>
      <c r="AX1483" s="94"/>
      <c r="AY1483" s="94"/>
      <c r="AZ1483" s="94"/>
      <c r="BA1483" s="94"/>
      <c r="BB1483" s="94"/>
      <c r="BC1483" s="94"/>
      <c r="BD1483" s="94"/>
      <c r="BE1483" s="94"/>
      <c r="BF1483" s="94"/>
    </row>
    <row r="1484" spans="1:58" x14ac:dyDescent="0.35">
      <c r="A1484" s="107" t="s">
        <v>3269</v>
      </c>
      <c r="B1484" s="108" t="s">
        <v>0</v>
      </c>
      <c r="C1484" s="109">
        <v>7</v>
      </c>
      <c r="D1484" s="107" t="s">
        <v>1660</v>
      </c>
      <c r="E1484" s="109" t="s">
        <v>1681</v>
      </c>
      <c r="F1484" s="94"/>
      <c r="G1484" s="94"/>
      <c r="H1484" s="94"/>
      <c r="I1484" s="94"/>
      <c r="J1484" s="94"/>
      <c r="K1484" s="94"/>
      <c r="L1484" s="94"/>
      <c r="M1484" s="94"/>
      <c r="N1484" s="94"/>
      <c r="O1484" s="94"/>
      <c r="P1484" s="94"/>
      <c r="Q1484" s="94"/>
      <c r="R1484" s="94"/>
      <c r="S1484" s="94"/>
      <c r="T1484" s="94"/>
      <c r="U1484" s="94"/>
      <c r="V1484" s="94"/>
      <c r="W1484" s="94"/>
      <c r="X1484" s="94"/>
      <c r="Y1484" s="94"/>
      <c r="Z1484" s="94"/>
      <c r="AA1484" s="94"/>
      <c r="AB1484" s="94"/>
      <c r="AC1484" s="94"/>
      <c r="AD1484" s="94"/>
      <c r="AE1484" s="94"/>
      <c r="AF1484" s="94"/>
      <c r="AG1484" s="94"/>
      <c r="AH1484" s="94"/>
      <c r="AI1484" s="94"/>
      <c r="AJ1484" s="94"/>
      <c r="AK1484" s="94"/>
      <c r="AL1484" s="94"/>
      <c r="AM1484" s="94"/>
      <c r="AN1484" s="94"/>
      <c r="AO1484" s="94"/>
      <c r="AP1484" s="94"/>
      <c r="AQ1484" s="94"/>
      <c r="AR1484" s="94"/>
      <c r="AS1484" s="94"/>
      <c r="AT1484" s="94"/>
      <c r="AU1484" s="94"/>
      <c r="AV1484" s="94"/>
      <c r="AW1484" s="94"/>
      <c r="AX1484" s="94"/>
      <c r="AY1484" s="94"/>
      <c r="AZ1484" s="94"/>
      <c r="BA1484" s="94"/>
      <c r="BB1484" s="94"/>
      <c r="BC1484" s="94"/>
      <c r="BD1484" s="94"/>
      <c r="BE1484" s="94"/>
      <c r="BF1484" s="94"/>
    </row>
    <row r="1485" spans="1:58" x14ac:dyDescent="0.35">
      <c r="A1485" s="101" t="s">
        <v>3270</v>
      </c>
      <c r="B1485" s="102" t="s">
        <v>0</v>
      </c>
      <c r="C1485" s="103">
        <v>5</v>
      </c>
      <c r="D1485" s="101" t="s">
        <v>470</v>
      </c>
      <c r="E1485" s="103" t="s">
        <v>270</v>
      </c>
      <c r="F1485" s="94"/>
      <c r="G1485" s="94"/>
      <c r="H1485" s="94"/>
      <c r="I1485" s="94"/>
      <c r="J1485" s="94"/>
      <c r="K1485" s="94"/>
      <c r="L1485" s="94"/>
      <c r="M1485" s="94"/>
      <c r="N1485" s="94"/>
      <c r="O1485" s="94"/>
      <c r="P1485" s="94"/>
      <c r="Q1485" s="94"/>
      <c r="R1485" s="94"/>
      <c r="S1485" s="94"/>
      <c r="T1485" s="94"/>
      <c r="U1485" s="94"/>
      <c r="V1485" s="94"/>
      <c r="W1485" s="94"/>
      <c r="X1485" s="94"/>
      <c r="Y1485" s="94"/>
      <c r="Z1485" s="94"/>
      <c r="AA1485" s="94"/>
      <c r="AB1485" s="94"/>
      <c r="AC1485" s="94"/>
      <c r="AD1485" s="94"/>
      <c r="AE1485" s="94"/>
      <c r="AF1485" s="94"/>
      <c r="AG1485" s="94"/>
      <c r="AH1485" s="94"/>
      <c r="AI1485" s="94"/>
      <c r="AJ1485" s="94"/>
      <c r="AK1485" s="94"/>
      <c r="AL1485" s="94"/>
      <c r="AM1485" s="94"/>
      <c r="AN1485" s="94"/>
      <c r="AO1485" s="94"/>
      <c r="AP1485" s="94"/>
      <c r="AQ1485" s="94"/>
      <c r="AR1485" s="94"/>
      <c r="AS1485" s="94"/>
      <c r="AT1485" s="94"/>
      <c r="AU1485" s="94"/>
      <c r="AV1485" s="94"/>
      <c r="AW1485" s="94"/>
      <c r="AX1485" s="94"/>
      <c r="AY1485" s="94"/>
      <c r="AZ1485" s="94"/>
      <c r="BA1485" s="94"/>
      <c r="BB1485" s="94"/>
      <c r="BC1485" s="94"/>
      <c r="BD1485" s="94"/>
      <c r="BE1485" s="94"/>
      <c r="BF1485" s="94"/>
    </row>
    <row r="1486" spans="1:58" x14ac:dyDescent="0.35">
      <c r="A1486" s="104" t="s">
        <v>3271</v>
      </c>
      <c r="B1486" s="105" t="s">
        <v>0</v>
      </c>
      <c r="C1486" s="106">
        <v>6</v>
      </c>
      <c r="D1486" s="104" t="s">
        <v>1696</v>
      </c>
      <c r="E1486" s="106"/>
      <c r="F1486" s="94"/>
      <c r="G1486" s="94"/>
      <c r="H1486" s="94"/>
      <c r="I1486" s="94"/>
      <c r="J1486" s="94"/>
      <c r="K1486" s="94"/>
      <c r="L1486" s="94"/>
      <c r="M1486" s="94"/>
      <c r="N1486" s="94"/>
      <c r="O1486" s="94"/>
      <c r="P1486" s="94"/>
      <c r="Q1486" s="94"/>
      <c r="R1486" s="94"/>
      <c r="S1486" s="94"/>
      <c r="T1486" s="94"/>
      <c r="U1486" s="94"/>
      <c r="V1486" s="94"/>
      <c r="W1486" s="94"/>
      <c r="X1486" s="94"/>
      <c r="Y1486" s="94"/>
      <c r="Z1486" s="94"/>
      <c r="AA1486" s="94"/>
      <c r="AB1486" s="94"/>
      <c r="AC1486" s="94"/>
      <c r="AD1486" s="94"/>
      <c r="AE1486" s="94"/>
      <c r="AF1486" s="94"/>
      <c r="AG1486" s="94"/>
      <c r="AH1486" s="94"/>
      <c r="AI1486" s="94"/>
      <c r="AJ1486" s="94"/>
      <c r="AK1486" s="94"/>
      <c r="AL1486" s="94"/>
      <c r="AM1486" s="94"/>
      <c r="AN1486" s="94"/>
      <c r="AO1486" s="94"/>
      <c r="AP1486" s="94"/>
      <c r="AQ1486" s="94"/>
      <c r="AR1486" s="94"/>
      <c r="AS1486" s="94"/>
      <c r="AT1486" s="94"/>
      <c r="AU1486" s="94"/>
      <c r="AV1486" s="94"/>
      <c r="AW1486" s="94"/>
      <c r="AX1486" s="94"/>
      <c r="AY1486" s="94"/>
      <c r="AZ1486" s="94"/>
      <c r="BA1486" s="94"/>
      <c r="BB1486" s="94"/>
      <c r="BC1486" s="94"/>
      <c r="BD1486" s="94"/>
      <c r="BE1486" s="94"/>
      <c r="BF1486" s="94"/>
    </row>
    <row r="1487" spans="1:58" x14ac:dyDescent="0.35">
      <c r="A1487" s="107" t="s">
        <v>3272</v>
      </c>
      <c r="B1487" s="108" t="s">
        <v>0</v>
      </c>
      <c r="C1487" s="109">
        <v>7</v>
      </c>
      <c r="D1487" s="107" t="s">
        <v>1697</v>
      </c>
      <c r="E1487" s="109"/>
      <c r="F1487" s="94"/>
      <c r="G1487" s="94"/>
      <c r="H1487" s="94"/>
      <c r="I1487" s="94"/>
      <c r="J1487" s="94"/>
      <c r="K1487" s="94"/>
      <c r="L1487" s="94"/>
      <c r="M1487" s="94"/>
      <c r="N1487" s="94"/>
      <c r="O1487" s="94"/>
      <c r="P1487" s="94"/>
      <c r="Q1487" s="94"/>
      <c r="R1487" s="94"/>
      <c r="S1487" s="94"/>
      <c r="T1487" s="94"/>
      <c r="U1487" s="94"/>
      <c r="V1487" s="94"/>
      <c r="W1487" s="94"/>
      <c r="X1487" s="94"/>
      <c r="Y1487" s="94"/>
      <c r="Z1487" s="94"/>
      <c r="AA1487" s="94"/>
      <c r="AB1487" s="94"/>
      <c r="AC1487" s="94"/>
      <c r="AD1487" s="94"/>
      <c r="AE1487" s="94"/>
      <c r="AF1487" s="94"/>
      <c r="AG1487" s="94"/>
      <c r="AH1487" s="94"/>
      <c r="AI1487" s="94"/>
      <c r="AJ1487" s="94"/>
      <c r="AK1487" s="94"/>
      <c r="AL1487" s="94"/>
      <c r="AM1487" s="94"/>
      <c r="AN1487" s="94"/>
      <c r="AO1487" s="94"/>
      <c r="AP1487" s="94"/>
      <c r="AQ1487" s="94"/>
      <c r="AR1487" s="94"/>
      <c r="AS1487" s="94"/>
      <c r="AT1487" s="94"/>
      <c r="AU1487" s="94"/>
      <c r="AV1487" s="94"/>
      <c r="AW1487" s="94"/>
      <c r="AX1487" s="94"/>
      <c r="AY1487" s="94"/>
      <c r="AZ1487" s="94"/>
      <c r="BA1487" s="94"/>
      <c r="BB1487" s="94"/>
      <c r="BC1487" s="94"/>
      <c r="BD1487" s="94"/>
      <c r="BE1487" s="94"/>
      <c r="BF1487" s="94"/>
    </row>
    <row r="1488" spans="1:58" x14ac:dyDescent="0.35">
      <c r="A1488" s="104" t="s">
        <v>3273</v>
      </c>
      <c r="B1488" s="105" t="s">
        <v>0</v>
      </c>
      <c r="C1488" s="106">
        <v>6</v>
      </c>
      <c r="D1488" s="104" t="s">
        <v>1698</v>
      </c>
      <c r="E1488" s="106"/>
      <c r="F1488" s="94"/>
      <c r="G1488" s="94"/>
      <c r="H1488" s="94"/>
      <c r="I1488" s="94"/>
      <c r="J1488" s="94"/>
      <c r="K1488" s="94"/>
      <c r="L1488" s="94"/>
      <c r="M1488" s="94"/>
      <c r="N1488" s="94"/>
      <c r="O1488" s="94"/>
      <c r="P1488" s="94"/>
      <c r="Q1488" s="94"/>
      <c r="R1488" s="94"/>
      <c r="S1488" s="94"/>
      <c r="T1488" s="94"/>
      <c r="U1488" s="94"/>
      <c r="V1488" s="94"/>
      <c r="W1488" s="94"/>
      <c r="X1488" s="94"/>
      <c r="Y1488" s="94"/>
      <c r="Z1488" s="94"/>
      <c r="AA1488" s="94"/>
      <c r="AB1488" s="94"/>
      <c r="AC1488" s="94"/>
      <c r="AD1488" s="94"/>
      <c r="AE1488" s="94"/>
      <c r="AF1488" s="94"/>
      <c r="AG1488" s="94"/>
      <c r="AH1488" s="94"/>
      <c r="AI1488" s="94"/>
      <c r="AJ1488" s="94"/>
      <c r="AK1488" s="94"/>
      <c r="AL1488" s="94"/>
      <c r="AM1488" s="94"/>
      <c r="AN1488" s="94"/>
      <c r="AO1488" s="94"/>
      <c r="AP1488" s="94"/>
      <c r="AQ1488" s="94"/>
      <c r="AR1488" s="94"/>
      <c r="AS1488" s="94"/>
      <c r="AT1488" s="94"/>
      <c r="AU1488" s="94"/>
      <c r="AV1488" s="94"/>
      <c r="AW1488" s="94"/>
      <c r="AX1488" s="94"/>
      <c r="AY1488" s="94"/>
      <c r="AZ1488" s="94"/>
      <c r="BA1488" s="94"/>
      <c r="BB1488" s="94"/>
      <c r="BC1488" s="94"/>
      <c r="BD1488" s="94"/>
      <c r="BE1488" s="94"/>
      <c r="BF1488" s="94"/>
    </row>
    <row r="1489" spans="1:58" x14ac:dyDescent="0.35">
      <c r="A1489" s="107" t="s">
        <v>3274</v>
      </c>
      <c r="B1489" s="108" t="s">
        <v>0</v>
      </c>
      <c r="C1489" s="109">
        <v>7</v>
      </c>
      <c r="D1489" s="107" t="s">
        <v>1699</v>
      </c>
      <c r="E1489" s="109"/>
      <c r="F1489" s="94"/>
      <c r="G1489" s="94"/>
      <c r="H1489" s="94"/>
      <c r="I1489" s="94"/>
      <c r="J1489" s="94"/>
      <c r="K1489" s="94"/>
      <c r="L1489" s="94"/>
      <c r="M1489" s="94"/>
      <c r="N1489" s="94"/>
      <c r="O1489" s="94"/>
      <c r="P1489" s="94"/>
      <c r="Q1489" s="94"/>
      <c r="R1489" s="94"/>
      <c r="S1489" s="94"/>
      <c r="T1489" s="94"/>
      <c r="U1489" s="94"/>
      <c r="V1489" s="94"/>
      <c r="W1489" s="94"/>
      <c r="X1489" s="94"/>
      <c r="Y1489" s="94"/>
      <c r="Z1489" s="94"/>
      <c r="AA1489" s="94"/>
      <c r="AB1489" s="94"/>
      <c r="AC1489" s="94"/>
      <c r="AD1489" s="94"/>
      <c r="AE1489" s="94"/>
      <c r="AF1489" s="94"/>
      <c r="AG1489" s="94"/>
      <c r="AH1489" s="94"/>
      <c r="AI1489" s="94"/>
      <c r="AJ1489" s="94"/>
      <c r="AK1489" s="94"/>
      <c r="AL1489" s="94"/>
      <c r="AM1489" s="94"/>
      <c r="AN1489" s="94"/>
      <c r="AO1489" s="94"/>
      <c r="AP1489" s="94"/>
      <c r="AQ1489" s="94"/>
      <c r="AR1489" s="94"/>
      <c r="AS1489" s="94"/>
      <c r="AT1489" s="94"/>
      <c r="AU1489" s="94"/>
      <c r="AV1489" s="94"/>
      <c r="AW1489" s="94"/>
      <c r="AX1489" s="94"/>
      <c r="AY1489" s="94"/>
      <c r="AZ1489" s="94"/>
      <c r="BA1489" s="94"/>
      <c r="BB1489" s="94"/>
      <c r="BC1489" s="94"/>
      <c r="BD1489" s="94"/>
      <c r="BE1489" s="94"/>
      <c r="BF1489" s="94"/>
    </row>
    <row r="1490" spans="1:58" x14ac:dyDescent="0.35">
      <c r="A1490" s="107" t="s">
        <v>3275</v>
      </c>
      <c r="B1490" s="108" t="s">
        <v>0</v>
      </c>
      <c r="C1490" s="109">
        <v>7</v>
      </c>
      <c r="D1490" s="107" t="s">
        <v>1700</v>
      </c>
      <c r="E1490" s="109"/>
      <c r="F1490" s="94"/>
      <c r="G1490" s="94"/>
      <c r="H1490" s="94"/>
      <c r="I1490" s="94"/>
      <c r="J1490" s="94"/>
      <c r="K1490" s="94"/>
      <c r="L1490" s="94"/>
      <c r="M1490" s="94"/>
      <c r="N1490" s="94"/>
      <c r="O1490" s="94"/>
      <c r="P1490" s="94"/>
      <c r="Q1490" s="94"/>
      <c r="R1490" s="94"/>
      <c r="S1490" s="94"/>
      <c r="T1490" s="94"/>
      <c r="U1490" s="94"/>
      <c r="V1490" s="94"/>
      <c r="W1490" s="94"/>
      <c r="X1490" s="94"/>
      <c r="Y1490" s="94"/>
      <c r="Z1490" s="94"/>
      <c r="AA1490" s="94"/>
      <c r="AB1490" s="94"/>
      <c r="AC1490" s="94"/>
      <c r="AD1490" s="94"/>
      <c r="AE1490" s="94"/>
      <c r="AF1490" s="94"/>
      <c r="AG1490" s="94"/>
      <c r="AH1490" s="94"/>
      <c r="AI1490" s="94"/>
      <c r="AJ1490" s="94"/>
      <c r="AK1490" s="94"/>
      <c r="AL1490" s="94"/>
      <c r="AM1490" s="94"/>
      <c r="AN1490" s="94"/>
      <c r="AO1490" s="94"/>
      <c r="AP1490" s="94"/>
      <c r="AQ1490" s="94"/>
      <c r="AR1490" s="94"/>
      <c r="AS1490" s="94"/>
      <c r="AT1490" s="94"/>
      <c r="AU1490" s="94"/>
      <c r="AV1490" s="94"/>
      <c r="AW1490" s="94"/>
      <c r="AX1490" s="94"/>
      <c r="AY1490" s="94"/>
      <c r="AZ1490" s="94"/>
      <c r="BA1490" s="94"/>
      <c r="BB1490" s="94"/>
      <c r="BC1490" s="94"/>
      <c r="BD1490" s="94"/>
      <c r="BE1490" s="94"/>
      <c r="BF1490" s="94"/>
    </row>
    <row r="1491" spans="1:58" x14ac:dyDescent="0.35">
      <c r="A1491" s="104" t="s">
        <v>3276</v>
      </c>
      <c r="B1491" s="105" t="s">
        <v>0</v>
      </c>
      <c r="C1491" s="106">
        <v>6</v>
      </c>
      <c r="D1491" s="104" t="s">
        <v>1701</v>
      </c>
      <c r="E1491" s="106"/>
      <c r="F1491" s="94"/>
      <c r="G1491" s="94"/>
      <c r="H1491" s="94"/>
      <c r="I1491" s="94"/>
      <c r="J1491" s="94"/>
      <c r="K1491" s="94"/>
      <c r="L1491" s="94"/>
      <c r="M1491" s="94"/>
      <c r="N1491" s="94"/>
      <c r="O1491" s="94"/>
      <c r="P1491" s="94"/>
      <c r="Q1491" s="94"/>
      <c r="R1491" s="94"/>
      <c r="S1491" s="94"/>
      <c r="T1491" s="94"/>
      <c r="U1491" s="94"/>
      <c r="V1491" s="94"/>
      <c r="W1491" s="94"/>
      <c r="X1491" s="94"/>
      <c r="Y1491" s="94"/>
      <c r="Z1491" s="94"/>
      <c r="AA1491" s="94"/>
      <c r="AB1491" s="94"/>
      <c r="AC1491" s="94"/>
      <c r="AD1491" s="94"/>
      <c r="AE1491" s="94"/>
      <c r="AF1491" s="94"/>
      <c r="AG1491" s="94"/>
      <c r="AH1491" s="94"/>
      <c r="AI1491" s="94"/>
      <c r="AJ1491" s="94"/>
      <c r="AK1491" s="94"/>
      <c r="AL1491" s="94"/>
      <c r="AM1491" s="94"/>
      <c r="AN1491" s="94"/>
      <c r="AO1491" s="94"/>
      <c r="AP1491" s="94"/>
      <c r="AQ1491" s="94"/>
      <c r="AR1491" s="94"/>
      <c r="AS1491" s="94"/>
      <c r="AT1491" s="94"/>
      <c r="AU1491" s="94"/>
      <c r="AV1491" s="94"/>
      <c r="AW1491" s="94"/>
      <c r="AX1491" s="94"/>
      <c r="AY1491" s="94"/>
      <c r="AZ1491" s="94"/>
      <c r="BA1491" s="94"/>
      <c r="BB1491" s="94"/>
      <c r="BC1491" s="94"/>
      <c r="BD1491" s="94"/>
      <c r="BE1491" s="94"/>
      <c r="BF1491" s="94"/>
    </row>
    <row r="1492" spans="1:58" x14ac:dyDescent="0.35">
      <c r="A1492" s="107" t="s">
        <v>3277</v>
      </c>
      <c r="B1492" s="108" t="s">
        <v>0</v>
      </c>
      <c r="C1492" s="109">
        <v>7</v>
      </c>
      <c r="D1492" s="107" t="s">
        <v>1713</v>
      </c>
      <c r="E1492" s="109"/>
      <c r="F1492" s="94"/>
      <c r="G1492" s="94"/>
      <c r="H1492" s="94"/>
      <c r="I1492" s="94"/>
      <c r="J1492" s="94"/>
      <c r="K1492" s="94"/>
      <c r="L1492" s="94"/>
      <c r="M1492" s="94"/>
      <c r="N1492" s="94"/>
      <c r="O1492" s="94"/>
      <c r="P1492" s="94"/>
      <c r="Q1492" s="94"/>
      <c r="R1492" s="94"/>
      <c r="S1492" s="94"/>
      <c r="T1492" s="94"/>
      <c r="U1492" s="94"/>
      <c r="V1492" s="94"/>
      <c r="W1492" s="94"/>
      <c r="X1492" s="94"/>
      <c r="Y1492" s="94"/>
      <c r="Z1492" s="94"/>
      <c r="AA1492" s="94"/>
      <c r="AB1492" s="94"/>
      <c r="AC1492" s="94"/>
      <c r="AD1492" s="94"/>
      <c r="AE1492" s="94"/>
      <c r="AF1492" s="94"/>
      <c r="AG1492" s="94"/>
      <c r="AH1492" s="94"/>
      <c r="AI1492" s="94"/>
      <c r="AJ1492" s="94"/>
      <c r="AK1492" s="94"/>
      <c r="AL1492" s="94"/>
      <c r="AM1492" s="94"/>
      <c r="AN1492" s="94"/>
      <c r="AO1492" s="94"/>
      <c r="AP1492" s="94"/>
      <c r="AQ1492" s="94"/>
      <c r="AR1492" s="94"/>
      <c r="AS1492" s="94"/>
      <c r="AT1492" s="94"/>
      <c r="AU1492" s="94"/>
      <c r="AV1492" s="94"/>
      <c r="AW1492" s="94"/>
      <c r="AX1492" s="94"/>
      <c r="AY1492" s="94"/>
      <c r="AZ1492" s="94"/>
      <c r="BA1492" s="94"/>
      <c r="BB1492" s="94"/>
      <c r="BC1492" s="94"/>
      <c r="BD1492" s="94"/>
      <c r="BE1492" s="94"/>
      <c r="BF1492" s="94"/>
    </row>
    <row r="1493" spans="1:58" x14ac:dyDescent="0.35">
      <c r="A1493" s="107" t="s">
        <v>3278</v>
      </c>
      <c r="B1493" s="108" t="s">
        <v>0</v>
      </c>
      <c r="C1493" s="109">
        <v>7</v>
      </c>
      <c r="D1493" s="107" t="s">
        <v>1714</v>
      </c>
      <c r="E1493" s="109"/>
      <c r="F1493" s="94"/>
      <c r="G1493" s="94"/>
      <c r="H1493" s="94"/>
      <c r="I1493" s="94"/>
      <c r="J1493" s="94"/>
      <c r="K1493" s="94"/>
      <c r="L1493" s="94"/>
      <c r="M1493" s="94"/>
      <c r="N1493" s="94"/>
      <c r="O1493" s="94"/>
      <c r="P1493" s="94"/>
      <c r="Q1493" s="94"/>
      <c r="R1493" s="94"/>
      <c r="S1493" s="94"/>
      <c r="T1493" s="94"/>
      <c r="U1493" s="94"/>
      <c r="V1493" s="94"/>
      <c r="W1493" s="94"/>
      <c r="X1493" s="94"/>
      <c r="Y1493" s="94"/>
      <c r="Z1493" s="94"/>
      <c r="AA1493" s="94"/>
      <c r="AB1493" s="94"/>
      <c r="AC1493" s="94"/>
      <c r="AD1493" s="94"/>
      <c r="AE1493" s="94"/>
      <c r="AF1493" s="94"/>
      <c r="AG1493" s="94"/>
      <c r="AH1493" s="94"/>
      <c r="AI1493" s="94"/>
      <c r="AJ1493" s="94"/>
      <c r="AK1493" s="94"/>
      <c r="AL1493" s="94"/>
      <c r="AM1493" s="94"/>
      <c r="AN1493" s="94"/>
      <c r="AO1493" s="94"/>
      <c r="AP1493" s="94"/>
      <c r="AQ1493" s="94"/>
      <c r="AR1493" s="94"/>
      <c r="AS1493" s="94"/>
      <c r="AT1493" s="94"/>
      <c r="AU1493" s="94"/>
      <c r="AV1493" s="94"/>
      <c r="AW1493" s="94"/>
      <c r="AX1493" s="94"/>
      <c r="AY1493" s="94"/>
      <c r="AZ1493" s="94"/>
      <c r="BA1493" s="94"/>
      <c r="BB1493" s="94"/>
      <c r="BC1493" s="94"/>
      <c r="BD1493" s="94"/>
      <c r="BE1493" s="94"/>
      <c r="BF1493" s="94"/>
    </row>
    <row r="1494" spans="1:58" x14ac:dyDescent="0.35">
      <c r="A1494" s="107" t="s">
        <v>3279</v>
      </c>
      <c r="B1494" s="108" t="s">
        <v>0</v>
      </c>
      <c r="C1494" s="109">
        <v>7</v>
      </c>
      <c r="D1494" s="107" t="s">
        <v>1715</v>
      </c>
      <c r="E1494" s="109"/>
      <c r="F1494" s="94"/>
      <c r="G1494" s="94"/>
      <c r="H1494" s="94"/>
      <c r="I1494" s="94"/>
      <c r="J1494" s="94"/>
      <c r="K1494" s="94"/>
      <c r="L1494" s="94"/>
      <c r="M1494" s="94"/>
      <c r="N1494" s="94"/>
      <c r="O1494" s="94"/>
      <c r="P1494" s="94"/>
      <c r="Q1494" s="94"/>
      <c r="R1494" s="94"/>
      <c r="S1494" s="94"/>
      <c r="T1494" s="94"/>
      <c r="U1494" s="94"/>
      <c r="V1494" s="94"/>
      <c r="W1494" s="94"/>
      <c r="X1494" s="94"/>
      <c r="Y1494" s="94"/>
      <c r="Z1494" s="94"/>
      <c r="AA1494" s="94"/>
      <c r="AB1494" s="94"/>
      <c r="AC1494" s="94"/>
      <c r="AD1494" s="94"/>
      <c r="AE1494" s="94"/>
      <c r="AF1494" s="94"/>
      <c r="AG1494" s="94"/>
      <c r="AH1494" s="94"/>
      <c r="AI1494" s="94"/>
      <c r="AJ1494" s="94"/>
      <c r="AK1494" s="94"/>
      <c r="AL1494" s="94"/>
      <c r="AM1494" s="94"/>
      <c r="AN1494" s="94"/>
      <c r="AO1494" s="94"/>
      <c r="AP1494" s="94"/>
      <c r="AQ1494" s="94"/>
      <c r="AR1494" s="94"/>
      <c r="AS1494" s="94"/>
      <c r="AT1494" s="94"/>
      <c r="AU1494" s="94"/>
      <c r="AV1494" s="94"/>
      <c r="AW1494" s="94"/>
      <c r="AX1494" s="94"/>
      <c r="AY1494" s="94"/>
      <c r="AZ1494" s="94"/>
      <c r="BA1494" s="94"/>
      <c r="BB1494" s="94"/>
      <c r="BC1494" s="94"/>
      <c r="BD1494" s="94"/>
      <c r="BE1494" s="94"/>
      <c r="BF1494" s="94"/>
    </row>
    <row r="1495" spans="1:58" x14ac:dyDescent="0.35">
      <c r="A1495" s="104" t="s">
        <v>3280</v>
      </c>
      <c r="B1495" s="105" t="s">
        <v>0</v>
      </c>
      <c r="C1495" s="106">
        <v>6</v>
      </c>
      <c r="D1495" s="104" t="s">
        <v>1716</v>
      </c>
      <c r="E1495" s="106"/>
      <c r="F1495" s="94"/>
      <c r="G1495" s="94"/>
      <c r="H1495" s="94"/>
      <c r="I1495" s="94"/>
      <c r="J1495" s="94"/>
      <c r="K1495" s="94"/>
      <c r="L1495" s="94"/>
      <c r="M1495" s="94"/>
      <c r="N1495" s="94"/>
      <c r="O1495" s="94"/>
      <c r="P1495" s="94"/>
      <c r="Q1495" s="94"/>
      <c r="R1495" s="94"/>
      <c r="S1495" s="94"/>
      <c r="T1495" s="94"/>
      <c r="U1495" s="94"/>
      <c r="V1495" s="94"/>
      <c r="W1495" s="94"/>
      <c r="X1495" s="94"/>
      <c r="Y1495" s="94"/>
      <c r="Z1495" s="94"/>
      <c r="AA1495" s="94"/>
      <c r="AB1495" s="94"/>
      <c r="AC1495" s="94"/>
      <c r="AD1495" s="94"/>
      <c r="AE1495" s="94"/>
      <c r="AF1495" s="94"/>
      <c r="AG1495" s="94"/>
      <c r="AH1495" s="94"/>
      <c r="AI1495" s="94"/>
      <c r="AJ1495" s="94"/>
      <c r="AK1495" s="94"/>
      <c r="AL1495" s="94"/>
      <c r="AM1495" s="94"/>
      <c r="AN1495" s="94"/>
      <c r="AO1495" s="94"/>
      <c r="AP1495" s="94"/>
      <c r="AQ1495" s="94"/>
      <c r="AR1495" s="94"/>
      <c r="AS1495" s="94"/>
      <c r="AT1495" s="94"/>
      <c r="AU1495" s="94"/>
      <c r="AV1495" s="94"/>
      <c r="AW1495" s="94"/>
      <c r="AX1495" s="94"/>
      <c r="AY1495" s="94"/>
      <c r="AZ1495" s="94"/>
      <c r="BA1495" s="94"/>
      <c r="BB1495" s="94"/>
      <c r="BC1495" s="94"/>
      <c r="BD1495" s="94"/>
      <c r="BE1495" s="94"/>
      <c r="BF1495" s="94"/>
    </row>
    <row r="1496" spans="1:58" x14ac:dyDescent="0.35">
      <c r="A1496" s="107" t="s">
        <v>3281</v>
      </c>
      <c r="B1496" s="108" t="s">
        <v>0</v>
      </c>
      <c r="C1496" s="109">
        <v>7</v>
      </c>
      <c r="D1496" s="107" t="s">
        <v>1707</v>
      </c>
      <c r="E1496" s="109"/>
      <c r="F1496" s="94"/>
      <c r="G1496" s="94"/>
      <c r="H1496" s="94"/>
      <c r="I1496" s="94"/>
      <c r="J1496" s="94"/>
      <c r="K1496" s="94"/>
      <c r="L1496" s="94"/>
      <c r="M1496" s="94"/>
      <c r="N1496" s="94"/>
      <c r="O1496" s="94"/>
      <c r="P1496" s="94"/>
      <c r="Q1496" s="94"/>
      <c r="R1496" s="94"/>
      <c r="S1496" s="94"/>
      <c r="T1496" s="94"/>
      <c r="U1496" s="94"/>
      <c r="V1496" s="94"/>
      <c r="W1496" s="94"/>
      <c r="X1496" s="94"/>
      <c r="Y1496" s="94"/>
      <c r="Z1496" s="94"/>
      <c r="AA1496" s="94"/>
      <c r="AB1496" s="94"/>
      <c r="AC1496" s="94"/>
      <c r="AD1496" s="94"/>
      <c r="AE1496" s="94"/>
      <c r="AF1496" s="94"/>
      <c r="AG1496" s="94"/>
      <c r="AH1496" s="94"/>
      <c r="AI1496" s="94"/>
      <c r="AJ1496" s="94"/>
      <c r="AK1496" s="94"/>
      <c r="AL1496" s="94"/>
      <c r="AM1496" s="94"/>
      <c r="AN1496" s="94"/>
      <c r="AO1496" s="94"/>
      <c r="AP1496" s="94"/>
      <c r="AQ1496" s="94"/>
      <c r="AR1496" s="94"/>
      <c r="AS1496" s="94"/>
      <c r="AT1496" s="94"/>
      <c r="AU1496" s="94"/>
      <c r="AV1496" s="94"/>
      <c r="AW1496" s="94"/>
      <c r="AX1496" s="94"/>
      <c r="AY1496" s="94"/>
      <c r="AZ1496" s="94"/>
      <c r="BA1496" s="94"/>
      <c r="BB1496" s="94"/>
      <c r="BC1496" s="94"/>
      <c r="BD1496" s="94"/>
      <c r="BE1496" s="94"/>
      <c r="BF1496" s="94"/>
    </row>
    <row r="1497" spans="1:58" x14ac:dyDescent="0.35">
      <c r="A1497" s="107" t="s">
        <v>3282</v>
      </c>
      <c r="B1497" s="108" t="s">
        <v>0</v>
      </c>
      <c r="C1497" s="109">
        <v>7</v>
      </c>
      <c r="D1497" s="107" t="s">
        <v>1708</v>
      </c>
      <c r="E1497" s="109"/>
      <c r="F1497" s="94"/>
      <c r="G1497" s="94"/>
      <c r="H1497" s="94"/>
      <c r="I1497" s="94"/>
      <c r="J1497" s="94"/>
      <c r="K1497" s="94"/>
      <c r="L1497" s="94"/>
      <c r="M1497" s="94"/>
      <c r="N1497" s="94"/>
      <c r="O1497" s="94"/>
      <c r="P1497" s="94"/>
      <c r="Q1497" s="94"/>
      <c r="R1497" s="94"/>
      <c r="S1497" s="94"/>
      <c r="T1497" s="94"/>
      <c r="U1497" s="94"/>
      <c r="V1497" s="94"/>
      <c r="W1497" s="94"/>
      <c r="X1497" s="94"/>
      <c r="Y1497" s="94"/>
      <c r="Z1497" s="94"/>
      <c r="AA1497" s="94"/>
      <c r="AB1497" s="94"/>
      <c r="AC1497" s="94"/>
      <c r="AD1497" s="94"/>
      <c r="AE1497" s="94"/>
      <c r="AF1497" s="94"/>
      <c r="AG1497" s="94"/>
      <c r="AH1497" s="94"/>
      <c r="AI1497" s="94"/>
      <c r="AJ1497" s="94"/>
      <c r="AK1497" s="94"/>
      <c r="AL1497" s="94"/>
      <c r="AM1497" s="94"/>
      <c r="AN1497" s="94"/>
      <c r="AO1497" s="94"/>
      <c r="AP1497" s="94"/>
      <c r="AQ1497" s="94"/>
      <c r="AR1497" s="94"/>
      <c r="AS1497" s="94"/>
      <c r="AT1497" s="94"/>
      <c r="AU1497" s="94"/>
      <c r="AV1497" s="94"/>
      <c r="AW1497" s="94"/>
      <c r="AX1497" s="94"/>
      <c r="AY1497" s="94"/>
      <c r="AZ1497" s="94"/>
      <c r="BA1497" s="94"/>
      <c r="BB1497" s="94"/>
      <c r="BC1497" s="94"/>
      <c r="BD1497" s="94"/>
      <c r="BE1497" s="94"/>
      <c r="BF1497" s="94"/>
    </row>
    <row r="1498" spans="1:58" x14ac:dyDescent="0.35">
      <c r="A1498" s="107" t="s">
        <v>3283</v>
      </c>
      <c r="B1498" s="108" t="s">
        <v>0</v>
      </c>
      <c r="C1498" s="109">
        <v>7</v>
      </c>
      <c r="D1498" s="107" t="s">
        <v>1709</v>
      </c>
      <c r="E1498" s="109"/>
      <c r="F1498" s="94"/>
      <c r="G1498" s="94"/>
      <c r="H1498" s="94"/>
      <c r="I1498" s="94"/>
      <c r="J1498" s="94"/>
      <c r="K1498" s="94"/>
      <c r="L1498" s="94"/>
      <c r="M1498" s="94"/>
      <c r="N1498" s="94"/>
      <c r="O1498" s="94"/>
      <c r="P1498" s="94"/>
      <c r="Q1498" s="94"/>
      <c r="R1498" s="94"/>
      <c r="S1498" s="94"/>
      <c r="T1498" s="94"/>
      <c r="U1498" s="94"/>
      <c r="V1498" s="94"/>
      <c r="W1498" s="94"/>
      <c r="X1498" s="94"/>
      <c r="Y1498" s="94"/>
      <c r="Z1498" s="94"/>
      <c r="AA1498" s="94"/>
      <c r="AB1498" s="94"/>
      <c r="AC1498" s="94"/>
      <c r="AD1498" s="94"/>
      <c r="AE1498" s="94"/>
      <c r="AF1498" s="94"/>
      <c r="AG1498" s="94"/>
      <c r="AH1498" s="94"/>
      <c r="AI1498" s="94"/>
      <c r="AJ1498" s="94"/>
      <c r="AK1498" s="94"/>
      <c r="AL1498" s="94"/>
      <c r="AM1498" s="94"/>
      <c r="AN1498" s="94"/>
      <c r="AO1498" s="94"/>
      <c r="AP1498" s="94"/>
      <c r="AQ1498" s="94"/>
      <c r="AR1498" s="94"/>
      <c r="AS1498" s="94"/>
      <c r="AT1498" s="94"/>
      <c r="AU1498" s="94"/>
      <c r="AV1498" s="94"/>
      <c r="AW1498" s="94"/>
      <c r="AX1498" s="94"/>
      <c r="AY1498" s="94"/>
      <c r="AZ1498" s="94"/>
      <c r="BA1498" s="94"/>
      <c r="BB1498" s="94"/>
      <c r="BC1498" s="94"/>
      <c r="BD1498" s="94"/>
      <c r="BE1498" s="94"/>
      <c r="BF1498" s="94"/>
    </row>
    <row r="1499" spans="1:58" x14ac:dyDescent="0.35">
      <c r="A1499" s="107" t="s">
        <v>3284</v>
      </c>
      <c r="B1499" s="108" t="s">
        <v>0</v>
      </c>
      <c r="C1499" s="109">
        <v>7</v>
      </c>
      <c r="D1499" s="107" t="s">
        <v>1710</v>
      </c>
      <c r="E1499" s="109"/>
      <c r="F1499" s="94"/>
      <c r="G1499" s="94"/>
      <c r="H1499" s="94"/>
      <c r="I1499" s="94"/>
      <c r="J1499" s="94"/>
      <c r="K1499" s="94"/>
      <c r="L1499" s="94"/>
      <c r="M1499" s="94"/>
      <c r="N1499" s="94"/>
      <c r="O1499" s="94"/>
      <c r="P1499" s="94"/>
      <c r="Q1499" s="94"/>
      <c r="R1499" s="94"/>
      <c r="S1499" s="94"/>
      <c r="T1499" s="94"/>
      <c r="U1499" s="94"/>
      <c r="V1499" s="94"/>
      <c r="W1499" s="94"/>
      <c r="X1499" s="94"/>
      <c r="Y1499" s="94"/>
      <c r="Z1499" s="94"/>
      <c r="AA1499" s="94"/>
      <c r="AB1499" s="94"/>
      <c r="AC1499" s="94"/>
      <c r="AD1499" s="94"/>
      <c r="AE1499" s="94"/>
      <c r="AF1499" s="94"/>
      <c r="AG1499" s="94"/>
      <c r="AH1499" s="94"/>
      <c r="AI1499" s="94"/>
      <c r="AJ1499" s="94"/>
      <c r="AK1499" s="94"/>
      <c r="AL1499" s="94"/>
      <c r="AM1499" s="94"/>
      <c r="AN1499" s="94"/>
      <c r="AO1499" s="94"/>
      <c r="AP1499" s="94"/>
      <c r="AQ1499" s="94"/>
      <c r="AR1499" s="94"/>
      <c r="AS1499" s="94"/>
      <c r="AT1499" s="94"/>
      <c r="AU1499" s="94"/>
      <c r="AV1499" s="94"/>
      <c r="AW1499" s="94"/>
      <c r="AX1499" s="94"/>
      <c r="AY1499" s="94"/>
      <c r="AZ1499" s="94"/>
      <c r="BA1499" s="94"/>
      <c r="BB1499" s="94"/>
      <c r="BC1499" s="94"/>
      <c r="BD1499" s="94"/>
      <c r="BE1499" s="94"/>
      <c r="BF1499" s="94"/>
    </row>
    <row r="1500" spans="1:58" x14ac:dyDescent="0.35">
      <c r="A1500" s="107" t="s">
        <v>3285</v>
      </c>
      <c r="B1500" s="108" t="s">
        <v>0</v>
      </c>
      <c r="C1500" s="109">
        <v>7</v>
      </c>
      <c r="D1500" s="107" t="s">
        <v>1711</v>
      </c>
      <c r="E1500" s="109"/>
      <c r="F1500" s="94"/>
      <c r="G1500" s="94"/>
      <c r="H1500" s="94"/>
      <c r="I1500" s="94"/>
      <c r="J1500" s="94"/>
      <c r="K1500" s="94"/>
      <c r="L1500" s="94"/>
      <c r="M1500" s="94"/>
      <c r="N1500" s="94"/>
      <c r="O1500" s="94"/>
      <c r="P1500" s="94"/>
      <c r="Q1500" s="94"/>
      <c r="R1500" s="94"/>
      <c r="S1500" s="94"/>
      <c r="T1500" s="94"/>
      <c r="U1500" s="94"/>
      <c r="V1500" s="94"/>
      <c r="W1500" s="94"/>
      <c r="X1500" s="94"/>
      <c r="Y1500" s="94"/>
      <c r="Z1500" s="94"/>
      <c r="AA1500" s="94"/>
      <c r="AB1500" s="94"/>
      <c r="AC1500" s="94"/>
      <c r="AD1500" s="94"/>
      <c r="AE1500" s="94"/>
      <c r="AF1500" s="94"/>
      <c r="AG1500" s="94"/>
      <c r="AH1500" s="94"/>
      <c r="AI1500" s="94"/>
      <c r="AJ1500" s="94"/>
      <c r="AK1500" s="94"/>
      <c r="AL1500" s="94"/>
      <c r="AM1500" s="94"/>
      <c r="AN1500" s="94"/>
      <c r="AO1500" s="94"/>
      <c r="AP1500" s="94"/>
      <c r="AQ1500" s="94"/>
      <c r="AR1500" s="94"/>
      <c r="AS1500" s="94"/>
      <c r="AT1500" s="94"/>
      <c r="AU1500" s="94"/>
      <c r="AV1500" s="94"/>
      <c r="AW1500" s="94"/>
      <c r="AX1500" s="94"/>
      <c r="AY1500" s="94"/>
      <c r="AZ1500" s="94"/>
      <c r="BA1500" s="94"/>
      <c r="BB1500" s="94"/>
      <c r="BC1500" s="94"/>
      <c r="BD1500" s="94"/>
      <c r="BE1500" s="94"/>
      <c r="BF1500" s="94"/>
    </row>
    <row r="1501" spans="1:58" x14ac:dyDescent="0.35">
      <c r="A1501" s="107" t="s">
        <v>3286</v>
      </c>
      <c r="B1501" s="108" t="s">
        <v>0</v>
      </c>
      <c r="C1501" s="109">
        <v>7</v>
      </c>
      <c r="D1501" s="107" t="s">
        <v>1712</v>
      </c>
      <c r="E1501" s="109"/>
      <c r="F1501" s="94"/>
      <c r="G1501" s="94"/>
      <c r="H1501" s="94"/>
      <c r="I1501" s="94"/>
      <c r="J1501" s="94"/>
      <c r="K1501" s="94"/>
      <c r="L1501" s="94"/>
      <c r="M1501" s="94"/>
      <c r="N1501" s="94"/>
      <c r="O1501" s="94"/>
      <c r="P1501" s="94"/>
      <c r="Q1501" s="94"/>
      <c r="R1501" s="94"/>
      <c r="S1501" s="94"/>
      <c r="T1501" s="94"/>
      <c r="U1501" s="94"/>
      <c r="V1501" s="94"/>
      <c r="W1501" s="94"/>
      <c r="X1501" s="94"/>
      <c r="Y1501" s="94"/>
      <c r="Z1501" s="94"/>
      <c r="AA1501" s="94"/>
      <c r="AB1501" s="94"/>
      <c r="AC1501" s="94"/>
      <c r="AD1501" s="94"/>
      <c r="AE1501" s="94"/>
      <c r="AF1501" s="94"/>
      <c r="AG1501" s="94"/>
      <c r="AH1501" s="94"/>
      <c r="AI1501" s="94"/>
      <c r="AJ1501" s="94"/>
      <c r="AK1501" s="94"/>
      <c r="AL1501" s="94"/>
      <c r="AM1501" s="94"/>
      <c r="AN1501" s="94"/>
      <c r="AO1501" s="94"/>
      <c r="AP1501" s="94"/>
      <c r="AQ1501" s="94"/>
      <c r="AR1501" s="94"/>
      <c r="AS1501" s="94"/>
      <c r="AT1501" s="94"/>
      <c r="AU1501" s="94"/>
      <c r="AV1501" s="94"/>
      <c r="AW1501" s="94"/>
      <c r="AX1501" s="94"/>
      <c r="AY1501" s="94"/>
      <c r="AZ1501" s="94"/>
      <c r="BA1501" s="94"/>
      <c r="BB1501" s="94"/>
      <c r="BC1501" s="94"/>
      <c r="BD1501" s="94"/>
      <c r="BE1501" s="94"/>
      <c r="BF1501" s="94"/>
    </row>
    <row r="1502" spans="1:58" x14ac:dyDescent="0.35">
      <c r="A1502" s="104" t="s">
        <v>3287</v>
      </c>
      <c r="B1502" s="105" t="s">
        <v>0</v>
      </c>
      <c r="C1502" s="106">
        <v>6</v>
      </c>
      <c r="D1502" s="104" t="s">
        <v>26</v>
      </c>
      <c r="E1502" s="106"/>
      <c r="F1502" s="94"/>
      <c r="G1502" s="94"/>
      <c r="H1502" s="94"/>
      <c r="I1502" s="94"/>
      <c r="J1502" s="94"/>
      <c r="K1502" s="94"/>
      <c r="L1502" s="94"/>
      <c r="M1502" s="94"/>
      <c r="N1502" s="94"/>
      <c r="O1502" s="94"/>
      <c r="P1502" s="94"/>
      <c r="Q1502" s="94"/>
      <c r="R1502" s="94"/>
      <c r="S1502" s="94"/>
      <c r="T1502" s="94"/>
      <c r="U1502" s="94"/>
      <c r="V1502" s="94"/>
      <c r="W1502" s="94"/>
      <c r="X1502" s="94"/>
      <c r="Y1502" s="94"/>
      <c r="Z1502" s="94"/>
      <c r="AA1502" s="94"/>
      <c r="AB1502" s="94"/>
      <c r="AC1502" s="94"/>
      <c r="AD1502" s="94"/>
      <c r="AE1502" s="94"/>
      <c r="AF1502" s="94"/>
      <c r="AG1502" s="94"/>
      <c r="AH1502" s="94"/>
      <c r="AI1502" s="94"/>
      <c r="AJ1502" s="94"/>
      <c r="AK1502" s="94"/>
      <c r="AL1502" s="94"/>
      <c r="AM1502" s="94"/>
      <c r="AN1502" s="94"/>
      <c r="AO1502" s="94"/>
      <c r="AP1502" s="94"/>
      <c r="AQ1502" s="94"/>
      <c r="AR1502" s="94"/>
      <c r="AS1502" s="94"/>
      <c r="AT1502" s="94"/>
      <c r="AU1502" s="94"/>
      <c r="AV1502" s="94"/>
      <c r="AW1502" s="94"/>
      <c r="AX1502" s="94"/>
      <c r="AY1502" s="94"/>
      <c r="AZ1502" s="94"/>
      <c r="BA1502" s="94"/>
      <c r="BB1502" s="94"/>
      <c r="BC1502" s="94"/>
      <c r="BD1502" s="94"/>
      <c r="BE1502" s="94"/>
      <c r="BF1502" s="94"/>
    </row>
    <row r="1503" spans="1:58" x14ac:dyDescent="0.35">
      <c r="A1503" s="107" t="s">
        <v>3288</v>
      </c>
      <c r="B1503" s="108" t="s">
        <v>0</v>
      </c>
      <c r="C1503" s="109">
        <v>7</v>
      </c>
      <c r="D1503" s="107" t="s">
        <v>1702</v>
      </c>
      <c r="E1503" s="109"/>
      <c r="F1503" s="94"/>
      <c r="G1503" s="94"/>
      <c r="H1503" s="94"/>
      <c r="I1503" s="94"/>
      <c r="J1503" s="94"/>
      <c r="K1503" s="94"/>
      <c r="L1503" s="94"/>
      <c r="M1503" s="94"/>
      <c r="N1503" s="94"/>
      <c r="O1503" s="94"/>
      <c r="P1503" s="94"/>
      <c r="Q1503" s="94"/>
      <c r="R1503" s="94"/>
      <c r="S1503" s="94"/>
      <c r="T1503" s="94"/>
      <c r="U1503" s="94"/>
      <c r="V1503" s="94"/>
      <c r="W1503" s="94"/>
      <c r="X1503" s="94"/>
      <c r="Y1503" s="94"/>
      <c r="Z1503" s="94"/>
      <c r="AA1503" s="94"/>
      <c r="AB1503" s="94"/>
      <c r="AC1503" s="94"/>
      <c r="AD1503" s="94"/>
      <c r="AE1503" s="94"/>
      <c r="AF1503" s="94"/>
      <c r="AG1503" s="94"/>
      <c r="AH1503" s="94"/>
      <c r="AI1503" s="94"/>
      <c r="AJ1503" s="94"/>
      <c r="AK1503" s="94"/>
      <c r="AL1503" s="94"/>
      <c r="AM1503" s="94"/>
      <c r="AN1503" s="94"/>
      <c r="AO1503" s="94"/>
      <c r="AP1503" s="94"/>
      <c r="AQ1503" s="94"/>
      <c r="AR1503" s="94"/>
      <c r="AS1503" s="94"/>
      <c r="AT1503" s="94"/>
      <c r="AU1503" s="94"/>
      <c r="AV1503" s="94"/>
      <c r="AW1503" s="94"/>
      <c r="AX1503" s="94"/>
      <c r="AY1503" s="94"/>
      <c r="AZ1503" s="94"/>
      <c r="BA1503" s="94"/>
      <c r="BB1503" s="94"/>
      <c r="BC1503" s="94"/>
      <c r="BD1503" s="94"/>
      <c r="BE1503" s="94"/>
      <c r="BF1503" s="94"/>
    </row>
    <row r="1504" spans="1:58" x14ac:dyDescent="0.35">
      <c r="A1504" s="107" t="s">
        <v>3289</v>
      </c>
      <c r="B1504" s="108" t="s">
        <v>0</v>
      </c>
      <c r="C1504" s="109">
        <v>7</v>
      </c>
      <c r="D1504" s="107" t="s">
        <v>1703</v>
      </c>
      <c r="E1504" s="109"/>
      <c r="F1504" s="94"/>
      <c r="G1504" s="94"/>
      <c r="H1504" s="94"/>
      <c r="I1504" s="94"/>
      <c r="J1504" s="94"/>
      <c r="K1504" s="94"/>
      <c r="L1504" s="94"/>
      <c r="M1504" s="94"/>
      <c r="N1504" s="94"/>
      <c r="O1504" s="94"/>
      <c r="P1504" s="94"/>
      <c r="Q1504" s="94"/>
      <c r="R1504" s="94"/>
      <c r="S1504" s="94"/>
      <c r="T1504" s="94"/>
      <c r="U1504" s="94"/>
      <c r="V1504" s="94"/>
      <c r="W1504" s="94"/>
      <c r="X1504" s="94"/>
      <c r="Y1504" s="94"/>
      <c r="Z1504" s="94"/>
      <c r="AA1504" s="94"/>
      <c r="AB1504" s="94"/>
      <c r="AC1504" s="94"/>
      <c r="AD1504" s="94"/>
      <c r="AE1504" s="94"/>
      <c r="AF1504" s="94"/>
      <c r="AG1504" s="94"/>
      <c r="AH1504" s="94"/>
      <c r="AI1504" s="94"/>
      <c r="AJ1504" s="94"/>
      <c r="AK1504" s="94"/>
      <c r="AL1504" s="94"/>
      <c r="AM1504" s="94"/>
      <c r="AN1504" s="94"/>
      <c r="AO1504" s="94"/>
      <c r="AP1504" s="94"/>
      <c r="AQ1504" s="94"/>
      <c r="AR1504" s="94"/>
      <c r="AS1504" s="94"/>
      <c r="AT1504" s="94"/>
      <c r="AU1504" s="94"/>
      <c r="AV1504" s="94"/>
      <c r="AW1504" s="94"/>
      <c r="AX1504" s="94"/>
      <c r="AY1504" s="94"/>
      <c r="AZ1504" s="94"/>
      <c r="BA1504" s="94"/>
      <c r="BB1504" s="94"/>
      <c r="BC1504" s="94"/>
      <c r="BD1504" s="94"/>
      <c r="BE1504" s="94"/>
      <c r="BF1504" s="94"/>
    </row>
    <row r="1505" spans="1:58" x14ac:dyDescent="0.35">
      <c r="A1505" s="104" t="s">
        <v>3770</v>
      </c>
      <c r="B1505" s="105" t="s">
        <v>0</v>
      </c>
      <c r="C1505" s="106">
        <v>6</v>
      </c>
      <c r="D1505" s="104" t="s">
        <v>1704</v>
      </c>
      <c r="E1505" s="106"/>
      <c r="F1505" s="94"/>
      <c r="G1505" s="94"/>
      <c r="H1505" s="94"/>
      <c r="I1505" s="94"/>
      <c r="J1505" s="94"/>
      <c r="K1505" s="94"/>
      <c r="L1505" s="94"/>
      <c r="M1505" s="94"/>
      <c r="N1505" s="94"/>
      <c r="O1505" s="94"/>
      <c r="P1505" s="94"/>
      <c r="Q1505" s="94"/>
      <c r="R1505" s="94"/>
      <c r="S1505" s="94"/>
      <c r="T1505" s="94"/>
      <c r="U1505" s="94"/>
      <c r="V1505" s="94"/>
      <c r="W1505" s="94"/>
      <c r="X1505" s="94"/>
      <c r="Y1505" s="94"/>
      <c r="Z1505" s="94"/>
      <c r="AA1505" s="94"/>
      <c r="AB1505" s="94"/>
      <c r="AC1505" s="94"/>
      <c r="AD1505" s="94"/>
      <c r="AE1505" s="94"/>
      <c r="AF1505" s="94"/>
      <c r="AG1505" s="94"/>
      <c r="AH1505" s="94"/>
      <c r="AI1505" s="94"/>
      <c r="AJ1505" s="94"/>
      <c r="AK1505" s="94"/>
      <c r="AL1505" s="94"/>
      <c r="AM1505" s="94"/>
      <c r="AN1505" s="94"/>
      <c r="AO1505" s="94"/>
      <c r="AP1505" s="94"/>
      <c r="AQ1505" s="94"/>
      <c r="AR1505" s="94"/>
      <c r="AS1505" s="94"/>
      <c r="AT1505" s="94"/>
      <c r="AU1505" s="94"/>
      <c r="AV1505" s="94"/>
      <c r="AW1505" s="94"/>
      <c r="AX1505" s="94"/>
      <c r="AY1505" s="94"/>
      <c r="AZ1505" s="94"/>
      <c r="BA1505" s="94"/>
      <c r="BB1505" s="94"/>
      <c r="BC1505" s="94"/>
      <c r="BD1505" s="94"/>
      <c r="BE1505" s="94"/>
      <c r="BF1505" s="94"/>
    </row>
    <row r="1506" spans="1:58" x14ac:dyDescent="0.35">
      <c r="A1506" s="107" t="s">
        <v>3290</v>
      </c>
      <c r="B1506" s="108" t="s">
        <v>0</v>
      </c>
      <c r="C1506" s="109">
        <v>7</v>
      </c>
      <c r="D1506" s="107" t="s">
        <v>1705</v>
      </c>
      <c r="E1506" s="109"/>
      <c r="F1506" s="94"/>
      <c r="G1506" s="94"/>
      <c r="H1506" s="94"/>
      <c r="I1506" s="94"/>
      <c r="J1506" s="94"/>
      <c r="K1506" s="94"/>
      <c r="L1506" s="94"/>
      <c r="M1506" s="94"/>
      <c r="N1506" s="94"/>
      <c r="O1506" s="94"/>
      <c r="P1506" s="94"/>
      <c r="Q1506" s="94"/>
      <c r="R1506" s="94"/>
      <c r="S1506" s="94"/>
      <c r="T1506" s="94"/>
      <c r="U1506" s="94"/>
      <c r="V1506" s="94"/>
      <c r="W1506" s="94"/>
      <c r="X1506" s="94"/>
      <c r="Y1506" s="94"/>
      <c r="Z1506" s="94"/>
      <c r="AA1506" s="94"/>
      <c r="AB1506" s="94"/>
      <c r="AC1506" s="94"/>
      <c r="AD1506" s="94"/>
      <c r="AE1506" s="94"/>
      <c r="AF1506" s="94"/>
      <c r="AG1506" s="94"/>
      <c r="AH1506" s="94"/>
      <c r="AI1506" s="94"/>
      <c r="AJ1506" s="94"/>
      <c r="AK1506" s="94"/>
      <c r="AL1506" s="94"/>
      <c r="AM1506" s="94"/>
      <c r="AN1506" s="94"/>
      <c r="AO1506" s="94"/>
      <c r="AP1506" s="94"/>
      <c r="AQ1506" s="94"/>
      <c r="AR1506" s="94"/>
      <c r="AS1506" s="94"/>
      <c r="AT1506" s="94"/>
      <c r="AU1506" s="94"/>
      <c r="AV1506" s="94"/>
      <c r="AW1506" s="94"/>
      <c r="AX1506" s="94"/>
      <c r="AY1506" s="94"/>
      <c r="AZ1506" s="94"/>
      <c r="BA1506" s="94"/>
      <c r="BB1506" s="94"/>
      <c r="BC1506" s="94"/>
      <c r="BD1506" s="94"/>
      <c r="BE1506" s="94"/>
      <c r="BF1506" s="94"/>
    </row>
    <row r="1507" spans="1:58" x14ac:dyDescent="0.35">
      <c r="A1507" s="107" t="s">
        <v>3291</v>
      </c>
      <c r="B1507" s="108" t="s">
        <v>0</v>
      </c>
      <c r="C1507" s="109">
        <v>7</v>
      </c>
      <c r="D1507" s="107" t="s">
        <v>1706</v>
      </c>
      <c r="E1507" s="109"/>
      <c r="F1507" s="94"/>
      <c r="G1507" s="94"/>
      <c r="H1507" s="94"/>
      <c r="I1507" s="94"/>
      <c r="J1507" s="94"/>
      <c r="K1507" s="94"/>
      <c r="L1507" s="94"/>
      <c r="M1507" s="94"/>
      <c r="N1507" s="94"/>
      <c r="O1507" s="94"/>
      <c r="P1507" s="94"/>
      <c r="Q1507" s="94"/>
      <c r="R1507" s="94"/>
      <c r="S1507" s="94"/>
      <c r="T1507" s="94"/>
      <c r="U1507" s="94"/>
      <c r="V1507" s="94"/>
      <c r="W1507" s="94"/>
      <c r="X1507" s="94"/>
      <c r="Y1507" s="94"/>
      <c r="Z1507" s="94"/>
      <c r="AA1507" s="94"/>
      <c r="AB1507" s="94"/>
      <c r="AC1507" s="94"/>
      <c r="AD1507" s="94"/>
      <c r="AE1507" s="94"/>
      <c r="AF1507" s="94"/>
      <c r="AG1507" s="94"/>
      <c r="AH1507" s="94"/>
      <c r="AI1507" s="94"/>
      <c r="AJ1507" s="94"/>
      <c r="AK1507" s="94"/>
      <c r="AL1507" s="94"/>
      <c r="AM1507" s="94"/>
      <c r="AN1507" s="94"/>
      <c r="AO1507" s="94"/>
      <c r="AP1507" s="94"/>
      <c r="AQ1507" s="94"/>
      <c r="AR1507" s="94"/>
      <c r="AS1507" s="94"/>
      <c r="AT1507" s="94"/>
      <c r="AU1507" s="94"/>
      <c r="AV1507" s="94"/>
      <c r="AW1507" s="94"/>
      <c r="AX1507" s="94"/>
      <c r="AY1507" s="94"/>
      <c r="AZ1507" s="94"/>
      <c r="BA1507" s="94"/>
      <c r="BB1507" s="94"/>
      <c r="BC1507" s="94"/>
      <c r="BD1507" s="94"/>
      <c r="BE1507" s="94"/>
      <c r="BF1507" s="94"/>
    </row>
    <row r="1508" spans="1:58" x14ac:dyDescent="0.35">
      <c r="A1508" s="104" t="s">
        <v>3292</v>
      </c>
      <c r="B1508" s="105" t="s">
        <v>0</v>
      </c>
      <c r="C1508" s="106">
        <v>6</v>
      </c>
      <c r="D1508" s="104" t="s">
        <v>30</v>
      </c>
      <c r="E1508" s="106"/>
      <c r="F1508" s="94"/>
      <c r="G1508" s="94"/>
      <c r="H1508" s="94"/>
      <c r="I1508" s="94"/>
      <c r="J1508" s="94"/>
      <c r="K1508" s="94"/>
      <c r="L1508" s="94"/>
      <c r="M1508" s="94"/>
      <c r="N1508" s="94"/>
      <c r="O1508" s="94"/>
      <c r="P1508" s="94"/>
      <c r="Q1508" s="94"/>
      <c r="R1508" s="94"/>
      <c r="S1508" s="94"/>
      <c r="T1508" s="94"/>
      <c r="U1508" s="94"/>
      <c r="V1508" s="94"/>
      <c r="W1508" s="94"/>
      <c r="X1508" s="94"/>
      <c r="Y1508" s="94"/>
      <c r="Z1508" s="94"/>
      <c r="AA1508" s="94"/>
      <c r="AB1508" s="94"/>
      <c r="AC1508" s="94"/>
      <c r="AD1508" s="94"/>
      <c r="AE1508" s="94"/>
      <c r="AF1508" s="94"/>
      <c r="AG1508" s="94"/>
      <c r="AH1508" s="94"/>
      <c r="AI1508" s="94"/>
      <c r="AJ1508" s="94"/>
      <c r="AK1508" s="94"/>
      <c r="AL1508" s="94"/>
      <c r="AM1508" s="94"/>
      <c r="AN1508" s="94"/>
      <c r="AO1508" s="94"/>
      <c r="AP1508" s="94"/>
      <c r="AQ1508" s="94"/>
      <c r="AR1508" s="94"/>
      <c r="AS1508" s="94"/>
      <c r="AT1508" s="94"/>
      <c r="AU1508" s="94"/>
      <c r="AV1508" s="94"/>
      <c r="AW1508" s="94"/>
      <c r="AX1508" s="94"/>
      <c r="AY1508" s="94"/>
      <c r="AZ1508" s="94"/>
      <c r="BA1508" s="94"/>
      <c r="BB1508" s="94"/>
      <c r="BC1508" s="94"/>
      <c r="BD1508" s="94"/>
      <c r="BE1508" s="94"/>
      <c r="BF1508" s="94"/>
    </row>
    <row r="1509" spans="1:58" x14ac:dyDescent="0.35">
      <c r="A1509" s="107" t="s">
        <v>3293</v>
      </c>
      <c r="B1509" s="108" t="s">
        <v>0</v>
      </c>
      <c r="C1509" s="109">
        <v>7</v>
      </c>
      <c r="D1509" s="107" t="s">
        <v>1683</v>
      </c>
      <c r="E1509" s="109"/>
      <c r="F1509" s="94"/>
      <c r="G1509" s="94"/>
      <c r="H1509" s="94"/>
      <c r="I1509" s="94"/>
      <c r="J1509" s="94"/>
      <c r="K1509" s="94"/>
      <c r="L1509" s="94"/>
      <c r="M1509" s="94"/>
      <c r="N1509" s="94"/>
      <c r="O1509" s="94"/>
      <c r="P1509" s="94"/>
      <c r="Q1509" s="94"/>
      <c r="R1509" s="94"/>
      <c r="S1509" s="94"/>
      <c r="T1509" s="94"/>
      <c r="U1509" s="94"/>
      <c r="V1509" s="94"/>
      <c r="W1509" s="94"/>
      <c r="X1509" s="94"/>
      <c r="Y1509" s="94"/>
      <c r="Z1509" s="94"/>
      <c r="AA1509" s="94"/>
      <c r="AB1509" s="94"/>
      <c r="AC1509" s="94"/>
      <c r="AD1509" s="94"/>
      <c r="AE1509" s="94"/>
      <c r="AF1509" s="94"/>
      <c r="AG1509" s="94"/>
      <c r="AH1509" s="94"/>
      <c r="AI1509" s="94"/>
      <c r="AJ1509" s="94"/>
      <c r="AK1509" s="94"/>
      <c r="AL1509" s="94"/>
      <c r="AM1509" s="94"/>
      <c r="AN1509" s="94"/>
      <c r="AO1509" s="94"/>
      <c r="AP1509" s="94"/>
      <c r="AQ1509" s="94"/>
      <c r="AR1509" s="94"/>
      <c r="AS1509" s="94"/>
      <c r="AT1509" s="94"/>
      <c r="AU1509" s="94"/>
      <c r="AV1509" s="94"/>
      <c r="AW1509" s="94"/>
      <c r="AX1509" s="94"/>
      <c r="AY1509" s="94"/>
      <c r="AZ1509" s="94"/>
      <c r="BA1509" s="94"/>
      <c r="BB1509" s="94"/>
      <c r="BC1509" s="94"/>
      <c r="BD1509" s="94"/>
      <c r="BE1509" s="94"/>
      <c r="BF1509" s="94"/>
    </row>
    <row r="1510" spans="1:58" x14ac:dyDescent="0.35">
      <c r="A1510" s="107" t="s">
        <v>3294</v>
      </c>
      <c r="B1510" s="108" t="s">
        <v>0</v>
      </c>
      <c r="C1510" s="109">
        <v>7</v>
      </c>
      <c r="D1510" s="107" t="s">
        <v>1684</v>
      </c>
      <c r="E1510" s="109"/>
      <c r="F1510" s="94"/>
      <c r="G1510" s="94"/>
      <c r="H1510" s="94"/>
      <c r="I1510" s="94"/>
      <c r="J1510" s="94"/>
      <c r="K1510" s="94"/>
      <c r="L1510" s="94"/>
      <c r="M1510" s="94"/>
      <c r="N1510" s="94"/>
      <c r="O1510" s="94"/>
      <c r="P1510" s="94"/>
      <c r="Q1510" s="94"/>
      <c r="R1510" s="94"/>
      <c r="S1510" s="94"/>
      <c r="T1510" s="94"/>
      <c r="U1510" s="94"/>
      <c r="V1510" s="94"/>
      <c r="W1510" s="94"/>
      <c r="X1510" s="94"/>
      <c r="Y1510" s="94"/>
      <c r="Z1510" s="94"/>
      <c r="AA1510" s="94"/>
      <c r="AB1510" s="94"/>
      <c r="AC1510" s="94"/>
      <c r="AD1510" s="94"/>
      <c r="AE1510" s="94"/>
      <c r="AF1510" s="94"/>
      <c r="AG1510" s="94"/>
      <c r="AH1510" s="94"/>
      <c r="AI1510" s="94"/>
      <c r="AJ1510" s="94"/>
      <c r="AK1510" s="94"/>
      <c r="AL1510" s="94"/>
      <c r="AM1510" s="94"/>
      <c r="AN1510" s="94"/>
      <c r="AO1510" s="94"/>
      <c r="AP1510" s="94"/>
      <c r="AQ1510" s="94"/>
      <c r="AR1510" s="94"/>
      <c r="AS1510" s="94"/>
      <c r="AT1510" s="94"/>
      <c r="AU1510" s="94"/>
      <c r="AV1510" s="94"/>
      <c r="AW1510" s="94"/>
      <c r="AX1510" s="94"/>
      <c r="AY1510" s="94"/>
      <c r="AZ1510" s="94"/>
      <c r="BA1510" s="94"/>
      <c r="BB1510" s="94"/>
      <c r="BC1510" s="94"/>
      <c r="BD1510" s="94"/>
      <c r="BE1510" s="94"/>
      <c r="BF1510" s="94"/>
    </row>
    <row r="1511" spans="1:58" x14ac:dyDescent="0.35">
      <c r="A1511" s="107" t="s">
        <v>3295</v>
      </c>
      <c r="B1511" s="108" t="s">
        <v>0</v>
      </c>
      <c r="C1511" s="109">
        <v>7</v>
      </c>
      <c r="D1511" s="107" t="s">
        <v>1685</v>
      </c>
      <c r="E1511" s="109"/>
      <c r="F1511" s="94"/>
      <c r="G1511" s="94"/>
      <c r="H1511" s="94"/>
      <c r="I1511" s="94"/>
      <c r="J1511" s="94"/>
      <c r="K1511" s="94"/>
      <c r="L1511" s="94"/>
      <c r="M1511" s="94"/>
      <c r="N1511" s="94"/>
      <c r="O1511" s="94"/>
      <c r="P1511" s="94"/>
      <c r="Q1511" s="94"/>
      <c r="R1511" s="94"/>
      <c r="S1511" s="94"/>
      <c r="T1511" s="94"/>
      <c r="U1511" s="94"/>
      <c r="V1511" s="94"/>
      <c r="W1511" s="94"/>
      <c r="X1511" s="94"/>
      <c r="Y1511" s="94"/>
      <c r="Z1511" s="94"/>
      <c r="AA1511" s="94"/>
      <c r="AB1511" s="94"/>
      <c r="AC1511" s="94"/>
      <c r="AD1511" s="94"/>
      <c r="AE1511" s="94"/>
      <c r="AF1511" s="94"/>
      <c r="AG1511" s="94"/>
      <c r="AH1511" s="94"/>
      <c r="AI1511" s="94"/>
      <c r="AJ1511" s="94"/>
      <c r="AK1511" s="94"/>
      <c r="AL1511" s="94"/>
      <c r="AM1511" s="94"/>
      <c r="AN1511" s="94"/>
      <c r="AO1511" s="94"/>
      <c r="AP1511" s="94"/>
      <c r="AQ1511" s="94"/>
      <c r="AR1511" s="94"/>
      <c r="AS1511" s="94"/>
      <c r="AT1511" s="94"/>
      <c r="AU1511" s="94"/>
      <c r="AV1511" s="94"/>
      <c r="AW1511" s="94"/>
      <c r="AX1511" s="94"/>
      <c r="AY1511" s="94"/>
      <c r="AZ1511" s="94"/>
      <c r="BA1511" s="94"/>
      <c r="BB1511" s="94"/>
      <c r="BC1511" s="94"/>
      <c r="BD1511" s="94"/>
      <c r="BE1511" s="94"/>
      <c r="BF1511" s="94"/>
    </row>
    <row r="1512" spans="1:58" x14ac:dyDescent="0.35">
      <c r="A1512" s="107" t="s">
        <v>3296</v>
      </c>
      <c r="B1512" s="108" t="s">
        <v>0</v>
      </c>
      <c r="C1512" s="109">
        <v>7</v>
      </c>
      <c r="D1512" s="107" t="s">
        <v>1686</v>
      </c>
      <c r="E1512" s="109"/>
      <c r="F1512" s="94"/>
      <c r="G1512" s="94"/>
      <c r="H1512" s="94"/>
      <c r="I1512" s="94"/>
      <c r="J1512" s="94"/>
      <c r="K1512" s="94"/>
      <c r="L1512" s="94"/>
      <c r="M1512" s="94"/>
      <c r="N1512" s="94"/>
      <c r="O1512" s="94"/>
      <c r="P1512" s="94"/>
      <c r="Q1512" s="94"/>
      <c r="R1512" s="94"/>
      <c r="S1512" s="94"/>
      <c r="T1512" s="94"/>
      <c r="U1512" s="94"/>
      <c r="V1512" s="94"/>
      <c r="W1512" s="94"/>
      <c r="X1512" s="94"/>
      <c r="Y1512" s="94"/>
      <c r="Z1512" s="94"/>
      <c r="AA1512" s="94"/>
      <c r="AB1512" s="94"/>
      <c r="AC1512" s="94"/>
      <c r="AD1512" s="94"/>
      <c r="AE1512" s="94"/>
      <c r="AF1512" s="94"/>
      <c r="AG1512" s="94"/>
      <c r="AH1512" s="94"/>
      <c r="AI1512" s="94"/>
      <c r="AJ1512" s="94"/>
      <c r="AK1512" s="94"/>
      <c r="AL1512" s="94"/>
      <c r="AM1512" s="94"/>
      <c r="AN1512" s="94"/>
      <c r="AO1512" s="94"/>
      <c r="AP1512" s="94"/>
      <c r="AQ1512" s="94"/>
      <c r="AR1512" s="94"/>
      <c r="AS1512" s="94"/>
      <c r="AT1512" s="94"/>
      <c r="AU1512" s="94"/>
      <c r="AV1512" s="94"/>
      <c r="AW1512" s="94"/>
      <c r="AX1512" s="94"/>
      <c r="AY1512" s="94"/>
      <c r="AZ1512" s="94"/>
      <c r="BA1512" s="94"/>
      <c r="BB1512" s="94"/>
      <c r="BC1512" s="94"/>
      <c r="BD1512" s="94"/>
      <c r="BE1512" s="94"/>
      <c r="BF1512" s="94"/>
    </row>
    <row r="1513" spans="1:58" x14ac:dyDescent="0.35">
      <c r="A1513" s="107" t="s">
        <v>3297</v>
      </c>
      <c r="B1513" s="108" t="s">
        <v>0</v>
      </c>
      <c r="C1513" s="109">
        <v>7</v>
      </c>
      <c r="D1513" s="107" t="s">
        <v>1687</v>
      </c>
      <c r="E1513" s="109"/>
      <c r="F1513" s="94"/>
      <c r="G1513" s="94"/>
      <c r="H1513" s="94"/>
      <c r="I1513" s="94"/>
      <c r="J1513" s="94"/>
      <c r="K1513" s="94"/>
      <c r="L1513" s="94"/>
      <c r="M1513" s="94"/>
      <c r="N1513" s="94"/>
      <c r="O1513" s="94"/>
      <c r="P1513" s="94"/>
      <c r="Q1513" s="94"/>
      <c r="R1513" s="94"/>
      <c r="S1513" s="94"/>
      <c r="T1513" s="94"/>
      <c r="U1513" s="94"/>
      <c r="V1513" s="94"/>
      <c r="W1513" s="94"/>
      <c r="X1513" s="94"/>
      <c r="Y1513" s="94"/>
      <c r="Z1513" s="94"/>
      <c r="AA1513" s="94"/>
      <c r="AB1513" s="94"/>
      <c r="AC1513" s="94"/>
      <c r="AD1513" s="94"/>
      <c r="AE1513" s="94"/>
      <c r="AF1513" s="94"/>
      <c r="AG1513" s="94"/>
      <c r="AH1513" s="94"/>
      <c r="AI1513" s="94"/>
      <c r="AJ1513" s="94"/>
      <c r="AK1513" s="94"/>
      <c r="AL1513" s="94"/>
      <c r="AM1513" s="94"/>
      <c r="AN1513" s="94"/>
      <c r="AO1513" s="94"/>
      <c r="AP1513" s="94"/>
      <c r="AQ1513" s="94"/>
      <c r="AR1513" s="94"/>
      <c r="AS1513" s="94"/>
      <c r="AT1513" s="94"/>
      <c r="AU1513" s="94"/>
      <c r="AV1513" s="94"/>
      <c r="AW1513" s="94"/>
      <c r="AX1513" s="94"/>
      <c r="AY1513" s="94"/>
      <c r="AZ1513" s="94"/>
      <c r="BA1513" s="94"/>
      <c r="BB1513" s="94"/>
      <c r="BC1513" s="94"/>
      <c r="BD1513" s="94"/>
      <c r="BE1513" s="94"/>
      <c r="BF1513" s="94"/>
    </row>
    <row r="1514" spans="1:58" x14ac:dyDescent="0.35">
      <c r="A1514" s="107" t="s">
        <v>3298</v>
      </c>
      <c r="B1514" s="108" t="s">
        <v>0</v>
      </c>
      <c r="C1514" s="109">
        <v>7</v>
      </c>
      <c r="D1514" s="107" t="s">
        <v>1806</v>
      </c>
      <c r="E1514" s="109"/>
      <c r="F1514" s="94"/>
      <c r="G1514" s="94"/>
      <c r="H1514" s="94"/>
      <c r="I1514" s="94"/>
      <c r="J1514" s="94"/>
      <c r="K1514" s="94"/>
      <c r="L1514" s="94"/>
      <c r="M1514" s="94"/>
      <c r="N1514" s="94"/>
      <c r="O1514" s="94"/>
      <c r="P1514" s="94"/>
      <c r="Q1514" s="94"/>
      <c r="R1514" s="94"/>
      <c r="S1514" s="94"/>
      <c r="T1514" s="94"/>
      <c r="U1514" s="94"/>
      <c r="V1514" s="94"/>
      <c r="W1514" s="94"/>
      <c r="X1514" s="94"/>
      <c r="Y1514" s="94"/>
      <c r="Z1514" s="94"/>
      <c r="AA1514" s="94"/>
      <c r="AB1514" s="94"/>
      <c r="AC1514" s="94"/>
      <c r="AD1514" s="94"/>
      <c r="AE1514" s="94"/>
      <c r="AF1514" s="94"/>
      <c r="AG1514" s="94"/>
      <c r="AH1514" s="94"/>
      <c r="AI1514" s="94"/>
      <c r="AJ1514" s="94"/>
      <c r="AK1514" s="94"/>
      <c r="AL1514" s="94"/>
      <c r="AM1514" s="94"/>
      <c r="AN1514" s="94"/>
      <c r="AO1514" s="94"/>
      <c r="AP1514" s="94"/>
      <c r="AQ1514" s="94"/>
      <c r="AR1514" s="94"/>
      <c r="AS1514" s="94"/>
      <c r="AT1514" s="94"/>
      <c r="AU1514" s="94"/>
      <c r="AV1514" s="94"/>
      <c r="AW1514" s="94"/>
      <c r="AX1514" s="94"/>
      <c r="AY1514" s="94"/>
      <c r="AZ1514" s="94"/>
      <c r="BA1514" s="94"/>
      <c r="BB1514" s="94"/>
      <c r="BC1514" s="94"/>
      <c r="BD1514" s="94"/>
      <c r="BE1514" s="94"/>
      <c r="BF1514" s="94"/>
    </row>
    <row r="1515" spans="1:58" x14ac:dyDescent="0.35">
      <c r="A1515" s="107" t="s">
        <v>3299</v>
      </c>
      <c r="B1515" s="108" t="s">
        <v>0</v>
      </c>
      <c r="C1515" s="109">
        <v>7</v>
      </c>
      <c r="D1515" s="107" t="s">
        <v>1689</v>
      </c>
      <c r="E1515" s="109"/>
      <c r="F1515" s="94"/>
      <c r="G1515" s="94"/>
      <c r="H1515" s="94"/>
      <c r="I1515" s="94"/>
      <c r="J1515" s="94"/>
      <c r="K1515" s="94"/>
      <c r="L1515" s="94"/>
      <c r="M1515" s="94"/>
      <c r="N1515" s="94"/>
      <c r="O1515" s="94"/>
      <c r="P1515" s="94"/>
      <c r="Q1515" s="94"/>
      <c r="R1515" s="94"/>
      <c r="S1515" s="94"/>
      <c r="T1515" s="94"/>
      <c r="U1515" s="94"/>
      <c r="V1515" s="94"/>
      <c r="W1515" s="94"/>
      <c r="X1515" s="94"/>
      <c r="Y1515" s="94"/>
      <c r="Z1515" s="94"/>
      <c r="AA1515" s="94"/>
      <c r="AB1515" s="94"/>
      <c r="AC1515" s="94"/>
      <c r="AD1515" s="94"/>
      <c r="AE1515" s="94"/>
      <c r="AF1515" s="94"/>
      <c r="AG1515" s="94"/>
      <c r="AH1515" s="94"/>
      <c r="AI1515" s="94"/>
      <c r="AJ1515" s="94"/>
      <c r="AK1515" s="94"/>
      <c r="AL1515" s="94"/>
      <c r="AM1515" s="94"/>
      <c r="AN1515" s="94"/>
      <c r="AO1515" s="94"/>
      <c r="AP1515" s="94"/>
      <c r="AQ1515" s="94"/>
      <c r="AR1515" s="94"/>
      <c r="AS1515" s="94"/>
      <c r="AT1515" s="94"/>
      <c r="AU1515" s="94"/>
      <c r="AV1515" s="94"/>
      <c r="AW1515" s="94"/>
      <c r="AX1515" s="94"/>
      <c r="AY1515" s="94"/>
      <c r="AZ1515" s="94"/>
      <c r="BA1515" s="94"/>
      <c r="BB1515" s="94"/>
      <c r="BC1515" s="94"/>
      <c r="BD1515" s="94"/>
      <c r="BE1515" s="94"/>
      <c r="BF1515" s="94"/>
    </row>
    <row r="1516" spans="1:58" x14ac:dyDescent="0.35">
      <c r="A1516" s="107" t="s">
        <v>3300</v>
      </c>
      <c r="B1516" s="108" t="s">
        <v>0</v>
      </c>
      <c r="C1516" s="109">
        <v>7</v>
      </c>
      <c r="D1516" s="107" t="s">
        <v>1690</v>
      </c>
      <c r="E1516" s="109"/>
      <c r="F1516" s="94"/>
      <c r="G1516" s="94"/>
      <c r="H1516" s="94"/>
      <c r="I1516" s="94"/>
      <c r="J1516" s="94"/>
      <c r="K1516" s="94"/>
      <c r="L1516" s="94"/>
      <c r="M1516" s="94"/>
      <c r="N1516" s="94"/>
      <c r="O1516" s="94"/>
      <c r="P1516" s="94"/>
      <c r="Q1516" s="94"/>
      <c r="R1516" s="94"/>
      <c r="S1516" s="94"/>
      <c r="T1516" s="94"/>
      <c r="U1516" s="94"/>
      <c r="V1516" s="94"/>
      <c r="W1516" s="94"/>
      <c r="X1516" s="94"/>
      <c r="Y1516" s="94"/>
      <c r="Z1516" s="94"/>
      <c r="AA1516" s="94"/>
      <c r="AB1516" s="94"/>
      <c r="AC1516" s="94"/>
      <c r="AD1516" s="94"/>
      <c r="AE1516" s="94"/>
      <c r="AF1516" s="94"/>
      <c r="AG1516" s="94"/>
      <c r="AH1516" s="94"/>
      <c r="AI1516" s="94"/>
      <c r="AJ1516" s="94"/>
      <c r="AK1516" s="94"/>
      <c r="AL1516" s="94"/>
      <c r="AM1516" s="94"/>
      <c r="AN1516" s="94"/>
      <c r="AO1516" s="94"/>
      <c r="AP1516" s="94"/>
      <c r="AQ1516" s="94"/>
      <c r="AR1516" s="94"/>
      <c r="AS1516" s="94"/>
      <c r="AT1516" s="94"/>
      <c r="AU1516" s="94"/>
      <c r="AV1516" s="94"/>
      <c r="AW1516" s="94"/>
      <c r="AX1516" s="94"/>
      <c r="AY1516" s="94"/>
      <c r="AZ1516" s="94"/>
      <c r="BA1516" s="94"/>
      <c r="BB1516" s="94"/>
      <c r="BC1516" s="94"/>
      <c r="BD1516" s="94"/>
      <c r="BE1516" s="94"/>
      <c r="BF1516" s="94"/>
    </row>
    <row r="1517" spans="1:58" x14ac:dyDescent="0.35">
      <c r="A1517" s="107" t="s">
        <v>3301</v>
      </c>
      <c r="B1517" s="108" t="s">
        <v>0</v>
      </c>
      <c r="C1517" s="109">
        <v>7</v>
      </c>
      <c r="D1517" s="107" t="s">
        <v>1776</v>
      </c>
      <c r="E1517" s="109"/>
      <c r="F1517" s="94"/>
      <c r="G1517" s="94"/>
      <c r="H1517" s="94"/>
      <c r="I1517" s="94"/>
      <c r="J1517" s="94"/>
      <c r="K1517" s="94"/>
      <c r="L1517" s="94"/>
      <c r="M1517" s="94"/>
      <c r="N1517" s="94"/>
      <c r="O1517" s="94"/>
      <c r="P1517" s="94"/>
      <c r="Q1517" s="94"/>
      <c r="R1517" s="94"/>
      <c r="S1517" s="94"/>
      <c r="T1517" s="94"/>
      <c r="U1517" s="94"/>
      <c r="V1517" s="94"/>
      <c r="W1517" s="94"/>
      <c r="X1517" s="94"/>
      <c r="Y1517" s="94"/>
      <c r="Z1517" s="94"/>
      <c r="AA1517" s="94"/>
      <c r="AB1517" s="94"/>
      <c r="AC1517" s="94"/>
      <c r="AD1517" s="94"/>
      <c r="AE1517" s="94"/>
      <c r="AF1517" s="94"/>
      <c r="AG1517" s="94"/>
      <c r="AH1517" s="94"/>
      <c r="AI1517" s="94"/>
      <c r="AJ1517" s="94"/>
      <c r="AK1517" s="94"/>
      <c r="AL1517" s="94"/>
      <c r="AM1517" s="94"/>
      <c r="AN1517" s="94"/>
      <c r="AO1517" s="94"/>
      <c r="AP1517" s="94"/>
      <c r="AQ1517" s="94"/>
      <c r="AR1517" s="94"/>
      <c r="AS1517" s="94"/>
      <c r="AT1517" s="94"/>
      <c r="AU1517" s="94"/>
      <c r="AV1517" s="94"/>
      <c r="AW1517" s="94"/>
      <c r="AX1517" s="94"/>
      <c r="AY1517" s="94"/>
      <c r="AZ1517" s="94"/>
      <c r="BA1517" s="94"/>
      <c r="BB1517" s="94"/>
      <c r="BC1517" s="94"/>
      <c r="BD1517" s="94"/>
      <c r="BE1517" s="94"/>
      <c r="BF1517" s="94"/>
    </row>
    <row r="1518" spans="1:58" x14ac:dyDescent="0.35">
      <c r="A1518" s="107" t="s">
        <v>3302</v>
      </c>
      <c r="B1518" s="108" t="s">
        <v>0</v>
      </c>
      <c r="C1518" s="109">
        <v>7</v>
      </c>
      <c r="D1518" s="107" t="s">
        <v>1777</v>
      </c>
      <c r="E1518" s="109"/>
      <c r="F1518" s="94"/>
      <c r="G1518" s="94"/>
      <c r="H1518" s="94"/>
      <c r="I1518" s="94"/>
      <c r="J1518" s="94"/>
      <c r="K1518" s="94"/>
      <c r="L1518" s="94"/>
      <c r="M1518" s="94"/>
      <c r="N1518" s="94"/>
      <c r="O1518" s="94"/>
      <c r="P1518" s="94"/>
      <c r="Q1518" s="94"/>
      <c r="R1518" s="94"/>
      <c r="S1518" s="94"/>
      <c r="T1518" s="94"/>
      <c r="U1518" s="94"/>
      <c r="V1518" s="94"/>
      <c r="W1518" s="94"/>
      <c r="X1518" s="94"/>
      <c r="Y1518" s="94"/>
      <c r="Z1518" s="94"/>
      <c r="AA1518" s="94"/>
      <c r="AB1518" s="94"/>
      <c r="AC1518" s="94"/>
      <c r="AD1518" s="94"/>
      <c r="AE1518" s="94"/>
      <c r="AF1518" s="94"/>
      <c r="AG1518" s="94"/>
      <c r="AH1518" s="94"/>
      <c r="AI1518" s="94"/>
      <c r="AJ1518" s="94"/>
      <c r="AK1518" s="94"/>
      <c r="AL1518" s="94"/>
      <c r="AM1518" s="94"/>
      <c r="AN1518" s="94"/>
      <c r="AO1518" s="94"/>
      <c r="AP1518" s="94"/>
      <c r="AQ1518" s="94"/>
      <c r="AR1518" s="94"/>
      <c r="AS1518" s="94"/>
      <c r="AT1518" s="94"/>
      <c r="AU1518" s="94"/>
      <c r="AV1518" s="94"/>
      <c r="AW1518" s="94"/>
      <c r="AX1518" s="94"/>
      <c r="AY1518" s="94"/>
      <c r="AZ1518" s="94"/>
      <c r="BA1518" s="94"/>
      <c r="BB1518" s="94"/>
      <c r="BC1518" s="94"/>
      <c r="BD1518" s="94"/>
      <c r="BE1518" s="94"/>
      <c r="BF1518" s="94"/>
    </row>
    <row r="1519" spans="1:58" x14ac:dyDescent="0.35">
      <c r="A1519" s="107" t="s">
        <v>3303</v>
      </c>
      <c r="B1519" s="108" t="s">
        <v>0</v>
      </c>
      <c r="C1519" s="109">
        <v>7</v>
      </c>
      <c r="D1519" s="107" t="s">
        <v>1780</v>
      </c>
      <c r="E1519" s="109"/>
      <c r="F1519" s="94"/>
      <c r="G1519" s="94"/>
      <c r="H1519" s="94"/>
      <c r="I1519" s="94"/>
      <c r="J1519" s="94"/>
      <c r="K1519" s="94"/>
      <c r="L1519" s="94"/>
      <c r="M1519" s="94"/>
      <c r="N1519" s="94"/>
      <c r="O1519" s="94"/>
      <c r="P1519" s="94"/>
      <c r="Q1519" s="94"/>
      <c r="R1519" s="94"/>
      <c r="S1519" s="94"/>
      <c r="T1519" s="94"/>
      <c r="U1519" s="94"/>
      <c r="V1519" s="94"/>
      <c r="W1519" s="94"/>
      <c r="X1519" s="94"/>
      <c r="Y1519" s="94"/>
      <c r="Z1519" s="94"/>
      <c r="AA1519" s="94"/>
      <c r="AB1519" s="94"/>
      <c r="AC1519" s="94"/>
      <c r="AD1519" s="94"/>
      <c r="AE1519" s="94"/>
      <c r="AF1519" s="94"/>
      <c r="AG1519" s="94"/>
      <c r="AH1519" s="94"/>
      <c r="AI1519" s="94"/>
      <c r="AJ1519" s="94"/>
      <c r="AK1519" s="94"/>
      <c r="AL1519" s="94"/>
      <c r="AM1519" s="94"/>
      <c r="AN1519" s="94"/>
      <c r="AO1519" s="94"/>
      <c r="AP1519" s="94"/>
      <c r="AQ1519" s="94"/>
      <c r="AR1519" s="94"/>
      <c r="AS1519" s="94"/>
      <c r="AT1519" s="94"/>
      <c r="AU1519" s="94"/>
      <c r="AV1519" s="94"/>
      <c r="AW1519" s="94"/>
      <c r="AX1519" s="94"/>
      <c r="AY1519" s="94"/>
      <c r="AZ1519" s="94"/>
      <c r="BA1519" s="94"/>
      <c r="BB1519" s="94"/>
      <c r="BC1519" s="94"/>
      <c r="BD1519" s="94"/>
      <c r="BE1519" s="94"/>
      <c r="BF1519" s="94"/>
    </row>
    <row r="1520" spans="1:58" x14ac:dyDescent="0.35">
      <c r="A1520" s="107" t="s">
        <v>3304</v>
      </c>
      <c r="B1520" s="108" t="s">
        <v>0</v>
      </c>
      <c r="C1520" s="109">
        <v>7</v>
      </c>
      <c r="D1520" s="107" t="s">
        <v>1778</v>
      </c>
      <c r="E1520" s="109"/>
      <c r="F1520" s="94"/>
      <c r="G1520" s="94"/>
      <c r="H1520" s="94"/>
      <c r="I1520" s="94"/>
      <c r="J1520" s="94"/>
      <c r="K1520" s="94"/>
      <c r="L1520" s="94"/>
      <c r="M1520" s="94"/>
      <c r="N1520" s="94"/>
      <c r="O1520" s="94"/>
      <c r="P1520" s="94"/>
      <c r="Q1520" s="94"/>
      <c r="R1520" s="94"/>
      <c r="S1520" s="94"/>
      <c r="T1520" s="94"/>
      <c r="U1520" s="94"/>
      <c r="V1520" s="94"/>
      <c r="W1520" s="94"/>
      <c r="X1520" s="94"/>
      <c r="Y1520" s="94"/>
      <c r="Z1520" s="94"/>
      <c r="AA1520" s="94"/>
      <c r="AB1520" s="94"/>
      <c r="AC1520" s="94"/>
      <c r="AD1520" s="94"/>
      <c r="AE1520" s="94"/>
      <c r="AF1520" s="94"/>
      <c r="AG1520" s="94"/>
      <c r="AH1520" s="94"/>
      <c r="AI1520" s="94"/>
      <c r="AJ1520" s="94"/>
      <c r="AK1520" s="94"/>
      <c r="AL1520" s="94"/>
      <c r="AM1520" s="94"/>
      <c r="AN1520" s="94"/>
      <c r="AO1520" s="94"/>
      <c r="AP1520" s="94"/>
      <c r="AQ1520" s="94"/>
      <c r="AR1520" s="94"/>
      <c r="AS1520" s="94"/>
      <c r="AT1520" s="94"/>
      <c r="AU1520" s="94"/>
      <c r="AV1520" s="94"/>
      <c r="AW1520" s="94"/>
      <c r="AX1520" s="94"/>
      <c r="AY1520" s="94"/>
      <c r="AZ1520" s="94"/>
      <c r="BA1520" s="94"/>
      <c r="BB1520" s="94"/>
      <c r="BC1520" s="94"/>
      <c r="BD1520" s="94"/>
      <c r="BE1520" s="94"/>
      <c r="BF1520" s="94"/>
    </row>
    <row r="1521" spans="1:58" x14ac:dyDescent="0.35">
      <c r="A1521" s="107" t="s">
        <v>3305</v>
      </c>
      <c r="B1521" s="108" t="s">
        <v>0</v>
      </c>
      <c r="C1521" s="109">
        <v>7</v>
      </c>
      <c r="D1521" s="107" t="s">
        <v>1779</v>
      </c>
      <c r="E1521" s="109"/>
      <c r="F1521" s="94"/>
      <c r="G1521" s="94"/>
      <c r="H1521" s="94"/>
      <c r="I1521" s="94"/>
      <c r="J1521" s="94"/>
      <c r="K1521" s="94"/>
      <c r="L1521" s="94"/>
      <c r="M1521" s="94"/>
      <c r="N1521" s="94"/>
      <c r="O1521" s="94"/>
      <c r="P1521" s="94"/>
      <c r="Q1521" s="94"/>
      <c r="R1521" s="94"/>
      <c r="S1521" s="94"/>
      <c r="T1521" s="94"/>
      <c r="U1521" s="94"/>
      <c r="V1521" s="94"/>
      <c r="W1521" s="94"/>
      <c r="X1521" s="94"/>
      <c r="Y1521" s="94"/>
      <c r="Z1521" s="94"/>
      <c r="AA1521" s="94"/>
      <c r="AB1521" s="94"/>
      <c r="AC1521" s="94"/>
      <c r="AD1521" s="94"/>
      <c r="AE1521" s="94"/>
      <c r="AF1521" s="94"/>
      <c r="AG1521" s="94"/>
      <c r="AH1521" s="94"/>
      <c r="AI1521" s="94"/>
      <c r="AJ1521" s="94"/>
      <c r="AK1521" s="94"/>
      <c r="AL1521" s="94"/>
      <c r="AM1521" s="94"/>
      <c r="AN1521" s="94"/>
      <c r="AO1521" s="94"/>
      <c r="AP1521" s="94"/>
      <c r="AQ1521" s="94"/>
      <c r="AR1521" s="94"/>
      <c r="AS1521" s="94"/>
      <c r="AT1521" s="94"/>
      <c r="AU1521" s="94"/>
      <c r="AV1521" s="94"/>
      <c r="AW1521" s="94"/>
      <c r="AX1521" s="94"/>
      <c r="AY1521" s="94"/>
      <c r="AZ1521" s="94"/>
      <c r="BA1521" s="94"/>
      <c r="BB1521" s="94"/>
      <c r="BC1521" s="94"/>
      <c r="BD1521" s="94"/>
      <c r="BE1521" s="94"/>
      <c r="BF1521" s="94"/>
    </row>
    <row r="1522" spans="1:58" x14ac:dyDescent="0.35">
      <c r="A1522" s="107" t="s">
        <v>3306</v>
      </c>
      <c r="B1522" s="108" t="s">
        <v>0</v>
      </c>
      <c r="C1522" s="109">
        <v>7</v>
      </c>
      <c r="D1522" s="107" t="s">
        <v>1693</v>
      </c>
      <c r="E1522" s="109"/>
      <c r="F1522" s="94"/>
      <c r="G1522" s="94"/>
      <c r="H1522" s="94"/>
      <c r="I1522" s="94"/>
      <c r="J1522" s="94"/>
      <c r="K1522" s="94"/>
      <c r="L1522" s="94"/>
      <c r="M1522" s="94"/>
      <c r="N1522" s="94"/>
      <c r="O1522" s="94"/>
      <c r="P1522" s="94"/>
      <c r="Q1522" s="94"/>
      <c r="R1522" s="94"/>
      <c r="S1522" s="94"/>
      <c r="T1522" s="94"/>
      <c r="U1522" s="94"/>
      <c r="V1522" s="94"/>
      <c r="W1522" s="94"/>
      <c r="X1522" s="94"/>
      <c r="Y1522" s="94"/>
      <c r="Z1522" s="94"/>
      <c r="AA1522" s="94"/>
      <c r="AB1522" s="94"/>
      <c r="AC1522" s="94"/>
      <c r="AD1522" s="94"/>
      <c r="AE1522" s="94"/>
      <c r="AF1522" s="94"/>
      <c r="AG1522" s="94"/>
      <c r="AH1522" s="94"/>
      <c r="AI1522" s="94"/>
      <c r="AJ1522" s="94"/>
      <c r="AK1522" s="94"/>
      <c r="AL1522" s="94"/>
      <c r="AM1522" s="94"/>
      <c r="AN1522" s="94"/>
      <c r="AO1522" s="94"/>
      <c r="AP1522" s="94"/>
      <c r="AQ1522" s="94"/>
      <c r="AR1522" s="94"/>
      <c r="AS1522" s="94"/>
      <c r="AT1522" s="94"/>
      <c r="AU1522" s="94"/>
      <c r="AV1522" s="94"/>
      <c r="AW1522" s="94"/>
      <c r="AX1522" s="94"/>
      <c r="AY1522" s="94"/>
      <c r="AZ1522" s="94"/>
      <c r="BA1522" s="94"/>
      <c r="BB1522" s="94"/>
      <c r="BC1522" s="94"/>
      <c r="BD1522" s="94"/>
      <c r="BE1522" s="94"/>
      <c r="BF1522" s="94"/>
    </row>
    <row r="1523" spans="1:58" x14ac:dyDescent="0.35">
      <c r="A1523" s="107" t="s">
        <v>3307</v>
      </c>
      <c r="B1523" s="108" t="s">
        <v>0</v>
      </c>
      <c r="C1523" s="109">
        <v>7</v>
      </c>
      <c r="D1523" s="107" t="s">
        <v>1695</v>
      </c>
      <c r="E1523" s="109"/>
      <c r="F1523" s="94"/>
      <c r="G1523" s="94"/>
      <c r="H1523" s="94"/>
      <c r="I1523" s="94"/>
      <c r="J1523" s="94"/>
      <c r="K1523" s="94"/>
      <c r="L1523" s="94"/>
      <c r="M1523" s="94"/>
      <c r="N1523" s="94"/>
      <c r="O1523" s="94"/>
      <c r="P1523" s="94"/>
      <c r="Q1523" s="94"/>
      <c r="R1523" s="94"/>
      <c r="S1523" s="94"/>
      <c r="T1523" s="94"/>
      <c r="U1523" s="94"/>
      <c r="V1523" s="94"/>
      <c r="W1523" s="94"/>
      <c r="X1523" s="94"/>
      <c r="Y1523" s="94"/>
      <c r="Z1523" s="94"/>
      <c r="AA1523" s="94"/>
      <c r="AB1523" s="94"/>
      <c r="AC1523" s="94"/>
      <c r="AD1523" s="94"/>
      <c r="AE1523" s="94"/>
      <c r="AF1523" s="94"/>
      <c r="AG1523" s="94"/>
      <c r="AH1523" s="94"/>
      <c r="AI1523" s="94"/>
      <c r="AJ1523" s="94"/>
      <c r="AK1523" s="94"/>
      <c r="AL1523" s="94"/>
      <c r="AM1523" s="94"/>
      <c r="AN1523" s="94"/>
      <c r="AO1523" s="94"/>
      <c r="AP1523" s="94"/>
      <c r="AQ1523" s="94"/>
      <c r="AR1523" s="94"/>
      <c r="AS1523" s="94"/>
      <c r="AT1523" s="94"/>
      <c r="AU1523" s="94"/>
      <c r="AV1523" s="94"/>
      <c r="AW1523" s="94"/>
      <c r="AX1523" s="94"/>
      <c r="AY1523" s="94"/>
      <c r="AZ1523" s="94"/>
      <c r="BA1523" s="94"/>
      <c r="BB1523" s="94"/>
      <c r="BC1523" s="94"/>
      <c r="BD1523" s="94"/>
      <c r="BE1523" s="94"/>
      <c r="BF1523" s="94"/>
    </row>
    <row r="1524" spans="1:58" x14ac:dyDescent="0.35">
      <c r="A1524" s="104" t="s">
        <v>3308</v>
      </c>
      <c r="B1524" s="105" t="s">
        <v>0</v>
      </c>
      <c r="C1524" s="106">
        <v>6</v>
      </c>
      <c r="D1524" s="104" t="s">
        <v>123</v>
      </c>
      <c r="E1524" s="106"/>
      <c r="F1524" s="94"/>
      <c r="G1524" s="94"/>
      <c r="H1524" s="94"/>
      <c r="I1524" s="94"/>
      <c r="J1524" s="94"/>
      <c r="K1524" s="94"/>
      <c r="L1524" s="94"/>
      <c r="M1524" s="94"/>
      <c r="N1524" s="94"/>
      <c r="O1524" s="94"/>
      <c r="P1524" s="94"/>
      <c r="Q1524" s="94"/>
      <c r="R1524" s="94"/>
      <c r="S1524" s="94"/>
      <c r="T1524" s="94"/>
      <c r="U1524" s="94"/>
      <c r="V1524" s="94"/>
      <c r="W1524" s="94"/>
      <c r="X1524" s="94"/>
      <c r="Y1524" s="94"/>
      <c r="Z1524" s="94"/>
      <c r="AA1524" s="94"/>
      <c r="AB1524" s="94"/>
      <c r="AC1524" s="94"/>
      <c r="AD1524" s="94"/>
      <c r="AE1524" s="94"/>
      <c r="AF1524" s="94"/>
      <c r="AG1524" s="94"/>
      <c r="AH1524" s="94"/>
      <c r="AI1524" s="94"/>
      <c r="AJ1524" s="94"/>
      <c r="AK1524" s="94"/>
      <c r="AL1524" s="94"/>
      <c r="AM1524" s="94"/>
      <c r="AN1524" s="94"/>
      <c r="AO1524" s="94"/>
      <c r="AP1524" s="94"/>
      <c r="AQ1524" s="94"/>
      <c r="AR1524" s="94"/>
      <c r="AS1524" s="94"/>
      <c r="AT1524" s="94"/>
      <c r="AU1524" s="94"/>
      <c r="AV1524" s="94"/>
      <c r="AW1524" s="94"/>
      <c r="AX1524" s="94"/>
      <c r="AY1524" s="94"/>
      <c r="AZ1524" s="94"/>
      <c r="BA1524" s="94"/>
      <c r="BB1524" s="94"/>
      <c r="BC1524" s="94"/>
      <c r="BD1524" s="94"/>
      <c r="BE1524" s="94"/>
      <c r="BF1524" s="94"/>
    </row>
    <row r="1525" spans="1:58" x14ac:dyDescent="0.35">
      <c r="A1525" s="101" t="s">
        <v>3309</v>
      </c>
      <c r="B1525" s="102" t="s">
        <v>0</v>
      </c>
      <c r="C1525" s="103">
        <v>5</v>
      </c>
      <c r="D1525" s="101" t="s">
        <v>1235</v>
      </c>
      <c r="E1525" s="103" t="s">
        <v>271</v>
      </c>
      <c r="F1525" s="94"/>
      <c r="G1525" s="94"/>
      <c r="H1525" s="94"/>
      <c r="I1525" s="94"/>
      <c r="J1525" s="94"/>
      <c r="K1525" s="94"/>
      <c r="L1525" s="94"/>
      <c r="M1525" s="94"/>
      <c r="N1525" s="94"/>
      <c r="O1525" s="94"/>
      <c r="P1525" s="94"/>
      <c r="Q1525" s="94"/>
      <c r="R1525" s="94"/>
      <c r="S1525" s="94"/>
      <c r="T1525" s="94"/>
      <c r="U1525" s="94"/>
      <c r="V1525" s="94"/>
      <c r="W1525" s="94"/>
      <c r="X1525" s="94"/>
      <c r="Y1525" s="94"/>
      <c r="Z1525" s="94"/>
      <c r="AA1525" s="94"/>
      <c r="AB1525" s="94"/>
      <c r="AC1525" s="94"/>
      <c r="AD1525" s="94"/>
      <c r="AE1525" s="94"/>
      <c r="AF1525" s="94"/>
      <c r="AG1525" s="94"/>
      <c r="AH1525" s="94"/>
      <c r="AI1525" s="94"/>
      <c r="AJ1525" s="94"/>
      <c r="AK1525" s="94"/>
      <c r="AL1525" s="94"/>
      <c r="AM1525" s="94"/>
      <c r="AN1525" s="94"/>
      <c r="AO1525" s="94"/>
      <c r="AP1525" s="94"/>
      <c r="AQ1525" s="94"/>
      <c r="AR1525" s="94"/>
      <c r="AS1525" s="94"/>
      <c r="AT1525" s="94"/>
      <c r="AU1525" s="94"/>
      <c r="AV1525" s="94"/>
      <c r="AW1525" s="94"/>
      <c r="AX1525" s="94"/>
      <c r="AY1525" s="94"/>
      <c r="AZ1525" s="94"/>
      <c r="BA1525" s="94"/>
      <c r="BB1525" s="94"/>
      <c r="BC1525" s="94"/>
      <c r="BD1525" s="94"/>
      <c r="BE1525" s="94"/>
      <c r="BF1525" s="94"/>
    </row>
    <row r="1526" spans="1:58" x14ac:dyDescent="0.35">
      <c r="A1526" s="104" t="s">
        <v>3310</v>
      </c>
      <c r="B1526" s="105" t="s">
        <v>0</v>
      </c>
      <c r="C1526" s="106">
        <v>6</v>
      </c>
      <c r="D1526" s="104" t="s">
        <v>1717</v>
      </c>
      <c r="E1526" s="106"/>
      <c r="F1526" s="94"/>
      <c r="G1526" s="94"/>
      <c r="H1526" s="94"/>
      <c r="I1526" s="94"/>
      <c r="J1526" s="94"/>
      <c r="K1526" s="94"/>
      <c r="L1526" s="94"/>
      <c r="M1526" s="94"/>
      <c r="N1526" s="94"/>
      <c r="O1526" s="94"/>
      <c r="P1526" s="94"/>
      <c r="Q1526" s="94"/>
      <c r="R1526" s="94"/>
      <c r="S1526" s="94"/>
      <c r="T1526" s="94"/>
      <c r="U1526" s="94"/>
      <c r="V1526" s="94"/>
      <c r="W1526" s="94"/>
      <c r="X1526" s="94"/>
      <c r="Y1526" s="94"/>
      <c r="Z1526" s="94"/>
      <c r="AA1526" s="94"/>
      <c r="AB1526" s="94"/>
      <c r="AC1526" s="94"/>
      <c r="AD1526" s="94"/>
      <c r="AE1526" s="94"/>
      <c r="AF1526" s="94"/>
      <c r="AG1526" s="94"/>
      <c r="AH1526" s="94"/>
      <c r="AI1526" s="94"/>
      <c r="AJ1526" s="94"/>
      <c r="AK1526" s="94"/>
      <c r="AL1526" s="94"/>
      <c r="AM1526" s="94"/>
      <c r="AN1526" s="94"/>
      <c r="AO1526" s="94"/>
      <c r="AP1526" s="94"/>
      <c r="AQ1526" s="94"/>
      <c r="AR1526" s="94"/>
      <c r="AS1526" s="94"/>
      <c r="AT1526" s="94"/>
      <c r="AU1526" s="94"/>
      <c r="AV1526" s="94"/>
      <c r="AW1526" s="94"/>
      <c r="AX1526" s="94"/>
      <c r="AY1526" s="94"/>
      <c r="AZ1526" s="94"/>
      <c r="BA1526" s="94"/>
      <c r="BB1526" s="94"/>
      <c r="BC1526" s="94"/>
      <c r="BD1526" s="94"/>
      <c r="BE1526" s="94"/>
      <c r="BF1526" s="94"/>
    </row>
    <row r="1527" spans="1:58" x14ac:dyDescent="0.35">
      <c r="A1527" s="107" t="s">
        <v>3311</v>
      </c>
      <c r="B1527" s="108" t="s">
        <v>0</v>
      </c>
      <c r="C1527" s="109">
        <v>7</v>
      </c>
      <c r="D1527" s="107" t="s">
        <v>1718</v>
      </c>
      <c r="E1527" s="109"/>
      <c r="F1527" s="94"/>
      <c r="G1527" s="94"/>
      <c r="H1527" s="94"/>
      <c r="I1527" s="94"/>
      <c r="J1527" s="94"/>
      <c r="K1527" s="94"/>
      <c r="L1527" s="94"/>
      <c r="M1527" s="94"/>
      <c r="N1527" s="94"/>
      <c r="O1527" s="94"/>
      <c r="P1527" s="94"/>
      <c r="Q1527" s="94"/>
      <c r="R1527" s="94"/>
      <c r="S1527" s="94"/>
      <c r="T1527" s="94"/>
      <c r="U1527" s="94"/>
      <c r="V1527" s="94"/>
      <c r="W1527" s="94"/>
      <c r="X1527" s="94"/>
      <c r="Y1527" s="94"/>
      <c r="Z1527" s="94"/>
      <c r="AA1527" s="94"/>
      <c r="AB1527" s="94"/>
      <c r="AC1527" s="94"/>
      <c r="AD1527" s="94"/>
      <c r="AE1527" s="94"/>
      <c r="AF1527" s="94"/>
      <c r="AG1527" s="94"/>
      <c r="AH1527" s="94"/>
      <c r="AI1527" s="94"/>
      <c r="AJ1527" s="94"/>
      <c r="AK1527" s="94"/>
      <c r="AL1527" s="94"/>
      <c r="AM1527" s="94"/>
      <c r="AN1527" s="94"/>
      <c r="AO1527" s="94"/>
      <c r="AP1527" s="94"/>
      <c r="AQ1527" s="94"/>
      <c r="AR1527" s="94"/>
      <c r="AS1527" s="94"/>
      <c r="AT1527" s="94"/>
      <c r="AU1527" s="94"/>
      <c r="AV1527" s="94"/>
      <c r="AW1527" s="94"/>
      <c r="AX1527" s="94"/>
      <c r="AY1527" s="94"/>
      <c r="AZ1527" s="94"/>
      <c r="BA1527" s="94"/>
      <c r="BB1527" s="94"/>
      <c r="BC1527" s="94"/>
      <c r="BD1527" s="94"/>
      <c r="BE1527" s="94"/>
      <c r="BF1527" s="94"/>
    </row>
    <row r="1528" spans="1:58" x14ac:dyDescent="0.35">
      <c r="A1528" s="107" t="s">
        <v>3312</v>
      </c>
      <c r="B1528" s="108" t="s">
        <v>0</v>
      </c>
      <c r="C1528" s="109">
        <v>7</v>
      </c>
      <c r="D1528" s="107" t="s">
        <v>1728</v>
      </c>
      <c r="E1528" s="109"/>
      <c r="F1528" s="94"/>
      <c r="G1528" s="94"/>
      <c r="H1528" s="94"/>
      <c r="I1528" s="94"/>
      <c r="J1528" s="94"/>
      <c r="K1528" s="94"/>
      <c r="L1528" s="94"/>
      <c r="M1528" s="94"/>
      <c r="N1528" s="94"/>
      <c r="O1528" s="94"/>
      <c r="P1528" s="94"/>
      <c r="Q1528" s="94"/>
      <c r="R1528" s="94"/>
      <c r="S1528" s="94"/>
      <c r="T1528" s="94"/>
      <c r="U1528" s="94"/>
      <c r="V1528" s="94"/>
      <c r="W1528" s="94"/>
      <c r="X1528" s="94"/>
      <c r="Y1528" s="94"/>
      <c r="Z1528" s="94"/>
      <c r="AA1528" s="94"/>
      <c r="AB1528" s="94"/>
      <c r="AC1528" s="94"/>
      <c r="AD1528" s="94"/>
      <c r="AE1528" s="94"/>
      <c r="AF1528" s="94"/>
      <c r="AG1528" s="94"/>
      <c r="AH1528" s="94"/>
      <c r="AI1528" s="94"/>
      <c r="AJ1528" s="94"/>
      <c r="AK1528" s="94"/>
      <c r="AL1528" s="94"/>
      <c r="AM1528" s="94"/>
      <c r="AN1528" s="94"/>
      <c r="AO1528" s="94"/>
      <c r="AP1528" s="94"/>
      <c r="AQ1528" s="94"/>
      <c r="AR1528" s="94"/>
      <c r="AS1528" s="94"/>
      <c r="AT1528" s="94"/>
      <c r="AU1528" s="94"/>
      <c r="AV1528" s="94"/>
      <c r="AW1528" s="94"/>
      <c r="AX1528" s="94"/>
      <c r="AY1528" s="94"/>
      <c r="AZ1528" s="94"/>
      <c r="BA1528" s="94"/>
      <c r="BB1528" s="94"/>
      <c r="BC1528" s="94"/>
      <c r="BD1528" s="94"/>
      <c r="BE1528" s="94"/>
      <c r="BF1528" s="94"/>
    </row>
    <row r="1529" spans="1:58" x14ac:dyDescent="0.35">
      <c r="A1529" s="107" t="s">
        <v>3313</v>
      </c>
      <c r="B1529" s="108" t="s">
        <v>0</v>
      </c>
      <c r="C1529" s="109">
        <v>7</v>
      </c>
      <c r="D1529" s="107" t="s">
        <v>1727</v>
      </c>
      <c r="E1529" s="109"/>
      <c r="F1529" s="94"/>
      <c r="G1529" s="94"/>
      <c r="H1529" s="94"/>
      <c r="I1529" s="94"/>
      <c r="J1529" s="94"/>
      <c r="K1529" s="94"/>
      <c r="L1529" s="94"/>
      <c r="M1529" s="94"/>
      <c r="N1529" s="94"/>
      <c r="O1529" s="94"/>
      <c r="P1529" s="94"/>
      <c r="Q1529" s="94"/>
      <c r="R1529" s="94"/>
      <c r="S1529" s="94"/>
      <c r="T1529" s="94"/>
      <c r="U1529" s="94"/>
      <c r="V1529" s="94"/>
      <c r="W1529" s="94"/>
      <c r="X1529" s="94"/>
      <c r="Y1529" s="94"/>
      <c r="Z1529" s="94"/>
      <c r="AA1529" s="94"/>
      <c r="AB1529" s="94"/>
      <c r="AC1529" s="94"/>
      <c r="AD1529" s="94"/>
      <c r="AE1529" s="94"/>
      <c r="AF1529" s="94"/>
      <c r="AG1529" s="94"/>
      <c r="AH1529" s="94"/>
      <c r="AI1529" s="94"/>
      <c r="AJ1529" s="94"/>
      <c r="AK1529" s="94"/>
      <c r="AL1529" s="94"/>
      <c r="AM1529" s="94"/>
      <c r="AN1529" s="94"/>
      <c r="AO1529" s="94"/>
      <c r="AP1529" s="94"/>
      <c r="AQ1529" s="94"/>
      <c r="AR1529" s="94"/>
      <c r="AS1529" s="94"/>
      <c r="AT1529" s="94"/>
      <c r="AU1529" s="94"/>
      <c r="AV1529" s="94"/>
      <c r="AW1529" s="94"/>
      <c r="AX1529" s="94"/>
      <c r="AY1529" s="94"/>
      <c r="AZ1529" s="94"/>
      <c r="BA1529" s="94"/>
      <c r="BB1529" s="94"/>
      <c r="BC1529" s="94"/>
      <c r="BD1529" s="94"/>
      <c r="BE1529" s="94"/>
      <c r="BF1529" s="94"/>
    </row>
    <row r="1530" spans="1:58" x14ac:dyDescent="0.35">
      <c r="A1530" s="104" t="s">
        <v>3314</v>
      </c>
      <c r="B1530" s="105" t="s">
        <v>0</v>
      </c>
      <c r="C1530" s="106">
        <v>6</v>
      </c>
      <c r="D1530" s="104" t="s">
        <v>1732</v>
      </c>
      <c r="E1530" s="106"/>
      <c r="F1530" s="94"/>
      <c r="G1530" s="94"/>
      <c r="H1530" s="94"/>
      <c r="I1530" s="94"/>
      <c r="J1530" s="94"/>
      <c r="K1530" s="94"/>
      <c r="L1530" s="94"/>
      <c r="M1530" s="94"/>
      <c r="N1530" s="94"/>
      <c r="O1530" s="94"/>
      <c r="P1530" s="94"/>
      <c r="Q1530" s="94"/>
      <c r="R1530" s="94"/>
      <c r="S1530" s="94"/>
      <c r="T1530" s="94"/>
      <c r="U1530" s="94"/>
      <c r="V1530" s="94"/>
      <c r="W1530" s="94"/>
      <c r="X1530" s="94"/>
      <c r="Y1530" s="94"/>
      <c r="Z1530" s="94"/>
      <c r="AA1530" s="94"/>
      <c r="AB1530" s="94"/>
      <c r="AC1530" s="94"/>
      <c r="AD1530" s="94"/>
      <c r="AE1530" s="94"/>
      <c r="AF1530" s="94"/>
      <c r="AG1530" s="94"/>
      <c r="AH1530" s="94"/>
      <c r="AI1530" s="94"/>
      <c r="AJ1530" s="94"/>
      <c r="AK1530" s="94"/>
      <c r="AL1530" s="94"/>
      <c r="AM1530" s="94"/>
      <c r="AN1530" s="94"/>
      <c r="AO1530" s="94"/>
      <c r="AP1530" s="94"/>
      <c r="AQ1530" s="94"/>
      <c r="AR1530" s="94"/>
      <c r="AS1530" s="94"/>
      <c r="AT1530" s="94"/>
      <c r="AU1530" s="94"/>
      <c r="AV1530" s="94"/>
      <c r="AW1530" s="94"/>
      <c r="AX1530" s="94"/>
      <c r="AY1530" s="94"/>
      <c r="AZ1530" s="94"/>
      <c r="BA1530" s="94"/>
      <c r="BB1530" s="94"/>
      <c r="BC1530" s="94"/>
      <c r="BD1530" s="94"/>
      <c r="BE1530" s="94"/>
      <c r="BF1530" s="94"/>
    </row>
    <row r="1531" spans="1:58" x14ac:dyDescent="0.35">
      <c r="A1531" s="107" t="s">
        <v>3315</v>
      </c>
      <c r="B1531" s="108" t="s">
        <v>0</v>
      </c>
      <c r="C1531" s="109">
        <v>7</v>
      </c>
      <c r="D1531" s="107" t="s">
        <v>1729</v>
      </c>
      <c r="E1531" s="109"/>
      <c r="F1531" s="94"/>
      <c r="G1531" s="94"/>
      <c r="H1531" s="94"/>
      <c r="I1531" s="94"/>
      <c r="J1531" s="94"/>
      <c r="K1531" s="94"/>
      <c r="L1531" s="94"/>
      <c r="M1531" s="94"/>
      <c r="N1531" s="94"/>
      <c r="O1531" s="94"/>
      <c r="P1531" s="94"/>
      <c r="Q1531" s="94"/>
      <c r="R1531" s="94"/>
      <c r="S1531" s="94"/>
      <c r="T1531" s="94"/>
      <c r="U1531" s="94"/>
      <c r="V1531" s="94"/>
      <c r="W1531" s="94"/>
      <c r="X1531" s="94"/>
      <c r="Y1531" s="94"/>
      <c r="Z1531" s="94"/>
      <c r="AA1531" s="94"/>
      <c r="AB1531" s="94"/>
      <c r="AC1531" s="94"/>
      <c r="AD1531" s="94"/>
      <c r="AE1531" s="94"/>
      <c r="AF1531" s="94"/>
      <c r="AG1531" s="94"/>
      <c r="AH1531" s="94"/>
      <c r="AI1531" s="94"/>
      <c r="AJ1531" s="94"/>
      <c r="AK1531" s="94"/>
      <c r="AL1531" s="94"/>
      <c r="AM1531" s="94"/>
      <c r="AN1531" s="94"/>
      <c r="AO1531" s="94"/>
      <c r="AP1531" s="94"/>
      <c r="AQ1531" s="94"/>
      <c r="AR1531" s="94"/>
      <c r="AS1531" s="94"/>
      <c r="AT1531" s="94"/>
      <c r="AU1531" s="94"/>
      <c r="AV1531" s="94"/>
      <c r="AW1531" s="94"/>
      <c r="AX1531" s="94"/>
      <c r="AY1531" s="94"/>
      <c r="AZ1531" s="94"/>
      <c r="BA1531" s="94"/>
      <c r="BB1531" s="94"/>
      <c r="BC1531" s="94"/>
      <c r="BD1531" s="94"/>
      <c r="BE1531" s="94"/>
      <c r="BF1531" s="94"/>
    </row>
    <row r="1532" spans="1:58" x14ac:dyDescent="0.35">
      <c r="A1532" s="107" t="s">
        <v>3316</v>
      </c>
      <c r="B1532" s="108" t="s">
        <v>0</v>
      </c>
      <c r="C1532" s="109">
        <v>7</v>
      </c>
      <c r="D1532" s="107" t="s">
        <v>1730</v>
      </c>
      <c r="E1532" s="109"/>
      <c r="F1532" s="94"/>
      <c r="G1532" s="94"/>
      <c r="H1532" s="94"/>
      <c r="I1532" s="94"/>
      <c r="J1532" s="94"/>
      <c r="K1532" s="94"/>
      <c r="L1532" s="94"/>
      <c r="M1532" s="94"/>
      <c r="N1532" s="94"/>
      <c r="O1532" s="94"/>
      <c r="P1532" s="94"/>
      <c r="Q1532" s="94"/>
      <c r="R1532" s="94"/>
      <c r="S1532" s="94"/>
      <c r="T1532" s="94"/>
      <c r="U1532" s="94"/>
      <c r="V1532" s="94"/>
      <c r="W1532" s="94"/>
      <c r="X1532" s="94"/>
      <c r="Y1532" s="94"/>
      <c r="Z1532" s="94"/>
      <c r="AA1532" s="94"/>
      <c r="AB1532" s="94"/>
      <c r="AC1532" s="94"/>
      <c r="AD1532" s="94"/>
      <c r="AE1532" s="94"/>
      <c r="AF1532" s="94"/>
      <c r="AG1532" s="94"/>
      <c r="AH1532" s="94"/>
      <c r="AI1532" s="94"/>
      <c r="AJ1532" s="94"/>
      <c r="AK1532" s="94"/>
      <c r="AL1532" s="94"/>
      <c r="AM1532" s="94"/>
      <c r="AN1532" s="94"/>
      <c r="AO1532" s="94"/>
      <c r="AP1532" s="94"/>
      <c r="AQ1532" s="94"/>
      <c r="AR1532" s="94"/>
      <c r="AS1532" s="94"/>
      <c r="AT1532" s="94"/>
      <c r="AU1532" s="94"/>
      <c r="AV1532" s="94"/>
      <c r="AW1532" s="94"/>
      <c r="AX1532" s="94"/>
      <c r="AY1532" s="94"/>
      <c r="AZ1532" s="94"/>
      <c r="BA1532" s="94"/>
      <c r="BB1532" s="94"/>
      <c r="BC1532" s="94"/>
      <c r="BD1532" s="94"/>
      <c r="BE1532" s="94"/>
      <c r="BF1532" s="94"/>
    </row>
    <row r="1533" spans="1:58" x14ac:dyDescent="0.35">
      <c r="A1533" s="107" t="s">
        <v>3317</v>
      </c>
      <c r="B1533" s="108" t="s">
        <v>0</v>
      </c>
      <c r="C1533" s="109">
        <v>7</v>
      </c>
      <c r="D1533" s="107" t="s">
        <v>1731</v>
      </c>
      <c r="E1533" s="109"/>
      <c r="F1533" s="94"/>
      <c r="G1533" s="94"/>
      <c r="H1533" s="94"/>
      <c r="I1533" s="94"/>
      <c r="J1533" s="94"/>
      <c r="K1533" s="94"/>
      <c r="L1533" s="94"/>
      <c r="M1533" s="94"/>
      <c r="N1533" s="94"/>
      <c r="O1533" s="94"/>
      <c r="P1533" s="94"/>
      <c r="Q1533" s="94"/>
      <c r="R1533" s="94"/>
      <c r="S1533" s="94"/>
      <c r="T1533" s="94"/>
      <c r="U1533" s="94"/>
      <c r="V1533" s="94"/>
      <c r="W1533" s="94"/>
      <c r="X1533" s="94"/>
      <c r="Y1533" s="94"/>
      <c r="Z1533" s="94"/>
      <c r="AA1533" s="94"/>
      <c r="AB1533" s="94"/>
      <c r="AC1533" s="94"/>
      <c r="AD1533" s="94"/>
      <c r="AE1533" s="94"/>
      <c r="AF1533" s="94"/>
      <c r="AG1533" s="94"/>
      <c r="AH1533" s="94"/>
      <c r="AI1533" s="94"/>
      <c r="AJ1533" s="94"/>
      <c r="AK1533" s="94"/>
      <c r="AL1533" s="94"/>
      <c r="AM1533" s="94"/>
      <c r="AN1533" s="94"/>
      <c r="AO1533" s="94"/>
      <c r="AP1533" s="94"/>
      <c r="AQ1533" s="94"/>
      <c r="AR1533" s="94"/>
      <c r="AS1533" s="94"/>
      <c r="AT1533" s="94"/>
      <c r="AU1533" s="94"/>
      <c r="AV1533" s="94"/>
      <c r="AW1533" s="94"/>
      <c r="AX1533" s="94"/>
      <c r="AY1533" s="94"/>
      <c r="AZ1533" s="94"/>
      <c r="BA1533" s="94"/>
      <c r="BB1533" s="94"/>
      <c r="BC1533" s="94"/>
      <c r="BD1533" s="94"/>
      <c r="BE1533" s="94"/>
      <c r="BF1533" s="94"/>
    </row>
    <row r="1534" spans="1:58" x14ac:dyDescent="0.35">
      <c r="A1534" s="104" t="s">
        <v>3318</v>
      </c>
      <c r="B1534" s="105" t="s">
        <v>0</v>
      </c>
      <c r="C1534" s="106">
        <v>6</v>
      </c>
      <c r="D1534" s="104" t="s">
        <v>26</v>
      </c>
      <c r="E1534" s="106"/>
      <c r="F1534" s="94"/>
      <c r="G1534" s="94"/>
      <c r="H1534" s="94"/>
      <c r="I1534" s="94"/>
      <c r="J1534" s="94"/>
      <c r="K1534" s="94"/>
      <c r="L1534" s="94"/>
      <c r="M1534" s="94"/>
      <c r="N1534" s="94"/>
      <c r="O1534" s="94"/>
      <c r="P1534" s="94"/>
      <c r="Q1534" s="94"/>
      <c r="R1534" s="94"/>
      <c r="S1534" s="94"/>
      <c r="T1534" s="94"/>
      <c r="U1534" s="94"/>
      <c r="V1534" s="94"/>
      <c r="W1534" s="94"/>
      <c r="X1534" s="94"/>
      <c r="Y1534" s="94"/>
      <c r="Z1534" s="94"/>
      <c r="AA1534" s="94"/>
      <c r="AB1534" s="94"/>
      <c r="AC1534" s="94"/>
      <c r="AD1534" s="94"/>
      <c r="AE1534" s="94"/>
      <c r="AF1534" s="94"/>
      <c r="AG1534" s="94"/>
      <c r="AH1534" s="94"/>
      <c r="AI1534" s="94"/>
      <c r="AJ1534" s="94"/>
      <c r="AK1534" s="94"/>
      <c r="AL1534" s="94"/>
      <c r="AM1534" s="94"/>
      <c r="AN1534" s="94"/>
      <c r="AO1534" s="94"/>
      <c r="AP1534" s="94"/>
      <c r="AQ1534" s="94"/>
      <c r="AR1534" s="94"/>
      <c r="AS1534" s="94"/>
      <c r="AT1534" s="94"/>
      <c r="AU1534" s="94"/>
      <c r="AV1534" s="94"/>
      <c r="AW1534" s="94"/>
      <c r="AX1534" s="94"/>
      <c r="AY1534" s="94"/>
      <c r="AZ1534" s="94"/>
      <c r="BA1534" s="94"/>
      <c r="BB1534" s="94"/>
      <c r="BC1534" s="94"/>
      <c r="BD1534" s="94"/>
      <c r="BE1534" s="94"/>
      <c r="BF1534" s="94"/>
    </row>
    <row r="1535" spans="1:58" x14ac:dyDescent="0.35">
      <c r="A1535" s="107" t="s">
        <v>3319</v>
      </c>
      <c r="B1535" s="108" t="s">
        <v>0</v>
      </c>
      <c r="C1535" s="109">
        <v>7</v>
      </c>
      <c r="D1535" s="107" t="s">
        <v>1719</v>
      </c>
      <c r="E1535" s="109"/>
      <c r="F1535" s="94"/>
      <c r="G1535" s="94"/>
      <c r="H1535" s="94"/>
      <c r="I1535" s="94"/>
      <c r="J1535" s="94"/>
      <c r="K1535" s="94"/>
      <c r="L1535" s="94"/>
      <c r="M1535" s="94"/>
      <c r="N1535" s="94"/>
      <c r="O1535" s="94"/>
      <c r="P1535" s="94"/>
      <c r="Q1535" s="94"/>
      <c r="R1535" s="94"/>
      <c r="S1535" s="94"/>
      <c r="T1535" s="94"/>
      <c r="U1535" s="94"/>
      <c r="V1535" s="94"/>
      <c r="W1535" s="94"/>
      <c r="X1535" s="94"/>
      <c r="Y1535" s="94"/>
      <c r="Z1535" s="94"/>
      <c r="AA1535" s="94"/>
      <c r="AB1535" s="94"/>
      <c r="AC1535" s="94"/>
      <c r="AD1535" s="94"/>
      <c r="AE1535" s="94"/>
      <c r="AF1535" s="94"/>
      <c r="AG1535" s="94"/>
      <c r="AH1535" s="94"/>
      <c r="AI1535" s="94"/>
      <c r="AJ1535" s="94"/>
      <c r="AK1535" s="94"/>
      <c r="AL1535" s="94"/>
      <c r="AM1535" s="94"/>
      <c r="AN1535" s="94"/>
      <c r="AO1535" s="94"/>
      <c r="AP1535" s="94"/>
      <c r="AQ1535" s="94"/>
      <c r="AR1535" s="94"/>
      <c r="AS1535" s="94"/>
      <c r="AT1535" s="94"/>
      <c r="AU1535" s="94"/>
      <c r="AV1535" s="94"/>
      <c r="AW1535" s="94"/>
      <c r="AX1535" s="94"/>
      <c r="AY1535" s="94"/>
      <c r="AZ1535" s="94"/>
      <c r="BA1535" s="94"/>
      <c r="BB1535" s="94"/>
      <c r="BC1535" s="94"/>
      <c r="BD1535" s="94"/>
      <c r="BE1535" s="94"/>
      <c r="BF1535" s="94"/>
    </row>
    <row r="1536" spans="1:58" x14ac:dyDescent="0.35">
      <c r="A1536" s="104" t="s">
        <v>3320</v>
      </c>
      <c r="B1536" s="105" t="s">
        <v>0</v>
      </c>
      <c r="C1536" s="106">
        <v>6</v>
      </c>
      <c r="D1536" s="104" t="s">
        <v>16</v>
      </c>
      <c r="E1536" s="106"/>
      <c r="F1536" s="94"/>
      <c r="G1536" s="94"/>
      <c r="H1536" s="94"/>
      <c r="I1536" s="94"/>
      <c r="J1536" s="94"/>
      <c r="K1536" s="94"/>
      <c r="L1536" s="94"/>
      <c r="M1536" s="94"/>
      <c r="N1536" s="94"/>
      <c r="O1536" s="94"/>
      <c r="P1536" s="94"/>
      <c r="Q1536" s="94"/>
      <c r="R1536" s="94"/>
      <c r="S1536" s="94"/>
      <c r="T1536" s="94"/>
      <c r="U1536" s="94"/>
      <c r="V1536" s="94"/>
      <c r="W1536" s="94"/>
      <c r="X1536" s="94"/>
      <c r="Y1536" s="94"/>
      <c r="Z1536" s="94"/>
      <c r="AA1536" s="94"/>
      <c r="AB1536" s="94"/>
      <c r="AC1536" s="94"/>
      <c r="AD1536" s="94"/>
      <c r="AE1536" s="94"/>
      <c r="AF1536" s="94"/>
      <c r="AG1536" s="94"/>
      <c r="AH1536" s="94"/>
      <c r="AI1536" s="94"/>
      <c r="AJ1536" s="94"/>
      <c r="AK1536" s="94"/>
      <c r="AL1536" s="94"/>
      <c r="AM1536" s="94"/>
      <c r="AN1536" s="94"/>
      <c r="AO1536" s="94"/>
      <c r="AP1536" s="94"/>
      <c r="AQ1536" s="94"/>
      <c r="AR1536" s="94"/>
      <c r="AS1536" s="94"/>
      <c r="AT1536" s="94"/>
      <c r="AU1536" s="94"/>
      <c r="AV1536" s="94"/>
      <c r="AW1536" s="94"/>
      <c r="AX1536" s="94"/>
      <c r="AY1536" s="94"/>
      <c r="AZ1536" s="94"/>
      <c r="BA1536" s="94"/>
      <c r="BB1536" s="94"/>
      <c r="BC1536" s="94"/>
      <c r="BD1536" s="94"/>
      <c r="BE1536" s="94"/>
      <c r="BF1536" s="94"/>
    </row>
    <row r="1537" spans="1:58" x14ac:dyDescent="0.35">
      <c r="A1537" s="107" t="s">
        <v>3321</v>
      </c>
      <c r="B1537" s="108" t="s">
        <v>0</v>
      </c>
      <c r="C1537" s="109">
        <v>7</v>
      </c>
      <c r="D1537" s="107" t="s">
        <v>1726</v>
      </c>
      <c r="E1537" s="109"/>
      <c r="F1537" s="94"/>
      <c r="G1537" s="94"/>
      <c r="H1537" s="94"/>
      <c r="I1537" s="94"/>
      <c r="J1537" s="94"/>
      <c r="K1537" s="94"/>
      <c r="L1537" s="94"/>
      <c r="M1537" s="94"/>
      <c r="N1537" s="94"/>
      <c r="O1537" s="94"/>
      <c r="P1537" s="94"/>
      <c r="Q1537" s="94"/>
      <c r="R1537" s="94"/>
      <c r="S1537" s="94"/>
      <c r="T1537" s="94"/>
      <c r="U1537" s="94"/>
      <c r="V1537" s="94"/>
      <c r="W1537" s="94"/>
      <c r="X1537" s="94"/>
      <c r="Y1537" s="94"/>
      <c r="Z1537" s="94"/>
      <c r="AA1537" s="94"/>
      <c r="AB1537" s="94"/>
      <c r="AC1537" s="94"/>
      <c r="AD1537" s="94"/>
      <c r="AE1537" s="94"/>
      <c r="AF1537" s="94"/>
      <c r="AG1537" s="94"/>
      <c r="AH1537" s="94"/>
      <c r="AI1537" s="94"/>
      <c r="AJ1537" s="94"/>
      <c r="AK1537" s="94"/>
      <c r="AL1537" s="94"/>
      <c r="AM1537" s="94"/>
      <c r="AN1537" s="94"/>
      <c r="AO1537" s="94"/>
      <c r="AP1537" s="94"/>
      <c r="AQ1537" s="94"/>
      <c r="AR1537" s="94"/>
      <c r="AS1537" s="94"/>
      <c r="AT1537" s="94"/>
      <c r="AU1537" s="94"/>
      <c r="AV1537" s="94"/>
      <c r="AW1537" s="94"/>
      <c r="AX1537" s="94"/>
      <c r="AY1537" s="94"/>
      <c r="AZ1537" s="94"/>
      <c r="BA1537" s="94"/>
      <c r="BB1537" s="94"/>
      <c r="BC1537" s="94"/>
      <c r="BD1537" s="94"/>
      <c r="BE1537" s="94"/>
      <c r="BF1537" s="94"/>
    </row>
    <row r="1538" spans="1:58" x14ac:dyDescent="0.35">
      <c r="A1538" s="104" t="s">
        <v>3322</v>
      </c>
      <c r="B1538" s="105" t="s">
        <v>0</v>
      </c>
      <c r="C1538" s="106">
        <v>6</v>
      </c>
      <c r="D1538" s="104" t="s">
        <v>1720</v>
      </c>
      <c r="E1538" s="106"/>
      <c r="F1538" s="94"/>
      <c r="G1538" s="94"/>
      <c r="H1538" s="94"/>
      <c r="I1538" s="94"/>
      <c r="J1538" s="94"/>
      <c r="K1538" s="94"/>
      <c r="L1538" s="94"/>
      <c r="M1538" s="94"/>
      <c r="N1538" s="94"/>
      <c r="O1538" s="94"/>
      <c r="P1538" s="94"/>
      <c r="Q1538" s="94"/>
      <c r="R1538" s="94"/>
      <c r="S1538" s="94"/>
      <c r="T1538" s="94"/>
      <c r="U1538" s="94"/>
      <c r="V1538" s="94"/>
      <c r="W1538" s="94"/>
      <c r="X1538" s="94"/>
      <c r="Y1538" s="94"/>
      <c r="Z1538" s="94"/>
      <c r="AA1538" s="94"/>
      <c r="AB1538" s="94"/>
      <c r="AC1538" s="94"/>
      <c r="AD1538" s="94"/>
      <c r="AE1538" s="94"/>
      <c r="AF1538" s="94"/>
      <c r="AG1538" s="94"/>
      <c r="AH1538" s="94"/>
      <c r="AI1538" s="94"/>
      <c r="AJ1538" s="94"/>
      <c r="AK1538" s="94"/>
      <c r="AL1538" s="94"/>
      <c r="AM1538" s="94"/>
      <c r="AN1538" s="94"/>
      <c r="AO1538" s="94"/>
      <c r="AP1538" s="94"/>
      <c r="AQ1538" s="94"/>
      <c r="AR1538" s="94"/>
      <c r="AS1538" s="94"/>
      <c r="AT1538" s="94"/>
      <c r="AU1538" s="94"/>
      <c r="AV1538" s="94"/>
      <c r="AW1538" s="94"/>
      <c r="AX1538" s="94"/>
      <c r="AY1538" s="94"/>
      <c r="AZ1538" s="94"/>
      <c r="BA1538" s="94"/>
      <c r="BB1538" s="94"/>
      <c r="BC1538" s="94"/>
      <c r="BD1538" s="94"/>
      <c r="BE1538" s="94"/>
      <c r="BF1538" s="94"/>
    </row>
    <row r="1539" spans="1:58" x14ac:dyDescent="0.35">
      <c r="A1539" s="107" t="s">
        <v>3323</v>
      </c>
      <c r="B1539" s="108" t="s">
        <v>0</v>
      </c>
      <c r="C1539" s="109">
        <v>7</v>
      </c>
      <c r="D1539" s="107" t="s">
        <v>1721</v>
      </c>
      <c r="E1539" s="109"/>
      <c r="F1539" s="94"/>
      <c r="G1539" s="94"/>
      <c r="H1539" s="94"/>
      <c r="I1539" s="94"/>
      <c r="J1539" s="94"/>
      <c r="K1539" s="94"/>
      <c r="L1539" s="94"/>
      <c r="M1539" s="94"/>
      <c r="N1539" s="94"/>
      <c r="O1539" s="94"/>
      <c r="P1539" s="94"/>
      <c r="Q1539" s="94"/>
      <c r="R1539" s="94"/>
      <c r="S1539" s="94"/>
      <c r="T1539" s="94"/>
      <c r="U1539" s="94"/>
      <c r="V1539" s="94"/>
      <c r="W1539" s="94"/>
      <c r="X1539" s="94"/>
      <c r="Y1539" s="94"/>
      <c r="Z1539" s="94"/>
      <c r="AA1539" s="94"/>
      <c r="AB1539" s="94"/>
      <c r="AC1539" s="94"/>
      <c r="AD1539" s="94"/>
      <c r="AE1539" s="94"/>
      <c r="AF1539" s="94"/>
      <c r="AG1539" s="94"/>
      <c r="AH1539" s="94"/>
      <c r="AI1539" s="94"/>
      <c r="AJ1539" s="94"/>
      <c r="AK1539" s="94"/>
      <c r="AL1539" s="94"/>
      <c r="AM1539" s="94"/>
      <c r="AN1539" s="94"/>
      <c r="AO1539" s="94"/>
      <c r="AP1539" s="94"/>
      <c r="AQ1539" s="94"/>
      <c r="AR1539" s="94"/>
      <c r="AS1539" s="94"/>
      <c r="AT1539" s="94"/>
      <c r="AU1539" s="94"/>
      <c r="AV1539" s="94"/>
      <c r="AW1539" s="94"/>
      <c r="AX1539" s="94"/>
      <c r="AY1539" s="94"/>
      <c r="AZ1539" s="94"/>
      <c r="BA1539" s="94"/>
      <c r="BB1539" s="94"/>
      <c r="BC1539" s="94"/>
      <c r="BD1539" s="94"/>
      <c r="BE1539" s="94"/>
      <c r="BF1539" s="94"/>
    </row>
    <row r="1540" spans="1:58" x14ac:dyDescent="0.35">
      <c r="A1540" s="104" t="s">
        <v>3324</v>
      </c>
      <c r="B1540" s="105" t="s">
        <v>0</v>
      </c>
      <c r="C1540" s="106">
        <v>6</v>
      </c>
      <c r="D1540" s="104" t="s">
        <v>718</v>
      </c>
      <c r="E1540" s="106"/>
      <c r="F1540" s="94"/>
      <c r="G1540" s="94"/>
      <c r="H1540" s="94"/>
      <c r="I1540" s="94"/>
      <c r="J1540" s="94"/>
      <c r="K1540" s="94"/>
      <c r="L1540" s="94"/>
      <c r="M1540" s="94"/>
      <c r="N1540" s="94"/>
      <c r="O1540" s="94"/>
      <c r="P1540" s="94"/>
      <c r="Q1540" s="94"/>
      <c r="R1540" s="94"/>
      <c r="S1540" s="94"/>
      <c r="T1540" s="94"/>
      <c r="U1540" s="94"/>
      <c r="V1540" s="94"/>
      <c r="W1540" s="94"/>
      <c r="X1540" s="94"/>
      <c r="Y1540" s="94"/>
      <c r="Z1540" s="94"/>
      <c r="AA1540" s="94"/>
      <c r="AB1540" s="94"/>
      <c r="AC1540" s="94"/>
      <c r="AD1540" s="94"/>
      <c r="AE1540" s="94"/>
      <c r="AF1540" s="94"/>
      <c r="AG1540" s="94"/>
      <c r="AH1540" s="94"/>
      <c r="AI1540" s="94"/>
      <c r="AJ1540" s="94"/>
      <c r="AK1540" s="94"/>
      <c r="AL1540" s="94"/>
      <c r="AM1540" s="94"/>
      <c r="AN1540" s="94"/>
      <c r="AO1540" s="94"/>
      <c r="AP1540" s="94"/>
      <c r="AQ1540" s="94"/>
      <c r="AR1540" s="94"/>
      <c r="AS1540" s="94"/>
      <c r="AT1540" s="94"/>
      <c r="AU1540" s="94"/>
      <c r="AV1540" s="94"/>
      <c r="AW1540" s="94"/>
      <c r="AX1540" s="94"/>
      <c r="AY1540" s="94"/>
      <c r="AZ1540" s="94"/>
      <c r="BA1540" s="94"/>
      <c r="BB1540" s="94"/>
      <c r="BC1540" s="94"/>
      <c r="BD1540" s="94"/>
      <c r="BE1540" s="94"/>
      <c r="BF1540" s="94"/>
    </row>
    <row r="1541" spans="1:58" x14ac:dyDescent="0.35">
      <c r="A1541" s="107" t="s">
        <v>3325</v>
      </c>
      <c r="B1541" s="108" t="s">
        <v>0</v>
      </c>
      <c r="C1541" s="109">
        <v>7</v>
      </c>
      <c r="D1541" s="107" t="s">
        <v>1236</v>
      </c>
      <c r="E1541" s="109" t="s">
        <v>274</v>
      </c>
      <c r="F1541" s="94"/>
      <c r="G1541" s="94"/>
      <c r="H1541" s="94"/>
      <c r="I1541" s="94"/>
      <c r="J1541" s="94"/>
      <c r="K1541" s="94"/>
      <c r="L1541" s="94"/>
      <c r="M1541" s="94"/>
      <c r="N1541" s="94"/>
      <c r="O1541" s="94"/>
      <c r="P1541" s="94"/>
      <c r="Q1541" s="94"/>
      <c r="R1541" s="94"/>
      <c r="S1541" s="94"/>
      <c r="T1541" s="94"/>
      <c r="U1541" s="94"/>
      <c r="V1541" s="94"/>
      <c r="W1541" s="94"/>
      <c r="X1541" s="94"/>
      <c r="Y1541" s="94"/>
      <c r="Z1541" s="94"/>
      <c r="AA1541" s="94"/>
      <c r="AB1541" s="94"/>
      <c r="AC1541" s="94"/>
      <c r="AD1541" s="94"/>
      <c r="AE1541" s="94"/>
      <c r="AF1541" s="94"/>
      <c r="AG1541" s="94"/>
      <c r="AH1541" s="94"/>
      <c r="AI1541" s="94"/>
      <c r="AJ1541" s="94"/>
      <c r="AK1541" s="94"/>
      <c r="AL1541" s="94"/>
      <c r="AM1541" s="94"/>
      <c r="AN1541" s="94"/>
      <c r="AO1541" s="94"/>
      <c r="AP1541" s="94"/>
      <c r="AQ1541" s="94"/>
      <c r="AR1541" s="94"/>
      <c r="AS1541" s="94"/>
      <c r="AT1541" s="94"/>
      <c r="AU1541" s="94"/>
      <c r="AV1541" s="94"/>
      <c r="AW1541" s="94"/>
      <c r="AX1541" s="94"/>
      <c r="AY1541" s="94"/>
      <c r="AZ1541" s="94"/>
      <c r="BA1541" s="94"/>
      <c r="BB1541" s="94"/>
      <c r="BC1541" s="94"/>
      <c r="BD1541" s="94"/>
      <c r="BE1541" s="94"/>
      <c r="BF1541" s="94"/>
    </row>
    <row r="1542" spans="1:58" x14ac:dyDescent="0.35">
      <c r="A1542" s="107" t="s">
        <v>3326</v>
      </c>
      <c r="B1542" s="108" t="s">
        <v>0</v>
      </c>
      <c r="C1542" s="109">
        <v>7</v>
      </c>
      <c r="D1542" s="107" t="s">
        <v>1237</v>
      </c>
      <c r="E1542" s="109" t="s">
        <v>275</v>
      </c>
      <c r="F1542" s="94"/>
      <c r="G1542" s="94"/>
      <c r="H1542" s="94"/>
      <c r="I1542" s="94"/>
      <c r="J1542" s="94"/>
      <c r="K1542" s="94"/>
      <c r="L1542" s="94"/>
      <c r="M1542" s="94"/>
      <c r="N1542" s="94"/>
      <c r="O1542" s="94"/>
      <c r="P1542" s="94"/>
      <c r="Q1542" s="94"/>
      <c r="R1542" s="94"/>
      <c r="S1542" s="94"/>
      <c r="T1542" s="94"/>
      <c r="U1542" s="94"/>
      <c r="V1542" s="94"/>
      <c r="W1542" s="94"/>
      <c r="X1542" s="94"/>
      <c r="Y1542" s="94"/>
      <c r="Z1542" s="94"/>
      <c r="AA1542" s="94"/>
      <c r="AB1542" s="94"/>
      <c r="AC1542" s="94"/>
      <c r="AD1542" s="94"/>
      <c r="AE1542" s="94"/>
      <c r="AF1542" s="94"/>
      <c r="AG1542" s="94"/>
      <c r="AH1542" s="94"/>
      <c r="AI1542" s="94"/>
      <c r="AJ1542" s="94"/>
      <c r="AK1542" s="94"/>
      <c r="AL1542" s="94"/>
      <c r="AM1542" s="94"/>
      <c r="AN1542" s="94"/>
      <c r="AO1542" s="94"/>
      <c r="AP1542" s="94"/>
      <c r="AQ1542" s="94"/>
      <c r="AR1542" s="94"/>
      <c r="AS1542" s="94"/>
      <c r="AT1542" s="94"/>
      <c r="AU1542" s="94"/>
      <c r="AV1542" s="94"/>
      <c r="AW1542" s="94"/>
      <c r="AX1542" s="94"/>
      <c r="AY1542" s="94"/>
      <c r="AZ1542" s="94"/>
      <c r="BA1542" s="94"/>
      <c r="BB1542" s="94"/>
      <c r="BC1542" s="94"/>
      <c r="BD1542" s="94"/>
      <c r="BE1542" s="94"/>
      <c r="BF1542" s="94"/>
    </row>
    <row r="1543" spans="1:58" x14ac:dyDescent="0.35">
      <c r="A1543" s="104" t="s">
        <v>3320</v>
      </c>
      <c r="B1543" s="105" t="s">
        <v>0</v>
      </c>
      <c r="C1543" s="106">
        <v>6</v>
      </c>
      <c r="D1543" s="104" t="s">
        <v>16</v>
      </c>
      <c r="E1543" s="106"/>
      <c r="F1543" s="94"/>
      <c r="G1543" s="94"/>
      <c r="H1543" s="94"/>
      <c r="I1543" s="94"/>
      <c r="J1543" s="94"/>
      <c r="K1543" s="94"/>
      <c r="L1543" s="94"/>
      <c r="M1543" s="94"/>
      <c r="N1543" s="94"/>
      <c r="O1543" s="94"/>
      <c r="P1543" s="94"/>
      <c r="Q1543" s="94"/>
      <c r="R1543" s="94"/>
      <c r="S1543" s="94"/>
      <c r="T1543" s="94"/>
      <c r="U1543" s="94"/>
      <c r="V1543" s="94"/>
      <c r="W1543" s="94"/>
      <c r="X1543" s="94"/>
      <c r="Y1543" s="94"/>
      <c r="Z1543" s="94"/>
      <c r="AA1543" s="94"/>
      <c r="AB1543" s="94"/>
      <c r="AC1543" s="94"/>
      <c r="AD1543" s="94"/>
      <c r="AE1543" s="94"/>
      <c r="AF1543" s="94"/>
      <c r="AG1543" s="94"/>
      <c r="AH1543" s="94"/>
      <c r="AI1543" s="94"/>
      <c r="AJ1543" s="94"/>
      <c r="AK1543" s="94"/>
      <c r="AL1543" s="94"/>
      <c r="AM1543" s="94"/>
      <c r="AN1543" s="94"/>
      <c r="AO1543" s="94"/>
      <c r="AP1543" s="94"/>
      <c r="AQ1543" s="94"/>
      <c r="AR1543" s="94"/>
      <c r="AS1543" s="94"/>
      <c r="AT1543" s="94"/>
      <c r="AU1543" s="94"/>
      <c r="AV1543" s="94"/>
      <c r="AW1543" s="94"/>
      <c r="AX1543" s="94"/>
      <c r="AY1543" s="94"/>
      <c r="AZ1543" s="94"/>
      <c r="BA1543" s="94"/>
      <c r="BB1543" s="94"/>
      <c r="BC1543" s="94"/>
      <c r="BD1543" s="94"/>
      <c r="BE1543" s="94"/>
      <c r="BF1543" s="94"/>
    </row>
    <row r="1544" spans="1:58" x14ac:dyDescent="0.35">
      <c r="A1544" s="107" t="s">
        <v>3327</v>
      </c>
      <c r="B1544" s="108" t="s">
        <v>0</v>
      </c>
      <c r="C1544" s="109">
        <v>7</v>
      </c>
      <c r="D1544" s="107" t="s">
        <v>1325</v>
      </c>
      <c r="E1544" s="109" t="s">
        <v>272</v>
      </c>
      <c r="F1544" s="94"/>
      <c r="G1544" s="94"/>
      <c r="H1544" s="94"/>
      <c r="I1544" s="94"/>
      <c r="J1544" s="94"/>
      <c r="K1544" s="94"/>
      <c r="L1544" s="94"/>
      <c r="M1544" s="94"/>
      <c r="N1544" s="94"/>
      <c r="O1544" s="94"/>
      <c r="P1544" s="94"/>
      <c r="Q1544" s="94"/>
      <c r="R1544" s="94"/>
      <c r="S1544" s="94"/>
      <c r="T1544" s="94"/>
      <c r="U1544" s="94"/>
      <c r="V1544" s="94"/>
      <c r="W1544" s="94"/>
      <c r="X1544" s="94"/>
      <c r="Y1544" s="94"/>
      <c r="Z1544" s="94"/>
      <c r="AA1544" s="94"/>
      <c r="AB1544" s="94"/>
      <c r="AC1544" s="94"/>
      <c r="AD1544" s="94"/>
      <c r="AE1544" s="94"/>
      <c r="AF1544" s="94"/>
      <c r="AG1544" s="94"/>
      <c r="AH1544" s="94"/>
      <c r="AI1544" s="94"/>
      <c r="AJ1544" s="94"/>
      <c r="AK1544" s="94"/>
      <c r="AL1544" s="94"/>
      <c r="AM1544" s="94"/>
      <c r="AN1544" s="94"/>
      <c r="AO1544" s="94"/>
      <c r="AP1544" s="94"/>
      <c r="AQ1544" s="94"/>
      <c r="AR1544" s="94"/>
      <c r="AS1544" s="94"/>
      <c r="AT1544" s="94"/>
      <c r="AU1544" s="94"/>
      <c r="AV1544" s="94"/>
      <c r="AW1544" s="94"/>
      <c r="AX1544" s="94"/>
      <c r="AY1544" s="94"/>
      <c r="AZ1544" s="94"/>
      <c r="BA1544" s="94"/>
      <c r="BB1544" s="94"/>
      <c r="BC1544" s="94"/>
      <c r="BD1544" s="94"/>
      <c r="BE1544" s="94"/>
      <c r="BF1544" s="94"/>
    </row>
    <row r="1545" spans="1:58" x14ac:dyDescent="0.35">
      <c r="A1545" s="107" t="s">
        <v>3328</v>
      </c>
      <c r="B1545" s="108" t="s">
        <v>0</v>
      </c>
      <c r="C1545" s="109">
        <v>7</v>
      </c>
      <c r="D1545" s="107" t="s">
        <v>1326</v>
      </c>
      <c r="E1545" s="109" t="s">
        <v>273</v>
      </c>
      <c r="F1545" s="94"/>
      <c r="G1545" s="94"/>
      <c r="H1545" s="94"/>
      <c r="I1545" s="94"/>
      <c r="J1545" s="94"/>
      <c r="K1545" s="94"/>
      <c r="L1545" s="94"/>
      <c r="M1545" s="94"/>
      <c r="N1545" s="94"/>
      <c r="O1545" s="94"/>
      <c r="P1545" s="94"/>
      <c r="Q1545" s="94"/>
      <c r="R1545" s="94"/>
      <c r="S1545" s="94"/>
      <c r="T1545" s="94"/>
      <c r="U1545" s="94"/>
      <c r="V1545" s="94"/>
      <c r="W1545" s="94"/>
      <c r="X1545" s="94"/>
      <c r="Y1545" s="94"/>
      <c r="Z1545" s="94"/>
      <c r="AA1545" s="94"/>
      <c r="AB1545" s="94"/>
      <c r="AC1545" s="94"/>
      <c r="AD1545" s="94"/>
      <c r="AE1545" s="94"/>
      <c r="AF1545" s="94"/>
      <c r="AG1545" s="94"/>
      <c r="AH1545" s="94"/>
      <c r="AI1545" s="94"/>
      <c r="AJ1545" s="94"/>
      <c r="AK1545" s="94"/>
      <c r="AL1545" s="94"/>
      <c r="AM1545" s="94"/>
      <c r="AN1545" s="94"/>
      <c r="AO1545" s="94"/>
      <c r="AP1545" s="94"/>
      <c r="AQ1545" s="94"/>
      <c r="AR1545" s="94"/>
      <c r="AS1545" s="94"/>
      <c r="AT1545" s="94"/>
      <c r="AU1545" s="94"/>
      <c r="AV1545" s="94"/>
      <c r="AW1545" s="94"/>
      <c r="AX1545" s="94"/>
      <c r="AY1545" s="94"/>
      <c r="AZ1545" s="94"/>
      <c r="BA1545" s="94"/>
      <c r="BB1545" s="94"/>
      <c r="BC1545" s="94"/>
      <c r="BD1545" s="94"/>
      <c r="BE1545" s="94"/>
      <c r="BF1545" s="94"/>
    </row>
    <row r="1546" spans="1:58" x14ac:dyDescent="0.35">
      <c r="A1546" s="107" t="s">
        <v>3329</v>
      </c>
      <c r="B1546" s="108" t="s">
        <v>0</v>
      </c>
      <c r="C1546" s="109">
        <v>7</v>
      </c>
      <c r="D1546" s="107" t="s">
        <v>1238</v>
      </c>
      <c r="E1546" s="109" t="s">
        <v>276</v>
      </c>
      <c r="F1546" s="94"/>
      <c r="G1546" s="94"/>
      <c r="H1546" s="94"/>
      <c r="I1546" s="94"/>
      <c r="J1546" s="94"/>
      <c r="K1546" s="94"/>
      <c r="L1546" s="94"/>
      <c r="M1546" s="94"/>
      <c r="N1546" s="94"/>
      <c r="O1546" s="94"/>
      <c r="P1546" s="94"/>
      <c r="Q1546" s="94"/>
      <c r="R1546" s="94"/>
      <c r="S1546" s="94"/>
      <c r="T1546" s="94"/>
      <c r="U1546" s="94"/>
      <c r="V1546" s="94"/>
      <c r="W1546" s="94"/>
      <c r="X1546" s="94"/>
      <c r="Y1546" s="94"/>
      <c r="Z1546" s="94"/>
      <c r="AA1546" s="94"/>
      <c r="AB1546" s="94"/>
      <c r="AC1546" s="94"/>
      <c r="AD1546" s="94"/>
      <c r="AE1546" s="94"/>
      <c r="AF1546" s="94"/>
      <c r="AG1546" s="94"/>
      <c r="AH1546" s="94"/>
      <c r="AI1546" s="94"/>
      <c r="AJ1546" s="94"/>
      <c r="AK1546" s="94"/>
      <c r="AL1546" s="94"/>
      <c r="AM1546" s="94"/>
      <c r="AN1546" s="94"/>
      <c r="AO1546" s="94"/>
      <c r="AP1546" s="94"/>
      <c r="AQ1546" s="94"/>
      <c r="AR1546" s="94"/>
      <c r="AS1546" s="94"/>
      <c r="AT1546" s="94"/>
      <c r="AU1546" s="94"/>
      <c r="AV1546" s="94"/>
      <c r="AW1546" s="94"/>
      <c r="AX1546" s="94"/>
      <c r="AY1546" s="94"/>
      <c r="AZ1546" s="94"/>
      <c r="BA1546" s="94"/>
      <c r="BB1546" s="94"/>
      <c r="BC1546" s="94"/>
      <c r="BD1546" s="94"/>
      <c r="BE1546" s="94"/>
      <c r="BF1546" s="94"/>
    </row>
    <row r="1547" spans="1:58" x14ac:dyDescent="0.35">
      <c r="A1547" s="104" t="s">
        <v>3330</v>
      </c>
      <c r="B1547" s="105" t="s">
        <v>0</v>
      </c>
      <c r="C1547" s="106">
        <v>6</v>
      </c>
      <c r="D1547" s="104" t="s">
        <v>1665</v>
      </c>
      <c r="E1547" s="106"/>
      <c r="F1547" s="94"/>
      <c r="G1547" s="94"/>
      <c r="H1547" s="94"/>
      <c r="I1547" s="94"/>
      <c r="J1547" s="94"/>
      <c r="K1547" s="94"/>
      <c r="L1547" s="94"/>
      <c r="M1547" s="94"/>
      <c r="N1547" s="94"/>
      <c r="O1547" s="94"/>
      <c r="P1547" s="94"/>
      <c r="Q1547" s="94"/>
      <c r="R1547" s="94"/>
      <c r="S1547" s="94"/>
      <c r="T1547" s="94"/>
      <c r="U1547" s="94"/>
      <c r="V1547" s="94"/>
      <c r="W1547" s="94"/>
      <c r="X1547" s="94"/>
      <c r="Y1547" s="94"/>
      <c r="Z1547" s="94"/>
      <c r="AA1547" s="94"/>
      <c r="AB1547" s="94"/>
      <c r="AC1547" s="94"/>
      <c r="AD1547" s="94"/>
      <c r="AE1547" s="94"/>
      <c r="AF1547" s="94"/>
      <c r="AG1547" s="94"/>
      <c r="AH1547" s="94"/>
      <c r="AI1547" s="94"/>
      <c r="AJ1547" s="94"/>
      <c r="AK1547" s="94"/>
      <c r="AL1547" s="94"/>
      <c r="AM1547" s="94"/>
      <c r="AN1547" s="94"/>
      <c r="AO1547" s="94"/>
      <c r="AP1547" s="94"/>
      <c r="AQ1547" s="94"/>
      <c r="AR1547" s="94"/>
      <c r="AS1547" s="94"/>
      <c r="AT1547" s="94"/>
      <c r="AU1547" s="94"/>
      <c r="AV1547" s="94"/>
      <c r="AW1547" s="94"/>
      <c r="AX1547" s="94"/>
      <c r="AY1547" s="94"/>
      <c r="AZ1547" s="94"/>
      <c r="BA1547" s="94"/>
      <c r="BB1547" s="94"/>
      <c r="BC1547" s="94"/>
      <c r="BD1547" s="94"/>
      <c r="BE1547" s="94"/>
      <c r="BF1547" s="94"/>
    </row>
    <row r="1548" spans="1:58" x14ac:dyDescent="0.35">
      <c r="A1548" s="107" t="s">
        <v>3331</v>
      </c>
      <c r="B1548" s="108" t="s">
        <v>0</v>
      </c>
      <c r="C1548" s="109">
        <v>7</v>
      </c>
      <c r="D1548" s="107" t="s">
        <v>1805</v>
      </c>
      <c r="E1548" s="109"/>
      <c r="F1548" s="94"/>
      <c r="G1548" s="94"/>
      <c r="H1548" s="94"/>
      <c r="I1548" s="94"/>
      <c r="J1548" s="94"/>
      <c r="K1548" s="94"/>
      <c r="L1548" s="94"/>
      <c r="M1548" s="94"/>
      <c r="N1548" s="94"/>
      <c r="O1548" s="94"/>
      <c r="P1548" s="94"/>
      <c r="Q1548" s="94"/>
      <c r="R1548" s="94"/>
      <c r="S1548" s="94"/>
      <c r="T1548" s="94"/>
      <c r="U1548" s="94"/>
      <c r="V1548" s="94"/>
      <c r="W1548" s="94"/>
      <c r="X1548" s="94"/>
      <c r="Y1548" s="94"/>
      <c r="Z1548" s="94"/>
      <c r="AA1548" s="94"/>
      <c r="AB1548" s="94"/>
      <c r="AC1548" s="94"/>
      <c r="AD1548" s="94"/>
      <c r="AE1548" s="94"/>
      <c r="AF1548" s="94"/>
      <c r="AG1548" s="94"/>
      <c r="AH1548" s="94"/>
      <c r="AI1548" s="94"/>
      <c r="AJ1548" s="94"/>
      <c r="AK1548" s="94"/>
      <c r="AL1548" s="94"/>
      <c r="AM1548" s="94"/>
      <c r="AN1548" s="94"/>
      <c r="AO1548" s="94"/>
      <c r="AP1548" s="94"/>
      <c r="AQ1548" s="94"/>
      <c r="AR1548" s="94"/>
      <c r="AS1548" s="94"/>
      <c r="AT1548" s="94"/>
      <c r="AU1548" s="94"/>
      <c r="AV1548" s="94"/>
      <c r="AW1548" s="94"/>
      <c r="AX1548" s="94"/>
      <c r="AY1548" s="94"/>
      <c r="AZ1548" s="94"/>
      <c r="BA1548" s="94"/>
      <c r="BB1548" s="94"/>
      <c r="BC1548" s="94"/>
      <c r="BD1548" s="94"/>
      <c r="BE1548" s="94"/>
      <c r="BF1548" s="94"/>
    </row>
    <row r="1549" spans="1:58" x14ac:dyDescent="0.35">
      <c r="A1549" s="107" t="s">
        <v>3332</v>
      </c>
      <c r="B1549" s="108" t="s">
        <v>0</v>
      </c>
      <c r="C1549" s="109">
        <v>7</v>
      </c>
      <c r="D1549" s="107" t="s">
        <v>1807</v>
      </c>
      <c r="E1549" s="109"/>
      <c r="F1549" s="94"/>
      <c r="G1549" s="94"/>
      <c r="H1549" s="94"/>
      <c r="I1549" s="94"/>
      <c r="J1549" s="94"/>
      <c r="K1549" s="94"/>
      <c r="L1549" s="94"/>
      <c r="M1549" s="94"/>
      <c r="N1549" s="94"/>
      <c r="O1549" s="94"/>
      <c r="P1549" s="94"/>
      <c r="Q1549" s="94"/>
      <c r="R1549" s="94"/>
      <c r="S1549" s="94"/>
      <c r="T1549" s="94"/>
      <c r="U1549" s="94"/>
      <c r="V1549" s="94"/>
      <c r="W1549" s="94"/>
      <c r="X1549" s="94"/>
      <c r="Y1549" s="94"/>
      <c r="Z1549" s="94"/>
      <c r="AA1549" s="94"/>
      <c r="AB1549" s="94"/>
      <c r="AC1549" s="94"/>
      <c r="AD1549" s="94"/>
      <c r="AE1549" s="94"/>
      <c r="AF1549" s="94"/>
      <c r="AG1549" s="94"/>
      <c r="AH1549" s="94"/>
      <c r="AI1549" s="94"/>
      <c r="AJ1549" s="94"/>
      <c r="AK1549" s="94"/>
      <c r="AL1549" s="94"/>
      <c r="AM1549" s="94"/>
      <c r="AN1549" s="94"/>
      <c r="AO1549" s="94"/>
      <c r="AP1549" s="94"/>
      <c r="AQ1549" s="94"/>
      <c r="AR1549" s="94"/>
      <c r="AS1549" s="94"/>
      <c r="AT1549" s="94"/>
      <c r="AU1549" s="94"/>
      <c r="AV1549" s="94"/>
      <c r="AW1549" s="94"/>
      <c r="AX1549" s="94"/>
      <c r="AY1549" s="94"/>
      <c r="AZ1549" s="94"/>
      <c r="BA1549" s="94"/>
      <c r="BB1549" s="94"/>
      <c r="BC1549" s="94"/>
      <c r="BD1549" s="94"/>
      <c r="BE1549" s="94"/>
      <c r="BF1549" s="94"/>
    </row>
    <row r="1550" spans="1:58" x14ac:dyDescent="0.35">
      <c r="A1550" s="107" t="s">
        <v>3333</v>
      </c>
      <c r="B1550" s="108" t="s">
        <v>0</v>
      </c>
      <c r="C1550" s="109">
        <v>7</v>
      </c>
      <c r="D1550" s="107" t="s">
        <v>1671</v>
      </c>
      <c r="E1550" s="109"/>
      <c r="F1550" s="94"/>
      <c r="G1550" s="94"/>
      <c r="H1550" s="94"/>
      <c r="I1550" s="94"/>
      <c r="J1550" s="94"/>
      <c r="K1550" s="94"/>
      <c r="L1550" s="94"/>
      <c r="M1550" s="94"/>
      <c r="N1550" s="94"/>
      <c r="O1550" s="94"/>
      <c r="P1550" s="94"/>
      <c r="Q1550" s="94"/>
      <c r="R1550" s="94"/>
      <c r="S1550" s="94"/>
      <c r="T1550" s="94"/>
      <c r="U1550" s="94"/>
      <c r="V1550" s="94"/>
      <c r="W1550" s="94"/>
      <c r="X1550" s="94"/>
      <c r="Y1550" s="94"/>
      <c r="Z1550" s="94"/>
      <c r="AA1550" s="94"/>
      <c r="AB1550" s="94"/>
      <c r="AC1550" s="94"/>
      <c r="AD1550" s="94"/>
      <c r="AE1550" s="94"/>
      <c r="AF1550" s="94"/>
      <c r="AG1550" s="94"/>
      <c r="AH1550" s="94"/>
      <c r="AI1550" s="94"/>
      <c r="AJ1550" s="94"/>
      <c r="AK1550" s="94"/>
      <c r="AL1550" s="94"/>
      <c r="AM1550" s="94"/>
      <c r="AN1550" s="94"/>
      <c r="AO1550" s="94"/>
      <c r="AP1550" s="94"/>
      <c r="AQ1550" s="94"/>
      <c r="AR1550" s="94"/>
      <c r="AS1550" s="94"/>
      <c r="AT1550" s="94"/>
      <c r="AU1550" s="94"/>
      <c r="AV1550" s="94"/>
      <c r="AW1550" s="94"/>
      <c r="AX1550" s="94"/>
      <c r="AY1550" s="94"/>
      <c r="AZ1550" s="94"/>
      <c r="BA1550" s="94"/>
      <c r="BB1550" s="94"/>
      <c r="BC1550" s="94"/>
      <c r="BD1550" s="94"/>
      <c r="BE1550" s="94"/>
      <c r="BF1550" s="94"/>
    </row>
    <row r="1551" spans="1:58" x14ac:dyDescent="0.35">
      <c r="A1551" s="107" t="s">
        <v>3334</v>
      </c>
      <c r="B1551" s="108" t="s">
        <v>0</v>
      </c>
      <c r="C1551" s="109">
        <v>7</v>
      </c>
      <c r="D1551" s="107" t="s">
        <v>1724</v>
      </c>
      <c r="E1551" s="109"/>
      <c r="F1551" s="94"/>
      <c r="G1551" s="94"/>
      <c r="H1551" s="94"/>
      <c r="I1551" s="94"/>
      <c r="J1551" s="94"/>
      <c r="K1551" s="94"/>
      <c r="L1551" s="94"/>
      <c r="M1551" s="94"/>
      <c r="N1551" s="94"/>
      <c r="O1551" s="94"/>
      <c r="P1551" s="94"/>
      <c r="Q1551" s="94"/>
      <c r="R1551" s="94"/>
      <c r="S1551" s="94"/>
      <c r="T1551" s="94"/>
      <c r="U1551" s="94"/>
      <c r="V1551" s="94"/>
      <c r="W1551" s="94"/>
      <c r="X1551" s="94"/>
      <c r="Y1551" s="94"/>
      <c r="Z1551" s="94"/>
      <c r="AA1551" s="94"/>
      <c r="AB1551" s="94"/>
      <c r="AC1551" s="94"/>
      <c r="AD1551" s="94"/>
      <c r="AE1551" s="94"/>
      <c r="AF1551" s="94"/>
      <c r="AG1551" s="94"/>
      <c r="AH1551" s="94"/>
      <c r="AI1551" s="94"/>
      <c r="AJ1551" s="94"/>
      <c r="AK1551" s="94"/>
      <c r="AL1551" s="94"/>
      <c r="AM1551" s="94"/>
      <c r="AN1551" s="94"/>
      <c r="AO1551" s="94"/>
      <c r="AP1551" s="94"/>
      <c r="AQ1551" s="94"/>
      <c r="AR1551" s="94"/>
      <c r="AS1551" s="94"/>
      <c r="AT1551" s="94"/>
      <c r="AU1551" s="94"/>
      <c r="AV1551" s="94"/>
      <c r="AW1551" s="94"/>
      <c r="AX1551" s="94"/>
      <c r="AY1551" s="94"/>
      <c r="AZ1551" s="94"/>
      <c r="BA1551" s="94"/>
      <c r="BB1551" s="94"/>
      <c r="BC1551" s="94"/>
      <c r="BD1551" s="94"/>
      <c r="BE1551" s="94"/>
      <c r="BF1551" s="94"/>
    </row>
    <row r="1552" spans="1:58" x14ac:dyDescent="0.35">
      <c r="A1552" s="107" t="s">
        <v>3335</v>
      </c>
      <c r="B1552" s="108" t="s">
        <v>0</v>
      </c>
      <c r="C1552" s="109">
        <v>7</v>
      </c>
      <c r="D1552" s="107" t="s">
        <v>1724</v>
      </c>
      <c r="E1552" s="109"/>
      <c r="F1552" s="94"/>
      <c r="G1552" s="94"/>
      <c r="H1552" s="94"/>
      <c r="I1552" s="94"/>
      <c r="J1552" s="94"/>
      <c r="K1552" s="94"/>
      <c r="L1552" s="94"/>
      <c r="M1552" s="94"/>
      <c r="N1552" s="94"/>
      <c r="O1552" s="94"/>
      <c r="P1552" s="94"/>
      <c r="Q1552" s="94"/>
      <c r="R1552" s="94"/>
      <c r="S1552" s="94"/>
      <c r="T1552" s="94"/>
      <c r="U1552" s="94"/>
      <c r="V1552" s="94"/>
      <c r="W1552" s="94"/>
      <c r="X1552" s="94"/>
      <c r="Y1552" s="94"/>
      <c r="Z1552" s="94"/>
      <c r="AA1552" s="94"/>
      <c r="AB1552" s="94"/>
      <c r="AC1552" s="94"/>
      <c r="AD1552" s="94"/>
      <c r="AE1552" s="94"/>
      <c r="AF1552" s="94"/>
      <c r="AG1552" s="94"/>
      <c r="AH1552" s="94"/>
      <c r="AI1552" s="94"/>
      <c r="AJ1552" s="94"/>
      <c r="AK1552" s="94"/>
      <c r="AL1552" s="94"/>
      <c r="AM1552" s="94"/>
      <c r="AN1552" s="94"/>
      <c r="AO1552" s="94"/>
      <c r="AP1552" s="94"/>
      <c r="AQ1552" s="94"/>
      <c r="AR1552" s="94"/>
      <c r="AS1552" s="94"/>
      <c r="AT1552" s="94"/>
      <c r="AU1552" s="94"/>
      <c r="AV1552" s="94"/>
      <c r="AW1552" s="94"/>
      <c r="AX1552" s="94"/>
      <c r="AY1552" s="94"/>
      <c r="AZ1552" s="94"/>
      <c r="BA1552" s="94"/>
      <c r="BB1552" s="94"/>
      <c r="BC1552" s="94"/>
      <c r="BD1552" s="94"/>
      <c r="BE1552" s="94"/>
      <c r="BF1552" s="94"/>
    </row>
    <row r="1553" spans="1:58" x14ac:dyDescent="0.35">
      <c r="A1553" s="107" t="s">
        <v>3336</v>
      </c>
      <c r="B1553" s="108" t="s">
        <v>0</v>
      </c>
      <c r="C1553" s="109">
        <v>7</v>
      </c>
      <c r="D1553" s="107" t="s">
        <v>1725</v>
      </c>
      <c r="E1553" s="109"/>
      <c r="F1553" s="94"/>
      <c r="G1553" s="94"/>
      <c r="H1553" s="94"/>
      <c r="I1553" s="94"/>
      <c r="J1553" s="94"/>
      <c r="K1553" s="94"/>
      <c r="L1553" s="94"/>
      <c r="M1553" s="94"/>
      <c r="N1553" s="94"/>
      <c r="O1553" s="94"/>
      <c r="P1553" s="94"/>
      <c r="Q1553" s="94"/>
      <c r="R1553" s="94"/>
      <c r="S1553" s="94"/>
      <c r="T1553" s="94"/>
      <c r="U1553" s="94"/>
      <c r="V1553" s="94"/>
      <c r="W1553" s="94"/>
      <c r="X1553" s="94"/>
      <c r="Y1553" s="94"/>
      <c r="Z1553" s="94"/>
      <c r="AA1553" s="94"/>
      <c r="AB1553" s="94"/>
      <c r="AC1553" s="94"/>
      <c r="AD1553" s="94"/>
      <c r="AE1553" s="94"/>
      <c r="AF1553" s="94"/>
      <c r="AG1553" s="94"/>
      <c r="AH1553" s="94"/>
      <c r="AI1553" s="94"/>
      <c r="AJ1553" s="94"/>
      <c r="AK1553" s="94"/>
      <c r="AL1553" s="94"/>
      <c r="AM1553" s="94"/>
      <c r="AN1553" s="94"/>
      <c r="AO1553" s="94"/>
      <c r="AP1553" s="94"/>
      <c r="AQ1553" s="94"/>
      <c r="AR1553" s="94"/>
      <c r="AS1553" s="94"/>
      <c r="AT1553" s="94"/>
      <c r="AU1553" s="94"/>
      <c r="AV1553" s="94"/>
      <c r="AW1553" s="94"/>
      <c r="AX1553" s="94"/>
      <c r="AY1553" s="94"/>
      <c r="AZ1553" s="94"/>
      <c r="BA1553" s="94"/>
      <c r="BB1553" s="94"/>
      <c r="BC1553" s="94"/>
      <c r="BD1553" s="94"/>
      <c r="BE1553" s="94"/>
      <c r="BF1553" s="94"/>
    </row>
    <row r="1554" spans="1:58" x14ac:dyDescent="0.35">
      <c r="A1554" s="107" t="s">
        <v>3337</v>
      </c>
      <c r="B1554" s="108" t="s">
        <v>0</v>
      </c>
      <c r="C1554" s="109">
        <v>7</v>
      </c>
      <c r="D1554" s="107" t="s">
        <v>1673</v>
      </c>
      <c r="E1554" s="109"/>
      <c r="F1554" s="94"/>
      <c r="G1554" s="94"/>
      <c r="H1554" s="94"/>
      <c r="I1554" s="94"/>
      <c r="J1554" s="94"/>
      <c r="K1554" s="94"/>
      <c r="L1554" s="94"/>
      <c r="M1554" s="94"/>
      <c r="N1554" s="94"/>
      <c r="O1554" s="94"/>
      <c r="P1554" s="94"/>
      <c r="Q1554" s="94"/>
      <c r="R1554" s="94"/>
      <c r="S1554" s="94"/>
      <c r="T1554" s="94"/>
      <c r="U1554" s="94"/>
      <c r="V1554" s="94"/>
      <c r="W1554" s="94"/>
      <c r="X1554" s="94"/>
      <c r="Y1554" s="94"/>
      <c r="Z1554" s="94"/>
      <c r="AA1554" s="94"/>
      <c r="AB1554" s="94"/>
      <c r="AC1554" s="94"/>
      <c r="AD1554" s="94"/>
      <c r="AE1554" s="94"/>
      <c r="AF1554" s="94"/>
      <c r="AG1554" s="94"/>
      <c r="AH1554" s="94"/>
      <c r="AI1554" s="94"/>
      <c r="AJ1554" s="94"/>
      <c r="AK1554" s="94"/>
      <c r="AL1554" s="94"/>
      <c r="AM1554" s="94"/>
      <c r="AN1554" s="94"/>
      <c r="AO1554" s="94"/>
      <c r="AP1554" s="94"/>
      <c r="AQ1554" s="94"/>
      <c r="AR1554" s="94"/>
      <c r="AS1554" s="94"/>
      <c r="AT1554" s="94"/>
      <c r="AU1554" s="94"/>
      <c r="AV1554" s="94"/>
      <c r="AW1554" s="94"/>
      <c r="AX1554" s="94"/>
      <c r="AY1554" s="94"/>
      <c r="AZ1554" s="94"/>
      <c r="BA1554" s="94"/>
      <c r="BB1554" s="94"/>
      <c r="BC1554" s="94"/>
      <c r="BD1554" s="94"/>
      <c r="BE1554" s="94"/>
      <c r="BF1554" s="94"/>
    </row>
    <row r="1555" spans="1:58" x14ac:dyDescent="0.35">
      <c r="A1555" s="101" t="s">
        <v>3338</v>
      </c>
      <c r="B1555" s="102" t="s">
        <v>0</v>
      </c>
      <c r="C1555" s="103">
        <v>5</v>
      </c>
      <c r="D1555" s="101" t="s">
        <v>277</v>
      </c>
      <c r="E1555" s="103" t="s">
        <v>278</v>
      </c>
      <c r="F1555" s="94"/>
      <c r="G1555" s="94"/>
      <c r="H1555" s="94"/>
      <c r="I1555" s="94"/>
      <c r="J1555" s="94"/>
      <c r="K1555" s="94"/>
      <c r="L1555" s="94"/>
      <c r="M1555" s="94"/>
      <c r="N1555" s="94"/>
      <c r="O1555" s="94"/>
      <c r="P1555" s="94"/>
      <c r="Q1555" s="94"/>
      <c r="R1555" s="94"/>
      <c r="S1555" s="94"/>
      <c r="T1555" s="94"/>
      <c r="U1555" s="94"/>
      <c r="V1555" s="94"/>
      <c r="W1555" s="94"/>
      <c r="X1555" s="94"/>
      <c r="Y1555" s="94"/>
      <c r="Z1555" s="94"/>
      <c r="AA1555" s="94"/>
      <c r="AB1555" s="94"/>
      <c r="AC1555" s="94"/>
      <c r="AD1555" s="94"/>
      <c r="AE1555" s="94"/>
      <c r="AF1555" s="94"/>
      <c r="AG1555" s="94"/>
      <c r="AH1555" s="94"/>
      <c r="AI1555" s="94"/>
      <c r="AJ1555" s="94"/>
      <c r="AK1555" s="94"/>
      <c r="AL1555" s="94"/>
      <c r="AM1555" s="94"/>
      <c r="AN1555" s="94"/>
      <c r="AO1555" s="94"/>
      <c r="AP1555" s="94"/>
      <c r="AQ1555" s="94"/>
      <c r="AR1555" s="94"/>
      <c r="AS1555" s="94"/>
      <c r="AT1555" s="94"/>
      <c r="AU1555" s="94"/>
      <c r="AV1555" s="94"/>
      <c r="AW1555" s="94"/>
      <c r="AX1555" s="94"/>
      <c r="AY1555" s="94"/>
      <c r="AZ1555" s="94"/>
      <c r="BA1555" s="94"/>
      <c r="BB1555" s="94"/>
      <c r="BC1555" s="94"/>
      <c r="BD1555" s="94"/>
      <c r="BE1555" s="94"/>
      <c r="BF1555" s="94"/>
    </row>
    <row r="1556" spans="1:58" x14ac:dyDescent="0.35">
      <c r="A1556" s="101" t="s">
        <v>3339</v>
      </c>
      <c r="B1556" s="102" t="s">
        <v>0</v>
      </c>
      <c r="C1556" s="103">
        <v>5</v>
      </c>
      <c r="D1556" s="101" t="s">
        <v>1603</v>
      </c>
      <c r="E1556" s="103" t="s">
        <v>279</v>
      </c>
      <c r="F1556" s="94"/>
      <c r="G1556" s="94"/>
      <c r="H1556" s="94"/>
      <c r="I1556" s="94"/>
      <c r="J1556" s="94"/>
      <c r="K1556" s="94"/>
      <c r="L1556" s="94"/>
      <c r="M1556" s="94"/>
      <c r="N1556" s="94"/>
      <c r="O1556" s="94"/>
      <c r="P1556" s="94"/>
      <c r="Q1556" s="94"/>
      <c r="R1556" s="94"/>
      <c r="S1556" s="94"/>
      <c r="T1556" s="94"/>
      <c r="U1556" s="94"/>
      <c r="V1556" s="94"/>
      <c r="W1556" s="94"/>
      <c r="X1556" s="94"/>
      <c r="Y1556" s="94"/>
      <c r="Z1556" s="94"/>
      <c r="AA1556" s="94"/>
      <c r="AB1556" s="94"/>
      <c r="AC1556" s="94"/>
      <c r="AD1556" s="94"/>
      <c r="AE1556" s="94"/>
      <c r="AF1556" s="94"/>
      <c r="AG1556" s="94"/>
      <c r="AH1556" s="94"/>
      <c r="AI1556" s="94"/>
      <c r="AJ1556" s="94"/>
      <c r="AK1556" s="94"/>
      <c r="AL1556" s="94"/>
      <c r="AM1556" s="94"/>
      <c r="AN1556" s="94"/>
      <c r="AO1556" s="94"/>
      <c r="AP1556" s="94"/>
      <c r="AQ1556" s="94"/>
      <c r="AR1556" s="94"/>
      <c r="AS1556" s="94"/>
      <c r="AT1556" s="94"/>
      <c r="AU1556" s="94"/>
      <c r="AV1556" s="94"/>
      <c r="AW1556" s="94"/>
      <c r="AX1556" s="94"/>
      <c r="AY1556" s="94"/>
      <c r="AZ1556" s="94"/>
      <c r="BA1556" s="94"/>
      <c r="BB1556" s="94"/>
      <c r="BC1556" s="94"/>
      <c r="BD1556" s="94"/>
      <c r="BE1556" s="94"/>
      <c r="BF1556" s="94"/>
    </row>
    <row r="1557" spans="1:58" x14ac:dyDescent="0.35">
      <c r="A1557" s="101" t="s">
        <v>3340</v>
      </c>
      <c r="B1557" s="102" t="s">
        <v>0</v>
      </c>
      <c r="C1557" s="103">
        <v>5</v>
      </c>
      <c r="D1557" s="101" t="s">
        <v>471</v>
      </c>
      <c r="E1557" s="103" t="s">
        <v>280</v>
      </c>
      <c r="F1557" s="94"/>
      <c r="G1557" s="94"/>
      <c r="H1557" s="94"/>
      <c r="I1557" s="94"/>
      <c r="J1557" s="94"/>
      <c r="K1557" s="94"/>
      <c r="L1557" s="94"/>
      <c r="M1557" s="94"/>
      <c r="N1557" s="94"/>
      <c r="O1557" s="94"/>
      <c r="P1557" s="94"/>
      <c r="Q1557" s="94"/>
      <c r="R1557" s="94"/>
      <c r="S1557" s="94"/>
      <c r="T1557" s="94"/>
      <c r="U1557" s="94"/>
      <c r="V1557" s="94"/>
      <c r="W1557" s="94"/>
      <c r="X1557" s="94"/>
      <c r="Y1557" s="94"/>
      <c r="Z1557" s="94"/>
      <c r="AA1557" s="94"/>
      <c r="AB1557" s="94"/>
      <c r="AC1557" s="94"/>
      <c r="AD1557" s="94"/>
      <c r="AE1557" s="94"/>
      <c r="AF1557" s="94"/>
      <c r="AG1557" s="94"/>
      <c r="AH1557" s="94"/>
      <c r="AI1557" s="94"/>
      <c r="AJ1557" s="94"/>
      <c r="AK1557" s="94"/>
      <c r="AL1557" s="94"/>
      <c r="AM1557" s="94"/>
      <c r="AN1557" s="94"/>
      <c r="AO1557" s="94"/>
      <c r="AP1557" s="94"/>
      <c r="AQ1557" s="94"/>
      <c r="AR1557" s="94"/>
      <c r="AS1557" s="94"/>
      <c r="AT1557" s="94"/>
      <c r="AU1557" s="94"/>
      <c r="AV1557" s="94"/>
      <c r="AW1557" s="94"/>
      <c r="AX1557" s="94"/>
      <c r="AY1557" s="94"/>
      <c r="AZ1557" s="94"/>
      <c r="BA1557" s="94"/>
      <c r="BB1557" s="94"/>
      <c r="BC1557" s="94"/>
      <c r="BD1557" s="94"/>
      <c r="BE1557" s="94"/>
      <c r="BF1557" s="94"/>
    </row>
    <row r="1558" spans="1:58" x14ac:dyDescent="0.35">
      <c r="A1558" s="104" t="s">
        <v>3341</v>
      </c>
      <c r="B1558" s="105" t="s">
        <v>0</v>
      </c>
      <c r="C1558" s="106">
        <v>6</v>
      </c>
      <c r="D1558" s="104" t="s">
        <v>1696</v>
      </c>
      <c r="E1558" s="106"/>
      <c r="F1558" s="94"/>
      <c r="G1558" s="94"/>
      <c r="H1558" s="94"/>
      <c r="I1558" s="94"/>
      <c r="J1558" s="94"/>
      <c r="K1558" s="94"/>
      <c r="L1558" s="94"/>
      <c r="M1558" s="94"/>
      <c r="N1558" s="94"/>
      <c r="O1558" s="94"/>
      <c r="P1558" s="94"/>
      <c r="Q1558" s="94"/>
      <c r="R1558" s="94"/>
      <c r="S1558" s="94"/>
      <c r="T1558" s="94"/>
      <c r="U1558" s="94"/>
      <c r="V1558" s="94"/>
      <c r="W1558" s="94"/>
      <c r="X1558" s="94"/>
      <c r="Y1558" s="94"/>
      <c r="Z1558" s="94"/>
      <c r="AA1558" s="94"/>
      <c r="AB1558" s="94"/>
      <c r="AC1558" s="94"/>
      <c r="AD1558" s="94"/>
      <c r="AE1558" s="94"/>
      <c r="AF1558" s="94"/>
      <c r="AG1558" s="94"/>
      <c r="AH1558" s="94"/>
      <c r="AI1558" s="94"/>
      <c r="AJ1558" s="94"/>
      <c r="AK1558" s="94"/>
      <c r="AL1558" s="94"/>
      <c r="AM1558" s="94"/>
      <c r="AN1558" s="94"/>
      <c r="AO1558" s="94"/>
      <c r="AP1558" s="94"/>
      <c r="AQ1558" s="94"/>
      <c r="AR1558" s="94"/>
      <c r="AS1558" s="94"/>
      <c r="AT1558" s="94"/>
      <c r="AU1558" s="94"/>
      <c r="AV1558" s="94"/>
      <c r="AW1558" s="94"/>
      <c r="AX1558" s="94"/>
      <c r="AY1558" s="94"/>
      <c r="AZ1558" s="94"/>
      <c r="BA1558" s="94"/>
      <c r="BB1558" s="94"/>
      <c r="BC1558" s="94"/>
      <c r="BD1558" s="94"/>
      <c r="BE1558" s="94"/>
      <c r="BF1558" s="94"/>
    </row>
    <row r="1559" spans="1:58" x14ac:dyDescent="0.35">
      <c r="A1559" s="107" t="s">
        <v>3342</v>
      </c>
      <c r="B1559" s="108" t="s">
        <v>0</v>
      </c>
      <c r="C1559" s="109">
        <v>7</v>
      </c>
      <c r="D1559" s="107" t="s">
        <v>1697</v>
      </c>
      <c r="E1559" s="109"/>
      <c r="F1559" s="94"/>
      <c r="G1559" s="94"/>
      <c r="H1559" s="94"/>
      <c r="I1559" s="94"/>
      <c r="J1559" s="94"/>
      <c r="K1559" s="94"/>
      <c r="L1559" s="94"/>
      <c r="M1559" s="94"/>
      <c r="N1559" s="94"/>
      <c r="O1559" s="94"/>
      <c r="P1559" s="94"/>
      <c r="Q1559" s="94"/>
      <c r="R1559" s="94"/>
      <c r="S1559" s="94"/>
      <c r="T1559" s="94"/>
      <c r="U1559" s="94"/>
      <c r="V1559" s="94"/>
      <c r="W1559" s="94"/>
      <c r="X1559" s="94"/>
      <c r="Y1559" s="94"/>
      <c r="Z1559" s="94"/>
      <c r="AA1559" s="94"/>
      <c r="AB1559" s="94"/>
      <c r="AC1559" s="94"/>
      <c r="AD1559" s="94"/>
      <c r="AE1559" s="94"/>
      <c r="AF1559" s="94"/>
      <c r="AG1559" s="94"/>
      <c r="AH1559" s="94"/>
      <c r="AI1559" s="94"/>
      <c r="AJ1559" s="94"/>
      <c r="AK1559" s="94"/>
      <c r="AL1559" s="94"/>
      <c r="AM1559" s="94"/>
      <c r="AN1559" s="94"/>
      <c r="AO1559" s="94"/>
      <c r="AP1559" s="94"/>
      <c r="AQ1559" s="94"/>
      <c r="AR1559" s="94"/>
      <c r="AS1559" s="94"/>
      <c r="AT1559" s="94"/>
      <c r="AU1559" s="94"/>
      <c r="AV1559" s="94"/>
      <c r="AW1559" s="94"/>
      <c r="AX1559" s="94"/>
      <c r="AY1559" s="94"/>
      <c r="AZ1559" s="94"/>
      <c r="BA1559" s="94"/>
      <c r="BB1559" s="94"/>
      <c r="BC1559" s="94"/>
      <c r="BD1559" s="94"/>
      <c r="BE1559" s="94"/>
      <c r="BF1559" s="94"/>
    </row>
    <row r="1560" spans="1:58" x14ac:dyDescent="0.35">
      <c r="A1560" s="104" t="s">
        <v>3343</v>
      </c>
      <c r="B1560" s="105" t="s">
        <v>0</v>
      </c>
      <c r="C1560" s="106">
        <v>6</v>
      </c>
      <c r="D1560" s="104" t="s">
        <v>1698</v>
      </c>
      <c r="E1560" s="106"/>
      <c r="F1560" s="94"/>
      <c r="G1560" s="94"/>
      <c r="H1560" s="94"/>
      <c r="I1560" s="94"/>
      <c r="J1560" s="94"/>
      <c r="K1560" s="94"/>
      <c r="L1560" s="94"/>
      <c r="M1560" s="94"/>
      <c r="N1560" s="94"/>
      <c r="O1560" s="94"/>
      <c r="P1560" s="94"/>
      <c r="Q1560" s="94"/>
      <c r="R1560" s="94"/>
      <c r="S1560" s="94"/>
      <c r="T1560" s="94"/>
      <c r="U1560" s="94"/>
      <c r="V1560" s="94"/>
      <c r="W1560" s="94"/>
      <c r="X1560" s="94"/>
      <c r="Y1560" s="94"/>
      <c r="Z1560" s="94"/>
      <c r="AA1560" s="94"/>
      <c r="AB1560" s="94"/>
      <c r="AC1560" s="94"/>
      <c r="AD1560" s="94"/>
      <c r="AE1560" s="94"/>
      <c r="AF1560" s="94"/>
      <c r="AG1560" s="94"/>
      <c r="AH1560" s="94"/>
      <c r="AI1560" s="94"/>
      <c r="AJ1560" s="94"/>
      <c r="AK1560" s="94"/>
      <c r="AL1560" s="94"/>
      <c r="AM1560" s="94"/>
      <c r="AN1560" s="94"/>
      <c r="AO1560" s="94"/>
      <c r="AP1560" s="94"/>
      <c r="AQ1560" s="94"/>
      <c r="AR1560" s="94"/>
      <c r="AS1560" s="94"/>
      <c r="AT1560" s="94"/>
      <c r="AU1560" s="94"/>
      <c r="AV1560" s="94"/>
      <c r="AW1560" s="94"/>
      <c r="AX1560" s="94"/>
      <c r="AY1560" s="94"/>
      <c r="AZ1560" s="94"/>
      <c r="BA1560" s="94"/>
      <c r="BB1560" s="94"/>
      <c r="BC1560" s="94"/>
      <c r="BD1560" s="94"/>
      <c r="BE1560" s="94"/>
      <c r="BF1560" s="94"/>
    </row>
    <row r="1561" spans="1:58" x14ac:dyDescent="0.35">
      <c r="A1561" s="107" t="s">
        <v>3344</v>
      </c>
      <c r="B1561" s="108" t="s">
        <v>0</v>
      </c>
      <c r="C1561" s="109">
        <v>7</v>
      </c>
      <c r="D1561" s="107" t="s">
        <v>1699</v>
      </c>
      <c r="E1561" s="109"/>
      <c r="F1561" s="94"/>
      <c r="G1561" s="94"/>
      <c r="H1561" s="94"/>
      <c r="I1561" s="94"/>
      <c r="J1561" s="94"/>
      <c r="K1561" s="94"/>
      <c r="L1561" s="94"/>
      <c r="M1561" s="94"/>
      <c r="N1561" s="94"/>
      <c r="O1561" s="94"/>
      <c r="P1561" s="94"/>
      <c r="Q1561" s="94"/>
      <c r="R1561" s="94"/>
      <c r="S1561" s="94"/>
      <c r="T1561" s="94"/>
      <c r="U1561" s="94"/>
      <c r="V1561" s="94"/>
      <c r="W1561" s="94"/>
      <c r="X1561" s="94"/>
      <c r="Y1561" s="94"/>
      <c r="Z1561" s="94"/>
      <c r="AA1561" s="94"/>
      <c r="AB1561" s="94"/>
      <c r="AC1561" s="94"/>
      <c r="AD1561" s="94"/>
      <c r="AE1561" s="94"/>
      <c r="AF1561" s="94"/>
      <c r="AG1561" s="94"/>
      <c r="AH1561" s="94"/>
      <c r="AI1561" s="94"/>
      <c r="AJ1561" s="94"/>
      <c r="AK1561" s="94"/>
      <c r="AL1561" s="94"/>
      <c r="AM1561" s="94"/>
      <c r="AN1561" s="94"/>
      <c r="AO1561" s="94"/>
      <c r="AP1561" s="94"/>
      <c r="AQ1561" s="94"/>
      <c r="AR1561" s="94"/>
      <c r="AS1561" s="94"/>
      <c r="AT1561" s="94"/>
      <c r="AU1561" s="94"/>
      <c r="AV1561" s="94"/>
      <c r="AW1561" s="94"/>
      <c r="AX1561" s="94"/>
      <c r="AY1561" s="94"/>
      <c r="AZ1561" s="94"/>
      <c r="BA1561" s="94"/>
      <c r="BB1561" s="94"/>
      <c r="BC1561" s="94"/>
      <c r="BD1561" s="94"/>
      <c r="BE1561" s="94"/>
      <c r="BF1561" s="94"/>
    </row>
    <row r="1562" spans="1:58" x14ac:dyDescent="0.35">
      <c r="A1562" s="107" t="s">
        <v>3345</v>
      </c>
      <c r="B1562" s="108" t="s">
        <v>0</v>
      </c>
      <c r="C1562" s="109">
        <v>7</v>
      </c>
      <c r="D1562" s="107" t="s">
        <v>1700</v>
      </c>
      <c r="E1562" s="109"/>
      <c r="F1562" s="94"/>
      <c r="G1562" s="94"/>
      <c r="H1562" s="94"/>
      <c r="I1562" s="94"/>
      <c r="J1562" s="94"/>
      <c r="K1562" s="94"/>
      <c r="L1562" s="94"/>
      <c r="M1562" s="94"/>
      <c r="N1562" s="94"/>
      <c r="O1562" s="94"/>
      <c r="P1562" s="94"/>
      <c r="Q1562" s="94"/>
      <c r="R1562" s="94"/>
      <c r="S1562" s="94"/>
      <c r="T1562" s="94"/>
      <c r="U1562" s="94"/>
      <c r="V1562" s="94"/>
      <c r="W1562" s="94"/>
      <c r="X1562" s="94"/>
      <c r="Y1562" s="94"/>
      <c r="Z1562" s="94"/>
      <c r="AA1562" s="94"/>
      <c r="AB1562" s="94"/>
      <c r="AC1562" s="94"/>
      <c r="AD1562" s="94"/>
      <c r="AE1562" s="94"/>
      <c r="AF1562" s="94"/>
      <c r="AG1562" s="94"/>
      <c r="AH1562" s="94"/>
      <c r="AI1562" s="94"/>
      <c r="AJ1562" s="94"/>
      <c r="AK1562" s="94"/>
      <c r="AL1562" s="94"/>
      <c r="AM1562" s="94"/>
      <c r="AN1562" s="94"/>
      <c r="AO1562" s="94"/>
      <c r="AP1562" s="94"/>
      <c r="AQ1562" s="94"/>
      <c r="AR1562" s="94"/>
      <c r="AS1562" s="94"/>
      <c r="AT1562" s="94"/>
      <c r="AU1562" s="94"/>
      <c r="AV1562" s="94"/>
      <c r="AW1562" s="94"/>
      <c r="AX1562" s="94"/>
      <c r="AY1562" s="94"/>
      <c r="AZ1562" s="94"/>
      <c r="BA1562" s="94"/>
      <c r="BB1562" s="94"/>
      <c r="BC1562" s="94"/>
      <c r="BD1562" s="94"/>
      <c r="BE1562" s="94"/>
      <c r="BF1562" s="94"/>
    </row>
    <row r="1563" spans="1:58" x14ac:dyDescent="0.35">
      <c r="A1563" s="104" t="s">
        <v>3346</v>
      </c>
      <c r="B1563" s="105" t="s">
        <v>0</v>
      </c>
      <c r="C1563" s="106">
        <v>6</v>
      </c>
      <c r="D1563" s="104" t="s">
        <v>1701</v>
      </c>
      <c r="E1563" s="106"/>
      <c r="F1563" s="94"/>
      <c r="G1563" s="94"/>
      <c r="H1563" s="94"/>
      <c r="I1563" s="94"/>
      <c r="J1563" s="94"/>
      <c r="K1563" s="94"/>
      <c r="L1563" s="94"/>
      <c r="M1563" s="94"/>
      <c r="N1563" s="94"/>
      <c r="O1563" s="94"/>
      <c r="P1563" s="94"/>
      <c r="Q1563" s="94"/>
      <c r="R1563" s="94"/>
      <c r="S1563" s="94"/>
      <c r="T1563" s="94"/>
      <c r="U1563" s="94"/>
      <c r="V1563" s="94"/>
      <c r="W1563" s="94"/>
      <c r="X1563" s="94"/>
      <c r="Y1563" s="94"/>
      <c r="Z1563" s="94"/>
      <c r="AA1563" s="94"/>
      <c r="AB1563" s="94"/>
      <c r="AC1563" s="94"/>
      <c r="AD1563" s="94"/>
      <c r="AE1563" s="94"/>
      <c r="AF1563" s="94"/>
      <c r="AG1563" s="94"/>
      <c r="AH1563" s="94"/>
      <c r="AI1563" s="94"/>
      <c r="AJ1563" s="94"/>
      <c r="AK1563" s="94"/>
      <c r="AL1563" s="94"/>
      <c r="AM1563" s="94"/>
      <c r="AN1563" s="94"/>
      <c r="AO1563" s="94"/>
      <c r="AP1563" s="94"/>
      <c r="AQ1563" s="94"/>
      <c r="AR1563" s="94"/>
      <c r="AS1563" s="94"/>
      <c r="AT1563" s="94"/>
      <c r="AU1563" s="94"/>
      <c r="AV1563" s="94"/>
      <c r="AW1563" s="94"/>
      <c r="AX1563" s="94"/>
      <c r="AY1563" s="94"/>
      <c r="AZ1563" s="94"/>
      <c r="BA1563" s="94"/>
      <c r="BB1563" s="94"/>
      <c r="BC1563" s="94"/>
      <c r="BD1563" s="94"/>
      <c r="BE1563" s="94"/>
      <c r="BF1563" s="94"/>
    </row>
    <row r="1564" spans="1:58" x14ac:dyDescent="0.35">
      <c r="A1564" s="107" t="s">
        <v>3347</v>
      </c>
      <c r="B1564" s="108" t="s">
        <v>0</v>
      </c>
      <c r="C1564" s="109">
        <v>7</v>
      </c>
      <c r="D1564" s="107" t="s">
        <v>1713</v>
      </c>
      <c r="E1564" s="109"/>
      <c r="F1564" s="94"/>
      <c r="G1564" s="94"/>
      <c r="H1564" s="94"/>
      <c r="I1564" s="94"/>
      <c r="J1564" s="94"/>
      <c r="K1564" s="94"/>
      <c r="L1564" s="94"/>
      <c r="M1564" s="94"/>
      <c r="N1564" s="94"/>
      <c r="O1564" s="94"/>
      <c r="P1564" s="94"/>
      <c r="Q1564" s="94"/>
      <c r="R1564" s="94"/>
      <c r="S1564" s="94"/>
      <c r="T1564" s="94"/>
      <c r="U1564" s="94"/>
      <c r="V1564" s="94"/>
      <c r="W1564" s="94"/>
      <c r="X1564" s="94"/>
      <c r="Y1564" s="94"/>
      <c r="Z1564" s="94"/>
      <c r="AA1564" s="94"/>
      <c r="AB1564" s="94"/>
      <c r="AC1564" s="94"/>
      <c r="AD1564" s="94"/>
      <c r="AE1564" s="94"/>
      <c r="AF1564" s="94"/>
      <c r="AG1564" s="94"/>
      <c r="AH1564" s="94"/>
      <c r="AI1564" s="94"/>
      <c r="AJ1564" s="94"/>
      <c r="AK1564" s="94"/>
      <c r="AL1564" s="94"/>
      <c r="AM1564" s="94"/>
      <c r="AN1564" s="94"/>
      <c r="AO1564" s="94"/>
      <c r="AP1564" s="94"/>
      <c r="AQ1564" s="94"/>
      <c r="AR1564" s="94"/>
      <c r="AS1564" s="94"/>
      <c r="AT1564" s="94"/>
      <c r="AU1564" s="94"/>
      <c r="AV1564" s="94"/>
      <c r="AW1564" s="94"/>
      <c r="AX1564" s="94"/>
      <c r="AY1564" s="94"/>
      <c r="AZ1564" s="94"/>
      <c r="BA1564" s="94"/>
      <c r="BB1564" s="94"/>
      <c r="BC1564" s="94"/>
      <c r="BD1564" s="94"/>
      <c r="BE1564" s="94"/>
      <c r="BF1564" s="94"/>
    </row>
    <row r="1565" spans="1:58" x14ac:dyDescent="0.35">
      <c r="A1565" s="107" t="s">
        <v>3348</v>
      </c>
      <c r="B1565" s="108" t="s">
        <v>0</v>
      </c>
      <c r="C1565" s="109">
        <v>7</v>
      </c>
      <c r="D1565" s="107" t="s">
        <v>1714</v>
      </c>
      <c r="E1565" s="109"/>
      <c r="F1565" s="94"/>
      <c r="G1565" s="94"/>
      <c r="H1565" s="94"/>
      <c r="I1565" s="94"/>
      <c r="J1565" s="94"/>
      <c r="K1565" s="94"/>
      <c r="L1565" s="94"/>
      <c r="M1565" s="94"/>
      <c r="N1565" s="94"/>
      <c r="O1565" s="94"/>
      <c r="P1565" s="94"/>
      <c r="Q1565" s="94"/>
      <c r="R1565" s="94"/>
      <c r="S1565" s="94"/>
      <c r="T1565" s="94"/>
      <c r="U1565" s="94"/>
      <c r="V1565" s="94"/>
      <c r="W1565" s="94"/>
      <c r="X1565" s="94"/>
      <c r="Y1565" s="94"/>
      <c r="Z1565" s="94"/>
      <c r="AA1565" s="94"/>
      <c r="AB1565" s="94"/>
      <c r="AC1565" s="94"/>
      <c r="AD1565" s="94"/>
      <c r="AE1565" s="94"/>
      <c r="AF1565" s="94"/>
      <c r="AG1565" s="94"/>
      <c r="AH1565" s="94"/>
      <c r="AI1565" s="94"/>
      <c r="AJ1565" s="94"/>
      <c r="AK1565" s="94"/>
      <c r="AL1565" s="94"/>
      <c r="AM1565" s="94"/>
      <c r="AN1565" s="94"/>
      <c r="AO1565" s="94"/>
      <c r="AP1565" s="94"/>
      <c r="AQ1565" s="94"/>
      <c r="AR1565" s="94"/>
      <c r="AS1565" s="94"/>
      <c r="AT1565" s="94"/>
      <c r="AU1565" s="94"/>
      <c r="AV1565" s="94"/>
      <c r="AW1565" s="94"/>
      <c r="AX1565" s="94"/>
      <c r="AY1565" s="94"/>
      <c r="AZ1565" s="94"/>
      <c r="BA1565" s="94"/>
      <c r="BB1565" s="94"/>
      <c r="BC1565" s="94"/>
      <c r="BD1565" s="94"/>
      <c r="BE1565" s="94"/>
      <c r="BF1565" s="94"/>
    </row>
    <row r="1566" spans="1:58" x14ac:dyDescent="0.35">
      <c r="A1566" s="107" t="s">
        <v>3349</v>
      </c>
      <c r="B1566" s="108" t="s">
        <v>0</v>
      </c>
      <c r="C1566" s="109">
        <v>7</v>
      </c>
      <c r="D1566" s="107" t="s">
        <v>1715</v>
      </c>
      <c r="E1566" s="109"/>
      <c r="F1566" s="94"/>
      <c r="G1566" s="94"/>
      <c r="H1566" s="94"/>
      <c r="I1566" s="94"/>
      <c r="J1566" s="94"/>
      <c r="K1566" s="94"/>
      <c r="L1566" s="94"/>
      <c r="M1566" s="94"/>
      <c r="N1566" s="94"/>
      <c r="O1566" s="94"/>
      <c r="P1566" s="94"/>
      <c r="Q1566" s="94"/>
      <c r="R1566" s="94"/>
      <c r="S1566" s="94"/>
      <c r="T1566" s="94"/>
      <c r="U1566" s="94"/>
      <c r="V1566" s="94"/>
      <c r="W1566" s="94"/>
      <c r="X1566" s="94"/>
      <c r="Y1566" s="94"/>
      <c r="Z1566" s="94"/>
      <c r="AA1566" s="94"/>
      <c r="AB1566" s="94"/>
      <c r="AC1566" s="94"/>
      <c r="AD1566" s="94"/>
      <c r="AE1566" s="94"/>
      <c r="AF1566" s="94"/>
      <c r="AG1566" s="94"/>
      <c r="AH1566" s="94"/>
      <c r="AI1566" s="94"/>
      <c r="AJ1566" s="94"/>
      <c r="AK1566" s="94"/>
      <c r="AL1566" s="94"/>
      <c r="AM1566" s="94"/>
      <c r="AN1566" s="94"/>
      <c r="AO1566" s="94"/>
      <c r="AP1566" s="94"/>
      <c r="AQ1566" s="94"/>
      <c r="AR1566" s="94"/>
      <c r="AS1566" s="94"/>
      <c r="AT1566" s="94"/>
      <c r="AU1566" s="94"/>
      <c r="AV1566" s="94"/>
      <c r="AW1566" s="94"/>
      <c r="AX1566" s="94"/>
      <c r="AY1566" s="94"/>
      <c r="AZ1566" s="94"/>
      <c r="BA1566" s="94"/>
      <c r="BB1566" s="94"/>
      <c r="BC1566" s="94"/>
      <c r="BD1566" s="94"/>
      <c r="BE1566" s="94"/>
      <c r="BF1566" s="94"/>
    </row>
    <row r="1567" spans="1:58" x14ac:dyDescent="0.35">
      <c r="A1567" s="104" t="s">
        <v>3350</v>
      </c>
      <c r="B1567" s="105" t="s">
        <v>0</v>
      </c>
      <c r="C1567" s="106">
        <v>6</v>
      </c>
      <c r="D1567" s="104" t="s">
        <v>1716</v>
      </c>
      <c r="E1567" s="106"/>
      <c r="F1567" s="94"/>
      <c r="G1567" s="94"/>
      <c r="H1567" s="94"/>
      <c r="I1567" s="94"/>
      <c r="J1567" s="94"/>
      <c r="K1567" s="94"/>
      <c r="L1567" s="94"/>
      <c r="M1567" s="94"/>
      <c r="N1567" s="94"/>
      <c r="O1567" s="94"/>
      <c r="P1567" s="94"/>
      <c r="Q1567" s="94"/>
      <c r="R1567" s="94"/>
      <c r="S1567" s="94"/>
      <c r="T1567" s="94"/>
      <c r="U1567" s="94"/>
      <c r="V1567" s="94"/>
      <c r="W1567" s="94"/>
      <c r="X1567" s="94"/>
      <c r="Y1567" s="94"/>
      <c r="Z1567" s="94"/>
      <c r="AA1567" s="94"/>
      <c r="AB1567" s="94"/>
      <c r="AC1567" s="94"/>
      <c r="AD1567" s="94"/>
      <c r="AE1567" s="94"/>
      <c r="AF1567" s="94"/>
      <c r="AG1567" s="94"/>
      <c r="AH1567" s="94"/>
      <c r="AI1567" s="94"/>
      <c r="AJ1567" s="94"/>
      <c r="AK1567" s="94"/>
      <c r="AL1567" s="94"/>
      <c r="AM1567" s="94"/>
      <c r="AN1567" s="94"/>
      <c r="AO1567" s="94"/>
      <c r="AP1567" s="94"/>
      <c r="AQ1567" s="94"/>
      <c r="AR1567" s="94"/>
      <c r="AS1567" s="94"/>
      <c r="AT1567" s="94"/>
      <c r="AU1567" s="94"/>
      <c r="AV1567" s="94"/>
      <c r="AW1567" s="94"/>
      <c r="AX1567" s="94"/>
      <c r="AY1567" s="94"/>
      <c r="AZ1567" s="94"/>
      <c r="BA1567" s="94"/>
      <c r="BB1567" s="94"/>
      <c r="BC1567" s="94"/>
      <c r="BD1567" s="94"/>
      <c r="BE1567" s="94"/>
      <c r="BF1567" s="94"/>
    </row>
    <row r="1568" spans="1:58" x14ac:dyDescent="0.35">
      <c r="A1568" s="107" t="s">
        <v>3351</v>
      </c>
      <c r="B1568" s="108" t="s">
        <v>0</v>
      </c>
      <c r="C1568" s="109">
        <v>7</v>
      </c>
      <c r="D1568" s="107" t="s">
        <v>1707</v>
      </c>
      <c r="E1568" s="109"/>
      <c r="F1568" s="94"/>
      <c r="G1568" s="94"/>
      <c r="H1568" s="94"/>
      <c r="I1568" s="94"/>
      <c r="J1568" s="94"/>
      <c r="K1568" s="94"/>
      <c r="L1568" s="94"/>
      <c r="M1568" s="94"/>
      <c r="N1568" s="94"/>
      <c r="O1568" s="94"/>
      <c r="P1568" s="94"/>
      <c r="Q1568" s="94"/>
      <c r="R1568" s="94"/>
      <c r="S1568" s="94"/>
      <c r="T1568" s="94"/>
      <c r="U1568" s="94"/>
      <c r="V1568" s="94"/>
      <c r="W1568" s="94"/>
      <c r="X1568" s="94"/>
      <c r="Y1568" s="94"/>
      <c r="Z1568" s="94"/>
      <c r="AA1568" s="94"/>
      <c r="AB1568" s="94"/>
      <c r="AC1568" s="94"/>
      <c r="AD1568" s="94"/>
      <c r="AE1568" s="94"/>
      <c r="AF1568" s="94"/>
      <c r="AG1568" s="94"/>
      <c r="AH1568" s="94"/>
      <c r="AI1568" s="94"/>
      <c r="AJ1568" s="94"/>
      <c r="AK1568" s="94"/>
      <c r="AL1568" s="94"/>
      <c r="AM1568" s="94"/>
      <c r="AN1568" s="94"/>
      <c r="AO1568" s="94"/>
      <c r="AP1568" s="94"/>
      <c r="AQ1568" s="94"/>
      <c r="AR1568" s="94"/>
      <c r="AS1568" s="94"/>
      <c r="AT1568" s="94"/>
      <c r="AU1568" s="94"/>
      <c r="AV1568" s="94"/>
      <c r="AW1568" s="94"/>
      <c r="AX1568" s="94"/>
      <c r="AY1568" s="94"/>
      <c r="AZ1568" s="94"/>
      <c r="BA1568" s="94"/>
      <c r="BB1568" s="94"/>
      <c r="BC1568" s="94"/>
      <c r="BD1568" s="94"/>
      <c r="BE1568" s="94"/>
      <c r="BF1568" s="94"/>
    </row>
    <row r="1569" spans="1:58" x14ac:dyDescent="0.35">
      <c r="A1569" s="107" t="s">
        <v>3352</v>
      </c>
      <c r="B1569" s="108" t="s">
        <v>0</v>
      </c>
      <c r="C1569" s="109">
        <v>7</v>
      </c>
      <c r="D1569" s="107" t="s">
        <v>1708</v>
      </c>
      <c r="E1569" s="109"/>
      <c r="F1569" s="94"/>
      <c r="G1569" s="94"/>
      <c r="H1569" s="94"/>
      <c r="I1569" s="94"/>
      <c r="J1569" s="94"/>
      <c r="K1569" s="94"/>
      <c r="L1569" s="94"/>
      <c r="M1569" s="94"/>
      <c r="N1569" s="94"/>
      <c r="O1569" s="94"/>
      <c r="P1569" s="94"/>
      <c r="Q1569" s="94"/>
      <c r="R1569" s="94"/>
      <c r="S1569" s="94"/>
      <c r="T1569" s="94"/>
      <c r="U1569" s="94"/>
      <c r="V1569" s="94"/>
      <c r="W1569" s="94"/>
      <c r="X1569" s="94"/>
      <c r="Y1569" s="94"/>
      <c r="Z1569" s="94"/>
      <c r="AA1569" s="94"/>
      <c r="AB1569" s="94"/>
      <c r="AC1569" s="94"/>
      <c r="AD1569" s="94"/>
      <c r="AE1569" s="94"/>
      <c r="AF1569" s="94"/>
      <c r="AG1569" s="94"/>
      <c r="AH1569" s="94"/>
      <c r="AI1569" s="94"/>
      <c r="AJ1569" s="94"/>
      <c r="AK1569" s="94"/>
      <c r="AL1569" s="94"/>
      <c r="AM1569" s="94"/>
      <c r="AN1569" s="94"/>
      <c r="AO1569" s="94"/>
      <c r="AP1569" s="94"/>
      <c r="AQ1569" s="94"/>
      <c r="AR1569" s="94"/>
      <c r="AS1569" s="94"/>
      <c r="AT1569" s="94"/>
      <c r="AU1569" s="94"/>
      <c r="AV1569" s="94"/>
      <c r="AW1569" s="94"/>
      <c r="AX1569" s="94"/>
      <c r="AY1569" s="94"/>
      <c r="AZ1569" s="94"/>
      <c r="BA1569" s="94"/>
      <c r="BB1569" s="94"/>
      <c r="BC1569" s="94"/>
      <c r="BD1569" s="94"/>
      <c r="BE1569" s="94"/>
      <c r="BF1569" s="94"/>
    </row>
    <row r="1570" spans="1:58" x14ac:dyDescent="0.35">
      <c r="A1570" s="107" t="s">
        <v>3353</v>
      </c>
      <c r="B1570" s="108" t="s">
        <v>0</v>
      </c>
      <c r="C1570" s="109">
        <v>7</v>
      </c>
      <c r="D1570" s="107" t="s">
        <v>1709</v>
      </c>
      <c r="E1570" s="109"/>
      <c r="F1570" s="94"/>
      <c r="G1570" s="94"/>
      <c r="H1570" s="94"/>
      <c r="I1570" s="94"/>
      <c r="J1570" s="94"/>
      <c r="K1570" s="94"/>
      <c r="L1570" s="94"/>
      <c r="M1570" s="94"/>
      <c r="N1570" s="94"/>
      <c r="O1570" s="94"/>
      <c r="P1570" s="94"/>
      <c r="Q1570" s="94"/>
      <c r="R1570" s="94"/>
      <c r="S1570" s="94"/>
      <c r="T1570" s="94"/>
      <c r="U1570" s="94"/>
      <c r="V1570" s="94"/>
      <c r="W1570" s="94"/>
      <c r="X1570" s="94"/>
      <c r="Y1570" s="94"/>
      <c r="Z1570" s="94"/>
      <c r="AA1570" s="94"/>
      <c r="AB1570" s="94"/>
      <c r="AC1570" s="94"/>
      <c r="AD1570" s="94"/>
      <c r="AE1570" s="94"/>
      <c r="AF1570" s="94"/>
      <c r="AG1570" s="94"/>
      <c r="AH1570" s="94"/>
      <c r="AI1570" s="94"/>
      <c r="AJ1570" s="94"/>
      <c r="AK1570" s="94"/>
      <c r="AL1570" s="94"/>
      <c r="AM1570" s="94"/>
      <c r="AN1570" s="94"/>
      <c r="AO1570" s="94"/>
      <c r="AP1570" s="94"/>
      <c r="AQ1570" s="94"/>
      <c r="AR1570" s="94"/>
      <c r="AS1570" s="94"/>
      <c r="AT1570" s="94"/>
      <c r="AU1570" s="94"/>
      <c r="AV1570" s="94"/>
      <c r="AW1570" s="94"/>
      <c r="AX1570" s="94"/>
      <c r="AY1570" s="94"/>
      <c r="AZ1570" s="94"/>
      <c r="BA1570" s="94"/>
      <c r="BB1570" s="94"/>
      <c r="BC1570" s="94"/>
      <c r="BD1570" s="94"/>
      <c r="BE1570" s="94"/>
      <c r="BF1570" s="94"/>
    </row>
    <row r="1571" spans="1:58" x14ac:dyDescent="0.35">
      <c r="A1571" s="107" t="s">
        <v>3354</v>
      </c>
      <c r="B1571" s="108" t="s">
        <v>0</v>
      </c>
      <c r="C1571" s="109">
        <v>7</v>
      </c>
      <c r="D1571" s="107" t="s">
        <v>1710</v>
      </c>
      <c r="E1571" s="109"/>
      <c r="F1571" s="94"/>
      <c r="G1571" s="94"/>
      <c r="H1571" s="94"/>
      <c r="I1571" s="94"/>
      <c r="J1571" s="94"/>
      <c r="K1571" s="94"/>
      <c r="L1571" s="94"/>
      <c r="M1571" s="94"/>
      <c r="N1571" s="94"/>
      <c r="O1571" s="94"/>
      <c r="P1571" s="94"/>
      <c r="Q1571" s="94"/>
      <c r="R1571" s="94"/>
      <c r="S1571" s="94"/>
      <c r="T1571" s="94"/>
      <c r="U1571" s="94"/>
      <c r="V1571" s="94"/>
      <c r="W1571" s="94"/>
      <c r="X1571" s="94"/>
      <c r="Y1571" s="94"/>
      <c r="Z1571" s="94"/>
      <c r="AA1571" s="94"/>
      <c r="AB1571" s="94"/>
      <c r="AC1571" s="94"/>
      <c r="AD1571" s="94"/>
      <c r="AE1571" s="94"/>
      <c r="AF1571" s="94"/>
      <c r="AG1571" s="94"/>
      <c r="AH1571" s="94"/>
      <c r="AI1571" s="94"/>
      <c r="AJ1571" s="94"/>
      <c r="AK1571" s="94"/>
      <c r="AL1571" s="94"/>
      <c r="AM1571" s="94"/>
      <c r="AN1571" s="94"/>
      <c r="AO1571" s="94"/>
      <c r="AP1571" s="94"/>
      <c r="AQ1571" s="94"/>
      <c r="AR1571" s="94"/>
      <c r="AS1571" s="94"/>
      <c r="AT1571" s="94"/>
      <c r="AU1571" s="94"/>
      <c r="AV1571" s="94"/>
      <c r="AW1571" s="94"/>
      <c r="AX1571" s="94"/>
      <c r="AY1571" s="94"/>
      <c r="AZ1571" s="94"/>
      <c r="BA1571" s="94"/>
      <c r="BB1571" s="94"/>
      <c r="BC1571" s="94"/>
      <c r="BD1571" s="94"/>
      <c r="BE1571" s="94"/>
      <c r="BF1571" s="94"/>
    </row>
    <row r="1572" spans="1:58" x14ac:dyDescent="0.35">
      <c r="A1572" s="107" t="s">
        <v>3355</v>
      </c>
      <c r="B1572" s="108" t="s">
        <v>0</v>
      </c>
      <c r="C1572" s="109">
        <v>7</v>
      </c>
      <c r="D1572" s="107" t="s">
        <v>1711</v>
      </c>
      <c r="E1572" s="109"/>
      <c r="F1572" s="94"/>
      <c r="G1572" s="94"/>
      <c r="H1572" s="94"/>
      <c r="I1572" s="94"/>
      <c r="J1572" s="94"/>
      <c r="K1572" s="94"/>
      <c r="L1572" s="94"/>
      <c r="M1572" s="94"/>
      <c r="N1572" s="94"/>
      <c r="O1572" s="94"/>
      <c r="P1572" s="94"/>
      <c r="Q1572" s="94"/>
      <c r="R1572" s="94"/>
      <c r="S1572" s="94"/>
      <c r="T1572" s="94"/>
      <c r="U1572" s="94"/>
      <c r="V1572" s="94"/>
      <c r="W1572" s="94"/>
      <c r="X1572" s="94"/>
      <c r="Y1572" s="94"/>
      <c r="Z1572" s="94"/>
      <c r="AA1572" s="94"/>
      <c r="AB1572" s="94"/>
      <c r="AC1572" s="94"/>
      <c r="AD1572" s="94"/>
      <c r="AE1572" s="94"/>
      <c r="AF1572" s="94"/>
      <c r="AG1572" s="94"/>
      <c r="AH1572" s="94"/>
      <c r="AI1572" s="94"/>
      <c r="AJ1572" s="94"/>
      <c r="AK1572" s="94"/>
      <c r="AL1572" s="94"/>
      <c r="AM1572" s="94"/>
      <c r="AN1572" s="94"/>
      <c r="AO1572" s="94"/>
      <c r="AP1572" s="94"/>
      <c r="AQ1572" s="94"/>
      <c r="AR1572" s="94"/>
      <c r="AS1572" s="94"/>
      <c r="AT1572" s="94"/>
      <c r="AU1572" s="94"/>
      <c r="AV1572" s="94"/>
      <c r="AW1572" s="94"/>
      <c r="AX1572" s="94"/>
      <c r="AY1572" s="94"/>
      <c r="AZ1572" s="94"/>
      <c r="BA1572" s="94"/>
      <c r="BB1572" s="94"/>
      <c r="BC1572" s="94"/>
      <c r="BD1572" s="94"/>
      <c r="BE1572" s="94"/>
      <c r="BF1572" s="94"/>
    </row>
    <row r="1573" spans="1:58" x14ac:dyDescent="0.35">
      <c r="A1573" s="107" t="s">
        <v>3356</v>
      </c>
      <c r="B1573" s="108" t="s">
        <v>0</v>
      </c>
      <c r="C1573" s="109">
        <v>7</v>
      </c>
      <c r="D1573" s="107" t="s">
        <v>1712</v>
      </c>
      <c r="E1573" s="109"/>
      <c r="F1573" s="94"/>
      <c r="G1573" s="94"/>
      <c r="H1573" s="94"/>
      <c r="I1573" s="94"/>
      <c r="J1573" s="94"/>
      <c r="K1573" s="94"/>
      <c r="L1573" s="94"/>
      <c r="M1573" s="94"/>
      <c r="N1573" s="94"/>
      <c r="O1573" s="94"/>
      <c r="P1573" s="94"/>
      <c r="Q1573" s="94"/>
      <c r="R1573" s="94"/>
      <c r="S1573" s="94"/>
      <c r="T1573" s="94"/>
      <c r="U1573" s="94"/>
      <c r="V1573" s="94"/>
      <c r="W1573" s="94"/>
      <c r="X1573" s="94"/>
      <c r="Y1573" s="94"/>
      <c r="Z1573" s="94"/>
      <c r="AA1573" s="94"/>
      <c r="AB1573" s="94"/>
      <c r="AC1573" s="94"/>
      <c r="AD1573" s="94"/>
      <c r="AE1573" s="94"/>
      <c r="AF1573" s="94"/>
      <c r="AG1573" s="94"/>
      <c r="AH1573" s="94"/>
      <c r="AI1573" s="94"/>
      <c r="AJ1573" s="94"/>
      <c r="AK1573" s="94"/>
      <c r="AL1573" s="94"/>
      <c r="AM1573" s="94"/>
      <c r="AN1573" s="94"/>
      <c r="AO1573" s="94"/>
      <c r="AP1573" s="94"/>
      <c r="AQ1573" s="94"/>
      <c r="AR1573" s="94"/>
      <c r="AS1573" s="94"/>
      <c r="AT1573" s="94"/>
      <c r="AU1573" s="94"/>
      <c r="AV1573" s="94"/>
      <c r="AW1573" s="94"/>
      <c r="AX1573" s="94"/>
      <c r="AY1573" s="94"/>
      <c r="AZ1573" s="94"/>
      <c r="BA1573" s="94"/>
      <c r="BB1573" s="94"/>
      <c r="BC1573" s="94"/>
      <c r="BD1573" s="94"/>
      <c r="BE1573" s="94"/>
      <c r="BF1573" s="94"/>
    </row>
    <row r="1574" spans="1:58" x14ac:dyDescent="0.35">
      <c r="A1574" s="104" t="s">
        <v>3357</v>
      </c>
      <c r="B1574" s="105" t="s">
        <v>0</v>
      </c>
      <c r="C1574" s="106">
        <v>6</v>
      </c>
      <c r="D1574" s="104" t="s">
        <v>26</v>
      </c>
      <c r="E1574" s="106"/>
      <c r="F1574" s="94"/>
      <c r="G1574" s="94"/>
      <c r="H1574" s="94"/>
      <c r="I1574" s="94"/>
      <c r="J1574" s="94"/>
      <c r="K1574" s="94"/>
      <c r="L1574" s="94"/>
      <c r="M1574" s="94"/>
      <c r="N1574" s="94"/>
      <c r="O1574" s="94"/>
      <c r="P1574" s="94"/>
      <c r="Q1574" s="94"/>
      <c r="R1574" s="94"/>
      <c r="S1574" s="94"/>
      <c r="T1574" s="94"/>
      <c r="U1574" s="94"/>
      <c r="V1574" s="94"/>
      <c r="W1574" s="94"/>
      <c r="X1574" s="94"/>
      <c r="Y1574" s="94"/>
      <c r="Z1574" s="94"/>
      <c r="AA1574" s="94"/>
      <c r="AB1574" s="94"/>
      <c r="AC1574" s="94"/>
      <c r="AD1574" s="94"/>
      <c r="AE1574" s="94"/>
      <c r="AF1574" s="94"/>
      <c r="AG1574" s="94"/>
      <c r="AH1574" s="94"/>
      <c r="AI1574" s="94"/>
      <c r="AJ1574" s="94"/>
      <c r="AK1574" s="94"/>
      <c r="AL1574" s="94"/>
      <c r="AM1574" s="94"/>
      <c r="AN1574" s="94"/>
      <c r="AO1574" s="94"/>
      <c r="AP1574" s="94"/>
      <c r="AQ1574" s="94"/>
      <c r="AR1574" s="94"/>
      <c r="AS1574" s="94"/>
      <c r="AT1574" s="94"/>
      <c r="AU1574" s="94"/>
      <c r="AV1574" s="94"/>
      <c r="AW1574" s="94"/>
      <c r="AX1574" s="94"/>
      <c r="AY1574" s="94"/>
      <c r="AZ1574" s="94"/>
      <c r="BA1574" s="94"/>
      <c r="BB1574" s="94"/>
      <c r="BC1574" s="94"/>
      <c r="BD1574" s="94"/>
      <c r="BE1574" s="94"/>
      <c r="BF1574" s="94"/>
    </row>
    <row r="1575" spans="1:58" x14ac:dyDescent="0.35">
      <c r="A1575" s="107" t="s">
        <v>3358</v>
      </c>
      <c r="B1575" s="108" t="s">
        <v>0</v>
      </c>
      <c r="C1575" s="109">
        <v>7</v>
      </c>
      <c r="D1575" s="107" t="s">
        <v>1702</v>
      </c>
      <c r="E1575" s="109"/>
      <c r="F1575" s="94"/>
      <c r="G1575" s="94"/>
      <c r="H1575" s="94"/>
      <c r="I1575" s="94"/>
      <c r="J1575" s="94"/>
      <c r="K1575" s="94"/>
      <c r="L1575" s="94"/>
      <c r="M1575" s="94"/>
      <c r="N1575" s="94"/>
      <c r="O1575" s="94"/>
      <c r="P1575" s="94"/>
      <c r="Q1575" s="94"/>
      <c r="R1575" s="94"/>
      <c r="S1575" s="94"/>
      <c r="T1575" s="94"/>
      <c r="U1575" s="94"/>
      <c r="V1575" s="94"/>
      <c r="W1575" s="94"/>
      <c r="X1575" s="94"/>
      <c r="Y1575" s="94"/>
      <c r="Z1575" s="94"/>
      <c r="AA1575" s="94"/>
      <c r="AB1575" s="94"/>
      <c r="AC1575" s="94"/>
      <c r="AD1575" s="94"/>
      <c r="AE1575" s="94"/>
      <c r="AF1575" s="94"/>
      <c r="AG1575" s="94"/>
      <c r="AH1575" s="94"/>
      <c r="AI1575" s="94"/>
      <c r="AJ1575" s="94"/>
      <c r="AK1575" s="94"/>
      <c r="AL1575" s="94"/>
      <c r="AM1575" s="94"/>
      <c r="AN1575" s="94"/>
      <c r="AO1575" s="94"/>
      <c r="AP1575" s="94"/>
      <c r="AQ1575" s="94"/>
      <c r="AR1575" s="94"/>
      <c r="AS1575" s="94"/>
      <c r="AT1575" s="94"/>
      <c r="AU1575" s="94"/>
      <c r="AV1575" s="94"/>
      <c r="AW1575" s="94"/>
      <c r="AX1575" s="94"/>
      <c r="AY1575" s="94"/>
      <c r="AZ1575" s="94"/>
      <c r="BA1575" s="94"/>
      <c r="BB1575" s="94"/>
      <c r="BC1575" s="94"/>
      <c r="BD1575" s="94"/>
      <c r="BE1575" s="94"/>
      <c r="BF1575" s="94"/>
    </row>
    <row r="1576" spans="1:58" x14ac:dyDescent="0.35">
      <c r="A1576" s="107" t="s">
        <v>3359</v>
      </c>
      <c r="B1576" s="108" t="s">
        <v>0</v>
      </c>
      <c r="C1576" s="109">
        <v>7</v>
      </c>
      <c r="D1576" s="107" t="s">
        <v>1703</v>
      </c>
      <c r="E1576" s="109"/>
      <c r="F1576" s="94"/>
      <c r="G1576" s="94"/>
      <c r="H1576" s="94"/>
      <c r="I1576" s="94"/>
      <c r="J1576" s="94"/>
      <c r="K1576" s="94"/>
      <c r="L1576" s="94"/>
      <c r="M1576" s="94"/>
      <c r="N1576" s="94"/>
      <c r="O1576" s="94"/>
      <c r="P1576" s="94"/>
      <c r="Q1576" s="94"/>
      <c r="R1576" s="94"/>
      <c r="S1576" s="94"/>
      <c r="T1576" s="94"/>
      <c r="U1576" s="94"/>
      <c r="V1576" s="94"/>
      <c r="W1576" s="94"/>
      <c r="X1576" s="94"/>
      <c r="Y1576" s="94"/>
      <c r="Z1576" s="94"/>
      <c r="AA1576" s="94"/>
      <c r="AB1576" s="94"/>
      <c r="AC1576" s="94"/>
      <c r="AD1576" s="94"/>
      <c r="AE1576" s="94"/>
      <c r="AF1576" s="94"/>
      <c r="AG1576" s="94"/>
      <c r="AH1576" s="94"/>
      <c r="AI1576" s="94"/>
      <c r="AJ1576" s="94"/>
      <c r="AK1576" s="94"/>
      <c r="AL1576" s="94"/>
      <c r="AM1576" s="94"/>
      <c r="AN1576" s="94"/>
      <c r="AO1576" s="94"/>
      <c r="AP1576" s="94"/>
      <c r="AQ1576" s="94"/>
      <c r="AR1576" s="94"/>
      <c r="AS1576" s="94"/>
      <c r="AT1576" s="94"/>
      <c r="AU1576" s="94"/>
      <c r="AV1576" s="94"/>
      <c r="AW1576" s="94"/>
      <c r="AX1576" s="94"/>
      <c r="AY1576" s="94"/>
      <c r="AZ1576" s="94"/>
      <c r="BA1576" s="94"/>
      <c r="BB1576" s="94"/>
      <c r="BC1576" s="94"/>
      <c r="BD1576" s="94"/>
      <c r="BE1576" s="94"/>
      <c r="BF1576" s="94"/>
    </row>
    <row r="1577" spans="1:58" x14ac:dyDescent="0.35">
      <c r="A1577" s="104" t="s">
        <v>3771</v>
      </c>
      <c r="B1577" s="105" t="s">
        <v>0</v>
      </c>
      <c r="C1577" s="106">
        <v>6</v>
      </c>
      <c r="D1577" s="104" t="s">
        <v>3784</v>
      </c>
      <c r="E1577" s="106"/>
      <c r="F1577" s="94"/>
      <c r="G1577" s="94"/>
      <c r="H1577" s="94"/>
      <c r="I1577" s="94"/>
      <c r="J1577" s="94"/>
      <c r="K1577" s="94"/>
      <c r="L1577" s="94"/>
      <c r="M1577" s="94"/>
      <c r="N1577" s="94"/>
      <c r="O1577" s="94"/>
      <c r="P1577" s="94"/>
      <c r="Q1577" s="94"/>
      <c r="R1577" s="94"/>
      <c r="S1577" s="94"/>
      <c r="T1577" s="94"/>
      <c r="U1577" s="94"/>
      <c r="V1577" s="94"/>
      <c r="W1577" s="94"/>
      <c r="X1577" s="94"/>
      <c r="Y1577" s="94"/>
      <c r="Z1577" s="94"/>
      <c r="AA1577" s="94"/>
      <c r="AB1577" s="94"/>
      <c r="AC1577" s="94"/>
      <c r="AD1577" s="94"/>
      <c r="AE1577" s="94"/>
      <c r="AF1577" s="94"/>
      <c r="AG1577" s="94"/>
      <c r="AH1577" s="94"/>
      <c r="AI1577" s="94"/>
      <c r="AJ1577" s="94"/>
      <c r="AK1577" s="94"/>
      <c r="AL1577" s="94"/>
      <c r="AM1577" s="94"/>
      <c r="AN1577" s="94"/>
      <c r="AO1577" s="94"/>
      <c r="AP1577" s="94"/>
      <c r="AQ1577" s="94"/>
      <c r="AR1577" s="94"/>
      <c r="AS1577" s="94"/>
      <c r="AT1577" s="94"/>
      <c r="AU1577" s="94"/>
      <c r="AV1577" s="94"/>
      <c r="AW1577" s="94"/>
      <c r="AX1577" s="94"/>
      <c r="AY1577" s="94"/>
      <c r="AZ1577" s="94"/>
      <c r="BA1577" s="94"/>
      <c r="BB1577" s="94"/>
      <c r="BC1577" s="94"/>
      <c r="BD1577" s="94"/>
      <c r="BE1577" s="94"/>
      <c r="BF1577" s="94"/>
    </row>
    <row r="1578" spans="1:58" x14ac:dyDescent="0.35">
      <c r="A1578" s="107" t="s">
        <v>3360</v>
      </c>
      <c r="B1578" s="108" t="s">
        <v>0</v>
      </c>
      <c r="C1578" s="109">
        <v>7</v>
      </c>
      <c r="D1578" s="107" t="s">
        <v>1705</v>
      </c>
      <c r="E1578" s="109"/>
      <c r="F1578" s="94"/>
      <c r="G1578" s="94"/>
      <c r="H1578" s="94"/>
      <c r="I1578" s="94"/>
      <c r="J1578" s="94"/>
      <c r="K1578" s="94"/>
      <c r="L1578" s="94"/>
      <c r="M1578" s="94"/>
      <c r="N1578" s="94"/>
      <c r="O1578" s="94"/>
      <c r="P1578" s="94"/>
      <c r="Q1578" s="94"/>
      <c r="R1578" s="94"/>
      <c r="S1578" s="94"/>
      <c r="T1578" s="94"/>
      <c r="U1578" s="94"/>
      <c r="V1578" s="94"/>
      <c r="W1578" s="94"/>
      <c r="X1578" s="94"/>
      <c r="Y1578" s="94"/>
      <c r="Z1578" s="94"/>
      <c r="AA1578" s="94"/>
      <c r="AB1578" s="94"/>
      <c r="AC1578" s="94"/>
      <c r="AD1578" s="94"/>
      <c r="AE1578" s="94"/>
      <c r="AF1578" s="94"/>
      <c r="AG1578" s="94"/>
      <c r="AH1578" s="94"/>
      <c r="AI1578" s="94"/>
      <c r="AJ1578" s="94"/>
      <c r="AK1578" s="94"/>
      <c r="AL1578" s="94"/>
      <c r="AM1578" s="94"/>
      <c r="AN1578" s="94"/>
      <c r="AO1578" s="94"/>
      <c r="AP1578" s="94"/>
      <c r="AQ1578" s="94"/>
      <c r="AR1578" s="94"/>
      <c r="AS1578" s="94"/>
      <c r="AT1578" s="94"/>
      <c r="AU1578" s="94"/>
      <c r="AV1578" s="94"/>
      <c r="AW1578" s="94"/>
      <c r="AX1578" s="94"/>
      <c r="AY1578" s="94"/>
      <c r="AZ1578" s="94"/>
      <c r="BA1578" s="94"/>
      <c r="BB1578" s="94"/>
      <c r="BC1578" s="94"/>
      <c r="BD1578" s="94"/>
      <c r="BE1578" s="94"/>
      <c r="BF1578" s="94"/>
    </row>
    <row r="1579" spans="1:58" x14ac:dyDescent="0.35">
      <c r="A1579" s="107" t="s">
        <v>3361</v>
      </c>
      <c r="B1579" s="108" t="s">
        <v>0</v>
      </c>
      <c r="C1579" s="109">
        <v>7</v>
      </c>
      <c r="D1579" s="107" t="s">
        <v>1706</v>
      </c>
      <c r="E1579" s="109"/>
      <c r="F1579" s="94"/>
      <c r="G1579" s="94"/>
      <c r="H1579" s="94"/>
      <c r="I1579" s="94"/>
      <c r="J1579" s="94"/>
      <c r="K1579" s="94"/>
      <c r="L1579" s="94"/>
      <c r="M1579" s="94"/>
      <c r="N1579" s="94"/>
      <c r="O1579" s="94"/>
      <c r="P1579" s="94"/>
      <c r="Q1579" s="94"/>
      <c r="R1579" s="94"/>
      <c r="S1579" s="94"/>
      <c r="T1579" s="94"/>
      <c r="U1579" s="94"/>
      <c r="V1579" s="94"/>
      <c r="W1579" s="94"/>
      <c r="X1579" s="94"/>
      <c r="Y1579" s="94"/>
      <c r="Z1579" s="94"/>
      <c r="AA1579" s="94"/>
      <c r="AB1579" s="94"/>
      <c r="AC1579" s="94"/>
      <c r="AD1579" s="94"/>
      <c r="AE1579" s="94"/>
      <c r="AF1579" s="94"/>
      <c r="AG1579" s="94"/>
      <c r="AH1579" s="94"/>
      <c r="AI1579" s="94"/>
      <c r="AJ1579" s="94"/>
      <c r="AK1579" s="94"/>
      <c r="AL1579" s="94"/>
      <c r="AM1579" s="94"/>
      <c r="AN1579" s="94"/>
      <c r="AO1579" s="94"/>
      <c r="AP1579" s="94"/>
      <c r="AQ1579" s="94"/>
      <c r="AR1579" s="94"/>
      <c r="AS1579" s="94"/>
      <c r="AT1579" s="94"/>
      <c r="AU1579" s="94"/>
      <c r="AV1579" s="94"/>
      <c r="AW1579" s="94"/>
      <c r="AX1579" s="94"/>
      <c r="AY1579" s="94"/>
      <c r="AZ1579" s="94"/>
      <c r="BA1579" s="94"/>
      <c r="BB1579" s="94"/>
      <c r="BC1579" s="94"/>
      <c r="BD1579" s="94"/>
      <c r="BE1579" s="94"/>
      <c r="BF1579" s="94"/>
    </row>
    <row r="1580" spans="1:58" x14ac:dyDescent="0.35">
      <c r="A1580" s="104" t="s">
        <v>3362</v>
      </c>
      <c r="B1580" s="105" t="s">
        <v>0</v>
      </c>
      <c r="C1580" s="106">
        <v>6</v>
      </c>
      <c r="D1580" s="104" t="s">
        <v>30</v>
      </c>
      <c r="E1580" s="106"/>
      <c r="F1580" s="94"/>
      <c r="G1580" s="94"/>
      <c r="H1580" s="94"/>
      <c r="I1580" s="94"/>
      <c r="J1580" s="94"/>
      <c r="K1580" s="94"/>
      <c r="L1580" s="94"/>
      <c r="M1580" s="94"/>
      <c r="N1580" s="94"/>
      <c r="O1580" s="94"/>
      <c r="P1580" s="94"/>
      <c r="Q1580" s="94"/>
      <c r="R1580" s="94"/>
      <c r="S1580" s="94"/>
      <c r="T1580" s="94"/>
      <c r="U1580" s="94"/>
      <c r="V1580" s="94"/>
      <c r="W1580" s="94"/>
      <c r="X1580" s="94"/>
      <c r="Y1580" s="94"/>
      <c r="Z1580" s="94"/>
      <c r="AA1580" s="94"/>
      <c r="AB1580" s="94"/>
      <c r="AC1580" s="94"/>
      <c r="AD1580" s="94"/>
      <c r="AE1580" s="94"/>
      <c r="AF1580" s="94"/>
      <c r="AG1580" s="94"/>
      <c r="AH1580" s="94"/>
      <c r="AI1580" s="94"/>
      <c r="AJ1580" s="94"/>
      <c r="AK1580" s="94"/>
      <c r="AL1580" s="94"/>
      <c r="AM1580" s="94"/>
      <c r="AN1580" s="94"/>
      <c r="AO1580" s="94"/>
      <c r="AP1580" s="94"/>
      <c r="AQ1580" s="94"/>
      <c r="AR1580" s="94"/>
      <c r="AS1580" s="94"/>
      <c r="AT1580" s="94"/>
      <c r="AU1580" s="94"/>
      <c r="AV1580" s="94"/>
      <c r="AW1580" s="94"/>
      <c r="AX1580" s="94"/>
      <c r="AY1580" s="94"/>
      <c r="AZ1580" s="94"/>
      <c r="BA1580" s="94"/>
      <c r="BB1580" s="94"/>
      <c r="BC1580" s="94"/>
      <c r="BD1580" s="94"/>
      <c r="BE1580" s="94"/>
      <c r="BF1580" s="94"/>
    </row>
    <row r="1581" spans="1:58" x14ac:dyDescent="0.35">
      <c r="A1581" s="107" t="s">
        <v>3363</v>
      </c>
      <c r="B1581" s="108" t="s">
        <v>0</v>
      </c>
      <c r="C1581" s="109">
        <v>7</v>
      </c>
      <c r="D1581" s="107" t="s">
        <v>1683</v>
      </c>
      <c r="E1581" s="109"/>
      <c r="F1581" s="94"/>
      <c r="G1581" s="94"/>
      <c r="H1581" s="94"/>
      <c r="I1581" s="94"/>
      <c r="J1581" s="94"/>
      <c r="K1581" s="94"/>
      <c r="L1581" s="94"/>
      <c r="M1581" s="94"/>
      <c r="N1581" s="94"/>
      <c r="O1581" s="94"/>
      <c r="P1581" s="94"/>
      <c r="Q1581" s="94"/>
      <c r="R1581" s="94"/>
      <c r="S1581" s="94"/>
      <c r="T1581" s="94"/>
      <c r="U1581" s="94"/>
      <c r="V1581" s="94"/>
      <c r="W1581" s="94"/>
      <c r="X1581" s="94"/>
      <c r="Y1581" s="94"/>
      <c r="Z1581" s="94"/>
      <c r="AA1581" s="94"/>
      <c r="AB1581" s="94"/>
      <c r="AC1581" s="94"/>
      <c r="AD1581" s="94"/>
      <c r="AE1581" s="94"/>
      <c r="AF1581" s="94"/>
      <c r="AG1581" s="94"/>
      <c r="AH1581" s="94"/>
      <c r="AI1581" s="94"/>
      <c r="AJ1581" s="94"/>
      <c r="AK1581" s="94"/>
      <c r="AL1581" s="94"/>
      <c r="AM1581" s="94"/>
      <c r="AN1581" s="94"/>
      <c r="AO1581" s="94"/>
      <c r="AP1581" s="94"/>
      <c r="AQ1581" s="94"/>
      <c r="AR1581" s="94"/>
      <c r="AS1581" s="94"/>
      <c r="AT1581" s="94"/>
      <c r="AU1581" s="94"/>
      <c r="AV1581" s="94"/>
      <c r="AW1581" s="94"/>
      <c r="AX1581" s="94"/>
      <c r="AY1581" s="94"/>
      <c r="AZ1581" s="94"/>
      <c r="BA1581" s="94"/>
      <c r="BB1581" s="94"/>
      <c r="BC1581" s="94"/>
      <c r="BD1581" s="94"/>
      <c r="BE1581" s="94"/>
      <c r="BF1581" s="94"/>
    </row>
    <row r="1582" spans="1:58" x14ac:dyDescent="0.35">
      <c r="A1582" s="107" t="s">
        <v>3364</v>
      </c>
      <c r="B1582" s="108" t="s">
        <v>0</v>
      </c>
      <c r="C1582" s="109">
        <v>7</v>
      </c>
      <c r="D1582" s="107" t="s">
        <v>1684</v>
      </c>
      <c r="E1582" s="109"/>
      <c r="F1582" s="94"/>
      <c r="G1582" s="94"/>
      <c r="H1582" s="94"/>
      <c r="I1582" s="94"/>
      <c r="J1582" s="94"/>
      <c r="K1582" s="94"/>
      <c r="L1582" s="94"/>
      <c r="M1582" s="94"/>
      <c r="N1582" s="94"/>
      <c r="O1582" s="94"/>
      <c r="P1582" s="94"/>
      <c r="Q1582" s="94"/>
      <c r="R1582" s="94"/>
      <c r="S1582" s="94"/>
      <c r="T1582" s="94"/>
      <c r="U1582" s="94"/>
      <c r="V1582" s="94"/>
      <c r="W1582" s="94"/>
      <c r="X1582" s="94"/>
      <c r="Y1582" s="94"/>
      <c r="Z1582" s="94"/>
      <c r="AA1582" s="94"/>
      <c r="AB1582" s="94"/>
      <c r="AC1582" s="94"/>
      <c r="AD1582" s="94"/>
      <c r="AE1582" s="94"/>
      <c r="AF1582" s="94"/>
      <c r="AG1582" s="94"/>
      <c r="AH1582" s="94"/>
      <c r="AI1582" s="94"/>
      <c r="AJ1582" s="94"/>
      <c r="AK1582" s="94"/>
      <c r="AL1582" s="94"/>
      <c r="AM1582" s="94"/>
      <c r="AN1582" s="94"/>
      <c r="AO1582" s="94"/>
      <c r="AP1582" s="94"/>
      <c r="AQ1582" s="94"/>
      <c r="AR1582" s="94"/>
      <c r="AS1582" s="94"/>
      <c r="AT1582" s="94"/>
      <c r="AU1582" s="94"/>
      <c r="AV1582" s="94"/>
      <c r="AW1582" s="94"/>
      <c r="AX1582" s="94"/>
      <c r="AY1582" s="94"/>
      <c r="AZ1582" s="94"/>
      <c r="BA1582" s="94"/>
      <c r="BB1582" s="94"/>
      <c r="BC1582" s="94"/>
      <c r="BD1582" s="94"/>
      <c r="BE1582" s="94"/>
      <c r="BF1582" s="94"/>
    </row>
    <row r="1583" spans="1:58" x14ac:dyDescent="0.35">
      <c r="A1583" s="107" t="s">
        <v>3365</v>
      </c>
      <c r="B1583" s="108" t="s">
        <v>0</v>
      </c>
      <c r="C1583" s="109">
        <v>7</v>
      </c>
      <c r="D1583" s="107" t="s">
        <v>1685</v>
      </c>
      <c r="E1583" s="109"/>
      <c r="F1583" s="94"/>
      <c r="G1583" s="94"/>
      <c r="H1583" s="94"/>
      <c r="I1583" s="94"/>
      <c r="J1583" s="94"/>
      <c r="K1583" s="94"/>
      <c r="L1583" s="94"/>
      <c r="M1583" s="94"/>
      <c r="N1583" s="94"/>
      <c r="O1583" s="94"/>
      <c r="P1583" s="94"/>
      <c r="Q1583" s="94"/>
      <c r="R1583" s="94"/>
      <c r="S1583" s="94"/>
      <c r="T1583" s="94"/>
      <c r="U1583" s="94"/>
      <c r="V1583" s="94"/>
      <c r="W1583" s="94"/>
      <c r="X1583" s="94"/>
      <c r="Y1583" s="94"/>
      <c r="Z1583" s="94"/>
      <c r="AA1583" s="94"/>
      <c r="AB1583" s="94"/>
      <c r="AC1583" s="94"/>
      <c r="AD1583" s="94"/>
      <c r="AE1583" s="94"/>
      <c r="AF1583" s="94"/>
      <c r="AG1583" s="94"/>
      <c r="AH1583" s="94"/>
      <c r="AI1583" s="94"/>
      <c r="AJ1583" s="94"/>
      <c r="AK1583" s="94"/>
      <c r="AL1583" s="94"/>
      <c r="AM1583" s="94"/>
      <c r="AN1583" s="94"/>
      <c r="AO1583" s="94"/>
      <c r="AP1583" s="94"/>
      <c r="AQ1583" s="94"/>
      <c r="AR1583" s="94"/>
      <c r="AS1583" s="94"/>
      <c r="AT1583" s="94"/>
      <c r="AU1583" s="94"/>
      <c r="AV1583" s="94"/>
      <c r="AW1583" s="94"/>
      <c r="AX1583" s="94"/>
      <c r="AY1583" s="94"/>
      <c r="AZ1583" s="94"/>
      <c r="BA1583" s="94"/>
      <c r="BB1583" s="94"/>
      <c r="BC1583" s="94"/>
      <c r="BD1583" s="94"/>
      <c r="BE1583" s="94"/>
      <c r="BF1583" s="94"/>
    </row>
    <row r="1584" spans="1:58" x14ac:dyDescent="0.35">
      <c r="A1584" s="107" t="s">
        <v>3366</v>
      </c>
      <c r="B1584" s="108" t="s">
        <v>0</v>
      </c>
      <c r="C1584" s="109">
        <v>7</v>
      </c>
      <c r="D1584" s="107" t="s">
        <v>1686</v>
      </c>
      <c r="E1584" s="109"/>
      <c r="F1584" s="94"/>
      <c r="G1584" s="94"/>
      <c r="H1584" s="94"/>
      <c r="I1584" s="94"/>
      <c r="J1584" s="94"/>
      <c r="K1584" s="94"/>
      <c r="L1584" s="94"/>
      <c r="M1584" s="94"/>
      <c r="N1584" s="94"/>
      <c r="O1584" s="94"/>
      <c r="P1584" s="94"/>
      <c r="Q1584" s="94"/>
      <c r="R1584" s="94"/>
      <c r="S1584" s="94"/>
      <c r="T1584" s="94"/>
      <c r="U1584" s="94"/>
      <c r="V1584" s="94"/>
      <c r="W1584" s="94"/>
      <c r="X1584" s="94"/>
      <c r="Y1584" s="94"/>
      <c r="Z1584" s="94"/>
      <c r="AA1584" s="94"/>
      <c r="AB1584" s="94"/>
      <c r="AC1584" s="94"/>
      <c r="AD1584" s="94"/>
      <c r="AE1584" s="94"/>
      <c r="AF1584" s="94"/>
      <c r="AG1584" s="94"/>
      <c r="AH1584" s="94"/>
      <c r="AI1584" s="94"/>
      <c r="AJ1584" s="94"/>
      <c r="AK1584" s="94"/>
      <c r="AL1584" s="94"/>
      <c r="AM1584" s="94"/>
      <c r="AN1584" s="94"/>
      <c r="AO1584" s="94"/>
      <c r="AP1584" s="94"/>
      <c r="AQ1584" s="94"/>
      <c r="AR1584" s="94"/>
      <c r="AS1584" s="94"/>
      <c r="AT1584" s="94"/>
      <c r="AU1584" s="94"/>
      <c r="AV1584" s="94"/>
      <c r="AW1584" s="94"/>
      <c r="AX1584" s="94"/>
      <c r="AY1584" s="94"/>
      <c r="AZ1584" s="94"/>
      <c r="BA1584" s="94"/>
      <c r="BB1584" s="94"/>
      <c r="BC1584" s="94"/>
      <c r="BD1584" s="94"/>
      <c r="BE1584" s="94"/>
      <c r="BF1584" s="94"/>
    </row>
    <row r="1585" spans="1:58" x14ac:dyDescent="0.35">
      <c r="A1585" s="107" t="s">
        <v>3367</v>
      </c>
      <c r="B1585" s="108" t="s">
        <v>0</v>
      </c>
      <c r="C1585" s="109">
        <v>7</v>
      </c>
      <c r="D1585" s="107" t="s">
        <v>1687</v>
      </c>
      <c r="E1585" s="109"/>
      <c r="F1585" s="94"/>
      <c r="G1585" s="94"/>
      <c r="H1585" s="94"/>
      <c r="I1585" s="94"/>
      <c r="J1585" s="94"/>
      <c r="K1585" s="94"/>
      <c r="L1585" s="94"/>
      <c r="M1585" s="94"/>
      <c r="N1585" s="94"/>
      <c r="O1585" s="94"/>
      <c r="P1585" s="94"/>
      <c r="Q1585" s="94"/>
      <c r="R1585" s="94"/>
      <c r="S1585" s="94"/>
      <c r="T1585" s="94"/>
      <c r="U1585" s="94"/>
      <c r="V1585" s="94"/>
      <c r="W1585" s="94"/>
      <c r="X1585" s="94"/>
      <c r="Y1585" s="94"/>
      <c r="Z1585" s="94"/>
      <c r="AA1585" s="94"/>
      <c r="AB1585" s="94"/>
      <c r="AC1585" s="94"/>
      <c r="AD1585" s="94"/>
      <c r="AE1585" s="94"/>
      <c r="AF1585" s="94"/>
      <c r="AG1585" s="94"/>
      <c r="AH1585" s="94"/>
      <c r="AI1585" s="94"/>
      <c r="AJ1585" s="94"/>
      <c r="AK1585" s="94"/>
      <c r="AL1585" s="94"/>
      <c r="AM1585" s="94"/>
      <c r="AN1585" s="94"/>
      <c r="AO1585" s="94"/>
      <c r="AP1585" s="94"/>
      <c r="AQ1585" s="94"/>
      <c r="AR1585" s="94"/>
      <c r="AS1585" s="94"/>
      <c r="AT1585" s="94"/>
      <c r="AU1585" s="94"/>
      <c r="AV1585" s="94"/>
      <c r="AW1585" s="94"/>
      <c r="AX1585" s="94"/>
      <c r="AY1585" s="94"/>
      <c r="AZ1585" s="94"/>
      <c r="BA1585" s="94"/>
      <c r="BB1585" s="94"/>
      <c r="BC1585" s="94"/>
      <c r="BD1585" s="94"/>
      <c r="BE1585" s="94"/>
      <c r="BF1585" s="94"/>
    </row>
    <row r="1586" spans="1:58" x14ac:dyDescent="0.35">
      <c r="A1586" s="107" t="s">
        <v>3368</v>
      </c>
      <c r="B1586" s="108" t="s">
        <v>0</v>
      </c>
      <c r="C1586" s="109">
        <v>7</v>
      </c>
      <c r="D1586" s="107" t="s">
        <v>1688</v>
      </c>
      <c r="E1586" s="109"/>
      <c r="F1586" s="94"/>
      <c r="G1586" s="94"/>
      <c r="H1586" s="94"/>
      <c r="I1586" s="94"/>
      <c r="J1586" s="94"/>
      <c r="K1586" s="94"/>
      <c r="L1586" s="94"/>
      <c r="M1586" s="94"/>
      <c r="N1586" s="94"/>
      <c r="O1586" s="94"/>
      <c r="P1586" s="94"/>
      <c r="Q1586" s="94"/>
      <c r="R1586" s="94"/>
      <c r="S1586" s="94"/>
      <c r="T1586" s="94"/>
      <c r="U1586" s="94"/>
      <c r="V1586" s="94"/>
      <c r="W1586" s="94"/>
      <c r="X1586" s="94"/>
      <c r="Y1586" s="94"/>
      <c r="Z1586" s="94"/>
      <c r="AA1586" s="94"/>
      <c r="AB1586" s="94"/>
      <c r="AC1586" s="94"/>
      <c r="AD1586" s="94"/>
      <c r="AE1586" s="94"/>
      <c r="AF1586" s="94"/>
      <c r="AG1586" s="94"/>
      <c r="AH1586" s="94"/>
      <c r="AI1586" s="94"/>
      <c r="AJ1586" s="94"/>
      <c r="AK1586" s="94"/>
      <c r="AL1586" s="94"/>
      <c r="AM1586" s="94"/>
      <c r="AN1586" s="94"/>
      <c r="AO1586" s="94"/>
      <c r="AP1586" s="94"/>
      <c r="AQ1586" s="94"/>
      <c r="AR1586" s="94"/>
      <c r="AS1586" s="94"/>
      <c r="AT1586" s="94"/>
      <c r="AU1586" s="94"/>
      <c r="AV1586" s="94"/>
      <c r="AW1586" s="94"/>
      <c r="AX1586" s="94"/>
      <c r="AY1586" s="94"/>
      <c r="AZ1586" s="94"/>
      <c r="BA1586" s="94"/>
      <c r="BB1586" s="94"/>
      <c r="BC1586" s="94"/>
      <c r="BD1586" s="94"/>
      <c r="BE1586" s="94"/>
      <c r="BF1586" s="94"/>
    </row>
    <row r="1587" spans="1:58" x14ac:dyDescent="0.35">
      <c r="A1587" s="107" t="s">
        <v>3369</v>
      </c>
      <c r="B1587" s="108" t="s">
        <v>0</v>
      </c>
      <c r="C1587" s="109">
        <v>7</v>
      </c>
      <c r="D1587" s="107" t="s">
        <v>1689</v>
      </c>
      <c r="E1587" s="109"/>
      <c r="F1587" s="94"/>
      <c r="G1587" s="94"/>
      <c r="H1587" s="94"/>
      <c r="I1587" s="94"/>
      <c r="J1587" s="94"/>
      <c r="K1587" s="94"/>
      <c r="L1587" s="94"/>
      <c r="M1587" s="94"/>
      <c r="N1587" s="94"/>
      <c r="O1587" s="94"/>
      <c r="P1587" s="94"/>
      <c r="Q1587" s="94"/>
      <c r="R1587" s="94"/>
      <c r="S1587" s="94"/>
      <c r="T1587" s="94"/>
      <c r="U1587" s="94"/>
      <c r="V1587" s="94"/>
      <c r="W1587" s="94"/>
      <c r="X1587" s="94"/>
      <c r="Y1587" s="94"/>
      <c r="Z1587" s="94"/>
      <c r="AA1587" s="94"/>
      <c r="AB1587" s="94"/>
      <c r="AC1587" s="94"/>
      <c r="AD1587" s="94"/>
      <c r="AE1587" s="94"/>
      <c r="AF1587" s="94"/>
      <c r="AG1587" s="94"/>
      <c r="AH1587" s="94"/>
      <c r="AI1587" s="94"/>
      <c r="AJ1587" s="94"/>
      <c r="AK1587" s="94"/>
      <c r="AL1587" s="94"/>
      <c r="AM1587" s="94"/>
      <c r="AN1587" s="94"/>
      <c r="AO1587" s="94"/>
      <c r="AP1587" s="94"/>
      <c r="AQ1587" s="94"/>
      <c r="AR1587" s="94"/>
      <c r="AS1587" s="94"/>
      <c r="AT1587" s="94"/>
      <c r="AU1587" s="94"/>
      <c r="AV1587" s="94"/>
      <c r="AW1587" s="94"/>
      <c r="AX1587" s="94"/>
      <c r="AY1587" s="94"/>
      <c r="AZ1587" s="94"/>
      <c r="BA1587" s="94"/>
      <c r="BB1587" s="94"/>
      <c r="BC1587" s="94"/>
      <c r="BD1587" s="94"/>
      <c r="BE1587" s="94"/>
      <c r="BF1587" s="94"/>
    </row>
    <row r="1588" spans="1:58" x14ac:dyDescent="0.35">
      <c r="A1588" s="107" t="s">
        <v>3370</v>
      </c>
      <c r="B1588" s="108" t="s">
        <v>0</v>
      </c>
      <c r="C1588" s="109">
        <v>7</v>
      </c>
      <c r="D1588" s="107" t="s">
        <v>1690</v>
      </c>
      <c r="E1588" s="109"/>
      <c r="F1588" s="94"/>
      <c r="G1588" s="94"/>
      <c r="H1588" s="94"/>
      <c r="I1588" s="94"/>
      <c r="J1588" s="94"/>
      <c r="K1588" s="94"/>
      <c r="L1588" s="94"/>
      <c r="M1588" s="94"/>
      <c r="N1588" s="94"/>
      <c r="O1588" s="94"/>
      <c r="P1588" s="94"/>
      <c r="Q1588" s="94"/>
      <c r="R1588" s="94"/>
      <c r="S1588" s="94"/>
      <c r="T1588" s="94"/>
      <c r="U1588" s="94"/>
      <c r="V1588" s="94"/>
      <c r="W1588" s="94"/>
      <c r="X1588" s="94"/>
      <c r="Y1588" s="94"/>
      <c r="Z1588" s="94"/>
      <c r="AA1588" s="94"/>
      <c r="AB1588" s="94"/>
      <c r="AC1588" s="94"/>
      <c r="AD1588" s="94"/>
      <c r="AE1588" s="94"/>
      <c r="AF1588" s="94"/>
      <c r="AG1588" s="94"/>
      <c r="AH1588" s="94"/>
      <c r="AI1588" s="94"/>
      <c r="AJ1588" s="94"/>
      <c r="AK1588" s="94"/>
      <c r="AL1588" s="94"/>
      <c r="AM1588" s="94"/>
      <c r="AN1588" s="94"/>
      <c r="AO1588" s="94"/>
      <c r="AP1588" s="94"/>
      <c r="AQ1588" s="94"/>
      <c r="AR1588" s="94"/>
      <c r="AS1588" s="94"/>
      <c r="AT1588" s="94"/>
      <c r="AU1588" s="94"/>
      <c r="AV1588" s="94"/>
      <c r="AW1588" s="94"/>
      <c r="AX1588" s="94"/>
      <c r="AY1588" s="94"/>
      <c r="AZ1588" s="94"/>
      <c r="BA1588" s="94"/>
      <c r="BB1588" s="94"/>
      <c r="BC1588" s="94"/>
      <c r="BD1588" s="94"/>
      <c r="BE1588" s="94"/>
      <c r="BF1588" s="94"/>
    </row>
    <row r="1589" spans="1:58" x14ac:dyDescent="0.35">
      <c r="A1589" s="107" t="s">
        <v>3371</v>
      </c>
      <c r="B1589" s="108" t="s">
        <v>0</v>
      </c>
      <c r="C1589" s="109">
        <v>7</v>
      </c>
      <c r="D1589" s="107" t="s">
        <v>1776</v>
      </c>
      <c r="E1589" s="109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  <c r="AG1589" s="94"/>
      <c r="AH1589" s="94"/>
      <c r="AI1589" s="94"/>
      <c r="AJ1589" s="94"/>
      <c r="AK1589" s="94"/>
      <c r="AL1589" s="94"/>
      <c r="AM1589" s="94"/>
      <c r="AN1589" s="94"/>
      <c r="AO1589" s="94"/>
      <c r="AP1589" s="94"/>
      <c r="AQ1589" s="94"/>
      <c r="AR1589" s="94"/>
      <c r="AS1589" s="94"/>
      <c r="AT1589" s="94"/>
      <c r="AU1589" s="94"/>
      <c r="AV1589" s="94"/>
      <c r="AW1589" s="94"/>
      <c r="AX1589" s="94"/>
      <c r="AY1589" s="94"/>
      <c r="AZ1589" s="94"/>
      <c r="BA1589" s="94"/>
      <c r="BB1589" s="94"/>
      <c r="BC1589" s="94"/>
      <c r="BD1589" s="94"/>
      <c r="BE1589" s="94"/>
      <c r="BF1589" s="94"/>
    </row>
    <row r="1590" spans="1:58" x14ac:dyDescent="0.35">
      <c r="A1590" s="107" t="s">
        <v>3372</v>
      </c>
      <c r="B1590" s="108" t="s">
        <v>0</v>
      </c>
      <c r="C1590" s="109">
        <v>7</v>
      </c>
      <c r="D1590" s="107" t="s">
        <v>1777</v>
      </c>
      <c r="E1590" s="109"/>
      <c r="F1590" s="94"/>
      <c r="G1590" s="94"/>
      <c r="H1590" s="94"/>
      <c r="I1590" s="94"/>
      <c r="J1590" s="94"/>
      <c r="K1590" s="94"/>
      <c r="L1590" s="94"/>
      <c r="M1590" s="94"/>
      <c r="N1590" s="94"/>
      <c r="O1590" s="94"/>
      <c r="P1590" s="94"/>
      <c r="Q1590" s="94"/>
      <c r="R1590" s="94"/>
      <c r="S1590" s="94"/>
      <c r="T1590" s="94"/>
      <c r="U1590" s="94"/>
      <c r="V1590" s="94"/>
      <c r="W1590" s="94"/>
      <c r="X1590" s="94"/>
      <c r="Y1590" s="94"/>
      <c r="Z1590" s="94"/>
      <c r="AA1590" s="94"/>
      <c r="AB1590" s="94"/>
      <c r="AC1590" s="94"/>
      <c r="AD1590" s="94"/>
      <c r="AE1590" s="94"/>
      <c r="AF1590" s="94"/>
      <c r="AG1590" s="94"/>
      <c r="AH1590" s="94"/>
      <c r="AI1590" s="94"/>
      <c r="AJ1590" s="94"/>
      <c r="AK1590" s="94"/>
      <c r="AL1590" s="94"/>
      <c r="AM1590" s="94"/>
      <c r="AN1590" s="94"/>
      <c r="AO1590" s="94"/>
      <c r="AP1590" s="94"/>
      <c r="AQ1590" s="94"/>
      <c r="AR1590" s="94"/>
      <c r="AS1590" s="94"/>
      <c r="AT1590" s="94"/>
      <c r="AU1590" s="94"/>
      <c r="AV1590" s="94"/>
      <c r="AW1590" s="94"/>
      <c r="AX1590" s="94"/>
      <c r="AY1590" s="94"/>
      <c r="AZ1590" s="94"/>
      <c r="BA1590" s="94"/>
      <c r="BB1590" s="94"/>
      <c r="BC1590" s="94"/>
      <c r="BD1590" s="94"/>
      <c r="BE1590" s="94"/>
      <c r="BF1590" s="94"/>
    </row>
    <row r="1591" spans="1:58" x14ac:dyDescent="0.35">
      <c r="A1591" s="107" t="s">
        <v>3373</v>
      </c>
      <c r="B1591" s="108" t="s">
        <v>0</v>
      </c>
      <c r="C1591" s="109">
        <v>7</v>
      </c>
      <c r="D1591" s="107" t="s">
        <v>1780</v>
      </c>
      <c r="E1591" s="109"/>
      <c r="F1591" s="94"/>
      <c r="G1591" s="94"/>
      <c r="H1591" s="94"/>
      <c r="I1591" s="94"/>
      <c r="J1591" s="94"/>
      <c r="K1591" s="94"/>
      <c r="L1591" s="94"/>
      <c r="M1591" s="94"/>
      <c r="N1591" s="94"/>
      <c r="O1591" s="94"/>
      <c r="P1591" s="94"/>
      <c r="Q1591" s="94"/>
      <c r="R1591" s="94"/>
      <c r="S1591" s="94"/>
      <c r="T1591" s="94"/>
      <c r="U1591" s="94"/>
      <c r="V1591" s="94"/>
      <c r="W1591" s="94"/>
      <c r="X1591" s="94"/>
      <c r="Y1591" s="94"/>
      <c r="Z1591" s="94"/>
      <c r="AA1591" s="94"/>
      <c r="AB1591" s="94"/>
      <c r="AC1591" s="94"/>
      <c r="AD1591" s="94"/>
      <c r="AE1591" s="94"/>
      <c r="AF1591" s="94"/>
      <c r="AG1591" s="94"/>
      <c r="AH1591" s="94"/>
      <c r="AI1591" s="94"/>
      <c r="AJ1591" s="94"/>
      <c r="AK1591" s="94"/>
      <c r="AL1591" s="94"/>
      <c r="AM1591" s="94"/>
      <c r="AN1591" s="94"/>
      <c r="AO1591" s="94"/>
      <c r="AP1591" s="94"/>
      <c r="AQ1591" s="94"/>
      <c r="AR1591" s="94"/>
      <c r="AS1591" s="94"/>
      <c r="AT1591" s="94"/>
      <c r="AU1591" s="94"/>
      <c r="AV1591" s="94"/>
      <c r="AW1591" s="94"/>
      <c r="AX1591" s="94"/>
      <c r="AY1591" s="94"/>
      <c r="AZ1591" s="94"/>
      <c r="BA1591" s="94"/>
      <c r="BB1591" s="94"/>
      <c r="BC1591" s="94"/>
      <c r="BD1591" s="94"/>
      <c r="BE1591" s="94"/>
      <c r="BF1591" s="94"/>
    </row>
    <row r="1592" spans="1:58" x14ac:dyDescent="0.35">
      <c r="A1592" s="107" t="s">
        <v>3374</v>
      </c>
      <c r="B1592" s="108" t="s">
        <v>0</v>
      </c>
      <c r="C1592" s="109">
        <v>7</v>
      </c>
      <c r="D1592" s="107" t="s">
        <v>1691</v>
      </c>
      <c r="E1592" s="109"/>
      <c r="F1592" s="94"/>
      <c r="G1592" s="94"/>
      <c r="H1592" s="94"/>
      <c r="I1592" s="94"/>
      <c r="J1592" s="94"/>
      <c r="K1592" s="94"/>
      <c r="L1592" s="94"/>
      <c r="M1592" s="94"/>
      <c r="N1592" s="94"/>
      <c r="O1592" s="94"/>
      <c r="P1592" s="94"/>
      <c r="Q1592" s="94"/>
      <c r="R1592" s="94"/>
      <c r="S1592" s="94"/>
      <c r="T1592" s="94"/>
      <c r="U1592" s="94"/>
      <c r="V1592" s="94"/>
      <c r="W1592" s="94"/>
      <c r="X1592" s="94"/>
      <c r="Y1592" s="94"/>
      <c r="Z1592" s="94"/>
      <c r="AA1592" s="94"/>
      <c r="AB1592" s="94"/>
      <c r="AC1592" s="94"/>
      <c r="AD1592" s="94"/>
      <c r="AE1592" s="94"/>
      <c r="AF1592" s="94"/>
      <c r="AG1592" s="94"/>
      <c r="AH1592" s="94"/>
      <c r="AI1592" s="94"/>
      <c r="AJ1592" s="94"/>
      <c r="AK1592" s="94"/>
      <c r="AL1592" s="94"/>
      <c r="AM1592" s="94"/>
      <c r="AN1592" s="94"/>
      <c r="AO1592" s="94"/>
      <c r="AP1592" s="94"/>
      <c r="AQ1592" s="94"/>
      <c r="AR1592" s="94"/>
      <c r="AS1592" s="94"/>
      <c r="AT1592" s="94"/>
      <c r="AU1592" s="94"/>
      <c r="AV1592" s="94"/>
      <c r="AW1592" s="94"/>
      <c r="AX1592" s="94"/>
      <c r="AY1592" s="94"/>
      <c r="AZ1592" s="94"/>
      <c r="BA1592" s="94"/>
      <c r="BB1592" s="94"/>
      <c r="BC1592" s="94"/>
      <c r="BD1592" s="94"/>
      <c r="BE1592" s="94"/>
      <c r="BF1592" s="94"/>
    </row>
    <row r="1593" spans="1:58" x14ac:dyDescent="0.35">
      <c r="A1593" s="107" t="s">
        <v>3375</v>
      </c>
      <c r="B1593" s="108" t="s">
        <v>0</v>
      </c>
      <c r="C1593" s="109">
        <v>7</v>
      </c>
      <c r="D1593" s="107" t="s">
        <v>1692</v>
      </c>
      <c r="E1593" s="109"/>
      <c r="F1593" s="94"/>
      <c r="G1593" s="94"/>
      <c r="H1593" s="94"/>
      <c r="I1593" s="94"/>
      <c r="J1593" s="94"/>
      <c r="K1593" s="94"/>
      <c r="L1593" s="94"/>
      <c r="M1593" s="94"/>
      <c r="N1593" s="94"/>
      <c r="O1593" s="94"/>
      <c r="P1593" s="94"/>
      <c r="Q1593" s="94"/>
      <c r="R1593" s="94"/>
      <c r="S1593" s="94"/>
      <c r="T1593" s="94"/>
      <c r="U1593" s="94"/>
      <c r="V1593" s="94"/>
      <c r="W1593" s="94"/>
      <c r="X1593" s="94"/>
      <c r="Y1593" s="94"/>
      <c r="Z1593" s="94"/>
      <c r="AA1593" s="94"/>
      <c r="AB1593" s="94"/>
      <c r="AC1593" s="94"/>
      <c r="AD1593" s="94"/>
      <c r="AE1593" s="94"/>
      <c r="AF1593" s="94"/>
      <c r="AG1593" s="94"/>
      <c r="AH1593" s="94"/>
      <c r="AI1593" s="94"/>
      <c r="AJ1593" s="94"/>
      <c r="AK1593" s="94"/>
      <c r="AL1593" s="94"/>
      <c r="AM1593" s="94"/>
      <c r="AN1593" s="94"/>
      <c r="AO1593" s="94"/>
      <c r="AP1593" s="94"/>
      <c r="AQ1593" s="94"/>
      <c r="AR1593" s="94"/>
      <c r="AS1593" s="94"/>
      <c r="AT1593" s="94"/>
      <c r="AU1593" s="94"/>
      <c r="AV1593" s="94"/>
      <c r="AW1593" s="94"/>
      <c r="AX1593" s="94"/>
      <c r="AY1593" s="94"/>
      <c r="AZ1593" s="94"/>
      <c r="BA1593" s="94"/>
      <c r="BB1593" s="94"/>
      <c r="BC1593" s="94"/>
      <c r="BD1593" s="94"/>
      <c r="BE1593" s="94"/>
      <c r="BF1593" s="94"/>
    </row>
    <row r="1594" spans="1:58" x14ac:dyDescent="0.35">
      <c r="A1594" s="107" t="s">
        <v>3376</v>
      </c>
      <c r="B1594" s="108" t="s">
        <v>0</v>
      </c>
      <c r="C1594" s="109">
        <v>7</v>
      </c>
      <c r="D1594" s="107" t="s">
        <v>1693</v>
      </c>
      <c r="E1594" s="109"/>
      <c r="F1594" s="94"/>
      <c r="G1594" s="94"/>
      <c r="H1594" s="94"/>
      <c r="I1594" s="94"/>
      <c r="J1594" s="94"/>
      <c r="K1594" s="94"/>
      <c r="L1594" s="94"/>
      <c r="M1594" s="94"/>
      <c r="N1594" s="94"/>
      <c r="O1594" s="94"/>
      <c r="P1594" s="94"/>
      <c r="Q1594" s="94"/>
      <c r="R1594" s="94"/>
      <c r="S1594" s="94"/>
      <c r="T1594" s="94"/>
      <c r="U1594" s="94"/>
      <c r="V1594" s="94"/>
      <c r="W1594" s="94"/>
      <c r="X1594" s="94"/>
      <c r="Y1594" s="94"/>
      <c r="Z1594" s="94"/>
      <c r="AA1594" s="94"/>
      <c r="AB1594" s="94"/>
      <c r="AC1594" s="94"/>
      <c r="AD1594" s="94"/>
      <c r="AE1594" s="94"/>
      <c r="AF1594" s="94"/>
      <c r="AG1594" s="94"/>
      <c r="AH1594" s="94"/>
      <c r="AI1594" s="94"/>
      <c r="AJ1594" s="94"/>
      <c r="AK1594" s="94"/>
      <c r="AL1594" s="94"/>
      <c r="AM1594" s="94"/>
      <c r="AN1594" s="94"/>
      <c r="AO1594" s="94"/>
      <c r="AP1594" s="94"/>
      <c r="AQ1594" s="94"/>
      <c r="AR1594" s="94"/>
      <c r="AS1594" s="94"/>
      <c r="AT1594" s="94"/>
      <c r="AU1594" s="94"/>
      <c r="AV1594" s="94"/>
      <c r="AW1594" s="94"/>
      <c r="AX1594" s="94"/>
      <c r="AY1594" s="94"/>
      <c r="AZ1594" s="94"/>
      <c r="BA1594" s="94"/>
      <c r="BB1594" s="94"/>
      <c r="BC1594" s="94"/>
      <c r="BD1594" s="94"/>
      <c r="BE1594" s="94"/>
      <c r="BF1594" s="94"/>
    </row>
    <row r="1595" spans="1:58" x14ac:dyDescent="0.35">
      <c r="A1595" s="107" t="s">
        <v>3377</v>
      </c>
      <c r="B1595" s="108" t="s">
        <v>0</v>
      </c>
      <c r="C1595" s="109">
        <v>7</v>
      </c>
      <c r="D1595" s="107" t="s">
        <v>1695</v>
      </c>
      <c r="E1595" s="109"/>
      <c r="F1595" s="94"/>
      <c r="G1595" s="94"/>
      <c r="H1595" s="94"/>
      <c r="I1595" s="94"/>
      <c r="J1595" s="94"/>
      <c r="K1595" s="94"/>
      <c r="L1595" s="94"/>
      <c r="M1595" s="94"/>
      <c r="N1595" s="94"/>
      <c r="O1595" s="94"/>
      <c r="P1595" s="94"/>
      <c r="Q1595" s="94"/>
      <c r="R1595" s="94"/>
      <c r="S1595" s="94"/>
      <c r="T1595" s="94"/>
      <c r="U1595" s="94"/>
      <c r="V1595" s="94"/>
      <c r="W1595" s="94"/>
      <c r="X1595" s="94"/>
      <c r="Y1595" s="94"/>
      <c r="Z1595" s="94"/>
      <c r="AA1595" s="94"/>
      <c r="AB1595" s="94"/>
      <c r="AC1595" s="94"/>
      <c r="AD1595" s="94"/>
      <c r="AE1595" s="94"/>
      <c r="AF1595" s="94"/>
      <c r="AG1595" s="94"/>
      <c r="AH1595" s="94"/>
      <c r="AI1595" s="94"/>
      <c r="AJ1595" s="94"/>
      <c r="AK1595" s="94"/>
      <c r="AL1595" s="94"/>
      <c r="AM1595" s="94"/>
      <c r="AN1595" s="94"/>
      <c r="AO1595" s="94"/>
      <c r="AP1595" s="94"/>
      <c r="AQ1595" s="94"/>
      <c r="AR1595" s="94"/>
      <c r="AS1595" s="94"/>
      <c r="AT1595" s="94"/>
      <c r="AU1595" s="94"/>
      <c r="AV1595" s="94"/>
      <c r="AW1595" s="94"/>
      <c r="AX1595" s="94"/>
      <c r="AY1595" s="94"/>
      <c r="AZ1595" s="94"/>
      <c r="BA1595" s="94"/>
      <c r="BB1595" s="94"/>
      <c r="BC1595" s="94"/>
      <c r="BD1595" s="94"/>
      <c r="BE1595" s="94"/>
      <c r="BF1595" s="94"/>
    </row>
    <row r="1596" spans="1:58" x14ac:dyDescent="0.35">
      <c r="A1596" s="104" t="s">
        <v>3378</v>
      </c>
      <c r="B1596" s="105" t="s">
        <v>0</v>
      </c>
      <c r="C1596" s="106">
        <v>6</v>
      </c>
      <c r="D1596" s="104" t="s">
        <v>123</v>
      </c>
      <c r="E1596" s="106"/>
      <c r="F1596" s="94"/>
      <c r="G1596" s="94"/>
      <c r="H1596" s="94"/>
      <c r="I1596" s="94"/>
      <c r="J1596" s="94"/>
      <c r="K1596" s="94"/>
      <c r="L1596" s="94"/>
      <c r="M1596" s="94"/>
      <c r="N1596" s="94"/>
      <c r="O1596" s="94"/>
      <c r="P1596" s="94"/>
      <c r="Q1596" s="94"/>
      <c r="R1596" s="94"/>
      <c r="S1596" s="94"/>
      <c r="T1596" s="94"/>
      <c r="U1596" s="94"/>
      <c r="V1596" s="94"/>
      <c r="W1596" s="94"/>
      <c r="X1596" s="94"/>
      <c r="Y1596" s="94"/>
      <c r="Z1596" s="94"/>
      <c r="AA1596" s="94"/>
      <c r="AB1596" s="94"/>
      <c r="AC1596" s="94"/>
      <c r="AD1596" s="94"/>
      <c r="AE1596" s="94"/>
      <c r="AF1596" s="94"/>
      <c r="AG1596" s="94"/>
      <c r="AH1596" s="94"/>
      <c r="AI1596" s="94"/>
      <c r="AJ1596" s="94"/>
      <c r="AK1596" s="94"/>
      <c r="AL1596" s="94"/>
      <c r="AM1596" s="94"/>
      <c r="AN1596" s="94"/>
      <c r="AO1596" s="94"/>
      <c r="AP1596" s="94"/>
      <c r="AQ1596" s="94"/>
      <c r="AR1596" s="94"/>
      <c r="AS1596" s="94"/>
      <c r="AT1596" s="94"/>
      <c r="AU1596" s="94"/>
      <c r="AV1596" s="94"/>
      <c r="AW1596" s="94"/>
      <c r="AX1596" s="94"/>
      <c r="AY1596" s="94"/>
      <c r="AZ1596" s="94"/>
      <c r="BA1596" s="94"/>
      <c r="BB1596" s="94"/>
      <c r="BC1596" s="94"/>
      <c r="BD1596" s="94"/>
      <c r="BE1596" s="94"/>
      <c r="BF1596" s="94"/>
    </row>
    <row r="1597" spans="1:58" x14ac:dyDescent="0.35">
      <c r="A1597" s="101" t="s">
        <v>3379</v>
      </c>
      <c r="B1597" s="102" t="s">
        <v>0</v>
      </c>
      <c r="C1597" s="103">
        <v>5</v>
      </c>
      <c r="D1597" s="101" t="s">
        <v>1239</v>
      </c>
      <c r="E1597" s="103" t="s">
        <v>281</v>
      </c>
      <c r="F1597" s="94"/>
      <c r="G1597" s="94"/>
      <c r="H1597" s="94"/>
      <c r="I1597" s="94"/>
      <c r="J1597" s="94"/>
      <c r="K1597" s="94"/>
      <c r="L1597" s="94"/>
      <c r="M1597" s="94"/>
      <c r="N1597" s="94"/>
      <c r="O1597" s="94"/>
      <c r="P1597" s="94"/>
      <c r="Q1597" s="94"/>
      <c r="R1597" s="94"/>
      <c r="S1597" s="94"/>
      <c r="T1597" s="94"/>
      <c r="U1597" s="94"/>
      <c r="V1597" s="94"/>
      <c r="W1597" s="94"/>
      <c r="X1597" s="94"/>
      <c r="Y1597" s="94"/>
      <c r="Z1597" s="94"/>
      <c r="AA1597" s="94"/>
      <c r="AB1597" s="94"/>
      <c r="AC1597" s="94"/>
      <c r="AD1597" s="94"/>
      <c r="AE1597" s="94"/>
      <c r="AF1597" s="94"/>
      <c r="AG1597" s="94"/>
      <c r="AH1597" s="94"/>
      <c r="AI1597" s="94"/>
      <c r="AJ1597" s="94"/>
      <c r="AK1597" s="94"/>
      <c r="AL1597" s="94"/>
      <c r="AM1597" s="94"/>
      <c r="AN1597" s="94"/>
      <c r="AO1597" s="94"/>
      <c r="AP1597" s="94"/>
      <c r="AQ1597" s="94"/>
      <c r="AR1597" s="94"/>
      <c r="AS1597" s="94"/>
      <c r="AT1597" s="94"/>
      <c r="AU1597" s="94"/>
      <c r="AV1597" s="94"/>
      <c r="AW1597" s="94"/>
      <c r="AX1597" s="94"/>
      <c r="AY1597" s="94"/>
      <c r="AZ1597" s="94"/>
      <c r="BA1597" s="94"/>
      <c r="BB1597" s="94"/>
      <c r="BC1597" s="94"/>
      <c r="BD1597" s="94"/>
      <c r="BE1597" s="94"/>
      <c r="BF1597" s="94"/>
    </row>
    <row r="1598" spans="1:58" x14ac:dyDescent="0.35">
      <c r="A1598" s="104" t="s">
        <v>3380</v>
      </c>
      <c r="B1598" s="105" t="s">
        <v>0</v>
      </c>
      <c r="C1598" s="106">
        <v>6</v>
      </c>
      <c r="D1598" s="104" t="s">
        <v>3785</v>
      </c>
      <c r="E1598" s="106"/>
      <c r="F1598" s="94"/>
      <c r="G1598" s="94"/>
      <c r="H1598" s="94"/>
      <c r="I1598" s="94"/>
      <c r="J1598" s="94"/>
      <c r="K1598" s="94"/>
      <c r="L1598" s="94"/>
      <c r="M1598" s="94"/>
      <c r="N1598" s="94"/>
      <c r="O1598" s="94"/>
      <c r="P1598" s="94"/>
      <c r="Q1598" s="94"/>
      <c r="R1598" s="94"/>
      <c r="S1598" s="94"/>
      <c r="T1598" s="94"/>
      <c r="U1598" s="94"/>
      <c r="V1598" s="94"/>
      <c r="W1598" s="94"/>
      <c r="X1598" s="94"/>
      <c r="Y1598" s="94"/>
      <c r="Z1598" s="94"/>
      <c r="AA1598" s="94"/>
      <c r="AB1598" s="94"/>
      <c r="AC1598" s="94"/>
      <c r="AD1598" s="94"/>
      <c r="AE1598" s="94"/>
      <c r="AF1598" s="94"/>
      <c r="AG1598" s="94"/>
      <c r="AH1598" s="94"/>
      <c r="AI1598" s="94"/>
      <c r="AJ1598" s="94"/>
      <c r="AK1598" s="94"/>
      <c r="AL1598" s="94"/>
      <c r="AM1598" s="94"/>
      <c r="AN1598" s="94"/>
      <c r="AO1598" s="94"/>
      <c r="AP1598" s="94"/>
      <c r="AQ1598" s="94"/>
      <c r="AR1598" s="94"/>
      <c r="AS1598" s="94"/>
      <c r="AT1598" s="94"/>
      <c r="AU1598" s="94"/>
      <c r="AV1598" s="94"/>
      <c r="AW1598" s="94"/>
      <c r="AX1598" s="94"/>
      <c r="AY1598" s="94"/>
      <c r="AZ1598" s="94"/>
      <c r="BA1598" s="94"/>
      <c r="BB1598" s="94"/>
      <c r="BC1598" s="94"/>
      <c r="BD1598" s="94"/>
      <c r="BE1598" s="94"/>
      <c r="BF1598" s="94"/>
    </row>
    <row r="1599" spans="1:58" x14ac:dyDescent="0.35">
      <c r="A1599" s="107" t="s">
        <v>3381</v>
      </c>
      <c r="B1599" s="108" t="s">
        <v>0</v>
      </c>
      <c r="C1599" s="109">
        <v>7</v>
      </c>
      <c r="D1599" s="107" t="s">
        <v>1718</v>
      </c>
      <c r="E1599" s="109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  <c r="AG1599" s="94"/>
      <c r="AH1599" s="94"/>
      <c r="AI1599" s="94"/>
      <c r="AJ1599" s="94"/>
      <c r="AK1599" s="94"/>
      <c r="AL1599" s="94"/>
      <c r="AM1599" s="94"/>
      <c r="AN1599" s="94"/>
      <c r="AO1599" s="94"/>
      <c r="AP1599" s="94"/>
      <c r="AQ1599" s="94"/>
      <c r="AR1599" s="94"/>
      <c r="AS1599" s="94"/>
      <c r="AT1599" s="94"/>
      <c r="AU1599" s="94"/>
      <c r="AV1599" s="94"/>
      <c r="AW1599" s="94"/>
      <c r="AX1599" s="94"/>
      <c r="AY1599" s="94"/>
      <c r="AZ1599" s="94"/>
      <c r="BA1599" s="94"/>
      <c r="BB1599" s="94"/>
      <c r="BC1599" s="94"/>
      <c r="BD1599" s="94"/>
      <c r="BE1599" s="94"/>
      <c r="BF1599" s="94"/>
    </row>
    <row r="1600" spans="1:58" x14ac:dyDescent="0.35">
      <c r="A1600" s="107" t="s">
        <v>3382</v>
      </c>
      <c r="B1600" s="108" t="s">
        <v>0</v>
      </c>
      <c r="C1600" s="109">
        <v>7</v>
      </c>
      <c r="D1600" s="107" t="s">
        <v>1728</v>
      </c>
      <c r="E1600" s="109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  <c r="AG1600" s="94"/>
      <c r="AH1600" s="94"/>
      <c r="AI1600" s="94"/>
      <c r="AJ1600" s="94"/>
      <c r="AK1600" s="94"/>
      <c r="AL1600" s="94"/>
      <c r="AM1600" s="94"/>
      <c r="AN1600" s="94"/>
      <c r="AO1600" s="94"/>
      <c r="AP1600" s="94"/>
      <c r="AQ1600" s="94"/>
      <c r="AR1600" s="94"/>
      <c r="AS1600" s="94"/>
      <c r="AT1600" s="94"/>
      <c r="AU1600" s="94"/>
      <c r="AV1600" s="94"/>
      <c r="AW1600" s="94"/>
      <c r="AX1600" s="94"/>
      <c r="AY1600" s="94"/>
      <c r="AZ1600" s="94"/>
      <c r="BA1600" s="94"/>
      <c r="BB1600" s="94"/>
      <c r="BC1600" s="94"/>
      <c r="BD1600" s="94"/>
      <c r="BE1600" s="94"/>
      <c r="BF1600" s="94"/>
    </row>
    <row r="1601" spans="1:58" x14ac:dyDescent="0.35">
      <c r="A1601" s="107" t="s">
        <v>3383</v>
      </c>
      <c r="B1601" s="108" t="s">
        <v>0</v>
      </c>
      <c r="C1601" s="109">
        <v>7</v>
      </c>
      <c r="D1601" s="107" t="s">
        <v>1727</v>
      </c>
      <c r="E1601" s="109"/>
      <c r="F1601" s="94"/>
      <c r="G1601" s="94"/>
      <c r="H1601" s="94"/>
      <c r="I1601" s="94"/>
      <c r="J1601" s="94"/>
      <c r="K1601" s="94"/>
      <c r="L1601" s="94"/>
      <c r="M1601" s="94"/>
      <c r="N1601" s="94"/>
      <c r="O1601" s="94"/>
      <c r="P1601" s="94"/>
      <c r="Q1601" s="94"/>
      <c r="R1601" s="94"/>
      <c r="S1601" s="94"/>
      <c r="T1601" s="94"/>
      <c r="U1601" s="94"/>
      <c r="V1601" s="94"/>
      <c r="W1601" s="94"/>
      <c r="X1601" s="94"/>
      <c r="Y1601" s="94"/>
      <c r="Z1601" s="94"/>
      <c r="AA1601" s="94"/>
      <c r="AB1601" s="94"/>
      <c r="AC1601" s="94"/>
      <c r="AD1601" s="94"/>
      <c r="AE1601" s="94"/>
      <c r="AF1601" s="94"/>
      <c r="AG1601" s="94"/>
      <c r="AH1601" s="94"/>
      <c r="AI1601" s="94"/>
      <c r="AJ1601" s="94"/>
      <c r="AK1601" s="94"/>
      <c r="AL1601" s="94"/>
      <c r="AM1601" s="94"/>
      <c r="AN1601" s="94"/>
      <c r="AO1601" s="94"/>
      <c r="AP1601" s="94"/>
      <c r="AQ1601" s="94"/>
      <c r="AR1601" s="94"/>
      <c r="AS1601" s="94"/>
      <c r="AT1601" s="94"/>
      <c r="AU1601" s="94"/>
      <c r="AV1601" s="94"/>
      <c r="AW1601" s="94"/>
      <c r="AX1601" s="94"/>
      <c r="AY1601" s="94"/>
      <c r="AZ1601" s="94"/>
      <c r="BA1601" s="94"/>
      <c r="BB1601" s="94"/>
      <c r="BC1601" s="94"/>
      <c r="BD1601" s="94"/>
      <c r="BE1601" s="94"/>
      <c r="BF1601" s="94"/>
    </row>
    <row r="1602" spans="1:58" x14ac:dyDescent="0.35">
      <c r="A1602" s="104" t="s">
        <v>3384</v>
      </c>
      <c r="B1602" s="105" t="s">
        <v>0</v>
      </c>
      <c r="C1602" s="106">
        <v>6</v>
      </c>
      <c r="D1602" s="104" t="s">
        <v>1732</v>
      </c>
      <c r="E1602" s="106"/>
      <c r="F1602" s="94"/>
      <c r="G1602" s="94"/>
      <c r="H1602" s="94"/>
      <c r="I1602" s="94"/>
      <c r="J1602" s="94"/>
      <c r="K1602" s="94"/>
      <c r="L1602" s="94"/>
      <c r="M1602" s="94"/>
      <c r="N1602" s="94"/>
      <c r="O1602" s="94"/>
      <c r="P1602" s="94"/>
      <c r="Q1602" s="94"/>
      <c r="R1602" s="94"/>
      <c r="S1602" s="94"/>
      <c r="T1602" s="94"/>
      <c r="U1602" s="94"/>
      <c r="V1602" s="94"/>
      <c r="W1602" s="94"/>
      <c r="X1602" s="94"/>
      <c r="Y1602" s="94"/>
      <c r="Z1602" s="94"/>
      <c r="AA1602" s="94"/>
      <c r="AB1602" s="94"/>
      <c r="AC1602" s="94"/>
      <c r="AD1602" s="94"/>
      <c r="AE1602" s="94"/>
      <c r="AF1602" s="94"/>
      <c r="AG1602" s="94"/>
      <c r="AH1602" s="94"/>
      <c r="AI1602" s="94"/>
      <c r="AJ1602" s="94"/>
      <c r="AK1602" s="94"/>
      <c r="AL1602" s="94"/>
      <c r="AM1602" s="94"/>
      <c r="AN1602" s="94"/>
      <c r="AO1602" s="94"/>
      <c r="AP1602" s="94"/>
      <c r="AQ1602" s="94"/>
      <c r="AR1602" s="94"/>
      <c r="AS1602" s="94"/>
      <c r="AT1602" s="94"/>
      <c r="AU1602" s="94"/>
      <c r="AV1602" s="94"/>
      <c r="AW1602" s="94"/>
      <c r="AX1602" s="94"/>
      <c r="AY1602" s="94"/>
      <c r="AZ1602" s="94"/>
      <c r="BA1602" s="94"/>
      <c r="BB1602" s="94"/>
      <c r="BC1602" s="94"/>
      <c r="BD1602" s="94"/>
      <c r="BE1602" s="94"/>
      <c r="BF1602" s="94"/>
    </row>
    <row r="1603" spans="1:58" x14ac:dyDescent="0.35">
      <c r="A1603" s="107" t="s">
        <v>3385</v>
      </c>
      <c r="B1603" s="108" t="s">
        <v>0</v>
      </c>
      <c r="C1603" s="109">
        <v>7</v>
      </c>
      <c r="D1603" s="107" t="s">
        <v>1729</v>
      </c>
      <c r="E1603" s="109"/>
      <c r="F1603" s="94"/>
      <c r="G1603" s="94"/>
      <c r="H1603" s="94"/>
      <c r="I1603" s="94"/>
      <c r="J1603" s="94"/>
      <c r="K1603" s="94"/>
      <c r="L1603" s="94"/>
      <c r="M1603" s="94"/>
      <c r="N1603" s="94"/>
      <c r="O1603" s="94"/>
      <c r="P1603" s="94"/>
      <c r="Q1603" s="94"/>
      <c r="R1603" s="94"/>
      <c r="S1603" s="94"/>
      <c r="T1603" s="94"/>
      <c r="U1603" s="94"/>
      <c r="V1603" s="94"/>
      <c r="W1603" s="94"/>
      <c r="X1603" s="94"/>
      <c r="Y1603" s="94"/>
      <c r="Z1603" s="94"/>
      <c r="AA1603" s="94"/>
      <c r="AB1603" s="94"/>
      <c r="AC1603" s="94"/>
      <c r="AD1603" s="94"/>
      <c r="AE1603" s="94"/>
      <c r="AF1603" s="94"/>
      <c r="AG1603" s="94"/>
      <c r="AH1603" s="94"/>
      <c r="AI1603" s="94"/>
      <c r="AJ1603" s="94"/>
      <c r="AK1603" s="94"/>
      <c r="AL1603" s="94"/>
      <c r="AM1603" s="94"/>
      <c r="AN1603" s="94"/>
      <c r="AO1603" s="94"/>
      <c r="AP1603" s="94"/>
      <c r="AQ1603" s="94"/>
      <c r="AR1603" s="94"/>
      <c r="AS1603" s="94"/>
      <c r="AT1603" s="94"/>
      <c r="AU1603" s="94"/>
      <c r="AV1603" s="94"/>
      <c r="AW1603" s="94"/>
      <c r="AX1603" s="94"/>
      <c r="AY1603" s="94"/>
      <c r="AZ1603" s="94"/>
      <c r="BA1603" s="94"/>
      <c r="BB1603" s="94"/>
      <c r="BC1603" s="94"/>
      <c r="BD1603" s="94"/>
      <c r="BE1603" s="94"/>
      <c r="BF1603" s="94"/>
    </row>
    <row r="1604" spans="1:58" x14ac:dyDescent="0.35">
      <c r="A1604" s="107" t="s">
        <v>3386</v>
      </c>
      <c r="B1604" s="108" t="s">
        <v>0</v>
      </c>
      <c r="C1604" s="109">
        <v>7</v>
      </c>
      <c r="D1604" s="107" t="s">
        <v>1730</v>
      </c>
      <c r="E1604" s="109"/>
      <c r="F1604" s="94"/>
      <c r="G1604" s="94"/>
      <c r="H1604" s="94"/>
      <c r="I1604" s="94"/>
      <c r="J1604" s="94"/>
      <c r="K1604" s="94"/>
      <c r="L1604" s="94"/>
      <c r="M1604" s="94"/>
      <c r="N1604" s="94"/>
      <c r="O1604" s="94"/>
      <c r="P1604" s="94"/>
      <c r="Q1604" s="94"/>
      <c r="R1604" s="94"/>
      <c r="S1604" s="94"/>
      <c r="T1604" s="94"/>
      <c r="U1604" s="94"/>
      <c r="V1604" s="94"/>
      <c r="W1604" s="94"/>
      <c r="X1604" s="94"/>
      <c r="Y1604" s="94"/>
      <c r="Z1604" s="94"/>
      <c r="AA1604" s="94"/>
      <c r="AB1604" s="94"/>
      <c r="AC1604" s="94"/>
      <c r="AD1604" s="94"/>
      <c r="AE1604" s="94"/>
      <c r="AF1604" s="94"/>
      <c r="AG1604" s="94"/>
      <c r="AH1604" s="94"/>
      <c r="AI1604" s="94"/>
      <c r="AJ1604" s="94"/>
      <c r="AK1604" s="94"/>
      <c r="AL1604" s="94"/>
      <c r="AM1604" s="94"/>
      <c r="AN1604" s="94"/>
      <c r="AO1604" s="94"/>
      <c r="AP1604" s="94"/>
      <c r="AQ1604" s="94"/>
      <c r="AR1604" s="94"/>
      <c r="AS1604" s="94"/>
      <c r="AT1604" s="94"/>
      <c r="AU1604" s="94"/>
      <c r="AV1604" s="94"/>
      <c r="AW1604" s="94"/>
      <c r="AX1604" s="94"/>
      <c r="AY1604" s="94"/>
      <c r="AZ1604" s="94"/>
      <c r="BA1604" s="94"/>
      <c r="BB1604" s="94"/>
      <c r="BC1604" s="94"/>
      <c r="BD1604" s="94"/>
      <c r="BE1604" s="94"/>
      <c r="BF1604" s="94"/>
    </row>
    <row r="1605" spans="1:58" x14ac:dyDescent="0.35">
      <c r="A1605" s="107" t="s">
        <v>3387</v>
      </c>
      <c r="B1605" s="108" t="s">
        <v>0</v>
      </c>
      <c r="C1605" s="109">
        <v>7</v>
      </c>
      <c r="D1605" s="107" t="s">
        <v>1731</v>
      </c>
      <c r="E1605" s="109"/>
      <c r="F1605" s="94"/>
      <c r="G1605" s="94"/>
      <c r="H1605" s="94"/>
      <c r="I1605" s="94"/>
      <c r="J1605" s="94"/>
      <c r="K1605" s="94"/>
      <c r="L1605" s="94"/>
      <c r="M1605" s="94"/>
      <c r="N1605" s="94"/>
      <c r="O1605" s="94"/>
      <c r="P1605" s="94"/>
      <c r="Q1605" s="94"/>
      <c r="R1605" s="94"/>
      <c r="S1605" s="94"/>
      <c r="T1605" s="94"/>
      <c r="U1605" s="94"/>
      <c r="V1605" s="94"/>
      <c r="W1605" s="94"/>
      <c r="X1605" s="94"/>
      <c r="Y1605" s="94"/>
      <c r="Z1605" s="94"/>
      <c r="AA1605" s="94"/>
      <c r="AB1605" s="94"/>
      <c r="AC1605" s="94"/>
      <c r="AD1605" s="94"/>
      <c r="AE1605" s="94"/>
      <c r="AF1605" s="94"/>
      <c r="AG1605" s="94"/>
      <c r="AH1605" s="94"/>
      <c r="AI1605" s="94"/>
      <c r="AJ1605" s="94"/>
      <c r="AK1605" s="94"/>
      <c r="AL1605" s="94"/>
      <c r="AM1605" s="94"/>
      <c r="AN1605" s="94"/>
      <c r="AO1605" s="94"/>
      <c r="AP1605" s="94"/>
      <c r="AQ1605" s="94"/>
      <c r="AR1605" s="94"/>
      <c r="AS1605" s="94"/>
      <c r="AT1605" s="94"/>
      <c r="AU1605" s="94"/>
      <c r="AV1605" s="94"/>
      <c r="AW1605" s="94"/>
      <c r="AX1605" s="94"/>
      <c r="AY1605" s="94"/>
      <c r="AZ1605" s="94"/>
      <c r="BA1605" s="94"/>
      <c r="BB1605" s="94"/>
      <c r="BC1605" s="94"/>
      <c r="BD1605" s="94"/>
      <c r="BE1605" s="94"/>
      <c r="BF1605" s="94"/>
    </row>
    <row r="1606" spans="1:58" x14ac:dyDescent="0.35">
      <c r="A1606" s="104" t="s">
        <v>3388</v>
      </c>
      <c r="B1606" s="105" t="s">
        <v>0</v>
      </c>
      <c r="C1606" s="106">
        <v>6</v>
      </c>
      <c r="D1606" s="104" t="s">
        <v>26</v>
      </c>
      <c r="E1606" s="106"/>
      <c r="F1606" s="94"/>
      <c r="G1606" s="94"/>
      <c r="H1606" s="94"/>
      <c r="I1606" s="94"/>
      <c r="J1606" s="94"/>
      <c r="K1606" s="94"/>
      <c r="L1606" s="94"/>
      <c r="M1606" s="94"/>
      <c r="N1606" s="94"/>
      <c r="O1606" s="94"/>
      <c r="P1606" s="94"/>
      <c r="Q1606" s="94"/>
      <c r="R1606" s="94"/>
      <c r="S1606" s="94"/>
      <c r="T1606" s="94"/>
      <c r="U1606" s="94"/>
      <c r="V1606" s="94"/>
      <c r="W1606" s="94"/>
      <c r="X1606" s="94"/>
      <c r="Y1606" s="94"/>
      <c r="Z1606" s="94"/>
      <c r="AA1606" s="94"/>
      <c r="AB1606" s="94"/>
      <c r="AC1606" s="94"/>
      <c r="AD1606" s="94"/>
      <c r="AE1606" s="94"/>
      <c r="AF1606" s="94"/>
      <c r="AG1606" s="94"/>
      <c r="AH1606" s="94"/>
      <c r="AI1606" s="94"/>
      <c r="AJ1606" s="94"/>
      <c r="AK1606" s="94"/>
      <c r="AL1606" s="94"/>
      <c r="AM1606" s="94"/>
      <c r="AN1606" s="94"/>
      <c r="AO1606" s="94"/>
      <c r="AP1606" s="94"/>
      <c r="AQ1606" s="94"/>
      <c r="AR1606" s="94"/>
      <c r="AS1606" s="94"/>
      <c r="AT1606" s="94"/>
      <c r="AU1606" s="94"/>
      <c r="AV1606" s="94"/>
      <c r="AW1606" s="94"/>
      <c r="AX1606" s="94"/>
      <c r="AY1606" s="94"/>
      <c r="AZ1606" s="94"/>
      <c r="BA1606" s="94"/>
      <c r="BB1606" s="94"/>
      <c r="BC1606" s="94"/>
      <c r="BD1606" s="94"/>
      <c r="BE1606" s="94"/>
      <c r="BF1606" s="94"/>
    </row>
    <row r="1607" spans="1:58" x14ac:dyDescent="0.35">
      <c r="A1607" s="107" t="s">
        <v>3389</v>
      </c>
      <c r="B1607" s="108" t="s">
        <v>0</v>
      </c>
      <c r="C1607" s="109">
        <v>7</v>
      </c>
      <c r="D1607" s="107" t="s">
        <v>1719</v>
      </c>
      <c r="E1607" s="109"/>
      <c r="F1607" s="94"/>
      <c r="G1607" s="94"/>
      <c r="H1607" s="94"/>
      <c r="I1607" s="94"/>
      <c r="J1607" s="94"/>
      <c r="K1607" s="94"/>
      <c r="L1607" s="94"/>
      <c r="M1607" s="94"/>
      <c r="N1607" s="94"/>
      <c r="O1607" s="94"/>
      <c r="P1607" s="94"/>
      <c r="Q1607" s="94"/>
      <c r="R1607" s="94"/>
      <c r="S1607" s="94"/>
      <c r="T1607" s="94"/>
      <c r="U1607" s="94"/>
      <c r="V1607" s="94"/>
      <c r="W1607" s="94"/>
      <c r="X1607" s="94"/>
      <c r="Y1607" s="94"/>
      <c r="Z1607" s="94"/>
      <c r="AA1607" s="94"/>
      <c r="AB1607" s="94"/>
      <c r="AC1607" s="94"/>
      <c r="AD1607" s="94"/>
      <c r="AE1607" s="94"/>
      <c r="AF1607" s="94"/>
      <c r="AG1607" s="94"/>
      <c r="AH1607" s="94"/>
      <c r="AI1607" s="94"/>
      <c r="AJ1607" s="94"/>
      <c r="AK1607" s="94"/>
      <c r="AL1607" s="94"/>
      <c r="AM1607" s="94"/>
      <c r="AN1607" s="94"/>
      <c r="AO1607" s="94"/>
      <c r="AP1607" s="94"/>
      <c r="AQ1607" s="94"/>
      <c r="AR1607" s="94"/>
      <c r="AS1607" s="94"/>
      <c r="AT1607" s="94"/>
      <c r="AU1607" s="94"/>
      <c r="AV1607" s="94"/>
      <c r="AW1607" s="94"/>
      <c r="AX1607" s="94"/>
      <c r="AY1607" s="94"/>
      <c r="AZ1607" s="94"/>
      <c r="BA1607" s="94"/>
      <c r="BB1607" s="94"/>
      <c r="BC1607" s="94"/>
      <c r="BD1607" s="94"/>
      <c r="BE1607" s="94"/>
      <c r="BF1607" s="94"/>
    </row>
    <row r="1608" spans="1:58" x14ac:dyDescent="0.35">
      <c r="A1608" s="104" t="s">
        <v>3390</v>
      </c>
      <c r="B1608" s="105" t="s">
        <v>0</v>
      </c>
      <c r="C1608" s="106">
        <v>6</v>
      </c>
      <c r="D1608" s="104" t="s">
        <v>16</v>
      </c>
      <c r="E1608" s="106"/>
      <c r="F1608" s="94"/>
      <c r="G1608" s="94"/>
      <c r="H1608" s="94"/>
      <c r="I1608" s="94"/>
      <c r="J1608" s="94"/>
      <c r="K1608" s="94"/>
      <c r="L1608" s="94"/>
      <c r="M1608" s="94"/>
      <c r="N1608" s="94"/>
      <c r="O1608" s="94"/>
      <c r="P1608" s="94"/>
      <c r="Q1608" s="94"/>
      <c r="R1608" s="94"/>
      <c r="S1608" s="94"/>
      <c r="T1608" s="94"/>
      <c r="U1608" s="94"/>
      <c r="V1608" s="94"/>
      <c r="W1608" s="94"/>
      <c r="X1608" s="94"/>
      <c r="Y1608" s="94"/>
      <c r="Z1608" s="94"/>
      <c r="AA1608" s="94"/>
      <c r="AB1608" s="94"/>
      <c r="AC1608" s="94"/>
      <c r="AD1608" s="94"/>
      <c r="AE1608" s="94"/>
      <c r="AF1608" s="94"/>
      <c r="AG1608" s="94"/>
      <c r="AH1608" s="94"/>
      <c r="AI1608" s="94"/>
      <c r="AJ1608" s="94"/>
      <c r="AK1608" s="94"/>
      <c r="AL1608" s="94"/>
      <c r="AM1608" s="94"/>
      <c r="AN1608" s="94"/>
      <c r="AO1608" s="94"/>
      <c r="AP1608" s="94"/>
      <c r="AQ1608" s="94"/>
      <c r="AR1608" s="94"/>
      <c r="AS1608" s="94"/>
      <c r="AT1608" s="94"/>
      <c r="AU1608" s="94"/>
      <c r="AV1608" s="94"/>
      <c r="AW1608" s="94"/>
      <c r="AX1608" s="94"/>
      <c r="AY1608" s="94"/>
      <c r="AZ1608" s="94"/>
      <c r="BA1608" s="94"/>
      <c r="BB1608" s="94"/>
      <c r="BC1608" s="94"/>
      <c r="BD1608" s="94"/>
      <c r="BE1608" s="94"/>
      <c r="BF1608" s="94"/>
    </row>
    <row r="1609" spans="1:58" x14ac:dyDescent="0.35">
      <c r="A1609" s="107" t="s">
        <v>3786</v>
      </c>
      <c r="B1609" s="108" t="s">
        <v>0</v>
      </c>
      <c r="C1609" s="109">
        <v>7</v>
      </c>
      <c r="D1609" s="107" t="s">
        <v>1726</v>
      </c>
      <c r="E1609" s="109"/>
      <c r="F1609" s="94"/>
      <c r="G1609" s="94"/>
      <c r="H1609" s="94"/>
      <c r="I1609" s="94"/>
      <c r="J1609" s="94"/>
      <c r="K1609" s="94"/>
      <c r="L1609" s="94"/>
      <c r="M1609" s="94"/>
      <c r="N1609" s="94"/>
      <c r="O1609" s="94"/>
      <c r="P1609" s="94"/>
      <c r="Q1609" s="94"/>
      <c r="R1609" s="94"/>
      <c r="S1609" s="94"/>
      <c r="T1609" s="94"/>
      <c r="U1609" s="94"/>
      <c r="V1609" s="94"/>
      <c r="W1609" s="94"/>
      <c r="X1609" s="94"/>
      <c r="Y1609" s="94"/>
      <c r="Z1609" s="94"/>
      <c r="AA1609" s="94"/>
      <c r="AB1609" s="94"/>
      <c r="AC1609" s="94"/>
      <c r="AD1609" s="94"/>
      <c r="AE1609" s="94"/>
      <c r="AF1609" s="94"/>
      <c r="AG1609" s="94"/>
      <c r="AH1609" s="94"/>
      <c r="AI1609" s="94"/>
      <c r="AJ1609" s="94"/>
      <c r="AK1609" s="94"/>
      <c r="AL1609" s="94"/>
      <c r="AM1609" s="94"/>
      <c r="AN1609" s="94"/>
      <c r="AO1609" s="94"/>
      <c r="AP1609" s="94"/>
      <c r="AQ1609" s="94"/>
      <c r="AR1609" s="94"/>
      <c r="AS1609" s="94"/>
      <c r="AT1609" s="94"/>
      <c r="AU1609" s="94"/>
      <c r="AV1609" s="94"/>
      <c r="AW1609" s="94"/>
      <c r="AX1609" s="94"/>
      <c r="AY1609" s="94"/>
      <c r="AZ1609" s="94"/>
      <c r="BA1609" s="94"/>
      <c r="BB1609" s="94"/>
      <c r="BC1609" s="94"/>
      <c r="BD1609" s="94"/>
      <c r="BE1609" s="94"/>
      <c r="BF1609" s="94"/>
    </row>
    <row r="1610" spans="1:58" x14ac:dyDescent="0.35">
      <c r="A1610" s="104" t="s">
        <v>3391</v>
      </c>
      <c r="B1610" s="105" t="s">
        <v>0</v>
      </c>
      <c r="C1610" s="106">
        <v>6</v>
      </c>
      <c r="D1610" s="104" t="s">
        <v>1720</v>
      </c>
      <c r="E1610" s="106"/>
      <c r="F1610" s="94"/>
      <c r="G1610" s="94"/>
      <c r="H1610" s="94"/>
      <c r="I1610" s="94"/>
      <c r="J1610" s="94"/>
      <c r="K1610" s="94"/>
      <c r="L1610" s="94"/>
      <c r="M1610" s="94"/>
      <c r="N1610" s="94"/>
      <c r="O1610" s="94"/>
      <c r="P1610" s="94"/>
      <c r="Q1610" s="94"/>
      <c r="R1610" s="94"/>
      <c r="S1610" s="94"/>
      <c r="T1610" s="94"/>
      <c r="U1610" s="94"/>
      <c r="V1610" s="94"/>
      <c r="W1610" s="94"/>
      <c r="X1610" s="94"/>
      <c r="Y1610" s="94"/>
      <c r="Z1610" s="94"/>
      <c r="AA1610" s="94"/>
      <c r="AB1610" s="94"/>
      <c r="AC1610" s="94"/>
      <c r="AD1610" s="94"/>
      <c r="AE1610" s="94"/>
      <c r="AF1610" s="94"/>
      <c r="AG1610" s="94"/>
      <c r="AH1610" s="94"/>
      <c r="AI1610" s="94"/>
      <c r="AJ1610" s="94"/>
      <c r="AK1610" s="94"/>
      <c r="AL1610" s="94"/>
      <c r="AM1610" s="94"/>
      <c r="AN1610" s="94"/>
      <c r="AO1610" s="94"/>
      <c r="AP1610" s="94"/>
      <c r="AQ1610" s="94"/>
      <c r="AR1610" s="94"/>
      <c r="AS1610" s="94"/>
      <c r="AT1610" s="94"/>
      <c r="AU1610" s="94"/>
      <c r="AV1610" s="94"/>
      <c r="AW1610" s="94"/>
      <c r="AX1610" s="94"/>
      <c r="AY1610" s="94"/>
      <c r="AZ1610" s="94"/>
      <c r="BA1610" s="94"/>
      <c r="BB1610" s="94"/>
      <c r="BC1610" s="94"/>
      <c r="BD1610" s="94"/>
      <c r="BE1610" s="94"/>
      <c r="BF1610" s="94"/>
    </row>
    <row r="1611" spans="1:58" x14ac:dyDescent="0.35">
      <c r="A1611" s="107" t="s">
        <v>3392</v>
      </c>
      <c r="B1611" s="108" t="s">
        <v>0</v>
      </c>
      <c r="C1611" s="109">
        <v>7</v>
      </c>
      <c r="D1611" s="107" t="s">
        <v>1721</v>
      </c>
      <c r="E1611" s="109"/>
      <c r="F1611" s="94"/>
      <c r="G1611" s="94"/>
      <c r="H1611" s="94"/>
      <c r="I1611" s="94"/>
      <c r="J1611" s="94"/>
      <c r="K1611" s="94"/>
      <c r="L1611" s="94"/>
      <c r="M1611" s="94"/>
      <c r="N1611" s="94"/>
      <c r="O1611" s="94"/>
      <c r="P1611" s="94"/>
      <c r="Q1611" s="94"/>
      <c r="R1611" s="94"/>
      <c r="S1611" s="94"/>
      <c r="T1611" s="94"/>
      <c r="U1611" s="94"/>
      <c r="V1611" s="94"/>
      <c r="W1611" s="94"/>
      <c r="X1611" s="94"/>
      <c r="Y1611" s="94"/>
      <c r="Z1611" s="94"/>
      <c r="AA1611" s="94"/>
      <c r="AB1611" s="94"/>
      <c r="AC1611" s="94"/>
      <c r="AD1611" s="94"/>
      <c r="AE1611" s="94"/>
      <c r="AF1611" s="94"/>
      <c r="AG1611" s="94"/>
      <c r="AH1611" s="94"/>
      <c r="AI1611" s="94"/>
      <c r="AJ1611" s="94"/>
      <c r="AK1611" s="94"/>
      <c r="AL1611" s="94"/>
      <c r="AM1611" s="94"/>
      <c r="AN1611" s="94"/>
      <c r="AO1611" s="94"/>
      <c r="AP1611" s="94"/>
      <c r="AQ1611" s="94"/>
      <c r="AR1611" s="94"/>
      <c r="AS1611" s="94"/>
      <c r="AT1611" s="94"/>
      <c r="AU1611" s="94"/>
      <c r="AV1611" s="94"/>
      <c r="AW1611" s="94"/>
      <c r="AX1611" s="94"/>
      <c r="AY1611" s="94"/>
      <c r="AZ1611" s="94"/>
      <c r="BA1611" s="94"/>
      <c r="BB1611" s="94"/>
      <c r="BC1611" s="94"/>
      <c r="BD1611" s="94"/>
      <c r="BE1611" s="94"/>
      <c r="BF1611" s="94"/>
    </row>
    <row r="1612" spans="1:58" x14ac:dyDescent="0.35">
      <c r="A1612" s="104" t="s">
        <v>3393</v>
      </c>
      <c r="B1612" s="105" t="s">
        <v>0</v>
      </c>
      <c r="C1612" s="106">
        <v>6</v>
      </c>
      <c r="D1612" s="104" t="s">
        <v>718</v>
      </c>
      <c r="E1612" s="106"/>
      <c r="F1612" s="94"/>
      <c r="G1612" s="94"/>
      <c r="H1612" s="94"/>
      <c r="I1612" s="94"/>
      <c r="J1612" s="94"/>
      <c r="K1612" s="94"/>
      <c r="L1612" s="94"/>
      <c r="M1612" s="94"/>
      <c r="N1612" s="94"/>
      <c r="O1612" s="94"/>
      <c r="P1612" s="94"/>
      <c r="Q1612" s="94"/>
      <c r="R1612" s="94"/>
      <c r="S1612" s="94"/>
      <c r="T1612" s="94"/>
      <c r="U1612" s="94"/>
      <c r="V1612" s="94"/>
      <c r="W1612" s="94"/>
      <c r="X1612" s="94"/>
      <c r="Y1612" s="94"/>
      <c r="Z1612" s="94"/>
      <c r="AA1612" s="94"/>
      <c r="AB1612" s="94"/>
      <c r="AC1612" s="94"/>
      <c r="AD1612" s="94"/>
      <c r="AE1612" s="94"/>
      <c r="AF1612" s="94"/>
      <c r="AG1612" s="94"/>
      <c r="AH1612" s="94"/>
      <c r="AI1612" s="94"/>
      <c r="AJ1612" s="94"/>
      <c r="AK1612" s="94"/>
      <c r="AL1612" s="94"/>
      <c r="AM1612" s="94"/>
      <c r="AN1612" s="94"/>
      <c r="AO1612" s="94"/>
      <c r="AP1612" s="94"/>
      <c r="AQ1612" s="94"/>
      <c r="AR1612" s="94"/>
      <c r="AS1612" s="94"/>
      <c r="AT1612" s="94"/>
      <c r="AU1612" s="94"/>
      <c r="AV1612" s="94"/>
      <c r="AW1612" s="94"/>
      <c r="AX1612" s="94"/>
      <c r="AY1612" s="94"/>
      <c r="AZ1612" s="94"/>
      <c r="BA1612" s="94"/>
      <c r="BB1612" s="94"/>
      <c r="BC1612" s="94"/>
      <c r="BD1612" s="94"/>
      <c r="BE1612" s="94"/>
      <c r="BF1612" s="94"/>
    </row>
    <row r="1613" spans="1:58" x14ac:dyDescent="0.35">
      <c r="A1613" s="107" t="s">
        <v>3394</v>
      </c>
      <c r="B1613" s="108" t="s">
        <v>0</v>
      </c>
      <c r="C1613" s="109">
        <v>7</v>
      </c>
      <c r="D1613" s="107" t="s">
        <v>1236</v>
      </c>
      <c r="E1613" s="109" t="s">
        <v>274</v>
      </c>
      <c r="F1613" s="94"/>
      <c r="G1613" s="94"/>
      <c r="H1613" s="94"/>
      <c r="I1613" s="94"/>
      <c r="J1613" s="94"/>
      <c r="K1613" s="94"/>
      <c r="L1613" s="94"/>
      <c r="M1613" s="94"/>
      <c r="N1613" s="94"/>
      <c r="O1613" s="94"/>
      <c r="P1613" s="94"/>
      <c r="Q1613" s="94"/>
      <c r="R1613" s="94"/>
      <c r="S1613" s="94"/>
      <c r="T1613" s="94"/>
      <c r="U1613" s="94"/>
      <c r="V1613" s="94"/>
      <c r="W1613" s="94"/>
      <c r="X1613" s="94"/>
      <c r="Y1613" s="94"/>
      <c r="Z1613" s="94"/>
      <c r="AA1613" s="94"/>
      <c r="AB1613" s="94"/>
      <c r="AC1613" s="94"/>
      <c r="AD1613" s="94"/>
      <c r="AE1613" s="94"/>
      <c r="AF1613" s="94"/>
      <c r="AG1613" s="94"/>
      <c r="AH1613" s="94"/>
      <c r="AI1613" s="94"/>
      <c r="AJ1613" s="94"/>
      <c r="AK1613" s="94"/>
      <c r="AL1613" s="94"/>
      <c r="AM1613" s="94"/>
      <c r="AN1613" s="94"/>
      <c r="AO1613" s="94"/>
      <c r="AP1613" s="94"/>
      <c r="AQ1613" s="94"/>
      <c r="AR1613" s="94"/>
      <c r="AS1613" s="94"/>
      <c r="AT1613" s="94"/>
      <c r="AU1613" s="94"/>
      <c r="AV1613" s="94"/>
      <c r="AW1613" s="94"/>
      <c r="AX1613" s="94"/>
      <c r="AY1613" s="94"/>
      <c r="AZ1613" s="94"/>
      <c r="BA1613" s="94"/>
      <c r="BB1613" s="94"/>
      <c r="BC1613" s="94"/>
      <c r="BD1613" s="94"/>
      <c r="BE1613" s="94"/>
      <c r="BF1613" s="94"/>
    </row>
    <row r="1614" spans="1:58" x14ac:dyDescent="0.35">
      <c r="A1614" s="107" t="s">
        <v>3395</v>
      </c>
      <c r="B1614" s="108" t="s">
        <v>0</v>
      </c>
      <c r="C1614" s="109">
        <v>7</v>
      </c>
      <c r="D1614" s="107" t="s">
        <v>1237</v>
      </c>
      <c r="E1614" s="109" t="s">
        <v>275</v>
      </c>
      <c r="F1614" s="94"/>
      <c r="G1614" s="94"/>
      <c r="H1614" s="94"/>
      <c r="I1614" s="94"/>
      <c r="J1614" s="94"/>
      <c r="K1614" s="94"/>
      <c r="L1614" s="94"/>
      <c r="M1614" s="94"/>
      <c r="N1614" s="94"/>
      <c r="O1614" s="94"/>
      <c r="P1614" s="94"/>
      <c r="Q1614" s="94"/>
      <c r="R1614" s="94"/>
      <c r="S1614" s="94"/>
      <c r="T1614" s="94"/>
      <c r="U1614" s="94"/>
      <c r="V1614" s="94"/>
      <c r="W1614" s="94"/>
      <c r="X1614" s="94"/>
      <c r="Y1614" s="94"/>
      <c r="Z1614" s="94"/>
      <c r="AA1614" s="94"/>
      <c r="AB1614" s="94"/>
      <c r="AC1614" s="94"/>
      <c r="AD1614" s="94"/>
      <c r="AE1614" s="94"/>
      <c r="AF1614" s="94"/>
      <c r="AG1614" s="94"/>
      <c r="AH1614" s="94"/>
      <c r="AI1614" s="94"/>
      <c r="AJ1614" s="94"/>
      <c r="AK1614" s="94"/>
      <c r="AL1614" s="94"/>
      <c r="AM1614" s="94"/>
      <c r="AN1614" s="94"/>
      <c r="AO1614" s="94"/>
      <c r="AP1614" s="94"/>
      <c r="AQ1614" s="94"/>
      <c r="AR1614" s="94"/>
      <c r="AS1614" s="94"/>
      <c r="AT1614" s="94"/>
      <c r="AU1614" s="94"/>
      <c r="AV1614" s="94"/>
      <c r="AW1614" s="94"/>
      <c r="AX1614" s="94"/>
      <c r="AY1614" s="94"/>
      <c r="AZ1614" s="94"/>
      <c r="BA1614" s="94"/>
      <c r="BB1614" s="94"/>
      <c r="BC1614" s="94"/>
      <c r="BD1614" s="94"/>
      <c r="BE1614" s="94"/>
      <c r="BF1614" s="94"/>
    </row>
    <row r="1615" spans="1:58" x14ac:dyDescent="0.35">
      <c r="A1615" s="104" t="s">
        <v>3390</v>
      </c>
      <c r="B1615" s="105" t="s">
        <v>0</v>
      </c>
      <c r="C1615" s="106">
        <v>6</v>
      </c>
      <c r="D1615" s="104" t="s">
        <v>16</v>
      </c>
      <c r="E1615" s="106"/>
      <c r="F1615" s="94"/>
      <c r="G1615" s="94"/>
      <c r="H1615" s="94"/>
      <c r="I1615" s="94"/>
      <c r="J1615" s="94"/>
      <c r="K1615" s="94"/>
      <c r="L1615" s="94"/>
      <c r="M1615" s="94"/>
      <c r="N1615" s="94"/>
      <c r="O1615" s="94"/>
      <c r="P1615" s="94"/>
      <c r="Q1615" s="94"/>
      <c r="R1615" s="94"/>
      <c r="S1615" s="94"/>
      <c r="T1615" s="94"/>
      <c r="U1615" s="94"/>
      <c r="V1615" s="94"/>
      <c r="W1615" s="94"/>
      <c r="X1615" s="94"/>
      <c r="Y1615" s="94"/>
      <c r="Z1615" s="94"/>
      <c r="AA1615" s="94"/>
      <c r="AB1615" s="94"/>
      <c r="AC1615" s="94"/>
      <c r="AD1615" s="94"/>
      <c r="AE1615" s="94"/>
      <c r="AF1615" s="94"/>
      <c r="AG1615" s="94"/>
      <c r="AH1615" s="94"/>
      <c r="AI1615" s="94"/>
      <c r="AJ1615" s="94"/>
      <c r="AK1615" s="94"/>
      <c r="AL1615" s="94"/>
      <c r="AM1615" s="94"/>
      <c r="AN1615" s="94"/>
      <c r="AO1615" s="94"/>
      <c r="AP1615" s="94"/>
      <c r="AQ1615" s="94"/>
      <c r="AR1615" s="94"/>
      <c r="AS1615" s="94"/>
      <c r="AT1615" s="94"/>
      <c r="AU1615" s="94"/>
      <c r="AV1615" s="94"/>
      <c r="AW1615" s="94"/>
      <c r="AX1615" s="94"/>
      <c r="AY1615" s="94"/>
      <c r="AZ1615" s="94"/>
      <c r="BA1615" s="94"/>
      <c r="BB1615" s="94"/>
      <c r="BC1615" s="94"/>
      <c r="BD1615" s="94"/>
      <c r="BE1615" s="94"/>
      <c r="BF1615" s="94"/>
    </row>
    <row r="1616" spans="1:58" x14ac:dyDescent="0.35">
      <c r="A1616" s="107" t="s">
        <v>3396</v>
      </c>
      <c r="B1616" s="108" t="s">
        <v>0</v>
      </c>
      <c r="C1616" s="109">
        <v>7</v>
      </c>
      <c r="D1616" s="107" t="s">
        <v>1325</v>
      </c>
      <c r="E1616" s="109" t="s">
        <v>272</v>
      </c>
      <c r="F1616" s="94"/>
      <c r="G1616" s="94"/>
      <c r="H1616" s="94"/>
      <c r="I1616" s="94"/>
      <c r="J1616" s="94"/>
      <c r="K1616" s="94"/>
      <c r="L1616" s="94"/>
      <c r="M1616" s="94"/>
      <c r="N1616" s="94"/>
      <c r="O1616" s="94"/>
      <c r="P1616" s="94"/>
      <c r="Q1616" s="94"/>
      <c r="R1616" s="94"/>
      <c r="S1616" s="94"/>
      <c r="T1616" s="94"/>
      <c r="U1616" s="94"/>
      <c r="V1616" s="94"/>
      <c r="W1616" s="94"/>
      <c r="X1616" s="94"/>
      <c r="Y1616" s="94"/>
      <c r="Z1616" s="94"/>
      <c r="AA1616" s="94"/>
      <c r="AB1616" s="94"/>
      <c r="AC1616" s="94"/>
      <c r="AD1616" s="94"/>
      <c r="AE1616" s="94"/>
      <c r="AF1616" s="94"/>
      <c r="AG1616" s="94"/>
      <c r="AH1616" s="94"/>
      <c r="AI1616" s="94"/>
      <c r="AJ1616" s="94"/>
      <c r="AK1616" s="94"/>
      <c r="AL1616" s="94"/>
      <c r="AM1616" s="94"/>
      <c r="AN1616" s="94"/>
      <c r="AO1616" s="94"/>
      <c r="AP1616" s="94"/>
      <c r="AQ1616" s="94"/>
      <c r="AR1616" s="94"/>
      <c r="AS1616" s="94"/>
      <c r="AT1616" s="94"/>
      <c r="AU1616" s="94"/>
      <c r="AV1616" s="94"/>
      <c r="AW1616" s="94"/>
      <c r="AX1616" s="94"/>
      <c r="AY1616" s="94"/>
      <c r="AZ1616" s="94"/>
      <c r="BA1616" s="94"/>
      <c r="BB1616" s="94"/>
      <c r="BC1616" s="94"/>
      <c r="BD1616" s="94"/>
      <c r="BE1616" s="94"/>
      <c r="BF1616" s="94"/>
    </row>
    <row r="1617" spans="1:58" x14ac:dyDescent="0.35">
      <c r="A1617" s="107" t="s">
        <v>3397</v>
      </c>
      <c r="B1617" s="108" t="s">
        <v>0</v>
      </c>
      <c r="C1617" s="109">
        <v>7</v>
      </c>
      <c r="D1617" s="107" t="s">
        <v>1326</v>
      </c>
      <c r="E1617" s="109" t="s">
        <v>273</v>
      </c>
      <c r="F1617" s="94"/>
      <c r="G1617" s="94"/>
      <c r="H1617" s="94"/>
      <c r="I1617" s="94"/>
      <c r="J1617" s="94"/>
      <c r="K1617" s="94"/>
      <c r="L1617" s="94"/>
      <c r="M1617" s="94"/>
      <c r="N1617" s="94"/>
      <c r="O1617" s="94"/>
      <c r="P1617" s="94"/>
      <c r="Q1617" s="94"/>
      <c r="R1617" s="94"/>
      <c r="S1617" s="94"/>
      <c r="T1617" s="94"/>
      <c r="U1617" s="94"/>
      <c r="V1617" s="94"/>
      <c r="W1617" s="94"/>
      <c r="X1617" s="94"/>
      <c r="Y1617" s="94"/>
      <c r="Z1617" s="94"/>
      <c r="AA1617" s="94"/>
      <c r="AB1617" s="94"/>
      <c r="AC1617" s="94"/>
      <c r="AD1617" s="94"/>
      <c r="AE1617" s="94"/>
      <c r="AF1617" s="94"/>
      <c r="AG1617" s="94"/>
      <c r="AH1617" s="94"/>
      <c r="AI1617" s="94"/>
      <c r="AJ1617" s="94"/>
      <c r="AK1617" s="94"/>
      <c r="AL1617" s="94"/>
      <c r="AM1617" s="94"/>
      <c r="AN1617" s="94"/>
      <c r="AO1617" s="94"/>
      <c r="AP1617" s="94"/>
      <c r="AQ1617" s="94"/>
      <c r="AR1617" s="94"/>
      <c r="AS1617" s="94"/>
      <c r="AT1617" s="94"/>
      <c r="AU1617" s="94"/>
      <c r="AV1617" s="94"/>
      <c r="AW1617" s="94"/>
      <c r="AX1617" s="94"/>
      <c r="AY1617" s="94"/>
      <c r="AZ1617" s="94"/>
      <c r="BA1617" s="94"/>
      <c r="BB1617" s="94"/>
      <c r="BC1617" s="94"/>
      <c r="BD1617" s="94"/>
      <c r="BE1617" s="94"/>
      <c r="BF1617" s="94"/>
    </row>
    <row r="1618" spans="1:58" x14ac:dyDescent="0.35">
      <c r="A1618" s="107" t="s">
        <v>3398</v>
      </c>
      <c r="B1618" s="108" t="s">
        <v>0</v>
      </c>
      <c r="C1618" s="109">
        <v>7</v>
      </c>
      <c r="D1618" s="107" t="s">
        <v>1238</v>
      </c>
      <c r="E1618" s="109" t="s">
        <v>276</v>
      </c>
      <c r="F1618" s="94"/>
      <c r="G1618" s="94"/>
      <c r="H1618" s="94"/>
      <c r="I1618" s="94"/>
      <c r="J1618" s="94"/>
      <c r="K1618" s="94"/>
      <c r="L1618" s="94"/>
      <c r="M1618" s="94"/>
      <c r="N1618" s="94"/>
      <c r="O1618" s="94"/>
      <c r="P1618" s="94"/>
      <c r="Q1618" s="94"/>
      <c r="R1618" s="94"/>
      <c r="S1618" s="94"/>
      <c r="T1618" s="94"/>
      <c r="U1618" s="94"/>
      <c r="V1618" s="94"/>
      <c r="W1618" s="94"/>
      <c r="X1618" s="94"/>
      <c r="Y1618" s="94"/>
      <c r="Z1618" s="94"/>
      <c r="AA1618" s="94"/>
      <c r="AB1618" s="94"/>
      <c r="AC1618" s="94"/>
      <c r="AD1618" s="94"/>
      <c r="AE1618" s="94"/>
      <c r="AF1618" s="94"/>
      <c r="AG1618" s="94"/>
      <c r="AH1618" s="94"/>
      <c r="AI1618" s="94"/>
      <c r="AJ1618" s="94"/>
      <c r="AK1618" s="94"/>
      <c r="AL1618" s="94"/>
      <c r="AM1618" s="94"/>
      <c r="AN1618" s="94"/>
      <c r="AO1618" s="94"/>
      <c r="AP1618" s="94"/>
      <c r="AQ1618" s="94"/>
      <c r="AR1618" s="94"/>
      <c r="AS1618" s="94"/>
      <c r="AT1618" s="94"/>
      <c r="AU1618" s="94"/>
      <c r="AV1618" s="94"/>
      <c r="AW1618" s="94"/>
      <c r="AX1618" s="94"/>
      <c r="AY1618" s="94"/>
      <c r="AZ1618" s="94"/>
      <c r="BA1618" s="94"/>
      <c r="BB1618" s="94"/>
      <c r="BC1618" s="94"/>
      <c r="BD1618" s="94"/>
      <c r="BE1618" s="94"/>
      <c r="BF1618" s="94"/>
    </row>
    <row r="1619" spans="1:58" x14ac:dyDescent="0.35">
      <c r="A1619" s="104" t="s">
        <v>3399</v>
      </c>
      <c r="B1619" s="105" t="s">
        <v>0</v>
      </c>
      <c r="C1619" s="106">
        <v>6</v>
      </c>
      <c r="D1619" s="104" t="s">
        <v>1665</v>
      </c>
      <c r="E1619" s="106"/>
      <c r="F1619" s="94"/>
      <c r="G1619" s="94"/>
      <c r="H1619" s="94"/>
      <c r="I1619" s="94"/>
      <c r="J1619" s="94"/>
      <c r="K1619" s="94"/>
      <c r="L1619" s="94"/>
      <c r="M1619" s="94"/>
      <c r="N1619" s="94"/>
      <c r="O1619" s="94"/>
      <c r="P1619" s="94"/>
      <c r="Q1619" s="94"/>
      <c r="R1619" s="94"/>
      <c r="S1619" s="94"/>
      <c r="T1619" s="94"/>
      <c r="U1619" s="94"/>
      <c r="V1619" s="94"/>
      <c r="W1619" s="94"/>
      <c r="X1619" s="94"/>
      <c r="Y1619" s="94"/>
      <c r="Z1619" s="94"/>
      <c r="AA1619" s="94"/>
      <c r="AB1619" s="94"/>
      <c r="AC1619" s="94"/>
      <c r="AD1619" s="94"/>
      <c r="AE1619" s="94"/>
      <c r="AF1619" s="94"/>
      <c r="AG1619" s="94"/>
      <c r="AH1619" s="94"/>
      <c r="AI1619" s="94"/>
      <c r="AJ1619" s="94"/>
      <c r="AK1619" s="94"/>
      <c r="AL1619" s="94"/>
      <c r="AM1619" s="94"/>
      <c r="AN1619" s="94"/>
      <c r="AO1619" s="94"/>
      <c r="AP1619" s="94"/>
      <c r="AQ1619" s="94"/>
      <c r="AR1619" s="94"/>
      <c r="AS1619" s="94"/>
      <c r="AT1619" s="94"/>
      <c r="AU1619" s="94"/>
      <c r="AV1619" s="94"/>
      <c r="AW1619" s="94"/>
      <c r="AX1619" s="94"/>
      <c r="AY1619" s="94"/>
      <c r="AZ1619" s="94"/>
      <c r="BA1619" s="94"/>
      <c r="BB1619" s="94"/>
      <c r="BC1619" s="94"/>
      <c r="BD1619" s="94"/>
      <c r="BE1619" s="94"/>
      <c r="BF1619" s="94"/>
    </row>
    <row r="1620" spans="1:58" x14ac:dyDescent="0.35">
      <c r="A1620" s="107" t="s">
        <v>3400</v>
      </c>
      <c r="B1620" s="108" t="s">
        <v>0</v>
      </c>
      <c r="C1620" s="109">
        <v>7</v>
      </c>
      <c r="D1620" s="107" t="s">
        <v>1722</v>
      </c>
      <c r="E1620" s="109"/>
      <c r="F1620" s="94"/>
      <c r="G1620" s="94"/>
      <c r="H1620" s="94"/>
      <c r="I1620" s="94"/>
      <c r="J1620" s="94"/>
      <c r="K1620" s="94"/>
      <c r="L1620" s="94"/>
      <c r="M1620" s="94"/>
      <c r="N1620" s="94"/>
      <c r="O1620" s="94"/>
      <c r="P1620" s="94"/>
      <c r="Q1620" s="94"/>
      <c r="R1620" s="94"/>
      <c r="S1620" s="94"/>
      <c r="T1620" s="94"/>
      <c r="U1620" s="94"/>
      <c r="V1620" s="94"/>
      <c r="W1620" s="94"/>
      <c r="X1620" s="94"/>
      <c r="Y1620" s="94"/>
      <c r="Z1620" s="94"/>
      <c r="AA1620" s="94"/>
      <c r="AB1620" s="94"/>
      <c r="AC1620" s="94"/>
      <c r="AD1620" s="94"/>
      <c r="AE1620" s="94"/>
      <c r="AF1620" s="94"/>
      <c r="AG1620" s="94"/>
      <c r="AH1620" s="94"/>
      <c r="AI1620" s="94"/>
      <c r="AJ1620" s="94"/>
      <c r="AK1620" s="94"/>
      <c r="AL1620" s="94"/>
      <c r="AM1620" s="94"/>
      <c r="AN1620" s="94"/>
      <c r="AO1620" s="94"/>
      <c r="AP1620" s="94"/>
      <c r="AQ1620" s="94"/>
      <c r="AR1620" s="94"/>
      <c r="AS1620" s="94"/>
      <c r="AT1620" s="94"/>
      <c r="AU1620" s="94"/>
      <c r="AV1620" s="94"/>
      <c r="AW1620" s="94"/>
      <c r="AX1620" s="94"/>
      <c r="AY1620" s="94"/>
      <c r="AZ1620" s="94"/>
      <c r="BA1620" s="94"/>
      <c r="BB1620" s="94"/>
      <c r="BC1620" s="94"/>
      <c r="BD1620" s="94"/>
      <c r="BE1620" s="94"/>
      <c r="BF1620" s="94"/>
    </row>
    <row r="1621" spans="1:58" x14ac:dyDescent="0.35">
      <c r="A1621" s="107" t="s">
        <v>3401</v>
      </c>
      <c r="B1621" s="108" t="s">
        <v>0</v>
      </c>
      <c r="C1621" s="109">
        <v>7</v>
      </c>
      <c r="D1621" s="107" t="s">
        <v>1723</v>
      </c>
      <c r="E1621" s="109"/>
      <c r="F1621" s="94"/>
      <c r="G1621" s="94"/>
      <c r="H1621" s="94"/>
      <c r="I1621" s="94"/>
      <c r="J1621" s="94"/>
      <c r="K1621" s="94"/>
      <c r="L1621" s="94"/>
      <c r="M1621" s="94"/>
      <c r="N1621" s="94"/>
      <c r="O1621" s="94"/>
      <c r="P1621" s="94"/>
      <c r="Q1621" s="94"/>
      <c r="R1621" s="94"/>
      <c r="S1621" s="94"/>
      <c r="T1621" s="94"/>
      <c r="U1621" s="94"/>
      <c r="V1621" s="94"/>
      <c r="W1621" s="94"/>
      <c r="X1621" s="94"/>
      <c r="Y1621" s="94"/>
      <c r="Z1621" s="94"/>
      <c r="AA1621" s="94"/>
      <c r="AB1621" s="94"/>
      <c r="AC1621" s="94"/>
      <c r="AD1621" s="94"/>
      <c r="AE1621" s="94"/>
      <c r="AF1621" s="94"/>
      <c r="AG1621" s="94"/>
      <c r="AH1621" s="94"/>
      <c r="AI1621" s="94"/>
      <c r="AJ1621" s="94"/>
      <c r="AK1621" s="94"/>
      <c r="AL1621" s="94"/>
      <c r="AM1621" s="94"/>
      <c r="AN1621" s="94"/>
      <c r="AO1621" s="94"/>
      <c r="AP1621" s="94"/>
      <c r="AQ1621" s="94"/>
      <c r="AR1621" s="94"/>
      <c r="AS1621" s="94"/>
      <c r="AT1621" s="94"/>
      <c r="AU1621" s="94"/>
      <c r="AV1621" s="94"/>
      <c r="AW1621" s="94"/>
      <c r="AX1621" s="94"/>
      <c r="AY1621" s="94"/>
      <c r="AZ1621" s="94"/>
      <c r="BA1621" s="94"/>
      <c r="BB1621" s="94"/>
      <c r="BC1621" s="94"/>
      <c r="BD1621" s="94"/>
      <c r="BE1621" s="94"/>
      <c r="BF1621" s="94"/>
    </row>
    <row r="1622" spans="1:58" x14ac:dyDescent="0.35">
      <c r="A1622" s="107" t="s">
        <v>3402</v>
      </c>
      <c r="B1622" s="108" t="s">
        <v>0</v>
      </c>
      <c r="C1622" s="109">
        <v>7</v>
      </c>
      <c r="D1622" s="107" t="s">
        <v>1671</v>
      </c>
      <c r="E1622" s="109"/>
      <c r="F1622" s="94"/>
      <c r="G1622" s="94"/>
      <c r="H1622" s="94"/>
      <c r="I1622" s="94"/>
      <c r="J1622" s="94"/>
      <c r="K1622" s="94"/>
      <c r="L1622" s="94"/>
      <c r="M1622" s="94"/>
      <c r="N1622" s="94"/>
      <c r="O1622" s="94"/>
      <c r="P1622" s="94"/>
      <c r="Q1622" s="94"/>
      <c r="R1622" s="94"/>
      <c r="S1622" s="94"/>
      <c r="T1622" s="94"/>
      <c r="U1622" s="94"/>
      <c r="V1622" s="94"/>
      <c r="W1622" s="94"/>
      <c r="X1622" s="94"/>
      <c r="Y1622" s="94"/>
      <c r="Z1622" s="94"/>
      <c r="AA1622" s="94"/>
      <c r="AB1622" s="94"/>
      <c r="AC1622" s="94"/>
      <c r="AD1622" s="94"/>
      <c r="AE1622" s="94"/>
      <c r="AF1622" s="94"/>
      <c r="AG1622" s="94"/>
      <c r="AH1622" s="94"/>
      <c r="AI1622" s="94"/>
      <c r="AJ1622" s="94"/>
      <c r="AK1622" s="94"/>
      <c r="AL1622" s="94"/>
      <c r="AM1622" s="94"/>
      <c r="AN1622" s="94"/>
      <c r="AO1622" s="94"/>
      <c r="AP1622" s="94"/>
      <c r="AQ1622" s="94"/>
      <c r="AR1622" s="94"/>
      <c r="AS1622" s="94"/>
      <c r="AT1622" s="94"/>
      <c r="AU1622" s="94"/>
      <c r="AV1622" s="94"/>
      <c r="AW1622" s="94"/>
      <c r="AX1622" s="94"/>
      <c r="AY1622" s="94"/>
      <c r="AZ1622" s="94"/>
      <c r="BA1622" s="94"/>
      <c r="BB1622" s="94"/>
      <c r="BC1622" s="94"/>
      <c r="BD1622" s="94"/>
      <c r="BE1622" s="94"/>
      <c r="BF1622" s="94"/>
    </row>
    <row r="1623" spans="1:58" x14ac:dyDescent="0.35">
      <c r="A1623" s="107" t="s">
        <v>3403</v>
      </c>
      <c r="B1623" s="108" t="s">
        <v>0</v>
      </c>
      <c r="C1623" s="109">
        <v>7</v>
      </c>
      <c r="D1623" s="107" t="s">
        <v>1724</v>
      </c>
      <c r="E1623" s="109"/>
      <c r="F1623" s="94"/>
      <c r="G1623" s="94"/>
      <c r="H1623" s="94"/>
      <c r="I1623" s="94"/>
      <c r="J1623" s="94"/>
      <c r="K1623" s="94"/>
      <c r="L1623" s="94"/>
      <c r="M1623" s="94"/>
      <c r="N1623" s="94"/>
      <c r="O1623" s="94"/>
      <c r="P1623" s="94"/>
      <c r="Q1623" s="94"/>
      <c r="R1623" s="94"/>
      <c r="S1623" s="94"/>
      <c r="T1623" s="94"/>
      <c r="U1623" s="94"/>
      <c r="V1623" s="94"/>
      <c r="W1623" s="94"/>
      <c r="X1623" s="94"/>
      <c r="Y1623" s="94"/>
      <c r="Z1623" s="94"/>
      <c r="AA1623" s="94"/>
      <c r="AB1623" s="94"/>
      <c r="AC1623" s="94"/>
      <c r="AD1623" s="94"/>
      <c r="AE1623" s="94"/>
      <c r="AF1623" s="94"/>
      <c r="AG1623" s="94"/>
      <c r="AH1623" s="94"/>
      <c r="AI1623" s="94"/>
      <c r="AJ1623" s="94"/>
      <c r="AK1623" s="94"/>
      <c r="AL1623" s="94"/>
      <c r="AM1623" s="94"/>
      <c r="AN1623" s="94"/>
      <c r="AO1623" s="94"/>
      <c r="AP1623" s="94"/>
      <c r="AQ1623" s="94"/>
      <c r="AR1623" s="94"/>
      <c r="AS1623" s="94"/>
      <c r="AT1623" s="94"/>
      <c r="AU1623" s="94"/>
      <c r="AV1623" s="94"/>
      <c r="AW1623" s="94"/>
      <c r="AX1623" s="94"/>
      <c r="AY1623" s="94"/>
      <c r="AZ1623" s="94"/>
      <c r="BA1623" s="94"/>
      <c r="BB1623" s="94"/>
      <c r="BC1623" s="94"/>
      <c r="BD1623" s="94"/>
      <c r="BE1623" s="94"/>
      <c r="BF1623" s="94"/>
    </row>
    <row r="1624" spans="1:58" x14ac:dyDescent="0.35">
      <c r="A1624" s="107" t="s">
        <v>3404</v>
      </c>
      <c r="B1624" s="108" t="s">
        <v>0</v>
      </c>
      <c r="C1624" s="109">
        <v>7</v>
      </c>
      <c r="D1624" s="107" t="s">
        <v>1724</v>
      </c>
      <c r="E1624" s="109"/>
      <c r="F1624" s="94"/>
      <c r="G1624" s="94"/>
      <c r="H1624" s="94"/>
      <c r="I1624" s="94"/>
      <c r="J1624" s="94"/>
      <c r="K1624" s="94"/>
      <c r="L1624" s="94"/>
      <c r="M1624" s="94"/>
      <c r="N1624" s="94"/>
      <c r="O1624" s="94"/>
      <c r="P1624" s="94"/>
      <c r="Q1624" s="94"/>
      <c r="R1624" s="94"/>
      <c r="S1624" s="94"/>
      <c r="T1624" s="94"/>
      <c r="U1624" s="94"/>
      <c r="V1624" s="94"/>
      <c r="W1624" s="94"/>
      <c r="X1624" s="94"/>
      <c r="Y1624" s="94"/>
      <c r="Z1624" s="94"/>
      <c r="AA1624" s="94"/>
      <c r="AB1624" s="94"/>
      <c r="AC1624" s="94"/>
      <c r="AD1624" s="94"/>
      <c r="AE1624" s="94"/>
      <c r="AF1624" s="94"/>
      <c r="AG1624" s="94"/>
      <c r="AH1624" s="94"/>
      <c r="AI1624" s="94"/>
      <c r="AJ1624" s="94"/>
      <c r="AK1624" s="94"/>
      <c r="AL1624" s="94"/>
      <c r="AM1624" s="94"/>
      <c r="AN1624" s="94"/>
      <c r="AO1624" s="94"/>
      <c r="AP1624" s="94"/>
      <c r="AQ1624" s="94"/>
      <c r="AR1624" s="94"/>
      <c r="AS1624" s="94"/>
      <c r="AT1624" s="94"/>
      <c r="AU1624" s="94"/>
      <c r="AV1624" s="94"/>
      <c r="AW1624" s="94"/>
      <c r="AX1624" s="94"/>
      <c r="AY1624" s="94"/>
      <c r="AZ1624" s="94"/>
      <c r="BA1624" s="94"/>
      <c r="BB1624" s="94"/>
      <c r="BC1624" s="94"/>
      <c r="BD1624" s="94"/>
      <c r="BE1624" s="94"/>
      <c r="BF1624" s="94"/>
    </row>
    <row r="1625" spans="1:58" x14ac:dyDescent="0.35">
      <c r="A1625" s="107" t="s">
        <v>3405</v>
      </c>
      <c r="B1625" s="108" t="s">
        <v>0</v>
      </c>
      <c r="C1625" s="109">
        <v>7</v>
      </c>
      <c r="D1625" s="107" t="s">
        <v>1725</v>
      </c>
      <c r="E1625" s="109"/>
      <c r="F1625" s="94"/>
      <c r="G1625" s="94"/>
      <c r="H1625" s="94"/>
      <c r="I1625" s="94"/>
      <c r="J1625" s="94"/>
      <c r="K1625" s="94"/>
      <c r="L1625" s="94"/>
      <c r="M1625" s="94"/>
      <c r="N1625" s="94"/>
      <c r="O1625" s="94"/>
      <c r="P1625" s="94"/>
      <c r="Q1625" s="94"/>
      <c r="R1625" s="94"/>
      <c r="S1625" s="94"/>
      <c r="T1625" s="94"/>
      <c r="U1625" s="94"/>
      <c r="V1625" s="94"/>
      <c r="W1625" s="94"/>
      <c r="X1625" s="94"/>
      <c r="Y1625" s="94"/>
      <c r="Z1625" s="94"/>
      <c r="AA1625" s="94"/>
      <c r="AB1625" s="94"/>
      <c r="AC1625" s="94"/>
      <c r="AD1625" s="94"/>
      <c r="AE1625" s="94"/>
      <c r="AF1625" s="94"/>
      <c r="AG1625" s="94"/>
      <c r="AH1625" s="94"/>
      <c r="AI1625" s="94"/>
      <c r="AJ1625" s="94"/>
      <c r="AK1625" s="94"/>
      <c r="AL1625" s="94"/>
      <c r="AM1625" s="94"/>
      <c r="AN1625" s="94"/>
      <c r="AO1625" s="94"/>
      <c r="AP1625" s="94"/>
      <c r="AQ1625" s="94"/>
      <c r="AR1625" s="94"/>
      <c r="AS1625" s="94"/>
      <c r="AT1625" s="94"/>
      <c r="AU1625" s="94"/>
      <c r="AV1625" s="94"/>
      <c r="AW1625" s="94"/>
      <c r="AX1625" s="94"/>
      <c r="AY1625" s="94"/>
      <c r="AZ1625" s="94"/>
      <c r="BA1625" s="94"/>
      <c r="BB1625" s="94"/>
      <c r="BC1625" s="94"/>
      <c r="BD1625" s="94"/>
      <c r="BE1625" s="94"/>
      <c r="BF1625" s="94"/>
    </row>
    <row r="1626" spans="1:58" x14ac:dyDescent="0.35">
      <c r="A1626" s="107" t="s">
        <v>3406</v>
      </c>
      <c r="B1626" s="108" t="s">
        <v>0</v>
      </c>
      <c r="C1626" s="109">
        <v>7</v>
      </c>
      <c r="D1626" s="107" t="s">
        <v>1673</v>
      </c>
      <c r="E1626" s="109"/>
      <c r="F1626" s="94"/>
      <c r="G1626" s="94"/>
      <c r="H1626" s="94"/>
      <c r="I1626" s="94"/>
      <c r="J1626" s="94"/>
      <c r="K1626" s="94"/>
      <c r="L1626" s="94"/>
      <c r="M1626" s="94"/>
      <c r="N1626" s="94"/>
      <c r="O1626" s="94"/>
      <c r="P1626" s="94"/>
      <c r="Q1626" s="94"/>
      <c r="R1626" s="94"/>
      <c r="S1626" s="94"/>
      <c r="T1626" s="94"/>
      <c r="U1626" s="94"/>
      <c r="V1626" s="94"/>
      <c r="W1626" s="94"/>
      <c r="X1626" s="94"/>
      <c r="Y1626" s="94"/>
      <c r="Z1626" s="94"/>
      <c r="AA1626" s="94"/>
      <c r="AB1626" s="94"/>
      <c r="AC1626" s="94"/>
      <c r="AD1626" s="94"/>
      <c r="AE1626" s="94"/>
      <c r="AF1626" s="94"/>
      <c r="AG1626" s="94"/>
      <c r="AH1626" s="94"/>
      <c r="AI1626" s="94"/>
      <c r="AJ1626" s="94"/>
      <c r="AK1626" s="94"/>
      <c r="AL1626" s="94"/>
      <c r="AM1626" s="94"/>
      <c r="AN1626" s="94"/>
      <c r="AO1626" s="94"/>
      <c r="AP1626" s="94"/>
      <c r="AQ1626" s="94"/>
      <c r="AR1626" s="94"/>
      <c r="AS1626" s="94"/>
      <c r="AT1626" s="94"/>
      <c r="AU1626" s="94"/>
      <c r="AV1626" s="94"/>
      <c r="AW1626" s="94"/>
      <c r="AX1626" s="94"/>
      <c r="AY1626" s="94"/>
      <c r="AZ1626" s="94"/>
      <c r="BA1626" s="94"/>
      <c r="BB1626" s="94"/>
      <c r="BC1626" s="94"/>
      <c r="BD1626" s="94"/>
      <c r="BE1626" s="94"/>
      <c r="BF1626" s="94"/>
    </row>
    <row r="1627" spans="1:58" x14ac:dyDescent="0.35">
      <c r="A1627" s="101" t="s">
        <v>3407</v>
      </c>
      <c r="B1627" s="102" t="s">
        <v>0</v>
      </c>
      <c r="C1627" s="103">
        <v>5</v>
      </c>
      <c r="D1627" s="101" t="s">
        <v>277</v>
      </c>
      <c r="E1627" s="103" t="s">
        <v>282</v>
      </c>
      <c r="F1627" s="94"/>
      <c r="G1627" s="94"/>
      <c r="H1627" s="94"/>
      <c r="I1627" s="94"/>
      <c r="J1627" s="94"/>
      <c r="K1627" s="94"/>
      <c r="L1627" s="94"/>
      <c r="M1627" s="94"/>
      <c r="N1627" s="94"/>
      <c r="O1627" s="94"/>
      <c r="P1627" s="94"/>
      <c r="Q1627" s="94"/>
      <c r="R1627" s="94"/>
      <c r="S1627" s="94"/>
      <c r="T1627" s="94"/>
      <c r="U1627" s="94"/>
      <c r="V1627" s="94"/>
      <c r="W1627" s="94"/>
      <c r="X1627" s="94"/>
      <c r="Y1627" s="94"/>
      <c r="Z1627" s="94"/>
      <c r="AA1627" s="94"/>
      <c r="AB1627" s="94"/>
      <c r="AC1627" s="94"/>
      <c r="AD1627" s="94"/>
      <c r="AE1627" s="94"/>
      <c r="AF1627" s="94"/>
      <c r="AG1627" s="94"/>
      <c r="AH1627" s="94"/>
      <c r="AI1627" s="94"/>
      <c r="AJ1627" s="94"/>
      <c r="AK1627" s="94"/>
      <c r="AL1627" s="94"/>
      <c r="AM1627" s="94"/>
      <c r="AN1627" s="94"/>
      <c r="AO1627" s="94"/>
      <c r="AP1627" s="94"/>
      <c r="AQ1627" s="94"/>
      <c r="AR1627" s="94"/>
      <c r="AS1627" s="94"/>
      <c r="AT1627" s="94"/>
      <c r="AU1627" s="94"/>
      <c r="AV1627" s="94"/>
      <c r="AW1627" s="94"/>
      <c r="AX1627" s="94"/>
      <c r="AY1627" s="94"/>
      <c r="AZ1627" s="94"/>
      <c r="BA1627" s="94"/>
      <c r="BB1627" s="94"/>
      <c r="BC1627" s="94"/>
      <c r="BD1627" s="94"/>
      <c r="BE1627" s="94"/>
      <c r="BF1627" s="94"/>
    </row>
    <row r="1628" spans="1:58" x14ac:dyDescent="0.35">
      <c r="A1628" s="101" t="s">
        <v>3408</v>
      </c>
      <c r="B1628" s="102" t="s">
        <v>0</v>
      </c>
      <c r="C1628" s="103">
        <v>5</v>
      </c>
      <c r="D1628" s="101" t="s">
        <v>1603</v>
      </c>
      <c r="E1628" s="103" t="s">
        <v>283</v>
      </c>
      <c r="F1628" s="94"/>
      <c r="G1628" s="94"/>
      <c r="H1628" s="94"/>
      <c r="I1628" s="94"/>
      <c r="J1628" s="94"/>
      <c r="K1628" s="94"/>
      <c r="L1628" s="94"/>
      <c r="M1628" s="94"/>
      <c r="N1628" s="94"/>
      <c r="O1628" s="94"/>
      <c r="P1628" s="94"/>
      <c r="Q1628" s="94"/>
      <c r="R1628" s="94"/>
      <c r="S1628" s="94"/>
      <c r="T1628" s="94"/>
      <c r="U1628" s="94"/>
      <c r="V1628" s="94"/>
      <c r="W1628" s="94"/>
      <c r="X1628" s="94"/>
      <c r="Y1628" s="94"/>
      <c r="Z1628" s="94"/>
      <c r="AA1628" s="94"/>
      <c r="AB1628" s="94"/>
      <c r="AC1628" s="94"/>
      <c r="AD1628" s="94"/>
      <c r="AE1628" s="94"/>
      <c r="AF1628" s="94"/>
      <c r="AG1628" s="94"/>
      <c r="AH1628" s="94"/>
      <c r="AI1628" s="94"/>
      <c r="AJ1628" s="94"/>
      <c r="AK1628" s="94"/>
      <c r="AL1628" s="94"/>
      <c r="AM1628" s="94"/>
      <c r="AN1628" s="94"/>
      <c r="AO1628" s="94"/>
      <c r="AP1628" s="94"/>
      <c r="AQ1628" s="94"/>
      <c r="AR1628" s="94"/>
      <c r="AS1628" s="94"/>
      <c r="AT1628" s="94"/>
      <c r="AU1628" s="94"/>
      <c r="AV1628" s="94"/>
      <c r="AW1628" s="94"/>
      <c r="AX1628" s="94"/>
      <c r="AY1628" s="94"/>
      <c r="AZ1628" s="94"/>
      <c r="BA1628" s="94"/>
      <c r="BB1628" s="94"/>
      <c r="BC1628" s="94"/>
      <c r="BD1628" s="94"/>
      <c r="BE1628" s="94"/>
      <c r="BF1628" s="94"/>
    </row>
    <row r="1629" spans="1:58" x14ac:dyDescent="0.35">
      <c r="A1629" s="101" t="s">
        <v>3409</v>
      </c>
      <c r="B1629" s="102" t="s">
        <v>0</v>
      </c>
      <c r="C1629" s="103">
        <v>5</v>
      </c>
      <c r="D1629" s="101" t="s">
        <v>284</v>
      </c>
      <c r="E1629" s="103" t="s">
        <v>285</v>
      </c>
      <c r="F1629" s="94"/>
      <c r="G1629" s="94"/>
      <c r="H1629" s="94"/>
      <c r="I1629" s="94"/>
      <c r="J1629" s="94"/>
      <c r="K1629" s="94"/>
      <c r="L1629" s="94"/>
      <c r="M1629" s="94"/>
      <c r="N1629" s="94"/>
      <c r="O1629" s="94"/>
      <c r="P1629" s="94"/>
      <c r="Q1629" s="94"/>
      <c r="R1629" s="94"/>
      <c r="S1629" s="94"/>
      <c r="T1629" s="94"/>
      <c r="U1629" s="94"/>
      <c r="V1629" s="94"/>
      <c r="W1629" s="94"/>
      <c r="X1629" s="94"/>
      <c r="Y1629" s="94"/>
      <c r="Z1629" s="94"/>
      <c r="AA1629" s="94"/>
      <c r="AB1629" s="94"/>
      <c r="AC1629" s="94"/>
      <c r="AD1629" s="94"/>
      <c r="AE1629" s="94"/>
      <c r="AF1629" s="94"/>
      <c r="AG1629" s="94"/>
      <c r="AH1629" s="94"/>
      <c r="AI1629" s="94"/>
      <c r="AJ1629" s="94"/>
      <c r="AK1629" s="94"/>
      <c r="AL1629" s="94"/>
      <c r="AM1629" s="94"/>
      <c r="AN1629" s="94"/>
      <c r="AO1629" s="94"/>
      <c r="AP1629" s="94"/>
      <c r="AQ1629" s="94"/>
      <c r="AR1629" s="94"/>
      <c r="AS1629" s="94"/>
      <c r="AT1629" s="94"/>
      <c r="AU1629" s="94"/>
      <c r="AV1629" s="94"/>
      <c r="AW1629" s="94"/>
      <c r="AX1629" s="94"/>
      <c r="AY1629" s="94"/>
      <c r="AZ1629" s="94"/>
      <c r="BA1629" s="94"/>
      <c r="BB1629" s="94"/>
      <c r="BC1629" s="94"/>
      <c r="BD1629" s="94"/>
      <c r="BE1629" s="94"/>
      <c r="BF1629" s="94"/>
    </row>
    <row r="1630" spans="1:58" x14ac:dyDescent="0.35">
      <c r="A1630" s="101" t="s">
        <v>3410</v>
      </c>
      <c r="B1630" s="102" t="s">
        <v>0</v>
      </c>
      <c r="C1630" s="103">
        <v>5</v>
      </c>
      <c r="D1630" s="101" t="s">
        <v>284</v>
      </c>
      <c r="E1630" s="103" t="s">
        <v>286</v>
      </c>
      <c r="F1630" s="94"/>
      <c r="G1630" s="94"/>
      <c r="H1630" s="94"/>
      <c r="I1630" s="94"/>
      <c r="J1630" s="94"/>
      <c r="K1630" s="94"/>
      <c r="L1630" s="94"/>
      <c r="M1630" s="94"/>
      <c r="N1630" s="94"/>
      <c r="O1630" s="94"/>
      <c r="P1630" s="94"/>
      <c r="Q1630" s="94"/>
      <c r="R1630" s="94"/>
      <c r="S1630" s="94"/>
      <c r="T1630" s="94"/>
      <c r="U1630" s="94"/>
      <c r="V1630" s="94"/>
      <c r="W1630" s="94"/>
      <c r="X1630" s="94"/>
      <c r="Y1630" s="94"/>
      <c r="Z1630" s="94"/>
      <c r="AA1630" s="94"/>
      <c r="AB1630" s="94"/>
      <c r="AC1630" s="94"/>
      <c r="AD1630" s="94"/>
      <c r="AE1630" s="94"/>
      <c r="AF1630" s="94"/>
      <c r="AG1630" s="94"/>
      <c r="AH1630" s="94"/>
      <c r="AI1630" s="94"/>
      <c r="AJ1630" s="94"/>
      <c r="AK1630" s="94"/>
      <c r="AL1630" s="94"/>
      <c r="AM1630" s="94"/>
      <c r="AN1630" s="94"/>
      <c r="AO1630" s="94"/>
      <c r="AP1630" s="94"/>
      <c r="AQ1630" s="94"/>
      <c r="AR1630" s="94"/>
      <c r="AS1630" s="94"/>
      <c r="AT1630" s="94"/>
      <c r="AU1630" s="94"/>
      <c r="AV1630" s="94"/>
      <c r="AW1630" s="94"/>
      <c r="AX1630" s="94"/>
      <c r="AY1630" s="94"/>
      <c r="AZ1630" s="94"/>
      <c r="BA1630" s="94"/>
      <c r="BB1630" s="94"/>
      <c r="BC1630" s="94"/>
      <c r="BD1630" s="94"/>
      <c r="BE1630" s="94"/>
      <c r="BF1630" s="94"/>
    </row>
    <row r="1631" spans="1:58" x14ac:dyDescent="0.35">
      <c r="A1631" s="101" t="s">
        <v>3411</v>
      </c>
      <c r="B1631" s="102" t="s">
        <v>0</v>
      </c>
      <c r="C1631" s="103">
        <v>5</v>
      </c>
      <c r="D1631" s="101" t="s">
        <v>287</v>
      </c>
      <c r="E1631" s="103" t="s">
        <v>288</v>
      </c>
      <c r="F1631" s="94"/>
      <c r="G1631" s="94"/>
      <c r="H1631" s="94"/>
      <c r="I1631" s="94"/>
      <c r="J1631" s="94"/>
      <c r="K1631" s="94"/>
      <c r="L1631" s="94"/>
      <c r="M1631" s="94"/>
      <c r="N1631" s="94"/>
      <c r="O1631" s="94"/>
      <c r="P1631" s="94"/>
      <c r="Q1631" s="94"/>
      <c r="R1631" s="94"/>
      <c r="S1631" s="94"/>
      <c r="T1631" s="94"/>
      <c r="U1631" s="94"/>
      <c r="V1631" s="94"/>
      <c r="W1631" s="94"/>
      <c r="X1631" s="94"/>
      <c r="Y1631" s="94"/>
      <c r="Z1631" s="94"/>
      <c r="AA1631" s="94"/>
      <c r="AB1631" s="94"/>
      <c r="AC1631" s="94"/>
      <c r="AD1631" s="94"/>
      <c r="AE1631" s="94"/>
      <c r="AF1631" s="94"/>
      <c r="AG1631" s="94"/>
      <c r="AH1631" s="94"/>
      <c r="AI1631" s="94"/>
      <c r="AJ1631" s="94"/>
      <c r="AK1631" s="94"/>
      <c r="AL1631" s="94"/>
      <c r="AM1631" s="94"/>
      <c r="AN1631" s="94"/>
      <c r="AO1631" s="94"/>
      <c r="AP1631" s="94"/>
      <c r="AQ1631" s="94"/>
      <c r="AR1631" s="94"/>
      <c r="AS1631" s="94"/>
      <c r="AT1631" s="94"/>
      <c r="AU1631" s="94"/>
      <c r="AV1631" s="94"/>
      <c r="AW1631" s="94"/>
      <c r="AX1631" s="94"/>
      <c r="AY1631" s="94"/>
      <c r="AZ1631" s="94"/>
      <c r="BA1631" s="94"/>
      <c r="BB1631" s="94"/>
      <c r="BC1631" s="94"/>
      <c r="BD1631" s="94"/>
      <c r="BE1631" s="94"/>
      <c r="BF1631" s="94"/>
    </row>
    <row r="1632" spans="1:58" x14ac:dyDescent="0.35">
      <c r="A1632" s="101" t="s">
        <v>3412</v>
      </c>
      <c r="B1632" s="102" t="s">
        <v>0</v>
      </c>
      <c r="C1632" s="103">
        <v>5</v>
      </c>
      <c r="D1632" s="101" t="s">
        <v>287</v>
      </c>
      <c r="E1632" s="103" t="s">
        <v>289</v>
      </c>
      <c r="F1632" s="94"/>
      <c r="G1632" s="94"/>
      <c r="H1632" s="94"/>
      <c r="I1632" s="94"/>
      <c r="J1632" s="94"/>
      <c r="K1632" s="94"/>
      <c r="L1632" s="94"/>
      <c r="M1632" s="94"/>
      <c r="N1632" s="94"/>
      <c r="O1632" s="94"/>
      <c r="P1632" s="94"/>
      <c r="Q1632" s="94"/>
      <c r="R1632" s="94"/>
      <c r="S1632" s="94"/>
      <c r="T1632" s="94"/>
      <c r="U1632" s="94"/>
      <c r="V1632" s="94"/>
      <c r="W1632" s="94"/>
      <c r="X1632" s="94"/>
      <c r="Y1632" s="94"/>
      <c r="Z1632" s="94"/>
      <c r="AA1632" s="94"/>
      <c r="AB1632" s="94"/>
      <c r="AC1632" s="94"/>
      <c r="AD1632" s="94"/>
      <c r="AE1632" s="94"/>
      <c r="AF1632" s="94"/>
      <c r="AG1632" s="94"/>
      <c r="AH1632" s="94"/>
      <c r="AI1632" s="94"/>
      <c r="AJ1632" s="94"/>
      <c r="AK1632" s="94"/>
      <c r="AL1632" s="94"/>
      <c r="AM1632" s="94"/>
      <c r="AN1632" s="94"/>
      <c r="AO1632" s="94"/>
      <c r="AP1632" s="94"/>
      <c r="AQ1632" s="94"/>
      <c r="AR1632" s="94"/>
      <c r="AS1632" s="94"/>
      <c r="AT1632" s="94"/>
      <c r="AU1632" s="94"/>
      <c r="AV1632" s="94"/>
      <c r="AW1632" s="94"/>
      <c r="AX1632" s="94"/>
      <c r="AY1632" s="94"/>
      <c r="AZ1632" s="94"/>
      <c r="BA1632" s="94"/>
      <c r="BB1632" s="94"/>
      <c r="BC1632" s="94"/>
      <c r="BD1632" s="94"/>
      <c r="BE1632" s="94"/>
      <c r="BF1632" s="94"/>
    </row>
    <row r="1633" spans="1:58" x14ac:dyDescent="0.35">
      <c r="A1633" s="95" t="s">
        <v>3413</v>
      </c>
      <c r="B1633" s="96" t="s">
        <v>0</v>
      </c>
      <c r="C1633" s="97">
        <v>4</v>
      </c>
      <c r="D1633" s="95" t="s">
        <v>290</v>
      </c>
      <c r="E1633" s="97"/>
      <c r="F1633" s="94"/>
      <c r="G1633" s="94"/>
      <c r="H1633" s="94"/>
      <c r="I1633" s="94"/>
      <c r="J1633" s="94"/>
      <c r="K1633" s="94"/>
      <c r="L1633" s="94"/>
      <c r="M1633" s="94"/>
      <c r="N1633" s="94"/>
      <c r="O1633" s="94"/>
      <c r="P1633" s="94"/>
      <c r="Q1633" s="94"/>
      <c r="R1633" s="94"/>
      <c r="S1633" s="94"/>
      <c r="T1633" s="94"/>
      <c r="U1633" s="94"/>
      <c r="V1633" s="94"/>
      <c r="W1633" s="94"/>
      <c r="X1633" s="94"/>
      <c r="Y1633" s="94"/>
      <c r="Z1633" s="94"/>
      <c r="AA1633" s="94"/>
      <c r="AB1633" s="94"/>
      <c r="AC1633" s="94"/>
      <c r="AD1633" s="94"/>
      <c r="AE1633" s="94"/>
      <c r="AF1633" s="94"/>
      <c r="AG1633" s="94"/>
      <c r="AH1633" s="94"/>
      <c r="AI1633" s="94"/>
      <c r="AJ1633" s="94"/>
      <c r="AK1633" s="94"/>
      <c r="AL1633" s="94"/>
      <c r="AM1633" s="94"/>
      <c r="AN1633" s="94"/>
      <c r="AO1633" s="94"/>
      <c r="AP1633" s="94"/>
      <c r="AQ1633" s="94"/>
      <c r="AR1633" s="94"/>
      <c r="AS1633" s="94"/>
      <c r="AT1633" s="94"/>
      <c r="AU1633" s="94"/>
      <c r="AV1633" s="94"/>
      <c r="AW1633" s="94"/>
      <c r="AX1633" s="94"/>
      <c r="AY1633" s="94"/>
      <c r="AZ1633" s="94"/>
      <c r="BA1633" s="94"/>
      <c r="BB1633" s="94"/>
      <c r="BC1633" s="94"/>
      <c r="BD1633" s="94"/>
      <c r="BE1633" s="94"/>
      <c r="BF1633" s="94"/>
    </row>
    <row r="1634" spans="1:58" x14ac:dyDescent="0.35">
      <c r="A1634" s="101" t="s">
        <v>3414</v>
      </c>
      <c r="B1634" s="102" t="s">
        <v>0</v>
      </c>
      <c r="C1634" s="103">
        <v>5</v>
      </c>
      <c r="D1634" s="101" t="s">
        <v>472</v>
      </c>
      <c r="E1634" s="103" t="s">
        <v>291</v>
      </c>
      <c r="F1634" s="94"/>
      <c r="G1634" s="94"/>
      <c r="H1634" s="94"/>
      <c r="I1634" s="94"/>
      <c r="J1634" s="94"/>
      <c r="K1634" s="94"/>
      <c r="L1634" s="94"/>
      <c r="M1634" s="94"/>
      <c r="N1634" s="94"/>
      <c r="O1634" s="94"/>
      <c r="P1634" s="94"/>
      <c r="Q1634" s="94"/>
      <c r="R1634" s="94"/>
      <c r="S1634" s="94"/>
      <c r="T1634" s="94"/>
      <c r="U1634" s="94"/>
      <c r="V1634" s="94"/>
      <c r="W1634" s="94"/>
      <c r="X1634" s="94"/>
      <c r="Y1634" s="94"/>
      <c r="Z1634" s="94"/>
      <c r="AA1634" s="94"/>
      <c r="AB1634" s="94"/>
      <c r="AC1634" s="94"/>
      <c r="AD1634" s="94"/>
      <c r="AE1634" s="94"/>
      <c r="AF1634" s="94"/>
      <c r="AG1634" s="94"/>
      <c r="AH1634" s="94"/>
      <c r="AI1634" s="94"/>
      <c r="AJ1634" s="94"/>
      <c r="AK1634" s="94"/>
      <c r="AL1634" s="94"/>
      <c r="AM1634" s="94"/>
      <c r="AN1634" s="94"/>
      <c r="AO1634" s="94"/>
      <c r="AP1634" s="94"/>
      <c r="AQ1634" s="94"/>
      <c r="AR1634" s="94"/>
      <c r="AS1634" s="94"/>
      <c r="AT1634" s="94"/>
      <c r="AU1634" s="94"/>
      <c r="AV1634" s="94"/>
      <c r="AW1634" s="94"/>
      <c r="AX1634" s="94"/>
      <c r="AY1634" s="94"/>
      <c r="AZ1634" s="94"/>
      <c r="BA1634" s="94"/>
      <c r="BB1634" s="94"/>
      <c r="BC1634" s="94"/>
      <c r="BD1634" s="94"/>
      <c r="BE1634" s="94"/>
      <c r="BF1634" s="94"/>
    </row>
    <row r="1635" spans="1:58" x14ac:dyDescent="0.35">
      <c r="A1635" s="104" t="s">
        <v>3415</v>
      </c>
      <c r="B1635" s="105" t="s">
        <v>0</v>
      </c>
      <c r="C1635" s="106">
        <v>6</v>
      </c>
      <c r="D1635" s="104" t="s">
        <v>1665</v>
      </c>
      <c r="E1635" s="106"/>
      <c r="F1635" s="94"/>
      <c r="G1635" s="94"/>
      <c r="H1635" s="94"/>
      <c r="I1635" s="94"/>
      <c r="J1635" s="94"/>
      <c r="K1635" s="94"/>
      <c r="L1635" s="94"/>
      <c r="M1635" s="94"/>
      <c r="N1635" s="94"/>
      <c r="O1635" s="94"/>
      <c r="P1635" s="94"/>
      <c r="Q1635" s="94"/>
      <c r="R1635" s="94"/>
      <c r="S1635" s="94"/>
      <c r="T1635" s="94"/>
      <c r="U1635" s="94"/>
      <c r="V1635" s="94"/>
      <c r="W1635" s="94"/>
      <c r="X1635" s="94"/>
      <c r="Y1635" s="94"/>
      <c r="Z1635" s="94"/>
      <c r="AA1635" s="94"/>
      <c r="AB1635" s="94"/>
      <c r="AC1635" s="94"/>
      <c r="AD1635" s="94"/>
      <c r="AE1635" s="94"/>
      <c r="AF1635" s="94"/>
      <c r="AG1635" s="94"/>
      <c r="AH1635" s="94"/>
      <c r="AI1635" s="94"/>
      <c r="AJ1635" s="94"/>
      <c r="AK1635" s="94"/>
      <c r="AL1635" s="94"/>
      <c r="AM1635" s="94"/>
      <c r="AN1635" s="94"/>
      <c r="AO1635" s="94"/>
      <c r="AP1635" s="94"/>
      <c r="AQ1635" s="94"/>
      <c r="AR1635" s="94"/>
      <c r="AS1635" s="94"/>
      <c r="AT1635" s="94"/>
      <c r="AU1635" s="94"/>
      <c r="AV1635" s="94"/>
      <c r="AW1635" s="94"/>
      <c r="AX1635" s="94"/>
      <c r="AY1635" s="94"/>
      <c r="AZ1635" s="94"/>
      <c r="BA1635" s="94"/>
      <c r="BB1635" s="94"/>
      <c r="BC1635" s="94"/>
      <c r="BD1635" s="94"/>
      <c r="BE1635" s="94"/>
      <c r="BF1635" s="94"/>
    </row>
    <row r="1636" spans="1:58" x14ac:dyDescent="0.35">
      <c r="A1636" s="107" t="s">
        <v>3416</v>
      </c>
      <c r="B1636" s="108" t="s">
        <v>0</v>
      </c>
      <c r="C1636" s="109">
        <v>7</v>
      </c>
      <c r="D1636" s="107" t="s">
        <v>1733</v>
      </c>
      <c r="E1636" s="109" t="s">
        <v>1734</v>
      </c>
      <c r="F1636" s="94"/>
      <c r="G1636" s="94"/>
      <c r="H1636" s="94"/>
      <c r="I1636" s="94"/>
      <c r="J1636" s="94"/>
      <c r="K1636" s="94"/>
      <c r="L1636" s="94"/>
      <c r="M1636" s="94"/>
      <c r="N1636" s="94"/>
      <c r="O1636" s="94"/>
      <c r="P1636" s="94"/>
      <c r="Q1636" s="94"/>
      <c r="R1636" s="94"/>
      <c r="S1636" s="94"/>
      <c r="T1636" s="94"/>
      <c r="U1636" s="94"/>
      <c r="V1636" s="94"/>
      <c r="W1636" s="94"/>
      <c r="X1636" s="94"/>
      <c r="Y1636" s="94"/>
      <c r="Z1636" s="94"/>
      <c r="AA1636" s="94"/>
      <c r="AB1636" s="94"/>
      <c r="AC1636" s="94"/>
      <c r="AD1636" s="94"/>
      <c r="AE1636" s="94"/>
      <c r="AF1636" s="94"/>
      <c r="AG1636" s="94"/>
      <c r="AH1636" s="94"/>
      <c r="AI1636" s="94"/>
      <c r="AJ1636" s="94"/>
      <c r="AK1636" s="94"/>
      <c r="AL1636" s="94"/>
      <c r="AM1636" s="94"/>
      <c r="AN1636" s="94"/>
      <c r="AO1636" s="94"/>
      <c r="AP1636" s="94"/>
      <c r="AQ1636" s="94"/>
      <c r="AR1636" s="94"/>
      <c r="AS1636" s="94"/>
      <c r="AT1636" s="94"/>
      <c r="AU1636" s="94"/>
      <c r="AV1636" s="94"/>
      <c r="AW1636" s="94"/>
      <c r="AX1636" s="94"/>
      <c r="AY1636" s="94"/>
      <c r="AZ1636" s="94"/>
      <c r="BA1636" s="94"/>
      <c r="BB1636" s="94"/>
      <c r="BC1636" s="94"/>
      <c r="BD1636" s="94"/>
      <c r="BE1636" s="94"/>
      <c r="BF1636" s="94"/>
    </row>
    <row r="1637" spans="1:58" x14ac:dyDescent="0.35">
      <c r="A1637" s="107" t="s">
        <v>3417</v>
      </c>
      <c r="B1637" s="108" t="s">
        <v>0</v>
      </c>
      <c r="C1637" s="109">
        <v>7</v>
      </c>
      <c r="D1637" s="107" t="s">
        <v>1735</v>
      </c>
      <c r="E1637" s="109" t="s">
        <v>1736</v>
      </c>
      <c r="F1637" s="94"/>
      <c r="G1637" s="94"/>
      <c r="H1637" s="94"/>
      <c r="I1637" s="94"/>
      <c r="J1637" s="94"/>
      <c r="K1637" s="94"/>
      <c r="L1637" s="94"/>
      <c r="M1637" s="94"/>
      <c r="N1637" s="94"/>
      <c r="O1637" s="94"/>
      <c r="P1637" s="94"/>
      <c r="Q1637" s="94"/>
      <c r="R1637" s="94"/>
      <c r="S1637" s="94"/>
      <c r="T1637" s="94"/>
      <c r="U1637" s="94"/>
      <c r="V1637" s="94"/>
      <c r="W1637" s="94"/>
      <c r="X1637" s="94"/>
      <c r="Y1637" s="94"/>
      <c r="Z1637" s="94"/>
      <c r="AA1637" s="94"/>
      <c r="AB1637" s="94"/>
      <c r="AC1637" s="94"/>
      <c r="AD1637" s="94"/>
      <c r="AE1637" s="94"/>
      <c r="AF1637" s="94"/>
      <c r="AG1637" s="94"/>
      <c r="AH1637" s="94"/>
      <c r="AI1637" s="94"/>
      <c r="AJ1637" s="94"/>
      <c r="AK1637" s="94"/>
      <c r="AL1637" s="94"/>
      <c r="AM1637" s="94"/>
      <c r="AN1637" s="94"/>
      <c r="AO1637" s="94"/>
      <c r="AP1637" s="94"/>
      <c r="AQ1637" s="94"/>
      <c r="AR1637" s="94"/>
      <c r="AS1637" s="94"/>
      <c r="AT1637" s="94"/>
      <c r="AU1637" s="94"/>
      <c r="AV1637" s="94"/>
      <c r="AW1637" s="94"/>
      <c r="AX1637" s="94"/>
      <c r="AY1637" s="94"/>
      <c r="AZ1637" s="94"/>
      <c r="BA1637" s="94"/>
      <c r="BB1637" s="94"/>
      <c r="BC1637" s="94"/>
      <c r="BD1637" s="94"/>
      <c r="BE1637" s="94"/>
      <c r="BF1637" s="94"/>
    </row>
    <row r="1638" spans="1:58" x14ac:dyDescent="0.35">
      <c r="A1638" s="101" t="s">
        <v>3418</v>
      </c>
      <c r="B1638" s="102" t="s">
        <v>0</v>
      </c>
      <c r="C1638" s="103">
        <v>5</v>
      </c>
      <c r="D1638" s="101" t="s">
        <v>292</v>
      </c>
      <c r="E1638" s="103" t="s">
        <v>293</v>
      </c>
      <c r="F1638" s="94"/>
      <c r="G1638" s="94"/>
      <c r="H1638" s="94"/>
      <c r="I1638" s="94"/>
      <c r="J1638" s="94"/>
      <c r="K1638" s="94"/>
      <c r="L1638" s="94"/>
      <c r="M1638" s="94"/>
      <c r="N1638" s="94"/>
      <c r="O1638" s="94"/>
      <c r="P1638" s="94"/>
      <c r="Q1638" s="94"/>
      <c r="R1638" s="94"/>
      <c r="S1638" s="94"/>
      <c r="T1638" s="94"/>
      <c r="U1638" s="94"/>
      <c r="V1638" s="94"/>
      <c r="W1638" s="94"/>
      <c r="X1638" s="94"/>
      <c r="Y1638" s="94"/>
      <c r="Z1638" s="94"/>
      <c r="AA1638" s="94"/>
      <c r="AB1638" s="94"/>
      <c r="AC1638" s="94"/>
      <c r="AD1638" s="94"/>
      <c r="AE1638" s="94"/>
      <c r="AF1638" s="94"/>
      <c r="AG1638" s="94"/>
      <c r="AH1638" s="94"/>
      <c r="AI1638" s="94"/>
      <c r="AJ1638" s="94"/>
      <c r="AK1638" s="94"/>
      <c r="AL1638" s="94"/>
      <c r="AM1638" s="94"/>
      <c r="AN1638" s="94"/>
      <c r="AO1638" s="94"/>
      <c r="AP1638" s="94"/>
      <c r="AQ1638" s="94"/>
      <c r="AR1638" s="94"/>
      <c r="AS1638" s="94"/>
      <c r="AT1638" s="94"/>
      <c r="AU1638" s="94"/>
      <c r="AV1638" s="94"/>
      <c r="AW1638" s="94"/>
      <c r="AX1638" s="94"/>
      <c r="AY1638" s="94"/>
      <c r="AZ1638" s="94"/>
      <c r="BA1638" s="94"/>
      <c r="BB1638" s="94"/>
      <c r="BC1638" s="94"/>
      <c r="BD1638" s="94"/>
      <c r="BE1638" s="94"/>
      <c r="BF1638" s="94"/>
    </row>
    <row r="1639" spans="1:58" x14ac:dyDescent="0.35">
      <c r="A1639" s="104" t="s">
        <v>3419</v>
      </c>
      <c r="B1639" s="105" t="s">
        <v>0</v>
      </c>
      <c r="C1639" s="106">
        <v>6</v>
      </c>
      <c r="D1639" s="104" t="s">
        <v>9</v>
      </c>
      <c r="E1639" s="106" t="s">
        <v>1578</v>
      </c>
      <c r="F1639" s="94"/>
      <c r="G1639" s="94"/>
      <c r="H1639" s="94"/>
      <c r="I1639" s="94"/>
      <c r="J1639" s="94"/>
      <c r="K1639" s="94"/>
      <c r="L1639" s="94"/>
      <c r="M1639" s="94"/>
      <c r="N1639" s="94"/>
      <c r="O1639" s="94"/>
      <c r="P1639" s="94"/>
      <c r="Q1639" s="94"/>
      <c r="R1639" s="94"/>
      <c r="S1639" s="94"/>
      <c r="T1639" s="94"/>
      <c r="U1639" s="94"/>
      <c r="V1639" s="94"/>
      <c r="W1639" s="94"/>
      <c r="X1639" s="94"/>
      <c r="Y1639" s="94"/>
      <c r="Z1639" s="94"/>
      <c r="AA1639" s="94"/>
      <c r="AB1639" s="94"/>
      <c r="AC1639" s="94"/>
      <c r="AD1639" s="94"/>
      <c r="AE1639" s="94"/>
      <c r="AF1639" s="94"/>
      <c r="AG1639" s="94"/>
      <c r="AH1639" s="94"/>
      <c r="AI1639" s="94"/>
      <c r="AJ1639" s="94"/>
      <c r="AK1639" s="94"/>
      <c r="AL1639" s="94"/>
      <c r="AM1639" s="94"/>
      <c r="AN1639" s="94"/>
      <c r="AO1639" s="94"/>
      <c r="AP1639" s="94"/>
      <c r="AQ1639" s="94"/>
      <c r="AR1639" s="94"/>
      <c r="AS1639" s="94"/>
      <c r="AT1639" s="94"/>
      <c r="AU1639" s="94"/>
      <c r="AV1639" s="94"/>
      <c r="AW1639" s="94"/>
      <c r="AX1639" s="94"/>
      <c r="AY1639" s="94"/>
      <c r="AZ1639" s="94"/>
      <c r="BA1639" s="94"/>
      <c r="BB1639" s="94"/>
      <c r="BC1639" s="94"/>
      <c r="BD1639" s="94"/>
      <c r="BE1639" s="94"/>
      <c r="BF1639" s="94"/>
    </row>
    <row r="1640" spans="1:58" x14ac:dyDescent="0.35">
      <c r="A1640" s="107" t="s">
        <v>3420</v>
      </c>
      <c r="B1640" s="108" t="s">
        <v>0</v>
      </c>
      <c r="C1640" s="109">
        <v>7</v>
      </c>
      <c r="D1640" s="107" t="s">
        <v>631</v>
      </c>
      <c r="E1640" s="109"/>
      <c r="F1640" s="94"/>
      <c r="G1640" s="94"/>
      <c r="H1640" s="94"/>
      <c r="I1640" s="94"/>
      <c r="J1640" s="94"/>
      <c r="K1640" s="94"/>
      <c r="L1640" s="94"/>
      <c r="M1640" s="94"/>
      <c r="N1640" s="94"/>
      <c r="O1640" s="94"/>
      <c r="P1640" s="94"/>
      <c r="Q1640" s="94"/>
      <c r="R1640" s="94"/>
      <c r="S1640" s="94"/>
      <c r="T1640" s="94"/>
      <c r="U1640" s="94"/>
      <c r="V1640" s="94"/>
      <c r="W1640" s="94"/>
      <c r="X1640" s="94"/>
      <c r="Y1640" s="94"/>
      <c r="Z1640" s="94"/>
      <c r="AA1640" s="94"/>
      <c r="AB1640" s="94"/>
      <c r="AC1640" s="94"/>
      <c r="AD1640" s="94"/>
      <c r="AE1640" s="94"/>
      <c r="AF1640" s="94"/>
      <c r="AG1640" s="94"/>
      <c r="AH1640" s="94"/>
      <c r="AI1640" s="94"/>
      <c r="AJ1640" s="94"/>
      <c r="AK1640" s="94"/>
      <c r="AL1640" s="94"/>
      <c r="AM1640" s="94"/>
      <c r="AN1640" s="94"/>
      <c r="AO1640" s="94"/>
      <c r="AP1640" s="94"/>
      <c r="AQ1640" s="94"/>
      <c r="AR1640" s="94"/>
      <c r="AS1640" s="94"/>
      <c r="AT1640" s="94"/>
      <c r="AU1640" s="94"/>
      <c r="AV1640" s="94"/>
      <c r="AW1640" s="94"/>
      <c r="AX1640" s="94"/>
      <c r="AY1640" s="94"/>
      <c r="AZ1640" s="94"/>
      <c r="BA1640" s="94"/>
      <c r="BB1640" s="94"/>
      <c r="BC1640" s="94"/>
      <c r="BD1640" s="94"/>
      <c r="BE1640" s="94"/>
      <c r="BF1640" s="94"/>
    </row>
    <row r="1641" spans="1:58" x14ac:dyDescent="0.35">
      <c r="A1641" s="107" t="s">
        <v>3421</v>
      </c>
      <c r="B1641" s="108" t="s">
        <v>0</v>
      </c>
      <c r="C1641" s="109">
        <v>7</v>
      </c>
      <c r="D1641" s="107" t="s">
        <v>714</v>
      </c>
      <c r="E1641" s="109"/>
      <c r="F1641" s="94"/>
      <c r="G1641" s="94"/>
      <c r="H1641" s="94"/>
      <c r="I1641" s="94"/>
      <c r="J1641" s="94"/>
      <c r="K1641" s="94"/>
      <c r="L1641" s="94"/>
      <c r="M1641" s="94"/>
      <c r="N1641" s="94"/>
      <c r="O1641" s="94"/>
      <c r="P1641" s="94"/>
      <c r="Q1641" s="94"/>
      <c r="R1641" s="94"/>
      <c r="S1641" s="94"/>
      <c r="T1641" s="94"/>
      <c r="U1641" s="94"/>
      <c r="V1641" s="94"/>
      <c r="W1641" s="94"/>
      <c r="X1641" s="94"/>
      <c r="Y1641" s="94"/>
      <c r="Z1641" s="94"/>
      <c r="AA1641" s="94"/>
      <c r="AB1641" s="94"/>
      <c r="AC1641" s="94"/>
      <c r="AD1641" s="94"/>
      <c r="AE1641" s="94"/>
      <c r="AF1641" s="94"/>
      <c r="AG1641" s="94"/>
      <c r="AH1641" s="94"/>
      <c r="AI1641" s="94"/>
      <c r="AJ1641" s="94"/>
      <c r="AK1641" s="94"/>
      <c r="AL1641" s="94"/>
      <c r="AM1641" s="94"/>
      <c r="AN1641" s="94"/>
      <c r="AO1641" s="94"/>
      <c r="AP1641" s="94"/>
      <c r="AQ1641" s="94"/>
      <c r="AR1641" s="94"/>
      <c r="AS1641" s="94"/>
      <c r="AT1641" s="94"/>
      <c r="AU1641" s="94"/>
      <c r="AV1641" s="94"/>
      <c r="AW1641" s="94"/>
      <c r="AX1641" s="94"/>
      <c r="AY1641" s="94"/>
      <c r="AZ1641" s="94"/>
      <c r="BA1641" s="94"/>
      <c r="BB1641" s="94"/>
      <c r="BC1641" s="94"/>
      <c r="BD1641" s="94"/>
      <c r="BE1641" s="94"/>
      <c r="BF1641" s="94"/>
    </row>
    <row r="1642" spans="1:58" x14ac:dyDescent="0.35">
      <c r="A1642" s="107" t="s">
        <v>3422</v>
      </c>
      <c r="B1642" s="108" t="s">
        <v>0</v>
      </c>
      <c r="C1642" s="109">
        <v>7</v>
      </c>
      <c r="D1642" s="107" t="s">
        <v>632</v>
      </c>
      <c r="E1642" s="109"/>
      <c r="F1642" s="94"/>
      <c r="G1642" s="94"/>
      <c r="H1642" s="94"/>
      <c r="I1642" s="94"/>
      <c r="J1642" s="94"/>
      <c r="K1642" s="94"/>
      <c r="L1642" s="94"/>
      <c r="M1642" s="94"/>
      <c r="N1642" s="94"/>
      <c r="O1642" s="94"/>
      <c r="P1642" s="94"/>
      <c r="Q1642" s="94"/>
      <c r="R1642" s="94"/>
      <c r="S1642" s="94"/>
      <c r="T1642" s="94"/>
      <c r="U1642" s="94"/>
      <c r="V1642" s="94"/>
      <c r="W1642" s="94"/>
      <c r="X1642" s="94"/>
      <c r="Y1642" s="94"/>
      <c r="Z1642" s="94"/>
      <c r="AA1642" s="94"/>
      <c r="AB1642" s="94"/>
      <c r="AC1642" s="94"/>
      <c r="AD1642" s="94"/>
      <c r="AE1642" s="94"/>
      <c r="AF1642" s="94"/>
      <c r="AG1642" s="94"/>
      <c r="AH1642" s="94"/>
      <c r="AI1642" s="94"/>
      <c r="AJ1642" s="94"/>
      <c r="AK1642" s="94"/>
      <c r="AL1642" s="94"/>
      <c r="AM1642" s="94"/>
      <c r="AN1642" s="94"/>
      <c r="AO1642" s="94"/>
      <c r="AP1642" s="94"/>
      <c r="AQ1642" s="94"/>
      <c r="AR1642" s="94"/>
      <c r="AS1642" s="94"/>
      <c r="AT1642" s="94"/>
      <c r="AU1642" s="94"/>
      <c r="AV1642" s="94"/>
      <c r="AW1642" s="94"/>
      <c r="AX1642" s="94"/>
      <c r="AY1642" s="94"/>
      <c r="AZ1642" s="94"/>
      <c r="BA1642" s="94"/>
      <c r="BB1642" s="94"/>
      <c r="BC1642" s="94"/>
      <c r="BD1642" s="94"/>
      <c r="BE1642" s="94"/>
      <c r="BF1642" s="94"/>
    </row>
    <row r="1643" spans="1:58" x14ac:dyDescent="0.35">
      <c r="A1643" s="107" t="s">
        <v>3423</v>
      </c>
      <c r="B1643" s="108" t="s">
        <v>0</v>
      </c>
      <c r="C1643" s="109">
        <v>7</v>
      </c>
      <c r="D1643" s="107" t="s">
        <v>708</v>
      </c>
      <c r="E1643" s="109" t="s">
        <v>1579</v>
      </c>
      <c r="F1643" s="94"/>
      <c r="G1643" s="94"/>
      <c r="H1643" s="94"/>
      <c r="I1643" s="94"/>
      <c r="J1643" s="94"/>
      <c r="K1643" s="94"/>
      <c r="L1643" s="94"/>
      <c r="M1643" s="94"/>
      <c r="N1643" s="94"/>
      <c r="O1643" s="94"/>
      <c r="P1643" s="94"/>
      <c r="Q1643" s="94"/>
      <c r="R1643" s="94"/>
      <c r="S1643" s="94"/>
      <c r="T1643" s="94"/>
      <c r="U1643" s="94"/>
      <c r="V1643" s="94"/>
      <c r="W1643" s="94"/>
      <c r="X1643" s="94"/>
      <c r="Y1643" s="94"/>
      <c r="Z1643" s="94"/>
      <c r="AA1643" s="94"/>
      <c r="AB1643" s="94"/>
      <c r="AC1643" s="94"/>
      <c r="AD1643" s="94"/>
      <c r="AE1643" s="94"/>
      <c r="AF1643" s="94"/>
      <c r="AG1643" s="94"/>
      <c r="AH1643" s="94"/>
      <c r="AI1643" s="94"/>
      <c r="AJ1643" s="94"/>
      <c r="AK1643" s="94"/>
      <c r="AL1643" s="94"/>
      <c r="AM1643" s="94"/>
      <c r="AN1643" s="94"/>
      <c r="AO1643" s="94"/>
      <c r="AP1643" s="94"/>
      <c r="AQ1643" s="94"/>
      <c r="AR1643" s="94"/>
      <c r="AS1643" s="94"/>
      <c r="AT1643" s="94"/>
      <c r="AU1643" s="94"/>
      <c r="AV1643" s="94"/>
      <c r="AW1643" s="94"/>
      <c r="AX1643" s="94"/>
      <c r="AY1643" s="94"/>
      <c r="AZ1643" s="94"/>
      <c r="BA1643" s="94"/>
      <c r="BB1643" s="94"/>
      <c r="BC1643" s="94"/>
      <c r="BD1643" s="94"/>
      <c r="BE1643" s="94"/>
      <c r="BF1643" s="94"/>
    </row>
    <row r="1644" spans="1:58" x14ac:dyDescent="0.35">
      <c r="A1644" s="107" t="s">
        <v>3424</v>
      </c>
      <c r="B1644" s="108" t="s">
        <v>0</v>
      </c>
      <c r="C1644" s="109">
        <v>7</v>
      </c>
      <c r="D1644" s="107" t="s">
        <v>1518</v>
      </c>
      <c r="E1644" s="109" t="s">
        <v>1580</v>
      </c>
      <c r="F1644" s="94"/>
      <c r="G1644" s="94"/>
      <c r="H1644" s="94"/>
      <c r="I1644" s="94"/>
      <c r="J1644" s="94"/>
      <c r="K1644" s="94"/>
      <c r="L1644" s="94"/>
      <c r="M1644" s="94"/>
      <c r="N1644" s="94"/>
      <c r="O1644" s="94"/>
      <c r="P1644" s="94"/>
      <c r="Q1644" s="94"/>
      <c r="R1644" s="94"/>
      <c r="S1644" s="94"/>
      <c r="T1644" s="94"/>
      <c r="U1644" s="94"/>
      <c r="V1644" s="94"/>
      <c r="W1644" s="94"/>
      <c r="X1644" s="94"/>
      <c r="Y1644" s="94"/>
      <c r="Z1644" s="94"/>
      <c r="AA1644" s="94"/>
      <c r="AB1644" s="94"/>
      <c r="AC1644" s="94"/>
      <c r="AD1644" s="94"/>
      <c r="AE1644" s="94"/>
      <c r="AF1644" s="94"/>
      <c r="AG1644" s="94"/>
      <c r="AH1644" s="94"/>
      <c r="AI1644" s="94"/>
      <c r="AJ1644" s="94"/>
      <c r="AK1644" s="94"/>
      <c r="AL1644" s="94"/>
      <c r="AM1644" s="94"/>
      <c r="AN1644" s="94"/>
      <c r="AO1644" s="94"/>
      <c r="AP1644" s="94"/>
      <c r="AQ1644" s="94"/>
      <c r="AR1644" s="94"/>
      <c r="AS1644" s="94"/>
      <c r="AT1644" s="94"/>
      <c r="AU1644" s="94"/>
      <c r="AV1644" s="94"/>
      <c r="AW1644" s="94"/>
      <c r="AX1644" s="94"/>
      <c r="AY1644" s="94"/>
      <c r="AZ1644" s="94"/>
      <c r="BA1644" s="94"/>
      <c r="BB1644" s="94"/>
      <c r="BC1644" s="94"/>
      <c r="BD1644" s="94"/>
      <c r="BE1644" s="94"/>
      <c r="BF1644" s="94"/>
    </row>
    <row r="1645" spans="1:58" x14ac:dyDescent="0.35">
      <c r="A1645" s="104" t="s">
        <v>3425</v>
      </c>
      <c r="B1645" s="105" t="s">
        <v>0</v>
      </c>
      <c r="C1645" s="106">
        <v>6</v>
      </c>
      <c r="D1645" s="104" t="s">
        <v>8</v>
      </c>
      <c r="E1645" s="106"/>
      <c r="F1645" s="94"/>
      <c r="G1645" s="94"/>
      <c r="H1645" s="94"/>
      <c r="I1645" s="94"/>
      <c r="J1645" s="94"/>
      <c r="K1645" s="94"/>
      <c r="L1645" s="94"/>
      <c r="M1645" s="94"/>
      <c r="N1645" s="94"/>
      <c r="O1645" s="94"/>
      <c r="P1645" s="94"/>
      <c r="Q1645" s="94"/>
      <c r="R1645" s="94"/>
      <c r="S1645" s="94"/>
      <c r="T1645" s="94"/>
      <c r="U1645" s="94"/>
      <c r="V1645" s="94"/>
      <c r="W1645" s="94"/>
      <c r="X1645" s="94"/>
      <c r="Y1645" s="94"/>
      <c r="Z1645" s="94"/>
      <c r="AA1645" s="94"/>
      <c r="AB1645" s="94"/>
      <c r="AC1645" s="94"/>
      <c r="AD1645" s="94"/>
      <c r="AE1645" s="94"/>
      <c r="AF1645" s="94"/>
      <c r="AG1645" s="94"/>
      <c r="AH1645" s="94"/>
      <c r="AI1645" s="94"/>
      <c r="AJ1645" s="94"/>
      <c r="AK1645" s="94"/>
      <c r="AL1645" s="94"/>
      <c r="AM1645" s="94"/>
      <c r="AN1645" s="94"/>
      <c r="AO1645" s="94"/>
      <c r="AP1645" s="94"/>
      <c r="AQ1645" s="94"/>
      <c r="AR1645" s="94"/>
      <c r="AS1645" s="94"/>
      <c r="AT1645" s="94"/>
      <c r="AU1645" s="94"/>
      <c r="AV1645" s="94"/>
      <c r="AW1645" s="94"/>
      <c r="AX1645" s="94"/>
      <c r="AY1645" s="94"/>
      <c r="AZ1645" s="94"/>
      <c r="BA1645" s="94"/>
      <c r="BB1645" s="94"/>
      <c r="BC1645" s="94"/>
      <c r="BD1645" s="94"/>
      <c r="BE1645" s="94"/>
      <c r="BF1645" s="94"/>
    </row>
    <row r="1646" spans="1:58" x14ac:dyDescent="0.35">
      <c r="A1646" s="107" t="s">
        <v>3426</v>
      </c>
      <c r="B1646" s="108" t="s">
        <v>0</v>
      </c>
      <c r="C1646" s="109">
        <v>7</v>
      </c>
      <c r="D1646" s="107" t="s">
        <v>1462</v>
      </c>
      <c r="E1646" s="109"/>
      <c r="F1646" s="94"/>
      <c r="G1646" s="94"/>
      <c r="H1646" s="94"/>
      <c r="I1646" s="94"/>
      <c r="J1646" s="94"/>
      <c r="K1646" s="94"/>
      <c r="L1646" s="94"/>
      <c r="M1646" s="94"/>
      <c r="N1646" s="94"/>
      <c r="O1646" s="94"/>
      <c r="P1646" s="94"/>
      <c r="Q1646" s="94"/>
      <c r="R1646" s="94"/>
      <c r="S1646" s="94"/>
      <c r="T1646" s="94"/>
      <c r="U1646" s="94"/>
      <c r="V1646" s="94"/>
      <c r="W1646" s="94"/>
      <c r="X1646" s="94"/>
      <c r="Y1646" s="94"/>
      <c r="Z1646" s="94"/>
      <c r="AA1646" s="94"/>
      <c r="AB1646" s="94"/>
      <c r="AC1646" s="94"/>
      <c r="AD1646" s="94"/>
      <c r="AE1646" s="94"/>
      <c r="AF1646" s="94"/>
      <c r="AG1646" s="94"/>
      <c r="AH1646" s="94"/>
      <c r="AI1646" s="94"/>
      <c r="AJ1646" s="94"/>
      <c r="AK1646" s="94"/>
      <c r="AL1646" s="94"/>
      <c r="AM1646" s="94"/>
      <c r="AN1646" s="94"/>
      <c r="AO1646" s="94"/>
      <c r="AP1646" s="94"/>
      <c r="AQ1646" s="94"/>
      <c r="AR1646" s="94"/>
      <c r="AS1646" s="94"/>
      <c r="AT1646" s="94"/>
      <c r="AU1646" s="94"/>
      <c r="AV1646" s="94"/>
      <c r="AW1646" s="94"/>
      <c r="AX1646" s="94"/>
      <c r="AY1646" s="94"/>
      <c r="AZ1646" s="94"/>
      <c r="BA1646" s="94"/>
      <c r="BB1646" s="94"/>
      <c r="BC1646" s="94"/>
      <c r="BD1646" s="94"/>
      <c r="BE1646" s="94"/>
      <c r="BF1646" s="94"/>
    </row>
    <row r="1647" spans="1:58" x14ac:dyDescent="0.35">
      <c r="A1647" s="107" t="s">
        <v>3427</v>
      </c>
      <c r="B1647" s="108" t="s">
        <v>0</v>
      </c>
      <c r="C1647" s="109">
        <v>7</v>
      </c>
      <c r="D1647" s="107" t="s">
        <v>1567</v>
      </c>
      <c r="E1647" s="109"/>
      <c r="F1647" s="94"/>
      <c r="G1647" s="94"/>
      <c r="H1647" s="94"/>
      <c r="I1647" s="94"/>
      <c r="J1647" s="94"/>
      <c r="K1647" s="94"/>
      <c r="L1647" s="94"/>
      <c r="M1647" s="94"/>
      <c r="N1647" s="94"/>
      <c r="O1647" s="94"/>
      <c r="P1647" s="94"/>
      <c r="Q1647" s="94"/>
      <c r="R1647" s="94"/>
      <c r="S1647" s="94"/>
      <c r="T1647" s="94"/>
      <c r="U1647" s="94"/>
      <c r="V1647" s="94"/>
      <c r="W1647" s="94"/>
      <c r="X1647" s="94"/>
      <c r="Y1647" s="94"/>
      <c r="Z1647" s="94"/>
      <c r="AA1647" s="94"/>
      <c r="AB1647" s="94"/>
      <c r="AC1647" s="94"/>
      <c r="AD1647" s="94"/>
      <c r="AE1647" s="94"/>
      <c r="AF1647" s="94"/>
      <c r="AG1647" s="94"/>
      <c r="AH1647" s="94"/>
      <c r="AI1647" s="94"/>
      <c r="AJ1647" s="94"/>
      <c r="AK1647" s="94"/>
      <c r="AL1647" s="94"/>
      <c r="AM1647" s="94"/>
      <c r="AN1647" s="94"/>
      <c r="AO1647" s="94"/>
      <c r="AP1647" s="94"/>
      <c r="AQ1647" s="94"/>
      <c r="AR1647" s="94"/>
      <c r="AS1647" s="94"/>
      <c r="AT1647" s="94"/>
      <c r="AU1647" s="94"/>
      <c r="AV1647" s="94"/>
      <c r="AW1647" s="94"/>
      <c r="AX1647" s="94"/>
      <c r="AY1647" s="94"/>
      <c r="AZ1647" s="94"/>
      <c r="BA1647" s="94"/>
      <c r="BB1647" s="94"/>
      <c r="BC1647" s="94"/>
      <c r="BD1647" s="94"/>
      <c r="BE1647" s="94"/>
      <c r="BF1647" s="94"/>
    </row>
    <row r="1648" spans="1:58" x14ac:dyDescent="0.35">
      <c r="A1648" s="104" t="s">
        <v>3428</v>
      </c>
      <c r="B1648" s="105" t="s">
        <v>0</v>
      </c>
      <c r="C1648" s="106">
        <v>6</v>
      </c>
      <c r="D1648" s="104" t="s">
        <v>26</v>
      </c>
      <c r="E1648" s="106"/>
      <c r="F1648" s="94"/>
      <c r="G1648" s="94"/>
      <c r="H1648" s="94"/>
      <c r="I1648" s="94"/>
      <c r="J1648" s="94"/>
      <c r="K1648" s="94"/>
      <c r="L1648" s="94"/>
      <c r="M1648" s="94"/>
      <c r="N1648" s="94"/>
      <c r="O1648" s="94"/>
      <c r="P1648" s="94"/>
      <c r="Q1648" s="94"/>
      <c r="R1648" s="94"/>
      <c r="S1648" s="94"/>
      <c r="T1648" s="94"/>
      <c r="U1648" s="94"/>
      <c r="V1648" s="94"/>
      <c r="W1648" s="94"/>
      <c r="X1648" s="94"/>
      <c r="Y1648" s="94"/>
      <c r="Z1648" s="94"/>
      <c r="AA1648" s="94"/>
      <c r="AB1648" s="94"/>
      <c r="AC1648" s="94"/>
      <c r="AD1648" s="94"/>
      <c r="AE1648" s="94"/>
      <c r="AF1648" s="94"/>
      <c r="AG1648" s="94"/>
      <c r="AH1648" s="94"/>
      <c r="AI1648" s="94"/>
      <c r="AJ1648" s="94"/>
      <c r="AK1648" s="94"/>
      <c r="AL1648" s="94"/>
      <c r="AM1648" s="94"/>
      <c r="AN1648" s="94"/>
      <c r="AO1648" s="94"/>
      <c r="AP1648" s="94"/>
      <c r="AQ1648" s="94"/>
      <c r="AR1648" s="94"/>
      <c r="AS1648" s="94"/>
      <c r="AT1648" s="94"/>
      <c r="AU1648" s="94"/>
      <c r="AV1648" s="94"/>
      <c r="AW1648" s="94"/>
      <c r="AX1648" s="94"/>
      <c r="AY1648" s="94"/>
      <c r="AZ1648" s="94"/>
      <c r="BA1648" s="94"/>
      <c r="BB1648" s="94"/>
      <c r="BC1648" s="94"/>
      <c r="BD1648" s="94"/>
      <c r="BE1648" s="94"/>
      <c r="BF1648" s="94"/>
    </row>
    <row r="1649" spans="1:58" x14ac:dyDescent="0.35">
      <c r="A1649" s="107" t="s">
        <v>3429</v>
      </c>
      <c r="B1649" s="108" t="s">
        <v>0</v>
      </c>
      <c r="C1649" s="109">
        <v>7</v>
      </c>
      <c r="D1649" s="107" t="s">
        <v>3</v>
      </c>
      <c r="E1649" s="109" t="s">
        <v>1581</v>
      </c>
      <c r="F1649" s="94"/>
      <c r="G1649" s="94"/>
      <c r="H1649" s="94"/>
      <c r="I1649" s="94"/>
      <c r="J1649" s="94"/>
      <c r="K1649" s="94"/>
      <c r="L1649" s="94"/>
      <c r="M1649" s="94"/>
      <c r="N1649" s="94"/>
      <c r="O1649" s="94"/>
      <c r="P1649" s="94"/>
      <c r="Q1649" s="94"/>
      <c r="R1649" s="94"/>
      <c r="S1649" s="94"/>
      <c r="T1649" s="94"/>
      <c r="U1649" s="94"/>
      <c r="V1649" s="94"/>
      <c r="W1649" s="94"/>
      <c r="X1649" s="94"/>
      <c r="Y1649" s="94"/>
      <c r="Z1649" s="94"/>
      <c r="AA1649" s="94"/>
      <c r="AB1649" s="94"/>
      <c r="AC1649" s="94"/>
      <c r="AD1649" s="94"/>
      <c r="AE1649" s="94"/>
      <c r="AF1649" s="94"/>
      <c r="AG1649" s="94"/>
      <c r="AH1649" s="94"/>
      <c r="AI1649" s="94"/>
      <c r="AJ1649" s="94"/>
      <c r="AK1649" s="94"/>
      <c r="AL1649" s="94"/>
      <c r="AM1649" s="94"/>
      <c r="AN1649" s="94"/>
      <c r="AO1649" s="94"/>
      <c r="AP1649" s="94"/>
      <c r="AQ1649" s="94"/>
      <c r="AR1649" s="94"/>
      <c r="AS1649" s="94"/>
      <c r="AT1649" s="94"/>
      <c r="AU1649" s="94"/>
      <c r="AV1649" s="94"/>
      <c r="AW1649" s="94"/>
      <c r="AX1649" s="94"/>
      <c r="AY1649" s="94"/>
      <c r="AZ1649" s="94"/>
      <c r="BA1649" s="94"/>
      <c r="BB1649" s="94"/>
      <c r="BC1649" s="94"/>
      <c r="BD1649" s="94"/>
      <c r="BE1649" s="94"/>
      <c r="BF1649" s="94"/>
    </row>
    <row r="1650" spans="1:58" x14ac:dyDescent="0.35">
      <c r="A1650" s="101" t="s">
        <v>3430</v>
      </c>
      <c r="B1650" s="102" t="s">
        <v>0</v>
      </c>
      <c r="C1650" s="103">
        <v>5</v>
      </c>
      <c r="D1650" s="101" t="s">
        <v>625</v>
      </c>
      <c r="E1650" s="103" t="s">
        <v>294</v>
      </c>
      <c r="F1650" s="94"/>
      <c r="G1650" s="94"/>
      <c r="H1650" s="94"/>
      <c r="I1650" s="94"/>
      <c r="J1650" s="94"/>
      <c r="K1650" s="94"/>
      <c r="L1650" s="94"/>
      <c r="M1650" s="94"/>
      <c r="N1650" s="94"/>
      <c r="O1650" s="94"/>
      <c r="P1650" s="94"/>
      <c r="Q1650" s="94"/>
      <c r="R1650" s="94"/>
      <c r="S1650" s="94"/>
      <c r="T1650" s="94"/>
      <c r="U1650" s="94"/>
      <c r="V1650" s="94"/>
      <c r="W1650" s="94"/>
      <c r="X1650" s="94"/>
      <c r="Y1650" s="94"/>
      <c r="Z1650" s="94"/>
      <c r="AA1650" s="94"/>
      <c r="AB1650" s="94"/>
      <c r="AC1650" s="94"/>
      <c r="AD1650" s="94"/>
      <c r="AE1650" s="94"/>
      <c r="AF1650" s="94"/>
      <c r="AG1650" s="94"/>
      <c r="AH1650" s="94"/>
      <c r="AI1650" s="94"/>
      <c r="AJ1650" s="94"/>
      <c r="AK1650" s="94"/>
      <c r="AL1650" s="94"/>
      <c r="AM1650" s="94"/>
      <c r="AN1650" s="94"/>
      <c r="AO1650" s="94"/>
      <c r="AP1650" s="94"/>
      <c r="AQ1650" s="94"/>
      <c r="AR1650" s="94"/>
      <c r="AS1650" s="94"/>
      <c r="AT1650" s="94"/>
      <c r="AU1650" s="94"/>
      <c r="AV1650" s="94"/>
      <c r="AW1650" s="94"/>
      <c r="AX1650" s="94"/>
      <c r="AY1650" s="94"/>
      <c r="AZ1650" s="94"/>
      <c r="BA1650" s="94"/>
      <c r="BB1650" s="94"/>
      <c r="BC1650" s="94"/>
      <c r="BD1650" s="94"/>
      <c r="BE1650" s="94"/>
      <c r="BF1650" s="94"/>
    </row>
    <row r="1651" spans="1:58" x14ac:dyDescent="0.35">
      <c r="A1651" s="104" t="s">
        <v>3431</v>
      </c>
      <c r="B1651" s="105" t="s">
        <v>0</v>
      </c>
      <c r="C1651" s="106">
        <v>6</v>
      </c>
      <c r="D1651" s="104" t="s">
        <v>1737</v>
      </c>
      <c r="E1651" s="106"/>
      <c r="F1651" s="94"/>
      <c r="G1651" s="94"/>
      <c r="H1651" s="94"/>
      <c r="I1651" s="94"/>
      <c r="J1651" s="94"/>
      <c r="K1651" s="94"/>
      <c r="L1651" s="94"/>
      <c r="M1651" s="94"/>
      <c r="N1651" s="94"/>
      <c r="O1651" s="94"/>
      <c r="P1651" s="94"/>
      <c r="Q1651" s="94"/>
      <c r="R1651" s="94"/>
      <c r="S1651" s="94"/>
      <c r="T1651" s="94"/>
      <c r="U1651" s="94"/>
      <c r="V1651" s="94"/>
      <c r="W1651" s="94"/>
      <c r="X1651" s="94"/>
      <c r="Y1651" s="94"/>
      <c r="Z1651" s="94"/>
      <c r="AA1651" s="94"/>
      <c r="AB1651" s="94"/>
      <c r="AC1651" s="94"/>
      <c r="AD1651" s="94"/>
      <c r="AE1651" s="94"/>
      <c r="AF1651" s="94"/>
      <c r="AG1651" s="94"/>
      <c r="AH1651" s="94"/>
      <c r="AI1651" s="94"/>
      <c r="AJ1651" s="94"/>
      <c r="AK1651" s="94"/>
      <c r="AL1651" s="94"/>
      <c r="AM1651" s="94"/>
      <c r="AN1651" s="94"/>
      <c r="AO1651" s="94"/>
      <c r="AP1651" s="94"/>
      <c r="AQ1651" s="94"/>
      <c r="AR1651" s="94"/>
      <c r="AS1651" s="94"/>
      <c r="AT1651" s="94"/>
      <c r="AU1651" s="94"/>
      <c r="AV1651" s="94"/>
      <c r="AW1651" s="94"/>
      <c r="AX1651" s="94"/>
      <c r="AY1651" s="94"/>
      <c r="AZ1651" s="94"/>
      <c r="BA1651" s="94"/>
      <c r="BB1651" s="94"/>
      <c r="BC1651" s="94"/>
      <c r="BD1651" s="94"/>
      <c r="BE1651" s="94"/>
      <c r="BF1651" s="94"/>
    </row>
    <row r="1652" spans="1:58" x14ac:dyDescent="0.35">
      <c r="A1652" s="107" t="s">
        <v>3432</v>
      </c>
      <c r="B1652" s="108" t="s">
        <v>0</v>
      </c>
      <c r="C1652" s="109">
        <v>7</v>
      </c>
      <c r="D1652" s="107" t="s">
        <v>1738</v>
      </c>
      <c r="E1652" s="109"/>
      <c r="F1652" s="94"/>
      <c r="G1652" s="94"/>
      <c r="H1652" s="94"/>
      <c r="I1652" s="94"/>
      <c r="J1652" s="94"/>
      <c r="K1652" s="94"/>
      <c r="L1652" s="94"/>
      <c r="M1652" s="94"/>
      <c r="N1652" s="94"/>
      <c r="O1652" s="94"/>
      <c r="P1652" s="94"/>
      <c r="Q1652" s="94"/>
      <c r="R1652" s="94"/>
      <c r="S1652" s="94"/>
      <c r="T1652" s="94"/>
      <c r="U1652" s="94"/>
      <c r="V1652" s="94"/>
      <c r="W1652" s="94"/>
      <c r="X1652" s="94"/>
      <c r="Y1652" s="94"/>
      <c r="Z1652" s="94"/>
      <c r="AA1652" s="94"/>
      <c r="AB1652" s="94"/>
      <c r="AC1652" s="94"/>
      <c r="AD1652" s="94"/>
      <c r="AE1652" s="94"/>
      <c r="AF1652" s="94"/>
      <c r="AG1652" s="94"/>
      <c r="AH1652" s="94"/>
      <c r="AI1652" s="94"/>
      <c r="AJ1652" s="94"/>
      <c r="AK1652" s="94"/>
      <c r="AL1652" s="94"/>
      <c r="AM1652" s="94"/>
      <c r="AN1652" s="94"/>
      <c r="AO1652" s="94"/>
      <c r="AP1652" s="94"/>
      <c r="AQ1652" s="94"/>
      <c r="AR1652" s="94"/>
      <c r="AS1652" s="94"/>
      <c r="AT1652" s="94"/>
      <c r="AU1652" s="94"/>
      <c r="AV1652" s="94"/>
      <c r="AW1652" s="94"/>
      <c r="AX1652" s="94"/>
      <c r="AY1652" s="94"/>
      <c r="AZ1652" s="94"/>
      <c r="BA1652" s="94"/>
      <c r="BB1652" s="94"/>
      <c r="BC1652" s="94"/>
      <c r="BD1652" s="94"/>
      <c r="BE1652" s="94"/>
      <c r="BF1652" s="94"/>
    </row>
    <row r="1653" spans="1:58" x14ac:dyDescent="0.35">
      <c r="A1653" s="107" t="s">
        <v>3433</v>
      </c>
      <c r="B1653" s="108" t="s">
        <v>0</v>
      </c>
      <c r="C1653" s="109">
        <v>7</v>
      </c>
      <c r="D1653" s="107" t="s">
        <v>1739</v>
      </c>
      <c r="E1653" s="109"/>
      <c r="F1653" s="94"/>
      <c r="G1653" s="94"/>
      <c r="H1653" s="94"/>
      <c r="I1653" s="94"/>
      <c r="J1653" s="94"/>
      <c r="K1653" s="94"/>
      <c r="L1653" s="94"/>
      <c r="M1653" s="94"/>
      <c r="N1653" s="94"/>
      <c r="O1653" s="94"/>
      <c r="P1653" s="94"/>
      <c r="Q1653" s="94"/>
      <c r="R1653" s="94"/>
      <c r="S1653" s="94"/>
      <c r="T1653" s="94"/>
      <c r="U1653" s="94"/>
      <c r="V1653" s="94"/>
      <c r="W1653" s="94"/>
      <c r="X1653" s="94"/>
      <c r="Y1653" s="94"/>
      <c r="Z1653" s="94"/>
      <c r="AA1653" s="94"/>
      <c r="AB1653" s="94"/>
      <c r="AC1653" s="94"/>
      <c r="AD1653" s="94"/>
      <c r="AE1653" s="94"/>
      <c r="AF1653" s="94"/>
      <c r="AG1653" s="94"/>
      <c r="AH1653" s="94"/>
      <c r="AI1653" s="94"/>
      <c r="AJ1653" s="94"/>
      <c r="AK1653" s="94"/>
      <c r="AL1653" s="94"/>
      <c r="AM1653" s="94"/>
      <c r="AN1653" s="94"/>
      <c r="AO1653" s="94"/>
      <c r="AP1653" s="94"/>
      <c r="AQ1653" s="94"/>
      <c r="AR1653" s="94"/>
      <c r="AS1653" s="94"/>
      <c r="AT1653" s="94"/>
      <c r="AU1653" s="94"/>
      <c r="AV1653" s="94"/>
      <c r="AW1653" s="94"/>
      <c r="AX1653" s="94"/>
      <c r="AY1653" s="94"/>
      <c r="AZ1653" s="94"/>
      <c r="BA1653" s="94"/>
      <c r="BB1653" s="94"/>
      <c r="BC1653" s="94"/>
      <c r="BD1653" s="94"/>
      <c r="BE1653" s="94"/>
      <c r="BF1653" s="94"/>
    </row>
    <row r="1654" spans="1:58" x14ac:dyDescent="0.35">
      <c r="A1654" s="107" t="s">
        <v>3434</v>
      </c>
      <c r="B1654" s="108" t="s">
        <v>0</v>
      </c>
      <c r="C1654" s="109">
        <v>7</v>
      </c>
      <c r="D1654" s="107" t="s">
        <v>1740</v>
      </c>
      <c r="E1654" s="109"/>
      <c r="F1654" s="94"/>
      <c r="G1654" s="94"/>
      <c r="H1654" s="94"/>
      <c r="I1654" s="94"/>
      <c r="J1654" s="94"/>
      <c r="K1654" s="94"/>
      <c r="L1654" s="94"/>
      <c r="M1654" s="94"/>
      <c r="N1654" s="94"/>
      <c r="O1654" s="94"/>
      <c r="P1654" s="94"/>
      <c r="Q1654" s="94"/>
      <c r="R1654" s="94"/>
      <c r="S1654" s="94"/>
      <c r="T1654" s="94"/>
      <c r="U1654" s="94"/>
      <c r="V1654" s="94"/>
      <c r="W1654" s="94"/>
      <c r="X1654" s="94"/>
      <c r="Y1654" s="94"/>
      <c r="Z1654" s="94"/>
      <c r="AA1654" s="94"/>
      <c r="AB1654" s="94"/>
      <c r="AC1654" s="94"/>
      <c r="AD1654" s="94"/>
      <c r="AE1654" s="94"/>
      <c r="AF1654" s="94"/>
      <c r="AG1654" s="94"/>
      <c r="AH1654" s="94"/>
      <c r="AI1654" s="94"/>
      <c r="AJ1654" s="94"/>
      <c r="AK1654" s="94"/>
      <c r="AL1654" s="94"/>
      <c r="AM1654" s="94"/>
      <c r="AN1654" s="94"/>
      <c r="AO1654" s="94"/>
      <c r="AP1654" s="94"/>
      <c r="AQ1654" s="94"/>
      <c r="AR1654" s="94"/>
      <c r="AS1654" s="94"/>
      <c r="AT1654" s="94"/>
      <c r="AU1654" s="94"/>
      <c r="AV1654" s="94"/>
      <c r="AW1654" s="94"/>
      <c r="AX1654" s="94"/>
      <c r="AY1654" s="94"/>
      <c r="AZ1654" s="94"/>
      <c r="BA1654" s="94"/>
      <c r="BB1654" s="94"/>
      <c r="BC1654" s="94"/>
      <c r="BD1654" s="94"/>
      <c r="BE1654" s="94"/>
      <c r="BF1654" s="94"/>
    </row>
    <row r="1655" spans="1:58" x14ac:dyDescent="0.35">
      <c r="A1655" s="107" t="s">
        <v>3435</v>
      </c>
      <c r="B1655" s="108" t="s">
        <v>0</v>
      </c>
      <c r="C1655" s="109">
        <v>7</v>
      </c>
      <c r="D1655" s="107" t="s">
        <v>1741</v>
      </c>
      <c r="E1655" s="109"/>
      <c r="F1655" s="94"/>
      <c r="G1655" s="94"/>
      <c r="H1655" s="94"/>
      <c r="I1655" s="94"/>
      <c r="J1655" s="94"/>
      <c r="K1655" s="94"/>
      <c r="L1655" s="94"/>
      <c r="M1655" s="94"/>
      <c r="N1655" s="94"/>
      <c r="O1655" s="94"/>
      <c r="P1655" s="94"/>
      <c r="Q1655" s="94"/>
      <c r="R1655" s="94"/>
      <c r="S1655" s="94"/>
      <c r="T1655" s="94"/>
      <c r="U1655" s="94"/>
      <c r="V1655" s="94"/>
      <c r="W1655" s="94"/>
      <c r="X1655" s="94"/>
      <c r="Y1655" s="94"/>
      <c r="Z1655" s="94"/>
      <c r="AA1655" s="94"/>
      <c r="AB1655" s="94"/>
      <c r="AC1655" s="94"/>
      <c r="AD1655" s="94"/>
      <c r="AE1655" s="94"/>
      <c r="AF1655" s="94"/>
      <c r="AG1655" s="94"/>
      <c r="AH1655" s="94"/>
      <c r="AI1655" s="94"/>
      <c r="AJ1655" s="94"/>
      <c r="AK1655" s="94"/>
      <c r="AL1655" s="94"/>
      <c r="AM1655" s="94"/>
      <c r="AN1655" s="94"/>
      <c r="AO1655" s="94"/>
      <c r="AP1655" s="94"/>
      <c r="AQ1655" s="94"/>
      <c r="AR1655" s="94"/>
      <c r="AS1655" s="94"/>
      <c r="AT1655" s="94"/>
      <c r="AU1655" s="94"/>
      <c r="AV1655" s="94"/>
      <c r="AW1655" s="94"/>
      <c r="AX1655" s="94"/>
      <c r="AY1655" s="94"/>
      <c r="AZ1655" s="94"/>
      <c r="BA1655" s="94"/>
      <c r="BB1655" s="94"/>
      <c r="BC1655" s="94"/>
      <c r="BD1655" s="94"/>
      <c r="BE1655" s="94"/>
      <c r="BF1655" s="94"/>
    </row>
    <row r="1656" spans="1:58" x14ac:dyDescent="0.35">
      <c r="A1656" s="107" t="s">
        <v>3436</v>
      </c>
      <c r="B1656" s="108" t="s">
        <v>0</v>
      </c>
      <c r="C1656" s="109">
        <v>7</v>
      </c>
      <c r="D1656" s="107" t="s">
        <v>1518</v>
      </c>
      <c r="E1656" s="109"/>
      <c r="F1656" s="94"/>
      <c r="G1656" s="94"/>
      <c r="H1656" s="94"/>
      <c r="I1656" s="94"/>
      <c r="J1656" s="94"/>
      <c r="K1656" s="94"/>
      <c r="L1656" s="94"/>
      <c r="M1656" s="94"/>
      <c r="N1656" s="94"/>
      <c r="O1656" s="94"/>
      <c r="P1656" s="94"/>
      <c r="Q1656" s="94"/>
      <c r="R1656" s="94"/>
      <c r="S1656" s="94"/>
      <c r="T1656" s="94"/>
      <c r="U1656" s="94"/>
      <c r="V1656" s="94"/>
      <c r="W1656" s="94"/>
      <c r="X1656" s="94"/>
      <c r="Y1656" s="94"/>
      <c r="Z1656" s="94"/>
      <c r="AA1656" s="94"/>
      <c r="AB1656" s="94"/>
      <c r="AC1656" s="94"/>
      <c r="AD1656" s="94"/>
      <c r="AE1656" s="94"/>
      <c r="AF1656" s="94"/>
      <c r="AG1656" s="94"/>
      <c r="AH1656" s="94"/>
      <c r="AI1656" s="94"/>
      <c r="AJ1656" s="94"/>
      <c r="AK1656" s="94"/>
      <c r="AL1656" s="94"/>
      <c r="AM1656" s="94"/>
      <c r="AN1656" s="94"/>
      <c r="AO1656" s="94"/>
      <c r="AP1656" s="94"/>
      <c r="AQ1656" s="94"/>
      <c r="AR1656" s="94"/>
      <c r="AS1656" s="94"/>
      <c r="AT1656" s="94"/>
      <c r="AU1656" s="94"/>
      <c r="AV1656" s="94"/>
      <c r="AW1656" s="94"/>
      <c r="AX1656" s="94"/>
      <c r="AY1656" s="94"/>
      <c r="AZ1656" s="94"/>
      <c r="BA1656" s="94"/>
      <c r="BB1656" s="94"/>
      <c r="BC1656" s="94"/>
      <c r="BD1656" s="94"/>
      <c r="BE1656" s="94"/>
      <c r="BF1656" s="94"/>
    </row>
    <row r="1657" spans="1:58" x14ac:dyDescent="0.35">
      <c r="A1657" s="107" t="s">
        <v>3437</v>
      </c>
      <c r="B1657" s="108" t="s">
        <v>0</v>
      </c>
      <c r="C1657" s="109">
        <v>7</v>
      </c>
      <c r="D1657" s="107" t="s">
        <v>1540</v>
      </c>
      <c r="E1657" s="109"/>
      <c r="F1657" s="94"/>
      <c r="G1657" s="94"/>
      <c r="H1657" s="94"/>
      <c r="I1657" s="94"/>
      <c r="J1657" s="94"/>
      <c r="K1657" s="94"/>
      <c r="L1657" s="94"/>
      <c r="M1657" s="94"/>
      <c r="N1657" s="94"/>
      <c r="O1657" s="94"/>
      <c r="P1657" s="94"/>
      <c r="Q1657" s="94"/>
      <c r="R1657" s="94"/>
      <c r="S1657" s="94"/>
      <c r="T1657" s="94"/>
      <c r="U1657" s="94"/>
      <c r="V1657" s="94"/>
      <c r="W1657" s="94"/>
      <c r="X1657" s="94"/>
      <c r="Y1657" s="94"/>
      <c r="Z1657" s="94"/>
      <c r="AA1657" s="94"/>
      <c r="AB1657" s="94"/>
      <c r="AC1657" s="94"/>
      <c r="AD1657" s="94"/>
      <c r="AE1657" s="94"/>
      <c r="AF1657" s="94"/>
      <c r="AG1657" s="94"/>
      <c r="AH1657" s="94"/>
      <c r="AI1657" s="94"/>
      <c r="AJ1657" s="94"/>
      <c r="AK1657" s="94"/>
      <c r="AL1657" s="94"/>
      <c r="AM1657" s="94"/>
      <c r="AN1657" s="94"/>
      <c r="AO1657" s="94"/>
      <c r="AP1657" s="94"/>
      <c r="AQ1657" s="94"/>
      <c r="AR1657" s="94"/>
      <c r="AS1657" s="94"/>
      <c r="AT1657" s="94"/>
      <c r="AU1657" s="94"/>
      <c r="AV1657" s="94"/>
      <c r="AW1657" s="94"/>
      <c r="AX1657" s="94"/>
      <c r="AY1657" s="94"/>
      <c r="AZ1657" s="94"/>
      <c r="BA1657" s="94"/>
      <c r="BB1657" s="94"/>
      <c r="BC1657" s="94"/>
      <c r="BD1657" s="94"/>
      <c r="BE1657" s="94"/>
      <c r="BF1657" s="94"/>
    </row>
    <row r="1658" spans="1:58" x14ac:dyDescent="0.35">
      <c r="A1658" s="107" t="s">
        <v>3438</v>
      </c>
      <c r="B1658" s="108" t="s">
        <v>0</v>
      </c>
      <c r="C1658" s="109">
        <v>7</v>
      </c>
      <c r="D1658" s="107" t="s">
        <v>1542</v>
      </c>
      <c r="E1658" s="109"/>
      <c r="F1658" s="94"/>
      <c r="G1658" s="94"/>
      <c r="H1658" s="94"/>
      <c r="I1658" s="94"/>
      <c r="J1658" s="94"/>
      <c r="K1658" s="94"/>
      <c r="L1658" s="94"/>
      <c r="M1658" s="94"/>
      <c r="N1658" s="94"/>
      <c r="O1658" s="94"/>
      <c r="P1658" s="94"/>
      <c r="Q1658" s="94"/>
      <c r="R1658" s="94"/>
      <c r="S1658" s="94"/>
      <c r="T1658" s="94"/>
      <c r="U1658" s="94"/>
      <c r="V1658" s="94"/>
      <c r="W1658" s="94"/>
      <c r="X1658" s="94"/>
      <c r="Y1658" s="94"/>
      <c r="Z1658" s="94"/>
      <c r="AA1658" s="94"/>
      <c r="AB1658" s="94"/>
      <c r="AC1658" s="94"/>
      <c r="AD1658" s="94"/>
      <c r="AE1658" s="94"/>
      <c r="AF1658" s="94"/>
      <c r="AG1658" s="94"/>
      <c r="AH1658" s="94"/>
      <c r="AI1658" s="94"/>
      <c r="AJ1658" s="94"/>
      <c r="AK1658" s="94"/>
      <c r="AL1658" s="94"/>
      <c r="AM1658" s="94"/>
      <c r="AN1658" s="94"/>
      <c r="AO1658" s="94"/>
      <c r="AP1658" s="94"/>
      <c r="AQ1658" s="94"/>
      <c r="AR1658" s="94"/>
      <c r="AS1658" s="94"/>
      <c r="AT1658" s="94"/>
      <c r="AU1658" s="94"/>
      <c r="AV1658" s="94"/>
      <c r="AW1658" s="94"/>
      <c r="AX1658" s="94"/>
      <c r="AY1658" s="94"/>
      <c r="AZ1658" s="94"/>
      <c r="BA1658" s="94"/>
      <c r="BB1658" s="94"/>
      <c r="BC1658" s="94"/>
      <c r="BD1658" s="94"/>
      <c r="BE1658" s="94"/>
      <c r="BF1658" s="94"/>
    </row>
    <row r="1659" spans="1:58" x14ac:dyDescent="0.35">
      <c r="A1659" s="104" t="s">
        <v>3439</v>
      </c>
      <c r="B1659" s="105" t="s">
        <v>0</v>
      </c>
      <c r="C1659" s="106">
        <v>6</v>
      </c>
      <c r="D1659" s="104" t="s">
        <v>1665</v>
      </c>
      <c r="E1659" s="106"/>
      <c r="F1659" s="94"/>
      <c r="G1659" s="94"/>
      <c r="H1659" s="94"/>
      <c r="I1659" s="94"/>
      <c r="J1659" s="94"/>
      <c r="K1659" s="94"/>
      <c r="L1659" s="94"/>
      <c r="M1659" s="94"/>
      <c r="N1659" s="94"/>
      <c r="O1659" s="94"/>
      <c r="P1659" s="94"/>
      <c r="Q1659" s="94"/>
      <c r="R1659" s="94"/>
      <c r="S1659" s="94"/>
      <c r="T1659" s="94"/>
      <c r="U1659" s="94"/>
      <c r="V1659" s="94"/>
      <c r="W1659" s="94"/>
      <c r="X1659" s="94"/>
      <c r="Y1659" s="94"/>
      <c r="Z1659" s="94"/>
      <c r="AA1659" s="94"/>
      <c r="AB1659" s="94"/>
      <c r="AC1659" s="94"/>
      <c r="AD1659" s="94"/>
      <c r="AE1659" s="94"/>
      <c r="AF1659" s="94"/>
      <c r="AG1659" s="94"/>
      <c r="AH1659" s="94"/>
      <c r="AI1659" s="94"/>
      <c r="AJ1659" s="94"/>
      <c r="AK1659" s="94"/>
      <c r="AL1659" s="94"/>
      <c r="AM1659" s="94"/>
      <c r="AN1659" s="94"/>
      <c r="AO1659" s="94"/>
      <c r="AP1659" s="94"/>
      <c r="AQ1659" s="94"/>
      <c r="AR1659" s="94"/>
      <c r="AS1659" s="94"/>
      <c r="AT1659" s="94"/>
      <c r="AU1659" s="94"/>
      <c r="AV1659" s="94"/>
      <c r="AW1659" s="94"/>
      <c r="AX1659" s="94"/>
      <c r="AY1659" s="94"/>
      <c r="AZ1659" s="94"/>
      <c r="BA1659" s="94"/>
      <c r="BB1659" s="94"/>
      <c r="BC1659" s="94"/>
      <c r="BD1659" s="94"/>
      <c r="BE1659" s="94"/>
      <c r="BF1659" s="94"/>
    </row>
    <row r="1660" spans="1:58" x14ac:dyDescent="0.35">
      <c r="A1660" s="107" t="s">
        <v>3440</v>
      </c>
      <c r="B1660" s="108" t="s">
        <v>0</v>
      </c>
      <c r="C1660" s="109">
        <v>7</v>
      </c>
      <c r="D1660" s="107" t="s">
        <v>1804</v>
      </c>
      <c r="E1660" s="109" t="s">
        <v>1742</v>
      </c>
      <c r="F1660" s="94"/>
      <c r="G1660" s="94"/>
      <c r="H1660" s="94"/>
      <c r="I1660" s="94"/>
      <c r="J1660" s="94"/>
      <c r="K1660" s="94"/>
      <c r="L1660" s="94"/>
      <c r="M1660" s="94"/>
      <c r="N1660" s="94"/>
      <c r="O1660" s="94"/>
      <c r="P1660" s="94"/>
      <c r="Q1660" s="94"/>
      <c r="R1660" s="94"/>
      <c r="S1660" s="94"/>
      <c r="T1660" s="94"/>
      <c r="U1660" s="94"/>
      <c r="V1660" s="94"/>
      <c r="W1660" s="94"/>
      <c r="X1660" s="94"/>
      <c r="Y1660" s="94"/>
      <c r="Z1660" s="94"/>
      <c r="AA1660" s="94"/>
      <c r="AB1660" s="94"/>
      <c r="AC1660" s="94"/>
      <c r="AD1660" s="94"/>
      <c r="AE1660" s="94"/>
      <c r="AF1660" s="94"/>
      <c r="AG1660" s="94"/>
      <c r="AH1660" s="94"/>
      <c r="AI1660" s="94"/>
      <c r="AJ1660" s="94"/>
      <c r="AK1660" s="94"/>
      <c r="AL1660" s="94"/>
      <c r="AM1660" s="94"/>
      <c r="AN1660" s="94"/>
      <c r="AO1660" s="94"/>
      <c r="AP1660" s="94"/>
      <c r="AQ1660" s="94"/>
      <c r="AR1660" s="94"/>
      <c r="AS1660" s="94"/>
      <c r="AT1660" s="94"/>
      <c r="AU1660" s="94"/>
      <c r="AV1660" s="94"/>
      <c r="AW1660" s="94"/>
      <c r="AX1660" s="94"/>
      <c r="AY1660" s="94"/>
      <c r="AZ1660" s="94"/>
      <c r="BA1660" s="94"/>
      <c r="BB1660" s="94"/>
      <c r="BC1660" s="94"/>
      <c r="BD1660" s="94"/>
      <c r="BE1660" s="94"/>
      <c r="BF1660" s="94"/>
    </row>
    <row r="1661" spans="1:58" x14ac:dyDescent="0.35">
      <c r="A1661" s="107" t="s">
        <v>3441</v>
      </c>
      <c r="B1661" s="108" t="s">
        <v>0</v>
      </c>
      <c r="C1661" s="109">
        <v>7</v>
      </c>
      <c r="D1661" s="107" t="s">
        <v>1743</v>
      </c>
      <c r="E1661" s="109" t="s">
        <v>1744</v>
      </c>
      <c r="F1661" s="94"/>
      <c r="G1661" s="94"/>
      <c r="H1661" s="94"/>
      <c r="I1661" s="94"/>
      <c r="J1661" s="94"/>
      <c r="K1661" s="94"/>
      <c r="L1661" s="94"/>
      <c r="M1661" s="94"/>
      <c r="N1661" s="94"/>
      <c r="O1661" s="94"/>
      <c r="P1661" s="94"/>
      <c r="Q1661" s="94"/>
      <c r="R1661" s="94"/>
      <c r="S1661" s="94"/>
      <c r="T1661" s="94"/>
      <c r="U1661" s="94"/>
      <c r="V1661" s="94"/>
      <c r="W1661" s="94"/>
      <c r="X1661" s="94"/>
      <c r="Y1661" s="94"/>
      <c r="Z1661" s="94"/>
      <c r="AA1661" s="94"/>
      <c r="AB1661" s="94"/>
      <c r="AC1661" s="94"/>
      <c r="AD1661" s="94"/>
      <c r="AE1661" s="94"/>
      <c r="AF1661" s="94"/>
      <c r="AG1661" s="94"/>
      <c r="AH1661" s="94"/>
      <c r="AI1661" s="94"/>
      <c r="AJ1661" s="94"/>
      <c r="AK1661" s="94"/>
      <c r="AL1661" s="94"/>
      <c r="AM1661" s="94"/>
      <c r="AN1661" s="94"/>
      <c r="AO1661" s="94"/>
      <c r="AP1661" s="94"/>
      <c r="AQ1661" s="94"/>
      <c r="AR1661" s="94"/>
      <c r="AS1661" s="94"/>
      <c r="AT1661" s="94"/>
      <c r="AU1661" s="94"/>
      <c r="AV1661" s="94"/>
      <c r="AW1661" s="94"/>
      <c r="AX1661" s="94"/>
      <c r="AY1661" s="94"/>
      <c r="AZ1661" s="94"/>
      <c r="BA1661" s="94"/>
      <c r="BB1661" s="94"/>
      <c r="BC1661" s="94"/>
      <c r="BD1661" s="94"/>
      <c r="BE1661" s="94"/>
      <c r="BF1661" s="94"/>
    </row>
    <row r="1662" spans="1:58" x14ac:dyDescent="0.35">
      <c r="A1662" s="107" t="s">
        <v>3442</v>
      </c>
      <c r="B1662" s="108" t="s">
        <v>0</v>
      </c>
      <c r="C1662" s="109">
        <v>7</v>
      </c>
      <c r="D1662" s="107" t="s">
        <v>1803</v>
      </c>
      <c r="E1662" s="109" t="s">
        <v>1745</v>
      </c>
      <c r="F1662" s="94"/>
      <c r="G1662" s="94"/>
      <c r="H1662" s="94"/>
      <c r="I1662" s="94"/>
      <c r="J1662" s="94"/>
      <c r="K1662" s="94"/>
      <c r="L1662" s="94"/>
      <c r="M1662" s="94"/>
      <c r="N1662" s="94"/>
      <c r="O1662" s="94"/>
      <c r="P1662" s="94"/>
      <c r="Q1662" s="94"/>
      <c r="R1662" s="94"/>
      <c r="S1662" s="94"/>
      <c r="T1662" s="94"/>
      <c r="U1662" s="94"/>
      <c r="V1662" s="94"/>
      <c r="W1662" s="94"/>
      <c r="X1662" s="94"/>
      <c r="Y1662" s="94"/>
      <c r="Z1662" s="94"/>
      <c r="AA1662" s="94"/>
      <c r="AB1662" s="94"/>
      <c r="AC1662" s="94"/>
      <c r="AD1662" s="94"/>
      <c r="AE1662" s="94"/>
      <c r="AF1662" s="94"/>
      <c r="AG1662" s="94"/>
      <c r="AH1662" s="94"/>
      <c r="AI1662" s="94"/>
      <c r="AJ1662" s="94"/>
      <c r="AK1662" s="94"/>
      <c r="AL1662" s="94"/>
      <c r="AM1662" s="94"/>
      <c r="AN1662" s="94"/>
      <c r="AO1662" s="94"/>
      <c r="AP1662" s="94"/>
      <c r="AQ1662" s="94"/>
      <c r="AR1662" s="94"/>
      <c r="AS1662" s="94"/>
      <c r="AT1662" s="94"/>
      <c r="AU1662" s="94"/>
      <c r="AV1662" s="94"/>
      <c r="AW1662" s="94"/>
      <c r="AX1662" s="94"/>
      <c r="AY1662" s="94"/>
      <c r="AZ1662" s="94"/>
      <c r="BA1662" s="94"/>
      <c r="BB1662" s="94"/>
      <c r="BC1662" s="94"/>
      <c r="BD1662" s="94"/>
      <c r="BE1662" s="94"/>
      <c r="BF1662" s="94"/>
    </row>
    <row r="1663" spans="1:58" x14ac:dyDescent="0.35">
      <c r="A1663" s="107" t="s">
        <v>3443</v>
      </c>
      <c r="B1663" s="108" t="s">
        <v>0</v>
      </c>
      <c r="C1663" s="109">
        <v>7</v>
      </c>
      <c r="D1663" s="107" t="s">
        <v>1803</v>
      </c>
      <c r="E1663" s="109" t="s">
        <v>1746</v>
      </c>
      <c r="F1663" s="94"/>
      <c r="G1663" s="94"/>
      <c r="H1663" s="94"/>
      <c r="I1663" s="94"/>
      <c r="J1663" s="94"/>
      <c r="K1663" s="94"/>
      <c r="L1663" s="94"/>
      <c r="M1663" s="94"/>
      <c r="N1663" s="94"/>
      <c r="O1663" s="94"/>
      <c r="P1663" s="94"/>
      <c r="Q1663" s="94"/>
      <c r="R1663" s="94"/>
      <c r="S1663" s="94"/>
      <c r="T1663" s="94"/>
      <c r="U1663" s="94"/>
      <c r="V1663" s="94"/>
      <c r="W1663" s="94"/>
      <c r="X1663" s="94"/>
      <c r="Y1663" s="94"/>
      <c r="Z1663" s="94"/>
      <c r="AA1663" s="94"/>
      <c r="AB1663" s="94"/>
      <c r="AC1663" s="94"/>
      <c r="AD1663" s="94"/>
      <c r="AE1663" s="94"/>
      <c r="AF1663" s="94"/>
      <c r="AG1663" s="94"/>
      <c r="AH1663" s="94"/>
      <c r="AI1663" s="94"/>
      <c r="AJ1663" s="94"/>
      <c r="AK1663" s="94"/>
      <c r="AL1663" s="94"/>
      <c r="AM1663" s="94"/>
      <c r="AN1663" s="94"/>
      <c r="AO1663" s="94"/>
      <c r="AP1663" s="94"/>
      <c r="AQ1663" s="94"/>
      <c r="AR1663" s="94"/>
      <c r="AS1663" s="94"/>
      <c r="AT1663" s="94"/>
      <c r="AU1663" s="94"/>
      <c r="AV1663" s="94"/>
      <c r="AW1663" s="94"/>
      <c r="AX1663" s="94"/>
      <c r="AY1663" s="94"/>
      <c r="AZ1663" s="94"/>
      <c r="BA1663" s="94"/>
      <c r="BB1663" s="94"/>
      <c r="BC1663" s="94"/>
      <c r="BD1663" s="94"/>
      <c r="BE1663" s="94"/>
      <c r="BF1663" s="94"/>
    </row>
    <row r="1664" spans="1:58" x14ac:dyDescent="0.35">
      <c r="A1664" s="107" t="s">
        <v>3444</v>
      </c>
      <c r="B1664" s="108" t="s">
        <v>0</v>
      </c>
      <c r="C1664" s="109">
        <v>7</v>
      </c>
      <c r="D1664" s="107" t="s">
        <v>1803</v>
      </c>
      <c r="E1664" s="109" t="s">
        <v>1747</v>
      </c>
      <c r="F1664" s="94"/>
      <c r="G1664" s="94"/>
      <c r="H1664" s="94"/>
      <c r="I1664" s="94"/>
      <c r="J1664" s="94"/>
      <c r="K1664" s="94"/>
      <c r="L1664" s="94"/>
      <c r="M1664" s="94"/>
      <c r="N1664" s="94"/>
      <c r="O1664" s="94"/>
      <c r="P1664" s="94"/>
      <c r="Q1664" s="94"/>
      <c r="R1664" s="94"/>
      <c r="S1664" s="94"/>
      <c r="T1664" s="94"/>
      <c r="U1664" s="94"/>
      <c r="V1664" s="94"/>
      <c r="W1664" s="94"/>
      <c r="X1664" s="94"/>
      <c r="Y1664" s="94"/>
      <c r="Z1664" s="94"/>
      <c r="AA1664" s="94"/>
      <c r="AB1664" s="94"/>
      <c r="AC1664" s="94"/>
      <c r="AD1664" s="94"/>
      <c r="AE1664" s="94"/>
      <c r="AF1664" s="94"/>
      <c r="AG1664" s="94"/>
      <c r="AH1664" s="94"/>
      <c r="AI1664" s="94"/>
      <c r="AJ1664" s="94"/>
      <c r="AK1664" s="94"/>
      <c r="AL1664" s="94"/>
      <c r="AM1664" s="94"/>
      <c r="AN1664" s="94"/>
      <c r="AO1664" s="94"/>
      <c r="AP1664" s="94"/>
      <c r="AQ1664" s="94"/>
      <c r="AR1664" s="94"/>
      <c r="AS1664" s="94"/>
      <c r="AT1664" s="94"/>
      <c r="AU1664" s="94"/>
      <c r="AV1664" s="94"/>
      <c r="AW1664" s="94"/>
      <c r="AX1664" s="94"/>
      <c r="AY1664" s="94"/>
      <c r="AZ1664" s="94"/>
      <c r="BA1664" s="94"/>
      <c r="BB1664" s="94"/>
      <c r="BC1664" s="94"/>
      <c r="BD1664" s="94"/>
      <c r="BE1664" s="94"/>
      <c r="BF1664" s="94"/>
    </row>
    <row r="1665" spans="1:58" x14ac:dyDescent="0.35">
      <c r="A1665" s="107" t="s">
        <v>3445</v>
      </c>
      <c r="B1665" s="108" t="s">
        <v>0</v>
      </c>
      <c r="C1665" s="109">
        <v>7</v>
      </c>
      <c r="D1665" s="107" t="s">
        <v>1803</v>
      </c>
      <c r="E1665" s="109" t="s">
        <v>1748</v>
      </c>
      <c r="F1665" s="94"/>
      <c r="G1665" s="94"/>
      <c r="H1665" s="94"/>
      <c r="I1665" s="94"/>
      <c r="J1665" s="94"/>
      <c r="K1665" s="94"/>
      <c r="L1665" s="94"/>
      <c r="M1665" s="94"/>
      <c r="N1665" s="94"/>
      <c r="O1665" s="94"/>
      <c r="P1665" s="94"/>
      <c r="Q1665" s="94"/>
      <c r="R1665" s="94"/>
      <c r="S1665" s="94"/>
      <c r="T1665" s="94"/>
      <c r="U1665" s="94"/>
      <c r="V1665" s="94"/>
      <c r="W1665" s="94"/>
      <c r="X1665" s="94"/>
      <c r="Y1665" s="94"/>
      <c r="Z1665" s="94"/>
      <c r="AA1665" s="94"/>
      <c r="AB1665" s="94"/>
      <c r="AC1665" s="94"/>
      <c r="AD1665" s="94"/>
      <c r="AE1665" s="94"/>
      <c r="AF1665" s="94"/>
      <c r="AG1665" s="94"/>
      <c r="AH1665" s="94"/>
      <c r="AI1665" s="94"/>
      <c r="AJ1665" s="94"/>
      <c r="AK1665" s="94"/>
      <c r="AL1665" s="94"/>
      <c r="AM1665" s="94"/>
      <c r="AN1665" s="94"/>
      <c r="AO1665" s="94"/>
      <c r="AP1665" s="94"/>
      <c r="AQ1665" s="94"/>
      <c r="AR1665" s="94"/>
      <c r="AS1665" s="94"/>
      <c r="AT1665" s="94"/>
      <c r="AU1665" s="94"/>
      <c r="AV1665" s="94"/>
      <c r="AW1665" s="94"/>
      <c r="AX1665" s="94"/>
      <c r="AY1665" s="94"/>
      <c r="AZ1665" s="94"/>
      <c r="BA1665" s="94"/>
      <c r="BB1665" s="94"/>
      <c r="BC1665" s="94"/>
      <c r="BD1665" s="94"/>
      <c r="BE1665" s="94"/>
      <c r="BF1665" s="94"/>
    </row>
    <row r="1666" spans="1:58" x14ac:dyDescent="0.35">
      <c r="A1666" s="107" t="s">
        <v>3446</v>
      </c>
      <c r="B1666" s="108" t="s">
        <v>0</v>
      </c>
      <c r="C1666" s="109">
        <v>7</v>
      </c>
      <c r="D1666" s="107" t="s">
        <v>1749</v>
      </c>
      <c r="E1666" s="109" t="s">
        <v>1750</v>
      </c>
      <c r="F1666" s="94"/>
      <c r="G1666" s="94"/>
      <c r="H1666" s="94"/>
      <c r="I1666" s="94"/>
      <c r="J1666" s="94"/>
      <c r="K1666" s="94"/>
      <c r="L1666" s="94"/>
      <c r="M1666" s="94"/>
      <c r="N1666" s="94"/>
      <c r="O1666" s="94"/>
      <c r="P1666" s="94"/>
      <c r="Q1666" s="94"/>
      <c r="R1666" s="94"/>
      <c r="S1666" s="94"/>
      <c r="T1666" s="94"/>
      <c r="U1666" s="94"/>
      <c r="V1666" s="94"/>
      <c r="W1666" s="94"/>
      <c r="X1666" s="94"/>
      <c r="Y1666" s="94"/>
      <c r="Z1666" s="94"/>
      <c r="AA1666" s="94"/>
      <c r="AB1666" s="94"/>
      <c r="AC1666" s="94"/>
      <c r="AD1666" s="94"/>
      <c r="AE1666" s="94"/>
      <c r="AF1666" s="94"/>
      <c r="AG1666" s="94"/>
      <c r="AH1666" s="94"/>
      <c r="AI1666" s="94"/>
      <c r="AJ1666" s="94"/>
      <c r="AK1666" s="94"/>
      <c r="AL1666" s="94"/>
      <c r="AM1666" s="94"/>
      <c r="AN1666" s="94"/>
      <c r="AO1666" s="94"/>
      <c r="AP1666" s="94"/>
      <c r="AQ1666" s="94"/>
      <c r="AR1666" s="94"/>
      <c r="AS1666" s="94"/>
      <c r="AT1666" s="94"/>
      <c r="AU1666" s="94"/>
      <c r="AV1666" s="94"/>
      <c r="AW1666" s="94"/>
      <c r="AX1666" s="94"/>
      <c r="AY1666" s="94"/>
      <c r="AZ1666" s="94"/>
      <c r="BA1666" s="94"/>
      <c r="BB1666" s="94"/>
      <c r="BC1666" s="94"/>
      <c r="BD1666" s="94"/>
      <c r="BE1666" s="94"/>
      <c r="BF1666" s="94"/>
    </row>
    <row r="1667" spans="1:58" x14ac:dyDescent="0.35">
      <c r="A1667" s="107" t="s">
        <v>3447</v>
      </c>
      <c r="B1667" s="108" t="s">
        <v>0</v>
      </c>
      <c r="C1667" s="109">
        <v>7</v>
      </c>
      <c r="D1667" s="107" t="s">
        <v>1749</v>
      </c>
      <c r="E1667" s="109" t="s">
        <v>1751</v>
      </c>
      <c r="F1667" s="94"/>
      <c r="G1667" s="94"/>
      <c r="H1667" s="94"/>
      <c r="I1667" s="94"/>
      <c r="J1667" s="94"/>
      <c r="K1667" s="94"/>
      <c r="L1667" s="94"/>
      <c r="M1667" s="94"/>
      <c r="N1667" s="94"/>
      <c r="O1667" s="94"/>
      <c r="P1667" s="94"/>
      <c r="Q1667" s="94"/>
      <c r="R1667" s="94"/>
      <c r="S1667" s="94"/>
      <c r="T1667" s="94"/>
      <c r="U1667" s="94"/>
      <c r="V1667" s="94"/>
      <c r="W1667" s="94"/>
      <c r="X1667" s="94"/>
      <c r="Y1667" s="94"/>
      <c r="Z1667" s="94"/>
      <c r="AA1667" s="94"/>
      <c r="AB1667" s="94"/>
      <c r="AC1667" s="94"/>
      <c r="AD1667" s="94"/>
      <c r="AE1667" s="94"/>
      <c r="AF1667" s="94"/>
      <c r="AG1667" s="94"/>
      <c r="AH1667" s="94"/>
      <c r="AI1667" s="94"/>
      <c r="AJ1667" s="94"/>
      <c r="AK1667" s="94"/>
      <c r="AL1667" s="94"/>
      <c r="AM1667" s="94"/>
      <c r="AN1667" s="94"/>
      <c r="AO1667" s="94"/>
      <c r="AP1667" s="94"/>
      <c r="AQ1667" s="94"/>
      <c r="AR1667" s="94"/>
      <c r="AS1667" s="94"/>
      <c r="AT1667" s="94"/>
      <c r="AU1667" s="94"/>
      <c r="AV1667" s="94"/>
      <c r="AW1667" s="94"/>
      <c r="AX1667" s="94"/>
      <c r="AY1667" s="94"/>
      <c r="AZ1667" s="94"/>
      <c r="BA1667" s="94"/>
      <c r="BB1667" s="94"/>
      <c r="BC1667" s="94"/>
      <c r="BD1667" s="94"/>
      <c r="BE1667" s="94"/>
      <c r="BF1667" s="94"/>
    </row>
    <row r="1668" spans="1:58" x14ac:dyDescent="0.35">
      <c r="A1668" s="107" t="s">
        <v>3448</v>
      </c>
      <c r="B1668" s="108" t="s">
        <v>0</v>
      </c>
      <c r="C1668" s="109">
        <v>7</v>
      </c>
      <c r="D1668" s="107" t="s">
        <v>1752</v>
      </c>
      <c r="E1668" s="109" t="s">
        <v>1753</v>
      </c>
      <c r="F1668" s="94"/>
      <c r="G1668" s="94"/>
      <c r="H1668" s="94"/>
      <c r="I1668" s="94"/>
      <c r="J1668" s="94"/>
      <c r="K1668" s="94"/>
      <c r="L1668" s="94"/>
      <c r="M1668" s="94"/>
      <c r="N1668" s="94"/>
      <c r="O1668" s="94"/>
      <c r="P1668" s="94"/>
      <c r="Q1668" s="94"/>
      <c r="R1668" s="94"/>
      <c r="S1668" s="94"/>
      <c r="T1668" s="94"/>
      <c r="U1668" s="94"/>
      <c r="V1668" s="94"/>
      <c r="W1668" s="94"/>
      <c r="X1668" s="94"/>
      <c r="Y1668" s="94"/>
      <c r="Z1668" s="94"/>
      <c r="AA1668" s="94"/>
      <c r="AB1668" s="94"/>
      <c r="AC1668" s="94"/>
      <c r="AD1668" s="94"/>
      <c r="AE1668" s="94"/>
      <c r="AF1668" s="94"/>
      <c r="AG1668" s="94"/>
      <c r="AH1668" s="94"/>
      <c r="AI1668" s="94"/>
      <c r="AJ1668" s="94"/>
      <c r="AK1668" s="94"/>
      <c r="AL1668" s="94"/>
      <c r="AM1668" s="94"/>
      <c r="AN1668" s="94"/>
      <c r="AO1668" s="94"/>
      <c r="AP1668" s="94"/>
      <c r="AQ1668" s="94"/>
      <c r="AR1668" s="94"/>
      <c r="AS1668" s="94"/>
      <c r="AT1668" s="94"/>
      <c r="AU1668" s="94"/>
      <c r="AV1668" s="94"/>
      <c r="AW1668" s="94"/>
      <c r="AX1668" s="94"/>
      <c r="AY1668" s="94"/>
      <c r="AZ1668" s="94"/>
      <c r="BA1668" s="94"/>
      <c r="BB1668" s="94"/>
      <c r="BC1668" s="94"/>
      <c r="BD1668" s="94"/>
      <c r="BE1668" s="94"/>
      <c r="BF1668" s="94"/>
    </row>
    <row r="1669" spans="1:58" x14ac:dyDescent="0.35">
      <c r="A1669" s="107" t="s">
        <v>3449</v>
      </c>
      <c r="B1669" s="108" t="s">
        <v>0</v>
      </c>
      <c r="C1669" s="109">
        <v>7</v>
      </c>
      <c r="D1669" s="107" t="s">
        <v>1650</v>
      </c>
      <c r="E1669" s="109" t="s">
        <v>1754</v>
      </c>
      <c r="F1669" s="94"/>
      <c r="G1669" s="94"/>
      <c r="H1669" s="94"/>
      <c r="I1669" s="94"/>
      <c r="J1669" s="94"/>
      <c r="K1669" s="94"/>
      <c r="L1669" s="94"/>
      <c r="M1669" s="94"/>
      <c r="N1669" s="94"/>
      <c r="O1669" s="94"/>
      <c r="P1669" s="94"/>
      <c r="Q1669" s="94"/>
      <c r="R1669" s="94"/>
      <c r="S1669" s="94"/>
      <c r="T1669" s="94"/>
      <c r="U1669" s="94"/>
      <c r="V1669" s="94"/>
      <c r="W1669" s="94"/>
      <c r="X1669" s="94"/>
      <c r="Y1669" s="94"/>
      <c r="Z1669" s="94"/>
      <c r="AA1669" s="94"/>
      <c r="AB1669" s="94"/>
      <c r="AC1669" s="94"/>
      <c r="AD1669" s="94"/>
      <c r="AE1669" s="94"/>
      <c r="AF1669" s="94"/>
      <c r="AG1669" s="94"/>
      <c r="AH1669" s="94"/>
      <c r="AI1669" s="94"/>
      <c r="AJ1669" s="94"/>
      <c r="AK1669" s="94"/>
      <c r="AL1669" s="94"/>
      <c r="AM1669" s="94"/>
      <c r="AN1669" s="94"/>
      <c r="AO1669" s="94"/>
      <c r="AP1669" s="94"/>
      <c r="AQ1669" s="94"/>
      <c r="AR1669" s="94"/>
      <c r="AS1669" s="94"/>
      <c r="AT1669" s="94"/>
      <c r="AU1669" s="94"/>
      <c r="AV1669" s="94"/>
      <c r="AW1669" s="94"/>
      <c r="AX1669" s="94"/>
      <c r="AY1669" s="94"/>
      <c r="AZ1669" s="94"/>
      <c r="BA1669" s="94"/>
      <c r="BB1669" s="94"/>
      <c r="BC1669" s="94"/>
      <c r="BD1669" s="94"/>
      <c r="BE1669" s="94"/>
      <c r="BF1669" s="94"/>
    </row>
    <row r="1670" spans="1:58" x14ac:dyDescent="0.35">
      <c r="A1670" s="107" t="s">
        <v>3450</v>
      </c>
      <c r="B1670" s="108" t="s">
        <v>0</v>
      </c>
      <c r="C1670" s="109">
        <v>7</v>
      </c>
      <c r="D1670" s="107" t="s">
        <v>1755</v>
      </c>
      <c r="E1670" s="109" t="s">
        <v>1756</v>
      </c>
      <c r="F1670" s="94"/>
      <c r="G1670" s="94"/>
      <c r="H1670" s="94"/>
      <c r="I1670" s="94"/>
      <c r="J1670" s="94"/>
      <c r="K1670" s="94"/>
      <c r="L1670" s="94"/>
      <c r="M1670" s="94"/>
      <c r="N1670" s="94"/>
      <c r="O1670" s="94"/>
      <c r="P1670" s="94"/>
      <c r="Q1670" s="94"/>
      <c r="R1670" s="94"/>
      <c r="S1670" s="94"/>
      <c r="T1670" s="94"/>
      <c r="U1670" s="94"/>
      <c r="V1670" s="94"/>
      <c r="W1670" s="94"/>
      <c r="X1670" s="94"/>
      <c r="Y1670" s="94"/>
      <c r="Z1670" s="94"/>
      <c r="AA1670" s="94"/>
      <c r="AB1670" s="94"/>
      <c r="AC1670" s="94"/>
      <c r="AD1670" s="94"/>
      <c r="AE1670" s="94"/>
      <c r="AF1670" s="94"/>
      <c r="AG1670" s="94"/>
      <c r="AH1670" s="94"/>
      <c r="AI1670" s="94"/>
      <c r="AJ1670" s="94"/>
      <c r="AK1670" s="94"/>
      <c r="AL1670" s="94"/>
      <c r="AM1670" s="94"/>
      <c r="AN1670" s="94"/>
      <c r="AO1670" s="94"/>
      <c r="AP1670" s="94"/>
      <c r="AQ1670" s="94"/>
      <c r="AR1670" s="94"/>
      <c r="AS1670" s="94"/>
      <c r="AT1670" s="94"/>
      <c r="AU1670" s="94"/>
      <c r="AV1670" s="94"/>
      <c r="AW1670" s="94"/>
      <c r="AX1670" s="94"/>
      <c r="AY1670" s="94"/>
      <c r="AZ1670" s="94"/>
      <c r="BA1670" s="94"/>
      <c r="BB1670" s="94"/>
      <c r="BC1670" s="94"/>
      <c r="BD1670" s="94"/>
      <c r="BE1670" s="94"/>
      <c r="BF1670" s="94"/>
    </row>
    <row r="1671" spans="1:58" x14ac:dyDescent="0.35">
      <c r="A1671" s="104" t="s">
        <v>3451</v>
      </c>
      <c r="B1671" s="105" t="s">
        <v>0</v>
      </c>
      <c r="C1671" s="106">
        <v>6</v>
      </c>
      <c r="D1671" s="104" t="s">
        <v>123</v>
      </c>
      <c r="E1671" s="106"/>
      <c r="F1671" s="94"/>
      <c r="G1671" s="94"/>
      <c r="H1671" s="94"/>
      <c r="I1671" s="94"/>
      <c r="J1671" s="94"/>
      <c r="K1671" s="94"/>
      <c r="L1671" s="94"/>
      <c r="M1671" s="94"/>
      <c r="N1671" s="94"/>
      <c r="O1671" s="94"/>
      <c r="P1671" s="94"/>
      <c r="Q1671" s="94"/>
      <c r="R1671" s="94"/>
      <c r="S1671" s="94"/>
      <c r="T1671" s="94"/>
      <c r="U1671" s="94"/>
      <c r="V1671" s="94"/>
      <c r="W1671" s="94"/>
      <c r="X1671" s="94"/>
      <c r="Y1671" s="94"/>
      <c r="Z1671" s="94"/>
      <c r="AA1671" s="94"/>
      <c r="AB1671" s="94"/>
      <c r="AC1671" s="94"/>
      <c r="AD1671" s="94"/>
      <c r="AE1671" s="94"/>
      <c r="AF1671" s="94"/>
      <c r="AG1671" s="94"/>
      <c r="AH1671" s="94"/>
      <c r="AI1671" s="94"/>
      <c r="AJ1671" s="94"/>
      <c r="AK1671" s="94"/>
      <c r="AL1671" s="94"/>
      <c r="AM1671" s="94"/>
      <c r="AN1671" s="94"/>
      <c r="AO1671" s="94"/>
      <c r="AP1671" s="94"/>
      <c r="AQ1671" s="94"/>
      <c r="AR1671" s="94"/>
      <c r="AS1671" s="94"/>
      <c r="AT1671" s="94"/>
      <c r="AU1671" s="94"/>
      <c r="AV1671" s="94"/>
      <c r="AW1671" s="94"/>
      <c r="AX1671" s="94"/>
      <c r="AY1671" s="94"/>
      <c r="AZ1671" s="94"/>
      <c r="BA1671" s="94"/>
      <c r="BB1671" s="94"/>
      <c r="BC1671" s="94"/>
      <c r="BD1671" s="94"/>
      <c r="BE1671" s="94"/>
      <c r="BF1671" s="94"/>
    </row>
    <row r="1672" spans="1:58" x14ac:dyDescent="0.35">
      <c r="A1672" s="107" t="s">
        <v>3452</v>
      </c>
      <c r="B1672" s="108" t="s">
        <v>0</v>
      </c>
      <c r="C1672" s="109">
        <v>7</v>
      </c>
      <c r="D1672" s="107" t="s">
        <v>1664</v>
      </c>
      <c r="E1672" s="109"/>
      <c r="F1672" s="94"/>
      <c r="G1672" s="94"/>
      <c r="H1672" s="94"/>
      <c r="I1672" s="94"/>
      <c r="J1672" s="94"/>
      <c r="K1672" s="94"/>
      <c r="L1672" s="94"/>
      <c r="M1672" s="94"/>
      <c r="N1672" s="94"/>
      <c r="O1672" s="94"/>
      <c r="P1672" s="94"/>
      <c r="Q1672" s="94"/>
      <c r="R1672" s="94"/>
      <c r="S1672" s="94"/>
      <c r="T1672" s="94"/>
      <c r="U1672" s="94"/>
      <c r="V1672" s="94"/>
      <c r="W1672" s="94"/>
      <c r="X1672" s="94"/>
      <c r="Y1672" s="94"/>
      <c r="Z1672" s="94"/>
      <c r="AA1672" s="94"/>
      <c r="AB1672" s="94"/>
      <c r="AC1672" s="94"/>
      <c r="AD1672" s="94"/>
      <c r="AE1672" s="94"/>
      <c r="AF1672" s="94"/>
      <c r="AG1672" s="94"/>
      <c r="AH1672" s="94"/>
      <c r="AI1672" s="94"/>
      <c r="AJ1672" s="94"/>
      <c r="AK1672" s="94"/>
      <c r="AL1672" s="94"/>
      <c r="AM1672" s="94"/>
      <c r="AN1672" s="94"/>
      <c r="AO1672" s="94"/>
      <c r="AP1672" s="94"/>
      <c r="AQ1672" s="94"/>
      <c r="AR1672" s="94"/>
      <c r="AS1672" s="94"/>
      <c r="AT1672" s="94"/>
      <c r="AU1672" s="94"/>
      <c r="AV1672" s="94"/>
      <c r="AW1672" s="94"/>
      <c r="AX1672" s="94"/>
      <c r="AY1672" s="94"/>
      <c r="AZ1672" s="94"/>
      <c r="BA1672" s="94"/>
      <c r="BB1672" s="94"/>
      <c r="BC1672" s="94"/>
      <c r="BD1672" s="94"/>
      <c r="BE1672" s="94"/>
      <c r="BF1672" s="94"/>
    </row>
    <row r="1673" spans="1:58" x14ac:dyDescent="0.35">
      <c r="A1673" s="101" t="s">
        <v>3453</v>
      </c>
      <c r="B1673" s="102" t="s">
        <v>0</v>
      </c>
      <c r="C1673" s="103">
        <v>5</v>
      </c>
      <c r="D1673" s="101" t="s">
        <v>599</v>
      </c>
      <c r="E1673" s="103" t="s">
        <v>295</v>
      </c>
      <c r="F1673" s="94"/>
      <c r="G1673" s="94"/>
      <c r="H1673" s="94"/>
      <c r="I1673" s="94"/>
      <c r="J1673" s="94"/>
      <c r="K1673" s="94"/>
      <c r="L1673" s="94"/>
      <c r="M1673" s="94"/>
      <c r="N1673" s="94"/>
      <c r="O1673" s="94"/>
      <c r="P1673" s="94"/>
      <c r="Q1673" s="94"/>
      <c r="R1673" s="94"/>
      <c r="S1673" s="94"/>
      <c r="T1673" s="94"/>
      <c r="U1673" s="94"/>
      <c r="V1673" s="94"/>
      <c r="W1673" s="94"/>
      <c r="X1673" s="94"/>
      <c r="Y1673" s="94"/>
      <c r="Z1673" s="94"/>
      <c r="AA1673" s="94"/>
      <c r="AB1673" s="94"/>
      <c r="AC1673" s="94"/>
      <c r="AD1673" s="94"/>
      <c r="AE1673" s="94"/>
      <c r="AF1673" s="94"/>
      <c r="AG1673" s="94"/>
      <c r="AH1673" s="94"/>
      <c r="AI1673" s="94"/>
      <c r="AJ1673" s="94"/>
      <c r="AK1673" s="94"/>
      <c r="AL1673" s="94"/>
      <c r="AM1673" s="94"/>
      <c r="AN1673" s="94"/>
      <c r="AO1673" s="94"/>
      <c r="AP1673" s="94"/>
      <c r="AQ1673" s="94"/>
      <c r="AR1673" s="94"/>
      <c r="AS1673" s="94"/>
      <c r="AT1673" s="94"/>
      <c r="AU1673" s="94"/>
      <c r="AV1673" s="94"/>
      <c r="AW1673" s="94"/>
      <c r="AX1673" s="94"/>
      <c r="AY1673" s="94"/>
      <c r="AZ1673" s="94"/>
      <c r="BA1673" s="94"/>
      <c r="BB1673" s="94"/>
      <c r="BC1673" s="94"/>
      <c r="BD1673" s="94"/>
      <c r="BE1673" s="94"/>
      <c r="BF1673" s="94"/>
    </row>
    <row r="1674" spans="1:58" x14ac:dyDescent="0.35">
      <c r="A1674" s="104" t="s">
        <v>3454</v>
      </c>
      <c r="B1674" s="105" t="s">
        <v>0</v>
      </c>
      <c r="C1674" s="106">
        <v>6</v>
      </c>
      <c r="D1674" s="104" t="s">
        <v>123</v>
      </c>
      <c r="E1674" s="106"/>
      <c r="F1674" s="94"/>
      <c r="G1674" s="94"/>
      <c r="H1674" s="94"/>
      <c r="I1674" s="94"/>
      <c r="J1674" s="94"/>
      <c r="K1674" s="94"/>
      <c r="L1674" s="94"/>
      <c r="M1674" s="94"/>
      <c r="N1674" s="94"/>
      <c r="O1674" s="94"/>
      <c r="P1674" s="94"/>
      <c r="Q1674" s="94"/>
      <c r="R1674" s="94"/>
      <c r="S1674" s="94"/>
      <c r="T1674" s="94"/>
      <c r="U1674" s="94"/>
      <c r="V1674" s="94"/>
      <c r="W1674" s="94"/>
      <c r="X1674" s="94"/>
      <c r="Y1674" s="94"/>
      <c r="Z1674" s="94"/>
      <c r="AA1674" s="94"/>
      <c r="AB1674" s="94"/>
      <c r="AC1674" s="94"/>
      <c r="AD1674" s="94"/>
      <c r="AE1674" s="94"/>
      <c r="AF1674" s="94"/>
      <c r="AG1674" s="94"/>
      <c r="AH1674" s="94"/>
      <c r="AI1674" s="94"/>
      <c r="AJ1674" s="94"/>
      <c r="AK1674" s="94"/>
      <c r="AL1674" s="94"/>
      <c r="AM1674" s="94"/>
      <c r="AN1674" s="94"/>
      <c r="AO1674" s="94"/>
      <c r="AP1674" s="94"/>
      <c r="AQ1674" s="94"/>
      <c r="AR1674" s="94"/>
      <c r="AS1674" s="94"/>
      <c r="AT1674" s="94"/>
      <c r="AU1674" s="94"/>
      <c r="AV1674" s="94"/>
      <c r="AW1674" s="94"/>
      <c r="AX1674" s="94"/>
      <c r="AY1674" s="94"/>
      <c r="AZ1674" s="94"/>
      <c r="BA1674" s="94"/>
      <c r="BB1674" s="94"/>
      <c r="BC1674" s="94"/>
      <c r="BD1674" s="94"/>
      <c r="BE1674" s="94"/>
      <c r="BF1674" s="94"/>
    </row>
    <row r="1675" spans="1:58" x14ac:dyDescent="0.35">
      <c r="A1675" s="107" t="s">
        <v>3455</v>
      </c>
      <c r="B1675" s="108" t="s">
        <v>0</v>
      </c>
      <c r="C1675" s="109">
        <v>7</v>
      </c>
      <c r="D1675" s="107" t="s">
        <v>1664</v>
      </c>
      <c r="E1675" s="109"/>
      <c r="F1675" s="94"/>
      <c r="G1675" s="94"/>
      <c r="H1675" s="94"/>
      <c r="I1675" s="94"/>
      <c r="J1675" s="94"/>
      <c r="K1675" s="94"/>
      <c r="L1675" s="94"/>
      <c r="M1675" s="94"/>
      <c r="N1675" s="94"/>
      <c r="O1675" s="94"/>
      <c r="P1675" s="94"/>
      <c r="Q1675" s="94"/>
      <c r="R1675" s="94"/>
      <c r="S1675" s="94"/>
      <c r="T1675" s="94"/>
      <c r="U1675" s="94"/>
      <c r="V1675" s="94"/>
      <c r="W1675" s="94"/>
      <c r="X1675" s="94"/>
      <c r="Y1675" s="94"/>
      <c r="Z1675" s="94"/>
      <c r="AA1675" s="94"/>
      <c r="AB1675" s="94"/>
      <c r="AC1675" s="94"/>
      <c r="AD1675" s="94"/>
      <c r="AE1675" s="94"/>
      <c r="AF1675" s="94"/>
      <c r="AG1675" s="94"/>
      <c r="AH1675" s="94"/>
      <c r="AI1675" s="94"/>
      <c r="AJ1675" s="94"/>
      <c r="AK1675" s="94"/>
      <c r="AL1675" s="94"/>
      <c r="AM1675" s="94"/>
      <c r="AN1675" s="94"/>
      <c r="AO1675" s="94"/>
      <c r="AP1675" s="94"/>
      <c r="AQ1675" s="94"/>
      <c r="AR1675" s="94"/>
      <c r="AS1675" s="94"/>
      <c r="AT1675" s="94"/>
      <c r="AU1675" s="94"/>
      <c r="AV1675" s="94"/>
      <c r="AW1675" s="94"/>
      <c r="AX1675" s="94"/>
      <c r="AY1675" s="94"/>
      <c r="AZ1675" s="94"/>
      <c r="BA1675" s="94"/>
      <c r="BB1675" s="94"/>
      <c r="BC1675" s="94"/>
      <c r="BD1675" s="94"/>
      <c r="BE1675" s="94"/>
      <c r="BF1675" s="94"/>
    </row>
    <row r="1676" spans="1:58" x14ac:dyDescent="0.35">
      <c r="A1676" s="101" t="s">
        <v>3456</v>
      </c>
      <c r="B1676" s="102" t="s">
        <v>0</v>
      </c>
      <c r="C1676" s="103">
        <v>5</v>
      </c>
      <c r="D1676" s="101" t="s">
        <v>296</v>
      </c>
      <c r="E1676" s="103" t="s">
        <v>297</v>
      </c>
      <c r="F1676" s="94"/>
      <c r="G1676" s="94"/>
      <c r="H1676" s="94"/>
      <c r="I1676" s="94"/>
      <c r="J1676" s="94"/>
      <c r="K1676" s="94"/>
      <c r="L1676" s="94"/>
      <c r="M1676" s="94"/>
      <c r="N1676" s="94"/>
      <c r="O1676" s="94"/>
      <c r="P1676" s="94"/>
      <c r="Q1676" s="94"/>
      <c r="R1676" s="94"/>
      <c r="S1676" s="94"/>
      <c r="T1676" s="94"/>
      <c r="U1676" s="94"/>
      <c r="V1676" s="94"/>
      <c r="W1676" s="94"/>
      <c r="X1676" s="94"/>
      <c r="Y1676" s="94"/>
      <c r="Z1676" s="94"/>
      <c r="AA1676" s="94"/>
      <c r="AB1676" s="94"/>
      <c r="AC1676" s="94"/>
      <c r="AD1676" s="94"/>
      <c r="AE1676" s="94"/>
      <c r="AF1676" s="94"/>
      <c r="AG1676" s="94"/>
      <c r="AH1676" s="94"/>
      <c r="AI1676" s="94"/>
      <c r="AJ1676" s="94"/>
      <c r="AK1676" s="94"/>
      <c r="AL1676" s="94"/>
      <c r="AM1676" s="94"/>
      <c r="AN1676" s="94"/>
      <c r="AO1676" s="94"/>
      <c r="AP1676" s="94"/>
      <c r="AQ1676" s="94"/>
      <c r="AR1676" s="94"/>
      <c r="AS1676" s="94"/>
      <c r="AT1676" s="94"/>
      <c r="AU1676" s="94"/>
      <c r="AV1676" s="94"/>
      <c r="AW1676" s="94"/>
      <c r="AX1676" s="94"/>
      <c r="AY1676" s="94"/>
      <c r="AZ1676" s="94"/>
      <c r="BA1676" s="94"/>
      <c r="BB1676" s="94"/>
      <c r="BC1676" s="94"/>
      <c r="BD1676" s="94"/>
      <c r="BE1676" s="94"/>
      <c r="BF1676" s="94"/>
    </row>
    <row r="1677" spans="1:58" x14ac:dyDescent="0.35">
      <c r="A1677" s="104" t="s">
        <v>3787</v>
      </c>
      <c r="B1677" s="105" t="s">
        <v>0</v>
      </c>
      <c r="C1677" s="106">
        <v>6</v>
      </c>
      <c r="D1677" s="104" t="s">
        <v>26</v>
      </c>
      <c r="E1677" s="106"/>
      <c r="F1677" s="94"/>
      <c r="G1677" s="94"/>
      <c r="H1677" s="94"/>
      <c r="I1677" s="94"/>
      <c r="J1677" s="94"/>
      <c r="K1677" s="94"/>
      <c r="L1677" s="94"/>
      <c r="M1677" s="94"/>
      <c r="N1677" s="94"/>
      <c r="O1677" s="94"/>
      <c r="P1677" s="94"/>
      <c r="Q1677" s="94"/>
      <c r="R1677" s="94"/>
      <c r="S1677" s="94"/>
      <c r="T1677" s="94"/>
      <c r="U1677" s="94"/>
      <c r="V1677" s="94"/>
      <c r="W1677" s="94"/>
      <c r="X1677" s="94"/>
      <c r="Y1677" s="94"/>
      <c r="Z1677" s="94"/>
      <c r="AA1677" s="94"/>
      <c r="AB1677" s="94"/>
      <c r="AC1677" s="94"/>
      <c r="AD1677" s="94"/>
      <c r="AE1677" s="94"/>
      <c r="AF1677" s="94"/>
      <c r="AG1677" s="94"/>
      <c r="AH1677" s="94"/>
      <c r="AI1677" s="94"/>
      <c r="AJ1677" s="94"/>
      <c r="AK1677" s="94"/>
      <c r="AL1677" s="94"/>
      <c r="AM1677" s="94"/>
      <c r="AN1677" s="94"/>
      <c r="AO1677" s="94"/>
      <c r="AP1677" s="94"/>
      <c r="AQ1677" s="94"/>
      <c r="AR1677" s="94"/>
      <c r="AS1677" s="94"/>
      <c r="AT1677" s="94"/>
      <c r="AU1677" s="94"/>
      <c r="AV1677" s="94"/>
      <c r="AW1677" s="94"/>
      <c r="AX1677" s="94"/>
      <c r="AY1677" s="94"/>
      <c r="AZ1677" s="94"/>
      <c r="BA1677" s="94"/>
      <c r="BB1677" s="94"/>
      <c r="BC1677" s="94"/>
      <c r="BD1677" s="94"/>
      <c r="BE1677" s="94"/>
      <c r="BF1677" s="94"/>
    </row>
    <row r="1678" spans="1:58" x14ac:dyDescent="0.35">
      <c r="A1678" s="107" t="s">
        <v>3788</v>
      </c>
      <c r="B1678" s="108" t="s">
        <v>0</v>
      </c>
      <c r="C1678" s="109">
        <v>7</v>
      </c>
      <c r="D1678" s="107" t="s">
        <v>730</v>
      </c>
      <c r="E1678" s="109"/>
      <c r="F1678" s="94"/>
      <c r="G1678" s="94"/>
      <c r="H1678" s="94"/>
      <c r="I1678" s="94"/>
      <c r="J1678" s="94"/>
      <c r="K1678" s="94"/>
      <c r="L1678" s="94"/>
      <c r="M1678" s="94"/>
      <c r="N1678" s="94"/>
      <c r="O1678" s="94"/>
      <c r="P1678" s="94"/>
      <c r="Q1678" s="94"/>
      <c r="R1678" s="94"/>
      <c r="S1678" s="94"/>
      <c r="T1678" s="94"/>
      <c r="U1678" s="94"/>
      <c r="V1678" s="94"/>
      <c r="W1678" s="94"/>
      <c r="X1678" s="94"/>
      <c r="Y1678" s="94"/>
      <c r="Z1678" s="94"/>
      <c r="AA1678" s="94"/>
      <c r="AB1678" s="94"/>
      <c r="AC1678" s="94"/>
      <c r="AD1678" s="94"/>
      <c r="AE1678" s="94"/>
      <c r="AF1678" s="94"/>
      <c r="AG1678" s="94"/>
      <c r="AH1678" s="94"/>
      <c r="AI1678" s="94"/>
      <c r="AJ1678" s="94"/>
      <c r="AK1678" s="94"/>
      <c r="AL1678" s="94"/>
      <c r="AM1678" s="94"/>
      <c r="AN1678" s="94"/>
      <c r="AO1678" s="94"/>
      <c r="AP1678" s="94"/>
      <c r="AQ1678" s="94"/>
      <c r="AR1678" s="94"/>
      <c r="AS1678" s="94"/>
      <c r="AT1678" s="94"/>
      <c r="AU1678" s="94"/>
      <c r="AV1678" s="94"/>
      <c r="AW1678" s="94"/>
      <c r="AX1678" s="94"/>
      <c r="AY1678" s="94"/>
      <c r="AZ1678" s="94"/>
      <c r="BA1678" s="94"/>
      <c r="BB1678" s="94"/>
      <c r="BC1678" s="94"/>
      <c r="BD1678" s="94"/>
      <c r="BE1678" s="94"/>
      <c r="BF1678" s="94"/>
    </row>
    <row r="1679" spans="1:58" x14ac:dyDescent="0.35">
      <c r="A1679" s="107" t="s">
        <v>3789</v>
      </c>
      <c r="B1679" s="108" t="s">
        <v>0</v>
      </c>
      <c r="C1679" s="109">
        <v>7</v>
      </c>
      <c r="D1679" s="107" t="s">
        <v>1758</v>
      </c>
      <c r="E1679" s="109" t="s">
        <v>1759</v>
      </c>
      <c r="F1679" s="94"/>
      <c r="G1679" s="94"/>
      <c r="H1679" s="94"/>
      <c r="I1679" s="94"/>
      <c r="J1679" s="94"/>
      <c r="K1679" s="94"/>
      <c r="L1679" s="94"/>
      <c r="M1679" s="94"/>
      <c r="N1679" s="94"/>
      <c r="O1679" s="94"/>
      <c r="P1679" s="94"/>
      <c r="Q1679" s="94"/>
      <c r="R1679" s="94"/>
      <c r="S1679" s="94"/>
      <c r="T1679" s="94"/>
      <c r="U1679" s="94"/>
      <c r="V1679" s="94"/>
      <c r="W1679" s="94"/>
      <c r="X1679" s="94"/>
      <c r="Y1679" s="94"/>
      <c r="Z1679" s="94"/>
      <c r="AA1679" s="94"/>
      <c r="AB1679" s="94"/>
      <c r="AC1679" s="94"/>
      <c r="AD1679" s="94"/>
      <c r="AE1679" s="94"/>
      <c r="AF1679" s="94"/>
      <c r="AG1679" s="94"/>
      <c r="AH1679" s="94"/>
      <c r="AI1679" s="94"/>
      <c r="AJ1679" s="94"/>
      <c r="AK1679" s="94"/>
      <c r="AL1679" s="94"/>
      <c r="AM1679" s="94"/>
      <c r="AN1679" s="94"/>
      <c r="AO1679" s="94"/>
      <c r="AP1679" s="94"/>
      <c r="AQ1679" s="94"/>
      <c r="AR1679" s="94"/>
      <c r="AS1679" s="94"/>
      <c r="AT1679" s="94"/>
      <c r="AU1679" s="94"/>
      <c r="AV1679" s="94"/>
      <c r="AW1679" s="94"/>
      <c r="AX1679" s="94"/>
      <c r="AY1679" s="94"/>
      <c r="AZ1679" s="94"/>
      <c r="BA1679" s="94"/>
      <c r="BB1679" s="94"/>
      <c r="BC1679" s="94"/>
      <c r="BD1679" s="94"/>
      <c r="BE1679" s="94"/>
      <c r="BF1679" s="94"/>
    </row>
    <row r="1680" spans="1:58" x14ac:dyDescent="0.35">
      <c r="A1680" s="104" t="s">
        <v>3457</v>
      </c>
      <c r="B1680" s="105" t="s">
        <v>0</v>
      </c>
      <c r="C1680" s="106">
        <v>6</v>
      </c>
      <c r="D1680" s="104" t="s">
        <v>29</v>
      </c>
      <c r="E1680" s="106"/>
      <c r="F1680" s="94"/>
      <c r="G1680" s="94"/>
      <c r="H1680" s="94"/>
      <c r="I1680" s="94"/>
      <c r="J1680" s="94"/>
      <c r="K1680" s="94"/>
      <c r="L1680" s="94"/>
      <c r="M1680" s="94"/>
      <c r="N1680" s="94"/>
      <c r="O1680" s="94"/>
      <c r="P1680" s="94"/>
      <c r="Q1680" s="94"/>
      <c r="R1680" s="94"/>
      <c r="S1680" s="94"/>
      <c r="T1680" s="94"/>
      <c r="U1680" s="94"/>
      <c r="V1680" s="94"/>
      <c r="W1680" s="94"/>
      <c r="X1680" s="94"/>
      <c r="Y1680" s="94"/>
      <c r="Z1680" s="94"/>
      <c r="AA1680" s="94"/>
      <c r="AB1680" s="94"/>
      <c r="AC1680" s="94"/>
      <c r="AD1680" s="94"/>
      <c r="AE1680" s="94"/>
      <c r="AF1680" s="94"/>
      <c r="AG1680" s="94"/>
      <c r="AH1680" s="94"/>
      <c r="AI1680" s="94"/>
      <c r="AJ1680" s="94"/>
      <c r="AK1680" s="94"/>
      <c r="AL1680" s="94"/>
      <c r="AM1680" s="94"/>
      <c r="AN1680" s="94"/>
      <c r="AO1680" s="94"/>
      <c r="AP1680" s="94"/>
      <c r="AQ1680" s="94"/>
      <c r="AR1680" s="94"/>
      <c r="AS1680" s="94"/>
      <c r="AT1680" s="94"/>
      <c r="AU1680" s="94"/>
      <c r="AV1680" s="94"/>
      <c r="AW1680" s="94"/>
      <c r="AX1680" s="94"/>
      <c r="AY1680" s="94"/>
      <c r="AZ1680" s="94"/>
      <c r="BA1680" s="94"/>
      <c r="BB1680" s="94"/>
      <c r="BC1680" s="94"/>
      <c r="BD1680" s="94"/>
      <c r="BE1680" s="94"/>
      <c r="BF1680" s="94"/>
    </row>
    <row r="1681" spans="1:58" x14ac:dyDescent="0.35">
      <c r="A1681" s="107" t="s">
        <v>3458</v>
      </c>
      <c r="B1681" s="108" t="s">
        <v>0</v>
      </c>
      <c r="C1681" s="109">
        <v>7</v>
      </c>
      <c r="D1681" s="107" t="s">
        <v>1760</v>
      </c>
      <c r="E1681" s="109"/>
      <c r="F1681" s="94"/>
      <c r="G1681" s="94"/>
      <c r="H1681" s="94"/>
      <c r="I1681" s="94"/>
      <c r="J1681" s="94"/>
      <c r="K1681" s="94"/>
      <c r="L1681" s="94"/>
      <c r="M1681" s="94"/>
      <c r="N1681" s="94"/>
      <c r="O1681" s="94"/>
      <c r="P1681" s="94"/>
      <c r="Q1681" s="94"/>
      <c r="R1681" s="94"/>
      <c r="S1681" s="94"/>
      <c r="T1681" s="94"/>
      <c r="U1681" s="94"/>
      <c r="V1681" s="94"/>
      <c r="W1681" s="94"/>
      <c r="X1681" s="94"/>
      <c r="Y1681" s="94"/>
      <c r="Z1681" s="94"/>
      <c r="AA1681" s="94"/>
      <c r="AB1681" s="94"/>
      <c r="AC1681" s="94"/>
      <c r="AD1681" s="94"/>
      <c r="AE1681" s="94"/>
      <c r="AF1681" s="94"/>
      <c r="AG1681" s="94"/>
      <c r="AH1681" s="94"/>
      <c r="AI1681" s="94"/>
      <c r="AJ1681" s="94"/>
      <c r="AK1681" s="94"/>
      <c r="AL1681" s="94"/>
      <c r="AM1681" s="94"/>
      <c r="AN1681" s="94"/>
      <c r="AO1681" s="94"/>
      <c r="AP1681" s="94"/>
      <c r="AQ1681" s="94"/>
      <c r="AR1681" s="94"/>
      <c r="AS1681" s="94"/>
      <c r="AT1681" s="94"/>
      <c r="AU1681" s="94"/>
      <c r="AV1681" s="94"/>
      <c r="AW1681" s="94"/>
      <c r="AX1681" s="94"/>
      <c r="AY1681" s="94"/>
      <c r="AZ1681" s="94"/>
      <c r="BA1681" s="94"/>
      <c r="BB1681" s="94"/>
      <c r="BC1681" s="94"/>
      <c r="BD1681" s="94"/>
      <c r="BE1681" s="94"/>
      <c r="BF1681" s="94"/>
    </row>
    <row r="1682" spans="1:58" x14ac:dyDescent="0.35">
      <c r="A1682" s="104" t="s">
        <v>3459</v>
      </c>
      <c r="B1682" s="105" t="s">
        <v>0</v>
      </c>
      <c r="C1682" s="106">
        <v>6</v>
      </c>
      <c r="D1682" s="104" t="s">
        <v>31</v>
      </c>
      <c r="E1682" s="106"/>
      <c r="F1682" s="94"/>
      <c r="G1682" s="94"/>
      <c r="H1682" s="94"/>
      <c r="I1682" s="94"/>
      <c r="J1682" s="94"/>
      <c r="K1682" s="94"/>
      <c r="L1682" s="94"/>
      <c r="M1682" s="94"/>
      <c r="N1682" s="94"/>
      <c r="O1682" s="94"/>
      <c r="P1682" s="94"/>
      <c r="Q1682" s="94"/>
      <c r="R1682" s="94"/>
      <c r="S1682" s="94"/>
      <c r="T1682" s="94"/>
      <c r="U1682" s="94"/>
      <c r="V1682" s="94"/>
      <c r="W1682" s="94"/>
      <c r="X1682" s="94"/>
      <c r="Y1682" s="94"/>
      <c r="Z1682" s="94"/>
      <c r="AA1682" s="94"/>
      <c r="AB1682" s="94"/>
      <c r="AC1682" s="94"/>
      <c r="AD1682" s="94"/>
      <c r="AE1682" s="94"/>
      <c r="AF1682" s="94"/>
      <c r="AG1682" s="94"/>
      <c r="AH1682" s="94"/>
      <c r="AI1682" s="94"/>
      <c r="AJ1682" s="94"/>
      <c r="AK1682" s="94"/>
      <c r="AL1682" s="94"/>
      <c r="AM1682" s="94"/>
      <c r="AN1682" s="94"/>
      <c r="AO1682" s="94"/>
      <c r="AP1682" s="94"/>
      <c r="AQ1682" s="94"/>
      <c r="AR1682" s="94"/>
      <c r="AS1682" s="94"/>
      <c r="AT1682" s="94"/>
      <c r="AU1682" s="94"/>
      <c r="AV1682" s="94"/>
      <c r="AW1682" s="94"/>
      <c r="AX1682" s="94"/>
      <c r="AY1682" s="94"/>
      <c r="AZ1682" s="94"/>
      <c r="BA1682" s="94"/>
      <c r="BB1682" s="94"/>
      <c r="BC1682" s="94"/>
      <c r="BD1682" s="94"/>
      <c r="BE1682" s="94"/>
      <c r="BF1682" s="94"/>
    </row>
    <row r="1683" spans="1:58" x14ac:dyDescent="0.35">
      <c r="A1683" s="107" t="s">
        <v>3460</v>
      </c>
      <c r="B1683" s="108" t="s">
        <v>0</v>
      </c>
      <c r="C1683" s="109">
        <v>7</v>
      </c>
      <c r="D1683" s="107" t="s">
        <v>647</v>
      </c>
      <c r="E1683" s="109"/>
      <c r="F1683" s="94"/>
      <c r="G1683" s="94"/>
      <c r="H1683" s="94"/>
      <c r="I1683" s="94"/>
      <c r="J1683" s="94"/>
      <c r="K1683" s="94"/>
      <c r="L1683" s="94"/>
      <c r="M1683" s="94"/>
      <c r="N1683" s="94"/>
      <c r="O1683" s="94"/>
      <c r="P1683" s="94"/>
      <c r="Q1683" s="94"/>
      <c r="R1683" s="94"/>
      <c r="S1683" s="94"/>
      <c r="T1683" s="94"/>
      <c r="U1683" s="94"/>
      <c r="V1683" s="94"/>
      <c r="W1683" s="94"/>
      <c r="X1683" s="94"/>
      <c r="Y1683" s="94"/>
      <c r="Z1683" s="94"/>
      <c r="AA1683" s="94"/>
      <c r="AB1683" s="94"/>
      <c r="AC1683" s="94"/>
      <c r="AD1683" s="94"/>
      <c r="AE1683" s="94"/>
      <c r="AF1683" s="94"/>
      <c r="AG1683" s="94"/>
      <c r="AH1683" s="94"/>
      <c r="AI1683" s="94"/>
      <c r="AJ1683" s="94"/>
      <c r="AK1683" s="94"/>
      <c r="AL1683" s="94"/>
      <c r="AM1683" s="94"/>
      <c r="AN1683" s="94"/>
      <c r="AO1683" s="94"/>
      <c r="AP1683" s="94"/>
      <c r="AQ1683" s="94"/>
      <c r="AR1683" s="94"/>
      <c r="AS1683" s="94"/>
      <c r="AT1683" s="94"/>
      <c r="AU1683" s="94"/>
      <c r="AV1683" s="94"/>
      <c r="AW1683" s="94"/>
      <c r="AX1683" s="94"/>
      <c r="AY1683" s="94"/>
      <c r="AZ1683" s="94"/>
      <c r="BA1683" s="94"/>
      <c r="BB1683" s="94"/>
      <c r="BC1683" s="94"/>
      <c r="BD1683" s="94"/>
      <c r="BE1683" s="94"/>
      <c r="BF1683" s="94"/>
    </row>
    <row r="1684" spans="1:58" x14ac:dyDescent="0.35">
      <c r="A1684" s="104" t="s">
        <v>3461</v>
      </c>
      <c r="B1684" s="105" t="s">
        <v>0</v>
      </c>
      <c r="C1684" s="106">
        <v>6</v>
      </c>
      <c r="D1684" s="104" t="s">
        <v>16</v>
      </c>
      <c r="E1684" s="106"/>
      <c r="F1684" s="94"/>
      <c r="G1684" s="94"/>
      <c r="H1684" s="94"/>
      <c r="I1684" s="94"/>
      <c r="J1684" s="94"/>
      <c r="K1684" s="94"/>
      <c r="L1684" s="94"/>
      <c r="M1684" s="94"/>
      <c r="N1684" s="94"/>
      <c r="O1684" s="94"/>
      <c r="P1684" s="94"/>
      <c r="Q1684" s="94"/>
      <c r="R1684" s="94"/>
      <c r="S1684" s="94"/>
      <c r="T1684" s="94"/>
      <c r="U1684" s="94"/>
      <c r="V1684" s="94"/>
      <c r="W1684" s="94"/>
      <c r="X1684" s="94"/>
      <c r="Y1684" s="94"/>
      <c r="Z1684" s="94"/>
      <c r="AA1684" s="94"/>
      <c r="AB1684" s="94"/>
      <c r="AC1684" s="94"/>
      <c r="AD1684" s="94"/>
      <c r="AE1684" s="94"/>
      <c r="AF1684" s="94"/>
      <c r="AG1684" s="94"/>
      <c r="AH1684" s="94"/>
      <c r="AI1684" s="94"/>
      <c r="AJ1684" s="94"/>
      <c r="AK1684" s="94"/>
      <c r="AL1684" s="94"/>
      <c r="AM1684" s="94"/>
      <c r="AN1684" s="94"/>
      <c r="AO1684" s="94"/>
      <c r="AP1684" s="94"/>
      <c r="AQ1684" s="94"/>
      <c r="AR1684" s="94"/>
      <c r="AS1684" s="94"/>
      <c r="AT1684" s="94"/>
      <c r="AU1684" s="94"/>
      <c r="AV1684" s="94"/>
      <c r="AW1684" s="94"/>
      <c r="AX1684" s="94"/>
      <c r="AY1684" s="94"/>
      <c r="AZ1684" s="94"/>
      <c r="BA1684" s="94"/>
      <c r="BB1684" s="94"/>
      <c r="BC1684" s="94"/>
      <c r="BD1684" s="94"/>
      <c r="BE1684" s="94"/>
      <c r="BF1684" s="94"/>
    </row>
    <row r="1685" spans="1:58" x14ac:dyDescent="0.35">
      <c r="A1685" s="107" t="s">
        <v>3462</v>
      </c>
      <c r="B1685" s="108" t="s">
        <v>0</v>
      </c>
      <c r="C1685" s="109">
        <v>7</v>
      </c>
      <c r="D1685" s="107" t="s">
        <v>712</v>
      </c>
      <c r="E1685" s="109" t="s">
        <v>32</v>
      </c>
      <c r="F1685" s="94"/>
      <c r="G1685" s="94"/>
      <c r="H1685" s="94"/>
      <c r="I1685" s="94"/>
      <c r="J1685" s="94"/>
      <c r="K1685" s="94"/>
      <c r="L1685" s="94"/>
      <c r="M1685" s="94"/>
      <c r="N1685" s="94"/>
      <c r="O1685" s="94"/>
      <c r="P1685" s="94"/>
      <c r="Q1685" s="94"/>
      <c r="R1685" s="94"/>
      <c r="S1685" s="94"/>
      <c r="T1685" s="94"/>
      <c r="U1685" s="94"/>
      <c r="V1685" s="94"/>
      <c r="W1685" s="94"/>
      <c r="X1685" s="94"/>
      <c r="Y1685" s="94"/>
      <c r="Z1685" s="94"/>
      <c r="AA1685" s="94"/>
      <c r="AB1685" s="94"/>
      <c r="AC1685" s="94"/>
      <c r="AD1685" s="94"/>
      <c r="AE1685" s="94"/>
      <c r="AF1685" s="94"/>
      <c r="AG1685" s="94"/>
      <c r="AH1685" s="94"/>
      <c r="AI1685" s="94"/>
      <c r="AJ1685" s="94"/>
      <c r="AK1685" s="94"/>
      <c r="AL1685" s="94"/>
      <c r="AM1685" s="94"/>
      <c r="AN1685" s="94"/>
      <c r="AO1685" s="94"/>
      <c r="AP1685" s="94"/>
      <c r="AQ1685" s="94"/>
      <c r="AR1685" s="94"/>
      <c r="AS1685" s="94"/>
      <c r="AT1685" s="94"/>
      <c r="AU1685" s="94"/>
      <c r="AV1685" s="94"/>
      <c r="AW1685" s="94"/>
      <c r="AX1685" s="94"/>
      <c r="AY1685" s="94"/>
      <c r="AZ1685" s="94"/>
      <c r="BA1685" s="94"/>
      <c r="BB1685" s="94"/>
      <c r="BC1685" s="94"/>
      <c r="BD1685" s="94"/>
      <c r="BE1685" s="94"/>
      <c r="BF1685" s="94"/>
    </row>
    <row r="1686" spans="1:58" x14ac:dyDescent="0.35">
      <c r="A1686" s="107" t="s">
        <v>3463</v>
      </c>
      <c r="B1686" s="108" t="s">
        <v>0</v>
      </c>
      <c r="C1686" s="109">
        <v>7</v>
      </c>
      <c r="D1686" s="107" t="s">
        <v>648</v>
      </c>
      <c r="E1686" s="109"/>
      <c r="F1686" s="94"/>
      <c r="G1686" s="94"/>
      <c r="H1686" s="94"/>
      <c r="I1686" s="94"/>
      <c r="J1686" s="94"/>
      <c r="K1686" s="94"/>
      <c r="L1686" s="94"/>
      <c r="M1686" s="94"/>
      <c r="N1686" s="94"/>
      <c r="O1686" s="94"/>
      <c r="P1686" s="94"/>
      <c r="Q1686" s="94"/>
      <c r="R1686" s="94"/>
      <c r="S1686" s="94"/>
      <c r="T1686" s="94"/>
      <c r="U1686" s="94"/>
      <c r="V1686" s="94"/>
      <c r="W1686" s="94"/>
      <c r="X1686" s="94"/>
      <c r="Y1686" s="94"/>
      <c r="Z1686" s="94"/>
      <c r="AA1686" s="94"/>
      <c r="AB1686" s="94"/>
      <c r="AC1686" s="94"/>
      <c r="AD1686" s="94"/>
      <c r="AE1686" s="94"/>
      <c r="AF1686" s="94"/>
      <c r="AG1686" s="94"/>
      <c r="AH1686" s="94"/>
      <c r="AI1686" s="94"/>
      <c r="AJ1686" s="94"/>
      <c r="AK1686" s="94"/>
      <c r="AL1686" s="94"/>
      <c r="AM1686" s="94"/>
      <c r="AN1686" s="94"/>
      <c r="AO1686" s="94"/>
      <c r="AP1686" s="94"/>
      <c r="AQ1686" s="94"/>
      <c r="AR1686" s="94"/>
      <c r="AS1686" s="94"/>
      <c r="AT1686" s="94"/>
      <c r="AU1686" s="94"/>
      <c r="AV1686" s="94"/>
      <c r="AW1686" s="94"/>
      <c r="AX1686" s="94"/>
      <c r="AY1686" s="94"/>
      <c r="AZ1686" s="94"/>
      <c r="BA1686" s="94"/>
      <c r="BB1686" s="94"/>
      <c r="BC1686" s="94"/>
      <c r="BD1686" s="94"/>
      <c r="BE1686" s="94"/>
      <c r="BF1686" s="94"/>
    </row>
    <row r="1687" spans="1:58" x14ac:dyDescent="0.35">
      <c r="A1687" s="107" t="s">
        <v>3464</v>
      </c>
      <c r="B1687" s="108" t="s">
        <v>0</v>
      </c>
      <c r="C1687" s="109">
        <v>7</v>
      </c>
      <c r="D1687" s="107" t="s">
        <v>650</v>
      </c>
      <c r="E1687" s="109"/>
      <c r="F1687" s="94"/>
      <c r="G1687" s="94"/>
      <c r="H1687" s="94"/>
      <c r="I1687" s="94"/>
      <c r="J1687" s="94"/>
      <c r="K1687" s="94"/>
      <c r="L1687" s="94"/>
      <c r="M1687" s="94"/>
      <c r="N1687" s="94"/>
      <c r="O1687" s="94"/>
      <c r="P1687" s="94"/>
      <c r="Q1687" s="94"/>
      <c r="R1687" s="94"/>
      <c r="S1687" s="94"/>
      <c r="T1687" s="94"/>
      <c r="U1687" s="94"/>
      <c r="V1687" s="94"/>
      <c r="W1687" s="94"/>
      <c r="X1687" s="94"/>
      <c r="Y1687" s="94"/>
      <c r="Z1687" s="94"/>
      <c r="AA1687" s="94"/>
      <c r="AB1687" s="94"/>
      <c r="AC1687" s="94"/>
      <c r="AD1687" s="94"/>
      <c r="AE1687" s="94"/>
      <c r="AF1687" s="94"/>
      <c r="AG1687" s="94"/>
      <c r="AH1687" s="94"/>
      <c r="AI1687" s="94"/>
      <c r="AJ1687" s="94"/>
      <c r="AK1687" s="94"/>
      <c r="AL1687" s="94"/>
      <c r="AM1687" s="94"/>
      <c r="AN1687" s="94"/>
      <c r="AO1687" s="94"/>
      <c r="AP1687" s="94"/>
      <c r="AQ1687" s="94"/>
      <c r="AR1687" s="94"/>
      <c r="AS1687" s="94"/>
      <c r="AT1687" s="94"/>
      <c r="AU1687" s="94"/>
      <c r="AV1687" s="94"/>
      <c r="AW1687" s="94"/>
      <c r="AX1687" s="94"/>
      <c r="AY1687" s="94"/>
      <c r="AZ1687" s="94"/>
      <c r="BA1687" s="94"/>
      <c r="BB1687" s="94"/>
      <c r="BC1687" s="94"/>
      <c r="BD1687" s="94"/>
      <c r="BE1687" s="94"/>
      <c r="BF1687" s="94"/>
    </row>
    <row r="1688" spans="1:58" x14ac:dyDescent="0.35">
      <c r="A1688" s="107" t="s">
        <v>3465</v>
      </c>
      <c r="B1688" s="108" t="s">
        <v>0</v>
      </c>
      <c r="C1688" s="109">
        <v>7</v>
      </c>
      <c r="D1688" s="107" t="s">
        <v>651</v>
      </c>
      <c r="E1688" s="109"/>
      <c r="F1688" s="94"/>
      <c r="G1688" s="94"/>
      <c r="H1688" s="94"/>
      <c r="I1688" s="94"/>
      <c r="J1688" s="94"/>
      <c r="K1688" s="94"/>
      <c r="L1688" s="94"/>
      <c r="M1688" s="94"/>
      <c r="N1688" s="94"/>
      <c r="O1688" s="94"/>
      <c r="P1688" s="94"/>
      <c r="Q1688" s="94"/>
      <c r="R1688" s="94"/>
      <c r="S1688" s="94"/>
      <c r="T1688" s="94"/>
      <c r="U1688" s="94"/>
      <c r="V1688" s="94"/>
      <c r="W1688" s="94"/>
      <c r="X1688" s="94"/>
      <c r="Y1688" s="94"/>
      <c r="Z1688" s="94"/>
      <c r="AA1688" s="94"/>
      <c r="AB1688" s="94"/>
      <c r="AC1688" s="94"/>
      <c r="AD1688" s="94"/>
      <c r="AE1688" s="94"/>
      <c r="AF1688" s="94"/>
      <c r="AG1688" s="94"/>
      <c r="AH1688" s="94"/>
      <c r="AI1688" s="94"/>
      <c r="AJ1688" s="94"/>
      <c r="AK1688" s="94"/>
      <c r="AL1688" s="94"/>
      <c r="AM1688" s="94"/>
      <c r="AN1688" s="94"/>
      <c r="AO1688" s="94"/>
      <c r="AP1688" s="94"/>
      <c r="AQ1688" s="94"/>
      <c r="AR1688" s="94"/>
      <c r="AS1688" s="94"/>
      <c r="AT1688" s="94"/>
      <c r="AU1688" s="94"/>
      <c r="AV1688" s="94"/>
      <c r="AW1688" s="94"/>
      <c r="AX1688" s="94"/>
      <c r="AY1688" s="94"/>
      <c r="AZ1688" s="94"/>
      <c r="BA1688" s="94"/>
      <c r="BB1688" s="94"/>
      <c r="BC1688" s="94"/>
      <c r="BD1688" s="94"/>
      <c r="BE1688" s="94"/>
      <c r="BF1688" s="94"/>
    </row>
    <row r="1689" spans="1:58" x14ac:dyDescent="0.35">
      <c r="A1689" s="107" t="s">
        <v>3466</v>
      </c>
      <c r="B1689" s="108" t="s">
        <v>0</v>
      </c>
      <c r="C1689" s="109">
        <v>7</v>
      </c>
      <c r="D1689" s="107" t="s">
        <v>652</v>
      </c>
      <c r="E1689" s="109"/>
      <c r="F1689" s="94"/>
      <c r="G1689" s="94"/>
      <c r="H1689" s="94"/>
      <c r="I1689" s="94"/>
      <c r="J1689" s="94"/>
      <c r="K1689" s="94"/>
      <c r="L1689" s="94"/>
      <c r="M1689" s="94"/>
      <c r="N1689" s="94"/>
      <c r="O1689" s="94"/>
      <c r="P1689" s="94"/>
      <c r="Q1689" s="94"/>
      <c r="R1689" s="94"/>
      <c r="S1689" s="94"/>
      <c r="T1689" s="94"/>
      <c r="U1689" s="94"/>
      <c r="V1689" s="94"/>
      <c r="W1689" s="94"/>
      <c r="X1689" s="94"/>
      <c r="Y1689" s="94"/>
      <c r="Z1689" s="94"/>
      <c r="AA1689" s="94"/>
      <c r="AB1689" s="94"/>
      <c r="AC1689" s="94"/>
      <c r="AD1689" s="94"/>
      <c r="AE1689" s="94"/>
      <c r="AF1689" s="94"/>
      <c r="AG1689" s="94"/>
      <c r="AH1689" s="94"/>
      <c r="AI1689" s="94"/>
      <c r="AJ1689" s="94"/>
      <c r="AK1689" s="94"/>
      <c r="AL1689" s="94"/>
      <c r="AM1689" s="94"/>
      <c r="AN1689" s="94"/>
      <c r="AO1689" s="94"/>
      <c r="AP1689" s="94"/>
      <c r="AQ1689" s="94"/>
      <c r="AR1689" s="94"/>
      <c r="AS1689" s="94"/>
      <c r="AT1689" s="94"/>
      <c r="AU1689" s="94"/>
      <c r="AV1689" s="94"/>
      <c r="AW1689" s="94"/>
      <c r="AX1689" s="94"/>
      <c r="AY1689" s="94"/>
      <c r="AZ1689" s="94"/>
      <c r="BA1689" s="94"/>
      <c r="BB1689" s="94"/>
      <c r="BC1689" s="94"/>
      <c r="BD1689" s="94"/>
      <c r="BE1689" s="94"/>
      <c r="BF1689" s="94"/>
    </row>
    <row r="1690" spans="1:58" x14ac:dyDescent="0.35">
      <c r="A1690" s="104" t="s">
        <v>3467</v>
      </c>
      <c r="B1690" s="105" t="s">
        <v>0</v>
      </c>
      <c r="C1690" s="106">
        <v>6</v>
      </c>
      <c r="D1690" s="104" t="s">
        <v>1665</v>
      </c>
      <c r="E1690" s="106"/>
      <c r="F1690" s="94"/>
      <c r="G1690" s="94"/>
      <c r="H1690" s="94"/>
      <c r="I1690" s="94"/>
      <c r="J1690" s="94"/>
      <c r="K1690" s="94"/>
      <c r="L1690" s="94"/>
      <c r="M1690" s="94"/>
      <c r="N1690" s="94"/>
      <c r="O1690" s="94"/>
      <c r="P1690" s="94"/>
      <c r="Q1690" s="94"/>
      <c r="R1690" s="94"/>
      <c r="S1690" s="94"/>
      <c r="T1690" s="94"/>
      <c r="U1690" s="94"/>
      <c r="V1690" s="94"/>
      <c r="W1690" s="94"/>
      <c r="X1690" s="94"/>
      <c r="Y1690" s="94"/>
      <c r="Z1690" s="94"/>
      <c r="AA1690" s="94"/>
      <c r="AB1690" s="94"/>
      <c r="AC1690" s="94"/>
      <c r="AD1690" s="94"/>
      <c r="AE1690" s="94"/>
      <c r="AF1690" s="94"/>
      <c r="AG1690" s="94"/>
      <c r="AH1690" s="94"/>
      <c r="AI1690" s="94"/>
      <c r="AJ1690" s="94"/>
      <c r="AK1690" s="94"/>
      <c r="AL1690" s="94"/>
      <c r="AM1690" s="94"/>
      <c r="AN1690" s="94"/>
      <c r="AO1690" s="94"/>
      <c r="AP1690" s="94"/>
      <c r="AQ1690" s="94"/>
      <c r="AR1690" s="94"/>
      <c r="AS1690" s="94"/>
      <c r="AT1690" s="94"/>
      <c r="AU1690" s="94"/>
      <c r="AV1690" s="94"/>
      <c r="AW1690" s="94"/>
      <c r="AX1690" s="94"/>
      <c r="AY1690" s="94"/>
      <c r="AZ1690" s="94"/>
      <c r="BA1690" s="94"/>
      <c r="BB1690" s="94"/>
      <c r="BC1690" s="94"/>
      <c r="BD1690" s="94"/>
      <c r="BE1690" s="94"/>
      <c r="BF1690" s="94"/>
    </row>
    <row r="1691" spans="1:58" x14ac:dyDescent="0.35">
      <c r="A1691" s="107" t="s">
        <v>3468</v>
      </c>
      <c r="B1691" s="108" t="s">
        <v>0</v>
      </c>
      <c r="C1691" s="109">
        <v>7</v>
      </c>
      <c r="D1691" s="107" t="s">
        <v>1804</v>
      </c>
      <c r="E1691" s="109" t="s">
        <v>1761</v>
      </c>
      <c r="F1691" s="94"/>
      <c r="G1691" s="94"/>
      <c r="H1691" s="94"/>
      <c r="I1691" s="94"/>
      <c r="J1691" s="94"/>
      <c r="K1691" s="94"/>
      <c r="L1691" s="94"/>
      <c r="M1691" s="94"/>
      <c r="N1691" s="94"/>
      <c r="O1691" s="94"/>
      <c r="P1691" s="94"/>
      <c r="Q1691" s="94"/>
      <c r="R1691" s="94"/>
      <c r="S1691" s="94"/>
      <c r="T1691" s="94"/>
      <c r="U1691" s="94"/>
      <c r="V1691" s="94"/>
      <c r="W1691" s="94"/>
      <c r="X1691" s="94"/>
      <c r="Y1691" s="94"/>
      <c r="Z1691" s="94"/>
      <c r="AA1691" s="94"/>
      <c r="AB1691" s="94"/>
      <c r="AC1691" s="94"/>
      <c r="AD1691" s="94"/>
      <c r="AE1691" s="94"/>
      <c r="AF1691" s="94"/>
      <c r="AG1691" s="94"/>
      <c r="AH1691" s="94"/>
      <c r="AI1691" s="94"/>
      <c r="AJ1691" s="94"/>
      <c r="AK1691" s="94"/>
      <c r="AL1691" s="94"/>
      <c r="AM1691" s="94"/>
      <c r="AN1691" s="94"/>
      <c r="AO1691" s="94"/>
      <c r="AP1691" s="94"/>
      <c r="AQ1691" s="94"/>
      <c r="AR1691" s="94"/>
      <c r="AS1691" s="94"/>
      <c r="AT1691" s="94"/>
      <c r="AU1691" s="94"/>
      <c r="AV1691" s="94"/>
      <c r="AW1691" s="94"/>
      <c r="AX1691" s="94"/>
      <c r="AY1691" s="94"/>
      <c r="AZ1691" s="94"/>
      <c r="BA1691" s="94"/>
      <c r="BB1691" s="94"/>
      <c r="BC1691" s="94"/>
      <c r="BD1691" s="94"/>
      <c r="BE1691" s="94"/>
      <c r="BF1691" s="94"/>
    </row>
    <row r="1692" spans="1:58" x14ac:dyDescent="0.35">
      <c r="A1692" s="107" t="s">
        <v>3469</v>
      </c>
      <c r="B1692" s="108" t="s">
        <v>0</v>
      </c>
      <c r="C1692" s="109">
        <v>7</v>
      </c>
      <c r="D1692" s="107" t="s">
        <v>1743</v>
      </c>
      <c r="E1692" s="109" t="s">
        <v>1762</v>
      </c>
      <c r="F1692" s="94"/>
      <c r="G1692" s="94"/>
      <c r="H1692" s="94"/>
      <c r="I1692" s="94"/>
      <c r="J1692" s="94"/>
      <c r="K1692" s="94"/>
      <c r="L1692" s="94"/>
      <c r="M1692" s="94"/>
      <c r="N1692" s="94"/>
      <c r="O1692" s="94"/>
      <c r="P1692" s="94"/>
      <c r="Q1692" s="94"/>
      <c r="R1692" s="94"/>
      <c r="S1692" s="94"/>
      <c r="T1692" s="94"/>
      <c r="U1692" s="94"/>
      <c r="V1692" s="94"/>
      <c r="W1692" s="94"/>
      <c r="X1692" s="94"/>
      <c r="Y1692" s="94"/>
      <c r="Z1692" s="94"/>
      <c r="AA1692" s="94"/>
      <c r="AB1692" s="94"/>
      <c r="AC1692" s="94"/>
      <c r="AD1692" s="94"/>
      <c r="AE1692" s="94"/>
      <c r="AF1692" s="94"/>
      <c r="AG1692" s="94"/>
      <c r="AH1692" s="94"/>
      <c r="AI1692" s="94"/>
      <c r="AJ1692" s="94"/>
      <c r="AK1692" s="94"/>
      <c r="AL1692" s="94"/>
      <c r="AM1692" s="94"/>
      <c r="AN1692" s="94"/>
      <c r="AO1692" s="94"/>
      <c r="AP1692" s="94"/>
      <c r="AQ1692" s="94"/>
      <c r="AR1692" s="94"/>
      <c r="AS1692" s="94"/>
      <c r="AT1692" s="94"/>
      <c r="AU1692" s="94"/>
      <c r="AV1692" s="94"/>
      <c r="AW1692" s="94"/>
      <c r="AX1692" s="94"/>
      <c r="AY1692" s="94"/>
      <c r="AZ1692" s="94"/>
      <c r="BA1692" s="94"/>
      <c r="BB1692" s="94"/>
      <c r="BC1692" s="94"/>
      <c r="BD1692" s="94"/>
      <c r="BE1692" s="94"/>
      <c r="BF1692" s="94"/>
    </row>
    <row r="1693" spans="1:58" x14ac:dyDescent="0.35">
      <c r="A1693" s="107" t="s">
        <v>3470</v>
      </c>
      <c r="B1693" s="108" t="s">
        <v>0</v>
      </c>
      <c r="C1693" s="109">
        <v>7</v>
      </c>
      <c r="D1693" s="107" t="s">
        <v>1803</v>
      </c>
      <c r="E1693" s="109" t="s">
        <v>1763</v>
      </c>
      <c r="F1693" s="94"/>
      <c r="G1693" s="94"/>
      <c r="H1693" s="94"/>
      <c r="I1693" s="94"/>
      <c r="J1693" s="94"/>
      <c r="K1693" s="94"/>
      <c r="L1693" s="94"/>
      <c r="M1693" s="94"/>
      <c r="N1693" s="94"/>
      <c r="O1693" s="94"/>
      <c r="P1693" s="94"/>
      <c r="Q1693" s="94"/>
      <c r="R1693" s="94"/>
      <c r="S1693" s="94"/>
      <c r="T1693" s="94"/>
      <c r="U1693" s="94"/>
      <c r="V1693" s="94"/>
      <c r="W1693" s="94"/>
      <c r="X1693" s="94"/>
      <c r="Y1693" s="94"/>
      <c r="Z1693" s="94"/>
      <c r="AA1693" s="94"/>
      <c r="AB1693" s="94"/>
      <c r="AC1693" s="94"/>
      <c r="AD1693" s="94"/>
      <c r="AE1693" s="94"/>
      <c r="AF1693" s="94"/>
      <c r="AG1693" s="94"/>
      <c r="AH1693" s="94"/>
      <c r="AI1693" s="94"/>
      <c r="AJ1693" s="94"/>
      <c r="AK1693" s="94"/>
      <c r="AL1693" s="94"/>
      <c r="AM1693" s="94"/>
      <c r="AN1693" s="94"/>
      <c r="AO1693" s="94"/>
      <c r="AP1693" s="94"/>
      <c r="AQ1693" s="94"/>
      <c r="AR1693" s="94"/>
      <c r="AS1693" s="94"/>
      <c r="AT1693" s="94"/>
      <c r="AU1693" s="94"/>
      <c r="AV1693" s="94"/>
      <c r="AW1693" s="94"/>
      <c r="AX1693" s="94"/>
      <c r="AY1693" s="94"/>
      <c r="AZ1693" s="94"/>
      <c r="BA1693" s="94"/>
      <c r="BB1693" s="94"/>
      <c r="BC1693" s="94"/>
      <c r="BD1693" s="94"/>
      <c r="BE1693" s="94"/>
      <c r="BF1693" s="94"/>
    </row>
    <row r="1694" spans="1:58" x14ac:dyDescent="0.35">
      <c r="A1694" s="107" t="s">
        <v>3471</v>
      </c>
      <c r="B1694" s="108" t="s">
        <v>0</v>
      </c>
      <c r="C1694" s="109">
        <v>7</v>
      </c>
      <c r="D1694" s="107" t="s">
        <v>1803</v>
      </c>
      <c r="E1694" s="109" t="s">
        <v>1764</v>
      </c>
      <c r="F1694" s="94"/>
      <c r="G1694" s="94"/>
      <c r="H1694" s="94"/>
      <c r="I1694" s="94"/>
      <c r="J1694" s="94"/>
      <c r="K1694" s="94"/>
      <c r="L1694" s="94"/>
      <c r="M1694" s="94"/>
      <c r="N1694" s="94"/>
      <c r="O1694" s="94"/>
      <c r="P1694" s="94"/>
      <c r="Q1694" s="94"/>
      <c r="R1694" s="94"/>
      <c r="S1694" s="94"/>
      <c r="T1694" s="94"/>
      <c r="U1694" s="94"/>
      <c r="V1694" s="94"/>
      <c r="W1694" s="94"/>
      <c r="X1694" s="94"/>
      <c r="Y1694" s="94"/>
      <c r="Z1694" s="94"/>
      <c r="AA1694" s="94"/>
      <c r="AB1694" s="94"/>
      <c r="AC1694" s="94"/>
      <c r="AD1694" s="94"/>
      <c r="AE1694" s="94"/>
      <c r="AF1694" s="94"/>
      <c r="AG1694" s="94"/>
      <c r="AH1694" s="94"/>
      <c r="AI1694" s="94"/>
      <c r="AJ1694" s="94"/>
      <c r="AK1694" s="94"/>
      <c r="AL1694" s="94"/>
      <c r="AM1694" s="94"/>
      <c r="AN1694" s="94"/>
      <c r="AO1694" s="94"/>
      <c r="AP1694" s="94"/>
      <c r="AQ1694" s="94"/>
      <c r="AR1694" s="94"/>
      <c r="AS1694" s="94"/>
      <c r="AT1694" s="94"/>
      <c r="AU1694" s="94"/>
      <c r="AV1694" s="94"/>
      <c r="AW1694" s="94"/>
      <c r="AX1694" s="94"/>
      <c r="AY1694" s="94"/>
      <c r="AZ1694" s="94"/>
      <c r="BA1694" s="94"/>
      <c r="BB1694" s="94"/>
      <c r="BC1694" s="94"/>
      <c r="BD1694" s="94"/>
      <c r="BE1694" s="94"/>
      <c r="BF1694" s="94"/>
    </row>
    <row r="1695" spans="1:58" x14ac:dyDescent="0.35">
      <c r="A1695" s="107" t="s">
        <v>3472</v>
      </c>
      <c r="B1695" s="108" t="s">
        <v>0</v>
      </c>
      <c r="C1695" s="109">
        <v>7</v>
      </c>
      <c r="D1695" s="107" t="s">
        <v>1803</v>
      </c>
      <c r="E1695" s="109" t="s">
        <v>1765</v>
      </c>
      <c r="F1695" s="94"/>
      <c r="G1695" s="94"/>
      <c r="H1695" s="94"/>
      <c r="I1695" s="94"/>
      <c r="J1695" s="94"/>
      <c r="K1695" s="94"/>
      <c r="L1695" s="94"/>
      <c r="M1695" s="94"/>
      <c r="N1695" s="94"/>
      <c r="O1695" s="94"/>
      <c r="P1695" s="94"/>
      <c r="Q1695" s="94"/>
      <c r="R1695" s="94"/>
      <c r="S1695" s="94"/>
      <c r="T1695" s="94"/>
      <c r="U1695" s="94"/>
      <c r="V1695" s="94"/>
      <c r="W1695" s="94"/>
      <c r="X1695" s="94"/>
      <c r="Y1695" s="94"/>
      <c r="Z1695" s="94"/>
      <c r="AA1695" s="94"/>
      <c r="AB1695" s="94"/>
      <c r="AC1695" s="94"/>
      <c r="AD1695" s="94"/>
      <c r="AE1695" s="94"/>
      <c r="AF1695" s="94"/>
      <c r="AG1695" s="94"/>
      <c r="AH1695" s="94"/>
      <c r="AI1695" s="94"/>
      <c r="AJ1695" s="94"/>
      <c r="AK1695" s="94"/>
      <c r="AL1695" s="94"/>
      <c r="AM1695" s="94"/>
      <c r="AN1695" s="94"/>
      <c r="AO1695" s="94"/>
      <c r="AP1695" s="94"/>
      <c r="AQ1695" s="94"/>
      <c r="AR1695" s="94"/>
      <c r="AS1695" s="94"/>
      <c r="AT1695" s="94"/>
      <c r="AU1695" s="94"/>
      <c r="AV1695" s="94"/>
      <c r="AW1695" s="94"/>
      <c r="AX1695" s="94"/>
      <c r="AY1695" s="94"/>
      <c r="AZ1695" s="94"/>
      <c r="BA1695" s="94"/>
      <c r="BB1695" s="94"/>
      <c r="BC1695" s="94"/>
      <c r="BD1695" s="94"/>
      <c r="BE1695" s="94"/>
      <c r="BF1695" s="94"/>
    </row>
    <row r="1696" spans="1:58" x14ac:dyDescent="0.35">
      <c r="A1696" s="107" t="s">
        <v>3473</v>
      </c>
      <c r="B1696" s="108" t="s">
        <v>0</v>
      </c>
      <c r="C1696" s="109">
        <v>7</v>
      </c>
      <c r="D1696" s="107" t="s">
        <v>1803</v>
      </c>
      <c r="E1696" s="109" t="s">
        <v>1766</v>
      </c>
      <c r="F1696" s="94"/>
      <c r="G1696" s="94"/>
      <c r="H1696" s="94"/>
      <c r="I1696" s="94"/>
      <c r="J1696" s="94"/>
      <c r="K1696" s="94"/>
      <c r="L1696" s="94"/>
      <c r="M1696" s="94"/>
      <c r="N1696" s="94"/>
      <c r="O1696" s="94"/>
      <c r="P1696" s="94"/>
      <c r="Q1696" s="94"/>
      <c r="R1696" s="94"/>
      <c r="S1696" s="94"/>
      <c r="T1696" s="94"/>
      <c r="U1696" s="94"/>
      <c r="V1696" s="94"/>
      <c r="W1696" s="94"/>
      <c r="X1696" s="94"/>
      <c r="Y1696" s="94"/>
      <c r="Z1696" s="94"/>
      <c r="AA1696" s="94"/>
      <c r="AB1696" s="94"/>
      <c r="AC1696" s="94"/>
      <c r="AD1696" s="94"/>
      <c r="AE1696" s="94"/>
      <c r="AF1696" s="94"/>
      <c r="AG1696" s="94"/>
      <c r="AH1696" s="94"/>
      <c r="AI1696" s="94"/>
      <c r="AJ1696" s="94"/>
      <c r="AK1696" s="94"/>
      <c r="AL1696" s="94"/>
      <c r="AM1696" s="94"/>
      <c r="AN1696" s="94"/>
      <c r="AO1696" s="94"/>
      <c r="AP1696" s="94"/>
      <c r="AQ1696" s="94"/>
      <c r="AR1696" s="94"/>
      <c r="AS1696" s="94"/>
      <c r="AT1696" s="94"/>
      <c r="AU1696" s="94"/>
      <c r="AV1696" s="94"/>
      <c r="AW1696" s="94"/>
      <c r="AX1696" s="94"/>
      <c r="AY1696" s="94"/>
      <c r="AZ1696" s="94"/>
      <c r="BA1696" s="94"/>
      <c r="BB1696" s="94"/>
      <c r="BC1696" s="94"/>
      <c r="BD1696" s="94"/>
      <c r="BE1696" s="94"/>
      <c r="BF1696" s="94"/>
    </row>
    <row r="1697" spans="1:58" x14ac:dyDescent="0.35">
      <c r="A1697" s="107" t="s">
        <v>3474</v>
      </c>
      <c r="B1697" s="108" t="s">
        <v>0</v>
      </c>
      <c r="C1697" s="109">
        <v>7</v>
      </c>
      <c r="D1697" s="107" t="s">
        <v>1749</v>
      </c>
      <c r="E1697" s="109" t="s">
        <v>1767</v>
      </c>
      <c r="F1697" s="94"/>
      <c r="G1697" s="94"/>
      <c r="H1697" s="94"/>
      <c r="I1697" s="94"/>
      <c r="J1697" s="94"/>
      <c r="K1697" s="94"/>
      <c r="L1697" s="94"/>
      <c r="M1697" s="94"/>
      <c r="N1697" s="94"/>
      <c r="O1697" s="94"/>
      <c r="P1697" s="94"/>
      <c r="Q1697" s="94"/>
      <c r="R1697" s="94"/>
      <c r="S1697" s="94"/>
      <c r="T1697" s="94"/>
      <c r="U1697" s="94"/>
      <c r="V1697" s="94"/>
      <c r="W1697" s="94"/>
      <c r="X1697" s="94"/>
      <c r="Y1697" s="94"/>
      <c r="Z1697" s="94"/>
      <c r="AA1697" s="94"/>
      <c r="AB1697" s="94"/>
      <c r="AC1697" s="94"/>
      <c r="AD1697" s="94"/>
      <c r="AE1697" s="94"/>
      <c r="AF1697" s="94"/>
      <c r="AG1697" s="94"/>
      <c r="AH1697" s="94"/>
      <c r="AI1697" s="94"/>
      <c r="AJ1697" s="94"/>
      <c r="AK1697" s="94"/>
      <c r="AL1697" s="94"/>
      <c r="AM1697" s="94"/>
      <c r="AN1697" s="94"/>
      <c r="AO1697" s="94"/>
      <c r="AP1697" s="94"/>
      <c r="AQ1697" s="94"/>
      <c r="AR1697" s="94"/>
      <c r="AS1697" s="94"/>
      <c r="AT1697" s="94"/>
      <c r="AU1697" s="94"/>
      <c r="AV1697" s="94"/>
      <c r="AW1697" s="94"/>
      <c r="AX1697" s="94"/>
      <c r="AY1697" s="94"/>
      <c r="AZ1697" s="94"/>
      <c r="BA1697" s="94"/>
      <c r="BB1697" s="94"/>
      <c r="BC1697" s="94"/>
      <c r="BD1697" s="94"/>
      <c r="BE1697" s="94"/>
      <c r="BF1697" s="94"/>
    </row>
    <row r="1698" spans="1:58" x14ac:dyDescent="0.35">
      <c r="A1698" s="107" t="s">
        <v>3475</v>
      </c>
      <c r="B1698" s="108" t="s">
        <v>0</v>
      </c>
      <c r="C1698" s="109">
        <v>7</v>
      </c>
      <c r="D1698" s="107" t="s">
        <v>1749</v>
      </c>
      <c r="E1698" s="109" t="s">
        <v>1768</v>
      </c>
      <c r="F1698" s="94"/>
      <c r="G1698" s="94"/>
      <c r="H1698" s="94"/>
      <c r="I1698" s="94"/>
      <c r="J1698" s="94"/>
      <c r="K1698" s="94"/>
      <c r="L1698" s="94"/>
      <c r="M1698" s="94"/>
      <c r="N1698" s="94"/>
      <c r="O1698" s="94"/>
      <c r="P1698" s="94"/>
      <c r="Q1698" s="94"/>
      <c r="R1698" s="94"/>
      <c r="S1698" s="94"/>
      <c r="T1698" s="94"/>
      <c r="U1698" s="94"/>
      <c r="V1698" s="94"/>
      <c r="W1698" s="94"/>
      <c r="X1698" s="94"/>
      <c r="Y1698" s="94"/>
      <c r="Z1698" s="94"/>
      <c r="AA1698" s="94"/>
      <c r="AB1698" s="94"/>
      <c r="AC1698" s="94"/>
      <c r="AD1698" s="94"/>
      <c r="AE1698" s="94"/>
      <c r="AF1698" s="94"/>
      <c r="AG1698" s="94"/>
      <c r="AH1698" s="94"/>
      <c r="AI1698" s="94"/>
      <c r="AJ1698" s="94"/>
      <c r="AK1698" s="94"/>
      <c r="AL1698" s="94"/>
      <c r="AM1698" s="94"/>
      <c r="AN1698" s="94"/>
      <c r="AO1698" s="94"/>
      <c r="AP1698" s="94"/>
      <c r="AQ1698" s="94"/>
      <c r="AR1698" s="94"/>
      <c r="AS1698" s="94"/>
      <c r="AT1698" s="94"/>
      <c r="AU1698" s="94"/>
      <c r="AV1698" s="94"/>
      <c r="AW1698" s="94"/>
      <c r="AX1698" s="94"/>
      <c r="AY1698" s="94"/>
      <c r="AZ1698" s="94"/>
      <c r="BA1698" s="94"/>
      <c r="BB1698" s="94"/>
      <c r="BC1698" s="94"/>
      <c r="BD1698" s="94"/>
      <c r="BE1698" s="94"/>
      <c r="BF1698" s="94"/>
    </row>
    <row r="1699" spans="1:58" x14ac:dyDescent="0.35">
      <c r="A1699" s="107" t="s">
        <v>3476</v>
      </c>
      <c r="B1699" s="108" t="s">
        <v>0</v>
      </c>
      <c r="C1699" s="109">
        <v>7</v>
      </c>
      <c r="D1699" s="107" t="s">
        <v>1752</v>
      </c>
      <c r="E1699" s="109" t="s">
        <v>1753</v>
      </c>
      <c r="F1699" s="94"/>
      <c r="G1699" s="94"/>
      <c r="H1699" s="94"/>
      <c r="I1699" s="94"/>
      <c r="J1699" s="94"/>
      <c r="K1699" s="94"/>
      <c r="L1699" s="94"/>
      <c r="M1699" s="94"/>
      <c r="N1699" s="94"/>
      <c r="O1699" s="94"/>
      <c r="P1699" s="94"/>
      <c r="Q1699" s="94"/>
      <c r="R1699" s="94"/>
      <c r="S1699" s="94"/>
      <c r="T1699" s="94"/>
      <c r="U1699" s="94"/>
      <c r="V1699" s="94"/>
      <c r="W1699" s="94"/>
      <c r="X1699" s="94"/>
      <c r="Y1699" s="94"/>
      <c r="Z1699" s="94"/>
      <c r="AA1699" s="94"/>
      <c r="AB1699" s="94"/>
      <c r="AC1699" s="94"/>
      <c r="AD1699" s="94"/>
      <c r="AE1699" s="94"/>
      <c r="AF1699" s="94"/>
      <c r="AG1699" s="94"/>
      <c r="AH1699" s="94"/>
      <c r="AI1699" s="94"/>
      <c r="AJ1699" s="94"/>
      <c r="AK1699" s="94"/>
      <c r="AL1699" s="94"/>
      <c r="AM1699" s="94"/>
      <c r="AN1699" s="94"/>
      <c r="AO1699" s="94"/>
      <c r="AP1699" s="94"/>
      <c r="AQ1699" s="94"/>
      <c r="AR1699" s="94"/>
      <c r="AS1699" s="94"/>
      <c r="AT1699" s="94"/>
      <c r="AU1699" s="94"/>
      <c r="AV1699" s="94"/>
      <c r="AW1699" s="94"/>
      <c r="AX1699" s="94"/>
      <c r="AY1699" s="94"/>
      <c r="AZ1699" s="94"/>
      <c r="BA1699" s="94"/>
      <c r="BB1699" s="94"/>
      <c r="BC1699" s="94"/>
      <c r="BD1699" s="94"/>
      <c r="BE1699" s="94"/>
      <c r="BF1699" s="94"/>
    </row>
    <row r="1700" spans="1:58" x14ac:dyDescent="0.35">
      <c r="A1700" s="107" t="s">
        <v>3477</v>
      </c>
      <c r="B1700" s="108" t="s">
        <v>0</v>
      </c>
      <c r="C1700" s="109">
        <v>7</v>
      </c>
      <c r="D1700" s="107" t="s">
        <v>1733</v>
      </c>
      <c r="E1700" s="109" t="s">
        <v>1769</v>
      </c>
      <c r="F1700" s="94"/>
      <c r="G1700" s="94"/>
      <c r="H1700" s="94"/>
      <c r="I1700" s="94"/>
      <c r="J1700" s="94"/>
      <c r="K1700" s="94"/>
      <c r="L1700" s="94"/>
      <c r="M1700" s="94"/>
      <c r="N1700" s="94"/>
      <c r="O1700" s="94"/>
      <c r="P1700" s="94"/>
      <c r="Q1700" s="94"/>
      <c r="R1700" s="94"/>
      <c r="S1700" s="94"/>
      <c r="T1700" s="94"/>
      <c r="U1700" s="94"/>
      <c r="V1700" s="94"/>
      <c r="W1700" s="94"/>
      <c r="X1700" s="94"/>
      <c r="Y1700" s="94"/>
      <c r="Z1700" s="94"/>
      <c r="AA1700" s="94"/>
      <c r="AB1700" s="94"/>
      <c r="AC1700" s="94"/>
      <c r="AD1700" s="94"/>
      <c r="AE1700" s="94"/>
      <c r="AF1700" s="94"/>
      <c r="AG1700" s="94"/>
      <c r="AH1700" s="94"/>
      <c r="AI1700" s="94"/>
      <c r="AJ1700" s="94"/>
      <c r="AK1700" s="94"/>
      <c r="AL1700" s="94"/>
      <c r="AM1700" s="94"/>
      <c r="AN1700" s="94"/>
      <c r="AO1700" s="94"/>
      <c r="AP1700" s="94"/>
      <c r="AQ1700" s="94"/>
      <c r="AR1700" s="94"/>
      <c r="AS1700" s="94"/>
      <c r="AT1700" s="94"/>
      <c r="AU1700" s="94"/>
      <c r="AV1700" s="94"/>
      <c r="AW1700" s="94"/>
      <c r="AX1700" s="94"/>
      <c r="AY1700" s="94"/>
      <c r="AZ1700" s="94"/>
      <c r="BA1700" s="94"/>
      <c r="BB1700" s="94"/>
      <c r="BC1700" s="94"/>
      <c r="BD1700" s="94"/>
      <c r="BE1700" s="94"/>
      <c r="BF1700" s="94"/>
    </row>
    <row r="1701" spans="1:58" x14ac:dyDescent="0.35">
      <c r="A1701" s="107" t="s">
        <v>3478</v>
      </c>
      <c r="B1701" s="108" t="s">
        <v>0</v>
      </c>
      <c r="C1701" s="109">
        <v>7</v>
      </c>
      <c r="D1701" s="107" t="s">
        <v>1770</v>
      </c>
      <c r="E1701" s="109" t="s">
        <v>1771</v>
      </c>
      <c r="F1701" s="94"/>
      <c r="G1701" s="94"/>
      <c r="H1701" s="94"/>
      <c r="I1701" s="94"/>
      <c r="J1701" s="94"/>
      <c r="K1701" s="94"/>
      <c r="L1701" s="94"/>
      <c r="M1701" s="94"/>
      <c r="N1701" s="94"/>
      <c r="O1701" s="94"/>
      <c r="P1701" s="94"/>
      <c r="Q1701" s="94"/>
      <c r="R1701" s="94"/>
      <c r="S1701" s="94"/>
      <c r="T1701" s="94"/>
      <c r="U1701" s="94"/>
      <c r="V1701" s="94"/>
      <c r="W1701" s="94"/>
      <c r="X1701" s="94"/>
      <c r="Y1701" s="94"/>
      <c r="Z1701" s="94"/>
      <c r="AA1701" s="94"/>
      <c r="AB1701" s="94"/>
      <c r="AC1701" s="94"/>
      <c r="AD1701" s="94"/>
      <c r="AE1701" s="94"/>
      <c r="AF1701" s="94"/>
      <c r="AG1701" s="94"/>
      <c r="AH1701" s="94"/>
      <c r="AI1701" s="94"/>
      <c r="AJ1701" s="94"/>
      <c r="AK1701" s="94"/>
      <c r="AL1701" s="94"/>
      <c r="AM1701" s="94"/>
      <c r="AN1701" s="94"/>
      <c r="AO1701" s="94"/>
      <c r="AP1701" s="94"/>
      <c r="AQ1701" s="94"/>
      <c r="AR1701" s="94"/>
      <c r="AS1701" s="94"/>
      <c r="AT1701" s="94"/>
      <c r="AU1701" s="94"/>
      <c r="AV1701" s="94"/>
      <c r="AW1701" s="94"/>
      <c r="AX1701" s="94"/>
      <c r="AY1701" s="94"/>
      <c r="AZ1701" s="94"/>
      <c r="BA1701" s="94"/>
      <c r="BB1701" s="94"/>
      <c r="BC1701" s="94"/>
      <c r="BD1701" s="94"/>
      <c r="BE1701" s="94"/>
      <c r="BF1701" s="94"/>
    </row>
    <row r="1702" spans="1:58" x14ac:dyDescent="0.35">
      <c r="A1702" s="101" t="s">
        <v>3479</v>
      </c>
      <c r="B1702" s="102" t="s">
        <v>0</v>
      </c>
      <c r="C1702" s="103">
        <v>5</v>
      </c>
      <c r="D1702" s="101" t="s">
        <v>473</v>
      </c>
      <c r="E1702" s="103" t="s">
        <v>298</v>
      </c>
      <c r="F1702" s="94"/>
      <c r="G1702" s="94"/>
      <c r="H1702" s="94"/>
      <c r="I1702" s="94"/>
      <c r="J1702" s="94"/>
      <c r="K1702" s="94"/>
      <c r="L1702" s="94"/>
      <c r="M1702" s="94"/>
      <c r="N1702" s="94"/>
      <c r="O1702" s="94"/>
      <c r="P1702" s="94"/>
      <c r="Q1702" s="94"/>
      <c r="R1702" s="94"/>
      <c r="S1702" s="94"/>
      <c r="T1702" s="94"/>
      <c r="U1702" s="94"/>
      <c r="V1702" s="94"/>
      <c r="W1702" s="94"/>
      <c r="X1702" s="94"/>
      <c r="Y1702" s="94"/>
      <c r="Z1702" s="94"/>
      <c r="AA1702" s="94"/>
      <c r="AB1702" s="94"/>
      <c r="AC1702" s="94"/>
      <c r="AD1702" s="94"/>
      <c r="AE1702" s="94"/>
      <c r="AF1702" s="94"/>
      <c r="AG1702" s="94"/>
      <c r="AH1702" s="94"/>
      <c r="AI1702" s="94"/>
      <c r="AJ1702" s="94"/>
      <c r="AK1702" s="94"/>
      <c r="AL1702" s="94"/>
      <c r="AM1702" s="94"/>
      <c r="AN1702" s="94"/>
      <c r="AO1702" s="94"/>
      <c r="AP1702" s="94"/>
      <c r="AQ1702" s="94"/>
      <c r="AR1702" s="94"/>
      <c r="AS1702" s="94"/>
      <c r="AT1702" s="94"/>
      <c r="AU1702" s="94"/>
      <c r="AV1702" s="94"/>
      <c r="AW1702" s="94"/>
      <c r="AX1702" s="94"/>
      <c r="AY1702" s="94"/>
      <c r="AZ1702" s="94"/>
      <c r="BA1702" s="94"/>
      <c r="BB1702" s="94"/>
      <c r="BC1702" s="94"/>
      <c r="BD1702" s="94"/>
      <c r="BE1702" s="94"/>
      <c r="BF1702" s="94"/>
    </row>
    <row r="1703" spans="1:58" x14ac:dyDescent="0.35">
      <c r="A1703" s="104" t="s">
        <v>3480</v>
      </c>
      <c r="B1703" s="105" t="s">
        <v>0</v>
      </c>
      <c r="C1703" s="106">
        <v>6</v>
      </c>
      <c r="D1703" s="104" t="s">
        <v>123</v>
      </c>
      <c r="E1703" s="106"/>
      <c r="F1703" s="94"/>
      <c r="G1703" s="94"/>
      <c r="H1703" s="94"/>
      <c r="I1703" s="94"/>
      <c r="J1703" s="94"/>
      <c r="K1703" s="94"/>
      <c r="L1703" s="94"/>
      <c r="M1703" s="94"/>
      <c r="N1703" s="94"/>
      <c r="O1703" s="94"/>
      <c r="P1703" s="94"/>
      <c r="Q1703" s="94"/>
      <c r="R1703" s="94"/>
      <c r="S1703" s="94"/>
      <c r="T1703" s="94"/>
      <c r="U1703" s="94"/>
      <c r="V1703" s="94"/>
      <c r="W1703" s="94"/>
      <c r="X1703" s="94"/>
      <c r="Y1703" s="94"/>
      <c r="Z1703" s="94"/>
      <c r="AA1703" s="94"/>
      <c r="AB1703" s="94"/>
      <c r="AC1703" s="94"/>
      <c r="AD1703" s="94"/>
      <c r="AE1703" s="94"/>
      <c r="AF1703" s="94"/>
      <c r="AG1703" s="94"/>
      <c r="AH1703" s="94"/>
      <c r="AI1703" s="94"/>
      <c r="AJ1703" s="94"/>
      <c r="AK1703" s="94"/>
      <c r="AL1703" s="94"/>
      <c r="AM1703" s="94"/>
      <c r="AN1703" s="94"/>
      <c r="AO1703" s="94"/>
      <c r="AP1703" s="94"/>
      <c r="AQ1703" s="94"/>
      <c r="AR1703" s="94"/>
      <c r="AS1703" s="94"/>
      <c r="AT1703" s="94"/>
      <c r="AU1703" s="94"/>
      <c r="AV1703" s="94"/>
      <c r="AW1703" s="94"/>
      <c r="AX1703" s="94"/>
      <c r="AY1703" s="94"/>
      <c r="AZ1703" s="94"/>
      <c r="BA1703" s="94"/>
      <c r="BB1703" s="94"/>
      <c r="BC1703" s="94"/>
      <c r="BD1703" s="94"/>
      <c r="BE1703" s="94"/>
      <c r="BF1703" s="94"/>
    </row>
    <row r="1704" spans="1:58" x14ac:dyDescent="0.35">
      <c r="A1704" s="107" t="s">
        <v>3481</v>
      </c>
      <c r="B1704" s="108" t="s">
        <v>0</v>
      </c>
      <c r="C1704" s="109">
        <v>7</v>
      </c>
      <c r="D1704" s="107" t="s">
        <v>1664</v>
      </c>
      <c r="E1704" s="109"/>
      <c r="F1704" s="94"/>
      <c r="G1704" s="94"/>
      <c r="H1704" s="94"/>
      <c r="I1704" s="94"/>
      <c r="J1704" s="94"/>
      <c r="K1704" s="94"/>
      <c r="L1704" s="94"/>
      <c r="M1704" s="94"/>
      <c r="N1704" s="94"/>
      <c r="O1704" s="94"/>
      <c r="P1704" s="94"/>
      <c r="Q1704" s="94"/>
      <c r="R1704" s="94"/>
      <c r="S1704" s="94"/>
      <c r="T1704" s="94"/>
      <c r="U1704" s="94"/>
      <c r="V1704" s="94"/>
      <c r="W1704" s="94"/>
      <c r="X1704" s="94"/>
      <c r="Y1704" s="94"/>
      <c r="Z1704" s="94"/>
      <c r="AA1704" s="94"/>
      <c r="AB1704" s="94"/>
      <c r="AC1704" s="94"/>
      <c r="AD1704" s="94"/>
      <c r="AE1704" s="94"/>
      <c r="AF1704" s="94"/>
      <c r="AG1704" s="94"/>
      <c r="AH1704" s="94"/>
      <c r="AI1704" s="94"/>
      <c r="AJ1704" s="94"/>
      <c r="AK1704" s="94"/>
      <c r="AL1704" s="94"/>
      <c r="AM1704" s="94"/>
      <c r="AN1704" s="94"/>
      <c r="AO1704" s="94"/>
      <c r="AP1704" s="94"/>
      <c r="AQ1704" s="94"/>
      <c r="AR1704" s="94"/>
      <c r="AS1704" s="94"/>
      <c r="AT1704" s="94"/>
      <c r="AU1704" s="94"/>
      <c r="AV1704" s="94"/>
      <c r="AW1704" s="94"/>
      <c r="AX1704" s="94"/>
      <c r="AY1704" s="94"/>
      <c r="AZ1704" s="94"/>
      <c r="BA1704" s="94"/>
      <c r="BB1704" s="94"/>
      <c r="BC1704" s="94"/>
      <c r="BD1704" s="94"/>
      <c r="BE1704" s="94"/>
      <c r="BF1704" s="94"/>
    </row>
    <row r="1705" spans="1:58" x14ac:dyDescent="0.35">
      <c r="A1705" s="101" t="s">
        <v>3482</v>
      </c>
      <c r="B1705" s="102" t="s">
        <v>0</v>
      </c>
      <c r="C1705" s="103">
        <v>5</v>
      </c>
      <c r="D1705" s="101" t="s">
        <v>473</v>
      </c>
      <c r="E1705" s="103" t="s">
        <v>299</v>
      </c>
      <c r="F1705" s="94"/>
      <c r="G1705" s="94"/>
      <c r="H1705" s="94"/>
      <c r="I1705" s="94"/>
      <c r="J1705" s="94"/>
      <c r="K1705" s="94"/>
      <c r="L1705" s="94"/>
      <c r="M1705" s="94"/>
      <c r="N1705" s="94"/>
      <c r="O1705" s="94"/>
      <c r="P1705" s="94"/>
      <c r="Q1705" s="94"/>
      <c r="R1705" s="94"/>
      <c r="S1705" s="94"/>
      <c r="T1705" s="94"/>
      <c r="U1705" s="94"/>
      <c r="V1705" s="94"/>
      <c r="W1705" s="94"/>
      <c r="X1705" s="94"/>
      <c r="Y1705" s="94"/>
      <c r="Z1705" s="94"/>
      <c r="AA1705" s="94"/>
      <c r="AB1705" s="94"/>
      <c r="AC1705" s="94"/>
      <c r="AD1705" s="94"/>
      <c r="AE1705" s="94"/>
      <c r="AF1705" s="94"/>
      <c r="AG1705" s="94"/>
      <c r="AH1705" s="94"/>
      <c r="AI1705" s="94"/>
      <c r="AJ1705" s="94"/>
      <c r="AK1705" s="94"/>
      <c r="AL1705" s="94"/>
      <c r="AM1705" s="94"/>
      <c r="AN1705" s="94"/>
      <c r="AO1705" s="94"/>
      <c r="AP1705" s="94"/>
      <c r="AQ1705" s="94"/>
      <c r="AR1705" s="94"/>
      <c r="AS1705" s="94"/>
      <c r="AT1705" s="94"/>
      <c r="AU1705" s="94"/>
      <c r="AV1705" s="94"/>
      <c r="AW1705" s="94"/>
      <c r="AX1705" s="94"/>
      <c r="AY1705" s="94"/>
      <c r="AZ1705" s="94"/>
      <c r="BA1705" s="94"/>
      <c r="BB1705" s="94"/>
      <c r="BC1705" s="94"/>
      <c r="BD1705" s="94"/>
      <c r="BE1705" s="94"/>
      <c r="BF1705" s="94"/>
    </row>
    <row r="1706" spans="1:58" x14ac:dyDescent="0.35">
      <c r="A1706" s="104" t="s">
        <v>3483</v>
      </c>
      <c r="B1706" s="105" t="s">
        <v>0</v>
      </c>
      <c r="C1706" s="106">
        <v>6</v>
      </c>
      <c r="D1706" s="104" t="s">
        <v>123</v>
      </c>
      <c r="E1706" s="106"/>
      <c r="F1706" s="94"/>
      <c r="G1706" s="94"/>
      <c r="H1706" s="94"/>
      <c r="I1706" s="94"/>
      <c r="J1706" s="94"/>
      <c r="K1706" s="94"/>
      <c r="L1706" s="94"/>
      <c r="M1706" s="94"/>
      <c r="N1706" s="94"/>
      <c r="O1706" s="94"/>
      <c r="P1706" s="94"/>
      <c r="Q1706" s="94"/>
      <c r="R1706" s="94"/>
      <c r="S1706" s="94"/>
      <c r="T1706" s="94"/>
      <c r="U1706" s="94"/>
      <c r="V1706" s="94"/>
      <c r="W1706" s="94"/>
      <c r="X1706" s="94"/>
      <c r="Y1706" s="94"/>
      <c r="Z1706" s="94"/>
      <c r="AA1706" s="94"/>
      <c r="AB1706" s="94"/>
      <c r="AC1706" s="94"/>
      <c r="AD1706" s="94"/>
      <c r="AE1706" s="94"/>
      <c r="AF1706" s="94"/>
      <c r="AG1706" s="94"/>
      <c r="AH1706" s="94"/>
      <c r="AI1706" s="94"/>
      <c r="AJ1706" s="94"/>
      <c r="AK1706" s="94"/>
      <c r="AL1706" s="94"/>
      <c r="AM1706" s="94"/>
      <c r="AN1706" s="94"/>
      <c r="AO1706" s="94"/>
      <c r="AP1706" s="94"/>
      <c r="AQ1706" s="94"/>
      <c r="AR1706" s="94"/>
      <c r="AS1706" s="94"/>
      <c r="AT1706" s="94"/>
      <c r="AU1706" s="94"/>
      <c r="AV1706" s="94"/>
      <c r="AW1706" s="94"/>
      <c r="AX1706" s="94"/>
      <c r="AY1706" s="94"/>
      <c r="AZ1706" s="94"/>
      <c r="BA1706" s="94"/>
      <c r="BB1706" s="94"/>
      <c r="BC1706" s="94"/>
      <c r="BD1706" s="94"/>
      <c r="BE1706" s="94"/>
      <c r="BF1706" s="94"/>
    </row>
    <row r="1707" spans="1:58" x14ac:dyDescent="0.35">
      <c r="A1707" s="107" t="s">
        <v>3484</v>
      </c>
      <c r="B1707" s="108" t="s">
        <v>0</v>
      </c>
      <c r="C1707" s="109">
        <v>7</v>
      </c>
      <c r="D1707" s="107" t="s">
        <v>1664</v>
      </c>
      <c r="E1707" s="109"/>
      <c r="F1707" s="94"/>
      <c r="G1707" s="94"/>
      <c r="H1707" s="94"/>
      <c r="I1707" s="94"/>
      <c r="J1707" s="94"/>
      <c r="K1707" s="94"/>
      <c r="L1707" s="94"/>
      <c r="M1707" s="94"/>
      <c r="N1707" s="94"/>
      <c r="O1707" s="94"/>
      <c r="P1707" s="94"/>
      <c r="Q1707" s="94"/>
      <c r="R1707" s="94"/>
      <c r="S1707" s="94"/>
      <c r="T1707" s="94"/>
      <c r="U1707" s="94"/>
      <c r="V1707" s="94"/>
      <c r="W1707" s="94"/>
      <c r="X1707" s="94"/>
      <c r="Y1707" s="94"/>
      <c r="Z1707" s="94"/>
      <c r="AA1707" s="94"/>
      <c r="AB1707" s="94"/>
      <c r="AC1707" s="94"/>
      <c r="AD1707" s="94"/>
      <c r="AE1707" s="94"/>
      <c r="AF1707" s="94"/>
      <c r="AG1707" s="94"/>
      <c r="AH1707" s="94"/>
      <c r="AI1707" s="94"/>
      <c r="AJ1707" s="94"/>
      <c r="AK1707" s="94"/>
      <c r="AL1707" s="94"/>
      <c r="AM1707" s="94"/>
      <c r="AN1707" s="94"/>
      <c r="AO1707" s="94"/>
      <c r="AP1707" s="94"/>
      <c r="AQ1707" s="94"/>
      <c r="AR1707" s="94"/>
      <c r="AS1707" s="94"/>
      <c r="AT1707" s="94"/>
      <c r="AU1707" s="94"/>
      <c r="AV1707" s="94"/>
      <c r="AW1707" s="94"/>
      <c r="AX1707" s="94"/>
      <c r="AY1707" s="94"/>
      <c r="AZ1707" s="94"/>
      <c r="BA1707" s="94"/>
      <c r="BB1707" s="94"/>
      <c r="BC1707" s="94"/>
      <c r="BD1707" s="94"/>
      <c r="BE1707" s="94"/>
      <c r="BF1707" s="94"/>
    </row>
    <row r="1708" spans="1:58" x14ac:dyDescent="0.35">
      <c r="A1708" s="101" t="s">
        <v>3485</v>
      </c>
      <c r="B1708" s="102" t="s">
        <v>0</v>
      </c>
      <c r="C1708" s="103">
        <v>5</v>
      </c>
      <c r="D1708" s="101" t="s">
        <v>610</v>
      </c>
      <c r="E1708" s="103" t="s">
        <v>300</v>
      </c>
      <c r="F1708" s="94"/>
      <c r="G1708" s="94"/>
      <c r="H1708" s="94"/>
      <c r="I1708" s="94"/>
      <c r="J1708" s="94"/>
      <c r="K1708" s="94"/>
      <c r="L1708" s="94"/>
      <c r="M1708" s="94"/>
      <c r="N1708" s="94"/>
      <c r="O1708" s="94"/>
      <c r="P1708" s="94"/>
      <c r="Q1708" s="94"/>
      <c r="R1708" s="94"/>
      <c r="S1708" s="94"/>
      <c r="T1708" s="94"/>
      <c r="U1708" s="94"/>
      <c r="V1708" s="94"/>
      <c r="W1708" s="94"/>
      <c r="X1708" s="94"/>
      <c r="Y1708" s="94"/>
      <c r="Z1708" s="94"/>
      <c r="AA1708" s="94"/>
      <c r="AB1708" s="94"/>
      <c r="AC1708" s="94"/>
      <c r="AD1708" s="94"/>
      <c r="AE1708" s="94"/>
      <c r="AF1708" s="94"/>
      <c r="AG1708" s="94"/>
      <c r="AH1708" s="94"/>
      <c r="AI1708" s="94"/>
      <c r="AJ1708" s="94"/>
      <c r="AK1708" s="94"/>
      <c r="AL1708" s="94"/>
      <c r="AM1708" s="94"/>
      <c r="AN1708" s="94"/>
      <c r="AO1708" s="94"/>
      <c r="AP1708" s="94"/>
      <c r="AQ1708" s="94"/>
      <c r="AR1708" s="94"/>
      <c r="AS1708" s="94"/>
      <c r="AT1708" s="94"/>
      <c r="AU1708" s="94"/>
      <c r="AV1708" s="94"/>
      <c r="AW1708" s="94"/>
      <c r="AX1708" s="94"/>
      <c r="AY1708" s="94"/>
      <c r="AZ1708" s="94"/>
      <c r="BA1708" s="94"/>
      <c r="BB1708" s="94"/>
      <c r="BC1708" s="94"/>
      <c r="BD1708" s="94"/>
      <c r="BE1708" s="94"/>
      <c r="BF1708" s="94"/>
    </row>
    <row r="1709" spans="1:58" x14ac:dyDescent="0.35">
      <c r="A1709" s="101" t="s">
        <v>3486</v>
      </c>
      <c r="B1709" s="102" t="s">
        <v>0</v>
      </c>
      <c r="C1709" s="103">
        <v>5</v>
      </c>
      <c r="D1709" s="101" t="s">
        <v>169</v>
      </c>
      <c r="E1709" s="103" t="s">
        <v>301</v>
      </c>
      <c r="F1709" s="94"/>
      <c r="G1709" s="94"/>
      <c r="H1709" s="94"/>
      <c r="I1709" s="94"/>
      <c r="J1709" s="94"/>
      <c r="K1709" s="94"/>
      <c r="L1709" s="94"/>
      <c r="M1709" s="94"/>
      <c r="N1709" s="94"/>
      <c r="O1709" s="94"/>
      <c r="P1709" s="94"/>
      <c r="Q1709" s="94"/>
      <c r="R1709" s="94"/>
      <c r="S1709" s="94"/>
      <c r="T1709" s="94"/>
      <c r="U1709" s="94"/>
      <c r="V1709" s="94"/>
      <c r="W1709" s="94"/>
      <c r="X1709" s="94"/>
      <c r="Y1709" s="94"/>
      <c r="Z1709" s="94"/>
      <c r="AA1709" s="94"/>
      <c r="AB1709" s="94"/>
      <c r="AC1709" s="94"/>
      <c r="AD1709" s="94"/>
      <c r="AE1709" s="94"/>
      <c r="AF1709" s="94"/>
      <c r="AG1709" s="94"/>
      <c r="AH1709" s="94"/>
      <c r="AI1709" s="94"/>
      <c r="AJ1709" s="94"/>
      <c r="AK1709" s="94"/>
      <c r="AL1709" s="94"/>
      <c r="AM1709" s="94"/>
      <c r="AN1709" s="94"/>
      <c r="AO1709" s="94"/>
      <c r="AP1709" s="94"/>
      <c r="AQ1709" s="94"/>
      <c r="AR1709" s="94"/>
      <c r="AS1709" s="94"/>
      <c r="AT1709" s="94"/>
      <c r="AU1709" s="94"/>
      <c r="AV1709" s="94"/>
      <c r="AW1709" s="94"/>
      <c r="AX1709" s="94"/>
      <c r="AY1709" s="94"/>
      <c r="AZ1709" s="94"/>
      <c r="BA1709" s="94"/>
      <c r="BB1709" s="94"/>
      <c r="BC1709" s="94"/>
      <c r="BD1709" s="94"/>
      <c r="BE1709" s="94"/>
      <c r="BF1709" s="94"/>
    </row>
    <row r="1710" spans="1:58" x14ac:dyDescent="0.35">
      <c r="A1710" s="101" t="s">
        <v>3487</v>
      </c>
      <c r="B1710" s="102" t="s">
        <v>0</v>
      </c>
      <c r="C1710" s="103">
        <v>5</v>
      </c>
      <c r="D1710" s="101" t="s">
        <v>598</v>
      </c>
      <c r="E1710" s="103" t="s">
        <v>302</v>
      </c>
      <c r="F1710" s="94"/>
      <c r="G1710" s="94"/>
      <c r="H1710" s="94"/>
      <c r="I1710" s="94"/>
      <c r="J1710" s="94"/>
      <c r="K1710" s="94"/>
      <c r="L1710" s="94"/>
      <c r="M1710" s="94"/>
      <c r="N1710" s="94"/>
      <c r="O1710" s="94"/>
      <c r="P1710" s="94"/>
      <c r="Q1710" s="94"/>
      <c r="R1710" s="94"/>
      <c r="S1710" s="94"/>
      <c r="T1710" s="94"/>
      <c r="U1710" s="94"/>
      <c r="V1710" s="94"/>
      <c r="W1710" s="94"/>
      <c r="X1710" s="94"/>
      <c r="Y1710" s="94"/>
      <c r="Z1710" s="94"/>
      <c r="AA1710" s="94"/>
      <c r="AB1710" s="94"/>
      <c r="AC1710" s="94"/>
      <c r="AD1710" s="94"/>
      <c r="AE1710" s="94"/>
      <c r="AF1710" s="94"/>
      <c r="AG1710" s="94"/>
      <c r="AH1710" s="94"/>
      <c r="AI1710" s="94"/>
      <c r="AJ1710" s="94"/>
      <c r="AK1710" s="94"/>
      <c r="AL1710" s="94"/>
      <c r="AM1710" s="94"/>
      <c r="AN1710" s="94"/>
      <c r="AO1710" s="94"/>
      <c r="AP1710" s="94"/>
      <c r="AQ1710" s="94"/>
      <c r="AR1710" s="94"/>
      <c r="AS1710" s="94"/>
      <c r="AT1710" s="94"/>
      <c r="AU1710" s="94"/>
      <c r="AV1710" s="94"/>
      <c r="AW1710" s="94"/>
      <c r="AX1710" s="94"/>
      <c r="AY1710" s="94"/>
      <c r="AZ1710" s="94"/>
      <c r="BA1710" s="94"/>
      <c r="BB1710" s="94"/>
      <c r="BC1710" s="94"/>
      <c r="BD1710" s="94"/>
      <c r="BE1710" s="94"/>
      <c r="BF1710" s="94"/>
    </row>
    <row r="1711" spans="1:58" x14ac:dyDescent="0.35">
      <c r="A1711" s="104" t="s">
        <v>3488</v>
      </c>
      <c r="B1711" s="105" t="s">
        <v>0</v>
      </c>
      <c r="C1711" s="106">
        <v>6</v>
      </c>
      <c r="D1711" s="104" t="s">
        <v>1665</v>
      </c>
      <c r="E1711" s="106"/>
      <c r="F1711" s="94"/>
      <c r="G1711" s="94"/>
      <c r="H1711" s="94"/>
      <c r="I1711" s="94"/>
      <c r="J1711" s="94"/>
      <c r="K1711" s="94"/>
      <c r="L1711" s="94"/>
      <c r="M1711" s="94"/>
      <c r="N1711" s="94"/>
      <c r="O1711" s="94"/>
      <c r="P1711" s="94"/>
      <c r="Q1711" s="94"/>
      <c r="R1711" s="94"/>
      <c r="S1711" s="94"/>
      <c r="T1711" s="94"/>
      <c r="U1711" s="94"/>
      <c r="V1711" s="94"/>
      <c r="W1711" s="94"/>
      <c r="X1711" s="94"/>
      <c r="Y1711" s="94"/>
      <c r="Z1711" s="94"/>
      <c r="AA1711" s="94"/>
      <c r="AB1711" s="94"/>
      <c r="AC1711" s="94"/>
      <c r="AD1711" s="94"/>
      <c r="AE1711" s="94"/>
      <c r="AF1711" s="94"/>
      <c r="AG1711" s="94"/>
      <c r="AH1711" s="94"/>
      <c r="AI1711" s="94"/>
      <c r="AJ1711" s="94"/>
      <c r="AK1711" s="94"/>
      <c r="AL1711" s="94"/>
      <c r="AM1711" s="94"/>
      <c r="AN1711" s="94"/>
      <c r="AO1711" s="94"/>
      <c r="AP1711" s="94"/>
      <c r="AQ1711" s="94"/>
      <c r="AR1711" s="94"/>
      <c r="AS1711" s="94"/>
      <c r="AT1711" s="94"/>
      <c r="AU1711" s="94"/>
      <c r="AV1711" s="94"/>
      <c r="AW1711" s="94"/>
      <c r="AX1711" s="94"/>
      <c r="AY1711" s="94"/>
      <c r="AZ1711" s="94"/>
      <c r="BA1711" s="94"/>
      <c r="BB1711" s="94"/>
      <c r="BC1711" s="94"/>
      <c r="BD1711" s="94"/>
      <c r="BE1711" s="94"/>
      <c r="BF1711" s="94"/>
    </row>
    <row r="1712" spans="1:58" x14ac:dyDescent="0.35">
      <c r="A1712" s="107" t="s">
        <v>3489</v>
      </c>
      <c r="B1712" s="108" t="s">
        <v>0</v>
      </c>
      <c r="C1712" s="109">
        <v>7</v>
      </c>
      <c r="D1712" s="107" t="s">
        <v>1650</v>
      </c>
      <c r="E1712" s="109" t="s">
        <v>1757</v>
      </c>
      <c r="F1712" s="94"/>
      <c r="G1712" s="94"/>
      <c r="H1712" s="94"/>
      <c r="I1712" s="94"/>
      <c r="J1712" s="94"/>
      <c r="K1712" s="94"/>
      <c r="L1712" s="94"/>
      <c r="M1712" s="94"/>
      <c r="N1712" s="94"/>
      <c r="O1712" s="94"/>
      <c r="P1712" s="94"/>
      <c r="Q1712" s="94"/>
      <c r="R1712" s="94"/>
      <c r="S1712" s="94"/>
      <c r="T1712" s="94"/>
      <c r="U1712" s="94"/>
      <c r="V1712" s="94"/>
      <c r="W1712" s="94"/>
      <c r="X1712" s="94"/>
      <c r="Y1712" s="94"/>
      <c r="Z1712" s="94"/>
      <c r="AA1712" s="94"/>
      <c r="AB1712" s="94"/>
      <c r="AC1712" s="94"/>
      <c r="AD1712" s="94"/>
      <c r="AE1712" s="94"/>
      <c r="AF1712" s="94"/>
      <c r="AG1712" s="94"/>
      <c r="AH1712" s="94"/>
      <c r="AI1712" s="94"/>
      <c r="AJ1712" s="94"/>
      <c r="AK1712" s="94"/>
      <c r="AL1712" s="94"/>
      <c r="AM1712" s="94"/>
      <c r="AN1712" s="94"/>
      <c r="AO1712" s="94"/>
      <c r="AP1712" s="94"/>
      <c r="AQ1712" s="94"/>
      <c r="AR1712" s="94"/>
      <c r="AS1712" s="94"/>
      <c r="AT1712" s="94"/>
      <c r="AU1712" s="94"/>
      <c r="AV1712" s="94"/>
      <c r="AW1712" s="94"/>
      <c r="AX1712" s="94"/>
      <c r="AY1712" s="94"/>
      <c r="AZ1712" s="94"/>
      <c r="BA1712" s="94"/>
      <c r="BB1712" s="94"/>
      <c r="BC1712" s="94"/>
      <c r="BD1712" s="94"/>
      <c r="BE1712" s="94"/>
      <c r="BF1712" s="94"/>
    </row>
    <row r="1713" spans="1:58" x14ac:dyDescent="0.35">
      <c r="A1713" s="101" t="s">
        <v>3490</v>
      </c>
      <c r="B1713" s="102" t="s">
        <v>0</v>
      </c>
      <c r="C1713" s="103">
        <v>5</v>
      </c>
      <c r="D1713" s="101" t="s">
        <v>474</v>
      </c>
      <c r="E1713" s="103" t="s">
        <v>303</v>
      </c>
      <c r="F1713" s="94"/>
      <c r="G1713" s="94"/>
      <c r="H1713" s="94"/>
      <c r="I1713" s="94"/>
      <c r="J1713" s="94"/>
      <c r="K1713" s="94"/>
      <c r="L1713" s="94"/>
      <c r="M1713" s="94"/>
      <c r="N1713" s="94"/>
      <c r="O1713" s="94"/>
      <c r="P1713" s="94"/>
      <c r="Q1713" s="94"/>
      <c r="R1713" s="94"/>
      <c r="S1713" s="94"/>
      <c r="T1713" s="94"/>
      <c r="U1713" s="94"/>
      <c r="V1713" s="94"/>
      <c r="W1713" s="94"/>
      <c r="X1713" s="94"/>
      <c r="Y1713" s="94"/>
      <c r="Z1713" s="94"/>
      <c r="AA1713" s="94"/>
      <c r="AB1713" s="94"/>
      <c r="AC1713" s="94"/>
      <c r="AD1713" s="94"/>
      <c r="AE1713" s="94"/>
      <c r="AF1713" s="94"/>
      <c r="AG1713" s="94"/>
      <c r="AH1713" s="94"/>
      <c r="AI1713" s="94"/>
      <c r="AJ1713" s="94"/>
      <c r="AK1713" s="94"/>
      <c r="AL1713" s="94"/>
      <c r="AM1713" s="94"/>
      <c r="AN1713" s="94"/>
      <c r="AO1713" s="94"/>
      <c r="AP1713" s="94"/>
      <c r="AQ1713" s="94"/>
      <c r="AR1713" s="94"/>
      <c r="AS1713" s="94"/>
      <c r="AT1713" s="94"/>
      <c r="AU1713" s="94"/>
      <c r="AV1713" s="94"/>
      <c r="AW1713" s="94"/>
      <c r="AX1713" s="94"/>
      <c r="AY1713" s="94"/>
      <c r="AZ1713" s="94"/>
      <c r="BA1713" s="94"/>
      <c r="BB1713" s="94"/>
      <c r="BC1713" s="94"/>
      <c r="BD1713" s="94"/>
      <c r="BE1713" s="94"/>
      <c r="BF1713" s="94"/>
    </row>
    <row r="1714" spans="1:58" x14ac:dyDescent="0.35">
      <c r="A1714" s="101" t="s">
        <v>3491</v>
      </c>
      <c r="B1714" s="102" t="s">
        <v>0</v>
      </c>
      <c r="C1714" s="103">
        <v>5</v>
      </c>
      <c r="D1714" s="101" t="s">
        <v>304</v>
      </c>
      <c r="E1714" s="103" t="s">
        <v>305</v>
      </c>
      <c r="F1714" s="94"/>
      <c r="G1714" s="94"/>
      <c r="H1714" s="94"/>
      <c r="I1714" s="94"/>
      <c r="J1714" s="94"/>
      <c r="K1714" s="94"/>
      <c r="L1714" s="94"/>
      <c r="M1714" s="94"/>
      <c r="N1714" s="94"/>
      <c r="O1714" s="94"/>
      <c r="P1714" s="94"/>
      <c r="Q1714" s="94"/>
      <c r="R1714" s="94"/>
      <c r="S1714" s="94"/>
      <c r="T1714" s="94"/>
      <c r="U1714" s="94"/>
      <c r="V1714" s="94"/>
      <c r="W1714" s="94"/>
      <c r="X1714" s="94"/>
      <c r="Y1714" s="94"/>
      <c r="Z1714" s="94"/>
      <c r="AA1714" s="94"/>
      <c r="AB1714" s="94"/>
      <c r="AC1714" s="94"/>
      <c r="AD1714" s="94"/>
      <c r="AE1714" s="94"/>
      <c r="AF1714" s="94"/>
      <c r="AG1714" s="94"/>
      <c r="AH1714" s="94"/>
      <c r="AI1714" s="94"/>
      <c r="AJ1714" s="94"/>
      <c r="AK1714" s="94"/>
      <c r="AL1714" s="94"/>
      <c r="AM1714" s="94"/>
      <c r="AN1714" s="94"/>
      <c r="AO1714" s="94"/>
      <c r="AP1714" s="94"/>
      <c r="AQ1714" s="94"/>
      <c r="AR1714" s="94"/>
      <c r="AS1714" s="94"/>
      <c r="AT1714" s="94"/>
      <c r="AU1714" s="94"/>
      <c r="AV1714" s="94"/>
      <c r="AW1714" s="94"/>
      <c r="AX1714" s="94"/>
      <c r="AY1714" s="94"/>
      <c r="AZ1714" s="94"/>
      <c r="BA1714" s="94"/>
      <c r="BB1714" s="94"/>
      <c r="BC1714" s="94"/>
      <c r="BD1714" s="94"/>
      <c r="BE1714" s="94"/>
      <c r="BF1714" s="94"/>
    </row>
    <row r="1715" spans="1:58" x14ac:dyDescent="0.35">
      <c r="A1715" s="104" t="s">
        <v>3492</v>
      </c>
      <c r="B1715" s="105" t="s">
        <v>0</v>
      </c>
      <c r="C1715" s="106">
        <v>6</v>
      </c>
      <c r="D1715" s="104" t="s">
        <v>16</v>
      </c>
      <c r="E1715" s="106"/>
      <c r="F1715" s="94"/>
      <c r="G1715" s="94"/>
      <c r="H1715" s="94"/>
      <c r="I1715" s="94"/>
      <c r="J1715" s="94"/>
      <c r="K1715" s="94"/>
      <c r="L1715" s="94"/>
      <c r="M1715" s="94"/>
      <c r="N1715" s="94"/>
      <c r="O1715" s="94"/>
      <c r="P1715" s="94"/>
      <c r="Q1715" s="94"/>
      <c r="R1715" s="94"/>
      <c r="S1715" s="94"/>
      <c r="T1715" s="94"/>
      <c r="U1715" s="94"/>
      <c r="V1715" s="94"/>
      <c r="W1715" s="94"/>
      <c r="X1715" s="94"/>
      <c r="Y1715" s="94"/>
      <c r="Z1715" s="94"/>
      <c r="AA1715" s="94"/>
      <c r="AB1715" s="94"/>
      <c r="AC1715" s="94"/>
      <c r="AD1715" s="94"/>
      <c r="AE1715" s="94"/>
      <c r="AF1715" s="94"/>
      <c r="AG1715" s="94"/>
      <c r="AH1715" s="94"/>
      <c r="AI1715" s="94"/>
      <c r="AJ1715" s="94"/>
      <c r="AK1715" s="94"/>
      <c r="AL1715" s="94"/>
      <c r="AM1715" s="94"/>
      <c r="AN1715" s="94"/>
      <c r="AO1715" s="94"/>
      <c r="AP1715" s="94"/>
      <c r="AQ1715" s="94"/>
      <c r="AR1715" s="94"/>
      <c r="AS1715" s="94"/>
      <c r="AT1715" s="94"/>
      <c r="AU1715" s="94"/>
      <c r="AV1715" s="94"/>
      <c r="AW1715" s="94"/>
      <c r="AX1715" s="94"/>
      <c r="AY1715" s="94"/>
      <c r="AZ1715" s="94"/>
      <c r="BA1715" s="94"/>
      <c r="BB1715" s="94"/>
      <c r="BC1715" s="94"/>
      <c r="BD1715" s="94"/>
      <c r="BE1715" s="94"/>
      <c r="BF1715" s="94"/>
    </row>
    <row r="1716" spans="1:58" x14ac:dyDescent="0.35">
      <c r="A1716" s="107" t="s">
        <v>3493</v>
      </c>
      <c r="B1716" s="108" t="s">
        <v>0</v>
      </c>
      <c r="C1716" s="109">
        <v>7</v>
      </c>
      <c r="D1716" s="107" t="s">
        <v>1240</v>
      </c>
      <c r="E1716" s="109" t="s">
        <v>306</v>
      </c>
      <c r="F1716" s="94"/>
      <c r="G1716" s="94"/>
      <c r="H1716" s="94"/>
      <c r="I1716" s="94"/>
      <c r="J1716" s="94"/>
      <c r="K1716" s="94"/>
      <c r="L1716" s="94"/>
      <c r="M1716" s="94"/>
      <c r="N1716" s="94"/>
      <c r="O1716" s="94"/>
      <c r="P1716" s="94"/>
      <c r="Q1716" s="94"/>
      <c r="R1716" s="94"/>
      <c r="S1716" s="94"/>
      <c r="T1716" s="94"/>
      <c r="U1716" s="94"/>
      <c r="V1716" s="94"/>
      <c r="W1716" s="94"/>
      <c r="X1716" s="94"/>
      <c r="Y1716" s="94"/>
      <c r="Z1716" s="94"/>
      <c r="AA1716" s="94"/>
      <c r="AB1716" s="94"/>
      <c r="AC1716" s="94"/>
      <c r="AD1716" s="94"/>
      <c r="AE1716" s="94"/>
      <c r="AF1716" s="94"/>
      <c r="AG1716" s="94"/>
      <c r="AH1716" s="94"/>
      <c r="AI1716" s="94"/>
      <c r="AJ1716" s="94"/>
      <c r="AK1716" s="94"/>
      <c r="AL1716" s="94"/>
      <c r="AM1716" s="94"/>
      <c r="AN1716" s="94"/>
      <c r="AO1716" s="94"/>
      <c r="AP1716" s="94"/>
      <c r="AQ1716" s="94"/>
      <c r="AR1716" s="94"/>
      <c r="AS1716" s="94"/>
      <c r="AT1716" s="94"/>
      <c r="AU1716" s="94"/>
      <c r="AV1716" s="94"/>
      <c r="AW1716" s="94"/>
      <c r="AX1716" s="94"/>
      <c r="AY1716" s="94"/>
      <c r="AZ1716" s="94"/>
      <c r="BA1716" s="94"/>
      <c r="BB1716" s="94"/>
      <c r="BC1716" s="94"/>
      <c r="BD1716" s="94"/>
      <c r="BE1716" s="94"/>
      <c r="BF1716" s="94"/>
    </row>
    <row r="1717" spans="1:58" x14ac:dyDescent="0.35">
      <c r="A1717" s="101" t="s">
        <v>3494</v>
      </c>
      <c r="B1717" s="102" t="s">
        <v>0</v>
      </c>
      <c r="C1717" s="103">
        <v>5</v>
      </c>
      <c r="D1717" s="101" t="s">
        <v>475</v>
      </c>
      <c r="E1717" s="103" t="s">
        <v>307</v>
      </c>
      <c r="F1717" s="94"/>
      <c r="G1717" s="94"/>
      <c r="H1717" s="94"/>
      <c r="I1717" s="94"/>
      <c r="J1717" s="94"/>
      <c r="K1717" s="94"/>
      <c r="L1717" s="94"/>
      <c r="M1717" s="94"/>
      <c r="N1717" s="94"/>
      <c r="O1717" s="94"/>
      <c r="P1717" s="94"/>
      <c r="Q1717" s="94"/>
      <c r="R1717" s="94"/>
      <c r="S1717" s="94"/>
      <c r="T1717" s="94"/>
      <c r="U1717" s="94"/>
      <c r="V1717" s="94"/>
      <c r="W1717" s="94"/>
      <c r="X1717" s="94"/>
      <c r="Y1717" s="94"/>
      <c r="Z1717" s="94"/>
      <c r="AA1717" s="94"/>
      <c r="AB1717" s="94"/>
      <c r="AC1717" s="94"/>
      <c r="AD1717" s="94"/>
      <c r="AE1717" s="94"/>
      <c r="AF1717" s="94"/>
      <c r="AG1717" s="94"/>
      <c r="AH1717" s="94"/>
      <c r="AI1717" s="94"/>
      <c r="AJ1717" s="94"/>
      <c r="AK1717" s="94"/>
      <c r="AL1717" s="94"/>
      <c r="AM1717" s="94"/>
      <c r="AN1717" s="94"/>
      <c r="AO1717" s="94"/>
      <c r="AP1717" s="94"/>
      <c r="AQ1717" s="94"/>
      <c r="AR1717" s="94"/>
      <c r="AS1717" s="94"/>
      <c r="AT1717" s="94"/>
      <c r="AU1717" s="94"/>
      <c r="AV1717" s="94"/>
      <c r="AW1717" s="94"/>
      <c r="AX1717" s="94"/>
      <c r="AY1717" s="94"/>
      <c r="AZ1717" s="94"/>
      <c r="BA1717" s="94"/>
      <c r="BB1717" s="94"/>
      <c r="BC1717" s="94"/>
      <c r="BD1717" s="94"/>
      <c r="BE1717" s="94"/>
      <c r="BF1717" s="94"/>
    </row>
    <row r="1718" spans="1:58" x14ac:dyDescent="0.35">
      <c r="A1718" s="104" t="s">
        <v>3495</v>
      </c>
      <c r="B1718" s="105" t="s">
        <v>0</v>
      </c>
      <c r="C1718" s="106">
        <v>6</v>
      </c>
      <c r="D1718" s="104" t="s">
        <v>123</v>
      </c>
      <c r="E1718" s="106"/>
      <c r="F1718" s="94"/>
      <c r="G1718" s="94"/>
      <c r="H1718" s="94"/>
      <c r="I1718" s="94"/>
      <c r="J1718" s="94"/>
      <c r="K1718" s="94"/>
      <c r="L1718" s="94"/>
      <c r="M1718" s="94"/>
      <c r="N1718" s="94"/>
      <c r="O1718" s="94"/>
      <c r="P1718" s="94"/>
      <c r="Q1718" s="94"/>
      <c r="R1718" s="94"/>
      <c r="S1718" s="94"/>
      <c r="T1718" s="94"/>
      <c r="U1718" s="94"/>
      <c r="V1718" s="94"/>
      <c r="W1718" s="94"/>
      <c r="X1718" s="94"/>
      <c r="Y1718" s="94"/>
      <c r="Z1718" s="94"/>
      <c r="AA1718" s="94"/>
      <c r="AB1718" s="94"/>
      <c r="AC1718" s="94"/>
      <c r="AD1718" s="94"/>
      <c r="AE1718" s="94"/>
      <c r="AF1718" s="94"/>
      <c r="AG1718" s="94"/>
      <c r="AH1718" s="94"/>
      <c r="AI1718" s="94"/>
      <c r="AJ1718" s="94"/>
      <c r="AK1718" s="94"/>
      <c r="AL1718" s="94"/>
      <c r="AM1718" s="94"/>
      <c r="AN1718" s="94"/>
      <c r="AO1718" s="94"/>
      <c r="AP1718" s="94"/>
      <c r="AQ1718" s="94"/>
      <c r="AR1718" s="94"/>
      <c r="AS1718" s="94"/>
      <c r="AT1718" s="94"/>
      <c r="AU1718" s="94"/>
      <c r="AV1718" s="94"/>
      <c r="AW1718" s="94"/>
      <c r="AX1718" s="94"/>
      <c r="AY1718" s="94"/>
      <c r="AZ1718" s="94"/>
      <c r="BA1718" s="94"/>
      <c r="BB1718" s="94"/>
      <c r="BC1718" s="94"/>
      <c r="BD1718" s="94"/>
      <c r="BE1718" s="94"/>
      <c r="BF1718" s="94"/>
    </row>
    <row r="1719" spans="1:58" x14ac:dyDescent="0.35">
      <c r="A1719" s="107" t="s">
        <v>3496</v>
      </c>
      <c r="B1719" s="108" t="s">
        <v>0</v>
      </c>
      <c r="C1719" s="109">
        <v>7</v>
      </c>
      <c r="D1719" s="107" t="s">
        <v>1664</v>
      </c>
      <c r="E1719" s="109"/>
      <c r="F1719" s="94"/>
      <c r="G1719" s="94"/>
      <c r="H1719" s="94"/>
      <c r="I1719" s="94"/>
      <c r="J1719" s="94"/>
      <c r="K1719" s="94"/>
      <c r="L1719" s="94"/>
      <c r="M1719" s="94"/>
      <c r="N1719" s="94"/>
      <c r="O1719" s="94"/>
      <c r="P1719" s="94"/>
      <c r="Q1719" s="94"/>
      <c r="R1719" s="94"/>
      <c r="S1719" s="94"/>
      <c r="T1719" s="94"/>
      <c r="U1719" s="94"/>
      <c r="V1719" s="94"/>
      <c r="W1719" s="94"/>
      <c r="X1719" s="94"/>
      <c r="Y1719" s="94"/>
      <c r="Z1719" s="94"/>
      <c r="AA1719" s="94"/>
      <c r="AB1719" s="94"/>
      <c r="AC1719" s="94"/>
      <c r="AD1719" s="94"/>
      <c r="AE1719" s="94"/>
      <c r="AF1719" s="94"/>
      <c r="AG1719" s="94"/>
      <c r="AH1719" s="94"/>
      <c r="AI1719" s="94"/>
      <c r="AJ1719" s="94"/>
      <c r="AK1719" s="94"/>
      <c r="AL1719" s="94"/>
      <c r="AM1719" s="94"/>
      <c r="AN1719" s="94"/>
      <c r="AO1719" s="94"/>
      <c r="AP1719" s="94"/>
      <c r="AQ1719" s="94"/>
      <c r="AR1719" s="94"/>
      <c r="AS1719" s="94"/>
      <c r="AT1719" s="94"/>
      <c r="AU1719" s="94"/>
      <c r="AV1719" s="94"/>
      <c r="AW1719" s="94"/>
      <c r="AX1719" s="94"/>
      <c r="AY1719" s="94"/>
      <c r="AZ1719" s="94"/>
      <c r="BA1719" s="94"/>
      <c r="BB1719" s="94"/>
      <c r="BC1719" s="94"/>
      <c r="BD1719" s="94"/>
      <c r="BE1719" s="94"/>
      <c r="BF1719" s="94"/>
    </row>
    <row r="1720" spans="1:58" x14ac:dyDescent="0.35">
      <c r="A1720" s="101" t="s">
        <v>3497</v>
      </c>
      <c r="B1720" s="102" t="s">
        <v>0</v>
      </c>
      <c r="C1720" s="103">
        <v>5</v>
      </c>
      <c r="D1720" s="101" t="s">
        <v>476</v>
      </c>
      <c r="E1720" s="103" t="s">
        <v>308</v>
      </c>
      <c r="F1720" s="94"/>
      <c r="G1720" s="94"/>
      <c r="H1720" s="94"/>
      <c r="I1720" s="94"/>
      <c r="J1720" s="94"/>
      <c r="K1720" s="94"/>
      <c r="L1720" s="94"/>
      <c r="M1720" s="94"/>
      <c r="N1720" s="94"/>
      <c r="O1720" s="94"/>
      <c r="P1720" s="94"/>
      <c r="Q1720" s="94"/>
      <c r="R1720" s="94"/>
      <c r="S1720" s="94"/>
      <c r="T1720" s="94"/>
      <c r="U1720" s="94"/>
      <c r="V1720" s="94"/>
      <c r="W1720" s="94"/>
      <c r="X1720" s="94"/>
      <c r="Y1720" s="94"/>
      <c r="Z1720" s="94"/>
      <c r="AA1720" s="94"/>
      <c r="AB1720" s="94"/>
      <c r="AC1720" s="94"/>
      <c r="AD1720" s="94"/>
      <c r="AE1720" s="94"/>
      <c r="AF1720" s="94"/>
      <c r="AG1720" s="94"/>
      <c r="AH1720" s="94"/>
      <c r="AI1720" s="94"/>
      <c r="AJ1720" s="94"/>
      <c r="AK1720" s="94"/>
      <c r="AL1720" s="94"/>
      <c r="AM1720" s="94"/>
      <c r="AN1720" s="94"/>
      <c r="AO1720" s="94"/>
      <c r="AP1720" s="94"/>
      <c r="AQ1720" s="94"/>
      <c r="AR1720" s="94"/>
      <c r="AS1720" s="94"/>
      <c r="AT1720" s="94"/>
      <c r="AU1720" s="94"/>
      <c r="AV1720" s="94"/>
      <c r="AW1720" s="94"/>
      <c r="AX1720" s="94"/>
      <c r="AY1720" s="94"/>
      <c r="AZ1720" s="94"/>
      <c r="BA1720" s="94"/>
      <c r="BB1720" s="94"/>
      <c r="BC1720" s="94"/>
      <c r="BD1720" s="94"/>
      <c r="BE1720" s="94"/>
      <c r="BF1720" s="94"/>
    </row>
    <row r="1721" spans="1:58" x14ac:dyDescent="0.35">
      <c r="A1721" s="101" t="s">
        <v>3498</v>
      </c>
      <c r="B1721" s="102" t="s">
        <v>0</v>
      </c>
      <c r="C1721" s="103">
        <v>5</v>
      </c>
      <c r="D1721" s="101" t="s">
        <v>476</v>
      </c>
      <c r="E1721" s="103" t="s">
        <v>309</v>
      </c>
      <c r="F1721" s="94"/>
      <c r="G1721" s="94"/>
      <c r="H1721" s="94"/>
      <c r="I1721" s="94"/>
      <c r="J1721" s="94"/>
      <c r="K1721" s="94"/>
      <c r="L1721" s="94"/>
      <c r="M1721" s="94"/>
      <c r="N1721" s="94"/>
      <c r="O1721" s="94"/>
      <c r="P1721" s="94"/>
      <c r="Q1721" s="94"/>
      <c r="R1721" s="94"/>
      <c r="S1721" s="94"/>
      <c r="T1721" s="94"/>
      <c r="U1721" s="94"/>
      <c r="V1721" s="94"/>
      <c r="W1721" s="94"/>
      <c r="X1721" s="94"/>
      <c r="Y1721" s="94"/>
      <c r="Z1721" s="94"/>
      <c r="AA1721" s="94"/>
      <c r="AB1721" s="94"/>
      <c r="AC1721" s="94"/>
      <c r="AD1721" s="94"/>
      <c r="AE1721" s="94"/>
      <c r="AF1721" s="94"/>
      <c r="AG1721" s="94"/>
      <c r="AH1721" s="94"/>
      <c r="AI1721" s="94"/>
      <c r="AJ1721" s="94"/>
      <c r="AK1721" s="94"/>
      <c r="AL1721" s="94"/>
      <c r="AM1721" s="94"/>
      <c r="AN1721" s="94"/>
      <c r="AO1721" s="94"/>
      <c r="AP1721" s="94"/>
      <c r="AQ1721" s="94"/>
      <c r="AR1721" s="94"/>
      <c r="AS1721" s="94"/>
      <c r="AT1721" s="94"/>
      <c r="AU1721" s="94"/>
      <c r="AV1721" s="94"/>
      <c r="AW1721" s="94"/>
      <c r="AX1721" s="94"/>
      <c r="AY1721" s="94"/>
      <c r="AZ1721" s="94"/>
      <c r="BA1721" s="94"/>
      <c r="BB1721" s="94"/>
      <c r="BC1721" s="94"/>
      <c r="BD1721" s="94"/>
      <c r="BE1721" s="94"/>
      <c r="BF1721" s="94"/>
    </row>
    <row r="1722" spans="1:58" x14ac:dyDescent="0.35">
      <c r="A1722" s="101" t="s">
        <v>3499</v>
      </c>
      <c r="B1722" s="102" t="s">
        <v>0</v>
      </c>
      <c r="C1722" s="103">
        <v>5</v>
      </c>
      <c r="D1722" s="101" t="s">
        <v>476</v>
      </c>
      <c r="E1722" s="103" t="s">
        <v>310</v>
      </c>
      <c r="F1722" s="94"/>
      <c r="G1722" s="94"/>
      <c r="H1722" s="94"/>
      <c r="I1722" s="94"/>
      <c r="J1722" s="94"/>
      <c r="K1722" s="94"/>
      <c r="L1722" s="94"/>
      <c r="M1722" s="94"/>
      <c r="N1722" s="94"/>
      <c r="O1722" s="94"/>
      <c r="P1722" s="94"/>
      <c r="Q1722" s="94"/>
      <c r="R1722" s="94"/>
      <c r="S1722" s="94"/>
      <c r="T1722" s="94"/>
      <c r="U1722" s="94"/>
      <c r="V1722" s="94"/>
      <c r="W1722" s="94"/>
      <c r="X1722" s="94"/>
      <c r="Y1722" s="94"/>
      <c r="Z1722" s="94"/>
      <c r="AA1722" s="94"/>
      <c r="AB1722" s="94"/>
      <c r="AC1722" s="94"/>
      <c r="AD1722" s="94"/>
      <c r="AE1722" s="94"/>
      <c r="AF1722" s="94"/>
      <c r="AG1722" s="94"/>
      <c r="AH1722" s="94"/>
      <c r="AI1722" s="94"/>
      <c r="AJ1722" s="94"/>
      <c r="AK1722" s="94"/>
      <c r="AL1722" s="94"/>
      <c r="AM1722" s="94"/>
      <c r="AN1722" s="94"/>
      <c r="AO1722" s="94"/>
      <c r="AP1722" s="94"/>
      <c r="AQ1722" s="94"/>
      <c r="AR1722" s="94"/>
      <c r="AS1722" s="94"/>
      <c r="AT1722" s="94"/>
      <c r="AU1722" s="94"/>
      <c r="AV1722" s="94"/>
      <c r="AW1722" s="94"/>
      <c r="AX1722" s="94"/>
      <c r="AY1722" s="94"/>
      <c r="AZ1722" s="94"/>
      <c r="BA1722" s="94"/>
      <c r="BB1722" s="94"/>
      <c r="BC1722" s="94"/>
      <c r="BD1722" s="94"/>
      <c r="BE1722" s="94"/>
      <c r="BF1722" s="94"/>
    </row>
    <row r="1723" spans="1:58" x14ac:dyDescent="0.35">
      <c r="A1723" s="101" t="s">
        <v>3500</v>
      </c>
      <c r="B1723" s="102" t="s">
        <v>0</v>
      </c>
      <c r="C1723" s="103">
        <v>5</v>
      </c>
      <c r="D1723" s="101" t="s">
        <v>311</v>
      </c>
      <c r="E1723" s="103" t="s">
        <v>312</v>
      </c>
      <c r="F1723" s="94"/>
      <c r="G1723" s="94"/>
      <c r="H1723" s="94"/>
      <c r="I1723" s="94"/>
      <c r="J1723" s="94"/>
      <c r="K1723" s="94"/>
      <c r="L1723" s="94"/>
      <c r="M1723" s="94"/>
      <c r="N1723" s="94"/>
      <c r="O1723" s="94"/>
      <c r="P1723" s="94"/>
      <c r="Q1723" s="94"/>
      <c r="R1723" s="94"/>
      <c r="S1723" s="94"/>
      <c r="T1723" s="94"/>
      <c r="U1723" s="94"/>
      <c r="V1723" s="94"/>
      <c r="W1723" s="94"/>
      <c r="X1723" s="94"/>
      <c r="Y1723" s="94"/>
      <c r="Z1723" s="94"/>
      <c r="AA1723" s="94"/>
      <c r="AB1723" s="94"/>
      <c r="AC1723" s="94"/>
      <c r="AD1723" s="94"/>
      <c r="AE1723" s="94"/>
      <c r="AF1723" s="94"/>
      <c r="AG1723" s="94"/>
      <c r="AH1723" s="94"/>
      <c r="AI1723" s="94"/>
      <c r="AJ1723" s="94"/>
      <c r="AK1723" s="94"/>
      <c r="AL1723" s="94"/>
      <c r="AM1723" s="94"/>
      <c r="AN1723" s="94"/>
      <c r="AO1723" s="94"/>
      <c r="AP1723" s="94"/>
      <c r="AQ1723" s="94"/>
      <c r="AR1723" s="94"/>
      <c r="AS1723" s="94"/>
      <c r="AT1723" s="94"/>
      <c r="AU1723" s="94"/>
      <c r="AV1723" s="94"/>
      <c r="AW1723" s="94"/>
      <c r="AX1723" s="94"/>
      <c r="AY1723" s="94"/>
      <c r="AZ1723" s="94"/>
      <c r="BA1723" s="94"/>
      <c r="BB1723" s="94"/>
      <c r="BC1723" s="94"/>
      <c r="BD1723" s="94"/>
      <c r="BE1723" s="94"/>
      <c r="BF1723" s="94"/>
    </row>
    <row r="1724" spans="1:58" x14ac:dyDescent="0.35">
      <c r="A1724" s="101" t="s">
        <v>3501</v>
      </c>
      <c r="B1724" s="102" t="s">
        <v>0</v>
      </c>
      <c r="C1724" s="103">
        <v>5</v>
      </c>
      <c r="D1724" s="101" t="s">
        <v>313</v>
      </c>
      <c r="E1724" s="103" t="s">
        <v>314</v>
      </c>
      <c r="F1724" s="94"/>
      <c r="G1724" s="94"/>
      <c r="H1724" s="94"/>
      <c r="I1724" s="94"/>
      <c r="J1724" s="94"/>
      <c r="K1724" s="94"/>
      <c r="L1724" s="94"/>
      <c r="M1724" s="94"/>
      <c r="N1724" s="94"/>
      <c r="O1724" s="94"/>
      <c r="P1724" s="94"/>
      <c r="Q1724" s="94"/>
      <c r="R1724" s="94"/>
      <c r="S1724" s="94"/>
      <c r="T1724" s="94"/>
      <c r="U1724" s="94"/>
      <c r="V1724" s="94"/>
      <c r="W1724" s="94"/>
      <c r="X1724" s="94"/>
      <c r="Y1724" s="94"/>
      <c r="Z1724" s="94"/>
      <c r="AA1724" s="94"/>
      <c r="AB1724" s="94"/>
      <c r="AC1724" s="94"/>
      <c r="AD1724" s="94"/>
      <c r="AE1724" s="94"/>
      <c r="AF1724" s="94"/>
      <c r="AG1724" s="94"/>
      <c r="AH1724" s="94"/>
      <c r="AI1724" s="94"/>
      <c r="AJ1724" s="94"/>
      <c r="AK1724" s="94"/>
      <c r="AL1724" s="94"/>
      <c r="AM1724" s="94"/>
      <c r="AN1724" s="94"/>
      <c r="AO1724" s="94"/>
      <c r="AP1724" s="94"/>
      <c r="AQ1724" s="94"/>
      <c r="AR1724" s="94"/>
      <c r="AS1724" s="94"/>
      <c r="AT1724" s="94"/>
      <c r="AU1724" s="94"/>
      <c r="AV1724" s="94"/>
      <c r="AW1724" s="94"/>
      <c r="AX1724" s="94"/>
      <c r="AY1724" s="94"/>
      <c r="AZ1724" s="94"/>
      <c r="BA1724" s="94"/>
      <c r="BB1724" s="94"/>
      <c r="BC1724" s="94"/>
      <c r="BD1724" s="94"/>
      <c r="BE1724" s="94"/>
      <c r="BF1724" s="94"/>
    </row>
    <row r="1725" spans="1:58" x14ac:dyDescent="0.35">
      <c r="A1725" s="101" t="s">
        <v>3502</v>
      </c>
      <c r="B1725" s="102" t="s">
        <v>0</v>
      </c>
      <c r="C1725" s="103">
        <v>5</v>
      </c>
      <c r="D1725" s="101" t="s">
        <v>313</v>
      </c>
      <c r="E1725" s="103" t="s">
        <v>315</v>
      </c>
      <c r="F1725" s="94"/>
      <c r="G1725" s="94"/>
      <c r="H1725" s="94"/>
      <c r="I1725" s="94"/>
      <c r="J1725" s="94"/>
      <c r="K1725" s="94"/>
      <c r="L1725" s="94"/>
      <c r="M1725" s="94"/>
      <c r="N1725" s="94"/>
      <c r="O1725" s="94"/>
      <c r="P1725" s="94"/>
      <c r="Q1725" s="94"/>
      <c r="R1725" s="94"/>
      <c r="S1725" s="94"/>
      <c r="T1725" s="94"/>
      <c r="U1725" s="94"/>
      <c r="V1725" s="94"/>
      <c r="W1725" s="94"/>
      <c r="X1725" s="94"/>
      <c r="Y1725" s="94"/>
      <c r="Z1725" s="94"/>
      <c r="AA1725" s="94"/>
      <c r="AB1725" s="94"/>
      <c r="AC1725" s="94"/>
      <c r="AD1725" s="94"/>
      <c r="AE1725" s="94"/>
      <c r="AF1725" s="94"/>
      <c r="AG1725" s="94"/>
      <c r="AH1725" s="94"/>
      <c r="AI1725" s="94"/>
      <c r="AJ1725" s="94"/>
      <c r="AK1725" s="94"/>
      <c r="AL1725" s="94"/>
      <c r="AM1725" s="94"/>
      <c r="AN1725" s="94"/>
      <c r="AO1725" s="94"/>
      <c r="AP1725" s="94"/>
      <c r="AQ1725" s="94"/>
      <c r="AR1725" s="94"/>
      <c r="AS1725" s="94"/>
      <c r="AT1725" s="94"/>
      <c r="AU1725" s="94"/>
      <c r="AV1725" s="94"/>
      <c r="AW1725" s="94"/>
      <c r="AX1725" s="94"/>
      <c r="AY1725" s="94"/>
      <c r="AZ1725" s="94"/>
      <c r="BA1725" s="94"/>
      <c r="BB1725" s="94"/>
      <c r="BC1725" s="94"/>
      <c r="BD1725" s="94"/>
      <c r="BE1725" s="94"/>
      <c r="BF1725" s="94"/>
    </row>
    <row r="1726" spans="1:58" x14ac:dyDescent="0.35">
      <c r="A1726" s="101" t="s">
        <v>3503</v>
      </c>
      <c r="B1726" s="102" t="s">
        <v>0</v>
      </c>
      <c r="C1726" s="103">
        <v>5</v>
      </c>
      <c r="D1726" s="101" t="s">
        <v>313</v>
      </c>
      <c r="E1726" s="103" t="s">
        <v>316</v>
      </c>
      <c r="F1726" s="94"/>
      <c r="G1726" s="94"/>
      <c r="H1726" s="94"/>
      <c r="I1726" s="94"/>
      <c r="J1726" s="94"/>
      <c r="K1726" s="94"/>
      <c r="L1726" s="94"/>
      <c r="M1726" s="94"/>
      <c r="N1726" s="94"/>
      <c r="O1726" s="94"/>
      <c r="P1726" s="94"/>
      <c r="Q1726" s="94"/>
      <c r="R1726" s="94"/>
      <c r="S1726" s="94"/>
      <c r="T1726" s="94"/>
      <c r="U1726" s="94"/>
      <c r="V1726" s="94"/>
      <c r="W1726" s="94"/>
      <c r="X1726" s="94"/>
      <c r="Y1726" s="94"/>
      <c r="Z1726" s="94"/>
      <c r="AA1726" s="94"/>
      <c r="AB1726" s="94"/>
      <c r="AC1726" s="94"/>
      <c r="AD1726" s="94"/>
      <c r="AE1726" s="94"/>
      <c r="AF1726" s="94"/>
      <c r="AG1726" s="94"/>
      <c r="AH1726" s="94"/>
      <c r="AI1726" s="94"/>
      <c r="AJ1726" s="94"/>
      <c r="AK1726" s="94"/>
      <c r="AL1726" s="94"/>
      <c r="AM1726" s="94"/>
      <c r="AN1726" s="94"/>
      <c r="AO1726" s="94"/>
      <c r="AP1726" s="94"/>
      <c r="AQ1726" s="94"/>
      <c r="AR1726" s="94"/>
      <c r="AS1726" s="94"/>
      <c r="AT1726" s="94"/>
      <c r="AU1726" s="94"/>
      <c r="AV1726" s="94"/>
      <c r="AW1726" s="94"/>
      <c r="AX1726" s="94"/>
      <c r="AY1726" s="94"/>
      <c r="AZ1726" s="94"/>
      <c r="BA1726" s="94"/>
      <c r="BB1726" s="94"/>
      <c r="BC1726" s="94"/>
      <c r="BD1726" s="94"/>
      <c r="BE1726" s="94"/>
      <c r="BF1726" s="94"/>
    </row>
    <row r="1727" spans="1:58" x14ac:dyDescent="0.35">
      <c r="A1727" s="101" t="s">
        <v>3504</v>
      </c>
      <c r="B1727" s="102" t="s">
        <v>0</v>
      </c>
      <c r="C1727" s="103">
        <v>5</v>
      </c>
      <c r="D1727" s="101" t="s">
        <v>477</v>
      </c>
      <c r="E1727" s="103" t="s">
        <v>317</v>
      </c>
      <c r="F1727" s="94"/>
      <c r="G1727" s="94"/>
      <c r="H1727" s="94"/>
      <c r="I1727" s="94"/>
      <c r="J1727" s="94"/>
      <c r="K1727" s="94"/>
      <c r="L1727" s="94"/>
      <c r="M1727" s="94"/>
      <c r="N1727" s="94"/>
      <c r="O1727" s="94"/>
      <c r="P1727" s="94"/>
      <c r="Q1727" s="94"/>
      <c r="R1727" s="94"/>
      <c r="S1727" s="94"/>
      <c r="T1727" s="94"/>
      <c r="U1727" s="94"/>
      <c r="V1727" s="94"/>
      <c r="W1727" s="94"/>
      <c r="X1727" s="94"/>
      <c r="Y1727" s="94"/>
      <c r="Z1727" s="94"/>
      <c r="AA1727" s="94"/>
      <c r="AB1727" s="94"/>
      <c r="AC1727" s="94"/>
      <c r="AD1727" s="94"/>
      <c r="AE1727" s="94"/>
      <c r="AF1727" s="94"/>
      <c r="AG1727" s="94"/>
      <c r="AH1727" s="94"/>
      <c r="AI1727" s="94"/>
      <c r="AJ1727" s="94"/>
      <c r="AK1727" s="94"/>
      <c r="AL1727" s="94"/>
      <c r="AM1727" s="94"/>
      <c r="AN1727" s="94"/>
      <c r="AO1727" s="94"/>
      <c r="AP1727" s="94"/>
      <c r="AQ1727" s="94"/>
      <c r="AR1727" s="94"/>
      <c r="AS1727" s="94"/>
      <c r="AT1727" s="94"/>
      <c r="AU1727" s="94"/>
      <c r="AV1727" s="94"/>
      <c r="AW1727" s="94"/>
      <c r="AX1727" s="94"/>
      <c r="AY1727" s="94"/>
      <c r="AZ1727" s="94"/>
      <c r="BA1727" s="94"/>
      <c r="BB1727" s="94"/>
      <c r="BC1727" s="94"/>
      <c r="BD1727" s="94"/>
      <c r="BE1727" s="94"/>
      <c r="BF1727" s="94"/>
    </row>
    <row r="1728" spans="1:58" x14ac:dyDescent="0.35">
      <c r="A1728" s="101" t="s">
        <v>3505</v>
      </c>
      <c r="B1728" s="102" t="s">
        <v>0</v>
      </c>
      <c r="C1728" s="103">
        <v>5</v>
      </c>
      <c r="D1728" s="101" t="s">
        <v>318</v>
      </c>
      <c r="E1728" s="103" t="s">
        <v>319</v>
      </c>
      <c r="F1728" s="94"/>
      <c r="G1728" s="94"/>
      <c r="H1728" s="94"/>
      <c r="I1728" s="94"/>
      <c r="J1728" s="94"/>
      <c r="K1728" s="94"/>
      <c r="L1728" s="94"/>
      <c r="M1728" s="94"/>
      <c r="N1728" s="94"/>
      <c r="O1728" s="94"/>
      <c r="P1728" s="94"/>
      <c r="Q1728" s="94"/>
      <c r="R1728" s="94"/>
      <c r="S1728" s="94"/>
      <c r="T1728" s="94"/>
      <c r="U1728" s="94"/>
      <c r="V1728" s="94"/>
      <c r="W1728" s="94"/>
      <c r="X1728" s="94"/>
      <c r="Y1728" s="94"/>
      <c r="Z1728" s="94"/>
      <c r="AA1728" s="94"/>
      <c r="AB1728" s="94"/>
      <c r="AC1728" s="94"/>
      <c r="AD1728" s="94"/>
      <c r="AE1728" s="94"/>
      <c r="AF1728" s="94"/>
      <c r="AG1728" s="94"/>
      <c r="AH1728" s="94"/>
      <c r="AI1728" s="94"/>
      <c r="AJ1728" s="94"/>
      <c r="AK1728" s="94"/>
      <c r="AL1728" s="94"/>
      <c r="AM1728" s="94"/>
      <c r="AN1728" s="94"/>
      <c r="AO1728" s="94"/>
      <c r="AP1728" s="94"/>
      <c r="AQ1728" s="94"/>
      <c r="AR1728" s="94"/>
      <c r="AS1728" s="94"/>
      <c r="AT1728" s="94"/>
      <c r="AU1728" s="94"/>
      <c r="AV1728" s="94"/>
      <c r="AW1728" s="94"/>
      <c r="AX1728" s="94"/>
      <c r="AY1728" s="94"/>
      <c r="AZ1728" s="94"/>
      <c r="BA1728" s="94"/>
      <c r="BB1728" s="94"/>
      <c r="BC1728" s="94"/>
      <c r="BD1728" s="94"/>
      <c r="BE1728" s="94"/>
      <c r="BF1728" s="94"/>
    </row>
    <row r="1729" spans="1:58" x14ac:dyDescent="0.35">
      <c r="A1729" s="101" t="s">
        <v>3506</v>
      </c>
      <c r="B1729" s="102" t="s">
        <v>0</v>
      </c>
      <c r="C1729" s="103">
        <v>5</v>
      </c>
      <c r="D1729" s="101" t="s">
        <v>478</v>
      </c>
      <c r="E1729" s="103" t="s">
        <v>320</v>
      </c>
      <c r="F1729" s="94"/>
      <c r="G1729" s="94"/>
      <c r="H1729" s="94"/>
      <c r="I1729" s="94"/>
      <c r="J1729" s="94"/>
      <c r="K1729" s="94"/>
      <c r="L1729" s="94"/>
      <c r="M1729" s="94"/>
      <c r="N1729" s="94"/>
      <c r="O1729" s="94"/>
      <c r="P1729" s="94"/>
      <c r="Q1729" s="94"/>
      <c r="R1729" s="94"/>
      <c r="S1729" s="94"/>
      <c r="T1729" s="94"/>
      <c r="U1729" s="94"/>
      <c r="V1729" s="94"/>
      <c r="W1729" s="94"/>
      <c r="X1729" s="94"/>
      <c r="Y1729" s="94"/>
      <c r="Z1729" s="94"/>
      <c r="AA1729" s="94"/>
      <c r="AB1729" s="94"/>
      <c r="AC1729" s="94"/>
      <c r="AD1729" s="94"/>
      <c r="AE1729" s="94"/>
      <c r="AF1729" s="94"/>
      <c r="AG1729" s="94"/>
      <c r="AH1729" s="94"/>
      <c r="AI1729" s="94"/>
      <c r="AJ1729" s="94"/>
      <c r="AK1729" s="94"/>
      <c r="AL1729" s="94"/>
      <c r="AM1729" s="94"/>
      <c r="AN1729" s="94"/>
      <c r="AO1729" s="94"/>
      <c r="AP1729" s="94"/>
      <c r="AQ1729" s="94"/>
      <c r="AR1729" s="94"/>
      <c r="AS1729" s="94"/>
      <c r="AT1729" s="94"/>
      <c r="AU1729" s="94"/>
      <c r="AV1729" s="94"/>
      <c r="AW1729" s="94"/>
      <c r="AX1729" s="94"/>
      <c r="AY1729" s="94"/>
      <c r="AZ1729" s="94"/>
      <c r="BA1729" s="94"/>
      <c r="BB1729" s="94"/>
      <c r="BC1729" s="94"/>
      <c r="BD1729" s="94"/>
      <c r="BE1729" s="94"/>
      <c r="BF1729" s="94"/>
    </row>
    <row r="1730" spans="1:58" x14ac:dyDescent="0.35">
      <c r="A1730" s="95" t="s">
        <v>3507</v>
      </c>
      <c r="B1730" s="96" t="s">
        <v>0</v>
      </c>
      <c r="C1730" s="97">
        <v>4</v>
      </c>
      <c r="D1730" s="95" t="s">
        <v>1793</v>
      </c>
      <c r="E1730" s="97"/>
      <c r="F1730" s="94"/>
      <c r="G1730" s="94"/>
      <c r="H1730" s="94"/>
      <c r="I1730" s="94"/>
      <c r="J1730" s="94"/>
      <c r="K1730" s="94"/>
      <c r="L1730" s="94"/>
      <c r="M1730" s="94"/>
      <c r="N1730" s="94"/>
      <c r="O1730" s="94"/>
      <c r="P1730" s="94"/>
      <c r="Q1730" s="94"/>
      <c r="R1730" s="94"/>
      <c r="S1730" s="94"/>
      <c r="T1730" s="94"/>
      <c r="U1730" s="94"/>
      <c r="V1730" s="94"/>
      <c r="W1730" s="94"/>
      <c r="X1730" s="94"/>
      <c r="Y1730" s="94"/>
      <c r="Z1730" s="94"/>
      <c r="AA1730" s="94"/>
      <c r="AB1730" s="94"/>
      <c r="AC1730" s="94"/>
      <c r="AD1730" s="94"/>
      <c r="AE1730" s="94"/>
      <c r="AF1730" s="94"/>
      <c r="AG1730" s="94"/>
      <c r="AH1730" s="94"/>
      <c r="AI1730" s="94"/>
      <c r="AJ1730" s="94"/>
      <c r="AK1730" s="94"/>
      <c r="AL1730" s="94"/>
      <c r="AM1730" s="94"/>
      <c r="AN1730" s="94"/>
      <c r="AO1730" s="94"/>
      <c r="AP1730" s="94"/>
      <c r="AQ1730" s="94"/>
      <c r="AR1730" s="94"/>
      <c r="AS1730" s="94"/>
      <c r="AT1730" s="94"/>
      <c r="AU1730" s="94"/>
      <c r="AV1730" s="94"/>
      <c r="AW1730" s="94"/>
      <c r="AX1730" s="94"/>
      <c r="AY1730" s="94"/>
      <c r="AZ1730" s="94"/>
      <c r="BA1730" s="94"/>
      <c r="BB1730" s="94"/>
      <c r="BC1730" s="94"/>
      <c r="BD1730" s="94"/>
      <c r="BE1730" s="94"/>
      <c r="BF1730" s="94"/>
    </row>
    <row r="1731" spans="1:58" x14ac:dyDescent="0.35">
      <c r="A1731" s="101" t="s">
        <v>3508</v>
      </c>
      <c r="B1731" s="102" t="s">
        <v>0</v>
      </c>
      <c r="C1731" s="103">
        <v>5</v>
      </c>
      <c r="D1731" s="101" t="s">
        <v>486</v>
      </c>
      <c r="E1731" s="103" t="s">
        <v>1797</v>
      </c>
      <c r="F1731" s="94"/>
      <c r="G1731" s="94"/>
      <c r="H1731" s="94"/>
      <c r="I1731" s="94"/>
      <c r="J1731" s="94"/>
      <c r="K1731" s="94"/>
      <c r="L1731" s="94"/>
      <c r="M1731" s="94"/>
      <c r="N1731" s="94"/>
      <c r="O1731" s="94"/>
      <c r="P1731" s="94"/>
      <c r="Q1731" s="94"/>
      <c r="R1731" s="94"/>
      <c r="S1731" s="94"/>
      <c r="T1731" s="94"/>
      <c r="U1731" s="94"/>
      <c r="V1731" s="94"/>
      <c r="W1731" s="94"/>
      <c r="X1731" s="94"/>
      <c r="Y1731" s="94"/>
      <c r="Z1731" s="94"/>
      <c r="AA1731" s="94"/>
      <c r="AB1731" s="94"/>
      <c r="AC1731" s="94"/>
      <c r="AD1731" s="94"/>
      <c r="AE1731" s="94"/>
      <c r="AF1731" s="94"/>
      <c r="AG1731" s="94"/>
      <c r="AH1731" s="94"/>
      <c r="AI1731" s="94"/>
      <c r="AJ1731" s="94"/>
      <c r="AK1731" s="94"/>
      <c r="AL1731" s="94"/>
      <c r="AM1731" s="94"/>
      <c r="AN1731" s="94"/>
      <c r="AO1731" s="94"/>
      <c r="AP1731" s="94"/>
      <c r="AQ1731" s="94"/>
      <c r="AR1731" s="94"/>
      <c r="AS1731" s="94"/>
      <c r="AT1731" s="94"/>
      <c r="AU1731" s="94"/>
      <c r="AV1731" s="94"/>
      <c r="AW1731" s="94"/>
      <c r="AX1731" s="94"/>
      <c r="AY1731" s="94"/>
      <c r="AZ1731" s="94"/>
      <c r="BA1731" s="94"/>
      <c r="BB1731" s="94"/>
      <c r="BC1731" s="94"/>
      <c r="BD1731" s="94"/>
      <c r="BE1731" s="94"/>
      <c r="BF1731" s="94"/>
    </row>
    <row r="1732" spans="1:58" x14ac:dyDescent="0.35">
      <c r="A1732" s="104" t="s">
        <v>3509</v>
      </c>
      <c r="B1732" s="105" t="s">
        <v>0</v>
      </c>
      <c r="C1732" s="106">
        <v>6</v>
      </c>
      <c r="D1732" s="104" t="s">
        <v>123</v>
      </c>
      <c r="E1732" s="106"/>
      <c r="F1732" s="94"/>
      <c r="G1732" s="94"/>
      <c r="H1732" s="94"/>
      <c r="I1732" s="94"/>
      <c r="J1732" s="94"/>
      <c r="K1732" s="94"/>
      <c r="L1732" s="94"/>
      <c r="M1732" s="94"/>
      <c r="N1732" s="94"/>
      <c r="O1732" s="94"/>
      <c r="P1732" s="94"/>
      <c r="Q1732" s="94"/>
      <c r="R1732" s="94"/>
      <c r="S1732" s="94"/>
      <c r="T1732" s="94"/>
      <c r="U1732" s="94"/>
      <c r="V1732" s="94"/>
      <c r="W1732" s="94"/>
      <c r="X1732" s="94"/>
      <c r="Y1732" s="94"/>
      <c r="Z1732" s="94"/>
      <c r="AA1732" s="94"/>
      <c r="AB1732" s="94"/>
      <c r="AC1732" s="94"/>
      <c r="AD1732" s="94"/>
      <c r="AE1732" s="94"/>
      <c r="AF1732" s="94"/>
      <c r="AG1732" s="94"/>
      <c r="AH1732" s="94"/>
      <c r="AI1732" s="94"/>
      <c r="AJ1732" s="94"/>
      <c r="AK1732" s="94"/>
      <c r="AL1732" s="94"/>
      <c r="AM1732" s="94"/>
      <c r="AN1732" s="94"/>
      <c r="AO1732" s="94"/>
      <c r="AP1732" s="94"/>
      <c r="AQ1732" s="94"/>
      <c r="AR1732" s="94"/>
      <c r="AS1732" s="94"/>
      <c r="AT1732" s="94"/>
      <c r="AU1732" s="94"/>
      <c r="AV1732" s="94"/>
      <c r="AW1732" s="94"/>
      <c r="AX1732" s="94"/>
      <c r="AY1732" s="94"/>
      <c r="AZ1732" s="94"/>
      <c r="BA1732" s="94"/>
      <c r="BB1732" s="94"/>
      <c r="BC1732" s="94"/>
      <c r="BD1732" s="94"/>
      <c r="BE1732" s="94"/>
      <c r="BF1732" s="94"/>
    </row>
    <row r="1733" spans="1:58" x14ac:dyDescent="0.35">
      <c r="A1733" s="107" t="s">
        <v>3510</v>
      </c>
      <c r="B1733" s="108" t="s">
        <v>0</v>
      </c>
      <c r="C1733" s="109">
        <v>7</v>
      </c>
      <c r="D1733" s="107" t="s">
        <v>1284</v>
      </c>
      <c r="E1733" s="109" t="s">
        <v>397</v>
      </c>
      <c r="F1733" s="94"/>
      <c r="G1733" s="94"/>
      <c r="H1733" s="94"/>
      <c r="I1733" s="94"/>
      <c r="J1733" s="94"/>
      <c r="K1733" s="94"/>
      <c r="L1733" s="94"/>
      <c r="M1733" s="94"/>
      <c r="N1733" s="94"/>
      <c r="O1733" s="94"/>
      <c r="P1733" s="94"/>
      <c r="Q1733" s="94"/>
      <c r="R1733" s="94"/>
      <c r="S1733" s="94"/>
      <c r="T1733" s="94"/>
      <c r="U1733" s="94"/>
      <c r="V1733" s="94"/>
      <c r="W1733" s="94"/>
      <c r="X1733" s="94"/>
      <c r="Y1733" s="94"/>
      <c r="Z1733" s="94"/>
      <c r="AA1733" s="94"/>
      <c r="AB1733" s="94"/>
      <c r="AC1733" s="94"/>
      <c r="AD1733" s="94"/>
      <c r="AE1733" s="94"/>
      <c r="AF1733" s="94"/>
      <c r="AG1733" s="94"/>
      <c r="AH1733" s="94"/>
      <c r="AI1733" s="94"/>
      <c r="AJ1733" s="94"/>
      <c r="AK1733" s="94"/>
      <c r="AL1733" s="94"/>
      <c r="AM1733" s="94"/>
      <c r="AN1733" s="94"/>
      <c r="AO1733" s="94"/>
      <c r="AP1733" s="94"/>
      <c r="AQ1733" s="94"/>
      <c r="AR1733" s="94"/>
      <c r="AS1733" s="94"/>
      <c r="AT1733" s="94"/>
      <c r="AU1733" s="94"/>
      <c r="AV1733" s="94"/>
      <c r="AW1733" s="94"/>
      <c r="AX1733" s="94"/>
      <c r="AY1733" s="94"/>
      <c r="AZ1733" s="94"/>
      <c r="BA1733" s="94"/>
      <c r="BB1733" s="94"/>
      <c r="BC1733" s="94"/>
      <c r="BD1733" s="94"/>
      <c r="BE1733" s="94"/>
      <c r="BF1733" s="94"/>
    </row>
    <row r="1734" spans="1:58" x14ac:dyDescent="0.35">
      <c r="A1734" s="107" t="s">
        <v>3511</v>
      </c>
      <c r="B1734" s="108" t="s">
        <v>0</v>
      </c>
      <c r="C1734" s="109">
        <v>7</v>
      </c>
      <c r="D1734" s="107" t="s">
        <v>1286</v>
      </c>
      <c r="E1734" s="109" t="s">
        <v>398</v>
      </c>
      <c r="F1734" s="94"/>
      <c r="G1734" s="94"/>
      <c r="H1734" s="94"/>
      <c r="I1734" s="94"/>
      <c r="J1734" s="94"/>
      <c r="K1734" s="94"/>
      <c r="L1734" s="94"/>
      <c r="M1734" s="94"/>
      <c r="N1734" s="94"/>
      <c r="O1734" s="94"/>
      <c r="P1734" s="94"/>
      <c r="Q1734" s="94"/>
      <c r="R1734" s="94"/>
      <c r="S1734" s="94"/>
      <c r="T1734" s="94"/>
      <c r="U1734" s="94"/>
      <c r="V1734" s="94"/>
      <c r="W1734" s="94"/>
      <c r="X1734" s="94"/>
      <c r="Y1734" s="94"/>
      <c r="Z1734" s="94"/>
      <c r="AA1734" s="94"/>
      <c r="AB1734" s="94"/>
      <c r="AC1734" s="94"/>
      <c r="AD1734" s="94"/>
      <c r="AE1734" s="94"/>
      <c r="AF1734" s="94"/>
      <c r="AG1734" s="94"/>
      <c r="AH1734" s="94"/>
      <c r="AI1734" s="94"/>
      <c r="AJ1734" s="94"/>
      <c r="AK1734" s="94"/>
      <c r="AL1734" s="94"/>
      <c r="AM1734" s="94"/>
      <c r="AN1734" s="94"/>
      <c r="AO1734" s="94"/>
      <c r="AP1734" s="94"/>
      <c r="AQ1734" s="94"/>
      <c r="AR1734" s="94"/>
      <c r="AS1734" s="94"/>
      <c r="AT1734" s="94"/>
      <c r="AU1734" s="94"/>
      <c r="AV1734" s="94"/>
      <c r="AW1734" s="94"/>
      <c r="AX1734" s="94"/>
      <c r="AY1734" s="94"/>
      <c r="AZ1734" s="94"/>
      <c r="BA1734" s="94"/>
      <c r="BB1734" s="94"/>
      <c r="BC1734" s="94"/>
      <c r="BD1734" s="94"/>
      <c r="BE1734" s="94"/>
      <c r="BF1734" s="94"/>
    </row>
    <row r="1735" spans="1:58" x14ac:dyDescent="0.35">
      <c r="A1735" s="107" t="s">
        <v>3512</v>
      </c>
      <c r="B1735" s="108" t="s">
        <v>0</v>
      </c>
      <c r="C1735" s="109">
        <v>7</v>
      </c>
      <c r="D1735" s="107" t="s">
        <v>1287</v>
      </c>
      <c r="E1735" s="109" t="s">
        <v>399</v>
      </c>
      <c r="F1735" s="94"/>
      <c r="G1735" s="94"/>
      <c r="H1735" s="94"/>
      <c r="I1735" s="94"/>
      <c r="J1735" s="94"/>
      <c r="K1735" s="94"/>
      <c r="L1735" s="94"/>
      <c r="M1735" s="94"/>
      <c r="N1735" s="94"/>
      <c r="O1735" s="94"/>
      <c r="P1735" s="94"/>
      <c r="Q1735" s="94"/>
      <c r="R1735" s="94"/>
      <c r="S1735" s="94"/>
      <c r="T1735" s="94"/>
      <c r="U1735" s="94"/>
      <c r="V1735" s="94"/>
      <c r="W1735" s="94"/>
      <c r="X1735" s="94"/>
      <c r="Y1735" s="94"/>
      <c r="Z1735" s="94"/>
      <c r="AA1735" s="94"/>
      <c r="AB1735" s="94"/>
      <c r="AC1735" s="94"/>
      <c r="AD1735" s="94"/>
      <c r="AE1735" s="94"/>
      <c r="AF1735" s="94"/>
      <c r="AG1735" s="94"/>
      <c r="AH1735" s="94"/>
      <c r="AI1735" s="94"/>
      <c r="AJ1735" s="94"/>
      <c r="AK1735" s="94"/>
      <c r="AL1735" s="94"/>
      <c r="AM1735" s="94"/>
      <c r="AN1735" s="94"/>
      <c r="AO1735" s="94"/>
      <c r="AP1735" s="94"/>
      <c r="AQ1735" s="94"/>
      <c r="AR1735" s="94"/>
      <c r="AS1735" s="94"/>
      <c r="AT1735" s="94"/>
      <c r="AU1735" s="94"/>
      <c r="AV1735" s="94"/>
      <c r="AW1735" s="94"/>
      <c r="AX1735" s="94"/>
      <c r="AY1735" s="94"/>
      <c r="AZ1735" s="94"/>
      <c r="BA1735" s="94"/>
      <c r="BB1735" s="94"/>
      <c r="BC1735" s="94"/>
      <c r="BD1735" s="94"/>
      <c r="BE1735" s="94"/>
      <c r="BF1735" s="94"/>
    </row>
    <row r="1736" spans="1:58" x14ac:dyDescent="0.35">
      <c r="A1736" s="107" t="s">
        <v>3513</v>
      </c>
      <c r="B1736" s="108" t="s">
        <v>0</v>
      </c>
      <c r="C1736" s="109">
        <v>7</v>
      </c>
      <c r="D1736" s="107" t="s">
        <v>1288</v>
      </c>
      <c r="E1736" s="109" t="s">
        <v>400</v>
      </c>
      <c r="F1736" s="94"/>
      <c r="G1736" s="94"/>
      <c r="H1736" s="94"/>
      <c r="I1736" s="94"/>
      <c r="J1736" s="94"/>
      <c r="K1736" s="94"/>
      <c r="L1736" s="94"/>
      <c r="M1736" s="94"/>
      <c r="N1736" s="94"/>
      <c r="O1736" s="94"/>
      <c r="P1736" s="94"/>
      <c r="Q1736" s="94"/>
      <c r="R1736" s="94"/>
      <c r="S1736" s="94"/>
      <c r="T1736" s="94"/>
      <c r="U1736" s="94"/>
      <c r="V1736" s="94"/>
      <c r="W1736" s="94"/>
      <c r="X1736" s="94"/>
      <c r="Y1736" s="94"/>
      <c r="Z1736" s="94"/>
      <c r="AA1736" s="94"/>
      <c r="AB1736" s="94"/>
      <c r="AC1736" s="94"/>
      <c r="AD1736" s="94"/>
      <c r="AE1736" s="94"/>
      <c r="AF1736" s="94"/>
      <c r="AG1736" s="94"/>
      <c r="AH1736" s="94"/>
      <c r="AI1736" s="94"/>
      <c r="AJ1736" s="94"/>
      <c r="AK1736" s="94"/>
      <c r="AL1736" s="94"/>
      <c r="AM1736" s="94"/>
      <c r="AN1736" s="94"/>
      <c r="AO1736" s="94"/>
      <c r="AP1736" s="94"/>
      <c r="AQ1736" s="94"/>
      <c r="AR1736" s="94"/>
      <c r="AS1736" s="94"/>
      <c r="AT1736" s="94"/>
      <c r="AU1736" s="94"/>
      <c r="AV1736" s="94"/>
      <c r="AW1736" s="94"/>
      <c r="AX1736" s="94"/>
      <c r="AY1736" s="94"/>
      <c r="AZ1736" s="94"/>
      <c r="BA1736" s="94"/>
      <c r="BB1736" s="94"/>
      <c r="BC1736" s="94"/>
      <c r="BD1736" s="94"/>
      <c r="BE1736" s="94"/>
      <c r="BF1736" s="94"/>
    </row>
    <row r="1737" spans="1:58" x14ac:dyDescent="0.35">
      <c r="A1737" s="107" t="s">
        <v>3514</v>
      </c>
      <c r="B1737" s="108" t="s">
        <v>0</v>
      </c>
      <c r="C1737" s="109">
        <v>7</v>
      </c>
      <c r="D1737" s="107" t="s">
        <v>1285</v>
      </c>
      <c r="E1737" s="109" t="s">
        <v>401</v>
      </c>
      <c r="F1737" s="94"/>
      <c r="G1737" s="94"/>
      <c r="H1737" s="94"/>
      <c r="I1737" s="94"/>
      <c r="J1737" s="94"/>
      <c r="K1737" s="94"/>
      <c r="L1737" s="94"/>
      <c r="M1737" s="94"/>
      <c r="N1737" s="94"/>
      <c r="O1737" s="94"/>
      <c r="P1737" s="94"/>
      <c r="Q1737" s="94"/>
      <c r="R1737" s="94"/>
      <c r="S1737" s="94"/>
      <c r="T1737" s="94"/>
      <c r="U1737" s="94"/>
      <c r="V1737" s="94"/>
      <c r="W1737" s="94"/>
      <c r="X1737" s="94"/>
      <c r="Y1737" s="94"/>
      <c r="Z1737" s="94"/>
      <c r="AA1737" s="94"/>
      <c r="AB1737" s="94"/>
      <c r="AC1737" s="94"/>
      <c r="AD1737" s="94"/>
      <c r="AE1737" s="94"/>
      <c r="AF1737" s="94"/>
      <c r="AG1737" s="94"/>
      <c r="AH1737" s="94"/>
      <c r="AI1737" s="94"/>
      <c r="AJ1737" s="94"/>
      <c r="AK1737" s="94"/>
      <c r="AL1737" s="94"/>
      <c r="AM1737" s="94"/>
      <c r="AN1737" s="94"/>
      <c r="AO1737" s="94"/>
      <c r="AP1737" s="94"/>
      <c r="AQ1737" s="94"/>
      <c r="AR1737" s="94"/>
      <c r="AS1737" s="94"/>
      <c r="AT1737" s="94"/>
      <c r="AU1737" s="94"/>
      <c r="AV1737" s="94"/>
      <c r="AW1737" s="94"/>
      <c r="AX1737" s="94"/>
      <c r="AY1737" s="94"/>
      <c r="AZ1737" s="94"/>
      <c r="BA1737" s="94"/>
      <c r="BB1737" s="94"/>
      <c r="BC1737" s="94"/>
      <c r="BD1737" s="94"/>
      <c r="BE1737" s="94"/>
      <c r="BF1737" s="94"/>
    </row>
    <row r="1738" spans="1:58" x14ac:dyDescent="0.35">
      <c r="A1738" s="107" t="s">
        <v>3515</v>
      </c>
      <c r="B1738" s="108" t="s">
        <v>0</v>
      </c>
      <c r="C1738" s="109">
        <v>7</v>
      </c>
      <c r="D1738" s="107" t="s">
        <v>1274</v>
      </c>
      <c r="E1738" s="109" t="s">
        <v>402</v>
      </c>
      <c r="F1738" s="94"/>
      <c r="G1738" s="94"/>
      <c r="H1738" s="94"/>
      <c r="I1738" s="94"/>
      <c r="J1738" s="94"/>
      <c r="K1738" s="94"/>
      <c r="L1738" s="94"/>
      <c r="M1738" s="94"/>
      <c r="N1738" s="94"/>
      <c r="O1738" s="94"/>
      <c r="P1738" s="94"/>
      <c r="Q1738" s="94"/>
      <c r="R1738" s="94"/>
      <c r="S1738" s="94"/>
      <c r="T1738" s="94"/>
      <c r="U1738" s="94"/>
      <c r="V1738" s="94"/>
      <c r="W1738" s="94"/>
      <c r="X1738" s="94"/>
      <c r="Y1738" s="94"/>
      <c r="Z1738" s="94"/>
      <c r="AA1738" s="94"/>
      <c r="AB1738" s="94"/>
      <c r="AC1738" s="94"/>
      <c r="AD1738" s="94"/>
      <c r="AE1738" s="94"/>
      <c r="AF1738" s="94"/>
      <c r="AG1738" s="94"/>
      <c r="AH1738" s="94"/>
      <c r="AI1738" s="94"/>
      <c r="AJ1738" s="94"/>
      <c r="AK1738" s="94"/>
      <c r="AL1738" s="94"/>
      <c r="AM1738" s="94"/>
      <c r="AN1738" s="94"/>
      <c r="AO1738" s="94"/>
      <c r="AP1738" s="94"/>
      <c r="AQ1738" s="94"/>
      <c r="AR1738" s="94"/>
      <c r="AS1738" s="94"/>
      <c r="AT1738" s="94"/>
      <c r="AU1738" s="94"/>
      <c r="AV1738" s="94"/>
      <c r="AW1738" s="94"/>
      <c r="AX1738" s="94"/>
      <c r="AY1738" s="94"/>
      <c r="AZ1738" s="94"/>
      <c r="BA1738" s="94"/>
      <c r="BB1738" s="94"/>
      <c r="BC1738" s="94"/>
      <c r="BD1738" s="94"/>
      <c r="BE1738" s="94"/>
      <c r="BF1738" s="94"/>
    </row>
    <row r="1739" spans="1:58" x14ac:dyDescent="0.35">
      <c r="A1739" s="107" t="s">
        <v>3516</v>
      </c>
      <c r="B1739" s="108" t="s">
        <v>0</v>
      </c>
      <c r="C1739" s="109">
        <v>7</v>
      </c>
      <c r="D1739" s="107" t="s">
        <v>1275</v>
      </c>
      <c r="E1739" s="109" t="s">
        <v>403</v>
      </c>
      <c r="F1739" s="94"/>
      <c r="G1739" s="94"/>
      <c r="H1739" s="94"/>
      <c r="I1739" s="94"/>
      <c r="J1739" s="94"/>
      <c r="K1739" s="94"/>
      <c r="L1739" s="94"/>
      <c r="M1739" s="94"/>
      <c r="N1739" s="94"/>
      <c r="O1739" s="94"/>
      <c r="P1739" s="94"/>
      <c r="Q1739" s="94"/>
      <c r="R1739" s="94"/>
      <c r="S1739" s="94"/>
      <c r="T1739" s="94"/>
      <c r="U1739" s="94"/>
      <c r="V1739" s="94"/>
      <c r="W1739" s="94"/>
      <c r="X1739" s="94"/>
      <c r="Y1739" s="94"/>
      <c r="Z1739" s="94"/>
      <c r="AA1739" s="94"/>
      <c r="AB1739" s="94"/>
      <c r="AC1739" s="94"/>
      <c r="AD1739" s="94"/>
      <c r="AE1739" s="94"/>
      <c r="AF1739" s="94"/>
      <c r="AG1739" s="94"/>
      <c r="AH1739" s="94"/>
      <c r="AI1739" s="94"/>
      <c r="AJ1739" s="94"/>
      <c r="AK1739" s="94"/>
      <c r="AL1739" s="94"/>
      <c r="AM1739" s="94"/>
      <c r="AN1739" s="94"/>
      <c r="AO1739" s="94"/>
      <c r="AP1739" s="94"/>
      <c r="AQ1739" s="94"/>
      <c r="AR1739" s="94"/>
      <c r="AS1739" s="94"/>
      <c r="AT1739" s="94"/>
      <c r="AU1739" s="94"/>
      <c r="AV1739" s="94"/>
      <c r="AW1739" s="94"/>
      <c r="AX1739" s="94"/>
      <c r="AY1739" s="94"/>
      <c r="AZ1739" s="94"/>
      <c r="BA1739" s="94"/>
      <c r="BB1739" s="94"/>
      <c r="BC1739" s="94"/>
      <c r="BD1739" s="94"/>
      <c r="BE1739" s="94"/>
      <c r="BF1739" s="94"/>
    </row>
    <row r="1740" spans="1:58" x14ac:dyDescent="0.35">
      <c r="A1740" s="107" t="s">
        <v>3517</v>
      </c>
      <c r="B1740" s="108" t="s">
        <v>0</v>
      </c>
      <c r="C1740" s="109">
        <v>7</v>
      </c>
      <c r="D1740" s="107" t="s">
        <v>622</v>
      </c>
      <c r="E1740" s="109" t="s">
        <v>404</v>
      </c>
      <c r="F1740" s="94"/>
      <c r="G1740" s="94"/>
      <c r="H1740" s="94"/>
      <c r="I1740" s="94"/>
      <c r="J1740" s="94"/>
      <c r="K1740" s="94"/>
      <c r="L1740" s="94"/>
      <c r="M1740" s="94"/>
      <c r="N1740" s="94"/>
      <c r="O1740" s="94"/>
      <c r="P1740" s="94"/>
      <c r="Q1740" s="94"/>
      <c r="R1740" s="94"/>
      <c r="S1740" s="94"/>
      <c r="T1740" s="94"/>
      <c r="U1740" s="94"/>
      <c r="V1740" s="94"/>
      <c r="W1740" s="94"/>
      <c r="X1740" s="94"/>
      <c r="Y1740" s="94"/>
      <c r="Z1740" s="94"/>
      <c r="AA1740" s="94"/>
      <c r="AB1740" s="94"/>
      <c r="AC1740" s="94"/>
      <c r="AD1740" s="94"/>
      <c r="AE1740" s="94"/>
      <c r="AF1740" s="94"/>
      <c r="AG1740" s="94"/>
      <c r="AH1740" s="94"/>
      <c r="AI1740" s="94"/>
      <c r="AJ1740" s="94"/>
      <c r="AK1740" s="94"/>
      <c r="AL1740" s="94"/>
      <c r="AM1740" s="94"/>
      <c r="AN1740" s="94"/>
      <c r="AO1740" s="94"/>
      <c r="AP1740" s="94"/>
      <c r="AQ1740" s="94"/>
      <c r="AR1740" s="94"/>
      <c r="AS1740" s="94"/>
      <c r="AT1740" s="94"/>
      <c r="AU1740" s="94"/>
      <c r="AV1740" s="94"/>
      <c r="AW1740" s="94"/>
      <c r="AX1740" s="94"/>
      <c r="AY1740" s="94"/>
      <c r="AZ1740" s="94"/>
      <c r="BA1740" s="94"/>
      <c r="BB1740" s="94"/>
      <c r="BC1740" s="94"/>
      <c r="BD1740" s="94"/>
      <c r="BE1740" s="94"/>
      <c r="BF1740" s="94"/>
    </row>
    <row r="1741" spans="1:58" x14ac:dyDescent="0.35">
      <c r="A1741" s="107" t="s">
        <v>3518</v>
      </c>
      <c r="B1741" s="108" t="s">
        <v>0</v>
      </c>
      <c r="C1741" s="109">
        <v>7</v>
      </c>
      <c r="D1741" s="107" t="s">
        <v>1276</v>
      </c>
      <c r="E1741" s="109" t="s">
        <v>405</v>
      </c>
      <c r="F1741" s="94"/>
      <c r="G1741" s="94"/>
      <c r="H1741" s="94"/>
      <c r="I1741" s="94"/>
      <c r="J1741" s="94"/>
      <c r="K1741" s="94"/>
      <c r="L1741" s="94"/>
      <c r="M1741" s="94"/>
      <c r="N1741" s="94"/>
      <c r="O1741" s="94"/>
      <c r="P1741" s="94"/>
      <c r="Q1741" s="94"/>
      <c r="R1741" s="94"/>
      <c r="S1741" s="94"/>
      <c r="T1741" s="94"/>
      <c r="U1741" s="94"/>
      <c r="V1741" s="94"/>
      <c r="W1741" s="94"/>
      <c r="X1741" s="94"/>
      <c r="Y1741" s="94"/>
      <c r="Z1741" s="94"/>
      <c r="AA1741" s="94"/>
      <c r="AB1741" s="94"/>
      <c r="AC1741" s="94"/>
      <c r="AD1741" s="94"/>
      <c r="AE1741" s="94"/>
      <c r="AF1741" s="94"/>
      <c r="AG1741" s="94"/>
      <c r="AH1741" s="94"/>
      <c r="AI1741" s="94"/>
      <c r="AJ1741" s="94"/>
      <c r="AK1741" s="94"/>
      <c r="AL1741" s="94"/>
      <c r="AM1741" s="94"/>
      <c r="AN1741" s="94"/>
      <c r="AO1741" s="94"/>
      <c r="AP1741" s="94"/>
      <c r="AQ1741" s="94"/>
      <c r="AR1741" s="94"/>
      <c r="AS1741" s="94"/>
      <c r="AT1741" s="94"/>
      <c r="AU1741" s="94"/>
      <c r="AV1741" s="94"/>
      <c r="AW1741" s="94"/>
      <c r="AX1741" s="94"/>
      <c r="AY1741" s="94"/>
      <c r="AZ1741" s="94"/>
      <c r="BA1741" s="94"/>
      <c r="BB1741" s="94"/>
      <c r="BC1741" s="94"/>
      <c r="BD1741" s="94"/>
      <c r="BE1741" s="94"/>
      <c r="BF1741" s="94"/>
    </row>
    <row r="1742" spans="1:58" x14ac:dyDescent="0.35">
      <c r="A1742" s="107" t="s">
        <v>3519</v>
      </c>
      <c r="B1742" s="108" t="s">
        <v>0</v>
      </c>
      <c r="C1742" s="109">
        <v>7</v>
      </c>
      <c r="D1742" s="107" t="s">
        <v>1277</v>
      </c>
      <c r="E1742" s="109" t="s">
        <v>406</v>
      </c>
      <c r="F1742" s="94"/>
      <c r="G1742" s="94"/>
      <c r="H1742" s="94"/>
      <c r="I1742" s="94"/>
      <c r="J1742" s="94"/>
      <c r="K1742" s="94"/>
      <c r="L1742" s="94"/>
      <c r="M1742" s="94"/>
      <c r="N1742" s="94"/>
      <c r="O1742" s="94"/>
      <c r="P1742" s="94"/>
      <c r="Q1742" s="94"/>
      <c r="R1742" s="94"/>
      <c r="S1742" s="94"/>
      <c r="T1742" s="94"/>
      <c r="U1742" s="94"/>
      <c r="V1742" s="94"/>
      <c r="W1742" s="94"/>
      <c r="X1742" s="94"/>
      <c r="Y1742" s="94"/>
      <c r="Z1742" s="94"/>
      <c r="AA1742" s="94"/>
      <c r="AB1742" s="94"/>
      <c r="AC1742" s="94"/>
      <c r="AD1742" s="94"/>
      <c r="AE1742" s="94"/>
      <c r="AF1742" s="94"/>
      <c r="AG1742" s="94"/>
      <c r="AH1742" s="94"/>
      <c r="AI1742" s="94"/>
      <c r="AJ1742" s="94"/>
      <c r="AK1742" s="94"/>
      <c r="AL1742" s="94"/>
      <c r="AM1742" s="94"/>
      <c r="AN1742" s="94"/>
      <c r="AO1742" s="94"/>
      <c r="AP1742" s="94"/>
      <c r="AQ1742" s="94"/>
      <c r="AR1742" s="94"/>
      <c r="AS1742" s="94"/>
      <c r="AT1742" s="94"/>
      <c r="AU1742" s="94"/>
      <c r="AV1742" s="94"/>
      <c r="AW1742" s="94"/>
      <c r="AX1742" s="94"/>
      <c r="AY1742" s="94"/>
      <c r="AZ1742" s="94"/>
      <c r="BA1742" s="94"/>
      <c r="BB1742" s="94"/>
      <c r="BC1742" s="94"/>
      <c r="BD1742" s="94"/>
      <c r="BE1742" s="94"/>
      <c r="BF1742" s="94"/>
    </row>
    <row r="1743" spans="1:58" x14ac:dyDescent="0.35">
      <c r="A1743" s="107" t="s">
        <v>3520</v>
      </c>
      <c r="B1743" s="108" t="s">
        <v>0</v>
      </c>
      <c r="C1743" s="109">
        <v>7</v>
      </c>
      <c r="D1743" s="107" t="s">
        <v>1278</v>
      </c>
      <c r="E1743" s="109" t="s">
        <v>407</v>
      </c>
      <c r="F1743" s="94"/>
      <c r="G1743" s="94"/>
      <c r="H1743" s="94"/>
      <c r="I1743" s="94"/>
      <c r="J1743" s="94"/>
      <c r="K1743" s="94"/>
      <c r="L1743" s="94"/>
      <c r="M1743" s="94"/>
      <c r="N1743" s="94"/>
      <c r="O1743" s="94"/>
      <c r="P1743" s="94"/>
      <c r="Q1743" s="94"/>
      <c r="R1743" s="94"/>
      <c r="S1743" s="94"/>
      <c r="T1743" s="94"/>
      <c r="U1743" s="94"/>
      <c r="V1743" s="94"/>
      <c r="W1743" s="94"/>
      <c r="X1743" s="94"/>
      <c r="Y1743" s="94"/>
      <c r="Z1743" s="94"/>
      <c r="AA1743" s="94"/>
      <c r="AB1743" s="94"/>
      <c r="AC1743" s="94"/>
      <c r="AD1743" s="94"/>
      <c r="AE1743" s="94"/>
      <c r="AF1743" s="94"/>
      <c r="AG1743" s="94"/>
      <c r="AH1743" s="94"/>
      <c r="AI1743" s="94"/>
      <c r="AJ1743" s="94"/>
      <c r="AK1743" s="94"/>
      <c r="AL1743" s="94"/>
      <c r="AM1743" s="94"/>
      <c r="AN1743" s="94"/>
      <c r="AO1743" s="94"/>
      <c r="AP1743" s="94"/>
      <c r="AQ1743" s="94"/>
      <c r="AR1743" s="94"/>
      <c r="AS1743" s="94"/>
      <c r="AT1743" s="94"/>
      <c r="AU1743" s="94"/>
      <c r="AV1743" s="94"/>
      <c r="AW1743" s="94"/>
      <c r="AX1743" s="94"/>
      <c r="AY1743" s="94"/>
      <c r="AZ1743" s="94"/>
      <c r="BA1743" s="94"/>
      <c r="BB1743" s="94"/>
      <c r="BC1743" s="94"/>
      <c r="BD1743" s="94"/>
      <c r="BE1743" s="94"/>
      <c r="BF1743" s="94"/>
    </row>
    <row r="1744" spans="1:58" x14ac:dyDescent="0.35">
      <c r="A1744" s="107" t="s">
        <v>3521</v>
      </c>
      <c r="B1744" s="108" t="s">
        <v>0</v>
      </c>
      <c r="C1744" s="109">
        <v>7</v>
      </c>
      <c r="D1744" s="107" t="s">
        <v>1279</v>
      </c>
      <c r="E1744" s="109" t="s">
        <v>408</v>
      </c>
      <c r="F1744" s="94"/>
      <c r="G1744" s="94"/>
      <c r="H1744" s="94"/>
      <c r="I1744" s="94"/>
      <c r="J1744" s="94"/>
      <c r="K1744" s="94"/>
      <c r="L1744" s="94"/>
      <c r="M1744" s="94"/>
      <c r="N1744" s="94"/>
      <c r="O1744" s="94"/>
      <c r="P1744" s="94"/>
      <c r="Q1744" s="94"/>
      <c r="R1744" s="94"/>
      <c r="S1744" s="94"/>
      <c r="T1744" s="94"/>
      <c r="U1744" s="94"/>
      <c r="V1744" s="94"/>
      <c r="W1744" s="94"/>
      <c r="X1744" s="94"/>
      <c r="Y1744" s="94"/>
      <c r="Z1744" s="94"/>
      <c r="AA1744" s="94"/>
      <c r="AB1744" s="94"/>
      <c r="AC1744" s="94"/>
      <c r="AD1744" s="94"/>
      <c r="AE1744" s="94"/>
      <c r="AF1744" s="94"/>
      <c r="AG1744" s="94"/>
      <c r="AH1744" s="94"/>
      <c r="AI1744" s="94"/>
      <c r="AJ1744" s="94"/>
      <c r="AK1744" s="94"/>
      <c r="AL1744" s="94"/>
      <c r="AM1744" s="94"/>
      <c r="AN1744" s="94"/>
      <c r="AO1744" s="94"/>
      <c r="AP1744" s="94"/>
      <c r="AQ1744" s="94"/>
      <c r="AR1744" s="94"/>
      <c r="AS1744" s="94"/>
      <c r="AT1744" s="94"/>
      <c r="AU1744" s="94"/>
      <c r="AV1744" s="94"/>
      <c r="AW1744" s="94"/>
      <c r="AX1744" s="94"/>
      <c r="AY1744" s="94"/>
      <c r="AZ1744" s="94"/>
      <c r="BA1744" s="94"/>
      <c r="BB1744" s="94"/>
      <c r="BC1744" s="94"/>
      <c r="BD1744" s="94"/>
      <c r="BE1744" s="94"/>
      <c r="BF1744" s="94"/>
    </row>
    <row r="1745" spans="1:58" x14ac:dyDescent="0.35">
      <c r="A1745" s="107" t="s">
        <v>3522</v>
      </c>
      <c r="B1745" s="108" t="s">
        <v>0</v>
      </c>
      <c r="C1745" s="109">
        <v>7</v>
      </c>
      <c r="D1745" s="107" t="s">
        <v>1280</v>
      </c>
      <c r="E1745" s="109" t="s">
        <v>409</v>
      </c>
      <c r="F1745" s="94"/>
      <c r="G1745" s="94"/>
      <c r="H1745" s="94"/>
      <c r="I1745" s="94"/>
      <c r="J1745" s="94"/>
      <c r="K1745" s="94"/>
      <c r="L1745" s="94"/>
      <c r="M1745" s="94"/>
      <c r="N1745" s="94"/>
      <c r="O1745" s="94"/>
      <c r="P1745" s="94"/>
      <c r="Q1745" s="94"/>
      <c r="R1745" s="94"/>
      <c r="S1745" s="94"/>
      <c r="T1745" s="94"/>
      <c r="U1745" s="94"/>
      <c r="V1745" s="94"/>
      <c r="W1745" s="94"/>
      <c r="X1745" s="94"/>
      <c r="Y1745" s="94"/>
      <c r="Z1745" s="94"/>
      <c r="AA1745" s="94"/>
      <c r="AB1745" s="94"/>
      <c r="AC1745" s="94"/>
      <c r="AD1745" s="94"/>
      <c r="AE1745" s="94"/>
      <c r="AF1745" s="94"/>
      <c r="AG1745" s="94"/>
      <c r="AH1745" s="94"/>
      <c r="AI1745" s="94"/>
      <c r="AJ1745" s="94"/>
      <c r="AK1745" s="94"/>
      <c r="AL1745" s="94"/>
      <c r="AM1745" s="94"/>
      <c r="AN1745" s="94"/>
      <c r="AO1745" s="94"/>
      <c r="AP1745" s="94"/>
      <c r="AQ1745" s="94"/>
      <c r="AR1745" s="94"/>
      <c r="AS1745" s="94"/>
      <c r="AT1745" s="94"/>
      <c r="AU1745" s="94"/>
      <c r="AV1745" s="94"/>
      <c r="AW1745" s="94"/>
      <c r="AX1745" s="94"/>
      <c r="AY1745" s="94"/>
      <c r="AZ1745" s="94"/>
      <c r="BA1745" s="94"/>
      <c r="BB1745" s="94"/>
      <c r="BC1745" s="94"/>
      <c r="BD1745" s="94"/>
      <c r="BE1745" s="94"/>
      <c r="BF1745" s="94"/>
    </row>
    <row r="1746" spans="1:58" x14ac:dyDescent="0.35">
      <c r="A1746" s="107" t="s">
        <v>3523</v>
      </c>
      <c r="B1746" s="108" t="s">
        <v>0</v>
      </c>
      <c r="C1746" s="109">
        <v>7</v>
      </c>
      <c r="D1746" s="107" t="s">
        <v>1281</v>
      </c>
      <c r="E1746" s="109" t="s">
        <v>410</v>
      </c>
      <c r="F1746" s="94"/>
      <c r="G1746" s="94"/>
      <c r="H1746" s="94"/>
      <c r="I1746" s="94"/>
      <c r="J1746" s="94"/>
      <c r="K1746" s="94"/>
      <c r="L1746" s="94"/>
      <c r="M1746" s="94"/>
      <c r="N1746" s="94"/>
      <c r="O1746" s="94"/>
      <c r="P1746" s="94"/>
      <c r="Q1746" s="94"/>
      <c r="R1746" s="94"/>
      <c r="S1746" s="94"/>
      <c r="T1746" s="94"/>
      <c r="U1746" s="94"/>
      <c r="V1746" s="94"/>
      <c r="W1746" s="94"/>
      <c r="X1746" s="94"/>
      <c r="Y1746" s="94"/>
      <c r="Z1746" s="94"/>
      <c r="AA1746" s="94"/>
      <c r="AB1746" s="94"/>
      <c r="AC1746" s="94"/>
      <c r="AD1746" s="94"/>
      <c r="AE1746" s="94"/>
      <c r="AF1746" s="94"/>
      <c r="AG1746" s="94"/>
      <c r="AH1746" s="94"/>
      <c r="AI1746" s="94"/>
      <c r="AJ1746" s="94"/>
      <c r="AK1746" s="94"/>
      <c r="AL1746" s="94"/>
      <c r="AM1746" s="94"/>
      <c r="AN1746" s="94"/>
      <c r="AO1746" s="94"/>
      <c r="AP1746" s="94"/>
      <c r="AQ1746" s="94"/>
      <c r="AR1746" s="94"/>
      <c r="AS1746" s="94"/>
      <c r="AT1746" s="94"/>
      <c r="AU1746" s="94"/>
      <c r="AV1746" s="94"/>
      <c r="AW1746" s="94"/>
      <c r="AX1746" s="94"/>
      <c r="AY1746" s="94"/>
      <c r="AZ1746" s="94"/>
      <c r="BA1746" s="94"/>
      <c r="BB1746" s="94"/>
      <c r="BC1746" s="94"/>
      <c r="BD1746" s="94"/>
      <c r="BE1746" s="94"/>
      <c r="BF1746" s="94"/>
    </row>
    <row r="1747" spans="1:58" x14ac:dyDescent="0.35">
      <c r="A1747" s="107" t="s">
        <v>3524</v>
      </c>
      <c r="B1747" s="108" t="s">
        <v>0</v>
      </c>
      <c r="C1747" s="109">
        <v>7</v>
      </c>
      <c r="D1747" s="107" t="s">
        <v>1282</v>
      </c>
      <c r="E1747" s="109" t="s">
        <v>411</v>
      </c>
      <c r="F1747" s="94"/>
      <c r="G1747" s="94"/>
      <c r="H1747" s="94"/>
      <c r="I1747" s="94"/>
      <c r="J1747" s="94"/>
      <c r="K1747" s="94"/>
      <c r="L1747" s="94"/>
      <c r="M1747" s="94"/>
      <c r="N1747" s="94"/>
      <c r="O1747" s="94"/>
      <c r="P1747" s="94"/>
      <c r="Q1747" s="94"/>
      <c r="R1747" s="94"/>
      <c r="S1747" s="94"/>
      <c r="T1747" s="94"/>
      <c r="U1747" s="94"/>
      <c r="V1747" s="94"/>
      <c r="W1747" s="94"/>
      <c r="X1747" s="94"/>
      <c r="Y1747" s="94"/>
      <c r="Z1747" s="94"/>
      <c r="AA1747" s="94"/>
      <c r="AB1747" s="94"/>
      <c r="AC1747" s="94"/>
      <c r="AD1747" s="94"/>
      <c r="AE1747" s="94"/>
      <c r="AF1747" s="94"/>
      <c r="AG1747" s="94"/>
      <c r="AH1747" s="94"/>
      <c r="AI1747" s="94"/>
      <c r="AJ1747" s="94"/>
      <c r="AK1747" s="94"/>
      <c r="AL1747" s="94"/>
      <c r="AM1747" s="94"/>
      <c r="AN1747" s="94"/>
      <c r="AO1747" s="94"/>
      <c r="AP1747" s="94"/>
      <c r="AQ1747" s="94"/>
      <c r="AR1747" s="94"/>
      <c r="AS1747" s="94"/>
      <c r="AT1747" s="94"/>
      <c r="AU1747" s="94"/>
      <c r="AV1747" s="94"/>
      <c r="AW1747" s="94"/>
      <c r="AX1747" s="94"/>
      <c r="AY1747" s="94"/>
      <c r="AZ1747" s="94"/>
      <c r="BA1747" s="94"/>
      <c r="BB1747" s="94"/>
      <c r="BC1747" s="94"/>
      <c r="BD1747" s="94"/>
      <c r="BE1747" s="94"/>
      <c r="BF1747" s="94"/>
    </row>
    <row r="1748" spans="1:58" x14ac:dyDescent="0.35">
      <c r="A1748" s="107" t="s">
        <v>3525</v>
      </c>
      <c r="B1748" s="108" t="s">
        <v>0</v>
      </c>
      <c r="C1748" s="109">
        <v>7</v>
      </c>
      <c r="D1748" s="107" t="s">
        <v>1283</v>
      </c>
      <c r="E1748" s="109" t="s">
        <v>412</v>
      </c>
      <c r="F1748" s="94"/>
      <c r="G1748" s="94"/>
      <c r="H1748" s="94"/>
      <c r="I1748" s="94"/>
      <c r="J1748" s="94"/>
      <c r="K1748" s="94"/>
      <c r="L1748" s="94"/>
      <c r="M1748" s="94"/>
      <c r="N1748" s="94"/>
      <c r="O1748" s="94"/>
      <c r="P1748" s="94"/>
      <c r="Q1748" s="94"/>
      <c r="R1748" s="94"/>
      <c r="S1748" s="94"/>
      <c r="T1748" s="94"/>
      <c r="U1748" s="94"/>
      <c r="V1748" s="94"/>
      <c r="W1748" s="94"/>
      <c r="X1748" s="94"/>
      <c r="Y1748" s="94"/>
      <c r="Z1748" s="94"/>
      <c r="AA1748" s="94"/>
      <c r="AB1748" s="94"/>
      <c r="AC1748" s="94"/>
      <c r="AD1748" s="94"/>
      <c r="AE1748" s="94"/>
      <c r="AF1748" s="94"/>
      <c r="AG1748" s="94"/>
      <c r="AH1748" s="94"/>
      <c r="AI1748" s="94"/>
      <c r="AJ1748" s="94"/>
      <c r="AK1748" s="94"/>
      <c r="AL1748" s="94"/>
      <c r="AM1748" s="94"/>
      <c r="AN1748" s="94"/>
      <c r="AO1748" s="94"/>
      <c r="AP1748" s="94"/>
      <c r="AQ1748" s="94"/>
      <c r="AR1748" s="94"/>
      <c r="AS1748" s="94"/>
      <c r="AT1748" s="94"/>
      <c r="AU1748" s="94"/>
      <c r="AV1748" s="94"/>
      <c r="AW1748" s="94"/>
      <c r="AX1748" s="94"/>
      <c r="AY1748" s="94"/>
      <c r="AZ1748" s="94"/>
      <c r="BA1748" s="94"/>
      <c r="BB1748" s="94"/>
      <c r="BC1748" s="94"/>
      <c r="BD1748" s="94"/>
      <c r="BE1748" s="94"/>
      <c r="BF1748" s="94"/>
    </row>
    <row r="1749" spans="1:58" x14ac:dyDescent="0.35">
      <c r="A1749" s="107" t="s">
        <v>3526</v>
      </c>
      <c r="B1749" s="108" t="s">
        <v>0</v>
      </c>
      <c r="C1749" s="109">
        <v>7</v>
      </c>
      <c r="D1749" s="107" t="s">
        <v>621</v>
      </c>
      <c r="E1749" s="109" t="s">
        <v>413</v>
      </c>
      <c r="F1749" s="94"/>
      <c r="G1749" s="94"/>
      <c r="H1749" s="94"/>
      <c r="I1749" s="94"/>
      <c r="J1749" s="94"/>
      <c r="K1749" s="94"/>
      <c r="L1749" s="94"/>
      <c r="M1749" s="94"/>
      <c r="N1749" s="94"/>
      <c r="O1749" s="94"/>
      <c r="P1749" s="94"/>
      <c r="Q1749" s="94"/>
      <c r="R1749" s="94"/>
      <c r="S1749" s="94"/>
      <c r="T1749" s="94"/>
      <c r="U1749" s="94"/>
      <c r="V1749" s="94"/>
      <c r="W1749" s="94"/>
      <c r="X1749" s="94"/>
      <c r="Y1749" s="94"/>
      <c r="Z1749" s="94"/>
      <c r="AA1749" s="94"/>
      <c r="AB1749" s="94"/>
      <c r="AC1749" s="94"/>
      <c r="AD1749" s="94"/>
      <c r="AE1749" s="94"/>
      <c r="AF1749" s="94"/>
      <c r="AG1749" s="94"/>
      <c r="AH1749" s="94"/>
      <c r="AI1749" s="94"/>
      <c r="AJ1749" s="94"/>
      <c r="AK1749" s="94"/>
      <c r="AL1749" s="94"/>
      <c r="AM1749" s="94"/>
      <c r="AN1749" s="94"/>
      <c r="AO1749" s="94"/>
      <c r="AP1749" s="94"/>
      <c r="AQ1749" s="94"/>
      <c r="AR1749" s="94"/>
      <c r="AS1749" s="94"/>
      <c r="AT1749" s="94"/>
      <c r="AU1749" s="94"/>
      <c r="AV1749" s="94"/>
      <c r="AW1749" s="94"/>
      <c r="AX1749" s="94"/>
      <c r="AY1749" s="94"/>
      <c r="AZ1749" s="94"/>
      <c r="BA1749" s="94"/>
      <c r="BB1749" s="94"/>
      <c r="BC1749" s="94"/>
      <c r="BD1749" s="94"/>
      <c r="BE1749" s="94"/>
      <c r="BF1749" s="94"/>
    </row>
    <row r="1750" spans="1:58" x14ac:dyDescent="0.35">
      <c r="A1750" s="107" t="s">
        <v>3527</v>
      </c>
      <c r="B1750" s="108" t="s">
        <v>0</v>
      </c>
      <c r="C1750" s="109">
        <v>7</v>
      </c>
      <c r="D1750" s="107" t="s">
        <v>1289</v>
      </c>
      <c r="E1750" s="109" t="s">
        <v>414</v>
      </c>
      <c r="F1750" s="94"/>
      <c r="G1750" s="94"/>
      <c r="H1750" s="94"/>
      <c r="I1750" s="94"/>
      <c r="J1750" s="94"/>
      <c r="K1750" s="94"/>
      <c r="L1750" s="94"/>
      <c r="M1750" s="94"/>
      <c r="N1750" s="94"/>
      <c r="O1750" s="94"/>
      <c r="P1750" s="94"/>
      <c r="Q1750" s="94"/>
      <c r="R1750" s="94"/>
      <c r="S1750" s="94"/>
      <c r="T1750" s="94"/>
      <c r="U1750" s="94"/>
      <c r="V1750" s="94"/>
      <c r="W1750" s="94"/>
      <c r="X1750" s="94"/>
      <c r="Y1750" s="94"/>
      <c r="Z1750" s="94"/>
      <c r="AA1750" s="94"/>
      <c r="AB1750" s="94"/>
      <c r="AC1750" s="94"/>
      <c r="AD1750" s="94"/>
      <c r="AE1750" s="94"/>
      <c r="AF1750" s="94"/>
      <c r="AG1750" s="94"/>
      <c r="AH1750" s="94"/>
      <c r="AI1750" s="94"/>
      <c r="AJ1750" s="94"/>
      <c r="AK1750" s="94"/>
      <c r="AL1750" s="94"/>
      <c r="AM1750" s="94"/>
      <c r="AN1750" s="94"/>
      <c r="AO1750" s="94"/>
      <c r="AP1750" s="94"/>
      <c r="AQ1750" s="94"/>
      <c r="AR1750" s="94"/>
      <c r="AS1750" s="94"/>
      <c r="AT1750" s="94"/>
      <c r="AU1750" s="94"/>
      <c r="AV1750" s="94"/>
      <c r="AW1750" s="94"/>
      <c r="AX1750" s="94"/>
      <c r="AY1750" s="94"/>
      <c r="AZ1750" s="94"/>
      <c r="BA1750" s="94"/>
      <c r="BB1750" s="94"/>
      <c r="BC1750" s="94"/>
      <c r="BD1750" s="94"/>
      <c r="BE1750" s="94"/>
      <c r="BF1750" s="94"/>
    </row>
    <row r="1751" spans="1:58" x14ac:dyDescent="0.35">
      <c r="A1751" s="107" t="s">
        <v>3528</v>
      </c>
      <c r="B1751" s="108" t="s">
        <v>0</v>
      </c>
      <c r="C1751" s="109">
        <v>7</v>
      </c>
      <c r="D1751" s="107" t="s">
        <v>1290</v>
      </c>
      <c r="E1751" s="109" t="s">
        <v>415</v>
      </c>
      <c r="F1751" s="94"/>
      <c r="G1751" s="94"/>
      <c r="H1751" s="94"/>
      <c r="I1751" s="94"/>
      <c r="J1751" s="94"/>
      <c r="K1751" s="94"/>
      <c r="L1751" s="94"/>
      <c r="M1751" s="94"/>
      <c r="N1751" s="94"/>
      <c r="O1751" s="94"/>
      <c r="P1751" s="94"/>
      <c r="Q1751" s="94"/>
      <c r="R1751" s="94"/>
      <c r="S1751" s="94"/>
      <c r="T1751" s="94"/>
      <c r="U1751" s="94"/>
      <c r="V1751" s="94"/>
      <c r="W1751" s="94"/>
      <c r="X1751" s="94"/>
      <c r="Y1751" s="94"/>
      <c r="Z1751" s="94"/>
      <c r="AA1751" s="94"/>
      <c r="AB1751" s="94"/>
      <c r="AC1751" s="94"/>
      <c r="AD1751" s="94"/>
      <c r="AE1751" s="94"/>
      <c r="AF1751" s="94"/>
      <c r="AG1751" s="94"/>
      <c r="AH1751" s="94"/>
      <c r="AI1751" s="94"/>
      <c r="AJ1751" s="94"/>
      <c r="AK1751" s="94"/>
      <c r="AL1751" s="94"/>
      <c r="AM1751" s="94"/>
      <c r="AN1751" s="94"/>
      <c r="AO1751" s="94"/>
      <c r="AP1751" s="94"/>
      <c r="AQ1751" s="94"/>
      <c r="AR1751" s="94"/>
      <c r="AS1751" s="94"/>
      <c r="AT1751" s="94"/>
      <c r="AU1751" s="94"/>
      <c r="AV1751" s="94"/>
      <c r="AW1751" s="94"/>
      <c r="AX1751" s="94"/>
      <c r="AY1751" s="94"/>
      <c r="AZ1751" s="94"/>
      <c r="BA1751" s="94"/>
      <c r="BB1751" s="94"/>
      <c r="BC1751" s="94"/>
      <c r="BD1751" s="94"/>
      <c r="BE1751" s="94"/>
      <c r="BF1751" s="94"/>
    </row>
    <row r="1752" spans="1:58" x14ac:dyDescent="0.35">
      <c r="A1752" s="107" t="s">
        <v>3529</v>
      </c>
      <c r="B1752" s="108" t="s">
        <v>0</v>
      </c>
      <c r="C1752" s="109">
        <v>7</v>
      </c>
      <c r="D1752" s="107" t="s">
        <v>1291</v>
      </c>
      <c r="E1752" s="109" t="s">
        <v>416</v>
      </c>
      <c r="F1752" s="94"/>
      <c r="G1752" s="94"/>
      <c r="H1752" s="94"/>
      <c r="I1752" s="94"/>
      <c r="J1752" s="94"/>
      <c r="K1752" s="94"/>
      <c r="L1752" s="94"/>
      <c r="M1752" s="94"/>
      <c r="N1752" s="94"/>
      <c r="O1752" s="94"/>
      <c r="P1752" s="94"/>
      <c r="Q1752" s="94"/>
      <c r="R1752" s="94"/>
      <c r="S1752" s="94"/>
      <c r="T1752" s="94"/>
      <c r="U1752" s="94"/>
      <c r="V1752" s="94"/>
      <c r="W1752" s="94"/>
      <c r="X1752" s="94"/>
      <c r="Y1752" s="94"/>
      <c r="Z1752" s="94"/>
      <c r="AA1752" s="94"/>
      <c r="AB1752" s="94"/>
      <c r="AC1752" s="94"/>
      <c r="AD1752" s="94"/>
      <c r="AE1752" s="94"/>
      <c r="AF1752" s="94"/>
      <c r="AG1752" s="94"/>
      <c r="AH1752" s="94"/>
      <c r="AI1752" s="94"/>
      <c r="AJ1752" s="94"/>
      <c r="AK1752" s="94"/>
      <c r="AL1752" s="94"/>
      <c r="AM1752" s="94"/>
      <c r="AN1752" s="94"/>
      <c r="AO1752" s="94"/>
      <c r="AP1752" s="94"/>
      <c r="AQ1752" s="94"/>
      <c r="AR1752" s="94"/>
      <c r="AS1752" s="94"/>
      <c r="AT1752" s="94"/>
      <c r="AU1752" s="94"/>
      <c r="AV1752" s="94"/>
      <c r="AW1752" s="94"/>
      <c r="AX1752" s="94"/>
      <c r="AY1752" s="94"/>
      <c r="AZ1752" s="94"/>
      <c r="BA1752" s="94"/>
      <c r="BB1752" s="94"/>
      <c r="BC1752" s="94"/>
      <c r="BD1752" s="94"/>
      <c r="BE1752" s="94"/>
      <c r="BF1752" s="94"/>
    </row>
    <row r="1753" spans="1:58" x14ac:dyDescent="0.35">
      <c r="A1753" s="107" t="s">
        <v>3530</v>
      </c>
      <c r="B1753" s="108" t="s">
        <v>0</v>
      </c>
      <c r="C1753" s="109">
        <v>7</v>
      </c>
      <c r="D1753" s="107" t="s">
        <v>1292</v>
      </c>
      <c r="E1753" s="109" t="s">
        <v>417</v>
      </c>
      <c r="F1753" s="94"/>
      <c r="G1753" s="94"/>
      <c r="H1753" s="94"/>
      <c r="I1753" s="94"/>
      <c r="J1753" s="94"/>
      <c r="K1753" s="94"/>
      <c r="L1753" s="94"/>
      <c r="M1753" s="94"/>
      <c r="N1753" s="94"/>
      <c r="O1753" s="94"/>
      <c r="P1753" s="94"/>
      <c r="Q1753" s="94"/>
      <c r="R1753" s="94"/>
      <c r="S1753" s="94"/>
      <c r="T1753" s="94"/>
      <c r="U1753" s="94"/>
      <c r="V1753" s="94"/>
      <c r="W1753" s="94"/>
      <c r="X1753" s="94"/>
      <c r="Y1753" s="94"/>
      <c r="Z1753" s="94"/>
      <c r="AA1753" s="94"/>
      <c r="AB1753" s="94"/>
      <c r="AC1753" s="94"/>
      <c r="AD1753" s="94"/>
      <c r="AE1753" s="94"/>
      <c r="AF1753" s="94"/>
      <c r="AG1753" s="94"/>
      <c r="AH1753" s="94"/>
      <c r="AI1753" s="94"/>
      <c r="AJ1753" s="94"/>
      <c r="AK1753" s="94"/>
      <c r="AL1753" s="94"/>
      <c r="AM1753" s="94"/>
      <c r="AN1753" s="94"/>
      <c r="AO1753" s="94"/>
      <c r="AP1753" s="94"/>
      <c r="AQ1753" s="94"/>
      <c r="AR1753" s="94"/>
      <c r="AS1753" s="94"/>
      <c r="AT1753" s="94"/>
      <c r="AU1753" s="94"/>
      <c r="AV1753" s="94"/>
      <c r="AW1753" s="94"/>
      <c r="AX1753" s="94"/>
      <c r="AY1753" s="94"/>
      <c r="AZ1753" s="94"/>
      <c r="BA1753" s="94"/>
      <c r="BB1753" s="94"/>
      <c r="BC1753" s="94"/>
      <c r="BD1753" s="94"/>
      <c r="BE1753" s="94"/>
      <c r="BF1753" s="94"/>
    </row>
    <row r="1754" spans="1:58" x14ac:dyDescent="0.35">
      <c r="A1754" s="107" t="s">
        <v>3531</v>
      </c>
      <c r="B1754" s="108" t="s">
        <v>0</v>
      </c>
      <c r="C1754" s="109">
        <v>7</v>
      </c>
      <c r="D1754" s="107" t="s">
        <v>1293</v>
      </c>
      <c r="E1754" s="109" t="s">
        <v>418</v>
      </c>
      <c r="F1754" s="94"/>
      <c r="G1754" s="94"/>
      <c r="H1754" s="94"/>
      <c r="I1754" s="94"/>
      <c r="J1754" s="94"/>
      <c r="K1754" s="94"/>
      <c r="L1754" s="94"/>
      <c r="M1754" s="94"/>
      <c r="N1754" s="94"/>
      <c r="O1754" s="94"/>
      <c r="P1754" s="94"/>
      <c r="Q1754" s="94"/>
      <c r="R1754" s="94"/>
      <c r="S1754" s="94"/>
      <c r="T1754" s="94"/>
      <c r="U1754" s="94"/>
      <c r="V1754" s="94"/>
      <c r="W1754" s="94"/>
      <c r="X1754" s="94"/>
      <c r="Y1754" s="94"/>
      <c r="Z1754" s="94"/>
      <c r="AA1754" s="94"/>
      <c r="AB1754" s="94"/>
      <c r="AC1754" s="94"/>
      <c r="AD1754" s="94"/>
      <c r="AE1754" s="94"/>
      <c r="AF1754" s="94"/>
      <c r="AG1754" s="94"/>
      <c r="AH1754" s="94"/>
      <c r="AI1754" s="94"/>
      <c r="AJ1754" s="94"/>
      <c r="AK1754" s="94"/>
      <c r="AL1754" s="94"/>
      <c r="AM1754" s="94"/>
      <c r="AN1754" s="94"/>
      <c r="AO1754" s="94"/>
      <c r="AP1754" s="94"/>
      <c r="AQ1754" s="94"/>
      <c r="AR1754" s="94"/>
      <c r="AS1754" s="94"/>
      <c r="AT1754" s="94"/>
      <c r="AU1754" s="94"/>
      <c r="AV1754" s="94"/>
      <c r="AW1754" s="94"/>
      <c r="AX1754" s="94"/>
      <c r="AY1754" s="94"/>
      <c r="AZ1754" s="94"/>
      <c r="BA1754" s="94"/>
      <c r="BB1754" s="94"/>
      <c r="BC1754" s="94"/>
      <c r="BD1754" s="94"/>
      <c r="BE1754" s="94"/>
      <c r="BF1754" s="94"/>
    </row>
    <row r="1755" spans="1:58" x14ac:dyDescent="0.35">
      <c r="A1755" s="107" t="s">
        <v>3532</v>
      </c>
      <c r="B1755" s="108" t="s">
        <v>0</v>
      </c>
      <c r="C1755" s="109">
        <v>7</v>
      </c>
      <c r="D1755" s="107" t="s">
        <v>1294</v>
      </c>
      <c r="E1755" s="109" t="s">
        <v>419</v>
      </c>
      <c r="F1755" s="94"/>
      <c r="G1755" s="94"/>
      <c r="H1755" s="94"/>
      <c r="I1755" s="94"/>
      <c r="J1755" s="94"/>
      <c r="K1755" s="94"/>
      <c r="L1755" s="94"/>
      <c r="M1755" s="94"/>
      <c r="N1755" s="94"/>
      <c r="O1755" s="94"/>
      <c r="P1755" s="94"/>
      <c r="Q1755" s="94"/>
      <c r="R1755" s="94"/>
      <c r="S1755" s="94"/>
      <c r="T1755" s="94"/>
      <c r="U1755" s="94"/>
      <c r="V1755" s="94"/>
      <c r="W1755" s="94"/>
      <c r="X1755" s="94"/>
      <c r="Y1755" s="94"/>
      <c r="Z1755" s="94"/>
      <c r="AA1755" s="94"/>
      <c r="AB1755" s="94"/>
      <c r="AC1755" s="94"/>
      <c r="AD1755" s="94"/>
      <c r="AE1755" s="94"/>
      <c r="AF1755" s="94"/>
      <c r="AG1755" s="94"/>
      <c r="AH1755" s="94"/>
      <c r="AI1755" s="94"/>
      <c r="AJ1755" s="94"/>
      <c r="AK1755" s="94"/>
      <c r="AL1755" s="94"/>
      <c r="AM1755" s="94"/>
      <c r="AN1755" s="94"/>
      <c r="AO1755" s="94"/>
      <c r="AP1755" s="94"/>
      <c r="AQ1755" s="94"/>
      <c r="AR1755" s="94"/>
      <c r="AS1755" s="94"/>
      <c r="AT1755" s="94"/>
      <c r="AU1755" s="94"/>
      <c r="AV1755" s="94"/>
      <c r="AW1755" s="94"/>
      <c r="AX1755" s="94"/>
      <c r="AY1755" s="94"/>
      <c r="AZ1755" s="94"/>
      <c r="BA1755" s="94"/>
      <c r="BB1755" s="94"/>
      <c r="BC1755" s="94"/>
      <c r="BD1755" s="94"/>
      <c r="BE1755" s="94"/>
      <c r="BF1755" s="94"/>
    </row>
    <row r="1756" spans="1:58" x14ac:dyDescent="0.35">
      <c r="A1756" s="107" t="s">
        <v>3533</v>
      </c>
      <c r="B1756" s="108" t="s">
        <v>0</v>
      </c>
      <c r="C1756" s="109">
        <v>7</v>
      </c>
      <c r="D1756" s="107" t="s">
        <v>1295</v>
      </c>
      <c r="E1756" s="109" t="s">
        <v>420</v>
      </c>
      <c r="F1756" s="94"/>
      <c r="G1756" s="94"/>
      <c r="H1756" s="94"/>
      <c r="I1756" s="94"/>
      <c r="J1756" s="94"/>
      <c r="K1756" s="94"/>
      <c r="L1756" s="94"/>
      <c r="M1756" s="94"/>
      <c r="N1756" s="94"/>
      <c r="O1756" s="94"/>
      <c r="P1756" s="94"/>
      <c r="Q1756" s="94"/>
      <c r="R1756" s="94"/>
      <c r="S1756" s="94"/>
      <c r="T1756" s="94"/>
      <c r="U1756" s="94"/>
      <c r="V1756" s="94"/>
      <c r="W1756" s="94"/>
      <c r="X1756" s="94"/>
      <c r="Y1756" s="94"/>
      <c r="Z1756" s="94"/>
      <c r="AA1756" s="94"/>
      <c r="AB1756" s="94"/>
      <c r="AC1756" s="94"/>
      <c r="AD1756" s="94"/>
      <c r="AE1756" s="94"/>
      <c r="AF1756" s="94"/>
      <c r="AG1756" s="94"/>
      <c r="AH1756" s="94"/>
      <c r="AI1756" s="94"/>
      <c r="AJ1756" s="94"/>
      <c r="AK1756" s="94"/>
      <c r="AL1756" s="94"/>
      <c r="AM1756" s="94"/>
      <c r="AN1756" s="94"/>
      <c r="AO1756" s="94"/>
      <c r="AP1756" s="94"/>
      <c r="AQ1756" s="94"/>
      <c r="AR1756" s="94"/>
      <c r="AS1756" s="94"/>
      <c r="AT1756" s="94"/>
      <c r="AU1756" s="94"/>
      <c r="AV1756" s="94"/>
      <c r="AW1756" s="94"/>
      <c r="AX1756" s="94"/>
      <c r="AY1756" s="94"/>
      <c r="AZ1756" s="94"/>
      <c r="BA1756" s="94"/>
      <c r="BB1756" s="94"/>
      <c r="BC1756" s="94"/>
      <c r="BD1756" s="94"/>
      <c r="BE1756" s="94"/>
      <c r="BF1756" s="94"/>
    </row>
    <row r="1757" spans="1:58" x14ac:dyDescent="0.35">
      <c r="A1757" s="107" t="s">
        <v>3534</v>
      </c>
      <c r="B1757" s="108" t="s">
        <v>0</v>
      </c>
      <c r="C1757" s="109">
        <v>7</v>
      </c>
      <c r="D1757" s="107" t="s">
        <v>1296</v>
      </c>
      <c r="E1757" s="109" t="s">
        <v>421</v>
      </c>
      <c r="F1757" s="94"/>
      <c r="G1757" s="94"/>
      <c r="H1757" s="94"/>
      <c r="I1757" s="94"/>
      <c r="J1757" s="94"/>
      <c r="K1757" s="94"/>
      <c r="L1757" s="94"/>
      <c r="M1757" s="94"/>
      <c r="N1757" s="94"/>
      <c r="O1757" s="94"/>
      <c r="P1757" s="94"/>
      <c r="Q1757" s="94"/>
      <c r="R1757" s="94"/>
      <c r="S1757" s="94"/>
      <c r="T1757" s="94"/>
      <c r="U1757" s="94"/>
      <c r="V1757" s="94"/>
      <c r="W1757" s="94"/>
      <c r="X1757" s="94"/>
      <c r="Y1757" s="94"/>
      <c r="Z1757" s="94"/>
      <c r="AA1757" s="94"/>
      <c r="AB1757" s="94"/>
      <c r="AC1757" s="94"/>
      <c r="AD1757" s="94"/>
      <c r="AE1757" s="94"/>
      <c r="AF1757" s="94"/>
      <c r="AG1757" s="94"/>
      <c r="AH1757" s="94"/>
      <c r="AI1757" s="94"/>
      <c r="AJ1757" s="94"/>
      <c r="AK1757" s="94"/>
      <c r="AL1757" s="94"/>
      <c r="AM1757" s="94"/>
      <c r="AN1757" s="94"/>
      <c r="AO1757" s="94"/>
      <c r="AP1757" s="94"/>
      <c r="AQ1757" s="94"/>
      <c r="AR1757" s="94"/>
      <c r="AS1757" s="94"/>
      <c r="AT1757" s="94"/>
      <c r="AU1757" s="94"/>
      <c r="AV1757" s="94"/>
      <c r="AW1757" s="94"/>
      <c r="AX1757" s="94"/>
      <c r="AY1757" s="94"/>
      <c r="AZ1757" s="94"/>
      <c r="BA1757" s="94"/>
      <c r="BB1757" s="94"/>
      <c r="BC1757" s="94"/>
      <c r="BD1757" s="94"/>
      <c r="BE1757" s="94"/>
      <c r="BF1757" s="94"/>
    </row>
    <row r="1758" spans="1:58" x14ac:dyDescent="0.35">
      <c r="A1758" s="107" t="s">
        <v>3535</v>
      </c>
      <c r="B1758" s="108" t="s">
        <v>0</v>
      </c>
      <c r="C1758" s="109">
        <v>7</v>
      </c>
      <c r="D1758" s="107" t="s">
        <v>1297</v>
      </c>
      <c r="E1758" s="109" t="s">
        <v>422</v>
      </c>
      <c r="F1758" s="94"/>
      <c r="G1758" s="94"/>
      <c r="H1758" s="94"/>
      <c r="I1758" s="94"/>
      <c r="J1758" s="94"/>
      <c r="K1758" s="94"/>
      <c r="L1758" s="94"/>
      <c r="M1758" s="94"/>
      <c r="N1758" s="94"/>
      <c r="O1758" s="94"/>
      <c r="P1758" s="94"/>
      <c r="Q1758" s="94"/>
      <c r="R1758" s="94"/>
      <c r="S1758" s="94"/>
      <c r="T1758" s="94"/>
      <c r="U1758" s="94"/>
      <c r="V1758" s="94"/>
      <c r="W1758" s="94"/>
      <c r="X1758" s="94"/>
      <c r="Y1758" s="94"/>
      <c r="Z1758" s="94"/>
      <c r="AA1758" s="94"/>
      <c r="AB1758" s="94"/>
      <c r="AC1758" s="94"/>
      <c r="AD1758" s="94"/>
      <c r="AE1758" s="94"/>
      <c r="AF1758" s="94"/>
      <c r="AG1758" s="94"/>
      <c r="AH1758" s="94"/>
      <c r="AI1758" s="94"/>
      <c r="AJ1758" s="94"/>
      <c r="AK1758" s="94"/>
      <c r="AL1758" s="94"/>
      <c r="AM1758" s="94"/>
      <c r="AN1758" s="94"/>
      <c r="AO1758" s="94"/>
      <c r="AP1758" s="94"/>
      <c r="AQ1758" s="94"/>
      <c r="AR1758" s="94"/>
      <c r="AS1758" s="94"/>
      <c r="AT1758" s="94"/>
      <c r="AU1758" s="94"/>
      <c r="AV1758" s="94"/>
      <c r="AW1758" s="94"/>
      <c r="AX1758" s="94"/>
      <c r="AY1758" s="94"/>
      <c r="AZ1758" s="94"/>
      <c r="BA1758" s="94"/>
      <c r="BB1758" s="94"/>
      <c r="BC1758" s="94"/>
      <c r="BD1758" s="94"/>
      <c r="BE1758" s="94"/>
      <c r="BF1758" s="94"/>
    </row>
    <row r="1759" spans="1:58" x14ac:dyDescent="0.35">
      <c r="A1759" s="107" t="s">
        <v>3536</v>
      </c>
      <c r="B1759" s="108" t="s">
        <v>0</v>
      </c>
      <c r="C1759" s="109">
        <v>7</v>
      </c>
      <c r="D1759" s="107" t="s">
        <v>1298</v>
      </c>
      <c r="E1759" s="109" t="s">
        <v>423</v>
      </c>
      <c r="F1759" s="94"/>
      <c r="G1759" s="94"/>
      <c r="H1759" s="94"/>
      <c r="I1759" s="94"/>
      <c r="J1759" s="94"/>
      <c r="K1759" s="94"/>
      <c r="L1759" s="94"/>
      <c r="M1759" s="94"/>
      <c r="N1759" s="94"/>
      <c r="O1759" s="94"/>
      <c r="P1759" s="94"/>
      <c r="Q1759" s="94"/>
      <c r="R1759" s="94"/>
      <c r="S1759" s="94"/>
      <c r="T1759" s="94"/>
      <c r="U1759" s="94"/>
      <c r="V1759" s="94"/>
      <c r="W1759" s="94"/>
      <c r="X1759" s="94"/>
      <c r="Y1759" s="94"/>
      <c r="Z1759" s="94"/>
      <c r="AA1759" s="94"/>
      <c r="AB1759" s="94"/>
      <c r="AC1759" s="94"/>
      <c r="AD1759" s="94"/>
      <c r="AE1759" s="94"/>
      <c r="AF1759" s="94"/>
      <c r="AG1759" s="94"/>
      <c r="AH1759" s="94"/>
      <c r="AI1759" s="94"/>
      <c r="AJ1759" s="94"/>
      <c r="AK1759" s="94"/>
      <c r="AL1759" s="94"/>
      <c r="AM1759" s="94"/>
      <c r="AN1759" s="94"/>
      <c r="AO1759" s="94"/>
      <c r="AP1759" s="94"/>
      <c r="AQ1759" s="94"/>
      <c r="AR1759" s="94"/>
      <c r="AS1759" s="94"/>
      <c r="AT1759" s="94"/>
      <c r="AU1759" s="94"/>
      <c r="AV1759" s="94"/>
      <c r="AW1759" s="94"/>
      <c r="AX1759" s="94"/>
      <c r="AY1759" s="94"/>
      <c r="AZ1759" s="94"/>
      <c r="BA1759" s="94"/>
      <c r="BB1759" s="94"/>
      <c r="BC1759" s="94"/>
      <c r="BD1759" s="94"/>
      <c r="BE1759" s="94"/>
      <c r="BF1759" s="94"/>
    </row>
    <row r="1760" spans="1:58" x14ac:dyDescent="0.35">
      <c r="A1760" s="107" t="s">
        <v>3537</v>
      </c>
      <c r="B1760" s="108" t="s">
        <v>0</v>
      </c>
      <c r="C1760" s="109">
        <v>7</v>
      </c>
      <c r="D1760" s="107" t="s">
        <v>1299</v>
      </c>
      <c r="E1760" s="109" t="s">
        <v>424</v>
      </c>
      <c r="F1760" s="94"/>
      <c r="G1760" s="94"/>
      <c r="H1760" s="94"/>
      <c r="I1760" s="94"/>
      <c r="J1760" s="94"/>
      <c r="K1760" s="94"/>
      <c r="L1760" s="94"/>
      <c r="M1760" s="94"/>
      <c r="N1760" s="94"/>
      <c r="O1760" s="94"/>
      <c r="P1760" s="94"/>
      <c r="Q1760" s="94"/>
      <c r="R1760" s="94"/>
      <c r="S1760" s="94"/>
      <c r="T1760" s="94"/>
      <c r="U1760" s="94"/>
      <c r="V1760" s="94"/>
      <c r="W1760" s="94"/>
      <c r="X1760" s="94"/>
      <c r="Y1760" s="94"/>
      <c r="Z1760" s="94"/>
      <c r="AA1760" s="94"/>
      <c r="AB1760" s="94"/>
      <c r="AC1760" s="94"/>
      <c r="AD1760" s="94"/>
      <c r="AE1760" s="94"/>
      <c r="AF1760" s="94"/>
      <c r="AG1760" s="94"/>
      <c r="AH1760" s="94"/>
      <c r="AI1760" s="94"/>
      <c r="AJ1760" s="94"/>
      <c r="AK1760" s="94"/>
      <c r="AL1760" s="94"/>
      <c r="AM1760" s="94"/>
      <c r="AN1760" s="94"/>
      <c r="AO1760" s="94"/>
      <c r="AP1760" s="94"/>
      <c r="AQ1760" s="94"/>
      <c r="AR1760" s="94"/>
      <c r="AS1760" s="94"/>
      <c r="AT1760" s="94"/>
      <c r="AU1760" s="94"/>
      <c r="AV1760" s="94"/>
      <c r="AW1760" s="94"/>
      <c r="AX1760" s="94"/>
      <c r="AY1760" s="94"/>
      <c r="AZ1760" s="94"/>
      <c r="BA1760" s="94"/>
      <c r="BB1760" s="94"/>
      <c r="BC1760" s="94"/>
      <c r="BD1760" s="94"/>
      <c r="BE1760" s="94"/>
      <c r="BF1760" s="94"/>
    </row>
    <row r="1761" spans="1:58" x14ac:dyDescent="0.35">
      <c r="A1761" s="107" t="s">
        <v>3538</v>
      </c>
      <c r="B1761" s="108" t="s">
        <v>0</v>
      </c>
      <c r="C1761" s="109">
        <v>7</v>
      </c>
      <c r="D1761" s="107" t="s">
        <v>1300</v>
      </c>
      <c r="E1761" s="109" t="s">
        <v>425</v>
      </c>
      <c r="F1761" s="94"/>
      <c r="G1761" s="94"/>
      <c r="H1761" s="94"/>
      <c r="I1761" s="94"/>
      <c r="J1761" s="94"/>
      <c r="K1761" s="94"/>
      <c r="L1761" s="94"/>
      <c r="M1761" s="94"/>
      <c r="N1761" s="94"/>
      <c r="O1761" s="94"/>
      <c r="P1761" s="94"/>
      <c r="Q1761" s="94"/>
      <c r="R1761" s="94"/>
      <c r="S1761" s="94"/>
      <c r="T1761" s="94"/>
      <c r="U1761" s="94"/>
      <c r="V1761" s="94"/>
      <c r="W1761" s="94"/>
      <c r="X1761" s="94"/>
      <c r="Y1761" s="94"/>
      <c r="Z1761" s="94"/>
      <c r="AA1761" s="94"/>
      <c r="AB1761" s="94"/>
      <c r="AC1761" s="94"/>
      <c r="AD1761" s="94"/>
      <c r="AE1761" s="94"/>
      <c r="AF1761" s="94"/>
      <c r="AG1761" s="94"/>
      <c r="AH1761" s="94"/>
      <c r="AI1761" s="94"/>
      <c r="AJ1761" s="94"/>
      <c r="AK1761" s="94"/>
      <c r="AL1761" s="94"/>
      <c r="AM1761" s="94"/>
      <c r="AN1761" s="94"/>
      <c r="AO1761" s="94"/>
      <c r="AP1761" s="94"/>
      <c r="AQ1761" s="94"/>
      <c r="AR1761" s="94"/>
      <c r="AS1761" s="94"/>
      <c r="AT1761" s="94"/>
      <c r="AU1761" s="94"/>
      <c r="AV1761" s="94"/>
      <c r="AW1761" s="94"/>
      <c r="AX1761" s="94"/>
      <c r="AY1761" s="94"/>
      <c r="AZ1761" s="94"/>
      <c r="BA1761" s="94"/>
      <c r="BB1761" s="94"/>
      <c r="BC1761" s="94"/>
      <c r="BD1761" s="94"/>
      <c r="BE1761" s="94"/>
      <c r="BF1761" s="94"/>
    </row>
    <row r="1762" spans="1:58" x14ac:dyDescent="0.35">
      <c r="A1762" s="107" t="s">
        <v>3539</v>
      </c>
      <c r="B1762" s="108" t="s">
        <v>0</v>
      </c>
      <c r="C1762" s="109">
        <v>7</v>
      </c>
      <c r="D1762" s="107" t="s">
        <v>1301</v>
      </c>
      <c r="E1762" s="109" t="s">
        <v>426</v>
      </c>
      <c r="F1762" s="94"/>
      <c r="G1762" s="94"/>
      <c r="H1762" s="94"/>
      <c r="I1762" s="94"/>
      <c r="J1762" s="94"/>
      <c r="K1762" s="94"/>
      <c r="L1762" s="94"/>
      <c r="M1762" s="94"/>
      <c r="N1762" s="94"/>
      <c r="O1762" s="94"/>
      <c r="P1762" s="94"/>
      <c r="Q1762" s="94"/>
      <c r="R1762" s="94"/>
      <c r="S1762" s="94"/>
      <c r="T1762" s="94"/>
      <c r="U1762" s="94"/>
      <c r="V1762" s="94"/>
      <c r="W1762" s="94"/>
      <c r="X1762" s="94"/>
      <c r="Y1762" s="94"/>
      <c r="Z1762" s="94"/>
      <c r="AA1762" s="94"/>
      <c r="AB1762" s="94"/>
      <c r="AC1762" s="94"/>
      <c r="AD1762" s="94"/>
      <c r="AE1762" s="94"/>
      <c r="AF1762" s="94"/>
      <c r="AG1762" s="94"/>
      <c r="AH1762" s="94"/>
      <c r="AI1762" s="94"/>
      <c r="AJ1762" s="94"/>
      <c r="AK1762" s="94"/>
      <c r="AL1762" s="94"/>
      <c r="AM1762" s="94"/>
      <c r="AN1762" s="94"/>
      <c r="AO1762" s="94"/>
      <c r="AP1762" s="94"/>
      <c r="AQ1762" s="94"/>
      <c r="AR1762" s="94"/>
      <c r="AS1762" s="94"/>
      <c r="AT1762" s="94"/>
      <c r="AU1762" s="94"/>
      <c r="AV1762" s="94"/>
      <c r="AW1762" s="94"/>
      <c r="AX1762" s="94"/>
      <c r="AY1762" s="94"/>
      <c r="AZ1762" s="94"/>
      <c r="BA1762" s="94"/>
      <c r="BB1762" s="94"/>
      <c r="BC1762" s="94"/>
      <c r="BD1762" s="94"/>
      <c r="BE1762" s="94"/>
      <c r="BF1762" s="94"/>
    </row>
    <row r="1763" spans="1:58" x14ac:dyDescent="0.35">
      <c r="A1763" s="107" t="s">
        <v>3540</v>
      </c>
      <c r="B1763" s="108" t="s">
        <v>0</v>
      </c>
      <c r="C1763" s="109">
        <v>7</v>
      </c>
      <c r="D1763" s="107" t="s">
        <v>1302</v>
      </c>
      <c r="E1763" s="109" t="s">
        <v>427</v>
      </c>
      <c r="F1763" s="94"/>
      <c r="G1763" s="94"/>
      <c r="H1763" s="94"/>
      <c r="I1763" s="94"/>
      <c r="J1763" s="94"/>
      <c r="K1763" s="94"/>
      <c r="L1763" s="94"/>
      <c r="M1763" s="94"/>
      <c r="N1763" s="94"/>
      <c r="O1763" s="94"/>
      <c r="P1763" s="94"/>
      <c r="Q1763" s="94"/>
      <c r="R1763" s="94"/>
      <c r="S1763" s="94"/>
      <c r="T1763" s="94"/>
      <c r="U1763" s="94"/>
      <c r="V1763" s="94"/>
      <c r="W1763" s="94"/>
      <c r="X1763" s="94"/>
      <c r="Y1763" s="94"/>
      <c r="Z1763" s="94"/>
      <c r="AA1763" s="94"/>
      <c r="AB1763" s="94"/>
      <c r="AC1763" s="94"/>
      <c r="AD1763" s="94"/>
      <c r="AE1763" s="94"/>
      <c r="AF1763" s="94"/>
      <c r="AG1763" s="94"/>
      <c r="AH1763" s="94"/>
      <c r="AI1763" s="94"/>
      <c r="AJ1763" s="94"/>
      <c r="AK1763" s="94"/>
      <c r="AL1763" s="94"/>
      <c r="AM1763" s="94"/>
      <c r="AN1763" s="94"/>
      <c r="AO1763" s="94"/>
      <c r="AP1763" s="94"/>
      <c r="AQ1763" s="94"/>
      <c r="AR1763" s="94"/>
      <c r="AS1763" s="94"/>
      <c r="AT1763" s="94"/>
      <c r="AU1763" s="94"/>
      <c r="AV1763" s="94"/>
      <c r="AW1763" s="94"/>
      <c r="AX1763" s="94"/>
      <c r="AY1763" s="94"/>
      <c r="AZ1763" s="94"/>
      <c r="BA1763" s="94"/>
      <c r="BB1763" s="94"/>
      <c r="BC1763" s="94"/>
      <c r="BD1763" s="94"/>
      <c r="BE1763" s="94"/>
      <c r="BF1763" s="94"/>
    </row>
    <row r="1764" spans="1:58" x14ac:dyDescent="0.35">
      <c r="A1764" s="107" t="s">
        <v>3541</v>
      </c>
      <c r="B1764" s="108" t="s">
        <v>0</v>
      </c>
      <c r="C1764" s="109">
        <v>7</v>
      </c>
      <c r="D1764" s="107" t="s">
        <v>1303</v>
      </c>
      <c r="E1764" s="109" t="s">
        <v>428</v>
      </c>
      <c r="F1764" s="94"/>
      <c r="G1764" s="94"/>
      <c r="H1764" s="94"/>
      <c r="I1764" s="94"/>
      <c r="J1764" s="94"/>
      <c r="K1764" s="94"/>
      <c r="L1764" s="94"/>
      <c r="M1764" s="94"/>
      <c r="N1764" s="94"/>
      <c r="O1764" s="94"/>
      <c r="P1764" s="94"/>
      <c r="Q1764" s="94"/>
      <c r="R1764" s="94"/>
      <c r="S1764" s="94"/>
      <c r="T1764" s="94"/>
      <c r="U1764" s="94"/>
      <c r="V1764" s="94"/>
      <c r="W1764" s="94"/>
      <c r="X1764" s="94"/>
      <c r="Y1764" s="94"/>
      <c r="Z1764" s="94"/>
      <c r="AA1764" s="94"/>
      <c r="AB1764" s="94"/>
      <c r="AC1764" s="94"/>
      <c r="AD1764" s="94"/>
      <c r="AE1764" s="94"/>
      <c r="AF1764" s="94"/>
      <c r="AG1764" s="94"/>
      <c r="AH1764" s="94"/>
      <c r="AI1764" s="94"/>
      <c r="AJ1764" s="94"/>
      <c r="AK1764" s="94"/>
      <c r="AL1764" s="94"/>
      <c r="AM1764" s="94"/>
      <c r="AN1764" s="94"/>
      <c r="AO1764" s="94"/>
      <c r="AP1764" s="94"/>
      <c r="AQ1764" s="94"/>
      <c r="AR1764" s="94"/>
      <c r="AS1764" s="94"/>
      <c r="AT1764" s="94"/>
      <c r="AU1764" s="94"/>
      <c r="AV1764" s="94"/>
      <c r="AW1764" s="94"/>
      <c r="AX1764" s="94"/>
      <c r="AY1764" s="94"/>
      <c r="AZ1764" s="94"/>
      <c r="BA1764" s="94"/>
      <c r="BB1764" s="94"/>
      <c r="BC1764" s="94"/>
      <c r="BD1764" s="94"/>
      <c r="BE1764" s="94"/>
      <c r="BF1764" s="94"/>
    </row>
    <row r="1765" spans="1:58" x14ac:dyDescent="0.35">
      <c r="A1765" s="107" t="s">
        <v>3542</v>
      </c>
      <c r="B1765" s="108" t="s">
        <v>0</v>
      </c>
      <c r="C1765" s="109">
        <v>7</v>
      </c>
      <c r="D1765" s="107" t="s">
        <v>1304</v>
      </c>
      <c r="E1765" s="109" t="s">
        <v>429</v>
      </c>
      <c r="F1765" s="94"/>
      <c r="G1765" s="94"/>
      <c r="H1765" s="94"/>
      <c r="I1765" s="94"/>
      <c r="J1765" s="94"/>
      <c r="K1765" s="94"/>
      <c r="L1765" s="94"/>
      <c r="M1765" s="94"/>
      <c r="N1765" s="94"/>
      <c r="O1765" s="94"/>
      <c r="P1765" s="94"/>
      <c r="Q1765" s="94"/>
      <c r="R1765" s="94"/>
      <c r="S1765" s="94"/>
      <c r="T1765" s="94"/>
      <c r="U1765" s="94"/>
      <c r="V1765" s="94"/>
      <c r="W1765" s="94"/>
      <c r="X1765" s="94"/>
      <c r="Y1765" s="94"/>
      <c r="Z1765" s="94"/>
      <c r="AA1765" s="94"/>
      <c r="AB1765" s="94"/>
      <c r="AC1765" s="94"/>
      <c r="AD1765" s="94"/>
      <c r="AE1765" s="94"/>
      <c r="AF1765" s="94"/>
      <c r="AG1765" s="94"/>
      <c r="AH1765" s="94"/>
      <c r="AI1765" s="94"/>
      <c r="AJ1765" s="94"/>
      <c r="AK1765" s="94"/>
      <c r="AL1765" s="94"/>
      <c r="AM1765" s="94"/>
      <c r="AN1765" s="94"/>
      <c r="AO1765" s="94"/>
      <c r="AP1765" s="94"/>
      <c r="AQ1765" s="94"/>
      <c r="AR1765" s="94"/>
      <c r="AS1765" s="94"/>
      <c r="AT1765" s="94"/>
      <c r="AU1765" s="94"/>
      <c r="AV1765" s="94"/>
      <c r="AW1765" s="94"/>
      <c r="AX1765" s="94"/>
      <c r="AY1765" s="94"/>
      <c r="AZ1765" s="94"/>
      <c r="BA1765" s="94"/>
      <c r="BB1765" s="94"/>
      <c r="BC1765" s="94"/>
      <c r="BD1765" s="94"/>
      <c r="BE1765" s="94"/>
      <c r="BF1765" s="94"/>
    </row>
    <row r="1766" spans="1:58" x14ac:dyDescent="0.35">
      <c r="A1766" s="107" t="s">
        <v>3543</v>
      </c>
      <c r="B1766" s="108" t="s">
        <v>0</v>
      </c>
      <c r="C1766" s="109">
        <v>7</v>
      </c>
      <c r="D1766" s="107" t="s">
        <v>1305</v>
      </c>
      <c r="E1766" s="109" t="s">
        <v>430</v>
      </c>
      <c r="F1766" s="94"/>
      <c r="G1766" s="94"/>
      <c r="H1766" s="94"/>
      <c r="I1766" s="94"/>
      <c r="J1766" s="94"/>
      <c r="K1766" s="94"/>
      <c r="L1766" s="94"/>
      <c r="M1766" s="94"/>
      <c r="N1766" s="94"/>
      <c r="O1766" s="94"/>
      <c r="P1766" s="94"/>
      <c r="Q1766" s="94"/>
      <c r="R1766" s="94"/>
      <c r="S1766" s="94"/>
      <c r="T1766" s="94"/>
      <c r="U1766" s="94"/>
      <c r="V1766" s="94"/>
      <c r="W1766" s="94"/>
      <c r="X1766" s="94"/>
      <c r="Y1766" s="94"/>
      <c r="Z1766" s="94"/>
      <c r="AA1766" s="94"/>
      <c r="AB1766" s="94"/>
      <c r="AC1766" s="94"/>
      <c r="AD1766" s="94"/>
      <c r="AE1766" s="94"/>
      <c r="AF1766" s="94"/>
      <c r="AG1766" s="94"/>
      <c r="AH1766" s="94"/>
      <c r="AI1766" s="94"/>
      <c r="AJ1766" s="94"/>
      <c r="AK1766" s="94"/>
      <c r="AL1766" s="94"/>
      <c r="AM1766" s="94"/>
      <c r="AN1766" s="94"/>
      <c r="AO1766" s="94"/>
      <c r="AP1766" s="94"/>
      <c r="AQ1766" s="94"/>
      <c r="AR1766" s="94"/>
      <c r="AS1766" s="94"/>
      <c r="AT1766" s="94"/>
      <c r="AU1766" s="94"/>
      <c r="AV1766" s="94"/>
      <c r="AW1766" s="94"/>
      <c r="AX1766" s="94"/>
      <c r="AY1766" s="94"/>
      <c r="AZ1766" s="94"/>
      <c r="BA1766" s="94"/>
      <c r="BB1766" s="94"/>
      <c r="BC1766" s="94"/>
      <c r="BD1766" s="94"/>
      <c r="BE1766" s="94"/>
      <c r="BF1766" s="94"/>
    </row>
    <row r="1767" spans="1:58" x14ac:dyDescent="0.35">
      <c r="A1767" s="107" t="s">
        <v>3544</v>
      </c>
      <c r="B1767" s="108" t="s">
        <v>0</v>
      </c>
      <c r="C1767" s="109">
        <v>7</v>
      </c>
      <c r="D1767" s="107" t="s">
        <v>1306</v>
      </c>
      <c r="E1767" s="109" t="s">
        <v>431</v>
      </c>
      <c r="F1767" s="94"/>
      <c r="G1767" s="94"/>
      <c r="H1767" s="94"/>
      <c r="I1767" s="94"/>
      <c r="J1767" s="94"/>
      <c r="K1767" s="94"/>
      <c r="L1767" s="94"/>
      <c r="M1767" s="94"/>
      <c r="N1767" s="94"/>
      <c r="O1767" s="94"/>
      <c r="P1767" s="94"/>
      <c r="Q1767" s="94"/>
      <c r="R1767" s="94"/>
      <c r="S1767" s="94"/>
      <c r="T1767" s="94"/>
      <c r="U1767" s="94"/>
      <c r="V1767" s="94"/>
      <c r="W1767" s="94"/>
      <c r="X1767" s="94"/>
      <c r="Y1767" s="94"/>
      <c r="Z1767" s="94"/>
      <c r="AA1767" s="94"/>
      <c r="AB1767" s="94"/>
      <c r="AC1767" s="94"/>
      <c r="AD1767" s="94"/>
      <c r="AE1767" s="94"/>
      <c r="AF1767" s="94"/>
      <c r="AG1767" s="94"/>
      <c r="AH1767" s="94"/>
      <c r="AI1767" s="94"/>
      <c r="AJ1767" s="94"/>
      <c r="AK1767" s="94"/>
      <c r="AL1767" s="94"/>
      <c r="AM1767" s="94"/>
      <c r="AN1767" s="94"/>
      <c r="AO1767" s="94"/>
      <c r="AP1767" s="94"/>
      <c r="AQ1767" s="94"/>
      <c r="AR1767" s="94"/>
      <c r="AS1767" s="94"/>
      <c r="AT1767" s="94"/>
      <c r="AU1767" s="94"/>
      <c r="AV1767" s="94"/>
      <c r="AW1767" s="94"/>
      <c r="AX1767" s="94"/>
      <c r="AY1767" s="94"/>
      <c r="AZ1767" s="94"/>
      <c r="BA1767" s="94"/>
      <c r="BB1767" s="94"/>
      <c r="BC1767" s="94"/>
      <c r="BD1767" s="94"/>
      <c r="BE1767" s="94"/>
      <c r="BF1767" s="94"/>
    </row>
    <row r="1768" spans="1:58" x14ac:dyDescent="0.35">
      <c r="A1768" s="107" t="s">
        <v>3545</v>
      </c>
      <c r="B1768" s="108" t="s">
        <v>0</v>
      </c>
      <c r="C1768" s="109">
        <v>7</v>
      </c>
      <c r="D1768" s="107" t="s">
        <v>1307</v>
      </c>
      <c r="E1768" s="109" t="s">
        <v>432</v>
      </c>
      <c r="F1768" s="94"/>
      <c r="G1768" s="94"/>
      <c r="H1768" s="94"/>
      <c r="I1768" s="94"/>
      <c r="J1768" s="94"/>
      <c r="K1768" s="94"/>
      <c r="L1768" s="94"/>
      <c r="M1768" s="94"/>
      <c r="N1768" s="94"/>
      <c r="O1768" s="94"/>
      <c r="P1768" s="94"/>
      <c r="Q1768" s="94"/>
      <c r="R1768" s="94"/>
      <c r="S1768" s="94"/>
      <c r="T1768" s="94"/>
      <c r="U1768" s="94"/>
      <c r="V1768" s="94"/>
      <c r="W1768" s="94"/>
      <c r="X1768" s="94"/>
      <c r="Y1768" s="94"/>
      <c r="Z1768" s="94"/>
      <c r="AA1768" s="94"/>
      <c r="AB1768" s="94"/>
      <c r="AC1768" s="94"/>
      <c r="AD1768" s="94"/>
      <c r="AE1768" s="94"/>
      <c r="AF1768" s="94"/>
      <c r="AG1768" s="94"/>
      <c r="AH1768" s="94"/>
      <c r="AI1768" s="94"/>
      <c r="AJ1768" s="94"/>
      <c r="AK1768" s="94"/>
      <c r="AL1768" s="94"/>
      <c r="AM1768" s="94"/>
      <c r="AN1768" s="94"/>
      <c r="AO1768" s="94"/>
      <c r="AP1768" s="94"/>
      <c r="AQ1768" s="94"/>
      <c r="AR1768" s="94"/>
      <c r="AS1768" s="94"/>
      <c r="AT1768" s="94"/>
      <c r="AU1768" s="94"/>
      <c r="AV1768" s="94"/>
      <c r="AW1768" s="94"/>
      <c r="AX1768" s="94"/>
      <c r="AY1768" s="94"/>
      <c r="AZ1768" s="94"/>
      <c r="BA1768" s="94"/>
      <c r="BB1768" s="94"/>
      <c r="BC1768" s="94"/>
      <c r="BD1768" s="94"/>
      <c r="BE1768" s="94"/>
      <c r="BF1768" s="94"/>
    </row>
    <row r="1769" spans="1:58" x14ac:dyDescent="0.35">
      <c r="A1769" s="107" t="s">
        <v>3546</v>
      </c>
      <c r="B1769" s="108" t="s">
        <v>0</v>
      </c>
      <c r="C1769" s="109">
        <v>7</v>
      </c>
      <c r="D1769" s="107" t="s">
        <v>1308</v>
      </c>
      <c r="E1769" s="109" t="s">
        <v>433</v>
      </c>
      <c r="F1769" s="94"/>
      <c r="G1769" s="94"/>
      <c r="H1769" s="94"/>
      <c r="I1769" s="94"/>
      <c r="J1769" s="94"/>
      <c r="K1769" s="94"/>
      <c r="L1769" s="94"/>
      <c r="M1769" s="94"/>
      <c r="N1769" s="94"/>
      <c r="O1769" s="94"/>
      <c r="P1769" s="94"/>
      <c r="Q1769" s="94"/>
      <c r="R1769" s="94"/>
      <c r="S1769" s="94"/>
      <c r="T1769" s="94"/>
      <c r="U1769" s="94"/>
      <c r="V1769" s="94"/>
      <c r="W1769" s="94"/>
      <c r="X1769" s="94"/>
      <c r="Y1769" s="94"/>
      <c r="Z1769" s="94"/>
      <c r="AA1769" s="94"/>
      <c r="AB1769" s="94"/>
      <c r="AC1769" s="94"/>
      <c r="AD1769" s="94"/>
      <c r="AE1769" s="94"/>
      <c r="AF1769" s="94"/>
      <c r="AG1769" s="94"/>
      <c r="AH1769" s="94"/>
      <c r="AI1769" s="94"/>
      <c r="AJ1769" s="94"/>
      <c r="AK1769" s="94"/>
      <c r="AL1769" s="94"/>
      <c r="AM1769" s="94"/>
      <c r="AN1769" s="94"/>
      <c r="AO1769" s="94"/>
      <c r="AP1769" s="94"/>
      <c r="AQ1769" s="94"/>
      <c r="AR1769" s="94"/>
      <c r="AS1769" s="94"/>
      <c r="AT1769" s="94"/>
      <c r="AU1769" s="94"/>
      <c r="AV1769" s="94"/>
      <c r="AW1769" s="94"/>
      <c r="AX1769" s="94"/>
      <c r="AY1769" s="94"/>
      <c r="AZ1769" s="94"/>
      <c r="BA1769" s="94"/>
      <c r="BB1769" s="94"/>
      <c r="BC1769" s="94"/>
      <c r="BD1769" s="94"/>
      <c r="BE1769" s="94"/>
      <c r="BF1769" s="94"/>
    </row>
    <row r="1770" spans="1:58" x14ac:dyDescent="0.35">
      <c r="A1770" s="107" t="s">
        <v>3547</v>
      </c>
      <c r="B1770" s="108" t="s">
        <v>0</v>
      </c>
      <c r="C1770" s="109">
        <v>7</v>
      </c>
      <c r="D1770" s="107" t="s">
        <v>1309</v>
      </c>
      <c r="E1770" s="109" t="s">
        <v>395</v>
      </c>
      <c r="F1770" s="94"/>
      <c r="G1770" s="94"/>
      <c r="H1770" s="94"/>
      <c r="I1770" s="94"/>
      <c r="J1770" s="94"/>
      <c r="K1770" s="94"/>
      <c r="L1770" s="94"/>
      <c r="M1770" s="94"/>
      <c r="N1770" s="94"/>
      <c r="O1770" s="94"/>
      <c r="P1770" s="94"/>
      <c r="Q1770" s="94"/>
      <c r="R1770" s="94"/>
      <c r="S1770" s="94"/>
      <c r="T1770" s="94"/>
      <c r="U1770" s="94"/>
      <c r="V1770" s="94"/>
      <c r="W1770" s="94"/>
      <c r="X1770" s="94"/>
      <c r="Y1770" s="94"/>
      <c r="Z1770" s="94"/>
      <c r="AA1770" s="94"/>
      <c r="AB1770" s="94"/>
      <c r="AC1770" s="94"/>
      <c r="AD1770" s="94"/>
      <c r="AE1770" s="94"/>
      <c r="AF1770" s="94"/>
      <c r="AG1770" s="94"/>
      <c r="AH1770" s="94"/>
      <c r="AI1770" s="94"/>
      <c r="AJ1770" s="94"/>
      <c r="AK1770" s="94"/>
      <c r="AL1770" s="94"/>
      <c r="AM1770" s="94"/>
      <c r="AN1770" s="94"/>
      <c r="AO1770" s="94"/>
      <c r="AP1770" s="94"/>
      <c r="AQ1770" s="94"/>
      <c r="AR1770" s="94"/>
      <c r="AS1770" s="94"/>
      <c r="AT1770" s="94"/>
      <c r="AU1770" s="94"/>
      <c r="AV1770" s="94"/>
      <c r="AW1770" s="94"/>
      <c r="AX1770" s="94"/>
      <c r="AY1770" s="94"/>
      <c r="AZ1770" s="94"/>
      <c r="BA1770" s="94"/>
      <c r="BB1770" s="94"/>
      <c r="BC1770" s="94"/>
      <c r="BD1770" s="94"/>
      <c r="BE1770" s="94"/>
      <c r="BF1770" s="94"/>
    </row>
    <row r="1771" spans="1:58" x14ac:dyDescent="0.35">
      <c r="A1771" s="107" t="s">
        <v>3548</v>
      </c>
      <c r="B1771" s="108" t="s">
        <v>0</v>
      </c>
      <c r="C1771" s="109">
        <v>7</v>
      </c>
      <c r="D1771" s="107" t="s">
        <v>1310</v>
      </c>
      <c r="E1771" s="109" t="s">
        <v>434</v>
      </c>
      <c r="F1771" s="94"/>
      <c r="G1771" s="94"/>
      <c r="H1771" s="94"/>
      <c r="I1771" s="94"/>
      <c r="J1771" s="94"/>
      <c r="K1771" s="94"/>
      <c r="L1771" s="94"/>
      <c r="M1771" s="94"/>
      <c r="N1771" s="94"/>
      <c r="O1771" s="94"/>
      <c r="P1771" s="94"/>
      <c r="Q1771" s="94"/>
      <c r="R1771" s="94"/>
      <c r="S1771" s="94"/>
      <c r="T1771" s="94"/>
      <c r="U1771" s="94"/>
      <c r="V1771" s="94"/>
      <c r="W1771" s="94"/>
      <c r="X1771" s="94"/>
      <c r="Y1771" s="94"/>
      <c r="Z1771" s="94"/>
      <c r="AA1771" s="94"/>
      <c r="AB1771" s="94"/>
      <c r="AC1771" s="94"/>
      <c r="AD1771" s="94"/>
      <c r="AE1771" s="94"/>
      <c r="AF1771" s="94"/>
      <c r="AG1771" s="94"/>
      <c r="AH1771" s="94"/>
      <c r="AI1771" s="94"/>
      <c r="AJ1771" s="94"/>
      <c r="AK1771" s="94"/>
      <c r="AL1771" s="94"/>
      <c r="AM1771" s="94"/>
      <c r="AN1771" s="94"/>
      <c r="AO1771" s="94"/>
      <c r="AP1771" s="94"/>
      <c r="AQ1771" s="94"/>
      <c r="AR1771" s="94"/>
      <c r="AS1771" s="94"/>
      <c r="AT1771" s="94"/>
      <c r="AU1771" s="94"/>
      <c r="AV1771" s="94"/>
      <c r="AW1771" s="94"/>
      <c r="AX1771" s="94"/>
      <c r="AY1771" s="94"/>
      <c r="AZ1771" s="94"/>
      <c r="BA1771" s="94"/>
      <c r="BB1771" s="94"/>
      <c r="BC1771" s="94"/>
      <c r="BD1771" s="94"/>
      <c r="BE1771" s="94"/>
      <c r="BF1771" s="94"/>
    </row>
    <row r="1772" spans="1:58" x14ac:dyDescent="0.35">
      <c r="A1772" s="107" t="s">
        <v>3549</v>
      </c>
      <c r="B1772" s="108" t="s">
        <v>0</v>
      </c>
      <c r="C1772" s="109">
        <v>7</v>
      </c>
      <c r="D1772" s="107" t="s">
        <v>1311</v>
      </c>
      <c r="E1772" s="109" t="s">
        <v>435</v>
      </c>
      <c r="F1772" s="94"/>
      <c r="G1772" s="94"/>
      <c r="H1772" s="94"/>
      <c r="I1772" s="94"/>
      <c r="J1772" s="94"/>
      <c r="K1772" s="94"/>
      <c r="L1772" s="94"/>
      <c r="M1772" s="94"/>
      <c r="N1772" s="94"/>
      <c r="O1772" s="94"/>
      <c r="P1772" s="94"/>
      <c r="Q1772" s="94"/>
      <c r="R1772" s="94"/>
      <c r="S1772" s="94"/>
      <c r="T1772" s="94"/>
      <c r="U1772" s="94"/>
      <c r="V1772" s="94"/>
      <c r="W1772" s="94"/>
      <c r="X1772" s="94"/>
      <c r="Y1772" s="94"/>
      <c r="Z1772" s="94"/>
      <c r="AA1772" s="94"/>
      <c r="AB1772" s="94"/>
      <c r="AC1772" s="94"/>
      <c r="AD1772" s="94"/>
      <c r="AE1772" s="94"/>
      <c r="AF1772" s="94"/>
      <c r="AG1772" s="94"/>
      <c r="AH1772" s="94"/>
      <c r="AI1772" s="94"/>
      <c r="AJ1772" s="94"/>
      <c r="AK1772" s="94"/>
      <c r="AL1772" s="94"/>
      <c r="AM1772" s="94"/>
      <c r="AN1772" s="94"/>
      <c r="AO1772" s="94"/>
      <c r="AP1772" s="94"/>
      <c r="AQ1772" s="94"/>
      <c r="AR1772" s="94"/>
      <c r="AS1772" s="94"/>
      <c r="AT1772" s="94"/>
      <c r="AU1772" s="94"/>
      <c r="AV1772" s="94"/>
      <c r="AW1772" s="94"/>
      <c r="AX1772" s="94"/>
      <c r="AY1772" s="94"/>
      <c r="AZ1772" s="94"/>
      <c r="BA1772" s="94"/>
      <c r="BB1772" s="94"/>
      <c r="BC1772" s="94"/>
      <c r="BD1772" s="94"/>
      <c r="BE1772" s="94"/>
      <c r="BF1772" s="94"/>
    </row>
    <row r="1773" spans="1:58" x14ac:dyDescent="0.35">
      <c r="A1773" s="107" t="s">
        <v>3550</v>
      </c>
      <c r="B1773" s="108" t="s">
        <v>0</v>
      </c>
      <c r="C1773" s="109">
        <v>7</v>
      </c>
      <c r="D1773" s="107" t="s">
        <v>1617</v>
      </c>
      <c r="E1773" s="109" t="s">
        <v>1446</v>
      </c>
      <c r="F1773" s="94"/>
      <c r="G1773" s="94"/>
      <c r="H1773" s="94"/>
      <c r="I1773" s="94"/>
      <c r="J1773" s="94"/>
      <c r="K1773" s="94"/>
      <c r="L1773" s="94"/>
      <c r="M1773" s="94"/>
      <c r="N1773" s="94"/>
      <c r="O1773" s="94"/>
      <c r="P1773" s="94"/>
      <c r="Q1773" s="94"/>
      <c r="R1773" s="94"/>
      <c r="S1773" s="94"/>
      <c r="T1773" s="94"/>
      <c r="U1773" s="94"/>
      <c r="V1773" s="94"/>
      <c r="W1773" s="94"/>
      <c r="X1773" s="94"/>
      <c r="Y1773" s="94"/>
      <c r="Z1773" s="94"/>
      <c r="AA1773" s="94"/>
      <c r="AB1773" s="94"/>
      <c r="AC1773" s="94"/>
      <c r="AD1773" s="94"/>
      <c r="AE1773" s="94"/>
      <c r="AF1773" s="94"/>
      <c r="AG1773" s="94"/>
      <c r="AH1773" s="94"/>
      <c r="AI1773" s="94"/>
      <c r="AJ1773" s="94"/>
      <c r="AK1773" s="94"/>
      <c r="AL1773" s="94"/>
      <c r="AM1773" s="94"/>
      <c r="AN1773" s="94"/>
      <c r="AO1773" s="94"/>
      <c r="AP1773" s="94"/>
      <c r="AQ1773" s="94"/>
      <c r="AR1773" s="94"/>
      <c r="AS1773" s="94"/>
      <c r="AT1773" s="94"/>
      <c r="AU1773" s="94"/>
      <c r="AV1773" s="94"/>
      <c r="AW1773" s="94"/>
      <c r="AX1773" s="94"/>
      <c r="AY1773" s="94"/>
      <c r="AZ1773" s="94"/>
      <c r="BA1773" s="94"/>
      <c r="BB1773" s="94"/>
      <c r="BC1773" s="94"/>
      <c r="BD1773" s="94"/>
      <c r="BE1773" s="94"/>
      <c r="BF1773" s="94"/>
    </row>
    <row r="1774" spans="1:58" x14ac:dyDescent="0.35">
      <c r="A1774" s="107" t="s">
        <v>3551</v>
      </c>
      <c r="B1774" s="108" t="s">
        <v>0</v>
      </c>
      <c r="C1774" s="109">
        <v>7</v>
      </c>
      <c r="D1774" s="107" t="s">
        <v>1447</v>
      </c>
      <c r="E1774" s="109" t="s">
        <v>1448</v>
      </c>
      <c r="F1774" s="94"/>
      <c r="G1774" s="94"/>
      <c r="H1774" s="94"/>
      <c r="I1774" s="94"/>
      <c r="J1774" s="94"/>
      <c r="K1774" s="94"/>
      <c r="L1774" s="94"/>
      <c r="M1774" s="94"/>
      <c r="N1774" s="94"/>
      <c r="O1774" s="94"/>
      <c r="P1774" s="94"/>
      <c r="Q1774" s="94"/>
      <c r="R1774" s="94"/>
      <c r="S1774" s="94"/>
      <c r="T1774" s="94"/>
      <c r="U1774" s="94"/>
      <c r="V1774" s="94"/>
      <c r="W1774" s="94"/>
      <c r="X1774" s="94"/>
      <c r="Y1774" s="94"/>
      <c r="Z1774" s="94"/>
      <c r="AA1774" s="94"/>
      <c r="AB1774" s="94"/>
      <c r="AC1774" s="94"/>
      <c r="AD1774" s="94"/>
      <c r="AE1774" s="94"/>
      <c r="AF1774" s="94"/>
      <c r="AG1774" s="94"/>
      <c r="AH1774" s="94"/>
      <c r="AI1774" s="94"/>
      <c r="AJ1774" s="94"/>
      <c r="AK1774" s="94"/>
      <c r="AL1774" s="94"/>
      <c r="AM1774" s="94"/>
      <c r="AN1774" s="94"/>
      <c r="AO1774" s="94"/>
      <c r="AP1774" s="94"/>
      <c r="AQ1774" s="94"/>
      <c r="AR1774" s="94"/>
      <c r="AS1774" s="94"/>
      <c r="AT1774" s="94"/>
      <c r="AU1774" s="94"/>
      <c r="AV1774" s="94"/>
      <c r="AW1774" s="94"/>
      <c r="AX1774" s="94"/>
      <c r="AY1774" s="94"/>
      <c r="AZ1774" s="94"/>
      <c r="BA1774" s="94"/>
      <c r="BB1774" s="94"/>
      <c r="BC1774" s="94"/>
      <c r="BD1774" s="94"/>
      <c r="BE1774" s="94"/>
      <c r="BF1774" s="94"/>
    </row>
    <row r="1775" spans="1:58" x14ac:dyDescent="0.35">
      <c r="A1775" s="107" t="s">
        <v>3552</v>
      </c>
      <c r="B1775" s="108" t="s">
        <v>0</v>
      </c>
      <c r="C1775" s="109">
        <v>7</v>
      </c>
      <c r="D1775" s="107" t="s">
        <v>1447</v>
      </c>
      <c r="E1775" s="109" t="s">
        <v>1449</v>
      </c>
      <c r="F1775" s="94"/>
      <c r="G1775" s="94"/>
      <c r="H1775" s="94"/>
      <c r="I1775" s="94"/>
      <c r="J1775" s="94"/>
      <c r="K1775" s="94"/>
      <c r="L1775" s="94"/>
      <c r="M1775" s="94"/>
      <c r="N1775" s="94"/>
      <c r="O1775" s="94"/>
      <c r="P1775" s="94"/>
      <c r="Q1775" s="94"/>
      <c r="R1775" s="94"/>
      <c r="S1775" s="94"/>
      <c r="T1775" s="94"/>
      <c r="U1775" s="94"/>
      <c r="V1775" s="94"/>
      <c r="W1775" s="94"/>
      <c r="X1775" s="94"/>
      <c r="Y1775" s="94"/>
      <c r="Z1775" s="94"/>
      <c r="AA1775" s="94"/>
      <c r="AB1775" s="94"/>
      <c r="AC1775" s="94"/>
      <c r="AD1775" s="94"/>
      <c r="AE1775" s="94"/>
      <c r="AF1775" s="94"/>
      <c r="AG1775" s="94"/>
      <c r="AH1775" s="94"/>
      <c r="AI1775" s="94"/>
      <c r="AJ1775" s="94"/>
      <c r="AK1775" s="94"/>
      <c r="AL1775" s="94"/>
      <c r="AM1775" s="94"/>
      <c r="AN1775" s="94"/>
      <c r="AO1775" s="94"/>
      <c r="AP1775" s="94"/>
      <c r="AQ1775" s="94"/>
      <c r="AR1775" s="94"/>
      <c r="AS1775" s="94"/>
      <c r="AT1775" s="94"/>
      <c r="AU1775" s="94"/>
      <c r="AV1775" s="94"/>
      <c r="AW1775" s="94"/>
      <c r="AX1775" s="94"/>
      <c r="AY1775" s="94"/>
      <c r="AZ1775" s="94"/>
      <c r="BA1775" s="94"/>
      <c r="BB1775" s="94"/>
      <c r="BC1775" s="94"/>
      <c r="BD1775" s="94"/>
      <c r="BE1775" s="94"/>
      <c r="BF1775" s="94"/>
    </row>
    <row r="1776" spans="1:58" x14ac:dyDescent="0.35">
      <c r="A1776" s="107" t="s">
        <v>3553</v>
      </c>
      <c r="B1776" s="108" t="s">
        <v>0</v>
      </c>
      <c r="C1776" s="109">
        <v>7</v>
      </c>
      <c r="D1776" s="107" t="s">
        <v>1450</v>
      </c>
      <c r="E1776" s="109" t="s">
        <v>1451</v>
      </c>
      <c r="F1776" s="94"/>
      <c r="G1776" s="94"/>
      <c r="H1776" s="94"/>
      <c r="I1776" s="94"/>
      <c r="J1776" s="94"/>
      <c r="K1776" s="94"/>
      <c r="L1776" s="94"/>
      <c r="M1776" s="94"/>
      <c r="N1776" s="94"/>
      <c r="O1776" s="94"/>
      <c r="P1776" s="94"/>
      <c r="Q1776" s="94"/>
      <c r="R1776" s="94"/>
      <c r="S1776" s="94"/>
      <c r="T1776" s="94"/>
      <c r="U1776" s="94"/>
      <c r="V1776" s="94"/>
      <c r="W1776" s="94"/>
      <c r="X1776" s="94"/>
      <c r="Y1776" s="94"/>
      <c r="Z1776" s="94"/>
      <c r="AA1776" s="94"/>
      <c r="AB1776" s="94"/>
      <c r="AC1776" s="94"/>
      <c r="AD1776" s="94"/>
      <c r="AE1776" s="94"/>
      <c r="AF1776" s="94"/>
      <c r="AG1776" s="94"/>
      <c r="AH1776" s="94"/>
      <c r="AI1776" s="94"/>
      <c r="AJ1776" s="94"/>
      <c r="AK1776" s="94"/>
      <c r="AL1776" s="94"/>
      <c r="AM1776" s="94"/>
      <c r="AN1776" s="94"/>
      <c r="AO1776" s="94"/>
      <c r="AP1776" s="94"/>
      <c r="AQ1776" s="94"/>
      <c r="AR1776" s="94"/>
      <c r="AS1776" s="94"/>
      <c r="AT1776" s="94"/>
      <c r="AU1776" s="94"/>
      <c r="AV1776" s="94"/>
      <c r="AW1776" s="94"/>
      <c r="AX1776" s="94"/>
      <c r="AY1776" s="94"/>
      <c r="AZ1776" s="94"/>
      <c r="BA1776" s="94"/>
      <c r="BB1776" s="94"/>
      <c r="BC1776" s="94"/>
      <c r="BD1776" s="94"/>
      <c r="BE1776" s="94"/>
      <c r="BF1776" s="94"/>
    </row>
    <row r="1777" spans="1:58" x14ac:dyDescent="0.35">
      <c r="A1777" s="107" t="s">
        <v>3554</v>
      </c>
      <c r="B1777" s="108" t="s">
        <v>0</v>
      </c>
      <c r="C1777" s="109">
        <v>7</v>
      </c>
      <c r="D1777" s="107" t="s">
        <v>1450</v>
      </c>
      <c r="E1777" s="109" t="s">
        <v>1452</v>
      </c>
      <c r="F1777" s="94"/>
      <c r="G1777" s="94"/>
      <c r="H1777" s="94"/>
      <c r="I1777" s="94"/>
      <c r="J1777" s="94"/>
      <c r="K1777" s="94"/>
      <c r="L1777" s="94"/>
      <c r="M1777" s="94"/>
      <c r="N1777" s="94"/>
      <c r="O1777" s="94"/>
      <c r="P1777" s="94"/>
      <c r="Q1777" s="94"/>
      <c r="R1777" s="94"/>
      <c r="S1777" s="94"/>
      <c r="T1777" s="94"/>
      <c r="U1777" s="94"/>
      <c r="V1777" s="94"/>
      <c r="W1777" s="94"/>
      <c r="X1777" s="94"/>
      <c r="Y1777" s="94"/>
      <c r="Z1777" s="94"/>
      <c r="AA1777" s="94"/>
      <c r="AB1777" s="94"/>
      <c r="AC1777" s="94"/>
      <c r="AD1777" s="94"/>
      <c r="AE1777" s="94"/>
      <c r="AF1777" s="94"/>
      <c r="AG1777" s="94"/>
      <c r="AH1777" s="94"/>
      <c r="AI1777" s="94"/>
      <c r="AJ1777" s="94"/>
      <c r="AK1777" s="94"/>
      <c r="AL1777" s="94"/>
      <c r="AM1777" s="94"/>
      <c r="AN1777" s="94"/>
      <c r="AO1777" s="94"/>
      <c r="AP1777" s="94"/>
      <c r="AQ1777" s="94"/>
      <c r="AR1777" s="94"/>
      <c r="AS1777" s="94"/>
      <c r="AT1777" s="94"/>
      <c r="AU1777" s="94"/>
      <c r="AV1777" s="94"/>
      <c r="AW1777" s="94"/>
      <c r="AX1777" s="94"/>
      <c r="AY1777" s="94"/>
      <c r="AZ1777" s="94"/>
      <c r="BA1777" s="94"/>
      <c r="BB1777" s="94"/>
      <c r="BC1777" s="94"/>
      <c r="BD1777" s="94"/>
      <c r="BE1777" s="94"/>
      <c r="BF1777" s="94"/>
    </row>
    <row r="1778" spans="1:58" x14ac:dyDescent="0.35">
      <c r="A1778" s="107" t="s">
        <v>3555</v>
      </c>
      <c r="B1778" s="108" t="s">
        <v>0</v>
      </c>
      <c r="C1778" s="109">
        <v>7</v>
      </c>
      <c r="D1778" s="107" t="s">
        <v>1618</v>
      </c>
      <c r="E1778" s="109" t="s">
        <v>1453</v>
      </c>
      <c r="F1778" s="94"/>
      <c r="G1778" s="94"/>
      <c r="H1778" s="94"/>
      <c r="I1778" s="94"/>
      <c r="J1778" s="94"/>
      <c r="K1778" s="94"/>
      <c r="L1778" s="94"/>
      <c r="M1778" s="94"/>
      <c r="N1778" s="94"/>
      <c r="O1778" s="94"/>
      <c r="P1778" s="94"/>
      <c r="Q1778" s="94"/>
      <c r="R1778" s="94"/>
      <c r="S1778" s="94"/>
      <c r="T1778" s="94"/>
      <c r="U1778" s="94"/>
      <c r="V1778" s="94"/>
      <c r="W1778" s="94"/>
      <c r="X1778" s="94"/>
      <c r="Y1778" s="94"/>
      <c r="Z1778" s="94"/>
      <c r="AA1778" s="94"/>
      <c r="AB1778" s="94"/>
      <c r="AC1778" s="94"/>
      <c r="AD1778" s="94"/>
      <c r="AE1778" s="94"/>
      <c r="AF1778" s="94"/>
      <c r="AG1778" s="94"/>
      <c r="AH1778" s="94"/>
      <c r="AI1778" s="94"/>
      <c r="AJ1778" s="94"/>
      <c r="AK1778" s="94"/>
      <c r="AL1778" s="94"/>
      <c r="AM1778" s="94"/>
      <c r="AN1778" s="94"/>
      <c r="AO1778" s="94"/>
      <c r="AP1778" s="94"/>
      <c r="AQ1778" s="94"/>
      <c r="AR1778" s="94"/>
      <c r="AS1778" s="94"/>
      <c r="AT1778" s="94"/>
      <c r="AU1778" s="94"/>
      <c r="AV1778" s="94"/>
      <c r="AW1778" s="94"/>
      <c r="AX1778" s="94"/>
      <c r="AY1778" s="94"/>
      <c r="AZ1778" s="94"/>
      <c r="BA1778" s="94"/>
      <c r="BB1778" s="94"/>
      <c r="BC1778" s="94"/>
      <c r="BD1778" s="94"/>
      <c r="BE1778" s="94"/>
      <c r="BF1778" s="94"/>
    </row>
    <row r="1779" spans="1:58" x14ac:dyDescent="0.35">
      <c r="A1779" s="107" t="s">
        <v>3556</v>
      </c>
      <c r="B1779" s="108" t="s">
        <v>0</v>
      </c>
      <c r="C1779" s="109">
        <v>7</v>
      </c>
      <c r="D1779" s="107" t="s">
        <v>1619</v>
      </c>
      <c r="E1779" s="109" t="s">
        <v>1454</v>
      </c>
      <c r="F1779" s="94"/>
      <c r="G1779" s="94"/>
      <c r="H1779" s="94"/>
      <c r="I1779" s="94"/>
      <c r="J1779" s="94"/>
      <c r="K1779" s="94"/>
      <c r="L1779" s="94"/>
      <c r="M1779" s="94"/>
      <c r="N1779" s="94"/>
      <c r="O1779" s="94"/>
      <c r="P1779" s="94"/>
      <c r="Q1779" s="94"/>
      <c r="R1779" s="94"/>
      <c r="S1779" s="94"/>
      <c r="T1779" s="94"/>
      <c r="U1779" s="94"/>
      <c r="V1779" s="94"/>
      <c r="W1779" s="94"/>
      <c r="X1779" s="94"/>
      <c r="Y1779" s="94"/>
      <c r="Z1779" s="94"/>
      <c r="AA1779" s="94"/>
      <c r="AB1779" s="94"/>
      <c r="AC1779" s="94"/>
      <c r="AD1779" s="94"/>
      <c r="AE1779" s="94"/>
      <c r="AF1779" s="94"/>
      <c r="AG1779" s="94"/>
      <c r="AH1779" s="94"/>
      <c r="AI1779" s="94"/>
      <c r="AJ1779" s="94"/>
      <c r="AK1779" s="94"/>
      <c r="AL1779" s="94"/>
      <c r="AM1779" s="94"/>
      <c r="AN1779" s="94"/>
      <c r="AO1779" s="94"/>
      <c r="AP1779" s="94"/>
      <c r="AQ1779" s="94"/>
      <c r="AR1779" s="94"/>
      <c r="AS1779" s="94"/>
      <c r="AT1779" s="94"/>
      <c r="AU1779" s="94"/>
      <c r="AV1779" s="94"/>
      <c r="AW1779" s="94"/>
      <c r="AX1779" s="94"/>
      <c r="AY1779" s="94"/>
      <c r="AZ1779" s="94"/>
      <c r="BA1779" s="94"/>
      <c r="BB1779" s="94"/>
      <c r="BC1779" s="94"/>
      <c r="BD1779" s="94"/>
      <c r="BE1779" s="94"/>
      <c r="BF1779" s="94"/>
    </row>
    <row r="1780" spans="1:58" x14ac:dyDescent="0.35">
      <c r="A1780" s="107" t="s">
        <v>3557</v>
      </c>
      <c r="B1780" s="108" t="s">
        <v>0</v>
      </c>
      <c r="C1780" s="109">
        <v>7</v>
      </c>
      <c r="D1780" s="107" t="s">
        <v>1455</v>
      </c>
      <c r="E1780" s="109" t="s">
        <v>1456</v>
      </c>
      <c r="F1780" s="94"/>
      <c r="G1780" s="94"/>
      <c r="H1780" s="94"/>
      <c r="I1780" s="94"/>
      <c r="J1780" s="94"/>
      <c r="K1780" s="94"/>
      <c r="L1780" s="94"/>
      <c r="M1780" s="94"/>
      <c r="N1780" s="94"/>
      <c r="O1780" s="94"/>
      <c r="P1780" s="94"/>
      <c r="Q1780" s="94"/>
      <c r="R1780" s="94"/>
      <c r="S1780" s="94"/>
      <c r="T1780" s="94"/>
      <c r="U1780" s="94"/>
      <c r="V1780" s="94"/>
      <c r="W1780" s="94"/>
      <c r="X1780" s="94"/>
      <c r="Y1780" s="94"/>
      <c r="Z1780" s="94"/>
      <c r="AA1780" s="94"/>
      <c r="AB1780" s="94"/>
      <c r="AC1780" s="94"/>
      <c r="AD1780" s="94"/>
      <c r="AE1780" s="94"/>
      <c r="AF1780" s="94"/>
      <c r="AG1780" s="94"/>
      <c r="AH1780" s="94"/>
      <c r="AI1780" s="94"/>
      <c r="AJ1780" s="94"/>
      <c r="AK1780" s="94"/>
      <c r="AL1780" s="94"/>
      <c r="AM1780" s="94"/>
      <c r="AN1780" s="94"/>
      <c r="AO1780" s="94"/>
      <c r="AP1780" s="94"/>
      <c r="AQ1780" s="94"/>
      <c r="AR1780" s="94"/>
      <c r="AS1780" s="94"/>
      <c r="AT1780" s="94"/>
      <c r="AU1780" s="94"/>
      <c r="AV1780" s="94"/>
      <c r="AW1780" s="94"/>
      <c r="AX1780" s="94"/>
      <c r="AY1780" s="94"/>
      <c r="AZ1780" s="94"/>
      <c r="BA1780" s="94"/>
      <c r="BB1780" s="94"/>
      <c r="BC1780" s="94"/>
      <c r="BD1780" s="94"/>
      <c r="BE1780" s="94"/>
      <c r="BF1780" s="94"/>
    </row>
    <row r="1781" spans="1:58" x14ac:dyDescent="0.35">
      <c r="A1781" s="107" t="s">
        <v>3558</v>
      </c>
      <c r="B1781" s="108" t="s">
        <v>0</v>
      </c>
      <c r="C1781" s="109">
        <v>7</v>
      </c>
      <c r="D1781" s="107" t="s">
        <v>1455</v>
      </c>
      <c r="E1781" s="109" t="s">
        <v>1457</v>
      </c>
      <c r="F1781" s="94"/>
      <c r="G1781" s="94"/>
      <c r="H1781" s="94"/>
      <c r="I1781" s="94"/>
      <c r="J1781" s="94"/>
      <c r="K1781" s="94"/>
      <c r="L1781" s="94"/>
      <c r="M1781" s="94"/>
      <c r="N1781" s="94"/>
      <c r="O1781" s="94"/>
      <c r="P1781" s="94"/>
      <c r="Q1781" s="94"/>
      <c r="R1781" s="94"/>
      <c r="S1781" s="94"/>
      <c r="T1781" s="94"/>
      <c r="U1781" s="94"/>
      <c r="V1781" s="94"/>
      <c r="W1781" s="94"/>
      <c r="X1781" s="94"/>
      <c r="Y1781" s="94"/>
      <c r="Z1781" s="94"/>
      <c r="AA1781" s="94"/>
      <c r="AB1781" s="94"/>
      <c r="AC1781" s="94"/>
      <c r="AD1781" s="94"/>
      <c r="AE1781" s="94"/>
      <c r="AF1781" s="94"/>
      <c r="AG1781" s="94"/>
      <c r="AH1781" s="94"/>
      <c r="AI1781" s="94"/>
      <c r="AJ1781" s="94"/>
      <c r="AK1781" s="94"/>
      <c r="AL1781" s="94"/>
      <c r="AM1781" s="94"/>
      <c r="AN1781" s="94"/>
      <c r="AO1781" s="94"/>
      <c r="AP1781" s="94"/>
      <c r="AQ1781" s="94"/>
      <c r="AR1781" s="94"/>
      <c r="AS1781" s="94"/>
      <c r="AT1781" s="94"/>
      <c r="AU1781" s="94"/>
      <c r="AV1781" s="94"/>
      <c r="AW1781" s="94"/>
      <c r="AX1781" s="94"/>
      <c r="AY1781" s="94"/>
      <c r="AZ1781" s="94"/>
      <c r="BA1781" s="94"/>
      <c r="BB1781" s="94"/>
      <c r="BC1781" s="94"/>
      <c r="BD1781" s="94"/>
      <c r="BE1781" s="94"/>
      <c r="BF1781" s="94"/>
    </row>
    <row r="1782" spans="1:58" x14ac:dyDescent="0.35">
      <c r="A1782" s="107" t="s">
        <v>3559</v>
      </c>
      <c r="B1782" s="108" t="s">
        <v>0</v>
      </c>
      <c r="C1782" s="109">
        <v>7</v>
      </c>
      <c r="D1782" s="107" t="s">
        <v>1458</v>
      </c>
      <c r="E1782" s="109" t="s">
        <v>1459</v>
      </c>
      <c r="F1782" s="94"/>
      <c r="G1782" s="94"/>
      <c r="H1782" s="94"/>
      <c r="I1782" s="94"/>
      <c r="J1782" s="94"/>
      <c r="K1782" s="94"/>
      <c r="L1782" s="94"/>
      <c r="M1782" s="94"/>
      <c r="N1782" s="94"/>
      <c r="O1782" s="94"/>
      <c r="P1782" s="94"/>
      <c r="Q1782" s="94"/>
      <c r="R1782" s="94"/>
      <c r="S1782" s="94"/>
      <c r="T1782" s="94"/>
      <c r="U1782" s="94"/>
      <c r="V1782" s="94"/>
      <c r="W1782" s="94"/>
      <c r="X1782" s="94"/>
      <c r="Y1782" s="94"/>
      <c r="Z1782" s="94"/>
      <c r="AA1782" s="94"/>
      <c r="AB1782" s="94"/>
      <c r="AC1782" s="94"/>
      <c r="AD1782" s="94"/>
      <c r="AE1782" s="94"/>
      <c r="AF1782" s="94"/>
      <c r="AG1782" s="94"/>
      <c r="AH1782" s="94"/>
      <c r="AI1782" s="94"/>
      <c r="AJ1782" s="94"/>
      <c r="AK1782" s="94"/>
      <c r="AL1782" s="94"/>
      <c r="AM1782" s="94"/>
      <c r="AN1782" s="94"/>
      <c r="AO1782" s="94"/>
      <c r="AP1782" s="94"/>
      <c r="AQ1782" s="94"/>
      <c r="AR1782" s="94"/>
      <c r="AS1782" s="94"/>
      <c r="AT1782" s="94"/>
      <c r="AU1782" s="94"/>
      <c r="AV1782" s="94"/>
      <c r="AW1782" s="94"/>
      <c r="AX1782" s="94"/>
      <c r="AY1782" s="94"/>
      <c r="AZ1782" s="94"/>
      <c r="BA1782" s="94"/>
      <c r="BB1782" s="94"/>
      <c r="BC1782" s="94"/>
      <c r="BD1782" s="94"/>
      <c r="BE1782" s="94"/>
      <c r="BF1782" s="94"/>
    </row>
    <row r="1783" spans="1:58" x14ac:dyDescent="0.35">
      <c r="A1783" s="107" t="s">
        <v>3560</v>
      </c>
      <c r="B1783" s="108" t="s">
        <v>0</v>
      </c>
      <c r="C1783" s="109">
        <v>7</v>
      </c>
      <c r="D1783" s="107" t="s">
        <v>1486</v>
      </c>
      <c r="E1783" s="109" t="s">
        <v>1460</v>
      </c>
      <c r="F1783" s="94"/>
      <c r="G1783" s="94"/>
      <c r="H1783" s="94"/>
      <c r="I1783" s="94"/>
      <c r="J1783" s="94"/>
      <c r="K1783" s="94"/>
      <c r="L1783" s="94"/>
      <c r="M1783" s="94"/>
      <c r="N1783" s="94"/>
      <c r="O1783" s="94"/>
      <c r="P1783" s="94"/>
      <c r="Q1783" s="94"/>
      <c r="R1783" s="94"/>
      <c r="S1783" s="94"/>
      <c r="T1783" s="94"/>
      <c r="U1783" s="94"/>
      <c r="V1783" s="94"/>
      <c r="W1783" s="94"/>
      <c r="X1783" s="94"/>
      <c r="Y1783" s="94"/>
      <c r="Z1783" s="94"/>
      <c r="AA1783" s="94"/>
      <c r="AB1783" s="94"/>
      <c r="AC1783" s="94"/>
      <c r="AD1783" s="94"/>
      <c r="AE1783" s="94"/>
      <c r="AF1783" s="94"/>
      <c r="AG1783" s="94"/>
      <c r="AH1783" s="94"/>
      <c r="AI1783" s="94"/>
      <c r="AJ1783" s="94"/>
      <c r="AK1783" s="94"/>
      <c r="AL1783" s="94"/>
      <c r="AM1783" s="94"/>
      <c r="AN1783" s="94"/>
      <c r="AO1783" s="94"/>
      <c r="AP1783" s="94"/>
      <c r="AQ1783" s="94"/>
      <c r="AR1783" s="94"/>
      <c r="AS1783" s="94"/>
      <c r="AT1783" s="94"/>
      <c r="AU1783" s="94"/>
      <c r="AV1783" s="94"/>
      <c r="AW1783" s="94"/>
      <c r="AX1783" s="94"/>
      <c r="AY1783" s="94"/>
      <c r="AZ1783" s="94"/>
      <c r="BA1783" s="94"/>
      <c r="BB1783" s="94"/>
      <c r="BC1783" s="94"/>
      <c r="BD1783" s="94"/>
      <c r="BE1783" s="94"/>
      <c r="BF1783" s="94"/>
    </row>
    <row r="1784" spans="1:58" x14ac:dyDescent="0.35">
      <c r="A1784" s="107" t="s">
        <v>3561</v>
      </c>
      <c r="B1784" s="108" t="s">
        <v>0</v>
      </c>
      <c r="C1784" s="109">
        <v>7</v>
      </c>
      <c r="D1784" s="107" t="s">
        <v>1487</v>
      </c>
      <c r="E1784" s="109" t="s">
        <v>1461</v>
      </c>
      <c r="F1784" s="94"/>
      <c r="G1784" s="94"/>
      <c r="H1784" s="94"/>
      <c r="I1784" s="94"/>
      <c r="J1784" s="94"/>
      <c r="K1784" s="94"/>
      <c r="L1784" s="94"/>
      <c r="M1784" s="94"/>
      <c r="N1784" s="94"/>
      <c r="O1784" s="94"/>
      <c r="P1784" s="94"/>
      <c r="Q1784" s="94"/>
      <c r="R1784" s="94"/>
      <c r="S1784" s="94"/>
      <c r="T1784" s="94"/>
      <c r="U1784" s="94"/>
      <c r="V1784" s="94"/>
      <c r="W1784" s="94"/>
      <c r="X1784" s="94"/>
      <c r="Y1784" s="94"/>
      <c r="Z1784" s="94"/>
      <c r="AA1784" s="94"/>
      <c r="AB1784" s="94"/>
      <c r="AC1784" s="94"/>
      <c r="AD1784" s="94"/>
      <c r="AE1784" s="94"/>
      <c r="AF1784" s="94"/>
      <c r="AG1784" s="94"/>
      <c r="AH1784" s="94"/>
      <c r="AI1784" s="94"/>
      <c r="AJ1784" s="94"/>
      <c r="AK1784" s="94"/>
      <c r="AL1784" s="94"/>
      <c r="AM1784" s="94"/>
      <c r="AN1784" s="94"/>
      <c r="AO1784" s="94"/>
      <c r="AP1784" s="94"/>
      <c r="AQ1784" s="94"/>
      <c r="AR1784" s="94"/>
      <c r="AS1784" s="94"/>
      <c r="AT1784" s="94"/>
      <c r="AU1784" s="94"/>
      <c r="AV1784" s="94"/>
      <c r="AW1784" s="94"/>
      <c r="AX1784" s="94"/>
      <c r="AY1784" s="94"/>
      <c r="AZ1784" s="94"/>
      <c r="BA1784" s="94"/>
      <c r="BB1784" s="94"/>
      <c r="BC1784" s="94"/>
      <c r="BD1784" s="94"/>
      <c r="BE1784" s="94"/>
      <c r="BF1784" s="94"/>
    </row>
    <row r="1785" spans="1:58" x14ac:dyDescent="0.35">
      <c r="A1785" s="98" t="s">
        <v>3562</v>
      </c>
      <c r="B1785" s="99" t="s">
        <v>0</v>
      </c>
      <c r="C1785" s="100">
        <v>3</v>
      </c>
      <c r="D1785" s="98" t="s">
        <v>562</v>
      </c>
      <c r="E1785" s="100"/>
      <c r="F1785" s="94"/>
      <c r="G1785" s="94"/>
      <c r="H1785" s="94"/>
      <c r="I1785" s="94"/>
      <c r="J1785" s="94"/>
      <c r="K1785" s="94"/>
      <c r="L1785" s="94"/>
      <c r="M1785" s="94"/>
      <c r="N1785" s="94"/>
      <c r="O1785" s="94"/>
      <c r="P1785" s="94"/>
      <c r="Q1785" s="94"/>
      <c r="R1785" s="94"/>
      <c r="S1785" s="94"/>
      <c r="T1785" s="94"/>
      <c r="U1785" s="94"/>
      <c r="V1785" s="94"/>
      <c r="W1785" s="94"/>
      <c r="X1785" s="94"/>
      <c r="Y1785" s="94"/>
      <c r="Z1785" s="94"/>
      <c r="AA1785" s="94"/>
      <c r="AB1785" s="94"/>
      <c r="AC1785" s="94"/>
      <c r="AD1785" s="94"/>
      <c r="AE1785" s="94"/>
      <c r="AF1785" s="94"/>
      <c r="AG1785" s="94"/>
      <c r="AH1785" s="94"/>
      <c r="AI1785" s="94"/>
      <c r="AJ1785" s="94"/>
      <c r="AK1785" s="94"/>
      <c r="AL1785" s="94"/>
      <c r="AM1785" s="94"/>
      <c r="AN1785" s="94"/>
      <c r="AO1785" s="94"/>
      <c r="AP1785" s="94"/>
      <c r="AQ1785" s="94"/>
      <c r="AR1785" s="94"/>
      <c r="AS1785" s="94"/>
      <c r="AT1785" s="94"/>
      <c r="AU1785" s="94"/>
      <c r="AV1785" s="94"/>
      <c r="AW1785" s="94"/>
      <c r="AX1785" s="94"/>
      <c r="AY1785" s="94"/>
      <c r="AZ1785" s="94"/>
      <c r="BA1785" s="94"/>
      <c r="BB1785" s="94"/>
      <c r="BC1785" s="94"/>
      <c r="BD1785" s="94"/>
      <c r="BE1785" s="94"/>
      <c r="BF1785" s="94"/>
    </row>
    <row r="1786" spans="1:58" x14ac:dyDescent="0.35">
      <c r="A1786" s="95" t="s">
        <v>3563</v>
      </c>
      <c r="B1786" s="96" t="s">
        <v>0</v>
      </c>
      <c r="C1786" s="97">
        <v>4</v>
      </c>
      <c r="D1786" s="95" t="s">
        <v>321</v>
      </c>
      <c r="E1786" s="97"/>
      <c r="F1786" s="94"/>
      <c r="G1786" s="94"/>
      <c r="H1786" s="94"/>
      <c r="I1786" s="94"/>
      <c r="J1786" s="94"/>
      <c r="K1786" s="94"/>
      <c r="L1786" s="94"/>
      <c r="M1786" s="94"/>
      <c r="N1786" s="94"/>
      <c r="O1786" s="94"/>
      <c r="P1786" s="94"/>
      <c r="Q1786" s="94"/>
      <c r="R1786" s="94"/>
      <c r="S1786" s="94"/>
      <c r="T1786" s="94"/>
      <c r="U1786" s="94"/>
      <c r="V1786" s="94"/>
      <c r="W1786" s="94"/>
      <c r="X1786" s="94"/>
      <c r="Y1786" s="94"/>
      <c r="Z1786" s="94"/>
      <c r="AA1786" s="94"/>
      <c r="AB1786" s="94"/>
      <c r="AC1786" s="94"/>
      <c r="AD1786" s="94"/>
      <c r="AE1786" s="94"/>
      <c r="AF1786" s="94"/>
      <c r="AG1786" s="94"/>
      <c r="AH1786" s="94"/>
      <c r="AI1786" s="94"/>
      <c r="AJ1786" s="94"/>
      <c r="AK1786" s="94"/>
      <c r="AL1786" s="94"/>
      <c r="AM1786" s="94"/>
      <c r="AN1786" s="94"/>
      <c r="AO1786" s="94"/>
      <c r="AP1786" s="94"/>
      <c r="AQ1786" s="94"/>
      <c r="AR1786" s="94"/>
      <c r="AS1786" s="94"/>
      <c r="AT1786" s="94"/>
      <c r="AU1786" s="94"/>
      <c r="AV1786" s="94"/>
      <c r="AW1786" s="94"/>
      <c r="AX1786" s="94"/>
      <c r="AY1786" s="94"/>
      <c r="AZ1786" s="94"/>
      <c r="BA1786" s="94"/>
      <c r="BB1786" s="94"/>
      <c r="BC1786" s="94"/>
      <c r="BD1786" s="94"/>
      <c r="BE1786" s="94"/>
      <c r="BF1786" s="94"/>
    </row>
    <row r="1787" spans="1:58" x14ac:dyDescent="0.35">
      <c r="A1787" s="101" t="s">
        <v>3564</v>
      </c>
      <c r="B1787" s="102" t="s">
        <v>0</v>
      </c>
      <c r="C1787" s="103">
        <v>5</v>
      </c>
      <c r="D1787" s="101" t="s">
        <v>1241</v>
      </c>
      <c r="E1787" s="103" t="s">
        <v>322</v>
      </c>
      <c r="F1787" s="94"/>
      <c r="G1787" s="94"/>
      <c r="H1787" s="94"/>
      <c r="I1787" s="94"/>
      <c r="J1787" s="94"/>
      <c r="K1787" s="94"/>
      <c r="L1787" s="94"/>
      <c r="M1787" s="94"/>
      <c r="N1787" s="94"/>
      <c r="O1787" s="94"/>
      <c r="P1787" s="94"/>
      <c r="Q1787" s="94"/>
      <c r="R1787" s="94"/>
      <c r="S1787" s="94"/>
      <c r="T1787" s="94"/>
      <c r="U1787" s="94"/>
      <c r="V1787" s="94"/>
      <c r="W1787" s="94"/>
      <c r="X1787" s="94"/>
      <c r="Y1787" s="94"/>
      <c r="Z1787" s="94"/>
      <c r="AA1787" s="94"/>
      <c r="AB1787" s="94"/>
      <c r="AC1787" s="94"/>
      <c r="AD1787" s="94"/>
      <c r="AE1787" s="94"/>
      <c r="AF1787" s="94"/>
      <c r="AG1787" s="94"/>
      <c r="AH1787" s="94"/>
      <c r="AI1787" s="94"/>
      <c r="AJ1787" s="94"/>
      <c r="AK1787" s="94"/>
      <c r="AL1787" s="94"/>
      <c r="AM1787" s="94"/>
      <c r="AN1787" s="94"/>
      <c r="AO1787" s="94"/>
      <c r="AP1787" s="94"/>
      <c r="AQ1787" s="94"/>
      <c r="AR1787" s="94"/>
      <c r="AS1787" s="94"/>
      <c r="AT1787" s="94"/>
      <c r="AU1787" s="94"/>
      <c r="AV1787" s="94"/>
      <c r="AW1787" s="94"/>
      <c r="AX1787" s="94"/>
      <c r="AY1787" s="94"/>
      <c r="AZ1787" s="94"/>
      <c r="BA1787" s="94"/>
      <c r="BB1787" s="94"/>
      <c r="BC1787" s="94"/>
      <c r="BD1787" s="94"/>
      <c r="BE1787" s="94"/>
      <c r="BF1787" s="94"/>
    </row>
    <row r="1788" spans="1:58" x14ac:dyDescent="0.35">
      <c r="A1788" s="104" t="s">
        <v>3565</v>
      </c>
      <c r="B1788" s="105" t="s">
        <v>0</v>
      </c>
      <c r="C1788" s="106">
        <v>6</v>
      </c>
      <c r="D1788" s="104" t="s">
        <v>16</v>
      </c>
      <c r="E1788" s="106"/>
      <c r="F1788" s="94"/>
      <c r="G1788" s="94"/>
      <c r="H1788" s="94"/>
      <c r="I1788" s="94"/>
      <c r="J1788" s="94"/>
      <c r="K1788" s="94"/>
      <c r="L1788" s="94"/>
      <c r="M1788" s="94"/>
      <c r="N1788" s="94"/>
      <c r="O1788" s="94"/>
      <c r="P1788" s="94"/>
      <c r="Q1788" s="94"/>
      <c r="R1788" s="94"/>
      <c r="S1788" s="94"/>
      <c r="T1788" s="94"/>
      <c r="U1788" s="94"/>
      <c r="V1788" s="94"/>
      <c r="W1788" s="94"/>
      <c r="X1788" s="94"/>
      <c r="Y1788" s="94"/>
      <c r="Z1788" s="94"/>
      <c r="AA1788" s="94"/>
      <c r="AB1788" s="94"/>
      <c r="AC1788" s="94"/>
      <c r="AD1788" s="94"/>
      <c r="AE1788" s="94"/>
      <c r="AF1788" s="94"/>
      <c r="AG1788" s="94"/>
      <c r="AH1788" s="94"/>
      <c r="AI1788" s="94"/>
      <c r="AJ1788" s="94"/>
      <c r="AK1788" s="94"/>
      <c r="AL1788" s="94"/>
      <c r="AM1788" s="94"/>
      <c r="AN1788" s="94"/>
      <c r="AO1788" s="94"/>
      <c r="AP1788" s="94"/>
      <c r="AQ1788" s="94"/>
      <c r="AR1788" s="94"/>
      <c r="AS1788" s="94"/>
      <c r="AT1788" s="94"/>
      <c r="AU1788" s="94"/>
      <c r="AV1788" s="94"/>
      <c r="AW1788" s="94"/>
      <c r="AX1788" s="94"/>
      <c r="AY1788" s="94"/>
      <c r="AZ1788" s="94"/>
      <c r="BA1788" s="94"/>
      <c r="BB1788" s="94"/>
      <c r="BC1788" s="94"/>
      <c r="BD1788" s="94"/>
      <c r="BE1788" s="94"/>
      <c r="BF1788" s="94"/>
    </row>
    <row r="1789" spans="1:58" x14ac:dyDescent="0.35">
      <c r="A1789" s="107" t="s">
        <v>3566</v>
      </c>
      <c r="B1789" s="108" t="s">
        <v>0</v>
      </c>
      <c r="C1789" s="109">
        <v>7</v>
      </c>
      <c r="D1789" s="107" t="s">
        <v>1242</v>
      </c>
      <c r="E1789" s="109" t="s">
        <v>323</v>
      </c>
      <c r="F1789" s="94"/>
      <c r="G1789" s="94"/>
      <c r="H1789" s="94"/>
      <c r="I1789" s="94"/>
      <c r="J1789" s="94"/>
      <c r="K1789" s="94"/>
      <c r="L1789" s="94"/>
      <c r="M1789" s="94"/>
      <c r="N1789" s="94"/>
      <c r="O1789" s="94"/>
      <c r="P1789" s="94"/>
      <c r="Q1789" s="94"/>
      <c r="R1789" s="94"/>
      <c r="S1789" s="94"/>
      <c r="T1789" s="94"/>
      <c r="U1789" s="94"/>
      <c r="V1789" s="94"/>
      <c r="W1789" s="94"/>
      <c r="X1789" s="94"/>
      <c r="Y1789" s="94"/>
      <c r="Z1789" s="94"/>
      <c r="AA1789" s="94"/>
      <c r="AB1789" s="94"/>
      <c r="AC1789" s="94"/>
      <c r="AD1789" s="94"/>
      <c r="AE1789" s="94"/>
      <c r="AF1789" s="94"/>
      <c r="AG1789" s="94"/>
      <c r="AH1789" s="94"/>
      <c r="AI1789" s="94"/>
      <c r="AJ1789" s="94"/>
      <c r="AK1789" s="94"/>
      <c r="AL1789" s="94"/>
      <c r="AM1789" s="94"/>
      <c r="AN1789" s="94"/>
      <c r="AO1789" s="94"/>
      <c r="AP1789" s="94"/>
      <c r="AQ1789" s="94"/>
      <c r="AR1789" s="94"/>
      <c r="AS1789" s="94"/>
      <c r="AT1789" s="94"/>
      <c r="AU1789" s="94"/>
      <c r="AV1789" s="94"/>
      <c r="AW1789" s="94"/>
      <c r="AX1789" s="94"/>
      <c r="AY1789" s="94"/>
      <c r="AZ1789" s="94"/>
      <c r="BA1789" s="94"/>
      <c r="BB1789" s="94"/>
      <c r="BC1789" s="94"/>
      <c r="BD1789" s="94"/>
      <c r="BE1789" s="94"/>
      <c r="BF1789" s="94"/>
    </row>
    <row r="1790" spans="1:58" x14ac:dyDescent="0.35">
      <c r="A1790" s="104" t="s">
        <v>3567</v>
      </c>
      <c r="B1790" s="105" t="s">
        <v>0</v>
      </c>
      <c r="C1790" s="106">
        <v>6</v>
      </c>
      <c r="D1790" s="104" t="s">
        <v>123</v>
      </c>
      <c r="E1790" s="106"/>
      <c r="F1790" s="94"/>
      <c r="G1790" s="94"/>
      <c r="H1790" s="94"/>
      <c r="I1790" s="94"/>
      <c r="J1790" s="94"/>
      <c r="K1790" s="94"/>
      <c r="L1790" s="94"/>
      <c r="M1790" s="94"/>
      <c r="N1790" s="94"/>
      <c r="O1790" s="94"/>
      <c r="P1790" s="94"/>
      <c r="Q1790" s="94"/>
      <c r="R1790" s="94"/>
      <c r="S1790" s="94"/>
      <c r="T1790" s="94"/>
      <c r="U1790" s="94"/>
      <c r="V1790" s="94"/>
      <c r="W1790" s="94"/>
      <c r="X1790" s="94"/>
      <c r="Y1790" s="94"/>
      <c r="Z1790" s="94"/>
      <c r="AA1790" s="94"/>
      <c r="AB1790" s="94"/>
      <c r="AC1790" s="94"/>
      <c r="AD1790" s="94"/>
      <c r="AE1790" s="94"/>
      <c r="AF1790" s="94"/>
      <c r="AG1790" s="94"/>
      <c r="AH1790" s="94"/>
      <c r="AI1790" s="94"/>
      <c r="AJ1790" s="94"/>
      <c r="AK1790" s="94"/>
      <c r="AL1790" s="94"/>
      <c r="AM1790" s="94"/>
      <c r="AN1790" s="94"/>
      <c r="AO1790" s="94"/>
      <c r="AP1790" s="94"/>
      <c r="AQ1790" s="94"/>
      <c r="AR1790" s="94"/>
      <c r="AS1790" s="94"/>
      <c r="AT1790" s="94"/>
      <c r="AU1790" s="94"/>
      <c r="AV1790" s="94"/>
      <c r="AW1790" s="94"/>
      <c r="AX1790" s="94"/>
      <c r="AY1790" s="94"/>
      <c r="AZ1790" s="94"/>
      <c r="BA1790" s="94"/>
      <c r="BB1790" s="94"/>
      <c r="BC1790" s="94"/>
      <c r="BD1790" s="94"/>
      <c r="BE1790" s="94"/>
      <c r="BF1790" s="94"/>
    </row>
    <row r="1791" spans="1:58" x14ac:dyDescent="0.35">
      <c r="A1791" s="107" t="s">
        <v>3790</v>
      </c>
      <c r="B1791" s="108" t="s">
        <v>0</v>
      </c>
      <c r="C1791" s="109">
        <v>7</v>
      </c>
      <c r="D1791" s="107" t="s">
        <v>1654</v>
      </c>
      <c r="E1791" s="109"/>
      <c r="F1791" s="94"/>
      <c r="G1791" s="94"/>
      <c r="H1791" s="94"/>
      <c r="I1791" s="94"/>
      <c r="J1791" s="94"/>
      <c r="K1791" s="94"/>
      <c r="L1791" s="94"/>
      <c r="M1791" s="94"/>
      <c r="N1791" s="94"/>
      <c r="O1791" s="94"/>
      <c r="P1791" s="94"/>
      <c r="Q1791" s="94"/>
      <c r="R1791" s="94"/>
      <c r="S1791" s="94"/>
      <c r="T1791" s="94"/>
      <c r="U1791" s="94"/>
      <c r="V1791" s="94"/>
      <c r="W1791" s="94"/>
      <c r="X1791" s="94"/>
      <c r="Y1791" s="94"/>
      <c r="Z1791" s="94"/>
      <c r="AA1791" s="94"/>
      <c r="AB1791" s="94"/>
      <c r="AC1791" s="94"/>
      <c r="AD1791" s="94"/>
      <c r="AE1791" s="94"/>
      <c r="AF1791" s="94"/>
      <c r="AG1791" s="94"/>
      <c r="AH1791" s="94"/>
      <c r="AI1791" s="94"/>
      <c r="AJ1791" s="94"/>
      <c r="AK1791" s="94"/>
      <c r="AL1791" s="94"/>
      <c r="AM1791" s="94"/>
      <c r="AN1791" s="94"/>
      <c r="AO1791" s="94"/>
      <c r="AP1791" s="94"/>
      <c r="AQ1791" s="94"/>
      <c r="AR1791" s="94"/>
      <c r="AS1791" s="94"/>
      <c r="AT1791" s="94"/>
      <c r="AU1791" s="94"/>
      <c r="AV1791" s="94"/>
      <c r="AW1791" s="94"/>
      <c r="AX1791" s="94"/>
      <c r="AY1791" s="94"/>
      <c r="AZ1791" s="94"/>
      <c r="BA1791" s="94"/>
      <c r="BB1791" s="94"/>
      <c r="BC1791" s="94"/>
      <c r="BD1791" s="94"/>
      <c r="BE1791" s="94"/>
      <c r="BF1791" s="94"/>
    </row>
    <row r="1792" spans="1:58" x14ac:dyDescent="0.35">
      <c r="A1792" s="104" t="s">
        <v>3568</v>
      </c>
      <c r="B1792" s="105" t="s">
        <v>0</v>
      </c>
      <c r="C1792" s="106">
        <v>6</v>
      </c>
      <c r="D1792" s="104" t="s">
        <v>1665</v>
      </c>
      <c r="E1792" s="106"/>
      <c r="F1792" s="94"/>
      <c r="G1792" s="94"/>
      <c r="H1792" s="94"/>
      <c r="I1792" s="94"/>
      <c r="J1792" s="94"/>
      <c r="K1792" s="94"/>
      <c r="L1792" s="94"/>
      <c r="M1792" s="94"/>
      <c r="N1792" s="94"/>
      <c r="O1792" s="94"/>
      <c r="P1792" s="94"/>
      <c r="Q1792" s="94"/>
      <c r="R1792" s="94"/>
      <c r="S1792" s="94"/>
      <c r="T1792" s="94"/>
      <c r="U1792" s="94"/>
      <c r="V1792" s="94"/>
      <c r="W1792" s="94"/>
      <c r="X1792" s="94"/>
      <c r="Y1792" s="94"/>
      <c r="Z1792" s="94"/>
      <c r="AA1792" s="94"/>
      <c r="AB1792" s="94"/>
      <c r="AC1792" s="94"/>
      <c r="AD1792" s="94"/>
      <c r="AE1792" s="94"/>
      <c r="AF1792" s="94"/>
      <c r="AG1792" s="94"/>
      <c r="AH1792" s="94"/>
      <c r="AI1792" s="94"/>
      <c r="AJ1792" s="94"/>
      <c r="AK1792" s="94"/>
      <c r="AL1792" s="94"/>
      <c r="AM1792" s="94"/>
      <c r="AN1792" s="94"/>
      <c r="AO1792" s="94"/>
      <c r="AP1792" s="94"/>
      <c r="AQ1792" s="94"/>
      <c r="AR1792" s="94"/>
      <c r="AS1792" s="94"/>
      <c r="AT1792" s="94"/>
      <c r="AU1792" s="94"/>
      <c r="AV1792" s="94"/>
      <c r="AW1792" s="94"/>
      <c r="AX1792" s="94"/>
      <c r="AY1792" s="94"/>
      <c r="AZ1792" s="94"/>
      <c r="BA1792" s="94"/>
      <c r="BB1792" s="94"/>
      <c r="BC1792" s="94"/>
      <c r="BD1792" s="94"/>
      <c r="BE1792" s="94"/>
      <c r="BF1792" s="94"/>
    </row>
    <row r="1793" spans="1:58" x14ac:dyDescent="0.35">
      <c r="A1793" s="107" t="s">
        <v>3569</v>
      </c>
      <c r="B1793" s="108" t="s">
        <v>0</v>
      </c>
      <c r="C1793" s="109">
        <v>7</v>
      </c>
      <c r="D1793" s="107" t="s">
        <v>1773</v>
      </c>
      <c r="E1793" s="109" t="s">
        <v>1772</v>
      </c>
      <c r="F1793" s="94"/>
      <c r="G1793" s="94"/>
      <c r="H1793" s="94"/>
      <c r="I1793" s="94"/>
      <c r="J1793" s="94"/>
      <c r="K1793" s="94"/>
      <c r="L1793" s="94"/>
      <c r="M1793" s="94"/>
      <c r="N1793" s="94"/>
      <c r="O1793" s="94"/>
      <c r="P1793" s="94"/>
      <c r="Q1793" s="94"/>
      <c r="R1793" s="94"/>
      <c r="S1793" s="94"/>
      <c r="T1793" s="94"/>
      <c r="U1793" s="94"/>
      <c r="V1793" s="94"/>
      <c r="W1793" s="94"/>
      <c r="X1793" s="94"/>
      <c r="Y1793" s="94"/>
      <c r="Z1793" s="94"/>
      <c r="AA1793" s="94"/>
      <c r="AB1793" s="94"/>
      <c r="AC1793" s="94"/>
      <c r="AD1793" s="94"/>
      <c r="AE1793" s="94"/>
      <c r="AF1793" s="94"/>
      <c r="AG1793" s="94"/>
      <c r="AH1793" s="94"/>
      <c r="AI1793" s="94"/>
      <c r="AJ1793" s="94"/>
      <c r="AK1793" s="94"/>
      <c r="AL1793" s="94"/>
      <c r="AM1793" s="94"/>
      <c r="AN1793" s="94"/>
      <c r="AO1793" s="94"/>
      <c r="AP1793" s="94"/>
      <c r="AQ1793" s="94"/>
      <c r="AR1793" s="94"/>
      <c r="AS1793" s="94"/>
      <c r="AT1793" s="94"/>
      <c r="AU1793" s="94"/>
      <c r="AV1793" s="94"/>
      <c r="AW1793" s="94"/>
      <c r="AX1793" s="94"/>
      <c r="AY1793" s="94"/>
      <c r="AZ1793" s="94"/>
      <c r="BA1793" s="94"/>
      <c r="BB1793" s="94"/>
      <c r="BC1793" s="94"/>
      <c r="BD1793" s="94"/>
      <c r="BE1793" s="94"/>
      <c r="BF1793" s="94"/>
    </row>
    <row r="1794" spans="1:58" x14ac:dyDescent="0.35">
      <c r="A1794" s="101" t="s">
        <v>3570</v>
      </c>
      <c r="B1794" s="102" t="s">
        <v>0</v>
      </c>
      <c r="C1794" s="103">
        <v>5</v>
      </c>
      <c r="D1794" s="101" t="s">
        <v>1243</v>
      </c>
      <c r="E1794" s="103" t="s">
        <v>324</v>
      </c>
      <c r="F1794" s="94"/>
      <c r="G1794" s="94"/>
      <c r="H1794" s="94"/>
      <c r="I1794" s="94"/>
      <c r="J1794" s="94"/>
      <c r="K1794" s="94"/>
      <c r="L1794" s="94"/>
      <c r="M1794" s="94"/>
      <c r="N1794" s="94"/>
      <c r="O1794" s="94"/>
      <c r="P1794" s="94"/>
      <c r="Q1794" s="94"/>
      <c r="R1794" s="94"/>
      <c r="S1794" s="94"/>
      <c r="T1794" s="94"/>
      <c r="U1794" s="94"/>
      <c r="V1794" s="94"/>
      <c r="W1794" s="94"/>
      <c r="X1794" s="94"/>
      <c r="Y1794" s="94"/>
      <c r="Z1794" s="94"/>
      <c r="AA1794" s="94"/>
      <c r="AB1794" s="94"/>
      <c r="AC1794" s="94"/>
      <c r="AD1794" s="94"/>
      <c r="AE1794" s="94"/>
      <c r="AF1794" s="94"/>
      <c r="AG1794" s="94"/>
      <c r="AH1794" s="94"/>
      <c r="AI1794" s="94"/>
      <c r="AJ1794" s="94"/>
      <c r="AK1794" s="94"/>
      <c r="AL1794" s="94"/>
      <c r="AM1794" s="94"/>
      <c r="AN1794" s="94"/>
      <c r="AO1794" s="94"/>
      <c r="AP1794" s="94"/>
      <c r="AQ1794" s="94"/>
      <c r="AR1794" s="94"/>
      <c r="AS1794" s="94"/>
      <c r="AT1794" s="94"/>
      <c r="AU1794" s="94"/>
      <c r="AV1794" s="94"/>
      <c r="AW1794" s="94"/>
      <c r="AX1794" s="94"/>
      <c r="AY1794" s="94"/>
      <c r="AZ1794" s="94"/>
      <c r="BA1794" s="94"/>
      <c r="BB1794" s="94"/>
      <c r="BC1794" s="94"/>
      <c r="BD1794" s="94"/>
      <c r="BE1794" s="94"/>
      <c r="BF1794" s="94"/>
    </row>
    <row r="1795" spans="1:58" x14ac:dyDescent="0.35">
      <c r="A1795" s="104" t="s">
        <v>3571</v>
      </c>
      <c r="B1795" s="105" t="s">
        <v>0</v>
      </c>
      <c r="C1795" s="106">
        <v>6</v>
      </c>
      <c r="D1795" s="104" t="s">
        <v>16</v>
      </c>
      <c r="E1795" s="106"/>
      <c r="F1795" s="94"/>
      <c r="G1795" s="94"/>
      <c r="H1795" s="94"/>
      <c r="I1795" s="94"/>
      <c r="J1795" s="94"/>
      <c r="K1795" s="94"/>
      <c r="L1795" s="94"/>
      <c r="M1795" s="94"/>
      <c r="N1795" s="94"/>
      <c r="O1795" s="94"/>
      <c r="P1795" s="94"/>
      <c r="Q1795" s="94"/>
      <c r="R1795" s="94"/>
      <c r="S1795" s="94"/>
      <c r="T1795" s="94"/>
      <c r="U1795" s="94"/>
      <c r="V1795" s="94"/>
      <c r="W1795" s="94"/>
      <c r="X1795" s="94"/>
      <c r="Y1795" s="94"/>
      <c r="Z1795" s="94"/>
      <c r="AA1795" s="94"/>
      <c r="AB1795" s="94"/>
      <c r="AC1795" s="94"/>
      <c r="AD1795" s="94"/>
      <c r="AE1795" s="94"/>
      <c r="AF1795" s="94"/>
      <c r="AG1795" s="94"/>
      <c r="AH1795" s="94"/>
      <c r="AI1795" s="94"/>
      <c r="AJ1795" s="94"/>
      <c r="AK1795" s="94"/>
      <c r="AL1795" s="94"/>
      <c r="AM1795" s="94"/>
      <c r="AN1795" s="94"/>
      <c r="AO1795" s="94"/>
      <c r="AP1795" s="94"/>
      <c r="AQ1795" s="94"/>
      <c r="AR1795" s="94"/>
      <c r="AS1795" s="94"/>
      <c r="AT1795" s="94"/>
      <c r="AU1795" s="94"/>
      <c r="AV1795" s="94"/>
      <c r="AW1795" s="94"/>
      <c r="AX1795" s="94"/>
      <c r="AY1795" s="94"/>
      <c r="AZ1795" s="94"/>
      <c r="BA1795" s="94"/>
      <c r="BB1795" s="94"/>
      <c r="BC1795" s="94"/>
      <c r="BD1795" s="94"/>
      <c r="BE1795" s="94"/>
      <c r="BF1795" s="94"/>
    </row>
    <row r="1796" spans="1:58" x14ac:dyDescent="0.35">
      <c r="A1796" s="107" t="s">
        <v>3572</v>
      </c>
      <c r="B1796" s="108" t="s">
        <v>0</v>
      </c>
      <c r="C1796" s="109">
        <v>7</v>
      </c>
      <c r="D1796" s="107" t="s">
        <v>1244</v>
      </c>
      <c r="E1796" s="109" t="s">
        <v>325</v>
      </c>
      <c r="F1796" s="94"/>
      <c r="G1796" s="94"/>
      <c r="H1796" s="94"/>
      <c r="I1796" s="94"/>
      <c r="J1796" s="94"/>
      <c r="K1796" s="94"/>
      <c r="L1796" s="94"/>
      <c r="M1796" s="94"/>
      <c r="N1796" s="94"/>
      <c r="O1796" s="94"/>
      <c r="P1796" s="94"/>
      <c r="Q1796" s="94"/>
      <c r="R1796" s="94"/>
      <c r="S1796" s="94"/>
      <c r="T1796" s="94"/>
      <c r="U1796" s="94"/>
      <c r="V1796" s="94"/>
      <c r="W1796" s="94"/>
      <c r="X1796" s="94"/>
      <c r="Y1796" s="94"/>
      <c r="Z1796" s="94"/>
      <c r="AA1796" s="94"/>
      <c r="AB1796" s="94"/>
      <c r="AC1796" s="94"/>
      <c r="AD1796" s="94"/>
      <c r="AE1796" s="94"/>
      <c r="AF1796" s="94"/>
      <c r="AG1796" s="94"/>
      <c r="AH1796" s="94"/>
      <c r="AI1796" s="94"/>
      <c r="AJ1796" s="94"/>
      <c r="AK1796" s="94"/>
      <c r="AL1796" s="94"/>
      <c r="AM1796" s="94"/>
      <c r="AN1796" s="94"/>
      <c r="AO1796" s="94"/>
      <c r="AP1796" s="94"/>
      <c r="AQ1796" s="94"/>
      <c r="AR1796" s="94"/>
      <c r="AS1796" s="94"/>
      <c r="AT1796" s="94"/>
      <c r="AU1796" s="94"/>
      <c r="AV1796" s="94"/>
      <c r="AW1796" s="94"/>
      <c r="AX1796" s="94"/>
      <c r="AY1796" s="94"/>
      <c r="AZ1796" s="94"/>
      <c r="BA1796" s="94"/>
      <c r="BB1796" s="94"/>
      <c r="BC1796" s="94"/>
      <c r="BD1796" s="94"/>
      <c r="BE1796" s="94"/>
      <c r="BF1796" s="94"/>
    </row>
    <row r="1797" spans="1:58" x14ac:dyDescent="0.35">
      <c r="A1797" s="104" t="s">
        <v>3573</v>
      </c>
      <c r="B1797" s="105" t="s">
        <v>0</v>
      </c>
      <c r="C1797" s="106">
        <v>6</v>
      </c>
      <c r="D1797" s="104" t="s">
        <v>123</v>
      </c>
      <c r="E1797" s="106"/>
      <c r="F1797" s="94"/>
      <c r="G1797" s="94"/>
      <c r="H1797" s="94"/>
      <c r="I1797" s="94"/>
      <c r="J1797" s="94"/>
      <c r="K1797" s="94"/>
      <c r="L1797" s="94"/>
      <c r="M1797" s="94"/>
      <c r="N1797" s="94"/>
      <c r="O1797" s="94"/>
      <c r="P1797" s="94"/>
      <c r="Q1797" s="94"/>
      <c r="R1797" s="94"/>
      <c r="S1797" s="94"/>
      <c r="T1797" s="94"/>
      <c r="U1797" s="94"/>
      <c r="V1797" s="94"/>
      <c r="W1797" s="94"/>
      <c r="X1797" s="94"/>
      <c r="Y1797" s="94"/>
      <c r="Z1797" s="94"/>
      <c r="AA1797" s="94"/>
      <c r="AB1797" s="94"/>
      <c r="AC1797" s="94"/>
      <c r="AD1797" s="94"/>
      <c r="AE1797" s="94"/>
      <c r="AF1797" s="94"/>
      <c r="AG1797" s="94"/>
      <c r="AH1797" s="94"/>
      <c r="AI1797" s="94"/>
      <c r="AJ1797" s="94"/>
      <c r="AK1797" s="94"/>
      <c r="AL1797" s="94"/>
      <c r="AM1797" s="94"/>
      <c r="AN1797" s="94"/>
      <c r="AO1797" s="94"/>
      <c r="AP1797" s="94"/>
      <c r="AQ1797" s="94"/>
      <c r="AR1797" s="94"/>
      <c r="AS1797" s="94"/>
      <c r="AT1797" s="94"/>
      <c r="AU1797" s="94"/>
      <c r="AV1797" s="94"/>
      <c r="AW1797" s="94"/>
      <c r="AX1797" s="94"/>
      <c r="AY1797" s="94"/>
      <c r="AZ1797" s="94"/>
      <c r="BA1797" s="94"/>
      <c r="BB1797" s="94"/>
      <c r="BC1797" s="94"/>
      <c r="BD1797" s="94"/>
      <c r="BE1797" s="94"/>
      <c r="BF1797" s="94"/>
    </row>
    <row r="1798" spans="1:58" x14ac:dyDescent="0.35">
      <c r="A1798" s="107" t="s">
        <v>3791</v>
      </c>
      <c r="B1798" s="108" t="s">
        <v>0</v>
      </c>
      <c r="C1798" s="109">
        <v>7</v>
      </c>
      <c r="D1798" s="107" t="s">
        <v>1654</v>
      </c>
      <c r="E1798" s="109"/>
      <c r="F1798" s="94"/>
      <c r="G1798" s="94"/>
      <c r="H1798" s="94"/>
      <c r="I1798" s="94"/>
      <c r="J1798" s="94"/>
      <c r="K1798" s="94"/>
      <c r="L1798" s="94"/>
      <c r="M1798" s="94"/>
      <c r="N1798" s="94"/>
      <c r="O1798" s="94"/>
      <c r="P1798" s="94"/>
      <c r="Q1798" s="94"/>
      <c r="R1798" s="94"/>
      <c r="S1798" s="94"/>
      <c r="T1798" s="94"/>
      <c r="U1798" s="94"/>
      <c r="V1798" s="94"/>
      <c r="W1798" s="94"/>
      <c r="X1798" s="94"/>
      <c r="Y1798" s="94"/>
      <c r="Z1798" s="94"/>
      <c r="AA1798" s="94"/>
      <c r="AB1798" s="94"/>
      <c r="AC1798" s="94"/>
      <c r="AD1798" s="94"/>
      <c r="AE1798" s="94"/>
      <c r="AF1798" s="94"/>
      <c r="AG1798" s="94"/>
      <c r="AH1798" s="94"/>
      <c r="AI1798" s="94"/>
      <c r="AJ1798" s="94"/>
      <c r="AK1798" s="94"/>
      <c r="AL1798" s="94"/>
      <c r="AM1798" s="94"/>
      <c r="AN1798" s="94"/>
      <c r="AO1798" s="94"/>
      <c r="AP1798" s="94"/>
      <c r="AQ1798" s="94"/>
      <c r="AR1798" s="94"/>
      <c r="AS1798" s="94"/>
      <c r="AT1798" s="94"/>
      <c r="AU1798" s="94"/>
      <c r="AV1798" s="94"/>
      <c r="AW1798" s="94"/>
      <c r="AX1798" s="94"/>
      <c r="AY1798" s="94"/>
      <c r="AZ1798" s="94"/>
      <c r="BA1798" s="94"/>
      <c r="BB1798" s="94"/>
      <c r="BC1798" s="94"/>
      <c r="BD1798" s="94"/>
      <c r="BE1798" s="94"/>
      <c r="BF1798" s="94"/>
    </row>
    <row r="1799" spans="1:58" x14ac:dyDescent="0.35">
      <c r="A1799" s="104" t="s">
        <v>3574</v>
      </c>
      <c r="B1799" s="105" t="s">
        <v>0</v>
      </c>
      <c r="C1799" s="106">
        <v>6</v>
      </c>
      <c r="D1799" s="104" t="s">
        <v>1665</v>
      </c>
      <c r="E1799" s="106"/>
      <c r="F1799" s="94"/>
      <c r="G1799" s="94"/>
      <c r="H1799" s="94"/>
      <c r="I1799" s="94"/>
      <c r="J1799" s="94"/>
      <c r="K1799" s="94"/>
      <c r="L1799" s="94"/>
      <c r="M1799" s="94"/>
      <c r="N1799" s="94"/>
      <c r="O1799" s="94"/>
      <c r="P1799" s="94"/>
      <c r="Q1799" s="94"/>
      <c r="R1799" s="94"/>
      <c r="S1799" s="94"/>
      <c r="T1799" s="94"/>
      <c r="U1799" s="94"/>
      <c r="V1799" s="94"/>
      <c r="W1799" s="94"/>
      <c r="X1799" s="94"/>
      <c r="Y1799" s="94"/>
      <c r="Z1799" s="94"/>
      <c r="AA1799" s="94"/>
      <c r="AB1799" s="94"/>
      <c r="AC1799" s="94"/>
      <c r="AD1799" s="94"/>
      <c r="AE1799" s="94"/>
      <c r="AF1799" s="94"/>
      <c r="AG1799" s="94"/>
      <c r="AH1799" s="94"/>
      <c r="AI1799" s="94"/>
      <c r="AJ1799" s="94"/>
      <c r="AK1799" s="94"/>
      <c r="AL1799" s="94"/>
      <c r="AM1799" s="94"/>
      <c r="AN1799" s="94"/>
      <c r="AO1799" s="94"/>
      <c r="AP1799" s="94"/>
      <c r="AQ1799" s="94"/>
      <c r="AR1799" s="94"/>
      <c r="AS1799" s="94"/>
      <c r="AT1799" s="94"/>
      <c r="AU1799" s="94"/>
      <c r="AV1799" s="94"/>
      <c r="AW1799" s="94"/>
      <c r="AX1799" s="94"/>
      <c r="AY1799" s="94"/>
      <c r="AZ1799" s="94"/>
      <c r="BA1799" s="94"/>
      <c r="BB1799" s="94"/>
      <c r="BC1799" s="94"/>
      <c r="BD1799" s="94"/>
      <c r="BE1799" s="94"/>
      <c r="BF1799" s="94"/>
    </row>
    <row r="1800" spans="1:58" x14ac:dyDescent="0.35">
      <c r="A1800" s="107" t="s">
        <v>3575</v>
      </c>
      <c r="B1800" s="108" t="s">
        <v>0</v>
      </c>
      <c r="C1800" s="109">
        <v>7</v>
      </c>
      <c r="D1800" s="107" t="s">
        <v>1773</v>
      </c>
      <c r="E1800" s="109" t="s">
        <v>1772</v>
      </c>
      <c r="F1800" s="94"/>
      <c r="G1800" s="94"/>
      <c r="H1800" s="94"/>
      <c r="I1800" s="94"/>
      <c r="J1800" s="94"/>
      <c r="K1800" s="94"/>
      <c r="L1800" s="94"/>
      <c r="M1800" s="94"/>
      <c r="N1800" s="94"/>
      <c r="O1800" s="94"/>
      <c r="P1800" s="94"/>
      <c r="Q1800" s="94"/>
      <c r="R1800" s="94"/>
      <c r="S1800" s="94"/>
      <c r="T1800" s="94"/>
      <c r="U1800" s="94"/>
      <c r="V1800" s="94"/>
      <c r="W1800" s="94"/>
      <c r="X1800" s="94"/>
      <c r="Y1800" s="94"/>
      <c r="Z1800" s="94"/>
      <c r="AA1800" s="94"/>
      <c r="AB1800" s="94"/>
      <c r="AC1800" s="94"/>
      <c r="AD1800" s="94"/>
      <c r="AE1800" s="94"/>
      <c r="AF1800" s="94"/>
      <c r="AG1800" s="94"/>
      <c r="AH1800" s="94"/>
      <c r="AI1800" s="94"/>
      <c r="AJ1800" s="94"/>
      <c r="AK1800" s="94"/>
      <c r="AL1800" s="94"/>
      <c r="AM1800" s="94"/>
      <c r="AN1800" s="94"/>
      <c r="AO1800" s="94"/>
      <c r="AP1800" s="94"/>
      <c r="AQ1800" s="94"/>
      <c r="AR1800" s="94"/>
      <c r="AS1800" s="94"/>
      <c r="AT1800" s="94"/>
      <c r="AU1800" s="94"/>
      <c r="AV1800" s="94"/>
      <c r="AW1800" s="94"/>
      <c r="AX1800" s="94"/>
      <c r="AY1800" s="94"/>
      <c r="AZ1800" s="94"/>
      <c r="BA1800" s="94"/>
      <c r="BB1800" s="94"/>
      <c r="BC1800" s="94"/>
      <c r="BD1800" s="94"/>
      <c r="BE1800" s="94"/>
      <c r="BF1800" s="94"/>
    </row>
    <row r="1801" spans="1:58" x14ac:dyDescent="0.35">
      <c r="A1801" s="101" t="s">
        <v>3576</v>
      </c>
      <c r="B1801" s="102" t="s">
        <v>0</v>
      </c>
      <c r="C1801" s="103">
        <v>5</v>
      </c>
      <c r="D1801" s="101" t="s">
        <v>479</v>
      </c>
      <c r="E1801" s="103" t="s">
        <v>326</v>
      </c>
      <c r="F1801" s="94"/>
      <c r="G1801" s="94"/>
      <c r="H1801" s="94"/>
      <c r="I1801" s="94"/>
      <c r="J1801" s="94"/>
      <c r="K1801" s="94"/>
      <c r="L1801" s="94"/>
      <c r="M1801" s="94"/>
      <c r="N1801" s="94"/>
      <c r="O1801" s="94"/>
      <c r="P1801" s="94"/>
      <c r="Q1801" s="94"/>
      <c r="R1801" s="94"/>
      <c r="S1801" s="94"/>
      <c r="T1801" s="94"/>
      <c r="U1801" s="94"/>
      <c r="V1801" s="94"/>
      <c r="W1801" s="94"/>
      <c r="X1801" s="94"/>
      <c r="Y1801" s="94"/>
      <c r="Z1801" s="94"/>
      <c r="AA1801" s="94"/>
      <c r="AB1801" s="94"/>
      <c r="AC1801" s="94"/>
      <c r="AD1801" s="94"/>
      <c r="AE1801" s="94"/>
      <c r="AF1801" s="94"/>
      <c r="AG1801" s="94"/>
      <c r="AH1801" s="94"/>
      <c r="AI1801" s="94"/>
      <c r="AJ1801" s="94"/>
      <c r="AK1801" s="94"/>
      <c r="AL1801" s="94"/>
      <c r="AM1801" s="94"/>
      <c r="AN1801" s="94"/>
      <c r="AO1801" s="94"/>
      <c r="AP1801" s="94"/>
      <c r="AQ1801" s="94"/>
      <c r="AR1801" s="94"/>
      <c r="AS1801" s="94"/>
      <c r="AT1801" s="94"/>
      <c r="AU1801" s="94"/>
      <c r="AV1801" s="94"/>
      <c r="AW1801" s="94"/>
      <c r="AX1801" s="94"/>
      <c r="AY1801" s="94"/>
      <c r="AZ1801" s="94"/>
      <c r="BA1801" s="94"/>
      <c r="BB1801" s="94"/>
      <c r="BC1801" s="94"/>
      <c r="BD1801" s="94"/>
      <c r="BE1801" s="94"/>
      <c r="BF1801" s="94"/>
    </row>
    <row r="1802" spans="1:58" x14ac:dyDescent="0.35">
      <c r="A1802" s="104" t="s">
        <v>3577</v>
      </c>
      <c r="B1802" s="105" t="s">
        <v>0</v>
      </c>
      <c r="C1802" s="106">
        <v>6</v>
      </c>
      <c r="D1802" s="104" t="s">
        <v>1665</v>
      </c>
      <c r="E1802" s="106"/>
      <c r="F1802" s="94"/>
      <c r="G1802" s="94"/>
      <c r="H1802" s="94"/>
      <c r="I1802" s="94"/>
      <c r="J1802" s="94"/>
      <c r="K1802" s="94"/>
      <c r="L1802" s="94"/>
      <c r="M1802" s="94"/>
      <c r="N1802" s="94"/>
      <c r="O1802" s="94"/>
      <c r="P1802" s="94"/>
      <c r="Q1802" s="94"/>
      <c r="R1802" s="94"/>
      <c r="S1802" s="94"/>
      <c r="T1802" s="94"/>
      <c r="U1802" s="94"/>
      <c r="V1802" s="94"/>
      <c r="W1802" s="94"/>
      <c r="X1802" s="94"/>
      <c r="Y1802" s="94"/>
      <c r="Z1802" s="94"/>
      <c r="AA1802" s="94"/>
      <c r="AB1802" s="94"/>
      <c r="AC1802" s="94"/>
      <c r="AD1802" s="94"/>
      <c r="AE1802" s="94"/>
      <c r="AF1802" s="94"/>
      <c r="AG1802" s="94"/>
      <c r="AH1802" s="94"/>
      <c r="AI1802" s="94"/>
      <c r="AJ1802" s="94"/>
      <c r="AK1802" s="94"/>
      <c r="AL1802" s="94"/>
      <c r="AM1802" s="94"/>
      <c r="AN1802" s="94"/>
      <c r="AO1802" s="94"/>
      <c r="AP1802" s="94"/>
      <c r="AQ1802" s="94"/>
      <c r="AR1802" s="94"/>
      <c r="AS1802" s="94"/>
      <c r="AT1802" s="94"/>
      <c r="AU1802" s="94"/>
      <c r="AV1802" s="94"/>
      <c r="AW1802" s="94"/>
      <c r="AX1802" s="94"/>
      <c r="AY1802" s="94"/>
      <c r="AZ1802" s="94"/>
      <c r="BA1802" s="94"/>
      <c r="BB1802" s="94"/>
      <c r="BC1802" s="94"/>
      <c r="BD1802" s="94"/>
      <c r="BE1802" s="94"/>
      <c r="BF1802" s="94"/>
    </row>
    <row r="1803" spans="1:58" x14ac:dyDescent="0.35">
      <c r="A1803" s="107" t="s">
        <v>3578</v>
      </c>
      <c r="B1803" s="108" t="s">
        <v>0</v>
      </c>
      <c r="C1803" s="109">
        <v>7</v>
      </c>
      <c r="D1803" s="107" t="s">
        <v>1651</v>
      </c>
      <c r="E1803" s="109" t="s">
        <v>1774</v>
      </c>
      <c r="F1803" s="94"/>
      <c r="G1803" s="94"/>
      <c r="H1803" s="94"/>
      <c r="I1803" s="94"/>
      <c r="J1803" s="94"/>
      <c r="K1803" s="94"/>
      <c r="L1803" s="94"/>
      <c r="M1803" s="94"/>
      <c r="N1803" s="94"/>
      <c r="O1803" s="94"/>
      <c r="P1803" s="94"/>
      <c r="Q1803" s="94"/>
      <c r="R1803" s="94"/>
      <c r="S1803" s="94"/>
      <c r="T1803" s="94"/>
      <c r="U1803" s="94"/>
      <c r="V1803" s="94"/>
      <c r="W1803" s="94"/>
      <c r="X1803" s="94"/>
      <c r="Y1803" s="94"/>
      <c r="Z1803" s="94"/>
      <c r="AA1803" s="94"/>
      <c r="AB1803" s="94"/>
      <c r="AC1803" s="94"/>
      <c r="AD1803" s="94"/>
      <c r="AE1803" s="94"/>
      <c r="AF1803" s="94"/>
      <c r="AG1803" s="94"/>
      <c r="AH1803" s="94"/>
      <c r="AI1803" s="94"/>
      <c r="AJ1803" s="94"/>
      <c r="AK1803" s="94"/>
      <c r="AL1803" s="94"/>
      <c r="AM1803" s="94"/>
      <c r="AN1803" s="94"/>
      <c r="AO1803" s="94"/>
      <c r="AP1803" s="94"/>
      <c r="AQ1803" s="94"/>
      <c r="AR1803" s="94"/>
      <c r="AS1803" s="94"/>
      <c r="AT1803" s="94"/>
      <c r="AU1803" s="94"/>
      <c r="AV1803" s="94"/>
      <c r="AW1803" s="94"/>
      <c r="AX1803" s="94"/>
      <c r="AY1803" s="94"/>
      <c r="AZ1803" s="94"/>
      <c r="BA1803" s="94"/>
      <c r="BB1803" s="94"/>
      <c r="BC1803" s="94"/>
      <c r="BD1803" s="94"/>
      <c r="BE1803" s="94"/>
      <c r="BF1803" s="94"/>
    </row>
    <row r="1804" spans="1:58" x14ac:dyDescent="0.35">
      <c r="A1804" s="101" t="s">
        <v>3579</v>
      </c>
      <c r="B1804" s="102" t="s">
        <v>0</v>
      </c>
      <c r="C1804" s="103">
        <v>5</v>
      </c>
      <c r="D1804" s="101" t="s">
        <v>480</v>
      </c>
      <c r="E1804" s="103" t="s">
        <v>327</v>
      </c>
      <c r="F1804" s="94"/>
      <c r="G1804" s="94"/>
      <c r="H1804" s="94"/>
      <c r="I1804" s="94"/>
      <c r="J1804" s="94"/>
      <c r="K1804" s="94"/>
      <c r="L1804" s="94"/>
      <c r="M1804" s="94"/>
      <c r="N1804" s="94"/>
      <c r="O1804" s="94"/>
      <c r="P1804" s="94"/>
      <c r="Q1804" s="94"/>
      <c r="R1804" s="94"/>
      <c r="S1804" s="94"/>
      <c r="T1804" s="94"/>
      <c r="U1804" s="94"/>
      <c r="V1804" s="94"/>
      <c r="W1804" s="94"/>
      <c r="X1804" s="94"/>
      <c r="Y1804" s="94"/>
      <c r="Z1804" s="94"/>
      <c r="AA1804" s="94"/>
      <c r="AB1804" s="94"/>
      <c r="AC1804" s="94"/>
      <c r="AD1804" s="94"/>
      <c r="AE1804" s="94"/>
      <c r="AF1804" s="94"/>
      <c r="AG1804" s="94"/>
      <c r="AH1804" s="94"/>
      <c r="AI1804" s="94"/>
      <c r="AJ1804" s="94"/>
      <c r="AK1804" s="94"/>
      <c r="AL1804" s="94"/>
      <c r="AM1804" s="94"/>
      <c r="AN1804" s="94"/>
      <c r="AO1804" s="94"/>
      <c r="AP1804" s="94"/>
      <c r="AQ1804" s="94"/>
      <c r="AR1804" s="94"/>
      <c r="AS1804" s="94"/>
      <c r="AT1804" s="94"/>
      <c r="AU1804" s="94"/>
      <c r="AV1804" s="94"/>
      <c r="AW1804" s="94"/>
      <c r="AX1804" s="94"/>
      <c r="AY1804" s="94"/>
      <c r="AZ1804" s="94"/>
      <c r="BA1804" s="94"/>
      <c r="BB1804" s="94"/>
      <c r="BC1804" s="94"/>
      <c r="BD1804" s="94"/>
      <c r="BE1804" s="94"/>
      <c r="BF1804" s="94"/>
    </row>
    <row r="1805" spans="1:58" x14ac:dyDescent="0.35">
      <c r="A1805" s="104" t="s">
        <v>3580</v>
      </c>
      <c r="B1805" s="105" t="s">
        <v>0</v>
      </c>
      <c r="C1805" s="106">
        <v>6</v>
      </c>
      <c r="D1805" s="104" t="s">
        <v>1665</v>
      </c>
      <c r="E1805" s="106"/>
      <c r="F1805" s="94"/>
      <c r="G1805" s="94"/>
      <c r="H1805" s="94"/>
      <c r="I1805" s="94"/>
      <c r="J1805" s="94"/>
      <c r="K1805" s="94"/>
      <c r="L1805" s="94"/>
      <c r="M1805" s="94"/>
      <c r="N1805" s="94"/>
      <c r="O1805" s="94"/>
      <c r="P1805" s="94"/>
      <c r="Q1805" s="94"/>
      <c r="R1805" s="94"/>
      <c r="S1805" s="94"/>
      <c r="T1805" s="94"/>
      <c r="U1805" s="94"/>
      <c r="V1805" s="94"/>
      <c r="W1805" s="94"/>
      <c r="X1805" s="94"/>
      <c r="Y1805" s="94"/>
      <c r="Z1805" s="94"/>
      <c r="AA1805" s="94"/>
      <c r="AB1805" s="94"/>
      <c r="AC1805" s="94"/>
      <c r="AD1805" s="94"/>
      <c r="AE1805" s="94"/>
      <c r="AF1805" s="94"/>
      <c r="AG1805" s="94"/>
      <c r="AH1805" s="94"/>
      <c r="AI1805" s="94"/>
      <c r="AJ1805" s="94"/>
      <c r="AK1805" s="94"/>
      <c r="AL1805" s="94"/>
      <c r="AM1805" s="94"/>
      <c r="AN1805" s="94"/>
      <c r="AO1805" s="94"/>
      <c r="AP1805" s="94"/>
      <c r="AQ1805" s="94"/>
      <c r="AR1805" s="94"/>
      <c r="AS1805" s="94"/>
      <c r="AT1805" s="94"/>
      <c r="AU1805" s="94"/>
      <c r="AV1805" s="94"/>
      <c r="AW1805" s="94"/>
      <c r="AX1805" s="94"/>
      <c r="AY1805" s="94"/>
      <c r="AZ1805" s="94"/>
      <c r="BA1805" s="94"/>
      <c r="BB1805" s="94"/>
      <c r="BC1805" s="94"/>
      <c r="BD1805" s="94"/>
      <c r="BE1805" s="94"/>
      <c r="BF1805" s="94"/>
    </row>
    <row r="1806" spans="1:58" x14ac:dyDescent="0.35">
      <c r="A1806" s="107" t="s">
        <v>3581</v>
      </c>
      <c r="B1806" s="108" t="s">
        <v>0</v>
      </c>
      <c r="C1806" s="109">
        <v>7</v>
      </c>
      <c r="D1806" s="107" t="s">
        <v>1651</v>
      </c>
      <c r="E1806" s="109"/>
      <c r="F1806" s="94"/>
      <c r="G1806" s="94"/>
      <c r="H1806" s="94"/>
      <c r="I1806" s="94"/>
      <c r="J1806" s="94"/>
      <c r="K1806" s="94"/>
      <c r="L1806" s="94"/>
      <c r="M1806" s="94"/>
      <c r="N1806" s="94"/>
      <c r="O1806" s="94"/>
      <c r="P1806" s="94"/>
      <c r="Q1806" s="94"/>
      <c r="R1806" s="94"/>
      <c r="S1806" s="94"/>
      <c r="T1806" s="94"/>
      <c r="U1806" s="94"/>
      <c r="V1806" s="94"/>
      <c r="W1806" s="94"/>
      <c r="X1806" s="94"/>
      <c r="Y1806" s="94"/>
      <c r="Z1806" s="94"/>
      <c r="AA1806" s="94"/>
      <c r="AB1806" s="94"/>
      <c r="AC1806" s="94"/>
      <c r="AD1806" s="94"/>
      <c r="AE1806" s="94"/>
      <c r="AF1806" s="94"/>
      <c r="AG1806" s="94"/>
      <c r="AH1806" s="94"/>
      <c r="AI1806" s="94"/>
      <c r="AJ1806" s="94"/>
      <c r="AK1806" s="94"/>
      <c r="AL1806" s="94"/>
      <c r="AM1806" s="94"/>
      <c r="AN1806" s="94"/>
      <c r="AO1806" s="94"/>
      <c r="AP1806" s="94"/>
      <c r="AQ1806" s="94"/>
      <c r="AR1806" s="94"/>
      <c r="AS1806" s="94"/>
      <c r="AT1806" s="94"/>
      <c r="AU1806" s="94"/>
      <c r="AV1806" s="94"/>
      <c r="AW1806" s="94"/>
      <c r="AX1806" s="94"/>
      <c r="AY1806" s="94"/>
      <c r="AZ1806" s="94"/>
      <c r="BA1806" s="94"/>
      <c r="BB1806" s="94"/>
      <c r="BC1806" s="94"/>
      <c r="BD1806" s="94"/>
      <c r="BE1806" s="94"/>
      <c r="BF1806" s="94"/>
    </row>
    <row r="1807" spans="1:58" x14ac:dyDescent="0.35">
      <c r="A1807" s="101" t="s">
        <v>3582</v>
      </c>
      <c r="B1807" s="102" t="s">
        <v>0</v>
      </c>
      <c r="C1807" s="103">
        <v>5</v>
      </c>
      <c r="D1807" s="101" t="s">
        <v>328</v>
      </c>
      <c r="E1807" s="103" t="s">
        <v>329</v>
      </c>
      <c r="F1807" s="94"/>
      <c r="G1807" s="94"/>
      <c r="H1807" s="94"/>
      <c r="I1807" s="94"/>
      <c r="J1807" s="94"/>
      <c r="K1807" s="94"/>
      <c r="L1807" s="94"/>
      <c r="M1807" s="94"/>
      <c r="N1807" s="94"/>
      <c r="O1807" s="94"/>
      <c r="P1807" s="94"/>
      <c r="Q1807" s="94"/>
      <c r="R1807" s="94"/>
      <c r="S1807" s="94"/>
      <c r="T1807" s="94"/>
      <c r="U1807" s="94"/>
      <c r="V1807" s="94"/>
      <c r="W1807" s="94"/>
      <c r="X1807" s="94"/>
      <c r="Y1807" s="94"/>
      <c r="Z1807" s="94"/>
      <c r="AA1807" s="94"/>
      <c r="AB1807" s="94"/>
      <c r="AC1807" s="94"/>
      <c r="AD1807" s="94"/>
      <c r="AE1807" s="94"/>
      <c r="AF1807" s="94"/>
      <c r="AG1807" s="94"/>
      <c r="AH1807" s="94"/>
      <c r="AI1807" s="94"/>
      <c r="AJ1807" s="94"/>
      <c r="AK1807" s="94"/>
      <c r="AL1807" s="94"/>
      <c r="AM1807" s="94"/>
      <c r="AN1807" s="94"/>
      <c r="AO1807" s="94"/>
      <c r="AP1807" s="94"/>
      <c r="AQ1807" s="94"/>
      <c r="AR1807" s="94"/>
      <c r="AS1807" s="94"/>
      <c r="AT1807" s="94"/>
      <c r="AU1807" s="94"/>
      <c r="AV1807" s="94"/>
      <c r="AW1807" s="94"/>
      <c r="AX1807" s="94"/>
      <c r="AY1807" s="94"/>
      <c r="AZ1807" s="94"/>
      <c r="BA1807" s="94"/>
      <c r="BB1807" s="94"/>
      <c r="BC1807" s="94"/>
      <c r="BD1807" s="94"/>
      <c r="BE1807" s="94"/>
      <c r="BF1807" s="94"/>
    </row>
    <row r="1808" spans="1:58" x14ac:dyDescent="0.35">
      <c r="A1808" s="104" t="s">
        <v>3583</v>
      </c>
      <c r="B1808" s="105" t="s">
        <v>0</v>
      </c>
      <c r="C1808" s="106">
        <v>6</v>
      </c>
      <c r="D1808" s="104" t="s">
        <v>26</v>
      </c>
      <c r="E1808" s="106"/>
      <c r="F1808" s="94"/>
      <c r="G1808" s="94"/>
      <c r="H1808" s="94"/>
      <c r="I1808" s="94"/>
      <c r="J1808" s="94"/>
      <c r="K1808" s="94"/>
      <c r="L1808" s="94"/>
      <c r="M1808" s="94"/>
      <c r="N1808" s="94"/>
      <c r="O1808" s="94"/>
      <c r="P1808" s="94"/>
      <c r="Q1808" s="94"/>
      <c r="R1808" s="94"/>
      <c r="S1808" s="94"/>
      <c r="T1808" s="94"/>
      <c r="U1808" s="94"/>
      <c r="V1808" s="94"/>
      <c r="W1808" s="94"/>
      <c r="X1808" s="94"/>
      <c r="Y1808" s="94"/>
      <c r="Z1808" s="94"/>
      <c r="AA1808" s="94"/>
      <c r="AB1808" s="94"/>
      <c r="AC1808" s="94"/>
      <c r="AD1808" s="94"/>
      <c r="AE1808" s="94"/>
      <c r="AF1808" s="94"/>
      <c r="AG1808" s="94"/>
      <c r="AH1808" s="94"/>
      <c r="AI1808" s="94"/>
      <c r="AJ1808" s="94"/>
      <c r="AK1808" s="94"/>
      <c r="AL1808" s="94"/>
      <c r="AM1808" s="94"/>
      <c r="AN1808" s="94"/>
      <c r="AO1808" s="94"/>
      <c r="AP1808" s="94"/>
      <c r="AQ1808" s="94"/>
      <c r="AR1808" s="94"/>
      <c r="AS1808" s="94"/>
      <c r="AT1808" s="94"/>
      <c r="AU1808" s="94"/>
      <c r="AV1808" s="94"/>
      <c r="AW1808" s="94"/>
      <c r="AX1808" s="94"/>
      <c r="AY1808" s="94"/>
      <c r="AZ1808" s="94"/>
      <c r="BA1808" s="94"/>
      <c r="BB1808" s="94"/>
      <c r="BC1808" s="94"/>
      <c r="BD1808" s="94"/>
      <c r="BE1808" s="94"/>
      <c r="BF1808" s="94"/>
    </row>
    <row r="1809" spans="1:58" x14ac:dyDescent="0.35">
      <c r="A1809" s="107" t="s">
        <v>3584</v>
      </c>
      <c r="B1809" s="108" t="s">
        <v>0</v>
      </c>
      <c r="C1809" s="109">
        <v>7</v>
      </c>
      <c r="D1809" s="107" t="s">
        <v>1781</v>
      </c>
      <c r="E1809" s="109"/>
      <c r="F1809" s="94"/>
      <c r="G1809" s="94"/>
      <c r="H1809" s="94"/>
      <c r="I1809" s="94"/>
      <c r="J1809" s="94"/>
      <c r="K1809" s="94"/>
      <c r="L1809" s="94"/>
      <c r="M1809" s="94"/>
      <c r="N1809" s="94"/>
      <c r="O1809" s="94"/>
      <c r="P1809" s="94"/>
      <c r="Q1809" s="94"/>
      <c r="R1809" s="94"/>
      <c r="S1809" s="94"/>
      <c r="T1809" s="94"/>
      <c r="U1809" s="94"/>
      <c r="V1809" s="94"/>
      <c r="W1809" s="94"/>
      <c r="X1809" s="94"/>
      <c r="Y1809" s="94"/>
      <c r="Z1809" s="94"/>
      <c r="AA1809" s="94"/>
      <c r="AB1809" s="94"/>
      <c r="AC1809" s="94"/>
      <c r="AD1809" s="94"/>
      <c r="AE1809" s="94"/>
      <c r="AF1809" s="94"/>
      <c r="AG1809" s="94"/>
      <c r="AH1809" s="94"/>
      <c r="AI1809" s="94"/>
      <c r="AJ1809" s="94"/>
      <c r="AK1809" s="94"/>
      <c r="AL1809" s="94"/>
      <c r="AM1809" s="94"/>
      <c r="AN1809" s="94"/>
      <c r="AO1809" s="94"/>
      <c r="AP1809" s="94"/>
      <c r="AQ1809" s="94"/>
      <c r="AR1809" s="94"/>
      <c r="AS1809" s="94"/>
      <c r="AT1809" s="94"/>
      <c r="AU1809" s="94"/>
      <c r="AV1809" s="94"/>
      <c r="AW1809" s="94"/>
      <c r="AX1809" s="94"/>
      <c r="AY1809" s="94"/>
      <c r="AZ1809" s="94"/>
      <c r="BA1809" s="94"/>
      <c r="BB1809" s="94"/>
      <c r="BC1809" s="94"/>
      <c r="BD1809" s="94"/>
      <c r="BE1809" s="94"/>
      <c r="BF1809" s="94"/>
    </row>
    <row r="1810" spans="1:58" x14ac:dyDescent="0.35">
      <c r="A1810" s="107" t="s">
        <v>3585</v>
      </c>
      <c r="B1810" s="108" t="s">
        <v>0</v>
      </c>
      <c r="C1810" s="109">
        <v>7</v>
      </c>
      <c r="D1810" s="107" t="s">
        <v>1782</v>
      </c>
      <c r="E1810" s="109"/>
      <c r="F1810" s="94"/>
      <c r="G1810" s="94"/>
      <c r="H1810" s="94"/>
      <c r="I1810" s="94"/>
      <c r="J1810" s="94"/>
      <c r="K1810" s="94"/>
      <c r="L1810" s="94"/>
      <c r="M1810" s="94"/>
      <c r="N1810" s="94"/>
      <c r="O1810" s="94"/>
      <c r="P1810" s="94"/>
      <c r="Q1810" s="94"/>
      <c r="R1810" s="94"/>
      <c r="S1810" s="94"/>
      <c r="T1810" s="94"/>
      <c r="U1810" s="94"/>
      <c r="V1810" s="94"/>
      <c r="W1810" s="94"/>
      <c r="X1810" s="94"/>
      <c r="Y1810" s="94"/>
      <c r="Z1810" s="94"/>
      <c r="AA1810" s="94"/>
      <c r="AB1810" s="94"/>
      <c r="AC1810" s="94"/>
      <c r="AD1810" s="94"/>
      <c r="AE1810" s="94"/>
      <c r="AF1810" s="94"/>
      <c r="AG1810" s="94"/>
      <c r="AH1810" s="94"/>
      <c r="AI1810" s="94"/>
      <c r="AJ1810" s="94"/>
      <c r="AK1810" s="94"/>
      <c r="AL1810" s="94"/>
      <c r="AM1810" s="94"/>
      <c r="AN1810" s="94"/>
      <c r="AO1810" s="94"/>
      <c r="AP1810" s="94"/>
      <c r="AQ1810" s="94"/>
      <c r="AR1810" s="94"/>
      <c r="AS1810" s="94"/>
      <c r="AT1810" s="94"/>
      <c r="AU1810" s="94"/>
      <c r="AV1810" s="94"/>
      <c r="AW1810" s="94"/>
      <c r="AX1810" s="94"/>
      <c r="AY1810" s="94"/>
      <c r="AZ1810" s="94"/>
      <c r="BA1810" s="94"/>
      <c r="BB1810" s="94"/>
      <c r="BC1810" s="94"/>
      <c r="BD1810" s="94"/>
      <c r="BE1810" s="94"/>
      <c r="BF1810" s="94"/>
    </row>
    <row r="1811" spans="1:58" x14ac:dyDescent="0.35">
      <c r="A1811" s="107" t="s">
        <v>3586</v>
      </c>
      <c r="B1811" s="108" t="s">
        <v>0</v>
      </c>
      <c r="C1811" s="109">
        <v>7</v>
      </c>
      <c r="D1811" s="107" t="s">
        <v>1783</v>
      </c>
      <c r="E1811" s="109"/>
      <c r="F1811" s="94"/>
      <c r="G1811" s="94"/>
      <c r="H1811" s="94"/>
      <c r="I1811" s="94"/>
      <c r="J1811" s="94"/>
      <c r="K1811" s="94"/>
      <c r="L1811" s="94"/>
      <c r="M1811" s="94"/>
      <c r="N1811" s="94"/>
      <c r="O1811" s="94"/>
      <c r="P1811" s="94"/>
      <c r="Q1811" s="94"/>
      <c r="R1811" s="94"/>
      <c r="S1811" s="94"/>
      <c r="T1811" s="94"/>
      <c r="U1811" s="94"/>
      <c r="V1811" s="94"/>
      <c r="W1811" s="94"/>
      <c r="X1811" s="94"/>
      <c r="Y1811" s="94"/>
      <c r="Z1811" s="94"/>
      <c r="AA1811" s="94"/>
      <c r="AB1811" s="94"/>
      <c r="AC1811" s="94"/>
      <c r="AD1811" s="94"/>
      <c r="AE1811" s="94"/>
      <c r="AF1811" s="94"/>
      <c r="AG1811" s="94"/>
      <c r="AH1811" s="94"/>
      <c r="AI1811" s="94"/>
      <c r="AJ1811" s="94"/>
      <c r="AK1811" s="94"/>
      <c r="AL1811" s="94"/>
      <c r="AM1811" s="94"/>
      <c r="AN1811" s="94"/>
      <c r="AO1811" s="94"/>
      <c r="AP1811" s="94"/>
      <c r="AQ1811" s="94"/>
      <c r="AR1811" s="94"/>
      <c r="AS1811" s="94"/>
      <c r="AT1811" s="94"/>
      <c r="AU1811" s="94"/>
      <c r="AV1811" s="94"/>
      <c r="AW1811" s="94"/>
      <c r="AX1811" s="94"/>
      <c r="AY1811" s="94"/>
      <c r="AZ1811" s="94"/>
      <c r="BA1811" s="94"/>
      <c r="BB1811" s="94"/>
      <c r="BC1811" s="94"/>
      <c r="BD1811" s="94"/>
      <c r="BE1811" s="94"/>
      <c r="BF1811" s="94"/>
    </row>
    <row r="1812" spans="1:58" x14ac:dyDescent="0.35">
      <c r="A1812" s="104" t="s">
        <v>3792</v>
      </c>
      <c r="B1812" s="105" t="s">
        <v>0</v>
      </c>
      <c r="C1812" s="106">
        <v>6</v>
      </c>
      <c r="D1812" s="104" t="s">
        <v>1775</v>
      </c>
      <c r="E1812" s="106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  <c r="AG1812" s="94"/>
      <c r="AH1812" s="94"/>
      <c r="AI1812" s="94"/>
      <c r="AJ1812" s="94"/>
      <c r="AK1812" s="94"/>
      <c r="AL1812" s="94"/>
      <c r="AM1812" s="94"/>
      <c r="AN1812" s="94"/>
      <c r="AO1812" s="94"/>
      <c r="AP1812" s="94"/>
      <c r="AQ1812" s="94"/>
      <c r="AR1812" s="94"/>
      <c r="AS1812" s="94"/>
      <c r="AT1812" s="94"/>
      <c r="AU1812" s="94"/>
      <c r="AV1812" s="94"/>
      <c r="AW1812" s="94"/>
      <c r="AX1812" s="94"/>
      <c r="AY1812" s="94"/>
      <c r="AZ1812" s="94"/>
      <c r="BA1812" s="94"/>
      <c r="BB1812" s="94"/>
      <c r="BC1812" s="94"/>
      <c r="BD1812" s="94"/>
      <c r="BE1812" s="94"/>
      <c r="BF1812" s="94"/>
    </row>
    <row r="1813" spans="1:58" x14ac:dyDescent="0.35">
      <c r="A1813" s="107" t="s">
        <v>3587</v>
      </c>
      <c r="B1813" s="108" t="s">
        <v>0</v>
      </c>
      <c r="C1813" s="109">
        <v>7</v>
      </c>
      <c r="D1813" s="107" t="s">
        <v>1784</v>
      </c>
      <c r="E1813" s="109"/>
      <c r="F1813" s="94"/>
      <c r="G1813" s="94"/>
      <c r="H1813" s="94"/>
      <c r="I1813" s="94"/>
      <c r="J1813" s="94"/>
      <c r="K1813" s="94"/>
      <c r="L1813" s="94"/>
      <c r="M1813" s="94"/>
      <c r="N1813" s="94"/>
      <c r="O1813" s="94"/>
      <c r="P1813" s="94"/>
      <c r="Q1813" s="94"/>
      <c r="R1813" s="94"/>
      <c r="S1813" s="94"/>
      <c r="T1813" s="94"/>
      <c r="U1813" s="94"/>
      <c r="V1813" s="94"/>
      <c r="W1813" s="94"/>
      <c r="X1813" s="94"/>
      <c r="Y1813" s="94"/>
      <c r="Z1813" s="94"/>
      <c r="AA1813" s="94"/>
      <c r="AB1813" s="94"/>
      <c r="AC1813" s="94"/>
      <c r="AD1813" s="94"/>
      <c r="AE1813" s="94"/>
      <c r="AF1813" s="94"/>
      <c r="AG1813" s="94"/>
      <c r="AH1813" s="94"/>
      <c r="AI1813" s="94"/>
      <c r="AJ1813" s="94"/>
      <c r="AK1813" s="94"/>
      <c r="AL1813" s="94"/>
      <c r="AM1813" s="94"/>
      <c r="AN1813" s="94"/>
      <c r="AO1813" s="94"/>
      <c r="AP1813" s="94"/>
      <c r="AQ1813" s="94"/>
      <c r="AR1813" s="94"/>
      <c r="AS1813" s="94"/>
      <c r="AT1813" s="94"/>
      <c r="AU1813" s="94"/>
      <c r="AV1813" s="94"/>
      <c r="AW1813" s="94"/>
      <c r="AX1813" s="94"/>
      <c r="AY1813" s="94"/>
      <c r="AZ1813" s="94"/>
      <c r="BA1813" s="94"/>
      <c r="BB1813" s="94"/>
      <c r="BC1813" s="94"/>
      <c r="BD1813" s="94"/>
      <c r="BE1813" s="94"/>
      <c r="BF1813" s="94"/>
    </row>
    <row r="1814" spans="1:58" x14ac:dyDescent="0.35">
      <c r="A1814" s="107" t="s">
        <v>3588</v>
      </c>
      <c r="B1814" s="108" t="s">
        <v>0</v>
      </c>
      <c r="C1814" s="109">
        <v>7</v>
      </c>
      <c r="D1814" s="107" t="s">
        <v>1785</v>
      </c>
      <c r="E1814" s="109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  <c r="AG1814" s="94"/>
      <c r="AH1814" s="94"/>
      <c r="AI1814" s="94"/>
      <c r="AJ1814" s="94"/>
      <c r="AK1814" s="94"/>
      <c r="AL1814" s="94"/>
      <c r="AM1814" s="94"/>
      <c r="AN1814" s="94"/>
      <c r="AO1814" s="94"/>
      <c r="AP1814" s="94"/>
      <c r="AQ1814" s="94"/>
      <c r="AR1814" s="94"/>
      <c r="AS1814" s="94"/>
      <c r="AT1814" s="94"/>
      <c r="AU1814" s="94"/>
      <c r="AV1814" s="94"/>
      <c r="AW1814" s="94"/>
      <c r="AX1814" s="94"/>
      <c r="AY1814" s="94"/>
      <c r="AZ1814" s="94"/>
      <c r="BA1814" s="94"/>
      <c r="BB1814" s="94"/>
      <c r="BC1814" s="94"/>
      <c r="BD1814" s="94"/>
      <c r="BE1814" s="94"/>
      <c r="BF1814" s="94"/>
    </row>
    <row r="1815" spans="1:58" x14ac:dyDescent="0.35">
      <c r="A1815" s="107" t="s">
        <v>3589</v>
      </c>
      <c r="B1815" s="108" t="s">
        <v>0</v>
      </c>
      <c r="C1815" s="109">
        <v>7</v>
      </c>
      <c r="D1815" s="107" t="s">
        <v>9</v>
      </c>
      <c r="E1815" s="109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  <c r="AG1815" s="94"/>
      <c r="AH1815" s="94"/>
      <c r="AI1815" s="94"/>
      <c r="AJ1815" s="94"/>
      <c r="AK1815" s="94"/>
      <c r="AL1815" s="94"/>
      <c r="AM1815" s="94"/>
      <c r="AN1815" s="94"/>
      <c r="AO1815" s="94"/>
      <c r="AP1815" s="94"/>
      <c r="AQ1815" s="94"/>
      <c r="AR1815" s="94"/>
      <c r="AS1815" s="94"/>
      <c r="AT1815" s="94"/>
      <c r="AU1815" s="94"/>
      <c r="AV1815" s="94"/>
      <c r="AW1815" s="94"/>
      <c r="AX1815" s="94"/>
      <c r="AY1815" s="94"/>
      <c r="AZ1815" s="94"/>
      <c r="BA1815" s="94"/>
      <c r="BB1815" s="94"/>
      <c r="BC1815" s="94"/>
      <c r="BD1815" s="94"/>
      <c r="BE1815" s="94"/>
      <c r="BF1815" s="94"/>
    </row>
    <row r="1816" spans="1:58" x14ac:dyDescent="0.35">
      <c r="A1816" s="104" t="s">
        <v>3793</v>
      </c>
      <c r="B1816" s="105" t="s">
        <v>0</v>
      </c>
      <c r="C1816" s="106">
        <v>6</v>
      </c>
      <c r="D1816" s="104" t="s">
        <v>581</v>
      </c>
      <c r="E1816" s="106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  <c r="AG1816" s="94"/>
      <c r="AH1816" s="94"/>
      <c r="AI1816" s="94"/>
      <c r="AJ1816" s="94"/>
      <c r="AK1816" s="94"/>
      <c r="AL1816" s="94"/>
      <c r="AM1816" s="94"/>
      <c r="AN1816" s="94"/>
      <c r="AO1816" s="94"/>
      <c r="AP1816" s="94"/>
      <c r="AQ1816" s="94"/>
      <c r="AR1816" s="94"/>
      <c r="AS1816" s="94"/>
      <c r="AT1816" s="94"/>
      <c r="AU1816" s="94"/>
      <c r="AV1816" s="94"/>
      <c r="AW1816" s="94"/>
      <c r="AX1816" s="94"/>
      <c r="AY1816" s="94"/>
      <c r="AZ1816" s="94"/>
      <c r="BA1816" s="94"/>
      <c r="BB1816" s="94"/>
      <c r="BC1816" s="94"/>
      <c r="BD1816" s="94"/>
      <c r="BE1816" s="94"/>
      <c r="BF1816" s="94"/>
    </row>
    <row r="1817" spans="1:58" x14ac:dyDescent="0.35">
      <c r="A1817" s="107" t="s">
        <v>3590</v>
      </c>
      <c r="B1817" s="108" t="s">
        <v>0</v>
      </c>
      <c r="C1817" s="109">
        <v>7</v>
      </c>
      <c r="D1817" s="107" t="s">
        <v>1786</v>
      </c>
      <c r="E1817" s="109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  <c r="AG1817" s="94"/>
      <c r="AH1817" s="94"/>
      <c r="AI1817" s="94"/>
      <c r="AJ1817" s="94"/>
      <c r="AK1817" s="94"/>
      <c r="AL1817" s="94"/>
      <c r="AM1817" s="94"/>
      <c r="AN1817" s="94"/>
      <c r="AO1817" s="94"/>
      <c r="AP1817" s="94"/>
      <c r="AQ1817" s="94"/>
      <c r="AR1817" s="94"/>
      <c r="AS1817" s="94"/>
      <c r="AT1817" s="94"/>
      <c r="AU1817" s="94"/>
      <c r="AV1817" s="94"/>
      <c r="AW1817" s="94"/>
      <c r="AX1817" s="94"/>
      <c r="AY1817" s="94"/>
      <c r="AZ1817" s="94"/>
      <c r="BA1817" s="94"/>
      <c r="BB1817" s="94"/>
      <c r="BC1817" s="94"/>
      <c r="BD1817" s="94"/>
      <c r="BE1817" s="94"/>
      <c r="BF1817" s="94"/>
    </row>
    <row r="1818" spans="1:58" x14ac:dyDescent="0.35">
      <c r="A1818" s="104" t="s">
        <v>3591</v>
      </c>
      <c r="B1818" s="105" t="s">
        <v>0</v>
      </c>
      <c r="C1818" s="106">
        <v>6</v>
      </c>
      <c r="D1818" s="104" t="s">
        <v>30</v>
      </c>
      <c r="E1818" s="106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  <c r="AG1818" s="94"/>
      <c r="AH1818" s="94"/>
      <c r="AI1818" s="94"/>
      <c r="AJ1818" s="94"/>
      <c r="AK1818" s="94"/>
      <c r="AL1818" s="94"/>
      <c r="AM1818" s="94"/>
      <c r="AN1818" s="94"/>
      <c r="AO1818" s="94"/>
      <c r="AP1818" s="94"/>
      <c r="AQ1818" s="94"/>
      <c r="AR1818" s="94"/>
      <c r="AS1818" s="94"/>
      <c r="AT1818" s="94"/>
      <c r="AU1818" s="94"/>
      <c r="AV1818" s="94"/>
      <c r="AW1818" s="94"/>
      <c r="AX1818" s="94"/>
      <c r="AY1818" s="94"/>
      <c r="AZ1818" s="94"/>
      <c r="BA1818" s="94"/>
      <c r="BB1818" s="94"/>
      <c r="BC1818" s="94"/>
      <c r="BD1818" s="94"/>
      <c r="BE1818" s="94"/>
      <c r="BF1818" s="94"/>
    </row>
    <row r="1819" spans="1:58" x14ac:dyDescent="0.35">
      <c r="A1819" s="107" t="s">
        <v>3592</v>
      </c>
      <c r="B1819" s="108" t="s">
        <v>0</v>
      </c>
      <c r="C1819" s="109">
        <v>7</v>
      </c>
      <c r="D1819" s="107" t="s">
        <v>1668</v>
      </c>
      <c r="E1819" s="109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  <c r="AG1819" s="94"/>
      <c r="AH1819" s="94"/>
      <c r="AI1819" s="94"/>
      <c r="AJ1819" s="94"/>
      <c r="AK1819" s="94"/>
      <c r="AL1819" s="94"/>
      <c r="AM1819" s="94"/>
      <c r="AN1819" s="94"/>
      <c r="AO1819" s="94"/>
      <c r="AP1819" s="94"/>
      <c r="AQ1819" s="94"/>
      <c r="AR1819" s="94"/>
      <c r="AS1819" s="94"/>
      <c r="AT1819" s="94"/>
      <c r="AU1819" s="94"/>
      <c r="AV1819" s="94"/>
      <c r="AW1819" s="94"/>
      <c r="AX1819" s="94"/>
      <c r="AY1819" s="94"/>
      <c r="AZ1819" s="94"/>
      <c r="BA1819" s="94"/>
      <c r="BB1819" s="94"/>
      <c r="BC1819" s="94"/>
      <c r="BD1819" s="94"/>
      <c r="BE1819" s="94"/>
      <c r="BF1819" s="94"/>
    </row>
    <row r="1820" spans="1:58" x14ac:dyDescent="0.35">
      <c r="A1820" s="107" t="s">
        <v>3593</v>
      </c>
      <c r="B1820" s="108" t="s">
        <v>0</v>
      </c>
      <c r="C1820" s="109">
        <v>7</v>
      </c>
      <c r="D1820" s="107" t="s">
        <v>1669</v>
      </c>
      <c r="E1820" s="109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  <c r="AG1820" s="94"/>
      <c r="AH1820" s="94"/>
      <c r="AI1820" s="94"/>
      <c r="AJ1820" s="94"/>
      <c r="AK1820" s="94"/>
      <c r="AL1820" s="94"/>
      <c r="AM1820" s="94"/>
      <c r="AN1820" s="94"/>
      <c r="AO1820" s="94"/>
      <c r="AP1820" s="94"/>
      <c r="AQ1820" s="94"/>
      <c r="AR1820" s="94"/>
      <c r="AS1820" s="94"/>
      <c r="AT1820" s="94"/>
      <c r="AU1820" s="94"/>
      <c r="AV1820" s="94"/>
      <c r="AW1820" s="94"/>
      <c r="AX1820" s="94"/>
      <c r="AY1820" s="94"/>
      <c r="AZ1820" s="94"/>
      <c r="BA1820" s="94"/>
      <c r="BB1820" s="94"/>
      <c r="BC1820" s="94"/>
      <c r="BD1820" s="94"/>
      <c r="BE1820" s="94"/>
      <c r="BF1820" s="94"/>
    </row>
    <row r="1821" spans="1:58" x14ac:dyDescent="0.35">
      <c r="A1821" s="107" t="s">
        <v>3594</v>
      </c>
      <c r="B1821" s="108" t="s">
        <v>0</v>
      </c>
      <c r="C1821" s="109">
        <v>7</v>
      </c>
      <c r="D1821" s="107" t="s">
        <v>1670</v>
      </c>
      <c r="E1821" s="109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  <c r="AG1821" s="94"/>
      <c r="AH1821" s="94"/>
      <c r="AI1821" s="94"/>
      <c r="AJ1821" s="94"/>
      <c r="AK1821" s="94"/>
      <c r="AL1821" s="94"/>
      <c r="AM1821" s="94"/>
      <c r="AN1821" s="94"/>
      <c r="AO1821" s="94"/>
      <c r="AP1821" s="94"/>
      <c r="AQ1821" s="94"/>
      <c r="AR1821" s="94"/>
      <c r="AS1821" s="94"/>
      <c r="AT1821" s="94"/>
      <c r="AU1821" s="94"/>
      <c r="AV1821" s="94"/>
      <c r="AW1821" s="94"/>
      <c r="AX1821" s="94"/>
      <c r="AY1821" s="94"/>
      <c r="AZ1821" s="94"/>
      <c r="BA1821" s="94"/>
      <c r="BB1821" s="94"/>
      <c r="BC1821" s="94"/>
      <c r="BD1821" s="94"/>
      <c r="BE1821" s="94"/>
      <c r="BF1821" s="94"/>
    </row>
    <row r="1822" spans="1:58" x14ac:dyDescent="0.35">
      <c r="A1822" s="107" t="s">
        <v>3595</v>
      </c>
      <c r="B1822" s="108" t="s">
        <v>0</v>
      </c>
      <c r="C1822" s="109">
        <v>7</v>
      </c>
      <c r="D1822" s="107" t="s">
        <v>1671</v>
      </c>
      <c r="E1822" s="109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  <c r="AG1822" s="94"/>
      <c r="AH1822" s="94"/>
      <c r="AI1822" s="94"/>
      <c r="AJ1822" s="94"/>
      <c r="AK1822" s="94"/>
      <c r="AL1822" s="94"/>
      <c r="AM1822" s="94"/>
      <c r="AN1822" s="94"/>
      <c r="AO1822" s="94"/>
      <c r="AP1822" s="94"/>
      <c r="AQ1822" s="94"/>
      <c r="AR1822" s="94"/>
      <c r="AS1822" s="94"/>
      <c r="AT1822" s="94"/>
      <c r="AU1822" s="94"/>
      <c r="AV1822" s="94"/>
      <c r="AW1822" s="94"/>
      <c r="AX1822" s="94"/>
      <c r="AY1822" s="94"/>
      <c r="AZ1822" s="94"/>
      <c r="BA1822" s="94"/>
      <c r="BB1822" s="94"/>
      <c r="BC1822" s="94"/>
      <c r="BD1822" s="94"/>
      <c r="BE1822" s="94"/>
      <c r="BF1822" s="94"/>
    </row>
    <row r="1823" spans="1:58" x14ac:dyDescent="0.35">
      <c r="A1823" s="107" t="s">
        <v>3596</v>
      </c>
      <c r="B1823" s="108" t="s">
        <v>0</v>
      </c>
      <c r="C1823" s="109">
        <v>7</v>
      </c>
      <c r="D1823" s="107" t="s">
        <v>1672</v>
      </c>
      <c r="E1823" s="109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  <c r="AG1823" s="94"/>
      <c r="AH1823" s="94"/>
      <c r="AI1823" s="94"/>
      <c r="AJ1823" s="94"/>
      <c r="AK1823" s="94"/>
      <c r="AL1823" s="94"/>
      <c r="AM1823" s="94"/>
      <c r="AN1823" s="94"/>
      <c r="AO1823" s="94"/>
      <c r="AP1823" s="94"/>
      <c r="AQ1823" s="94"/>
      <c r="AR1823" s="94"/>
      <c r="AS1823" s="94"/>
      <c r="AT1823" s="94"/>
      <c r="AU1823" s="94"/>
      <c r="AV1823" s="94"/>
      <c r="AW1823" s="94"/>
      <c r="AX1823" s="94"/>
      <c r="AY1823" s="94"/>
      <c r="AZ1823" s="94"/>
      <c r="BA1823" s="94"/>
      <c r="BB1823" s="94"/>
      <c r="BC1823" s="94"/>
      <c r="BD1823" s="94"/>
      <c r="BE1823" s="94"/>
      <c r="BF1823" s="94"/>
    </row>
    <row r="1824" spans="1:58" x14ac:dyDescent="0.35">
      <c r="A1824" s="107" t="s">
        <v>3597</v>
      </c>
      <c r="B1824" s="108" t="s">
        <v>0</v>
      </c>
      <c r="C1824" s="109">
        <v>7</v>
      </c>
      <c r="D1824" s="107" t="s">
        <v>1673</v>
      </c>
      <c r="E1824" s="109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  <c r="AG1824" s="94"/>
      <c r="AH1824" s="94"/>
      <c r="AI1824" s="94"/>
      <c r="AJ1824" s="94"/>
      <c r="AK1824" s="94"/>
      <c r="AL1824" s="94"/>
      <c r="AM1824" s="94"/>
      <c r="AN1824" s="94"/>
      <c r="AO1824" s="94"/>
      <c r="AP1824" s="94"/>
      <c r="AQ1824" s="94"/>
      <c r="AR1824" s="94"/>
      <c r="AS1824" s="94"/>
      <c r="AT1824" s="94"/>
      <c r="AU1824" s="94"/>
      <c r="AV1824" s="94"/>
      <c r="AW1824" s="94"/>
      <c r="AX1824" s="94"/>
      <c r="AY1824" s="94"/>
      <c r="AZ1824" s="94"/>
      <c r="BA1824" s="94"/>
      <c r="BB1824" s="94"/>
      <c r="BC1824" s="94"/>
      <c r="BD1824" s="94"/>
      <c r="BE1824" s="94"/>
      <c r="BF1824" s="94"/>
    </row>
    <row r="1825" spans="1:58" x14ac:dyDescent="0.35">
      <c r="A1825" s="101" t="s">
        <v>3598</v>
      </c>
      <c r="B1825" s="102" t="s">
        <v>0</v>
      </c>
      <c r="C1825" s="103">
        <v>5</v>
      </c>
      <c r="D1825" s="101" t="s">
        <v>627</v>
      </c>
      <c r="E1825" s="103" t="s">
        <v>330</v>
      </c>
      <c r="F1825" s="94"/>
      <c r="G1825" s="94"/>
      <c r="H1825" s="94"/>
      <c r="I1825" s="94"/>
      <c r="J1825" s="94"/>
      <c r="K1825" s="94"/>
      <c r="L1825" s="94"/>
      <c r="M1825" s="94"/>
      <c r="N1825" s="94"/>
      <c r="O1825" s="94"/>
      <c r="P1825" s="94"/>
      <c r="Q1825" s="94"/>
      <c r="R1825" s="94"/>
      <c r="S1825" s="94"/>
      <c r="T1825" s="94"/>
      <c r="U1825" s="94"/>
      <c r="V1825" s="94"/>
      <c r="W1825" s="94"/>
      <c r="X1825" s="94"/>
      <c r="Y1825" s="94"/>
      <c r="Z1825" s="94"/>
      <c r="AA1825" s="94"/>
      <c r="AB1825" s="94"/>
      <c r="AC1825" s="94"/>
      <c r="AD1825" s="94"/>
      <c r="AE1825" s="94"/>
      <c r="AF1825" s="94"/>
      <c r="AG1825" s="94"/>
      <c r="AH1825" s="94"/>
      <c r="AI1825" s="94"/>
      <c r="AJ1825" s="94"/>
      <c r="AK1825" s="94"/>
      <c r="AL1825" s="94"/>
      <c r="AM1825" s="94"/>
      <c r="AN1825" s="94"/>
      <c r="AO1825" s="94"/>
      <c r="AP1825" s="94"/>
      <c r="AQ1825" s="94"/>
      <c r="AR1825" s="94"/>
      <c r="AS1825" s="94"/>
      <c r="AT1825" s="94"/>
      <c r="AU1825" s="94"/>
      <c r="AV1825" s="94"/>
      <c r="AW1825" s="94"/>
      <c r="AX1825" s="94"/>
      <c r="AY1825" s="94"/>
      <c r="AZ1825" s="94"/>
      <c r="BA1825" s="94"/>
      <c r="BB1825" s="94"/>
      <c r="BC1825" s="94"/>
      <c r="BD1825" s="94"/>
      <c r="BE1825" s="94"/>
      <c r="BF1825" s="94"/>
    </row>
    <row r="1826" spans="1:58" x14ac:dyDescent="0.35">
      <c r="A1826" s="104" t="s">
        <v>3599</v>
      </c>
      <c r="B1826" s="105" t="s">
        <v>0</v>
      </c>
      <c r="C1826" s="106">
        <v>6</v>
      </c>
      <c r="D1826" s="104" t="s">
        <v>123</v>
      </c>
      <c r="E1826" s="106"/>
      <c r="F1826" s="94"/>
      <c r="G1826" s="94"/>
      <c r="H1826" s="94"/>
      <c r="I1826" s="94"/>
      <c r="J1826" s="94"/>
      <c r="K1826" s="94"/>
      <c r="L1826" s="94"/>
      <c r="M1826" s="94"/>
      <c r="N1826" s="94"/>
      <c r="O1826" s="94"/>
      <c r="P1826" s="94"/>
      <c r="Q1826" s="94"/>
      <c r="R1826" s="94"/>
      <c r="S1826" s="94"/>
      <c r="T1826" s="94"/>
      <c r="U1826" s="94"/>
      <c r="V1826" s="94"/>
      <c r="W1826" s="94"/>
      <c r="X1826" s="94"/>
      <c r="Y1826" s="94"/>
      <c r="Z1826" s="94"/>
      <c r="AA1826" s="94"/>
      <c r="AB1826" s="94"/>
      <c r="AC1826" s="94"/>
      <c r="AD1826" s="94"/>
      <c r="AE1826" s="94"/>
      <c r="AF1826" s="94"/>
      <c r="AG1826" s="94"/>
      <c r="AH1826" s="94"/>
      <c r="AI1826" s="94"/>
      <c r="AJ1826" s="94"/>
      <c r="AK1826" s="94"/>
      <c r="AL1826" s="94"/>
      <c r="AM1826" s="94"/>
      <c r="AN1826" s="94"/>
      <c r="AO1826" s="94"/>
      <c r="AP1826" s="94"/>
      <c r="AQ1826" s="94"/>
      <c r="AR1826" s="94"/>
      <c r="AS1826" s="94"/>
      <c r="AT1826" s="94"/>
      <c r="AU1826" s="94"/>
      <c r="AV1826" s="94"/>
      <c r="AW1826" s="94"/>
      <c r="AX1826" s="94"/>
      <c r="AY1826" s="94"/>
      <c r="AZ1826" s="94"/>
      <c r="BA1826" s="94"/>
      <c r="BB1826" s="94"/>
      <c r="BC1826" s="94"/>
      <c r="BD1826" s="94"/>
      <c r="BE1826" s="94"/>
      <c r="BF1826" s="94"/>
    </row>
    <row r="1827" spans="1:58" x14ac:dyDescent="0.35">
      <c r="A1827" s="107" t="s">
        <v>3600</v>
      </c>
      <c r="B1827" s="108" t="s">
        <v>0</v>
      </c>
      <c r="C1827" s="109">
        <v>7</v>
      </c>
      <c r="D1827" s="107" t="s">
        <v>1664</v>
      </c>
      <c r="E1827" s="109"/>
      <c r="F1827" s="94"/>
      <c r="G1827" s="94"/>
      <c r="H1827" s="94"/>
      <c r="I1827" s="94"/>
      <c r="J1827" s="94"/>
      <c r="K1827" s="94"/>
      <c r="L1827" s="94"/>
      <c r="M1827" s="94"/>
      <c r="N1827" s="94"/>
      <c r="O1827" s="94"/>
      <c r="P1827" s="94"/>
      <c r="Q1827" s="94"/>
      <c r="R1827" s="94"/>
      <c r="S1827" s="94"/>
      <c r="T1827" s="94"/>
      <c r="U1827" s="94"/>
      <c r="V1827" s="94"/>
      <c r="W1827" s="94"/>
      <c r="X1827" s="94"/>
      <c r="Y1827" s="94"/>
      <c r="Z1827" s="94"/>
      <c r="AA1827" s="94"/>
      <c r="AB1827" s="94"/>
      <c r="AC1827" s="94"/>
      <c r="AD1827" s="94"/>
      <c r="AE1827" s="94"/>
      <c r="AF1827" s="94"/>
      <c r="AG1827" s="94"/>
      <c r="AH1827" s="94"/>
      <c r="AI1827" s="94"/>
      <c r="AJ1827" s="94"/>
      <c r="AK1827" s="94"/>
      <c r="AL1827" s="94"/>
      <c r="AM1827" s="94"/>
      <c r="AN1827" s="94"/>
      <c r="AO1827" s="94"/>
      <c r="AP1827" s="94"/>
      <c r="AQ1827" s="94"/>
      <c r="AR1827" s="94"/>
      <c r="AS1827" s="94"/>
      <c r="AT1827" s="94"/>
      <c r="AU1827" s="94"/>
      <c r="AV1827" s="94"/>
      <c r="AW1827" s="94"/>
      <c r="AX1827" s="94"/>
      <c r="AY1827" s="94"/>
      <c r="AZ1827" s="94"/>
      <c r="BA1827" s="94"/>
      <c r="BB1827" s="94"/>
      <c r="BC1827" s="94"/>
      <c r="BD1827" s="94"/>
      <c r="BE1827" s="94"/>
      <c r="BF1827" s="94"/>
    </row>
    <row r="1828" spans="1:58" x14ac:dyDescent="0.35">
      <c r="A1828" s="101" t="s">
        <v>3601</v>
      </c>
      <c r="B1828" s="102" t="s">
        <v>0</v>
      </c>
      <c r="C1828" s="103">
        <v>5</v>
      </c>
      <c r="D1828" s="101" t="s">
        <v>1245</v>
      </c>
      <c r="E1828" s="103" t="s">
        <v>331</v>
      </c>
      <c r="F1828" s="94"/>
      <c r="G1828" s="94"/>
      <c r="H1828" s="94"/>
      <c r="I1828" s="94"/>
      <c r="J1828" s="94"/>
      <c r="K1828" s="94"/>
      <c r="L1828" s="94"/>
      <c r="M1828" s="94"/>
      <c r="N1828" s="94"/>
      <c r="O1828" s="94"/>
      <c r="P1828" s="94"/>
      <c r="Q1828" s="94"/>
      <c r="R1828" s="94"/>
      <c r="S1828" s="94"/>
      <c r="T1828" s="94"/>
      <c r="U1828" s="94"/>
      <c r="V1828" s="94"/>
      <c r="W1828" s="94"/>
      <c r="X1828" s="94"/>
      <c r="Y1828" s="94"/>
      <c r="Z1828" s="94"/>
      <c r="AA1828" s="94"/>
      <c r="AB1828" s="94"/>
      <c r="AC1828" s="94"/>
      <c r="AD1828" s="94"/>
      <c r="AE1828" s="94"/>
      <c r="AF1828" s="94"/>
      <c r="AG1828" s="94"/>
      <c r="AH1828" s="94"/>
      <c r="AI1828" s="94"/>
      <c r="AJ1828" s="94"/>
      <c r="AK1828" s="94"/>
      <c r="AL1828" s="94"/>
      <c r="AM1828" s="94"/>
      <c r="AN1828" s="94"/>
      <c r="AO1828" s="94"/>
      <c r="AP1828" s="94"/>
      <c r="AQ1828" s="94"/>
      <c r="AR1828" s="94"/>
      <c r="AS1828" s="94"/>
      <c r="AT1828" s="94"/>
      <c r="AU1828" s="94"/>
      <c r="AV1828" s="94"/>
      <c r="AW1828" s="94"/>
      <c r="AX1828" s="94"/>
      <c r="AY1828" s="94"/>
      <c r="AZ1828" s="94"/>
      <c r="BA1828" s="94"/>
      <c r="BB1828" s="94"/>
      <c r="BC1828" s="94"/>
      <c r="BD1828" s="94"/>
      <c r="BE1828" s="94"/>
      <c r="BF1828" s="94"/>
    </row>
    <row r="1829" spans="1:58" x14ac:dyDescent="0.35">
      <c r="A1829" s="104" t="s">
        <v>3602</v>
      </c>
      <c r="B1829" s="105" t="s">
        <v>0</v>
      </c>
      <c r="C1829" s="106">
        <v>6</v>
      </c>
      <c r="D1829" s="104" t="s">
        <v>16</v>
      </c>
      <c r="E1829" s="106"/>
      <c r="F1829" s="94"/>
      <c r="G1829" s="94"/>
      <c r="H1829" s="94"/>
      <c r="I1829" s="94"/>
      <c r="J1829" s="94"/>
      <c r="K1829" s="94"/>
      <c r="L1829" s="94"/>
      <c r="M1829" s="94"/>
      <c r="N1829" s="94"/>
      <c r="O1829" s="94"/>
      <c r="P1829" s="94"/>
      <c r="Q1829" s="94"/>
      <c r="R1829" s="94"/>
      <c r="S1829" s="94"/>
      <c r="T1829" s="94"/>
      <c r="U1829" s="94"/>
      <c r="V1829" s="94"/>
      <c r="W1829" s="94"/>
      <c r="X1829" s="94"/>
      <c r="Y1829" s="94"/>
      <c r="Z1829" s="94"/>
      <c r="AA1829" s="94"/>
      <c r="AB1829" s="94"/>
      <c r="AC1829" s="94"/>
      <c r="AD1829" s="94"/>
      <c r="AE1829" s="94"/>
      <c r="AF1829" s="94"/>
      <c r="AG1829" s="94"/>
      <c r="AH1829" s="94"/>
      <c r="AI1829" s="94"/>
      <c r="AJ1829" s="94"/>
      <c r="AK1829" s="94"/>
      <c r="AL1829" s="94"/>
      <c r="AM1829" s="94"/>
      <c r="AN1829" s="94"/>
      <c r="AO1829" s="94"/>
      <c r="AP1829" s="94"/>
      <c r="AQ1829" s="94"/>
      <c r="AR1829" s="94"/>
      <c r="AS1829" s="94"/>
      <c r="AT1829" s="94"/>
      <c r="AU1829" s="94"/>
      <c r="AV1829" s="94"/>
      <c r="AW1829" s="94"/>
      <c r="AX1829" s="94"/>
      <c r="AY1829" s="94"/>
      <c r="AZ1829" s="94"/>
      <c r="BA1829" s="94"/>
      <c r="BB1829" s="94"/>
      <c r="BC1829" s="94"/>
      <c r="BD1829" s="94"/>
      <c r="BE1829" s="94"/>
      <c r="BF1829" s="94"/>
    </row>
    <row r="1830" spans="1:58" x14ac:dyDescent="0.35">
      <c r="A1830" s="107" t="s">
        <v>3603</v>
      </c>
      <c r="B1830" s="108" t="s">
        <v>0</v>
      </c>
      <c r="C1830" s="109">
        <v>7</v>
      </c>
      <c r="D1830" s="107" t="s">
        <v>1247</v>
      </c>
      <c r="E1830" s="109" t="s">
        <v>332</v>
      </c>
      <c r="F1830" s="94"/>
      <c r="G1830" s="94"/>
      <c r="H1830" s="94"/>
      <c r="I1830" s="94"/>
      <c r="J1830" s="94"/>
      <c r="K1830" s="94"/>
      <c r="L1830" s="94"/>
      <c r="M1830" s="94"/>
      <c r="N1830" s="94"/>
      <c r="O1830" s="94"/>
      <c r="P1830" s="94"/>
      <c r="Q1830" s="94"/>
      <c r="R1830" s="94"/>
      <c r="S1830" s="94"/>
      <c r="T1830" s="94"/>
      <c r="U1830" s="94"/>
      <c r="V1830" s="94"/>
      <c r="W1830" s="94"/>
      <c r="X1830" s="94"/>
      <c r="Y1830" s="94"/>
      <c r="Z1830" s="94"/>
      <c r="AA1830" s="94"/>
      <c r="AB1830" s="94"/>
      <c r="AC1830" s="94"/>
      <c r="AD1830" s="94"/>
      <c r="AE1830" s="94"/>
      <c r="AF1830" s="94"/>
      <c r="AG1830" s="94"/>
      <c r="AH1830" s="94"/>
      <c r="AI1830" s="94"/>
      <c r="AJ1830" s="94"/>
      <c r="AK1830" s="94"/>
      <c r="AL1830" s="94"/>
      <c r="AM1830" s="94"/>
      <c r="AN1830" s="94"/>
      <c r="AO1830" s="94"/>
      <c r="AP1830" s="94"/>
      <c r="AQ1830" s="94"/>
      <c r="AR1830" s="94"/>
      <c r="AS1830" s="94"/>
      <c r="AT1830" s="94"/>
      <c r="AU1830" s="94"/>
      <c r="AV1830" s="94"/>
      <c r="AW1830" s="94"/>
      <c r="AX1830" s="94"/>
      <c r="AY1830" s="94"/>
      <c r="AZ1830" s="94"/>
      <c r="BA1830" s="94"/>
      <c r="BB1830" s="94"/>
      <c r="BC1830" s="94"/>
      <c r="BD1830" s="94"/>
      <c r="BE1830" s="94"/>
      <c r="BF1830" s="94"/>
    </row>
    <row r="1831" spans="1:58" x14ac:dyDescent="0.35">
      <c r="A1831" s="104" t="s">
        <v>3604</v>
      </c>
      <c r="B1831" s="105" t="s">
        <v>0</v>
      </c>
      <c r="C1831" s="106">
        <v>6</v>
      </c>
      <c r="D1831" s="104" t="s">
        <v>123</v>
      </c>
      <c r="E1831" s="106"/>
      <c r="F1831" s="94"/>
      <c r="G1831" s="94"/>
      <c r="H1831" s="94"/>
      <c r="I1831" s="94"/>
      <c r="J1831" s="94"/>
      <c r="K1831" s="94"/>
      <c r="L1831" s="94"/>
      <c r="M1831" s="94"/>
      <c r="N1831" s="94"/>
      <c r="O1831" s="94"/>
      <c r="P1831" s="94"/>
      <c r="Q1831" s="94"/>
      <c r="R1831" s="94"/>
      <c r="S1831" s="94"/>
      <c r="T1831" s="94"/>
      <c r="U1831" s="94"/>
      <c r="V1831" s="94"/>
      <c r="W1831" s="94"/>
      <c r="X1831" s="94"/>
      <c r="Y1831" s="94"/>
      <c r="Z1831" s="94"/>
      <c r="AA1831" s="94"/>
      <c r="AB1831" s="94"/>
      <c r="AC1831" s="94"/>
      <c r="AD1831" s="94"/>
      <c r="AE1831" s="94"/>
      <c r="AF1831" s="94"/>
      <c r="AG1831" s="94"/>
      <c r="AH1831" s="94"/>
      <c r="AI1831" s="94"/>
      <c r="AJ1831" s="94"/>
      <c r="AK1831" s="94"/>
      <c r="AL1831" s="94"/>
      <c r="AM1831" s="94"/>
      <c r="AN1831" s="94"/>
      <c r="AO1831" s="94"/>
      <c r="AP1831" s="94"/>
      <c r="AQ1831" s="94"/>
      <c r="AR1831" s="94"/>
      <c r="AS1831" s="94"/>
      <c r="AT1831" s="94"/>
      <c r="AU1831" s="94"/>
      <c r="AV1831" s="94"/>
      <c r="AW1831" s="94"/>
      <c r="AX1831" s="94"/>
      <c r="AY1831" s="94"/>
      <c r="AZ1831" s="94"/>
      <c r="BA1831" s="94"/>
      <c r="BB1831" s="94"/>
      <c r="BC1831" s="94"/>
      <c r="BD1831" s="94"/>
      <c r="BE1831" s="94"/>
      <c r="BF1831" s="94"/>
    </row>
    <row r="1832" spans="1:58" x14ac:dyDescent="0.35">
      <c r="A1832" s="107" t="s">
        <v>3794</v>
      </c>
      <c r="B1832" s="108" t="s">
        <v>0</v>
      </c>
      <c r="C1832" s="109">
        <v>7</v>
      </c>
      <c r="D1832" s="107" t="s">
        <v>1654</v>
      </c>
      <c r="E1832" s="109"/>
      <c r="F1832" s="94"/>
      <c r="G1832" s="94"/>
      <c r="H1832" s="94"/>
      <c r="I1832" s="94"/>
      <c r="J1832" s="94"/>
      <c r="K1832" s="94"/>
      <c r="L1832" s="94"/>
      <c r="M1832" s="94"/>
      <c r="N1832" s="94"/>
      <c r="O1832" s="94"/>
      <c r="P1832" s="94"/>
      <c r="Q1832" s="94"/>
      <c r="R1832" s="94"/>
      <c r="S1832" s="94"/>
      <c r="T1832" s="94"/>
      <c r="U1832" s="94"/>
      <c r="V1832" s="94"/>
      <c r="W1832" s="94"/>
      <c r="X1832" s="94"/>
      <c r="Y1832" s="94"/>
      <c r="Z1832" s="94"/>
      <c r="AA1832" s="94"/>
      <c r="AB1832" s="94"/>
      <c r="AC1832" s="94"/>
      <c r="AD1832" s="94"/>
      <c r="AE1832" s="94"/>
      <c r="AF1832" s="94"/>
      <c r="AG1832" s="94"/>
      <c r="AH1832" s="94"/>
      <c r="AI1832" s="94"/>
      <c r="AJ1832" s="94"/>
      <c r="AK1832" s="94"/>
      <c r="AL1832" s="94"/>
      <c r="AM1832" s="94"/>
      <c r="AN1832" s="94"/>
      <c r="AO1832" s="94"/>
      <c r="AP1832" s="94"/>
      <c r="AQ1832" s="94"/>
      <c r="AR1832" s="94"/>
      <c r="AS1832" s="94"/>
      <c r="AT1832" s="94"/>
      <c r="AU1832" s="94"/>
      <c r="AV1832" s="94"/>
      <c r="AW1832" s="94"/>
      <c r="AX1832" s="94"/>
      <c r="AY1832" s="94"/>
      <c r="AZ1832" s="94"/>
      <c r="BA1832" s="94"/>
      <c r="BB1832" s="94"/>
      <c r="BC1832" s="94"/>
      <c r="BD1832" s="94"/>
      <c r="BE1832" s="94"/>
      <c r="BF1832" s="94"/>
    </row>
    <row r="1833" spans="1:58" x14ac:dyDescent="0.35">
      <c r="A1833" s="104" t="s">
        <v>3605</v>
      </c>
      <c r="B1833" s="105" t="s">
        <v>0</v>
      </c>
      <c r="C1833" s="106">
        <v>6</v>
      </c>
      <c r="D1833" s="104" t="s">
        <v>1665</v>
      </c>
      <c r="E1833" s="106"/>
      <c r="F1833" s="94"/>
      <c r="G1833" s="94"/>
      <c r="H1833" s="94"/>
      <c r="I1833" s="94"/>
      <c r="J1833" s="94"/>
      <c r="K1833" s="94"/>
      <c r="L1833" s="94"/>
      <c r="M1833" s="94"/>
      <c r="N1833" s="94"/>
      <c r="O1833" s="94"/>
      <c r="P1833" s="94"/>
      <c r="Q1833" s="94"/>
      <c r="R1833" s="94"/>
      <c r="S1833" s="94"/>
      <c r="T1833" s="94"/>
      <c r="U1833" s="94"/>
      <c r="V1833" s="94"/>
      <c r="W1833" s="94"/>
      <c r="X1833" s="94"/>
      <c r="Y1833" s="94"/>
      <c r="Z1833" s="94"/>
      <c r="AA1833" s="94"/>
      <c r="AB1833" s="94"/>
      <c r="AC1833" s="94"/>
      <c r="AD1833" s="94"/>
      <c r="AE1833" s="94"/>
      <c r="AF1833" s="94"/>
      <c r="AG1833" s="94"/>
      <c r="AH1833" s="94"/>
      <c r="AI1833" s="94"/>
      <c r="AJ1833" s="94"/>
      <c r="AK1833" s="94"/>
      <c r="AL1833" s="94"/>
      <c r="AM1833" s="94"/>
      <c r="AN1833" s="94"/>
      <c r="AO1833" s="94"/>
      <c r="AP1833" s="94"/>
      <c r="AQ1833" s="94"/>
      <c r="AR1833" s="94"/>
      <c r="AS1833" s="94"/>
      <c r="AT1833" s="94"/>
      <c r="AU1833" s="94"/>
      <c r="AV1833" s="94"/>
      <c r="AW1833" s="94"/>
      <c r="AX1833" s="94"/>
      <c r="AY1833" s="94"/>
      <c r="AZ1833" s="94"/>
      <c r="BA1833" s="94"/>
      <c r="BB1833" s="94"/>
      <c r="BC1833" s="94"/>
      <c r="BD1833" s="94"/>
      <c r="BE1833" s="94"/>
      <c r="BF1833" s="94"/>
    </row>
    <row r="1834" spans="1:58" x14ac:dyDescent="0.35">
      <c r="A1834" s="107" t="s">
        <v>3606</v>
      </c>
      <c r="B1834" s="108" t="s">
        <v>0</v>
      </c>
      <c r="C1834" s="109">
        <v>7</v>
      </c>
      <c r="D1834" s="107" t="s">
        <v>1773</v>
      </c>
      <c r="E1834" s="109"/>
      <c r="F1834" s="94"/>
      <c r="G1834" s="94"/>
      <c r="H1834" s="94"/>
      <c r="I1834" s="94"/>
      <c r="J1834" s="94"/>
      <c r="K1834" s="94"/>
      <c r="L1834" s="94"/>
      <c r="M1834" s="94"/>
      <c r="N1834" s="94"/>
      <c r="O1834" s="94"/>
      <c r="P1834" s="94"/>
      <c r="Q1834" s="94"/>
      <c r="R1834" s="94"/>
      <c r="S1834" s="94"/>
      <c r="T1834" s="94"/>
      <c r="U1834" s="94"/>
      <c r="V1834" s="94"/>
      <c r="W1834" s="94"/>
      <c r="X1834" s="94"/>
      <c r="Y1834" s="94"/>
      <c r="Z1834" s="94"/>
      <c r="AA1834" s="94"/>
      <c r="AB1834" s="94"/>
      <c r="AC1834" s="94"/>
      <c r="AD1834" s="94"/>
      <c r="AE1834" s="94"/>
      <c r="AF1834" s="94"/>
      <c r="AG1834" s="94"/>
      <c r="AH1834" s="94"/>
      <c r="AI1834" s="94"/>
      <c r="AJ1834" s="94"/>
      <c r="AK1834" s="94"/>
      <c r="AL1834" s="94"/>
      <c r="AM1834" s="94"/>
      <c r="AN1834" s="94"/>
      <c r="AO1834" s="94"/>
      <c r="AP1834" s="94"/>
      <c r="AQ1834" s="94"/>
      <c r="AR1834" s="94"/>
      <c r="AS1834" s="94"/>
      <c r="AT1834" s="94"/>
      <c r="AU1834" s="94"/>
      <c r="AV1834" s="94"/>
      <c r="AW1834" s="94"/>
      <c r="AX1834" s="94"/>
      <c r="AY1834" s="94"/>
      <c r="AZ1834" s="94"/>
      <c r="BA1834" s="94"/>
      <c r="BB1834" s="94"/>
      <c r="BC1834" s="94"/>
      <c r="BD1834" s="94"/>
      <c r="BE1834" s="94"/>
      <c r="BF1834" s="94"/>
    </row>
    <row r="1835" spans="1:58" x14ac:dyDescent="0.35">
      <c r="A1835" s="101" t="s">
        <v>3607</v>
      </c>
      <c r="B1835" s="102" t="s">
        <v>0</v>
      </c>
      <c r="C1835" s="103">
        <v>5</v>
      </c>
      <c r="D1835" s="101" t="s">
        <v>1246</v>
      </c>
      <c r="E1835" s="103" t="s">
        <v>333</v>
      </c>
      <c r="F1835" s="94"/>
      <c r="G1835" s="94"/>
      <c r="H1835" s="94"/>
      <c r="I1835" s="94"/>
      <c r="J1835" s="94"/>
      <c r="K1835" s="94"/>
      <c r="L1835" s="94"/>
      <c r="M1835" s="94"/>
      <c r="N1835" s="94"/>
      <c r="O1835" s="94"/>
      <c r="P1835" s="94"/>
      <c r="Q1835" s="94"/>
      <c r="R1835" s="94"/>
      <c r="S1835" s="94"/>
      <c r="T1835" s="94"/>
      <c r="U1835" s="94"/>
      <c r="V1835" s="94"/>
      <c r="W1835" s="94"/>
      <c r="X1835" s="94"/>
      <c r="Y1835" s="94"/>
      <c r="Z1835" s="94"/>
      <c r="AA1835" s="94"/>
      <c r="AB1835" s="94"/>
      <c r="AC1835" s="94"/>
      <c r="AD1835" s="94"/>
      <c r="AE1835" s="94"/>
      <c r="AF1835" s="94"/>
      <c r="AG1835" s="94"/>
      <c r="AH1835" s="94"/>
      <c r="AI1835" s="94"/>
      <c r="AJ1835" s="94"/>
      <c r="AK1835" s="94"/>
      <c r="AL1835" s="94"/>
      <c r="AM1835" s="94"/>
      <c r="AN1835" s="94"/>
      <c r="AO1835" s="94"/>
      <c r="AP1835" s="94"/>
      <c r="AQ1835" s="94"/>
      <c r="AR1835" s="94"/>
      <c r="AS1835" s="94"/>
      <c r="AT1835" s="94"/>
      <c r="AU1835" s="94"/>
      <c r="AV1835" s="94"/>
      <c r="AW1835" s="94"/>
      <c r="AX1835" s="94"/>
      <c r="AY1835" s="94"/>
      <c r="AZ1835" s="94"/>
      <c r="BA1835" s="94"/>
      <c r="BB1835" s="94"/>
      <c r="BC1835" s="94"/>
      <c r="BD1835" s="94"/>
      <c r="BE1835" s="94"/>
      <c r="BF1835" s="94"/>
    </row>
    <row r="1836" spans="1:58" x14ac:dyDescent="0.35">
      <c r="A1836" s="104" t="s">
        <v>3608</v>
      </c>
      <c r="B1836" s="105" t="s">
        <v>0</v>
      </c>
      <c r="C1836" s="106">
        <v>6</v>
      </c>
      <c r="D1836" s="104" t="s">
        <v>16</v>
      </c>
      <c r="E1836" s="106"/>
      <c r="F1836" s="94"/>
      <c r="G1836" s="94"/>
      <c r="H1836" s="94"/>
      <c r="I1836" s="94"/>
      <c r="J1836" s="94"/>
      <c r="K1836" s="94"/>
      <c r="L1836" s="94"/>
      <c r="M1836" s="94"/>
      <c r="N1836" s="94"/>
      <c r="O1836" s="94"/>
      <c r="P1836" s="94"/>
      <c r="Q1836" s="94"/>
      <c r="R1836" s="94"/>
      <c r="S1836" s="94"/>
      <c r="T1836" s="94"/>
      <c r="U1836" s="94"/>
      <c r="V1836" s="94"/>
      <c r="W1836" s="94"/>
      <c r="X1836" s="94"/>
      <c r="Y1836" s="94"/>
      <c r="Z1836" s="94"/>
      <c r="AA1836" s="94"/>
      <c r="AB1836" s="94"/>
      <c r="AC1836" s="94"/>
      <c r="AD1836" s="94"/>
      <c r="AE1836" s="94"/>
      <c r="AF1836" s="94"/>
      <c r="AG1836" s="94"/>
      <c r="AH1836" s="94"/>
      <c r="AI1836" s="94"/>
      <c r="AJ1836" s="94"/>
      <c r="AK1836" s="94"/>
      <c r="AL1836" s="94"/>
      <c r="AM1836" s="94"/>
      <c r="AN1836" s="94"/>
      <c r="AO1836" s="94"/>
      <c r="AP1836" s="94"/>
      <c r="AQ1836" s="94"/>
      <c r="AR1836" s="94"/>
      <c r="AS1836" s="94"/>
      <c r="AT1836" s="94"/>
      <c r="AU1836" s="94"/>
      <c r="AV1836" s="94"/>
      <c r="AW1836" s="94"/>
      <c r="AX1836" s="94"/>
      <c r="AY1836" s="94"/>
      <c r="AZ1836" s="94"/>
      <c r="BA1836" s="94"/>
      <c r="BB1836" s="94"/>
      <c r="BC1836" s="94"/>
      <c r="BD1836" s="94"/>
      <c r="BE1836" s="94"/>
      <c r="BF1836" s="94"/>
    </row>
    <row r="1837" spans="1:58" x14ac:dyDescent="0.35">
      <c r="A1837" s="107" t="s">
        <v>3609</v>
      </c>
      <c r="B1837" s="108" t="s">
        <v>0</v>
      </c>
      <c r="C1837" s="109">
        <v>7</v>
      </c>
      <c r="D1837" s="107" t="s">
        <v>1248</v>
      </c>
      <c r="E1837" s="109" t="s">
        <v>334</v>
      </c>
      <c r="F1837" s="94"/>
      <c r="G1837" s="94"/>
      <c r="H1837" s="94"/>
      <c r="I1837" s="94"/>
      <c r="J1837" s="94"/>
      <c r="K1837" s="94"/>
      <c r="L1837" s="94"/>
      <c r="M1837" s="94"/>
      <c r="N1837" s="94"/>
      <c r="O1837" s="94"/>
      <c r="P1837" s="94"/>
      <c r="Q1837" s="94"/>
      <c r="R1837" s="94"/>
      <c r="S1837" s="94"/>
      <c r="T1837" s="94"/>
      <c r="U1837" s="94"/>
      <c r="V1837" s="94"/>
      <c r="W1837" s="94"/>
      <c r="X1837" s="94"/>
      <c r="Y1837" s="94"/>
      <c r="Z1837" s="94"/>
      <c r="AA1837" s="94"/>
      <c r="AB1837" s="94"/>
      <c r="AC1837" s="94"/>
      <c r="AD1837" s="94"/>
      <c r="AE1837" s="94"/>
      <c r="AF1837" s="94"/>
      <c r="AG1837" s="94"/>
      <c r="AH1837" s="94"/>
      <c r="AI1837" s="94"/>
      <c r="AJ1837" s="94"/>
      <c r="AK1837" s="94"/>
      <c r="AL1837" s="94"/>
      <c r="AM1837" s="94"/>
      <c r="AN1837" s="94"/>
      <c r="AO1837" s="94"/>
      <c r="AP1837" s="94"/>
      <c r="AQ1837" s="94"/>
      <c r="AR1837" s="94"/>
      <c r="AS1837" s="94"/>
      <c r="AT1837" s="94"/>
      <c r="AU1837" s="94"/>
      <c r="AV1837" s="94"/>
      <c r="AW1837" s="94"/>
      <c r="AX1837" s="94"/>
      <c r="AY1837" s="94"/>
      <c r="AZ1837" s="94"/>
      <c r="BA1837" s="94"/>
      <c r="BB1837" s="94"/>
      <c r="BC1837" s="94"/>
      <c r="BD1837" s="94"/>
      <c r="BE1837" s="94"/>
      <c r="BF1837" s="94"/>
    </row>
    <row r="1838" spans="1:58" x14ac:dyDescent="0.35">
      <c r="A1838" s="104" t="s">
        <v>3610</v>
      </c>
      <c r="B1838" s="105" t="s">
        <v>0</v>
      </c>
      <c r="C1838" s="106">
        <v>6</v>
      </c>
      <c r="D1838" s="104" t="s">
        <v>123</v>
      </c>
      <c r="E1838" s="106"/>
      <c r="F1838" s="94"/>
      <c r="G1838" s="94"/>
      <c r="H1838" s="94"/>
      <c r="I1838" s="94"/>
      <c r="J1838" s="94"/>
      <c r="K1838" s="94"/>
      <c r="L1838" s="94"/>
      <c r="M1838" s="94"/>
      <c r="N1838" s="94"/>
      <c r="O1838" s="94"/>
      <c r="P1838" s="94"/>
      <c r="Q1838" s="94"/>
      <c r="R1838" s="94"/>
      <c r="S1838" s="94"/>
      <c r="T1838" s="94"/>
      <c r="U1838" s="94"/>
      <c r="V1838" s="94"/>
      <c r="W1838" s="94"/>
      <c r="X1838" s="94"/>
      <c r="Y1838" s="94"/>
      <c r="Z1838" s="94"/>
      <c r="AA1838" s="94"/>
      <c r="AB1838" s="94"/>
      <c r="AC1838" s="94"/>
      <c r="AD1838" s="94"/>
      <c r="AE1838" s="94"/>
      <c r="AF1838" s="94"/>
      <c r="AG1838" s="94"/>
      <c r="AH1838" s="94"/>
      <c r="AI1838" s="94"/>
      <c r="AJ1838" s="94"/>
      <c r="AK1838" s="94"/>
      <c r="AL1838" s="94"/>
      <c r="AM1838" s="94"/>
      <c r="AN1838" s="94"/>
      <c r="AO1838" s="94"/>
      <c r="AP1838" s="94"/>
      <c r="AQ1838" s="94"/>
      <c r="AR1838" s="94"/>
      <c r="AS1838" s="94"/>
      <c r="AT1838" s="94"/>
      <c r="AU1838" s="94"/>
      <c r="AV1838" s="94"/>
      <c r="AW1838" s="94"/>
      <c r="AX1838" s="94"/>
      <c r="AY1838" s="94"/>
      <c r="AZ1838" s="94"/>
      <c r="BA1838" s="94"/>
      <c r="BB1838" s="94"/>
      <c r="BC1838" s="94"/>
      <c r="BD1838" s="94"/>
      <c r="BE1838" s="94"/>
      <c r="BF1838" s="94"/>
    </row>
    <row r="1839" spans="1:58" x14ac:dyDescent="0.35">
      <c r="A1839" s="107" t="s">
        <v>3795</v>
      </c>
      <c r="B1839" s="108" t="s">
        <v>0</v>
      </c>
      <c r="C1839" s="109">
        <v>7</v>
      </c>
      <c r="D1839" s="107" t="s">
        <v>1654</v>
      </c>
      <c r="E1839" s="109"/>
      <c r="F1839" s="94"/>
      <c r="G1839" s="94"/>
      <c r="H1839" s="94"/>
      <c r="I1839" s="94"/>
      <c r="J1839" s="94"/>
      <c r="K1839" s="94"/>
      <c r="L1839" s="94"/>
      <c r="M1839" s="94"/>
      <c r="N1839" s="94"/>
      <c r="O1839" s="94"/>
      <c r="P1839" s="94"/>
      <c r="Q1839" s="94"/>
      <c r="R1839" s="94"/>
      <c r="S1839" s="94"/>
      <c r="T1839" s="94"/>
      <c r="U1839" s="94"/>
      <c r="V1839" s="94"/>
      <c r="W1839" s="94"/>
      <c r="X1839" s="94"/>
      <c r="Y1839" s="94"/>
      <c r="Z1839" s="94"/>
      <c r="AA1839" s="94"/>
      <c r="AB1839" s="94"/>
      <c r="AC1839" s="94"/>
      <c r="AD1839" s="94"/>
      <c r="AE1839" s="94"/>
      <c r="AF1839" s="94"/>
      <c r="AG1839" s="94"/>
      <c r="AH1839" s="94"/>
      <c r="AI1839" s="94"/>
      <c r="AJ1839" s="94"/>
      <c r="AK1839" s="94"/>
      <c r="AL1839" s="94"/>
      <c r="AM1839" s="94"/>
      <c r="AN1839" s="94"/>
      <c r="AO1839" s="94"/>
      <c r="AP1839" s="94"/>
      <c r="AQ1839" s="94"/>
      <c r="AR1839" s="94"/>
      <c r="AS1839" s="94"/>
      <c r="AT1839" s="94"/>
      <c r="AU1839" s="94"/>
      <c r="AV1839" s="94"/>
      <c r="AW1839" s="94"/>
      <c r="AX1839" s="94"/>
      <c r="AY1839" s="94"/>
      <c r="AZ1839" s="94"/>
      <c r="BA1839" s="94"/>
      <c r="BB1839" s="94"/>
      <c r="BC1839" s="94"/>
      <c r="BD1839" s="94"/>
      <c r="BE1839" s="94"/>
      <c r="BF1839" s="94"/>
    </row>
    <row r="1840" spans="1:58" x14ac:dyDescent="0.35">
      <c r="A1840" s="104" t="s">
        <v>3611</v>
      </c>
      <c r="B1840" s="105" t="s">
        <v>0</v>
      </c>
      <c r="C1840" s="106">
        <v>6</v>
      </c>
      <c r="D1840" s="104" t="s">
        <v>1665</v>
      </c>
      <c r="E1840" s="106"/>
      <c r="F1840" s="94"/>
      <c r="G1840" s="94"/>
      <c r="H1840" s="94"/>
      <c r="I1840" s="94"/>
      <c r="J1840" s="94"/>
      <c r="K1840" s="94"/>
      <c r="L1840" s="94"/>
      <c r="M1840" s="94"/>
      <c r="N1840" s="94"/>
      <c r="O1840" s="94"/>
      <c r="P1840" s="94"/>
      <c r="Q1840" s="94"/>
      <c r="R1840" s="94"/>
      <c r="S1840" s="94"/>
      <c r="T1840" s="94"/>
      <c r="U1840" s="94"/>
      <c r="V1840" s="94"/>
      <c r="W1840" s="94"/>
      <c r="X1840" s="94"/>
      <c r="Y1840" s="94"/>
      <c r="Z1840" s="94"/>
      <c r="AA1840" s="94"/>
      <c r="AB1840" s="94"/>
      <c r="AC1840" s="94"/>
      <c r="AD1840" s="94"/>
      <c r="AE1840" s="94"/>
      <c r="AF1840" s="94"/>
      <c r="AG1840" s="94"/>
      <c r="AH1840" s="94"/>
      <c r="AI1840" s="94"/>
      <c r="AJ1840" s="94"/>
      <c r="AK1840" s="94"/>
      <c r="AL1840" s="94"/>
      <c r="AM1840" s="94"/>
      <c r="AN1840" s="94"/>
      <c r="AO1840" s="94"/>
      <c r="AP1840" s="94"/>
      <c r="AQ1840" s="94"/>
      <c r="AR1840" s="94"/>
      <c r="AS1840" s="94"/>
      <c r="AT1840" s="94"/>
      <c r="AU1840" s="94"/>
      <c r="AV1840" s="94"/>
      <c r="AW1840" s="94"/>
      <c r="AX1840" s="94"/>
      <c r="AY1840" s="94"/>
      <c r="AZ1840" s="94"/>
      <c r="BA1840" s="94"/>
      <c r="BB1840" s="94"/>
      <c r="BC1840" s="94"/>
      <c r="BD1840" s="94"/>
      <c r="BE1840" s="94"/>
      <c r="BF1840" s="94"/>
    </row>
    <row r="1841" spans="1:58" x14ac:dyDescent="0.35">
      <c r="A1841" s="107" t="s">
        <v>3612</v>
      </c>
      <c r="B1841" s="108" t="s">
        <v>0</v>
      </c>
      <c r="C1841" s="109">
        <v>7</v>
      </c>
      <c r="D1841" s="107" t="s">
        <v>1773</v>
      </c>
      <c r="E1841" s="109"/>
      <c r="F1841" s="94"/>
      <c r="G1841" s="94"/>
      <c r="H1841" s="94"/>
      <c r="I1841" s="94"/>
      <c r="J1841" s="94"/>
      <c r="K1841" s="94"/>
      <c r="L1841" s="94"/>
      <c r="M1841" s="94"/>
      <c r="N1841" s="94"/>
      <c r="O1841" s="94"/>
      <c r="P1841" s="94"/>
      <c r="Q1841" s="94"/>
      <c r="R1841" s="94"/>
      <c r="S1841" s="94"/>
      <c r="T1841" s="94"/>
      <c r="U1841" s="94"/>
      <c r="V1841" s="94"/>
      <c r="W1841" s="94"/>
      <c r="X1841" s="94"/>
      <c r="Y1841" s="94"/>
      <c r="Z1841" s="94"/>
      <c r="AA1841" s="94"/>
      <c r="AB1841" s="94"/>
      <c r="AC1841" s="94"/>
      <c r="AD1841" s="94"/>
      <c r="AE1841" s="94"/>
      <c r="AF1841" s="94"/>
      <c r="AG1841" s="94"/>
      <c r="AH1841" s="94"/>
      <c r="AI1841" s="94"/>
      <c r="AJ1841" s="94"/>
      <c r="AK1841" s="94"/>
      <c r="AL1841" s="94"/>
      <c r="AM1841" s="94"/>
      <c r="AN1841" s="94"/>
      <c r="AO1841" s="94"/>
      <c r="AP1841" s="94"/>
      <c r="AQ1841" s="94"/>
      <c r="AR1841" s="94"/>
      <c r="AS1841" s="94"/>
      <c r="AT1841" s="94"/>
      <c r="AU1841" s="94"/>
      <c r="AV1841" s="94"/>
      <c r="AW1841" s="94"/>
      <c r="AX1841" s="94"/>
      <c r="AY1841" s="94"/>
      <c r="AZ1841" s="94"/>
      <c r="BA1841" s="94"/>
      <c r="BB1841" s="94"/>
      <c r="BC1841" s="94"/>
      <c r="BD1841" s="94"/>
      <c r="BE1841" s="94"/>
      <c r="BF1841" s="94"/>
    </row>
    <row r="1842" spans="1:58" x14ac:dyDescent="0.35">
      <c r="A1842" s="101" t="s">
        <v>3613</v>
      </c>
      <c r="B1842" s="102" t="s">
        <v>0</v>
      </c>
      <c r="C1842" s="103">
        <v>5</v>
      </c>
      <c r="D1842" s="101" t="s">
        <v>612</v>
      </c>
      <c r="E1842" s="103" t="s">
        <v>335</v>
      </c>
      <c r="F1842" s="94"/>
      <c r="G1842" s="94"/>
      <c r="H1842" s="94"/>
      <c r="I1842" s="94"/>
      <c r="J1842" s="94"/>
      <c r="K1842" s="94"/>
      <c r="L1842" s="94"/>
      <c r="M1842" s="94"/>
      <c r="N1842" s="94"/>
      <c r="O1842" s="94"/>
      <c r="P1842" s="94"/>
      <c r="Q1842" s="94"/>
      <c r="R1842" s="94"/>
      <c r="S1842" s="94"/>
      <c r="T1842" s="94"/>
      <c r="U1842" s="94"/>
      <c r="V1842" s="94"/>
      <c r="W1842" s="94"/>
      <c r="X1842" s="94"/>
      <c r="Y1842" s="94"/>
      <c r="Z1842" s="94"/>
      <c r="AA1842" s="94"/>
      <c r="AB1842" s="94"/>
      <c r="AC1842" s="94"/>
      <c r="AD1842" s="94"/>
      <c r="AE1842" s="94"/>
      <c r="AF1842" s="94"/>
      <c r="AG1842" s="94"/>
      <c r="AH1842" s="94"/>
      <c r="AI1842" s="94"/>
      <c r="AJ1842" s="94"/>
      <c r="AK1842" s="94"/>
      <c r="AL1842" s="94"/>
      <c r="AM1842" s="94"/>
      <c r="AN1842" s="94"/>
      <c r="AO1842" s="94"/>
      <c r="AP1842" s="94"/>
      <c r="AQ1842" s="94"/>
      <c r="AR1842" s="94"/>
      <c r="AS1842" s="94"/>
      <c r="AT1842" s="94"/>
      <c r="AU1842" s="94"/>
      <c r="AV1842" s="94"/>
      <c r="AW1842" s="94"/>
      <c r="AX1842" s="94"/>
      <c r="AY1842" s="94"/>
      <c r="AZ1842" s="94"/>
      <c r="BA1842" s="94"/>
      <c r="BB1842" s="94"/>
      <c r="BC1842" s="94"/>
      <c r="BD1842" s="94"/>
      <c r="BE1842" s="94"/>
      <c r="BF1842" s="94"/>
    </row>
    <row r="1843" spans="1:58" x14ac:dyDescent="0.35">
      <c r="A1843" s="104" t="s">
        <v>3614</v>
      </c>
      <c r="B1843" s="105" t="s">
        <v>0</v>
      </c>
      <c r="C1843" s="106">
        <v>6</v>
      </c>
      <c r="D1843" s="104" t="s">
        <v>123</v>
      </c>
      <c r="E1843" s="106"/>
      <c r="F1843" s="94"/>
      <c r="G1843" s="94"/>
      <c r="H1843" s="94"/>
      <c r="I1843" s="94"/>
      <c r="J1843" s="94"/>
      <c r="K1843" s="94"/>
      <c r="L1843" s="94"/>
      <c r="M1843" s="94"/>
      <c r="N1843" s="94"/>
      <c r="O1843" s="94"/>
      <c r="P1843" s="94"/>
      <c r="Q1843" s="94"/>
      <c r="R1843" s="94"/>
      <c r="S1843" s="94"/>
      <c r="T1843" s="94"/>
      <c r="U1843" s="94"/>
      <c r="V1843" s="94"/>
      <c r="W1843" s="94"/>
      <c r="X1843" s="94"/>
      <c r="Y1843" s="94"/>
      <c r="Z1843" s="94"/>
      <c r="AA1843" s="94"/>
      <c r="AB1843" s="94"/>
      <c r="AC1843" s="94"/>
      <c r="AD1843" s="94"/>
      <c r="AE1843" s="94"/>
      <c r="AF1843" s="94"/>
      <c r="AG1843" s="94"/>
      <c r="AH1843" s="94"/>
      <c r="AI1843" s="94"/>
      <c r="AJ1843" s="94"/>
      <c r="AK1843" s="94"/>
      <c r="AL1843" s="94"/>
      <c r="AM1843" s="94"/>
      <c r="AN1843" s="94"/>
      <c r="AO1843" s="94"/>
      <c r="AP1843" s="94"/>
      <c r="AQ1843" s="94"/>
      <c r="AR1843" s="94"/>
      <c r="AS1843" s="94"/>
      <c r="AT1843" s="94"/>
      <c r="AU1843" s="94"/>
      <c r="AV1843" s="94"/>
      <c r="AW1843" s="94"/>
      <c r="AX1843" s="94"/>
      <c r="AY1843" s="94"/>
      <c r="AZ1843" s="94"/>
      <c r="BA1843" s="94"/>
      <c r="BB1843" s="94"/>
      <c r="BC1843" s="94"/>
      <c r="BD1843" s="94"/>
      <c r="BE1843" s="94"/>
      <c r="BF1843" s="94"/>
    </row>
    <row r="1844" spans="1:58" x14ac:dyDescent="0.35">
      <c r="A1844" s="107" t="s">
        <v>3615</v>
      </c>
      <c r="B1844" s="108" t="s">
        <v>0</v>
      </c>
      <c r="C1844" s="109">
        <v>7</v>
      </c>
      <c r="D1844" s="107" t="s">
        <v>1664</v>
      </c>
      <c r="E1844" s="109"/>
      <c r="F1844" s="94"/>
      <c r="G1844" s="94"/>
      <c r="H1844" s="94"/>
      <c r="I1844" s="94"/>
      <c r="J1844" s="94"/>
      <c r="K1844" s="94"/>
      <c r="L1844" s="94"/>
      <c r="M1844" s="94"/>
      <c r="N1844" s="94"/>
      <c r="O1844" s="94"/>
      <c r="P1844" s="94"/>
      <c r="Q1844" s="94"/>
      <c r="R1844" s="94"/>
      <c r="S1844" s="94"/>
      <c r="T1844" s="94"/>
      <c r="U1844" s="94"/>
      <c r="V1844" s="94"/>
      <c r="W1844" s="94"/>
      <c r="X1844" s="94"/>
      <c r="Y1844" s="94"/>
      <c r="Z1844" s="94"/>
      <c r="AA1844" s="94"/>
      <c r="AB1844" s="94"/>
      <c r="AC1844" s="94"/>
      <c r="AD1844" s="94"/>
      <c r="AE1844" s="94"/>
      <c r="AF1844" s="94"/>
      <c r="AG1844" s="94"/>
      <c r="AH1844" s="94"/>
      <c r="AI1844" s="94"/>
      <c r="AJ1844" s="94"/>
      <c r="AK1844" s="94"/>
      <c r="AL1844" s="94"/>
      <c r="AM1844" s="94"/>
      <c r="AN1844" s="94"/>
      <c r="AO1844" s="94"/>
      <c r="AP1844" s="94"/>
      <c r="AQ1844" s="94"/>
      <c r="AR1844" s="94"/>
      <c r="AS1844" s="94"/>
      <c r="AT1844" s="94"/>
      <c r="AU1844" s="94"/>
      <c r="AV1844" s="94"/>
      <c r="AW1844" s="94"/>
      <c r="AX1844" s="94"/>
      <c r="AY1844" s="94"/>
      <c r="AZ1844" s="94"/>
      <c r="BA1844" s="94"/>
      <c r="BB1844" s="94"/>
      <c r="BC1844" s="94"/>
      <c r="BD1844" s="94"/>
      <c r="BE1844" s="94"/>
      <c r="BF1844" s="94"/>
    </row>
    <row r="1845" spans="1:58" x14ac:dyDescent="0.35">
      <c r="A1845" s="101" t="s">
        <v>3616</v>
      </c>
      <c r="B1845" s="102" t="s">
        <v>0</v>
      </c>
      <c r="C1845" s="103">
        <v>5</v>
      </c>
      <c r="D1845" s="101" t="s">
        <v>611</v>
      </c>
      <c r="E1845" s="103" t="s">
        <v>336</v>
      </c>
      <c r="F1845" s="94"/>
      <c r="G1845" s="94"/>
      <c r="H1845" s="94"/>
      <c r="I1845" s="94"/>
      <c r="J1845" s="94"/>
      <c r="K1845" s="94"/>
      <c r="L1845" s="94"/>
      <c r="M1845" s="94"/>
      <c r="N1845" s="94"/>
      <c r="O1845" s="94"/>
      <c r="P1845" s="94"/>
      <c r="Q1845" s="94"/>
      <c r="R1845" s="94"/>
      <c r="S1845" s="94"/>
      <c r="T1845" s="94"/>
      <c r="U1845" s="94"/>
      <c r="V1845" s="94"/>
      <c r="W1845" s="94"/>
      <c r="X1845" s="94"/>
      <c r="Y1845" s="94"/>
      <c r="Z1845" s="94"/>
      <c r="AA1845" s="94"/>
      <c r="AB1845" s="94"/>
      <c r="AC1845" s="94"/>
      <c r="AD1845" s="94"/>
      <c r="AE1845" s="94"/>
      <c r="AF1845" s="94"/>
      <c r="AG1845" s="94"/>
      <c r="AH1845" s="94"/>
      <c r="AI1845" s="94"/>
      <c r="AJ1845" s="94"/>
      <c r="AK1845" s="94"/>
      <c r="AL1845" s="94"/>
      <c r="AM1845" s="94"/>
      <c r="AN1845" s="94"/>
      <c r="AO1845" s="94"/>
      <c r="AP1845" s="94"/>
      <c r="AQ1845" s="94"/>
      <c r="AR1845" s="94"/>
      <c r="AS1845" s="94"/>
      <c r="AT1845" s="94"/>
      <c r="AU1845" s="94"/>
      <c r="AV1845" s="94"/>
      <c r="AW1845" s="94"/>
      <c r="AX1845" s="94"/>
      <c r="AY1845" s="94"/>
      <c r="AZ1845" s="94"/>
      <c r="BA1845" s="94"/>
      <c r="BB1845" s="94"/>
      <c r="BC1845" s="94"/>
      <c r="BD1845" s="94"/>
      <c r="BE1845" s="94"/>
      <c r="BF1845" s="94"/>
    </row>
    <row r="1846" spans="1:58" x14ac:dyDescent="0.35">
      <c r="A1846" s="104" t="s">
        <v>3617</v>
      </c>
      <c r="B1846" s="105" t="s">
        <v>0</v>
      </c>
      <c r="C1846" s="106">
        <v>6</v>
      </c>
      <c r="D1846" s="104" t="s">
        <v>123</v>
      </c>
      <c r="E1846" s="106"/>
      <c r="F1846" s="94"/>
      <c r="G1846" s="94"/>
      <c r="H1846" s="94"/>
      <c r="I1846" s="94"/>
      <c r="J1846" s="94"/>
      <c r="K1846" s="94"/>
      <c r="L1846" s="94"/>
      <c r="M1846" s="94"/>
      <c r="N1846" s="94"/>
      <c r="O1846" s="94"/>
      <c r="P1846" s="94"/>
      <c r="Q1846" s="94"/>
      <c r="R1846" s="94"/>
      <c r="S1846" s="94"/>
      <c r="T1846" s="94"/>
      <c r="U1846" s="94"/>
      <c r="V1846" s="94"/>
      <c r="W1846" s="94"/>
      <c r="X1846" s="94"/>
      <c r="Y1846" s="94"/>
      <c r="Z1846" s="94"/>
      <c r="AA1846" s="94"/>
      <c r="AB1846" s="94"/>
      <c r="AC1846" s="94"/>
      <c r="AD1846" s="94"/>
      <c r="AE1846" s="94"/>
      <c r="AF1846" s="94"/>
      <c r="AG1846" s="94"/>
      <c r="AH1846" s="94"/>
      <c r="AI1846" s="94"/>
      <c r="AJ1846" s="94"/>
      <c r="AK1846" s="94"/>
      <c r="AL1846" s="94"/>
      <c r="AM1846" s="94"/>
      <c r="AN1846" s="94"/>
      <c r="AO1846" s="94"/>
      <c r="AP1846" s="94"/>
      <c r="AQ1846" s="94"/>
      <c r="AR1846" s="94"/>
      <c r="AS1846" s="94"/>
      <c r="AT1846" s="94"/>
      <c r="AU1846" s="94"/>
      <c r="AV1846" s="94"/>
      <c r="AW1846" s="94"/>
      <c r="AX1846" s="94"/>
      <c r="AY1846" s="94"/>
      <c r="AZ1846" s="94"/>
      <c r="BA1846" s="94"/>
      <c r="BB1846" s="94"/>
      <c r="BC1846" s="94"/>
      <c r="BD1846" s="94"/>
      <c r="BE1846" s="94"/>
      <c r="BF1846" s="94"/>
    </row>
    <row r="1847" spans="1:58" x14ac:dyDescent="0.35">
      <c r="A1847" s="107" t="s">
        <v>3618</v>
      </c>
      <c r="B1847" s="108" t="s">
        <v>0</v>
      </c>
      <c r="C1847" s="109">
        <v>7</v>
      </c>
      <c r="D1847" s="107" t="s">
        <v>1664</v>
      </c>
      <c r="E1847" s="109"/>
      <c r="F1847" s="94"/>
      <c r="G1847" s="94"/>
      <c r="H1847" s="94"/>
      <c r="I1847" s="94"/>
      <c r="J1847" s="94"/>
      <c r="K1847" s="94"/>
      <c r="L1847" s="94"/>
      <c r="M1847" s="94"/>
      <c r="N1847" s="94"/>
      <c r="O1847" s="94"/>
      <c r="P1847" s="94"/>
      <c r="Q1847" s="94"/>
      <c r="R1847" s="94"/>
      <c r="S1847" s="94"/>
      <c r="T1847" s="94"/>
      <c r="U1847" s="94"/>
      <c r="V1847" s="94"/>
      <c r="W1847" s="94"/>
      <c r="X1847" s="94"/>
      <c r="Y1847" s="94"/>
      <c r="Z1847" s="94"/>
      <c r="AA1847" s="94"/>
      <c r="AB1847" s="94"/>
      <c r="AC1847" s="94"/>
      <c r="AD1847" s="94"/>
      <c r="AE1847" s="94"/>
      <c r="AF1847" s="94"/>
      <c r="AG1847" s="94"/>
      <c r="AH1847" s="94"/>
      <c r="AI1847" s="94"/>
      <c r="AJ1847" s="94"/>
      <c r="AK1847" s="94"/>
      <c r="AL1847" s="94"/>
      <c r="AM1847" s="94"/>
      <c r="AN1847" s="94"/>
      <c r="AO1847" s="94"/>
      <c r="AP1847" s="94"/>
      <c r="AQ1847" s="94"/>
      <c r="AR1847" s="94"/>
      <c r="AS1847" s="94"/>
      <c r="AT1847" s="94"/>
      <c r="AU1847" s="94"/>
      <c r="AV1847" s="94"/>
      <c r="AW1847" s="94"/>
      <c r="AX1847" s="94"/>
      <c r="AY1847" s="94"/>
      <c r="AZ1847" s="94"/>
      <c r="BA1847" s="94"/>
      <c r="BB1847" s="94"/>
      <c r="BC1847" s="94"/>
      <c r="BD1847" s="94"/>
      <c r="BE1847" s="94"/>
      <c r="BF1847" s="94"/>
    </row>
    <row r="1848" spans="1:58" x14ac:dyDescent="0.35">
      <c r="A1848" s="101" t="s">
        <v>3619</v>
      </c>
      <c r="B1848" s="102" t="s">
        <v>0</v>
      </c>
      <c r="C1848" s="103">
        <v>5</v>
      </c>
      <c r="D1848" s="101" t="s">
        <v>337</v>
      </c>
      <c r="E1848" s="103" t="s">
        <v>338</v>
      </c>
      <c r="F1848" s="94"/>
      <c r="G1848" s="94"/>
      <c r="H1848" s="94"/>
      <c r="I1848" s="94"/>
      <c r="J1848" s="94"/>
      <c r="K1848" s="94"/>
      <c r="L1848" s="94"/>
      <c r="M1848" s="94"/>
      <c r="N1848" s="94"/>
      <c r="O1848" s="94"/>
      <c r="P1848" s="94"/>
      <c r="Q1848" s="94"/>
      <c r="R1848" s="94"/>
      <c r="S1848" s="94"/>
      <c r="T1848" s="94"/>
      <c r="U1848" s="94"/>
      <c r="V1848" s="94"/>
      <c r="W1848" s="94"/>
      <c r="X1848" s="94"/>
      <c r="Y1848" s="94"/>
      <c r="Z1848" s="94"/>
      <c r="AA1848" s="94"/>
      <c r="AB1848" s="94"/>
      <c r="AC1848" s="94"/>
      <c r="AD1848" s="94"/>
      <c r="AE1848" s="94"/>
      <c r="AF1848" s="94"/>
      <c r="AG1848" s="94"/>
      <c r="AH1848" s="94"/>
      <c r="AI1848" s="94"/>
      <c r="AJ1848" s="94"/>
      <c r="AK1848" s="94"/>
      <c r="AL1848" s="94"/>
      <c r="AM1848" s="94"/>
      <c r="AN1848" s="94"/>
      <c r="AO1848" s="94"/>
      <c r="AP1848" s="94"/>
      <c r="AQ1848" s="94"/>
      <c r="AR1848" s="94"/>
      <c r="AS1848" s="94"/>
      <c r="AT1848" s="94"/>
      <c r="AU1848" s="94"/>
      <c r="AV1848" s="94"/>
      <c r="AW1848" s="94"/>
      <c r="AX1848" s="94"/>
      <c r="AY1848" s="94"/>
      <c r="AZ1848" s="94"/>
      <c r="BA1848" s="94"/>
      <c r="BB1848" s="94"/>
      <c r="BC1848" s="94"/>
      <c r="BD1848" s="94"/>
      <c r="BE1848" s="94"/>
      <c r="BF1848" s="94"/>
    </row>
    <row r="1849" spans="1:58" x14ac:dyDescent="0.35">
      <c r="A1849" s="104" t="s">
        <v>3620</v>
      </c>
      <c r="B1849" s="105" t="s">
        <v>0</v>
      </c>
      <c r="C1849" s="106">
        <v>6</v>
      </c>
      <c r="D1849" s="104" t="s">
        <v>16</v>
      </c>
      <c r="E1849" s="106"/>
      <c r="F1849" s="94"/>
      <c r="G1849" s="94"/>
      <c r="H1849" s="94"/>
      <c r="I1849" s="94"/>
      <c r="J1849" s="94"/>
      <c r="K1849" s="94"/>
      <c r="L1849" s="94"/>
      <c r="M1849" s="94"/>
      <c r="N1849" s="94"/>
      <c r="O1849" s="94"/>
      <c r="P1849" s="94"/>
      <c r="Q1849" s="94"/>
      <c r="R1849" s="94"/>
      <c r="S1849" s="94"/>
      <c r="T1849" s="94"/>
      <c r="U1849" s="94"/>
      <c r="V1849" s="94"/>
      <c r="W1849" s="94"/>
      <c r="X1849" s="94"/>
      <c r="Y1849" s="94"/>
      <c r="Z1849" s="94"/>
      <c r="AA1849" s="94"/>
      <c r="AB1849" s="94"/>
      <c r="AC1849" s="94"/>
      <c r="AD1849" s="94"/>
      <c r="AE1849" s="94"/>
      <c r="AF1849" s="94"/>
      <c r="AG1849" s="94"/>
      <c r="AH1849" s="94"/>
      <c r="AI1849" s="94"/>
      <c r="AJ1849" s="94"/>
      <c r="AK1849" s="94"/>
      <c r="AL1849" s="94"/>
      <c r="AM1849" s="94"/>
      <c r="AN1849" s="94"/>
      <c r="AO1849" s="94"/>
      <c r="AP1849" s="94"/>
      <c r="AQ1849" s="94"/>
      <c r="AR1849" s="94"/>
      <c r="AS1849" s="94"/>
      <c r="AT1849" s="94"/>
      <c r="AU1849" s="94"/>
      <c r="AV1849" s="94"/>
      <c r="AW1849" s="94"/>
      <c r="AX1849" s="94"/>
      <c r="AY1849" s="94"/>
      <c r="AZ1849" s="94"/>
      <c r="BA1849" s="94"/>
      <c r="BB1849" s="94"/>
      <c r="BC1849" s="94"/>
      <c r="BD1849" s="94"/>
      <c r="BE1849" s="94"/>
      <c r="BF1849" s="94"/>
    </row>
    <row r="1850" spans="1:58" x14ac:dyDescent="0.35">
      <c r="A1850" s="107" t="s">
        <v>3621</v>
      </c>
      <c r="B1850" s="108" t="s">
        <v>0</v>
      </c>
      <c r="C1850" s="109">
        <v>7</v>
      </c>
      <c r="D1850" s="107" t="s">
        <v>630</v>
      </c>
      <c r="E1850" s="109" t="s">
        <v>339</v>
      </c>
      <c r="F1850" s="94"/>
      <c r="G1850" s="94"/>
      <c r="H1850" s="94"/>
      <c r="I1850" s="94"/>
      <c r="J1850" s="94"/>
      <c r="K1850" s="94"/>
      <c r="L1850" s="94"/>
      <c r="M1850" s="94"/>
      <c r="N1850" s="94"/>
      <c r="O1850" s="94"/>
      <c r="P1850" s="94"/>
      <c r="Q1850" s="94"/>
      <c r="R1850" s="94"/>
      <c r="S1850" s="94"/>
      <c r="T1850" s="94"/>
      <c r="U1850" s="94"/>
      <c r="V1850" s="94"/>
      <c r="W1850" s="94"/>
      <c r="X1850" s="94"/>
      <c r="Y1850" s="94"/>
      <c r="Z1850" s="94"/>
      <c r="AA1850" s="94"/>
      <c r="AB1850" s="94"/>
      <c r="AC1850" s="94"/>
      <c r="AD1850" s="94"/>
      <c r="AE1850" s="94"/>
      <c r="AF1850" s="94"/>
      <c r="AG1850" s="94"/>
      <c r="AH1850" s="94"/>
      <c r="AI1850" s="94"/>
      <c r="AJ1850" s="94"/>
      <c r="AK1850" s="94"/>
      <c r="AL1850" s="94"/>
      <c r="AM1850" s="94"/>
      <c r="AN1850" s="94"/>
      <c r="AO1850" s="94"/>
      <c r="AP1850" s="94"/>
      <c r="AQ1850" s="94"/>
      <c r="AR1850" s="94"/>
      <c r="AS1850" s="94"/>
      <c r="AT1850" s="94"/>
      <c r="AU1850" s="94"/>
      <c r="AV1850" s="94"/>
      <c r="AW1850" s="94"/>
      <c r="AX1850" s="94"/>
      <c r="AY1850" s="94"/>
      <c r="AZ1850" s="94"/>
      <c r="BA1850" s="94"/>
      <c r="BB1850" s="94"/>
      <c r="BC1850" s="94"/>
      <c r="BD1850" s="94"/>
      <c r="BE1850" s="94"/>
      <c r="BF1850" s="94"/>
    </row>
    <row r="1851" spans="1:58" x14ac:dyDescent="0.35">
      <c r="A1851" s="104" t="s">
        <v>3622</v>
      </c>
      <c r="B1851" s="105" t="s">
        <v>0</v>
      </c>
      <c r="C1851" s="106">
        <v>6</v>
      </c>
      <c r="D1851" s="104" t="s">
        <v>123</v>
      </c>
      <c r="E1851" s="106"/>
      <c r="F1851" s="94"/>
      <c r="G1851" s="94"/>
      <c r="H1851" s="94"/>
      <c r="I1851" s="94"/>
      <c r="J1851" s="94"/>
      <c r="K1851" s="94"/>
      <c r="L1851" s="94"/>
      <c r="M1851" s="94"/>
      <c r="N1851" s="94"/>
      <c r="O1851" s="94"/>
      <c r="P1851" s="94"/>
      <c r="Q1851" s="94"/>
      <c r="R1851" s="94"/>
      <c r="S1851" s="94"/>
      <c r="T1851" s="94"/>
      <c r="U1851" s="94"/>
      <c r="V1851" s="94"/>
      <c r="W1851" s="94"/>
      <c r="X1851" s="94"/>
      <c r="Y1851" s="94"/>
      <c r="Z1851" s="94"/>
      <c r="AA1851" s="94"/>
      <c r="AB1851" s="94"/>
      <c r="AC1851" s="94"/>
      <c r="AD1851" s="94"/>
      <c r="AE1851" s="94"/>
      <c r="AF1851" s="94"/>
      <c r="AG1851" s="94"/>
      <c r="AH1851" s="94"/>
      <c r="AI1851" s="94"/>
      <c r="AJ1851" s="94"/>
      <c r="AK1851" s="94"/>
      <c r="AL1851" s="94"/>
      <c r="AM1851" s="94"/>
      <c r="AN1851" s="94"/>
      <c r="AO1851" s="94"/>
      <c r="AP1851" s="94"/>
      <c r="AQ1851" s="94"/>
      <c r="AR1851" s="94"/>
      <c r="AS1851" s="94"/>
      <c r="AT1851" s="94"/>
      <c r="AU1851" s="94"/>
      <c r="AV1851" s="94"/>
      <c r="AW1851" s="94"/>
      <c r="AX1851" s="94"/>
      <c r="AY1851" s="94"/>
      <c r="AZ1851" s="94"/>
      <c r="BA1851" s="94"/>
      <c r="BB1851" s="94"/>
      <c r="BC1851" s="94"/>
      <c r="BD1851" s="94"/>
      <c r="BE1851" s="94"/>
      <c r="BF1851" s="94"/>
    </row>
    <row r="1852" spans="1:58" x14ac:dyDescent="0.35">
      <c r="A1852" s="107" t="s">
        <v>3623</v>
      </c>
      <c r="B1852" s="108" t="s">
        <v>0</v>
      </c>
      <c r="C1852" s="109">
        <v>7</v>
      </c>
      <c r="D1852" s="107" t="s">
        <v>1664</v>
      </c>
      <c r="E1852" s="109"/>
      <c r="F1852" s="94"/>
      <c r="G1852" s="94"/>
      <c r="H1852" s="94"/>
      <c r="I1852" s="94"/>
      <c r="J1852" s="94"/>
      <c r="K1852" s="94"/>
      <c r="L1852" s="94"/>
      <c r="M1852" s="94"/>
      <c r="N1852" s="94"/>
      <c r="O1852" s="94"/>
      <c r="P1852" s="94"/>
      <c r="Q1852" s="94"/>
      <c r="R1852" s="94"/>
      <c r="S1852" s="94"/>
      <c r="T1852" s="94"/>
      <c r="U1852" s="94"/>
      <c r="V1852" s="94"/>
      <c r="W1852" s="94"/>
      <c r="X1852" s="94"/>
      <c r="Y1852" s="94"/>
      <c r="Z1852" s="94"/>
      <c r="AA1852" s="94"/>
      <c r="AB1852" s="94"/>
      <c r="AC1852" s="94"/>
      <c r="AD1852" s="94"/>
      <c r="AE1852" s="94"/>
      <c r="AF1852" s="94"/>
      <c r="AG1852" s="94"/>
      <c r="AH1852" s="94"/>
      <c r="AI1852" s="94"/>
      <c r="AJ1852" s="94"/>
      <c r="AK1852" s="94"/>
      <c r="AL1852" s="94"/>
      <c r="AM1852" s="94"/>
      <c r="AN1852" s="94"/>
      <c r="AO1852" s="94"/>
      <c r="AP1852" s="94"/>
      <c r="AQ1852" s="94"/>
      <c r="AR1852" s="94"/>
      <c r="AS1852" s="94"/>
      <c r="AT1852" s="94"/>
      <c r="AU1852" s="94"/>
      <c r="AV1852" s="94"/>
      <c r="AW1852" s="94"/>
      <c r="AX1852" s="94"/>
      <c r="AY1852" s="94"/>
      <c r="AZ1852" s="94"/>
      <c r="BA1852" s="94"/>
      <c r="BB1852" s="94"/>
      <c r="BC1852" s="94"/>
      <c r="BD1852" s="94"/>
      <c r="BE1852" s="94"/>
      <c r="BF1852" s="94"/>
    </row>
    <row r="1853" spans="1:58" x14ac:dyDescent="0.35">
      <c r="A1853" s="101" t="s">
        <v>3624</v>
      </c>
      <c r="B1853" s="102" t="s">
        <v>0</v>
      </c>
      <c r="C1853" s="103">
        <v>5</v>
      </c>
      <c r="D1853" s="101" t="s">
        <v>1488</v>
      </c>
      <c r="E1853" s="103" t="s">
        <v>340</v>
      </c>
      <c r="F1853" s="94"/>
      <c r="G1853" s="94"/>
      <c r="H1853" s="94"/>
      <c r="I1853" s="94"/>
      <c r="J1853" s="94"/>
      <c r="K1853" s="94"/>
      <c r="L1853" s="94"/>
      <c r="M1853" s="94"/>
      <c r="N1853" s="94"/>
      <c r="O1853" s="94"/>
      <c r="P1853" s="94"/>
      <c r="Q1853" s="94"/>
      <c r="R1853" s="94"/>
      <c r="S1853" s="94"/>
      <c r="T1853" s="94"/>
      <c r="U1853" s="94"/>
      <c r="V1853" s="94"/>
      <c r="W1853" s="94"/>
      <c r="X1853" s="94"/>
      <c r="Y1853" s="94"/>
      <c r="Z1853" s="94"/>
      <c r="AA1853" s="94"/>
      <c r="AB1853" s="94"/>
      <c r="AC1853" s="94"/>
      <c r="AD1853" s="94"/>
      <c r="AE1853" s="94"/>
      <c r="AF1853" s="94"/>
      <c r="AG1853" s="94"/>
      <c r="AH1853" s="94"/>
      <c r="AI1853" s="94"/>
      <c r="AJ1853" s="94"/>
      <c r="AK1853" s="94"/>
      <c r="AL1853" s="94"/>
      <c r="AM1853" s="94"/>
      <c r="AN1853" s="94"/>
      <c r="AO1853" s="94"/>
      <c r="AP1853" s="94"/>
      <c r="AQ1853" s="94"/>
      <c r="AR1853" s="94"/>
      <c r="AS1853" s="94"/>
      <c r="AT1853" s="94"/>
      <c r="AU1853" s="94"/>
      <c r="AV1853" s="94"/>
      <c r="AW1853" s="94"/>
      <c r="AX1853" s="94"/>
      <c r="AY1853" s="94"/>
      <c r="AZ1853" s="94"/>
      <c r="BA1853" s="94"/>
      <c r="BB1853" s="94"/>
      <c r="BC1853" s="94"/>
      <c r="BD1853" s="94"/>
      <c r="BE1853" s="94"/>
      <c r="BF1853" s="94"/>
    </row>
    <row r="1854" spans="1:58" x14ac:dyDescent="0.35">
      <c r="A1854" s="104" t="s">
        <v>3625</v>
      </c>
      <c r="B1854" s="105" t="s">
        <v>0</v>
      </c>
      <c r="C1854" s="106">
        <v>6</v>
      </c>
      <c r="D1854" s="104" t="s">
        <v>123</v>
      </c>
      <c r="E1854" s="106"/>
      <c r="F1854" s="94"/>
      <c r="G1854" s="94"/>
      <c r="H1854" s="94"/>
      <c r="I1854" s="94"/>
      <c r="J1854" s="94"/>
      <c r="K1854" s="94"/>
      <c r="L1854" s="94"/>
      <c r="M1854" s="94"/>
      <c r="N1854" s="94"/>
      <c r="O1854" s="94"/>
      <c r="P1854" s="94"/>
      <c r="Q1854" s="94"/>
      <c r="R1854" s="94"/>
      <c r="S1854" s="94"/>
      <c r="T1854" s="94"/>
      <c r="U1854" s="94"/>
      <c r="V1854" s="94"/>
      <c r="W1854" s="94"/>
      <c r="X1854" s="94"/>
      <c r="Y1854" s="94"/>
      <c r="Z1854" s="94"/>
      <c r="AA1854" s="94"/>
      <c r="AB1854" s="94"/>
      <c r="AC1854" s="94"/>
      <c r="AD1854" s="94"/>
      <c r="AE1854" s="94"/>
      <c r="AF1854" s="94"/>
      <c r="AG1854" s="94"/>
      <c r="AH1854" s="94"/>
      <c r="AI1854" s="94"/>
      <c r="AJ1854" s="94"/>
      <c r="AK1854" s="94"/>
      <c r="AL1854" s="94"/>
      <c r="AM1854" s="94"/>
      <c r="AN1854" s="94"/>
      <c r="AO1854" s="94"/>
      <c r="AP1854" s="94"/>
      <c r="AQ1854" s="94"/>
      <c r="AR1854" s="94"/>
      <c r="AS1854" s="94"/>
      <c r="AT1854" s="94"/>
      <c r="AU1854" s="94"/>
      <c r="AV1854" s="94"/>
      <c r="AW1854" s="94"/>
      <c r="AX1854" s="94"/>
      <c r="AY1854" s="94"/>
      <c r="AZ1854" s="94"/>
      <c r="BA1854" s="94"/>
      <c r="BB1854" s="94"/>
      <c r="BC1854" s="94"/>
      <c r="BD1854" s="94"/>
      <c r="BE1854" s="94"/>
      <c r="BF1854" s="94"/>
    </row>
    <row r="1855" spans="1:58" x14ac:dyDescent="0.35">
      <c r="A1855" s="107" t="s">
        <v>3626</v>
      </c>
      <c r="B1855" s="108" t="s">
        <v>0</v>
      </c>
      <c r="C1855" s="109">
        <v>7</v>
      </c>
      <c r="D1855" s="107" t="s">
        <v>1664</v>
      </c>
      <c r="E1855" s="109"/>
      <c r="F1855" s="94"/>
      <c r="G1855" s="94"/>
      <c r="H1855" s="94"/>
      <c r="I1855" s="94"/>
      <c r="J1855" s="94"/>
      <c r="K1855" s="94"/>
      <c r="L1855" s="94"/>
      <c r="M1855" s="94"/>
      <c r="N1855" s="94"/>
      <c r="O1855" s="94"/>
      <c r="P1855" s="94"/>
      <c r="Q1855" s="94"/>
      <c r="R1855" s="94"/>
      <c r="S1855" s="94"/>
      <c r="T1855" s="94"/>
      <c r="U1855" s="94"/>
      <c r="V1855" s="94"/>
      <c r="W1855" s="94"/>
      <c r="X1855" s="94"/>
      <c r="Y1855" s="94"/>
      <c r="Z1855" s="94"/>
      <c r="AA1855" s="94"/>
      <c r="AB1855" s="94"/>
      <c r="AC1855" s="94"/>
      <c r="AD1855" s="94"/>
      <c r="AE1855" s="94"/>
      <c r="AF1855" s="94"/>
      <c r="AG1855" s="94"/>
      <c r="AH1855" s="94"/>
      <c r="AI1855" s="94"/>
      <c r="AJ1855" s="94"/>
      <c r="AK1855" s="94"/>
      <c r="AL1855" s="94"/>
      <c r="AM1855" s="94"/>
      <c r="AN1855" s="94"/>
      <c r="AO1855" s="94"/>
      <c r="AP1855" s="94"/>
      <c r="AQ1855" s="94"/>
      <c r="AR1855" s="94"/>
      <c r="AS1855" s="94"/>
      <c r="AT1855" s="94"/>
      <c r="AU1855" s="94"/>
      <c r="AV1855" s="94"/>
      <c r="AW1855" s="94"/>
      <c r="AX1855" s="94"/>
      <c r="AY1855" s="94"/>
      <c r="AZ1855" s="94"/>
      <c r="BA1855" s="94"/>
      <c r="BB1855" s="94"/>
      <c r="BC1855" s="94"/>
      <c r="BD1855" s="94"/>
      <c r="BE1855" s="94"/>
      <c r="BF1855" s="94"/>
    </row>
    <row r="1856" spans="1:58" x14ac:dyDescent="0.35">
      <c r="A1856" s="101" t="s">
        <v>3627</v>
      </c>
      <c r="B1856" s="102" t="s">
        <v>0</v>
      </c>
      <c r="C1856" s="103">
        <v>5</v>
      </c>
      <c r="D1856" s="101" t="s">
        <v>341</v>
      </c>
      <c r="E1856" s="103" t="s">
        <v>342</v>
      </c>
      <c r="F1856" s="94"/>
      <c r="G1856" s="94"/>
      <c r="H1856" s="94"/>
      <c r="I1856" s="94"/>
      <c r="J1856" s="94"/>
      <c r="K1856" s="94"/>
      <c r="L1856" s="94"/>
      <c r="M1856" s="94"/>
      <c r="N1856" s="94"/>
      <c r="O1856" s="94"/>
      <c r="P1856" s="94"/>
      <c r="Q1856" s="94"/>
      <c r="R1856" s="94"/>
      <c r="S1856" s="94"/>
      <c r="T1856" s="94"/>
      <c r="U1856" s="94"/>
      <c r="V1856" s="94"/>
      <c r="W1856" s="94"/>
      <c r="X1856" s="94"/>
      <c r="Y1856" s="94"/>
      <c r="Z1856" s="94"/>
      <c r="AA1856" s="94"/>
      <c r="AB1856" s="94"/>
      <c r="AC1856" s="94"/>
      <c r="AD1856" s="94"/>
      <c r="AE1856" s="94"/>
      <c r="AF1856" s="94"/>
      <c r="AG1856" s="94"/>
      <c r="AH1856" s="94"/>
      <c r="AI1856" s="94"/>
      <c r="AJ1856" s="94"/>
      <c r="AK1856" s="94"/>
      <c r="AL1856" s="94"/>
      <c r="AM1856" s="94"/>
      <c r="AN1856" s="94"/>
      <c r="AO1856" s="94"/>
      <c r="AP1856" s="94"/>
      <c r="AQ1856" s="94"/>
      <c r="AR1856" s="94"/>
      <c r="AS1856" s="94"/>
      <c r="AT1856" s="94"/>
      <c r="AU1856" s="94"/>
      <c r="AV1856" s="94"/>
      <c r="AW1856" s="94"/>
      <c r="AX1856" s="94"/>
      <c r="AY1856" s="94"/>
      <c r="AZ1856" s="94"/>
      <c r="BA1856" s="94"/>
      <c r="BB1856" s="94"/>
      <c r="BC1856" s="94"/>
      <c r="BD1856" s="94"/>
      <c r="BE1856" s="94"/>
      <c r="BF1856" s="94"/>
    </row>
    <row r="1857" spans="1:58" x14ac:dyDescent="0.35">
      <c r="A1857" s="101" t="s">
        <v>3628</v>
      </c>
      <c r="B1857" s="102" t="s">
        <v>0</v>
      </c>
      <c r="C1857" s="103">
        <v>5</v>
      </c>
      <c r="D1857" s="101" t="s">
        <v>343</v>
      </c>
      <c r="E1857" s="103" t="s">
        <v>344</v>
      </c>
      <c r="F1857" s="94"/>
      <c r="G1857" s="94"/>
      <c r="H1857" s="94"/>
      <c r="I1857" s="94"/>
      <c r="J1857" s="94"/>
      <c r="K1857" s="94"/>
      <c r="L1857" s="94"/>
      <c r="M1857" s="94"/>
      <c r="N1857" s="94"/>
      <c r="O1857" s="94"/>
      <c r="P1857" s="94"/>
      <c r="Q1857" s="94"/>
      <c r="R1857" s="94"/>
      <c r="S1857" s="94"/>
      <c r="T1857" s="94"/>
      <c r="U1857" s="94"/>
      <c r="V1857" s="94"/>
      <c r="W1857" s="94"/>
      <c r="X1857" s="94"/>
      <c r="Y1857" s="94"/>
      <c r="Z1857" s="94"/>
      <c r="AA1857" s="94"/>
      <c r="AB1857" s="94"/>
      <c r="AC1857" s="94"/>
      <c r="AD1857" s="94"/>
      <c r="AE1857" s="94"/>
      <c r="AF1857" s="94"/>
      <c r="AG1857" s="94"/>
      <c r="AH1857" s="94"/>
      <c r="AI1857" s="94"/>
      <c r="AJ1857" s="94"/>
      <c r="AK1857" s="94"/>
      <c r="AL1857" s="94"/>
      <c r="AM1857" s="94"/>
      <c r="AN1857" s="94"/>
      <c r="AO1857" s="94"/>
      <c r="AP1857" s="94"/>
      <c r="AQ1857" s="94"/>
      <c r="AR1857" s="94"/>
      <c r="AS1857" s="94"/>
      <c r="AT1857" s="94"/>
      <c r="AU1857" s="94"/>
      <c r="AV1857" s="94"/>
      <c r="AW1857" s="94"/>
      <c r="AX1857" s="94"/>
      <c r="AY1857" s="94"/>
      <c r="AZ1857" s="94"/>
      <c r="BA1857" s="94"/>
      <c r="BB1857" s="94"/>
      <c r="BC1857" s="94"/>
      <c r="BD1857" s="94"/>
      <c r="BE1857" s="94"/>
      <c r="BF1857" s="94"/>
    </row>
    <row r="1858" spans="1:58" x14ac:dyDescent="0.35">
      <c r="A1858" s="101" t="s">
        <v>3629</v>
      </c>
      <c r="B1858" s="102" t="s">
        <v>0</v>
      </c>
      <c r="C1858" s="103">
        <v>5</v>
      </c>
      <c r="D1858" s="101" t="s">
        <v>345</v>
      </c>
      <c r="E1858" s="103" t="s">
        <v>346</v>
      </c>
      <c r="F1858" s="94"/>
      <c r="G1858" s="94"/>
      <c r="H1858" s="94"/>
      <c r="I1858" s="94"/>
      <c r="J1858" s="94"/>
      <c r="K1858" s="94"/>
      <c r="L1858" s="94"/>
      <c r="M1858" s="94"/>
      <c r="N1858" s="94"/>
      <c r="O1858" s="94"/>
      <c r="P1858" s="94"/>
      <c r="Q1858" s="94"/>
      <c r="R1858" s="94"/>
      <c r="S1858" s="94"/>
      <c r="T1858" s="94"/>
      <c r="U1858" s="94"/>
      <c r="V1858" s="94"/>
      <c r="W1858" s="94"/>
      <c r="X1858" s="94"/>
      <c r="Y1858" s="94"/>
      <c r="Z1858" s="94"/>
      <c r="AA1858" s="94"/>
      <c r="AB1858" s="94"/>
      <c r="AC1858" s="94"/>
      <c r="AD1858" s="94"/>
      <c r="AE1858" s="94"/>
      <c r="AF1858" s="94"/>
      <c r="AG1858" s="94"/>
      <c r="AH1858" s="94"/>
      <c r="AI1858" s="94"/>
      <c r="AJ1858" s="94"/>
      <c r="AK1858" s="94"/>
      <c r="AL1858" s="94"/>
      <c r="AM1858" s="94"/>
      <c r="AN1858" s="94"/>
      <c r="AO1858" s="94"/>
      <c r="AP1858" s="94"/>
      <c r="AQ1858" s="94"/>
      <c r="AR1858" s="94"/>
      <c r="AS1858" s="94"/>
      <c r="AT1858" s="94"/>
      <c r="AU1858" s="94"/>
      <c r="AV1858" s="94"/>
      <c r="AW1858" s="94"/>
      <c r="AX1858" s="94"/>
      <c r="AY1858" s="94"/>
      <c r="AZ1858" s="94"/>
      <c r="BA1858" s="94"/>
      <c r="BB1858" s="94"/>
      <c r="BC1858" s="94"/>
      <c r="BD1858" s="94"/>
      <c r="BE1858" s="94"/>
      <c r="BF1858" s="94"/>
    </row>
    <row r="1859" spans="1:58" x14ac:dyDescent="0.35">
      <c r="A1859" s="104" t="s">
        <v>3774</v>
      </c>
      <c r="B1859" s="105" t="s">
        <v>0</v>
      </c>
      <c r="C1859" s="106">
        <v>6</v>
      </c>
      <c r="D1859" s="104" t="s">
        <v>1665</v>
      </c>
      <c r="E1859" s="106"/>
      <c r="F1859" s="94"/>
      <c r="G1859" s="94"/>
      <c r="H1859" s="94"/>
      <c r="I1859" s="94"/>
      <c r="J1859" s="94"/>
      <c r="K1859" s="94"/>
      <c r="L1859" s="94"/>
      <c r="M1859" s="94"/>
      <c r="N1859" s="94"/>
      <c r="O1859" s="94"/>
      <c r="P1859" s="94"/>
      <c r="Q1859" s="94"/>
      <c r="R1859" s="94"/>
      <c r="S1859" s="94"/>
      <c r="T1859" s="94"/>
      <c r="U1859" s="94"/>
      <c r="V1859" s="94"/>
      <c r="W1859" s="94"/>
      <c r="X1859" s="94"/>
      <c r="Y1859" s="94"/>
      <c r="Z1859" s="94"/>
      <c r="AA1859" s="94"/>
      <c r="AB1859" s="94"/>
      <c r="AC1859" s="94"/>
      <c r="AD1859" s="94"/>
      <c r="AE1859" s="94"/>
      <c r="AF1859" s="94"/>
      <c r="AG1859" s="94"/>
      <c r="AH1859" s="94"/>
      <c r="AI1859" s="94"/>
      <c r="AJ1859" s="94"/>
      <c r="AK1859" s="94"/>
      <c r="AL1859" s="94"/>
      <c r="AM1859" s="94"/>
      <c r="AN1859" s="94"/>
      <c r="AO1859" s="94"/>
      <c r="AP1859" s="94"/>
      <c r="AQ1859" s="94"/>
      <c r="AR1859" s="94"/>
      <c r="AS1859" s="94"/>
      <c r="AT1859" s="94"/>
      <c r="AU1859" s="94"/>
      <c r="AV1859" s="94"/>
      <c r="AW1859" s="94"/>
      <c r="AX1859" s="94"/>
      <c r="AY1859" s="94"/>
      <c r="AZ1859" s="94"/>
      <c r="BA1859" s="94"/>
      <c r="BB1859" s="94"/>
      <c r="BC1859" s="94"/>
      <c r="BD1859" s="94"/>
      <c r="BE1859" s="94"/>
      <c r="BF1859" s="94"/>
    </row>
    <row r="1860" spans="1:58" x14ac:dyDescent="0.35">
      <c r="A1860" s="107" t="s">
        <v>3630</v>
      </c>
      <c r="B1860" s="108" t="s">
        <v>0</v>
      </c>
      <c r="C1860" s="109">
        <v>7</v>
      </c>
      <c r="D1860" s="107" t="s">
        <v>1652</v>
      </c>
      <c r="E1860" s="109"/>
      <c r="F1860" s="94"/>
      <c r="G1860" s="94"/>
      <c r="H1860" s="94"/>
      <c r="I1860" s="94"/>
      <c r="J1860" s="94"/>
      <c r="K1860" s="94"/>
      <c r="L1860" s="94"/>
      <c r="M1860" s="94"/>
      <c r="N1860" s="94"/>
      <c r="O1860" s="94"/>
      <c r="P1860" s="94"/>
      <c r="Q1860" s="94"/>
      <c r="R1860" s="94"/>
      <c r="S1860" s="94"/>
      <c r="T1860" s="94"/>
      <c r="U1860" s="94"/>
      <c r="V1860" s="94"/>
      <c r="W1860" s="94"/>
      <c r="X1860" s="94"/>
      <c r="Y1860" s="94"/>
      <c r="Z1860" s="94"/>
      <c r="AA1860" s="94"/>
      <c r="AB1860" s="94"/>
      <c r="AC1860" s="94"/>
      <c r="AD1860" s="94"/>
      <c r="AE1860" s="94"/>
      <c r="AF1860" s="94"/>
      <c r="AG1860" s="94"/>
      <c r="AH1860" s="94"/>
      <c r="AI1860" s="94"/>
      <c r="AJ1860" s="94"/>
      <c r="AK1860" s="94"/>
      <c r="AL1860" s="94"/>
      <c r="AM1860" s="94"/>
      <c r="AN1860" s="94"/>
      <c r="AO1860" s="94"/>
      <c r="AP1860" s="94"/>
      <c r="AQ1860" s="94"/>
      <c r="AR1860" s="94"/>
      <c r="AS1860" s="94"/>
      <c r="AT1860" s="94"/>
      <c r="AU1860" s="94"/>
      <c r="AV1860" s="94"/>
      <c r="AW1860" s="94"/>
      <c r="AX1860" s="94"/>
      <c r="AY1860" s="94"/>
      <c r="AZ1860" s="94"/>
      <c r="BA1860" s="94"/>
      <c r="BB1860" s="94"/>
      <c r="BC1860" s="94"/>
      <c r="BD1860" s="94"/>
      <c r="BE1860" s="94"/>
      <c r="BF1860" s="94"/>
    </row>
    <row r="1861" spans="1:58" x14ac:dyDescent="0.35">
      <c r="A1861" s="101" t="s">
        <v>3631</v>
      </c>
      <c r="B1861" s="102" t="s">
        <v>0</v>
      </c>
      <c r="C1861" s="103">
        <v>5</v>
      </c>
      <c r="D1861" s="101" t="s">
        <v>347</v>
      </c>
      <c r="E1861" s="103" t="s">
        <v>348</v>
      </c>
      <c r="F1861" s="94"/>
      <c r="G1861" s="94"/>
      <c r="H1861" s="94"/>
      <c r="I1861" s="94"/>
      <c r="J1861" s="94"/>
      <c r="K1861" s="94"/>
      <c r="L1861" s="94"/>
      <c r="M1861" s="94"/>
      <c r="N1861" s="94"/>
      <c r="O1861" s="94"/>
      <c r="P1861" s="94"/>
      <c r="Q1861" s="94"/>
      <c r="R1861" s="94"/>
      <c r="S1861" s="94"/>
      <c r="T1861" s="94"/>
      <c r="U1861" s="94"/>
      <c r="V1861" s="94"/>
      <c r="W1861" s="94"/>
      <c r="X1861" s="94"/>
      <c r="Y1861" s="94"/>
      <c r="Z1861" s="94"/>
      <c r="AA1861" s="94"/>
      <c r="AB1861" s="94"/>
      <c r="AC1861" s="94"/>
      <c r="AD1861" s="94"/>
      <c r="AE1861" s="94"/>
      <c r="AF1861" s="94"/>
      <c r="AG1861" s="94"/>
      <c r="AH1861" s="94"/>
      <c r="AI1861" s="94"/>
      <c r="AJ1861" s="94"/>
      <c r="AK1861" s="94"/>
      <c r="AL1861" s="94"/>
      <c r="AM1861" s="94"/>
      <c r="AN1861" s="94"/>
      <c r="AO1861" s="94"/>
      <c r="AP1861" s="94"/>
      <c r="AQ1861" s="94"/>
      <c r="AR1861" s="94"/>
      <c r="AS1861" s="94"/>
      <c r="AT1861" s="94"/>
      <c r="AU1861" s="94"/>
      <c r="AV1861" s="94"/>
      <c r="AW1861" s="94"/>
      <c r="AX1861" s="94"/>
      <c r="AY1861" s="94"/>
      <c r="AZ1861" s="94"/>
      <c r="BA1861" s="94"/>
      <c r="BB1861" s="94"/>
      <c r="BC1861" s="94"/>
      <c r="BD1861" s="94"/>
      <c r="BE1861" s="94"/>
      <c r="BF1861" s="94"/>
    </row>
    <row r="1862" spans="1:58" x14ac:dyDescent="0.35">
      <c r="A1862" s="104" t="s">
        <v>3632</v>
      </c>
      <c r="B1862" s="105" t="s">
        <v>0</v>
      </c>
      <c r="C1862" s="106">
        <v>6</v>
      </c>
      <c r="D1862" s="104" t="s">
        <v>16</v>
      </c>
      <c r="E1862" s="106"/>
      <c r="F1862" s="94"/>
      <c r="G1862" s="94"/>
      <c r="H1862" s="94"/>
      <c r="I1862" s="94"/>
      <c r="J1862" s="94"/>
      <c r="K1862" s="94"/>
      <c r="L1862" s="94"/>
      <c r="M1862" s="94"/>
      <c r="N1862" s="94"/>
      <c r="O1862" s="94"/>
      <c r="P1862" s="94"/>
      <c r="Q1862" s="94"/>
      <c r="R1862" s="94"/>
      <c r="S1862" s="94"/>
      <c r="T1862" s="94"/>
      <c r="U1862" s="94"/>
      <c r="V1862" s="94"/>
      <c r="W1862" s="94"/>
      <c r="X1862" s="94"/>
      <c r="Y1862" s="94"/>
      <c r="Z1862" s="94"/>
      <c r="AA1862" s="94"/>
      <c r="AB1862" s="94"/>
      <c r="AC1862" s="94"/>
      <c r="AD1862" s="94"/>
      <c r="AE1862" s="94"/>
      <c r="AF1862" s="94"/>
      <c r="AG1862" s="94"/>
      <c r="AH1862" s="94"/>
      <c r="AI1862" s="94"/>
      <c r="AJ1862" s="94"/>
      <c r="AK1862" s="94"/>
      <c r="AL1862" s="94"/>
      <c r="AM1862" s="94"/>
      <c r="AN1862" s="94"/>
      <c r="AO1862" s="94"/>
      <c r="AP1862" s="94"/>
      <c r="AQ1862" s="94"/>
      <c r="AR1862" s="94"/>
      <c r="AS1862" s="94"/>
      <c r="AT1862" s="94"/>
      <c r="AU1862" s="94"/>
      <c r="AV1862" s="94"/>
      <c r="AW1862" s="94"/>
      <c r="AX1862" s="94"/>
      <c r="AY1862" s="94"/>
      <c r="AZ1862" s="94"/>
      <c r="BA1862" s="94"/>
      <c r="BB1862" s="94"/>
      <c r="BC1862" s="94"/>
      <c r="BD1862" s="94"/>
      <c r="BE1862" s="94"/>
      <c r="BF1862" s="94"/>
    </row>
    <row r="1863" spans="1:58" x14ac:dyDescent="0.35">
      <c r="A1863" s="107" t="s">
        <v>3633</v>
      </c>
      <c r="B1863" s="108" t="s">
        <v>0</v>
      </c>
      <c r="C1863" s="109">
        <v>7</v>
      </c>
      <c r="D1863" s="107" t="s">
        <v>1679</v>
      </c>
      <c r="E1863" s="109" t="s">
        <v>260</v>
      </c>
      <c r="F1863" s="94"/>
      <c r="G1863" s="94"/>
      <c r="H1863" s="94"/>
      <c r="I1863" s="94"/>
      <c r="J1863" s="94"/>
      <c r="K1863" s="94"/>
      <c r="L1863" s="94"/>
      <c r="M1863" s="94"/>
      <c r="N1863" s="94"/>
      <c r="O1863" s="94"/>
      <c r="P1863" s="94"/>
      <c r="Q1863" s="94"/>
      <c r="R1863" s="94"/>
      <c r="S1863" s="94"/>
      <c r="T1863" s="94"/>
      <c r="U1863" s="94"/>
      <c r="V1863" s="94"/>
      <c r="W1863" s="94"/>
      <c r="X1863" s="94"/>
      <c r="Y1863" s="94"/>
      <c r="Z1863" s="94"/>
      <c r="AA1863" s="94"/>
      <c r="AB1863" s="94"/>
      <c r="AC1863" s="94"/>
      <c r="AD1863" s="94"/>
      <c r="AE1863" s="94"/>
      <c r="AF1863" s="94"/>
      <c r="AG1863" s="94"/>
      <c r="AH1863" s="94"/>
      <c r="AI1863" s="94"/>
      <c r="AJ1863" s="94"/>
      <c r="AK1863" s="94"/>
      <c r="AL1863" s="94"/>
      <c r="AM1863" s="94"/>
      <c r="AN1863" s="94"/>
      <c r="AO1863" s="94"/>
      <c r="AP1863" s="94"/>
      <c r="AQ1863" s="94"/>
      <c r="AR1863" s="94"/>
      <c r="AS1863" s="94"/>
      <c r="AT1863" s="94"/>
      <c r="AU1863" s="94"/>
      <c r="AV1863" s="94"/>
      <c r="AW1863" s="94"/>
      <c r="AX1863" s="94"/>
      <c r="AY1863" s="94"/>
      <c r="AZ1863" s="94"/>
      <c r="BA1863" s="94"/>
      <c r="BB1863" s="94"/>
      <c r="BC1863" s="94"/>
      <c r="BD1863" s="94"/>
      <c r="BE1863" s="94"/>
      <c r="BF1863" s="94"/>
    </row>
    <row r="1864" spans="1:58" x14ac:dyDescent="0.35">
      <c r="A1864" s="107" t="s">
        <v>3634</v>
      </c>
      <c r="B1864" s="108" t="s">
        <v>0</v>
      </c>
      <c r="C1864" s="109">
        <v>7</v>
      </c>
      <c r="D1864" s="107" t="s">
        <v>1649</v>
      </c>
      <c r="E1864" s="109" t="s">
        <v>260</v>
      </c>
      <c r="F1864" s="94"/>
      <c r="G1864" s="94"/>
      <c r="H1864" s="94"/>
      <c r="I1864" s="94"/>
      <c r="J1864" s="94"/>
      <c r="K1864" s="94"/>
      <c r="L1864" s="94"/>
      <c r="M1864" s="94"/>
      <c r="N1864" s="94"/>
      <c r="O1864" s="94"/>
      <c r="P1864" s="94"/>
      <c r="Q1864" s="94"/>
      <c r="R1864" s="94"/>
      <c r="S1864" s="94"/>
      <c r="T1864" s="94"/>
      <c r="U1864" s="94"/>
      <c r="V1864" s="94"/>
      <c r="W1864" s="94"/>
      <c r="X1864" s="94"/>
      <c r="Y1864" s="94"/>
      <c r="Z1864" s="94"/>
      <c r="AA1864" s="94"/>
      <c r="AB1864" s="94"/>
      <c r="AC1864" s="94"/>
      <c r="AD1864" s="94"/>
      <c r="AE1864" s="94"/>
      <c r="AF1864" s="94"/>
      <c r="AG1864" s="94"/>
      <c r="AH1864" s="94"/>
      <c r="AI1864" s="94"/>
      <c r="AJ1864" s="94"/>
      <c r="AK1864" s="94"/>
      <c r="AL1864" s="94"/>
      <c r="AM1864" s="94"/>
      <c r="AN1864" s="94"/>
      <c r="AO1864" s="94"/>
      <c r="AP1864" s="94"/>
      <c r="AQ1864" s="94"/>
      <c r="AR1864" s="94"/>
      <c r="AS1864" s="94"/>
      <c r="AT1864" s="94"/>
      <c r="AU1864" s="94"/>
      <c r="AV1864" s="94"/>
      <c r="AW1864" s="94"/>
      <c r="AX1864" s="94"/>
      <c r="AY1864" s="94"/>
      <c r="AZ1864" s="94"/>
      <c r="BA1864" s="94"/>
      <c r="BB1864" s="94"/>
      <c r="BC1864" s="94"/>
      <c r="BD1864" s="94"/>
      <c r="BE1864" s="94"/>
      <c r="BF1864" s="94"/>
    </row>
    <row r="1865" spans="1:58" x14ac:dyDescent="0.35">
      <c r="A1865" s="104" t="s">
        <v>3635</v>
      </c>
      <c r="B1865" s="105" t="s">
        <v>0</v>
      </c>
      <c r="C1865" s="106">
        <v>6</v>
      </c>
      <c r="D1865" s="104" t="s">
        <v>123</v>
      </c>
      <c r="E1865" s="106"/>
      <c r="F1865" s="94"/>
      <c r="G1865" s="94"/>
      <c r="H1865" s="94"/>
      <c r="I1865" s="94"/>
      <c r="J1865" s="94"/>
      <c r="K1865" s="94"/>
      <c r="L1865" s="94"/>
      <c r="M1865" s="94"/>
      <c r="N1865" s="94"/>
      <c r="O1865" s="94"/>
      <c r="P1865" s="94"/>
      <c r="Q1865" s="94"/>
      <c r="R1865" s="94"/>
      <c r="S1865" s="94"/>
      <c r="T1865" s="94"/>
      <c r="U1865" s="94"/>
      <c r="V1865" s="94"/>
      <c r="W1865" s="94"/>
      <c r="X1865" s="94"/>
      <c r="Y1865" s="94"/>
      <c r="Z1865" s="94"/>
      <c r="AA1865" s="94"/>
      <c r="AB1865" s="94"/>
      <c r="AC1865" s="94"/>
      <c r="AD1865" s="94"/>
      <c r="AE1865" s="94"/>
      <c r="AF1865" s="94"/>
      <c r="AG1865" s="94"/>
      <c r="AH1865" s="94"/>
      <c r="AI1865" s="94"/>
      <c r="AJ1865" s="94"/>
      <c r="AK1865" s="94"/>
      <c r="AL1865" s="94"/>
      <c r="AM1865" s="94"/>
      <c r="AN1865" s="94"/>
      <c r="AO1865" s="94"/>
      <c r="AP1865" s="94"/>
      <c r="AQ1865" s="94"/>
      <c r="AR1865" s="94"/>
      <c r="AS1865" s="94"/>
      <c r="AT1865" s="94"/>
      <c r="AU1865" s="94"/>
      <c r="AV1865" s="94"/>
      <c r="AW1865" s="94"/>
      <c r="AX1865" s="94"/>
      <c r="AY1865" s="94"/>
      <c r="AZ1865" s="94"/>
      <c r="BA1865" s="94"/>
      <c r="BB1865" s="94"/>
      <c r="BC1865" s="94"/>
      <c r="BD1865" s="94"/>
      <c r="BE1865" s="94"/>
      <c r="BF1865" s="94"/>
    </row>
    <row r="1866" spans="1:58" x14ac:dyDescent="0.35">
      <c r="A1866" s="107" t="s">
        <v>3796</v>
      </c>
      <c r="B1866" s="108" t="s">
        <v>0</v>
      </c>
      <c r="C1866" s="109">
        <v>7</v>
      </c>
      <c r="D1866" s="107" t="s">
        <v>1654</v>
      </c>
      <c r="E1866" s="109"/>
      <c r="F1866" s="94"/>
      <c r="G1866" s="94"/>
      <c r="H1866" s="94"/>
      <c r="I1866" s="94"/>
      <c r="J1866" s="94"/>
      <c r="K1866" s="94"/>
      <c r="L1866" s="94"/>
      <c r="M1866" s="94"/>
      <c r="N1866" s="94"/>
      <c r="O1866" s="94"/>
      <c r="P1866" s="94"/>
      <c r="Q1866" s="94"/>
      <c r="R1866" s="94"/>
      <c r="S1866" s="94"/>
      <c r="T1866" s="94"/>
      <c r="U1866" s="94"/>
      <c r="V1866" s="94"/>
      <c r="W1866" s="94"/>
      <c r="X1866" s="94"/>
      <c r="Y1866" s="94"/>
      <c r="Z1866" s="94"/>
      <c r="AA1866" s="94"/>
      <c r="AB1866" s="94"/>
      <c r="AC1866" s="94"/>
      <c r="AD1866" s="94"/>
      <c r="AE1866" s="94"/>
      <c r="AF1866" s="94"/>
      <c r="AG1866" s="94"/>
      <c r="AH1866" s="94"/>
      <c r="AI1866" s="94"/>
      <c r="AJ1866" s="94"/>
      <c r="AK1866" s="94"/>
      <c r="AL1866" s="94"/>
      <c r="AM1866" s="94"/>
      <c r="AN1866" s="94"/>
      <c r="AO1866" s="94"/>
      <c r="AP1866" s="94"/>
      <c r="AQ1866" s="94"/>
      <c r="AR1866" s="94"/>
      <c r="AS1866" s="94"/>
      <c r="AT1866" s="94"/>
      <c r="AU1866" s="94"/>
      <c r="AV1866" s="94"/>
      <c r="AW1866" s="94"/>
      <c r="AX1866" s="94"/>
      <c r="AY1866" s="94"/>
      <c r="AZ1866" s="94"/>
      <c r="BA1866" s="94"/>
      <c r="BB1866" s="94"/>
      <c r="BC1866" s="94"/>
      <c r="BD1866" s="94"/>
      <c r="BE1866" s="94"/>
      <c r="BF1866" s="94"/>
    </row>
    <row r="1867" spans="1:58" x14ac:dyDescent="0.35">
      <c r="A1867" s="101" t="s">
        <v>3636</v>
      </c>
      <c r="B1867" s="102" t="s">
        <v>0</v>
      </c>
      <c r="C1867" s="103">
        <v>5</v>
      </c>
      <c r="D1867" s="101" t="s">
        <v>1249</v>
      </c>
      <c r="E1867" s="103" t="s">
        <v>349</v>
      </c>
      <c r="F1867" s="94"/>
      <c r="G1867" s="94"/>
      <c r="H1867" s="94"/>
      <c r="I1867" s="94"/>
      <c r="J1867" s="94"/>
      <c r="K1867" s="94"/>
      <c r="L1867" s="94"/>
      <c r="M1867" s="94"/>
      <c r="N1867" s="94"/>
      <c r="O1867" s="94"/>
      <c r="P1867" s="94"/>
      <c r="Q1867" s="94"/>
      <c r="R1867" s="94"/>
      <c r="S1867" s="94"/>
      <c r="T1867" s="94"/>
      <c r="U1867" s="94"/>
      <c r="V1867" s="94"/>
      <c r="W1867" s="94"/>
      <c r="X1867" s="94"/>
      <c r="Y1867" s="94"/>
      <c r="Z1867" s="94"/>
      <c r="AA1867" s="94"/>
      <c r="AB1867" s="94"/>
      <c r="AC1867" s="94"/>
      <c r="AD1867" s="94"/>
      <c r="AE1867" s="94"/>
      <c r="AF1867" s="94"/>
      <c r="AG1867" s="94"/>
      <c r="AH1867" s="94"/>
      <c r="AI1867" s="94"/>
      <c r="AJ1867" s="94"/>
      <c r="AK1867" s="94"/>
      <c r="AL1867" s="94"/>
      <c r="AM1867" s="94"/>
      <c r="AN1867" s="94"/>
      <c r="AO1867" s="94"/>
      <c r="AP1867" s="94"/>
      <c r="AQ1867" s="94"/>
      <c r="AR1867" s="94"/>
      <c r="AS1867" s="94"/>
      <c r="AT1867" s="94"/>
      <c r="AU1867" s="94"/>
      <c r="AV1867" s="94"/>
      <c r="AW1867" s="94"/>
      <c r="AX1867" s="94"/>
      <c r="AY1867" s="94"/>
      <c r="AZ1867" s="94"/>
      <c r="BA1867" s="94"/>
      <c r="BB1867" s="94"/>
      <c r="BC1867" s="94"/>
      <c r="BD1867" s="94"/>
      <c r="BE1867" s="94"/>
      <c r="BF1867" s="94"/>
    </row>
    <row r="1868" spans="1:58" x14ac:dyDescent="0.35">
      <c r="A1868" s="104" t="s">
        <v>3637</v>
      </c>
      <c r="B1868" s="105" t="s">
        <v>0</v>
      </c>
      <c r="C1868" s="106">
        <v>6</v>
      </c>
      <c r="D1868" s="104" t="s">
        <v>16</v>
      </c>
      <c r="E1868" s="106"/>
      <c r="F1868" s="94"/>
      <c r="G1868" s="94"/>
      <c r="H1868" s="94"/>
      <c r="I1868" s="94"/>
      <c r="J1868" s="94"/>
      <c r="K1868" s="94"/>
      <c r="L1868" s="94"/>
      <c r="M1868" s="94"/>
      <c r="N1868" s="94"/>
      <c r="O1868" s="94"/>
      <c r="P1868" s="94"/>
      <c r="Q1868" s="94"/>
      <c r="R1868" s="94"/>
      <c r="S1868" s="94"/>
      <c r="T1868" s="94"/>
      <c r="U1868" s="94"/>
      <c r="V1868" s="94"/>
      <c r="W1868" s="94"/>
      <c r="X1868" s="94"/>
      <c r="Y1868" s="94"/>
      <c r="Z1868" s="94"/>
      <c r="AA1868" s="94"/>
      <c r="AB1868" s="94"/>
      <c r="AC1868" s="94"/>
      <c r="AD1868" s="94"/>
      <c r="AE1868" s="94"/>
      <c r="AF1868" s="94"/>
      <c r="AG1868" s="94"/>
      <c r="AH1868" s="94"/>
      <c r="AI1868" s="94"/>
      <c r="AJ1868" s="94"/>
      <c r="AK1868" s="94"/>
      <c r="AL1868" s="94"/>
      <c r="AM1868" s="94"/>
      <c r="AN1868" s="94"/>
      <c r="AO1868" s="94"/>
      <c r="AP1868" s="94"/>
      <c r="AQ1868" s="94"/>
      <c r="AR1868" s="94"/>
      <c r="AS1868" s="94"/>
      <c r="AT1868" s="94"/>
      <c r="AU1868" s="94"/>
      <c r="AV1868" s="94"/>
      <c r="AW1868" s="94"/>
      <c r="AX1868" s="94"/>
      <c r="AY1868" s="94"/>
      <c r="AZ1868" s="94"/>
      <c r="BA1868" s="94"/>
      <c r="BB1868" s="94"/>
      <c r="BC1868" s="94"/>
      <c r="BD1868" s="94"/>
      <c r="BE1868" s="94"/>
      <c r="BF1868" s="94"/>
    </row>
    <row r="1869" spans="1:58" x14ac:dyDescent="0.35">
      <c r="A1869" s="107" t="s">
        <v>3638</v>
      </c>
      <c r="B1869" s="108" t="s">
        <v>0</v>
      </c>
      <c r="C1869" s="109">
        <v>7</v>
      </c>
      <c r="D1869" s="107" t="s">
        <v>1250</v>
      </c>
      <c r="E1869" s="109" t="s">
        <v>350</v>
      </c>
      <c r="F1869" s="94"/>
      <c r="G1869" s="94"/>
      <c r="H1869" s="94"/>
      <c r="I1869" s="94"/>
      <c r="J1869" s="94"/>
      <c r="K1869" s="94"/>
      <c r="L1869" s="94"/>
      <c r="M1869" s="94"/>
      <c r="N1869" s="94"/>
      <c r="O1869" s="94"/>
      <c r="P1869" s="94"/>
      <c r="Q1869" s="94"/>
      <c r="R1869" s="94"/>
      <c r="S1869" s="94"/>
      <c r="T1869" s="94"/>
      <c r="U1869" s="94"/>
      <c r="V1869" s="94"/>
      <c r="W1869" s="94"/>
      <c r="X1869" s="94"/>
      <c r="Y1869" s="94"/>
      <c r="Z1869" s="94"/>
      <c r="AA1869" s="94"/>
      <c r="AB1869" s="94"/>
      <c r="AC1869" s="94"/>
      <c r="AD1869" s="94"/>
      <c r="AE1869" s="94"/>
      <c r="AF1869" s="94"/>
      <c r="AG1869" s="94"/>
      <c r="AH1869" s="94"/>
      <c r="AI1869" s="94"/>
      <c r="AJ1869" s="94"/>
      <c r="AK1869" s="94"/>
      <c r="AL1869" s="94"/>
      <c r="AM1869" s="94"/>
      <c r="AN1869" s="94"/>
      <c r="AO1869" s="94"/>
      <c r="AP1869" s="94"/>
      <c r="AQ1869" s="94"/>
      <c r="AR1869" s="94"/>
      <c r="AS1869" s="94"/>
      <c r="AT1869" s="94"/>
      <c r="AU1869" s="94"/>
      <c r="AV1869" s="94"/>
      <c r="AW1869" s="94"/>
      <c r="AX1869" s="94"/>
      <c r="AY1869" s="94"/>
      <c r="AZ1869" s="94"/>
      <c r="BA1869" s="94"/>
      <c r="BB1869" s="94"/>
      <c r="BC1869" s="94"/>
      <c r="BD1869" s="94"/>
      <c r="BE1869" s="94"/>
      <c r="BF1869" s="94"/>
    </row>
    <row r="1870" spans="1:58" x14ac:dyDescent="0.35">
      <c r="A1870" s="104" t="s">
        <v>3639</v>
      </c>
      <c r="B1870" s="105" t="s">
        <v>0</v>
      </c>
      <c r="C1870" s="106">
        <v>6</v>
      </c>
      <c r="D1870" s="104" t="s">
        <v>123</v>
      </c>
      <c r="E1870" s="106"/>
      <c r="F1870" s="94"/>
      <c r="G1870" s="94"/>
      <c r="H1870" s="94"/>
      <c r="I1870" s="94"/>
      <c r="J1870" s="94"/>
      <c r="K1870" s="94"/>
      <c r="L1870" s="94"/>
      <c r="M1870" s="94"/>
      <c r="N1870" s="94"/>
      <c r="O1870" s="94"/>
      <c r="P1870" s="94"/>
      <c r="Q1870" s="94"/>
      <c r="R1870" s="94"/>
      <c r="S1870" s="94"/>
      <c r="T1870" s="94"/>
      <c r="U1870" s="94"/>
      <c r="V1870" s="94"/>
      <c r="W1870" s="94"/>
      <c r="X1870" s="94"/>
      <c r="Y1870" s="94"/>
      <c r="Z1870" s="94"/>
      <c r="AA1870" s="94"/>
      <c r="AB1870" s="94"/>
      <c r="AC1870" s="94"/>
      <c r="AD1870" s="94"/>
      <c r="AE1870" s="94"/>
      <c r="AF1870" s="94"/>
      <c r="AG1870" s="94"/>
      <c r="AH1870" s="94"/>
      <c r="AI1870" s="94"/>
      <c r="AJ1870" s="94"/>
      <c r="AK1870" s="94"/>
      <c r="AL1870" s="94"/>
      <c r="AM1870" s="94"/>
      <c r="AN1870" s="94"/>
      <c r="AO1870" s="94"/>
      <c r="AP1870" s="94"/>
      <c r="AQ1870" s="94"/>
      <c r="AR1870" s="94"/>
      <c r="AS1870" s="94"/>
      <c r="AT1870" s="94"/>
      <c r="AU1870" s="94"/>
      <c r="AV1870" s="94"/>
      <c r="AW1870" s="94"/>
      <c r="AX1870" s="94"/>
      <c r="AY1870" s="94"/>
      <c r="AZ1870" s="94"/>
      <c r="BA1870" s="94"/>
      <c r="BB1870" s="94"/>
      <c r="BC1870" s="94"/>
      <c r="BD1870" s="94"/>
      <c r="BE1870" s="94"/>
      <c r="BF1870" s="94"/>
    </row>
    <row r="1871" spans="1:58" x14ac:dyDescent="0.35">
      <c r="A1871" s="107" t="s">
        <v>3797</v>
      </c>
      <c r="B1871" s="108" t="s">
        <v>0</v>
      </c>
      <c r="C1871" s="109">
        <v>7</v>
      </c>
      <c r="D1871" s="107" t="s">
        <v>1654</v>
      </c>
      <c r="E1871" s="109"/>
      <c r="F1871" s="94"/>
      <c r="G1871" s="94"/>
      <c r="H1871" s="94"/>
      <c r="I1871" s="94"/>
      <c r="J1871" s="94"/>
      <c r="K1871" s="94"/>
      <c r="L1871" s="94"/>
      <c r="M1871" s="94"/>
      <c r="N1871" s="94"/>
      <c r="O1871" s="94"/>
      <c r="P1871" s="94"/>
      <c r="Q1871" s="94"/>
      <c r="R1871" s="94"/>
      <c r="S1871" s="94"/>
      <c r="T1871" s="94"/>
      <c r="U1871" s="94"/>
      <c r="V1871" s="94"/>
      <c r="W1871" s="94"/>
      <c r="X1871" s="94"/>
      <c r="Y1871" s="94"/>
      <c r="Z1871" s="94"/>
      <c r="AA1871" s="94"/>
      <c r="AB1871" s="94"/>
      <c r="AC1871" s="94"/>
      <c r="AD1871" s="94"/>
      <c r="AE1871" s="94"/>
      <c r="AF1871" s="94"/>
      <c r="AG1871" s="94"/>
      <c r="AH1871" s="94"/>
      <c r="AI1871" s="94"/>
      <c r="AJ1871" s="94"/>
      <c r="AK1871" s="94"/>
      <c r="AL1871" s="94"/>
      <c r="AM1871" s="94"/>
      <c r="AN1871" s="94"/>
      <c r="AO1871" s="94"/>
      <c r="AP1871" s="94"/>
      <c r="AQ1871" s="94"/>
      <c r="AR1871" s="94"/>
      <c r="AS1871" s="94"/>
      <c r="AT1871" s="94"/>
      <c r="AU1871" s="94"/>
      <c r="AV1871" s="94"/>
      <c r="AW1871" s="94"/>
      <c r="AX1871" s="94"/>
      <c r="AY1871" s="94"/>
      <c r="AZ1871" s="94"/>
      <c r="BA1871" s="94"/>
      <c r="BB1871" s="94"/>
      <c r="BC1871" s="94"/>
      <c r="BD1871" s="94"/>
      <c r="BE1871" s="94"/>
      <c r="BF1871" s="94"/>
    </row>
    <row r="1872" spans="1:58" x14ac:dyDescent="0.35">
      <c r="A1872" s="104" t="s">
        <v>3640</v>
      </c>
      <c r="B1872" s="105" t="s">
        <v>0</v>
      </c>
      <c r="C1872" s="106">
        <v>6</v>
      </c>
      <c r="D1872" s="104" t="s">
        <v>1665</v>
      </c>
      <c r="E1872" s="106"/>
      <c r="F1872" s="94"/>
      <c r="G1872" s="94"/>
      <c r="H1872" s="94"/>
      <c r="I1872" s="94"/>
      <c r="J1872" s="94"/>
      <c r="K1872" s="94"/>
      <c r="L1872" s="94"/>
      <c r="M1872" s="94"/>
      <c r="N1872" s="94"/>
      <c r="O1872" s="94"/>
      <c r="P1872" s="94"/>
      <c r="Q1872" s="94"/>
      <c r="R1872" s="94"/>
      <c r="S1872" s="94"/>
      <c r="T1872" s="94"/>
      <c r="U1872" s="94"/>
      <c r="V1872" s="94"/>
      <c r="W1872" s="94"/>
      <c r="X1872" s="94"/>
      <c r="Y1872" s="94"/>
      <c r="Z1872" s="94"/>
      <c r="AA1872" s="94"/>
      <c r="AB1872" s="94"/>
      <c r="AC1872" s="94"/>
      <c r="AD1872" s="94"/>
      <c r="AE1872" s="94"/>
      <c r="AF1872" s="94"/>
      <c r="AG1872" s="94"/>
      <c r="AH1872" s="94"/>
      <c r="AI1872" s="94"/>
      <c r="AJ1872" s="94"/>
      <c r="AK1872" s="94"/>
      <c r="AL1872" s="94"/>
      <c r="AM1872" s="94"/>
      <c r="AN1872" s="94"/>
      <c r="AO1872" s="94"/>
      <c r="AP1872" s="94"/>
      <c r="AQ1872" s="94"/>
      <c r="AR1872" s="94"/>
      <c r="AS1872" s="94"/>
      <c r="AT1872" s="94"/>
      <c r="AU1872" s="94"/>
      <c r="AV1872" s="94"/>
      <c r="AW1872" s="94"/>
      <c r="AX1872" s="94"/>
      <c r="AY1872" s="94"/>
      <c r="AZ1872" s="94"/>
      <c r="BA1872" s="94"/>
      <c r="BB1872" s="94"/>
      <c r="BC1872" s="94"/>
      <c r="BD1872" s="94"/>
      <c r="BE1872" s="94"/>
      <c r="BF1872" s="94"/>
    </row>
    <row r="1873" spans="1:58" x14ac:dyDescent="0.35">
      <c r="A1873" s="107" t="s">
        <v>3641</v>
      </c>
      <c r="B1873" s="108" t="s">
        <v>0</v>
      </c>
      <c r="C1873" s="109">
        <v>7</v>
      </c>
      <c r="D1873" s="107" t="s">
        <v>1787</v>
      </c>
      <c r="E1873" s="109"/>
      <c r="F1873" s="94"/>
      <c r="G1873" s="94"/>
      <c r="H1873" s="94"/>
      <c r="I1873" s="94"/>
      <c r="J1873" s="94"/>
      <c r="K1873" s="94"/>
      <c r="L1873" s="94"/>
      <c r="M1873" s="94"/>
      <c r="N1873" s="94"/>
      <c r="O1873" s="94"/>
      <c r="P1873" s="94"/>
      <c r="Q1873" s="94"/>
      <c r="R1873" s="94"/>
      <c r="S1873" s="94"/>
      <c r="T1873" s="94"/>
      <c r="U1873" s="94"/>
      <c r="V1873" s="94"/>
      <c r="W1873" s="94"/>
      <c r="X1873" s="94"/>
      <c r="Y1873" s="94"/>
      <c r="Z1873" s="94"/>
      <c r="AA1873" s="94"/>
      <c r="AB1873" s="94"/>
      <c r="AC1873" s="94"/>
      <c r="AD1873" s="94"/>
      <c r="AE1873" s="94"/>
      <c r="AF1873" s="94"/>
      <c r="AG1873" s="94"/>
      <c r="AH1873" s="94"/>
      <c r="AI1873" s="94"/>
      <c r="AJ1873" s="94"/>
      <c r="AK1873" s="94"/>
      <c r="AL1873" s="94"/>
      <c r="AM1873" s="94"/>
      <c r="AN1873" s="94"/>
      <c r="AO1873" s="94"/>
      <c r="AP1873" s="94"/>
      <c r="AQ1873" s="94"/>
      <c r="AR1873" s="94"/>
      <c r="AS1873" s="94"/>
      <c r="AT1873" s="94"/>
      <c r="AU1873" s="94"/>
      <c r="AV1873" s="94"/>
      <c r="AW1873" s="94"/>
      <c r="AX1873" s="94"/>
      <c r="AY1873" s="94"/>
      <c r="AZ1873" s="94"/>
      <c r="BA1873" s="94"/>
      <c r="BB1873" s="94"/>
      <c r="BC1873" s="94"/>
      <c r="BD1873" s="94"/>
      <c r="BE1873" s="94"/>
      <c r="BF1873" s="94"/>
    </row>
    <row r="1874" spans="1:58" x14ac:dyDescent="0.35">
      <c r="A1874" s="101" t="s">
        <v>3642</v>
      </c>
      <c r="B1874" s="102" t="s">
        <v>0</v>
      </c>
      <c r="C1874" s="103">
        <v>5</v>
      </c>
      <c r="D1874" s="101" t="s">
        <v>1251</v>
      </c>
      <c r="E1874" s="103" t="s">
        <v>351</v>
      </c>
      <c r="F1874" s="94"/>
      <c r="G1874" s="94"/>
      <c r="H1874" s="94"/>
      <c r="I1874" s="94"/>
      <c r="J1874" s="94"/>
      <c r="K1874" s="94"/>
      <c r="L1874" s="94"/>
      <c r="M1874" s="94"/>
      <c r="N1874" s="94"/>
      <c r="O1874" s="94"/>
      <c r="P1874" s="94"/>
      <c r="Q1874" s="94"/>
      <c r="R1874" s="94"/>
      <c r="S1874" s="94"/>
      <c r="T1874" s="94"/>
      <c r="U1874" s="94"/>
      <c r="V1874" s="94"/>
      <c r="W1874" s="94"/>
      <c r="X1874" s="94"/>
      <c r="Y1874" s="94"/>
      <c r="Z1874" s="94"/>
      <c r="AA1874" s="94"/>
      <c r="AB1874" s="94"/>
      <c r="AC1874" s="94"/>
      <c r="AD1874" s="94"/>
      <c r="AE1874" s="94"/>
      <c r="AF1874" s="94"/>
      <c r="AG1874" s="94"/>
      <c r="AH1874" s="94"/>
      <c r="AI1874" s="94"/>
      <c r="AJ1874" s="94"/>
      <c r="AK1874" s="94"/>
      <c r="AL1874" s="94"/>
      <c r="AM1874" s="94"/>
      <c r="AN1874" s="94"/>
      <c r="AO1874" s="94"/>
      <c r="AP1874" s="94"/>
      <c r="AQ1874" s="94"/>
      <c r="AR1874" s="94"/>
      <c r="AS1874" s="94"/>
      <c r="AT1874" s="94"/>
      <c r="AU1874" s="94"/>
      <c r="AV1874" s="94"/>
      <c r="AW1874" s="94"/>
      <c r="AX1874" s="94"/>
      <c r="AY1874" s="94"/>
      <c r="AZ1874" s="94"/>
      <c r="BA1874" s="94"/>
      <c r="BB1874" s="94"/>
      <c r="BC1874" s="94"/>
      <c r="BD1874" s="94"/>
      <c r="BE1874" s="94"/>
      <c r="BF1874" s="94"/>
    </row>
    <row r="1875" spans="1:58" x14ac:dyDescent="0.35">
      <c r="A1875" s="104" t="s">
        <v>3643</v>
      </c>
      <c r="B1875" s="105" t="s">
        <v>0</v>
      </c>
      <c r="C1875" s="106">
        <v>6</v>
      </c>
      <c r="D1875" s="104" t="s">
        <v>16</v>
      </c>
      <c r="E1875" s="106"/>
      <c r="F1875" s="94"/>
      <c r="G1875" s="94"/>
      <c r="H1875" s="94"/>
      <c r="I1875" s="94"/>
      <c r="J1875" s="94"/>
      <c r="K1875" s="94"/>
      <c r="L1875" s="94"/>
      <c r="M1875" s="94"/>
      <c r="N1875" s="94"/>
      <c r="O1875" s="94"/>
      <c r="P1875" s="94"/>
      <c r="Q1875" s="94"/>
      <c r="R1875" s="94"/>
      <c r="S1875" s="94"/>
      <c r="T1875" s="94"/>
      <c r="U1875" s="94"/>
      <c r="V1875" s="94"/>
      <c r="W1875" s="94"/>
      <c r="X1875" s="94"/>
      <c r="Y1875" s="94"/>
      <c r="Z1875" s="94"/>
      <c r="AA1875" s="94"/>
      <c r="AB1875" s="94"/>
      <c r="AC1875" s="94"/>
      <c r="AD1875" s="94"/>
      <c r="AE1875" s="94"/>
      <c r="AF1875" s="94"/>
      <c r="AG1875" s="94"/>
      <c r="AH1875" s="94"/>
      <c r="AI1875" s="94"/>
      <c r="AJ1875" s="94"/>
      <c r="AK1875" s="94"/>
      <c r="AL1875" s="94"/>
      <c r="AM1875" s="94"/>
      <c r="AN1875" s="94"/>
      <c r="AO1875" s="94"/>
      <c r="AP1875" s="94"/>
      <c r="AQ1875" s="94"/>
      <c r="AR1875" s="94"/>
      <c r="AS1875" s="94"/>
      <c r="AT1875" s="94"/>
      <c r="AU1875" s="94"/>
      <c r="AV1875" s="94"/>
      <c r="AW1875" s="94"/>
      <c r="AX1875" s="94"/>
      <c r="AY1875" s="94"/>
      <c r="AZ1875" s="94"/>
      <c r="BA1875" s="94"/>
      <c r="BB1875" s="94"/>
      <c r="BC1875" s="94"/>
      <c r="BD1875" s="94"/>
      <c r="BE1875" s="94"/>
      <c r="BF1875" s="94"/>
    </row>
    <row r="1876" spans="1:58" x14ac:dyDescent="0.35">
      <c r="A1876" s="107" t="s">
        <v>3644</v>
      </c>
      <c r="B1876" s="108" t="s">
        <v>0</v>
      </c>
      <c r="C1876" s="109">
        <v>7</v>
      </c>
      <c r="D1876" s="107" t="s">
        <v>1252</v>
      </c>
      <c r="E1876" s="109" t="s">
        <v>352</v>
      </c>
      <c r="F1876" s="94"/>
      <c r="G1876" s="94"/>
      <c r="H1876" s="94"/>
      <c r="I1876" s="94"/>
      <c r="J1876" s="94"/>
      <c r="K1876" s="94"/>
      <c r="L1876" s="94"/>
      <c r="M1876" s="94"/>
      <c r="N1876" s="94"/>
      <c r="O1876" s="94"/>
      <c r="P1876" s="94"/>
      <c r="Q1876" s="94"/>
      <c r="R1876" s="94"/>
      <c r="S1876" s="94"/>
      <c r="T1876" s="94"/>
      <c r="U1876" s="94"/>
      <c r="V1876" s="94"/>
      <c r="W1876" s="94"/>
      <c r="X1876" s="94"/>
      <c r="Y1876" s="94"/>
      <c r="Z1876" s="94"/>
      <c r="AA1876" s="94"/>
      <c r="AB1876" s="94"/>
      <c r="AC1876" s="94"/>
      <c r="AD1876" s="94"/>
      <c r="AE1876" s="94"/>
      <c r="AF1876" s="94"/>
      <c r="AG1876" s="94"/>
      <c r="AH1876" s="94"/>
      <c r="AI1876" s="94"/>
      <c r="AJ1876" s="94"/>
      <c r="AK1876" s="94"/>
      <c r="AL1876" s="94"/>
      <c r="AM1876" s="94"/>
      <c r="AN1876" s="94"/>
      <c r="AO1876" s="94"/>
      <c r="AP1876" s="94"/>
      <c r="AQ1876" s="94"/>
      <c r="AR1876" s="94"/>
      <c r="AS1876" s="94"/>
      <c r="AT1876" s="94"/>
      <c r="AU1876" s="94"/>
      <c r="AV1876" s="94"/>
      <c r="AW1876" s="94"/>
      <c r="AX1876" s="94"/>
      <c r="AY1876" s="94"/>
      <c r="AZ1876" s="94"/>
      <c r="BA1876" s="94"/>
      <c r="BB1876" s="94"/>
      <c r="BC1876" s="94"/>
      <c r="BD1876" s="94"/>
      <c r="BE1876" s="94"/>
      <c r="BF1876" s="94"/>
    </row>
    <row r="1877" spans="1:58" x14ac:dyDescent="0.35">
      <c r="A1877" s="104" t="s">
        <v>3645</v>
      </c>
      <c r="B1877" s="105" t="s">
        <v>0</v>
      </c>
      <c r="C1877" s="106">
        <v>6</v>
      </c>
      <c r="D1877" s="104" t="s">
        <v>123</v>
      </c>
      <c r="E1877" s="106"/>
      <c r="F1877" s="94"/>
      <c r="G1877" s="94"/>
      <c r="H1877" s="94"/>
      <c r="I1877" s="94"/>
      <c r="J1877" s="94"/>
      <c r="K1877" s="94"/>
      <c r="L1877" s="94"/>
      <c r="M1877" s="94"/>
      <c r="N1877" s="94"/>
      <c r="O1877" s="94"/>
      <c r="P1877" s="94"/>
      <c r="Q1877" s="94"/>
      <c r="R1877" s="94"/>
      <c r="S1877" s="94"/>
      <c r="T1877" s="94"/>
      <c r="U1877" s="94"/>
      <c r="V1877" s="94"/>
      <c r="W1877" s="94"/>
      <c r="X1877" s="94"/>
      <c r="Y1877" s="94"/>
      <c r="Z1877" s="94"/>
      <c r="AA1877" s="94"/>
      <c r="AB1877" s="94"/>
      <c r="AC1877" s="94"/>
      <c r="AD1877" s="94"/>
      <c r="AE1877" s="94"/>
      <c r="AF1877" s="94"/>
      <c r="AG1877" s="94"/>
      <c r="AH1877" s="94"/>
      <c r="AI1877" s="94"/>
      <c r="AJ1877" s="94"/>
      <c r="AK1877" s="94"/>
      <c r="AL1877" s="94"/>
      <c r="AM1877" s="94"/>
      <c r="AN1877" s="94"/>
      <c r="AO1877" s="94"/>
      <c r="AP1877" s="94"/>
      <c r="AQ1877" s="94"/>
      <c r="AR1877" s="94"/>
      <c r="AS1877" s="94"/>
      <c r="AT1877" s="94"/>
      <c r="AU1877" s="94"/>
      <c r="AV1877" s="94"/>
      <c r="AW1877" s="94"/>
      <c r="AX1877" s="94"/>
      <c r="AY1877" s="94"/>
      <c r="AZ1877" s="94"/>
      <c r="BA1877" s="94"/>
      <c r="BB1877" s="94"/>
      <c r="BC1877" s="94"/>
      <c r="BD1877" s="94"/>
      <c r="BE1877" s="94"/>
      <c r="BF1877" s="94"/>
    </row>
    <row r="1878" spans="1:58" x14ac:dyDescent="0.35">
      <c r="A1878" s="107" t="s">
        <v>3798</v>
      </c>
      <c r="B1878" s="108" t="s">
        <v>0</v>
      </c>
      <c r="C1878" s="109">
        <v>7</v>
      </c>
      <c r="D1878" s="107" t="s">
        <v>1654</v>
      </c>
      <c r="E1878" s="109"/>
      <c r="F1878" s="94"/>
      <c r="G1878" s="94"/>
      <c r="H1878" s="94"/>
      <c r="I1878" s="94"/>
      <c r="J1878" s="94"/>
      <c r="K1878" s="94"/>
      <c r="L1878" s="94"/>
      <c r="M1878" s="94"/>
      <c r="N1878" s="94"/>
      <c r="O1878" s="94"/>
      <c r="P1878" s="94"/>
      <c r="Q1878" s="94"/>
      <c r="R1878" s="94"/>
      <c r="S1878" s="94"/>
      <c r="T1878" s="94"/>
      <c r="U1878" s="94"/>
      <c r="V1878" s="94"/>
      <c r="W1878" s="94"/>
      <c r="X1878" s="94"/>
      <c r="Y1878" s="94"/>
      <c r="Z1878" s="94"/>
      <c r="AA1878" s="94"/>
      <c r="AB1878" s="94"/>
      <c r="AC1878" s="94"/>
      <c r="AD1878" s="94"/>
      <c r="AE1878" s="94"/>
      <c r="AF1878" s="94"/>
      <c r="AG1878" s="94"/>
      <c r="AH1878" s="94"/>
      <c r="AI1878" s="94"/>
      <c r="AJ1878" s="94"/>
      <c r="AK1878" s="94"/>
      <c r="AL1878" s="94"/>
      <c r="AM1878" s="94"/>
      <c r="AN1878" s="94"/>
      <c r="AO1878" s="94"/>
      <c r="AP1878" s="94"/>
      <c r="AQ1878" s="94"/>
      <c r="AR1878" s="94"/>
      <c r="AS1878" s="94"/>
      <c r="AT1878" s="94"/>
      <c r="AU1878" s="94"/>
      <c r="AV1878" s="94"/>
      <c r="AW1878" s="94"/>
      <c r="AX1878" s="94"/>
      <c r="AY1878" s="94"/>
      <c r="AZ1878" s="94"/>
      <c r="BA1878" s="94"/>
      <c r="BB1878" s="94"/>
      <c r="BC1878" s="94"/>
      <c r="BD1878" s="94"/>
      <c r="BE1878" s="94"/>
      <c r="BF1878" s="94"/>
    </row>
    <row r="1879" spans="1:58" x14ac:dyDescent="0.35">
      <c r="A1879" s="104" t="s">
        <v>3646</v>
      </c>
      <c r="B1879" s="105" t="s">
        <v>0</v>
      </c>
      <c r="C1879" s="106">
        <v>6</v>
      </c>
      <c r="D1879" s="104" t="s">
        <v>1665</v>
      </c>
      <c r="E1879" s="106"/>
      <c r="F1879" s="94"/>
      <c r="G1879" s="94"/>
      <c r="H1879" s="94"/>
      <c r="I1879" s="94"/>
      <c r="J1879" s="94"/>
      <c r="K1879" s="94"/>
      <c r="L1879" s="94"/>
      <c r="M1879" s="94"/>
      <c r="N1879" s="94"/>
      <c r="O1879" s="94"/>
      <c r="P1879" s="94"/>
      <c r="Q1879" s="94"/>
      <c r="R1879" s="94"/>
      <c r="S1879" s="94"/>
      <c r="T1879" s="94"/>
      <c r="U1879" s="94"/>
      <c r="V1879" s="94"/>
      <c r="W1879" s="94"/>
      <c r="X1879" s="94"/>
      <c r="Y1879" s="94"/>
      <c r="Z1879" s="94"/>
      <c r="AA1879" s="94"/>
      <c r="AB1879" s="94"/>
      <c r="AC1879" s="94"/>
      <c r="AD1879" s="94"/>
      <c r="AE1879" s="94"/>
      <c r="AF1879" s="94"/>
      <c r="AG1879" s="94"/>
      <c r="AH1879" s="94"/>
      <c r="AI1879" s="94"/>
      <c r="AJ1879" s="94"/>
      <c r="AK1879" s="94"/>
      <c r="AL1879" s="94"/>
      <c r="AM1879" s="94"/>
      <c r="AN1879" s="94"/>
      <c r="AO1879" s="94"/>
      <c r="AP1879" s="94"/>
      <c r="AQ1879" s="94"/>
      <c r="AR1879" s="94"/>
      <c r="AS1879" s="94"/>
      <c r="AT1879" s="94"/>
      <c r="AU1879" s="94"/>
      <c r="AV1879" s="94"/>
      <c r="AW1879" s="94"/>
      <c r="AX1879" s="94"/>
      <c r="AY1879" s="94"/>
      <c r="AZ1879" s="94"/>
      <c r="BA1879" s="94"/>
      <c r="BB1879" s="94"/>
      <c r="BC1879" s="94"/>
      <c r="BD1879" s="94"/>
      <c r="BE1879" s="94"/>
      <c r="BF1879" s="94"/>
    </row>
    <row r="1880" spans="1:58" x14ac:dyDescent="0.35">
      <c r="A1880" s="107" t="s">
        <v>3647</v>
      </c>
      <c r="B1880" s="108" t="s">
        <v>0</v>
      </c>
      <c r="C1880" s="109">
        <v>7</v>
      </c>
      <c r="D1880" s="107" t="s">
        <v>1787</v>
      </c>
      <c r="E1880" s="109"/>
      <c r="F1880" s="94"/>
      <c r="G1880" s="94"/>
      <c r="H1880" s="94"/>
      <c r="I1880" s="94"/>
      <c r="J1880" s="94"/>
      <c r="K1880" s="94"/>
      <c r="L1880" s="94"/>
      <c r="M1880" s="94"/>
      <c r="N1880" s="94"/>
      <c r="O1880" s="94"/>
      <c r="P1880" s="94"/>
      <c r="Q1880" s="94"/>
      <c r="R1880" s="94"/>
      <c r="S1880" s="94"/>
      <c r="T1880" s="94"/>
      <c r="U1880" s="94"/>
      <c r="V1880" s="94"/>
      <c r="W1880" s="94"/>
      <c r="X1880" s="94"/>
      <c r="Y1880" s="94"/>
      <c r="Z1880" s="94"/>
      <c r="AA1880" s="94"/>
      <c r="AB1880" s="94"/>
      <c r="AC1880" s="94"/>
      <c r="AD1880" s="94"/>
      <c r="AE1880" s="94"/>
      <c r="AF1880" s="94"/>
      <c r="AG1880" s="94"/>
      <c r="AH1880" s="94"/>
      <c r="AI1880" s="94"/>
      <c r="AJ1880" s="94"/>
      <c r="AK1880" s="94"/>
      <c r="AL1880" s="94"/>
      <c r="AM1880" s="94"/>
      <c r="AN1880" s="94"/>
      <c r="AO1880" s="94"/>
      <c r="AP1880" s="94"/>
      <c r="AQ1880" s="94"/>
      <c r="AR1880" s="94"/>
      <c r="AS1880" s="94"/>
      <c r="AT1880" s="94"/>
      <c r="AU1880" s="94"/>
      <c r="AV1880" s="94"/>
      <c r="AW1880" s="94"/>
      <c r="AX1880" s="94"/>
      <c r="AY1880" s="94"/>
      <c r="AZ1880" s="94"/>
      <c r="BA1880" s="94"/>
      <c r="BB1880" s="94"/>
      <c r="BC1880" s="94"/>
      <c r="BD1880" s="94"/>
      <c r="BE1880" s="94"/>
      <c r="BF1880" s="94"/>
    </row>
    <row r="1881" spans="1:58" x14ac:dyDescent="0.35">
      <c r="A1881" s="101" t="s">
        <v>3648</v>
      </c>
      <c r="B1881" s="102" t="s">
        <v>0</v>
      </c>
      <c r="C1881" s="103">
        <v>5</v>
      </c>
      <c r="D1881" s="101" t="s">
        <v>615</v>
      </c>
      <c r="E1881" s="103" t="s">
        <v>353</v>
      </c>
      <c r="F1881" s="94"/>
      <c r="G1881" s="94"/>
      <c r="H1881" s="94"/>
      <c r="I1881" s="94"/>
      <c r="J1881" s="94"/>
      <c r="K1881" s="94"/>
      <c r="L1881" s="94"/>
      <c r="M1881" s="94"/>
      <c r="N1881" s="94"/>
      <c r="O1881" s="94"/>
      <c r="P1881" s="94"/>
      <c r="Q1881" s="94"/>
      <c r="R1881" s="94"/>
      <c r="S1881" s="94"/>
      <c r="T1881" s="94"/>
      <c r="U1881" s="94"/>
      <c r="V1881" s="94"/>
      <c r="W1881" s="94"/>
      <c r="X1881" s="94"/>
      <c r="Y1881" s="94"/>
      <c r="Z1881" s="94"/>
      <c r="AA1881" s="94"/>
      <c r="AB1881" s="94"/>
      <c r="AC1881" s="94"/>
      <c r="AD1881" s="94"/>
      <c r="AE1881" s="94"/>
      <c r="AF1881" s="94"/>
      <c r="AG1881" s="94"/>
      <c r="AH1881" s="94"/>
      <c r="AI1881" s="94"/>
      <c r="AJ1881" s="94"/>
      <c r="AK1881" s="94"/>
      <c r="AL1881" s="94"/>
      <c r="AM1881" s="94"/>
      <c r="AN1881" s="94"/>
      <c r="AO1881" s="94"/>
      <c r="AP1881" s="94"/>
      <c r="AQ1881" s="94"/>
      <c r="AR1881" s="94"/>
      <c r="AS1881" s="94"/>
      <c r="AT1881" s="94"/>
      <c r="AU1881" s="94"/>
      <c r="AV1881" s="94"/>
      <c r="AW1881" s="94"/>
      <c r="AX1881" s="94"/>
      <c r="AY1881" s="94"/>
      <c r="AZ1881" s="94"/>
      <c r="BA1881" s="94"/>
      <c r="BB1881" s="94"/>
      <c r="BC1881" s="94"/>
      <c r="BD1881" s="94"/>
      <c r="BE1881" s="94"/>
      <c r="BF1881" s="94"/>
    </row>
    <row r="1882" spans="1:58" x14ac:dyDescent="0.35">
      <c r="A1882" s="104" t="s">
        <v>3649</v>
      </c>
      <c r="B1882" s="105" t="s">
        <v>0</v>
      </c>
      <c r="C1882" s="106">
        <v>6</v>
      </c>
      <c r="D1882" s="104" t="s">
        <v>16</v>
      </c>
      <c r="E1882" s="106"/>
      <c r="F1882" s="94"/>
      <c r="G1882" s="94"/>
      <c r="H1882" s="94"/>
      <c r="I1882" s="94"/>
      <c r="J1882" s="94"/>
      <c r="K1882" s="94"/>
      <c r="L1882" s="94"/>
      <c r="M1882" s="94"/>
      <c r="N1882" s="94"/>
      <c r="O1882" s="94"/>
      <c r="P1882" s="94"/>
      <c r="Q1882" s="94"/>
      <c r="R1882" s="94"/>
      <c r="S1882" s="94"/>
      <c r="T1882" s="94"/>
      <c r="U1882" s="94"/>
      <c r="V1882" s="94"/>
      <c r="W1882" s="94"/>
      <c r="X1882" s="94"/>
      <c r="Y1882" s="94"/>
      <c r="Z1882" s="94"/>
      <c r="AA1882" s="94"/>
      <c r="AB1882" s="94"/>
      <c r="AC1882" s="94"/>
      <c r="AD1882" s="94"/>
      <c r="AE1882" s="94"/>
      <c r="AF1882" s="94"/>
      <c r="AG1882" s="94"/>
      <c r="AH1882" s="94"/>
      <c r="AI1882" s="94"/>
      <c r="AJ1882" s="94"/>
      <c r="AK1882" s="94"/>
      <c r="AL1882" s="94"/>
      <c r="AM1882" s="94"/>
      <c r="AN1882" s="94"/>
      <c r="AO1882" s="94"/>
      <c r="AP1882" s="94"/>
      <c r="AQ1882" s="94"/>
      <c r="AR1882" s="94"/>
      <c r="AS1882" s="94"/>
      <c r="AT1882" s="94"/>
      <c r="AU1882" s="94"/>
      <c r="AV1882" s="94"/>
      <c r="AW1882" s="94"/>
      <c r="AX1882" s="94"/>
      <c r="AY1882" s="94"/>
      <c r="AZ1882" s="94"/>
      <c r="BA1882" s="94"/>
      <c r="BB1882" s="94"/>
      <c r="BC1882" s="94"/>
      <c r="BD1882" s="94"/>
      <c r="BE1882" s="94"/>
      <c r="BF1882" s="94"/>
    </row>
    <row r="1883" spans="1:58" x14ac:dyDescent="0.35">
      <c r="A1883" s="107" t="s">
        <v>3650</v>
      </c>
      <c r="B1883" s="108" t="s">
        <v>0</v>
      </c>
      <c r="C1883" s="109">
        <v>7</v>
      </c>
      <c r="D1883" s="107" t="s">
        <v>1256</v>
      </c>
      <c r="E1883" s="109" t="s">
        <v>720</v>
      </c>
      <c r="F1883" s="94"/>
      <c r="G1883" s="94"/>
      <c r="H1883" s="94"/>
      <c r="I1883" s="94"/>
      <c r="J1883" s="94"/>
      <c r="K1883" s="94"/>
      <c r="L1883" s="94"/>
      <c r="M1883" s="94"/>
      <c r="N1883" s="94"/>
      <c r="O1883" s="94"/>
      <c r="P1883" s="94"/>
      <c r="Q1883" s="94"/>
      <c r="R1883" s="94"/>
      <c r="S1883" s="94"/>
      <c r="T1883" s="94"/>
      <c r="U1883" s="94"/>
      <c r="V1883" s="94"/>
      <c r="W1883" s="94"/>
      <c r="X1883" s="94"/>
      <c r="Y1883" s="94"/>
      <c r="Z1883" s="94"/>
      <c r="AA1883" s="94"/>
      <c r="AB1883" s="94"/>
      <c r="AC1883" s="94"/>
      <c r="AD1883" s="94"/>
      <c r="AE1883" s="94"/>
      <c r="AF1883" s="94"/>
      <c r="AG1883" s="94"/>
      <c r="AH1883" s="94"/>
      <c r="AI1883" s="94"/>
      <c r="AJ1883" s="94"/>
      <c r="AK1883" s="94"/>
      <c r="AL1883" s="94"/>
      <c r="AM1883" s="94"/>
      <c r="AN1883" s="94"/>
      <c r="AO1883" s="94"/>
      <c r="AP1883" s="94"/>
      <c r="AQ1883" s="94"/>
      <c r="AR1883" s="94"/>
      <c r="AS1883" s="94"/>
      <c r="AT1883" s="94"/>
      <c r="AU1883" s="94"/>
      <c r="AV1883" s="94"/>
      <c r="AW1883" s="94"/>
      <c r="AX1883" s="94"/>
      <c r="AY1883" s="94"/>
      <c r="AZ1883" s="94"/>
      <c r="BA1883" s="94"/>
      <c r="BB1883" s="94"/>
      <c r="BC1883" s="94"/>
      <c r="BD1883" s="94"/>
      <c r="BE1883" s="94"/>
      <c r="BF1883" s="94"/>
    </row>
    <row r="1884" spans="1:58" x14ac:dyDescent="0.35">
      <c r="A1884" s="104" t="s">
        <v>3651</v>
      </c>
      <c r="B1884" s="105" t="s">
        <v>0</v>
      </c>
      <c r="C1884" s="106">
        <v>6</v>
      </c>
      <c r="D1884" s="104" t="s">
        <v>13</v>
      </c>
      <c r="E1884" s="106"/>
      <c r="F1884" s="94"/>
      <c r="G1884" s="94"/>
      <c r="H1884" s="94"/>
      <c r="I1884" s="94"/>
      <c r="J1884" s="94"/>
      <c r="K1884" s="94"/>
      <c r="L1884" s="94"/>
      <c r="M1884" s="94"/>
      <c r="N1884" s="94"/>
      <c r="O1884" s="94"/>
      <c r="P1884" s="94"/>
      <c r="Q1884" s="94"/>
      <c r="R1884" s="94"/>
      <c r="S1884" s="94"/>
      <c r="T1884" s="94"/>
      <c r="U1884" s="94"/>
      <c r="V1884" s="94"/>
      <c r="W1884" s="94"/>
      <c r="X1884" s="94"/>
      <c r="Y1884" s="94"/>
      <c r="Z1884" s="94"/>
      <c r="AA1884" s="94"/>
      <c r="AB1884" s="94"/>
      <c r="AC1884" s="94"/>
      <c r="AD1884" s="94"/>
      <c r="AE1884" s="94"/>
      <c r="AF1884" s="94"/>
      <c r="AG1884" s="94"/>
      <c r="AH1884" s="94"/>
      <c r="AI1884" s="94"/>
      <c r="AJ1884" s="94"/>
      <c r="AK1884" s="94"/>
      <c r="AL1884" s="94"/>
      <c r="AM1884" s="94"/>
      <c r="AN1884" s="94"/>
      <c r="AO1884" s="94"/>
      <c r="AP1884" s="94"/>
      <c r="AQ1884" s="94"/>
      <c r="AR1884" s="94"/>
      <c r="AS1884" s="94"/>
      <c r="AT1884" s="94"/>
      <c r="AU1884" s="94"/>
      <c r="AV1884" s="94"/>
      <c r="AW1884" s="94"/>
      <c r="AX1884" s="94"/>
      <c r="AY1884" s="94"/>
      <c r="AZ1884" s="94"/>
      <c r="BA1884" s="94"/>
      <c r="BB1884" s="94"/>
      <c r="BC1884" s="94"/>
      <c r="BD1884" s="94"/>
      <c r="BE1884" s="94"/>
      <c r="BF1884" s="94"/>
    </row>
    <row r="1885" spans="1:58" x14ac:dyDescent="0.35">
      <c r="A1885" s="107" t="s">
        <v>3652</v>
      </c>
      <c r="B1885" s="108" t="s">
        <v>0</v>
      </c>
      <c r="C1885" s="109">
        <v>7</v>
      </c>
      <c r="D1885" s="107" t="s">
        <v>1620</v>
      </c>
      <c r="E1885" s="109" t="s">
        <v>721</v>
      </c>
      <c r="F1885" s="94"/>
      <c r="G1885" s="94"/>
      <c r="H1885" s="94"/>
      <c r="I1885" s="94"/>
      <c r="J1885" s="94"/>
      <c r="K1885" s="94"/>
      <c r="L1885" s="94"/>
      <c r="M1885" s="94"/>
      <c r="N1885" s="94"/>
      <c r="O1885" s="94"/>
      <c r="P1885" s="94"/>
      <c r="Q1885" s="94"/>
      <c r="R1885" s="94"/>
      <c r="S1885" s="94"/>
      <c r="T1885" s="94"/>
      <c r="U1885" s="94"/>
      <c r="V1885" s="94"/>
      <c r="W1885" s="94"/>
      <c r="X1885" s="94"/>
      <c r="Y1885" s="94"/>
      <c r="Z1885" s="94"/>
      <c r="AA1885" s="94"/>
      <c r="AB1885" s="94"/>
      <c r="AC1885" s="94"/>
      <c r="AD1885" s="94"/>
      <c r="AE1885" s="94"/>
      <c r="AF1885" s="94"/>
      <c r="AG1885" s="94"/>
      <c r="AH1885" s="94"/>
      <c r="AI1885" s="94"/>
      <c r="AJ1885" s="94"/>
      <c r="AK1885" s="94"/>
      <c r="AL1885" s="94"/>
      <c r="AM1885" s="94"/>
      <c r="AN1885" s="94"/>
      <c r="AO1885" s="94"/>
      <c r="AP1885" s="94"/>
      <c r="AQ1885" s="94"/>
      <c r="AR1885" s="94"/>
      <c r="AS1885" s="94"/>
      <c r="AT1885" s="94"/>
      <c r="AU1885" s="94"/>
      <c r="AV1885" s="94"/>
      <c r="AW1885" s="94"/>
      <c r="AX1885" s="94"/>
      <c r="AY1885" s="94"/>
      <c r="AZ1885" s="94"/>
      <c r="BA1885" s="94"/>
      <c r="BB1885" s="94"/>
      <c r="BC1885" s="94"/>
      <c r="BD1885" s="94"/>
      <c r="BE1885" s="94"/>
      <c r="BF1885" s="94"/>
    </row>
    <row r="1886" spans="1:58" x14ac:dyDescent="0.35">
      <c r="A1886" s="107" t="s">
        <v>3653</v>
      </c>
      <c r="B1886" s="108" t="s">
        <v>0</v>
      </c>
      <c r="C1886" s="109">
        <v>7</v>
      </c>
      <c r="D1886" s="107" t="s">
        <v>1255</v>
      </c>
      <c r="E1886" s="109" t="s">
        <v>722</v>
      </c>
      <c r="F1886" s="94"/>
      <c r="G1886" s="94"/>
      <c r="H1886" s="94"/>
      <c r="I1886" s="94"/>
      <c r="J1886" s="94"/>
      <c r="K1886" s="94"/>
      <c r="L1886" s="94"/>
      <c r="M1886" s="94"/>
      <c r="N1886" s="94"/>
      <c r="O1886" s="94"/>
      <c r="P1886" s="94"/>
      <c r="Q1886" s="94"/>
      <c r="R1886" s="94"/>
      <c r="S1886" s="94"/>
      <c r="T1886" s="94"/>
      <c r="U1886" s="94"/>
      <c r="V1886" s="94"/>
      <c r="W1886" s="94"/>
      <c r="X1886" s="94"/>
      <c r="Y1886" s="94"/>
      <c r="Z1886" s="94"/>
      <c r="AA1886" s="94"/>
      <c r="AB1886" s="94"/>
      <c r="AC1886" s="94"/>
      <c r="AD1886" s="94"/>
      <c r="AE1886" s="94"/>
      <c r="AF1886" s="94"/>
      <c r="AG1886" s="94"/>
      <c r="AH1886" s="94"/>
      <c r="AI1886" s="94"/>
      <c r="AJ1886" s="94"/>
      <c r="AK1886" s="94"/>
      <c r="AL1886" s="94"/>
      <c r="AM1886" s="94"/>
      <c r="AN1886" s="94"/>
      <c r="AO1886" s="94"/>
      <c r="AP1886" s="94"/>
      <c r="AQ1886" s="94"/>
      <c r="AR1886" s="94"/>
      <c r="AS1886" s="94"/>
      <c r="AT1886" s="94"/>
      <c r="AU1886" s="94"/>
      <c r="AV1886" s="94"/>
      <c r="AW1886" s="94"/>
      <c r="AX1886" s="94"/>
      <c r="AY1886" s="94"/>
      <c r="AZ1886" s="94"/>
      <c r="BA1886" s="94"/>
      <c r="BB1886" s="94"/>
      <c r="BC1886" s="94"/>
      <c r="BD1886" s="94"/>
      <c r="BE1886" s="94"/>
      <c r="BF1886" s="94"/>
    </row>
    <row r="1887" spans="1:58" x14ac:dyDescent="0.35">
      <c r="A1887" s="104" t="s">
        <v>3772</v>
      </c>
      <c r="B1887" s="105" t="s">
        <v>0</v>
      </c>
      <c r="C1887" s="106">
        <v>6</v>
      </c>
      <c r="D1887" s="104" t="s">
        <v>1665</v>
      </c>
      <c r="E1887" s="106"/>
      <c r="F1887" s="94"/>
      <c r="G1887" s="94"/>
      <c r="H1887" s="94"/>
      <c r="I1887" s="94"/>
      <c r="J1887" s="94"/>
      <c r="K1887" s="94"/>
      <c r="L1887" s="94"/>
      <c r="M1887" s="94"/>
      <c r="N1887" s="94"/>
      <c r="O1887" s="94"/>
      <c r="P1887" s="94"/>
      <c r="Q1887" s="94"/>
      <c r="R1887" s="94"/>
      <c r="S1887" s="94"/>
      <c r="T1887" s="94"/>
      <c r="U1887" s="94"/>
      <c r="V1887" s="94"/>
      <c r="W1887" s="94"/>
      <c r="X1887" s="94"/>
      <c r="Y1887" s="94"/>
      <c r="Z1887" s="94"/>
      <c r="AA1887" s="94"/>
      <c r="AB1887" s="94"/>
      <c r="AC1887" s="94"/>
      <c r="AD1887" s="94"/>
      <c r="AE1887" s="94"/>
      <c r="AF1887" s="94"/>
      <c r="AG1887" s="94"/>
      <c r="AH1887" s="94"/>
      <c r="AI1887" s="94"/>
      <c r="AJ1887" s="94"/>
      <c r="AK1887" s="94"/>
      <c r="AL1887" s="94"/>
      <c r="AM1887" s="94"/>
      <c r="AN1887" s="94"/>
      <c r="AO1887" s="94"/>
      <c r="AP1887" s="94"/>
      <c r="AQ1887" s="94"/>
      <c r="AR1887" s="94"/>
      <c r="AS1887" s="94"/>
      <c r="AT1887" s="94"/>
      <c r="AU1887" s="94"/>
      <c r="AV1887" s="94"/>
      <c r="AW1887" s="94"/>
      <c r="AX1887" s="94"/>
      <c r="AY1887" s="94"/>
      <c r="AZ1887" s="94"/>
      <c r="BA1887" s="94"/>
      <c r="BB1887" s="94"/>
      <c r="BC1887" s="94"/>
      <c r="BD1887" s="94"/>
      <c r="BE1887" s="94"/>
      <c r="BF1887" s="94"/>
    </row>
    <row r="1888" spans="1:58" x14ac:dyDescent="0.35">
      <c r="A1888" s="107" t="s">
        <v>3654</v>
      </c>
      <c r="B1888" s="108" t="s">
        <v>0</v>
      </c>
      <c r="C1888" s="109">
        <v>7</v>
      </c>
      <c r="D1888" s="107" t="s">
        <v>1788</v>
      </c>
      <c r="E1888" s="109"/>
      <c r="F1888" s="94"/>
      <c r="G1888" s="94"/>
      <c r="H1888" s="94"/>
      <c r="I1888" s="94"/>
      <c r="J1888" s="94"/>
      <c r="K1888" s="94"/>
      <c r="L1888" s="94"/>
      <c r="M1888" s="94"/>
      <c r="N1888" s="94"/>
      <c r="O1888" s="94"/>
      <c r="P1888" s="94"/>
      <c r="Q1888" s="94"/>
      <c r="R1888" s="94"/>
      <c r="S1888" s="94"/>
      <c r="T1888" s="94"/>
      <c r="U1888" s="94"/>
      <c r="V1888" s="94"/>
      <c r="W1888" s="94"/>
      <c r="X1888" s="94"/>
      <c r="Y1888" s="94"/>
      <c r="Z1888" s="94"/>
      <c r="AA1888" s="94"/>
      <c r="AB1888" s="94"/>
      <c r="AC1888" s="94"/>
      <c r="AD1888" s="94"/>
      <c r="AE1888" s="94"/>
      <c r="AF1888" s="94"/>
      <c r="AG1888" s="94"/>
      <c r="AH1888" s="94"/>
      <c r="AI1888" s="94"/>
      <c r="AJ1888" s="94"/>
      <c r="AK1888" s="94"/>
      <c r="AL1888" s="94"/>
      <c r="AM1888" s="94"/>
      <c r="AN1888" s="94"/>
      <c r="AO1888" s="94"/>
      <c r="AP1888" s="94"/>
      <c r="AQ1888" s="94"/>
      <c r="AR1888" s="94"/>
      <c r="AS1888" s="94"/>
      <c r="AT1888" s="94"/>
      <c r="AU1888" s="94"/>
      <c r="AV1888" s="94"/>
      <c r="AW1888" s="94"/>
      <c r="AX1888" s="94"/>
      <c r="AY1888" s="94"/>
      <c r="AZ1888" s="94"/>
      <c r="BA1888" s="94"/>
      <c r="BB1888" s="94"/>
      <c r="BC1888" s="94"/>
      <c r="BD1888" s="94"/>
      <c r="BE1888" s="94"/>
      <c r="BF1888" s="94"/>
    </row>
    <row r="1889" spans="1:58" x14ac:dyDescent="0.35">
      <c r="A1889" s="107" t="s">
        <v>3655</v>
      </c>
      <c r="B1889" s="108" t="s">
        <v>0</v>
      </c>
      <c r="C1889" s="109">
        <v>7</v>
      </c>
      <c r="D1889" s="107" t="s">
        <v>1789</v>
      </c>
      <c r="E1889" s="109"/>
      <c r="F1889" s="94"/>
      <c r="G1889" s="94"/>
      <c r="H1889" s="94"/>
      <c r="I1889" s="94"/>
      <c r="J1889" s="94"/>
      <c r="K1889" s="94"/>
      <c r="L1889" s="94"/>
      <c r="M1889" s="94"/>
      <c r="N1889" s="94"/>
      <c r="O1889" s="94"/>
      <c r="P1889" s="94"/>
      <c r="Q1889" s="94"/>
      <c r="R1889" s="94"/>
      <c r="S1889" s="94"/>
      <c r="T1889" s="94"/>
      <c r="U1889" s="94"/>
      <c r="V1889" s="94"/>
      <c r="W1889" s="94"/>
      <c r="X1889" s="94"/>
      <c r="Y1889" s="94"/>
      <c r="Z1889" s="94"/>
      <c r="AA1889" s="94"/>
      <c r="AB1889" s="94"/>
      <c r="AC1889" s="94"/>
      <c r="AD1889" s="94"/>
      <c r="AE1889" s="94"/>
      <c r="AF1889" s="94"/>
      <c r="AG1889" s="94"/>
      <c r="AH1889" s="94"/>
      <c r="AI1889" s="94"/>
      <c r="AJ1889" s="94"/>
      <c r="AK1889" s="94"/>
      <c r="AL1889" s="94"/>
      <c r="AM1889" s="94"/>
      <c r="AN1889" s="94"/>
      <c r="AO1889" s="94"/>
      <c r="AP1889" s="94"/>
      <c r="AQ1889" s="94"/>
      <c r="AR1889" s="94"/>
      <c r="AS1889" s="94"/>
      <c r="AT1889" s="94"/>
      <c r="AU1889" s="94"/>
      <c r="AV1889" s="94"/>
      <c r="AW1889" s="94"/>
      <c r="AX1889" s="94"/>
      <c r="AY1889" s="94"/>
      <c r="AZ1889" s="94"/>
      <c r="BA1889" s="94"/>
      <c r="BB1889" s="94"/>
      <c r="BC1889" s="94"/>
      <c r="BD1889" s="94"/>
      <c r="BE1889" s="94"/>
      <c r="BF1889" s="94"/>
    </row>
    <row r="1890" spans="1:58" x14ac:dyDescent="0.35">
      <c r="A1890" s="107" t="s">
        <v>3656</v>
      </c>
      <c r="B1890" s="108" t="s">
        <v>0</v>
      </c>
      <c r="C1890" s="109">
        <v>7</v>
      </c>
      <c r="D1890" s="107" t="s">
        <v>1790</v>
      </c>
      <c r="E1890" s="109"/>
      <c r="F1890" s="94"/>
      <c r="G1890" s="94"/>
      <c r="H1890" s="94"/>
      <c r="I1890" s="94"/>
      <c r="J1890" s="94"/>
      <c r="K1890" s="94"/>
      <c r="L1890" s="94"/>
      <c r="M1890" s="94"/>
      <c r="N1890" s="94"/>
      <c r="O1890" s="94"/>
      <c r="P1890" s="94"/>
      <c r="Q1890" s="94"/>
      <c r="R1890" s="94"/>
      <c r="S1890" s="94"/>
      <c r="T1890" s="94"/>
      <c r="U1890" s="94"/>
      <c r="V1890" s="94"/>
      <c r="W1890" s="94"/>
      <c r="X1890" s="94"/>
      <c r="Y1890" s="94"/>
      <c r="Z1890" s="94"/>
      <c r="AA1890" s="94"/>
      <c r="AB1890" s="94"/>
      <c r="AC1890" s="94"/>
      <c r="AD1890" s="94"/>
      <c r="AE1890" s="94"/>
      <c r="AF1890" s="94"/>
      <c r="AG1890" s="94"/>
      <c r="AH1890" s="94"/>
      <c r="AI1890" s="94"/>
      <c r="AJ1890" s="94"/>
      <c r="AK1890" s="94"/>
      <c r="AL1890" s="94"/>
      <c r="AM1890" s="94"/>
      <c r="AN1890" s="94"/>
      <c r="AO1890" s="94"/>
      <c r="AP1890" s="94"/>
      <c r="AQ1890" s="94"/>
      <c r="AR1890" s="94"/>
      <c r="AS1890" s="94"/>
      <c r="AT1890" s="94"/>
      <c r="AU1890" s="94"/>
      <c r="AV1890" s="94"/>
      <c r="AW1890" s="94"/>
      <c r="AX1890" s="94"/>
      <c r="AY1890" s="94"/>
      <c r="AZ1890" s="94"/>
      <c r="BA1890" s="94"/>
      <c r="BB1890" s="94"/>
      <c r="BC1890" s="94"/>
      <c r="BD1890" s="94"/>
      <c r="BE1890" s="94"/>
      <c r="BF1890" s="94"/>
    </row>
    <row r="1891" spans="1:58" x14ac:dyDescent="0.35">
      <c r="A1891" s="107" t="s">
        <v>3657</v>
      </c>
      <c r="B1891" s="108" t="s">
        <v>0</v>
      </c>
      <c r="C1891" s="109">
        <v>7</v>
      </c>
      <c r="D1891" s="107" t="s">
        <v>1694</v>
      </c>
      <c r="E1891" s="109"/>
      <c r="F1891" s="94"/>
      <c r="G1891" s="94"/>
      <c r="H1891" s="94"/>
      <c r="I1891" s="94"/>
      <c r="J1891" s="94"/>
      <c r="K1891" s="94"/>
      <c r="L1891" s="94"/>
      <c r="M1891" s="94"/>
      <c r="N1891" s="94"/>
      <c r="O1891" s="94"/>
      <c r="P1891" s="94"/>
      <c r="Q1891" s="94"/>
      <c r="R1891" s="94"/>
      <c r="S1891" s="94"/>
      <c r="T1891" s="94"/>
      <c r="U1891" s="94"/>
      <c r="V1891" s="94"/>
      <c r="W1891" s="94"/>
      <c r="X1891" s="94"/>
      <c r="Y1891" s="94"/>
      <c r="Z1891" s="94"/>
      <c r="AA1891" s="94"/>
      <c r="AB1891" s="94"/>
      <c r="AC1891" s="94"/>
      <c r="AD1891" s="94"/>
      <c r="AE1891" s="94"/>
      <c r="AF1891" s="94"/>
      <c r="AG1891" s="94"/>
      <c r="AH1891" s="94"/>
      <c r="AI1891" s="94"/>
      <c r="AJ1891" s="94"/>
      <c r="AK1891" s="94"/>
      <c r="AL1891" s="94"/>
      <c r="AM1891" s="94"/>
      <c r="AN1891" s="94"/>
      <c r="AO1891" s="94"/>
      <c r="AP1891" s="94"/>
      <c r="AQ1891" s="94"/>
      <c r="AR1891" s="94"/>
      <c r="AS1891" s="94"/>
      <c r="AT1891" s="94"/>
      <c r="AU1891" s="94"/>
      <c r="AV1891" s="94"/>
      <c r="AW1891" s="94"/>
      <c r="AX1891" s="94"/>
      <c r="AY1891" s="94"/>
      <c r="AZ1891" s="94"/>
      <c r="BA1891" s="94"/>
      <c r="BB1891" s="94"/>
      <c r="BC1891" s="94"/>
      <c r="BD1891" s="94"/>
      <c r="BE1891" s="94"/>
      <c r="BF1891" s="94"/>
    </row>
    <row r="1892" spans="1:58" x14ac:dyDescent="0.35">
      <c r="A1892" s="107" t="s">
        <v>3658</v>
      </c>
      <c r="B1892" s="108" t="s">
        <v>0</v>
      </c>
      <c r="C1892" s="109">
        <v>7</v>
      </c>
      <c r="D1892" s="107" t="s">
        <v>1673</v>
      </c>
      <c r="E1892" s="109"/>
      <c r="F1892" s="94"/>
      <c r="G1892" s="94"/>
      <c r="H1892" s="94"/>
      <c r="I1892" s="94"/>
      <c r="J1892" s="94"/>
      <c r="K1892" s="94"/>
      <c r="L1892" s="94"/>
      <c r="M1892" s="94"/>
      <c r="N1892" s="94"/>
      <c r="O1892" s="94"/>
      <c r="P1892" s="94"/>
      <c r="Q1892" s="94"/>
      <c r="R1892" s="94"/>
      <c r="S1892" s="94"/>
      <c r="T1892" s="94"/>
      <c r="U1892" s="94"/>
      <c r="V1892" s="94"/>
      <c r="W1892" s="94"/>
      <c r="X1892" s="94"/>
      <c r="Y1892" s="94"/>
      <c r="Z1892" s="94"/>
      <c r="AA1892" s="94"/>
      <c r="AB1892" s="94"/>
      <c r="AC1892" s="94"/>
      <c r="AD1892" s="94"/>
      <c r="AE1892" s="94"/>
      <c r="AF1892" s="94"/>
      <c r="AG1892" s="94"/>
      <c r="AH1892" s="94"/>
      <c r="AI1892" s="94"/>
      <c r="AJ1892" s="94"/>
      <c r="AK1892" s="94"/>
      <c r="AL1892" s="94"/>
      <c r="AM1892" s="94"/>
      <c r="AN1892" s="94"/>
      <c r="AO1892" s="94"/>
      <c r="AP1892" s="94"/>
      <c r="AQ1892" s="94"/>
      <c r="AR1892" s="94"/>
      <c r="AS1892" s="94"/>
      <c r="AT1892" s="94"/>
      <c r="AU1892" s="94"/>
      <c r="AV1892" s="94"/>
      <c r="AW1892" s="94"/>
      <c r="AX1892" s="94"/>
      <c r="AY1892" s="94"/>
      <c r="AZ1892" s="94"/>
      <c r="BA1892" s="94"/>
      <c r="BB1892" s="94"/>
      <c r="BC1892" s="94"/>
      <c r="BD1892" s="94"/>
      <c r="BE1892" s="94"/>
      <c r="BF1892" s="94"/>
    </row>
    <row r="1893" spans="1:58" x14ac:dyDescent="0.35">
      <c r="A1893" s="101" t="s">
        <v>3659</v>
      </c>
      <c r="B1893" s="102" t="s">
        <v>0</v>
      </c>
      <c r="C1893" s="103">
        <v>5</v>
      </c>
      <c r="D1893" s="101" t="s">
        <v>616</v>
      </c>
      <c r="E1893" s="103" t="s">
        <v>354</v>
      </c>
      <c r="F1893" s="94"/>
      <c r="G1893" s="94"/>
      <c r="H1893" s="94"/>
      <c r="I1893" s="94"/>
      <c r="J1893" s="94"/>
      <c r="K1893" s="94"/>
      <c r="L1893" s="94"/>
      <c r="M1893" s="94"/>
      <c r="N1893" s="94"/>
      <c r="O1893" s="94"/>
      <c r="P1893" s="94"/>
      <c r="Q1893" s="94"/>
      <c r="R1893" s="94"/>
      <c r="S1893" s="94"/>
      <c r="T1893" s="94"/>
      <c r="U1893" s="94"/>
      <c r="V1893" s="94"/>
      <c r="W1893" s="94"/>
      <c r="X1893" s="94"/>
      <c r="Y1893" s="94"/>
      <c r="Z1893" s="94"/>
      <c r="AA1893" s="94"/>
      <c r="AB1893" s="94"/>
      <c r="AC1893" s="94"/>
      <c r="AD1893" s="94"/>
      <c r="AE1893" s="94"/>
      <c r="AF1893" s="94"/>
      <c r="AG1893" s="94"/>
      <c r="AH1893" s="94"/>
      <c r="AI1893" s="94"/>
      <c r="AJ1893" s="94"/>
      <c r="AK1893" s="94"/>
      <c r="AL1893" s="94"/>
      <c r="AM1893" s="94"/>
      <c r="AN1893" s="94"/>
      <c r="AO1893" s="94"/>
      <c r="AP1893" s="94"/>
      <c r="AQ1893" s="94"/>
      <c r="AR1893" s="94"/>
      <c r="AS1893" s="94"/>
      <c r="AT1893" s="94"/>
      <c r="AU1893" s="94"/>
      <c r="AV1893" s="94"/>
      <c r="AW1893" s="94"/>
      <c r="AX1893" s="94"/>
      <c r="AY1893" s="94"/>
      <c r="AZ1893" s="94"/>
      <c r="BA1893" s="94"/>
      <c r="BB1893" s="94"/>
      <c r="BC1893" s="94"/>
      <c r="BD1893" s="94"/>
      <c r="BE1893" s="94"/>
      <c r="BF1893" s="94"/>
    </row>
    <row r="1894" spans="1:58" x14ac:dyDescent="0.35">
      <c r="A1894" s="104" t="s">
        <v>3660</v>
      </c>
      <c r="B1894" s="105" t="s">
        <v>0</v>
      </c>
      <c r="C1894" s="106">
        <v>6</v>
      </c>
      <c r="D1894" s="104" t="s">
        <v>16</v>
      </c>
      <c r="E1894" s="106"/>
      <c r="F1894" s="94"/>
      <c r="G1894" s="94"/>
      <c r="H1894" s="94"/>
      <c r="I1894" s="94"/>
      <c r="J1894" s="94"/>
      <c r="K1894" s="94"/>
      <c r="L1894" s="94"/>
      <c r="M1894" s="94"/>
      <c r="N1894" s="94"/>
      <c r="O1894" s="94"/>
      <c r="P1894" s="94"/>
      <c r="Q1894" s="94"/>
      <c r="R1894" s="94"/>
      <c r="S1894" s="94"/>
      <c r="T1894" s="94"/>
      <c r="U1894" s="94"/>
      <c r="V1894" s="94"/>
      <c r="W1894" s="94"/>
      <c r="X1894" s="94"/>
      <c r="Y1894" s="94"/>
      <c r="Z1894" s="94"/>
      <c r="AA1894" s="94"/>
      <c r="AB1894" s="94"/>
      <c r="AC1894" s="94"/>
      <c r="AD1894" s="94"/>
      <c r="AE1894" s="94"/>
      <c r="AF1894" s="94"/>
      <c r="AG1894" s="94"/>
      <c r="AH1894" s="94"/>
      <c r="AI1894" s="94"/>
      <c r="AJ1894" s="94"/>
      <c r="AK1894" s="94"/>
      <c r="AL1894" s="94"/>
      <c r="AM1894" s="94"/>
      <c r="AN1894" s="94"/>
      <c r="AO1894" s="94"/>
      <c r="AP1894" s="94"/>
      <c r="AQ1894" s="94"/>
      <c r="AR1894" s="94"/>
      <c r="AS1894" s="94"/>
      <c r="AT1894" s="94"/>
      <c r="AU1894" s="94"/>
      <c r="AV1894" s="94"/>
      <c r="AW1894" s="94"/>
      <c r="AX1894" s="94"/>
      <c r="AY1894" s="94"/>
      <c r="AZ1894" s="94"/>
      <c r="BA1894" s="94"/>
      <c r="BB1894" s="94"/>
      <c r="BC1894" s="94"/>
      <c r="BD1894" s="94"/>
      <c r="BE1894" s="94"/>
      <c r="BF1894" s="94"/>
    </row>
    <row r="1895" spans="1:58" x14ac:dyDescent="0.35">
      <c r="A1895" s="107" t="s">
        <v>3661</v>
      </c>
      <c r="B1895" s="108" t="s">
        <v>0</v>
      </c>
      <c r="C1895" s="109">
        <v>7</v>
      </c>
      <c r="D1895" s="107" t="s">
        <v>1253</v>
      </c>
      <c r="E1895" s="109" t="s">
        <v>723</v>
      </c>
      <c r="F1895" s="94"/>
      <c r="G1895" s="94"/>
      <c r="H1895" s="94"/>
      <c r="I1895" s="94"/>
      <c r="J1895" s="94"/>
      <c r="K1895" s="94"/>
      <c r="L1895" s="94"/>
      <c r="M1895" s="94"/>
      <c r="N1895" s="94"/>
      <c r="O1895" s="94"/>
      <c r="P1895" s="94"/>
      <c r="Q1895" s="94"/>
      <c r="R1895" s="94"/>
      <c r="S1895" s="94"/>
      <c r="T1895" s="94"/>
      <c r="U1895" s="94"/>
      <c r="V1895" s="94"/>
      <c r="W1895" s="94"/>
      <c r="X1895" s="94"/>
      <c r="Y1895" s="94"/>
      <c r="Z1895" s="94"/>
      <c r="AA1895" s="94"/>
      <c r="AB1895" s="94"/>
      <c r="AC1895" s="94"/>
      <c r="AD1895" s="94"/>
      <c r="AE1895" s="94"/>
      <c r="AF1895" s="94"/>
      <c r="AG1895" s="94"/>
      <c r="AH1895" s="94"/>
      <c r="AI1895" s="94"/>
      <c r="AJ1895" s="94"/>
      <c r="AK1895" s="94"/>
      <c r="AL1895" s="94"/>
      <c r="AM1895" s="94"/>
      <c r="AN1895" s="94"/>
      <c r="AO1895" s="94"/>
      <c r="AP1895" s="94"/>
      <c r="AQ1895" s="94"/>
      <c r="AR1895" s="94"/>
      <c r="AS1895" s="94"/>
      <c r="AT1895" s="94"/>
      <c r="AU1895" s="94"/>
      <c r="AV1895" s="94"/>
      <c r="AW1895" s="94"/>
      <c r="AX1895" s="94"/>
      <c r="AY1895" s="94"/>
      <c r="AZ1895" s="94"/>
      <c r="BA1895" s="94"/>
      <c r="BB1895" s="94"/>
      <c r="BC1895" s="94"/>
      <c r="BD1895" s="94"/>
      <c r="BE1895" s="94"/>
      <c r="BF1895" s="94"/>
    </row>
    <row r="1896" spans="1:58" x14ac:dyDescent="0.35">
      <c r="A1896" s="104" t="s">
        <v>3662</v>
      </c>
      <c r="B1896" s="105" t="s">
        <v>0</v>
      </c>
      <c r="C1896" s="106">
        <v>6</v>
      </c>
      <c r="D1896" s="104" t="s">
        <v>13</v>
      </c>
      <c r="E1896" s="106"/>
      <c r="F1896" s="94"/>
      <c r="G1896" s="94"/>
      <c r="H1896" s="94"/>
      <c r="I1896" s="94"/>
      <c r="J1896" s="94"/>
      <c r="K1896" s="94"/>
      <c r="L1896" s="94"/>
      <c r="M1896" s="94"/>
      <c r="N1896" s="94"/>
      <c r="O1896" s="94"/>
      <c r="P1896" s="94"/>
      <c r="Q1896" s="94"/>
      <c r="R1896" s="94"/>
      <c r="S1896" s="94"/>
      <c r="T1896" s="94"/>
      <c r="U1896" s="94"/>
      <c r="V1896" s="94"/>
      <c r="W1896" s="94"/>
      <c r="X1896" s="94"/>
      <c r="Y1896" s="94"/>
      <c r="Z1896" s="94"/>
      <c r="AA1896" s="94"/>
      <c r="AB1896" s="94"/>
      <c r="AC1896" s="94"/>
      <c r="AD1896" s="94"/>
      <c r="AE1896" s="94"/>
      <c r="AF1896" s="94"/>
      <c r="AG1896" s="94"/>
      <c r="AH1896" s="94"/>
      <c r="AI1896" s="94"/>
      <c r="AJ1896" s="94"/>
      <c r="AK1896" s="94"/>
      <c r="AL1896" s="94"/>
      <c r="AM1896" s="94"/>
      <c r="AN1896" s="94"/>
      <c r="AO1896" s="94"/>
      <c r="AP1896" s="94"/>
      <c r="AQ1896" s="94"/>
      <c r="AR1896" s="94"/>
      <c r="AS1896" s="94"/>
      <c r="AT1896" s="94"/>
      <c r="AU1896" s="94"/>
      <c r="AV1896" s="94"/>
      <c r="AW1896" s="94"/>
      <c r="AX1896" s="94"/>
      <c r="AY1896" s="94"/>
      <c r="AZ1896" s="94"/>
      <c r="BA1896" s="94"/>
      <c r="BB1896" s="94"/>
      <c r="BC1896" s="94"/>
      <c r="BD1896" s="94"/>
      <c r="BE1896" s="94"/>
      <c r="BF1896" s="94"/>
    </row>
    <row r="1897" spans="1:58" x14ac:dyDescent="0.35">
      <c r="A1897" s="107" t="s">
        <v>3663</v>
      </c>
      <c r="B1897" s="108" t="s">
        <v>0</v>
      </c>
      <c r="C1897" s="109">
        <v>7</v>
      </c>
      <c r="D1897" s="107" t="s">
        <v>1621</v>
      </c>
      <c r="E1897" s="109" t="s">
        <v>724</v>
      </c>
      <c r="F1897" s="94"/>
      <c r="G1897" s="94"/>
      <c r="H1897" s="94"/>
      <c r="I1897" s="94"/>
      <c r="J1897" s="94"/>
      <c r="K1897" s="94"/>
      <c r="L1897" s="94"/>
      <c r="M1897" s="94"/>
      <c r="N1897" s="94"/>
      <c r="O1897" s="94"/>
      <c r="P1897" s="94"/>
      <c r="Q1897" s="94"/>
      <c r="R1897" s="94"/>
      <c r="S1897" s="94"/>
      <c r="T1897" s="94"/>
      <c r="U1897" s="94"/>
      <c r="V1897" s="94"/>
      <c r="W1897" s="94"/>
      <c r="X1897" s="94"/>
      <c r="Y1897" s="94"/>
      <c r="Z1897" s="94"/>
      <c r="AA1897" s="94"/>
      <c r="AB1897" s="94"/>
      <c r="AC1897" s="94"/>
      <c r="AD1897" s="94"/>
      <c r="AE1897" s="94"/>
      <c r="AF1897" s="94"/>
      <c r="AG1897" s="94"/>
      <c r="AH1897" s="94"/>
      <c r="AI1897" s="94"/>
      <c r="AJ1897" s="94"/>
      <c r="AK1897" s="94"/>
      <c r="AL1897" s="94"/>
      <c r="AM1897" s="94"/>
      <c r="AN1897" s="94"/>
      <c r="AO1897" s="94"/>
      <c r="AP1897" s="94"/>
      <c r="AQ1897" s="94"/>
      <c r="AR1897" s="94"/>
      <c r="AS1897" s="94"/>
      <c r="AT1897" s="94"/>
      <c r="AU1897" s="94"/>
      <c r="AV1897" s="94"/>
      <c r="AW1897" s="94"/>
      <c r="AX1897" s="94"/>
      <c r="AY1897" s="94"/>
      <c r="AZ1897" s="94"/>
      <c r="BA1897" s="94"/>
      <c r="BB1897" s="94"/>
      <c r="BC1897" s="94"/>
      <c r="BD1897" s="94"/>
      <c r="BE1897" s="94"/>
      <c r="BF1897" s="94"/>
    </row>
    <row r="1898" spans="1:58" x14ac:dyDescent="0.35">
      <c r="A1898" s="107" t="s">
        <v>3664</v>
      </c>
      <c r="B1898" s="108" t="s">
        <v>0</v>
      </c>
      <c r="C1898" s="109">
        <v>7</v>
      </c>
      <c r="D1898" s="107" t="s">
        <v>1254</v>
      </c>
      <c r="E1898" s="109" t="s">
        <v>725</v>
      </c>
      <c r="F1898" s="94"/>
      <c r="G1898" s="94"/>
      <c r="H1898" s="94"/>
      <c r="I1898" s="94"/>
      <c r="J1898" s="94"/>
      <c r="K1898" s="94"/>
      <c r="L1898" s="94"/>
      <c r="M1898" s="94"/>
      <c r="N1898" s="94"/>
      <c r="O1898" s="94"/>
      <c r="P1898" s="94"/>
      <c r="Q1898" s="94"/>
      <c r="R1898" s="94"/>
      <c r="S1898" s="94"/>
      <c r="T1898" s="94"/>
      <c r="U1898" s="94"/>
      <c r="V1898" s="94"/>
      <c r="W1898" s="94"/>
      <c r="X1898" s="94"/>
      <c r="Y1898" s="94"/>
      <c r="Z1898" s="94"/>
      <c r="AA1898" s="94"/>
      <c r="AB1898" s="94"/>
      <c r="AC1898" s="94"/>
      <c r="AD1898" s="94"/>
      <c r="AE1898" s="94"/>
      <c r="AF1898" s="94"/>
      <c r="AG1898" s="94"/>
      <c r="AH1898" s="94"/>
      <c r="AI1898" s="94"/>
      <c r="AJ1898" s="94"/>
      <c r="AK1898" s="94"/>
      <c r="AL1898" s="94"/>
      <c r="AM1898" s="94"/>
      <c r="AN1898" s="94"/>
      <c r="AO1898" s="94"/>
      <c r="AP1898" s="94"/>
      <c r="AQ1898" s="94"/>
      <c r="AR1898" s="94"/>
      <c r="AS1898" s="94"/>
      <c r="AT1898" s="94"/>
      <c r="AU1898" s="94"/>
      <c r="AV1898" s="94"/>
      <c r="AW1898" s="94"/>
      <c r="AX1898" s="94"/>
      <c r="AY1898" s="94"/>
      <c r="AZ1898" s="94"/>
      <c r="BA1898" s="94"/>
      <c r="BB1898" s="94"/>
      <c r="BC1898" s="94"/>
      <c r="BD1898" s="94"/>
      <c r="BE1898" s="94"/>
      <c r="BF1898" s="94"/>
    </row>
    <row r="1899" spans="1:58" x14ac:dyDescent="0.35">
      <c r="A1899" s="104" t="s">
        <v>3773</v>
      </c>
      <c r="B1899" s="105" t="s">
        <v>0</v>
      </c>
      <c r="C1899" s="106">
        <v>6</v>
      </c>
      <c r="D1899" s="104" t="s">
        <v>1665</v>
      </c>
      <c r="E1899" s="106"/>
      <c r="F1899" s="94"/>
      <c r="G1899" s="94"/>
      <c r="H1899" s="94"/>
      <c r="I1899" s="94"/>
      <c r="J1899" s="94"/>
      <c r="K1899" s="94"/>
      <c r="L1899" s="94"/>
      <c r="M1899" s="94"/>
      <c r="N1899" s="94"/>
      <c r="O1899" s="94"/>
      <c r="P1899" s="94"/>
      <c r="Q1899" s="94"/>
      <c r="R1899" s="94"/>
      <c r="S1899" s="94"/>
      <c r="T1899" s="94"/>
      <c r="U1899" s="94"/>
      <c r="V1899" s="94"/>
      <c r="W1899" s="94"/>
      <c r="X1899" s="94"/>
      <c r="Y1899" s="94"/>
      <c r="Z1899" s="94"/>
      <c r="AA1899" s="94"/>
      <c r="AB1899" s="94"/>
      <c r="AC1899" s="94"/>
      <c r="AD1899" s="94"/>
      <c r="AE1899" s="94"/>
      <c r="AF1899" s="94"/>
      <c r="AG1899" s="94"/>
      <c r="AH1899" s="94"/>
      <c r="AI1899" s="94"/>
      <c r="AJ1899" s="94"/>
      <c r="AK1899" s="94"/>
      <c r="AL1899" s="94"/>
      <c r="AM1899" s="94"/>
      <c r="AN1899" s="94"/>
      <c r="AO1899" s="94"/>
      <c r="AP1899" s="94"/>
      <c r="AQ1899" s="94"/>
      <c r="AR1899" s="94"/>
      <c r="AS1899" s="94"/>
      <c r="AT1899" s="94"/>
      <c r="AU1899" s="94"/>
      <c r="AV1899" s="94"/>
      <c r="AW1899" s="94"/>
      <c r="AX1899" s="94"/>
      <c r="AY1899" s="94"/>
      <c r="AZ1899" s="94"/>
      <c r="BA1899" s="94"/>
      <c r="BB1899" s="94"/>
      <c r="BC1899" s="94"/>
      <c r="BD1899" s="94"/>
      <c r="BE1899" s="94"/>
      <c r="BF1899" s="94"/>
    </row>
    <row r="1900" spans="1:58" x14ac:dyDescent="0.35">
      <c r="A1900" s="107" t="s">
        <v>3665</v>
      </c>
      <c r="B1900" s="108" t="s">
        <v>0</v>
      </c>
      <c r="C1900" s="109">
        <v>7</v>
      </c>
      <c r="D1900" s="107" t="s">
        <v>1788</v>
      </c>
      <c r="E1900" s="109"/>
      <c r="F1900" s="94"/>
      <c r="G1900" s="94"/>
      <c r="H1900" s="94"/>
      <c r="I1900" s="94"/>
      <c r="J1900" s="94"/>
      <c r="K1900" s="94"/>
      <c r="L1900" s="94"/>
      <c r="M1900" s="94"/>
      <c r="N1900" s="94"/>
      <c r="O1900" s="94"/>
      <c r="P1900" s="94"/>
      <c r="Q1900" s="94"/>
      <c r="R1900" s="94"/>
      <c r="S1900" s="94"/>
      <c r="T1900" s="94"/>
      <c r="U1900" s="94"/>
      <c r="V1900" s="94"/>
      <c r="W1900" s="94"/>
      <c r="X1900" s="94"/>
      <c r="Y1900" s="94"/>
      <c r="Z1900" s="94"/>
      <c r="AA1900" s="94"/>
      <c r="AB1900" s="94"/>
      <c r="AC1900" s="94"/>
      <c r="AD1900" s="94"/>
      <c r="AE1900" s="94"/>
      <c r="AF1900" s="94"/>
      <c r="AG1900" s="94"/>
      <c r="AH1900" s="94"/>
      <c r="AI1900" s="94"/>
      <c r="AJ1900" s="94"/>
      <c r="AK1900" s="94"/>
      <c r="AL1900" s="94"/>
      <c r="AM1900" s="94"/>
      <c r="AN1900" s="94"/>
      <c r="AO1900" s="94"/>
      <c r="AP1900" s="94"/>
      <c r="AQ1900" s="94"/>
      <c r="AR1900" s="94"/>
      <c r="AS1900" s="94"/>
      <c r="AT1900" s="94"/>
      <c r="AU1900" s="94"/>
      <c r="AV1900" s="94"/>
      <c r="AW1900" s="94"/>
      <c r="AX1900" s="94"/>
      <c r="AY1900" s="94"/>
      <c r="AZ1900" s="94"/>
      <c r="BA1900" s="94"/>
      <c r="BB1900" s="94"/>
      <c r="BC1900" s="94"/>
      <c r="BD1900" s="94"/>
      <c r="BE1900" s="94"/>
      <c r="BF1900" s="94"/>
    </row>
    <row r="1901" spans="1:58" x14ac:dyDescent="0.35">
      <c r="A1901" s="107" t="s">
        <v>3666</v>
      </c>
      <c r="B1901" s="108" t="s">
        <v>0</v>
      </c>
      <c r="C1901" s="109">
        <v>7</v>
      </c>
      <c r="D1901" s="107" t="s">
        <v>1789</v>
      </c>
      <c r="E1901" s="109"/>
      <c r="F1901" s="94"/>
      <c r="G1901" s="94"/>
      <c r="H1901" s="94"/>
      <c r="I1901" s="94"/>
      <c r="J1901" s="94"/>
      <c r="K1901" s="94"/>
      <c r="L1901" s="94"/>
      <c r="M1901" s="94"/>
      <c r="N1901" s="94"/>
      <c r="O1901" s="94"/>
      <c r="P1901" s="94"/>
      <c r="Q1901" s="94"/>
      <c r="R1901" s="94"/>
      <c r="S1901" s="94"/>
      <c r="T1901" s="94"/>
      <c r="U1901" s="94"/>
      <c r="V1901" s="94"/>
      <c r="W1901" s="94"/>
      <c r="X1901" s="94"/>
      <c r="Y1901" s="94"/>
      <c r="Z1901" s="94"/>
      <c r="AA1901" s="94"/>
      <c r="AB1901" s="94"/>
      <c r="AC1901" s="94"/>
      <c r="AD1901" s="94"/>
      <c r="AE1901" s="94"/>
      <c r="AF1901" s="94"/>
      <c r="AG1901" s="94"/>
      <c r="AH1901" s="94"/>
      <c r="AI1901" s="94"/>
      <c r="AJ1901" s="94"/>
      <c r="AK1901" s="94"/>
      <c r="AL1901" s="94"/>
      <c r="AM1901" s="94"/>
      <c r="AN1901" s="94"/>
      <c r="AO1901" s="94"/>
      <c r="AP1901" s="94"/>
      <c r="AQ1901" s="94"/>
      <c r="AR1901" s="94"/>
      <c r="AS1901" s="94"/>
      <c r="AT1901" s="94"/>
      <c r="AU1901" s="94"/>
      <c r="AV1901" s="94"/>
      <c r="AW1901" s="94"/>
      <c r="AX1901" s="94"/>
      <c r="AY1901" s="94"/>
      <c r="AZ1901" s="94"/>
      <c r="BA1901" s="94"/>
      <c r="BB1901" s="94"/>
      <c r="BC1901" s="94"/>
      <c r="BD1901" s="94"/>
      <c r="BE1901" s="94"/>
      <c r="BF1901" s="94"/>
    </row>
    <row r="1902" spans="1:58" x14ac:dyDescent="0.35">
      <c r="A1902" s="107" t="s">
        <v>3667</v>
      </c>
      <c r="B1902" s="108" t="s">
        <v>0</v>
      </c>
      <c r="C1902" s="109">
        <v>7</v>
      </c>
      <c r="D1902" s="107" t="s">
        <v>1790</v>
      </c>
      <c r="E1902" s="109"/>
      <c r="F1902" s="94"/>
      <c r="G1902" s="94"/>
      <c r="H1902" s="94"/>
      <c r="I1902" s="94"/>
      <c r="J1902" s="94"/>
      <c r="K1902" s="94"/>
      <c r="L1902" s="94"/>
      <c r="M1902" s="94"/>
      <c r="N1902" s="94"/>
      <c r="O1902" s="94"/>
      <c r="P1902" s="94"/>
      <c r="Q1902" s="94"/>
      <c r="R1902" s="94"/>
      <c r="S1902" s="94"/>
      <c r="T1902" s="94"/>
      <c r="U1902" s="94"/>
      <c r="V1902" s="94"/>
      <c r="W1902" s="94"/>
      <c r="X1902" s="94"/>
      <c r="Y1902" s="94"/>
      <c r="Z1902" s="94"/>
      <c r="AA1902" s="94"/>
      <c r="AB1902" s="94"/>
      <c r="AC1902" s="94"/>
      <c r="AD1902" s="94"/>
      <c r="AE1902" s="94"/>
      <c r="AF1902" s="94"/>
      <c r="AG1902" s="94"/>
      <c r="AH1902" s="94"/>
      <c r="AI1902" s="94"/>
      <c r="AJ1902" s="94"/>
      <c r="AK1902" s="94"/>
      <c r="AL1902" s="94"/>
      <c r="AM1902" s="94"/>
      <c r="AN1902" s="94"/>
      <c r="AO1902" s="94"/>
      <c r="AP1902" s="94"/>
      <c r="AQ1902" s="94"/>
      <c r="AR1902" s="94"/>
      <c r="AS1902" s="94"/>
      <c r="AT1902" s="94"/>
      <c r="AU1902" s="94"/>
      <c r="AV1902" s="94"/>
      <c r="AW1902" s="94"/>
      <c r="AX1902" s="94"/>
      <c r="AY1902" s="94"/>
      <c r="AZ1902" s="94"/>
      <c r="BA1902" s="94"/>
      <c r="BB1902" s="94"/>
      <c r="BC1902" s="94"/>
      <c r="BD1902" s="94"/>
      <c r="BE1902" s="94"/>
      <c r="BF1902" s="94"/>
    </row>
    <row r="1903" spans="1:58" x14ac:dyDescent="0.35">
      <c r="A1903" s="107" t="s">
        <v>3668</v>
      </c>
      <c r="B1903" s="108" t="s">
        <v>0</v>
      </c>
      <c r="C1903" s="109">
        <v>7</v>
      </c>
      <c r="D1903" s="107" t="s">
        <v>1694</v>
      </c>
      <c r="E1903" s="109"/>
      <c r="F1903" s="94"/>
      <c r="G1903" s="94"/>
      <c r="H1903" s="94"/>
      <c r="I1903" s="94"/>
      <c r="J1903" s="94"/>
      <c r="K1903" s="94"/>
      <c r="L1903" s="94"/>
      <c r="M1903" s="94"/>
      <c r="N1903" s="94"/>
      <c r="O1903" s="94"/>
      <c r="P1903" s="94"/>
      <c r="Q1903" s="94"/>
      <c r="R1903" s="94"/>
      <c r="S1903" s="94"/>
      <c r="T1903" s="94"/>
      <c r="U1903" s="94"/>
      <c r="V1903" s="94"/>
      <c r="W1903" s="94"/>
      <c r="X1903" s="94"/>
      <c r="Y1903" s="94"/>
      <c r="Z1903" s="94"/>
      <c r="AA1903" s="94"/>
      <c r="AB1903" s="94"/>
      <c r="AC1903" s="94"/>
      <c r="AD1903" s="94"/>
      <c r="AE1903" s="94"/>
      <c r="AF1903" s="94"/>
      <c r="AG1903" s="94"/>
      <c r="AH1903" s="94"/>
      <c r="AI1903" s="94"/>
      <c r="AJ1903" s="94"/>
      <c r="AK1903" s="94"/>
      <c r="AL1903" s="94"/>
      <c r="AM1903" s="94"/>
      <c r="AN1903" s="94"/>
      <c r="AO1903" s="94"/>
      <c r="AP1903" s="94"/>
      <c r="AQ1903" s="94"/>
      <c r="AR1903" s="94"/>
      <c r="AS1903" s="94"/>
      <c r="AT1903" s="94"/>
      <c r="AU1903" s="94"/>
      <c r="AV1903" s="94"/>
      <c r="AW1903" s="94"/>
      <c r="AX1903" s="94"/>
      <c r="AY1903" s="94"/>
      <c r="AZ1903" s="94"/>
      <c r="BA1903" s="94"/>
      <c r="BB1903" s="94"/>
      <c r="BC1903" s="94"/>
      <c r="BD1903" s="94"/>
      <c r="BE1903" s="94"/>
      <c r="BF1903" s="94"/>
    </row>
    <row r="1904" spans="1:58" x14ac:dyDescent="0.35">
      <c r="A1904" s="107" t="s">
        <v>3669</v>
      </c>
      <c r="B1904" s="108" t="s">
        <v>0</v>
      </c>
      <c r="C1904" s="109">
        <v>7</v>
      </c>
      <c r="D1904" s="107" t="s">
        <v>1673</v>
      </c>
      <c r="E1904" s="109"/>
      <c r="F1904" s="94"/>
      <c r="G1904" s="94"/>
      <c r="H1904" s="94"/>
      <c r="I1904" s="94"/>
      <c r="J1904" s="94"/>
      <c r="K1904" s="94"/>
      <c r="L1904" s="94"/>
      <c r="M1904" s="94"/>
      <c r="N1904" s="94"/>
      <c r="O1904" s="94"/>
      <c r="P1904" s="94"/>
      <c r="Q1904" s="94"/>
      <c r="R1904" s="94"/>
      <c r="S1904" s="94"/>
      <c r="T1904" s="94"/>
      <c r="U1904" s="94"/>
      <c r="V1904" s="94"/>
      <c r="W1904" s="94"/>
      <c r="X1904" s="94"/>
      <c r="Y1904" s="94"/>
      <c r="Z1904" s="94"/>
      <c r="AA1904" s="94"/>
      <c r="AB1904" s="94"/>
      <c r="AC1904" s="94"/>
      <c r="AD1904" s="94"/>
      <c r="AE1904" s="94"/>
      <c r="AF1904" s="94"/>
      <c r="AG1904" s="94"/>
      <c r="AH1904" s="94"/>
      <c r="AI1904" s="94"/>
      <c r="AJ1904" s="94"/>
      <c r="AK1904" s="94"/>
      <c r="AL1904" s="94"/>
      <c r="AM1904" s="94"/>
      <c r="AN1904" s="94"/>
      <c r="AO1904" s="94"/>
      <c r="AP1904" s="94"/>
      <c r="AQ1904" s="94"/>
      <c r="AR1904" s="94"/>
      <c r="AS1904" s="94"/>
      <c r="AT1904" s="94"/>
      <c r="AU1904" s="94"/>
      <c r="AV1904" s="94"/>
      <c r="AW1904" s="94"/>
      <c r="AX1904" s="94"/>
      <c r="AY1904" s="94"/>
      <c r="AZ1904" s="94"/>
      <c r="BA1904" s="94"/>
      <c r="BB1904" s="94"/>
      <c r="BC1904" s="94"/>
      <c r="BD1904" s="94"/>
      <c r="BE1904" s="94"/>
      <c r="BF1904" s="94"/>
    </row>
    <row r="1905" spans="1:58" x14ac:dyDescent="0.35">
      <c r="A1905" s="101" t="s">
        <v>3670</v>
      </c>
      <c r="B1905" s="102" t="s">
        <v>0</v>
      </c>
      <c r="C1905" s="103">
        <v>5</v>
      </c>
      <c r="D1905" s="101" t="s">
        <v>481</v>
      </c>
      <c r="E1905" s="103" t="s">
        <v>355</v>
      </c>
      <c r="F1905" s="94"/>
      <c r="G1905" s="94"/>
      <c r="H1905" s="94"/>
      <c r="I1905" s="94"/>
      <c r="J1905" s="94"/>
      <c r="K1905" s="94"/>
      <c r="L1905" s="94"/>
      <c r="M1905" s="94"/>
      <c r="N1905" s="94"/>
      <c r="O1905" s="94"/>
      <c r="P1905" s="94"/>
      <c r="Q1905" s="94"/>
      <c r="R1905" s="94"/>
      <c r="S1905" s="94"/>
      <c r="T1905" s="94"/>
      <c r="U1905" s="94"/>
      <c r="V1905" s="94"/>
      <c r="W1905" s="94"/>
      <c r="X1905" s="94"/>
      <c r="Y1905" s="94"/>
      <c r="Z1905" s="94"/>
      <c r="AA1905" s="94"/>
      <c r="AB1905" s="94"/>
      <c r="AC1905" s="94"/>
      <c r="AD1905" s="94"/>
      <c r="AE1905" s="94"/>
      <c r="AF1905" s="94"/>
      <c r="AG1905" s="94"/>
      <c r="AH1905" s="94"/>
      <c r="AI1905" s="94"/>
      <c r="AJ1905" s="94"/>
      <c r="AK1905" s="94"/>
      <c r="AL1905" s="94"/>
      <c r="AM1905" s="94"/>
      <c r="AN1905" s="94"/>
      <c r="AO1905" s="94"/>
      <c r="AP1905" s="94"/>
      <c r="AQ1905" s="94"/>
      <c r="AR1905" s="94"/>
      <c r="AS1905" s="94"/>
      <c r="AT1905" s="94"/>
      <c r="AU1905" s="94"/>
      <c r="AV1905" s="94"/>
      <c r="AW1905" s="94"/>
      <c r="AX1905" s="94"/>
      <c r="AY1905" s="94"/>
      <c r="AZ1905" s="94"/>
      <c r="BA1905" s="94"/>
      <c r="BB1905" s="94"/>
      <c r="BC1905" s="94"/>
      <c r="BD1905" s="94"/>
      <c r="BE1905" s="94"/>
      <c r="BF1905" s="94"/>
    </row>
    <row r="1906" spans="1:58" x14ac:dyDescent="0.35">
      <c r="A1906" s="101" t="s">
        <v>3671</v>
      </c>
      <c r="B1906" s="102" t="s">
        <v>0</v>
      </c>
      <c r="C1906" s="103">
        <v>5</v>
      </c>
      <c r="D1906" s="101" t="s">
        <v>482</v>
      </c>
      <c r="E1906" s="103" t="s">
        <v>356</v>
      </c>
      <c r="F1906" s="94"/>
      <c r="G1906" s="94"/>
      <c r="H1906" s="94"/>
      <c r="I1906" s="94"/>
      <c r="J1906" s="94"/>
      <c r="K1906" s="94"/>
      <c r="L1906" s="94"/>
      <c r="M1906" s="94"/>
      <c r="N1906" s="94"/>
      <c r="O1906" s="94"/>
      <c r="P1906" s="94"/>
      <c r="Q1906" s="94"/>
      <c r="R1906" s="94"/>
      <c r="S1906" s="94"/>
      <c r="T1906" s="94"/>
      <c r="U1906" s="94"/>
      <c r="V1906" s="94"/>
      <c r="W1906" s="94"/>
      <c r="X1906" s="94"/>
      <c r="Y1906" s="94"/>
      <c r="Z1906" s="94"/>
      <c r="AA1906" s="94"/>
      <c r="AB1906" s="94"/>
      <c r="AC1906" s="94"/>
      <c r="AD1906" s="94"/>
      <c r="AE1906" s="94"/>
      <c r="AF1906" s="94"/>
      <c r="AG1906" s="94"/>
      <c r="AH1906" s="94"/>
      <c r="AI1906" s="94"/>
      <c r="AJ1906" s="94"/>
      <c r="AK1906" s="94"/>
      <c r="AL1906" s="94"/>
      <c r="AM1906" s="94"/>
      <c r="AN1906" s="94"/>
      <c r="AO1906" s="94"/>
      <c r="AP1906" s="94"/>
      <c r="AQ1906" s="94"/>
      <c r="AR1906" s="94"/>
      <c r="AS1906" s="94"/>
      <c r="AT1906" s="94"/>
      <c r="AU1906" s="94"/>
      <c r="AV1906" s="94"/>
      <c r="AW1906" s="94"/>
      <c r="AX1906" s="94"/>
      <c r="AY1906" s="94"/>
      <c r="AZ1906" s="94"/>
      <c r="BA1906" s="94"/>
      <c r="BB1906" s="94"/>
      <c r="BC1906" s="94"/>
      <c r="BD1906" s="94"/>
      <c r="BE1906" s="94"/>
      <c r="BF1906" s="94"/>
    </row>
    <row r="1907" spans="1:58" x14ac:dyDescent="0.35">
      <c r="A1907" s="104" t="s">
        <v>3672</v>
      </c>
      <c r="B1907" s="105" t="s">
        <v>0</v>
      </c>
      <c r="C1907" s="106">
        <v>6</v>
      </c>
      <c r="D1907" s="104" t="s">
        <v>16</v>
      </c>
      <c r="E1907" s="106"/>
      <c r="F1907" s="94"/>
      <c r="G1907" s="94"/>
      <c r="H1907" s="94"/>
      <c r="I1907" s="94"/>
      <c r="J1907" s="94"/>
      <c r="K1907" s="94"/>
      <c r="L1907" s="94"/>
      <c r="M1907" s="94"/>
      <c r="N1907" s="94"/>
      <c r="O1907" s="94"/>
      <c r="P1907" s="94"/>
      <c r="Q1907" s="94"/>
      <c r="R1907" s="94"/>
      <c r="S1907" s="94"/>
      <c r="T1907" s="94"/>
      <c r="U1907" s="94"/>
      <c r="V1907" s="94"/>
      <c r="W1907" s="94"/>
      <c r="X1907" s="94"/>
      <c r="Y1907" s="94"/>
      <c r="Z1907" s="94"/>
      <c r="AA1907" s="94"/>
      <c r="AB1907" s="94"/>
      <c r="AC1907" s="94"/>
      <c r="AD1907" s="94"/>
      <c r="AE1907" s="94"/>
      <c r="AF1907" s="94"/>
      <c r="AG1907" s="94"/>
      <c r="AH1907" s="94"/>
      <c r="AI1907" s="94"/>
      <c r="AJ1907" s="94"/>
      <c r="AK1907" s="94"/>
      <c r="AL1907" s="94"/>
      <c r="AM1907" s="94"/>
      <c r="AN1907" s="94"/>
      <c r="AO1907" s="94"/>
      <c r="AP1907" s="94"/>
      <c r="AQ1907" s="94"/>
      <c r="AR1907" s="94"/>
      <c r="AS1907" s="94"/>
      <c r="AT1907" s="94"/>
      <c r="AU1907" s="94"/>
      <c r="AV1907" s="94"/>
      <c r="AW1907" s="94"/>
      <c r="AX1907" s="94"/>
      <c r="AY1907" s="94"/>
      <c r="AZ1907" s="94"/>
      <c r="BA1907" s="94"/>
      <c r="BB1907" s="94"/>
      <c r="BC1907" s="94"/>
      <c r="BD1907" s="94"/>
      <c r="BE1907" s="94"/>
      <c r="BF1907" s="94"/>
    </row>
    <row r="1908" spans="1:58" x14ac:dyDescent="0.35">
      <c r="A1908" s="107" t="s">
        <v>3673</v>
      </c>
      <c r="B1908" s="108" t="s">
        <v>0</v>
      </c>
      <c r="C1908" s="109">
        <v>7</v>
      </c>
      <c r="D1908" s="107" t="s">
        <v>1257</v>
      </c>
      <c r="E1908" s="109" t="s">
        <v>357</v>
      </c>
      <c r="F1908" s="94"/>
      <c r="G1908" s="94"/>
      <c r="H1908" s="94"/>
      <c r="I1908" s="94"/>
      <c r="J1908" s="94"/>
      <c r="K1908" s="94"/>
      <c r="L1908" s="94"/>
      <c r="M1908" s="94"/>
      <c r="N1908" s="94"/>
      <c r="O1908" s="94"/>
      <c r="P1908" s="94"/>
      <c r="Q1908" s="94"/>
      <c r="R1908" s="94"/>
      <c r="S1908" s="94"/>
      <c r="T1908" s="94"/>
      <c r="U1908" s="94"/>
      <c r="V1908" s="94"/>
      <c r="W1908" s="94"/>
      <c r="X1908" s="94"/>
      <c r="Y1908" s="94"/>
      <c r="Z1908" s="94"/>
      <c r="AA1908" s="94"/>
      <c r="AB1908" s="94"/>
      <c r="AC1908" s="94"/>
      <c r="AD1908" s="94"/>
      <c r="AE1908" s="94"/>
      <c r="AF1908" s="94"/>
      <c r="AG1908" s="94"/>
      <c r="AH1908" s="94"/>
      <c r="AI1908" s="94"/>
      <c r="AJ1908" s="94"/>
      <c r="AK1908" s="94"/>
      <c r="AL1908" s="94"/>
      <c r="AM1908" s="94"/>
      <c r="AN1908" s="94"/>
      <c r="AO1908" s="94"/>
      <c r="AP1908" s="94"/>
      <c r="AQ1908" s="94"/>
      <c r="AR1908" s="94"/>
      <c r="AS1908" s="94"/>
      <c r="AT1908" s="94"/>
      <c r="AU1908" s="94"/>
      <c r="AV1908" s="94"/>
      <c r="AW1908" s="94"/>
      <c r="AX1908" s="94"/>
      <c r="AY1908" s="94"/>
      <c r="AZ1908" s="94"/>
      <c r="BA1908" s="94"/>
      <c r="BB1908" s="94"/>
      <c r="BC1908" s="94"/>
      <c r="BD1908" s="94"/>
      <c r="BE1908" s="94"/>
      <c r="BF1908" s="94"/>
    </row>
    <row r="1909" spans="1:58" x14ac:dyDescent="0.35">
      <c r="A1909" s="104" t="s">
        <v>3674</v>
      </c>
      <c r="B1909" s="105" t="s">
        <v>0</v>
      </c>
      <c r="C1909" s="106">
        <v>6</v>
      </c>
      <c r="D1909" s="104" t="s">
        <v>123</v>
      </c>
      <c r="E1909" s="106"/>
      <c r="F1909" s="94"/>
      <c r="G1909" s="94"/>
      <c r="H1909" s="94"/>
      <c r="I1909" s="94"/>
      <c r="J1909" s="94"/>
      <c r="K1909" s="94"/>
      <c r="L1909" s="94"/>
      <c r="M1909" s="94"/>
      <c r="N1909" s="94"/>
      <c r="O1909" s="94"/>
      <c r="P1909" s="94"/>
      <c r="Q1909" s="94"/>
      <c r="R1909" s="94"/>
      <c r="S1909" s="94"/>
      <c r="T1909" s="94"/>
      <c r="U1909" s="94"/>
      <c r="V1909" s="94"/>
      <c r="W1909" s="94"/>
      <c r="X1909" s="94"/>
      <c r="Y1909" s="94"/>
      <c r="Z1909" s="94"/>
      <c r="AA1909" s="94"/>
      <c r="AB1909" s="94"/>
      <c r="AC1909" s="94"/>
      <c r="AD1909" s="94"/>
      <c r="AE1909" s="94"/>
      <c r="AF1909" s="94"/>
      <c r="AG1909" s="94"/>
      <c r="AH1909" s="94"/>
      <c r="AI1909" s="94"/>
      <c r="AJ1909" s="94"/>
      <c r="AK1909" s="94"/>
      <c r="AL1909" s="94"/>
      <c r="AM1909" s="94"/>
      <c r="AN1909" s="94"/>
      <c r="AO1909" s="94"/>
      <c r="AP1909" s="94"/>
      <c r="AQ1909" s="94"/>
      <c r="AR1909" s="94"/>
      <c r="AS1909" s="94"/>
      <c r="AT1909" s="94"/>
      <c r="AU1909" s="94"/>
      <c r="AV1909" s="94"/>
      <c r="AW1909" s="94"/>
      <c r="AX1909" s="94"/>
      <c r="AY1909" s="94"/>
      <c r="AZ1909" s="94"/>
      <c r="BA1909" s="94"/>
      <c r="BB1909" s="94"/>
      <c r="BC1909" s="94"/>
      <c r="BD1909" s="94"/>
      <c r="BE1909" s="94"/>
      <c r="BF1909" s="94"/>
    </row>
    <row r="1910" spans="1:58" x14ac:dyDescent="0.35">
      <c r="A1910" s="107" t="s">
        <v>3799</v>
      </c>
      <c r="B1910" s="108" t="s">
        <v>0</v>
      </c>
      <c r="C1910" s="109">
        <v>7</v>
      </c>
      <c r="D1910" s="107" t="s">
        <v>1654</v>
      </c>
      <c r="E1910" s="109"/>
      <c r="F1910" s="94"/>
      <c r="G1910" s="94"/>
      <c r="H1910" s="94"/>
      <c r="I1910" s="94"/>
      <c r="J1910" s="94"/>
      <c r="K1910" s="94"/>
      <c r="L1910" s="94"/>
      <c r="M1910" s="94"/>
      <c r="N1910" s="94"/>
      <c r="O1910" s="94"/>
      <c r="P1910" s="94"/>
      <c r="Q1910" s="94"/>
      <c r="R1910" s="94"/>
      <c r="S1910" s="94"/>
      <c r="T1910" s="94"/>
      <c r="U1910" s="94"/>
      <c r="V1910" s="94"/>
      <c r="W1910" s="94"/>
      <c r="X1910" s="94"/>
      <c r="Y1910" s="94"/>
      <c r="Z1910" s="94"/>
      <c r="AA1910" s="94"/>
      <c r="AB1910" s="94"/>
      <c r="AC1910" s="94"/>
      <c r="AD1910" s="94"/>
      <c r="AE1910" s="94"/>
      <c r="AF1910" s="94"/>
      <c r="AG1910" s="94"/>
      <c r="AH1910" s="94"/>
      <c r="AI1910" s="94"/>
      <c r="AJ1910" s="94"/>
      <c r="AK1910" s="94"/>
      <c r="AL1910" s="94"/>
      <c r="AM1910" s="94"/>
      <c r="AN1910" s="94"/>
      <c r="AO1910" s="94"/>
      <c r="AP1910" s="94"/>
      <c r="AQ1910" s="94"/>
      <c r="AR1910" s="94"/>
      <c r="AS1910" s="94"/>
      <c r="AT1910" s="94"/>
      <c r="AU1910" s="94"/>
      <c r="AV1910" s="94"/>
      <c r="AW1910" s="94"/>
      <c r="AX1910" s="94"/>
      <c r="AY1910" s="94"/>
      <c r="AZ1910" s="94"/>
      <c r="BA1910" s="94"/>
      <c r="BB1910" s="94"/>
      <c r="BC1910" s="94"/>
      <c r="BD1910" s="94"/>
      <c r="BE1910" s="94"/>
      <c r="BF1910" s="94"/>
    </row>
    <row r="1911" spans="1:58" x14ac:dyDescent="0.35">
      <c r="A1911" s="101" t="s">
        <v>3675</v>
      </c>
      <c r="B1911" s="102" t="s">
        <v>0</v>
      </c>
      <c r="C1911" s="103">
        <v>5</v>
      </c>
      <c r="D1911" s="101" t="s">
        <v>483</v>
      </c>
      <c r="E1911" s="103" t="s">
        <v>358</v>
      </c>
      <c r="F1911" s="94"/>
      <c r="G1911" s="94"/>
      <c r="H1911" s="94"/>
      <c r="I1911" s="94"/>
      <c r="J1911" s="94"/>
      <c r="K1911" s="94"/>
      <c r="L1911" s="94"/>
      <c r="M1911" s="94"/>
      <c r="N1911" s="94"/>
      <c r="O1911" s="94"/>
      <c r="P1911" s="94"/>
      <c r="Q1911" s="94"/>
      <c r="R1911" s="94"/>
      <c r="S1911" s="94"/>
      <c r="T1911" s="94"/>
      <c r="U1911" s="94"/>
      <c r="V1911" s="94"/>
      <c r="W1911" s="94"/>
      <c r="X1911" s="94"/>
      <c r="Y1911" s="94"/>
      <c r="Z1911" s="94"/>
      <c r="AA1911" s="94"/>
      <c r="AB1911" s="94"/>
      <c r="AC1911" s="94"/>
      <c r="AD1911" s="94"/>
      <c r="AE1911" s="94"/>
      <c r="AF1911" s="94"/>
      <c r="AG1911" s="94"/>
      <c r="AH1911" s="94"/>
      <c r="AI1911" s="94"/>
      <c r="AJ1911" s="94"/>
      <c r="AK1911" s="94"/>
      <c r="AL1911" s="94"/>
      <c r="AM1911" s="94"/>
      <c r="AN1911" s="94"/>
      <c r="AO1911" s="94"/>
      <c r="AP1911" s="94"/>
      <c r="AQ1911" s="94"/>
      <c r="AR1911" s="94"/>
      <c r="AS1911" s="94"/>
      <c r="AT1911" s="94"/>
      <c r="AU1911" s="94"/>
      <c r="AV1911" s="94"/>
      <c r="AW1911" s="94"/>
      <c r="AX1911" s="94"/>
      <c r="AY1911" s="94"/>
      <c r="AZ1911" s="94"/>
      <c r="BA1911" s="94"/>
      <c r="BB1911" s="94"/>
      <c r="BC1911" s="94"/>
      <c r="BD1911" s="94"/>
      <c r="BE1911" s="94"/>
      <c r="BF1911" s="94"/>
    </row>
    <row r="1912" spans="1:58" x14ac:dyDescent="0.35">
      <c r="A1912" s="104" t="s">
        <v>3676</v>
      </c>
      <c r="B1912" s="105" t="s">
        <v>0</v>
      </c>
      <c r="C1912" s="106">
        <v>6</v>
      </c>
      <c r="D1912" s="104" t="s">
        <v>123</v>
      </c>
      <c r="E1912" s="106"/>
      <c r="F1912" s="94"/>
      <c r="G1912" s="94"/>
      <c r="H1912" s="94"/>
      <c r="I1912" s="94"/>
      <c r="J1912" s="94"/>
      <c r="K1912" s="94"/>
      <c r="L1912" s="94"/>
      <c r="M1912" s="94"/>
      <c r="N1912" s="94"/>
      <c r="O1912" s="94"/>
      <c r="P1912" s="94"/>
      <c r="Q1912" s="94"/>
      <c r="R1912" s="94"/>
      <c r="S1912" s="94"/>
      <c r="T1912" s="94"/>
      <c r="U1912" s="94"/>
      <c r="V1912" s="94"/>
      <c r="W1912" s="94"/>
      <c r="X1912" s="94"/>
      <c r="Y1912" s="94"/>
      <c r="Z1912" s="94"/>
      <c r="AA1912" s="94"/>
      <c r="AB1912" s="94"/>
      <c r="AC1912" s="94"/>
      <c r="AD1912" s="94"/>
      <c r="AE1912" s="94"/>
      <c r="AF1912" s="94"/>
      <c r="AG1912" s="94"/>
      <c r="AH1912" s="94"/>
      <c r="AI1912" s="94"/>
      <c r="AJ1912" s="94"/>
      <c r="AK1912" s="94"/>
      <c r="AL1912" s="94"/>
      <c r="AM1912" s="94"/>
      <c r="AN1912" s="94"/>
      <c r="AO1912" s="94"/>
      <c r="AP1912" s="94"/>
      <c r="AQ1912" s="94"/>
      <c r="AR1912" s="94"/>
      <c r="AS1912" s="94"/>
      <c r="AT1912" s="94"/>
      <c r="AU1912" s="94"/>
      <c r="AV1912" s="94"/>
      <c r="AW1912" s="94"/>
      <c r="AX1912" s="94"/>
      <c r="AY1912" s="94"/>
      <c r="AZ1912" s="94"/>
      <c r="BA1912" s="94"/>
      <c r="BB1912" s="94"/>
      <c r="BC1912" s="94"/>
      <c r="BD1912" s="94"/>
      <c r="BE1912" s="94"/>
      <c r="BF1912" s="94"/>
    </row>
    <row r="1913" spans="1:58" x14ac:dyDescent="0.35">
      <c r="A1913" s="107" t="s">
        <v>3800</v>
      </c>
      <c r="B1913" s="108" t="s">
        <v>0</v>
      </c>
      <c r="C1913" s="109">
        <v>7</v>
      </c>
      <c r="D1913" s="107" t="s">
        <v>1654</v>
      </c>
      <c r="E1913" s="109"/>
      <c r="F1913" s="94"/>
      <c r="G1913" s="94"/>
      <c r="H1913" s="94"/>
      <c r="I1913" s="94"/>
      <c r="J1913" s="94"/>
      <c r="K1913" s="94"/>
      <c r="L1913" s="94"/>
      <c r="M1913" s="94"/>
      <c r="N1913" s="94"/>
      <c r="O1913" s="94"/>
      <c r="P1913" s="94"/>
      <c r="Q1913" s="94"/>
      <c r="R1913" s="94"/>
      <c r="S1913" s="94"/>
      <c r="T1913" s="94"/>
      <c r="U1913" s="94"/>
      <c r="V1913" s="94"/>
      <c r="W1913" s="94"/>
      <c r="X1913" s="94"/>
      <c r="Y1913" s="94"/>
      <c r="Z1913" s="94"/>
      <c r="AA1913" s="94"/>
      <c r="AB1913" s="94"/>
      <c r="AC1913" s="94"/>
      <c r="AD1913" s="94"/>
      <c r="AE1913" s="94"/>
      <c r="AF1913" s="94"/>
      <c r="AG1913" s="94"/>
      <c r="AH1913" s="94"/>
      <c r="AI1913" s="94"/>
      <c r="AJ1913" s="94"/>
      <c r="AK1913" s="94"/>
      <c r="AL1913" s="94"/>
      <c r="AM1913" s="94"/>
      <c r="AN1913" s="94"/>
      <c r="AO1913" s="94"/>
      <c r="AP1913" s="94"/>
      <c r="AQ1913" s="94"/>
      <c r="AR1913" s="94"/>
      <c r="AS1913" s="94"/>
      <c r="AT1913" s="94"/>
      <c r="AU1913" s="94"/>
      <c r="AV1913" s="94"/>
      <c r="AW1913" s="94"/>
      <c r="AX1913" s="94"/>
      <c r="AY1913" s="94"/>
      <c r="AZ1913" s="94"/>
      <c r="BA1913" s="94"/>
      <c r="BB1913" s="94"/>
      <c r="BC1913" s="94"/>
      <c r="BD1913" s="94"/>
      <c r="BE1913" s="94"/>
      <c r="BF1913" s="94"/>
    </row>
    <row r="1914" spans="1:58" x14ac:dyDescent="0.35">
      <c r="A1914" s="101" t="s">
        <v>3677</v>
      </c>
      <c r="B1914" s="102" t="s">
        <v>0</v>
      </c>
      <c r="C1914" s="103">
        <v>5</v>
      </c>
      <c r="D1914" s="101" t="s">
        <v>484</v>
      </c>
      <c r="E1914" s="103" t="s">
        <v>359</v>
      </c>
      <c r="F1914" s="94"/>
      <c r="G1914" s="94"/>
      <c r="H1914" s="94"/>
      <c r="I1914" s="94"/>
      <c r="J1914" s="94"/>
      <c r="K1914" s="94"/>
      <c r="L1914" s="94"/>
      <c r="M1914" s="94"/>
      <c r="N1914" s="94"/>
      <c r="O1914" s="94"/>
      <c r="P1914" s="94"/>
      <c r="Q1914" s="94"/>
      <c r="R1914" s="94"/>
      <c r="S1914" s="94"/>
      <c r="T1914" s="94"/>
      <c r="U1914" s="94"/>
      <c r="V1914" s="94"/>
      <c r="W1914" s="94"/>
      <c r="X1914" s="94"/>
      <c r="Y1914" s="94"/>
      <c r="Z1914" s="94"/>
      <c r="AA1914" s="94"/>
      <c r="AB1914" s="94"/>
      <c r="AC1914" s="94"/>
      <c r="AD1914" s="94"/>
      <c r="AE1914" s="94"/>
      <c r="AF1914" s="94"/>
      <c r="AG1914" s="94"/>
      <c r="AH1914" s="94"/>
      <c r="AI1914" s="94"/>
      <c r="AJ1914" s="94"/>
      <c r="AK1914" s="94"/>
      <c r="AL1914" s="94"/>
      <c r="AM1914" s="94"/>
      <c r="AN1914" s="94"/>
      <c r="AO1914" s="94"/>
      <c r="AP1914" s="94"/>
      <c r="AQ1914" s="94"/>
      <c r="AR1914" s="94"/>
      <c r="AS1914" s="94"/>
      <c r="AT1914" s="94"/>
      <c r="AU1914" s="94"/>
      <c r="AV1914" s="94"/>
      <c r="AW1914" s="94"/>
      <c r="AX1914" s="94"/>
      <c r="AY1914" s="94"/>
      <c r="AZ1914" s="94"/>
      <c r="BA1914" s="94"/>
      <c r="BB1914" s="94"/>
      <c r="BC1914" s="94"/>
      <c r="BD1914" s="94"/>
      <c r="BE1914" s="94"/>
      <c r="BF1914" s="94"/>
    </row>
    <row r="1915" spans="1:58" x14ac:dyDescent="0.35">
      <c r="A1915" s="101" t="s">
        <v>3678</v>
      </c>
      <c r="B1915" s="102" t="s">
        <v>0</v>
      </c>
      <c r="C1915" s="103">
        <v>5</v>
      </c>
      <c r="D1915" s="101" t="s">
        <v>360</v>
      </c>
      <c r="E1915" s="103" t="s">
        <v>361</v>
      </c>
      <c r="F1915" s="94"/>
      <c r="G1915" s="94"/>
      <c r="H1915" s="94"/>
      <c r="I1915" s="94"/>
      <c r="J1915" s="94"/>
      <c r="K1915" s="94"/>
      <c r="L1915" s="94"/>
      <c r="M1915" s="94"/>
      <c r="N1915" s="94"/>
      <c r="O1915" s="94"/>
      <c r="P1915" s="94"/>
      <c r="Q1915" s="94"/>
      <c r="R1915" s="94"/>
      <c r="S1915" s="94"/>
      <c r="T1915" s="94"/>
      <c r="U1915" s="94"/>
      <c r="V1915" s="94"/>
      <c r="W1915" s="94"/>
      <c r="X1915" s="94"/>
      <c r="Y1915" s="94"/>
      <c r="Z1915" s="94"/>
      <c r="AA1915" s="94"/>
      <c r="AB1915" s="94"/>
      <c r="AC1915" s="94"/>
      <c r="AD1915" s="94"/>
      <c r="AE1915" s="94"/>
      <c r="AF1915" s="94"/>
      <c r="AG1915" s="94"/>
      <c r="AH1915" s="94"/>
      <c r="AI1915" s="94"/>
      <c r="AJ1915" s="94"/>
      <c r="AK1915" s="94"/>
      <c r="AL1915" s="94"/>
      <c r="AM1915" s="94"/>
      <c r="AN1915" s="94"/>
      <c r="AO1915" s="94"/>
      <c r="AP1915" s="94"/>
      <c r="AQ1915" s="94"/>
      <c r="AR1915" s="94"/>
      <c r="AS1915" s="94"/>
      <c r="AT1915" s="94"/>
      <c r="AU1915" s="94"/>
      <c r="AV1915" s="94"/>
      <c r="AW1915" s="94"/>
      <c r="AX1915" s="94"/>
      <c r="AY1915" s="94"/>
      <c r="AZ1915" s="94"/>
      <c r="BA1915" s="94"/>
      <c r="BB1915" s="94"/>
      <c r="BC1915" s="94"/>
      <c r="BD1915" s="94"/>
      <c r="BE1915" s="94"/>
      <c r="BF1915" s="94"/>
    </row>
    <row r="1916" spans="1:58" x14ac:dyDescent="0.35">
      <c r="A1916" s="101" t="s">
        <v>3679</v>
      </c>
      <c r="B1916" s="102" t="s">
        <v>0</v>
      </c>
      <c r="C1916" s="103">
        <v>5</v>
      </c>
      <c r="D1916" s="101" t="s">
        <v>362</v>
      </c>
      <c r="E1916" s="103" t="s">
        <v>363</v>
      </c>
      <c r="F1916" s="94"/>
      <c r="G1916" s="94"/>
      <c r="H1916" s="94"/>
      <c r="I1916" s="94"/>
      <c r="J1916" s="94"/>
      <c r="K1916" s="94"/>
      <c r="L1916" s="94"/>
      <c r="M1916" s="94"/>
      <c r="N1916" s="94"/>
      <c r="O1916" s="94"/>
      <c r="P1916" s="94"/>
      <c r="Q1916" s="94"/>
      <c r="R1916" s="94"/>
      <c r="S1916" s="94"/>
      <c r="T1916" s="94"/>
      <c r="U1916" s="94"/>
      <c r="V1916" s="94"/>
      <c r="W1916" s="94"/>
      <c r="X1916" s="94"/>
      <c r="Y1916" s="94"/>
      <c r="Z1916" s="94"/>
      <c r="AA1916" s="94"/>
      <c r="AB1916" s="94"/>
      <c r="AC1916" s="94"/>
      <c r="AD1916" s="94"/>
      <c r="AE1916" s="94"/>
      <c r="AF1916" s="94"/>
      <c r="AG1916" s="94"/>
      <c r="AH1916" s="94"/>
      <c r="AI1916" s="94"/>
      <c r="AJ1916" s="94"/>
      <c r="AK1916" s="94"/>
      <c r="AL1916" s="94"/>
      <c r="AM1916" s="94"/>
      <c r="AN1916" s="94"/>
      <c r="AO1916" s="94"/>
      <c r="AP1916" s="94"/>
      <c r="AQ1916" s="94"/>
      <c r="AR1916" s="94"/>
      <c r="AS1916" s="94"/>
      <c r="AT1916" s="94"/>
      <c r="AU1916" s="94"/>
      <c r="AV1916" s="94"/>
      <c r="AW1916" s="94"/>
      <c r="AX1916" s="94"/>
      <c r="AY1916" s="94"/>
      <c r="AZ1916" s="94"/>
      <c r="BA1916" s="94"/>
      <c r="BB1916" s="94"/>
      <c r="BC1916" s="94"/>
      <c r="BD1916" s="94"/>
      <c r="BE1916" s="94"/>
      <c r="BF1916" s="94"/>
    </row>
    <row r="1917" spans="1:58" x14ac:dyDescent="0.35">
      <c r="A1917" s="104" t="s">
        <v>3680</v>
      </c>
      <c r="B1917" s="105" t="s">
        <v>0</v>
      </c>
      <c r="C1917" s="106">
        <v>6</v>
      </c>
      <c r="D1917" s="104" t="s">
        <v>16</v>
      </c>
      <c r="E1917" s="106"/>
      <c r="F1917" s="94"/>
      <c r="G1917" s="94"/>
      <c r="H1917" s="94"/>
      <c r="I1917" s="94"/>
      <c r="J1917" s="94"/>
      <c r="K1917" s="94"/>
      <c r="L1917" s="94"/>
      <c r="M1917" s="94"/>
      <c r="N1917" s="94"/>
      <c r="O1917" s="94"/>
      <c r="P1917" s="94"/>
      <c r="Q1917" s="94"/>
      <c r="R1917" s="94"/>
      <c r="S1917" s="94"/>
      <c r="T1917" s="94"/>
      <c r="U1917" s="94"/>
      <c r="V1917" s="94"/>
      <c r="W1917" s="94"/>
      <c r="X1917" s="94"/>
      <c r="Y1917" s="94"/>
      <c r="Z1917" s="94"/>
      <c r="AA1917" s="94"/>
      <c r="AB1917" s="94"/>
      <c r="AC1917" s="94"/>
      <c r="AD1917" s="94"/>
      <c r="AE1917" s="94"/>
      <c r="AF1917" s="94"/>
      <c r="AG1917" s="94"/>
      <c r="AH1917" s="94"/>
      <c r="AI1917" s="94"/>
      <c r="AJ1917" s="94"/>
      <c r="AK1917" s="94"/>
      <c r="AL1917" s="94"/>
      <c r="AM1917" s="94"/>
      <c r="AN1917" s="94"/>
      <c r="AO1917" s="94"/>
      <c r="AP1917" s="94"/>
      <c r="AQ1917" s="94"/>
      <c r="AR1917" s="94"/>
      <c r="AS1917" s="94"/>
      <c r="AT1917" s="94"/>
      <c r="AU1917" s="94"/>
      <c r="AV1917" s="94"/>
      <c r="AW1917" s="94"/>
      <c r="AX1917" s="94"/>
      <c r="AY1917" s="94"/>
      <c r="AZ1917" s="94"/>
      <c r="BA1917" s="94"/>
      <c r="BB1917" s="94"/>
      <c r="BC1917" s="94"/>
      <c r="BD1917" s="94"/>
      <c r="BE1917" s="94"/>
      <c r="BF1917" s="94"/>
    </row>
    <row r="1918" spans="1:58" x14ac:dyDescent="0.35">
      <c r="A1918" s="107" t="s">
        <v>3681</v>
      </c>
      <c r="B1918" s="108" t="s">
        <v>0</v>
      </c>
      <c r="C1918" s="109">
        <v>7</v>
      </c>
      <c r="D1918" s="107" t="s">
        <v>1258</v>
      </c>
      <c r="E1918" s="109" t="s">
        <v>364</v>
      </c>
      <c r="F1918" s="94"/>
      <c r="G1918" s="94"/>
      <c r="H1918" s="94"/>
      <c r="I1918" s="94"/>
      <c r="J1918" s="94"/>
      <c r="K1918" s="94"/>
      <c r="L1918" s="94"/>
      <c r="M1918" s="94"/>
      <c r="N1918" s="94"/>
      <c r="O1918" s="94"/>
      <c r="P1918" s="94"/>
      <c r="Q1918" s="94"/>
      <c r="R1918" s="94"/>
      <c r="S1918" s="94"/>
      <c r="T1918" s="94"/>
      <c r="U1918" s="94"/>
      <c r="V1918" s="94"/>
      <c r="W1918" s="94"/>
      <c r="X1918" s="94"/>
      <c r="Y1918" s="94"/>
      <c r="Z1918" s="94"/>
      <c r="AA1918" s="94"/>
      <c r="AB1918" s="94"/>
      <c r="AC1918" s="94"/>
      <c r="AD1918" s="94"/>
      <c r="AE1918" s="94"/>
      <c r="AF1918" s="94"/>
      <c r="AG1918" s="94"/>
      <c r="AH1918" s="94"/>
      <c r="AI1918" s="94"/>
      <c r="AJ1918" s="94"/>
      <c r="AK1918" s="94"/>
      <c r="AL1918" s="94"/>
      <c r="AM1918" s="94"/>
      <c r="AN1918" s="94"/>
      <c r="AO1918" s="94"/>
      <c r="AP1918" s="94"/>
      <c r="AQ1918" s="94"/>
      <c r="AR1918" s="94"/>
      <c r="AS1918" s="94"/>
      <c r="AT1918" s="94"/>
      <c r="AU1918" s="94"/>
      <c r="AV1918" s="94"/>
      <c r="AW1918" s="94"/>
      <c r="AX1918" s="94"/>
      <c r="AY1918" s="94"/>
      <c r="AZ1918" s="94"/>
      <c r="BA1918" s="94"/>
      <c r="BB1918" s="94"/>
      <c r="BC1918" s="94"/>
      <c r="BD1918" s="94"/>
      <c r="BE1918" s="94"/>
      <c r="BF1918" s="94"/>
    </row>
    <row r="1919" spans="1:58" x14ac:dyDescent="0.35">
      <c r="A1919" s="104" t="s">
        <v>3682</v>
      </c>
      <c r="B1919" s="105" t="s">
        <v>0</v>
      </c>
      <c r="C1919" s="106">
        <v>6</v>
      </c>
      <c r="D1919" s="104" t="s">
        <v>123</v>
      </c>
      <c r="E1919" s="106"/>
      <c r="F1919" s="94"/>
      <c r="G1919" s="94"/>
      <c r="H1919" s="94"/>
      <c r="I1919" s="94"/>
      <c r="J1919" s="94"/>
      <c r="K1919" s="94"/>
      <c r="L1919" s="94"/>
      <c r="M1919" s="94"/>
      <c r="N1919" s="94"/>
      <c r="O1919" s="94"/>
      <c r="P1919" s="94"/>
      <c r="Q1919" s="94"/>
      <c r="R1919" s="94"/>
      <c r="S1919" s="94"/>
      <c r="T1919" s="94"/>
      <c r="U1919" s="94"/>
      <c r="V1919" s="94"/>
      <c r="W1919" s="94"/>
      <c r="X1919" s="94"/>
      <c r="Y1919" s="94"/>
      <c r="Z1919" s="94"/>
      <c r="AA1919" s="94"/>
      <c r="AB1919" s="94"/>
      <c r="AC1919" s="94"/>
      <c r="AD1919" s="94"/>
      <c r="AE1919" s="94"/>
      <c r="AF1919" s="94"/>
      <c r="AG1919" s="94"/>
      <c r="AH1919" s="94"/>
      <c r="AI1919" s="94"/>
      <c r="AJ1919" s="94"/>
      <c r="AK1919" s="94"/>
      <c r="AL1919" s="94"/>
      <c r="AM1919" s="94"/>
      <c r="AN1919" s="94"/>
      <c r="AO1919" s="94"/>
      <c r="AP1919" s="94"/>
      <c r="AQ1919" s="94"/>
      <c r="AR1919" s="94"/>
      <c r="AS1919" s="94"/>
      <c r="AT1919" s="94"/>
      <c r="AU1919" s="94"/>
      <c r="AV1919" s="94"/>
      <c r="AW1919" s="94"/>
      <c r="AX1919" s="94"/>
      <c r="AY1919" s="94"/>
      <c r="AZ1919" s="94"/>
      <c r="BA1919" s="94"/>
      <c r="BB1919" s="94"/>
      <c r="BC1919" s="94"/>
      <c r="BD1919" s="94"/>
      <c r="BE1919" s="94"/>
      <c r="BF1919" s="94"/>
    </row>
    <row r="1920" spans="1:58" x14ac:dyDescent="0.35">
      <c r="A1920" s="107" t="s">
        <v>3801</v>
      </c>
      <c r="B1920" s="108" t="s">
        <v>0</v>
      </c>
      <c r="C1920" s="109">
        <v>7</v>
      </c>
      <c r="D1920" s="107" t="s">
        <v>1654</v>
      </c>
      <c r="E1920" s="109"/>
      <c r="F1920" s="94"/>
      <c r="G1920" s="94"/>
      <c r="H1920" s="94"/>
      <c r="I1920" s="94"/>
      <c r="J1920" s="94"/>
      <c r="K1920" s="94"/>
      <c r="L1920" s="94"/>
      <c r="M1920" s="94"/>
      <c r="N1920" s="94"/>
      <c r="O1920" s="94"/>
      <c r="P1920" s="94"/>
      <c r="Q1920" s="94"/>
      <c r="R1920" s="94"/>
      <c r="S1920" s="94"/>
      <c r="T1920" s="94"/>
      <c r="U1920" s="94"/>
      <c r="V1920" s="94"/>
      <c r="W1920" s="94"/>
      <c r="X1920" s="94"/>
      <c r="Y1920" s="94"/>
      <c r="Z1920" s="94"/>
      <c r="AA1920" s="94"/>
      <c r="AB1920" s="94"/>
      <c r="AC1920" s="94"/>
      <c r="AD1920" s="94"/>
      <c r="AE1920" s="94"/>
      <c r="AF1920" s="94"/>
      <c r="AG1920" s="94"/>
      <c r="AH1920" s="94"/>
      <c r="AI1920" s="94"/>
      <c r="AJ1920" s="94"/>
      <c r="AK1920" s="94"/>
      <c r="AL1920" s="94"/>
      <c r="AM1920" s="94"/>
      <c r="AN1920" s="94"/>
      <c r="AO1920" s="94"/>
      <c r="AP1920" s="94"/>
      <c r="AQ1920" s="94"/>
      <c r="AR1920" s="94"/>
      <c r="AS1920" s="94"/>
      <c r="AT1920" s="94"/>
      <c r="AU1920" s="94"/>
      <c r="AV1920" s="94"/>
      <c r="AW1920" s="94"/>
      <c r="AX1920" s="94"/>
      <c r="AY1920" s="94"/>
      <c r="AZ1920" s="94"/>
      <c r="BA1920" s="94"/>
      <c r="BB1920" s="94"/>
      <c r="BC1920" s="94"/>
      <c r="BD1920" s="94"/>
      <c r="BE1920" s="94"/>
      <c r="BF1920" s="94"/>
    </row>
    <row r="1921" spans="1:58" x14ac:dyDescent="0.35">
      <c r="A1921" s="101" t="s">
        <v>3683</v>
      </c>
      <c r="B1921" s="102" t="s">
        <v>0</v>
      </c>
      <c r="C1921" s="103">
        <v>5</v>
      </c>
      <c r="D1921" s="101" t="s">
        <v>613</v>
      </c>
      <c r="E1921" s="103" t="s">
        <v>365</v>
      </c>
      <c r="F1921" s="94"/>
      <c r="G1921" s="94"/>
      <c r="H1921" s="94"/>
      <c r="I1921" s="94"/>
      <c r="J1921" s="94"/>
      <c r="K1921" s="94"/>
      <c r="L1921" s="94"/>
      <c r="M1921" s="94"/>
      <c r="N1921" s="94"/>
      <c r="O1921" s="94"/>
      <c r="P1921" s="94"/>
      <c r="Q1921" s="94"/>
      <c r="R1921" s="94"/>
      <c r="S1921" s="94"/>
      <c r="T1921" s="94"/>
      <c r="U1921" s="94"/>
      <c r="V1921" s="94"/>
      <c r="W1921" s="94"/>
      <c r="X1921" s="94"/>
      <c r="Y1921" s="94"/>
      <c r="Z1921" s="94"/>
      <c r="AA1921" s="94"/>
      <c r="AB1921" s="94"/>
      <c r="AC1921" s="94"/>
      <c r="AD1921" s="94"/>
      <c r="AE1921" s="94"/>
      <c r="AF1921" s="94"/>
      <c r="AG1921" s="94"/>
      <c r="AH1921" s="94"/>
      <c r="AI1921" s="94"/>
      <c r="AJ1921" s="94"/>
      <c r="AK1921" s="94"/>
      <c r="AL1921" s="94"/>
      <c r="AM1921" s="94"/>
      <c r="AN1921" s="94"/>
      <c r="AO1921" s="94"/>
      <c r="AP1921" s="94"/>
      <c r="AQ1921" s="94"/>
      <c r="AR1921" s="94"/>
      <c r="AS1921" s="94"/>
      <c r="AT1921" s="94"/>
      <c r="AU1921" s="94"/>
      <c r="AV1921" s="94"/>
      <c r="AW1921" s="94"/>
      <c r="AX1921" s="94"/>
      <c r="AY1921" s="94"/>
      <c r="AZ1921" s="94"/>
      <c r="BA1921" s="94"/>
      <c r="BB1921" s="94"/>
      <c r="BC1921" s="94"/>
      <c r="BD1921" s="94"/>
      <c r="BE1921" s="94"/>
      <c r="BF1921" s="94"/>
    </row>
    <row r="1922" spans="1:58" x14ac:dyDescent="0.35">
      <c r="A1922" s="104" t="s">
        <v>3684</v>
      </c>
      <c r="B1922" s="105" t="s">
        <v>0</v>
      </c>
      <c r="C1922" s="106">
        <v>6</v>
      </c>
      <c r="D1922" s="104" t="s">
        <v>123</v>
      </c>
      <c r="E1922" s="106"/>
      <c r="F1922" s="94"/>
      <c r="G1922" s="94"/>
      <c r="H1922" s="94"/>
      <c r="I1922" s="94"/>
      <c r="J1922" s="94"/>
      <c r="K1922" s="94"/>
      <c r="L1922" s="94"/>
      <c r="M1922" s="94"/>
      <c r="N1922" s="94"/>
      <c r="O1922" s="94"/>
      <c r="P1922" s="94"/>
      <c r="Q1922" s="94"/>
      <c r="R1922" s="94"/>
      <c r="S1922" s="94"/>
      <c r="T1922" s="94"/>
      <c r="U1922" s="94"/>
      <c r="V1922" s="94"/>
      <c r="W1922" s="94"/>
      <c r="X1922" s="94"/>
      <c r="Y1922" s="94"/>
      <c r="Z1922" s="94"/>
      <c r="AA1922" s="94"/>
      <c r="AB1922" s="94"/>
      <c r="AC1922" s="94"/>
      <c r="AD1922" s="94"/>
      <c r="AE1922" s="94"/>
      <c r="AF1922" s="94"/>
      <c r="AG1922" s="94"/>
      <c r="AH1922" s="94"/>
      <c r="AI1922" s="94"/>
      <c r="AJ1922" s="94"/>
      <c r="AK1922" s="94"/>
      <c r="AL1922" s="94"/>
      <c r="AM1922" s="94"/>
      <c r="AN1922" s="94"/>
      <c r="AO1922" s="94"/>
      <c r="AP1922" s="94"/>
      <c r="AQ1922" s="94"/>
      <c r="AR1922" s="94"/>
      <c r="AS1922" s="94"/>
      <c r="AT1922" s="94"/>
      <c r="AU1922" s="94"/>
      <c r="AV1922" s="94"/>
      <c r="AW1922" s="94"/>
      <c r="AX1922" s="94"/>
      <c r="AY1922" s="94"/>
      <c r="AZ1922" s="94"/>
      <c r="BA1922" s="94"/>
      <c r="BB1922" s="94"/>
      <c r="BC1922" s="94"/>
      <c r="BD1922" s="94"/>
      <c r="BE1922" s="94"/>
      <c r="BF1922" s="94"/>
    </row>
    <row r="1923" spans="1:58" x14ac:dyDescent="0.35">
      <c r="A1923" s="107" t="s">
        <v>3802</v>
      </c>
      <c r="B1923" s="108" t="s">
        <v>0</v>
      </c>
      <c r="C1923" s="109">
        <v>7</v>
      </c>
      <c r="D1923" s="107" t="s">
        <v>1654</v>
      </c>
      <c r="E1923" s="109"/>
      <c r="F1923" s="94"/>
      <c r="G1923" s="94"/>
      <c r="H1923" s="94"/>
      <c r="I1923" s="94"/>
      <c r="J1923" s="94"/>
      <c r="K1923" s="94"/>
      <c r="L1923" s="94"/>
      <c r="M1923" s="94"/>
      <c r="N1923" s="94"/>
      <c r="O1923" s="94"/>
      <c r="P1923" s="94"/>
      <c r="Q1923" s="94"/>
      <c r="R1923" s="94"/>
      <c r="S1923" s="94"/>
      <c r="T1923" s="94"/>
      <c r="U1923" s="94"/>
      <c r="V1923" s="94"/>
      <c r="W1923" s="94"/>
      <c r="X1923" s="94"/>
      <c r="Y1923" s="94"/>
      <c r="Z1923" s="94"/>
      <c r="AA1923" s="94"/>
      <c r="AB1923" s="94"/>
      <c r="AC1923" s="94"/>
      <c r="AD1923" s="94"/>
      <c r="AE1923" s="94"/>
      <c r="AF1923" s="94"/>
      <c r="AG1923" s="94"/>
      <c r="AH1923" s="94"/>
      <c r="AI1923" s="94"/>
      <c r="AJ1923" s="94"/>
      <c r="AK1923" s="94"/>
      <c r="AL1923" s="94"/>
      <c r="AM1923" s="94"/>
      <c r="AN1923" s="94"/>
      <c r="AO1923" s="94"/>
      <c r="AP1923" s="94"/>
      <c r="AQ1923" s="94"/>
      <c r="AR1923" s="94"/>
      <c r="AS1923" s="94"/>
      <c r="AT1923" s="94"/>
      <c r="AU1923" s="94"/>
      <c r="AV1923" s="94"/>
      <c r="AW1923" s="94"/>
      <c r="AX1923" s="94"/>
      <c r="AY1923" s="94"/>
      <c r="AZ1923" s="94"/>
      <c r="BA1923" s="94"/>
      <c r="BB1923" s="94"/>
      <c r="BC1923" s="94"/>
      <c r="BD1923" s="94"/>
      <c r="BE1923" s="94"/>
      <c r="BF1923" s="94"/>
    </row>
    <row r="1924" spans="1:58" x14ac:dyDescent="0.35">
      <c r="A1924" s="104" t="s">
        <v>3685</v>
      </c>
      <c r="B1924" s="105" t="s">
        <v>0</v>
      </c>
      <c r="C1924" s="106">
        <v>6</v>
      </c>
      <c r="D1924" s="104" t="s">
        <v>123</v>
      </c>
      <c r="E1924" s="106"/>
      <c r="F1924" s="94"/>
      <c r="G1924" s="94"/>
      <c r="H1924" s="94"/>
      <c r="I1924" s="94"/>
      <c r="J1924" s="94"/>
      <c r="K1924" s="94"/>
      <c r="L1924" s="94"/>
      <c r="M1924" s="94"/>
      <c r="N1924" s="94"/>
      <c r="O1924" s="94"/>
      <c r="P1924" s="94"/>
      <c r="Q1924" s="94"/>
      <c r="R1924" s="94"/>
      <c r="S1924" s="94"/>
      <c r="T1924" s="94"/>
      <c r="U1924" s="94"/>
      <c r="V1924" s="94"/>
      <c r="W1924" s="94"/>
      <c r="X1924" s="94"/>
      <c r="Y1924" s="94"/>
      <c r="Z1924" s="94"/>
      <c r="AA1924" s="94"/>
      <c r="AB1924" s="94"/>
      <c r="AC1924" s="94"/>
      <c r="AD1924" s="94"/>
      <c r="AE1924" s="94"/>
      <c r="AF1924" s="94"/>
      <c r="AG1924" s="94"/>
      <c r="AH1924" s="94"/>
      <c r="AI1924" s="94"/>
      <c r="AJ1924" s="94"/>
      <c r="AK1924" s="94"/>
      <c r="AL1924" s="94"/>
      <c r="AM1924" s="94"/>
      <c r="AN1924" s="94"/>
      <c r="AO1924" s="94"/>
      <c r="AP1924" s="94"/>
      <c r="AQ1924" s="94"/>
      <c r="AR1924" s="94"/>
      <c r="AS1924" s="94"/>
      <c r="AT1924" s="94"/>
      <c r="AU1924" s="94"/>
      <c r="AV1924" s="94"/>
      <c r="AW1924" s="94"/>
      <c r="AX1924" s="94"/>
      <c r="AY1924" s="94"/>
      <c r="AZ1924" s="94"/>
      <c r="BA1924" s="94"/>
      <c r="BB1924" s="94"/>
      <c r="BC1924" s="94"/>
      <c r="BD1924" s="94"/>
      <c r="BE1924" s="94"/>
      <c r="BF1924" s="94"/>
    </row>
    <row r="1925" spans="1:58" x14ac:dyDescent="0.35">
      <c r="A1925" s="98" t="s">
        <v>3686</v>
      </c>
      <c r="B1925" s="99" t="s">
        <v>0</v>
      </c>
      <c r="C1925" s="100">
        <v>3</v>
      </c>
      <c r="D1925" s="98" t="s">
        <v>587</v>
      </c>
      <c r="E1925" s="100"/>
      <c r="F1925" s="94"/>
      <c r="G1925" s="94"/>
      <c r="H1925" s="94"/>
      <c r="I1925" s="94"/>
      <c r="J1925" s="94"/>
      <c r="K1925" s="94"/>
      <c r="L1925" s="94"/>
      <c r="M1925" s="94"/>
      <c r="N1925" s="94"/>
      <c r="O1925" s="94"/>
      <c r="P1925" s="94"/>
      <c r="Q1925" s="94"/>
      <c r="R1925" s="94"/>
      <c r="S1925" s="94"/>
      <c r="T1925" s="94"/>
      <c r="U1925" s="94"/>
      <c r="V1925" s="94"/>
      <c r="W1925" s="94"/>
      <c r="X1925" s="94"/>
      <c r="Y1925" s="94"/>
      <c r="Z1925" s="94"/>
      <c r="AA1925" s="94"/>
      <c r="AB1925" s="94"/>
      <c r="AC1925" s="94"/>
      <c r="AD1925" s="94"/>
      <c r="AE1925" s="94"/>
      <c r="AF1925" s="94"/>
      <c r="AG1925" s="94"/>
      <c r="AH1925" s="94"/>
      <c r="AI1925" s="94"/>
      <c r="AJ1925" s="94"/>
      <c r="AK1925" s="94"/>
      <c r="AL1925" s="94"/>
      <c r="AM1925" s="94"/>
      <c r="AN1925" s="94"/>
      <c r="AO1925" s="94"/>
      <c r="AP1925" s="94"/>
      <c r="AQ1925" s="94"/>
      <c r="AR1925" s="94"/>
      <c r="AS1925" s="94"/>
      <c r="AT1925" s="94"/>
      <c r="AU1925" s="94"/>
      <c r="AV1925" s="94"/>
      <c r="AW1925" s="94"/>
      <c r="AX1925" s="94"/>
      <c r="AY1925" s="94"/>
      <c r="AZ1925" s="94"/>
      <c r="BA1925" s="94"/>
      <c r="BB1925" s="94"/>
      <c r="BC1925" s="94"/>
      <c r="BD1925" s="94"/>
      <c r="BE1925" s="94"/>
      <c r="BF1925" s="94"/>
    </row>
    <row r="1926" spans="1:58" x14ac:dyDescent="0.35">
      <c r="A1926" s="95" t="s">
        <v>3687</v>
      </c>
      <c r="B1926" s="96" t="s">
        <v>0</v>
      </c>
      <c r="C1926" s="97">
        <v>4</v>
      </c>
      <c r="D1926" s="95" t="s">
        <v>588</v>
      </c>
      <c r="E1926" s="97"/>
      <c r="F1926" s="94"/>
      <c r="G1926" s="94"/>
      <c r="H1926" s="94"/>
      <c r="I1926" s="94"/>
      <c r="J1926" s="94"/>
      <c r="K1926" s="94"/>
      <c r="L1926" s="94"/>
      <c r="M1926" s="94"/>
      <c r="N1926" s="94"/>
      <c r="O1926" s="94"/>
      <c r="P1926" s="94"/>
      <c r="Q1926" s="94"/>
      <c r="R1926" s="94"/>
      <c r="S1926" s="94"/>
      <c r="T1926" s="94"/>
      <c r="U1926" s="94"/>
      <c r="V1926" s="94"/>
      <c r="W1926" s="94"/>
      <c r="X1926" s="94"/>
      <c r="Y1926" s="94"/>
      <c r="Z1926" s="94"/>
      <c r="AA1926" s="94"/>
      <c r="AB1926" s="94"/>
      <c r="AC1926" s="94"/>
      <c r="AD1926" s="94"/>
      <c r="AE1926" s="94"/>
      <c r="AF1926" s="94"/>
      <c r="AG1926" s="94"/>
      <c r="AH1926" s="94"/>
      <c r="AI1926" s="94"/>
      <c r="AJ1926" s="94"/>
      <c r="AK1926" s="94"/>
      <c r="AL1926" s="94"/>
      <c r="AM1926" s="94"/>
      <c r="AN1926" s="94"/>
      <c r="AO1926" s="94"/>
      <c r="AP1926" s="94"/>
      <c r="AQ1926" s="94"/>
      <c r="AR1926" s="94"/>
      <c r="AS1926" s="94"/>
      <c r="AT1926" s="94"/>
      <c r="AU1926" s="94"/>
      <c r="AV1926" s="94"/>
      <c r="AW1926" s="94"/>
      <c r="AX1926" s="94"/>
      <c r="AY1926" s="94"/>
      <c r="AZ1926" s="94"/>
      <c r="BA1926" s="94"/>
      <c r="BB1926" s="94"/>
      <c r="BC1926" s="94"/>
      <c r="BD1926" s="94"/>
      <c r="BE1926" s="94"/>
      <c r="BF1926" s="94"/>
    </row>
    <row r="1927" spans="1:58" x14ac:dyDescent="0.35">
      <c r="A1927" s="95" t="s">
        <v>3688</v>
      </c>
      <c r="B1927" s="96" t="s">
        <v>0</v>
      </c>
      <c r="C1927" s="97">
        <v>4</v>
      </c>
      <c r="D1927" s="95" t="s">
        <v>589</v>
      </c>
      <c r="E1927" s="97"/>
      <c r="F1927" s="94"/>
      <c r="G1927" s="94"/>
      <c r="H1927" s="94"/>
      <c r="I1927" s="94"/>
      <c r="J1927" s="94"/>
      <c r="K1927" s="94"/>
      <c r="L1927" s="94"/>
      <c r="M1927" s="94"/>
      <c r="N1927" s="94"/>
      <c r="O1927" s="94"/>
      <c r="P1927" s="94"/>
      <c r="Q1927" s="94"/>
      <c r="R1927" s="94"/>
      <c r="S1927" s="94"/>
      <c r="T1927" s="94"/>
      <c r="U1927" s="94"/>
      <c r="V1927" s="94"/>
      <c r="W1927" s="94"/>
      <c r="X1927" s="94"/>
      <c r="Y1927" s="94"/>
      <c r="Z1927" s="94"/>
      <c r="AA1927" s="94"/>
      <c r="AB1927" s="94"/>
      <c r="AC1927" s="94"/>
      <c r="AD1927" s="94"/>
      <c r="AE1927" s="94"/>
      <c r="AF1927" s="94"/>
      <c r="AG1927" s="94"/>
      <c r="AH1927" s="94"/>
      <c r="AI1927" s="94"/>
      <c r="AJ1927" s="94"/>
      <c r="AK1927" s="94"/>
      <c r="AL1927" s="94"/>
      <c r="AM1927" s="94"/>
      <c r="AN1927" s="94"/>
      <c r="AO1927" s="94"/>
      <c r="AP1927" s="94"/>
      <c r="AQ1927" s="94"/>
      <c r="AR1927" s="94"/>
      <c r="AS1927" s="94"/>
      <c r="AT1927" s="94"/>
      <c r="AU1927" s="94"/>
      <c r="AV1927" s="94"/>
      <c r="AW1927" s="94"/>
      <c r="AX1927" s="94"/>
      <c r="AY1927" s="94"/>
      <c r="AZ1927" s="94"/>
      <c r="BA1927" s="94"/>
      <c r="BB1927" s="94"/>
      <c r="BC1927" s="94"/>
      <c r="BD1927" s="94"/>
      <c r="BE1927" s="94"/>
      <c r="BF1927" s="94"/>
    </row>
    <row r="1928" spans="1:58" x14ac:dyDescent="0.35">
      <c r="A1928" s="95" t="s">
        <v>3689</v>
      </c>
      <c r="B1928" s="96" t="s">
        <v>0</v>
      </c>
      <c r="C1928" s="97">
        <v>4</v>
      </c>
      <c r="D1928" s="95" t="s">
        <v>590</v>
      </c>
      <c r="E1928" s="97"/>
      <c r="F1928" s="94"/>
      <c r="G1928" s="94"/>
      <c r="H1928" s="94"/>
      <c r="I1928" s="94"/>
      <c r="J1928" s="94"/>
      <c r="K1928" s="94"/>
      <c r="L1928" s="94"/>
      <c r="M1928" s="94"/>
      <c r="N1928" s="94"/>
      <c r="O1928" s="94"/>
      <c r="P1928" s="94"/>
      <c r="Q1928" s="94"/>
      <c r="R1928" s="94"/>
      <c r="S1928" s="94"/>
      <c r="T1928" s="94"/>
      <c r="U1928" s="94"/>
      <c r="V1928" s="94"/>
      <c r="W1928" s="94"/>
      <c r="X1928" s="94"/>
      <c r="Y1928" s="94"/>
      <c r="Z1928" s="94"/>
      <c r="AA1928" s="94"/>
      <c r="AB1928" s="94"/>
      <c r="AC1928" s="94"/>
      <c r="AD1928" s="94"/>
      <c r="AE1928" s="94"/>
      <c r="AF1928" s="94"/>
      <c r="AG1928" s="94"/>
      <c r="AH1928" s="94"/>
      <c r="AI1928" s="94"/>
      <c r="AJ1928" s="94"/>
      <c r="AK1928" s="94"/>
      <c r="AL1928" s="94"/>
      <c r="AM1928" s="94"/>
      <c r="AN1928" s="94"/>
      <c r="AO1928" s="94"/>
      <c r="AP1928" s="94"/>
      <c r="AQ1928" s="94"/>
      <c r="AR1928" s="94"/>
      <c r="AS1928" s="94"/>
      <c r="AT1928" s="94"/>
      <c r="AU1928" s="94"/>
      <c r="AV1928" s="94"/>
      <c r="AW1928" s="94"/>
      <c r="AX1928" s="94"/>
      <c r="AY1928" s="94"/>
      <c r="AZ1928" s="94"/>
      <c r="BA1928" s="94"/>
      <c r="BB1928" s="94"/>
      <c r="BC1928" s="94"/>
      <c r="BD1928" s="94"/>
      <c r="BE1928" s="94"/>
      <c r="BF1928" s="94"/>
    </row>
    <row r="1929" spans="1:58" x14ac:dyDescent="0.35">
      <c r="A1929" s="95" t="s">
        <v>3690</v>
      </c>
      <c r="B1929" s="96" t="s">
        <v>0</v>
      </c>
      <c r="C1929" s="97">
        <v>4</v>
      </c>
      <c r="D1929" s="95" t="s">
        <v>591</v>
      </c>
      <c r="E1929" s="97"/>
      <c r="F1929" s="94"/>
      <c r="G1929" s="94"/>
      <c r="H1929" s="94"/>
      <c r="I1929" s="94"/>
      <c r="J1929" s="94"/>
      <c r="K1929" s="94"/>
      <c r="L1929" s="94"/>
      <c r="M1929" s="94"/>
      <c r="N1929" s="94"/>
      <c r="O1929" s="94"/>
      <c r="P1929" s="94"/>
      <c r="Q1929" s="94"/>
      <c r="R1929" s="94"/>
      <c r="S1929" s="94"/>
      <c r="T1929" s="94"/>
      <c r="U1929" s="94"/>
      <c r="V1929" s="94"/>
      <c r="W1929" s="94"/>
      <c r="X1929" s="94"/>
      <c r="Y1929" s="94"/>
      <c r="Z1929" s="94"/>
      <c r="AA1929" s="94"/>
      <c r="AB1929" s="94"/>
      <c r="AC1929" s="94"/>
      <c r="AD1929" s="94"/>
      <c r="AE1929" s="94"/>
      <c r="AF1929" s="94"/>
      <c r="AG1929" s="94"/>
      <c r="AH1929" s="94"/>
      <c r="AI1929" s="94"/>
      <c r="AJ1929" s="94"/>
      <c r="AK1929" s="94"/>
      <c r="AL1929" s="94"/>
      <c r="AM1929" s="94"/>
      <c r="AN1929" s="94"/>
      <c r="AO1929" s="94"/>
      <c r="AP1929" s="94"/>
      <c r="AQ1929" s="94"/>
      <c r="AR1929" s="94"/>
      <c r="AS1929" s="94"/>
      <c r="AT1929" s="94"/>
      <c r="AU1929" s="94"/>
      <c r="AV1929" s="94"/>
      <c r="AW1929" s="94"/>
      <c r="AX1929" s="94"/>
      <c r="AY1929" s="94"/>
      <c r="AZ1929" s="94"/>
      <c r="BA1929" s="94"/>
      <c r="BB1929" s="94"/>
      <c r="BC1929" s="94"/>
      <c r="BD1929" s="94"/>
      <c r="BE1929" s="94"/>
      <c r="BF1929" s="94"/>
    </row>
    <row r="1930" spans="1:58" x14ac:dyDescent="0.35">
      <c r="A1930" s="95" t="s">
        <v>3691</v>
      </c>
      <c r="B1930" s="96" t="s">
        <v>0</v>
      </c>
      <c r="C1930" s="97">
        <v>4</v>
      </c>
      <c r="D1930" s="95" t="s">
        <v>626</v>
      </c>
      <c r="E1930" s="97"/>
      <c r="F1930" s="94"/>
      <c r="G1930" s="94"/>
      <c r="H1930" s="94"/>
      <c r="I1930" s="94"/>
      <c r="J1930" s="94"/>
      <c r="K1930" s="94"/>
      <c r="L1930" s="94"/>
      <c r="M1930" s="94"/>
      <c r="N1930" s="94"/>
      <c r="O1930" s="94"/>
      <c r="P1930" s="94"/>
      <c r="Q1930" s="94"/>
      <c r="R1930" s="94"/>
      <c r="S1930" s="94"/>
      <c r="T1930" s="94"/>
      <c r="U1930" s="94"/>
      <c r="V1930" s="94"/>
      <c r="W1930" s="94"/>
      <c r="X1930" s="94"/>
      <c r="Y1930" s="94"/>
      <c r="Z1930" s="94"/>
      <c r="AA1930" s="94"/>
      <c r="AB1930" s="94"/>
      <c r="AC1930" s="94"/>
      <c r="AD1930" s="94"/>
      <c r="AE1930" s="94"/>
      <c r="AF1930" s="94"/>
      <c r="AG1930" s="94"/>
      <c r="AH1930" s="94"/>
      <c r="AI1930" s="94"/>
      <c r="AJ1930" s="94"/>
      <c r="AK1930" s="94"/>
      <c r="AL1930" s="94"/>
      <c r="AM1930" s="94"/>
      <c r="AN1930" s="94"/>
      <c r="AO1930" s="94"/>
      <c r="AP1930" s="94"/>
      <c r="AQ1930" s="94"/>
      <c r="AR1930" s="94"/>
      <c r="AS1930" s="94"/>
      <c r="AT1930" s="94"/>
      <c r="AU1930" s="94"/>
      <c r="AV1930" s="94"/>
      <c r="AW1930" s="94"/>
      <c r="AX1930" s="94"/>
      <c r="AY1930" s="94"/>
      <c r="AZ1930" s="94"/>
      <c r="BA1930" s="94"/>
      <c r="BB1930" s="94"/>
      <c r="BC1930" s="94"/>
      <c r="BD1930" s="94"/>
      <c r="BE1930" s="94"/>
      <c r="BF1930" s="94"/>
    </row>
    <row r="1931" spans="1:58" x14ac:dyDescent="0.35">
      <c r="A1931" s="98" t="s">
        <v>3692</v>
      </c>
      <c r="B1931" s="99" t="s">
        <v>0</v>
      </c>
      <c r="C1931" s="100">
        <v>3</v>
      </c>
      <c r="D1931" s="98" t="s">
        <v>1600</v>
      </c>
      <c r="E1931" s="100"/>
      <c r="F1931" s="94"/>
      <c r="G1931" s="94"/>
      <c r="H1931" s="94"/>
      <c r="I1931" s="94"/>
      <c r="J1931" s="94"/>
      <c r="K1931" s="94"/>
      <c r="L1931" s="94"/>
      <c r="M1931" s="94"/>
      <c r="N1931" s="94"/>
      <c r="O1931" s="94"/>
      <c r="P1931" s="94"/>
      <c r="Q1931" s="94"/>
      <c r="R1931" s="94"/>
      <c r="S1931" s="94"/>
      <c r="T1931" s="94"/>
      <c r="U1931" s="94"/>
      <c r="V1931" s="94"/>
      <c r="W1931" s="94"/>
      <c r="X1931" s="94"/>
      <c r="Y1931" s="94"/>
      <c r="Z1931" s="94"/>
      <c r="AA1931" s="94"/>
      <c r="AB1931" s="94"/>
      <c r="AC1931" s="94"/>
      <c r="AD1931" s="94"/>
      <c r="AE1931" s="94"/>
      <c r="AF1931" s="94"/>
      <c r="AG1931" s="94"/>
      <c r="AH1931" s="94"/>
      <c r="AI1931" s="94"/>
      <c r="AJ1931" s="94"/>
      <c r="AK1931" s="94"/>
      <c r="AL1931" s="94"/>
      <c r="AM1931" s="94"/>
      <c r="AN1931" s="94"/>
      <c r="AO1931" s="94"/>
      <c r="AP1931" s="94"/>
      <c r="AQ1931" s="94"/>
      <c r="AR1931" s="94"/>
      <c r="AS1931" s="94"/>
      <c r="AT1931" s="94"/>
      <c r="AU1931" s="94"/>
      <c r="AV1931" s="94"/>
      <c r="AW1931" s="94"/>
      <c r="AX1931" s="94"/>
      <c r="AY1931" s="94"/>
      <c r="AZ1931" s="94"/>
      <c r="BA1931" s="94"/>
      <c r="BB1931" s="94"/>
      <c r="BC1931" s="94"/>
      <c r="BD1931" s="94"/>
      <c r="BE1931" s="94"/>
      <c r="BF1931" s="94"/>
    </row>
    <row r="1932" spans="1:58" x14ac:dyDescent="0.35">
      <c r="A1932" s="95" t="s">
        <v>3693</v>
      </c>
      <c r="B1932" s="96" t="s">
        <v>0</v>
      </c>
      <c r="C1932" s="97">
        <v>4</v>
      </c>
      <c r="D1932" s="95" t="s">
        <v>592</v>
      </c>
      <c r="E1932" s="97"/>
      <c r="F1932" s="94"/>
      <c r="G1932" s="94"/>
      <c r="H1932" s="94"/>
      <c r="I1932" s="94"/>
      <c r="J1932" s="94"/>
      <c r="K1932" s="94"/>
      <c r="L1932" s="94"/>
      <c r="M1932" s="94"/>
      <c r="N1932" s="94"/>
      <c r="O1932" s="94"/>
      <c r="P1932" s="94"/>
      <c r="Q1932" s="94"/>
      <c r="R1932" s="94"/>
      <c r="S1932" s="94"/>
      <c r="T1932" s="94"/>
      <c r="U1932" s="94"/>
      <c r="V1932" s="94"/>
      <c r="W1932" s="94"/>
      <c r="X1932" s="94"/>
      <c r="Y1932" s="94"/>
      <c r="Z1932" s="94"/>
      <c r="AA1932" s="94"/>
      <c r="AB1932" s="94"/>
      <c r="AC1932" s="94"/>
      <c r="AD1932" s="94"/>
      <c r="AE1932" s="94"/>
      <c r="AF1932" s="94"/>
      <c r="AG1932" s="94"/>
      <c r="AH1932" s="94"/>
      <c r="AI1932" s="94"/>
      <c r="AJ1932" s="94"/>
      <c r="AK1932" s="94"/>
      <c r="AL1932" s="94"/>
      <c r="AM1932" s="94"/>
      <c r="AN1932" s="94"/>
      <c r="AO1932" s="94"/>
      <c r="AP1932" s="94"/>
      <c r="AQ1932" s="94"/>
      <c r="AR1932" s="94"/>
      <c r="AS1932" s="94"/>
      <c r="AT1932" s="94"/>
      <c r="AU1932" s="94"/>
      <c r="AV1932" s="94"/>
      <c r="AW1932" s="94"/>
      <c r="AX1932" s="94"/>
      <c r="AY1932" s="94"/>
      <c r="AZ1932" s="94"/>
      <c r="BA1932" s="94"/>
      <c r="BB1932" s="94"/>
      <c r="BC1932" s="94"/>
      <c r="BD1932" s="94"/>
      <c r="BE1932" s="94"/>
      <c r="BF1932" s="94"/>
    </row>
    <row r="1933" spans="1:58" x14ac:dyDescent="0.35">
      <c r="A1933" s="101" t="s">
        <v>3694</v>
      </c>
      <c r="B1933" s="102" t="s">
        <v>0</v>
      </c>
      <c r="C1933" s="103">
        <v>5</v>
      </c>
      <c r="D1933" s="101" t="s">
        <v>169</v>
      </c>
      <c r="E1933" s="103" t="s">
        <v>596</v>
      </c>
      <c r="F1933" s="94"/>
      <c r="G1933" s="94"/>
      <c r="H1933" s="94"/>
      <c r="I1933" s="94"/>
      <c r="J1933" s="94"/>
      <c r="K1933" s="94"/>
      <c r="L1933" s="94"/>
      <c r="M1933" s="94"/>
      <c r="N1933" s="94"/>
      <c r="O1933" s="94"/>
      <c r="P1933" s="94"/>
      <c r="Q1933" s="94"/>
      <c r="R1933" s="94"/>
      <c r="S1933" s="94"/>
      <c r="T1933" s="94"/>
      <c r="U1933" s="94"/>
      <c r="V1933" s="94"/>
      <c r="W1933" s="94"/>
      <c r="X1933" s="94"/>
      <c r="Y1933" s="94"/>
      <c r="Z1933" s="94"/>
      <c r="AA1933" s="94"/>
      <c r="AB1933" s="94"/>
      <c r="AC1933" s="94"/>
      <c r="AD1933" s="94"/>
      <c r="AE1933" s="94"/>
      <c r="AF1933" s="94"/>
      <c r="AG1933" s="94"/>
      <c r="AH1933" s="94"/>
      <c r="AI1933" s="94"/>
      <c r="AJ1933" s="94"/>
      <c r="AK1933" s="94"/>
      <c r="AL1933" s="94"/>
      <c r="AM1933" s="94"/>
      <c r="AN1933" s="94"/>
      <c r="AO1933" s="94"/>
      <c r="AP1933" s="94"/>
      <c r="AQ1933" s="94"/>
      <c r="AR1933" s="94"/>
      <c r="AS1933" s="94"/>
      <c r="AT1933" s="94"/>
      <c r="AU1933" s="94"/>
      <c r="AV1933" s="94"/>
      <c r="AW1933" s="94"/>
      <c r="AX1933" s="94"/>
      <c r="AY1933" s="94"/>
      <c r="AZ1933" s="94"/>
      <c r="BA1933" s="94"/>
      <c r="BB1933" s="94"/>
      <c r="BC1933" s="94"/>
      <c r="BD1933" s="94"/>
      <c r="BE1933" s="94"/>
      <c r="BF1933" s="94"/>
    </row>
    <row r="1934" spans="1:58" x14ac:dyDescent="0.35">
      <c r="A1934" s="95" t="s">
        <v>3695</v>
      </c>
      <c r="B1934" s="96" t="s">
        <v>0</v>
      </c>
      <c r="C1934" s="97">
        <v>4</v>
      </c>
      <c r="D1934" s="95" t="s">
        <v>593</v>
      </c>
      <c r="E1934" s="97"/>
      <c r="F1934" s="94"/>
      <c r="G1934" s="94"/>
      <c r="H1934" s="94"/>
      <c r="I1934" s="94"/>
      <c r="J1934" s="94"/>
      <c r="K1934" s="94"/>
      <c r="L1934" s="94"/>
      <c r="M1934" s="94"/>
      <c r="N1934" s="94"/>
      <c r="O1934" s="94"/>
      <c r="P1934" s="94"/>
      <c r="Q1934" s="94"/>
      <c r="R1934" s="94"/>
      <c r="S1934" s="94"/>
      <c r="T1934" s="94"/>
      <c r="U1934" s="94"/>
      <c r="V1934" s="94"/>
      <c r="W1934" s="94"/>
      <c r="X1934" s="94"/>
      <c r="Y1934" s="94"/>
      <c r="Z1934" s="94"/>
      <c r="AA1934" s="94"/>
      <c r="AB1934" s="94"/>
      <c r="AC1934" s="94"/>
      <c r="AD1934" s="94"/>
      <c r="AE1934" s="94"/>
      <c r="AF1934" s="94"/>
      <c r="AG1934" s="94"/>
      <c r="AH1934" s="94"/>
      <c r="AI1934" s="94"/>
      <c r="AJ1934" s="94"/>
      <c r="AK1934" s="94"/>
      <c r="AL1934" s="94"/>
      <c r="AM1934" s="94"/>
      <c r="AN1934" s="94"/>
      <c r="AO1934" s="94"/>
      <c r="AP1934" s="94"/>
      <c r="AQ1934" s="94"/>
      <c r="AR1934" s="94"/>
      <c r="AS1934" s="94"/>
      <c r="AT1934" s="94"/>
      <c r="AU1934" s="94"/>
      <c r="AV1934" s="94"/>
      <c r="AW1934" s="94"/>
      <c r="AX1934" s="94"/>
      <c r="AY1934" s="94"/>
      <c r="AZ1934" s="94"/>
      <c r="BA1934" s="94"/>
      <c r="BB1934" s="94"/>
      <c r="BC1934" s="94"/>
      <c r="BD1934" s="94"/>
      <c r="BE1934" s="94"/>
      <c r="BF1934" s="94"/>
    </row>
    <row r="1935" spans="1:58" x14ac:dyDescent="0.35">
      <c r="A1935" s="101" t="s">
        <v>3696</v>
      </c>
      <c r="B1935" s="102" t="s">
        <v>0</v>
      </c>
      <c r="C1935" s="103">
        <v>5</v>
      </c>
      <c r="D1935" s="101" t="s">
        <v>169</v>
      </c>
      <c r="E1935" s="103" t="s">
        <v>595</v>
      </c>
      <c r="F1935" s="94"/>
      <c r="G1935" s="94"/>
      <c r="H1935" s="94"/>
      <c r="I1935" s="94"/>
      <c r="J1935" s="94"/>
      <c r="K1935" s="94"/>
      <c r="L1935" s="94"/>
      <c r="M1935" s="94"/>
      <c r="N1935" s="94"/>
      <c r="O1935" s="94"/>
      <c r="P1935" s="94"/>
      <c r="Q1935" s="94"/>
      <c r="R1935" s="94"/>
      <c r="S1935" s="94"/>
      <c r="T1935" s="94"/>
      <c r="U1935" s="94"/>
      <c r="V1935" s="94"/>
      <c r="W1935" s="94"/>
      <c r="X1935" s="94"/>
      <c r="Y1935" s="94"/>
      <c r="Z1935" s="94"/>
      <c r="AA1935" s="94"/>
      <c r="AB1935" s="94"/>
      <c r="AC1935" s="94"/>
      <c r="AD1935" s="94"/>
      <c r="AE1935" s="94"/>
      <c r="AF1935" s="94"/>
      <c r="AG1935" s="94"/>
      <c r="AH1935" s="94"/>
      <c r="AI1935" s="94"/>
      <c r="AJ1935" s="94"/>
      <c r="AK1935" s="94"/>
      <c r="AL1935" s="94"/>
      <c r="AM1935" s="94"/>
      <c r="AN1935" s="94"/>
      <c r="AO1935" s="94"/>
      <c r="AP1935" s="94"/>
      <c r="AQ1935" s="94"/>
      <c r="AR1935" s="94"/>
      <c r="AS1935" s="94"/>
      <c r="AT1935" s="94"/>
      <c r="AU1935" s="94"/>
      <c r="AV1935" s="94"/>
      <c r="AW1935" s="94"/>
      <c r="AX1935" s="94"/>
      <c r="AY1935" s="94"/>
      <c r="AZ1935" s="94"/>
      <c r="BA1935" s="94"/>
      <c r="BB1935" s="94"/>
      <c r="BC1935" s="94"/>
      <c r="BD1935" s="94"/>
      <c r="BE1935" s="94"/>
      <c r="BF1935" s="94"/>
    </row>
    <row r="1936" spans="1:58" x14ac:dyDescent="0.35">
      <c r="A1936" s="101" t="s">
        <v>3697</v>
      </c>
      <c r="B1936" s="102" t="s">
        <v>0</v>
      </c>
      <c r="C1936" s="103">
        <v>5</v>
      </c>
      <c r="D1936" s="101" t="s">
        <v>169</v>
      </c>
      <c r="E1936" s="103" t="s">
        <v>597</v>
      </c>
      <c r="F1936" s="94"/>
      <c r="G1936" s="94"/>
      <c r="H1936" s="94"/>
      <c r="I1936" s="94"/>
      <c r="J1936" s="94"/>
      <c r="K1936" s="94"/>
      <c r="L1936" s="94"/>
      <c r="M1936" s="94"/>
      <c r="N1936" s="94"/>
      <c r="O1936" s="94"/>
      <c r="P1936" s="94"/>
      <c r="Q1936" s="94"/>
      <c r="R1936" s="94"/>
      <c r="S1936" s="94"/>
      <c r="T1936" s="94"/>
      <c r="U1936" s="94"/>
      <c r="V1936" s="94"/>
      <c r="W1936" s="94"/>
      <c r="X1936" s="94"/>
      <c r="Y1936" s="94"/>
      <c r="Z1936" s="94"/>
      <c r="AA1936" s="94"/>
      <c r="AB1936" s="94"/>
      <c r="AC1936" s="94"/>
      <c r="AD1936" s="94"/>
      <c r="AE1936" s="94"/>
      <c r="AF1936" s="94"/>
      <c r="AG1936" s="94"/>
      <c r="AH1936" s="94"/>
      <c r="AI1936" s="94"/>
      <c r="AJ1936" s="94"/>
      <c r="AK1936" s="94"/>
      <c r="AL1936" s="94"/>
      <c r="AM1936" s="94"/>
      <c r="AN1936" s="94"/>
      <c r="AO1936" s="94"/>
      <c r="AP1936" s="94"/>
      <c r="AQ1936" s="94"/>
      <c r="AR1936" s="94"/>
      <c r="AS1936" s="94"/>
      <c r="AT1936" s="94"/>
      <c r="AU1936" s="94"/>
      <c r="AV1936" s="94"/>
      <c r="AW1936" s="94"/>
      <c r="AX1936" s="94"/>
      <c r="AY1936" s="94"/>
      <c r="AZ1936" s="94"/>
      <c r="BA1936" s="94"/>
      <c r="BB1936" s="94"/>
      <c r="BC1936" s="94"/>
      <c r="BD1936" s="94"/>
      <c r="BE1936" s="94"/>
      <c r="BF1936" s="94"/>
    </row>
    <row r="1937" spans="1:58" x14ac:dyDescent="0.35">
      <c r="A1937" s="95" t="s">
        <v>3698</v>
      </c>
      <c r="B1937" s="96" t="s">
        <v>0</v>
      </c>
      <c r="C1937" s="97">
        <v>4</v>
      </c>
      <c r="D1937" s="95" t="s">
        <v>594</v>
      </c>
      <c r="E1937" s="97"/>
      <c r="F1937" s="94"/>
      <c r="G1937" s="94"/>
      <c r="H1937" s="94"/>
      <c r="I1937" s="94"/>
      <c r="J1937" s="94"/>
      <c r="K1937" s="94"/>
      <c r="L1937" s="94"/>
      <c r="M1937" s="94"/>
      <c r="N1937" s="94"/>
      <c r="O1937" s="94"/>
      <c r="P1937" s="94"/>
      <c r="Q1937" s="94"/>
      <c r="R1937" s="94"/>
      <c r="S1937" s="94"/>
      <c r="T1937" s="94"/>
      <c r="U1937" s="94"/>
      <c r="V1937" s="94"/>
      <c r="W1937" s="94"/>
      <c r="X1937" s="94"/>
      <c r="Y1937" s="94"/>
      <c r="Z1937" s="94"/>
      <c r="AA1937" s="94"/>
      <c r="AB1937" s="94"/>
      <c r="AC1937" s="94"/>
      <c r="AD1937" s="94"/>
      <c r="AE1937" s="94"/>
      <c r="AF1937" s="94"/>
      <c r="AG1937" s="94"/>
      <c r="AH1937" s="94"/>
      <c r="AI1937" s="94"/>
      <c r="AJ1937" s="94"/>
      <c r="AK1937" s="94"/>
      <c r="AL1937" s="94"/>
      <c r="AM1937" s="94"/>
      <c r="AN1937" s="94"/>
      <c r="AO1937" s="94"/>
      <c r="AP1937" s="94"/>
      <c r="AQ1937" s="94"/>
      <c r="AR1937" s="94"/>
      <c r="AS1937" s="94"/>
      <c r="AT1937" s="94"/>
      <c r="AU1937" s="94"/>
      <c r="AV1937" s="94"/>
      <c r="AW1937" s="94"/>
      <c r="AX1937" s="94"/>
      <c r="AY1937" s="94"/>
      <c r="AZ1937" s="94"/>
      <c r="BA1937" s="94"/>
      <c r="BB1937" s="94"/>
      <c r="BC1937" s="94"/>
      <c r="BD1937" s="94"/>
      <c r="BE1937" s="94"/>
      <c r="BF1937" s="94"/>
    </row>
    <row r="1938" spans="1:58" x14ac:dyDescent="0.35">
      <c r="A1938" s="98" t="s">
        <v>3699</v>
      </c>
      <c r="B1938" s="99" t="s">
        <v>0</v>
      </c>
      <c r="C1938" s="100">
        <v>3</v>
      </c>
      <c r="D1938" s="98" t="s">
        <v>1622</v>
      </c>
      <c r="E1938" s="100"/>
      <c r="F1938" s="94"/>
      <c r="G1938" s="94"/>
      <c r="H1938" s="94"/>
      <c r="I1938" s="94"/>
      <c r="J1938" s="94"/>
      <c r="K1938" s="94"/>
      <c r="L1938" s="94"/>
      <c r="M1938" s="94"/>
      <c r="N1938" s="94"/>
      <c r="O1938" s="94"/>
      <c r="P1938" s="94"/>
      <c r="Q1938" s="94"/>
      <c r="R1938" s="94"/>
      <c r="S1938" s="94"/>
      <c r="T1938" s="94"/>
      <c r="U1938" s="94"/>
      <c r="V1938" s="94"/>
      <c r="W1938" s="94"/>
      <c r="X1938" s="94"/>
      <c r="Y1938" s="94"/>
      <c r="Z1938" s="94"/>
      <c r="AA1938" s="94"/>
      <c r="AB1938" s="94"/>
      <c r="AC1938" s="94"/>
      <c r="AD1938" s="94"/>
      <c r="AE1938" s="94"/>
      <c r="AF1938" s="94"/>
      <c r="AG1938" s="94"/>
      <c r="AH1938" s="94"/>
      <c r="AI1938" s="94"/>
      <c r="AJ1938" s="94"/>
      <c r="AK1938" s="94"/>
      <c r="AL1938" s="94"/>
      <c r="AM1938" s="94"/>
      <c r="AN1938" s="94"/>
      <c r="AO1938" s="94"/>
      <c r="AP1938" s="94"/>
      <c r="AQ1938" s="94"/>
      <c r="AR1938" s="94"/>
      <c r="AS1938" s="94"/>
      <c r="AT1938" s="94"/>
      <c r="AU1938" s="94"/>
      <c r="AV1938" s="94"/>
      <c r="AW1938" s="94"/>
      <c r="AX1938" s="94"/>
      <c r="AY1938" s="94"/>
      <c r="AZ1938" s="94"/>
      <c r="BA1938" s="94"/>
      <c r="BB1938" s="94"/>
      <c r="BC1938" s="94"/>
      <c r="BD1938" s="94"/>
      <c r="BE1938" s="94"/>
      <c r="BF1938" s="94"/>
    </row>
    <row r="1939" spans="1:58" x14ac:dyDescent="0.35">
      <c r="A1939" s="95" t="s">
        <v>3700</v>
      </c>
      <c r="B1939" s="96" t="s">
        <v>0</v>
      </c>
      <c r="C1939" s="97">
        <v>4</v>
      </c>
      <c r="D1939" s="95" t="s">
        <v>1464</v>
      </c>
      <c r="E1939" s="97">
        <v>6541</v>
      </c>
      <c r="F1939" s="94"/>
      <c r="G1939" s="94"/>
      <c r="H1939" s="94"/>
      <c r="I1939" s="94"/>
      <c r="J1939" s="94"/>
      <c r="K1939" s="94"/>
      <c r="L1939" s="94"/>
      <c r="M1939" s="94"/>
      <c r="N1939" s="94"/>
      <c r="O1939" s="94"/>
      <c r="P1939" s="94"/>
      <c r="Q1939" s="94"/>
      <c r="R1939" s="94"/>
      <c r="S1939" s="94"/>
      <c r="T1939" s="94"/>
      <c r="U1939" s="94"/>
      <c r="V1939" s="94"/>
      <c r="W1939" s="94"/>
      <c r="X1939" s="94"/>
      <c r="Y1939" s="94"/>
      <c r="Z1939" s="94"/>
      <c r="AA1939" s="94"/>
      <c r="AB1939" s="94"/>
      <c r="AC1939" s="94"/>
      <c r="AD1939" s="94"/>
      <c r="AE1939" s="94"/>
      <c r="AF1939" s="94"/>
      <c r="AG1939" s="94"/>
      <c r="AH1939" s="94"/>
      <c r="AI1939" s="94"/>
      <c r="AJ1939" s="94"/>
      <c r="AK1939" s="94"/>
      <c r="AL1939" s="94"/>
      <c r="AM1939" s="94"/>
      <c r="AN1939" s="94"/>
      <c r="AO1939" s="94"/>
      <c r="AP1939" s="94"/>
      <c r="AQ1939" s="94"/>
      <c r="AR1939" s="94"/>
      <c r="AS1939" s="94"/>
      <c r="AT1939" s="94"/>
      <c r="AU1939" s="94"/>
      <c r="AV1939" s="94"/>
      <c r="AW1939" s="94"/>
      <c r="AX1939" s="94"/>
      <c r="AY1939" s="94"/>
      <c r="AZ1939" s="94"/>
      <c r="BA1939" s="94"/>
      <c r="BB1939" s="94"/>
      <c r="BC1939" s="94"/>
      <c r="BD1939" s="94"/>
      <c r="BE1939" s="94"/>
      <c r="BF1939" s="94"/>
    </row>
    <row r="1940" spans="1:58" x14ac:dyDescent="0.35">
      <c r="A1940" s="101" t="s">
        <v>3701</v>
      </c>
      <c r="B1940" s="102" t="s">
        <v>0</v>
      </c>
      <c r="C1940" s="103">
        <v>5</v>
      </c>
      <c r="D1940" s="101" t="s">
        <v>1357</v>
      </c>
      <c r="E1940" s="103" t="s">
        <v>1798</v>
      </c>
      <c r="F1940" s="94"/>
      <c r="G1940" s="94"/>
      <c r="H1940" s="94"/>
      <c r="I1940" s="94"/>
      <c r="J1940" s="94"/>
      <c r="K1940" s="94"/>
      <c r="L1940" s="94"/>
      <c r="M1940" s="94"/>
      <c r="N1940" s="94"/>
      <c r="O1940" s="94"/>
      <c r="P1940" s="94"/>
      <c r="Q1940" s="94"/>
      <c r="R1940" s="94"/>
      <c r="S1940" s="94"/>
      <c r="T1940" s="94"/>
      <c r="U1940" s="94"/>
      <c r="V1940" s="94"/>
      <c r="W1940" s="94"/>
      <c r="X1940" s="94"/>
      <c r="Y1940" s="94"/>
      <c r="Z1940" s="94"/>
      <c r="AA1940" s="94"/>
      <c r="AB1940" s="94"/>
      <c r="AC1940" s="94"/>
      <c r="AD1940" s="94"/>
      <c r="AE1940" s="94"/>
      <c r="AF1940" s="94"/>
      <c r="AG1940" s="94"/>
      <c r="AH1940" s="94"/>
      <c r="AI1940" s="94"/>
      <c r="AJ1940" s="94"/>
      <c r="AK1940" s="94"/>
      <c r="AL1940" s="94"/>
      <c r="AM1940" s="94"/>
      <c r="AN1940" s="94"/>
      <c r="AO1940" s="94"/>
      <c r="AP1940" s="94"/>
      <c r="AQ1940" s="94"/>
      <c r="AR1940" s="94"/>
      <c r="AS1940" s="94"/>
      <c r="AT1940" s="94"/>
      <c r="AU1940" s="94"/>
      <c r="AV1940" s="94"/>
      <c r="AW1940" s="94"/>
      <c r="AX1940" s="94"/>
      <c r="AY1940" s="94"/>
      <c r="AZ1940" s="94"/>
      <c r="BA1940" s="94"/>
      <c r="BB1940" s="94"/>
      <c r="BC1940" s="94"/>
      <c r="BD1940" s="94"/>
      <c r="BE1940" s="94"/>
      <c r="BF1940" s="94"/>
    </row>
    <row r="1941" spans="1:58" x14ac:dyDescent="0.35">
      <c r="A1941" s="104" t="s">
        <v>3702</v>
      </c>
      <c r="B1941" s="105" t="s">
        <v>0</v>
      </c>
      <c r="C1941" s="106">
        <v>6</v>
      </c>
      <c r="D1941" s="104" t="s">
        <v>123</v>
      </c>
      <c r="E1941" s="106"/>
      <c r="F1941" s="94"/>
      <c r="G1941" s="94"/>
      <c r="H1941" s="94"/>
      <c r="I1941" s="94"/>
      <c r="J1941" s="94"/>
      <c r="K1941" s="94"/>
      <c r="L1941" s="94"/>
      <c r="M1941" s="94"/>
      <c r="N1941" s="94"/>
      <c r="O1941" s="94"/>
      <c r="P1941" s="94"/>
      <c r="Q1941" s="94"/>
      <c r="R1941" s="94"/>
      <c r="S1941" s="94"/>
      <c r="T1941" s="94"/>
      <c r="U1941" s="94"/>
      <c r="V1941" s="94"/>
      <c r="W1941" s="94"/>
      <c r="X1941" s="94"/>
      <c r="Y1941" s="94"/>
      <c r="Z1941" s="94"/>
      <c r="AA1941" s="94"/>
      <c r="AB1941" s="94"/>
      <c r="AC1941" s="94"/>
      <c r="AD1941" s="94"/>
      <c r="AE1941" s="94"/>
      <c r="AF1941" s="94"/>
      <c r="AG1941" s="94"/>
      <c r="AH1941" s="94"/>
      <c r="AI1941" s="94"/>
      <c r="AJ1941" s="94"/>
      <c r="AK1941" s="94"/>
      <c r="AL1941" s="94"/>
      <c r="AM1941" s="94"/>
      <c r="AN1941" s="94"/>
      <c r="AO1941" s="94"/>
      <c r="AP1941" s="94"/>
      <c r="AQ1941" s="94"/>
      <c r="AR1941" s="94"/>
      <c r="AS1941" s="94"/>
      <c r="AT1941" s="94"/>
      <c r="AU1941" s="94"/>
      <c r="AV1941" s="94"/>
      <c r="AW1941" s="94"/>
      <c r="AX1941" s="94"/>
      <c r="AY1941" s="94"/>
      <c r="AZ1941" s="94"/>
      <c r="BA1941" s="94"/>
      <c r="BB1941" s="94"/>
      <c r="BC1941" s="94"/>
      <c r="BD1941" s="94"/>
      <c r="BE1941" s="94"/>
      <c r="BF1941" s="94"/>
    </row>
    <row r="1942" spans="1:58" x14ac:dyDescent="0.35">
      <c r="A1942" s="107" t="s">
        <v>3703</v>
      </c>
      <c r="B1942" s="108" t="s">
        <v>0</v>
      </c>
      <c r="C1942" s="109">
        <v>7</v>
      </c>
      <c r="D1942" s="107" t="s">
        <v>1799</v>
      </c>
      <c r="E1942" s="109" t="s">
        <v>1358</v>
      </c>
      <c r="F1942" s="94"/>
      <c r="G1942" s="94"/>
      <c r="H1942" s="94"/>
      <c r="I1942" s="94"/>
      <c r="J1942" s="94"/>
      <c r="K1942" s="94"/>
      <c r="L1942" s="94"/>
      <c r="M1942" s="94"/>
      <c r="N1942" s="94"/>
      <c r="O1942" s="94"/>
      <c r="P1942" s="94"/>
      <c r="Q1942" s="94"/>
      <c r="R1942" s="94"/>
      <c r="S1942" s="94"/>
      <c r="T1942" s="94"/>
      <c r="U1942" s="94"/>
      <c r="V1942" s="94"/>
      <c r="W1942" s="94"/>
      <c r="X1942" s="94"/>
      <c r="Y1942" s="94"/>
      <c r="Z1942" s="94"/>
      <c r="AA1942" s="94"/>
      <c r="AB1942" s="94"/>
      <c r="AC1942" s="94"/>
      <c r="AD1942" s="94"/>
      <c r="AE1942" s="94"/>
      <c r="AF1942" s="94"/>
      <c r="AG1942" s="94"/>
      <c r="AH1942" s="94"/>
      <c r="AI1942" s="94"/>
      <c r="AJ1942" s="94"/>
      <c r="AK1942" s="94"/>
      <c r="AL1942" s="94"/>
      <c r="AM1942" s="94"/>
      <c r="AN1942" s="94"/>
      <c r="AO1942" s="94"/>
      <c r="AP1942" s="94"/>
      <c r="AQ1942" s="94"/>
      <c r="AR1942" s="94"/>
      <c r="AS1942" s="94"/>
      <c r="AT1942" s="94"/>
      <c r="AU1942" s="94"/>
      <c r="AV1942" s="94"/>
      <c r="AW1942" s="94"/>
      <c r="AX1942" s="94"/>
      <c r="AY1942" s="94"/>
      <c r="AZ1942" s="94"/>
      <c r="BA1942" s="94"/>
      <c r="BB1942" s="94"/>
      <c r="BC1942" s="94"/>
      <c r="BD1942" s="94"/>
      <c r="BE1942" s="94"/>
      <c r="BF1942" s="94"/>
    </row>
    <row r="1943" spans="1:58" x14ac:dyDescent="0.35">
      <c r="A1943" s="107" t="s">
        <v>3704</v>
      </c>
      <c r="B1943" s="108" t="s">
        <v>0</v>
      </c>
      <c r="C1943" s="109">
        <v>7</v>
      </c>
      <c r="D1943" s="107" t="s">
        <v>1359</v>
      </c>
      <c r="E1943" s="109" t="s">
        <v>1360</v>
      </c>
      <c r="F1943" s="94"/>
      <c r="G1943" s="94"/>
      <c r="H1943" s="94"/>
      <c r="I1943" s="94"/>
      <c r="J1943" s="94"/>
      <c r="K1943" s="94"/>
      <c r="L1943" s="94"/>
      <c r="M1943" s="94"/>
      <c r="N1943" s="94"/>
      <c r="O1943" s="94"/>
      <c r="P1943" s="94"/>
      <c r="Q1943" s="94"/>
      <c r="R1943" s="94"/>
      <c r="S1943" s="94"/>
      <c r="T1943" s="94"/>
      <c r="U1943" s="94"/>
      <c r="V1943" s="94"/>
      <c r="W1943" s="94"/>
      <c r="X1943" s="94"/>
      <c r="Y1943" s="94"/>
      <c r="Z1943" s="94"/>
      <c r="AA1943" s="94"/>
      <c r="AB1943" s="94"/>
      <c r="AC1943" s="94"/>
      <c r="AD1943" s="94"/>
      <c r="AE1943" s="94"/>
      <c r="AF1943" s="94"/>
      <c r="AG1943" s="94"/>
      <c r="AH1943" s="94"/>
      <c r="AI1943" s="94"/>
      <c r="AJ1943" s="94"/>
      <c r="AK1943" s="94"/>
      <c r="AL1943" s="94"/>
      <c r="AM1943" s="94"/>
      <c r="AN1943" s="94"/>
      <c r="AO1943" s="94"/>
      <c r="AP1943" s="94"/>
      <c r="AQ1943" s="94"/>
      <c r="AR1943" s="94"/>
      <c r="AS1943" s="94"/>
      <c r="AT1943" s="94"/>
      <c r="AU1943" s="94"/>
      <c r="AV1943" s="94"/>
      <c r="AW1943" s="94"/>
      <c r="AX1943" s="94"/>
      <c r="AY1943" s="94"/>
      <c r="AZ1943" s="94"/>
      <c r="BA1943" s="94"/>
      <c r="BB1943" s="94"/>
      <c r="BC1943" s="94"/>
      <c r="BD1943" s="94"/>
      <c r="BE1943" s="94"/>
      <c r="BF1943" s="94"/>
    </row>
    <row r="1944" spans="1:58" x14ac:dyDescent="0.35">
      <c r="A1944" s="107" t="s">
        <v>3705</v>
      </c>
      <c r="B1944" s="108" t="s">
        <v>0</v>
      </c>
      <c r="C1944" s="109">
        <v>7</v>
      </c>
      <c r="D1944" s="107" t="s">
        <v>1489</v>
      </c>
      <c r="E1944" s="109" t="s">
        <v>1361</v>
      </c>
      <c r="F1944" s="94"/>
      <c r="G1944" s="94"/>
      <c r="H1944" s="94"/>
      <c r="I1944" s="94"/>
      <c r="J1944" s="94"/>
      <c r="K1944" s="94"/>
      <c r="L1944" s="94"/>
      <c r="M1944" s="94"/>
      <c r="N1944" s="94"/>
      <c r="O1944" s="94"/>
      <c r="P1944" s="94"/>
      <c r="Q1944" s="94"/>
      <c r="R1944" s="94"/>
      <c r="S1944" s="94"/>
      <c r="T1944" s="94"/>
      <c r="U1944" s="94"/>
      <c r="V1944" s="94"/>
      <c r="W1944" s="94"/>
      <c r="X1944" s="94"/>
      <c r="Y1944" s="94"/>
      <c r="Z1944" s="94"/>
      <c r="AA1944" s="94"/>
      <c r="AB1944" s="94"/>
      <c r="AC1944" s="94"/>
      <c r="AD1944" s="94"/>
      <c r="AE1944" s="94"/>
      <c r="AF1944" s="94"/>
      <c r="AG1944" s="94"/>
      <c r="AH1944" s="94"/>
      <c r="AI1944" s="94"/>
      <c r="AJ1944" s="94"/>
      <c r="AK1944" s="94"/>
      <c r="AL1944" s="94"/>
      <c r="AM1944" s="94"/>
      <c r="AN1944" s="94"/>
      <c r="AO1944" s="94"/>
      <c r="AP1944" s="94"/>
      <c r="AQ1944" s="94"/>
      <c r="AR1944" s="94"/>
      <c r="AS1944" s="94"/>
      <c r="AT1944" s="94"/>
      <c r="AU1944" s="94"/>
      <c r="AV1944" s="94"/>
      <c r="AW1944" s="94"/>
      <c r="AX1944" s="94"/>
      <c r="AY1944" s="94"/>
      <c r="AZ1944" s="94"/>
      <c r="BA1944" s="94"/>
      <c r="BB1944" s="94"/>
      <c r="BC1944" s="94"/>
      <c r="BD1944" s="94"/>
      <c r="BE1944" s="94"/>
      <c r="BF1944" s="94"/>
    </row>
    <row r="1945" spans="1:58" x14ac:dyDescent="0.35">
      <c r="A1945" s="107" t="s">
        <v>3706</v>
      </c>
      <c r="B1945" s="108" t="s">
        <v>0</v>
      </c>
      <c r="C1945" s="109">
        <v>7</v>
      </c>
      <c r="D1945" s="107" t="s">
        <v>1362</v>
      </c>
      <c r="E1945" s="109" t="s">
        <v>1363</v>
      </c>
      <c r="F1945" s="94"/>
      <c r="G1945" s="94"/>
      <c r="H1945" s="94"/>
      <c r="I1945" s="94"/>
      <c r="J1945" s="94"/>
      <c r="K1945" s="94"/>
      <c r="L1945" s="94"/>
      <c r="M1945" s="94"/>
      <c r="N1945" s="94"/>
      <c r="O1945" s="94"/>
      <c r="P1945" s="94"/>
      <c r="Q1945" s="94"/>
      <c r="R1945" s="94"/>
      <c r="S1945" s="94"/>
      <c r="T1945" s="94"/>
      <c r="U1945" s="94"/>
      <c r="V1945" s="94"/>
      <c r="W1945" s="94"/>
      <c r="X1945" s="94"/>
      <c r="Y1945" s="94"/>
      <c r="Z1945" s="94"/>
      <c r="AA1945" s="94"/>
      <c r="AB1945" s="94"/>
      <c r="AC1945" s="94"/>
      <c r="AD1945" s="94"/>
      <c r="AE1945" s="94"/>
      <c r="AF1945" s="94"/>
      <c r="AG1945" s="94"/>
      <c r="AH1945" s="94"/>
      <c r="AI1945" s="94"/>
      <c r="AJ1945" s="94"/>
      <c r="AK1945" s="94"/>
      <c r="AL1945" s="94"/>
      <c r="AM1945" s="94"/>
      <c r="AN1945" s="94"/>
      <c r="AO1945" s="94"/>
      <c r="AP1945" s="94"/>
      <c r="AQ1945" s="94"/>
      <c r="AR1945" s="94"/>
      <c r="AS1945" s="94"/>
      <c r="AT1945" s="94"/>
      <c r="AU1945" s="94"/>
      <c r="AV1945" s="94"/>
      <c r="AW1945" s="94"/>
      <c r="AX1945" s="94"/>
      <c r="AY1945" s="94"/>
      <c r="AZ1945" s="94"/>
      <c r="BA1945" s="94"/>
      <c r="BB1945" s="94"/>
      <c r="BC1945" s="94"/>
      <c r="BD1945" s="94"/>
      <c r="BE1945" s="94"/>
      <c r="BF1945" s="94"/>
    </row>
    <row r="1946" spans="1:58" x14ac:dyDescent="0.35">
      <c r="A1946" s="107" t="s">
        <v>3707</v>
      </c>
      <c r="B1946" s="108" t="s">
        <v>0</v>
      </c>
      <c r="C1946" s="109">
        <v>7</v>
      </c>
      <c r="D1946" s="107" t="s">
        <v>1801</v>
      </c>
      <c r="E1946" s="109"/>
      <c r="F1946" s="94"/>
      <c r="G1946" s="94"/>
      <c r="H1946" s="94"/>
      <c r="I1946" s="94"/>
      <c r="J1946" s="94"/>
      <c r="K1946" s="94"/>
      <c r="L1946" s="94"/>
      <c r="M1946" s="94"/>
      <c r="N1946" s="94"/>
      <c r="O1946" s="94"/>
      <c r="P1946" s="94"/>
      <c r="Q1946" s="94"/>
      <c r="R1946" s="94"/>
      <c r="S1946" s="94"/>
      <c r="T1946" s="94"/>
      <c r="U1946" s="94"/>
      <c r="V1946" s="94"/>
      <c r="W1946" s="94"/>
      <c r="X1946" s="94"/>
      <c r="Y1946" s="94"/>
      <c r="Z1946" s="94"/>
      <c r="AA1946" s="94"/>
      <c r="AB1946" s="94"/>
      <c r="AC1946" s="94"/>
      <c r="AD1946" s="94"/>
      <c r="AE1946" s="94"/>
      <c r="AF1946" s="94"/>
      <c r="AG1946" s="94"/>
      <c r="AH1946" s="94"/>
      <c r="AI1946" s="94"/>
      <c r="AJ1946" s="94"/>
      <c r="AK1946" s="94"/>
      <c r="AL1946" s="94"/>
      <c r="AM1946" s="94"/>
      <c r="AN1946" s="94"/>
      <c r="AO1946" s="94"/>
      <c r="AP1946" s="94"/>
      <c r="AQ1946" s="94"/>
      <c r="AR1946" s="94"/>
      <c r="AS1946" s="94"/>
      <c r="AT1946" s="94"/>
      <c r="AU1946" s="94"/>
      <c r="AV1946" s="94"/>
      <c r="AW1946" s="94"/>
      <c r="AX1946" s="94"/>
      <c r="AY1946" s="94"/>
      <c r="AZ1946" s="94"/>
      <c r="BA1946" s="94"/>
      <c r="BB1946" s="94"/>
      <c r="BC1946" s="94"/>
      <c r="BD1946" s="94"/>
      <c r="BE1946" s="94"/>
      <c r="BF1946" s="94"/>
    </row>
    <row r="1947" spans="1:58" x14ac:dyDescent="0.35">
      <c r="A1947" s="107" t="s">
        <v>3708</v>
      </c>
      <c r="B1947" s="108" t="s">
        <v>0</v>
      </c>
      <c r="C1947" s="109">
        <v>7</v>
      </c>
      <c r="D1947" s="107" t="s">
        <v>1800</v>
      </c>
      <c r="E1947" s="109" t="s">
        <v>1364</v>
      </c>
      <c r="F1947" s="94"/>
      <c r="G1947" s="94"/>
      <c r="H1947" s="94"/>
      <c r="I1947" s="94"/>
      <c r="J1947" s="94"/>
      <c r="K1947" s="94"/>
      <c r="L1947" s="94"/>
      <c r="M1947" s="94"/>
      <c r="N1947" s="94"/>
      <c r="O1947" s="94"/>
      <c r="P1947" s="94"/>
      <c r="Q1947" s="94"/>
      <c r="R1947" s="94"/>
      <c r="S1947" s="94"/>
      <c r="T1947" s="94"/>
      <c r="U1947" s="94"/>
      <c r="V1947" s="94"/>
      <c r="W1947" s="94"/>
      <c r="X1947" s="94"/>
      <c r="Y1947" s="94"/>
      <c r="Z1947" s="94"/>
      <c r="AA1947" s="94"/>
      <c r="AB1947" s="94"/>
      <c r="AC1947" s="94"/>
      <c r="AD1947" s="94"/>
      <c r="AE1947" s="94"/>
      <c r="AF1947" s="94"/>
      <c r="AG1947" s="94"/>
      <c r="AH1947" s="94"/>
      <c r="AI1947" s="94"/>
      <c r="AJ1947" s="94"/>
      <c r="AK1947" s="94"/>
      <c r="AL1947" s="94"/>
      <c r="AM1947" s="94"/>
      <c r="AN1947" s="94"/>
      <c r="AO1947" s="94"/>
      <c r="AP1947" s="94"/>
      <c r="AQ1947" s="94"/>
      <c r="AR1947" s="94"/>
      <c r="AS1947" s="94"/>
      <c r="AT1947" s="94"/>
      <c r="AU1947" s="94"/>
      <c r="AV1947" s="94"/>
      <c r="AW1947" s="94"/>
      <c r="AX1947" s="94"/>
      <c r="AY1947" s="94"/>
      <c r="AZ1947" s="94"/>
      <c r="BA1947" s="94"/>
      <c r="BB1947" s="94"/>
      <c r="BC1947" s="94"/>
      <c r="BD1947" s="94"/>
      <c r="BE1947" s="94"/>
      <c r="BF1947" s="94"/>
    </row>
    <row r="1948" spans="1:58" x14ac:dyDescent="0.35">
      <c r="A1948" s="107" t="s">
        <v>3709</v>
      </c>
      <c r="B1948" s="108" t="s">
        <v>0</v>
      </c>
      <c r="C1948" s="109">
        <v>7</v>
      </c>
      <c r="D1948" s="107" t="s">
        <v>1491</v>
      </c>
      <c r="E1948" s="109" t="s">
        <v>1365</v>
      </c>
      <c r="F1948" s="94"/>
      <c r="G1948" s="94"/>
      <c r="H1948" s="94"/>
      <c r="I1948" s="94"/>
      <c r="J1948" s="94"/>
      <c r="K1948" s="94"/>
      <c r="L1948" s="94"/>
      <c r="M1948" s="94"/>
      <c r="N1948" s="94"/>
      <c r="O1948" s="94"/>
      <c r="P1948" s="94"/>
      <c r="Q1948" s="94"/>
      <c r="R1948" s="94"/>
      <c r="S1948" s="94"/>
      <c r="T1948" s="94"/>
      <c r="U1948" s="94"/>
      <c r="V1948" s="94"/>
      <c r="W1948" s="94"/>
      <c r="X1948" s="94"/>
      <c r="Y1948" s="94"/>
      <c r="Z1948" s="94"/>
      <c r="AA1948" s="94"/>
      <c r="AB1948" s="94"/>
      <c r="AC1948" s="94"/>
      <c r="AD1948" s="94"/>
      <c r="AE1948" s="94"/>
      <c r="AF1948" s="94"/>
      <c r="AG1948" s="94"/>
      <c r="AH1948" s="94"/>
      <c r="AI1948" s="94"/>
      <c r="AJ1948" s="94"/>
      <c r="AK1948" s="94"/>
      <c r="AL1948" s="94"/>
      <c r="AM1948" s="94"/>
      <c r="AN1948" s="94"/>
      <c r="AO1948" s="94"/>
      <c r="AP1948" s="94"/>
      <c r="AQ1948" s="94"/>
      <c r="AR1948" s="94"/>
      <c r="AS1948" s="94"/>
      <c r="AT1948" s="94"/>
      <c r="AU1948" s="94"/>
      <c r="AV1948" s="94"/>
      <c r="AW1948" s="94"/>
      <c r="AX1948" s="94"/>
      <c r="AY1948" s="94"/>
      <c r="AZ1948" s="94"/>
      <c r="BA1948" s="94"/>
      <c r="BB1948" s="94"/>
      <c r="BC1948" s="94"/>
      <c r="BD1948" s="94"/>
      <c r="BE1948" s="94"/>
      <c r="BF1948" s="94"/>
    </row>
    <row r="1949" spans="1:58" x14ac:dyDescent="0.35">
      <c r="A1949" s="107" t="s">
        <v>3710</v>
      </c>
      <c r="B1949" s="108" t="s">
        <v>0</v>
      </c>
      <c r="C1949" s="109">
        <v>7</v>
      </c>
      <c r="D1949" s="107" t="s">
        <v>1492</v>
      </c>
      <c r="E1949" s="109" t="s">
        <v>1366</v>
      </c>
      <c r="F1949" s="94"/>
      <c r="G1949" s="94"/>
      <c r="H1949" s="94"/>
      <c r="I1949" s="94"/>
      <c r="J1949" s="94"/>
      <c r="K1949" s="94"/>
      <c r="L1949" s="94"/>
      <c r="M1949" s="94"/>
      <c r="N1949" s="94"/>
      <c r="O1949" s="94"/>
      <c r="P1949" s="94"/>
      <c r="Q1949" s="94"/>
      <c r="R1949" s="94"/>
      <c r="S1949" s="94"/>
      <c r="T1949" s="94"/>
      <c r="U1949" s="94"/>
      <c r="V1949" s="94"/>
      <c r="W1949" s="94"/>
      <c r="X1949" s="94"/>
      <c r="Y1949" s="94"/>
      <c r="Z1949" s="94"/>
      <c r="AA1949" s="94"/>
      <c r="AB1949" s="94"/>
      <c r="AC1949" s="94"/>
      <c r="AD1949" s="94"/>
      <c r="AE1949" s="94"/>
      <c r="AF1949" s="94"/>
      <c r="AG1949" s="94"/>
      <c r="AH1949" s="94"/>
      <c r="AI1949" s="94"/>
      <c r="AJ1949" s="94"/>
      <c r="AK1949" s="94"/>
      <c r="AL1949" s="94"/>
      <c r="AM1949" s="94"/>
      <c r="AN1949" s="94"/>
      <c r="AO1949" s="94"/>
      <c r="AP1949" s="94"/>
      <c r="AQ1949" s="94"/>
      <c r="AR1949" s="94"/>
      <c r="AS1949" s="94"/>
      <c r="AT1949" s="94"/>
      <c r="AU1949" s="94"/>
      <c r="AV1949" s="94"/>
      <c r="AW1949" s="94"/>
      <c r="AX1949" s="94"/>
      <c r="AY1949" s="94"/>
      <c r="AZ1949" s="94"/>
      <c r="BA1949" s="94"/>
      <c r="BB1949" s="94"/>
      <c r="BC1949" s="94"/>
      <c r="BD1949" s="94"/>
      <c r="BE1949" s="94"/>
      <c r="BF1949" s="94"/>
    </row>
    <row r="1950" spans="1:58" x14ac:dyDescent="0.35">
      <c r="A1950" s="107" t="s">
        <v>3711</v>
      </c>
      <c r="B1950" s="108" t="s">
        <v>0</v>
      </c>
      <c r="C1950" s="109">
        <v>7</v>
      </c>
      <c r="D1950" s="107" t="s">
        <v>1367</v>
      </c>
      <c r="E1950" s="109" t="s">
        <v>1368</v>
      </c>
      <c r="F1950" s="94"/>
      <c r="G1950" s="94"/>
      <c r="H1950" s="94"/>
      <c r="I1950" s="94"/>
      <c r="J1950" s="94"/>
      <c r="K1950" s="94"/>
      <c r="L1950" s="94"/>
      <c r="M1950" s="94"/>
      <c r="N1950" s="94"/>
      <c r="O1950" s="94"/>
      <c r="P1950" s="94"/>
      <c r="Q1950" s="94"/>
      <c r="R1950" s="94"/>
      <c r="S1950" s="94"/>
      <c r="T1950" s="94"/>
      <c r="U1950" s="94"/>
      <c r="V1950" s="94"/>
      <c r="W1950" s="94"/>
      <c r="X1950" s="94"/>
      <c r="Y1950" s="94"/>
      <c r="Z1950" s="94"/>
      <c r="AA1950" s="94"/>
      <c r="AB1950" s="94"/>
      <c r="AC1950" s="94"/>
      <c r="AD1950" s="94"/>
      <c r="AE1950" s="94"/>
      <c r="AF1950" s="94"/>
      <c r="AG1950" s="94"/>
      <c r="AH1950" s="94"/>
      <c r="AI1950" s="94"/>
      <c r="AJ1950" s="94"/>
      <c r="AK1950" s="94"/>
      <c r="AL1950" s="94"/>
      <c r="AM1950" s="94"/>
      <c r="AN1950" s="94"/>
      <c r="AO1950" s="94"/>
      <c r="AP1950" s="94"/>
      <c r="AQ1950" s="94"/>
      <c r="AR1950" s="94"/>
      <c r="AS1950" s="94"/>
      <c r="AT1950" s="94"/>
      <c r="AU1950" s="94"/>
      <c r="AV1950" s="94"/>
      <c r="AW1950" s="94"/>
      <c r="AX1950" s="94"/>
      <c r="AY1950" s="94"/>
      <c r="AZ1950" s="94"/>
      <c r="BA1950" s="94"/>
      <c r="BB1950" s="94"/>
      <c r="BC1950" s="94"/>
      <c r="BD1950" s="94"/>
      <c r="BE1950" s="94"/>
      <c r="BF1950" s="94"/>
    </row>
    <row r="1951" spans="1:58" x14ac:dyDescent="0.35">
      <c r="A1951" s="107" t="s">
        <v>3712</v>
      </c>
      <c r="B1951" s="108" t="s">
        <v>0</v>
      </c>
      <c r="C1951" s="109">
        <v>7</v>
      </c>
      <c r="D1951" s="107" t="s">
        <v>1493</v>
      </c>
      <c r="E1951" s="109" t="s">
        <v>1369</v>
      </c>
      <c r="F1951" s="94"/>
      <c r="G1951" s="94"/>
      <c r="H1951" s="94"/>
      <c r="I1951" s="94"/>
      <c r="J1951" s="94"/>
      <c r="K1951" s="94"/>
      <c r="L1951" s="94"/>
      <c r="M1951" s="94"/>
      <c r="N1951" s="94"/>
      <c r="O1951" s="94"/>
      <c r="P1951" s="94"/>
      <c r="Q1951" s="94"/>
      <c r="R1951" s="94"/>
      <c r="S1951" s="94"/>
      <c r="T1951" s="94"/>
      <c r="U1951" s="94"/>
      <c r="V1951" s="94"/>
      <c r="W1951" s="94"/>
      <c r="X1951" s="94"/>
      <c r="Y1951" s="94"/>
      <c r="Z1951" s="94"/>
      <c r="AA1951" s="94"/>
      <c r="AB1951" s="94"/>
      <c r="AC1951" s="94"/>
      <c r="AD1951" s="94"/>
      <c r="AE1951" s="94"/>
      <c r="AF1951" s="94"/>
      <c r="AG1951" s="94"/>
      <c r="AH1951" s="94"/>
      <c r="AI1951" s="94"/>
      <c r="AJ1951" s="94"/>
      <c r="AK1951" s="94"/>
      <c r="AL1951" s="94"/>
      <c r="AM1951" s="94"/>
      <c r="AN1951" s="94"/>
      <c r="AO1951" s="94"/>
      <c r="AP1951" s="94"/>
      <c r="AQ1951" s="94"/>
      <c r="AR1951" s="94"/>
      <c r="AS1951" s="94"/>
      <c r="AT1951" s="94"/>
      <c r="AU1951" s="94"/>
      <c r="AV1951" s="94"/>
      <c r="AW1951" s="94"/>
      <c r="AX1951" s="94"/>
      <c r="AY1951" s="94"/>
      <c r="AZ1951" s="94"/>
      <c r="BA1951" s="94"/>
      <c r="BB1951" s="94"/>
      <c r="BC1951" s="94"/>
      <c r="BD1951" s="94"/>
      <c r="BE1951" s="94"/>
      <c r="BF1951" s="94"/>
    </row>
    <row r="1952" spans="1:58" x14ac:dyDescent="0.35">
      <c r="A1952" s="107" t="s">
        <v>3713</v>
      </c>
      <c r="B1952" s="108" t="s">
        <v>0</v>
      </c>
      <c r="C1952" s="109">
        <v>7</v>
      </c>
      <c r="D1952" s="107" t="s">
        <v>1495</v>
      </c>
      <c r="E1952" s="109" t="s">
        <v>1370</v>
      </c>
      <c r="F1952" s="94"/>
      <c r="G1952" s="94"/>
      <c r="H1952" s="94"/>
      <c r="I1952" s="94"/>
      <c r="J1952" s="94"/>
      <c r="K1952" s="94"/>
      <c r="L1952" s="94"/>
      <c r="M1952" s="94"/>
      <c r="N1952" s="94"/>
      <c r="O1952" s="94"/>
      <c r="P1952" s="94"/>
      <c r="Q1952" s="94"/>
      <c r="R1952" s="94"/>
      <c r="S1952" s="94"/>
      <c r="T1952" s="94"/>
      <c r="U1952" s="94"/>
      <c r="V1952" s="94"/>
      <c r="W1952" s="94"/>
      <c r="X1952" s="94"/>
      <c r="Y1952" s="94"/>
      <c r="Z1952" s="94"/>
      <c r="AA1952" s="94"/>
      <c r="AB1952" s="94"/>
      <c r="AC1952" s="94"/>
      <c r="AD1952" s="94"/>
      <c r="AE1952" s="94"/>
      <c r="AF1952" s="94"/>
      <c r="AG1952" s="94"/>
      <c r="AH1952" s="94"/>
      <c r="AI1952" s="94"/>
      <c r="AJ1952" s="94"/>
      <c r="AK1952" s="94"/>
      <c r="AL1952" s="94"/>
      <c r="AM1952" s="94"/>
      <c r="AN1952" s="94"/>
      <c r="AO1952" s="94"/>
      <c r="AP1952" s="94"/>
      <c r="AQ1952" s="94"/>
      <c r="AR1952" s="94"/>
      <c r="AS1952" s="94"/>
      <c r="AT1952" s="94"/>
      <c r="AU1952" s="94"/>
      <c r="AV1952" s="94"/>
      <c r="AW1952" s="94"/>
      <c r="AX1952" s="94"/>
      <c r="AY1952" s="94"/>
      <c r="AZ1952" s="94"/>
      <c r="BA1952" s="94"/>
      <c r="BB1952" s="94"/>
      <c r="BC1952" s="94"/>
      <c r="BD1952" s="94"/>
      <c r="BE1952" s="94"/>
      <c r="BF1952" s="94"/>
    </row>
    <row r="1953" spans="1:58" x14ac:dyDescent="0.35">
      <c r="A1953" s="107" t="s">
        <v>3714</v>
      </c>
      <c r="B1953" s="108" t="s">
        <v>0</v>
      </c>
      <c r="C1953" s="109">
        <v>7</v>
      </c>
      <c r="D1953" s="107" t="s">
        <v>1371</v>
      </c>
      <c r="E1953" s="109"/>
      <c r="F1953" s="94"/>
      <c r="G1953" s="94"/>
      <c r="H1953" s="94"/>
      <c r="I1953" s="94"/>
      <c r="J1953" s="94"/>
      <c r="K1953" s="94"/>
      <c r="L1953" s="94"/>
      <c r="M1953" s="94"/>
      <c r="N1953" s="94"/>
      <c r="O1953" s="94"/>
      <c r="P1953" s="94"/>
      <c r="Q1953" s="94"/>
      <c r="R1953" s="94"/>
      <c r="S1953" s="94"/>
      <c r="T1953" s="94"/>
      <c r="U1953" s="94"/>
      <c r="V1953" s="94"/>
      <c r="W1953" s="94"/>
      <c r="X1953" s="94"/>
      <c r="Y1953" s="94"/>
      <c r="Z1953" s="94"/>
      <c r="AA1953" s="94"/>
      <c r="AB1953" s="94"/>
      <c r="AC1953" s="94"/>
      <c r="AD1953" s="94"/>
      <c r="AE1953" s="94"/>
      <c r="AF1953" s="94"/>
      <c r="AG1953" s="94"/>
      <c r="AH1953" s="94"/>
      <c r="AI1953" s="94"/>
      <c r="AJ1953" s="94"/>
      <c r="AK1953" s="94"/>
      <c r="AL1953" s="94"/>
      <c r="AM1953" s="94"/>
      <c r="AN1953" s="94"/>
      <c r="AO1953" s="94"/>
      <c r="AP1953" s="94"/>
      <c r="AQ1953" s="94"/>
      <c r="AR1953" s="94"/>
      <c r="AS1953" s="94"/>
      <c r="AT1953" s="94"/>
      <c r="AU1953" s="94"/>
      <c r="AV1953" s="94"/>
      <c r="AW1953" s="94"/>
      <c r="AX1953" s="94"/>
      <c r="AY1953" s="94"/>
      <c r="AZ1953" s="94"/>
      <c r="BA1953" s="94"/>
      <c r="BB1953" s="94"/>
      <c r="BC1953" s="94"/>
      <c r="BD1953" s="94"/>
      <c r="BE1953" s="94"/>
      <c r="BF1953" s="94"/>
    </row>
    <row r="1954" spans="1:58" x14ac:dyDescent="0.35">
      <c r="A1954" s="107" t="s">
        <v>3715</v>
      </c>
      <c r="B1954" s="108" t="s">
        <v>0</v>
      </c>
      <c r="C1954" s="109">
        <v>7</v>
      </c>
      <c r="D1954" s="107" t="s">
        <v>1496</v>
      </c>
      <c r="E1954" s="109"/>
      <c r="F1954" s="94"/>
      <c r="G1954" s="94"/>
      <c r="H1954" s="94"/>
      <c r="I1954" s="94"/>
      <c r="J1954" s="94"/>
      <c r="K1954" s="94"/>
      <c r="L1954" s="94"/>
      <c r="M1954" s="94"/>
      <c r="N1954" s="94"/>
      <c r="O1954" s="94"/>
      <c r="P1954" s="94"/>
      <c r="Q1954" s="94"/>
      <c r="R1954" s="94"/>
      <c r="S1954" s="94"/>
      <c r="T1954" s="94"/>
      <c r="U1954" s="94"/>
      <c r="V1954" s="94"/>
      <c r="W1954" s="94"/>
      <c r="X1954" s="94"/>
      <c r="Y1954" s="94"/>
      <c r="Z1954" s="94"/>
      <c r="AA1954" s="94"/>
      <c r="AB1954" s="94"/>
      <c r="AC1954" s="94"/>
      <c r="AD1954" s="94"/>
      <c r="AE1954" s="94"/>
      <c r="AF1954" s="94"/>
      <c r="AG1954" s="94"/>
      <c r="AH1954" s="94"/>
      <c r="AI1954" s="94"/>
      <c r="AJ1954" s="94"/>
      <c r="AK1954" s="94"/>
      <c r="AL1954" s="94"/>
      <c r="AM1954" s="94"/>
      <c r="AN1954" s="94"/>
      <c r="AO1954" s="94"/>
      <c r="AP1954" s="94"/>
      <c r="AQ1954" s="94"/>
      <c r="AR1954" s="94"/>
      <c r="AS1954" s="94"/>
      <c r="AT1954" s="94"/>
      <c r="AU1954" s="94"/>
      <c r="AV1954" s="94"/>
      <c r="AW1954" s="94"/>
      <c r="AX1954" s="94"/>
      <c r="AY1954" s="94"/>
      <c r="AZ1954" s="94"/>
      <c r="BA1954" s="94"/>
      <c r="BB1954" s="94"/>
      <c r="BC1954" s="94"/>
      <c r="BD1954" s="94"/>
      <c r="BE1954" s="94"/>
      <c r="BF1954" s="94"/>
    </row>
    <row r="1955" spans="1:58" x14ac:dyDescent="0.35">
      <c r="A1955" s="107" t="s">
        <v>3716</v>
      </c>
      <c r="B1955" s="108" t="s">
        <v>0</v>
      </c>
      <c r="C1955" s="109">
        <v>7</v>
      </c>
      <c r="D1955" s="107" t="s">
        <v>1494</v>
      </c>
      <c r="E1955" s="109" t="s">
        <v>1372</v>
      </c>
      <c r="F1955" s="94"/>
      <c r="G1955" s="94"/>
      <c r="H1955" s="94"/>
      <c r="I1955" s="94"/>
      <c r="J1955" s="94"/>
      <c r="K1955" s="94"/>
      <c r="L1955" s="94"/>
      <c r="M1955" s="94"/>
      <c r="N1955" s="94"/>
      <c r="O1955" s="94"/>
      <c r="P1955" s="94"/>
      <c r="Q1955" s="94"/>
      <c r="R1955" s="94"/>
      <c r="S1955" s="94"/>
      <c r="T1955" s="94"/>
      <c r="U1955" s="94"/>
      <c r="V1955" s="94"/>
      <c r="W1955" s="94"/>
      <c r="X1955" s="94"/>
      <c r="Y1955" s="94"/>
      <c r="Z1955" s="94"/>
      <c r="AA1955" s="94"/>
      <c r="AB1955" s="94"/>
      <c r="AC1955" s="94"/>
      <c r="AD1955" s="94"/>
      <c r="AE1955" s="94"/>
      <c r="AF1955" s="94"/>
      <c r="AG1955" s="94"/>
      <c r="AH1955" s="94"/>
      <c r="AI1955" s="94"/>
      <c r="AJ1955" s="94"/>
      <c r="AK1955" s="94"/>
      <c r="AL1955" s="94"/>
      <c r="AM1955" s="94"/>
      <c r="AN1955" s="94"/>
      <c r="AO1955" s="94"/>
      <c r="AP1955" s="94"/>
      <c r="AQ1955" s="94"/>
      <c r="AR1955" s="94"/>
      <c r="AS1955" s="94"/>
      <c r="AT1955" s="94"/>
      <c r="AU1955" s="94"/>
      <c r="AV1955" s="94"/>
      <c r="AW1955" s="94"/>
      <c r="AX1955" s="94"/>
      <c r="AY1955" s="94"/>
      <c r="AZ1955" s="94"/>
      <c r="BA1955" s="94"/>
      <c r="BB1955" s="94"/>
      <c r="BC1955" s="94"/>
      <c r="BD1955" s="94"/>
      <c r="BE1955" s="94"/>
      <c r="BF1955" s="94"/>
    </row>
    <row r="1956" spans="1:58" x14ac:dyDescent="0.35">
      <c r="A1956" s="107" t="s">
        <v>3717</v>
      </c>
      <c r="B1956" s="108" t="s">
        <v>0</v>
      </c>
      <c r="C1956" s="109">
        <v>7</v>
      </c>
      <c r="D1956" s="107" t="s">
        <v>1497</v>
      </c>
      <c r="E1956" s="109" t="s">
        <v>1373</v>
      </c>
      <c r="F1956" s="94"/>
      <c r="G1956" s="94"/>
      <c r="H1956" s="94"/>
      <c r="I1956" s="94"/>
      <c r="J1956" s="94"/>
      <c r="K1956" s="94"/>
      <c r="L1956" s="94"/>
      <c r="M1956" s="94"/>
      <c r="N1956" s="94"/>
      <c r="O1956" s="94"/>
      <c r="P1956" s="94"/>
      <c r="Q1956" s="94"/>
      <c r="R1956" s="94"/>
      <c r="S1956" s="94"/>
      <c r="T1956" s="94"/>
      <c r="U1956" s="94"/>
      <c r="V1956" s="94"/>
      <c r="W1956" s="94"/>
      <c r="X1956" s="94"/>
      <c r="Y1956" s="94"/>
      <c r="Z1956" s="94"/>
      <c r="AA1956" s="94"/>
      <c r="AB1956" s="94"/>
      <c r="AC1956" s="94"/>
      <c r="AD1956" s="94"/>
      <c r="AE1956" s="94"/>
      <c r="AF1956" s="94"/>
      <c r="AG1956" s="94"/>
      <c r="AH1956" s="94"/>
      <c r="AI1956" s="94"/>
      <c r="AJ1956" s="94"/>
      <c r="AK1956" s="94"/>
      <c r="AL1956" s="94"/>
      <c r="AM1956" s="94"/>
      <c r="AN1956" s="94"/>
      <c r="AO1956" s="94"/>
      <c r="AP1956" s="94"/>
      <c r="AQ1956" s="94"/>
      <c r="AR1956" s="94"/>
      <c r="AS1956" s="94"/>
      <c r="AT1956" s="94"/>
      <c r="AU1956" s="94"/>
      <c r="AV1956" s="94"/>
      <c r="AW1956" s="94"/>
      <c r="AX1956" s="94"/>
      <c r="AY1956" s="94"/>
      <c r="AZ1956" s="94"/>
      <c r="BA1956" s="94"/>
      <c r="BB1956" s="94"/>
      <c r="BC1956" s="94"/>
      <c r="BD1956" s="94"/>
      <c r="BE1956" s="94"/>
      <c r="BF1956" s="94"/>
    </row>
    <row r="1957" spans="1:58" x14ac:dyDescent="0.35">
      <c r="A1957" s="107" t="s">
        <v>3718</v>
      </c>
      <c r="B1957" s="108" t="s">
        <v>0</v>
      </c>
      <c r="C1957" s="109">
        <v>7</v>
      </c>
      <c r="D1957" s="107" t="s">
        <v>1374</v>
      </c>
      <c r="E1957" s="109" t="s">
        <v>1375</v>
      </c>
      <c r="F1957" s="94"/>
      <c r="G1957" s="94"/>
      <c r="H1957" s="94"/>
      <c r="I1957" s="94"/>
      <c r="J1957" s="94"/>
      <c r="K1957" s="94"/>
      <c r="L1957" s="94"/>
      <c r="M1957" s="94"/>
      <c r="N1957" s="94"/>
      <c r="O1957" s="94"/>
      <c r="P1957" s="94"/>
      <c r="Q1957" s="94"/>
      <c r="R1957" s="94"/>
      <c r="S1957" s="94"/>
      <c r="T1957" s="94"/>
      <c r="U1957" s="94"/>
      <c r="V1957" s="94"/>
      <c r="W1957" s="94"/>
      <c r="X1957" s="94"/>
      <c r="Y1957" s="94"/>
      <c r="Z1957" s="94"/>
      <c r="AA1957" s="94"/>
      <c r="AB1957" s="94"/>
      <c r="AC1957" s="94"/>
      <c r="AD1957" s="94"/>
      <c r="AE1957" s="94"/>
      <c r="AF1957" s="94"/>
      <c r="AG1957" s="94"/>
      <c r="AH1957" s="94"/>
      <c r="AI1957" s="94"/>
      <c r="AJ1957" s="94"/>
      <c r="AK1957" s="94"/>
      <c r="AL1957" s="94"/>
      <c r="AM1957" s="94"/>
      <c r="AN1957" s="94"/>
      <c r="AO1957" s="94"/>
      <c r="AP1957" s="94"/>
      <c r="AQ1957" s="94"/>
      <c r="AR1957" s="94"/>
      <c r="AS1957" s="94"/>
      <c r="AT1957" s="94"/>
      <c r="AU1957" s="94"/>
      <c r="AV1957" s="94"/>
      <c r="AW1957" s="94"/>
      <c r="AX1957" s="94"/>
      <c r="AY1957" s="94"/>
      <c r="AZ1957" s="94"/>
      <c r="BA1957" s="94"/>
      <c r="BB1957" s="94"/>
      <c r="BC1957" s="94"/>
      <c r="BD1957" s="94"/>
      <c r="BE1957" s="94"/>
      <c r="BF1957" s="94"/>
    </row>
    <row r="1958" spans="1:58" x14ac:dyDescent="0.35">
      <c r="A1958" s="107" t="s">
        <v>3719</v>
      </c>
      <c r="B1958" s="108" t="s">
        <v>0</v>
      </c>
      <c r="C1958" s="109">
        <v>7</v>
      </c>
      <c r="D1958" s="107" t="s">
        <v>1376</v>
      </c>
      <c r="E1958" s="109" t="s">
        <v>1377</v>
      </c>
      <c r="F1958" s="94"/>
      <c r="G1958" s="94"/>
      <c r="H1958" s="94"/>
      <c r="I1958" s="94"/>
      <c r="J1958" s="94"/>
      <c r="K1958" s="94"/>
      <c r="L1958" s="94"/>
      <c r="M1958" s="94"/>
      <c r="N1958" s="94"/>
      <c r="O1958" s="94"/>
      <c r="P1958" s="94"/>
      <c r="Q1958" s="94"/>
      <c r="R1958" s="94"/>
      <c r="S1958" s="94"/>
      <c r="T1958" s="94"/>
      <c r="U1958" s="94"/>
      <c r="V1958" s="94"/>
      <c r="W1958" s="94"/>
      <c r="X1958" s="94"/>
      <c r="Y1958" s="94"/>
      <c r="Z1958" s="94"/>
      <c r="AA1958" s="94"/>
      <c r="AB1958" s="94"/>
      <c r="AC1958" s="94"/>
      <c r="AD1958" s="94"/>
      <c r="AE1958" s="94"/>
      <c r="AF1958" s="94"/>
      <c r="AG1958" s="94"/>
      <c r="AH1958" s="94"/>
      <c r="AI1958" s="94"/>
      <c r="AJ1958" s="94"/>
      <c r="AK1958" s="94"/>
      <c r="AL1958" s="94"/>
      <c r="AM1958" s="94"/>
      <c r="AN1958" s="94"/>
      <c r="AO1958" s="94"/>
      <c r="AP1958" s="94"/>
      <c r="AQ1958" s="94"/>
      <c r="AR1958" s="94"/>
      <c r="AS1958" s="94"/>
      <c r="AT1958" s="94"/>
      <c r="AU1958" s="94"/>
      <c r="AV1958" s="94"/>
      <c r="AW1958" s="94"/>
      <c r="AX1958" s="94"/>
      <c r="AY1958" s="94"/>
      <c r="AZ1958" s="94"/>
      <c r="BA1958" s="94"/>
      <c r="BB1958" s="94"/>
      <c r="BC1958" s="94"/>
      <c r="BD1958" s="94"/>
      <c r="BE1958" s="94"/>
      <c r="BF1958" s="94"/>
    </row>
    <row r="1959" spans="1:58" x14ac:dyDescent="0.35">
      <c r="A1959" s="107" t="s">
        <v>3720</v>
      </c>
      <c r="B1959" s="108" t="s">
        <v>0</v>
      </c>
      <c r="C1959" s="109">
        <v>7</v>
      </c>
      <c r="D1959" s="107" t="s">
        <v>1378</v>
      </c>
      <c r="E1959" s="109" t="s">
        <v>1379</v>
      </c>
      <c r="F1959" s="94"/>
      <c r="G1959" s="94"/>
      <c r="H1959" s="94"/>
      <c r="I1959" s="94"/>
      <c r="J1959" s="94"/>
      <c r="K1959" s="94"/>
      <c r="L1959" s="94"/>
      <c r="M1959" s="94"/>
      <c r="N1959" s="94"/>
      <c r="O1959" s="94"/>
      <c r="P1959" s="94"/>
      <c r="Q1959" s="94"/>
      <c r="R1959" s="94"/>
      <c r="S1959" s="94"/>
      <c r="T1959" s="94"/>
      <c r="U1959" s="94"/>
      <c r="V1959" s="94"/>
      <c r="W1959" s="94"/>
      <c r="X1959" s="94"/>
      <c r="Y1959" s="94"/>
      <c r="Z1959" s="94"/>
      <c r="AA1959" s="94"/>
      <c r="AB1959" s="94"/>
      <c r="AC1959" s="94"/>
      <c r="AD1959" s="94"/>
      <c r="AE1959" s="94"/>
      <c r="AF1959" s="94"/>
      <c r="AG1959" s="94"/>
      <c r="AH1959" s="94"/>
      <c r="AI1959" s="94"/>
      <c r="AJ1959" s="94"/>
      <c r="AK1959" s="94"/>
      <c r="AL1959" s="94"/>
      <c r="AM1959" s="94"/>
      <c r="AN1959" s="94"/>
      <c r="AO1959" s="94"/>
      <c r="AP1959" s="94"/>
      <c r="AQ1959" s="94"/>
      <c r="AR1959" s="94"/>
      <c r="AS1959" s="94"/>
      <c r="AT1959" s="94"/>
      <c r="AU1959" s="94"/>
      <c r="AV1959" s="94"/>
      <c r="AW1959" s="94"/>
      <c r="AX1959" s="94"/>
      <c r="AY1959" s="94"/>
      <c r="AZ1959" s="94"/>
      <c r="BA1959" s="94"/>
      <c r="BB1959" s="94"/>
      <c r="BC1959" s="94"/>
      <c r="BD1959" s="94"/>
      <c r="BE1959" s="94"/>
      <c r="BF1959" s="94"/>
    </row>
    <row r="1960" spans="1:58" x14ac:dyDescent="0.35">
      <c r="A1960" s="107" t="s">
        <v>3721</v>
      </c>
      <c r="B1960" s="108" t="s">
        <v>0</v>
      </c>
      <c r="C1960" s="109">
        <v>7</v>
      </c>
      <c r="D1960" s="107" t="s">
        <v>1380</v>
      </c>
      <c r="E1960" s="109" t="s">
        <v>1381</v>
      </c>
      <c r="F1960" s="94"/>
      <c r="G1960" s="94"/>
      <c r="H1960" s="94"/>
      <c r="I1960" s="94"/>
      <c r="J1960" s="94"/>
      <c r="K1960" s="94"/>
      <c r="L1960" s="94"/>
      <c r="M1960" s="94"/>
      <c r="N1960" s="94"/>
      <c r="O1960" s="94"/>
      <c r="P1960" s="94"/>
      <c r="Q1960" s="94"/>
      <c r="R1960" s="94"/>
      <c r="S1960" s="94"/>
      <c r="T1960" s="94"/>
      <c r="U1960" s="94"/>
      <c r="V1960" s="94"/>
      <c r="W1960" s="94"/>
      <c r="X1960" s="94"/>
      <c r="Y1960" s="94"/>
      <c r="Z1960" s="94"/>
      <c r="AA1960" s="94"/>
      <c r="AB1960" s="94"/>
      <c r="AC1960" s="94"/>
      <c r="AD1960" s="94"/>
      <c r="AE1960" s="94"/>
      <c r="AF1960" s="94"/>
      <c r="AG1960" s="94"/>
      <c r="AH1960" s="94"/>
      <c r="AI1960" s="94"/>
      <c r="AJ1960" s="94"/>
      <c r="AK1960" s="94"/>
      <c r="AL1960" s="94"/>
      <c r="AM1960" s="94"/>
      <c r="AN1960" s="94"/>
      <c r="AO1960" s="94"/>
      <c r="AP1960" s="94"/>
      <c r="AQ1960" s="94"/>
      <c r="AR1960" s="94"/>
      <c r="AS1960" s="94"/>
      <c r="AT1960" s="94"/>
      <c r="AU1960" s="94"/>
      <c r="AV1960" s="94"/>
      <c r="AW1960" s="94"/>
      <c r="AX1960" s="94"/>
      <c r="AY1960" s="94"/>
      <c r="AZ1960" s="94"/>
      <c r="BA1960" s="94"/>
      <c r="BB1960" s="94"/>
      <c r="BC1960" s="94"/>
      <c r="BD1960" s="94"/>
      <c r="BE1960" s="94"/>
      <c r="BF1960" s="94"/>
    </row>
    <row r="1961" spans="1:58" x14ac:dyDescent="0.35">
      <c r="A1961" s="107" t="s">
        <v>3722</v>
      </c>
      <c r="B1961" s="108" t="s">
        <v>0</v>
      </c>
      <c r="C1961" s="109">
        <v>7</v>
      </c>
      <c r="D1961" s="107" t="s">
        <v>1382</v>
      </c>
      <c r="E1961" s="109" t="s">
        <v>1383</v>
      </c>
      <c r="F1961" s="94"/>
      <c r="G1961" s="94"/>
      <c r="H1961" s="94"/>
      <c r="I1961" s="94"/>
      <c r="J1961" s="94"/>
      <c r="K1961" s="94"/>
      <c r="L1961" s="94"/>
      <c r="M1961" s="94"/>
      <c r="N1961" s="94"/>
      <c r="O1961" s="94"/>
      <c r="P1961" s="94"/>
      <c r="Q1961" s="94"/>
      <c r="R1961" s="94"/>
      <c r="S1961" s="94"/>
      <c r="T1961" s="94"/>
      <c r="U1961" s="94"/>
      <c r="V1961" s="94"/>
      <c r="W1961" s="94"/>
      <c r="X1961" s="94"/>
      <c r="Y1961" s="94"/>
      <c r="Z1961" s="94"/>
      <c r="AA1961" s="94"/>
      <c r="AB1961" s="94"/>
      <c r="AC1961" s="94"/>
      <c r="AD1961" s="94"/>
      <c r="AE1961" s="94"/>
      <c r="AF1961" s="94"/>
      <c r="AG1961" s="94"/>
      <c r="AH1961" s="94"/>
      <c r="AI1961" s="94"/>
      <c r="AJ1961" s="94"/>
      <c r="AK1961" s="94"/>
      <c r="AL1961" s="94"/>
      <c r="AM1961" s="94"/>
      <c r="AN1961" s="94"/>
      <c r="AO1961" s="94"/>
      <c r="AP1961" s="94"/>
      <c r="AQ1961" s="94"/>
      <c r="AR1961" s="94"/>
      <c r="AS1961" s="94"/>
      <c r="AT1961" s="94"/>
      <c r="AU1961" s="94"/>
      <c r="AV1961" s="94"/>
      <c r="AW1961" s="94"/>
      <c r="AX1961" s="94"/>
      <c r="AY1961" s="94"/>
      <c r="AZ1961" s="94"/>
      <c r="BA1961" s="94"/>
      <c r="BB1961" s="94"/>
      <c r="BC1961" s="94"/>
      <c r="BD1961" s="94"/>
      <c r="BE1961" s="94"/>
      <c r="BF1961" s="94"/>
    </row>
    <row r="1962" spans="1:58" x14ac:dyDescent="0.35">
      <c r="A1962" s="107" t="s">
        <v>3723</v>
      </c>
      <c r="B1962" s="108" t="s">
        <v>0</v>
      </c>
      <c r="C1962" s="109">
        <v>7</v>
      </c>
      <c r="D1962" s="107" t="s">
        <v>1384</v>
      </c>
      <c r="E1962" s="109" t="s">
        <v>1385</v>
      </c>
      <c r="F1962" s="94"/>
      <c r="G1962" s="94"/>
      <c r="H1962" s="94"/>
      <c r="I1962" s="94"/>
      <c r="J1962" s="94"/>
      <c r="K1962" s="94"/>
      <c r="L1962" s="94"/>
      <c r="M1962" s="94"/>
      <c r="N1962" s="94"/>
      <c r="O1962" s="94"/>
      <c r="P1962" s="94"/>
      <c r="Q1962" s="94"/>
      <c r="R1962" s="94"/>
      <c r="S1962" s="94"/>
      <c r="T1962" s="94"/>
      <c r="U1962" s="94"/>
      <c r="V1962" s="94"/>
      <c r="W1962" s="94"/>
      <c r="X1962" s="94"/>
      <c r="Y1962" s="94"/>
      <c r="Z1962" s="94"/>
      <c r="AA1962" s="94"/>
      <c r="AB1962" s="94"/>
      <c r="AC1962" s="94"/>
      <c r="AD1962" s="94"/>
      <c r="AE1962" s="94"/>
      <c r="AF1962" s="94"/>
      <c r="AG1962" s="94"/>
      <c r="AH1962" s="94"/>
      <c r="AI1962" s="94"/>
      <c r="AJ1962" s="94"/>
      <c r="AK1962" s="94"/>
      <c r="AL1962" s="94"/>
      <c r="AM1962" s="94"/>
      <c r="AN1962" s="94"/>
      <c r="AO1962" s="94"/>
      <c r="AP1962" s="94"/>
      <c r="AQ1962" s="94"/>
      <c r="AR1962" s="94"/>
      <c r="AS1962" s="94"/>
      <c r="AT1962" s="94"/>
      <c r="AU1962" s="94"/>
      <c r="AV1962" s="94"/>
      <c r="AW1962" s="94"/>
      <c r="AX1962" s="94"/>
      <c r="AY1962" s="94"/>
      <c r="AZ1962" s="94"/>
      <c r="BA1962" s="94"/>
      <c r="BB1962" s="94"/>
      <c r="BC1962" s="94"/>
      <c r="BD1962" s="94"/>
      <c r="BE1962" s="94"/>
      <c r="BF1962" s="94"/>
    </row>
    <row r="1963" spans="1:58" x14ac:dyDescent="0.35">
      <c r="A1963" s="107" t="s">
        <v>3724</v>
      </c>
      <c r="B1963" s="108" t="s">
        <v>0</v>
      </c>
      <c r="C1963" s="109">
        <v>7</v>
      </c>
      <c r="D1963" s="107" t="s">
        <v>1386</v>
      </c>
      <c r="E1963" s="109" t="s">
        <v>1387</v>
      </c>
      <c r="F1963" s="94"/>
      <c r="G1963" s="94"/>
      <c r="H1963" s="94"/>
      <c r="I1963" s="94"/>
      <c r="J1963" s="94"/>
      <c r="K1963" s="94"/>
      <c r="L1963" s="94"/>
      <c r="M1963" s="94"/>
      <c r="N1963" s="94"/>
      <c r="O1963" s="94"/>
      <c r="P1963" s="94"/>
      <c r="Q1963" s="94"/>
      <c r="R1963" s="94"/>
      <c r="S1963" s="94"/>
      <c r="T1963" s="94"/>
      <c r="U1963" s="94"/>
      <c r="V1963" s="94"/>
      <c r="W1963" s="94"/>
      <c r="X1963" s="94"/>
      <c r="Y1963" s="94"/>
      <c r="Z1963" s="94"/>
      <c r="AA1963" s="94"/>
      <c r="AB1963" s="94"/>
      <c r="AC1963" s="94"/>
      <c r="AD1963" s="94"/>
      <c r="AE1963" s="94"/>
      <c r="AF1963" s="94"/>
      <c r="AG1963" s="94"/>
      <c r="AH1963" s="94"/>
      <c r="AI1963" s="94"/>
      <c r="AJ1963" s="94"/>
      <c r="AK1963" s="94"/>
      <c r="AL1963" s="94"/>
      <c r="AM1963" s="94"/>
      <c r="AN1963" s="94"/>
      <c r="AO1963" s="94"/>
      <c r="AP1963" s="94"/>
      <c r="AQ1963" s="94"/>
      <c r="AR1963" s="94"/>
      <c r="AS1963" s="94"/>
      <c r="AT1963" s="94"/>
      <c r="AU1963" s="94"/>
      <c r="AV1963" s="94"/>
      <c r="AW1963" s="94"/>
      <c r="AX1963" s="94"/>
      <c r="AY1963" s="94"/>
      <c r="AZ1963" s="94"/>
      <c r="BA1963" s="94"/>
      <c r="BB1963" s="94"/>
      <c r="BC1963" s="94"/>
      <c r="BD1963" s="94"/>
      <c r="BE1963" s="94"/>
      <c r="BF1963" s="94"/>
    </row>
    <row r="1964" spans="1:58" x14ac:dyDescent="0.35">
      <c r="A1964" s="107" t="s">
        <v>3725</v>
      </c>
      <c r="B1964" s="108" t="s">
        <v>0</v>
      </c>
      <c r="C1964" s="109">
        <v>7</v>
      </c>
      <c r="D1964" s="107" t="s">
        <v>1386</v>
      </c>
      <c r="E1964" s="109" t="s">
        <v>1388</v>
      </c>
      <c r="F1964" s="94"/>
      <c r="G1964" s="94"/>
      <c r="H1964" s="94"/>
      <c r="I1964" s="94"/>
      <c r="J1964" s="94"/>
      <c r="K1964" s="94"/>
      <c r="L1964" s="94"/>
      <c r="M1964" s="94"/>
      <c r="N1964" s="94"/>
      <c r="O1964" s="94"/>
      <c r="P1964" s="94"/>
      <c r="Q1964" s="94"/>
      <c r="R1964" s="94"/>
      <c r="S1964" s="94"/>
      <c r="T1964" s="94"/>
      <c r="U1964" s="94"/>
      <c r="V1964" s="94"/>
      <c r="W1964" s="94"/>
      <c r="X1964" s="94"/>
      <c r="Y1964" s="94"/>
      <c r="Z1964" s="94"/>
      <c r="AA1964" s="94"/>
      <c r="AB1964" s="94"/>
      <c r="AC1964" s="94"/>
      <c r="AD1964" s="94"/>
      <c r="AE1964" s="94"/>
      <c r="AF1964" s="94"/>
      <c r="AG1964" s="94"/>
      <c r="AH1964" s="94"/>
      <c r="AI1964" s="94"/>
      <c r="AJ1964" s="94"/>
      <c r="AK1964" s="94"/>
      <c r="AL1964" s="94"/>
      <c r="AM1964" s="94"/>
      <c r="AN1964" s="94"/>
      <c r="AO1964" s="94"/>
      <c r="AP1964" s="94"/>
      <c r="AQ1964" s="94"/>
      <c r="AR1964" s="94"/>
      <c r="AS1964" s="94"/>
      <c r="AT1964" s="94"/>
      <c r="AU1964" s="94"/>
      <c r="AV1964" s="94"/>
      <c r="AW1964" s="94"/>
      <c r="AX1964" s="94"/>
      <c r="AY1964" s="94"/>
      <c r="AZ1964" s="94"/>
      <c r="BA1964" s="94"/>
      <c r="BB1964" s="94"/>
      <c r="BC1964" s="94"/>
      <c r="BD1964" s="94"/>
      <c r="BE1964" s="94"/>
      <c r="BF1964" s="94"/>
    </row>
    <row r="1965" spans="1:58" x14ac:dyDescent="0.35">
      <c r="A1965" s="107" t="s">
        <v>3715</v>
      </c>
      <c r="B1965" s="108" t="s">
        <v>0</v>
      </c>
      <c r="C1965" s="109">
        <v>7</v>
      </c>
      <c r="D1965" s="107" t="s">
        <v>1389</v>
      </c>
      <c r="E1965" s="109" t="s">
        <v>1390</v>
      </c>
      <c r="F1965" s="94"/>
      <c r="G1965" s="94"/>
      <c r="H1965" s="94"/>
      <c r="I1965" s="94"/>
      <c r="J1965" s="94"/>
      <c r="K1965" s="94"/>
      <c r="L1965" s="94"/>
      <c r="M1965" s="94"/>
      <c r="N1965" s="94"/>
      <c r="O1965" s="94"/>
      <c r="P1965" s="94"/>
      <c r="Q1965" s="94"/>
      <c r="R1965" s="94"/>
      <c r="S1965" s="94"/>
      <c r="T1965" s="94"/>
      <c r="U1965" s="94"/>
      <c r="V1965" s="94"/>
      <c r="W1965" s="94"/>
      <c r="X1965" s="94"/>
      <c r="Y1965" s="94"/>
      <c r="Z1965" s="94"/>
      <c r="AA1965" s="94"/>
      <c r="AB1965" s="94"/>
      <c r="AC1965" s="94"/>
      <c r="AD1965" s="94"/>
      <c r="AE1965" s="94"/>
      <c r="AF1965" s="94"/>
      <c r="AG1965" s="94"/>
      <c r="AH1965" s="94"/>
      <c r="AI1965" s="94"/>
      <c r="AJ1965" s="94"/>
      <c r="AK1965" s="94"/>
      <c r="AL1965" s="94"/>
      <c r="AM1965" s="94"/>
      <c r="AN1965" s="94"/>
      <c r="AO1965" s="94"/>
      <c r="AP1965" s="94"/>
      <c r="AQ1965" s="94"/>
      <c r="AR1965" s="94"/>
      <c r="AS1965" s="94"/>
      <c r="AT1965" s="94"/>
      <c r="AU1965" s="94"/>
      <c r="AV1965" s="94"/>
      <c r="AW1965" s="94"/>
      <c r="AX1965" s="94"/>
      <c r="AY1965" s="94"/>
      <c r="AZ1965" s="94"/>
      <c r="BA1965" s="94"/>
      <c r="BB1965" s="94"/>
      <c r="BC1965" s="94"/>
      <c r="BD1965" s="94"/>
      <c r="BE1965" s="94"/>
      <c r="BF1965" s="94"/>
    </row>
    <row r="1966" spans="1:58" x14ac:dyDescent="0.35">
      <c r="A1966" s="107" t="s">
        <v>3726</v>
      </c>
      <c r="B1966" s="108" t="s">
        <v>0</v>
      </c>
      <c r="C1966" s="109">
        <v>7</v>
      </c>
      <c r="D1966" s="107" t="s">
        <v>1391</v>
      </c>
      <c r="E1966" s="109" t="s">
        <v>1392</v>
      </c>
      <c r="F1966" s="94"/>
      <c r="G1966" s="94"/>
      <c r="H1966" s="94"/>
      <c r="I1966" s="94"/>
      <c r="J1966" s="94"/>
      <c r="K1966" s="94"/>
      <c r="L1966" s="94"/>
      <c r="M1966" s="94"/>
      <c r="N1966" s="94"/>
      <c r="O1966" s="94"/>
      <c r="P1966" s="94"/>
      <c r="Q1966" s="94"/>
      <c r="R1966" s="94"/>
      <c r="S1966" s="94"/>
      <c r="T1966" s="94"/>
      <c r="U1966" s="94"/>
      <c r="V1966" s="94"/>
      <c r="W1966" s="94"/>
      <c r="X1966" s="94"/>
      <c r="Y1966" s="94"/>
      <c r="Z1966" s="94"/>
      <c r="AA1966" s="94"/>
      <c r="AB1966" s="94"/>
      <c r="AC1966" s="94"/>
      <c r="AD1966" s="94"/>
      <c r="AE1966" s="94"/>
      <c r="AF1966" s="94"/>
      <c r="AG1966" s="94"/>
      <c r="AH1966" s="94"/>
      <c r="AI1966" s="94"/>
      <c r="AJ1966" s="94"/>
      <c r="AK1966" s="94"/>
      <c r="AL1966" s="94"/>
      <c r="AM1966" s="94"/>
      <c r="AN1966" s="94"/>
      <c r="AO1966" s="94"/>
      <c r="AP1966" s="94"/>
      <c r="AQ1966" s="94"/>
      <c r="AR1966" s="94"/>
      <c r="AS1966" s="94"/>
      <c r="AT1966" s="94"/>
      <c r="AU1966" s="94"/>
      <c r="AV1966" s="94"/>
      <c r="AW1966" s="94"/>
      <c r="AX1966" s="94"/>
      <c r="AY1966" s="94"/>
      <c r="AZ1966" s="94"/>
      <c r="BA1966" s="94"/>
      <c r="BB1966" s="94"/>
      <c r="BC1966" s="94"/>
      <c r="BD1966" s="94"/>
      <c r="BE1966" s="94"/>
      <c r="BF1966" s="94"/>
    </row>
    <row r="1967" spans="1:58" x14ac:dyDescent="0.35">
      <c r="A1967" s="107" t="s">
        <v>3727</v>
      </c>
      <c r="B1967" s="108" t="s">
        <v>0</v>
      </c>
      <c r="C1967" s="109">
        <v>7</v>
      </c>
      <c r="D1967" s="107" t="s">
        <v>1391</v>
      </c>
      <c r="E1967" s="109" t="s">
        <v>1393</v>
      </c>
      <c r="F1967" s="94"/>
      <c r="G1967" s="94"/>
      <c r="H1967" s="94"/>
      <c r="I1967" s="94"/>
      <c r="J1967" s="94"/>
      <c r="K1967" s="94"/>
      <c r="L1967" s="94"/>
      <c r="M1967" s="94"/>
      <c r="N1967" s="94"/>
      <c r="O1967" s="94"/>
      <c r="P1967" s="94"/>
      <c r="Q1967" s="94"/>
      <c r="R1967" s="94"/>
      <c r="S1967" s="94"/>
      <c r="T1967" s="94"/>
      <c r="U1967" s="94"/>
      <c r="V1967" s="94"/>
      <c r="W1967" s="94"/>
      <c r="X1967" s="94"/>
      <c r="Y1967" s="94"/>
      <c r="Z1967" s="94"/>
      <c r="AA1967" s="94"/>
      <c r="AB1967" s="94"/>
      <c r="AC1967" s="94"/>
      <c r="AD1967" s="94"/>
      <c r="AE1967" s="94"/>
      <c r="AF1967" s="94"/>
      <c r="AG1967" s="94"/>
      <c r="AH1967" s="94"/>
      <c r="AI1967" s="94"/>
      <c r="AJ1967" s="94"/>
      <c r="AK1967" s="94"/>
      <c r="AL1967" s="94"/>
      <c r="AM1967" s="94"/>
      <c r="AN1967" s="94"/>
      <c r="AO1967" s="94"/>
      <c r="AP1967" s="94"/>
      <c r="AQ1967" s="94"/>
      <c r="AR1967" s="94"/>
      <c r="AS1967" s="94"/>
      <c r="AT1967" s="94"/>
      <c r="AU1967" s="94"/>
      <c r="AV1967" s="94"/>
      <c r="AW1967" s="94"/>
      <c r="AX1967" s="94"/>
      <c r="AY1967" s="94"/>
      <c r="AZ1967" s="94"/>
      <c r="BA1967" s="94"/>
      <c r="BB1967" s="94"/>
      <c r="BC1967" s="94"/>
      <c r="BD1967" s="94"/>
      <c r="BE1967" s="94"/>
      <c r="BF1967" s="94"/>
    </row>
    <row r="1968" spans="1:58" x14ac:dyDescent="0.35">
      <c r="A1968" s="107" t="s">
        <v>3728</v>
      </c>
      <c r="B1968" s="108" t="s">
        <v>0</v>
      </c>
      <c r="C1968" s="109">
        <v>7</v>
      </c>
      <c r="D1968" s="107" t="s">
        <v>1394</v>
      </c>
      <c r="E1968" s="109" t="s">
        <v>1395</v>
      </c>
      <c r="F1968" s="94"/>
      <c r="G1968" s="94"/>
      <c r="H1968" s="94"/>
      <c r="I1968" s="94"/>
      <c r="J1968" s="94"/>
      <c r="K1968" s="94"/>
      <c r="L1968" s="94"/>
      <c r="M1968" s="94"/>
      <c r="N1968" s="94"/>
      <c r="O1968" s="94"/>
      <c r="P1968" s="94"/>
      <c r="Q1968" s="94"/>
      <c r="R1968" s="94"/>
      <c r="S1968" s="94"/>
      <c r="T1968" s="94"/>
      <c r="U1968" s="94"/>
      <c r="V1968" s="94"/>
      <c r="W1968" s="94"/>
      <c r="X1968" s="94"/>
      <c r="Y1968" s="94"/>
      <c r="Z1968" s="94"/>
      <c r="AA1968" s="94"/>
      <c r="AB1968" s="94"/>
      <c r="AC1968" s="94"/>
      <c r="AD1968" s="94"/>
      <c r="AE1968" s="94"/>
      <c r="AF1968" s="94"/>
      <c r="AG1968" s="94"/>
      <c r="AH1968" s="94"/>
      <c r="AI1968" s="94"/>
      <c r="AJ1968" s="94"/>
      <c r="AK1968" s="94"/>
      <c r="AL1968" s="94"/>
      <c r="AM1968" s="94"/>
      <c r="AN1968" s="94"/>
      <c r="AO1968" s="94"/>
      <c r="AP1968" s="94"/>
      <c r="AQ1968" s="94"/>
      <c r="AR1968" s="94"/>
      <c r="AS1968" s="94"/>
      <c r="AT1968" s="94"/>
      <c r="AU1968" s="94"/>
      <c r="AV1968" s="94"/>
      <c r="AW1968" s="94"/>
      <c r="AX1968" s="94"/>
      <c r="AY1968" s="94"/>
      <c r="AZ1968" s="94"/>
      <c r="BA1968" s="94"/>
      <c r="BB1968" s="94"/>
      <c r="BC1968" s="94"/>
      <c r="BD1968" s="94"/>
      <c r="BE1968" s="94"/>
      <c r="BF1968" s="94"/>
    </row>
    <row r="1969" spans="1:58" x14ac:dyDescent="0.35">
      <c r="A1969" s="107" t="s">
        <v>3729</v>
      </c>
      <c r="B1969" s="108" t="s">
        <v>0</v>
      </c>
      <c r="C1969" s="109">
        <v>7</v>
      </c>
      <c r="D1969" s="107" t="s">
        <v>1604</v>
      </c>
      <c r="E1969" s="109" t="s">
        <v>1396</v>
      </c>
      <c r="F1969" s="94"/>
      <c r="G1969" s="94"/>
      <c r="H1969" s="94"/>
      <c r="I1969" s="94"/>
      <c r="J1969" s="94"/>
      <c r="K1969" s="94"/>
      <c r="L1969" s="94"/>
      <c r="M1969" s="94"/>
      <c r="N1969" s="94"/>
      <c r="O1969" s="94"/>
      <c r="P1969" s="94"/>
      <c r="Q1969" s="94"/>
      <c r="R1969" s="94"/>
      <c r="S1969" s="94"/>
      <c r="T1969" s="94"/>
      <c r="U1969" s="94"/>
      <c r="V1969" s="94"/>
      <c r="W1969" s="94"/>
      <c r="X1969" s="94"/>
      <c r="Y1969" s="94"/>
      <c r="Z1969" s="94"/>
      <c r="AA1969" s="94"/>
      <c r="AB1969" s="94"/>
      <c r="AC1969" s="94"/>
      <c r="AD1969" s="94"/>
      <c r="AE1969" s="94"/>
      <c r="AF1969" s="94"/>
      <c r="AG1969" s="94"/>
      <c r="AH1969" s="94"/>
      <c r="AI1969" s="94"/>
      <c r="AJ1969" s="94"/>
      <c r="AK1969" s="94"/>
      <c r="AL1969" s="94"/>
      <c r="AM1969" s="94"/>
      <c r="AN1969" s="94"/>
      <c r="AO1969" s="94"/>
      <c r="AP1969" s="94"/>
      <c r="AQ1969" s="94"/>
      <c r="AR1969" s="94"/>
      <c r="AS1969" s="94"/>
      <c r="AT1969" s="94"/>
      <c r="AU1969" s="94"/>
      <c r="AV1969" s="94"/>
      <c r="AW1969" s="94"/>
      <c r="AX1969" s="94"/>
      <c r="AY1969" s="94"/>
      <c r="AZ1969" s="94"/>
      <c r="BA1969" s="94"/>
      <c r="BB1969" s="94"/>
      <c r="BC1969" s="94"/>
      <c r="BD1969" s="94"/>
      <c r="BE1969" s="94"/>
      <c r="BF1969" s="94"/>
    </row>
    <row r="1970" spans="1:58" x14ac:dyDescent="0.35">
      <c r="A1970" s="107" t="s">
        <v>3730</v>
      </c>
      <c r="B1970" s="108" t="s">
        <v>0</v>
      </c>
      <c r="C1970" s="109">
        <v>7</v>
      </c>
      <c r="D1970" s="107" t="s">
        <v>1604</v>
      </c>
      <c r="E1970" s="109" t="s">
        <v>1397</v>
      </c>
      <c r="F1970" s="94"/>
      <c r="G1970" s="94"/>
      <c r="H1970" s="94"/>
      <c r="I1970" s="94"/>
      <c r="J1970" s="94"/>
      <c r="K1970" s="94"/>
      <c r="L1970" s="94"/>
      <c r="M1970" s="94"/>
      <c r="N1970" s="94"/>
      <c r="O1970" s="94"/>
      <c r="P1970" s="94"/>
      <c r="Q1970" s="94"/>
      <c r="R1970" s="94"/>
      <c r="S1970" s="94"/>
      <c r="T1970" s="94"/>
      <c r="U1970" s="94"/>
      <c r="V1970" s="94"/>
      <c r="W1970" s="94"/>
      <c r="X1970" s="94"/>
      <c r="Y1970" s="94"/>
      <c r="Z1970" s="94"/>
      <c r="AA1970" s="94"/>
      <c r="AB1970" s="94"/>
      <c r="AC1970" s="94"/>
      <c r="AD1970" s="94"/>
      <c r="AE1970" s="94"/>
      <c r="AF1970" s="94"/>
      <c r="AG1970" s="94"/>
      <c r="AH1970" s="94"/>
      <c r="AI1970" s="94"/>
      <c r="AJ1970" s="94"/>
      <c r="AK1970" s="94"/>
      <c r="AL1970" s="94"/>
      <c r="AM1970" s="94"/>
      <c r="AN1970" s="94"/>
      <c r="AO1970" s="94"/>
      <c r="AP1970" s="94"/>
      <c r="AQ1970" s="94"/>
      <c r="AR1970" s="94"/>
      <c r="AS1970" s="94"/>
      <c r="AT1970" s="94"/>
      <c r="AU1970" s="94"/>
      <c r="AV1970" s="94"/>
      <c r="AW1970" s="94"/>
      <c r="AX1970" s="94"/>
      <c r="AY1970" s="94"/>
      <c r="AZ1970" s="94"/>
      <c r="BA1970" s="94"/>
      <c r="BB1970" s="94"/>
      <c r="BC1970" s="94"/>
      <c r="BD1970" s="94"/>
      <c r="BE1970" s="94"/>
      <c r="BF1970" s="94"/>
    </row>
    <row r="1971" spans="1:58" x14ac:dyDescent="0.35">
      <c r="A1971" s="107" t="s">
        <v>3731</v>
      </c>
      <c r="B1971" s="108" t="s">
        <v>0</v>
      </c>
      <c r="C1971" s="109">
        <v>7</v>
      </c>
      <c r="D1971" s="107" t="s">
        <v>1498</v>
      </c>
      <c r="E1971" s="109" t="s">
        <v>1398</v>
      </c>
      <c r="F1971" s="94"/>
      <c r="G1971" s="94"/>
      <c r="H1971" s="94"/>
      <c r="I1971" s="94"/>
      <c r="J1971" s="94"/>
      <c r="K1971" s="94"/>
      <c r="L1971" s="94"/>
      <c r="M1971" s="94"/>
      <c r="N1971" s="94"/>
      <c r="O1971" s="94"/>
      <c r="P1971" s="94"/>
      <c r="Q1971" s="94"/>
      <c r="R1971" s="94"/>
      <c r="S1971" s="94"/>
      <c r="T1971" s="94"/>
      <c r="U1971" s="94"/>
      <c r="V1971" s="94"/>
      <c r="W1971" s="94"/>
      <c r="X1971" s="94"/>
      <c r="Y1971" s="94"/>
      <c r="Z1971" s="94"/>
      <c r="AA1971" s="94"/>
      <c r="AB1971" s="94"/>
      <c r="AC1971" s="94"/>
      <c r="AD1971" s="94"/>
      <c r="AE1971" s="94"/>
      <c r="AF1971" s="94"/>
      <c r="AG1971" s="94"/>
      <c r="AH1971" s="94"/>
      <c r="AI1971" s="94"/>
      <c r="AJ1971" s="94"/>
      <c r="AK1971" s="94"/>
      <c r="AL1971" s="94"/>
      <c r="AM1971" s="94"/>
      <c r="AN1971" s="94"/>
      <c r="AO1971" s="94"/>
      <c r="AP1971" s="94"/>
      <c r="AQ1971" s="94"/>
      <c r="AR1971" s="94"/>
      <c r="AS1971" s="94"/>
      <c r="AT1971" s="94"/>
      <c r="AU1971" s="94"/>
      <c r="AV1971" s="94"/>
      <c r="AW1971" s="94"/>
      <c r="AX1971" s="94"/>
      <c r="AY1971" s="94"/>
      <c r="AZ1971" s="94"/>
      <c r="BA1971" s="94"/>
      <c r="BB1971" s="94"/>
      <c r="BC1971" s="94"/>
      <c r="BD1971" s="94"/>
      <c r="BE1971" s="94"/>
      <c r="BF1971" s="94"/>
    </row>
    <row r="1972" spans="1:58" x14ac:dyDescent="0.35">
      <c r="A1972" s="107" t="s">
        <v>3732</v>
      </c>
      <c r="B1972" s="108" t="s">
        <v>0</v>
      </c>
      <c r="C1972" s="109">
        <v>7</v>
      </c>
      <c r="D1972" s="107" t="s">
        <v>1399</v>
      </c>
      <c r="E1972" s="109" t="s">
        <v>1400</v>
      </c>
      <c r="F1972" s="94"/>
      <c r="G1972" s="94"/>
      <c r="H1972" s="94"/>
      <c r="I1972" s="94"/>
      <c r="J1972" s="94"/>
      <c r="K1972" s="94"/>
      <c r="L1972" s="94"/>
      <c r="M1972" s="94"/>
      <c r="N1972" s="94"/>
      <c r="O1972" s="94"/>
      <c r="P1972" s="94"/>
      <c r="Q1972" s="94"/>
      <c r="R1972" s="94"/>
      <c r="S1972" s="94"/>
      <c r="T1972" s="94"/>
      <c r="U1972" s="94"/>
      <c r="V1972" s="94"/>
      <c r="W1972" s="94"/>
      <c r="X1972" s="94"/>
      <c r="Y1972" s="94"/>
      <c r="Z1972" s="94"/>
      <c r="AA1972" s="94"/>
      <c r="AB1972" s="94"/>
      <c r="AC1972" s="94"/>
      <c r="AD1972" s="94"/>
      <c r="AE1972" s="94"/>
      <c r="AF1972" s="94"/>
      <c r="AG1972" s="94"/>
      <c r="AH1972" s="94"/>
      <c r="AI1972" s="94"/>
      <c r="AJ1972" s="94"/>
      <c r="AK1972" s="94"/>
      <c r="AL1972" s="94"/>
      <c r="AM1972" s="94"/>
      <c r="AN1972" s="94"/>
      <c r="AO1972" s="94"/>
      <c r="AP1972" s="94"/>
      <c r="AQ1972" s="94"/>
      <c r="AR1972" s="94"/>
      <c r="AS1972" s="94"/>
      <c r="AT1972" s="94"/>
      <c r="AU1972" s="94"/>
      <c r="AV1972" s="94"/>
      <c r="AW1972" s="94"/>
      <c r="AX1972" s="94"/>
      <c r="AY1972" s="94"/>
      <c r="AZ1972" s="94"/>
      <c r="BA1972" s="94"/>
      <c r="BB1972" s="94"/>
      <c r="BC1972" s="94"/>
      <c r="BD1972" s="94"/>
      <c r="BE1972" s="94"/>
      <c r="BF1972" s="94"/>
    </row>
    <row r="1973" spans="1:58" x14ac:dyDescent="0.35">
      <c r="A1973" s="107" t="s">
        <v>3733</v>
      </c>
      <c r="B1973" s="108" t="s">
        <v>0</v>
      </c>
      <c r="C1973" s="109">
        <v>7</v>
      </c>
      <c r="D1973" s="107" t="s">
        <v>1401</v>
      </c>
      <c r="E1973" s="109" t="s">
        <v>1402</v>
      </c>
      <c r="F1973" s="94"/>
      <c r="G1973" s="94"/>
      <c r="H1973" s="94"/>
      <c r="I1973" s="94"/>
      <c r="J1973" s="94"/>
      <c r="K1973" s="94"/>
      <c r="L1973" s="94"/>
      <c r="M1973" s="94"/>
      <c r="N1973" s="94"/>
      <c r="O1973" s="94"/>
      <c r="P1973" s="94"/>
      <c r="Q1973" s="94"/>
      <c r="R1973" s="94"/>
      <c r="S1973" s="94"/>
      <c r="T1973" s="94"/>
      <c r="U1973" s="94"/>
      <c r="V1973" s="94"/>
      <c r="W1973" s="94"/>
      <c r="X1973" s="94"/>
      <c r="Y1973" s="94"/>
      <c r="Z1973" s="94"/>
      <c r="AA1973" s="94"/>
      <c r="AB1973" s="94"/>
      <c r="AC1973" s="94"/>
      <c r="AD1973" s="94"/>
      <c r="AE1973" s="94"/>
      <c r="AF1973" s="94"/>
      <c r="AG1973" s="94"/>
      <c r="AH1973" s="94"/>
      <c r="AI1973" s="94"/>
      <c r="AJ1973" s="94"/>
      <c r="AK1973" s="94"/>
      <c r="AL1973" s="94"/>
      <c r="AM1973" s="94"/>
      <c r="AN1973" s="94"/>
      <c r="AO1973" s="94"/>
      <c r="AP1973" s="94"/>
      <c r="AQ1973" s="94"/>
      <c r="AR1973" s="94"/>
      <c r="AS1973" s="94"/>
      <c r="AT1973" s="94"/>
      <c r="AU1973" s="94"/>
      <c r="AV1973" s="94"/>
      <c r="AW1973" s="94"/>
      <c r="AX1973" s="94"/>
      <c r="AY1973" s="94"/>
      <c r="AZ1973" s="94"/>
      <c r="BA1973" s="94"/>
      <c r="BB1973" s="94"/>
      <c r="BC1973" s="94"/>
      <c r="BD1973" s="94"/>
      <c r="BE1973" s="94"/>
      <c r="BF1973" s="94"/>
    </row>
    <row r="1974" spans="1:58" x14ac:dyDescent="0.35">
      <c r="A1974" s="107" t="s">
        <v>3734</v>
      </c>
      <c r="B1974" s="108" t="s">
        <v>0</v>
      </c>
      <c r="C1974" s="109">
        <v>7</v>
      </c>
      <c r="D1974" s="107" t="s">
        <v>1403</v>
      </c>
      <c r="E1974" s="109" t="s">
        <v>1404</v>
      </c>
      <c r="F1974" s="94"/>
      <c r="G1974" s="94"/>
      <c r="H1974" s="94"/>
      <c r="I1974" s="94"/>
      <c r="J1974" s="94"/>
      <c r="K1974" s="94"/>
      <c r="L1974" s="94"/>
      <c r="M1974" s="94"/>
      <c r="N1974" s="94"/>
      <c r="O1974" s="94"/>
      <c r="P1974" s="94"/>
      <c r="Q1974" s="94"/>
      <c r="R1974" s="94"/>
      <c r="S1974" s="94"/>
      <c r="T1974" s="94"/>
      <c r="U1974" s="94"/>
      <c r="V1974" s="94"/>
      <c r="W1974" s="94"/>
      <c r="X1974" s="94"/>
      <c r="Y1974" s="94"/>
      <c r="Z1974" s="94"/>
      <c r="AA1974" s="94"/>
      <c r="AB1974" s="94"/>
      <c r="AC1974" s="94"/>
      <c r="AD1974" s="94"/>
      <c r="AE1974" s="94"/>
      <c r="AF1974" s="94"/>
      <c r="AG1974" s="94"/>
      <c r="AH1974" s="94"/>
      <c r="AI1974" s="94"/>
      <c r="AJ1974" s="94"/>
      <c r="AK1974" s="94"/>
      <c r="AL1974" s="94"/>
      <c r="AM1974" s="94"/>
      <c r="AN1974" s="94"/>
      <c r="AO1974" s="94"/>
      <c r="AP1974" s="94"/>
      <c r="AQ1974" s="94"/>
      <c r="AR1974" s="94"/>
      <c r="AS1974" s="94"/>
      <c r="AT1974" s="94"/>
      <c r="AU1974" s="94"/>
      <c r="AV1974" s="94"/>
      <c r="AW1974" s="94"/>
      <c r="AX1974" s="94"/>
      <c r="AY1974" s="94"/>
      <c r="AZ1974" s="94"/>
      <c r="BA1974" s="94"/>
      <c r="BB1974" s="94"/>
      <c r="BC1974" s="94"/>
      <c r="BD1974" s="94"/>
      <c r="BE1974" s="94"/>
      <c r="BF1974" s="94"/>
    </row>
    <row r="1975" spans="1:58" x14ac:dyDescent="0.35">
      <c r="A1975" s="107" t="s">
        <v>3735</v>
      </c>
      <c r="B1975" s="108" t="s">
        <v>0</v>
      </c>
      <c r="C1975" s="109">
        <v>7</v>
      </c>
      <c r="D1975" s="107" t="s">
        <v>1499</v>
      </c>
      <c r="E1975" s="109" t="s">
        <v>1405</v>
      </c>
      <c r="F1975" s="94"/>
      <c r="G1975" s="94"/>
      <c r="H1975" s="94"/>
      <c r="I1975" s="94"/>
      <c r="J1975" s="94"/>
      <c r="K1975" s="94"/>
      <c r="L1975" s="94"/>
      <c r="M1975" s="94"/>
      <c r="N1975" s="94"/>
      <c r="O1975" s="94"/>
      <c r="P1975" s="94"/>
      <c r="Q1975" s="94"/>
      <c r="R1975" s="94"/>
      <c r="S1975" s="94"/>
      <c r="T1975" s="94"/>
      <c r="U1975" s="94"/>
      <c r="V1975" s="94"/>
      <c r="W1975" s="94"/>
      <c r="X1975" s="94"/>
      <c r="Y1975" s="94"/>
      <c r="Z1975" s="94"/>
      <c r="AA1975" s="94"/>
      <c r="AB1975" s="94"/>
      <c r="AC1975" s="94"/>
      <c r="AD1975" s="94"/>
      <c r="AE1975" s="94"/>
      <c r="AF1975" s="94"/>
      <c r="AG1975" s="94"/>
      <c r="AH1975" s="94"/>
      <c r="AI1975" s="94"/>
      <c r="AJ1975" s="94"/>
      <c r="AK1975" s="94"/>
      <c r="AL1975" s="94"/>
      <c r="AM1975" s="94"/>
      <c r="AN1975" s="94"/>
      <c r="AO1975" s="94"/>
      <c r="AP1975" s="94"/>
      <c r="AQ1975" s="94"/>
      <c r="AR1975" s="94"/>
      <c r="AS1975" s="94"/>
      <c r="AT1975" s="94"/>
      <c r="AU1975" s="94"/>
      <c r="AV1975" s="94"/>
      <c r="AW1975" s="94"/>
      <c r="AX1975" s="94"/>
      <c r="AY1975" s="94"/>
      <c r="AZ1975" s="94"/>
      <c r="BA1975" s="94"/>
      <c r="BB1975" s="94"/>
      <c r="BC1975" s="94"/>
      <c r="BD1975" s="94"/>
      <c r="BE1975" s="94"/>
      <c r="BF1975" s="94"/>
    </row>
    <row r="1976" spans="1:58" x14ac:dyDescent="0.35">
      <c r="A1976" s="107" t="s">
        <v>3736</v>
      </c>
      <c r="B1976" s="108" t="s">
        <v>0</v>
      </c>
      <c r="C1976" s="109">
        <v>7</v>
      </c>
      <c r="D1976" s="107" t="s">
        <v>1500</v>
      </c>
      <c r="E1976" s="109" t="s">
        <v>1406</v>
      </c>
      <c r="F1976" s="94"/>
      <c r="G1976" s="94"/>
      <c r="H1976" s="94"/>
      <c r="I1976" s="94"/>
      <c r="J1976" s="94"/>
      <c r="K1976" s="94"/>
      <c r="L1976" s="94"/>
      <c r="M1976" s="94"/>
      <c r="N1976" s="94"/>
      <c r="O1976" s="94"/>
      <c r="P1976" s="94"/>
      <c r="Q1976" s="94"/>
      <c r="R1976" s="94"/>
      <c r="S1976" s="94"/>
      <c r="T1976" s="94"/>
      <c r="U1976" s="94"/>
      <c r="V1976" s="94"/>
      <c r="W1976" s="94"/>
      <c r="X1976" s="94"/>
      <c r="Y1976" s="94"/>
      <c r="Z1976" s="94"/>
      <c r="AA1976" s="94"/>
      <c r="AB1976" s="94"/>
      <c r="AC1976" s="94"/>
      <c r="AD1976" s="94"/>
      <c r="AE1976" s="94"/>
      <c r="AF1976" s="94"/>
      <c r="AG1976" s="94"/>
      <c r="AH1976" s="94"/>
      <c r="AI1976" s="94"/>
      <c r="AJ1976" s="94"/>
      <c r="AK1976" s="94"/>
      <c r="AL1976" s="94"/>
      <c r="AM1976" s="94"/>
      <c r="AN1976" s="94"/>
      <c r="AO1976" s="94"/>
      <c r="AP1976" s="94"/>
      <c r="AQ1976" s="94"/>
      <c r="AR1976" s="94"/>
      <c r="AS1976" s="94"/>
      <c r="AT1976" s="94"/>
      <c r="AU1976" s="94"/>
      <c r="AV1976" s="94"/>
      <c r="AW1976" s="94"/>
      <c r="AX1976" s="94"/>
      <c r="AY1976" s="94"/>
      <c r="AZ1976" s="94"/>
      <c r="BA1976" s="94"/>
      <c r="BB1976" s="94"/>
      <c r="BC1976" s="94"/>
      <c r="BD1976" s="94"/>
      <c r="BE1976" s="94"/>
      <c r="BF1976" s="94"/>
    </row>
    <row r="1977" spans="1:58" x14ac:dyDescent="0.35">
      <c r="A1977" s="107" t="s">
        <v>3737</v>
      </c>
      <c r="B1977" s="108" t="s">
        <v>0</v>
      </c>
      <c r="C1977" s="109">
        <v>7</v>
      </c>
      <c r="D1977" s="107" t="s">
        <v>1407</v>
      </c>
      <c r="E1977" s="109" t="s">
        <v>1408</v>
      </c>
      <c r="F1977" s="94"/>
      <c r="G1977" s="94"/>
      <c r="H1977" s="94"/>
      <c r="I1977" s="94"/>
      <c r="J1977" s="94"/>
      <c r="K1977" s="94"/>
      <c r="L1977" s="94"/>
      <c r="M1977" s="94"/>
      <c r="N1977" s="94"/>
      <c r="O1977" s="94"/>
      <c r="P1977" s="94"/>
      <c r="Q1977" s="94"/>
      <c r="R1977" s="94"/>
      <c r="S1977" s="94"/>
      <c r="T1977" s="94"/>
      <c r="U1977" s="94"/>
      <c r="V1977" s="94"/>
      <c r="W1977" s="94"/>
      <c r="X1977" s="94"/>
      <c r="Y1977" s="94"/>
      <c r="Z1977" s="94"/>
      <c r="AA1977" s="94"/>
      <c r="AB1977" s="94"/>
      <c r="AC1977" s="94"/>
      <c r="AD1977" s="94"/>
      <c r="AE1977" s="94"/>
      <c r="AF1977" s="94"/>
      <c r="AG1977" s="94"/>
      <c r="AH1977" s="94"/>
      <c r="AI1977" s="94"/>
      <c r="AJ1977" s="94"/>
      <c r="AK1977" s="94"/>
      <c r="AL1977" s="94"/>
      <c r="AM1977" s="94"/>
      <c r="AN1977" s="94"/>
      <c r="AO1977" s="94"/>
      <c r="AP1977" s="94"/>
      <c r="AQ1977" s="94"/>
      <c r="AR1977" s="94"/>
      <c r="AS1977" s="94"/>
      <c r="AT1977" s="94"/>
      <c r="AU1977" s="94"/>
      <c r="AV1977" s="94"/>
      <c r="AW1977" s="94"/>
      <c r="AX1977" s="94"/>
      <c r="AY1977" s="94"/>
      <c r="AZ1977" s="94"/>
      <c r="BA1977" s="94"/>
      <c r="BB1977" s="94"/>
      <c r="BC1977" s="94"/>
      <c r="BD1977" s="94"/>
      <c r="BE1977" s="94"/>
      <c r="BF1977" s="94"/>
    </row>
    <row r="1978" spans="1:58" x14ac:dyDescent="0.35">
      <c r="A1978" s="107" t="s">
        <v>3738</v>
      </c>
      <c r="B1978" s="108" t="s">
        <v>0</v>
      </c>
      <c r="C1978" s="109">
        <v>7</v>
      </c>
      <c r="D1978" s="107" t="s">
        <v>1501</v>
      </c>
      <c r="E1978" s="109" t="s">
        <v>1409</v>
      </c>
      <c r="F1978" s="94"/>
      <c r="G1978" s="94"/>
      <c r="H1978" s="94"/>
      <c r="I1978" s="94"/>
      <c r="J1978" s="94"/>
      <c r="K1978" s="94"/>
      <c r="L1978" s="94"/>
      <c r="M1978" s="94"/>
      <c r="N1978" s="94"/>
      <c r="O1978" s="94"/>
      <c r="P1978" s="94"/>
      <c r="Q1978" s="94"/>
      <c r="R1978" s="94"/>
      <c r="S1978" s="94"/>
      <c r="T1978" s="94"/>
      <c r="U1978" s="94"/>
      <c r="V1978" s="94"/>
      <c r="W1978" s="94"/>
      <c r="X1978" s="94"/>
      <c r="Y1978" s="94"/>
      <c r="Z1978" s="94"/>
      <c r="AA1978" s="94"/>
      <c r="AB1978" s="94"/>
      <c r="AC1978" s="94"/>
      <c r="AD1978" s="94"/>
      <c r="AE1978" s="94"/>
      <c r="AF1978" s="94"/>
      <c r="AG1978" s="94"/>
      <c r="AH1978" s="94"/>
      <c r="AI1978" s="94"/>
      <c r="AJ1978" s="94"/>
      <c r="AK1978" s="94"/>
      <c r="AL1978" s="94"/>
      <c r="AM1978" s="94"/>
      <c r="AN1978" s="94"/>
      <c r="AO1978" s="94"/>
      <c r="AP1978" s="94"/>
      <c r="AQ1978" s="94"/>
      <c r="AR1978" s="94"/>
      <c r="AS1978" s="94"/>
      <c r="AT1978" s="94"/>
      <c r="AU1978" s="94"/>
      <c r="AV1978" s="94"/>
      <c r="AW1978" s="94"/>
      <c r="AX1978" s="94"/>
      <c r="AY1978" s="94"/>
      <c r="AZ1978" s="94"/>
      <c r="BA1978" s="94"/>
      <c r="BB1978" s="94"/>
      <c r="BC1978" s="94"/>
      <c r="BD1978" s="94"/>
      <c r="BE1978" s="94"/>
      <c r="BF1978" s="94"/>
    </row>
    <row r="1979" spans="1:58" x14ac:dyDescent="0.35">
      <c r="A1979" s="107" t="s">
        <v>3739</v>
      </c>
      <c r="B1979" s="108" t="s">
        <v>0</v>
      </c>
      <c r="C1979" s="109">
        <v>7</v>
      </c>
      <c r="D1979" s="107" t="s">
        <v>1502</v>
      </c>
      <c r="E1979" s="109" t="s">
        <v>1410</v>
      </c>
      <c r="F1979" s="94"/>
      <c r="G1979" s="94"/>
      <c r="H1979" s="94"/>
      <c r="I1979" s="94"/>
      <c r="J1979" s="94"/>
      <c r="K1979" s="94"/>
      <c r="L1979" s="94"/>
      <c r="M1979" s="94"/>
      <c r="N1979" s="94"/>
      <c r="O1979" s="94"/>
      <c r="P1979" s="94"/>
      <c r="Q1979" s="94"/>
      <c r="R1979" s="94"/>
      <c r="S1979" s="94"/>
      <c r="T1979" s="94"/>
      <c r="U1979" s="94"/>
      <c r="V1979" s="94"/>
      <c r="W1979" s="94"/>
      <c r="X1979" s="94"/>
      <c r="Y1979" s="94"/>
      <c r="Z1979" s="94"/>
      <c r="AA1979" s="94"/>
      <c r="AB1979" s="94"/>
      <c r="AC1979" s="94"/>
      <c r="AD1979" s="94"/>
      <c r="AE1979" s="94"/>
      <c r="AF1979" s="94"/>
      <c r="AG1979" s="94"/>
      <c r="AH1979" s="94"/>
      <c r="AI1979" s="94"/>
      <c r="AJ1979" s="94"/>
      <c r="AK1979" s="94"/>
      <c r="AL1979" s="94"/>
      <c r="AM1979" s="94"/>
      <c r="AN1979" s="94"/>
      <c r="AO1979" s="94"/>
      <c r="AP1979" s="94"/>
      <c r="AQ1979" s="94"/>
      <c r="AR1979" s="94"/>
      <c r="AS1979" s="94"/>
      <c r="AT1979" s="94"/>
      <c r="AU1979" s="94"/>
      <c r="AV1979" s="94"/>
      <c r="AW1979" s="94"/>
      <c r="AX1979" s="94"/>
      <c r="AY1979" s="94"/>
      <c r="AZ1979" s="94"/>
      <c r="BA1979" s="94"/>
      <c r="BB1979" s="94"/>
      <c r="BC1979" s="94"/>
      <c r="BD1979" s="94"/>
      <c r="BE1979" s="94"/>
      <c r="BF1979" s="94"/>
    </row>
  </sheetData>
  <autoFilter ref="A3:BJ1979" xr:uid="{8444B2C7-141C-4F5F-A4F0-06BF6D559F88}"/>
  <mergeCells count="19">
    <mergeCell ref="A1:A3"/>
    <mergeCell ref="B1:B3"/>
    <mergeCell ref="F1:AC1"/>
    <mergeCell ref="AD1:AO1"/>
    <mergeCell ref="AX2:BB2"/>
    <mergeCell ref="BC2:BI2"/>
    <mergeCell ref="D1:D3"/>
    <mergeCell ref="E1:E3"/>
    <mergeCell ref="C1:C3"/>
    <mergeCell ref="AP1:BB1"/>
    <mergeCell ref="BC1:BI1"/>
    <mergeCell ref="F2:M2"/>
    <mergeCell ref="N2:P2"/>
    <mergeCell ref="R2:W2"/>
    <mergeCell ref="X2:Z2"/>
    <mergeCell ref="AA2:AC2"/>
    <mergeCell ref="AD2:AJ2"/>
    <mergeCell ref="AK2:AO2"/>
    <mergeCell ref="AP2:A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9A0F-0CD2-48E2-B619-C59D5A556F67}">
  <dimension ref="A1:D12"/>
  <sheetViews>
    <sheetView zoomScale="80" zoomScaleNormal="80" workbookViewId="0">
      <selection activeCell="F3" sqref="F3"/>
    </sheetView>
  </sheetViews>
  <sheetFormatPr baseColWidth="10" defaultRowHeight="14.5" x14ac:dyDescent="0.35"/>
  <cols>
    <col min="4" max="4" width="14.453125" bestFit="1" customWidth="1"/>
    <col min="6" max="6" width="15" bestFit="1" customWidth="1"/>
  </cols>
  <sheetData>
    <row r="1" spans="1:4" x14ac:dyDescent="0.35">
      <c r="A1" t="s">
        <v>1563</v>
      </c>
      <c r="B1" t="s">
        <v>154</v>
      </c>
      <c r="C1" t="s">
        <v>1564</v>
      </c>
      <c r="D1" t="s">
        <v>8182</v>
      </c>
    </row>
    <row r="2" spans="1:4" x14ac:dyDescent="0.35">
      <c r="A2">
        <v>0</v>
      </c>
      <c r="B2">
        <v>0</v>
      </c>
      <c r="C2">
        <v>7</v>
      </c>
    </row>
    <row r="3" spans="1:4" x14ac:dyDescent="0.35">
      <c r="A3">
        <v>4</v>
      </c>
      <c r="B3">
        <v>1</v>
      </c>
      <c r="C3">
        <v>6</v>
      </c>
    </row>
    <row r="4" spans="1:4" x14ac:dyDescent="0.35">
      <c r="A4">
        <v>7</v>
      </c>
      <c r="B4">
        <v>2</v>
      </c>
      <c r="C4">
        <v>5</v>
      </c>
      <c r="D4">
        <v>4</v>
      </c>
    </row>
    <row r="5" spans="1:4" x14ac:dyDescent="0.35">
      <c r="A5">
        <v>10</v>
      </c>
      <c r="B5">
        <v>3</v>
      </c>
      <c r="C5">
        <v>4</v>
      </c>
      <c r="D5">
        <v>8</v>
      </c>
    </row>
    <row r="6" spans="1:4" x14ac:dyDescent="0.35">
      <c r="A6">
        <v>13</v>
      </c>
      <c r="B6">
        <v>4</v>
      </c>
      <c r="C6">
        <v>3</v>
      </c>
      <c r="D6">
        <v>12</v>
      </c>
    </row>
    <row r="7" spans="1:4" x14ac:dyDescent="0.35">
      <c r="A7">
        <v>16</v>
      </c>
      <c r="B7">
        <v>5</v>
      </c>
      <c r="C7">
        <v>2</v>
      </c>
      <c r="D7">
        <v>16</v>
      </c>
    </row>
    <row r="8" spans="1:4" x14ac:dyDescent="0.35">
      <c r="A8">
        <v>19</v>
      </c>
      <c r="B8">
        <v>6</v>
      </c>
      <c r="C8">
        <v>1</v>
      </c>
      <c r="D8">
        <v>20</v>
      </c>
    </row>
    <row r="9" spans="1:4" x14ac:dyDescent="0.35">
      <c r="A9">
        <v>22</v>
      </c>
      <c r="B9">
        <v>7</v>
      </c>
      <c r="C9">
        <v>0</v>
      </c>
      <c r="D9">
        <v>24</v>
      </c>
    </row>
    <row r="10" spans="1:4" x14ac:dyDescent="0.35">
      <c r="A10">
        <v>25</v>
      </c>
      <c r="B10">
        <v>8</v>
      </c>
      <c r="C10">
        <v>0</v>
      </c>
      <c r="D10">
        <v>28</v>
      </c>
    </row>
    <row r="11" spans="1:4" x14ac:dyDescent="0.35">
      <c r="A11">
        <v>28</v>
      </c>
      <c r="B11">
        <v>9</v>
      </c>
      <c r="C11">
        <v>0</v>
      </c>
    </row>
    <row r="12" spans="1:4" x14ac:dyDescent="0.35">
      <c r="A12">
        <v>31</v>
      </c>
      <c r="B12">
        <v>10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EDE_INF</vt:lpstr>
      <vt:lpstr>ECO_EDE</vt:lpstr>
      <vt:lpstr>EDE_CARGA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FONSECA</dc:creator>
  <cp:lastModifiedBy>Oscar JUNUMANN</cp:lastModifiedBy>
  <cp:lastPrinted>2019-10-02T14:27:07Z</cp:lastPrinted>
  <dcterms:created xsi:type="dcterms:W3CDTF">2019-07-31T00:32:19Z</dcterms:created>
  <dcterms:modified xsi:type="dcterms:W3CDTF">2020-03-12T11:54:28Z</dcterms:modified>
</cp:coreProperties>
</file>